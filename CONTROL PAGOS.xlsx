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O:\Finanzas\Info Bancos\Pagos Internacionales\"/>
    </mc:Choice>
  </mc:AlternateContent>
  <xr:revisionPtr revIDLastSave="0" documentId="13_ncr:1_{2627913B-E99A-4748-91E9-E2126EE49BBD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Datos" sheetId="5" r:id="rId1"/>
    <sheet name="Pagos importación" sheetId="1" r:id="rId2"/>
    <sheet name="Compras" sheetId="7" r:id="rId3"/>
    <sheet name="Otros pagos" sheetId="3" r:id="rId4"/>
    <sheet name="Reintegros" sheetId="2" r:id="rId5"/>
    <sheet name="Cantidad de formularios" sheetId="8" r:id="rId6"/>
    <sheet name="LC Exportaciones" sheetId="12" r:id="rId7"/>
    <sheet name="Cartas de crédito" sheetId="11" r:id="rId8"/>
    <sheet name="Standby" sheetId="10" r:id="rId9"/>
  </sheets>
  <definedNames>
    <definedName name="_xlnm._FilterDatabase" localSheetId="7" hidden="1">'Cartas de crédito'!$A$1:$Q$4</definedName>
    <definedName name="_xlnm._FilterDatabase" localSheetId="8" hidden="1">Standby!$A$1:$S$11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1" l="1"/>
  <c r="N6" i="11"/>
  <c r="L6" i="11"/>
  <c r="M6" i="11"/>
  <c r="K6202" i="1" l="1"/>
  <c r="K6181" i="1" l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D6214" i="1"/>
  <c r="E6214" i="1"/>
  <c r="F6214" i="1"/>
  <c r="D6213" i="1"/>
  <c r="E6213" i="1"/>
  <c r="F6213" i="1"/>
  <c r="D6211" i="1"/>
  <c r="D6212" i="1"/>
  <c r="E6211" i="1"/>
  <c r="E6212" i="1"/>
  <c r="F6211" i="1"/>
  <c r="F6212" i="1"/>
  <c r="D6210" i="1"/>
  <c r="E6210" i="1"/>
  <c r="F6210" i="1"/>
  <c r="D6206" i="1"/>
  <c r="D6207" i="1"/>
  <c r="D6208" i="1"/>
  <c r="D6209" i="1"/>
  <c r="E6206" i="1"/>
  <c r="E6207" i="1"/>
  <c r="E6208" i="1"/>
  <c r="E6209" i="1"/>
  <c r="F6206" i="1"/>
  <c r="F6207" i="1"/>
  <c r="F6208" i="1"/>
  <c r="F6209" i="1"/>
  <c r="D6205" i="1"/>
  <c r="E6205" i="1"/>
  <c r="F6205" i="1"/>
  <c r="D6203" i="1"/>
  <c r="D6204" i="1"/>
  <c r="E6203" i="1"/>
  <c r="E6204" i="1"/>
  <c r="F6203" i="1"/>
  <c r="F6204" i="1"/>
  <c r="D6202" i="1"/>
  <c r="E6202" i="1"/>
  <c r="F6202" i="1"/>
  <c r="D6201" i="1"/>
  <c r="E6201" i="1"/>
  <c r="F6201" i="1"/>
  <c r="D6199" i="1"/>
  <c r="D6200" i="1"/>
  <c r="E6199" i="1"/>
  <c r="E6200" i="1"/>
  <c r="F6199" i="1"/>
  <c r="F6200" i="1"/>
  <c r="D6190" i="1" l="1"/>
  <c r="D6191" i="1"/>
  <c r="D6192" i="1"/>
  <c r="D6193" i="1"/>
  <c r="D6194" i="1"/>
  <c r="D6195" i="1"/>
  <c r="D6196" i="1"/>
  <c r="D6197" i="1"/>
  <c r="D6198" i="1"/>
  <c r="E6190" i="1"/>
  <c r="E6191" i="1"/>
  <c r="E6192" i="1"/>
  <c r="E6193" i="1"/>
  <c r="E6194" i="1"/>
  <c r="E6195" i="1"/>
  <c r="E6196" i="1"/>
  <c r="E6197" i="1"/>
  <c r="E6198" i="1"/>
  <c r="F6190" i="1"/>
  <c r="F6191" i="1"/>
  <c r="F6192" i="1"/>
  <c r="F6193" i="1"/>
  <c r="F6194" i="1"/>
  <c r="F6195" i="1"/>
  <c r="F6196" i="1"/>
  <c r="F6197" i="1"/>
  <c r="F6198" i="1"/>
  <c r="D6188" i="1"/>
  <c r="D6189" i="1"/>
  <c r="E6188" i="1"/>
  <c r="E6189" i="1"/>
  <c r="F6188" i="1"/>
  <c r="F6189" i="1"/>
  <c r="D6184" i="1"/>
  <c r="D6185" i="1"/>
  <c r="D6186" i="1"/>
  <c r="D6187" i="1"/>
  <c r="E6184" i="1"/>
  <c r="E6185" i="1"/>
  <c r="E6186" i="1"/>
  <c r="E6187" i="1"/>
  <c r="F6184" i="1"/>
  <c r="F6185" i="1"/>
  <c r="F6186" i="1"/>
  <c r="F6187" i="1"/>
  <c r="D6181" i="1"/>
  <c r="D6182" i="1"/>
  <c r="D6183" i="1"/>
  <c r="E6181" i="1"/>
  <c r="E6182" i="1"/>
  <c r="E6183" i="1"/>
  <c r="F6181" i="1"/>
  <c r="F6182" i="1"/>
  <c r="F6183" i="1"/>
  <c r="K6177" i="1" l="1"/>
  <c r="K6178" i="1"/>
  <c r="D6177" i="1"/>
  <c r="E6177" i="1"/>
  <c r="F6177" i="1"/>
  <c r="D6178" i="1"/>
  <c r="E6178" i="1"/>
  <c r="F6178" i="1"/>
  <c r="E562" i="3"/>
  <c r="E561" i="3"/>
  <c r="K6180" i="1"/>
  <c r="D6180" i="1"/>
  <c r="E6180" i="1"/>
  <c r="F6180" i="1"/>
  <c r="K6179" i="1"/>
  <c r="D6179" i="1"/>
  <c r="E6179" i="1"/>
  <c r="F6179" i="1"/>
  <c r="K6157" i="1"/>
  <c r="K6169" i="1"/>
  <c r="K6170" i="1"/>
  <c r="K6171" i="1"/>
  <c r="K6172" i="1"/>
  <c r="K6173" i="1"/>
  <c r="K6174" i="1"/>
  <c r="K6175" i="1"/>
  <c r="K6176" i="1"/>
  <c r="D6176" i="1"/>
  <c r="E6176" i="1"/>
  <c r="F6176" i="1"/>
  <c r="D6175" i="1"/>
  <c r="E6175" i="1"/>
  <c r="F6175" i="1"/>
  <c r="D6174" i="1"/>
  <c r="E6174" i="1"/>
  <c r="F6174" i="1"/>
  <c r="D6170" i="1"/>
  <c r="D6171" i="1"/>
  <c r="D6172" i="1"/>
  <c r="D6173" i="1"/>
  <c r="E6170" i="1"/>
  <c r="E6171" i="1"/>
  <c r="E6172" i="1"/>
  <c r="E6173" i="1"/>
  <c r="F6170" i="1"/>
  <c r="F6171" i="1"/>
  <c r="F6172" i="1"/>
  <c r="F6173" i="1"/>
  <c r="D6169" i="1"/>
  <c r="E6169" i="1"/>
  <c r="F6169" i="1"/>
  <c r="K6165" i="1"/>
  <c r="K6166" i="1"/>
  <c r="K6167" i="1"/>
  <c r="K6168" i="1"/>
  <c r="D6165" i="1"/>
  <c r="D6166" i="1"/>
  <c r="D6167" i="1"/>
  <c r="D6168" i="1"/>
  <c r="E6165" i="1"/>
  <c r="E6166" i="1"/>
  <c r="E6167" i="1"/>
  <c r="E6168" i="1"/>
  <c r="F6165" i="1"/>
  <c r="F6166" i="1"/>
  <c r="F6167" i="1"/>
  <c r="F6168" i="1"/>
  <c r="K6156" i="1"/>
  <c r="K6158" i="1"/>
  <c r="K6159" i="1"/>
  <c r="K6160" i="1"/>
  <c r="K6161" i="1"/>
  <c r="K6162" i="1"/>
  <c r="K6163" i="1"/>
  <c r="K6164" i="1"/>
  <c r="D6163" i="1"/>
  <c r="D6164" i="1"/>
  <c r="E6163" i="1"/>
  <c r="E6164" i="1"/>
  <c r="F6163" i="1"/>
  <c r="F6164" i="1"/>
  <c r="D6162" i="1"/>
  <c r="E6162" i="1"/>
  <c r="F6162" i="1"/>
  <c r="D6161" i="1"/>
  <c r="E6161" i="1"/>
  <c r="F6161" i="1"/>
  <c r="D6160" i="1"/>
  <c r="E6160" i="1"/>
  <c r="F6160" i="1"/>
  <c r="D6159" i="1"/>
  <c r="E6159" i="1"/>
  <c r="F6159" i="1"/>
  <c r="D6158" i="1"/>
  <c r="E6158" i="1"/>
  <c r="F6158" i="1"/>
  <c r="D6157" i="1"/>
  <c r="E6157" i="1"/>
  <c r="F6157" i="1"/>
  <c r="D6156" i="1"/>
  <c r="E6156" i="1"/>
  <c r="F6156" i="1"/>
  <c r="D6155" i="1"/>
  <c r="E6155" i="1"/>
  <c r="F6155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D6152" i="1"/>
  <c r="D6153" i="1"/>
  <c r="D6154" i="1"/>
  <c r="E6152" i="1"/>
  <c r="E6153" i="1"/>
  <c r="E6154" i="1"/>
  <c r="F6152" i="1"/>
  <c r="F6153" i="1"/>
  <c r="F6154" i="1"/>
  <c r="D6148" i="1"/>
  <c r="D6149" i="1"/>
  <c r="D6150" i="1"/>
  <c r="D6151" i="1"/>
  <c r="E6148" i="1"/>
  <c r="E6149" i="1"/>
  <c r="E6150" i="1"/>
  <c r="E6151" i="1"/>
  <c r="F6148" i="1"/>
  <c r="F6149" i="1"/>
  <c r="F6150" i="1"/>
  <c r="F6151" i="1"/>
  <c r="D6147" i="1"/>
  <c r="E6147" i="1"/>
  <c r="F6147" i="1"/>
  <c r="D6146" i="1"/>
  <c r="E6146" i="1"/>
  <c r="F6146" i="1"/>
  <c r="D6144" i="1"/>
  <c r="D6145" i="1"/>
  <c r="E6144" i="1"/>
  <c r="E6145" i="1"/>
  <c r="F6144" i="1"/>
  <c r="F6145" i="1"/>
  <c r="K6133" i="1"/>
  <c r="K6134" i="1"/>
  <c r="K6135" i="1"/>
  <c r="K6136" i="1"/>
  <c r="K6137" i="1"/>
  <c r="K6138" i="1"/>
  <c r="K6139" i="1"/>
  <c r="K6140" i="1"/>
  <c r="K6141" i="1"/>
  <c r="K6142" i="1"/>
  <c r="K6143" i="1"/>
  <c r="D6143" i="1"/>
  <c r="E6143" i="1"/>
  <c r="F6143" i="1"/>
  <c r="D6141" i="1"/>
  <c r="D6142" i="1"/>
  <c r="E6141" i="1"/>
  <c r="E6142" i="1"/>
  <c r="F6141" i="1"/>
  <c r="F6142" i="1"/>
  <c r="D6139" i="1"/>
  <c r="D6140" i="1"/>
  <c r="E6139" i="1"/>
  <c r="E6140" i="1"/>
  <c r="F6139" i="1"/>
  <c r="F6140" i="1"/>
  <c r="D6138" i="1"/>
  <c r="E6138" i="1"/>
  <c r="F6138" i="1"/>
  <c r="D6136" i="1"/>
  <c r="D6137" i="1"/>
  <c r="E6136" i="1"/>
  <c r="E6137" i="1"/>
  <c r="F6136" i="1"/>
  <c r="F6137" i="1"/>
  <c r="D6134" i="1"/>
  <c r="D6135" i="1"/>
  <c r="E6134" i="1"/>
  <c r="E6135" i="1"/>
  <c r="F6134" i="1"/>
  <c r="F6135" i="1"/>
  <c r="D6133" i="1"/>
  <c r="E6133" i="1"/>
  <c r="F6133" i="1"/>
  <c r="K6129" i="1"/>
  <c r="K6122" i="1"/>
  <c r="K6123" i="1"/>
  <c r="K6124" i="1"/>
  <c r="K6125" i="1"/>
  <c r="K6126" i="1"/>
  <c r="K6127" i="1"/>
  <c r="K6128" i="1"/>
  <c r="K6130" i="1"/>
  <c r="K6131" i="1"/>
  <c r="K6132" i="1"/>
  <c r="D6131" i="1"/>
  <c r="D6132" i="1"/>
  <c r="E6131" i="1"/>
  <c r="E6132" i="1"/>
  <c r="F6131" i="1"/>
  <c r="F6132" i="1"/>
  <c r="D6130" i="1"/>
  <c r="E6130" i="1"/>
  <c r="F6130" i="1"/>
  <c r="D6129" i="1"/>
  <c r="E6129" i="1"/>
  <c r="F6129" i="1"/>
  <c r="D6128" i="1"/>
  <c r="E6128" i="1"/>
  <c r="F6128" i="1"/>
  <c r="D6122" i="1"/>
  <c r="D6123" i="1"/>
  <c r="D6124" i="1"/>
  <c r="D6125" i="1"/>
  <c r="D6126" i="1"/>
  <c r="D6127" i="1"/>
  <c r="E6122" i="1"/>
  <c r="E6123" i="1"/>
  <c r="E6124" i="1"/>
  <c r="E6125" i="1"/>
  <c r="E6126" i="1"/>
  <c r="E6127" i="1"/>
  <c r="F6122" i="1"/>
  <c r="F6123" i="1"/>
  <c r="F6124" i="1"/>
  <c r="F6125" i="1"/>
  <c r="F6126" i="1"/>
  <c r="F6127" i="1"/>
  <c r="D458" i="2" l="1"/>
  <c r="D459" i="2"/>
  <c r="E458" i="2"/>
  <c r="E459" i="2"/>
  <c r="F458" i="2"/>
  <c r="F459" i="2"/>
  <c r="D453" i="2"/>
  <c r="D454" i="2"/>
  <c r="D455" i="2"/>
  <c r="D456" i="2"/>
  <c r="D457" i="2"/>
  <c r="E453" i="2"/>
  <c r="E454" i="2"/>
  <c r="E455" i="2"/>
  <c r="E456" i="2"/>
  <c r="E457" i="2"/>
  <c r="F453" i="2"/>
  <c r="F454" i="2"/>
  <c r="F455" i="2"/>
  <c r="F456" i="2"/>
  <c r="F457" i="2"/>
  <c r="D452" i="2"/>
  <c r="E452" i="2"/>
  <c r="F452" i="2"/>
  <c r="D448" i="2"/>
  <c r="D449" i="2"/>
  <c r="D450" i="2"/>
  <c r="D451" i="2"/>
  <c r="E448" i="2"/>
  <c r="E449" i="2"/>
  <c r="E450" i="2"/>
  <c r="E451" i="2"/>
  <c r="F448" i="2"/>
  <c r="F449" i="2"/>
  <c r="F450" i="2"/>
  <c r="F451" i="2"/>
  <c r="D447" i="2"/>
  <c r="E447" i="2"/>
  <c r="F447" i="2"/>
  <c r="D446" i="2" l="1"/>
  <c r="E446" i="2"/>
  <c r="F446" i="2"/>
  <c r="K6121" i="1"/>
  <c r="D6121" i="1"/>
  <c r="E6121" i="1"/>
  <c r="F6121" i="1"/>
  <c r="K6120" i="1" l="1"/>
  <c r="D6120" i="1"/>
  <c r="E6120" i="1"/>
  <c r="F6120" i="1"/>
  <c r="D445" i="2"/>
  <c r="E445" i="2"/>
  <c r="F445" i="2"/>
  <c r="D444" i="2"/>
  <c r="E444" i="2"/>
  <c r="F444" i="2"/>
  <c r="H439" i="2"/>
  <c r="H438" i="2"/>
  <c r="H437" i="2"/>
  <c r="D437" i="2"/>
  <c r="E437" i="2"/>
  <c r="F437" i="2"/>
  <c r="D438" i="2"/>
  <c r="E438" i="2"/>
  <c r="F438" i="2"/>
  <c r="D441" i="2" l="1"/>
  <c r="D442" i="2"/>
  <c r="D443" i="2"/>
  <c r="E441" i="2"/>
  <c r="E442" i="2"/>
  <c r="E443" i="2"/>
  <c r="F441" i="2"/>
  <c r="F442" i="2"/>
  <c r="F443" i="2"/>
  <c r="D440" i="2"/>
  <c r="E440" i="2"/>
  <c r="F440" i="2"/>
  <c r="D432" i="2"/>
  <c r="D433" i="2"/>
  <c r="D434" i="2"/>
  <c r="D435" i="2"/>
  <c r="D436" i="2"/>
  <c r="D439" i="2"/>
  <c r="E432" i="2"/>
  <c r="E433" i="2"/>
  <c r="E434" i="2"/>
  <c r="E435" i="2"/>
  <c r="E436" i="2"/>
  <c r="E439" i="2"/>
  <c r="F432" i="2"/>
  <c r="F433" i="2"/>
  <c r="F434" i="2"/>
  <c r="F435" i="2"/>
  <c r="F436" i="2"/>
  <c r="F439" i="2"/>
  <c r="D431" i="2"/>
  <c r="E431" i="2"/>
  <c r="F431" i="2"/>
  <c r="D428" i="2"/>
  <c r="D429" i="2"/>
  <c r="D430" i="2"/>
  <c r="E428" i="2"/>
  <c r="E429" i="2"/>
  <c r="E430" i="2"/>
  <c r="F428" i="2"/>
  <c r="F429" i="2"/>
  <c r="F430" i="2"/>
  <c r="D426" i="2"/>
  <c r="D427" i="2"/>
  <c r="E426" i="2"/>
  <c r="E427" i="2"/>
  <c r="F426" i="2"/>
  <c r="F427" i="2"/>
  <c r="D425" i="2"/>
  <c r="E425" i="2"/>
  <c r="F425" i="2"/>
  <c r="D424" i="2"/>
  <c r="E424" i="2"/>
  <c r="F424" i="2"/>
  <c r="D423" i="2"/>
  <c r="E423" i="2"/>
  <c r="F423" i="2"/>
  <c r="D422" i="2"/>
  <c r="E422" i="2"/>
  <c r="F422" i="2"/>
  <c r="K6099" i="1" l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D6119" i="1" l="1"/>
  <c r="E6119" i="1"/>
  <c r="F6119" i="1"/>
  <c r="D6118" i="1"/>
  <c r="E6118" i="1"/>
  <c r="F6118" i="1"/>
  <c r="D6117" i="1"/>
  <c r="E6117" i="1"/>
  <c r="F6117" i="1"/>
  <c r="D6116" i="1"/>
  <c r="E6116" i="1"/>
  <c r="F6116" i="1"/>
  <c r="D6113" i="1"/>
  <c r="D6114" i="1"/>
  <c r="D6115" i="1"/>
  <c r="E6113" i="1"/>
  <c r="E6114" i="1"/>
  <c r="E6115" i="1"/>
  <c r="F6113" i="1"/>
  <c r="F6114" i="1"/>
  <c r="F6115" i="1"/>
  <c r="D6112" i="1"/>
  <c r="E6112" i="1"/>
  <c r="F6112" i="1"/>
  <c r="D6111" i="1"/>
  <c r="E6111" i="1"/>
  <c r="F6111" i="1"/>
  <c r="K6098" i="1"/>
  <c r="D6110" i="1"/>
  <c r="E6110" i="1"/>
  <c r="F6110" i="1"/>
  <c r="D6109" i="1"/>
  <c r="E6109" i="1"/>
  <c r="F6109" i="1"/>
  <c r="D6107" i="1"/>
  <c r="D6108" i="1"/>
  <c r="E6107" i="1"/>
  <c r="E6108" i="1"/>
  <c r="F6107" i="1"/>
  <c r="F6108" i="1"/>
  <c r="D6106" i="1"/>
  <c r="E6106" i="1"/>
  <c r="F6106" i="1"/>
  <c r="D6105" i="1"/>
  <c r="E6105" i="1"/>
  <c r="F6105" i="1"/>
  <c r="D6104" i="1"/>
  <c r="E6104" i="1"/>
  <c r="F6104" i="1"/>
  <c r="D6101" i="1"/>
  <c r="D6102" i="1"/>
  <c r="D6103" i="1"/>
  <c r="E6101" i="1"/>
  <c r="E6102" i="1"/>
  <c r="E6103" i="1"/>
  <c r="F6101" i="1"/>
  <c r="F6102" i="1"/>
  <c r="F6103" i="1"/>
  <c r="D6098" i="1"/>
  <c r="D6099" i="1"/>
  <c r="D6100" i="1"/>
  <c r="E6098" i="1"/>
  <c r="E6099" i="1"/>
  <c r="E6100" i="1"/>
  <c r="F6098" i="1"/>
  <c r="F6099" i="1"/>
  <c r="F6100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D6097" i="1"/>
  <c r="E6097" i="1"/>
  <c r="F6097" i="1"/>
  <c r="D6096" i="1"/>
  <c r="E6096" i="1"/>
  <c r="F6096" i="1"/>
  <c r="D6091" i="1"/>
  <c r="D6092" i="1"/>
  <c r="D6093" i="1"/>
  <c r="D6094" i="1"/>
  <c r="D6095" i="1"/>
  <c r="E6091" i="1"/>
  <c r="E6092" i="1"/>
  <c r="E6093" i="1"/>
  <c r="E6094" i="1"/>
  <c r="E6095" i="1"/>
  <c r="F6091" i="1"/>
  <c r="F6092" i="1"/>
  <c r="F6093" i="1"/>
  <c r="F6094" i="1"/>
  <c r="F6095" i="1"/>
  <c r="D6086" i="1"/>
  <c r="D6087" i="1"/>
  <c r="D6088" i="1"/>
  <c r="D6089" i="1"/>
  <c r="D6090" i="1"/>
  <c r="E6086" i="1"/>
  <c r="E6087" i="1"/>
  <c r="E6088" i="1"/>
  <c r="E6089" i="1"/>
  <c r="E6090" i="1"/>
  <c r="F6086" i="1"/>
  <c r="F6087" i="1"/>
  <c r="F6088" i="1"/>
  <c r="F6089" i="1"/>
  <c r="F6090" i="1"/>
  <c r="D6085" i="1"/>
  <c r="E6085" i="1"/>
  <c r="F6085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D6084" i="1"/>
  <c r="E6084" i="1"/>
  <c r="F6084" i="1"/>
  <c r="D6083" i="1"/>
  <c r="E6083" i="1"/>
  <c r="F6083" i="1"/>
  <c r="D6081" i="1"/>
  <c r="D6082" i="1"/>
  <c r="E6081" i="1"/>
  <c r="E6082" i="1"/>
  <c r="F6081" i="1"/>
  <c r="F6082" i="1"/>
  <c r="D6079" i="1"/>
  <c r="D6080" i="1"/>
  <c r="E6079" i="1"/>
  <c r="E6080" i="1"/>
  <c r="F6079" i="1"/>
  <c r="F6080" i="1"/>
  <c r="D6078" i="1"/>
  <c r="E6078" i="1"/>
  <c r="F6078" i="1"/>
  <c r="D6076" i="1"/>
  <c r="D6077" i="1"/>
  <c r="E6076" i="1"/>
  <c r="E6077" i="1"/>
  <c r="F6076" i="1"/>
  <c r="F6077" i="1"/>
  <c r="D6075" i="1"/>
  <c r="E6075" i="1"/>
  <c r="F6075" i="1"/>
  <c r="D6074" i="1"/>
  <c r="E6074" i="1"/>
  <c r="F6074" i="1"/>
  <c r="D6071" i="1"/>
  <c r="D6072" i="1"/>
  <c r="D6073" i="1"/>
  <c r="E6071" i="1"/>
  <c r="E6072" i="1"/>
  <c r="E6073" i="1"/>
  <c r="F6071" i="1"/>
  <c r="F6072" i="1"/>
  <c r="F6073" i="1"/>
  <c r="D6070" i="1"/>
  <c r="E6070" i="1"/>
  <c r="F6070" i="1"/>
  <c r="K6061" i="1"/>
  <c r="K6062" i="1"/>
  <c r="K6063" i="1"/>
  <c r="K6064" i="1"/>
  <c r="K6065" i="1"/>
  <c r="K6066" i="1"/>
  <c r="K6067" i="1"/>
  <c r="K6068" i="1"/>
  <c r="K6069" i="1"/>
  <c r="D6068" i="1"/>
  <c r="D6069" i="1"/>
  <c r="E6068" i="1"/>
  <c r="E6069" i="1"/>
  <c r="F6068" i="1"/>
  <c r="F6069" i="1"/>
  <c r="D6066" i="1"/>
  <c r="D6067" i="1"/>
  <c r="E6066" i="1"/>
  <c r="E6067" i="1"/>
  <c r="F6066" i="1"/>
  <c r="F6067" i="1"/>
  <c r="D6064" i="1"/>
  <c r="D6065" i="1"/>
  <c r="E6064" i="1"/>
  <c r="E6065" i="1"/>
  <c r="F6064" i="1"/>
  <c r="F6065" i="1"/>
  <c r="D6063" i="1"/>
  <c r="E6063" i="1"/>
  <c r="F6063" i="1"/>
  <c r="D6061" i="1"/>
  <c r="D6062" i="1"/>
  <c r="E6061" i="1"/>
  <c r="E6062" i="1"/>
  <c r="F6061" i="1"/>
  <c r="F6062" i="1"/>
  <c r="K6050" i="1"/>
  <c r="K6051" i="1"/>
  <c r="K6052" i="1"/>
  <c r="K6053" i="1"/>
  <c r="K6054" i="1"/>
  <c r="K6055" i="1"/>
  <c r="K6056" i="1"/>
  <c r="K6057" i="1"/>
  <c r="K6058" i="1"/>
  <c r="K6059" i="1"/>
  <c r="K6060" i="1"/>
  <c r="D6059" i="1"/>
  <c r="D6060" i="1"/>
  <c r="E6059" i="1"/>
  <c r="E6060" i="1"/>
  <c r="F6059" i="1"/>
  <c r="F6060" i="1"/>
  <c r="D6057" i="1"/>
  <c r="D6058" i="1"/>
  <c r="E6057" i="1"/>
  <c r="E6058" i="1"/>
  <c r="F6057" i="1"/>
  <c r="F6058" i="1"/>
  <c r="D6056" i="1"/>
  <c r="E6056" i="1"/>
  <c r="F6056" i="1"/>
  <c r="D6055" i="1"/>
  <c r="E6055" i="1"/>
  <c r="F6055" i="1"/>
  <c r="D6050" i="1"/>
  <c r="D6051" i="1"/>
  <c r="D6052" i="1"/>
  <c r="D6053" i="1"/>
  <c r="D6054" i="1"/>
  <c r="E6050" i="1"/>
  <c r="E6051" i="1"/>
  <c r="E6052" i="1"/>
  <c r="E6053" i="1"/>
  <c r="E6054" i="1"/>
  <c r="F6050" i="1"/>
  <c r="F6051" i="1"/>
  <c r="F6052" i="1"/>
  <c r="F6053" i="1"/>
  <c r="F6054" i="1"/>
  <c r="K6041" i="1"/>
  <c r="K6042" i="1"/>
  <c r="K6043" i="1"/>
  <c r="K6044" i="1"/>
  <c r="K6045" i="1"/>
  <c r="K6046" i="1"/>
  <c r="K6047" i="1"/>
  <c r="K6048" i="1"/>
  <c r="K6049" i="1"/>
  <c r="D6048" i="1"/>
  <c r="D6049" i="1"/>
  <c r="E6048" i="1"/>
  <c r="E6049" i="1"/>
  <c r="F6048" i="1"/>
  <c r="F6049" i="1"/>
  <c r="D6047" i="1"/>
  <c r="E6047" i="1"/>
  <c r="F6047" i="1"/>
  <c r="D6046" i="1"/>
  <c r="E6046" i="1"/>
  <c r="F6046" i="1"/>
  <c r="D6044" i="1"/>
  <c r="D6045" i="1"/>
  <c r="E6044" i="1"/>
  <c r="E6045" i="1"/>
  <c r="F6044" i="1"/>
  <c r="F6045" i="1"/>
  <c r="K6033" i="1"/>
  <c r="K6034" i="1"/>
  <c r="K6035" i="1"/>
  <c r="K6036" i="1"/>
  <c r="K6037" i="1"/>
  <c r="K6038" i="1"/>
  <c r="K6039" i="1"/>
  <c r="K6040" i="1"/>
  <c r="D6034" i="1"/>
  <c r="D6035" i="1"/>
  <c r="D6036" i="1"/>
  <c r="D6037" i="1"/>
  <c r="D6038" i="1"/>
  <c r="D6039" i="1"/>
  <c r="D6040" i="1"/>
  <c r="D6041" i="1"/>
  <c r="D6042" i="1"/>
  <c r="D6043" i="1"/>
  <c r="E6034" i="1"/>
  <c r="E6035" i="1"/>
  <c r="E6036" i="1"/>
  <c r="E6037" i="1"/>
  <c r="E6038" i="1"/>
  <c r="E6039" i="1"/>
  <c r="E6040" i="1"/>
  <c r="E6041" i="1"/>
  <c r="E6042" i="1"/>
  <c r="E6043" i="1"/>
  <c r="F6034" i="1"/>
  <c r="F6035" i="1"/>
  <c r="F6036" i="1"/>
  <c r="F6037" i="1"/>
  <c r="F6038" i="1"/>
  <c r="F6039" i="1"/>
  <c r="F6040" i="1"/>
  <c r="F6041" i="1"/>
  <c r="F6042" i="1"/>
  <c r="F6043" i="1"/>
  <c r="D6033" i="1"/>
  <c r="E6033" i="1"/>
  <c r="F6033" i="1"/>
  <c r="K6025" i="1"/>
  <c r="K6026" i="1"/>
  <c r="K6027" i="1"/>
  <c r="K6028" i="1"/>
  <c r="K6029" i="1"/>
  <c r="K6030" i="1"/>
  <c r="K6031" i="1"/>
  <c r="K6032" i="1"/>
  <c r="D6030" i="1"/>
  <c r="D6031" i="1"/>
  <c r="D6032" i="1"/>
  <c r="E6030" i="1"/>
  <c r="E6031" i="1"/>
  <c r="E6032" i="1"/>
  <c r="F6030" i="1"/>
  <c r="F6031" i="1"/>
  <c r="F6032" i="1"/>
  <c r="D6028" i="1"/>
  <c r="D6029" i="1"/>
  <c r="E6028" i="1"/>
  <c r="E6029" i="1"/>
  <c r="F6028" i="1"/>
  <c r="F6029" i="1"/>
  <c r="D6026" i="1"/>
  <c r="D6027" i="1"/>
  <c r="E6026" i="1"/>
  <c r="E6027" i="1"/>
  <c r="F6026" i="1"/>
  <c r="F6027" i="1"/>
  <c r="D6025" i="1"/>
  <c r="E6025" i="1"/>
  <c r="F6025" i="1"/>
  <c r="K6012" i="1" l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D6023" i="1"/>
  <c r="D6024" i="1"/>
  <c r="E6023" i="1"/>
  <c r="E6024" i="1"/>
  <c r="F6023" i="1"/>
  <c r="F6024" i="1"/>
  <c r="D6022" i="1"/>
  <c r="E6022" i="1"/>
  <c r="F6022" i="1"/>
  <c r="D6021" i="1"/>
  <c r="E6021" i="1"/>
  <c r="F6021" i="1"/>
  <c r="D6020" i="1"/>
  <c r="E6020" i="1"/>
  <c r="F6020" i="1"/>
  <c r="D6019" i="1"/>
  <c r="E6019" i="1"/>
  <c r="F6019" i="1"/>
  <c r="D6018" i="1"/>
  <c r="E6018" i="1"/>
  <c r="F6018" i="1"/>
  <c r="D6017" i="1"/>
  <c r="E6017" i="1"/>
  <c r="F6017" i="1"/>
  <c r="D6013" i="1"/>
  <c r="D6014" i="1"/>
  <c r="D6015" i="1"/>
  <c r="D6016" i="1"/>
  <c r="E6013" i="1"/>
  <c r="E6014" i="1"/>
  <c r="E6015" i="1"/>
  <c r="E6016" i="1"/>
  <c r="F6013" i="1"/>
  <c r="F6014" i="1"/>
  <c r="F6015" i="1"/>
  <c r="F6016" i="1"/>
  <c r="E560" i="3"/>
  <c r="E559" i="3"/>
  <c r="K5919" i="1"/>
  <c r="K5920" i="1"/>
  <c r="D5919" i="1"/>
  <c r="E5919" i="1"/>
  <c r="F5919" i="1"/>
  <c r="D5920" i="1"/>
  <c r="E5920" i="1"/>
  <c r="F5920" i="1"/>
  <c r="D6012" i="1" l="1"/>
  <c r="E6012" i="1"/>
  <c r="F6012" i="1"/>
  <c r="K6005" i="1"/>
  <c r="K6006" i="1"/>
  <c r="K6007" i="1"/>
  <c r="K6008" i="1"/>
  <c r="K6009" i="1"/>
  <c r="K6010" i="1"/>
  <c r="K6011" i="1"/>
  <c r="D6005" i="1"/>
  <c r="D6006" i="1"/>
  <c r="D6007" i="1"/>
  <c r="D6008" i="1"/>
  <c r="D6009" i="1"/>
  <c r="D6010" i="1"/>
  <c r="D6011" i="1"/>
  <c r="E6005" i="1"/>
  <c r="E6006" i="1"/>
  <c r="E6007" i="1"/>
  <c r="E6008" i="1"/>
  <c r="E6009" i="1"/>
  <c r="E6010" i="1"/>
  <c r="E6011" i="1"/>
  <c r="F6005" i="1"/>
  <c r="F6006" i="1"/>
  <c r="F6007" i="1"/>
  <c r="F6008" i="1"/>
  <c r="F6009" i="1"/>
  <c r="F6010" i="1"/>
  <c r="F6011" i="1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K6000" i="1"/>
  <c r="K6001" i="1"/>
  <c r="K6002" i="1"/>
  <c r="K6003" i="1"/>
  <c r="K6004" i="1"/>
  <c r="D6003" i="1"/>
  <c r="D6004" i="1"/>
  <c r="E6003" i="1"/>
  <c r="E6004" i="1"/>
  <c r="F6003" i="1"/>
  <c r="F6004" i="1"/>
  <c r="D6002" i="1"/>
  <c r="E6002" i="1"/>
  <c r="F6002" i="1"/>
  <c r="D6000" i="1"/>
  <c r="D6001" i="1"/>
  <c r="E6000" i="1"/>
  <c r="E6001" i="1"/>
  <c r="F6000" i="1"/>
  <c r="F6001" i="1"/>
  <c r="K5991" i="1"/>
  <c r="K5992" i="1"/>
  <c r="K5993" i="1"/>
  <c r="K5994" i="1"/>
  <c r="K5995" i="1"/>
  <c r="K5996" i="1"/>
  <c r="K5997" i="1"/>
  <c r="K5998" i="1"/>
  <c r="K5999" i="1"/>
  <c r="D5998" i="1"/>
  <c r="D5999" i="1"/>
  <c r="E5998" i="1"/>
  <c r="E5999" i="1"/>
  <c r="F5998" i="1"/>
  <c r="F5999" i="1"/>
  <c r="D5996" i="1"/>
  <c r="D5997" i="1"/>
  <c r="E5996" i="1"/>
  <c r="E5997" i="1"/>
  <c r="F5996" i="1"/>
  <c r="F5997" i="1"/>
  <c r="D5995" i="1"/>
  <c r="E5995" i="1"/>
  <c r="F5995" i="1"/>
  <c r="D5993" i="1"/>
  <c r="D5994" i="1"/>
  <c r="E5993" i="1"/>
  <c r="E5994" i="1"/>
  <c r="F5993" i="1"/>
  <c r="F5994" i="1"/>
  <c r="D5992" i="1"/>
  <c r="E5992" i="1"/>
  <c r="F5992" i="1"/>
  <c r="D5991" i="1"/>
  <c r="E5991" i="1"/>
  <c r="F5991" i="1"/>
  <c r="K5980" i="1" l="1"/>
  <c r="K5981" i="1"/>
  <c r="K5982" i="1"/>
  <c r="K5983" i="1"/>
  <c r="K5984" i="1"/>
  <c r="K5985" i="1"/>
  <c r="K5986" i="1"/>
  <c r="K5987" i="1"/>
  <c r="K5988" i="1"/>
  <c r="K5989" i="1"/>
  <c r="K5990" i="1"/>
  <c r="D5989" i="1"/>
  <c r="D5990" i="1"/>
  <c r="E5989" i="1"/>
  <c r="E5990" i="1"/>
  <c r="F5989" i="1"/>
  <c r="F5990" i="1"/>
  <c r="D5988" i="1"/>
  <c r="E5988" i="1"/>
  <c r="F5988" i="1"/>
  <c r="D5985" i="1"/>
  <c r="D5986" i="1"/>
  <c r="D5987" i="1"/>
  <c r="E5985" i="1"/>
  <c r="E5986" i="1"/>
  <c r="E5987" i="1"/>
  <c r="F5985" i="1"/>
  <c r="F5986" i="1"/>
  <c r="F5987" i="1"/>
  <c r="D5984" i="1"/>
  <c r="E5984" i="1"/>
  <c r="F5984" i="1"/>
  <c r="D5980" i="1"/>
  <c r="D5981" i="1"/>
  <c r="D5982" i="1"/>
  <c r="D5983" i="1"/>
  <c r="E5980" i="1"/>
  <c r="E5981" i="1"/>
  <c r="E5982" i="1"/>
  <c r="E5983" i="1"/>
  <c r="F5980" i="1"/>
  <c r="F5981" i="1"/>
  <c r="F5982" i="1"/>
  <c r="F5983" i="1"/>
  <c r="K5975" i="1"/>
  <c r="K5976" i="1"/>
  <c r="K5977" i="1"/>
  <c r="K5978" i="1"/>
  <c r="K5979" i="1"/>
  <c r="D5975" i="1"/>
  <c r="D5976" i="1"/>
  <c r="D5977" i="1"/>
  <c r="D5978" i="1"/>
  <c r="D5979" i="1"/>
  <c r="E5975" i="1"/>
  <c r="E5976" i="1"/>
  <c r="E5977" i="1"/>
  <c r="E5978" i="1"/>
  <c r="E5979" i="1"/>
  <c r="F5975" i="1"/>
  <c r="F5976" i="1"/>
  <c r="F5977" i="1"/>
  <c r="F5978" i="1"/>
  <c r="F5979" i="1"/>
  <c r="K5965" i="1" l="1"/>
  <c r="K5966" i="1"/>
  <c r="K5967" i="1"/>
  <c r="K5968" i="1"/>
  <c r="K5969" i="1"/>
  <c r="K5970" i="1"/>
  <c r="K5971" i="1"/>
  <c r="K5972" i="1"/>
  <c r="K5973" i="1"/>
  <c r="K5974" i="1"/>
  <c r="D5974" i="1"/>
  <c r="E5974" i="1"/>
  <c r="F5974" i="1"/>
  <c r="D5973" i="1"/>
  <c r="E5973" i="1"/>
  <c r="F5973" i="1"/>
  <c r="D5972" i="1"/>
  <c r="E5972" i="1"/>
  <c r="F5972" i="1"/>
  <c r="D5971" i="1"/>
  <c r="E5971" i="1"/>
  <c r="F5971" i="1"/>
  <c r="D5970" i="1"/>
  <c r="E5970" i="1"/>
  <c r="F5970" i="1"/>
  <c r="D5969" i="1"/>
  <c r="E5969" i="1"/>
  <c r="F5969" i="1"/>
  <c r="D5968" i="1"/>
  <c r="E5968" i="1"/>
  <c r="F5968" i="1"/>
  <c r="D5967" i="1"/>
  <c r="E5967" i="1"/>
  <c r="F5967" i="1"/>
  <c r="D5966" i="1"/>
  <c r="E5966" i="1"/>
  <c r="F5966" i="1"/>
  <c r="D5965" i="1"/>
  <c r="E5965" i="1"/>
  <c r="F5965" i="1"/>
  <c r="E542" i="3"/>
  <c r="E543" i="3"/>
  <c r="E541" i="3"/>
  <c r="K5958" i="1"/>
  <c r="K5959" i="1"/>
  <c r="K5960" i="1"/>
  <c r="K5961" i="1"/>
  <c r="K5962" i="1"/>
  <c r="K5963" i="1"/>
  <c r="K5964" i="1"/>
  <c r="D5959" i="1"/>
  <c r="D5960" i="1"/>
  <c r="D5961" i="1"/>
  <c r="D5962" i="1"/>
  <c r="D5963" i="1"/>
  <c r="D5964" i="1"/>
  <c r="E5959" i="1"/>
  <c r="E5960" i="1"/>
  <c r="E5961" i="1"/>
  <c r="E5962" i="1"/>
  <c r="E5963" i="1"/>
  <c r="E5964" i="1"/>
  <c r="F5959" i="1"/>
  <c r="F5960" i="1"/>
  <c r="F5961" i="1"/>
  <c r="F5962" i="1"/>
  <c r="F5963" i="1"/>
  <c r="F5964" i="1"/>
  <c r="D5958" i="1"/>
  <c r="E5958" i="1"/>
  <c r="F5958" i="1"/>
  <c r="E540" i="3"/>
  <c r="E539" i="3"/>
  <c r="K5918" i="1"/>
  <c r="D5918" i="1"/>
  <c r="E5918" i="1"/>
  <c r="F5918" i="1"/>
  <c r="D5956" i="1" l="1"/>
  <c r="E5956" i="1"/>
  <c r="F5956" i="1"/>
  <c r="D5957" i="1"/>
  <c r="E5957" i="1"/>
  <c r="F5957" i="1"/>
  <c r="F5955" i="1"/>
  <c r="E5955" i="1"/>
  <c r="D5955" i="1"/>
  <c r="F5954" i="1"/>
  <c r="E5954" i="1"/>
  <c r="D5954" i="1"/>
  <c r="D5952" i="1"/>
  <c r="E5952" i="1"/>
  <c r="F5952" i="1"/>
  <c r="D5953" i="1"/>
  <c r="E5953" i="1"/>
  <c r="F5953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D5951" i="1"/>
  <c r="E5951" i="1"/>
  <c r="F5951" i="1"/>
  <c r="D5950" i="1"/>
  <c r="E5950" i="1"/>
  <c r="F5950" i="1"/>
  <c r="D5947" i="1"/>
  <c r="D5948" i="1"/>
  <c r="D5949" i="1"/>
  <c r="E5947" i="1"/>
  <c r="E5948" i="1"/>
  <c r="E5949" i="1"/>
  <c r="F5947" i="1"/>
  <c r="F5948" i="1"/>
  <c r="F5949" i="1"/>
  <c r="D5945" i="1"/>
  <c r="D5946" i="1"/>
  <c r="E5945" i="1"/>
  <c r="E5946" i="1"/>
  <c r="F5945" i="1"/>
  <c r="F5946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D5928" i="1"/>
  <c r="E5928" i="1"/>
  <c r="F5928" i="1"/>
  <c r="K5927" i="1"/>
  <c r="K5921" i="1"/>
  <c r="K5922" i="1"/>
  <c r="K5923" i="1"/>
  <c r="K5924" i="1"/>
  <c r="K5925" i="1"/>
  <c r="K5926" i="1"/>
  <c r="D5926" i="1"/>
  <c r="D5927" i="1"/>
  <c r="E5926" i="1"/>
  <c r="E5927" i="1"/>
  <c r="F5926" i="1"/>
  <c r="F5927" i="1"/>
  <c r="D5924" i="1"/>
  <c r="D5925" i="1"/>
  <c r="E5924" i="1"/>
  <c r="E5925" i="1"/>
  <c r="F5924" i="1"/>
  <c r="F5925" i="1"/>
  <c r="D5921" i="1"/>
  <c r="D5922" i="1"/>
  <c r="D5923" i="1"/>
  <c r="E5921" i="1"/>
  <c r="E5922" i="1"/>
  <c r="E5923" i="1"/>
  <c r="F5921" i="1"/>
  <c r="F5922" i="1"/>
  <c r="F5923" i="1"/>
  <c r="K5917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D5917" i="1"/>
  <c r="E5917" i="1"/>
  <c r="F5917" i="1"/>
  <c r="D5916" i="1"/>
  <c r="E5916" i="1"/>
  <c r="F5916" i="1"/>
  <c r="D5915" i="1"/>
  <c r="E5915" i="1"/>
  <c r="F5915" i="1"/>
  <c r="D5913" i="1"/>
  <c r="D5914" i="1"/>
  <c r="E5913" i="1"/>
  <c r="E5914" i="1"/>
  <c r="F5913" i="1"/>
  <c r="F5914" i="1"/>
  <c r="D5911" i="1"/>
  <c r="D5912" i="1"/>
  <c r="E5911" i="1"/>
  <c r="E5912" i="1"/>
  <c r="F5911" i="1"/>
  <c r="F5912" i="1"/>
  <c r="D5907" i="1"/>
  <c r="D5908" i="1"/>
  <c r="D5909" i="1"/>
  <c r="D5910" i="1"/>
  <c r="E5907" i="1"/>
  <c r="E5908" i="1"/>
  <c r="E5909" i="1"/>
  <c r="E5910" i="1"/>
  <c r="F5907" i="1"/>
  <c r="F5908" i="1"/>
  <c r="F5909" i="1"/>
  <c r="F5910" i="1"/>
  <c r="D5905" i="1"/>
  <c r="D5906" i="1"/>
  <c r="E5905" i="1"/>
  <c r="E5906" i="1"/>
  <c r="F5905" i="1"/>
  <c r="F5906" i="1"/>
  <c r="D5904" i="1"/>
  <c r="E5904" i="1"/>
  <c r="F5904" i="1"/>
  <c r="D5893" i="1"/>
  <c r="D5894" i="1"/>
  <c r="D5895" i="1"/>
  <c r="D5896" i="1"/>
  <c r="D5897" i="1"/>
  <c r="D5898" i="1"/>
  <c r="D5899" i="1"/>
  <c r="D5900" i="1"/>
  <c r="D5901" i="1"/>
  <c r="D5902" i="1"/>
  <c r="D5903" i="1"/>
  <c r="E5893" i="1"/>
  <c r="E5894" i="1"/>
  <c r="E5895" i="1"/>
  <c r="E5896" i="1"/>
  <c r="E5897" i="1"/>
  <c r="E5898" i="1"/>
  <c r="E5899" i="1"/>
  <c r="E5900" i="1"/>
  <c r="E5901" i="1"/>
  <c r="E5902" i="1"/>
  <c r="E5903" i="1"/>
  <c r="F5893" i="1"/>
  <c r="F5894" i="1"/>
  <c r="F5895" i="1"/>
  <c r="F5896" i="1"/>
  <c r="F5897" i="1"/>
  <c r="F5898" i="1"/>
  <c r="F5899" i="1"/>
  <c r="F5900" i="1"/>
  <c r="F5901" i="1"/>
  <c r="F5902" i="1"/>
  <c r="F5903" i="1"/>
  <c r="D5892" i="1"/>
  <c r="E5892" i="1"/>
  <c r="F5892" i="1"/>
  <c r="E535" i="3" l="1"/>
  <c r="K5891" i="1"/>
  <c r="D5891" i="1"/>
  <c r="E5891" i="1"/>
  <c r="F5891" i="1"/>
  <c r="K5889" i="1"/>
  <c r="K5890" i="1"/>
  <c r="D5889" i="1"/>
  <c r="D5890" i="1"/>
  <c r="E5889" i="1"/>
  <c r="E5890" i="1"/>
  <c r="F5889" i="1"/>
  <c r="F5890" i="1"/>
  <c r="K5881" i="1"/>
  <c r="K5882" i="1"/>
  <c r="K5883" i="1"/>
  <c r="K5884" i="1"/>
  <c r="K5885" i="1"/>
  <c r="K5886" i="1"/>
  <c r="K5887" i="1"/>
  <c r="K5888" i="1"/>
  <c r="D5882" i="1"/>
  <c r="D5883" i="1"/>
  <c r="D5884" i="1"/>
  <c r="D5885" i="1"/>
  <c r="D5886" i="1"/>
  <c r="D5887" i="1"/>
  <c r="D5888" i="1"/>
  <c r="E5882" i="1"/>
  <c r="E5883" i="1"/>
  <c r="E5884" i="1"/>
  <c r="E5885" i="1"/>
  <c r="E5886" i="1"/>
  <c r="E5887" i="1"/>
  <c r="E5888" i="1"/>
  <c r="F5882" i="1"/>
  <c r="F5883" i="1"/>
  <c r="F5884" i="1"/>
  <c r="F5885" i="1"/>
  <c r="F5886" i="1"/>
  <c r="F5887" i="1"/>
  <c r="F5888" i="1"/>
  <c r="D5881" i="1"/>
  <c r="E5881" i="1"/>
  <c r="F5881" i="1"/>
  <c r="K5880" i="1" l="1"/>
  <c r="K5879" i="1"/>
  <c r="K5878" i="1"/>
  <c r="K5877" i="1"/>
  <c r="K5876" i="1"/>
  <c r="K5875" i="1"/>
  <c r="K5874" i="1"/>
  <c r="D5874" i="1"/>
  <c r="D5875" i="1"/>
  <c r="D5876" i="1"/>
  <c r="D5877" i="1"/>
  <c r="D5878" i="1"/>
  <c r="D5879" i="1"/>
  <c r="D5880" i="1"/>
  <c r="E5874" i="1"/>
  <c r="E5875" i="1"/>
  <c r="E5876" i="1"/>
  <c r="E5877" i="1"/>
  <c r="E5878" i="1"/>
  <c r="E5879" i="1"/>
  <c r="E5880" i="1"/>
  <c r="F5874" i="1"/>
  <c r="F5875" i="1"/>
  <c r="F5876" i="1"/>
  <c r="F5877" i="1"/>
  <c r="F5878" i="1"/>
  <c r="F5879" i="1"/>
  <c r="F5880" i="1"/>
  <c r="H5880" i="1"/>
  <c r="H5879" i="1"/>
  <c r="K5873" i="1"/>
  <c r="D5873" i="1"/>
  <c r="E5873" i="1"/>
  <c r="F5873" i="1"/>
  <c r="E537" i="3"/>
  <c r="E538" i="3"/>
  <c r="E536" i="3"/>
  <c r="E532" i="3"/>
  <c r="E533" i="3"/>
  <c r="E534" i="3"/>
  <c r="K5862" i="1"/>
  <c r="K5863" i="1"/>
  <c r="K5864" i="1"/>
  <c r="K5865" i="1"/>
  <c r="K5866" i="1"/>
  <c r="K5867" i="1"/>
  <c r="K5868" i="1"/>
  <c r="K5869" i="1"/>
  <c r="K5870" i="1"/>
  <c r="K5871" i="1"/>
  <c r="K5872" i="1"/>
  <c r="D5870" i="1"/>
  <c r="D5871" i="1"/>
  <c r="D5872" i="1"/>
  <c r="E5870" i="1"/>
  <c r="E5871" i="1"/>
  <c r="E5872" i="1"/>
  <c r="F5870" i="1"/>
  <c r="F5871" i="1"/>
  <c r="F5872" i="1"/>
  <c r="D5866" i="1"/>
  <c r="D5867" i="1"/>
  <c r="D5868" i="1"/>
  <c r="D5869" i="1"/>
  <c r="E5866" i="1"/>
  <c r="E5867" i="1"/>
  <c r="E5868" i="1"/>
  <c r="E5869" i="1"/>
  <c r="F5866" i="1"/>
  <c r="F5867" i="1"/>
  <c r="F5868" i="1"/>
  <c r="F5869" i="1"/>
  <c r="D5865" i="1"/>
  <c r="E5865" i="1"/>
  <c r="F5865" i="1"/>
  <c r="D5863" i="1"/>
  <c r="D5864" i="1"/>
  <c r="E5863" i="1"/>
  <c r="E5864" i="1"/>
  <c r="F5863" i="1"/>
  <c r="F5864" i="1"/>
  <c r="D5862" i="1"/>
  <c r="E5862" i="1"/>
  <c r="F5862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D5853" i="1"/>
  <c r="D5854" i="1"/>
  <c r="D5855" i="1"/>
  <c r="D5856" i="1"/>
  <c r="D5857" i="1"/>
  <c r="D5858" i="1"/>
  <c r="D5859" i="1"/>
  <c r="D5860" i="1"/>
  <c r="D5861" i="1"/>
  <c r="E5853" i="1"/>
  <c r="E5854" i="1"/>
  <c r="E5855" i="1"/>
  <c r="E5856" i="1"/>
  <c r="E5857" i="1"/>
  <c r="E5858" i="1"/>
  <c r="E5859" i="1"/>
  <c r="E5860" i="1"/>
  <c r="E5861" i="1"/>
  <c r="F5853" i="1"/>
  <c r="F5854" i="1"/>
  <c r="F5855" i="1"/>
  <c r="F5856" i="1"/>
  <c r="F5857" i="1"/>
  <c r="F5858" i="1"/>
  <c r="F5859" i="1"/>
  <c r="F5860" i="1"/>
  <c r="F5861" i="1"/>
  <c r="D5849" i="1"/>
  <c r="D5850" i="1"/>
  <c r="D5851" i="1"/>
  <c r="D5852" i="1"/>
  <c r="E5849" i="1"/>
  <c r="E5850" i="1"/>
  <c r="E5851" i="1"/>
  <c r="E5852" i="1"/>
  <c r="F5849" i="1"/>
  <c r="F5850" i="1"/>
  <c r="F5851" i="1"/>
  <c r="F5852" i="1"/>
  <c r="D5848" i="1"/>
  <c r="E5848" i="1"/>
  <c r="F5848" i="1"/>
  <c r="D5839" i="1"/>
  <c r="D5840" i="1"/>
  <c r="D5841" i="1"/>
  <c r="D5842" i="1"/>
  <c r="D5843" i="1"/>
  <c r="D5844" i="1"/>
  <c r="D5845" i="1"/>
  <c r="D5846" i="1"/>
  <c r="D5847" i="1"/>
  <c r="E5839" i="1"/>
  <c r="E5840" i="1"/>
  <c r="E5841" i="1"/>
  <c r="E5842" i="1"/>
  <c r="E5843" i="1"/>
  <c r="E5844" i="1"/>
  <c r="E5845" i="1"/>
  <c r="E5846" i="1"/>
  <c r="E5847" i="1"/>
  <c r="F5839" i="1"/>
  <c r="F5840" i="1"/>
  <c r="F5841" i="1"/>
  <c r="F5842" i="1"/>
  <c r="F5843" i="1"/>
  <c r="F5844" i="1"/>
  <c r="F5845" i="1"/>
  <c r="F5846" i="1"/>
  <c r="F5847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D5838" i="1"/>
  <c r="E5838" i="1"/>
  <c r="F5838" i="1"/>
  <c r="D5836" i="1"/>
  <c r="D5837" i="1"/>
  <c r="E5836" i="1"/>
  <c r="E5837" i="1"/>
  <c r="F5836" i="1"/>
  <c r="F5837" i="1"/>
  <c r="D5834" i="1"/>
  <c r="D5835" i="1"/>
  <c r="E5834" i="1"/>
  <c r="E5835" i="1"/>
  <c r="F5834" i="1"/>
  <c r="F5835" i="1"/>
  <c r="D5833" i="1"/>
  <c r="E5833" i="1"/>
  <c r="F5833" i="1"/>
  <c r="D5832" i="1"/>
  <c r="E5832" i="1"/>
  <c r="F5832" i="1"/>
  <c r="D5831" i="1"/>
  <c r="E5831" i="1"/>
  <c r="F5831" i="1"/>
  <c r="D5830" i="1"/>
  <c r="E5830" i="1"/>
  <c r="F5830" i="1"/>
  <c r="D5829" i="1"/>
  <c r="E5829" i="1"/>
  <c r="F5829" i="1"/>
  <c r="D5828" i="1"/>
  <c r="E5828" i="1"/>
  <c r="F5828" i="1"/>
  <c r="D5827" i="1"/>
  <c r="E5827" i="1"/>
  <c r="F5827" i="1"/>
  <c r="D5826" i="1"/>
  <c r="E5826" i="1"/>
  <c r="F5826" i="1"/>
  <c r="E531" i="3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4132" i="1" l="1"/>
  <c r="F4132" i="1"/>
  <c r="E4132" i="1"/>
  <c r="D4132" i="1"/>
  <c r="K3998" i="1"/>
  <c r="F3998" i="1"/>
  <c r="E3998" i="1"/>
  <c r="D3998" i="1"/>
  <c r="E525" i="3"/>
  <c r="E520" i="3"/>
  <c r="E521" i="3"/>
  <c r="E522" i="3"/>
  <c r="E523" i="3"/>
  <c r="E524" i="3"/>
  <c r="E526" i="3"/>
  <c r="K5802" i="1"/>
  <c r="K5803" i="1"/>
  <c r="K5804" i="1"/>
  <c r="K5805" i="1"/>
  <c r="K5806" i="1"/>
  <c r="K5807" i="1"/>
  <c r="K5808" i="1"/>
  <c r="K5809" i="1"/>
  <c r="K5810" i="1"/>
  <c r="D5803" i="1"/>
  <c r="E5803" i="1"/>
  <c r="F5803" i="1"/>
  <c r="D5804" i="1"/>
  <c r="E5804" i="1"/>
  <c r="F5804" i="1"/>
  <c r="D5805" i="1"/>
  <c r="E5805" i="1"/>
  <c r="F5805" i="1"/>
  <c r="D5806" i="1"/>
  <c r="E5806" i="1"/>
  <c r="F5806" i="1"/>
  <c r="D5807" i="1"/>
  <c r="E5807" i="1"/>
  <c r="F5807" i="1"/>
  <c r="D5808" i="1"/>
  <c r="E5808" i="1"/>
  <c r="F5808" i="1"/>
  <c r="D5809" i="1"/>
  <c r="E5809" i="1"/>
  <c r="F5809" i="1"/>
  <c r="D5810" i="1"/>
  <c r="E5810" i="1"/>
  <c r="F5810" i="1"/>
  <c r="D5802" i="1"/>
  <c r="E5802" i="1"/>
  <c r="F5802" i="1"/>
  <c r="E527" i="3"/>
  <c r="E528" i="3"/>
  <c r="E529" i="3"/>
  <c r="E530" i="3"/>
  <c r="S15" i="10" l="1"/>
  <c r="S16" i="10"/>
  <c r="Q16" i="10"/>
  <c r="K5811" i="1"/>
  <c r="D5801" i="1"/>
  <c r="E5801" i="1"/>
  <c r="F5801" i="1"/>
  <c r="D5797" i="1" l="1"/>
  <c r="E5797" i="1"/>
  <c r="F5797" i="1"/>
  <c r="D5798" i="1"/>
  <c r="E5798" i="1"/>
  <c r="F5798" i="1"/>
  <c r="D5799" i="1"/>
  <c r="E5799" i="1"/>
  <c r="F5799" i="1"/>
  <c r="D5800" i="1"/>
  <c r="E5800" i="1"/>
  <c r="F5800" i="1"/>
  <c r="K5818" i="1"/>
  <c r="K5819" i="1"/>
  <c r="K5820" i="1"/>
  <c r="K5821" i="1"/>
  <c r="K5822" i="1"/>
  <c r="K5823" i="1"/>
  <c r="K5824" i="1"/>
  <c r="D5824" i="1"/>
  <c r="D5825" i="1"/>
  <c r="E5824" i="1"/>
  <c r="E5825" i="1"/>
  <c r="F5824" i="1"/>
  <c r="F5825" i="1"/>
  <c r="K5812" i="1"/>
  <c r="K5813" i="1"/>
  <c r="K5814" i="1"/>
  <c r="K5815" i="1"/>
  <c r="K5816" i="1"/>
  <c r="K5817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D5811" i="1"/>
  <c r="E5811" i="1"/>
  <c r="F5811" i="1"/>
  <c r="D5796" i="1"/>
  <c r="E5796" i="1"/>
  <c r="F5796" i="1"/>
  <c r="D5785" i="1"/>
  <c r="D5786" i="1"/>
  <c r="D5787" i="1"/>
  <c r="D5788" i="1"/>
  <c r="D5789" i="1"/>
  <c r="D5790" i="1"/>
  <c r="D5791" i="1"/>
  <c r="D5792" i="1"/>
  <c r="D5793" i="1"/>
  <c r="D5794" i="1"/>
  <c r="D5795" i="1"/>
  <c r="E5785" i="1"/>
  <c r="E5786" i="1"/>
  <c r="E5787" i="1"/>
  <c r="E5788" i="1"/>
  <c r="E5789" i="1"/>
  <c r="E5790" i="1"/>
  <c r="E5791" i="1"/>
  <c r="E5792" i="1"/>
  <c r="E5793" i="1"/>
  <c r="E5794" i="1"/>
  <c r="E5795" i="1"/>
  <c r="F5785" i="1"/>
  <c r="F5786" i="1"/>
  <c r="F5787" i="1"/>
  <c r="F5788" i="1"/>
  <c r="F5789" i="1"/>
  <c r="F5790" i="1"/>
  <c r="F5791" i="1"/>
  <c r="F5792" i="1"/>
  <c r="F5793" i="1"/>
  <c r="F5794" i="1"/>
  <c r="F5795" i="1"/>
  <c r="D5779" i="1" l="1"/>
  <c r="D5780" i="1"/>
  <c r="D5781" i="1"/>
  <c r="D5782" i="1"/>
  <c r="D5783" i="1"/>
  <c r="D5784" i="1"/>
  <c r="E5779" i="1"/>
  <c r="E5780" i="1"/>
  <c r="E5781" i="1"/>
  <c r="E5782" i="1"/>
  <c r="E5783" i="1"/>
  <c r="E5784" i="1"/>
  <c r="F5779" i="1"/>
  <c r="F5780" i="1"/>
  <c r="F5781" i="1"/>
  <c r="F5782" i="1"/>
  <c r="F5783" i="1"/>
  <c r="F5784" i="1"/>
  <c r="D5768" i="1"/>
  <c r="D5769" i="1"/>
  <c r="D5770" i="1"/>
  <c r="D5771" i="1"/>
  <c r="D5772" i="1"/>
  <c r="D5773" i="1"/>
  <c r="D5774" i="1"/>
  <c r="D5775" i="1"/>
  <c r="D5776" i="1"/>
  <c r="D5777" i="1"/>
  <c r="D5778" i="1"/>
  <c r="E5768" i="1"/>
  <c r="E5769" i="1"/>
  <c r="E5770" i="1"/>
  <c r="E5771" i="1"/>
  <c r="E5772" i="1"/>
  <c r="E5773" i="1"/>
  <c r="E5774" i="1"/>
  <c r="E5775" i="1"/>
  <c r="E5776" i="1"/>
  <c r="E5777" i="1"/>
  <c r="E5778" i="1"/>
  <c r="F5768" i="1"/>
  <c r="F5769" i="1"/>
  <c r="F5770" i="1"/>
  <c r="F5771" i="1"/>
  <c r="F5772" i="1"/>
  <c r="F5773" i="1"/>
  <c r="F5774" i="1"/>
  <c r="F5775" i="1"/>
  <c r="F5776" i="1"/>
  <c r="F5777" i="1"/>
  <c r="F5778" i="1"/>
  <c r="D5764" i="1"/>
  <c r="D5765" i="1"/>
  <c r="D5766" i="1"/>
  <c r="D5767" i="1"/>
  <c r="E5764" i="1"/>
  <c r="E5765" i="1"/>
  <c r="E5766" i="1"/>
  <c r="E5767" i="1"/>
  <c r="F5764" i="1"/>
  <c r="F5765" i="1"/>
  <c r="F5766" i="1"/>
  <c r="F5767" i="1"/>
  <c r="D5763" i="1"/>
  <c r="E5763" i="1"/>
  <c r="F5763" i="1"/>
  <c r="D5755" i="1"/>
  <c r="D5756" i="1"/>
  <c r="D5757" i="1"/>
  <c r="D5758" i="1"/>
  <c r="D5759" i="1"/>
  <c r="D5760" i="1"/>
  <c r="D5761" i="1"/>
  <c r="D5762" i="1"/>
  <c r="E5755" i="1"/>
  <c r="E5756" i="1"/>
  <c r="E5757" i="1"/>
  <c r="E5758" i="1"/>
  <c r="E5759" i="1"/>
  <c r="E5760" i="1"/>
  <c r="E5761" i="1"/>
  <c r="E5762" i="1"/>
  <c r="F5755" i="1"/>
  <c r="F5756" i="1"/>
  <c r="F5757" i="1"/>
  <c r="F5758" i="1"/>
  <c r="F5759" i="1"/>
  <c r="F5760" i="1"/>
  <c r="F5761" i="1"/>
  <c r="F5762" i="1"/>
  <c r="D5754" i="1"/>
  <c r="E5754" i="1"/>
  <c r="F5754" i="1"/>
  <c r="F5753" i="1"/>
  <c r="E5753" i="1"/>
  <c r="D5753" i="1"/>
  <c r="F5752" i="1"/>
  <c r="E5752" i="1"/>
  <c r="D5752" i="1"/>
  <c r="F5751" i="1"/>
  <c r="E5751" i="1"/>
  <c r="D5751" i="1"/>
  <c r="F5750" i="1"/>
  <c r="E5750" i="1"/>
  <c r="D5750" i="1"/>
  <c r="F5749" i="1"/>
  <c r="E5749" i="1"/>
  <c r="D5749" i="1"/>
  <c r="F5748" i="1"/>
  <c r="E5748" i="1"/>
  <c r="D5748" i="1"/>
  <c r="F5747" i="1"/>
  <c r="E5747" i="1"/>
  <c r="D5747" i="1"/>
  <c r="F5746" i="1"/>
  <c r="E5746" i="1"/>
  <c r="D5746" i="1"/>
  <c r="F5745" i="1"/>
  <c r="E5745" i="1"/>
  <c r="D5745" i="1"/>
  <c r="F5744" i="1"/>
  <c r="E5744" i="1"/>
  <c r="D5744" i="1"/>
  <c r="F5743" i="1"/>
  <c r="E5743" i="1"/>
  <c r="D5743" i="1"/>
  <c r="F5742" i="1"/>
  <c r="E5742" i="1"/>
  <c r="D5742" i="1"/>
  <c r="F5741" i="1"/>
  <c r="E5741" i="1"/>
  <c r="D5741" i="1"/>
  <c r="F5740" i="1"/>
  <c r="E5740" i="1"/>
  <c r="D5740" i="1"/>
  <c r="F5739" i="1"/>
  <c r="E5739" i="1"/>
  <c r="D5739" i="1"/>
  <c r="F5738" i="1"/>
  <c r="E5738" i="1"/>
  <c r="D5738" i="1"/>
  <c r="F5737" i="1"/>
  <c r="E5737" i="1"/>
  <c r="D5737" i="1"/>
  <c r="F5736" i="1"/>
  <c r="E5736" i="1"/>
  <c r="D5736" i="1"/>
  <c r="F5735" i="1"/>
  <c r="E5735" i="1"/>
  <c r="D5735" i="1"/>
  <c r="F5734" i="1"/>
  <c r="E5734" i="1"/>
  <c r="D5734" i="1"/>
  <c r="F5733" i="1"/>
  <c r="E5733" i="1"/>
  <c r="D5733" i="1"/>
  <c r="F5732" i="1"/>
  <c r="E5732" i="1"/>
  <c r="D5732" i="1"/>
  <c r="F5731" i="1"/>
  <c r="E5731" i="1"/>
  <c r="D5731" i="1"/>
  <c r="F5730" i="1"/>
  <c r="E5730" i="1"/>
  <c r="D5730" i="1"/>
  <c r="F5729" i="1"/>
  <c r="E5729" i="1"/>
  <c r="D5729" i="1"/>
  <c r="F5728" i="1"/>
  <c r="E5728" i="1"/>
  <c r="D5728" i="1"/>
  <c r="F5727" i="1"/>
  <c r="E5727" i="1"/>
  <c r="D5727" i="1"/>
  <c r="F5726" i="1"/>
  <c r="E5726" i="1"/>
  <c r="D5726" i="1"/>
  <c r="K5725" i="1"/>
  <c r="F5725" i="1"/>
  <c r="E5725" i="1"/>
  <c r="D5725" i="1"/>
  <c r="K5724" i="1"/>
  <c r="F5724" i="1"/>
  <c r="E5724" i="1"/>
  <c r="D5724" i="1"/>
  <c r="K5723" i="1"/>
  <c r="F5723" i="1"/>
  <c r="E5723" i="1"/>
  <c r="D5723" i="1"/>
  <c r="K5722" i="1"/>
  <c r="F5722" i="1"/>
  <c r="E5722" i="1"/>
  <c r="D5722" i="1"/>
  <c r="K5721" i="1"/>
  <c r="F5721" i="1"/>
  <c r="E5721" i="1"/>
  <c r="D5721" i="1"/>
  <c r="K5720" i="1"/>
  <c r="F5720" i="1"/>
  <c r="E5720" i="1"/>
  <c r="D5720" i="1"/>
  <c r="K5719" i="1"/>
  <c r="F5719" i="1"/>
  <c r="E5719" i="1"/>
  <c r="D5719" i="1"/>
  <c r="K5718" i="1"/>
  <c r="F5718" i="1"/>
  <c r="E5718" i="1"/>
  <c r="D5718" i="1"/>
  <c r="K5717" i="1"/>
  <c r="F5717" i="1"/>
  <c r="E5717" i="1"/>
  <c r="D5717" i="1"/>
  <c r="K5716" i="1"/>
  <c r="F5716" i="1"/>
  <c r="E5716" i="1"/>
  <c r="D5716" i="1"/>
  <c r="K5715" i="1"/>
  <c r="F5715" i="1"/>
  <c r="E5715" i="1"/>
  <c r="D5715" i="1"/>
  <c r="K5714" i="1"/>
  <c r="F5714" i="1"/>
  <c r="E5714" i="1"/>
  <c r="D5714" i="1"/>
  <c r="K5713" i="1"/>
  <c r="F5713" i="1"/>
  <c r="E5713" i="1"/>
  <c r="D5713" i="1"/>
  <c r="K5712" i="1"/>
  <c r="F5712" i="1"/>
  <c r="E5712" i="1"/>
  <c r="D5712" i="1"/>
  <c r="K5711" i="1"/>
  <c r="F5711" i="1"/>
  <c r="E5711" i="1"/>
  <c r="D5711" i="1"/>
  <c r="K5710" i="1"/>
  <c r="F5710" i="1"/>
  <c r="E5710" i="1"/>
  <c r="D5710" i="1"/>
  <c r="K5709" i="1"/>
  <c r="F5709" i="1"/>
  <c r="E5709" i="1"/>
  <c r="D5709" i="1"/>
  <c r="K5708" i="1"/>
  <c r="F5708" i="1"/>
  <c r="E5708" i="1"/>
  <c r="D5708" i="1"/>
  <c r="K5707" i="1"/>
  <c r="F5707" i="1"/>
  <c r="E5707" i="1"/>
  <c r="D5707" i="1"/>
  <c r="K5706" i="1"/>
  <c r="F5706" i="1"/>
  <c r="E5706" i="1"/>
  <c r="D5706" i="1"/>
  <c r="Q15" i="10" l="1"/>
  <c r="O5" i="1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D5705" i="1"/>
  <c r="E5705" i="1"/>
  <c r="F5705" i="1"/>
  <c r="D5704" i="1"/>
  <c r="E5704" i="1"/>
  <c r="F5704" i="1"/>
  <c r="D5703" i="1"/>
  <c r="E5703" i="1"/>
  <c r="F5703" i="1"/>
  <c r="D5702" i="1" l="1"/>
  <c r="E5702" i="1"/>
  <c r="F5702" i="1"/>
  <c r="D419" i="2"/>
  <c r="D420" i="2"/>
  <c r="D421" i="2"/>
  <c r="E419" i="2"/>
  <c r="E420" i="2"/>
  <c r="E421" i="2"/>
  <c r="F419" i="2"/>
  <c r="F420" i="2"/>
  <c r="F421" i="2"/>
  <c r="D418" i="2"/>
  <c r="E418" i="2"/>
  <c r="F418" i="2"/>
  <c r="D5690" i="1" l="1"/>
  <c r="D5691" i="1"/>
  <c r="D5692" i="1"/>
  <c r="D5693" i="1"/>
  <c r="D5694" i="1"/>
  <c r="D5695" i="1"/>
  <c r="D5696" i="1"/>
  <c r="D5697" i="1"/>
  <c r="D5698" i="1"/>
  <c r="D5699" i="1"/>
  <c r="D5700" i="1"/>
  <c r="D5701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D5689" i="1"/>
  <c r="E5689" i="1"/>
  <c r="F5689" i="1"/>
  <c r="E519" i="3"/>
  <c r="E518" i="3"/>
  <c r="E517" i="3"/>
  <c r="E516" i="3"/>
  <c r="E515" i="3"/>
  <c r="E514" i="3"/>
  <c r="E513" i="3"/>
  <c r="E512" i="3"/>
  <c r="D5688" i="1"/>
  <c r="E5688" i="1"/>
  <c r="F5688" i="1"/>
  <c r="K5685" i="1"/>
  <c r="K5686" i="1"/>
  <c r="K5687" i="1"/>
  <c r="D5685" i="1"/>
  <c r="D5686" i="1"/>
  <c r="D5687" i="1"/>
  <c r="E5685" i="1"/>
  <c r="E5686" i="1"/>
  <c r="E5687" i="1"/>
  <c r="F5685" i="1"/>
  <c r="F5686" i="1"/>
  <c r="F5687" i="1"/>
  <c r="K5680" i="1"/>
  <c r="K5681" i="1"/>
  <c r="K5682" i="1"/>
  <c r="K5683" i="1"/>
  <c r="K5684" i="1"/>
  <c r="D5680" i="1"/>
  <c r="D5681" i="1"/>
  <c r="D5682" i="1"/>
  <c r="D5683" i="1"/>
  <c r="D5684" i="1"/>
  <c r="E5680" i="1"/>
  <c r="E5681" i="1"/>
  <c r="E5682" i="1"/>
  <c r="E5683" i="1"/>
  <c r="E5684" i="1"/>
  <c r="F5680" i="1"/>
  <c r="F5681" i="1"/>
  <c r="F5682" i="1"/>
  <c r="F5683" i="1"/>
  <c r="F5684" i="1"/>
  <c r="K5672" i="1"/>
  <c r="K5673" i="1"/>
  <c r="K5674" i="1"/>
  <c r="K5675" i="1"/>
  <c r="K5676" i="1"/>
  <c r="K5677" i="1"/>
  <c r="K5678" i="1"/>
  <c r="K5679" i="1"/>
  <c r="D5673" i="1"/>
  <c r="D5674" i="1"/>
  <c r="D5675" i="1"/>
  <c r="D5676" i="1"/>
  <c r="D5677" i="1"/>
  <c r="D5678" i="1"/>
  <c r="D5679" i="1"/>
  <c r="E5673" i="1"/>
  <c r="E5674" i="1"/>
  <c r="E5675" i="1"/>
  <c r="E5676" i="1"/>
  <c r="E5677" i="1"/>
  <c r="E5678" i="1"/>
  <c r="E5679" i="1"/>
  <c r="F5673" i="1"/>
  <c r="F5674" i="1"/>
  <c r="F5675" i="1"/>
  <c r="F5676" i="1"/>
  <c r="F5677" i="1"/>
  <c r="F5678" i="1"/>
  <c r="F5679" i="1"/>
  <c r="K5667" i="1"/>
  <c r="K5668" i="1"/>
  <c r="K5669" i="1"/>
  <c r="K5670" i="1"/>
  <c r="K5671" i="1"/>
  <c r="D5670" i="1"/>
  <c r="D5671" i="1"/>
  <c r="D5672" i="1"/>
  <c r="E5670" i="1"/>
  <c r="E5671" i="1"/>
  <c r="E5672" i="1"/>
  <c r="F5670" i="1"/>
  <c r="F5671" i="1"/>
  <c r="F5672" i="1"/>
  <c r="D5669" i="1"/>
  <c r="E5669" i="1"/>
  <c r="F5669" i="1"/>
  <c r="D5668" i="1"/>
  <c r="E5668" i="1"/>
  <c r="F5668" i="1"/>
  <c r="K5664" i="1"/>
  <c r="K5665" i="1"/>
  <c r="K5666" i="1"/>
  <c r="K5663" i="1"/>
  <c r="K5658" i="1"/>
  <c r="K5659" i="1"/>
  <c r="K5660" i="1"/>
  <c r="K5661" i="1"/>
  <c r="K5662" i="1"/>
  <c r="D5658" i="1"/>
  <c r="D5659" i="1"/>
  <c r="D5660" i="1"/>
  <c r="D5661" i="1"/>
  <c r="D5662" i="1"/>
  <c r="D5663" i="1"/>
  <c r="D5664" i="1"/>
  <c r="D5665" i="1"/>
  <c r="D5666" i="1"/>
  <c r="D5667" i="1"/>
  <c r="E5658" i="1"/>
  <c r="E5659" i="1"/>
  <c r="E5660" i="1"/>
  <c r="E5661" i="1"/>
  <c r="E5662" i="1"/>
  <c r="E5663" i="1"/>
  <c r="E5664" i="1"/>
  <c r="E5665" i="1"/>
  <c r="E5666" i="1"/>
  <c r="E5667" i="1"/>
  <c r="F5658" i="1"/>
  <c r="F5659" i="1"/>
  <c r="F5660" i="1"/>
  <c r="F5661" i="1"/>
  <c r="F5662" i="1"/>
  <c r="F5663" i="1"/>
  <c r="F5664" i="1"/>
  <c r="F5665" i="1"/>
  <c r="F5666" i="1"/>
  <c r="F5667" i="1"/>
  <c r="K5657" i="1"/>
  <c r="D5657" i="1"/>
  <c r="E5657" i="1"/>
  <c r="F5657" i="1"/>
  <c r="K5653" i="1"/>
  <c r="K5654" i="1"/>
  <c r="K5655" i="1"/>
  <c r="K5656" i="1"/>
  <c r="K5652" i="1"/>
  <c r="K5650" i="1"/>
  <c r="K5651" i="1"/>
  <c r="K5649" i="1"/>
  <c r="D5656" i="1"/>
  <c r="E5656" i="1"/>
  <c r="F5656" i="1"/>
  <c r="D5649" i="1"/>
  <c r="D5650" i="1"/>
  <c r="D5651" i="1"/>
  <c r="D5652" i="1"/>
  <c r="D5653" i="1"/>
  <c r="D5654" i="1"/>
  <c r="D5655" i="1"/>
  <c r="E5649" i="1"/>
  <c r="E5650" i="1"/>
  <c r="E5651" i="1"/>
  <c r="E5652" i="1"/>
  <c r="E5653" i="1"/>
  <c r="E5654" i="1"/>
  <c r="E5655" i="1"/>
  <c r="F5649" i="1"/>
  <c r="F5650" i="1"/>
  <c r="F5651" i="1"/>
  <c r="F5652" i="1"/>
  <c r="F5653" i="1"/>
  <c r="F5654" i="1"/>
  <c r="F5655" i="1"/>
  <c r="D5648" i="1"/>
  <c r="E5648" i="1"/>
  <c r="F5648" i="1"/>
  <c r="K5645" i="1"/>
  <c r="K5646" i="1"/>
  <c r="K5647" i="1"/>
  <c r="K5648" i="1"/>
  <c r="D5645" i="1"/>
  <c r="D5646" i="1"/>
  <c r="D5647" i="1"/>
  <c r="E5645" i="1"/>
  <c r="E5646" i="1"/>
  <c r="E5647" i="1"/>
  <c r="F5645" i="1"/>
  <c r="F5646" i="1"/>
  <c r="F5647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D5634" i="1"/>
  <c r="D5635" i="1"/>
  <c r="D5636" i="1"/>
  <c r="D5637" i="1"/>
  <c r="D5638" i="1"/>
  <c r="D5639" i="1"/>
  <c r="D5640" i="1"/>
  <c r="D5641" i="1"/>
  <c r="D5642" i="1"/>
  <c r="D5643" i="1"/>
  <c r="D5644" i="1"/>
  <c r="E5634" i="1"/>
  <c r="E5635" i="1"/>
  <c r="E5636" i="1"/>
  <c r="E5637" i="1"/>
  <c r="E5638" i="1"/>
  <c r="E5639" i="1"/>
  <c r="E5640" i="1"/>
  <c r="E5641" i="1"/>
  <c r="E5642" i="1"/>
  <c r="E5643" i="1"/>
  <c r="E5644" i="1"/>
  <c r="F5634" i="1"/>
  <c r="F5635" i="1"/>
  <c r="F5636" i="1"/>
  <c r="F5637" i="1"/>
  <c r="F5638" i="1"/>
  <c r="F5639" i="1"/>
  <c r="F5640" i="1"/>
  <c r="F5641" i="1"/>
  <c r="F5642" i="1"/>
  <c r="F5643" i="1"/>
  <c r="F5644" i="1"/>
  <c r="D5633" i="1"/>
  <c r="E5633" i="1"/>
  <c r="F5633" i="1"/>
  <c r="K5632" i="1"/>
  <c r="K5628" i="1"/>
  <c r="K5629" i="1"/>
  <c r="K5630" i="1"/>
  <c r="K5631" i="1"/>
  <c r="D5629" i="1"/>
  <c r="D5630" i="1"/>
  <c r="D5631" i="1"/>
  <c r="D5632" i="1"/>
  <c r="E5629" i="1"/>
  <c r="E5630" i="1"/>
  <c r="E5631" i="1"/>
  <c r="E5632" i="1"/>
  <c r="F5629" i="1"/>
  <c r="F5630" i="1"/>
  <c r="F5631" i="1"/>
  <c r="F5632" i="1"/>
  <c r="D5628" i="1"/>
  <c r="E5628" i="1"/>
  <c r="F5628" i="1"/>
  <c r="L16" i="10" l="1"/>
  <c r="M16" i="10"/>
  <c r="D413" i="2"/>
  <c r="D414" i="2"/>
  <c r="D415" i="2"/>
  <c r="D416" i="2"/>
  <c r="D417" i="2"/>
  <c r="E413" i="2"/>
  <c r="E414" i="2"/>
  <c r="E415" i="2"/>
  <c r="E416" i="2"/>
  <c r="E417" i="2"/>
  <c r="F413" i="2"/>
  <c r="F414" i="2"/>
  <c r="F415" i="2"/>
  <c r="F416" i="2"/>
  <c r="F417" i="2"/>
  <c r="D412" i="2"/>
  <c r="E412" i="2"/>
  <c r="F412" i="2"/>
  <c r="D411" i="2"/>
  <c r="E411" i="2"/>
  <c r="F411" i="2"/>
  <c r="D410" i="2"/>
  <c r="E410" i="2"/>
  <c r="F410" i="2"/>
  <c r="K5614" i="1" l="1"/>
  <c r="K5615" i="1"/>
  <c r="K5616" i="1"/>
  <c r="K5617" i="1"/>
  <c r="K5618" i="1"/>
  <c r="D5614" i="1"/>
  <c r="E5614" i="1"/>
  <c r="F5614" i="1"/>
  <c r="D5615" i="1"/>
  <c r="E5615" i="1"/>
  <c r="F5615" i="1"/>
  <c r="D5616" i="1"/>
  <c r="E5616" i="1"/>
  <c r="F5616" i="1"/>
  <c r="D5617" i="1"/>
  <c r="E5617" i="1"/>
  <c r="F5617" i="1"/>
  <c r="D5618" i="1"/>
  <c r="E5618" i="1"/>
  <c r="F5618" i="1"/>
  <c r="E511" i="3"/>
  <c r="E510" i="3"/>
  <c r="E509" i="3"/>
  <c r="K5604" i="1"/>
  <c r="K5605" i="1"/>
  <c r="D5604" i="1"/>
  <c r="E5604" i="1"/>
  <c r="F5604" i="1"/>
  <c r="D5605" i="1"/>
  <c r="E5605" i="1"/>
  <c r="F5605" i="1"/>
  <c r="K5570" i="1"/>
  <c r="K5487" i="1" l="1"/>
  <c r="K5488" i="1"/>
  <c r="K5489" i="1"/>
  <c r="K5490" i="1"/>
  <c r="K5491" i="1"/>
  <c r="E508" i="3" l="1"/>
  <c r="K5557" i="1"/>
  <c r="D5557" i="1"/>
  <c r="E5557" i="1"/>
  <c r="F5557" i="1"/>
  <c r="K5540" i="1"/>
  <c r="K5541" i="1"/>
  <c r="D5541" i="1"/>
  <c r="E5541" i="1"/>
  <c r="F5541" i="1"/>
  <c r="D5540" i="1"/>
  <c r="E5540" i="1"/>
  <c r="F5540" i="1"/>
  <c r="K5537" i="1"/>
  <c r="K5538" i="1"/>
  <c r="K5539" i="1"/>
  <c r="D5538" i="1"/>
  <c r="E5538" i="1"/>
  <c r="D5539" i="1"/>
  <c r="E5539" i="1"/>
  <c r="F5538" i="1"/>
  <c r="F5539" i="1"/>
  <c r="E507" i="3"/>
  <c r="E506" i="3"/>
  <c r="K5536" i="1"/>
  <c r="D5535" i="1" l="1"/>
  <c r="E5535" i="1"/>
  <c r="F5535" i="1"/>
  <c r="K5535" i="1"/>
  <c r="E505" i="3"/>
  <c r="E503" i="3"/>
  <c r="D5491" i="1" l="1"/>
  <c r="E5491" i="1"/>
  <c r="F5491" i="1"/>
  <c r="D5489" i="1"/>
  <c r="E5489" i="1"/>
  <c r="F5489" i="1"/>
  <c r="D5490" i="1"/>
  <c r="E5490" i="1"/>
  <c r="F5490" i="1"/>
  <c r="K5492" i="1"/>
  <c r="K5486" i="1"/>
  <c r="E504" i="3" l="1"/>
  <c r="K5485" i="1"/>
  <c r="K5484" i="1"/>
  <c r="K5483" i="1"/>
  <c r="K5482" i="1"/>
  <c r="K5481" i="1"/>
  <c r="K5443" i="1"/>
  <c r="D5481" i="1"/>
  <c r="E5481" i="1"/>
  <c r="F5481" i="1"/>
  <c r="D5482" i="1"/>
  <c r="E5482" i="1"/>
  <c r="F5482" i="1"/>
  <c r="D5483" i="1"/>
  <c r="E5483" i="1"/>
  <c r="F5483" i="1"/>
  <c r="D5484" i="1"/>
  <c r="E5484" i="1"/>
  <c r="F5484" i="1"/>
  <c r="D5485" i="1"/>
  <c r="E5485" i="1"/>
  <c r="F5485" i="1"/>
  <c r="D5487" i="1"/>
  <c r="E5487" i="1"/>
  <c r="F5487" i="1"/>
  <c r="D5488" i="1"/>
  <c r="E5488" i="1"/>
  <c r="F5488" i="1"/>
  <c r="D5486" i="1"/>
  <c r="E5486" i="1"/>
  <c r="F5486" i="1"/>
  <c r="E502" i="3"/>
  <c r="K5626" i="1" l="1"/>
  <c r="K5627" i="1"/>
  <c r="D5626" i="1"/>
  <c r="D5627" i="1"/>
  <c r="E5626" i="1"/>
  <c r="E5627" i="1"/>
  <c r="F5626" i="1"/>
  <c r="F5627" i="1"/>
  <c r="K5625" i="1"/>
  <c r="I5624" i="1"/>
  <c r="K5624" i="1" s="1"/>
  <c r="K5619" i="1"/>
  <c r="K5620" i="1"/>
  <c r="K5621" i="1"/>
  <c r="K5622" i="1"/>
  <c r="K5623" i="1"/>
  <c r="D5620" i="1"/>
  <c r="D5621" i="1"/>
  <c r="D5622" i="1"/>
  <c r="D5623" i="1"/>
  <c r="D5624" i="1"/>
  <c r="D5625" i="1"/>
  <c r="E5620" i="1"/>
  <c r="E5621" i="1"/>
  <c r="E5622" i="1"/>
  <c r="E5623" i="1"/>
  <c r="E5624" i="1"/>
  <c r="E5625" i="1"/>
  <c r="F5620" i="1"/>
  <c r="F5621" i="1"/>
  <c r="F5622" i="1"/>
  <c r="F5623" i="1"/>
  <c r="F5624" i="1"/>
  <c r="F5625" i="1"/>
  <c r="D5619" i="1"/>
  <c r="E5619" i="1"/>
  <c r="F5619" i="1"/>
  <c r="K5602" i="1"/>
  <c r="K5603" i="1"/>
  <c r="K5606" i="1"/>
  <c r="K5607" i="1"/>
  <c r="K5608" i="1"/>
  <c r="K5609" i="1"/>
  <c r="K5610" i="1"/>
  <c r="K5611" i="1"/>
  <c r="K5612" i="1"/>
  <c r="K5613" i="1"/>
  <c r="D5602" i="1"/>
  <c r="D5603" i="1"/>
  <c r="D5606" i="1"/>
  <c r="D5607" i="1"/>
  <c r="D5608" i="1"/>
  <c r="D5609" i="1"/>
  <c r="D5610" i="1"/>
  <c r="D5611" i="1"/>
  <c r="D5612" i="1"/>
  <c r="D5613" i="1"/>
  <c r="E5602" i="1"/>
  <c r="E5603" i="1"/>
  <c r="E5606" i="1"/>
  <c r="E5607" i="1"/>
  <c r="E5608" i="1"/>
  <c r="E5609" i="1"/>
  <c r="E5610" i="1"/>
  <c r="E5611" i="1"/>
  <c r="E5612" i="1"/>
  <c r="E5613" i="1"/>
  <c r="F5602" i="1"/>
  <c r="F5603" i="1"/>
  <c r="F5606" i="1"/>
  <c r="F5607" i="1"/>
  <c r="F5608" i="1"/>
  <c r="F5609" i="1"/>
  <c r="F5610" i="1"/>
  <c r="F5611" i="1"/>
  <c r="F5612" i="1"/>
  <c r="F5613" i="1"/>
  <c r="K5600" i="1"/>
  <c r="K5601" i="1"/>
  <c r="D5601" i="1"/>
  <c r="E5601" i="1"/>
  <c r="F5601" i="1"/>
  <c r="D5600" i="1"/>
  <c r="E5600" i="1"/>
  <c r="F5600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D5599" i="1"/>
  <c r="E5599" i="1"/>
  <c r="F5599" i="1"/>
  <c r="D5582" i="1"/>
  <c r="E5582" i="1"/>
  <c r="F5582" i="1"/>
  <c r="D5583" i="1"/>
  <c r="E5583" i="1"/>
  <c r="F5583" i="1"/>
  <c r="D5584" i="1"/>
  <c r="E5584" i="1"/>
  <c r="F5584" i="1"/>
  <c r="D5585" i="1"/>
  <c r="E5585" i="1"/>
  <c r="F5585" i="1"/>
  <c r="D5586" i="1"/>
  <c r="E5586" i="1"/>
  <c r="F5586" i="1"/>
  <c r="D5587" i="1"/>
  <c r="E5587" i="1"/>
  <c r="F5587" i="1"/>
  <c r="D5588" i="1"/>
  <c r="E5588" i="1"/>
  <c r="F5588" i="1"/>
  <c r="D5589" i="1"/>
  <c r="E5589" i="1"/>
  <c r="F5589" i="1"/>
  <c r="D5590" i="1"/>
  <c r="E5590" i="1"/>
  <c r="F5590" i="1"/>
  <c r="D5591" i="1"/>
  <c r="E5591" i="1"/>
  <c r="F5591" i="1"/>
  <c r="D5592" i="1"/>
  <c r="E5592" i="1"/>
  <c r="F5592" i="1"/>
  <c r="D5593" i="1"/>
  <c r="E5593" i="1"/>
  <c r="F5593" i="1"/>
  <c r="D5594" i="1"/>
  <c r="E5594" i="1"/>
  <c r="F5594" i="1"/>
  <c r="D5595" i="1"/>
  <c r="E5595" i="1"/>
  <c r="F5595" i="1"/>
  <c r="D5596" i="1"/>
  <c r="E5596" i="1"/>
  <c r="F5596" i="1"/>
  <c r="D5597" i="1"/>
  <c r="E5597" i="1"/>
  <c r="F5597" i="1"/>
  <c r="D5598" i="1"/>
  <c r="E5598" i="1"/>
  <c r="F5598" i="1"/>
  <c r="K5577" i="1"/>
  <c r="K5578" i="1"/>
  <c r="K5579" i="1"/>
  <c r="K5580" i="1"/>
  <c r="K5581" i="1"/>
  <c r="D5577" i="1"/>
  <c r="D5578" i="1"/>
  <c r="D5579" i="1"/>
  <c r="D5580" i="1"/>
  <c r="D5581" i="1"/>
  <c r="E5577" i="1"/>
  <c r="E5578" i="1"/>
  <c r="E5579" i="1"/>
  <c r="E5580" i="1"/>
  <c r="E5581" i="1"/>
  <c r="F5577" i="1"/>
  <c r="F5578" i="1"/>
  <c r="F5579" i="1"/>
  <c r="F5580" i="1"/>
  <c r="F5581" i="1"/>
  <c r="K5571" i="1"/>
  <c r="K5572" i="1"/>
  <c r="K5573" i="1"/>
  <c r="K5574" i="1"/>
  <c r="K5575" i="1"/>
  <c r="K5576" i="1"/>
  <c r="D5571" i="1"/>
  <c r="D5572" i="1"/>
  <c r="D5573" i="1"/>
  <c r="D5574" i="1"/>
  <c r="D5575" i="1"/>
  <c r="D5576" i="1"/>
  <c r="E5571" i="1"/>
  <c r="E5572" i="1"/>
  <c r="E5573" i="1"/>
  <c r="E5574" i="1"/>
  <c r="E5575" i="1"/>
  <c r="E5576" i="1"/>
  <c r="F5571" i="1"/>
  <c r="F5572" i="1"/>
  <c r="F5573" i="1"/>
  <c r="F5574" i="1"/>
  <c r="F5575" i="1"/>
  <c r="F5576" i="1"/>
  <c r="I5564" i="1"/>
  <c r="K5564" i="1" s="1"/>
  <c r="K5563" i="1"/>
  <c r="K5565" i="1"/>
  <c r="K5566" i="1"/>
  <c r="K5567" i="1"/>
  <c r="K5568" i="1"/>
  <c r="K5569" i="1"/>
  <c r="D5570" i="1"/>
  <c r="E5570" i="1"/>
  <c r="F5570" i="1"/>
  <c r="D5563" i="1"/>
  <c r="D5564" i="1"/>
  <c r="D5565" i="1"/>
  <c r="D5566" i="1"/>
  <c r="D5567" i="1"/>
  <c r="D5568" i="1"/>
  <c r="D5569" i="1"/>
  <c r="E5563" i="1"/>
  <c r="E5564" i="1"/>
  <c r="E5565" i="1"/>
  <c r="E5566" i="1"/>
  <c r="E5567" i="1"/>
  <c r="E5568" i="1"/>
  <c r="E5569" i="1"/>
  <c r="F5563" i="1"/>
  <c r="F5564" i="1"/>
  <c r="F5565" i="1"/>
  <c r="F5566" i="1"/>
  <c r="F5567" i="1"/>
  <c r="F5568" i="1"/>
  <c r="F5569" i="1"/>
  <c r="K5554" i="1" l="1"/>
  <c r="K5555" i="1"/>
  <c r="K5556" i="1"/>
  <c r="K5558" i="1"/>
  <c r="K5559" i="1"/>
  <c r="K5560" i="1"/>
  <c r="K5561" i="1"/>
  <c r="K5562" i="1"/>
  <c r="D5559" i="1"/>
  <c r="D5560" i="1"/>
  <c r="D5561" i="1"/>
  <c r="D5562" i="1"/>
  <c r="E5559" i="1"/>
  <c r="E5560" i="1"/>
  <c r="E5561" i="1"/>
  <c r="E5562" i="1"/>
  <c r="F5559" i="1"/>
  <c r="F5560" i="1"/>
  <c r="F5561" i="1"/>
  <c r="F5562" i="1"/>
  <c r="D5554" i="1"/>
  <c r="D5555" i="1"/>
  <c r="D5556" i="1"/>
  <c r="D5558" i="1"/>
  <c r="E5554" i="1"/>
  <c r="E5555" i="1"/>
  <c r="E5556" i="1"/>
  <c r="E5558" i="1"/>
  <c r="F5554" i="1"/>
  <c r="F5555" i="1"/>
  <c r="F5556" i="1"/>
  <c r="F5558" i="1"/>
  <c r="I5548" i="1"/>
  <c r="K5548" i="1" s="1"/>
  <c r="K5543" i="1"/>
  <c r="K5544" i="1"/>
  <c r="K5545" i="1"/>
  <c r="K5546" i="1"/>
  <c r="K5547" i="1"/>
  <c r="K5549" i="1"/>
  <c r="K5550" i="1"/>
  <c r="K5551" i="1"/>
  <c r="K5552" i="1"/>
  <c r="K5553" i="1"/>
  <c r="D5543" i="1"/>
  <c r="D5544" i="1"/>
  <c r="D5545" i="1"/>
  <c r="D5546" i="1"/>
  <c r="D5547" i="1"/>
  <c r="D5548" i="1"/>
  <c r="D5549" i="1"/>
  <c r="D5550" i="1"/>
  <c r="D5551" i="1"/>
  <c r="D5552" i="1"/>
  <c r="D5553" i="1"/>
  <c r="E5543" i="1"/>
  <c r="E5544" i="1"/>
  <c r="E5545" i="1"/>
  <c r="E5546" i="1"/>
  <c r="E5547" i="1"/>
  <c r="E5548" i="1"/>
  <c r="E5549" i="1"/>
  <c r="E5550" i="1"/>
  <c r="E5551" i="1"/>
  <c r="E5552" i="1"/>
  <c r="E5553" i="1"/>
  <c r="F5543" i="1"/>
  <c r="F5544" i="1"/>
  <c r="F5545" i="1"/>
  <c r="F5546" i="1"/>
  <c r="F5547" i="1"/>
  <c r="F5548" i="1"/>
  <c r="F5549" i="1"/>
  <c r="F5550" i="1"/>
  <c r="F5551" i="1"/>
  <c r="F5552" i="1"/>
  <c r="F5553" i="1"/>
  <c r="K5532" i="1"/>
  <c r="K5533" i="1"/>
  <c r="K5534" i="1"/>
  <c r="K5542" i="1"/>
  <c r="D5532" i="1"/>
  <c r="D5533" i="1"/>
  <c r="D5534" i="1"/>
  <c r="D5536" i="1"/>
  <c r="D5537" i="1"/>
  <c r="D5542" i="1"/>
  <c r="E5532" i="1"/>
  <c r="E5533" i="1"/>
  <c r="E5534" i="1"/>
  <c r="E5536" i="1"/>
  <c r="E5537" i="1"/>
  <c r="E5542" i="1"/>
  <c r="F5532" i="1"/>
  <c r="F5533" i="1"/>
  <c r="F5534" i="1"/>
  <c r="F5536" i="1"/>
  <c r="F5537" i="1"/>
  <c r="F5542" i="1"/>
  <c r="K5525" i="1"/>
  <c r="K5526" i="1"/>
  <c r="K5527" i="1"/>
  <c r="K5528" i="1"/>
  <c r="K5529" i="1"/>
  <c r="K5530" i="1"/>
  <c r="K5531" i="1"/>
  <c r="K5523" i="1"/>
  <c r="K5524" i="1"/>
  <c r="D5525" i="1"/>
  <c r="D5526" i="1"/>
  <c r="D5527" i="1"/>
  <c r="D5528" i="1"/>
  <c r="D5529" i="1"/>
  <c r="D5530" i="1"/>
  <c r="D5531" i="1"/>
  <c r="E5525" i="1"/>
  <c r="E5526" i="1"/>
  <c r="E5527" i="1"/>
  <c r="E5528" i="1"/>
  <c r="E5529" i="1"/>
  <c r="E5530" i="1"/>
  <c r="E5531" i="1"/>
  <c r="F5525" i="1"/>
  <c r="F5526" i="1"/>
  <c r="F5527" i="1"/>
  <c r="F5528" i="1"/>
  <c r="F5529" i="1"/>
  <c r="F5530" i="1"/>
  <c r="F5531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K5504" i="1"/>
  <c r="K5505" i="1"/>
  <c r="K5506" i="1"/>
  <c r="K5507" i="1"/>
  <c r="K5508" i="1"/>
  <c r="K5480" i="1" l="1"/>
  <c r="K5493" i="1"/>
  <c r="K5494" i="1"/>
  <c r="K5495" i="1"/>
  <c r="K5496" i="1"/>
  <c r="K5497" i="1"/>
  <c r="K5498" i="1"/>
  <c r="K5499" i="1"/>
  <c r="K5500" i="1"/>
  <c r="K5501" i="1"/>
  <c r="K5502" i="1"/>
  <c r="K5503" i="1"/>
  <c r="D5500" i="1" l="1"/>
  <c r="E5500" i="1"/>
  <c r="F5500" i="1"/>
  <c r="D5501" i="1"/>
  <c r="E5501" i="1"/>
  <c r="F5501" i="1"/>
  <c r="D5502" i="1"/>
  <c r="E5502" i="1"/>
  <c r="F5502" i="1"/>
  <c r="D5503" i="1"/>
  <c r="E5503" i="1"/>
  <c r="F5503" i="1"/>
  <c r="D5504" i="1"/>
  <c r="E5504" i="1"/>
  <c r="F5504" i="1"/>
  <c r="D5505" i="1"/>
  <c r="E5505" i="1"/>
  <c r="F5505" i="1"/>
  <c r="D5506" i="1"/>
  <c r="E5506" i="1"/>
  <c r="F5506" i="1"/>
  <c r="D5507" i="1"/>
  <c r="E5507" i="1"/>
  <c r="F5507" i="1"/>
  <c r="D5508" i="1"/>
  <c r="E5508" i="1"/>
  <c r="F5508" i="1"/>
  <c r="K5509" i="1"/>
  <c r="K5510" i="1"/>
  <c r="E5492" i="1"/>
  <c r="F5492" i="1"/>
  <c r="E5493" i="1"/>
  <c r="F5493" i="1"/>
  <c r="E5494" i="1"/>
  <c r="F5494" i="1"/>
  <c r="E5495" i="1"/>
  <c r="F5495" i="1"/>
  <c r="D5492" i="1"/>
  <c r="D5493" i="1"/>
  <c r="D5494" i="1"/>
  <c r="D5495" i="1"/>
  <c r="D5496" i="1"/>
  <c r="D5497" i="1"/>
  <c r="D5498" i="1"/>
  <c r="D5499" i="1"/>
  <c r="D5509" i="1"/>
  <c r="D5510" i="1"/>
  <c r="E5496" i="1"/>
  <c r="E5497" i="1"/>
  <c r="E5498" i="1"/>
  <c r="E5499" i="1"/>
  <c r="E5509" i="1"/>
  <c r="E5510" i="1"/>
  <c r="F5496" i="1"/>
  <c r="F5497" i="1"/>
  <c r="F5498" i="1"/>
  <c r="F5499" i="1"/>
  <c r="F5509" i="1"/>
  <c r="F5510" i="1"/>
  <c r="E501" i="3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K5462" i="1"/>
  <c r="K5463" i="1"/>
  <c r="K5464" i="1"/>
  <c r="K5465" i="1"/>
  <c r="D5462" i="1"/>
  <c r="D5463" i="1"/>
  <c r="D5464" i="1"/>
  <c r="D5465" i="1"/>
  <c r="E5462" i="1"/>
  <c r="E5463" i="1"/>
  <c r="E5464" i="1"/>
  <c r="E5465" i="1"/>
  <c r="F5462" i="1"/>
  <c r="F5463" i="1"/>
  <c r="F5464" i="1"/>
  <c r="F5465" i="1"/>
  <c r="K5455" i="1"/>
  <c r="K5444" i="1"/>
  <c r="K5445" i="1"/>
  <c r="K5446" i="1"/>
  <c r="K5447" i="1"/>
  <c r="K5448" i="1"/>
  <c r="K5449" i="1"/>
  <c r="K5450" i="1"/>
  <c r="K5451" i="1"/>
  <c r="K5452" i="1"/>
  <c r="K5453" i="1"/>
  <c r="K5454" i="1"/>
  <c r="K5456" i="1"/>
  <c r="K5457" i="1"/>
  <c r="K5458" i="1"/>
  <c r="K5459" i="1"/>
  <c r="K5460" i="1"/>
  <c r="K5461" i="1"/>
  <c r="D5456" i="1" l="1"/>
  <c r="D5457" i="1"/>
  <c r="D5458" i="1"/>
  <c r="D5459" i="1"/>
  <c r="D5460" i="1"/>
  <c r="D5461" i="1"/>
  <c r="E5456" i="1"/>
  <c r="E5457" i="1"/>
  <c r="E5458" i="1"/>
  <c r="E5459" i="1"/>
  <c r="E5460" i="1"/>
  <c r="E5461" i="1"/>
  <c r="F5456" i="1"/>
  <c r="F5457" i="1"/>
  <c r="F5458" i="1"/>
  <c r="F5459" i="1"/>
  <c r="F5460" i="1"/>
  <c r="F5461" i="1"/>
  <c r="K5421" i="1"/>
  <c r="D5445" i="1"/>
  <c r="D5446" i="1"/>
  <c r="D5447" i="1"/>
  <c r="D5448" i="1"/>
  <c r="D5449" i="1"/>
  <c r="D5450" i="1"/>
  <c r="D5451" i="1"/>
  <c r="D5452" i="1"/>
  <c r="D5453" i="1"/>
  <c r="D5454" i="1"/>
  <c r="D5455" i="1"/>
  <c r="E5445" i="1"/>
  <c r="E5446" i="1"/>
  <c r="E5447" i="1"/>
  <c r="E5448" i="1"/>
  <c r="E5449" i="1"/>
  <c r="E5450" i="1"/>
  <c r="E5451" i="1"/>
  <c r="E5452" i="1"/>
  <c r="E5453" i="1"/>
  <c r="E5454" i="1"/>
  <c r="E5455" i="1"/>
  <c r="F5445" i="1"/>
  <c r="F5446" i="1"/>
  <c r="F5447" i="1"/>
  <c r="F5448" i="1"/>
  <c r="F5449" i="1"/>
  <c r="F5450" i="1"/>
  <c r="F5451" i="1"/>
  <c r="F5452" i="1"/>
  <c r="F5453" i="1"/>
  <c r="F5454" i="1"/>
  <c r="F5455" i="1"/>
  <c r="D5444" i="1"/>
  <c r="E5444" i="1"/>
  <c r="F5444" i="1"/>
  <c r="N14" i="10" l="1"/>
  <c r="K5193" i="1" l="1"/>
  <c r="F5193" i="1"/>
  <c r="E5193" i="1"/>
  <c r="D5193" i="1"/>
  <c r="K4907" i="1" l="1"/>
  <c r="K4906" i="1"/>
  <c r="K4901" i="1"/>
  <c r="D408" i="2" l="1"/>
  <c r="D409" i="2"/>
  <c r="E408" i="2"/>
  <c r="E409" i="2"/>
  <c r="F408" i="2"/>
  <c r="F409" i="2"/>
  <c r="K5277" i="1"/>
  <c r="D5277" i="1" l="1"/>
  <c r="E5277" i="1"/>
  <c r="F5277" i="1"/>
  <c r="D403" i="2"/>
  <c r="E403" i="2"/>
  <c r="F403" i="2"/>
  <c r="D404" i="2"/>
  <c r="E404" i="2"/>
  <c r="F404" i="2"/>
  <c r="D405" i="2"/>
  <c r="E405" i="2"/>
  <c r="F405" i="2"/>
  <c r="D406" i="2"/>
  <c r="E406" i="2"/>
  <c r="F406" i="2"/>
  <c r="D407" i="2"/>
  <c r="E407" i="2"/>
  <c r="F407" i="2"/>
  <c r="K5384" i="1"/>
  <c r="D5384" i="1"/>
  <c r="E5384" i="1"/>
  <c r="F5384" i="1"/>
  <c r="E498" i="3"/>
  <c r="E497" i="3"/>
  <c r="E496" i="3"/>
  <c r="E490" i="3"/>
  <c r="E491" i="3"/>
  <c r="E492" i="3"/>
  <c r="E493" i="3"/>
  <c r="E494" i="3"/>
  <c r="E495" i="3"/>
  <c r="K5436" i="1"/>
  <c r="K5437" i="1"/>
  <c r="K5438" i="1"/>
  <c r="K5439" i="1"/>
  <c r="K5440" i="1"/>
  <c r="K5441" i="1"/>
  <c r="K5442" i="1"/>
  <c r="D5437" i="1"/>
  <c r="D5438" i="1"/>
  <c r="D5439" i="1"/>
  <c r="D5440" i="1"/>
  <c r="D5441" i="1"/>
  <c r="D5442" i="1"/>
  <c r="D5443" i="1"/>
  <c r="E5437" i="1"/>
  <c r="E5438" i="1"/>
  <c r="E5439" i="1"/>
  <c r="E5440" i="1"/>
  <c r="E5441" i="1"/>
  <c r="E5442" i="1"/>
  <c r="E5443" i="1"/>
  <c r="F5437" i="1"/>
  <c r="F5438" i="1"/>
  <c r="F5439" i="1"/>
  <c r="F5440" i="1"/>
  <c r="F5441" i="1"/>
  <c r="F5442" i="1"/>
  <c r="F5443" i="1"/>
  <c r="K5417" i="1"/>
  <c r="K5418" i="1"/>
  <c r="K5419" i="1"/>
  <c r="K5420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D5426" i="1"/>
  <c r="E5426" i="1"/>
  <c r="F5426" i="1"/>
  <c r="D5434" i="1"/>
  <c r="D5435" i="1"/>
  <c r="D5436" i="1"/>
  <c r="E5434" i="1"/>
  <c r="E5435" i="1"/>
  <c r="E5436" i="1"/>
  <c r="F5434" i="1"/>
  <c r="F5435" i="1"/>
  <c r="F5436" i="1"/>
  <c r="D5431" i="1"/>
  <c r="D5432" i="1"/>
  <c r="D5433" i="1"/>
  <c r="E5431" i="1"/>
  <c r="E5432" i="1"/>
  <c r="E5433" i="1"/>
  <c r="F5431" i="1"/>
  <c r="F5432" i="1"/>
  <c r="F5433" i="1"/>
  <c r="D5428" i="1"/>
  <c r="D5429" i="1"/>
  <c r="D5430" i="1"/>
  <c r="E5428" i="1"/>
  <c r="E5429" i="1"/>
  <c r="E5430" i="1"/>
  <c r="F5428" i="1"/>
  <c r="F5429" i="1"/>
  <c r="F5430" i="1"/>
  <c r="D5425" i="1"/>
  <c r="D5427" i="1"/>
  <c r="E5425" i="1"/>
  <c r="E5427" i="1"/>
  <c r="F5425" i="1"/>
  <c r="F5427" i="1"/>
  <c r="D5424" i="1"/>
  <c r="E5424" i="1"/>
  <c r="F5424" i="1"/>
  <c r="D5421" i="1"/>
  <c r="D5422" i="1"/>
  <c r="D5423" i="1"/>
  <c r="E5421" i="1"/>
  <c r="E5422" i="1"/>
  <c r="E5423" i="1"/>
  <c r="F5421" i="1"/>
  <c r="F5422" i="1"/>
  <c r="F5423" i="1"/>
  <c r="D5420" i="1"/>
  <c r="E5420" i="1"/>
  <c r="F5420" i="1"/>
  <c r="D5417" i="1"/>
  <c r="D5418" i="1"/>
  <c r="D5419" i="1"/>
  <c r="E5417" i="1"/>
  <c r="E5418" i="1"/>
  <c r="E5419" i="1"/>
  <c r="F5417" i="1"/>
  <c r="F5418" i="1"/>
  <c r="F5419" i="1"/>
  <c r="K5415" i="1"/>
  <c r="K5416" i="1"/>
  <c r="D5416" i="1"/>
  <c r="E5416" i="1"/>
  <c r="F5416" i="1"/>
  <c r="D5415" i="1"/>
  <c r="E5415" i="1"/>
  <c r="F5415" i="1"/>
  <c r="K5412" i="1"/>
  <c r="K5413" i="1"/>
  <c r="K5414" i="1"/>
  <c r="D5414" i="1"/>
  <c r="E5414" i="1"/>
  <c r="F5414" i="1"/>
  <c r="D5413" i="1"/>
  <c r="E5413" i="1"/>
  <c r="F5413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D5412" i="1"/>
  <c r="E5412" i="1"/>
  <c r="F5412" i="1"/>
  <c r="D5403" i="1"/>
  <c r="D5404" i="1"/>
  <c r="D5405" i="1"/>
  <c r="D5406" i="1"/>
  <c r="D5407" i="1"/>
  <c r="D5408" i="1"/>
  <c r="D5409" i="1"/>
  <c r="D5410" i="1"/>
  <c r="D5411" i="1"/>
  <c r="E5403" i="1"/>
  <c r="E5404" i="1"/>
  <c r="E5405" i="1"/>
  <c r="E5406" i="1"/>
  <c r="E5407" i="1"/>
  <c r="E5408" i="1"/>
  <c r="E5409" i="1"/>
  <c r="E5410" i="1"/>
  <c r="E5411" i="1"/>
  <c r="F5403" i="1"/>
  <c r="F5404" i="1"/>
  <c r="F5405" i="1"/>
  <c r="F5406" i="1"/>
  <c r="F5407" i="1"/>
  <c r="F5408" i="1"/>
  <c r="F5409" i="1"/>
  <c r="F5410" i="1"/>
  <c r="F5411" i="1"/>
  <c r="D5402" i="1"/>
  <c r="E5402" i="1"/>
  <c r="F5402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D5399" i="1"/>
  <c r="D5400" i="1"/>
  <c r="D5401" i="1"/>
  <c r="E5399" i="1"/>
  <c r="E5400" i="1"/>
  <c r="E5401" i="1"/>
  <c r="F5399" i="1"/>
  <c r="F5400" i="1"/>
  <c r="F5401" i="1"/>
  <c r="D5398" i="1"/>
  <c r="E5398" i="1"/>
  <c r="F5398" i="1"/>
  <c r="D5397" i="1"/>
  <c r="E5397" i="1"/>
  <c r="F5397" i="1"/>
  <c r="D5396" i="1"/>
  <c r="E5396" i="1"/>
  <c r="F5396" i="1"/>
  <c r="D5395" i="1"/>
  <c r="E5395" i="1"/>
  <c r="F5395" i="1"/>
  <c r="D5387" i="1"/>
  <c r="D5388" i="1"/>
  <c r="D5389" i="1"/>
  <c r="D5390" i="1"/>
  <c r="D5391" i="1"/>
  <c r="D5392" i="1"/>
  <c r="D5393" i="1"/>
  <c r="D5394" i="1"/>
  <c r="E5387" i="1"/>
  <c r="E5388" i="1"/>
  <c r="E5389" i="1"/>
  <c r="E5390" i="1"/>
  <c r="E5391" i="1"/>
  <c r="E5392" i="1"/>
  <c r="E5393" i="1"/>
  <c r="E5394" i="1"/>
  <c r="F5387" i="1"/>
  <c r="F5388" i="1"/>
  <c r="F5389" i="1"/>
  <c r="F5390" i="1"/>
  <c r="F5391" i="1"/>
  <c r="F5392" i="1"/>
  <c r="F5393" i="1"/>
  <c r="F5394" i="1"/>
  <c r="D5386" i="1"/>
  <c r="E5386" i="1"/>
  <c r="F5386" i="1"/>
  <c r="D5385" i="1"/>
  <c r="E5385" i="1"/>
  <c r="F5385" i="1"/>
  <c r="K5383" i="1"/>
  <c r="K5381" i="1"/>
  <c r="K5382" i="1"/>
  <c r="D5381" i="1"/>
  <c r="D5382" i="1"/>
  <c r="D5383" i="1"/>
  <c r="E5381" i="1"/>
  <c r="E5382" i="1"/>
  <c r="E5383" i="1"/>
  <c r="F5381" i="1"/>
  <c r="F5382" i="1"/>
  <c r="F5383" i="1"/>
  <c r="K5371" i="1"/>
  <c r="K5372" i="1"/>
  <c r="K5373" i="1"/>
  <c r="K5374" i="1"/>
  <c r="K5375" i="1"/>
  <c r="K5376" i="1"/>
  <c r="K5377" i="1"/>
  <c r="K5378" i="1"/>
  <c r="K5379" i="1"/>
  <c r="K5380" i="1"/>
  <c r="D5371" i="1"/>
  <c r="D5372" i="1"/>
  <c r="D5373" i="1"/>
  <c r="D5374" i="1"/>
  <c r="D5375" i="1"/>
  <c r="D5376" i="1"/>
  <c r="D5377" i="1"/>
  <c r="D5378" i="1"/>
  <c r="D5379" i="1"/>
  <c r="D5380" i="1"/>
  <c r="E5371" i="1"/>
  <c r="E5372" i="1"/>
  <c r="E5373" i="1"/>
  <c r="E5374" i="1"/>
  <c r="E5375" i="1"/>
  <c r="E5376" i="1"/>
  <c r="E5377" i="1"/>
  <c r="E5378" i="1"/>
  <c r="E5379" i="1"/>
  <c r="E5380" i="1"/>
  <c r="F5371" i="1"/>
  <c r="F5372" i="1"/>
  <c r="F5373" i="1"/>
  <c r="F5374" i="1"/>
  <c r="F5375" i="1"/>
  <c r="F5376" i="1"/>
  <c r="F5377" i="1"/>
  <c r="F5378" i="1"/>
  <c r="F5379" i="1"/>
  <c r="F5380" i="1"/>
  <c r="E487" i="3" l="1"/>
  <c r="E489" i="3" l="1"/>
  <c r="E488" i="3"/>
  <c r="E485" i="3" l="1"/>
  <c r="E486" i="3"/>
  <c r="K5363" i="1"/>
  <c r="K5364" i="1"/>
  <c r="K5365" i="1"/>
  <c r="K5366" i="1"/>
  <c r="K5367" i="1"/>
  <c r="K5368" i="1"/>
  <c r="K5369" i="1"/>
  <c r="K5370" i="1"/>
  <c r="K5361" i="1"/>
  <c r="K5362" i="1"/>
  <c r="D5361" i="1"/>
  <c r="E5361" i="1"/>
  <c r="F5361" i="1"/>
  <c r="D5362" i="1"/>
  <c r="E5362" i="1"/>
  <c r="F5362" i="1"/>
  <c r="D5363" i="1"/>
  <c r="E5363" i="1"/>
  <c r="F5363" i="1"/>
  <c r="D5364" i="1"/>
  <c r="E5364" i="1"/>
  <c r="F5364" i="1"/>
  <c r="D5365" i="1"/>
  <c r="E5365" i="1"/>
  <c r="F5365" i="1"/>
  <c r="D5370" i="1"/>
  <c r="E5370" i="1"/>
  <c r="F5370" i="1"/>
  <c r="D5369" i="1"/>
  <c r="E5369" i="1"/>
  <c r="F5369" i="1"/>
  <c r="D5368" i="1"/>
  <c r="E5368" i="1"/>
  <c r="F5368" i="1"/>
  <c r="D5367" i="1"/>
  <c r="E5367" i="1"/>
  <c r="F5367" i="1"/>
  <c r="D5366" i="1"/>
  <c r="E5366" i="1"/>
  <c r="F5366" i="1"/>
  <c r="K5294" i="1" l="1"/>
  <c r="D5294" i="1"/>
  <c r="E5294" i="1"/>
  <c r="F5294" i="1"/>
  <c r="K5360" i="1"/>
  <c r="D5360" i="1"/>
  <c r="E5360" i="1"/>
  <c r="F5360" i="1"/>
  <c r="K5353" i="1" l="1"/>
  <c r="K5354" i="1"/>
  <c r="K5355" i="1"/>
  <c r="K5356" i="1"/>
  <c r="K5357" i="1"/>
  <c r="K5358" i="1"/>
  <c r="K5359" i="1"/>
  <c r="D5353" i="1"/>
  <c r="D5354" i="1"/>
  <c r="D5355" i="1"/>
  <c r="D5356" i="1"/>
  <c r="D5357" i="1"/>
  <c r="D5358" i="1"/>
  <c r="D5359" i="1"/>
  <c r="E5353" i="1"/>
  <c r="E5354" i="1"/>
  <c r="E5355" i="1"/>
  <c r="E5356" i="1"/>
  <c r="E5357" i="1"/>
  <c r="E5358" i="1"/>
  <c r="E5359" i="1"/>
  <c r="F5353" i="1"/>
  <c r="F5354" i="1"/>
  <c r="F5355" i="1"/>
  <c r="F5356" i="1"/>
  <c r="F5357" i="1"/>
  <c r="F5358" i="1"/>
  <c r="F5359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L15" i="10" l="1"/>
  <c r="M15" i="10"/>
  <c r="K5333" i="1"/>
  <c r="K5334" i="1"/>
  <c r="K5335" i="1"/>
  <c r="D5334" i="1"/>
  <c r="D5335" i="1"/>
  <c r="D5336" i="1"/>
  <c r="E5334" i="1"/>
  <c r="E5335" i="1"/>
  <c r="E5336" i="1"/>
  <c r="F5334" i="1"/>
  <c r="F5335" i="1"/>
  <c r="F5336" i="1"/>
  <c r="K5328" i="1"/>
  <c r="K5329" i="1"/>
  <c r="K5330" i="1"/>
  <c r="K5331" i="1"/>
  <c r="K5332" i="1"/>
  <c r="D5333" i="1"/>
  <c r="E5333" i="1"/>
  <c r="F5333" i="1"/>
  <c r="D5328" i="1"/>
  <c r="D5329" i="1"/>
  <c r="D5330" i="1"/>
  <c r="D5331" i="1"/>
  <c r="D5332" i="1"/>
  <c r="E5328" i="1"/>
  <c r="E5329" i="1"/>
  <c r="E5330" i="1"/>
  <c r="E5331" i="1"/>
  <c r="E5332" i="1"/>
  <c r="F5328" i="1"/>
  <c r="F5329" i="1"/>
  <c r="F5330" i="1"/>
  <c r="F5331" i="1"/>
  <c r="F5332" i="1"/>
  <c r="K5325" i="1"/>
  <c r="K5326" i="1"/>
  <c r="K5327" i="1"/>
  <c r="K5320" i="1"/>
  <c r="K5321" i="1"/>
  <c r="K5322" i="1"/>
  <c r="K5323" i="1"/>
  <c r="K5324" i="1"/>
  <c r="D5323" i="1"/>
  <c r="D5324" i="1"/>
  <c r="D5325" i="1"/>
  <c r="D5326" i="1"/>
  <c r="D5327" i="1"/>
  <c r="E5323" i="1"/>
  <c r="E5324" i="1"/>
  <c r="E5325" i="1"/>
  <c r="E5326" i="1"/>
  <c r="E5327" i="1"/>
  <c r="F5323" i="1"/>
  <c r="F5324" i="1"/>
  <c r="F5325" i="1"/>
  <c r="F5326" i="1"/>
  <c r="F5327" i="1"/>
  <c r="K5316" i="1"/>
  <c r="K5317" i="1"/>
  <c r="K5318" i="1"/>
  <c r="K5319" i="1"/>
  <c r="D5317" i="1"/>
  <c r="D5318" i="1"/>
  <c r="D5319" i="1"/>
  <c r="D5320" i="1"/>
  <c r="D5321" i="1"/>
  <c r="D5322" i="1"/>
  <c r="E5317" i="1"/>
  <c r="E5318" i="1"/>
  <c r="E5319" i="1"/>
  <c r="E5320" i="1"/>
  <c r="E5321" i="1"/>
  <c r="E5322" i="1"/>
  <c r="F5317" i="1"/>
  <c r="F5318" i="1"/>
  <c r="F5319" i="1"/>
  <c r="F5320" i="1"/>
  <c r="F5321" i="1"/>
  <c r="F5322" i="1"/>
  <c r="D5316" i="1"/>
  <c r="E5316" i="1"/>
  <c r="F5316" i="1"/>
  <c r="K5312" i="1"/>
  <c r="K5313" i="1"/>
  <c r="K5314" i="1"/>
  <c r="K5315" i="1"/>
  <c r="D5315" i="1"/>
  <c r="E5315" i="1"/>
  <c r="F5315" i="1"/>
  <c r="D5314" i="1"/>
  <c r="E5314" i="1"/>
  <c r="F5314" i="1"/>
  <c r="D5313" i="1"/>
  <c r="E5313" i="1"/>
  <c r="F5313" i="1"/>
  <c r="D5312" i="1"/>
  <c r="E5312" i="1"/>
  <c r="F5312" i="1"/>
  <c r="K5311" i="1"/>
  <c r="D5311" i="1"/>
  <c r="E5311" i="1"/>
  <c r="F5311" i="1"/>
  <c r="K5308" i="1"/>
  <c r="K5309" i="1"/>
  <c r="K5310" i="1"/>
  <c r="D5309" i="1"/>
  <c r="D5310" i="1"/>
  <c r="E5309" i="1"/>
  <c r="E5310" i="1"/>
  <c r="F5309" i="1"/>
  <c r="F5310" i="1"/>
  <c r="D5308" i="1"/>
  <c r="E5308" i="1"/>
  <c r="F5308" i="1"/>
  <c r="K5305" i="1"/>
  <c r="K5306" i="1"/>
  <c r="K5307" i="1"/>
  <c r="D5307" i="1"/>
  <c r="E5307" i="1"/>
  <c r="F5307" i="1"/>
  <c r="D5305" i="1"/>
  <c r="D5306" i="1"/>
  <c r="E5305" i="1"/>
  <c r="E5306" i="1"/>
  <c r="F5305" i="1"/>
  <c r="F5306" i="1"/>
  <c r="K5303" i="1"/>
  <c r="K5304" i="1"/>
  <c r="D5304" i="1"/>
  <c r="E5304" i="1"/>
  <c r="F5304" i="1"/>
  <c r="D5303" i="1"/>
  <c r="E5303" i="1"/>
  <c r="F5303" i="1"/>
  <c r="K5301" i="1"/>
  <c r="K5302" i="1"/>
  <c r="D5301" i="1"/>
  <c r="D5302" i="1"/>
  <c r="E5301" i="1"/>
  <c r="E5302" i="1"/>
  <c r="F5301" i="1"/>
  <c r="F5302" i="1"/>
  <c r="K5299" i="1"/>
  <c r="K5300" i="1"/>
  <c r="D5299" i="1"/>
  <c r="D5300" i="1"/>
  <c r="E5299" i="1"/>
  <c r="E5300" i="1"/>
  <c r="F5299" i="1"/>
  <c r="F5300" i="1"/>
  <c r="K5295" i="1"/>
  <c r="K5296" i="1"/>
  <c r="K5297" i="1"/>
  <c r="K5298" i="1"/>
  <c r="D5298" i="1"/>
  <c r="E5298" i="1"/>
  <c r="F5298" i="1"/>
  <c r="D5297" i="1"/>
  <c r="E5297" i="1"/>
  <c r="F5297" i="1"/>
  <c r="D5296" i="1"/>
  <c r="E5296" i="1"/>
  <c r="F5296" i="1"/>
  <c r="D5295" i="1"/>
  <c r="E5295" i="1"/>
  <c r="F5295" i="1"/>
  <c r="E481" i="3"/>
  <c r="E482" i="3"/>
  <c r="E483" i="3"/>
  <c r="E484" i="3"/>
  <c r="D5244" i="1"/>
  <c r="E5244" i="1"/>
  <c r="F5244" i="1"/>
  <c r="K5244" i="1"/>
  <c r="D5245" i="1"/>
  <c r="E5245" i="1"/>
  <c r="F5245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42" i="1"/>
  <c r="K5243" i="1"/>
  <c r="K5191" i="1"/>
  <c r="D5191" i="1"/>
  <c r="E5191" i="1"/>
  <c r="F5191" i="1"/>
  <c r="D5273" i="1"/>
  <c r="E5273" i="1"/>
  <c r="F5273" i="1"/>
  <c r="D5274" i="1"/>
  <c r="E5274" i="1"/>
  <c r="F5274" i="1"/>
  <c r="D5275" i="1"/>
  <c r="E5275" i="1"/>
  <c r="F5275" i="1"/>
  <c r="D5276" i="1"/>
  <c r="E5276" i="1"/>
  <c r="F5276" i="1"/>
  <c r="D5242" i="1"/>
  <c r="E5242" i="1"/>
  <c r="F5242" i="1"/>
  <c r="K5240" i="1"/>
  <c r="K5241" i="1"/>
  <c r="D5241" i="1"/>
  <c r="E5241" i="1"/>
  <c r="F5241" i="1"/>
  <c r="K5286" i="1"/>
  <c r="K5287" i="1"/>
  <c r="K5288" i="1"/>
  <c r="K5289" i="1"/>
  <c r="K5290" i="1"/>
  <c r="K5291" i="1"/>
  <c r="K5292" i="1"/>
  <c r="K5293" i="1"/>
  <c r="D5293" i="1"/>
  <c r="E5293" i="1"/>
  <c r="F5293" i="1"/>
  <c r="D5292" i="1"/>
  <c r="E5292" i="1"/>
  <c r="F5292" i="1"/>
  <c r="D5291" i="1"/>
  <c r="E5291" i="1"/>
  <c r="F5291" i="1"/>
  <c r="D5290" i="1"/>
  <c r="E5290" i="1"/>
  <c r="F5290" i="1"/>
  <c r="D5289" i="1"/>
  <c r="E5289" i="1"/>
  <c r="F5289" i="1"/>
  <c r="D5288" i="1"/>
  <c r="E5288" i="1"/>
  <c r="F5288" i="1"/>
  <c r="D5287" i="1"/>
  <c r="E5287" i="1"/>
  <c r="F5287" i="1"/>
  <c r="D5286" i="1"/>
  <c r="E5286" i="1"/>
  <c r="F5286" i="1"/>
  <c r="K5278" i="1"/>
  <c r="K5279" i="1"/>
  <c r="K5280" i="1"/>
  <c r="K5281" i="1"/>
  <c r="K5282" i="1"/>
  <c r="K5283" i="1"/>
  <c r="K5284" i="1"/>
  <c r="K5285" i="1"/>
  <c r="D5278" i="1"/>
  <c r="D5279" i="1"/>
  <c r="D5280" i="1"/>
  <c r="D5281" i="1"/>
  <c r="D5282" i="1"/>
  <c r="D5283" i="1"/>
  <c r="D5284" i="1"/>
  <c r="D5285" i="1"/>
  <c r="E5278" i="1"/>
  <c r="E5279" i="1"/>
  <c r="E5280" i="1"/>
  <c r="E5281" i="1"/>
  <c r="E5282" i="1"/>
  <c r="E5283" i="1"/>
  <c r="E5284" i="1"/>
  <c r="E5285" i="1"/>
  <c r="F5278" i="1"/>
  <c r="F5279" i="1"/>
  <c r="F5280" i="1"/>
  <c r="F5281" i="1"/>
  <c r="F5282" i="1"/>
  <c r="F5283" i="1"/>
  <c r="F5284" i="1"/>
  <c r="F5285" i="1"/>
  <c r="D394" i="2"/>
  <c r="E394" i="2"/>
  <c r="F394" i="2"/>
  <c r="D395" i="2" l="1"/>
  <c r="E395" i="2"/>
  <c r="F395" i="2"/>
  <c r="D396" i="2"/>
  <c r="E396" i="2"/>
  <c r="F396" i="2"/>
  <c r="D397" i="2"/>
  <c r="E397" i="2"/>
  <c r="F397" i="2"/>
  <c r="D398" i="2"/>
  <c r="E398" i="2"/>
  <c r="F398" i="2"/>
  <c r="D399" i="2"/>
  <c r="E399" i="2"/>
  <c r="F399" i="2"/>
  <c r="D400" i="2"/>
  <c r="E400" i="2"/>
  <c r="F400" i="2"/>
  <c r="D401" i="2"/>
  <c r="E401" i="2"/>
  <c r="F401" i="2"/>
  <c r="D402" i="2"/>
  <c r="E402" i="2"/>
  <c r="F402" i="2"/>
  <c r="K5222" i="1" l="1"/>
  <c r="K5223" i="1"/>
  <c r="K5224" i="1"/>
  <c r="K5225" i="1"/>
  <c r="K5226" i="1"/>
  <c r="K5227" i="1"/>
  <c r="D5224" i="1"/>
  <c r="E5224" i="1"/>
  <c r="F5224" i="1"/>
  <c r="D5222" i="1"/>
  <c r="E5222" i="1"/>
  <c r="F5222" i="1"/>
  <c r="D5223" i="1"/>
  <c r="E5223" i="1"/>
  <c r="F5223" i="1"/>
  <c r="D5225" i="1"/>
  <c r="E5225" i="1"/>
  <c r="F5225" i="1"/>
  <c r="D5226" i="1"/>
  <c r="E5226" i="1"/>
  <c r="F5226" i="1"/>
  <c r="D5227" i="1"/>
  <c r="E5227" i="1"/>
  <c r="F5227" i="1"/>
  <c r="K5186" i="1" l="1"/>
  <c r="K5187" i="1"/>
  <c r="K5188" i="1"/>
  <c r="K5189" i="1"/>
  <c r="K5190" i="1"/>
  <c r="K5192" i="1"/>
  <c r="K5194" i="1"/>
  <c r="K5195" i="1"/>
  <c r="D5187" i="1"/>
  <c r="E5187" i="1"/>
  <c r="F5187" i="1"/>
  <c r="D5188" i="1"/>
  <c r="E5188" i="1"/>
  <c r="F5188" i="1"/>
  <c r="D5189" i="1"/>
  <c r="E5189" i="1"/>
  <c r="F5189" i="1"/>
  <c r="D5190" i="1"/>
  <c r="E5190" i="1"/>
  <c r="F5190" i="1"/>
  <c r="D5192" i="1"/>
  <c r="E5192" i="1"/>
  <c r="F5192" i="1"/>
  <c r="D5194" i="1"/>
  <c r="E5194" i="1"/>
  <c r="F5194" i="1"/>
  <c r="D5195" i="1"/>
  <c r="E5195" i="1"/>
  <c r="F5195" i="1"/>
  <c r="E480" i="3"/>
  <c r="E479" i="3"/>
  <c r="E478" i="3"/>
  <c r="E477" i="3"/>
  <c r="K5196" i="1"/>
  <c r="K5197" i="1"/>
  <c r="K5198" i="1"/>
  <c r="K5199" i="1"/>
  <c r="K5200" i="1"/>
  <c r="K5201" i="1"/>
  <c r="F5201" i="1"/>
  <c r="E5201" i="1"/>
  <c r="D5201" i="1"/>
  <c r="F5200" i="1"/>
  <c r="E5200" i="1"/>
  <c r="D5200" i="1"/>
  <c r="D5202" i="1"/>
  <c r="E5202" i="1"/>
  <c r="F5202" i="1"/>
  <c r="D5196" i="1"/>
  <c r="E5196" i="1"/>
  <c r="F5196" i="1"/>
  <c r="D5197" i="1"/>
  <c r="E5197" i="1"/>
  <c r="F5197" i="1"/>
  <c r="D5198" i="1"/>
  <c r="E5198" i="1"/>
  <c r="F5198" i="1"/>
  <c r="D5199" i="1"/>
  <c r="E5199" i="1"/>
  <c r="F5199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D5231" i="1"/>
  <c r="E5231" i="1"/>
  <c r="F5231" i="1"/>
  <c r="D5232" i="1"/>
  <c r="E5232" i="1"/>
  <c r="F5232" i="1"/>
  <c r="D5233" i="1"/>
  <c r="E5233" i="1"/>
  <c r="F5233" i="1"/>
  <c r="D5234" i="1"/>
  <c r="E5234" i="1"/>
  <c r="F5234" i="1"/>
  <c r="D5235" i="1"/>
  <c r="E5235" i="1"/>
  <c r="F5235" i="1"/>
  <c r="D5236" i="1"/>
  <c r="E5236" i="1"/>
  <c r="F5236" i="1"/>
  <c r="D5237" i="1"/>
  <c r="E5237" i="1"/>
  <c r="F5237" i="1"/>
  <c r="D5238" i="1"/>
  <c r="E5238" i="1"/>
  <c r="F5238" i="1"/>
  <c r="D5239" i="1"/>
  <c r="E5239" i="1"/>
  <c r="F5239" i="1"/>
  <c r="D5228" i="1"/>
  <c r="E5228" i="1"/>
  <c r="F5228" i="1"/>
  <c r="D5229" i="1"/>
  <c r="E5229" i="1"/>
  <c r="F5229" i="1"/>
  <c r="D5230" i="1"/>
  <c r="E5230" i="1"/>
  <c r="F5230" i="1"/>
  <c r="D5240" i="1"/>
  <c r="E5240" i="1"/>
  <c r="F5240" i="1"/>
  <c r="K5216" i="1"/>
  <c r="K5217" i="1"/>
  <c r="K5218" i="1"/>
  <c r="K5219" i="1"/>
  <c r="K5220" i="1"/>
  <c r="K5221" i="1"/>
  <c r="D5216" i="1"/>
  <c r="E5216" i="1"/>
  <c r="F5216" i="1"/>
  <c r="D5217" i="1"/>
  <c r="E5217" i="1"/>
  <c r="F5217" i="1"/>
  <c r="D5218" i="1"/>
  <c r="E5218" i="1"/>
  <c r="F5218" i="1"/>
  <c r="D5219" i="1"/>
  <c r="E5219" i="1"/>
  <c r="F5219" i="1"/>
  <c r="D5220" i="1"/>
  <c r="E5220" i="1"/>
  <c r="F5220" i="1"/>
  <c r="K5212" i="1"/>
  <c r="K5213" i="1"/>
  <c r="K5214" i="1"/>
  <c r="K5215" i="1"/>
  <c r="D5212" i="1"/>
  <c r="E5212" i="1"/>
  <c r="F5212" i="1"/>
  <c r="D5213" i="1"/>
  <c r="E5213" i="1"/>
  <c r="F5213" i="1"/>
  <c r="D5214" i="1"/>
  <c r="E5214" i="1"/>
  <c r="F5214" i="1"/>
  <c r="K5209" i="1"/>
  <c r="K5210" i="1"/>
  <c r="K5211" i="1"/>
  <c r="K5208" i="1"/>
  <c r="K5206" i="1"/>
  <c r="K5207" i="1"/>
  <c r="D5208" i="1"/>
  <c r="E5208" i="1"/>
  <c r="F5208" i="1"/>
  <c r="D5209" i="1"/>
  <c r="E5209" i="1"/>
  <c r="F5209" i="1"/>
  <c r="D5210" i="1"/>
  <c r="E5210" i="1"/>
  <c r="F5210" i="1"/>
  <c r="D5211" i="1"/>
  <c r="E5211" i="1"/>
  <c r="F5211" i="1"/>
  <c r="D5215" i="1"/>
  <c r="E5215" i="1"/>
  <c r="F5215" i="1"/>
  <c r="D5221" i="1"/>
  <c r="E5221" i="1"/>
  <c r="F5221" i="1"/>
  <c r="K5202" i="1"/>
  <c r="K5203" i="1"/>
  <c r="K5204" i="1"/>
  <c r="K5205" i="1"/>
  <c r="D5207" i="1"/>
  <c r="E5207" i="1"/>
  <c r="F5207" i="1"/>
  <c r="D5205" i="1"/>
  <c r="E5205" i="1"/>
  <c r="F5205" i="1"/>
  <c r="K5185" i="1"/>
  <c r="D5185" i="1"/>
  <c r="E5185" i="1"/>
  <c r="F5185" i="1"/>
  <c r="D5186" i="1"/>
  <c r="E5186" i="1"/>
  <c r="F5186" i="1"/>
  <c r="D5203" i="1"/>
  <c r="E5203" i="1"/>
  <c r="F5203" i="1"/>
  <c r="D5204" i="1"/>
  <c r="E5204" i="1"/>
  <c r="F5204" i="1"/>
  <c r="K5184" i="1"/>
  <c r="K5182" i="1"/>
  <c r="K5183" i="1"/>
  <c r="D5183" i="1"/>
  <c r="E5183" i="1"/>
  <c r="F5183" i="1"/>
  <c r="D5184" i="1"/>
  <c r="E5184" i="1"/>
  <c r="F5184" i="1"/>
  <c r="K5179" i="1"/>
  <c r="K5180" i="1"/>
  <c r="K5181" i="1"/>
  <c r="K5175" i="1"/>
  <c r="K5176" i="1"/>
  <c r="K5177" i="1"/>
  <c r="K5178" i="1"/>
  <c r="D5179" i="1"/>
  <c r="E5179" i="1"/>
  <c r="F5179" i="1"/>
  <c r="D5180" i="1"/>
  <c r="E5180" i="1"/>
  <c r="F5180" i="1"/>
  <c r="D5181" i="1"/>
  <c r="E5181" i="1"/>
  <c r="F5181" i="1"/>
  <c r="D5182" i="1"/>
  <c r="E5182" i="1"/>
  <c r="F5182" i="1"/>
  <c r="D5206" i="1"/>
  <c r="E5206" i="1"/>
  <c r="F5206" i="1"/>
  <c r="K5167" i="1"/>
  <c r="K5168" i="1"/>
  <c r="K5169" i="1"/>
  <c r="K5170" i="1"/>
  <c r="K5171" i="1"/>
  <c r="K5172" i="1"/>
  <c r="K5173" i="1"/>
  <c r="K5174" i="1"/>
  <c r="D5172" i="1"/>
  <c r="E5172" i="1"/>
  <c r="F5172" i="1"/>
  <c r="D5173" i="1"/>
  <c r="E5173" i="1"/>
  <c r="F5173" i="1"/>
  <c r="D5174" i="1"/>
  <c r="E5174" i="1"/>
  <c r="F5174" i="1"/>
  <c r="D5175" i="1"/>
  <c r="E5175" i="1"/>
  <c r="F5175" i="1"/>
  <c r="D5176" i="1"/>
  <c r="E5176" i="1"/>
  <c r="F5176" i="1"/>
  <c r="D5167" i="1"/>
  <c r="E5167" i="1"/>
  <c r="F5167" i="1"/>
  <c r="D5168" i="1"/>
  <c r="E5168" i="1"/>
  <c r="F5168" i="1"/>
  <c r="D5169" i="1"/>
  <c r="E5169" i="1"/>
  <c r="F5169" i="1"/>
  <c r="D5170" i="1"/>
  <c r="E5170" i="1"/>
  <c r="F5170" i="1"/>
  <c r="D5171" i="1"/>
  <c r="E5171" i="1"/>
  <c r="F5171" i="1"/>
  <c r="D5177" i="1"/>
  <c r="E5177" i="1"/>
  <c r="F5177" i="1"/>
  <c r="D5178" i="1"/>
  <c r="E5178" i="1"/>
  <c r="F5178" i="1"/>
  <c r="D5272" i="1" l="1"/>
  <c r="E5272" i="1"/>
  <c r="F5272" i="1"/>
  <c r="D5270" i="1"/>
  <c r="D5271" i="1"/>
  <c r="E5270" i="1"/>
  <c r="E5271" i="1"/>
  <c r="F5270" i="1"/>
  <c r="F5271" i="1"/>
  <c r="D5269" i="1"/>
  <c r="E5269" i="1"/>
  <c r="F5269" i="1"/>
  <c r="D5266" i="1"/>
  <c r="D5267" i="1"/>
  <c r="D5268" i="1"/>
  <c r="E5266" i="1"/>
  <c r="E5267" i="1"/>
  <c r="E5268" i="1"/>
  <c r="F5266" i="1"/>
  <c r="F5267" i="1"/>
  <c r="F5268" i="1"/>
  <c r="D5264" i="1"/>
  <c r="D5265" i="1"/>
  <c r="E5264" i="1"/>
  <c r="E5265" i="1"/>
  <c r="F5264" i="1"/>
  <c r="F5265" i="1"/>
  <c r="D5262" i="1"/>
  <c r="D5263" i="1"/>
  <c r="E5262" i="1"/>
  <c r="E5263" i="1"/>
  <c r="F5262" i="1"/>
  <c r="F5263" i="1"/>
  <c r="D5261" i="1"/>
  <c r="E5261" i="1"/>
  <c r="F5261" i="1"/>
  <c r="D5260" i="1"/>
  <c r="E5260" i="1"/>
  <c r="F5260" i="1"/>
  <c r="D5259" i="1"/>
  <c r="E5259" i="1"/>
  <c r="F5259" i="1"/>
  <c r="D5257" i="1"/>
  <c r="D5258" i="1"/>
  <c r="E5257" i="1"/>
  <c r="E5258" i="1"/>
  <c r="F5257" i="1"/>
  <c r="F5258" i="1"/>
  <c r="D5256" i="1"/>
  <c r="E5256" i="1"/>
  <c r="F5256" i="1"/>
  <c r="D5255" i="1"/>
  <c r="E5255" i="1"/>
  <c r="F5255" i="1"/>
  <c r="D5254" i="1"/>
  <c r="E5254" i="1"/>
  <c r="F5254" i="1"/>
  <c r="D5253" i="1"/>
  <c r="E5253" i="1"/>
  <c r="F5253" i="1"/>
  <c r="D5249" i="1"/>
  <c r="D5250" i="1"/>
  <c r="D5251" i="1"/>
  <c r="D5252" i="1"/>
  <c r="E5249" i="1"/>
  <c r="E5250" i="1"/>
  <c r="E5251" i="1"/>
  <c r="E5252" i="1"/>
  <c r="F5249" i="1"/>
  <c r="F5250" i="1"/>
  <c r="F5251" i="1"/>
  <c r="F5252" i="1"/>
  <c r="D5247" i="1"/>
  <c r="D5248" i="1"/>
  <c r="E5247" i="1"/>
  <c r="E5248" i="1"/>
  <c r="F5247" i="1"/>
  <c r="F5248" i="1"/>
  <c r="D5246" i="1"/>
  <c r="E5246" i="1"/>
  <c r="F5246" i="1"/>
  <c r="D5243" i="1"/>
  <c r="E5243" i="1"/>
  <c r="F5243" i="1"/>
  <c r="E476" i="3" l="1"/>
  <c r="E475" i="3"/>
  <c r="E471" i="3"/>
  <c r="E472" i="3"/>
  <c r="E473" i="3"/>
  <c r="E474" i="3"/>
  <c r="K5159" i="1"/>
  <c r="D5159" i="1"/>
  <c r="E5159" i="1"/>
  <c r="F5159" i="1"/>
  <c r="E470" i="3"/>
  <c r="K5155" i="1"/>
  <c r="K5156" i="1"/>
  <c r="K5157" i="1"/>
  <c r="K5158" i="1"/>
  <c r="K5160" i="1"/>
  <c r="D5155" i="1"/>
  <c r="E5155" i="1"/>
  <c r="F5155" i="1"/>
  <c r="D5156" i="1"/>
  <c r="E5156" i="1"/>
  <c r="F5156" i="1"/>
  <c r="D5157" i="1"/>
  <c r="E5157" i="1"/>
  <c r="F5157" i="1"/>
  <c r="D5158" i="1"/>
  <c r="E5158" i="1"/>
  <c r="F5158" i="1"/>
  <c r="K5154" i="1"/>
  <c r="K5150" i="1"/>
  <c r="K5151" i="1"/>
  <c r="K5152" i="1"/>
  <c r="K5153" i="1"/>
  <c r="D5150" i="1"/>
  <c r="E5150" i="1"/>
  <c r="F5150" i="1"/>
  <c r="D5151" i="1"/>
  <c r="E5151" i="1"/>
  <c r="F5151" i="1"/>
  <c r="D5152" i="1"/>
  <c r="E5152" i="1"/>
  <c r="F5152" i="1"/>
  <c r="D5153" i="1"/>
  <c r="E5153" i="1"/>
  <c r="F5153" i="1"/>
  <c r="D5154" i="1"/>
  <c r="E5154" i="1"/>
  <c r="F5154" i="1"/>
  <c r="Q5142" i="1" l="1"/>
  <c r="Q5143" i="1"/>
  <c r="Q5144" i="1"/>
  <c r="Q5145" i="1"/>
  <c r="Q5146" i="1"/>
  <c r="Q5147" i="1"/>
  <c r="Q5148" i="1"/>
  <c r="Q5149" i="1"/>
  <c r="Q5141" i="1"/>
  <c r="Q5140" i="1"/>
  <c r="Q5016" i="1"/>
  <c r="K4756" i="1" l="1"/>
  <c r="K4757" i="1"/>
  <c r="D4756" i="1"/>
  <c r="E4756" i="1"/>
  <c r="F4756" i="1"/>
  <c r="D4757" i="1"/>
  <c r="E4757" i="1"/>
  <c r="F4757" i="1"/>
  <c r="K4681" i="1"/>
  <c r="K4682" i="1"/>
  <c r="K4683" i="1"/>
  <c r="K4684" i="1"/>
  <c r="K4685" i="1"/>
  <c r="D4681" i="1"/>
  <c r="E4681" i="1"/>
  <c r="F4681" i="1"/>
  <c r="D4682" i="1"/>
  <c r="E4682" i="1"/>
  <c r="F4682" i="1"/>
  <c r="D4683" i="1"/>
  <c r="E4683" i="1"/>
  <c r="F4683" i="1"/>
  <c r="D4684" i="1"/>
  <c r="E4684" i="1"/>
  <c r="F4684" i="1"/>
  <c r="K4625" i="1"/>
  <c r="K4626" i="1"/>
  <c r="K4627" i="1"/>
  <c r="D4625" i="1"/>
  <c r="E4625" i="1"/>
  <c r="F4625" i="1"/>
  <c r="D4626" i="1"/>
  <c r="E4626" i="1"/>
  <c r="F4626" i="1"/>
  <c r="D4627" i="1"/>
  <c r="E4627" i="1"/>
  <c r="F4627" i="1"/>
  <c r="K4550" i="1"/>
  <c r="K4551" i="1"/>
  <c r="K4552" i="1"/>
  <c r="D4550" i="1" l="1"/>
  <c r="E4550" i="1"/>
  <c r="F4550" i="1"/>
  <c r="D4551" i="1"/>
  <c r="E4551" i="1"/>
  <c r="F4551" i="1"/>
  <c r="D4552" i="1"/>
  <c r="E4552" i="1"/>
  <c r="F4552" i="1"/>
  <c r="K4469" i="1"/>
  <c r="K4470" i="1"/>
  <c r="K4471" i="1"/>
  <c r="D4469" i="1"/>
  <c r="E4469" i="1"/>
  <c r="F4469" i="1"/>
  <c r="D4470" i="1"/>
  <c r="E4470" i="1"/>
  <c r="F4470" i="1"/>
  <c r="K4399" i="1" l="1"/>
  <c r="K4400" i="1"/>
  <c r="K4401" i="1"/>
  <c r="D4399" i="1"/>
  <c r="E4399" i="1"/>
  <c r="F4399" i="1"/>
  <c r="D4400" i="1"/>
  <c r="E4400" i="1"/>
  <c r="F4400" i="1"/>
  <c r="D4401" i="1"/>
  <c r="E4401" i="1"/>
  <c r="F4401" i="1"/>
  <c r="K4327" i="1"/>
  <c r="K4328" i="1"/>
  <c r="K4329" i="1"/>
  <c r="D4327" i="1"/>
  <c r="E4327" i="1"/>
  <c r="F4327" i="1"/>
  <c r="D4328" i="1"/>
  <c r="E4328" i="1"/>
  <c r="F4328" i="1"/>
  <c r="D4329" i="1"/>
  <c r="E4329" i="1"/>
  <c r="F4329" i="1"/>
  <c r="K4276" i="1"/>
  <c r="D4276" i="1"/>
  <c r="K4121" i="1" l="1"/>
  <c r="K4122" i="1"/>
  <c r="K4123" i="1"/>
  <c r="D4121" i="1"/>
  <c r="E4121" i="1"/>
  <c r="F4121" i="1"/>
  <c r="D4122" i="1"/>
  <c r="E4122" i="1"/>
  <c r="F4122" i="1"/>
  <c r="K4645" i="1"/>
  <c r="F4645" i="1"/>
  <c r="E4645" i="1"/>
  <c r="D4645" i="1"/>
  <c r="S14" i="10" l="1"/>
  <c r="K4933" i="1"/>
  <c r="K5161" i="1" l="1"/>
  <c r="K5162" i="1"/>
  <c r="K5163" i="1"/>
  <c r="K5164" i="1"/>
  <c r="K5165" i="1"/>
  <c r="K5166" i="1"/>
  <c r="D5161" i="1"/>
  <c r="D5162" i="1"/>
  <c r="D5163" i="1"/>
  <c r="D5164" i="1"/>
  <c r="D5165" i="1"/>
  <c r="D5166" i="1"/>
  <c r="E5161" i="1"/>
  <c r="E5162" i="1"/>
  <c r="E5163" i="1"/>
  <c r="E5164" i="1"/>
  <c r="E5165" i="1"/>
  <c r="E5166" i="1"/>
  <c r="F5161" i="1"/>
  <c r="F5162" i="1"/>
  <c r="F5163" i="1"/>
  <c r="F5164" i="1"/>
  <c r="F5165" i="1"/>
  <c r="F5166" i="1"/>
  <c r="D5160" i="1"/>
  <c r="E5160" i="1"/>
  <c r="F5160" i="1"/>
  <c r="N8" i="10" l="1"/>
  <c r="K4518" i="1" l="1"/>
  <c r="F4518" i="1"/>
  <c r="E4518" i="1"/>
  <c r="D4518" i="1"/>
  <c r="K4643" i="1"/>
  <c r="F4643" i="1"/>
  <c r="E4643" i="1"/>
  <c r="D4643" i="1"/>
  <c r="K4642" i="1"/>
  <c r="F4642" i="1"/>
  <c r="E4642" i="1"/>
  <c r="D4642" i="1"/>
  <c r="K4649" i="1"/>
  <c r="F4649" i="1"/>
  <c r="E4649" i="1"/>
  <c r="D4649" i="1"/>
  <c r="K3598" i="1" l="1"/>
  <c r="F3598" i="1"/>
  <c r="E3598" i="1"/>
  <c r="D3598" i="1"/>
  <c r="K3413" i="1"/>
  <c r="F3413" i="1"/>
  <c r="E3413" i="1"/>
  <c r="D3413" i="1"/>
  <c r="K2028" i="1"/>
  <c r="F2028" i="1"/>
  <c r="E2028" i="1"/>
  <c r="D2028" i="1"/>
  <c r="D393" i="2"/>
  <c r="E393" i="2"/>
  <c r="F393" i="2"/>
  <c r="D392" i="2"/>
  <c r="E392" i="2"/>
  <c r="F392" i="2"/>
  <c r="E464" i="3" l="1"/>
  <c r="E465" i="3"/>
  <c r="E466" i="3"/>
  <c r="E467" i="3"/>
  <c r="E468" i="3"/>
  <c r="E469" i="3"/>
  <c r="K5147" i="1" l="1"/>
  <c r="K5148" i="1"/>
  <c r="K5149" i="1"/>
  <c r="D5147" i="1"/>
  <c r="D5148" i="1"/>
  <c r="D5149" i="1"/>
  <c r="E5147" i="1"/>
  <c r="E5148" i="1"/>
  <c r="E5149" i="1"/>
  <c r="F5147" i="1"/>
  <c r="F5148" i="1"/>
  <c r="F5149" i="1"/>
  <c r="K5141" i="1"/>
  <c r="K5142" i="1"/>
  <c r="K5143" i="1"/>
  <c r="K5144" i="1"/>
  <c r="K5145" i="1"/>
  <c r="K5146" i="1"/>
  <c r="K5140" i="1"/>
  <c r="D5142" i="1"/>
  <c r="D5143" i="1"/>
  <c r="D5144" i="1"/>
  <c r="D5145" i="1"/>
  <c r="D5146" i="1"/>
  <c r="E5142" i="1"/>
  <c r="E5143" i="1"/>
  <c r="E5144" i="1"/>
  <c r="E5145" i="1"/>
  <c r="E5146" i="1"/>
  <c r="F5142" i="1"/>
  <c r="F5143" i="1"/>
  <c r="F5144" i="1"/>
  <c r="F5145" i="1"/>
  <c r="F5146" i="1"/>
  <c r="D5141" i="1"/>
  <c r="E5141" i="1"/>
  <c r="F5141" i="1"/>
  <c r="D5140" i="1"/>
  <c r="E5140" i="1"/>
  <c r="F5140" i="1"/>
  <c r="K5137" i="1"/>
  <c r="K5138" i="1"/>
  <c r="K5139" i="1"/>
  <c r="D5137" i="1"/>
  <c r="D5138" i="1"/>
  <c r="D5139" i="1"/>
  <c r="E5137" i="1"/>
  <c r="E5138" i="1"/>
  <c r="E5139" i="1"/>
  <c r="F5137" i="1"/>
  <c r="F5138" i="1"/>
  <c r="F5139" i="1"/>
  <c r="K5131" i="1"/>
  <c r="K5132" i="1"/>
  <c r="K5133" i="1"/>
  <c r="K5134" i="1"/>
  <c r="K5135" i="1"/>
  <c r="K5136" i="1"/>
  <c r="D5131" i="1"/>
  <c r="D5132" i="1"/>
  <c r="D5133" i="1"/>
  <c r="D5134" i="1"/>
  <c r="D5135" i="1"/>
  <c r="D5136" i="1"/>
  <c r="E5131" i="1"/>
  <c r="E5132" i="1"/>
  <c r="E5133" i="1"/>
  <c r="E5134" i="1"/>
  <c r="E5135" i="1"/>
  <c r="E5136" i="1"/>
  <c r="F5131" i="1"/>
  <c r="F5132" i="1"/>
  <c r="F5133" i="1"/>
  <c r="F5134" i="1"/>
  <c r="F5135" i="1"/>
  <c r="F5136" i="1"/>
  <c r="K5128" i="1"/>
  <c r="K5129" i="1"/>
  <c r="K5130" i="1"/>
  <c r="D5128" i="1"/>
  <c r="D5129" i="1"/>
  <c r="D5130" i="1"/>
  <c r="E5128" i="1"/>
  <c r="E5129" i="1"/>
  <c r="E5130" i="1"/>
  <c r="F5128" i="1"/>
  <c r="F5129" i="1"/>
  <c r="F5130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D5127" i="1"/>
  <c r="E5127" i="1"/>
  <c r="F5127" i="1"/>
  <c r="D5116" i="1"/>
  <c r="D5117" i="1"/>
  <c r="D5118" i="1"/>
  <c r="D5119" i="1"/>
  <c r="D5120" i="1"/>
  <c r="D5121" i="1"/>
  <c r="D5122" i="1"/>
  <c r="D5123" i="1"/>
  <c r="D5124" i="1"/>
  <c r="D5125" i="1"/>
  <c r="D5126" i="1"/>
  <c r="E5116" i="1"/>
  <c r="E5117" i="1"/>
  <c r="E5118" i="1"/>
  <c r="E5119" i="1"/>
  <c r="E5120" i="1"/>
  <c r="E5121" i="1"/>
  <c r="E5122" i="1"/>
  <c r="E5123" i="1"/>
  <c r="E5124" i="1"/>
  <c r="E5125" i="1"/>
  <c r="E5126" i="1"/>
  <c r="F5116" i="1"/>
  <c r="F5117" i="1"/>
  <c r="F5118" i="1"/>
  <c r="F5119" i="1"/>
  <c r="F5120" i="1"/>
  <c r="F5121" i="1"/>
  <c r="F5122" i="1"/>
  <c r="F5123" i="1"/>
  <c r="F5124" i="1"/>
  <c r="F5125" i="1"/>
  <c r="F5126" i="1"/>
  <c r="D5114" i="1"/>
  <c r="D5115" i="1"/>
  <c r="E5114" i="1"/>
  <c r="E5115" i="1"/>
  <c r="F5114" i="1"/>
  <c r="F5115" i="1"/>
  <c r="D5113" i="1"/>
  <c r="E5113" i="1"/>
  <c r="F5113" i="1"/>
  <c r="K5111" i="1"/>
  <c r="K5112" i="1"/>
  <c r="D5112" i="1"/>
  <c r="E5112" i="1"/>
  <c r="F5112" i="1"/>
  <c r="D5111" i="1"/>
  <c r="E5111" i="1"/>
  <c r="F5111" i="1"/>
  <c r="K5103" i="1"/>
  <c r="K5104" i="1"/>
  <c r="K5105" i="1"/>
  <c r="K5106" i="1"/>
  <c r="K5107" i="1"/>
  <c r="K5108" i="1"/>
  <c r="K5109" i="1"/>
  <c r="K5110" i="1"/>
  <c r="D5103" i="1"/>
  <c r="D5104" i="1"/>
  <c r="D5105" i="1"/>
  <c r="D5106" i="1"/>
  <c r="D5107" i="1"/>
  <c r="D5108" i="1"/>
  <c r="D5109" i="1"/>
  <c r="D5110" i="1"/>
  <c r="E5103" i="1"/>
  <c r="E5104" i="1"/>
  <c r="E5105" i="1"/>
  <c r="E5106" i="1"/>
  <c r="E5107" i="1"/>
  <c r="E5108" i="1"/>
  <c r="E5109" i="1"/>
  <c r="E5110" i="1"/>
  <c r="F5103" i="1"/>
  <c r="F5104" i="1"/>
  <c r="F5105" i="1"/>
  <c r="F5106" i="1"/>
  <c r="F5107" i="1"/>
  <c r="F5108" i="1"/>
  <c r="F5109" i="1"/>
  <c r="F5110" i="1"/>
  <c r="D5100" i="1" l="1"/>
  <c r="D5101" i="1"/>
  <c r="D5102" i="1"/>
  <c r="E5100" i="1"/>
  <c r="E5101" i="1"/>
  <c r="E5102" i="1"/>
  <c r="F5100" i="1"/>
  <c r="F5101" i="1"/>
  <c r="F5102" i="1"/>
  <c r="K5096" i="1"/>
  <c r="K5097" i="1"/>
  <c r="K5098" i="1"/>
  <c r="K5099" i="1"/>
  <c r="K5100" i="1"/>
  <c r="K5101" i="1"/>
  <c r="K5102" i="1"/>
  <c r="D5096" i="1"/>
  <c r="D5097" i="1"/>
  <c r="D5098" i="1"/>
  <c r="D5099" i="1"/>
  <c r="E5096" i="1"/>
  <c r="E5097" i="1"/>
  <c r="E5098" i="1"/>
  <c r="E5099" i="1"/>
  <c r="F5096" i="1"/>
  <c r="F5097" i="1"/>
  <c r="F5098" i="1"/>
  <c r="F5099" i="1"/>
  <c r="D5092" i="1"/>
  <c r="K5090" i="1" l="1"/>
  <c r="K5091" i="1"/>
  <c r="K5092" i="1"/>
  <c r="K5093" i="1"/>
  <c r="K5094" i="1"/>
  <c r="K5095" i="1"/>
  <c r="D5090" i="1"/>
  <c r="D5091" i="1"/>
  <c r="D5093" i="1"/>
  <c r="D5094" i="1"/>
  <c r="D5095" i="1"/>
  <c r="E5090" i="1"/>
  <c r="E5091" i="1"/>
  <c r="E5092" i="1"/>
  <c r="E5093" i="1"/>
  <c r="E5094" i="1"/>
  <c r="E5095" i="1"/>
  <c r="F5090" i="1"/>
  <c r="F5091" i="1"/>
  <c r="F5092" i="1"/>
  <c r="F5093" i="1"/>
  <c r="F5094" i="1"/>
  <c r="F5095" i="1"/>
  <c r="K5087" i="1"/>
  <c r="K5088" i="1"/>
  <c r="K5089" i="1"/>
  <c r="D5087" i="1"/>
  <c r="E5087" i="1"/>
  <c r="F5087" i="1"/>
  <c r="D5088" i="1"/>
  <c r="E5088" i="1"/>
  <c r="F5088" i="1"/>
  <c r="D5089" i="1"/>
  <c r="E5089" i="1"/>
  <c r="F5089" i="1"/>
  <c r="K5084" i="1"/>
  <c r="K5085" i="1"/>
  <c r="K5086" i="1"/>
  <c r="D5086" i="1"/>
  <c r="E5086" i="1"/>
  <c r="F5086" i="1"/>
  <c r="D5085" i="1"/>
  <c r="E5085" i="1"/>
  <c r="F5085" i="1"/>
  <c r="D5084" i="1"/>
  <c r="E5084" i="1"/>
  <c r="F5084" i="1"/>
  <c r="K3673" i="1" l="1"/>
  <c r="F3673" i="1"/>
  <c r="E3673" i="1"/>
  <c r="D3673" i="1"/>
  <c r="D389" i="2"/>
  <c r="E389" i="2"/>
  <c r="F389" i="2"/>
  <c r="D391" i="2"/>
  <c r="E391" i="2"/>
  <c r="F391" i="2"/>
  <c r="D390" i="2"/>
  <c r="E390" i="2"/>
  <c r="F390" i="2"/>
  <c r="D388" i="2"/>
  <c r="E388" i="2"/>
  <c r="F388" i="2"/>
  <c r="D387" i="2"/>
  <c r="E387" i="2"/>
  <c r="F387" i="2"/>
  <c r="Q4860" i="1"/>
  <c r="Q4859" i="1"/>
  <c r="Q4858" i="1"/>
  <c r="K4859" i="1"/>
  <c r="K4860" i="1"/>
  <c r="Q4857" i="1"/>
  <c r="Q4856" i="1"/>
  <c r="Q4855" i="1"/>
  <c r="Q4854" i="1"/>
  <c r="D4859" i="1"/>
  <c r="E4859" i="1"/>
  <c r="F4859" i="1"/>
  <c r="D4860" i="1"/>
  <c r="E4860" i="1"/>
  <c r="F4860" i="1"/>
  <c r="K4855" i="1"/>
  <c r="K4856" i="1"/>
  <c r="K4857" i="1"/>
  <c r="K4858" i="1"/>
  <c r="D4857" i="1"/>
  <c r="E4857" i="1"/>
  <c r="F4857" i="1"/>
  <c r="D4858" i="1"/>
  <c r="E4858" i="1"/>
  <c r="F4858" i="1"/>
  <c r="D4855" i="1"/>
  <c r="E4855" i="1"/>
  <c r="F4855" i="1"/>
  <c r="D4856" i="1"/>
  <c r="E4856" i="1"/>
  <c r="F4856" i="1"/>
  <c r="K4854" i="1"/>
  <c r="D4854" i="1"/>
  <c r="E4854" i="1"/>
  <c r="F4854" i="1"/>
  <c r="K5010" i="1"/>
  <c r="K5011" i="1"/>
  <c r="K5012" i="1"/>
  <c r="K5013" i="1"/>
  <c r="K5014" i="1"/>
  <c r="D5010" i="1"/>
  <c r="E5010" i="1"/>
  <c r="F5010" i="1"/>
  <c r="D5011" i="1"/>
  <c r="E5011" i="1"/>
  <c r="F5011" i="1"/>
  <c r="D5012" i="1"/>
  <c r="E5012" i="1"/>
  <c r="F5012" i="1"/>
  <c r="D5013" i="1"/>
  <c r="E5013" i="1"/>
  <c r="F5013" i="1"/>
  <c r="D5014" i="1"/>
  <c r="E5014" i="1"/>
  <c r="F5014" i="1"/>
  <c r="K4934" i="1"/>
  <c r="D4934" i="1"/>
  <c r="E4934" i="1"/>
  <c r="F4934" i="1"/>
  <c r="K4861" i="1"/>
  <c r="K4862" i="1"/>
  <c r="K4863" i="1"/>
  <c r="D4862" i="1"/>
  <c r="E4862" i="1"/>
  <c r="F4862" i="1"/>
  <c r="D4863" i="1"/>
  <c r="E4863" i="1"/>
  <c r="F4863" i="1"/>
  <c r="E459" i="3" l="1"/>
  <c r="E458" i="3"/>
  <c r="E463" i="3" l="1"/>
  <c r="E462" i="3" l="1"/>
  <c r="E461" i="3"/>
  <c r="K5082" i="1"/>
  <c r="K5083" i="1"/>
  <c r="D5082" i="1"/>
  <c r="D5083" i="1"/>
  <c r="E5082" i="1"/>
  <c r="E5083" i="1"/>
  <c r="F5082" i="1"/>
  <c r="F5083" i="1"/>
  <c r="K5077" i="1"/>
  <c r="K5078" i="1"/>
  <c r="K5079" i="1"/>
  <c r="K5080" i="1"/>
  <c r="D5077" i="1"/>
  <c r="D5078" i="1"/>
  <c r="D5079" i="1"/>
  <c r="D5080" i="1"/>
  <c r="D5081" i="1"/>
  <c r="E5077" i="1"/>
  <c r="E5078" i="1"/>
  <c r="E5079" i="1"/>
  <c r="E5080" i="1"/>
  <c r="E5081" i="1"/>
  <c r="F5077" i="1"/>
  <c r="F5078" i="1"/>
  <c r="F5079" i="1"/>
  <c r="F5080" i="1"/>
  <c r="F5081" i="1"/>
  <c r="K5072" i="1"/>
  <c r="K5073" i="1"/>
  <c r="K5074" i="1"/>
  <c r="K5075" i="1"/>
  <c r="K5076" i="1"/>
  <c r="D5072" i="1"/>
  <c r="E5072" i="1"/>
  <c r="F5072" i="1"/>
  <c r="D5073" i="1"/>
  <c r="E5073" i="1"/>
  <c r="F5073" i="1"/>
  <c r="D5074" i="1"/>
  <c r="E5074" i="1"/>
  <c r="F5074" i="1"/>
  <c r="D5075" i="1"/>
  <c r="E5075" i="1"/>
  <c r="F5075" i="1"/>
  <c r="D5076" i="1"/>
  <c r="E5076" i="1"/>
  <c r="F5076" i="1"/>
  <c r="K5070" i="1"/>
  <c r="K5071" i="1"/>
  <c r="D5070" i="1"/>
  <c r="D5071" i="1"/>
  <c r="E5070" i="1"/>
  <c r="E5071" i="1"/>
  <c r="F5070" i="1"/>
  <c r="F5071" i="1"/>
  <c r="K5066" i="1"/>
  <c r="K5067" i="1"/>
  <c r="K5068" i="1"/>
  <c r="K5069" i="1"/>
  <c r="D5066" i="1"/>
  <c r="D5067" i="1"/>
  <c r="D5068" i="1"/>
  <c r="D5069" i="1"/>
  <c r="E5066" i="1"/>
  <c r="E5067" i="1"/>
  <c r="E5068" i="1"/>
  <c r="E5069" i="1"/>
  <c r="F5066" i="1"/>
  <c r="F5067" i="1"/>
  <c r="F5068" i="1"/>
  <c r="F5069" i="1"/>
  <c r="K5058" i="1"/>
  <c r="K5059" i="1"/>
  <c r="K5060" i="1"/>
  <c r="K5061" i="1"/>
  <c r="K5062" i="1"/>
  <c r="K5063" i="1"/>
  <c r="K5064" i="1"/>
  <c r="K5065" i="1"/>
  <c r="D5058" i="1"/>
  <c r="D5059" i="1"/>
  <c r="D5060" i="1"/>
  <c r="D5061" i="1"/>
  <c r="D5062" i="1"/>
  <c r="D5063" i="1"/>
  <c r="D5064" i="1"/>
  <c r="D5065" i="1"/>
  <c r="E5058" i="1"/>
  <c r="E5059" i="1"/>
  <c r="E5060" i="1"/>
  <c r="E5061" i="1"/>
  <c r="E5062" i="1"/>
  <c r="E5063" i="1"/>
  <c r="E5064" i="1"/>
  <c r="E5065" i="1"/>
  <c r="F5058" i="1"/>
  <c r="F5059" i="1"/>
  <c r="F5060" i="1"/>
  <c r="F5061" i="1"/>
  <c r="F5062" i="1"/>
  <c r="F5063" i="1"/>
  <c r="F5064" i="1"/>
  <c r="F5065" i="1"/>
  <c r="D5056" i="1"/>
  <c r="D5057" i="1"/>
  <c r="E5056" i="1"/>
  <c r="E5057" i="1"/>
  <c r="F5056" i="1"/>
  <c r="F5057" i="1"/>
  <c r="K5049" i="1"/>
  <c r="K5050" i="1"/>
  <c r="K5051" i="1"/>
  <c r="K5052" i="1"/>
  <c r="K5053" i="1"/>
  <c r="K5054" i="1"/>
  <c r="K5055" i="1"/>
  <c r="K5056" i="1"/>
  <c r="K5057" i="1"/>
  <c r="D5049" i="1"/>
  <c r="D5050" i="1"/>
  <c r="D5051" i="1"/>
  <c r="D5052" i="1"/>
  <c r="D5053" i="1"/>
  <c r="D5054" i="1"/>
  <c r="D5055" i="1"/>
  <c r="E5049" i="1"/>
  <c r="E5050" i="1"/>
  <c r="E5051" i="1"/>
  <c r="E5052" i="1"/>
  <c r="E5053" i="1"/>
  <c r="E5054" i="1"/>
  <c r="E5055" i="1"/>
  <c r="F5049" i="1"/>
  <c r="F5050" i="1"/>
  <c r="F5051" i="1"/>
  <c r="F5052" i="1"/>
  <c r="F5053" i="1"/>
  <c r="F5054" i="1"/>
  <c r="F5055" i="1"/>
  <c r="K5046" i="1"/>
  <c r="K5047" i="1"/>
  <c r="K5048" i="1"/>
  <c r="K5044" i="1"/>
  <c r="K5045" i="1"/>
  <c r="D5044" i="1"/>
  <c r="D5045" i="1"/>
  <c r="D5046" i="1"/>
  <c r="D5047" i="1"/>
  <c r="D5048" i="1"/>
  <c r="E5044" i="1"/>
  <c r="E5045" i="1"/>
  <c r="E5046" i="1"/>
  <c r="E5047" i="1"/>
  <c r="E5048" i="1"/>
  <c r="F5044" i="1"/>
  <c r="F5045" i="1"/>
  <c r="F5046" i="1"/>
  <c r="F5047" i="1"/>
  <c r="F5048" i="1"/>
  <c r="D5038" i="1"/>
  <c r="D5039" i="1"/>
  <c r="D5040" i="1"/>
  <c r="D5041" i="1"/>
  <c r="D5042" i="1"/>
  <c r="D5043" i="1"/>
  <c r="E5038" i="1"/>
  <c r="E5039" i="1"/>
  <c r="E5040" i="1"/>
  <c r="E5041" i="1"/>
  <c r="E5042" i="1"/>
  <c r="E5043" i="1"/>
  <c r="F5038" i="1"/>
  <c r="F5039" i="1"/>
  <c r="F5040" i="1"/>
  <c r="F5041" i="1"/>
  <c r="F5042" i="1"/>
  <c r="F5043" i="1"/>
  <c r="K5038" i="1"/>
  <c r="K5039" i="1"/>
  <c r="K5040" i="1"/>
  <c r="K5041" i="1"/>
  <c r="K5042" i="1"/>
  <c r="K5043" i="1"/>
  <c r="K5034" i="1"/>
  <c r="K5035" i="1"/>
  <c r="K5036" i="1"/>
  <c r="K5037" i="1"/>
  <c r="D5034" i="1"/>
  <c r="D5035" i="1"/>
  <c r="D5036" i="1"/>
  <c r="D5037" i="1"/>
  <c r="E5034" i="1"/>
  <c r="E5035" i="1"/>
  <c r="E5036" i="1"/>
  <c r="E5037" i="1"/>
  <c r="F5034" i="1"/>
  <c r="F5035" i="1"/>
  <c r="F5036" i="1"/>
  <c r="F5037" i="1"/>
  <c r="K5027" i="1"/>
  <c r="K5028" i="1"/>
  <c r="K5029" i="1"/>
  <c r="K5030" i="1"/>
  <c r="K5031" i="1"/>
  <c r="K5032" i="1"/>
  <c r="K5033" i="1"/>
  <c r="D5027" i="1"/>
  <c r="D5028" i="1"/>
  <c r="D5029" i="1"/>
  <c r="D5030" i="1"/>
  <c r="D5031" i="1"/>
  <c r="D5032" i="1"/>
  <c r="D5033" i="1"/>
  <c r="E5027" i="1"/>
  <c r="E5028" i="1"/>
  <c r="E5029" i="1"/>
  <c r="E5030" i="1"/>
  <c r="E5031" i="1"/>
  <c r="E5032" i="1"/>
  <c r="E5033" i="1"/>
  <c r="F5027" i="1"/>
  <c r="F5028" i="1"/>
  <c r="F5029" i="1"/>
  <c r="F5030" i="1"/>
  <c r="F5031" i="1"/>
  <c r="F5032" i="1"/>
  <c r="F5033" i="1"/>
  <c r="D5020" i="1"/>
  <c r="D5021" i="1"/>
  <c r="D5022" i="1"/>
  <c r="D5023" i="1"/>
  <c r="D5024" i="1"/>
  <c r="D5025" i="1"/>
  <c r="D5026" i="1"/>
  <c r="E5020" i="1"/>
  <c r="E5021" i="1"/>
  <c r="E5022" i="1"/>
  <c r="E5023" i="1"/>
  <c r="E5024" i="1"/>
  <c r="E5025" i="1"/>
  <c r="E5026" i="1"/>
  <c r="F5020" i="1"/>
  <c r="F5021" i="1"/>
  <c r="F5022" i="1"/>
  <c r="F5023" i="1"/>
  <c r="F5024" i="1"/>
  <c r="F5025" i="1"/>
  <c r="F5026" i="1"/>
  <c r="K5019" i="1"/>
  <c r="K5020" i="1"/>
  <c r="K5021" i="1"/>
  <c r="K5022" i="1"/>
  <c r="K5023" i="1"/>
  <c r="K5024" i="1"/>
  <c r="K5025" i="1"/>
  <c r="K5026" i="1"/>
  <c r="D5019" i="1"/>
  <c r="E5019" i="1"/>
  <c r="F5019" i="1"/>
  <c r="Q5018" i="1"/>
  <c r="Q5017" i="1"/>
  <c r="K5016" i="1"/>
  <c r="K5017" i="1"/>
  <c r="K5018" i="1"/>
  <c r="Q5015" i="1"/>
  <c r="K5015" i="1"/>
  <c r="D5017" i="1"/>
  <c r="D5018" i="1"/>
  <c r="E5017" i="1"/>
  <c r="E5018" i="1"/>
  <c r="F5017" i="1"/>
  <c r="F5018" i="1"/>
  <c r="D5016" i="1" l="1"/>
  <c r="E5016" i="1"/>
  <c r="F5016" i="1"/>
  <c r="D5015" i="1"/>
  <c r="E5015" i="1"/>
  <c r="F5015" i="1"/>
  <c r="I5007" i="1"/>
  <c r="K5007" i="1" s="1"/>
  <c r="I5002" i="1"/>
  <c r="K5002" i="1" s="1"/>
  <c r="K5000" i="1"/>
  <c r="K5001" i="1"/>
  <c r="K5003" i="1"/>
  <c r="K5004" i="1"/>
  <c r="K5005" i="1"/>
  <c r="K5006" i="1"/>
  <c r="K5008" i="1"/>
  <c r="K5009" i="1"/>
  <c r="D5001" i="1"/>
  <c r="D5002" i="1"/>
  <c r="D5003" i="1"/>
  <c r="D5004" i="1"/>
  <c r="D5005" i="1"/>
  <c r="D5006" i="1"/>
  <c r="D5007" i="1"/>
  <c r="D5008" i="1"/>
  <c r="D5009" i="1"/>
  <c r="E5001" i="1"/>
  <c r="E5002" i="1"/>
  <c r="E5003" i="1"/>
  <c r="E5004" i="1"/>
  <c r="E5005" i="1"/>
  <c r="E5006" i="1"/>
  <c r="E5007" i="1"/>
  <c r="E5008" i="1"/>
  <c r="E5009" i="1"/>
  <c r="F5001" i="1"/>
  <c r="F5002" i="1"/>
  <c r="F5003" i="1"/>
  <c r="F5004" i="1"/>
  <c r="F5005" i="1"/>
  <c r="F5006" i="1"/>
  <c r="F5007" i="1"/>
  <c r="F5008" i="1"/>
  <c r="F5009" i="1"/>
  <c r="D5000" i="1"/>
  <c r="E5000" i="1"/>
  <c r="F5000" i="1"/>
  <c r="E456" i="3"/>
  <c r="K4995" i="1"/>
  <c r="K4996" i="1"/>
  <c r="K4997" i="1"/>
  <c r="K4998" i="1"/>
  <c r="K4999" i="1"/>
  <c r="D4995" i="1"/>
  <c r="D4996" i="1"/>
  <c r="D4997" i="1"/>
  <c r="D4998" i="1"/>
  <c r="D4999" i="1"/>
  <c r="E4995" i="1"/>
  <c r="E4996" i="1"/>
  <c r="E4997" i="1"/>
  <c r="E4998" i="1"/>
  <c r="E4999" i="1"/>
  <c r="F4995" i="1"/>
  <c r="F4996" i="1"/>
  <c r="F4997" i="1"/>
  <c r="F4998" i="1"/>
  <c r="F4999" i="1"/>
  <c r="K4991" i="1"/>
  <c r="K4992" i="1"/>
  <c r="K4993" i="1"/>
  <c r="K4994" i="1"/>
  <c r="F4994" i="1"/>
  <c r="E4994" i="1"/>
  <c r="D4994" i="1"/>
  <c r="K4989" i="1"/>
  <c r="K4990" i="1"/>
  <c r="D4989" i="1"/>
  <c r="D4990" i="1"/>
  <c r="D4991" i="1"/>
  <c r="D4992" i="1"/>
  <c r="D4993" i="1"/>
  <c r="E4989" i="1"/>
  <c r="E4990" i="1"/>
  <c r="E4991" i="1"/>
  <c r="E4992" i="1"/>
  <c r="E4993" i="1"/>
  <c r="F4989" i="1"/>
  <c r="F4990" i="1"/>
  <c r="F4991" i="1"/>
  <c r="F4992" i="1"/>
  <c r="F4993" i="1"/>
  <c r="D4985" i="1"/>
  <c r="D4986" i="1"/>
  <c r="D4987" i="1"/>
  <c r="D4988" i="1"/>
  <c r="E4985" i="1"/>
  <c r="E4986" i="1"/>
  <c r="E4987" i="1"/>
  <c r="E4988" i="1"/>
  <c r="F4985" i="1"/>
  <c r="F4986" i="1"/>
  <c r="F4987" i="1"/>
  <c r="F4988" i="1"/>
  <c r="K4983" i="1"/>
  <c r="K4984" i="1"/>
  <c r="K4985" i="1"/>
  <c r="K4986" i="1"/>
  <c r="K4987" i="1"/>
  <c r="K4988" i="1"/>
  <c r="K4975" i="1"/>
  <c r="K4976" i="1"/>
  <c r="K4977" i="1"/>
  <c r="K4978" i="1"/>
  <c r="K4979" i="1"/>
  <c r="K4980" i="1"/>
  <c r="K4981" i="1"/>
  <c r="K4982" i="1"/>
  <c r="D4975" i="1"/>
  <c r="D4976" i="1"/>
  <c r="D4977" i="1"/>
  <c r="D4978" i="1"/>
  <c r="D4979" i="1"/>
  <c r="D4980" i="1"/>
  <c r="D4981" i="1"/>
  <c r="D4982" i="1"/>
  <c r="D4983" i="1"/>
  <c r="D4984" i="1"/>
  <c r="E4975" i="1"/>
  <c r="E4976" i="1"/>
  <c r="E4977" i="1"/>
  <c r="E4978" i="1"/>
  <c r="E4979" i="1"/>
  <c r="E4980" i="1"/>
  <c r="E4981" i="1"/>
  <c r="E4982" i="1"/>
  <c r="E4983" i="1"/>
  <c r="E4984" i="1"/>
  <c r="F4975" i="1"/>
  <c r="F4976" i="1"/>
  <c r="F4977" i="1"/>
  <c r="F4978" i="1"/>
  <c r="F4979" i="1"/>
  <c r="F4980" i="1"/>
  <c r="F4981" i="1"/>
  <c r="F4982" i="1"/>
  <c r="F4983" i="1"/>
  <c r="F4984" i="1"/>
  <c r="K4964" i="1"/>
  <c r="K4965" i="1"/>
  <c r="K4966" i="1"/>
  <c r="K4967" i="1"/>
  <c r="K4968" i="1"/>
  <c r="K4969" i="1"/>
  <c r="K4970" i="1"/>
  <c r="K4971" i="1"/>
  <c r="K4972" i="1"/>
  <c r="K4973" i="1"/>
  <c r="K4974" i="1"/>
  <c r="D4965" i="1"/>
  <c r="D4966" i="1"/>
  <c r="D4967" i="1"/>
  <c r="D4968" i="1"/>
  <c r="D4969" i="1"/>
  <c r="D4970" i="1"/>
  <c r="D4971" i="1"/>
  <c r="D4972" i="1"/>
  <c r="D4973" i="1"/>
  <c r="D4974" i="1"/>
  <c r="E4965" i="1"/>
  <c r="E4966" i="1"/>
  <c r="E4967" i="1"/>
  <c r="E4968" i="1"/>
  <c r="E4969" i="1"/>
  <c r="E4970" i="1"/>
  <c r="E4971" i="1"/>
  <c r="E4972" i="1"/>
  <c r="E4973" i="1"/>
  <c r="E4974" i="1"/>
  <c r="F4965" i="1"/>
  <c r="F4966" i="1"/>
  <c r="F4967" i="1"/>
  <c r="F4968" i="1"/>
  <c r="F4969" i="1"/>
  <c r="F4970" i="1"/>
  <c r="F4971" i="1"/>
  <c r="F4972" i="1"/>
  <c r="F4973" i="1"/>
  <c r="F4974" i="1"/>
  <c r="D4964" i="1" l="1"/>
  <c r="E4964" i="1"/>
  <c r="F4964" i="1"/>
  <c r="E457" i="3"/>
  <c r="K4958" i="1"/>
  <c r="K4951" i="1"/>
  <c r="K4952" i="1"/>
  <c r="K4953" i="1"/>
  <c r="K4954" i="1"/>
  <c r="K4955" i="1"/>
  <c r="K4956" i="1"/>
  <c r="K4957" i="1"/>
  <c r="K4959" i="1"/>
  <c r="K4960" i="1"/>
  <c r="K4961" i="1"/>
  <c r="K4962" i="1"/>
  <c r="K4963" i="1"/>
  <c r="D4963" i="1"/>
  <c r="E4963" i="1"/>
  <c r="F4963" i="1"/>
  <c r="D4952" i="1"/>
  <c r="D4953" i="1"/>
  <c r="D4954" i="1"/>
  <c r="D4955" i="1"/>
  <c r="D4956" i="1"/>
  <c r="D4957" i="1"/>
  <c r="D4958" i="1"/>
  <c r="D4959" i="1"/>
  <c r="D4960" i="1"/>
  <c r="D4961" i="1"/>
  <c r="D4962" i="1"/>
  <c r="E4952" i="1"/>
  <c r="E4953" i="1"/>
  <c r="E4954" i="1"/>
  <c r="E4955" i="1"/>
  <c r="E4956" i="1"/>
  <c r="E4957" i="1"/>
  <c r="E4958" i="1"/>
  <c r="E4959" i="1"/>
  <c r="E4960" i="1"/>
  <c r="E4961" i="1"/>
  <c r="E4962" i="1"/>
  <c r="F4952" i="1"/>
  <c r="F4953" i="1"/>
  <c r="F4954" i="1"/>
  <c r="F4955" i="1"/>
  <c r="F4956" i="1"/>
  <c r="F4957" i="1"/>
  <c r="F4958" i="1"/>
  <c r="F4959" i="1"/>
  <c r="F4960" i="1"/>
  <c r="F4961" i="1"/>
  <c r="F4962" i="1"/>
  <c r="D4951" i="1"/>
  <c r="E4951" i="1"/>
  <c r="F4951" i="1"/>
  <c r="D379" i="2"/>
  <c r="E379" i="2"/>
  <c r="F379" i="2"/>
  <c r="D380" i="2"/>
  <c r="E380" i="2"/>
  <c r="F380" i="2"/>
  <c r="D377" i="2"/>
  <c r="E377" i="2"/>
  <c r="F377" i="2"/>
  <c r="D378" i="2"/>
  <c r="E378" i="2"/>
  <c r="F378" i="2"/>
  <c r="D386" i="2"/>
  <c r="E386" i="2"/>
  <c r="F386" i="2"/>
  <c r="D384" i="2"/>
  <c r="D385" i="2"/>
  <c r="E384" i="2"/>
  <c r="E385" i="2"/>
  <c r="F384" i="2"/>
  <c r="F385" i="2"/>
  <c r="D383" i="2"/>
  <c r="E383" i="2"/>
  <c r="F383" i="2"/>
  <c r="D382" i="2"/>
  <c r="E382" i="2"/>
  <c r="F382" i="2"/>
  <c r="K4950" i="1"/>
  <c r="D4950" i="1"/>
  <c r="E4950" i="1"/>
  <c r="F4950" i="1"/>
  <c r="Q4869" i="1" l="1"/>
  <c r="Q4868" i="1"/>
  <c r="K4868" i="1"/>
  <c r="K4869" i="1"/>
  <c r="D4868" i="1" l="1"/>
  <c r="E4868" i="1"/>
  <c r="F4868" i="1"/>
  <c r="D4869" i="1"/>
  <c r="E4869" i="1"/>
  <c r="F4869" i="1"/>
  <c r="Q4843" i="1"/>
  <c r="Q4842" i="1"/>
  <c r="Q4841" i="1"/>
  <c r="Q4840" i="1"/>
  <c r="Q4839" i="1"/>
  <c r="K4945" i="1"/>
  <c r="K4946" i="1"/>
  <c r="K4947" i="1"/>
  <c r="K4948" i="1"/>
  <c r="K4949" i="1"/>
  <c r="D4949" i="1"/>
  <c r="E4949" i="1"/>
  <c r="F4949" i="1"/>
  <c r="D4948" i="1"/>
  <c r="E4948" i="1"/>
  <c r="F4948" i="1"/>
  <c r="D4946" i="1"/>
  <c r="D4947" i="1"/>
  <c r="E4946" i="1"/>
  <c r="E4947" i="1"/>
  <c r="F4946" i="1"/>
  <c r="F4947" i="1"/>
  <c r="D4945" i="1"/>
  <c r="E4945" i="1"/>
  <c r="F4945" i="1"/>
  <c r="E455" i="3"/>
  <c r="D381" i="2" l="1"/>
  <c r="E381" i="2"/>
  <c r="F381" i="2"/>
  <c r="E451" i="3" l="1"/>
  <c r="E452" i="3"/>
  <c r="E453" i="3"/>
  <c r="E454" i="3"/>
  <c r="K4943" i="1"/>
  <c r="K4944" i="1"/>
  <c r="D4943" i="1"/>
  <c r="D4944" i="1"/>
  <c r="E4943" i="1"/>
  <c r="E4944" i="1"/>
  <c r="F4943" i="1"/>
  <c r="F4944" i="1"/>
  <c r="D4936" i="1"/>
  <c r="E4936" i="1"/>
  <c r="F4936" i="1"/>
  <c r="K4936" i="1"/>
  <c r="D4937" i="1"/>
  <c r="E4937" i="1"/>
  <c r="F4937" i="1"/>
  <c r="K4937" i="1"/>
  <c r="D4938" i="1"/>
  <c r="E4938" i="1"/>
  <c r="F4938" i="1"/>
  <c r="K4938" i="1"/>
  <c r="D4939" i="1"/>
  <c r="E4939" i="1"/>
  <c r="F4939" i="1"/>
  <c r="K4939" i="1"/>
  <c r="D4940" i="1"/>
  <c r="E4940" i="1"/>
  <c r="F4940" i="1"/>
  <c r="K4940" i="1"/>
  <c r="D4941" i="1"/>
  <c r="E4941" i="1"/>
  <c r="F4941" i="1"/>
  <c r="K4941" i="1"/>
  <c r="D4942" i="1"/>
  <c r="E4942" i="1"/>
  <c r="F4942" i="1"/>
  <c r="K4942" i="1"/>
  <c r="K4930" i="1"/>
  <c r="K4931" i="1"/>
  <c r="K4932" i="1"/>
  <c r="K4935" i="1"/>
  <c r="D4933" i="1"/>
  <c r="D4935" i="1"/>
  <c r="E4933" i="1"/>
  <c r="E4935" i="1"/>
  <c r="F4933" i="1"/>
  <c r="F4935" i="1"/>
  <c r="D4930" i="1"/>
  <c r="D4931" i="1"/>
  <c r="D4932" i="1"/>
  <c r="E4930" i="1"/>
  <c r="E4931" i="1"/>
  <c r="E4932" i="1"/>
  <c r="F4930" i="1"/>
  <c r="F4931" i="1"/>
  <c r="F4932" i="1"/>
  <c r="D4922" i="1" l="1"/>
  <c r="E4922" i="1"/>
  <c r="F4922" i="1"/>
  <c r="K4922" i="1"/>
  <c r="D4923" i="1"/>
  <c r="E4923" i="1"/>
  <c r="F4923" i="1"/>
  <c r="K4923" i="1"/>
  <c r="D4924" i="1"/>
  <c r="E4924" i="1"/>
  <c r="F4924" i="1"/>
  <c r="K4924" i="1"/>
  <c r="D4925" i="1"/>
  <c r="E4925" i="1"/>
  <c r="F4925" i="1"/>
  <c r="K4925" i="1"/>
  <c r="D4926" i="1"/>
  <c r="E4926" i="1"/>
  <c r="F4926" i="1"/>
  <c r="K4926" i="1"/>
  <c r="D4927" i="1"/>
  <c r="E4927" i="1"/>
  <c r="F4927" i="1"/>
  <c r="K4927" i="1"/>
  <c r="D4928" i="1"/>
  <c r="E4928" i="1"/>
  <c r="F4928" i="1"/>
  <c r="K4928" i="1"/>
  <c r="D4929" i="1"/>
  <c r="E4929" i="1"/>
  <c r="F4929" i="1"/>
  <c r="K4929" i="1"/>
  <c r="D4920" i="1"/>
  <c r="E4920" i="1"/>
  <c r="K4915" i="1"/>
  <c r="K4916" i="1"/>
  <c r="K4917" i="1"/>
  <c r="K4918" i="1"/>
  <c r="K4919" i="1"/>
  <c r="K4920" i="1"/>
  <c r="K4921" i="1"/>
  <c r="D4915" i="1"/>
  <c r="D4916" i="1"/>
  <c r="D4917" i="1"/>
  <c r="D4918" i="1"/>
  <c r="D4919" i="1"/>
  <c r="D4921" i="1"/>
  <c r="E4915" i="1"/>
  <c r="E4916" i="1"/>
  <c r="E4917" i="1"/>
  <c r="E4918" i="1"/>
  <c r="E4919" i="1"/>
  <c r="E4921" i="1"/>
  <c r="F4915" i="1"/>
  <c r="F4916" i="1"/>
  <c r="F4917" i="1"/>
  <c r="F4918" i="1"/>
  <c r="F4919" i="1"/>
  <c r="F4920" i="1"/>
  <c r="F4921" i="1"/>
  <c r="K4908" i="1"/>
  <c r="K4909" i="1"/>
  <c r="K4910" i="1"/>
  <c r="K4911" i="1"/>
  <c r="K4912" i="1"/>
  <c r="K4913" i="1"/>
  <c r="K4914" i="1"/>
  <c r="D4914" i="1"/>
  <c r="D4908" i="1"/>
  <c r="D4909" i="1"/>
  <c r="D4910" i="1"/>
  <c r="D4911" i="1"/>
  <c r="D4912" i="1"/>
  <c r="D4913" i="1"/>
  <c r="E4909" i="1"/>
  <c r="E4910" i="1"/>
  <c r="E4911" i="1"/>
  <c r="E4912" i="1"/>
  <c r="E4913" i="1"/>
  <c r="E4914" i="1"/>
  <c r="F4909" i="1"/>
  <c r="F4910" i="1"/>
  <c r="F4911" i="1"/>
  <c r="F4912" i="1"/>
  <c r="F4913" i="1"/>
  <c r="F4914" i="1"/>
  <c r="E4908" i="1"/>
  <c r="F4908" i="1"/>
  <c r="D4902" i="1"/>
  <c r="E4902" i="1"/>
  <c r="F4902" i="1"/>
  <c r="K4902" i="1"/>
  <c r="D4903" i="1"/>
  <c r="E4903" i="1"/>
  <c r="F4903" i="1"/>
  <c r="K4903" i="1"/>
  <c r="D4904" i="1"/>
  <c r="E4904" i="1"/>
  <c r="F4904" i="1"/>
  <c r="K4904" i="1"/>
  <c r="D4905" i="1"/>
  <c r="E4905" i="1"/>
  <c r="F4905" i="1"/>
  <c r="K4905" i="1"/>
  <c r="D4906" i="1"/>
  <c r="E4906" i="1"/>
  <c r="F4906" i="1"/>
  <c r="D4907" i="1"/>
  <c r="E4907" i="1"/>
  <c r="F4907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D4887" i="1"/>
  <c r="E4887" i="1"/>
  <c r="F4887" i="1"/>
  <c r="D4880" i="1"/>
  <c r="E4880" i="1"/>
  <c r="D4881" i="1"/>
  <c r="E4881" i="1"/>
  <c r="D4882" i="1"/>
  <c r="E4882" i="1"/>
  <c r="K4879" i="1"/>
  <c r="K4880" i="1"/>
  <c r="K4881" i="1"/>
  <c r="K4882" i="1"/>
  <c r="K4883" i="1"/>
  <c r="K4884" i="1"/>
  <c r="K4885" i="1"/>
  <c r="K4886" i="1"/>
  <c r="D4879" i="1"/>
  <c r="D4883" i="1"/>
  <c r="D4884" i="1"/>
  <c r="D4885" i="1"/>
  <c r="D4886" i="1"/>
  <c r="E4879" i="1"/>
  <c r="E4883" i="1"/>
  <c r="E4884" i="1"/>
  <c r="E4885" i="1"/>
  <c r="E4886" i="1"/>
  <c r="F4879" i="1"/>
  <c r="F4880" i="1"/>
  <c r="F4881" i="1"/>
  <c r="F4882" i="1"/>
  <c r="F4883" i="1"/>
  <c r="F4884" i="1"/>
  <c r="F4885" i="1"/>
  <c r="F4886" i="1"/>
  <c r="K4873" i="1"/>
  <c r="K4874" i="1"/>
  <c r="K4875" i="1"/>
  <c r="K4876" i="1"/>
  <c r="K4877" i="1"/>
  <c r="K4878" i="1"/>
  <c r="D4873" i="1"/>
  <c r="D4874" i="1"/>
  <c r="D4875" i="1"/>
  <c r="D4876" i="1"/>
  <c r="D4877" i="1"/>
  <c r="D4878" i="1"/>
  <c r="E4873" i="1"/>
  <c r="E4874" i="1"/>
  <c r="E4875" i="1"/>
  <c r="E4876" i="1"/>
  <c r="E4877" i="1"/>
  <c r="E4878" i="1"/>
  <c r="F4873" i="1"/>
  <c r="F4874" i="1"/>
  <c r="F4875" i="1"/>
  <c r="F4876" i="1"/>
  <c r="F4877" i="1"/>
  <c r="F4878" i="1"/>
  <c r="K4864" i="1"/>
  <c r="K4865" i="1"/>
  <c r="K4866" i="1"/>
  <c r="K4867" i="1"/>
  <c r="K4870" i="1"/>
  <c r="K4871" i="1"/>
  <c r="K4872" i="1"/>
  <c r="D4864" i="1"/>
  <c r="D4865" i="1"/>
  <c r="D4866" i="1"/>
  <c r="D4867" i="1"/>
  <c r="D4870" i="1"/>
  <c r="D4871" i="1"/>
  <c r="D4872" i="1"/>
  <c r="E4864" i="1"/>
  <c r="E4865" i="1"/>
  <c r="E4866" i="1"/>
  <c r="E4867" i="1"/>
  <c r="E4870" i="1"/>
  <c r="E4871" i="1"/>
  <c r="E4872" i="1"/>
  <c r="F4864" i="1"/>
  <c r="F4865" i="1"/>
  <c r="F4866" i="1"/>
  <c r="F4867" i="1"/>
  <c r="F4870" i="1"/>
  <c r="F4871" i="1"/>
  <c r="F4872" i="1"/>
  <c r="D375" i="2" l="1"/>
  <c r="D376" i="2"/>
  <c r="E375" i="2"/>
  <c r="E376" i="2"/>
  <c r="F375" i="2"/>
  <c r="F376" i="2"/>
  <c r="D372" i="2"/>
  <c r="D373" i="2"/>
  <c r="D374" i="2"/>
  <c r="E372" i="2"/>
  <c r="E373" i="2"/>
  <c r="E374" i="2"/>
  <c r="F372" i="2"/>
  <c r="F373" i="2"/>
  <c r="F374" i="2"/>
  <c r="D4861" i="1" l="1"/>
  <c r="E4861" i="1"/>
  <c r="F4861" i="1"/>
  <c r="K3548" i="1"/>
  <c r="F3548" i="1"/>
  <c r="E3548" i="1"/>
  <c r="D3548" i="1"/>
  <c r="K2280" i="1" l="1"/>
  <c r="F2280" i="1"/>
  <c r="E2280" i="1"/>
  <c r="D2280" i="1"/>
  <c r="K3765" i="1"/>
  <c r="F3765" i="1"/>
  <c r="E3765" i="1"/>
  <c r="D3765" i="1"/>
  <c r="E448" i="3"/>
  <c r="E449" i="3"/>
  <c r="E450" i="3"/>
  <c r="K4844" i="1"/>
  <c r="K4845" i="1"/>
  <c r="K4846" i="1"/>
  <c r="K4847" i="1"/>
  <c r="K4848" i="1"/>
  <c r="K4849" i="1"/>
  <c r="K4850" i="1"/>
  <c r="K4851" i="1"/>
  <c r="K4852" i="1"/>
  <c r="K4853" i="1"/>
  <c r="D4844" i="1"/>
  <c r="D4845" i="1"/>
  <c r="D4846" i="1"/>
  <c r="D4847" i="1"/>
  <c r="D4848" i="1"/>
  <c r="D4849" i="1"/>
  <c r="D4850" i="1"/>
  <c r="D4851" i="1"/>
  <c r="D4852" i="1"/>
  <c r="D4853" i="1"/>
  <c r="E4844" i="1"/>
  <c r="E4845" i="1"/>
  <c r="E4846" i="1"/>
  <c r="E4847" i="1"/>
  <c r="E4848" i="1"/>
  <c r="E4849" i="1"/>
  <c r="E4850" i="1"/>
  <c r="E4851" i="1"/>
  <c r="E4852" i="1"/>
  <c r="E4853" i="1"/>
  <c r="F4844" i="1"/>
  <c r="F4845" i="1"/>
  <c r="F4846" i="1"/>
  <c r="F4847" i="1"/>
  <c r="F4848" i="1"/>
  <c r="F4849" i="1"/>
  <c r="F4850" i="1"/>
  <c r="F4851" i="1"/>
  <c r="F4852" i="1"/>
  <c r="F4853" i="1"/>
  <c r="K4839" i="1"/>
  <c r="K4840" i="1"/>
  <c r="K4841" i="1"/>
  <c r="K4842" i="1"/>
  <c r="K4843" i="1"/>
  <c r="D4840" i="1"/>
  <c r="D4841" i="1"/>
  <c r="D4842" i="1"/>
  <c r="D4843" i="1"/>
  <c r="E4840" i="1"/>
  <c r="E4841" i="1"/>
  <c r="E4842" i="1"/>
  <c r="E4843" i="1"/>
  <c r="F4840" i="1"/>
  <c r="F4841" i="1"/>
  <c r="F4842" i="1"/>
  <c r="F4843" i="1"/>
  <c r="D4839" i="1"/>
  <c r="E4839" i="1"/>
  <c r="F4839" i="1"/>
  <c r="K4828" i="1"/>
  <c r="K4829" i="1"/>
  <c r="K4830" i="1"/>
  <c r="K4831" i="1"/>
  <c r="K4832" i="1"/>
  <c r="K4833" i="1"/>
  <c r="K4834" i="1"/>
  <c r="K4835" i="1"/>
  <c r="K4836" i="1"/>
  <c r="K4837" i="1"/>
  <c r="K4838" i="1"/>
  <c r="D4828" i="1"/>
  <c r="D4829" i="1"/>
  <c r="D4830" i="1"/>
  <c r="D4831" i="1"/>
  <c r="D4832" i="1"/>
  <c r="D4833" i="1"/>
  <c r="D4834" i="1"/>
  <c r="D4835" i="1"/>
  <c r="D4836" i="1"/>
  <c r="D4837" i="1"/>
  <c r="D4838" i="1"/>
  <c r="E4828" i="1"/>
  <c r="E4829" i="1"/>
  <c r="E4830" i="1"/>
  <c r="E4831" i="1"/>
  <c r="E4832" i="1"/>
  <c r="E4833" i="1"/>
  <c r="E4834" i="1"/>
  <c r="E4835" i="1"/>
  <c r="E4836" i="1"/>
  <c r="E4837" i="1"/>
  <c r="E4838" i="1"/>
  <c r="F4828" i="1"/>
  <c r="F4829" i="1"/>
  <c r="F4830" i="1"/>
  <c r="F4831" i="1"/>
  <c r="F4832" i="1"/>
  <c r="F4833" i="1"/>
  <c r="F4834" i="1"/>
  <c r="F4835" i="1"/>
  <c r="F4836" i="1"/>
  <c r="F4837" i="1"/>
  <c r="F4838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K4811" i="1"/>
  <c r="K4812" i="1"/>
  <c r="K4813" i="1"/>
  <c r="K4814" i="1"/>
  <c r="D4811" i="1"/>
  <c r="D4812" i="1"/>
  <c r="D4813" i="1"/>
  <c r="D4814" i="1"/>
  <c r="E4811" i="1"/>
  <c r="E4812" i="1"/>
  <c r="E4813" i="1"/>
  <c r="E4814" i="1"/>
  <c r="F4811" i="1"/>
  <c r="F4812" i="1"/>
  <c r="F4813" i="1"/>
  <c r="F4814" i="1"/>
  <c r="K4805" i="1"/>
  <c r="K4806" i="1"/>
  <c r="K4807" i="1"/>
  <c r="K4808" i="1"/>
  <c r="K4809" i="1"/>
  <c r="K4810" i="1"/>
  <c r="D4805" i="1"/>
  <c r="D4806" i="1"/>
  <c r="D4807" i="1"/>
  <c r="D4808" i="1"/>
  <c r="D4809" i="1"/>
  <c r="D4810" i="1"/>
  <c r="E4805" i="1"/>
  <c r="E4806" i="1"/>
  <c r="E4807" i="1"/>
  <c r="E4808" i="1"/>
  <c r="E4809" i="1"/>
  <c r="E4810" i="1"/>
  <c r="F4805" i="1"/>
  <c r="F4806" i="1"/>
  <c r="F4807" i="1"/>
  <c r="F4808" i="1"/>
  <c r="F4809" i="1"/>
  <c r="F4810" i="1"/>
  <c r="K4795" i="1"/>
  <c r="K4796" i="1"/>
  <c r="K4797" i="1"/>
  <c r="K4798" i="1"/>
  <c r="K4799" i="1"/>
  <c r="K4800" i="1"/>
  <c r="K4801" i="1"/>
  <c r="K4802" i="1"/>
  <c r="K4803" i="1"/>
  <c r="K4804" i="1"/>
  <c r="D4801" i="1"/>
  <c r="D4802" i="1"/>
  <c r="D4803" i="1"/>
  <c r="D4804" i="1"/>
  <c r="E4801" i="1"/>
  <c r="E4802" i="1"/>
  <c r="E4803" i="1"/>
  <c r="E4804" i="1"/>
  <c r="F4801" i="1"/>
  <c r="F4802" i="1"/>
  <c r="F4803" i="1"/>
  <c r="F4804" i="1"/>
  <c r="D4795" i="1"/>
  <c r="D4796" i="1"/>
  <c r="D4797" i="1"/>
  <c r="D4798" i="1"/>
  <c r="D4799" i="1"/>
  <c r="D4800" i="1"/>
  <c r="E4795" i="1"/>
  <c r="E4796" i="1"/>
  <c r="E4797" i="1"/>
  <c r="E4798" i="1"/>
  <c r="E4799" i="1"/>
  <c r="E4800" i="1"/>
  <c r="F4795" i="1"/>
  <c r="F4796" i="1"/>
  <c r="F4797" i="1"/>
  <c r="F4798" i="1"/>
  <c r="F4799" i="1"/>
  <c r="F4800" i="1"/>
  <c r="K4790" i="1"/>
  <c r="K4791" i="1"/>
  <c r="K4792" i="1"/>
  <c r="K4793" i="1"/>
  <c r="K4794" i="1"/>
  <c r="D4794" i="1"/>
  <c r="E4794" i="1"/>
  <c r="F4794" i="1"/>
  <c r="D4793" i="1"/>
  <c r="E4793" i="1"/>
  <c r="F4793" i="1"/>
  <c r="D4792" i="1"/>
  <c r="E4792" i="1"/>
  <c r="F4792" i="1"/>
  <c r="D4790" i="1"/>
  <c r="D4791" i="1"/>
  <c r="E4790" i="1"/>
  <c r="E4791" i="1"/>
  <c r="F4790" i="1"/>
  <c r="F4791" i="1"/>
  <c r="K4787" i="1"/>
  <c r="K4788" i="1"/>
  <c r="K4789" i="1"/>
  <c r="D4787" i="1"/>
  <c r="D4788" i="1"/>
  <c r="D4789" i="1"/>
  <c r="E4787" i="1"/>
  <c r="E4788" i="1"/>
  <c r="E4789" i="1"/>
  <c r="F4787" i="1"/>
  <c r="F4788" i="1"/>
  <c r="F4789" i="1"/>
  <c r="K4785" i="1"/>
  <c r="K4786" i="1"/>
  <c r="D4785" i="1"/>
  <c r="D4786" i="1"/>
  <c r="E4785" i="1"/>
  <c r="E4786" i="1"/>
  <c r="F4785" i="1"/>
  <c r="F4786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K4761" i="1"/>
  <c r="K4762" i="1"/>
  <c r="K4763" i="1"/>
  <c r="K4764" i="1"/>
  <c r="K4765" i="1"/>
  <c r="K4766" i="1"/>
  <c r="K4767" i="1"/>
  <c r="K4768" i="1"/>
  <c r="K4769" i="1"/>
  <c r="K4770" i="1"/>
  <c r="D4761" i="1"/>
  <c r="D4762" i="1"/>
  <c r="D4763" i="1"/>
  <c r="D4764" i="1"/>
  <c r="D4765" i="1"/>
  <c r="D4766" i="1"/>
  <c r="D4767" i="1"/>
  <c r="D4768" i="1"/>
  <c r="D4769" i="1"/>
  <c r="D4770" i="1"/>
  <c r="E4761" i="1"/>
  <c r="E4762" i="1"/>
  <c r="E4763" i="1"/>
  <c r="E4764" i="1"/>
  <c r="E4765" i="1"/>
  <c r="E4766" i="1"/>
  <c r="E4767" i="1"/>
  <c r="E4768" i="1"/>
  <c r="E4769" i="1"/>
  <c r="E4770" i="1"/>
  <c r="F4761" i="1"/>
  <c r="F4762" i="1"/>
  <c r="F4763" i="1"/>
  <c r="F4764" i="1"/>
  <c r="F4765" i="1"/>
  <c r="F4766" i="1"/>
  <c r="F4767" i="1"/>
  <c r="F4768" i="1"/>
  <c r="F4769" i="1"/>
  <c r="F4770" i="1"/>
  <c r="Q12" i="10" l="1"/>
  <c r="D4685" i="1" l="1"/>
  <c r="E4685" i="1"/>
  <c r="F4685" i="1"/>
  <c r="K4508" i="1"/>
  <c r="D4508" i="1"/>
  <c r="E4508" i="1"/>
  <c r="F4508" i="1"/>
  <c r="E437" i="3"/>
  <c r="E438" i="3"/>
  <c r="E436" i="3"/>
  <c r="D361" i="2"/>
  <c r="E361" i="2"/>
  <c r="F361" i="2"/>
  <c r="Q4755" i="1" l="1"/>
  <c r="Q4754" i="1"/>
  <c r="K4754" i="1"/>
  <c r="K4755" i="1"/>
  <c r="D4755" i="1"/>
  <c r="E4755" i="1"/>
  <c r="F4755" i="1"/>
  <c r="D4754" i="1"/>
  <c r="E4754" i="1"/>
  <c r="F4754" i="1"/>
  <c r="Q4478" i="1"/>
  <c r="K4478" i="1"/>
  <c r="D4478" i="1"/>
  <c r="E4478" i="1"/>
  <c r="F4478" i="1"/>
  <c r="Q4477" i="1"/>
  <c r="K4477" i="1"/>
  <c r="D4477" i="1"/>
  <c r="E4477" i="1"/>
  <c r="F4477" i="1"/>
  <c r="D371" i="2" l="1"/>
  <c r="E371" i="2"/>
  <c r="F371" i="2"/>
  <c r="E447" i="3"/>
  <c r="E446" i="3"/>
  <c r="E445" i="3"/>
  <c r="E444" i="3"/>
  <c r="E443" i="3"/>
  <c r="E441" i="3"/>
  <c r="E442" i="3"/>
  <c r="E439" i="3"/>
  <c r="E440" i="3"/>
  <c r="K4760" i="1"/>
  <c r="K4759" i="1"/>
  <c r="D4760" i="1"/>
  <c r="E4760" i="1"/>
  <c r="F4760" i="1"/>
  <c r="K4758" i="1"/>
  <c r="D4758" i="1"/>
  <c r="D4759" i="1"/>
  <c r="E4758" i="1"/>
  <c r="E4759" i="1"/>
  <c r="F4758" i="1"/>
  <c r="F4759" i="1"/>
  <c r="K4746" i="1"/>
  <c r="K4747" i="1"/>
  <c r="K4748" i="1"/>
  <c r="K4749" i="1"/>
  <c r="K4750" i="1"/>
  <c r="K4751" i="1"/>
  <c r="K4752" i="1"/>
  <c r="K4753" i="1"/>
  <c r="D4753" i="1"/>
  <c r="E4753" i="1"/>
  <c r="F4753" i="1"/>
  <c r="D4747" i="1"/>
  <c r="D4748" i="1"/>
  <c r="D4749" i="1"/>
  <c r="D4750" i="1"/>
  <c r="D4751" i="1"/>
  <c r="D4752" i="1"/>
  <c r="E4747" i="1"/>
  <c r="E4748" i="1"/>
  <c r="E4749" i="1"/>
  <c r="E4750" i="1"/>
  <c r="E4751" i="1"/>
  <c r="E4752" i="1"/>
  <c r="F4747" i="1"/>
  <c r="F4748" i="1"/>
  <c r="F4749" i="1"/>
  <c r="F4750" i="1"/>
  <c r="F4751" i="1"/>
  <c r="F4752" i="1"/>
  <c r="D4746" i="1"/>
  <c r="E4746" i="1"/>
  <c r="F4746" i="1"/>
  <c r="K4739" i="1"/>
  <c r="K4740" i="1"/>
  <c r="K4741" i="1"/>
  <c r="K4742" i="1"/>
  <c r="K4743" i="1"/>
  <c r="K4744" i="1"/>
  <c r="K4745" i="1"/>
  <c r="D4744" i="1"/>
  <c r="D4745" i="1"/>
  <c r="E4744" i="1"/>
  <c r="E4745" i="1"/>
  <c r="F4744" i="1"/>
  <c r="F4745" i="1"/>
  <c r="D4743" i="1"/>
  <c r="E4743" i="1"/>
  <c r="F4743" i="1"/>
  <c r="D4739" i="1"/>
  <c r="D4740" i="1"/>
  <c r="D4741" i="1"/>
  <c r="D4742" i="1"/>
  <c r="E4739" i="1"/>
  <c r="E4740" i="1"/>
  <c r="E4741" i="1"/>
  <c r="E4742" i="1"/>
  <c r="F4739" i="1"/>
  <c r="F4740" i="1"/>
  <c r="F4741" i="1"/>
  <c r="F4742" i="1"/>
  <c r="K4735" i="1"/>
  <c r="K4736" i="1"/>
  <c r="K4737" i="1"/>
  <c r="K4738" i="1"/>
  <c r="D4735" i="1"/>
  <c r="D4736" i="1"/>
  <c r="D4737" i="1"/>
  <c r="D4738" i="1"/>
  <c r="E4735" i="1"/>
  <c r="E4736" i="1"/>
  <c r="E4737" i="1"/>
  <c r="E4738" i="1"/>
  <c r="F4735" i="1"/>
  <c r="F4736" i="1"/>
  <c r="F4737" i="1"/>
  <c r="F4738" i="1"/>
  <c r="K4724" i="1"/>
  <c r="K4725" i="1"/>
  <c r="K4726" i="1"/>
  <c r="K4727" i="1"/>
  <c r="K4728" i="1"/>
  <c r="K4731" i="1"/>
  <c r="K4732" i="1"/>
  <c r="K4733" i="1"/>
  <c r="K4729" i="1"/>
  <c r="K4730" i="1"/>
  <c r="K4734" i="1"/>
  <c r="D4729" i="1"/>
  <c r="D4730" i="1"/>
  <c r="D4734" i="1"/>
  <c r="E4729" i="1"/>
  <c r="E4730" i="1"/>
  <c r="E4734" i="1"/>
  <c r="F4729" i="1"/>
  <c r="F4730" i="1"/>
  <c r="F4734" i="1"/>
  <c r="D4724" i="1"/>
  <c r="D4725" i="1"/>
  <c r="D4726" i="1"/>
  <c r="D4727" i="1"/>
  <c r="D4728" i="1"/>
  <c r="D4731" i="1"/>
  <c r="D4732" i="1"/>
  <c r="D4733" i="1"/>
  <c r="E4724" i="1"/>
  <c r="E4725" i="1"/>
  <c r="E4726" i="1"/>
  <c r="E4727" i="1"/>
  <c r="E4728" i="1"/>
  <c r="E4731" i="1"/>
  <c r="E4732" i="1"/>
  <c r="E4733" i="1"/>
  <c r="F4724" i="1"/>
  <c r="F4725" i="1"/>
  <c r="F4726" i="1"/>
  <c r="F4727" i="1"/>
  <c r="F4728" i="1"/>
  <c r="F4731" i="1"/>
  <c r="F4732" i="1"/>
  <c r="F4733" i="1"/>
  <c r="Q4723" i="1"/>
  <c r="Q4722" i="1"/>
  <c r="Q4721" i="1"/>
  <c r="K4721" i="1"/>
  <c r="K4722" i="1"/>
  <c r="K4723" i="1"/>
  <c r="D4721" i="1"/>
  <c r="D4722" i="1"/>
  <c r="D4723" i="1"/>
  <c r="E4721" i="1"/>
  <c r="E4722" i="1"/>
  <c r="E4723" i="1"/>
  <c r="F4721" i="1"/>
  <c r="F4722" i="1"/>
  <c r="F4723" i="1"/>
  <c r="K4714" i="1"/>
  <c r="K4715" i="1"/>
  <c r="K4716" i="1"/>
  <c r="K4717" i="1"/>
  <c r="K4718" i="1"/>
  <c r="K4719" i="1"/>
  <c r="K4720" i="1"/>
  <c r="D4714" i="1"/>
  <c r="D4715" i="1"/>
  <c r="D4716" i="1"/>
  <c r="D4717" i="1"/>
  <c r="D4718" i="1"/>
  <c r="D4719" i="1"/>
  <c r="D4720" i="1"/>
  <c r="E4714" i="1"/>
  <c r="E4715" i="1"/>
  <c r="E4716" i="1"/>
  <c r="E4717" i="1"/>
  <c r="E4718" i="1"/>
  <c r="E4719" i="1"/>
  <c r="E4720" i="1"/>
  <c r="F4714" i="1"/>
  <c r="F4715" i="1"/>
  <c r="F4716" i="1"/>
  <c r="F4717" i="1"/>
  <c r="F4718" i="1"/>
  <c r="F4719" i="1"/>
  <c r="F4720" i="1"/>
  <c r="K4708" i="1"/>
  <c r="K4709" i="1"/>
  <c r="K4710" i="1"/>
  <c r="K4711" i="1"/>
  <c r="K4712" i="1"/>
  <c r="K4713" i="1"/>
  <c r="D4708" i="1"/>
  <c r="D4709" i="1"/>
  <c r="D4710" i="1"/>
  <c r="D4711" i="1"/>
  <c r="D4712" i="1"/>
  <c r="D4713" i="1"/>
  <c r="E4708" i="1"/>
  <c r="E4709" i="1"/>
  <c r="E4710" i="1"/>
  <c r="E4711" i="1"/>
  <c r="E4712" i="1"/>
  <c r="E4713" i="1"/>
  <c r="F4708" i="1"/>
  <c r="F4709" i="1"/>
  <c r="F4710" i="1"/>
  <c r="F4711" i="1"/>
  <c r="F4712" i="1"/>
  <c r="F4713" i="1"/>
  <c r="K4701" i="1"/>
  <c r="K4702" i="1"/>
  <c r="K4703" i="1"/>
  <c r="K4704" i="1"/>
  <c r="K4705" i="1"/>
  <c r="K4706" i="1"/>
  <c r="K4707" i="1"/>
  <c r="D4707" i="1"/>
  <c r="E4707" i="1"/>
  <c r="F4707" i="1"/>
  <c r="D4701" i="1"/>
  <c r="D4702" i="1"/>
  <c r="D4703" i="1"/>
  <c r="D4704" i="1"/>
  <c r="D4705" i="1"/>
  <c r="D4706" i="1"/>
  <c r="E4701" i="1"/>
  <c r="E4702" i="1"/>
  <c r="E4703" i="1"/>
  <c r="E4704" i="1"/>
  <c r="E4705" i="1"/>
  <c r="E4706" i="1"/>
  <c r="F4701" i="1"/>
  <c r="F4702" i="1"/>
  <c r="F4703" i="1"/>
  <c r="F4704" i="1"/>
  <c r="F4705" i="1"/>
  <c r="F4706" i="1"/>
  <c r="K4696" i="1"/>
  <c r="K4697" i="1"/>
  <c r="K4698" i="1"/>
  <c r="K4699" i="1"/>
  <c r="K4700" i="1"/>
  <c r="D4696" i="1"/>
  <c r="D4697" i="1"/>
  <c r="D4698" i="1"/>
  <c r="D4699" i="1"/>
  <c r="D4700" i="1"/>
  <c r="E4696" i="1"/>
  <c r="E4697" i="1"/>
  <c r="E4698" i="1"/>
  <c r="E4699" i="1"/>
  <c r="E4700" i="1"/>
  <c r="F4696" i="1"/>
  <c r="F4697" i="1"/>
  <c r="F4698" i="1"/>
  <c r="F4699" i="1"/>
  <c r="F4700" i="1"/>
  <c r="K4686" i="1"/>
  <c r="K4687" i="1"/>
  <c r="K4688" i="1"/>
  <c r="K4689" i="1"/>
  <c r="K4690" i="1"/>
  <c r="K4691" i="1"/>
  <c r="K4692" i="1"/>
  <c r="K4693" i="1"/>
  <c r="K4694" i="1"/>
  <c r="K4695" i="1"/>
  <c r="D4687" i="1"/>
  <c r="D4688" i="1"/>
  <c r="D4689" i="1"/>
  <c r="D4690" i="1"/>
  <c r="D4691" i="1"/>
  <c r="D4692" i="1"/>
  <c r="D4693" i="1"/>
  <c r="D4694" i="1"/>
  <c r="D4695" i="1"/>
  <c r="E4687" i="1"/>
  <c r="E4688" i="1"/>
  <c r="E4689" i="1"/>
  <c r="E4690" i="1"/>
  <c r="E4691" i="1"/>
  <c r="E4692" i="1"/>
  <c r="E4693" i="1"/>
  <c r="E4694" i="1"/>
  <c r="E4695" i="1"/>
  <c r="F4687" i="1"/>
  <c r="F4688" i="1"/>
  <c r="F4689" i="1"/>
  <c r="F4690" i="1"/>
  <c r="F4691" i="1"/>
  <c r="F4692" i="1"/>
  <c r="F4693" i="1"/>
  <c r="F4694" i="1"/>
  <c r="F4695" i="1"/>
  <c r="D4686" i="1" l="1"/>
  <c r="E4686" i="1"/>
  <c r="F4686" i="1"/>
  <c r="K3877" i="1" l="1"/>
  <c r="F3877" i="1"/>
  <c r="E3877" i="1"/>
  <c r="D3877" i="1"/>
  <c r="L13" i="10" l="1"/>
  <c r="K2920" i="1"/>
  <c r="F2920" i="1"/>
  <c r="E2920" i="1"/>
  <c r="D2920" i="1"/>
  <c r="K4680" i="1"/>
  <c r="D4680" i="1"/>
  <c r="E4680" i="1"/>
  <c r="F4680" i="1"/>
  <c r="D364" i="2"/>
  <c r="E364" i="2"/>
  <c r="F364" i="2"/>
  <c r="K4673" i="1" l="1"/>
  <c r="K4674" i="1"/>
  <c r="K4675" i="1"/>
  <c r="K4676" i="1"/>
  <c r="K4677" i="1"/>
  <c r="K4678" i="1"/>
  <c r="K4679" i="1"/>
  <c r="D4679" i="1"/>
  <c r="E4679" i="1"/>
  <c r="F4679" i="1"/>
  <c r="D4676" i="1"/>
  <c r="D4677" i="1"/>
  <c r="D4678" i="1"/>
  <c r="E4676" i="1"/>
  <c r="E4677" i="1"/>
  <c r="E4678" i="1"/>
  <c r="F4676" i="1"/>
  <c r="F4677" i="1"/>
  <c r="F4678" i="1"/>
  <c r="D4673" i="1"/>
  <c r="D4674" i="1"/>
  <c r="D4675" i="1"/>
  <c r="E4673" i="1"/>
  <c r="E4674" i="1"/>
  <c r="E4675" i="1"/>
  <c r="F4673" i="1"/>
  <c r="F4674" i="1"/>
  <c r="F4675" i="1"/>
  <c r="K4667" i="1"/>
  <c r="K4668" i="1"/>
  <c r="K4669" i="1"/>
  <c r="K4670" i="1"/>
  <c r="K4671" i="1"/>
  <c r="K4672" i="1"/>
  <c r="D4669" i="1"/>
  <c r="D4670" i="1"/>
  <c r="D4671" i="1"/>
  <c r="D4672" i="1"/>
  <c r="E4669" i="1"/>
  <c r="E4670" i="1"/>
  <c r="E4671" i="1"/>
  <c r="E4672" i="1"/>
  <c r="F4669" i="1"/>
  <c r="F4670" i="1"/>
  <c r="F4671" i="1"/>
  <c r="F4672" i="1"/>
  <c r="D4668" i="1"/>
  <c r="E4668" i="1"/>
  <c r="F4668" i="1"/>
  <c r="D4667" i="1"/>
  <c r="E4667" i="1"/>
  <c r="F4667" i="1"/>
  <c r="K4661" i="1"/>
  <c r="K4662" i="1"/>
  <c r="K4663" i="1"/>
  <c r="K4664" i="1"/>
  <c r="K4665" i="1"/>
  <c r="K4666" i="1"/>
  <c r="D4661" i="1"/>
  <c r="D4662" i="1"/>
  <c r="D4663" i="1"/>
  <c r="D4664" i="1"/>
  <c r="D4665" i="1"/>
  <c r="D4666" i="1"/>
  <c r="E4661" i="1"/>
  <c r="E4662" i="1"/>
  <c r="E4663" i="1"/>
  <c r="E4664" i="1"/>
  <c r="E4665" i="1"/>
  <c r="E4666" i="1"/>
  <c r="F4661" i="1"/>
  <c r="F4662" i="1"/>
  <c r="F4663" i="1"/>
  <c r="F4664" i="1"/>
  <c r="F4665" i="1"/>
  <c r="F4666" i="1"/>
  <c r="K4652" i="1"/>
  <c r="K4653" i="1"/>
  <c r="K4654" i="1"/>
  <c r="K4655" i="1"/>
  <c r="K4656" i="1"/>
  <c r="K4657" i="1"/>
  <c r="K4658" i="1"/>
  <c r="K4659" i="1"/>
  <c r="K4660" i="1"/>
  <c r="D4659" i="1"/>
  <c r="D4660" i="1"/>
  <c r="E4659" i="1"/>
  <c r="E4660" i="1"/>
  <c r="F4659" i="1"/>
  <c r="F4660" i="1"/>
  <c r="D4652" i="1"/>
  <c r="D4653" i="1"/>
  <c r="D4654" i="1"/>
  <c r="D4655" i="1"/>
  <c r="D4656" i="1"/>
  <c r="D4657" i="1"/>
  <c r="D4658" i="1"/>
  <c r="E4652" i="1"/>
  <c r="E4653" i="1"/>
  <c r="E4654" i="1"/>
  <c r="E4655" i="1"/>
  <c r="E4656" i="1"/>
  <c r="E4657" i="1"/>
  <c r="E4658" i="1"/>
  <c r="F4652" i="1"/>
  <c r="F4653" i="1"/>
  <c r="F4654" i="1"/>
  <c r="F4655" i="1"/>
  <c r="F4656" i="1"/>
  <c r="F4657" i="1"/>
  <c r="F4658" i="1"/>
  <c r="K4637" i="1"/>
  <c r="K4638" i="1"/>
  <c r="K4639" i="1"/>
  <c r="K4640" i="1"/>
  <c r="K4641" i="1"/>
  <c r="K4644" i="1"/>
  <c r="K4646" i="1"/>
  <c r="K4647" i="1"/>
  <c r="K4648" i="1"/>
  <c r="K4650" i="1"/>
  <c r="K4651" i="1"/>
  <c r="D4651" i="1"/>
  <c r="E4651" i="1"/>
  <c r="F4651" i="1"/>
  <c r="D4650" i="1"/>
  <c r="E4650" i="1"/>
  <c r="F4650" i="1"/>
  <c r="D4648" i="1"/>
  <c r="E4648" i="1"/>
  <c r="F4648" i="1"/>
  <c r="D4647" i="1"/>
  <c r="E4647" i="1"/>
  <c r="F4647" i="1"/>
  <c r="D4646" i="1"/>
  <c r="E4646" i="1"/>
  <c r="F4646" i="1"/>
  <c r="D4640" i="1"/>
  <c r="D4641" i="1"/>
  <c r="D4644" i="1"/>
  <c r="E4640" i="1"/>
  <c r="E4641" i="1"/>
  <c r="E4644" i="1"/>
  <c r="F4640" i="1"/>
  <c r="F4641" i="1"/>
  <c r="F4644" i="1"/>
  <c r="D4637" i="1"/>
  <c r="D4638" i="1"/>
  <c r="D4639" i="1"/>
  <c r="E4637" i="1"/>
  <c r="E4638" i="1"/>
  <c r="E4639" i="1"/>
  <c r="F4637" i="1"/>
  <c r="F4638" i="1"/>
  <c r="F4639" i="1"/>
  <c r="K4633" i="1"/>
  <c r="K4634" i="1"/>
  <c r="K4635" i="1"/>
  <c r="K4636" i="1"/>
  <c r="D4633" i="1"/>
  <c r="D4634" i="1"/>
  <c r="D4635" i="1"/>
  <c r="D4636" i="1"/>
  <c r="E4633" i="1"/>
  <c r="E4634" i="1"/>
  <c r="E4635" i="1"/>
  <c r="E4636" i="1"/>
  <c r="F4633" i="1"/>
  <c r="F4634" i="1"/>
  <c r="F4635" i="1"/>
  <c r="F4636" i="1"/>
  <c r="E435" i="3"/>
  <c r="E433" i="3"/>
  <c r="E434" i="3"/>
  <c r="E432" i="3"/>
  <c r="D370" i="2"/>
  <c r="E370" i="2"/>
  <c r="F370" i="2"/>
  <c r="D368" i="2"/>
  <c r="D369" i="2"/>
  <c r="E368" i="2"/>
  <c r="E369" i="2"/>
  <c r="F368" i="2"/>
  <c r="F369" i="2"/>
  <c r="D367" i="2"/>
  <c r="E367" i="2"/>
  <c r="F367" i="2"/>
  <c r="D366" i="2"/>
  <c r="E366" i="2"/>
  <c r="F366" i="2"/>
  <c r="D365" i="2"/>
  <c r="E365" i="2"/>
  <c r="F365" i="2"/>
  <c r="D431" i="3" l="1"/>
  <c r="F431" i="3"/>
  <c r="E431" i="3" l="1"/>
  <c r="K4629" i="1"/>
  <c r="K4630" i="1"/>
  <c r="K4631" i="1"/>
  <c r="K4632" i="1"/>
  <c r="D4629" i="1"/>
  <c r="D4630" i="1"/>
  <c r="D4631" i="1"/>
  <c r="D4632" i="1"/>
  <c r="E4629" i="1"/>
  <c r="E4630" i="1"/>
  <c r="E4631" i="1"/>
  <c r="E4632" i="1"/>
  <c r="F4629" i="1"/>
  <c r="F4630" i="1"/>
  <c r="F4631" i="1"/>
  <c r="F4632" i="1"/>
  <c r="K4623" i="1"/>
  <c r="K4624" i="1"/>
  <c r="K4628" i="1"/>
  <c r="D4623" i="1"/>
  <c r="D4624" i="1"/>
  <c r="D4628" i="1"/>
  <c r="E4623" i="1"/>
  <c r="E4624" i="1"/>
  <c r="E4628" i="1"/>
  <c r="F4623" i="1"/>
  <c r="F4624" i="1"/>
  <c r="F4628" i="1"/>
  <c r="K4619" i="1"/>
  <c r="K4620" i="1"/>
  <c r="K4621" i="1"/>
  <c r="K4622" i="1"/>
  <c r="D4622" i="1"/>
  <c r="E4622" i="1"/>
  <c r="F4622" i="1"/>
  <c r="D4621" i="1"/>
  <c r="E4621" i="1"/>
  <c r="F4621" i="1"/>
  <c r="D4619" i="1"/>
  <c r="D4620" i="1"/>
  <c r="E4619" i="1"/>
  <c r="E4620" i="1"/>
  <c r="F4619" i="1"/>
  <c r="F4620" i="1"/>
  <c r="K4612" i="1"/>
  <c r="K4613" i="1"/>
  <c r="K4614" i="1"/>
  <c r="K4615" i="1"/>
  <c r="K4616" i="1"/>
  <c r="K4617" i="1"/>
  <c r="K4618" i="1"/>
  <c r="D4612" i="1"/>
  <c r="D4613" i="1"/>
  <c r="D4614" i="1"/>
  <c r="D4615" i="1"/>
  <c r="D4616" i="1"/>
  <c r="D4617" i="1"/>
  <c r="D4618" i="1"/>
  <c r="E4612" i="1"/>
  <c r="E4613" i="1"/>
  <c r="E4614" i="1"/>
  <c r="E4615" i="1"/>
  <c r="E4616" i="1"/>
  <c r="E4617" i="1"/>
  <c r="E4618" i="1"/>
  <c r="F4612" i="1"/>
  <c r="F4613" i="1"/>
  <c r="F4614" i="1"/>
  <c r="F4615" i="1"/>
  <c r="F4616" i="1"/>
  <c r="F4617" i="1"/>
  <c r="F4618" i="1"/>
  <c r="K4604" i="1"/>
  <c r="K4605" i="1"/>
  <c r="K4606" i="1"/>
  <c r="K4607" i="1"/>
  <c r="K4608" i="1"/>
  <c r="K4609" i="1"/>
  <c r="K4610" i="1"/>
  <c r="K4611" i="1"/>
  <c r="D4604" i="1"/>
  <c r="D4605" i="1"/>
  <c r="D4606" i="1"/>
  <c r="D4607" i="1"/>
  <c r="D4608" i="1"/>
  <c r="D4609" i="1"/>
  <c r="D4610" i="1"/>
  <c r="D4611" i="1"/>
  <c r="E4604" i="1"/>
  <c r="E4605" i="1"/>
  <c r="E4606" i="1"/>
  <c r="E4607" i="1"/>
  <c r="E4608" i="1"/>
  <c r="E4609" i="1"/>
  <c r="E4610" i="1"/>
  <c r="E4611" i="1"/>
  <c r="F4604" i="1"/>
  <c r="F4605" i="1"/>
  <c r="F4606" i="1"/>
  <c r="F4607" i="1"/>
  <c r="F4608" i="1"/>
  <c r="F4609" i="1"/>
  <c r="F4610" i="1"/>
  <c r="F4611" i="1"/>
  <c r="K4595" i="1"/>
  <c r="K4596" i="1"/>
  <c r="K4597" i="1"/>
  <c r="K4598" i="1"/>
  <c r="K4599" i="1"/>
  <c r="K4600" i="1"/>
  <c r="K4601" i="1"/>
  <c r="K4602" i="1"/>
  <c r="K4603" i="1"/>
  <c r="D4595" i="1"/>
  <c r="D4596" i="1"/>
  <c r="D4597" i="1"/>
  <c r="D4598" i="1"/>
  <c r="D4599" i="1"/>
  <c r="D4600" i="1"/>
  <c r="D4601" i="1"/>
  <c r="D4602" i="1"/>
  <c r="D4603" i="1"/>
  <c r="E4595" i="1"/>
  <c r="E4596" i="1"/>
  <c r="E4597" i="1"/>
  <c r="E4598" i="1"/>
  <c r="E4599" i="1"/>
  <c r="E4600" i="1"/>
  <c r="E4601" i="1"/>
  <c r="E4602" i="1"/>
  <c r="E4603" i="1"/>
  <c r="F4595" i="1"/>
  <c r="F4596" i="1"/>
  <c r="F4597" i="1"/>
  <c r="F4598" i="1"/>
  <c r="F4599" i="1"/>
  <c r="F4600" i="1"/>
  <c r="F4601" i="1"/>
  <c r="F4602" i="1"/>
  <c r="F4603" i="1"/>
  <c r="K4584" i="1"/>
  <c r="K4585" i="1"/>
  <c r="K4586" i="1"/>
  <c r="K4587" i="1"/>
  <c r="K4588" i="1"/>
  <c r="K4589" i="1"/>
  <c r="K4590" i="1"/>
  <c r="K4591" i="1"/>
  <c r="K4592" i="1"/>
  <c r="K4593" i="1"/>
  <c r="K4594" i="1"/>
  <c r="D4592" i="1"/>
  <c r="D4593" i="1"/>
  <c r="D4594" i="1"/>
  <c r="E4592" i="1"/>
  <c r="E4593" i="1"/>
  <c r="E4594" i="1"/>
  <c r="F4592" i="1"/>
  <c r="F4593" i="1"/>
  <c r="F4594" i="1"/>
  <c r="D4584" i="1"/>
  <c r="D4585" i="1"/>
  <c r="D4586" i="1"/>
  <c r="D4587" i="1"/>
  <c r="D4588" i="1"/>
  <c r="D4589" i="1"/>
  <c r="D4590" i="1"/>
  <c r="D4591" i="1"/>
  <c r="E4584" i="1"/>
  <c r="E4585" i="1"/>
  <c r="E4586" i="1"/>
  <c r="E4587" i="1"/>
  <c r="E4588" i="1"/>
  <c r="E4589" i="1"/>
  <c r="E4590" i="1"/>
  <c r="E4591" i="1"/>
  <c r="F4584" i="1"/>
  <c r="F4585" i="1"/>
  <c r="F4586" i="1"/>
  <c r="F4587" i="1"/>
  <c r="F4588" i="1"/>
  <c r="F4589" i="1"/>
  <c r="F4590" i="1"/>
  <c r="F4591" i="1"/>
  <c r="K4583" i="1"/>
  <c r="K4582" i="1"/>
  <c r="D4583" i="1"/>
  <c r="E4583" i="1"/>
  <c r="F4583" i="1"/>
  <c r="D4582" i="1"/>
  <c r="E4582" i="1"/>
  <c r="F4582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D4554" i="1"/>
  <c r="E4554" i="1"/>
  <c r="F4554" i="1"/>
  <c r="K4536" i="1" l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H341" i="2"/>
  <c r="H340" i="2"/>
  <c r="D4546" i="1" l="1"/>
  <c r="E4546" i="1"/>
  <c r="F4546" i="1"/>
  <c r="D4547" i="1"/>
  <c r="E4547" i="1"/>
  <c r="F4547" i="1"/>
  <c r="D4544" i="1"/>
  <c r="E4544" i="1"/>
  <c r="F4544" i="1"/>
  <c r="D4545" i="1"/>
  <c r="E4545" i="1"/>
  <c r="F4545" i="1"/>
  <c r="D4548" i="1"/>
  <c r="E4548" i="1"/>
  <c r="F4548" i="1"/>
  <c r="D4549" i="1"/>
  <c r="E4549" i="1"/>
  <c r="F4549" i="1"/>
  <c r="D4541" i="1"/>
  <c r="E4541" i="1"/>
  <c r="F4541" i="1"/>
  <c r="D4542" i="1"/>
  <c r="E4542" i="1"/>
  <c r="F4542" i="1"/>
  <c r="D4543" i="1"/>
  <c r="E4543" i="1"/>
  <c r="F4543" i="1"/>
  <c r="D4536" i="1"/>
  <c r="E4536" i="1"/>
  <c r="F4536" i="1"/>
  <c r="D4537" i="1"/>
  <c r="E4537" i="1"/>
  <c r="F4537" i="1"/>
  <c r="D4538" i="1"/>
  <c r="E4538" i="1"/>
  <c r="F4538" i="1"/>
  <c r="D4539" i="1"/>
  <c r="E4539" i="1"/>
  <c r="F4539" i="1"/>
  <c r="D4540" i="1"/>
  <c r="E4540" i="1"/>
  <c r="F4540" i="1"/>
  <c r="K4553" i="1"/>
  <c r="D4553" i="1"/>
  <c r="E4553" i="1"/>
  <c r="F4553" i="1"/>
  <c r="D362" i="2"/>
  <c r="D363" i="2"/>
  <c r="E362" i="2"/>
  <c r="E363" i="2"/>
  <c r="F362" i="2"/>
  <c r="F363" i="2"/>
  <c r="E430" i="3"/>
  <c r="M13" i="10" l="1"/>
  <c r="K13" i="10"/>
  <c r="N13" i="10" s="1"/>
  <c r="L8" i="10"/>
  <c r="K4534" i="1"/>
  <c r="K4535" i="1"/>
  <c r="D4534" i="1"/>
  <c r="D4535" i="1"/>
  <c r="E4534" i="1"/>
  <c r="E4535" i="1"/>
  <c r="F4534" i="1"/>
  <c r="F4535" i="1"/>
  <c r="K4526" i="1"/>
  <c r="K4527" i="1"/>
  <c r="K4528" i="1"/>
  <c r="K4529" i="1"/>
  <c r="K4530" i="1"/>
  <c r="K4531" i="1"/>
  <c r="K4532" i="1"/>
  <c r="K4533" i="1"/>
  <c r="D4526" i="1"/>
  <c r="D4527" i="1"/>
  <c r="D4528" i="1"/>
  <c r="D4529" i="1"/>
  <c r="D4530" i="1"/>
  <c r="D4531" i="1"/>
  <c r="D4532" i="1"/>
  <c r="D4533" i="1"/>
  <c r="E4526" i="1"/>
  <c r="E4527" i="1"/>
  <c r="E4528" i="1"/>
  <c r="E4529" i="1"/>
  <c r="E4530" i="1"/>
  <c r="E4531" i="1"/>
  <c r="E4532" i="1"/>
  <c r="E4533" i="1"/>
  <c r="F4526" i="1"/>
  <c r="F4527" i="1"/>
  <c r="F4528" i="1"/>
  <c r="F4529" i="1"/>
  <c r="F4530" i="1"/>
  <c r="F4531" i="1"/>
  <c r="F4532" i="1"/>
  <c r="F4533" i="1"/>
  <c r="K4521" i="1"/>
  <c r="K4522" i="1"/>
  <c r="K4523" i="1"/>
  <c r="K4524" i="1"/>
  <c r="K4525" i="1"/>
  <c r="D4521" i="1"/>
  <c r="D4522" i="1"/>
  <c r="D4523" i="1"/>
  <c r="D4524" i="1"/>
  <c r="D4525" i="1"/>
  <c r="E4521" i="1"/>
  <c r="E4522" i="1"/>
  <c r="E4523" i="1"/>
  <c r="E4524" i="1"/>
  <c r="E4525" i="1"/>
  <c r="F4521" i="1"/>
  <c r="F4522" i="1"/>
  <c r="F4523" i="1"/>
  <c r="F4524" i="1"/>
  <c r="F4525" i="1"/>
  <c r="K4510" i="1"/>
  <c r="K4511" i="1"/>
  <c r="K4512" i="1"/>
  <c r="K4513" i="1"/>
  <c r="K4514" i="1"/>
  <c r="K4515" i="1"/>
  <c r="K4516" i="1"/>
  <c r="K4517" i="1"/>
  <c r="K4519" i="1"/>
  <c r="K4520" i="1"/>
  <c r="D4510" i="1"/>
  <c r="D4511" i="1"/>
  <c r="D4512" i="1"/>
  <c r="D4513" i="1"/>
  <c r="D4514" i="1"/>
  <c r="D4515" i="1"/>
  <c r="D4516" i="1"/>
  <c r="D4517" i="1"/>
  <c r="D4519" i="1"/>
  <c r="D4520" i="1"/>
  <c r="E4510" i="1"/>
  <c r="E4511" i="1"/>
  <c r="E4512" i="1"/>
  <c r="E4513" i="1"/>
  <c r="E4514" i="1"/>
  <c r="E4515" i="1"/>
  <c r="E4516" i="1"/>
  <c r="E4517" i="1"/>
  <c r="E4519" i="1"/>
  <c r="E4520" i="1"/>
  <c r="F4510" i="1"/>
  <c r="F4511" i="1"/>
  <c r="F4512" i="1"/>
  <c r="F4513" i="1"/>
  <c r="F4514" i="1"/>
  <c r="F4515" i="1"/>
  <c r="F4516" i="1"/>
  <c r="F4517" i="1"/>
  <c r="F4519" i="1"/>
  <c r="F4520" i="1"/>
  <c r="D4506" i="1"/>
  <c r="K4503" i="1"/>
  <c r="K4504" i="1"/>
  <c r="K4505" i="1"/>
  <c r="K4506" i="1"/>
  <c r="K4507" i="1"/>
  <c r="K4509" i="1"/>
  <c r="D4503" i="1"/>
  <c r="D4504" i="1"/>
  <c r="D4505" i="1"/>
  <c r="D4507" i="1"/>
  <c r="D4509" i="1"/>
  <c r="E4503" i="1"/>
  <c r="E4504" i="1"/>
  <c r="E4505" i="1"/>
  <c r="E4506" i="1"/>
  <c r="E4507" i="1"/>
  <c r="E4509" i="1"/>
  <c r="F4503" i="1"/>
  <c r="F4504" i="1"/>
  <c r="F4505" i="1"/>
  <c r="F4506" i="1"/>
  <c r="F4507" i="1"/>
  <c r="F4509" i="1"/>
  <c r="K4497" i="1"/>
  <c r="K4498" i="1"/>
  <c r="K4499" i="1"/>
  <c r="K4500" i="1"/>
  <c r="K4501" i="1"/>
  <c r="K4502" i="1"/>
  <c r="D4500" i="1"/>
  <c r="D4501" i="1"/>
  <c r="D4502" i="1"/>
  <c r="E4500" i="1"/>
  <c r="E4501" i="1"/>
  <c r="E4502" i="1"/>
  <c r="F4500" i="1"/>
  <c r="F4501" i="1"/>
  <c r="F4502" i="1"/>
  <c r="D4497" i="1"/>
  <c r="D4498" i="1"/>
  <c r="D4499" i="1"/>
  <c r="E4497" i="1"/>
  <c r="E4498" i="1"/>
  <c r="E4499" i="1"/>
  <c r="F4497" i="1"/>
  <c r="F4498" i="1"/>
  <c r="F4499" i="1"/>
  <c r="K4492" i="1"/>
  <c r="K4493" i="1"/>
  <c r="K4494" i="1"/>
  <c r="K4495" i="1"/>
  <c r="K4496" i="1"/>
  <c r="D4492" i="1"/>
  <c r="D4493" i="1"/>
  <c r="D4494" i="1"/>
  <c r="D4495" i="1"/>
  <c r="D4496" i="1"/>
  <c r="E4492" i="1"/>
  <c r="E4493" i="1"/>
  <c r="E4494" i="1"/>
  <c r="E4495" i="1"/>
  <c r="E4496" i="1"/>
  <c r="F4492" i="1"/>
  <c r="F4493" i="1"/>
  <c r="F4494" i="1"/>
  <c r="F4495" i="1"/>
  <c r="F4496" i="1"/>
  <c r="K4487" i="1"/>
  <c r="K4488" i="1"/>
  <c r="K4489" i="1"/>
  <c r="K4490" i="1"/>
  <c r="K4491" i="1"/>
  <c r="D4487" i="1"/>
  <c r="D4488" i="1"/>
  <c r="D4489" i="1"/>
  <c r="D4490" i="1"/>
  <c r="D4491" i="1"/>
  <c r="E4487" i="1"/>
  <c r="E4488" i="1"/>
  <c r="E4489" i="1"/>
  <c r="E4490" i="1"/>
  <c r="E4491" i="1"/>
  <c r="F4487" i="1"/>
  <c r="F4488" i="1"/>
  <c r="F4489" i="1"/>
  <c r="F4490" i="1"/>
  <c r="F4491" i="1"/>
  <c r="K4479" i="1"/>
  <c r="K4480" i="1"/>
  <c r="K4481" i="1"/>
  <c r="K4482" i="1"/>
  <c r="K4483" i="1"/>
  <c r="K4484" i="1"/>
  <c r="K4485" i="1"/>
  <c r="K4486" i="1"/>
  <c r="D4479" i="1"/>
  <c r="D4480" i="1"/>
  <c r="D4481" i="1"/>
  <c r="D4482" i="1"/>
  <c r="D4483" i="1"/>
  <c r="D4484" i="1"/>
  <c r="D4485" i="1"/>
  <c r="D4486" i="1"/>
  <c r="E4479" i="1"/>
  <c r="E4480" i="1"/>
  <c r="E4481" i="1"/>
  <c r="E4482" i="1"/>
  <c r="E4483" i="1"/>
  <c r="E4484" i="1"/>
  <c r="E4485" i="1"/>
  <c r="E4486" i="1"/>
  <c r="F4479" i="1"/>
  <c r="F4480" i="1"/>
  <c r="F4481" i="1"/>
  <c r="F4482" i="1"/>
  <c r="F4483" i="1"/>
  <c r="F4484" i="1"/>
  <c r="F4485" i="1"/>
  <c r="F4486" i="1"/>
  <c r="E429" i="3"/>
  <c r="D359" i="2"/>
  <c r="D360" i="2"/>
  <c r="E359" i="2"/>
  <c r="E360" i="2"/>
  <c r="F359" i="2"/>
  <c r="F360" i="2"/>
  <c r="S13" i="10" l="1"/>
  <c r="Q4476" i="1"/>
  <c r="Q4475" i="1"/>
  <c r="Q4474" i="1"/>
  <c r="K4476" i="1"/>
  <c r="D4476" i="1"/>
  <c r="E4476" i="1"/>
  <c r="F4476" i="1"/>
  <c r="I4474" i="1"/>
  <c r="Q4473" i="1"/>
  <c r="Q4472" i="1"/>
  <c r="D4474" i="1" l="1"/>
  <c r="D4475" i="1"/>
  <c r="E4474" i="1"/>
  <c r="E4475" i="1"/>
  <c r="F4474" i="1"/>
  <c r="F4475" i="1"/>
  <c r="K4472" i="1"/>
  <c r="K4473" i="1"/>
  <c r="K4474" i="1"/>
  <c r="K4475" i="1"/>
  <c r="D4473" i="1" l="1"/>
  <c r="E4473" i="1"/>
  <c r="F4473" i="1"/>
  <c r="D4472" i="1"/>
  <c r="E4472" i="1"/>
  <c r="F4472" i="1"/>
  <c r="D357" i="2"/>
  <c r="D358" i="2"/>
  <c r="E357" i="2"/>
  <c r="E358" i="2"/>
  <c r="F357" i="2"/>
  <c r="F358" i="2"/>
  <c r="D4471" i="1"/>
  <c r="E4471" i="1"/>
  <c r="F4471" i="1"/>
  <c r="D355" i="2"/>
  <c r="D356" i="2"/>
  <c r="E355" i="2"/>
  <c r="E356" i="2"/>
  <c r="F355" i="2"/>
  <c r="F356" i="2"/>
  <c r="D350" i="2"/>
  <c r="E350" i="2"/>
  <c r="F350" i="2"/>
  <c r="E418" i="3"/>
  <c r="F419" i="3" l="1"/>
  <c r="D419" i="3"/>
  <c r="F421" i="3"/>
  <c r="D421" i="3"/>
  <c r="E420" i="3" l="1"/>
  <c r="E421" i="3"/>
  <c r="E422" i="3"/>
  <c r="E423" i="3"/>
  <c r="E424" i="3"/>
  <c r="E425" i="3"/>
  <c r="E426" i="3"/>
  <c r="E427" i="3"/>
  <c r="E428" i="3"/>
  <c r="K4461" i="1"/>
  <c r="K4462" i="1"/>
  <c r="K4463" i="1"/>
  <c r="K4464" i="1"/>
  <c r="K4465" i="1"/>
  <c r="K4466" i="1"/>
  <c r="K4467" i="1"/>
  <c r="K4468" i="1"/>
  <c r="D4462" i="1"/>
  <c r="D4463" i="1"/>
  <c r="D4464" i="1"/>
  <c r="D4465" i="1"/>
  <c r="D4466" i="1"/>
  <c r="D4467" i="1"/>
  <c r="D4468" i="1"/>
  <c r="E4462" i="1"/>
  <c r="E4463" i="1"/>
  <c r="E4464" i="1"/>
  <c r="E4465" i="1"/>
  <c r="E4466" i="1"/>
  <c r="E4467" i="1"/>
  <c r="E4468" i="1"/>
  <c r="F4462" i="1"/>
  <c r="F4463" i="1"/>
  <c r="F4464" i="1"/>
  <c r="F4465" i="1"/>
  <c r="F4466" i="1"/>
  <c r="F4467" i="1"/>
  <c r="F4468" i="1"/>
  <c r="D4461" i="1"/>
  <c r="E4461" i="1"/>
  <c r="F4461" i="1"/>
  <c r="K4460" i="1"/>
  <c r="K4457" i="1"/>
  <c r="K4458" i="1"/>
  <c r="K4459" i="1"/>
  <c r="D4457" i="1"/>
  <c r="D4458" i="1"/>
  <c r="D4459" i="1"/>
  <c r="D4460" i="1"/>
  <c r="E4457" i="1"/>
  <c r="E4458" i="1"/>
  <c r="E4459" i="1"/>
  <c r="E4460" i="1"/>
  <c r="F4457" i="1"/>
  <c r="F4458" i="1"/>
  <c r="F4459" i="1"/>
  <c r="F4460" i="1"/>
  <c r="K4454" i="1"/>
  <c r="K4455" i="1"/>
  <c r="K4456" i="1"/>
  <c r="D4454" i="1"/>
  <c r="D4455" i="1"/>
  <c r="D4456" i="1"/>
  <c r="E4454" i="1"/>
  <c r="E4455" i="1"/>
  <c r="E4456" i="1"/>
  <c r="F4454" i="1"/>
  <c r="F4455" i="1"/>
  <c r="F4456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D4439" i="1"/>
  <c r="E4439" i="1"/>
  <c r="F4439" i="1"/>
  <c r="D4438" i="1"/>
  <c r="E4438" i="1"/>
  <c r="F4438" i="1"/>
  <c r="D347" i="2"/>
  <c r="E347" i="2"/>
  <c r="F347" i="2"/>
  <c r="D348" i="2"/>
  <c r="E348" i="2"/>
  <c r="F348" i="2"/>
  <c r="N11" i="10"/>
  <c r="Q11" i="10"/>
  <c r="K4269" i="1" l="1"/>
  <c r="K4270" i="1"/>
  <c r="K4271" i="1"/>
  <c r="K4272" i="1"/>
  <c r="K4273" i="1"/>
  <c r="K4274" i="1"/>
  <c r="K4275" i="1"/>
  <c r="D4269" i="1"/>
  <c r="E4269" i="1"/>
  <c r="F4269" i="1"/>
  <c r="D4270" i="1"/>
  <c r="D4271" i="1"/>
  <c r="D4272" i="1"/>
  <c r="D4273" i="1"/>
  <c r="D4274" i="1"/>
  <c r="D4275" i="1"/>
  <c r="E4270" i="1"/>
  <c r="E4271" i="1"/>
  <c r="E4272" i="1"/>
  <c r="E4273" i="1"/>
  <c r="E4274" i="1"/>
  <c r="E4275" i="1"/>
  <c r="F4270" i="1"/>
  <c r="F4271" i="1"/>
  <c r="F4272" i="1"/>
  <c r="F4273" i="1"/>
  <c r="F4274" i="1"/>
  <c r="F4275" i="1"/>
  <c r="E417" i="3" l="1"/>
  <c r="K4433" i="1"/>
  <c r="K4434" i="1"/>
  <c r="K4435" i="1"/>
  <c r="K4436" i="1"/>
  <c r="K4437" i="1"/>
  <c r="D4437" i="1"/>
  <c r="E4437" i="1"/>
  <c r="F4437" i="1"/>
  <c r="D4436" i="1"/>
  <c r="E4436" i="1"/>
  <c r="F4436" i="1"/>
  <c r="D4435" i="1"/>
  <c r="E4435" i="1"/>
  <c r="F4435" i="1"/>
  <c r="D4434" i="1"/>
  <c r="E4434" i="1"/>
  <c r="F4434" i="1"/>
  <c r="D4433" i="1"/>
  <c r="E4433" i="1"/>
  <c r="F4433" i="1"/>
  <c r="K4426" i="1" l="1"/>
  <c r="K4427" i="1"/>
  <c r="K4428" i="1"/>
  <c r="K4429" i="1"/>
  <c r="K4430" i="1"/>
  <c r="K4431" i="1"/>
  <c r="K4432" i="1"/>
  <c r="D4430" i="1"/>
  <c r="D4431" i="1"/>
  <c r="D4432" i="1"/>
  <c r="E4430" i="1"/>
  <c r="E4431" i="1"/>
  <c r="E4432" i="1"/>
  <c r="F4430" i="1"/>
  <c r="F4431" i="1"/>
  <c r="F4432" i="1"/>
  <c r="D4426" i="1"/>
  <c r="D4427" i="1"/>
  <c r="D4428" i="1"/>
  <c r="D4429" i="1"/>
  <c r="E4426" i="1"/>
  <c r="E4427" i="1"/>
  <c r="E4428" i="1"/>
  <c r="E4429" i="1"/>
  <c r="F4426" i="1"/>
  <c r="F4427" i="1"/>
  <c r="F4428" i="1"/>
  <c r="F4429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03" i="1"/>
  <c r="D4422" i="1"/>
  <c r="D4423" i="1"/>
  <c r="D4424" i="1"/>
  <c r="D4425" i="1"/>
  <c r="E4422" i="1"/>
  <c r="E4423" i="1"/>
  <c r="E4424" i="1"/>
  <c r="E4425" i="1"/>
  <c r="F4422" i="1"/>
  <c r="F4423" i="1"/>
  <c r="F4424" i="1"/>
  <c r="F4425" i="1"/>
  <c r="D4417" i="1"/>
  <c r="D4418" i="1"/>
  <c r="D4419" i="1"/>
  <c r="D4420" i="1"/>
  <c r="D4421" i="1"/>
  <c r="E4417" i="1"/>
  <c r="E4418" i="1"/>
  <c r="E4419" i="1"/>
  <c r="E4420" i="1"/>
  <c r="E4421" i="1"/>
  <c r="F4417" i="1"/>
  <c r="F4418" i="1"/>
  <c r="F4419" i="1"/>
  <c r="F4420" i="1"/>
  <c r="F4421" i="1"/>
  <c r="D4406" i="1"/>
  <c r="D4407" i="1"/>
  <c r="D4408" i="1"/>
  <c r="D4409" i="1"/>
  <c r="D4410" i="1"/>
  <c r="D4411" i="1"/>
  <c r="D4412" i="1"/>
  <c r="D4413" i="1"/>
  <c r="D4414" i="1"/>
  <c r="D4415" i="1"/>
  <c r="D4416" i="1"/>
  <c r="E4406" i="1"/>
  <c r="E4407" i="1"/>
  <c r="E4408" i="1"/>
  <c r="E4409" i="1"/>
  <c r="E4410" i="1"/>
  <c r="E4411" i="1"/>
  <c r="E4412" i="1"/>
  <c r="E4413" i="1"/>
  <c r="E4414" i="1"/>
  <c r="E4415" i="1"/>
  <c r="E4416" i="1"/>
  <c r="F4406" i="1"/>
  <c r="F4407" i="1"/>
  <c r="F4408" i="1"/>
  <c r="F4409" i="1"/>
  <c r="F4410" i="1"/>
  <c r="F4411" i="1"/>
  <c r="F4412" i="1"/>
  <c r="F4413" i="1"/>
  <c r="F4414" i="1"/>
  <c r="F4415" i="1"/>
  <c r="F4416" i="1"/>
  <c r="D4405" i="1"/>
  <c r="E4405" i="1"/>
  <c r="F4405" i="1"/>
  <c r="D4404" i="1"/>
  <c r="E4404" i="1"/>
  <c r="F4404" i="1"/>
  <c r="D4403" i="1"/>
  <c r="E4403" i="1"/>
  <c r="F4403" i="1"/>
  <c r="F354" i="2" l="1"/>
  <c r="E354" i="2"/>
  <c r="D354" i="2"/>
  <c r="E411" i="3"/>
  <c r="E412" i="3"/>
  <c r="K4402" i="1"/>
  <c r="K4398" i="1"/>
  <c r="D4398" i="1"/>
  <c r="D4402" i="1"/>
  <c r="E4398" i="1"/>
  <c r="E4402" i="1"/>
  <c r="F4398" i="1"/>
  <c r="F4402" i="1"/>
  <c r="K3678" i="1" l="1"/>
  <c r="F3678" i="1"/>
  <c r="E3678" i="1"/>
  <c r="D3678" i="1"/>
  <c r="K3964" i="1"/>
  <c r="F3964" i="1"/>
  <c r="E3964" i="1"/>
  <c r="D3964" i="1"/>
  <c r="K4395" i="1" l="1"/>
  <c r="K4396" i="1"/>
  <c r="K4397" i="1"/>
  <c r="D4397" i="1"/>
  <c r="E4397" i="1"/>
  <c r="F4397" i="1"/>
  <c r="F4396" i="1"/>
  <c r="E4396" i="1"/>
  <c r="D4396" i="1"/>
  <c r="D4395" i="1"/>
  <c r="E4395" i="1"/>
  <c r="F4395" i="1"/>
  <c r="K4390" i="1"/>
  <c r="K4391" i="1"/>
  <c r="K4392" i="1"/>
  <c r="K4393" i="1"/>
  <c r="K4394" i="1"/>
  <c r="D4390" i="1"/>
  <c r="D4391" i="1"/>
  <c r="D4392" i="1"/>
  <c r="D4393" i="1"/>
  <c r="D4394" i="1"/>
  <c r="E4390" i="1"/>
  <c r="E4391" i="1"/>
  <c r="E4392" i="1"/>
  <c r="E4393" i="1"/>
  <c r="E4394" i="1"/>
  <c r="F4390" i="1"/>
  <c r="F4391" i="1"/>
  <c r="F4392" i="1"/>
  <c r="F4393" i="1"/>
  <c r="F4394" i="1"/>
  <c r="E416" i="3" l="1"/>
  <c r="E415" i="3"/>
  <c r="K4388" i="1"/>
  <c r="K4389" i="1"/>
  <c r="D4388" i="1"/>
  <c r="D4389" i="1"/>
  <c r="E4388" i="1"/>
  <c r="E4389" i="1"/>
  <c r="F4388" i="1"/>
  <c r="F4389" i="1"/>
  <c r="K4381" i="1"/>
  <c r="K4382" i="1"/>
  <c r="K4383" i="1"/>
  <c r="K4384" i="1"/>
  <c r="K4385" i="1"/>
  <c r="K4386" i="1"/>
  <c r="K4387" i="1"/>
  <c r="D4384" i="1"/>
  <c r="D4385" i="1"/>
  <c r="D4386" i="1"/>
  <c r="D4387" i="1"/>
  <c r="E4384" i="1"/>
  <c r="E4385" i="1"/>
  <c r="E4386" i="1"/>
  <c r="E4387" i="1"/>
  <c r="F4384" i="1"/>
  <c r="F4385" i="1"/>
  <c r="F4386" i="1"/>
  <c r="F4387" i="1"/>
  <c r="D4381" i="1"/>
  <c r="D4382" i="1"/>
  <c r="D4383" i="1"/>
  <c r="E4381" i="1"/>
  <c r="E4382" i="1"/>
  <c r="E4383" i="1"/>
  <c r="F4381" i="1"/>
  <c r="F4382" i="1"/>
  <c r="F4383" i="1"/>
  <c r="K4377" i="1"/>
  <c r="K4378" i="1"/>
  <c r="K4379" i="1"/>
  <c r="K4380" i="1"/>
  <c r="D4377" i="1"/>
  <c r="D4378" i="1"/>
  <c r="D4379" i="1"/>
  <c r="D4380" i="1"/>
  <c r="E4377" i="1"/>
  <c r="E4378" i="1"/>
  <c r="E4379" i="1"/>
  <c r="E4380" i="1"/>
  <c r="F4377" i="1"/>
  <c r="F4378" i="1"/>
  <c r="F4379" i="1"/>
  <c r="F4380" i="1"/>
  <c r="K4373" i="1"/>
  <c r="K4374" i="1"/>
  <c r="K4375" i="1"/>
  <c r="K4376" i="1"/>
  <c r="D4374" i="1"/>
  <c r="D4375" i="1"/>
  <c r="D4376" i="1"/>
  <c r="E4374" i="1"/>
  <c r="E4375" i="1"/>
  <c r="E4376" i="1"/>
  <c r="F4374" i="1"/>
  <c r="F4375" i="1"/>
  <c r="F4376" i="1"/>
  <c r="D4373" i="1"/>
  <c r="E4373" i="1"/>
  <c r="F4373" i="1"/>
  <c r="K4363" i="1"/>
  <c r="K4364" i="1"/>
  <c r="K4365" i="1"/>
  <c r="K4366" i="1"/>
  <c r="K4367" i="1"/>
  <c r="K4368" i="1"/>
  <c r="K4369" i="1"/>
  <c r="K4370" i="1"/>
  <c r="K4371" i="1"/>
  <c r="K4372" i="1"/>
  <c r="D4364" i="1"/>
  <c r="D4365" i="1"/>
  <c r="D4366" i="1"/>
  <c r="D4367" i="1"/>
  <c r="D4368" i="1"/>
  <c r="D4369" i="1"/>
  <c r="D4370" i="1"/>
  <c r="D4371" i="1"/>
  <c r="D4372" i="1"/>
  <c r="E4364" i="1"/>
  <c r="E4365" i="1"/>
  <c r="E4366" i="1"/>
  <c r="E4367" i="1"/>
  <c r="E4368" i="1"/>
  <c r="E4369" i="1"/>
  <c r="E4370" i="1"/>
  <c r="E4371" i="1"/>
  <c r="E4372" i="1"/>
  <c r="F4364" i="1"/>
  <c r="F4365" i="1"/>
  <c r="F4366" i="1"/>
  <c r="F4367" i="1"/>
  <c r="F4368" i="1"/>
  <c r="F4369" i="1"/>
  <c r="F4370" i="1"/>
  <c r="F4371" i="1"/>
  <c r="F4372" i="1"/>
  <c r="D4363" i="1"/>
  <c r="E4363" i="1"/>
  <c r="F4363" i="1"/>
  <c r="K4355" i="1"/>
  <c r="K4356" i="1"/>
  <c r="K4357" i="1"/>
  <c r="K4358" i="1"/>
  <c r="K4359" i="1"/>
  <c r="K4360" i="1"/>
  <c r="K4361" i="1"/>
  <c r="K4362" i="1"/>
  <c r="D4355" i="1"/>
  <c r="D4356" i="1"/>
  <c r="D4357" i="1"/>
  <c r="D4358" i="1"/>
  <c r="D4359" i="1"/>
  <c r="D4360" i="1"/>
  <c r="D4361" i="1"/>
  <c r="D4362" i="1"/>
  <c r="E4355" i="1"/>
  <c r="E4356" i="1"/>
  <c r="E4357" i="1"/>
  <c r="E4358" i="1"/>
  <c r="E4359" i="1"/>
  <c r="E4360" i="1"/>
  <c r="E4361" i="1"/>
  <c r="E4362" i="1"/>
  <c r="F4355" i="1"/>
  <c r="F4356" i="1"/>
  <c r="F4357" i="1"/>
  <c r="F4358" i="1"/>
  <c r="F4359" i="1"/>
  <c r="F4360" i="1"/>
  <c r="F4361" i="1"/>
  <c r="F4362" i="1"/>
  <c r="K4347" i="1"/>
  <c r="K4348" i="1"/>
  <c r="K4349" i="1"/>
  <c r="K4350" i="1"/>
  <c r="K4351" i="1"/>
  <c r="K4352" i="1"/>
  <c r="K4353" i="1"/>
  <c r="K4354" i="1"/>
  <c r="D4354" i="1"/>
  <c r="E4354" i="1"/>
  <c r="F4354" i="1"/>
  <c r="D4353" i="1"/>
  <c r="E4353" i="1"/>
  <c r="F4353" i="1"/>
  <c r="D4352" i="1"/>
  <c r="E4352" i="1"/>
  <c r="F4352" i="1"/>
  <c r="D4347" i="1"/>
  <c r="D4348" i="1"/>
  <c r="D4349" i="1"/>
  <c r="D4350" i="1"/>
  <c r="D4351" i="1"/>
  <c r="E4347" i="1"/>
  <c r="E4348" i="1"/>
  <c r="E4349" i="1"/>
  <c r="E4350" i="1"/>
  <c r="E4351" i="1"/>
  <c r="F4347" i="1"/>
  <c r="F4348" i="1"/>
  <c r="F4349" i="1"/>
  <c r="F4350" i="1"/>
  <c r="F4351" i="1"/>
  <c r="K4342" i="1"/>
  <c r="K4343" i="1"/>
  <c r="K4344" i="1"/>
  <c r="K4345" i="1"/>
  <c r="K4346" i="1"/>
  <c r="D4342" i="1"/>
  <c r="D4343" i="1"/>
  <c r="D4344" i="1"/>
  <c r="D4345" i="1"/>
  <c r="D4346" i="1"/>
  <c r="E4342" i="1"/>
  <c r="E4343" i="1"/>
  <c r="E4344" i="1"/>
  <c r="E4345" i="1"/>
  <c r="E4346" i="1"/>
  <c r="F4342" i="1"/>
  <c r="F4343" i="1"/>
  <c r="F4344" i="1"/>
  <c r="F4345" i="1"/>
  <c r="F4346" i="1"/>
  <c r="K4331" i="1"/>
  <c r="K4332" i="1"/>
  <c r="K4333" i="1"/>
  <c r="K4334" i="1"/>
  <c r="K4335" i="1"/>
  <c r="K4336" i="1"/>
  <c r="K4337" i="1"/>
  <c r="K4338" i="1"/>
  <c r="K4339" i="1"/>
  <c r="K4340" i="1"/>
  <c r="K4341" i="1"/>
  <c r="D4331" i="1"/>
  <c r="D4332" i="1"/>
  <c r="D4333" i="1"/>
  <c r="D4334" i="1"/>
  <c r="D4335" i="1"/>
  <c r="D4336" i="1"/>
  <c r="D4337" i="1"/>
  <c r="D4338" i="1"/>
  <c r="D4339" i="1"/>
  <c r="D4340" i="1"/>
  <c r="D4341" i="1"/>
  <c r="E4331" i="1"/>
  <c r="E4332" i="1"/>
  <c r="E4333" i="1"/>
  <c r="E4334" i="1"/>
  <c r="E4335" i="1"/>
  <c r="E4336" i="1"/>
  <c r="E4337" i="1"/>
  <c r="E4338" i="1"/>
  <c r="E4339" i="1"/>
  <c r="E4340" i="1"/>
  <c r="E4341" i="1"/>
  <c r="F4331" i="1"/>
  <c r="F4332" i="1"/>
  <c r="F4333" i="1"/>
  <c r="F4334" i="1"/>
  <c r="F4335" i="1"/>
  <c r="F4336" i="1"/>
  <c r="F4337" i="1"/>
  <c r="F4338" i="1"/>
  <c r="F4339" i="1"/>
  <c r="F4340" i="1"/>
  <c r="F4341" i="1"/>
  <c r="K4330" i="1" l="1"/>
  <c r="K4315" i="1"/>
  <c r="K4314" i="1"/>
  <c r="K4313" i="1"/>
  <c r="K4312" i="1"/>
  <c r="F4330" i="1"/>
  <c r="E4330" i="1"/>
  <c r="D4330" i="1"/>
  <c r="D353" i="2"/>
  <c r="E353" i="2"/>
  <c r="F353" i="2"/>
  <c r="D352" i="2"/>
  <c r="E352" i="2"/>
  <c r="F352" i="2"/>
  <c r="K4289" i="1" l="1"/>
  <c r="K4278" i="1" l="1"/>
  <c r="K4267" i="1"/>
  <c r="K4268" i="1"/>
  <c r="K4277" i="1"/>
  <c r="K4279" i="1"/>
  <c r="K4280" i="1"/>
  <c r="K4281" i="1"/>
  <c r="K4282" i="1"/>
  <c r="K4283" i="1"/>
  <c r="K4284" i="1"/>
  <c r="K4285" i="1"/>
  <c r="K4286" i="1"/>
  <c r="E414" i="3" l="1"/>
  <c r="K4323" i="1"/>
  <c r="K4324" i="1"/>
  <c r="K4325" i="1"/>
  <c r="K4326" i="1"/>
  <c r="D4323" i="1"/>
  <c r="D4324" i="1"/>
  <c r="D4325" i="1"/>
  <c r="D4326" i="1"/>
  <c r="E4323" i="1"/>
  <c r="E4324" i="1"/>
  <c r="E4325" i="1"/>
  <c r="E4326" i="1"/>
  <c r="F4323" i="1"/>
  <c r="F4324" i="1"/>
  <c r="F4325" i="1"/>
  <c r="F4326" i="1"/>
  <c r="I4322" i="1"/>
  <c r="K4322" i="1" s="1"/>
  <c r="K4316" i="1"/>
  <c r="K4317" i="1"/>
  <c r="K4318" i="1"/>
  <c r="K4319" i="1"/>
  <c r="K4320" i="1"/>
  <c r="K4321" i="1"/>
  <c r="D4317" i="1"/>
  <c r="D4318" i="1"/>
  <c r="D4319" i="1"/>
  <c r="D4320" i="1"/>
  <c r="D4321" i="1"/>
  <c r="D4322" i="1"/>
  <c r="E4317" i="1"/>
  <c r="E4318" i="1"/>
  <c r="E4319" i="1"/>
  <c r="E4320" i="1"/>
  <c r="E4321" i="1"/>
  <c r="E4322" i="1"/>
  <c r="F4317" i="1"/>
  <c r="F4318" i="1"/>
  <c r="F4319" i="1"/>
  <c r="F4320" i="1"/>
  <c r="F4321" i="1"/>
  <c r="F4322" i="1"/>
  <c r="D4316" i="1"/>
  <c r="E4316" i="1"/>
  <c r="F4316" i="1"/>
  <c r="D4315" i="1" l="1"/>
  <c r="E4315" i="1"/>
  <c r="F4315" i="1"/>
  <c r="D4312" i="1"/>
  <c r="D4313" i="1"/>
  <c r="D4314" i="1"/>
  <c r="E4312" i="1"/>
  <c r="E4313" i="1"/>
  <c r="E4314" i="1"/>
  <c r="F4312" i="1"/>
  <c r="F4313" i="1"/>
  <c r="F4314" i="1"/>
  <c r="K4305" i="1"/>
  <c r="K4306" i="1"/>
  <c r="K4307" i="1"/>
  <c r="K4308" i="1"/>
  <c r="K4309" i="1"/>
  <c r="K4310" i="1"/>
  <c r="K4311" i="1"/>
  <c r="D4305" i="1"/>
  <c r="D4306" i="1"/>
  <c r="D4307" i="1"/>
  <c r="D4308" i="1"/>
  <c r="D4309" i="1"/>
  <c r="D4310" i="1"/>
  <c r="D4311" i="1"/>
  <c r="E4305" i="1"/>
  <c r="E4306" i="1"/>
  <c r="E4307" i="1"/>
  <c r="E4308" i="1"/>
  <c r="E4309" i="1"/>
  <c r="E4310" i="1"/>
  <c r="E4311" i="1"/>
  <c r="F4305" i="1"/>
  <c r="F4306" i="1"/>
  <c r="F4307" i="1"/>
  <c r="F4308" i="1"/>
  <c r="F4309" i="1"/>
  <c r="F4310" i="1"/>
  <c r="F4311" i="1"/>
  <c r="K4297" i="1"/>
  <c r="K4298" i="1"/>
  <c r="K4299" i="1"/>
  <c r="K4300" i="1"/>
  <c r="K4301" i="1"/>
  <c r="K4302" i="1"/>
  <c r="K4303" i="1"/>
  <c r="K4304" i="1"/>
  <c r="D4297" i="1"/>
  <c r="D4298" i="1"/>
  <c r="D4299" i="1"/>
  <c r="D4300" i="1"/>
  <c r="D4301" i="1"/>
  <c r="D4302" i="1"/>
  <c r="D4303" i="1"/>
  <c r="D4304" i="1"/>
  <c r="E4297" i="1"/>
  <c r="E4298" i="1"/>
  <c r="E4299" i="1"/>
  <c r="E4300" i="1"/>
  <c r="E4301" i="1"/>
  <c r="E4302" i="1"/>
  <c r="E4303" i="1"/>
  <c r="E4304" i="1"/>
  <c r="F4297" i="1"/>
  <c r="F4298" i="1"/>
  <c r="F4299" i="1"/>
  <c r="F4300" i="1"/>
  <c r="F4301" i="1"/>
  <c r="F4302" i="1"/>
  <c r="F4303" i="1"/>
  <c r="F4304" i="1"/>
  <c r="K4287" i="1"/>
  <c r="K4288" i="1"/>
  <c r="K4290" i="1"/>
  <c r="K4291" i="1"/>
  <c r="K4292" i="1"/>
  <c r="K4293" i="1"/>
  <c r="K4294" i="1"/>
  <c r="K4295" i="1"/>
  <c r="K4296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78" i="1"/>
  <c r="F4279" i="1"/>
  <c r="F4280" i="1"/>
  <c r="F4281" i="1"/>
  <c r="F4282" i="1"/>
  <c r="F4283" i="1"/>
  <c r="F4284" i="1"/>
  <c r="E4278" i="1"/>
  <c r="E4279" i="1"/>
  <c r="E4280" i="1"/>
  <c r="E4281" i="1"/>
  <c r="E4282" i="1"/>
  <c r="E4283" i="1"/>
  <c r="E4284" i="1"/>
  <c r="D4278" i="1"/>
  <c r="D4279" i="1"/>
  <c r="D4280" i="1"/>
  <c r="D4281" i="1"/>
  <c r="D4282" i="1"/>
  <c r="D4283" i="1"/>
  <c r="D4284" i="1"/>
  <c r="D4277" i="1"/>
  <c r="E4277" i="1"/>
  <c r="F4277" i="1"/>
  <c r="D351" i="2"/>
  <c r="E351" i="2"/>
  <c r="F351" i="2"/>
  <c r="K4119" i="1" l="1"/>
  <c r="K4120" i="1"/>
  <c r="D4119" i="1"/>
  <c r="E4119" i="1"/>
  <c r="F4119" i="1"/>
  <c r="D4120" i="1"/>
  <c r="E4120" i="1"/>
  <c r="F4120" i="1"/>
  <c r="D4123" i="1"/>
  <c r="E4123" i="1"/>
  <c r="F4123" i="1"/>
  <c r="K4054" i="1"/>
  <c r="D4054" i="1"/>
  <c r="E4054" i="1"/>
  <c r="F4054" i="1"/>
  <c r="K3537" i="1"/>
  <c r="F3537" i="1"/>
  <c r="E3537" i="1"/>
  <c r="D3537" i="1"/>
  <c r="K3104" i="1"/>
  <c r="F3104" i="1"/>
  <c r="E3104" i="1"/>
  <c r="D3104" i="1"/>
  <c r="D4268" i="1" l="1"/>
  <c r="E4268" i="1"/>
  <c r="F4268" i="1"/>
  <c r="F405" i="3" l="1"/>
  <c r="D405" i="3"/>
  <c r="D4265" i="1"/>
  <c r="E4265" i="1"/>
  <c r="F4265" i="1"/>
  <c r="K4265" i="1"/>
  <c r="D4266" i="1"/>
  <c r="E4266" i="1"/>
  <c r="F4266" i="1"/>
  <c r="K4266" i="1"/>
  <c r="D4267" i="1"/>
  <c r="E4267" i="1"/>
  <c r="F4267" i="1"/>
  <c r="I4261" i="1"/>
  <c r="K4261" i="1" s="1"/>
  <c r="I4256" i="1"/>
  <c r="K4256" i="1" s="1"/>
  <c r="K4257" i="1"/>
  <c r="K4258" i="1"/>
  <c r="K4259" i="1"/>
  <c r="K4260" i="1"/>
  <c r="K4262" i="1"/>
  <c r="K4263" i="1"/>
  <c r="K4264" i="1"/>
  <c r="I4255" i="1"/>
  <c r="K4255" i="1" s="1"/>
  <c r="F4255" i="1"/>
  <c r="F4256" i="1"/>
  <c r="F4257" i="1"/>
  <c r="F4258" i="1"/>
  <c r="F4259" i="1"/>
  <c r="F4260" i="1"/>
  <c r="F4261" i="1"/>
  <c r="F4262" i="1"/>
  <c r="F4263" i="1"/>
  <c r="F4264" i="1"/>
  <c r="E4255" i="1"/>
  <c r="E4256" i="1"/>
  <c r="E4257" i="1"/>
  <c r="E4258" i="1"/>
  <c r="E4259" i="1"/>
  <c r="E4260" i="1"/>
  <c r="E4261" i="1"/>
  <c r="E4262" i="1"/>
  <c r="E4263" i="1"/>
  <c r="E4264" i="1"/>
  <c r="D4255" i="1"/>
  <c r="D4256" i="1"/>
  <c r="D4257" i="1"/>
  <c r="D4258" i="1"/>
  <c r="D4259" i="1"/>
  <c r="D4260" i="1"/>
  <c r="D4261" i="1"/>
  <c r="D4262" i="1"/>
  <c r="D4263" i="1"/>
  <c r="D4264" i="1"/>
  <c r="K4252" i="1"/>
  <c r="K4253" i="1"/>
  <c r="K4254" i="1"/>
  <c r="D4252" i="1"/>
  <c r="D4253" i="1"/>
  <c r="D4254" i="1"/>
  <c r="E4252" i="1"/>
  <c r="E4253" i="1"/>
  <c r="E4254" i="1"/>
  <c r="F4252" i="1"/>
  <c r="F4253" i="1"/>
  <c r="F4254" i="1"/>
  <c r="K4248" i="1"/>
  <c r="K4249" i="1"/>
  <c r="K4250" i="1"/>
  <c r="K4251" i="1"/>
  <c r="D4248" i="1"/>
  <c r="D4249" i="1"/>
  <c r="D4250" i="1"/>
  <c r="D4251" i="1"/>
  <c r="E4248" i="1"/>
  <c r="E4249" i="1"/>
  <c r="E4250" i="1"/>
  <c r="E4251" i="1"/>
  <c r="F4248" i="1"/>
  <c r="F4249" i="1"/>
  <c r="F4250" i="1"/>
  <c r="F4251" i="1"/>
  <c r="E404" i="3" l="1"/>
  <c r="E405" i="3"/>
  <c r="E406" i="3"/>
  <c r="E407" i="3"/>
  <c r="E408" i="3"/>
  <c r="E409" i="3"/>
  <c r="E410" i="3"/>
  <c r="E413" i="3"/>
  <c r="F403" i="3"/>
  <c r="D403" i="3"/>
  <c r="E403" i="3" s="1"/>
  <c r="K4247" i="1"/>
  <c r="D4247" i="1"/>
  <c r="E4247" i="1"/>
  <c r="F4247" i="1"/>
  <c r="K4241" i="1"/>
  <c r="K4242" i="1"/>
  <c r="K4243" i="1"/>
  <c r="K4244" i="1"/>
  <c r="K4245" i="1"/>
  <c r="K4246" i="1"/>
  <c r="D4241" i="1"/>
  <c r="D4242" i="1"/>
  <c r="D4243" i="1"/>
  <c r="D4244" i="1"/>
  <c r="D4245" i="1"/>
  <c r="D4246" i="1"/>
  <c r="E4241" i="1"/>
  <c r="E4242" i="1"/>
  <c r="E4243" i="1"/>
  <c r="E4244" i="1"/>
  <c r="E4245" i="1"/>
  <c r="E4246" i="1"/>
  <c r="F4241" i="1"/>
  <c r="F4242" i="1"/>
  <c r="F4243" i="1"/>
  <c r="F4244" i="1"/>
  <c r="F4245" i="1"/>
  <c r="F4246" i="1"/>
  <c r="K4234" i="1"/>
  <c r="K4235" i="1"/>
  <c r="K4236" i="1"/>
  <c r="K4237" i="1"/>
  <c r="K4238" i="1"/>
  <c r="K4239" i="1"/>
  <c r="K4240" i="1"/>
  <c r="D4234" i="1"/>
  <c r="D4235" i="1"/>
  <c r="D4236" i="1"/>
  <c r="D4237" i="1"/>
  <c r="D4238" i="1"/>
  <c r="D4239" i="1"/>
  <c r="D4240" i="1"/>
  <c r="E4234" i="1"/>
  <c r="E4235" i="1"/>
  <c r="E4236" i="1"/>
  <c r="E4237" i="1"/>
  <c r="E4238" i="1"/>
  <c r="E4239" i="1"/>
  <c r="E4240" i="1"/>
  <c r="F4234" i="1"/>
  <c r="F4235" i="1"/>
  <c r="F4236" i="1"/>
  <c r="F4237" i="1"/>
  <c r="F4238" i="1"/>
  <c r="F4239" i="1"/>
  <c r="F4240" i="1"/>
  <c r="K4231" i="1"/>
  <c r="K4232" i="1"/>
  <c r="K4233" i="1"/>
  <c r="D4231" i="1"/>
  <c r="D4232" i="1"/>
  <c r="D4233" i="1"/>
  <c r="E4231" i="1"/>
  <c r="E4232" i="1"/>
  <c r="E4233" i="1"/>
  <c r="F4231" i="1"/>
  <c r="F4232" i="1"/>
  <c r="F4233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D4207" i="1"/>
  <c r="D4208" i="1"/>
  <c r="D4209" i="1"/>
  <c r="D4210" i="1"/>
  <c r="D4211" i="1"/>
  <c r="D4212" i="1"/>
  <c r="D4213" i="1"/>
  <c r="D4214" i="1"/>
  <c r="D4215" i="1"/>
  <c r="D4216" i="1"/>
  <c r="D4217" i="1"/>
  <c r="E4207" i="1"/>
  <c r="E4208" i="1"/>
  <c r="E4209" i="1"/>
  <c r="E4210" i="1"/>
  <c r="E4211" i="1"/>
  <c r="E4212" i="1"/>
  <c r="E4213" i="1"/>
  <c r="E4214" i="1"/>
  <c r="E4215" i="1"/>
  <c r="E4216" i="1"/>
  <c r="E4217" i="1"/>
  <c r="F4207" i="1"/>
  <c r="F4208" i="1"/>
  <c r="F4209" i="1"/>
  <c r="F4210" i="1"/>
  <c r="F4211" i="1"/>
  <c r="F4212" i="1"/>
  <c r="F4213" i="1"/>
  <c r="F4214" i="1"/>
  <c r="F4215" i="1"/>
  <c r="F4216" i="1"/>
  <c r="F4217" i="1"/>
  <c r="D4206" i="1"/>
  <c r="E4206" i="1"/>
  <c r="F4206" i="1"/>
  <c r="E357" i="3" l="1"/>
  <c r="K315" i="2"/>
  <c r="D312" i="2"/>
  <c r="E312" i="2"/>
  <c r="F312" i="2"/>
  <c r="D313" i="2"/>
  <c r="E313" i="2"/>
  <c r="F313" i="2"/>
  <c r="L307" i="2"/>
  <c r="L316" i="2"/>
  <c r="D345" i="2" l="1"/>
  <c r="D346" i="2"/>
  <c r="D349" i="2"/>
  <c r="E345" i="2"/>
  <c r="E346" i="2"/>
  <c r="E349" i="2"/>
  <c r="F345" i="2"/>
  <c r="F346" i="2"/>
  <c r="F349" i="2"/>
  <c r="E380" i="3" l="1"/>
  <c r="E381" i="3"/>
  <c r="K3928" i="1" l="1"/>
  <c r="D3928" i="1"/>
  <c r="E3928" i="1"/>
  <c r="F3928" i="1"/>
  <c r="D344" i="2" l="1"/>
  <c r="E344" i="2"/>
  <c r="F344" i="2"/>
  <c r="E401" i="3"/>
  <c r="E402" i="3"/>
  <c r="E400" i="3"/>
  <c r="E399" i="3"/>
  <c r="E398" i="3"/>
  <c r="E397" i="3"/>
  <c r="E393" i="3"/>
  <c r="E394" i="3"/>
  <c r="E395" i="3"/>
  <c r="E396" i="3"/>
  <c r="E392" i="3"/>
  <c r="K4197" i="1"/>
  <c r="K4198" i="1"/>
  <c r="K4199" i="1"/>
  <c r="K4200" i="1"/>
  <c r="K4201" i="1"/>
  <c r="K4202" i="1"/>
  <c r="K4203" i="1"/>
  <c r="K4204" i="1"/>
  <c r="K4205" i="1"/>
  <c r="D4205" i="1"/>
  <c r="E4205" i="1"/>
  <c r="F4205" i="1"/>
  <c r="D4204" i="1"/>
  <c r="E4204" i="1"/>
  <c r="F4204" i="1"/>
  <c r="D4203" i="1"/>
  <c r="E4203" i="1"/>
  <c r="F4203" i="1"/>
  <c r="D4197" i="1"/>
  <c r="D4198" i="1"/>
  <c r="D4199" i="1"/>
  <c r="D4200" i="1"/>
  <c r="D4201" i="1"/>
  <c r="D4202" i="1"/>
  <c r="E4197" i="1"/>
  <c r="E4198" i="1"/>
  <c r="E4199" i="1"/>
  <c r="E4200" i="1"/>
  <c r="E4201" i="1"/>
  <c r="E4202" i="1"/>
  <c r="F4197" i="1"/>
  <c r="F4198" i="1"/>
  <c r="F4199" i="1"/>
  <c r="F4200" i="1"/>
  <c r="F4201" i="1"/>
  <c r="F4202" i="1"/>
  <c r="K4194" i="1"/>
  <c r="K4195" i="1"/>
  <c r="K4196" i="1"/>
  <c r="D4194" i="1"/>
  <c r="D4195" i="1"/>
  <c r="D4196" i="1"/>
  <c r="E4194" i="1"/>
  <c r="E4195" i="1"/>
  <c r="E4196" i="1"/>
  <c r="F4194" i="1"/>
  <c r="F4195" i="1"/>
  <c r="F4196" i="1"/>
  <c r="K4193" i="1"/>
  <c r="D4193" i="1"/>
  <c r="E4193" i="1"/>
  <c r="F4193" i="1"/>
  <c r="K4183" i="1"/>
  <c r="K4184" i="1"/>
  <c r="K4185" i="1"/>
  <c r="K4186" i="1"/>
  <c r="K4187" i="1"/>
  <c r="K4188" i="1"/>
  <c r="K4189" i="1"/>
  <c r="K4190" i="1"/>
  <c r="K4191" i="1"/>
  <c r="K4192" i="1"/>
  <c r="D4191" i="1"/>
  <c r="D4192" i="1"/>
  <c r="E4191" i="1"/>
  <c r="E4192" i="1"/>
  <c r="F4191" i="1"/>
  <c r="F4192" i="1"/>
  <c r="D4183" i="1"/>
  <c r="D4184" i="1"/>
  <c r="D4185" i="1"/>
  <c r="D4186" i="1"/>
  <c r="D4187" i="1"/>
  <c r="D4188" i="1"/>
  <c r="D4189" i="1"/>
  <c r="D4190" i="1"/>
  <c r="E4183" i="1"/>
  <c r="E4184" i="1"/>
  <c r="E4185" i="1"/>
  <c r="E4186" i="1"/>
  <c r="E4187" i="1"/>
  <c r="E4188" i="1"/>
  <c r="E4189" i="1"/>
  <c r="E4190" i="1"/>
  <c r="F4183" i="1"/>
  <c r="F4184" i="1"/>
  <c r="F4185" i="1"/>
  <c r="F4186" i="1"/>
  <c r="F4187" i="1"/>
  <c r="F4188" i="1"/>
  <c r="F4189" i="1"/>
  <c r="F4190" i="1"/>
  <c r="K4179" i="1"/>
  <c r="K4180" i="1"/>
  <c r="K4181" i="1"/>
  <c r="K4182" i="1"/>
  <c r="D4179" i="1"/>
  <c r="D4180" i="1"/>
  <c r="D4181" i="1"/>
  <c r="D4182" i="1"/>
  <c r="E4179" i="1"/>
  <c r="E4180" i="1"/>
  <c r="E4181" i="1"/>
  <c r="E4182" i="1"/>
  <c r="F4179" i="1"/>
  <c r="F4180" i="1"/>
  <c r="F4181" i="1"/>
  <c r="F4182" i="1"/>
  <c r="K4173" i="1"/>
  <c r="K4174" i="1"/>
  <c r="K4175" i="1"/>
  <c r="K4176" i="1"/>
  <c r="K4177" i="1"/>
  <c r="K4178" i="1"/>
  <c r="D4173" i="1"/>
  <c r="D4174" i="1"/>
  <c r="D4175" i="1"/>
  <c r="D4176" i="1"/>
  <c r="D4177" i="1"/>
  <c r="D4178" i="1"/>
  <c r="E4173" i="1"/>
  <c r="E4174" i="1"/>
  <c r="E4175" i="1"/>
  <c r="E4176" i="1"/>
  <c r="E4177" i="1"/>
  <c r="E4178" i="1"/>
  <c r="F4173" i="1"/>
  <c r="F4174" i="1"/>
  <c r="F4175" i="1"/>
  <c r="F4176" i="1"/>
  <c r="F4177" i="1"/>
  <c r="F4178" i="1"/>
  <c r="N5" i="11" l="1"/>
  <c r="M5" i="11"/>
  <c r="L5" i="1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D4155" i="1"/>
  <c r="E4155" i="1"/>
  <c r="F4155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D4149" i="1"/>
  <c r="D4150" i="1"/>
  <c r="D4151" i="1"/>
  <c r="D4152" i="1"/>
  <c r="D4153" i="1"/>
  <c r="D4154" i="1"/>
  <c r="E4149" i="1"/>
  <c r="E4150" i="1"/>
  <c r="E4151" i="1"/>
  <c r="E4152" i="1"/>
  <c r="E4153" i="1"/>
  <c r="E4154" i="1"/>
  <c r="F4149" i="1"/>
  <c r="F4150" i="1"/>
  <c r="F4151" i="1"/>
  <c r="F4152" i="1"/>
  <c r="F4153" i="1"/>
  <c r="F4154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D4133" i="1"/>
  <c r="D4134" i="1"/>
  <c r="D4135" i="1"/>
  <c r="D4136" i="1"/>
  <c r="E4133" i="1"/>
  <c r="E4134" i="1"/>
  <c r="E4135" i="1"/>
  <c r="E4136" i="1"/>
  <c r="F4133" i="1"/>
  <c r="F4134" i="1"/>
  <c r="F4135" i="1"/>
  <c r="F4136" i="1"/>
  <c r="K4125" i="1"/>
  <c r="K4126" i="1"/>
  <c r="K4127" i="1"/>
  <c r="K4128" i="1"/>
  <c r="K4129" i="1"/>
  <c r="K4130" i="1"/>
  <c r="K4131" i="1"/>
  <c r="D4126" i="1"/>
  <c r="D4127" i="1"/>
  <c r="D4128" i="1"/>
  <c r="D4129" i="1"/>
  <c r="D4130" i="1"/>
  <c r="D4131" i="1"/>
  <c r="E4126" i="1"/>
  <c r="E4127" i="1"/>
  <c r="E4128" i="1"/>
  <c r="E4129" i="1"/>
  <c r="E4130" i="1"/>
  <c r="E4131" i="1"/>
  <c r="F4126" i="1"/>
  <c r="F4127" i="1"/>
  <c r="F4128" i="1"/>
  <c r="F4129" i="1"/>
  <c r="F4130" i="1"/>
  <c r="F4131" i="1"/>
  <c r="D4125" i="1"/>
  <c r="E4125" i="1"/>
  <c r="F4125" i="1"/>
  <c r="K4124" i="1"/>
  <c r="D4124" i="1"/>
  <c r="E4124" i="1"/>
  <c r="F4124" i="1"/>
  <c r="K4118" i="1"/>
  <c r="D4118" i="1"/>
  <c r="E4118" i="1"/>
  <c r="F4118" i="1"/>
  <c r="D341" i="2"/>
  <c r="E341" i="2"/>
  <c r="F341" i="2"/>
  <c r="D342" i="2"/>
  <c r="D343" i="2"/>
  <c r="E342" i="2"/>
  <c r="E343" i="2"/>
  <c r="F342" i="2"/>
  <c r="F343" i="2"/>
  <c r="D340" i="2"/>
  <c r="E340" i="2"/>
  <c r="F340" i="2"/>
  <c r="D338" i="2"/>
  <c r="D339" i="2"/>
  <c r="E338" i="2"/>
  <c r="E339" i="2"/>
  <c r="F338" i="2"/>
  <c r="F339" i="2"/>
  <c r="D337" i="2"/>
  <c r="E337" i="2"/>
  <c r="F337" i="2"/>
  <c r="E386" i="3"/>
  <c r="P5" i="11" l="1"/>
  <c r="K3238" i="1"/>
  <c r="F3238" i="1"/>
  <c r="E3238" i="1"/>
  <c r="D3238" i="1"/>
  <c r="E390" i="3" l="1"/>
  <c r="E391" i="3"/>
  <c r="E389" i="3"/>
  <c r="K4108" i="1"/>
  <c r="K4109" i="1"/>
  <c r="K4110" i="1"/>
  <c r="K4111" i="1"/>
  <c r="K4112" i="1"/>
  <c r="K4113" i="1"/>
  <c r="K4114" i="1"/>
  <c r="K4115" i="1"/>
  <c r="K4116" i="1"/>
  <c r="K4117" i="1"/>
  <c r="D4117" i="1"/>
  <c r="E4117" i="1"/>
  <c r="F4117" i="1"/>
  <c r="F4116" i="1"/>
  <c r="E4116" i="1"/>
  <c r="D4116" i="1"/>
  <c r="D4115" i="1"/>
  <c r="E4115" i="1"/>
  <c r="F4115" i="1"/>
  <c r="D4113" i="1"/>
  <c r="D4114" i="1"/>
  <c r="E4113" i="1"/>
  <c r="E4114" i="1"/>
  <c r="F4113" i="1"/>
  <c r="F4114" i="1"/>
  <c r="D4109" i="1"/>
  <c r="D4110" i="1"/>
  <c r="D4111" i="1"/>
  <c r="D4112" i="1"/>
  <c r="E4109" i="1"/>
  <c r="E4110" i="1"/>
  <c r="E4111" i="1"/>
  <c r="E4112" i="1"/>
  <c r="F4109" i="1"/>
  <c r="F4110" i="1"/>
  <c r="F4111" i="1"/>
  <c r="F4112" i="1"/>
  <c r="D4108" i="1"/>
  <c r="E4108" i="1"/>
  <c r="F4108" i="1"/>
  <c r="K4098" i="1"/>
  <c r="K4099" i="1"/>
  <c r="K4100" i="1"/>
  <c r="K4101" i="1"/>
  <c r="K4102" i="1"/>
  <c r="K4103" i="1"/>
  <c r="K4104" i="1"/>
  <c r="K4105" i="1"/>
  <c r="K4106" i="1"/>
  <c r="K4107" i="1"/>
  <c r="D4107" i="1"/>
  <c r="E4107" i="1"/>
  <c r="F4107" i="1"/>
  <c r="D4106" i="1"/>
  <c r="E4106" i="1"/>
  <c r="F4106" i="1"/>
  <c r="D4105" i="1"/>
  <c r="E4105" i="1"/>
  <c r="F4105" i="1"/>
  <c r="D4104" i="1"/>
  <c r="E4104" i="1"/>
  <c r="F4104" i="1"/>
  <c r="D4101" i="1"/>
  <c r="D4102" i="1"/>
  <c r="D4103" i="1"/>
  <c r="E4101" i="1"/>
  <c r="E4102" i="1"/>
  <c r="E4103" i="1"/>
  <c r="F4101" i="1"/>
  <c r="F4102" i="1"/>
  <c r="F4103" i="1"/>
  <c r="D4098" i="1"/>
  <c r="D4099" i="1"/>
  <c r="D4100" i="1"/>
  <c r="E4098" i="1"/>
  <c r="E4099" i="1"/>
  <c r="E4100" i="1"/>
  <c r="F4098" i="1"/>
  <c r="F4099" i="1"/>
  <c r="F4100" i="1"/>
  <c r="K4095" i="1"/>
  <c r="K4096" i="1"/>
  <c r="K4097" i="1"/>
  <c r="D4095" i="1"/>
  <c r="D4096" i="1"/>
  <c r="D4097" i="1"/>
  <c r="E4095" i="1"/>
  <c r="E4096" i="1"/>
  <c r="E4097" i="1"/>
  <c r="F4095" i="1"/>
  <c r="F4096" i="1"/>
  <c r="F4097" i="1"/>
  <c r="K4088" i="1"/>
  <c r="K4089" i="1"/>
  <c r="K4090" i="1"/>
  <c r="K4091" i="1"/>
  <c r="K4092" i="1"/>
  <c r="K4093" i="1"/>
  <c r="K4094" i="1"/>
  <c r="D4094" i="1"/>
  <c r="E4094" i="1"/>
  <c r="F4094" i="1"/>
  <c r="D4093" i="1"/>
  <c r="E4093" i="1"/>
  <c r="F4093" i="1"/>
  <c r="D4092" i="1"/>
  <c r="E4092" i="1"/>
  <c r="F4092" i="1"/>
  <c r="D4091" i="1"/>
  <c r="E4091" i="1"/>
  <c r="F4091" i="1"/>
  <c r="D4090" i="1"/>
  <c r="E4090" i="1"/>
  <c r="F4090" i="1"/>
  <c r="D4089" i="1"/>
  <c r="E4089" i="1"/>
  <c r="F4089" i="1"/>
  <c r="D4088" i="1"/>
  <c r="E4088" i="1"/>
  <c r="F4088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D4081" i="1"/>
  <c r="D4082" i="1"/>
  <c r="D4083" i="1"/>
  <c r="D4084" i="1"/>
  <c r="D4085" i="1"/>
  <c r="D4086" i="1"/>
  <c r="D4087" i="1"/>
  <c r="E4081" i="1"/>
  <c r="E4082" i="1"/>
  <c r="E4083" i="1"/>
  <c r="E4084" i="1"/>
  <c r="E4085" i="1"/>
  <c r="E4086" i="1"/>
  <c r="E4087" i="1"/>
  <c r="F4081" i="1"/>
  <c r="F4082" i="1"/>
  <c r="F4083" i="1"/>
  <c r="F4084" i="1"/>
  <c r="F4085" i="1"/>
  <c r="F4086" i="1"/>
  <c r="F4087" i="1"/>
  <c r="D4074" i="1"/>
  <c r="D4075" i="1"/>
  <c r="D4076" i="1"/>
  <c r="D4077" i="1"/>
  <c r="D4078" i="1"/>
  <c r="D4079" i="1"/>
  <c r="D4080" i="1"/>
  <c r="E4074" i="1"/>
  <c r="E4075" i="1"/>
  <c r="E4076" i="1"/>
  <c r="E4077" i="1"/>
  <c r="E4078" i="1"/>
  <c r="E4079" i="1"/>
  <c r="E4080" i="1"/>
  <c r="F4074" i="1"/>
  <c r="F4075" i="1"/>
  <c r="F4076" i="1"/>
  <c r="F4077" i="1"/>
  <c r="F4078" i="1"/>
  <c r="F4079" i="1"/>
  <c r="F4080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D4064" i="1"/>
  <c r="D4065" i="1"/>
  <c r="D4066" i="1"/>
  <c r="D4067" i="1"/>
  <c r="D4068" i="1"/>
  <c r="D4069" i="1"/>
  <c r="D4070" i="1"/>
  <c r="D4071" i="1"/>
  <c r="D4072" i="1"/>
  <c r="D4073" i="1"/>
  <c r="E4064" i="1"/>
  <c r="E4065" i="1"/>
  <c r="E4066" i="1"/>
  <c r="E4067" i="1"/>
  <c r="E4068" i="1"/>
  <c r="E4069" i="1"/>
  <c r="E4070" i="1"/>
  <c r="E4071" i="1"/>
  <c r="E4072" i="1"/>
  <c r="E4073" i="1"/>
  <c r="F4064" i="1"/>
  <c r="F4065" i="1"/>
  <c r="F4066" i="1"/>
  <c r="F4067" i="1"/>
  <c r="F4068" i="1"/>
  <c r="F4069" i="1"/>
  <c r="F4070" i="1"/>
  <c r="F4071" i="1"/>
  <c r="F4072" i="1"/>
  <c r="F4073" i="1"/>
  <c r="D4062" i="1" l="1"/>
  <c r="D4063" i="1"/>
  <c r="E4062" i="1"/>
  <c r="E4063" i="1"/>
  <c r="F4062" i="1"/>
  <c r="F4063" i="1"/>
  <c r="K4055" i="1"/>
  <c r="K4056" i="1"/>
  <c r="K4057" i="1"/>
  <c r="K4058" i="1"/>
  <c r="K4059" i="1"/>
  <c r="K4060" i="1"/>
  <c r="K4061" i="1"/>
  <c r="D4060" i="1"/>
  <c r="D4061" i="1"/>
  <c r="E4060" i="1"/>
  <c r="E4061" i="1"/>
  <c r="F4060" i="1"/>
  <c r="F4061" i="1"/>
  <c r="D4055" i="1"/>
  <c r="D4056" i="1"/>
  <c r="D4057" i="1"/>
  <c r="D4058" i="1"/>
  <c r="D4059" i="1"/>
  <c r="E4055" i="1"/>
  <c r="E4056" i="1"/>
  <c r="E4057" i="1"/>
  <c r="E4058" i="1"/>
  <c r="E4059" i="1"/>
  <c r="F4055" i="1"/>
  <c r="F4056" i="1"/>
  <c r="F4057" i="1"/>
  <c r="F4058" i="1"/>
  <c r="F4059" i="1"/>
  <c r="E388" i="3"/>
  <c r="K4050" i="1" l="1"/>
  <c r="K4051" i="1"/>
  <c r="K4052" i="1"/>
  <c r="K4053" i="1"/>
  <c r="D4052" i="1"/>
  <c r="D4053" i="1"/>
  <c r="E4052" i="1"/>
  <c r="E4053" i="1"/>
  <c r="F4052" i="1"/>
  <c r="F4053" i="1"/>
  <c r="D4051" i="1"/>
  <c r="E4051" i="1"/>
  <c r="F4051" i="1"/>
  <c r="D4050" i="1"/>
  <c r="E4050" i="1"/>
  <c r="F4050" i="1"/>
  <c r="E385" i="3"/>
  <c r="E387" i="3"/>
  <c r="D336" i="2" l="1"/>
  <c r="E336" i="2"/>
  <c r="F336" i="2"/>
  <c r="D335" i="2" l="1"/>
  <c r="E335" i="2"/>
  <c r="F335" i="2"/>
  <c r="D334" i="2"/>
  <c r="E334" i="2"/>
  <c r="F334" i="2"/>
  <c r="D333" i="2"/>
  <c r="E333" i="2"/>
  <c r="F333" i="2"/>
  <c r="E383" i="3" l="1"/>
  <c r="E384" i="3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D3987" i="1"/>
  <c r="D3988" i="1"/>
  <c r="D3989" i="1"/>
  <c r="D3990" i="1"/>
  <c r="D3991" i="1"/>
  <c r="D3992" i="1"/>
  <c r="D3993" i="1"/>
  <c r="D3994" i="1"/>
  <c r="D3995" i="1"/>
  <c r="D3996" i="1"/>
  <c r="D3997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E3987" i="1"/>
  <c r="E3988" i="1"/>
  <c r="E3989" i="1"/>
  <c r="E3990" i="1"/>
  <c r="E3991" i="1"/>
  <c r="E3992" i="1"/>
  <c r="E3993" i="1"/>
  <c r="E3994" i="1"/>
  <c r="E3995" i="1"/>
  <c r="E3996" i="1"/>
  <c r="E3997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F3987" i="1"/>
  <c r="F3988" i="1"/>
  <c r="F3989" i="1"/>
  <c r="F3990" i="1"/>
  <c r="F3991" i="1"/>
  <c r="F3992" i="1"/>
  <c r="F3993" i="1"/>
  <c r="F3994" i="1"/>
  <c r="F3995" i="1"/>
  <c r="F3996" i="1"/>
  <c r="F3997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D3986" i="1"/>
  <c r="E3986" i="1"/>
  <c r="F3986" i="1"/>
  <c r="K3981" i="1"/>
  <c r="K3982" i="1"/>
  <c r="K3983" i="1"/>
  <c r="K3984" i="1"/>
  <c r="K3985" i="1"/>
  <c r="D3982" i="1"/>
  <c r="D3983" i="1"/>
  <c r="D3984" i="1"/>
  <c r="D3985" i="1"/>
  <c r="E3982" i="1"/>
  <c r="E3983" i="1"/>
  <c r="E3984" i="1"/>
  <c r="E3985" i="1"/>
  <c r="F3982" i="1"/>
  <c r="F3983" i="1"/>
  <c r="F3984" i="1"/>
  <c r="F3985" i="1"/>
  <c r="D3981" i="1"/>
  <c r="E3981" i="1"/>
  <c r="F3981" i="1"/>
  <c r="D328" i="2" l="1"/>
  <c r="E328" i="2"/>
  <c r="F328" i="2"/>
  <c r="D329" i="2"/>
  <c r="E329" i="2"/>
  <c r="F329" i="2"/>
  <c r="D3979" i="1" l="1"/>
  <c r="D3980" i="1"/>
  <c r="E3979" i="1"/>
  <c r="E3980" i="1"/>
  <c r="F3979" i="1"/>
  <c r="F3980" i="1"/>
  <c r="K3979" i="1"/>
  <c r="K3980" i="1"/>
  <c r="K3973" i="1"/>
  <c r="K3974" i="1"/>
  <c r="K3975" i="1"/>
  <c r="K3976" i="1"/>
  <c r="K3977" i="1"/>
  <c r="K3978" i="1"/>
  <c r="D3973" i="1"/>
  <c r="D3974" i="1"/>
  <c r="D3975" i="1"/>
  <c r="D3976" i="1"/>
  <c r="D3977" i="1"/>
  <c r="D3978" i="1"/>
  <c r="E3973" i="1"/>
  <c r="E3974" i="1"/>
  <c r="E3975" i="1"/>
  <c r="E3976" i="1"/>
  <c r="E3977" i="1"/>
  <c r="E3978" i="1"/>
  <c r="F3973" i="1"/>
  <c r="F3974" i="1"/>
  <c r="F3975" i="1"/>
  <c r="F3976" i="1"/>
  <c r="F3977" i="1"/>
  <c r="F3978" i="1"/>
  <c r="E382" i="3"/>
  <c r="K3969" i="1"/>
  <c r="K3970" i="1"/>
  <c r="K3971" i="1"/>
  <c r="K3972" i="1"/>
  <c r="D3972" i="1"/>
  <c r="E3972" i="1"/>
  <c r="F3972" i="1"/>
  <c r="D3971" i="1"/>
  <c r="E3971" i="1"/>
  <c r="F3971" i="1"/>
  <c r="D3970" i="1"/>
  <c r="E3970" i="1"/>
  <c r="F3970" i="1"/>
  <c r="D3969" i="1"/>
  <c r="E3969" i="1"/>
  <c r="F3969" i="1"/>
  <c r="K3962" i="1"/>
  <c r="K3963" i="1"/>
  <c r="K3965" i="1"/>
  <c r="K3966" i="1"/>
  <c r="K3967" i="1"/>
  <c r="K3968" i="1"/>
  <c r="D3968" i="1"/>
  <c r="E3968" i="1"/>
  <c r="F3968" i="1"/>
  <c r="D3966" i="1"/>
  <c r="D3967" i="1"/>
  <c r="E3966" i="1"/>
  <c r="E3967" i="1"/>
  <c r="F3966" i="1"/>
  <c r="F3967" i="1"/>
  <c r="D3965" i="1"/>
  <c r="E3965" i="1"/>
  <c r="F3965" i="1"/>
  <c r="D3962" i="1"/>
  <c r="D3963" i="1"/>
  <c r="E3962" i="1"/>
  <c r="E3963" i="1"/>
  <c r="F3962" i="1"/>
  <c r="F3963" i="1"/>
  <c r="K3957" i="1"/>
  <c r="K3958" i="1"/>
  <c r="K3959" i="1"/>
  <c r="K3960" i="1"/>
  <c r="K3961" i="1"/>
  <c r="D3957" i="1"/>
  <c r="D3958" i="1"/>
  <c r="D3959" i="1"/>
  <c r="D3960" i="1"/>
  <c r="D3961" i="1"/>
  <c r="E3957" i="1"/>
  <c r="E3958" i="1"/>
  <c r="E3959" i="1"/>
  <c r="E3960" i="1"/>
  <c r="E3961" i="1"/>
  <c r="F3957" i="1"/>
  <c r="F3958" i="1"/>
  <c r="F3959" i="1"/>
  <c r="F3960" i="1"/>
  <c r="F3961" i="1"/>
  <c r="K3954" i="1"/>
  <c r="K3955" i="1"/>
  <c r="K3956" i="1"/>
  <c r="D3954" i="1"/>
  <c r="D3955" i="1"/>
  <c r="D3956" i="1"/>
  <c r="E3954" i="1"/>
  <c r="E3955" i="1"/>
  <c r="E3956" i="1"/>
  <c r="F3954" i="1"/>
  <c r="F3955" i="1"/>
  <c r="F3956" i="1"/>
  <c r="K3951" i="1"/>
  <c r="K3952" i="1"/>
  <c r="K3953" i="1"/>
  <c r="D3951" i="1"/>
  <c r="D3952" i="1"/>
  <c r="D3953" i="1"/>
  <c r="E3951" i="1"/>
  <c r="E3952" i="1"/>
  <c r="E3953" i="1"/>
  <c r="F3951" i="1"/>
  <c r="F3952" i="1"/>
  <c r="F3953" i="1"/>
  <c r="K3945" i="1"/>
  <c r="K3946" i="1"/>
  <c r="K3947" i="1"/>
  <c r="K3948" i="1"/>
  <c r="K3949" i="1"/>
  <c r="K3950" i="1"/>
  <c r="D3945" i="1"/>
  <c r="D3946" i="1"/>
  <c r="D3947" i="1"/>
  <c r="D3948" i="1"/>
  <c r="D3949" i="1"/>
  <c r="D3950" i="1"/>
  <c r="E3945" i="1"/>
  <c r="E3946" i="1"/>
  <c r="E3947" i="1"/>
  <c r="E3948" i="1"/>
  <c r="E3949" i="1"/>
  <c r="E3950" i="1"/>
  <c r="F3945" i="1"/>
  <c r="F3946" i="1"/>
  <c r="F3947" i="1"/>
  <c r="F3948" i="1"/>
  <c r="F3949" i="1"/>
  <c r="F3950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D3940" i="1"/>
  <c r="D3941" i="1"/>
  <c r="D3942" i="1"/>
  <c r="D3943" i="1"/>
  <c r="D3944" i="1"/>
  <c r="E3940" i="1"/>
  <c r="E3941" i="1"/>
  <c r="E3942" i="1"/>
  <c r="E3943" i="1"/>
  <c r="E3944" i="1"/>
  <c r="F3940" i="1"/>
  <c r="F3941" i="1"/>
  <c r="F3942" i="1"/>
  <c r="F3943" i="1"/>
  <c r="F3944" i="1"/>
  <c r="D3939" i="1"/>
  <c r="E3939" i="1"/>
  <c r="F3939" i="1"/>
  <c r="D3938" i="1"/>
  <c r="E3938" i="1"/>
  <c r="F3938" i="1"/>
  <c r="D3937" i="1"/>
  <c r="E3937" i="1"/>
  <c r="F3937" i="1"/>
  <c r="D3929" i="1"/>
  <c r="D3930" i="1"/>
  <c r="D3931" i="1"/>
  <c r="D3932" i="1"/>
  <c r="D3933" i="1"/>
  <c r="D3934" i="1"/>
  <c r="D3935" i="1"/>
  <c r="D3936" i="1"/>
  <c r="E3929" i="1"/>
  <c r="E3930" i="1"/>
  <c r="E3931" i="1"/>
  <c r="E3932" i="1"/>
  <c r="E3933" i="1"/>
  <c r="E3934" i="1"/>
  <c r="E3935" i="1"/>
  <c r="E3936" i="1"/>
  <c r="F3929" i="1"/>
  <c r="F3930" i="1"/>
  <c r="F3931" i="1"/>
  <c r="F3932" i="1"/>
  <c r="F3933" i="1"/>
  <c r="F3934" i="1"/>
  <c r="F3935" i="1"/>
  <c r="F3936" i="1"/>
  <c r="D332" i="2" l="1"/>
  <c r="E332" i="2"/>
  <c r="F332" i="2"/>
  <c r="K3926" i="1"/>
  <c r="D3926" i="1"/>
  <c r="E3926" i="1"/>
  <c r="F3926" i="1"/>
  <c r="K3806" i="1"/>
  <c r="K3807" i="1"/>
  <c r="D3806" i="1"/>
  <c r="E3806" i="1"/>
  <c r="F3806" i="1"/>
  <c r="D3807" i="1"/>
  <c r="E3807" i="1"/>
  <c r="F3807" i="1"/>
  <c r="K3925" i="1" l="1"/>
  <c r="K3927" i="1"/>
  <c r="K2405" i="1"/>
  <c r="F2405" i="1"/>
  <c r="E2405" i="1"/>
  <c r="D2405" i="1"/>
  <c r="D331" i="2"/>
  <c r="E331" i="2"/>
  <c r="F331" i="2"/>
  <c r="D330" i="2"/>
  <c r="E330" i="2"/>
  <c r="F330" i="2"/>
  <c r="D327" i="2"/>
  <c r="E327" i="2"/>
  <c r="F327" i="2"/>
  <c r="D3927" i="1" l="1"/>
  <c r="E3927" i="1"/>
  <c r="F3927" i="1"/>
  <c r="D3925" i="1"/>
  <c r="E3925" i="1"/>
  <c r="F3925" i="1"/>
  <c r="K3924" i="1" l="1"/>
  <c r="D3924" i="1"/>
  <c r="E3924" i="1"/>
  <c r="F3924" i="1"/>
  <c r="K3919" i="1"/>
  <c r="K3920" i="1"/>
  <c r="K3921" i="1"/>
  <c r="K3922" i="1"/>
  <c r="K3923" i="1"/>
  <c r="D3919" i="1"/>
  <c r="D3920" i="1"/>
  <c r="D3921" i="1"/>
  <c r="D3922" i="1"/>
  <c r="D3923" i="1"/>
  <c r="E3919" i="1"/>
  <c r="E3920" i="1"/>
  <c r="E3921" i="1"/>
  <c r="E3922" i="1"/>
  <c r="E3923" i="1"/>
  <c r="F3919" i="1"/>
  <c r="F3920" i="1"/>
  <c r="F3921" i="1"/>
  <c r="F3922" i="1"/>
  <c r="F3923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D3918" i="1"/>
  <c r="E3918" i="1"/>
  <c r="F3918" i="1"/>
  <c r="D3915" i="1"/>
  <c r="D3916" i="1"/>
  <c r="D3917" i="1"/>
  <c r="E3915" i="1"/>
  <c r="E3916" i="1"/>
  <c r="E3917" i="1"/>
  <c r="F3915" i="1"/>
  <c r="F3916" i="1"/>
  <c r="F3917" i="1"/>
  <c r="D3912" i="1"/>
  <c r="D3913" i="1"/>
  <c r="D3914" i="1"/>
  <c r="E3912" i="1"/>
  <c r="E3913" i="1"/>
  <c r="E3914" i="1"/>
  <c r="F3912" i="1"/>
  <c r="F3913" i="1"/>
  <c r="F3914" i="1"/>
  <c r="D3907" i="1"/>
  <c r="D3908" i="1"/>
  <c r="D3909" i="1"/>
  <c r="D3910" i="1"/>
  <c r="D3911" i="1"/>
  <c r="E3907" i="1"/>
  <c r="E3908" i="1"/>
  <c r="E3909" i="1"/>
  <c r="E3910" i="1"/>
  <c r="E3911" i="1"/>
  <c r="F3907" i="1"/>
  <c r="F3908" i="1"/>
  <c r="F3909" i="1"/>
  <c r="F3910" i="1"/>
  <c r="F3911" i="1"/>
  <c r="E374" i="3" l="1"/>
  <c r="E375" i="3"/>
  <c r="E376" i="3"/>
  <c r="E377" i="3"/>
  <c r="E378" i="3"/>
  <c r="E379" i="3"/>
  <c r="D324" i="2"/>
  <c r="D325" i="2"/>
  <c r="D326" i="2"/>
  <c r="E324" i="2"/>
  <c r="E325" i="2"/>
  <c r="E326" i="2"/>
  <c r="F324" i="2"/>
  <c r="F325" i="2"/>
  <c r="F326" i="2"/>
  <c r="K3886" i="1" l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D3902" i="1"/>
  <c r="D3903" i="1"/>
  <c r="D3904" i="1"/>
  <c r="D3905" i="1"/>
  <c r="D3906" i="1"/>
  <c r="E3902" i="1"/>
  <c r="E3903" i="1"/>
  <c r="E3904" i="1"/>
  <c r="E3905" i="1"/>
  <c r="E3906" i="1"/>
  <c r="F3902" i="1"/>
  <c r="F3903" i="1"/>
  <c r="F3904" i="1"/>
  <c r="F3905" i="1"/>
  <c r="F3906" i="1"/>
  <c r="D3898" i="1"/>
  <c r="D3899" i="1"/>
  <c r="D3900" i="1"/>
  <c r="D3901" i="1"/>
  <c r="E3898" i="1"/>
  <c r="E3899" i="1"/>
  <c r="E3900" i="1"/>
  <c r="E3901" i="1"/>
  <c r="F3898" i="1"/>
  <c r="F3899" i="1"/>
  <c r="F3900" i="1"/>
  <c r="F3901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8" i="1"/>
  <c r="K3879" i="1"/>
  <c r="K3880" i="1"/>
  <c r="K3881" i="1"/>
  <c r="K3882" i="1"/>
  <c r="K3883" i="1"/>
  <c r="K3884" i="1"/>
  <c r="K3885" i="1"/>
  <c r="D3875" i="1"/>
  <c r="D3876" i="1"/>
  <c r="D3878" i="1"/>
  <c r="D3879" i="1"/>
  <c r="D3880" i="1"/>
  <c r="D3881" i="1"/>
  <c r="D3882" i="1"/>
  <c r="D3883" i="1"/>
  <c r="D3884" i="1"/>
  <c r="D3885" i="1"/>
  <c r="E3875" i="1"/>
  <c r="E3876" i="1"/>
  <c r="E3878" i="1"/>
  <c r="E3879" i="1"/>
  <c r="E3880" i="1"/>
  <c r="E3881" i="1"/>
  <c r="E3882" i="1"/>
  <c r="E3883" i="1"/>
  <c r="E3884" i="1"/>
  <c r="E3885" i="1"/>
  <c r="F3875" i="1"/>
  <c r="F3876" i="1"/>
  <c r="F3878" i="1"/>
  <c r="F3879" i="1"/>
  <c r="F3880" i="1"/>
  <c r="F3881" i="1"/>
  <c r="F3882" i="1"/>
  <c r="F3883" i="1"/>
  <c r="F3884" i="1"/>
  <c r="F3885" i="1"/>
  <c r="D3866" i="1"/>
  <c r="D3867" i="1"/>
  <c r="D3868" i="1"/>
  <c r="D3869" i="1"/>
  <c r="D3870" i="1"/>
  <c r="D3871" i="1"/>
  <c r="D3872" i="1"/>
  <c r="D3873" i="1"/>
  <c r="D3874" i="1"/>
  <c r="E3866" i="1"/>
  <c r="E3867" i="1"/>
  <c r="E3868" i="1"/>
  <c r="E3869" i="1"/>
  <c r="E3870" i="1"/>
  <c r="E3871" i="1"/>
  <c r="E3872" i="1"/>
  <c r="E3873" i="1"/>
  <c r="E3874" i="1"/>
  <c r="F3866" i="1"/>
  <c r="F3867" i="1"/>
  <c r="F3868" i="1"/>
  <c r="F3869" i="1"/>
  <c r="F3870" i="1"/>
  <c r="F3871" i="1"/>
  <c r="F3872" i="1"/>
  <c r="F3873" i="1"/>
  <c r="F3874" i="1"/>
  <c r="D3865" i="1"/>
  <c r="E3865" i="1"/>
  <c r="F3865" i="1"/>
  <c r="D3864" i="1"/>
  <c r="E3864" i="1"/>
  <c r="F3864" i="1"/>
  <c r="D3863" i="1"/>
  <c r="E3863" i="1"/>
  <c r="F3863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D3856" i="1"/>
  <c r="D3857" i="1"/>
  <c r="D3858" i="1"/>
  <c r="D3859" i="1"/>
  <c r="D3860" i="1"/>
  <c r="D3861" i="1"/>
  <c r="D3862" i="1"/>
  <c r="E3856" i="1"/>
  <c r="E3857" i="1"/>
  <c r="E3858" i="1"/>
  <c r="E3859" i="1"/>
  <c r="E3860" i="1"/>
  <c r="E3861" i="1"/>
  <c r="E3862" i="1"/>
  <c r="F3856" i="1"/>
  <c r="F3857" i="1"/>
  <c r="F3858" i="1"/>
  <c r="F3859" i="1"/>
  <c r="F3860" i="1"/>
  <c r="F3861" i="1"/>
  <c r="F3862" i="1"/>
  <c r="D3849" i="1"/>
  <c r="D3850" i="1"/>
  <c r="D3851" i="1"/>
  <c r="D3852" i="1"/>
  <c r="D3853" i="1"/>
  <c r="D3854" i="1"/>
  <c r="D3855" i="1"/>
  <c r="E3849" i="1"/>
  <c r="E3850" i="1"/>
  <c r="E3851" i="1"/>
  <c r="E3852" i="1"/>
  <c r="E3853" i="1"/>
  <c r="E3854" i="1"/>
  <c r="E3855" i="1"/>
  <c r="F3849" i="1"/>
  <c r="F3850" i="1"/>
  <c r="F3851" i="1"/>
  <c r="F3852" i="1"/>
  <c r="F3853" i="1"/>
  <c r="F3854" i="1"/>
  <c r="F3855" i="1"/>
  <c r="E364" i="3"/>
  <c r="E362" i="3"/>
  <c r="E363" i="3"/>
  <c r="K3848" i="1"/>
  <c r="F3848" i="1"/>
  <c r="E3848" i="1"/>
  <c r="D3848" i="1"/>
  <c r="K3847" i="1"/>
  <c r="D3847" i="1"/>
  <c r="E3847" i="1"/>
  <c r="F3847" i="1"/>
  <c r="D323" i="2"/>
  <c r="E323" i="2"/>
  <c r="F323" i="2"/>
  <c r="O4" i="11"/>
  <c r="K3845" i="1" l="1"/>
  <c r="K3846" i="1"/>
  <c r="D3845" i="1"/>
  <c r="D3846" i="1"/>
  <c r="E3845" i="1"/>
  <c r="E3846" i="1"/>
  <c r="F3845" i="1"/>
  <c r="F3846" i="1"/>
  <c r="E373" i="3" l="1"/>
  <c r="E372" i="3"/>
  <c r="E371" i="3"/>
  <c r="E370" i="3"/>
  <c r="E367" i="3"/>
  <c r="E368" i="3"/>
  <c r="E369" i="3"/>
  <c r="E366" i="3"/>
  <c r="K3836" i="1"/>
  <c r="K3837" i="1"/>
  <c r="K3838" i="1"/>
  <c r="K3839" i="1"/>
  <c r="K3840" i="1"/>
  <c r="K3841" i="1"/>
  <c r="K3842" i="1"/>
  <c r="K3843" i="1"/>
  <c r="K3844" i="1"/>
  <c r="D3837" i="1"/>
  <c r="D3838" i="1"/>
  <c r="D3839" i="1"/>
  <c r="D3840" i="1"/>
  <c r="D3841" i="1"/>
  <c r="D3842" i="1"/>
  <c r="D3843" i="1"/>
  <c r="D3844" i="1"/>
  <c r="E3837" i="1"/>
  <c r="E3838" i="1"/>
  <c r="E3839" i="1"/>
  <c r="E3840" i="1"/>
  <c r="E3841" i="1"/>
  <c r="E3842" i="1"/>
  <c r="E3843" i="1"/>
  <c r="E3844" i="1"/>
  <c r="F3837" i="1"/>
  <c r="F3838" i="1"/>
  <c r="F3839" i="1"/>
  <c r="F3840" i="1"/>
  <c r="F3841" i="1"/>
  <c r="F3842" i="1"/>
  <c r="F3843" i="1"/>
  <c r="F3844" i="1"/>
  <c r="D3836" i="1"/>
  <c r="E3836" i="1"/>
  <c r="F3836" i="1"/>
  <c r="K3834" i="1"/>
  <c r="K3835" i="1"/>
  <c r="D3835" i="1"/>
  <c r="E3835" i="1"/>
  <c r="F3835" i="1"/>
  <c r="D3834" i="1"/>
  <c r="E3834" i="1"/>
  <c r="F3834" i="1"/>
  <c r="K3833" i="1"/>
  <c r="D3833" i="1"/>
  <c r="E3833" i="1"/>
  <c r="F3833" i="1"/>
  <c r="K3829" i="1"/>
  <c r="K3830" i="1"/>
  <c r="K3831" i="1"/>
  <c r="K3832" i="1"/>
  <c r="D3829" i="1"/>
  <c r="D3830" i="1"/>
  <c r="D3831" i="1"/>
  <c r="D3832" i="1"/>
  <c r="E3829" i="1"/>
  <c r="E3830" i="1"/>
  <c r="E3831" i="1"/>
  <c r="E3832" i="1"/>
  <c r="F3829" i="1"/>
  <c r="F3830" i="1"/>
  <c r="F3831" i="1"/>
  <c r="F3832" i="1"/>
  <c r="K3822" i="1"/>
  <c r="K3823" i="1"/>
  <c r="K3824" i="1"/>
  <c r="K3825" i="1"/>
  <c r="K3826" i="1"/>
  <c r="K3827" i="1"/>
  <c r="K3828" i="1"/>
  <c r="D3828" i="1"/>
  <c r="E3828" i="1"/>
  <c r="F3828" i="1"/>
  <c r="D3827" i="1"/>
  <c r="E3827" i="1"/>
  <c r="F3827" i="1"/>
  <c r="D3826" i="1"/>
  <c r="E3826" i="1"/>
  <c r="F3826" i="1"/>
  <c r="D3825" i="1"/>
  <c r="E3825" i="1"/>
  <c r="F3825" i="1"/>
  <c r="D3822" i="1"/>
  <c r="D3823" i="1"/>
  <c r="D3824" i="1"/>
  <c r="E3822" i="1"/>
  <c r="E3823" i="1"/>
  <c r="E3824" i="1"/>
  <c r="F3822" i="1"/>
  <c r="F3823" i="1"/>
  <c r="F3824" i="1"/>
  <c r="K3798" i="1"/>
  <c r="K3799" i="1"/>
  <c r="K3800" i="1"/>
  <c r="K3801" i="1"/>
  <c r="K3802" i="1"/>
  <c r="K3803" i="1"/>
  <c r="K3804" i="1"/>
  <c r="K3805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D3816" i="1"/>
  <c r="D3817" i="1"/>
  <c r="D3818" i="1"/>
  <c r="D3819" i="1"/>
  <c r="D3820" i="1"/>
  <c r="D3821" i="1"/>
  <c r="E3816" i="1"/>
  <c r="E3817" i="1"/>
  <c r="E3818" i="1"/>
  <c r="E3819" i="1"/>
  <c r="E3820" i="1"/>
  <c r="E3821" i="1"/>
  <c r="F3816" i="1"/>
  <c r="F3817" i="1"/>
  <c r="F3818" i="1"/>
  <c r="F3819" i="1"/>
  <c r="F3820" i="1"/>
  <c r="F3821" i="1"/>
  <c r="D3798" i="1"/>
  <c r="D3799" i="1"/>
  <c r="D3800" i="1"/>
  <c r="D3801" i="1"/>
  <c r="D3802" i="1"/>
  <c r="D3803" i="1"/>
  <c r="D3804" i="1"/>
  <c r="D3805" i="1"/>
  <c r="D3808" i="1"/>
  <c r="D3809" i="1"/>
  <c r="D3810" i="1"/>
  <c r="D3811" i="1"/>
  <c r="D3812" i="1"/>
  <c r="D3813" i="1"/>
  <c r="D3814" i="1"/>
  <c r="D3815" i="1"/>
  <c r="E3798" i="1"/>
  <c r="E3799" i="1"/>
  <c r="E3800" i="1"/>
  <c r="E3801" i="1"/>
  <c r="E3802" i="1"/>
  <c r="E3803" i="1"/>
  <c r="E3804" i="1"/>
  <c r="E3805" i="1"/>
  <c r="E3808" i="1"/>
  <c r="E3809" i="1"/>
  <c r="E3810" i="1"/>
  <c r="E3811" i="1"/>
  <c r="E3812" i="1"/>
  <c r="E3813" i="1"/>
  <c r="E3814" i="1"/>
  <c r="E3815" i="1"/>
  <c r="F3798" i="1"/>
  <c r="F3799" i="1"/>
  <c r="F3800" i="1"/>
  <c r="F3801" i="1"/>
  <c r="F3802" i="1"/>
  <c r="F3803" i="1"/>
  <c r="F3804" i="1"/>
  <c r="F3805" i="1"/>
  <c r="F3808" i="1"/>
  <c r="F3809" i="1"/>
  <c r="F3810" i="1"/>
  <c r="F3811" i="1"/>
  <c r="F3812" i="1"/>
  <c r="F3813" i="1"/>
  <c r="F3814" i="1"/>
  <c r="F3815" i="1"/>
  <c r="E365" i="3"/>
  <c r="D319" i="2"/>
  <c r="E319" i="2"/>
  <c r="F319" i="2"/>
  <c r="K3796" i="1" l="1"/>
  <c r="K3797" i="1"/>
  <c r="D3796" i="1"/>
  <c r="D3797" i="1"/>
  <c r="E3796" i="1"/>
  <c r="E3797" i="1"/>
  <c r="F3796" i="1"/>
  <c r="F3797" i="1"/>
  <c r="I3789" i="1"/>
  <c r="K3787" i="1" l="1"/>
  <c r="K3788" i="1"/>
  <c r="K3789" i="1"/>
  <c r="K3790" i="1"/>
  <c r="K3791" i="1"/>
  <c r="K3792" i="1"/>
  <c r="K3793" i="1"/>
  <c r="K3794" i="1"/>
  <c r="K3795" i="1"/>
  <c r="D3787" i="1"/>
  <c r="D3788" i="1"/>
  <c r="D3789" i="1"/>
  <c r="D3790" i="1"/>
  <c r="D3791" i="1"/>
  <c r="D3792" i="1"/>
  <c r="D3793" i="1"/>
  <c r="D3794" i="1"/>
  <c r="D3795" i="1"/>
  <c r="E3787" i="1"/>
  <c r="E3788" i="1"/>
  <c r="E3789" i="1"/>
  <c r="E3790" i="1"/>
  <c r="E3791" i="1"/>
  <c r="E3792" i="1"/>
  <c r="E3793" i="1"/>
  <c r="E3794" i="1"/>
  <c r="E3795" i="1"/>
  <c r="F3787" i="1"/>
  <c r="F3788" i="1"/>
  <c r="F3789" i="1"/>
  <c r="F3790" i="1"/>
  <c r="F3791" i="1"/>
  <c r="F3792" i="1"/>
  <c r="F3793" i="1"/>
  <c r="F3794" i="1"/>
  <c r="F3795" i="1"/>
  <c r="D318" i="2"/>
  <c r="D320" i="2"/>
  <c r="D321" i="2"/>
  <c r="D322" i="2"/>
  <c r="E318" i="2"/>
  <c r="E320" i="2"/>
  <c r="E321" i="2"/>
  <c r="E322" i="2"/>
  <c r="F318" i="2"/>
  <c r="F320" i="2"/>
  <c r="F321" i="2"/>
  <c r="F322" i="2"/>
  <c r="E3639" i="1" l="1"/>
  <c r="E361" i="3" l="1"/>
  <c r="E360" i="3"/>
  <c r="K3786" i="1" l="1"/>
  <c r="D3786" i="1"/>
  <c r="E3786" i="1"/>
  <c r="F3786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D3783" i="1"/>
  <c r="D3784" i="1"/>
  <c r="D3785" i="1"/>
  <c r="E3783" i="1"/>
  <c r="E3784" i="1"/>
  <c r="E3785" i="1"/>
  <c r="F3783" i="1"/>
  <c r="F3784" i="1"/>
  <c r="F3785" i="1"/>
  <c r="D3774" i="1"/>
  <c r="D3775" i="1"/>
  <c r="D3776" i="1"/>
  <c r="D3777" i="1"/>
  <c r="D3778" i="1"/>
  <c r="D3779" i="1"/>
  <c r="D3780" i="1"/>
  <c r="D3781" i="1"/>
  <c r="D3782" i="1"/>
  <c r="E3774" i="1"/>
  <c r="E3775" i="1"/>
  <c r="E3776" i="1"/>
  <c r="E3777" i="1"/>
  <c r="E3778" i="1"/>
  <c r="E3779" i="1"/>
  <c r="E3780" i="1"/>
  <c r="E3781" i="1"/>
  <c r="E3782" i="1"/>
  <c r="F3774" i="1"/>
  <c r="F3775" i="1"/>
  <c r="F3776" i="1"/>
  <c r="F3777" i="1"/>
  <c r="F3778" i="1"/>
  <c r="F3779" i="1"/>
  <c r="F3780" i="1"/>
  <c r="F3781" i="1"/>
  <c r="F3782" i="1"/>
  <c r="K3766" i="1"/>
  <c r="K3767" i="1"/>
  <c r="K3768" i="1"/>
  <c r="K3769" i="1"/>
  <c r="K3770" i="1"/>
  <c r="K3771" i="1"/>
  <c r="K3772" i="1"/>
  <c r="K3773" i="1"/>
  <c r="D3772" i="1"/>
  <c r="D3773" i="1"/>
  <c r="E3772" i="1"/>
  <c r="E3773" i="1"/>
  <c r="F3772" i="1"/>
  <c r="F3773" i="1"/>
  <c r="D3770" i="1"/>
  <c r="D3771" i="1"/>
  <c r="E3770" i="1"/>
  <c r="E3771" i="1"/>
  <c r="F3770" i="1"/>
  <c r="F3771" i="1"/>
  <c r="D3766" i="1"/>
  <c r="D3767" i="1"/>
  <c r="D3768" i="1"/>
  <c r="D3769" i="1"/>
  <c r="E3766" i="1"/>
  <c r="E3767" i="1"/>
  <c r="E3768" i="1"/>
  <c r="E3769" i="1"/>
  <c r="F3766" i="1"/>
  <c r="F3767" i="1"/>
  <c r="F3768" i="1"/>
  <c r="F3769" i="1"/>
  <c r="K3759" i="1"/>
  <c r="K3760" i="1"/>
  <c r="K3761" i="1"/>
  <c r="K3762" i="1"/>
  <c r="K3763" i="1"/>
  <c r="K3764" i="1"/>
  <c r="D3764" i="1"/>
  <c r="E3764" i="1"/>
  <c r="F3764" i="1"/>
  <c r="D3763" i="1"/>
  <c r="E3763" i="1"/>
  <c r="F3763" i="1"/>
  <c r="D3762" i="1"/>
  <c r="E3762" i="1"/>
  <c r="F3762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D3756" i="1"/>
  <c r="D3757" i="1"/>
  <c r="D3758" i="1"/>
  <c r="D3759" i="1"/>
  <c r="D3760" i="1"/>
  <c r="D3761" i="1"/>
  <c r="E3756" i="1"/>
  <c r="E3757" i="1"/>
  <c r="E3758" i="1"/>
  <c r="E3759" i="1"/>
  <c r="E3760" i="1"/>
  <c r="E3761" i="1"/>
  <c r="F3756" i="1"/>
  <c r="F3757" i="1"/>
  <c r="F3758" i="1"/>
  <c r="F3759" i="1"/>
  <c r="F3760" i="1"/>
  <c r="F3761" i="1"/>
  <c r="D3750" i="1"/>
  <c r="D3751" i="1"/>
  <c r="D3752" i="1"/>
  <c r="D3753" i="1"/>
  <c r="D3754" i="1"/>
  <c r="D3755" i="1"/>
  <c r="E3750" i="1"/>
  <c r="E3751" i="1"/>
  <c r="E3752" i="1"/>
  <c r="E3753" i="1"/>
  <c r="E3754" i="1"/>
  <c r="E3755" i="1"/>
  <c r="F3750" i="1"/>
  <c r="F3751" i="1"/>
  <c r="F3752" i="1"/>
  <c r="F3753" i="1"/>
  <c r="F3754" i="1"/>
  <c r="F3755" i="1"/>
  <c r="D3744" i="1"/>
  <c r="D3745" i="1"/>
  <c r="D3746" i="1"/>
  <c r="D3747" i="1"/>
  <c r="D3748" i="1"/>
  <c r="D3749" i="1"/>
  <c r="E3744" i="1"/>
  <c r="E3745" i="1"/>
  <c r="E3746" i="1"/>
  <c r="E3747" i="1"/>
  <c r="E3748" i="1"/>
  <c r="E3749" i="1"/>
  <c r="F3744" i="1"/>
  <c r="F3745" i="1"/>
  <c r="F3746" i="1"/>
  <c r="F3747" i="1"/>
  <c r="F3748" i="1"/>
  <c r="F3749" i="1"/>
  <c r="D316" i="2" l="1"/>
  <c r="D317" i="2"/>
  <c r="E316" i="2"/>
  <c r="E317" i="2"/>
  <c r="F316" i="2"/>
  <c r="F317" i="2"/>
  <c r="L12" i="10"/>
  <c r="M12" i="10"/>
  <c r="K3740" i="1"/>
  <c r="K3741" i="1"/>
  <c r="K3742" i="1"/>
  <c r="K3743" i="1"/>
  <c r="F3743" i="1"/>
  <c r="E3743" i="1"/>
  <c r="D3743" i="1"/>
  <c r="F3742" i="1"/>
  <c r="E3742" i="1"/>
  <c r="D3742" i="1"/>
  <c r="F3741" i="1"/>
  <c r="E3741" i="1"/>
  <c r="D3741" i="1"/>
  <c r="F3740" i="1"/>
  <c r="E3740" i="1"/>
  <c r="D3740" i="1"/>
  <c r="K3738" i="1"/>
  <c r="K3739" i="1"/>
  <c r="D3739" i="1"/>
  <c r="E3739" i="1"/>
  <c r="F3739" i="1"/>
  <c r="D3738" i="1"/>
  <c r="E3738" i="1"/>
  <c r="F3738" i="1"/>
  <c r="S12" i="10" l="1"/>
  <c r="K3733" i="1"/>
  <c r="K3734" i="1"/>
  <c r="K3735" i="1"/>
  <c r="K3736" i="1"/>
  <c r="K3737" i="1"/>
  <c r="D3733" i="1"/>
  <c r="D3734" i="1"/>
  <c r="D3735" i="1"/>
  <c r="D3736" i="1"/>
  <c r="D3737" i="1"/>
  <c r="E3733" i="1"/>
  <c r="E3734" i="1"/>
  <c r="E3735" i="1"/>
  <c r="E3736" i="1"/>
  <c r="E3737" i="1"/>
  <c r="F3733" i="1"/>
  <c r="F3734" i="1"/>
  <c r="F3735" i="1"/>
  <c r="F3736" i="1"/>
  <c r="F3737" i="1"/>
  <c r="K3731" i="1"/>
  <c r="K3732" i="1"/>
  <c r="D3732" i="1"/>
  <c r="E3732" i="1"/>
  <c r="F3732" i="1"/>
  <c r="D3731" i="1"/>
  <c r="E3731" i="1"/>
  <c r="F3731" i="1"/>
  <c r="K3728" i="1"/>
  <c r="K3729" i="1"/>
  <c r="K3730" i="1"/>
  <c r="D3730" i="1"/>
  <c r="E3730" i="1"/>
  <c r="F3730" i="1"/>
  <c r="D3729" i="1"/>
  <c r="E3729" i="1"/>
  <c r="F3729" i="1"/>
  <c r="D3728" i="1"/>
  <c r="E3728" i="1"/>
  <c r="F3728" i="1"/>
  <c r="K3720" i="1"/>
  <c r="K3721" i="1"/>
  <c r="K3722" i="1"/>
  <c r="K3723" i="1"/>
  <c r="K3724" i="1"/>
  <c r="K3725" i="1"/>
  <c r="K3726" i="1"/>
  <c r="K3727" i="1"/>
  <c r="D3720" i="1"/>
  <c r="D3721" i="1"/>
  <c r="D3722" i="1"/>
  <c r="D3723" i="1"/>
  <c r="D3724" i="1"/>
  <c r="D3725" i="1"/>
  <c r="D3726" i="1"/>
  <c r="D3727" i="1"/>
  <c r="E3720" i="1"/>
  <c r="E3721" i="1"/>
  <c r="E3722" i="1"/>
  <c r="E3723" i="1"/>
  <c r="E3724" i="1"/>
  <c r="E3725" i="1"/>
  <c r="E3726" i="1"/>
  <c r="E3727" i="1"/>
  <c r="F3720" i="1"/>
  <c r="F3721" i="1"/>
  <c r="F3722" i="1"/>
  <c r="F3723" i="1"/>
  <c r="F3724" i="1"/>
  <c r="F3725" i="1"/>
  <c r="F3726" i="1"/>
  <c r="F3727" i="1"/>
  <c r="D314" i="2"/>
  <c r="D315" i="2"/>
  <c r="E314" i="2"/>
  <c r="E315" i="2"/>
  <c r="F314" i="2"/>
  <c r="F315" i="2"/>
  <c r="F358" i="3"/>
  <c r="E358" i="3" s="1"/>
  <c r="E359" i="3"/>
  <c r="K3714" i="1"/>
  <c r="K3715" i="1"/>
  <c r="K3716" i="1"/>
  <c r="K3717" i="1"/>
  <c r="K3718" i="1"/>
  <c r="K3719" i="1"/>
  <c r="D3719" i="1"/>
  <c r="E3719" i="1"/>
  <c r="F3719" i="1"/>
  <c r="D3714" i="1"/>
  <c r="D3715" i="1"/>
  <c r="D3716" i="1"/>
  <c r="D3717" i="1"/>
  <c r="D3718" i="1"/>
  <c r="E3714" i="1"/>
  <c r="E3715" i="1"/>
  <c r="E3716" i="1"/>
  <c r="E3717" i="1"/>
  <c r="E3718" i="1"/>
  <c r="F3714" i="1"/>
  <c r="F3715" i="1"/>
  <c r="F3716" i="1"/>
  <c r="F3717" i="1"/>
  <c r="F3718" i="1"/>
  <c r="K3707" i="1"/>
  <c r="K3708" i="1"/>
  <c r="K3709" i="1"/>
  <c r="K3710" i="1"/>
  <c r="K3711" i="1"/>
  <c r="K3712" i="1"/>
  <c r="K3713" i="1"/>
  <c r="D3713" i="1"/>
  <c r="E3713" i="1"/>
  <c r="F3713" i="1"/>
  <c r="D3712" i="1"/>
  <c r="E3712" i="1"/>
  <c r="F3712" i="1"/>
  <c r="D3709" i="1"/>
  <c r="D3710" i="1"/>
  <c r="D3711" i="1"/>
  <c r="E3709" i="1"/>
  <c r="E3710" i="1"/>
  <c r="E3711" i="1"/>
  <c r="F3709" i="1"/>
  <c r="F3710" i="1"/>
  <c r="F3711" i="1"/>
  <c r="D3707" i="1"/>
  <c r="D3708" i="1"/>
  <c r="E3707" i="1"/>
  <c r="E3708" i="1"/>
  <c r="F3707" i="1"/>
  <c r="F3708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D3701" i="1"/>
  <c r="D3702" i="1"/>
  <c r="D3703" i="1"/>
  <c r="D3704" i="1"/>
  <c r="D3705" i="1"/>
  <c r="D3706" i="1"/>
  <c r="E3701" i="1"/>
  <c r="E3702" i="1"/>
  <c r="E3703" i="1"/>
  <c r="E3704" i="1"/>
  <c r="E3705" i="1"/>
  <c r="E3706" i="1"/>
  <c r="F3701" i="1"/>
  <c r="F3702" i="1"/>
  <c r="F3703" i="1"/>
  <c r="F3704" i="1"/>
  <c r="F3705" i="1"/>
  <c r="F3706" i="1"/>
  <c r="D3695" i="1"/>
  <c r="D3696" i="1"/>
  <c r="D3697" i="1"/>
  <c r="D3698" i="1"/>
  <c r="D3699" i="1"/>
  <c r="D3700" i="1"/>
  <c r="E3695" i="1"/>
  <c r="E3696" i="1"/>
  <c r="E3697" i="1"/>
  <c r="E3698" i="1"/>
  <c r="E3699" i="1"/>
  <c r="E3700" i="1"/>
  <c r="F3695" i="1"/>
  <c r="F3696" i="1"/>
  <c r="F3697" i="1"/>
  <c r="F3698" i="1"/>
  <c r="F3699" i="1"/>
  <c r="F3700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D3691" i="1"/>
  <c r="D3692" i="1"/>
  <c r="D3693" i="1"/>
  <c r="D3694" i="1"/>
  <c r="E3691" i="1"/>
  <c r="E3692" i="1"/>
  <c r="E3693" i="1"/>
  <c r="E3694" i="1"/>
  <c r="F3691" i="1"/>
  <c r="F3692" i="1"/>
  <c r="F3693" i="1"/>
  <c r="F3694" i="1"/>
  <c r="D3687" i="1"/>
  <c r="D3688" i="1"/>
  <c r="D3689" i="1"/>
  <c r="D3690" i="1"/>
  <c r="E3687" i="1"/>
  <c r="E3688" i="1"/>
  <c r="E3689" i="1"/>
  <c r="E3690" i="1"/>
  <c r="F3687" i="1"/>
  <c r="F3688" i="1"/>
  <c r="F3689" i="1"/>
  <c r="F3690" i="1"/>
  <c r="D3683" i="1"/>
  <c r="D3684" i="1"/>
  <c r="D3685" i="1"/>
  <c r="D3686" i="1"/>
  <c r="E3683" i="1"/>
  <c r="E3684" i="1"/>
  <c r="E3685" i="1"/>
  <c r="E3686" i="1"/>
  <c r="F3683" i="1"/>
  <c r="F3684" i="1"/>
  <c r="F3685" i="1"/>
  <c r="F3686" i="1"/>
  <c r="K3668" i="1"/>
  <c r="K3669" i="1"/>
  <c r="K3670" i="1"/>
  <c r="K3671" i="1"/>
  <c r="K3672" i="1"/>
  <c r="K3674" i="1"/>
  <c r="K3675" i="1"/>
  <c r="K3676" i="1"/>
  <c r="K3677" i="1"/>
  <c r="K3679" i="1"/>
  <c r="K3680" i="1"/>
  <c r="K3681" i="1"/>
  <c r="K3682" i="1"/>
  <c r="D3675" i="1"/>
  <c r="D3676" i="1"/>
  <c r="D3677" i="1"/>
  <c r="D3679" i="1"/>
  <c r="D3680" i="1"/>
  <c r="D3681" i="1"/>
  <c r="D3682" i="1"/>
  <c r="E3675" i="1"/>
  <c r="E3676" i="1"/>
  <c r="E3677" i="1"/>
  <c r="E3679" i="1"/>
  <c r="E3680" i="1"/>
  <c r="E3681" i="1"/>
  <c r="E3682" i="1"/>
  <c r="F3675" i="1"/>
  <c r="F3676" i="1"/>
  <c r="F3677" i="1"/>
  <c r="F3679" i="1"/>
  <c r="F3680" i="1"/>
  <c r="F3681" i="1"/>
  <c r="F3682" i="1"/>
  <c r="D3668" i="1"/>
  <c r="D3669" i="1"/>
  <c r="D3670" i="1"/>
  <c r="D3671" i="1"/>
  <c r="D3672" i="1"/>
  <c r="D3674" i="1"/>
  <c r="E3668" i="1"/>
  <c r="E3669" i="1"/>
  <c r="E3670" i="1"/>
  <c r="E3671" i="1"/>
  <c r="E3672" i="1"/>
  <c r="E3674" i="1"/>
  <c r="F3668" i="1"/>
  <c r="F3669" i="1"/>
  <c r="F3670" i="1"/>
  <c r="F3671" i="1"/>
  <c r="F3672" i="1"/>
  <c r="F3674" i="1"/>
  <c r="K3667" i="1"/>
  <c r="D3667" i="1"/>
  <c r="E3667" i="1"/>
  <c r="F3667" i="1"/>
  <c r="D311" i="2"/>
  <c r="E311" i="2"/>
  <c r="F311" i="2"/>
  <c r="D310" i="2"/>
  <c r="E310" i="2"/>
  <c r="F310" i="2"/>
  <c r="K3666" i="1" l="1"/>
  <c r="D3666" i="1"/>
  <c r="E3666" i="1"/>
  <c r="F3666" i="1"/>
  <c r="D305" i="2"/>
  <c r="E305" i="2"/>
  <c r="F305" i="2"/>
  <c r="D306" i="2"/>
  <c r="E306" i="2"/>
  <c r="F306" i="2"/>
  <c r="D307" i="2"/>
  <c r="E307" i="2"/>
  <c r="F307" i="2"/>
  <c r="D309" i="2"/>
  <c r="E309" i="2"/>
  <c r="F309" i="2"/>
  <c r="E356" i="3"/>
  <c r="D308" i="2"/>
  <c r="E308" i="2"/>
  <c r="F308" i="2"/>
  <c r="D304" i="2"/>
  <c r="E304" i="2"/>
  <c r="F304" i="2"/>
  <c r="E355" i="3"/>
  <c r="K3663" i="1"/>
  <c r="K3664" i="1"/>
  <c r="K3665" i="1"/>
  <c r="D3664" i="1"/>
  <c r="D3665" i="1"/>
  <c r="E3664" i="1"/>
  <c r="E3665" i="1"/>
  <c r="F3664" i="1"/>
  <c r="F3665" i="1"/>
  <c r="D3663" i="1"/>
  <c r="E3663" i="1"/>
  <c r="F3663" i="1"/>
  <c r="K3657" i="1" l="1"/>
  <c r="K3658" i="1"/>
  <c r="K3659" i="1"/>
  <c r="K3660" i="1"/>
  <c r="K3661" i="1"/>
  <c r="K3662" i="1"/>
  <c r="D3662" i="1"/>
  <c r="E3662" i="1"/>
  <c r="F3662" i="1"/>
  <c r="D3658" i="1"/>
  <c r="D3659" i="1"/>
  <c r="D3660" i="1"/>
  <c r="D3661" i="1"/>
  <c r="E3658" i="1"/>
  <c r="E3659" i="1"/>
  <c r="E3660" i="1"/>
  <c r="E3661" i="1"/>
  <c r="F3658" i="1"/>
  <c r="F3659" i="1"/>
  <c r="F3660" i="1"/>
  <c r="F3661" i="1"/>
  <c r="D3657" i="1"/>
  <c r="E3657" i="1"/>
  <c r="F3657" i="1"/>
  <c r="K3656" i="1" l="1"/>
  <c r="K3655" i="1"/>
  <c r="K3654" i="1"/>
  <c r="K3653" i="1"/>
  <c r="K3652" i="1"/>
  <c r="K3651" i="1"/>
  <c r="K3650" i="1"/>
  <c r="K3649" i="1"/>
  <c r="K3648" i="1"/>
  <c r="D3648" i="1"/>
  <c r="D3649" i="1"/>
  <c r="D3650" i="1"/>
  <c r="D3651" i="1"/>
  <c r="D3652" i="1"/>
  <c r="D3653" i="1"/>
  <c r="D3654" i="1"/>
  <c r="D3655" i="1"/>
  <c r="D3656" i="1"/>
  <c r="E3648" i="1"/>
  <c r="E3649" i="1"/>
  <c r="E3650" i="1"/>
  <c r="E3651" i="1"/>
  <c r="E3652" i="1"/>
  <c r="E3653" i="1"/>
  <c r="E3654" i="1"/>
  <c r="E3655" i="1"/>
  <c r="E3656" i="1"/>
  <c r="F3648" i="1"/>
  <c r="F3649" i="1"/>
  <c r="F3650" i="1"/>
  <c r="F3651" i="1"/>
  <c r="F3652" i="1"/>
  <c r="F3653" i="1"/>
  <c r="F3654" i="1"/>
  <c r="F3655" i="1"/>
  <c r="F3656" i="1"/>
  <c r="K3126" i="1"/>
  <c r="D3126" i="1"/>
  <c r="E3126" i="1"/>
  <c r="F3126" i="1"/>
  <c r="F3077" i="1"/>
  <c r="E3077" i="1"/>
  <c r="D3077" i="1"/>
  <c r="F3076" i="1"/>
  <c r="E3076" i="1"/>
  <c r="D3076" i="1"/>
  <c r="K3077" i="1"/>
  <c r="K3076" i="1"/>
  <c r="K3024" i="1"/>
  <c r="K3023" i="1"/>
  <c r="K3022" i="1"/>
  <c r="K3021" i="1"/>
  <c r="D3021" i="1"/>
  <c r="E3021" i="1"/>
  <c r="F3021" i="1"/>
  <c r="D3022" i="1"/>
  <c r="E3022" i="1"/>
  <c r="F3022" i="1"/>
  <c r="D3023" i="1"/>
  <c r="E3023" i="1"/>
  <c r="F3023" i="1"/>
  <c r="D3024" i="1"/>
  <c r="E3024" i="1"/>
  <c r="F3024" i="1"/>
  <c r="K2915" i="1"/>
  <c r="K2916" i="1"/>
  <c r="K2917" i="1"/>
  <c r="D2915" i="1"/>
  <c r="E2915" i="1"/>
  <c r="F2915" i="1"/>
  <c r="D2916" i="1"/>
  <c r="E2916" i="1"/>
  <c r="F2916" i="1"/>
  <c r="D2917" i="1"/>
  <c r="E2917" i="1"/>
  <c r="F2917" i="1"/>
  <c r="F2856" i="1"/>
  <c r="E2856" i="1"/>
  <c r="D2856" i="1"/>
  <c r="F2855" i="1"/>
  <c r="E2855" i="1"/>
  <c r="D2855" i="1"/>
  <c r="F2854" i="1"/>
  <c r="E2854" i="1"/>
  <c r="D2854" i="1"/>
  <c r="F2853" i="1"/>
  <c r="E2853" i="1"/>
  <c r="D2853" i="1"/>
  <c r="K2856" i="1"/>
  <c r="K2855" i="1"/>
  <c r="K2854" i="1"/>
  <c r="K2853" i="1"/>
  <c r="K2798" i="1"/>
  <c r="K2797" i="1"/>
  <c r="K2796" i="1"/>
  <c r="D2796" i="1"/>
  <c r="E2796" i="1"/>
  <c r="F2796" i="1"/>
  <c r="D2797" i="1"/>
  <c r="E2797" i="1"/>
  <c r="F2797" i="1"/>
  <c r="D2798" i="1"/>
  <c r="E2798" i="1"/>
  <c r="F2798" i="1"/>
  <c r="F353" i="3"/>
  <c r="D353" i="3"/>
  <c r="E353" i="3" s="1"/>
  <c r="F352" i="3"/>
  <c r="D352" i="3"/>
  <c r="F351" i="3"/>
  <c r="D351" i="3"/>
  <c r="E354" i="3"/>
  <c r="E351" i="3" l="1"/>
  <c r="E352" i="3"/>
  <c r="K3646" i="1"/>
  <c r="K3647" i="1"/>
  <c r="D3646" i="1"/>
  <c r="D3647" i="1"/>
  <c r="E3646" i="1"/>
  <c r="E3647" i="1"/>
  <c r="F3646" i="1"/>
  <c r="F3647" i="1"/>
  <c r="K3645" i="1"/>
  <c r="D3645" i="1"/>
  <c r="E3645" i="1"/>
  <c r="F3645" i="1"/>
  <c r="D3644" i="1"/>
  <c r="E3644" i="1"/>
  <c r="F3644" i="1"/>
  <c r="K3644" i="1"/>
  <c r="K3643" i="1"/>
  <c r="K3642" i="1"/>
  <c r="K3641" i="1"/>
  <c r="K3640" i="1"/>
  <c r="K3639" i="1"/>
  <c r="K3638" i="1"/>
  <c r="K3637" i="1"/>
  <c r="K3636" i="1"/>
  <c r="K3635" i="1"/>
  <c r="D3635" i="1"/>
  <c r="D3636" i="1"/>
  <c r="D3637" i="1"/>
  <c r="D3638" i="1"/>
  <c r="D3639" i="1"/>
  <c r="D3640" i="1"/>
  <c r="D3641" i="1"/>
  <c r="D3642" i="1"/>
  <c r="D3643" i="1"/>
  <c r="E3635" i="1"/>
  <c r="E3636" i="1"/>
  <c r="E3637" i="1"/>
  <c r="E3638" i="1"/>
  <c r="E3640" i="1"/>
  <c r="E3641" i="1"/>
  <c r="E3642" i="1"/>
  <c r="E3643" i="1"/>
  <c r="F3635" i="1"/>
  <c r="F3636" i="1"/>
  <c r="F3637" i="1"/>
  <c r="F3638" i="1"/>
  <c r="F3639" i="1"/>
  <c r="F3640" i="1"/>
  <c r="F3641" i="1"/>
  <c r="F3642" i="1"/>
  <c r="F3643" i="1"/>
  <c r="K3628" i="1"/>
  <c r="K3629" i="1"/>
  <c r="K3630" i="1"/>
  <c r="K3631" i="1"/>
  <c r="K3632" i="1"/>
  <c r="K3633" i="1"/>
  <c r="K3634" i="1"/>
  <c r="D3628" i="1"/>
  <c r="D3629" i="1"/>
  <c r="D3630" i="1"/>
  <c r="D3631" i="1"/>
  <c r="D3632" i="1"/>
  <c r="D3633" i="1"/>
  <c r="D3634" i="1"/>
  <c r="E3628" i="1"/>
  <c r="E3629" i="1"/>
  <c r="E3630" i="1"/>
  <c r="E3631" i="1"/>
  <c r="E3632" i="1"/>
  <c r="E3633" i="1"/>
  <c r="E3634" i="1"/>
  <c r="F3628" i="1"/>
  <c r="F3629" i="1"/>
  <c r="F3630" i="1"/>
  <c r="F3631" i="1"/>
  <c r="F3632" i="1"/>
  <c r="F3633" i="1"/>
  <c r="F3634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K3613" i="1" l="1"/>
  <c r="D3613" i="1"/>
  <c r="E3613" i="1"/>
  <c r="F3613" i="1"/>
  <c r="K3607" i="1"/>
  <c r="K3608" i="1"/>
  <c r="K3609" i="1"/>
  <c r="K3610" i="1"/>
  <c r="K3611" i="1"/>
  <c r="K3612" i="1"/>
  <c r="D3612" i="1"/>
  <c r="E3612" i="1"/>
  <c r="F3612" i="1"/>
  <c r="D3611" i="1"/>
  <c r="E3611" i="1"/>
  <c r="F3611" i="1"/>
  <c r="D3610" i="1"/>
  <c r="E3610" i="1"/>
  <c r="F3610" i="1"/>
  <c r="D3609" i="1"/>
  <c r="E3609" i="1"/>
  <c r="F3609" i="1"/>
  <c r="D3608" i="1"/>
  <c r="E3608" i="1"/>
  <c r="F3608" i="1"/>
  <c r="D3607" i="1"/>
  <c r="E3607" i="1"/>
  <c r="F3607" i="1"/>
  <c r="K3596" i="1"/>
  <c r="K3597" i="1"/>
  <c r="K3599" i="1"/>
  <c r="K3600" i="1"/>
  <c r="K3601" i="1"/>
  <c r="K3602" i="1"/>
  <c r="K3603" i="1"/>
  <c r="K3604" i="1"/>
  <c r="K3605" i="1"/>
  <c r="K3606" i="1"/>
  <c r="D3602" i="1"/>
  <c r="D3603" i="1"/>
  <c r="D3604" i="1"/>
  <c r="D3605" i="1"/>
  <c r="D3606" i="1"/>
  <c r="E3602" i="1"/>
  <c r="E3603" i="1"/>
  <c r="E3604" i="1"/>
  <c r="E3605" i="1"/>
  <c r="E3606" i="1"/>
  <c r="F3602" i="1"/>
  <c r="F3603" i="1"/>
  <c r="F3604" i="1"/>
  <c r="F3605" i="1"/>
  <c r="F3606" i="1"/>
  <c r="D3601" i="1"/>
  <c r="E3601" i="1"/>
  <c r="F3601" i="1"/>
  <c r="D3596" i="1"/>
  <c r="D3597" i="1"/>
  <c r="D3599" i="1"/>
  <c r="D3600" i="1"/>
  <c r="E3596" i="1"/>
  <c r="E3597" i="1"/>
  <c r="E3599" i="1"/>
  <c r="E3600" i="1"/>
  <c r="F3596" i="1"/>
  <c r="F3597" i="1"/>
  <c r="F3599" i="1"/>
  <c r="F3600" i="1"/>
  <c r="K3588" i="1"/>
  <c r="K3589" i="1"/>
  <c r="K3590" i="1"/>
  <c r="K3591" i="1"/>
  <c r="K3592" i="1"/>
  <c r="K3593" i="1"/>
  <c r="K3594" i="1"/>
  <c r="K3595" i="1"/>
  <c r="D3588" i="1"/>
  <c r="D3589" i="1"/>
  <c r="D3590" i="1"/>
  <c r="D3591" i="1"/>
  <c r="D3592" i="1"/>
  <c r="D3593" i="1"/>
  <c r="D3594" i="1"/>
  <c r="D3595" i="1"/>
  <c r="E3588" i="1"/>
  <c r="E3589" i="1"/>
  <c r="E3590" i="1"/>
  <c r="E3591" i="1"/>
  <c r="E3592" i="1"/>
  <c r="E3593" i="1"/>
  <c r="E3594" i="1"/>
  <c r="E3595" i="1"/>
  <c r="F3588" i="1"/>
  <c r="F3589" i="1"/>
  <c r="F3590" i="1"/>
  <c r="F3591" i="1"/>
  <c r="F3592" i="1"/>
  <c r="F3593" i="1"/>
  <c r="F3594" i="1"/>
  <c r="F3595" i="1"/>
  <c r="K3579" i="1"/>
  <c r="K3580" i="1"/>
  <c r="K3581" i="1"/>
  <c r="K3582" i="1"/>
  <c r="K3583" i="1"/>
  <c r="K3584" i="1"/>
  <c r="K3585" i="1"/>
  <c r="K3586" i="1"/>
  <c r="K3587" i="1"/>
  <c r="D3579" i="1"/>
  <c r="D3580" i="1"/>
  <c r="D3581" i="1"/>
  <c r="D3582" i="1"/>
  <c r="D3583" i="1"/>
  <c r="D3584" i="1"/>
  <c r="D3585" i="1"/>
  <c r="D3586" i="1"/>
  <c r="D3587" i="1"/>
  <c r="E3579" i="1"/>
  <c r="E3580" i="1"/>
  <c r="E3581" i="1"/>
  <c r="E3582" i="1"/>
  <c r="E3583" i="1"/>
  <c r="E3584" i="1"/>
  <c r="E3585" i="1"/>
  <c r="E3586" i="1"/>
  <c r="E3587" i="1"/>
  <c r="F3579" i="1"/>
  <c r="F3580" i="1"/>
  <c r="F3581" i="1"/>
  <c r="F3582" i="1"/>
  <c r="F3583" i="1"/>
  <c r="F3584" i="1"/>
  <c r="F3585" i="1"/>
  <c r="F3586" i="1"/>
  <c r="F3587" i="1"/>
  <c r="K3385" i="1" l="1"/>
  <c r="F3385" i="1"/>
  <c r="E3385" i="1"/>
  <c r="D3385" i="1"/>
  <c r="D303" i="2"/>
  <c r="E303" i="2"/>
  <c r="F303" i="2"/>
  <c r="E350" i="3" l="1"/>
  <c r="E349" i="3"/>
  <c r="E348" i="3"/>
  <c r="E347" i="3"/>
  <c r="K3578" i="1"/>
  <c r="D3578" i="1"/>
  <c r="E3578" i="1"/>
  <c r="F3578" i="1"/>
  <c r="D302" i="2"/>
  <c r="E302" i="2"/>
  <c r="F302" i="2"/>
  <c r="D301" i="2"/>
  <c r="E301" i="2"/>
  <c r="F301" i="2"/>
  <c r="D300" i="2"/>
  <c r="E300" i="2"/>
  <c r="F300" i="2"/>
  <c r="K3577" i="1"/>
  <c r="D3577" i="1"/>
  <c r="E3577" i="1"/>
  <c r="F3577" i="1"/>
  <c r="K3571" i="1"/>
  <c r="K3572" i="1"/>
  <c r="K3573" i="1"/>
  <c r="K3574" i="1"/>
  <c r="K3575" i="1"/>
  <c r="K3576" i="1"/>
  <c r="D3574" i="1"/>
  <c r="D3575" i="1"/>
  <c r="D3576" i="1"/>
  <c r="E3574" i="1"/>
  <c r="E3575" i="1"/>
  <c r="E3576" i="1"/>
  <c r="F3574" i="1"/>
  <c r="F3575" i="1"/>
  <c r="F3576" i="1"/>
  <c r="D3571" i="1"/>
  <c r="D3572" i="1"/>
  <c r="D3573" i="1"/>
  <c r="E3571" i="1"/>
  <c r="E3572" i="1"/>
  <c r="E3573" i="1"/>
  <c r="F3571" i="1"/>
  <c r="F3572" i="1"/>
  <c r="F3573" i="1"/>
  <c r="K3567" i="1"/>
  <c r="K3568" i="1"/>
  <c r="K3569" i="1"/>
  <c r="K3570" i="1"/>
  <c r="D3567" i="1"/>
  <c r="D3568" i="1"/>
  <c r="D3569" i="1"/>
  <c r="D3570" i="1"/>
  <c r="E3567" i="1"/>
  <c r="E3568" i="1"/>
  <c r="E3569" i="1"/>
  <c r="E3570" i="1"/>
  <c r="F3567" i="1"/>
  <c r="F3568" i="1"/>
  <c r="F3569" i="1"/>
  <c r="F3570" i="1"/>
  <c r="K3565" i="1"/>
  <c r="K3566" i="1"/>
  <c r="D3565" i="1"/>
  <c r="D3566" i="1"/>
  <c r="E3565" i="1"/>
  <c r="E3566" i="1"/>
  <c r="F3565" i="1"/>
  <c r="F3566" i="1"/>
  <c r="K3556" i="1"/>
  <c r="K3557" i="1"/>
  <c r="K3558" i="1"/>
  <c r="K3559" i="1"/>
  <c r="K3560" i="1"/>
  <c r="K3561" i="1"/>
  <c r="K3562" i="1"/>
  <c r="K3563" i="1"/>
  <c r="K3564" i="1"/>
  <c r="D3556" i="1"/>
  <c r="D3557" i="1"/>
  <c r="D3558" i="1"/>
  <c r="D3559" i="1"/>
  <c r="D3560" i="1"/>
  <c r="D3561" i="1"/>
  <c r="D3562" i="1"/>
  <c r="D3563" i="1"/>
  <c r="D3564" i="1"/>
  <c r="E3556" i="1"/>
  <c r="E3557" i="1"/>
  <c r="E3558" i="1"/>
  <c r="E3559" i="1"/>
  <c r="E3560" i="1"/>
  <c r="E3561" i="1"/>
  <c r="E3562" i="1"/>
  <c r="E3563" i="1"/>
  <c r="E3564" i="1"/>
  <c r="F3556" i="1"/>
  <c r="F3557" i="1"/>
  <c r="F3558" i="1"/>
  <c r="F3559" i="1"/>
  <c r="F3560" i="1"/>
  <c r="F3561" i="1"/>
  <c r="F3562" i="1"/>
  <c r="F3563" i="1"/>
  <c r="F3564" i="1"/>
  <c r="K3552" i="1"/>
  <c r="K3553" i="1"/>
  <c r="K3554" i="1"/>
  <c r="K3555" i="1"/>
  <c r="D3555" i="1"/>
  <c r="E3555" i="1"/>
  <c r="F3555" i="1"/>
  <c r="D3554" i="1"/>
  <c r="E3554" i="1"/>
  <c r="F3554" i="1"/>
  <c r="D3553" i="1"/>
  <c r="E3553" i="1"/>
  <c r="F3553" i="1"/>
  <c r="D3552" i="1"/>
  <c r="E3552" i="1"/>
  <c r="F3552" i="1"/>
  <c r="K3547" i="1"/>
  <c r="K3549" i="1"/>
  <c r="K3550" i="1"/>
  <c r="K3551" i="1"/>
  <c r="D3547" i="1"/>
  <c r="D3549" i="1"/>
  <c r="D3550" i="1"/>
  <c r="D3551" i="1"/>
  <c r="E3547" i="1"/>
  <c r="E3549" i="1"/>
  <c r="E3550" i="1"/>
  <c r="E3551" i="1"/>
  <c r="F3547" i="1"/>
  <c r="F3549" i="1"/>
  <c r="F3550" i="1"/>
  <c r="F3551" i="1"/>
  <c r="K3539" i="1"/>
  <c r="K3540" i="1"/>
  <c r="K3541" i="1"/>
  <c r="K3542" i="1"/>
  <c r="K3543" i="1"/>
  <c r="K3544" i="1"/>
  <c r="K3545" i="1"/>
  <c r="K3546" i="1"/>
  <c r="D3539" i="1"/>
  <c r="D3540" i="1"/>
  <c r="D3541" i="1"/>
  <c r="D3542" i="1"/>
  <c r="D3543" i="1"/>
  <c r="D3544" i="1"/>
  <c r="D3545" i="1"/>
  <c r="D3546" i="1"/>
  <c r="E3539" i="1"/>
  <c r="E3540" i="1"/>
  <c r="E3541" i="1"/>
  <c r="E3542" i="1"/>
  <c r="E3543" i="1"/>
  <c r="E3544" i="1"/>
  <c r="E3545" i="1"/>
  <c r="E3546" i="1"/>
  <c r="F3539" i="1"/>
  <c r="F3540" i="1"/>
  <c r="F3541" i="1"/>
  <c r="F3542" i="1"/>
  <c r="F3543" i="1"/>
  <c r="F3544" i="1"/>
  <c r="F3545" i="1"/>
  <c r="F3546" i="1"/>
  <c r="K3531" i="1"/>
  <c r="K3532" i="1"/>
  <c r="K3533" i="1"/>
  <c r="K3534" i="1"/>
  <c r="K3535" i="1"/>
  <c r="K3536" i="1"/>
  <c r="K3538" i="1"/>
  <c r="D3531" i="1"/>
  <c r="D3532" i="1"/>
  <c r="D3533" i="1"/>
  <c r="D3534" i="1"/>
  <c r="D3535" i="1"/>
  <c r="D3536" i="1"/>
  <c r="D3538" i="1"/>
  <c r="E3531" i="1"/>
  <c r="E3532" i="1"/>
  <c r="E3533" i="1"/>
  <c r="E3534" i="1"/>
  <c r="E3535" i="1"/>
  <c r="E3536" i="1"/>
  <c r="E3538" i="1"/>
  <c r="F3531" i="1"/>
  <c r="F3532" i="1"/>
  <c r="F3533" i="1"/>
  <c r="F3534" i="1"/>
  <c r="F3535" i="1"/>
  <c r="F3536" i="1"/>
  <c r="F3538" i="1"/>
  <c r="K3530" i="1"/>
  <c r="D3530" i="1"/>
  <c r="E3530" i="1"/>
  <c r="F3530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D3524" i="1" l="1"/>
  <c r="D3525" i="1"/>
  <c r="D3526" i="1"/>
  <c r="D3527" i="1"/>
  <c r="D3528" i="1"/>
  <c r="D3529" i="1"/>
  <c r="E3524" i="1"/>
  <c r="E3525" i="1"/>
  <c r="E3526" i="1"/>
  <c r="E3527" i="1"/>
  <c r="E3528" i="1"/>
  <c r="E3529" i="1"/>
  <c r="F3524" i="1"/>
  <c r="F3525" i="1"/>
  <c r="F3526" i="1"/>
  <c r="F3527" i="1"/>
  <c r="F3528" i="1"/>
  <c r="F3529" i="1"/>
  <c r="D3517" i="1"/>
  <c r="D3518" i="1"/>
  <c r="D3519" i="1"/>
  <c r="D3520" i="1"/>
  <c r="D3521" i="1"/>
  <c r="D3522" i="1"/>
  <c r="D3523" i="1"/>
  <c r="E3517" i="1"/>
  <c r="E3518" i="1"/>
  <c r="E3519" i="1"/>
  <c r="E3520" i="1"/>
  <c r="E3521" i="1"/>
  <c r="E3522" i="1"/>
  <c r="E3523" i="1"/>
  <c r="F3517" i="1"/>
  <c r="F3518" i="1"/>
  <c r="F3519" i="1"/>
  <c r="F3520" i="1"/>
  <c r="F3521" i="1"/>
  <c r="F3522" i="1"/>
  <c r="F3523" i="1"/>
  <c r="D346" i="3"/>
  <c r="D345" i="3"/>
  <c r="E346" i="3"/>
  <c r="E345" i="3"/>
  <c r="E339" i="3"/>
  <c r="E340" i="3"/>
  <c r="E341" i="3"/>
  <c r="E342" i="3"/>
  <c r="E343" i="3"/>
  <c r="E344" i="3"/>
  <c r="D299" i="2"/>
  <c r="E299" i="2"/>
  <c r="F299" i="2"/>
  <c r="E337" i="3" l="1"/>
  <c r="E338" i="3"/>
  <c r="D2" i="1" l="1"/>
  <c r="E2" i="1"/>
  <c r="F2" i="1"/>
  <c r="K2" i="1"/>
  <c r="D3" i="1"/>
  <c r="E3" i="1"/>
  <c r="F3" i="1"/>
  <c r="K3" i="1"/>
  <c r="D4" i="1"/>
  <c r="E4" i="1"/>
  <c r="F4" i="1"/>
  <c r="K4" i="1"/>
  <c r="D5" i="1"/>
  <c r="E5" i="1"/>
  <c r="F5" i="1"/>
  <c r="K5" i="1"/>
  <c r="D6" i="1"/>
  <c r="E6" i="1"/>
  <c r="F6" i="1"/>
  <c r="K6" i="1"/>
  <c r="D7" i="1"/>
  <c r="E7" i="1"/>
  <c r="F7" i="1"/>
  <c r="K7" i="1"/>
  <c r="D8" i="1"/>
  <c r="E8" i="1"/>
  <c r="F8" i="1"/>
  <c r="K8" i="1"/>
  <c r="D9" i="1"/>
  <c r="E9" i="1"/>
  <c r="F9" i="1"/>
  <c r="K9" i="1"/>
  <c r="D10" i="1"/>
  <c r="E10" i="1"/>
  <c r="F10" i="1"/>
  <c r="K10" i="1"/>
  <c r="D11" i="1"/>
  <c r="E11" i="1"/>
  <c r="F11" i="1"/>
  <c r="K11" i="1"/>
  <c r="D12" i="1"/>
  <c r="E12" i="1"/>
  <c r="F12" i="1"/>
  <c r="K12" i="1"/>
  <c r="D13" i="1"/>
  <c r="E13" i="1"/>
  <c r="F13" i="1"/>
  <c r="K13" i="1"/>
  <c r="D14" i="1"/>
  <c r="E14" i="1"/>
  <c r="F14" i="1"/>
  <c r="K14" i="1"/>
  <c r="D15" i="1"/>
  <c r="E15" i="1"/>
  <c r="F15" i="1"/>
  <c r="K15" i="1"/>
  <c r="D16" i="1"/>
  <c r="E16" i="1"/>
  <c r="F16" i="1"/>
  <c r="K16" i="1"/>
  <c r="D17" i="1"/>
  <c r="E17" i="1"/>
  <c r="F17" i="1"/>
  <c r="K17" i="1"/>
  <c r="D18" i="1"/>
  <c r="E18" i="1"/>
  <c r="F18" i="1"/>
  <c r="K18" i="1"/>
  <c r="D19" i="1"/>
  <c r="E19" i="1"/>
  <c r="F19" i="1"/>
  <c r="K19" i="1"/>
  <c r="D20" i="1"/>
  <c r="E20" i="1"/>
  <c r="F20" i="1"/>
  <c r="K20" i="1"/>
  <c r="D21" i="1"/>
  <c r="E21" i="1"/>
  <c r="F21" i="1"/>
  <c r="K21" i="1"/>
  <c r="D22" i="1"/>
  <c r="E22" i="1"/>
  <c r="F22" i="1"/>
  <c r="K22" i="1"/>
  <c r="D23" i="1"/>
  <c r="E23" i="1"/>
  <c r="F23" i="1"/>
  <c r="K23" i="1"/>
  <c r="D24" i="1"/>
  <c r="E24" i="1"/>
  <c r="F24" i="1"/>
  <c r="K24" i="1"/>
  <c r="D25" i="1"/>
  <c r="E25" i="1"/>
  <c r="F25" i="1"/>
  <c r="K25" i="1"/>
  <c r="D26" i="1"/>
  <c r="E26" i="1"/>
  <c r="F26" i="1"/>
  <c r="K26" i="1"/>
  <c r="D27" i="1"/>
  <c r="E27" i="1"/>
  <c r="F27" i="1"/>
  <c r="K27" i="1"/>
  <c r="D28" i="1"/>
  <c r="E28" i="1"/>
  <c r="F28" i="1"/>
  <c r="K28" i="1"/>
  <c r="D29" i="1"/>
  <c r="E29" i="1"/>
  <c r="F29" i="1"/>
  <c r="K29" i="1"/>
  <c r="D30" i="1"/>
  <c r="E30" i="1"/>
  <c r="F30" i="1"/>
  <c r="K30" i="1"/>
  <c r="D31" i="1"/>
  <c r="E31" i="1"/>
  <c r="F31" i="1"/>
  <c r="K31" i="1"/>
  <c r="D32" i="1"/>
  <c r="E32" i="1"/>
  <c r="F32" i="1"/>
  <c r="K32" i="1"/>
  <c r="D33" i="1"/>
  <c r="E33" i="1"/>
  <c r="F33" i="1"/>
  <c r="K33" i="1"/>
  <c r="D34" i="1"/>
  <c r="E34" i="1"/>
  <c r="F34" i="1"/>
  <c r="K34" i="1"/>
  <c r="D35" i="1"/>
  <c r="E35" i="1"/>
  <c r="F35" i="1"/>
  <c r="K35" i="1"/>
  <c r="D36" i="1"/>
  <c r="E36" i="1"/>
  <c r="F36" i="1"/>
  <c r="K36" i="1"/>
  <c r="D37" i="1"/>
  <c r="E37" i="1"/>
  <c r="F37" i="1"/>
  <c r="K37" i="1"/>
  <c r="D38" i="1"/>
  <c r="E38" i="1"/>
  <c r="F38" i="1"/>
  <c r="K38" i="1"/>
  <c r="D39" i="1"/>
  <c r="E39" i="1"/>
  <c r="F39" i="1"/>
  <c r="K39" i="1"/>
  <c r="D40" i="1"/>
  <c r="E40" i="1"/>
  <c r="F40" i="1"/>
  <c r="K40" i="1"/>
  <c r="D41" i="1"/>
  <c r="E41" i="1"/>
  <c r="F41" i="1"/>
  <c r="K41" i="1"/>
  <c r="D42" i="1"/>
  <c r="E42" i="1"/>
  <c r="F42" i="1"/>
  <c r="K42" i="1"/>
  <c r="D43" i="1"/>
  <c r="E43" i="1"/>
  <c r="F43" i="1"/>
  <c r="K43" i="1"/>
  <c r="D44" i="1"/>
  <c r="E44" i="1"/>
  <c r="F44" i="1"/>
  <c r="K44" i="1"/>
  <c r="D45" i="1"/>
  <c r="E45" i="1"/>
  <c r="F45" i="1"/>
  <c r="K45" i="1"/>
  <c r="D46" i="1"/>
  <c r="E46" i="1"/>
  <c r="F46" i="1"/>
  <c r="K46" i="1"/>
  <c r="D47" i="1"/>
  <c r="E47" i="1"/>
  <c r="F47" i="1"/>
  <c r="K47" i="1"/>
  <c r="D48" i="1"/>
  <c r="E48" i="1"/>
  <c r="F48" i="1"/>
  <c r="K48" i="1"/>
  <c r="D49" i="1"/>
  <c r="E49" i="1"/>
  <c r="F49" i="1"/>
  <c r="K49" i="1"/>
  <c r="D50" i="1"/>
  <c r="E50" i="1"/>
  <c r="F50" i="1"/>
  <c r="K50" i="1"/>
  <c r="D51" i="1"/>
  <c r="E51" i="1"/>
  <c r="F51" i="1"/>
  <c r="K51" i="1"/>
  <c r="D52" i="1"/>
  <c r="E52" i="1"/>
  <c r="F52" i="1"/>
  <c r="K52" i="1"/>
  <c r="D53" i="1"/>
  <c r="E53" i="1"/>
  <c r="F53" i="1"/>
  <c r="K53" i="1"/>
  <c r="D54" i="1"/>
  <c r="E54" i="1"/>
  <c r="F54" i="1"/>
  <c r="K54" i="1"/>
  <c r="D55" i="1"/>
  <c r="E55" i="1"/>
  <c r="F55" i="1"/>
  <c r="K55" i="1"/>
  <c r="D56" i="1"/>
  <c r="E56" i="1"/>
  <c r="F56" i="1"/>
  <c r="K56" i="1"/>
  <c r="D57" i="1"/>
  <c r="E57" i="1"/>
  <c r="F57" i="1"/>
  <c r="K57" i="1"/>
  <c r="D58" i="1"/>
  <c r="E58" i="1"/>
  <c r="F58" i="1"/>
  <c r="K58" i="1"/>
  <c r="D59" i="1"/>
  <c r="E59" i="1"/>
  <c r="F59" i="1"/>
  <c r="K59" i="1"/>
  <c r="D60" i="1"/>
  <c r="E60" i="1"/>
  <c r="F60" i="1"/>
  <c r="K60" i="1"/>
  <c r="D61" i="1"/>
  <c r="E61" i="1"/>
  <c r="F61" i="1"/>
  <c r="K61" i="1"/>
  <c r="D62" i="1"/>
  <c r="E62" i="1"/>
  <c r="F62" i="1"/>
  <c r="K62" i="1"/>
  <c r="D63" i="1"/>
  <c r="E63" i="1"/>
  <c r="F63" i="1"/>
  <c r="K63" i="1"/>
  <c r="D64" i="1"/>
  <c r="E64" i="1"/>
  <c r="F64" i="1"/>
  <c r="K64" i="1"/>
  <c r="D65" i="1"/>
  <c r="E65" i="1"/>
  <c r="F65" i="1"/>
  <c r="K65" i="1"/>
  <c r="D66" i="1"/>
  <c r="E66" i="1"/>
  <c r="F66" i="1"/>
  <c r="K66" i="1"/>
  <c r="D67" i="1"/>
  <c r="E67" i="1"/>
  <c r="F67" i="1"/>
  <c r="K67" i="1"/>
  <c r="D68" i="1"/>
  <c r="E68" i="1"/>
  <c r="F68" i="1"/>
  <c r="K68" i="1"/>
  <c r="D69" i="1"/>
  <c r="E69" i="1"/>
  <c r="F69" i="1"/>
  <c r="K69" i="1"/>
  <c r="D70" i="1"/>
  <c r="E70" i="1"/>
  <c r="F70" i="1"/>
  <c r="K70" i="1"/>
  <c r="D71" i="1"/>
  <c r="E71" i="1"/>
  <c r="F71" i="1"/>
  <c r="K71" i="1"/>
  <c r="D72" i="1"/>
  <c r="E72" i="1"/>
  <c r="F72" i="1"/>
  <c r="K72" i="1"/>
  <c r="D73" i="1"/>
  <c r="E73" i="1"/>
  <c r="F73" i="1"/>
  <c r="K73" i="1"/>
  <c r="D74" i="1"/>
  <c r="E74" i="1"/>
  <c r="F74" i="1"/>
  <c r="K74" i="1"/>
  <c r="D75" i="1"/>
  <c r="E75" i="1"/>
  <c r="F75" i="1"/>
  <c r="K75" i="1"/>
  <c r="D76" i="1"/>
  <c r="E76" i="1"/>
  <c r="F76" i="1"/>
  <c r="K76" i="1"/>
  <c r="D77" i="1"/>
  <c r="E77" i="1"/>
  <c r="F77" i="1"/>
  <c r="K77" i="1"/>
  <c r="D78" i="1"/>
  <c r="E78" i="1"/>
  <c r="F78" i="1"/>
  <c r="K78" i="1"/>
  <c r="D79" i="1"/>
  <c r="E79" i="1"/>
  <c r="F79" i="1"/>
  <c r="K79" i="1"/>
  <c r="D80" i="1"/>
  <c r="E80" i="1"/>
  <c r="F80" i="1"/>
  <c r="K80" i="1"/>
  <c r="D81" i="1"/>
  <c r="E81" i="1"/>
  <c r="F81" i="1"/>
  <c r="K81" i="1"/>
  <c r="D82" i="1"/>
  <c r="E82" i="1"/>
  <c r="F82" i="1"/>
  <c r="K82" i="1"/>
  <c r="D83" i="1"/>
  <c r="E83" i="1"/>
  <c r="F83" i="1"/>
  <c r="K83" i="1"/>
  <c r="D84" i="1"/>
  <c r="E84" i="1"/>
  <c r="F84" i="1"/>
  <c r="K84" i="1"/>
  <c r="D85" i="1"/>
  <c r="E85" i="1"/>
  <c r="F85" i="1"/>
  <c r="K85" i="1"/>
  <c r="D86" i="1"/>
  <c r="E86" i="1"/>
  <c r="F86" i="1"/>
  <c r="K86" i="1"/>
  <c r="D87" i="1"/>
  <c r="E87" i="1"/>
  <c r="F87" i="1"/>
  <c r="K87" i="1"/>
  <c r="D88" i="1"/>
  <c r="E88" i="1"/>
  <c r="F88" i="1"/>
  <c r="K88" i="1"/>
  <c r="D89" i="1"/>
  <c r="E89" i="1"/>
  <c r="F89" i="1"/>
  <c r="K89" i="1"/>
  <c r="D90" i="1"/>
  <c r="E90" i="1"/>
  <c r="F90" i="1"/>
  <c r="K90" i="1"/>
  <c r="D91" i="1"/>
  <c r="E91" i="1"/>
  <c r="F91" i="1"/>
  <c r="K91" i="1"/>
  <c r="D92" i="1"/>
  <c r="E92" i="1"/>
  <c r="F92" i="1"/>
  <c r="K92" i="1"/>
  <c r="D93" i="1"/>
  <c r="E93" i="1"/>
  <c r="F93" i="1"/>
  <c r="K93" i="1"/>
  <c r="D94" i="1"/>
  <c r="E94" i="1"/>
  <c r="F94" i="1"/>
  <c r="K94" i="1"/>
  <c r="D95" i="1"/>
  <c r="E95" i="1"/>
  <c r="F95" i="1"/>
  <c r="K95" i="1"/>
  <c r="D96" i="1"/>
  <c r="E96" i="1"/>
  <c r="F96" i="1"/>
  <c r="K96" i="1"/>
  <c r="D97" i="1"/>
  <c r="E97" i="1"/>
  <c r="F97" i="1"/>
  <c r="K97" i="1"/>
  <c r="D98" i="1"/>
  <c r="E98" i="1"/>
  <c r="F98" i="1"/>
  <c r="K98" i="1"/>
  <c r="D99" i="1"/>
  <c r="E99" i="1"/>
  <c r="F99" i="1"/>
  <c r="K99" i="1"/>
  <c r="D100" i="1"/>
  <c r="E100" i="1"/>
  <c r="F100" i="1"/>
  <c r="K100" i="1"/>
  <c r="D101" i="1"/>
  <c r="E101" i="1"/>
  <c r="F101" i="1"/>
  <c r="K101" i="1"/>
  <c r="D102" i="1"/>
  <c r="E102" i="1"/>
  <c r="F102" i="1"/>
  <c r="K102" i="1"/>
  <c r="D103" i="1"/>
  <c r="E103" i="1"/>
  <c r="F103" i="1"/>
  <c r="K103" i="1"/>
  <c r="D104" i="1"/>
  <c r="E104" i="1"/>
  <c r="F104" i="1"/>
  <c r="K104" i="1"/>
  <c r="D105" i="1"/>
  <c r="E105" i="1"/>
  <c r="F105" i="1"/>
  <c r="K105" i="1"/>
  <c r="D106" i="1"/>
  <c r="E106" i="1"/>
  <c r="F106" i="1"/>
  <c r="K106" i="1"/>
  <c r="D107" i="1"/>
  <c r="E107" i="1"/>
  <c r="F107" i="1"/>
  <c r="K107" i="1"/>
  <c r="D108" i="1"/>
  <c r="E108" i="1"/>
  <c r="F108" i="1"/>
  <c r="K108" i="1"/>
  <c r="D109" i="1"/>
  <c r="E109" i="1"/>
  <c r="F109" i="1"/>
  <c r="K109" i="1"/>
  <c r="D110" i="1"/>
  <c r="E110" i="1"/>
  <c r="F110" i="1"/>
  <c r="K110" i="1"/>
  <c r="D111" i="1"/>
  <c r="E111" i="1"/>
  <c r="F111" i="1"/>
  <c r="K111" i="1"/>
  <c r="D112" i="1"/>
  <c r="E112" i="1"/>
  <c r="F112" i="1"/>
  <c r="K112" i="1"/>
  <c r="D113" i="1"/>
  <c r="E113" i="1"/>
  <c r="F113" i="1"/>
  <c r="K113" i="1"/>
  <c r="D114" i="1"/>
  <c r="E114" i="1"/>
  <c r="F114" i="1"/>
  <c r="K114" i="1"/>
  <c r="D115" i="1"/>
  <c r="E115" i="1"/>
  <c r="F115" i="1"/>
  <c r="K115" i="1"/>
  <c r="D116" i="1"/>
  <c r="E116" i="1"/>
  <c r="F116" i="1"/>
  <c r="K116" i="1"/>
  <c r="D117" i="1"/>
  <c r="E117" i="1"/>
  <c r="F117" i="1"/>
  <c r="K117" i="1"/>
  <c r="D118" i="1"/>
  <c r="E118" i="1"/>
  <c r="F118" i="1"/>
  <c r="K118" i="1"/>
  <c r="D119" i="1"/>
  <c r="E119" i="1"/>
  <c r="F119" i="1"/>
  <c r="K119" i="1"/>
  <c r="D120" i="1"/>
  <c r="E120" i="1"/>
  <c r="F120" i="1"/>
  <c r="K120" i="1"/>
  <c r="D121" i="1"/>
  <c r="E121" i="1"/>
  <c r="F121" i="1"/>
  <c r="K121" i="1"/>
  <c r="D122" i="1"/>
  <c r="E122" i="1"/>
  <c r="F122" i="1"/>
  <c r="K122" i="1"/>
  <c r="D123" i="1"/>
  <c r="E123" i="1"/>
  <c r="F123" i="1"/>
  <c r="K123" i="1"/>
  <c r="D124" i="1"/>
  <c r="E124" i="1"/>
  <c r="F124" i="1"/>
  <c r="K124" i="1"/>
  <c r="D125" i="1"/>
  <c r="E125" i="1"/>
  <c r="F125" i="1"/>
  <c r="K125" i="1"/>
  <c r="D126" i="1"/>
  <c r="E126" i="1"/>
  <c r="F126" i="1"/>
  <c r="K126" i="1"/>
  <c r="D127" i="1"/>
  <c r="E127" i="1"/>
  <c r="F127" i="1"/>
  <c r="K127" i="1"/>
  <c r="D128" i="1"/>
  <c r="E128" i="1"/>
  <c r="F128" i="1"/>
  <c r="K128" i="1"/>
  <c r="D129" i="1"/>
  <c r="E129" i="1"/>
  <c r="F129" i="1"/>
  <c r="K129" i="1"/>
  <c r="D130" i="1"/>
  <c r="E130" i="1"/>
  <c r="F130" i="1"/>
  <c r="K130" i="1"/>
  <c r="D131" i="1"/>
  <c r="E131" i="1"/>
  <c r="F131" i="1"/>
  <c r="K131" i="1"/>
  <c r="D132" i="1"/>
  <c r="E132" i="1"/>
  <c r="F132" i="1"/>
  <c r="K132" i="1"/>
  <c r="D133" i="1"/>
  <c r="E133" i="1"/>
  <c r="F133" i="1"/>
  <c r="K133" i="1"/>
  <c r="D134" i="1"/>
  <c r="E134" i="1"/>
  <c r="F134" i="1"/>
  <c r="K134" i="1"/>
  <c r="D135" i="1"/>
  <c r="E135" i="1"/>
  <c r="F135" i="1"/>
  <c r="K135" i="1"/>
  <c r="D136" i="1"/>
  <c r="E136" i="1"/>
  <c r="F136" i="1"/>
  <c r="K136" i="1"/>
  <c r="D137" i="1"/>
  <c r="E137" i="1"/>
  <c r="F137" i="1"/>
  <c r="K137" i="1"/>
  <c r="D138" i="1"/>
  <c r="E138" i="1"/>
  <c r="F138" i="1"/>
  <c r="K138" i="1"/>
  <c r="D139" i="1"/>
  <c r="E139" i="1"/>
  <c r="F139" i="1"/>
  <c r="K139" i="1"/>
  <c r="D140" i="1"/>
  <c r="E140" i="1"/>
  <c r="F140" i="1"/>
  <c r="K140" i="1"/>
  <c r="D141" i="1"/>
  <c r="E141" i="1"/>
  <c r="F141" i="1"/>
  <c r="K141" i="1"/>
  <c r="D142" i="1"/>
  <c r="E142" i="1"/>
  <c r="F142" i="1"/>
  <c r="K142" i="1"/>
  <c r="D143" i="1"/>
  <c r="E143" i="1"/>
  <c r="F143" i="1"/>
  <c r="K143" i="1"/>
  <c r="D144" i="1"/>
  <c r="E144" i="1"/>
  <c r="F144" i="1"/>
  <c r="K144" i="1"/>
  <c r="D145" i="1"/>
  <c r="E145" i="1"/>
  <c r="F145" i="1"/>
  <c r="K145" i="1"/>
  <c r="D146" i="1"/>
  <c r="E146" i="1"/>
  <c r="F146" i="1"/>
  <c r="K146" i="1"/>
  <c r="D147" i="1"/>
  <c r="E147" i="1"/>
  <c r="F147" i="1"/>
  <c r="K147" i="1"/>
  <c r="D148" i="1"/>
  <c r="E148" i="1"/>
  <c r="F148" i="1"/>
  <c r="K148" i="1"/>
  <c r="D149" i="1"/>
  <c r="E149" i="1"/>
  <c r="F149" i="1"/>
  <c r="K149" i="1"/>
  <c r="D150" i="1"/>
  <c r="E150" i="1"/>
  <c r="F150" i="1"/>
  <c r="K150" i="1"/>
  <c r="D151" i="1"/>
  <c r="E151" i="1"/>
  <c r="F151" i="1"/>
  <c r="K151" i="1"/>
  <c r="D152" i="1"/>
  <c r="E152" i="1"/>
  <c r="F152" i="1"/>
  <c r="K152" i="1"/>
  <c r="D153" i="1"/>
  <c r="E153" i="1"/>
  <c r="F153" i="1"/>
  <c r="K153" i="1"/>
  <c r="D154" i="1"/>
  <c r="E154" i="1"/>
  <c r="F154" i="1"/>
  <c r="K154" i="1"/>
  <c r="D155" i="1"/>
  <c r="E155" i="1"/>
  <c r="F155" i="1"/>
  <c r="K155" i="1"/>
  <c r="D156" i="1"/>
  <c r="E156" i="1"/>
  <c r="F156" i="1"/>
  <c r="K156" i="1"/>
  <c r="D157" i="1"/>
  <c r="E157" i="1"/>
  <c r="F157" i="1"/>
  <c r="K157" i="1"/>
  <c r="D158" i="1"/>
  <c r="E158" i="1"/>
  <c r="F158" i="1"/>
  <c r="K158" i="1"/>
  <c r="D159" i="1"/>
  <c r="E159" i="1"/>
  <c r="F159" i="1"/>
  <c r="K159" i="1"/>
  <c r="D160" i="1"/>
  <c r="E160" i="1"/>
  <c r="F160" i="1"/>
  <c r="K160" i="1"/>
  <c r="D161" i="1"/>
  <c r="E161" i="1"/>
  <c r="F161" i="1"/>
  <c r="K161" i="1"/>
  <c r="D162" i="1"/>
  <c r="E162" i="1"/>
  <c r="F162" i="1"/>
  <c r="K162" i="1"/>
  <c r="D163" i="1"/>
  <c r="E163" i="1"/>
  <c r="F163" i="1"/>
  <c r="K163" i="1"/>
  <c r="D164" i="1"/>
  <c r="E164" i="1"/>
  <c r="F164" i="1"/>
  <c r="K164" i="1"/>
  <c r="D165" i="1"/>
  <c r="E165" i="1"/>
  <c r="F165" i="1"/>
  <c r="K165" i="1"/>
  <c r="D166" i="1"/>
  <c r="E166" i="1"/>
  <c r="F166" i="1"/>
  <c r="K166" i="1"/>
  <c r="D167" i="1"/>
  <c r="E167" i="1"/>
  <c r="F167" i="1"/>
  <c r="K167" i="1"/>
  <c r="D168" i="1"/>
  <c r="E168" i="1"/>
  <c r="F168" i="1"/>
  <c r="K168" i="1"/>
  <c r="D169" i="1"/>
  <c r="E169" i="1"/>
  <c r="F169" i="1"/>
  <c r="K169" i="1"/>
  <c r="D170" i="1"/>
  <c r="E170" i="1"/>
  <c r="F170" i="1"/>
  <c r="K170" i="1"/>
  <c r="D171" i="1"/>
  <c r="E171" i="1"/>
  <c r="F171" i="1"/>
  <c r="K171" i="1"/>
  <c r="D172" i="1"/>
  <c r="E172" i="1"/>
  <c r="F172" i="1"/>
  <c r="K172" i="1"/>
  <c r="D173" i="1"/>
  <c r="E173" i="1"/>
  <c r="F173" i="1"/>
  <c r="K173" i="1"/>
  <c r="D174" i="1"/>
  <c r="E174" i="1"/>
  <c r="F174" i="1"/>
  <c r="K174" i="1"/>
  <c r="D175" i="1"/>
  <c r="E175" i="1"/>
  <c r="F175" i="1"/>
  <c r="K175" i="1"/>
  <c r="D176" i="1"/>
  <c r="E176" i="1"/>
  <c r="F176" i="1"/>
  <c r="K176" i="1"/>
  <c r="D177" i="1"/>
  <c r="E177" i="1"/>
  <c r="F177" i="1"/>
  <c r="K177" i="1"/>
  <c r="D178" i="1"/>
  <c r="E178" i="1"/>
  <c r="F178" i="1"/>
  <c r="K178" i="1"/>
  <c r="D179" i="1"/>
  <c r="E179" i="1"/>
  <c r="F179" i="1"/>
  <c r="K179" i="1"/>
  <c r="D180" i="1"/>
  <c r="E180" i="1"/>
  <c r="F180" i="1"/>
  <c r="K180" i="1"/>
  <c r="D181" i="1"/>
  <c r="E181" i="1"/>
  <c r="F181" i="1"/>
  <c r="I181" i="1"/>
  <c r="K181" i="1" s="1"/>
  <c r="D182" i="1"/>
  <c r="E182" i="1"/>
  <c r="F182" i="1"/>
  <c r="K182" i="1"/>
  <c r="D183" i="1"/>
  <c r="E183" i="1"/>
  <c r="F183" i="1"/>
  <c r="K183" i="1"/>
  <c r="D184" i="1"/>
  <c r="E184" i="1"/>
  <c r="F184" i="1"/>
  <c r="K184" i="1"/>
  <c r="D185" i="1"/>
  <c r="E185" i="1"/>
  <c r="F185" i="1"/>
  <c r="K185" i="1"/>
  <c r="D186" i="1"/>
  <c r="E186" i="1"/>
  <c r="F186" i="1"/>
  <c r="K186" i="1"/>
  <c r="D187" i="1"/>
  <c r="E187" i="1"/>
  <c r="F187" i="1"/>
  <c r="K187" i="1"/>
  <c r="D188" i="1"/>
  <c r="E188" i="1"/>
  <c r="F188" i="1"/>
  <c r="K188" i="1"/>
  <c r="D189" i="1"/>
  <c r="E189" i="1"/>
  <c r="F189" i="1"/>
  <c r="K189" i="1"/>
  <c r="D190" i="1"/>
  <c r="E190" i="1"/>
  <c r="F190" i="1"/>
  <c r="K190" i="1"/>
  <c r="D191" i="1"/>
  <c r="E191" i="1"/>
  <c r="F191" i="1"/>
  <c r="K191" i="1"/>
  <c r="D192" i="1"/>
  <c r="E192" i="1"/>
  <c r="F192" i="1"/>
  <c r="D193" i="1"/>
  <c r="E193" i="1"/>
  <c r="F193" i="1"/>
  <c r="K193" i="1"/>
  <c r="D194" i="1"/>
  <c r="E194" i="1"/>
  <c r="F194" i="1"/>
  <c r="K194" i="1"/>
  <c r="D195" i="1"/>
  <c r="E195" i="1"/>
  <c r="F195" i="1"/>
  <c r="K195" i="1"/>
  <c r="D196" i="1"/>
  <c r="E196" i="1"/>
  <c r="F196" i="1"/>
  <c r="K196" i="1"/>
  <c r="D197" i="1"/>
  <c r="E197" i="1"/>
  <c r="F197" i="1"/>
  <c r="K197" i="1"/>
  <c r="D198" i="1"/>
  <c r="E198" i="1"/>
  <c r="F198" i="1"/>
  <c r="K198" i="1"/>
  <c r="D199" i="1"/>
  <c r="E199" i="1"/>
  <c r="F199" i="1"/>
  <c r="K199" i="1"/>
  <c r="D200" i="1"/>
  <c r="E200" i="1"/>
  <c r="F200" i="1"/>
  <c r="K200" i="1"/>
  <c r="D201" i="1"/>
  <c r="E201" i="1"/>
  <c r="F201" i="1"/>
  <c r="K201" i="1"/>
  <c r="D202" i="1"/>
  <c r="E202" i="1"/>
  <c r="F202" i="1"/>
  <c r="K202" i="1"/>
  <c r="D203" i="1"/>
  <c r="E203" i="1"/>
  <c r="F203" i="1"/>
  <c r="K203" i="1"/>
  <c r="D204" i="1"/>
  <c r="E204" i="1"/>
  <c r="F204" i="1"/>
  <c r="K204" i="1"/>
  <c r="D205" i="1"/>
  <c r="E205" i="1"/>
  <c r="F205" i="1"/>
  <c r="K205" i="1"/>
  <c r="D206" i="1"/>
  <c r="E206" i="1"/>
  <c r="F206" i="1"/>
  <c r="K206" i="1"/>
  <c r="D207" i="1"/>
  <c r="E207" i="1"/>
  <c r="F207" i="1"/>
  <c r="K207" i="1"/>
  <c r="D208" i="1"/>
  <c r="E208" i="1"/>
  <c r="F208" i="1"/>
  <c r="K208" i="1"/>
  <c r="D209" i="1"/>
  <c r="E209" i="1"/>
  <c r="F209" i="1"/>
  <c r="K209" i="1"/>
  <c r="D210" i="1"/>
  <c r="E210" i="1"/>
  <c r="F210" i="1"/>
  <c r="K210" i="1"/>
  <c r="D211" i="1"/>
  <c r="E211" i="1"/>
  <c r="F211" i="1"/>
  <c r="K211" i="1"/>
  <c r="D212" i="1"/>
  <c r="E212" i="1"/>
  <c r="F212" i="1"/>
  <c r="K212" i="1"/>
  <c r="D213" i="1"/>
  <c r="E213" i="1"/>
  <c r="F213" i="1"/>
  <c r="K213" i="1"/>
  <c r="D214" i="1"/>
  <c r="E214" i="1"/>
  <c r="F214" i="1"/>
  <c r="K214" i="1"/>
  <c r="D215" i="1"/>
  <c r="E215" i="1"/>
  <c r="F215" i="1"/>
  <c r="K215" i="1"/>
  <c r="D216" i="1"/>
  <c r="E216" i="1"/>
  <c r="F216" i="1"/>
  <c r="K216" i="1"/>
  <c r="D217" i="1"/>
  <c r="E217" i="1"/>
  <c r="F217" i="1"/>
  <c r="K217" i="1"/>
  <c r="D218" i="1"/>
  <c r="E218" i="1"/>
  <c r="F218" i="1"/>
  <c r="K218" i="1"/>
  <c r="D219" i="1"/>
  <c r="E219" i="1"/>
  <c r="F219" i="1"/>
  <c r="K219" i="1"/>
  <c r="D220" i="1"/>
  <c r="E220" i="1"/>
  <c r="F220" i="1"/>
  <c r="K220" i="1"/>
  <c r="D221" i="1"/>
  <c r="E221" i="1"/>
  <c r="F221" i="1"/>
  <c r="K221" i="1"/>
  <c r="D222" i="1"/>
  <c r="E222" i="1"/>
  <c r="F222" i="1"/>
  <c r="K222" i="1"/>
  <c r="D223" i="1"/>
  <c r="E223" i="1"/>
  <c r="F223" i="1"/>
  <c r="K223" i="1"/>
  <c r="D224" i="1"/>
  <c r="E224" i="1"/>
  <c r="F224" i="1"/>
  <c r="K224" i="1"/>
  <c r="D225" i="1"/>
  <c r="E225" i="1"/>
  <c r="F225" i="1"/>
  <c r="K225" i="1"/>
  <c r="D226" i="1"/>
  <c r="E226" i="1"/>
  <c r="F226" i="1"/>
  <c r="K226" i="1"/>
  <c r="D227" i="1"/>
  <c r="E227" i="1"/>
  <c r="F227" i="1"/>
  <c r="K227" i="1"/>
  <c r="D228" i="1"/>
  <c r="E228" i="1"/>
  <c r="F228" i="1"/>
  <c r="K228" i="1"/>
  <c r="D229" i="1"/>
  <c r="E229" i="1"/>
  <c r="F229" i="1"/>
  <c r="K229" i="1"/>
  <c r="D230" i="1"/>
  <c r="E230" i="1"/>
  <c r="F230" i="1"/>
  <c r="K230" i="1"/>
  <c r="D231" i="1"/>
  <c r="E231" i="1"/>
  <c r="F231" i="1"/>
  <c r="K231" i="1"/>
  <c r="D232" i="1"/>
  <c r="E232" i="1"/>
  <c r="F232" i="1"/>
  <c r="K232" i="1"/>
  <c r="D233" i="1"/>
  <c r="E233" i="1"/>
  <c r="F233" i="1"/>
  <c r="K233" i="1"/>
  <c r="D234" i="1"/>
  <c r="E234" i="1"/>
  <c r="F234" i="1"/>
  <c r="K234" i="1"/>
  <c r="D235" i="1"/>
  <c r="E235" i="1"/>
  <c r="F235" i="1"/>
  <c r="K235" i="1"/>
  <c r="D236" i="1"/>
  <c r="E236" i="1"/>
  <c r="F236" i="1"/>
  <c r="K236" i="1"/>
  <c r="D237" i="1"/>
  <c r="E237" i="1"/>
  <c r="F237" i="1"/>
  <c r="K237" i="1"/>
  <c r="D238" i="1"/>
  <c r="E238" i="1"/>
  <c r="F238" i="1"/>
  <c r="K238" i="1"/>
  <c r="D239" i="1"/>
  <c r="E239" i="1"/>
  <c r="F239" i="1"/>
  <c r="K239" i="1"/>
  <c r="D240" i="1"/>
  <c r="E240" i="1"/>
  <c r="F240" i="1"/>
  <c r="K240" i="1"/>
  <c r="D241" i="1"/>
  <c r="E241" i="1"/>
  <c r="F241" i="1"/>
  <c r="K241" i="1"/>
  <c r="D242" i="1"/>
  <c r="E242" i="1"/>
  <c r="F242" i="1"/>
  <c r="K242" i="1"/>
  <c r="D243" i="1"/>
  <c r="E243" i="1"/>
  <c r="F243" i="1"/>
  <c r="K243" i="1"/>
  <c r="D244" i="1"/>
  <c r="E244" i="1"/>
  <c r="F244" i="1"/>
  <c r="K244" i="1"/>
  <c r="D245" i="1"/>
  <c r="E245" i="1"/>
  <c r="F245" i="1"/>
  <c r="K245" i="1"/>
  <c r="D246" i="1"/>
  <c r="E246" i="1"/>
  <c r="F246" i="1"/>
  <c r="K246" i="1"/>
  <c r="D247" i="1"/>
  <c r="E247" i="1"/>
  <c r="F247" i="1"/>
  <c r="K247" i="1"/>
  <c r="D248" i="1"/>
  <c r="E248" i="1"/>
  <c r="F248" i="1"/>
  <c r="K248" i="1"/>
  <c r="D249" i="1"/>
  <c r="E249" i="1"/>
  <c r="F249" i="1"/>
  <c r="K249" i="1"/>
  <c r="D250" i="1"/>
  <c r="E250" i="1"/>
  <c r="F250" i="1"/>
  <c r="K250" i="1"/>
  <c r="D251" i="1"/>
  <c r="E251" i="1"/>
  <c r="F251" i="1"/>
  <c r="K251" i="1"/>
  <c r="D252" i="1"/>
  <c r="E252" i="1"/>
  <c r="F252" i="1"/>
  <c r="K252" i="1"/>
  <c r="D253" i="1"/>
  <c r="E253" i="1"/>
  <c r="F253" i="1"/>
  <c r="K253" i="1"/>
  <c r="D254" i="1"/>
  <c r="E254" i="1"/>
  <c r="F254" i="1"/>
  <c r="K254" i="1"/>
  <c r="D255" i="1"/>
  <c r="E255" i="1"/>
  <c r="F255" i="1"/>
  <c r="K255" i="1"/>
  <c r="D256" i="1"/>
  <c r="E256" i="1"/>
  <c r="F256" i="1"/>
  <c r="K256" i="1"/>
  <c r="D257" i="1"/>
  <c r="E257" i="1"/>
  <c r="F257" i="1"/>
  <c r="K257" i="1"/>
  <c r="D258" i="1"/>
  <c r="E258" i="1"/>
  <c r="F258" i="1"/>
  <c r="K258" i="1"/>
  <c r="D259" i="1"/>
  <c r="E259" i="1"/>
  <c r="F259" i="1"/>
  <c r="K259" i="1"/>
  <c r="D260" i="1"/>
  <c r="E260" i="1"/>
  <c r="F260" i="1"/>
  <c r="K260" i="1"/>
  <c r="D261" i="1"/>
  <c r="E261" i="1"/>
  <c r="F261" i="1"/>
  <c r="K261" i="1"/>
  <c r="D262" i="1"/>
  <c r="E262" i="1"/>
  <c r="F262" i="1"/>
  <c r="K262" i="1"/>
  <c r="D263" i="1"/>
  <c r="E263" i="1"/>
  <c r="F263" i="1"/>
  <c r="K263" i="1"/>
  <c r="D264" i="1"/>
  <c r="E264" i="1"/>
  <c r="F264" i="1"/>
  <c r="K264" i="1"/>
  <c r="D265" i="1"/>
  <c r="E265" i="1"/>
  <c r="F265" i="1"/>
  <c r="K265" i="1"/>
  <c r="D266" i="1"/>
  <c r="E266" i="1"/>
  <c r="F266" i="1"/>
  <c r="K266" i="1"/>
  <c r="D267" i="1"/>
  <c r="E267" i="1"/>
  <c r="F267" i="1"/>
  <c r="K267" i="1"/>
  <c r="D268" i="1"/>
  <c r="E268" i="1"/>
  <c r="F268" i="1"/>
  <c r="K268" i="1"/>
  <c r="D269" i="1"/>
  <c r="E269" i="1"/>
  <c r="F269" i="1"/>
  <c r="K269" i="1"/>
  <c r="D270" i="1"/>
  <c r="E270" i="1"/>
  <c r="F270" i="1"/>
  <c r="K270" i="1"/>
  <c r="D271" i="1"/>
  <c r="E271" i="1"/>
  <c r="F271" i="1"/>
  <c r="K271" i="1"/>
  <c r="D272" i="1"/>
  <c r="E272" i="1"/>
  <c r="F272" i="1"/>
  <c r="K272" i="1"/>
  <c r="D273" i="1"/>
  <c r="E273" i="1"/>
  <c r="F273" i="1"/>
  <c r="K273" i="1"/>
  <c r="D274" i="1"/>
  <c r="E274" i="1"/>
  <c r="F274" i="1"/>
  <c r="K274" i="1"/>
  <c r="D275" i="1"/>
  <c r="E275" i="1"/>
  <c r="F275" i="1"/>
  <c r="K275" i="1"/>
  <c r="D276" i="1"/>
  <c r="E276" i="1"/>
  <c r="F276" i="1"/>
  <c r="K276" i="1"/>
  <c r="D277" i="1"/>
  <c r="E277" i="1"/>
  <c r="F277" i="1"/>
  <c r="K277" i="1"/>
  <c r="D278" i="1"/>
  <c r="E278" i="1"/>
  <c r="F278" i="1"/>
  <c r="K278" i="1"/>
  <c r="D279" i="1"/>
  <c r="E279" i="1"/>
  <c r="F279" i="1"/>
  <c r="K279" i="1"/>
  <c r="D280" i="1"/>
  <c r="E280" i="1"/>
  <c r="F280" i="1"/>
  <c r="K280" i="1"/>
  <c r="D281" i="1"/>
  <c r="E281" i="1"/>
  <c r="F281" i="1"/>
  <c r="K281" i="1"/>
  <c r="D282" i="1"/>
  <c r="E282" i="1"/>
  <c r="F282" i="1"/>
  <c r="K282" i="1"/>
  <c r="D283" i="1"/>
  <c r="E283" i="1"/>
  <c r="F283" i="1"/>
  <c r="K283" i="1"/>
  <c r="D284" i="1"/>
  <c r="E284" i="1"/>
  <c r="F284" i="1"/>
  <c r="K284" i="1"/>
  <c r="D285" i="1"/>
  <c r="E285" i="1"/>
  <c r="F285" i="1"/>
  <c r="K285" i="1"/>
  <c r="D286" i="1"/>
  <c r="E286" i="1"/>
  <c r="F286" i="1"/>
  <c r="K286" i="1"/>
  <c r="D287" i="1"/>
  <c r="E287" i="1"/>
  <c r="F287" i="1"/>
  <c r="K287" i="1"/>
  <c r="D288" i="1"/>
  <c r="E288" i="1"/>
  <c r="F288" i="1"/>
  <c r="K288" i="1"/>
  <c r="D289" i="1"/>
  <c r="E289" i="1"/>
  <c r="F289" i="1"/>
  <c r="K289" i="1"/>
  <c r="D290" i="1"/>
  <c r="E290" i="1"/>
  <c r="F290" i="1"/>
  <c r="K290" i="1"/>
  <c r="D291" i="1"/>
  <c r="E291" i="1"/>
  <c r="F291" i="1"/>
  <c r="K291" i="1"/>
  <c r="D292" i="1"/>
  <c r="E292" i="1"/>
  <c r="F292" i="1"/>
  <c r="K292" i="1"/>
  <c r="D293" i="1"/>
  <c r="E293" i="1"/>
  <c r="F293" i="1"/>
  <c r="K293" i="1"/>
  <c r="D294" i="1"/>
  <c r="E294" i="1"/>
  <c r="F294" i="1"/>
  <c r="K294" i="1"/>
  <c r="D295" i="1"/>
  <c r="E295" i="1"/>
  <c r="F295" i="1"/>
  <c r="K295" i="1"/>
  <c r="D296" i="1"/>
  <c r="E296" i="1"/>
  <c r="F296" i="1"/>
  <c r="K296" i="1"/>
  <c r="D297" i="1"/>
  <c r="E297" i="1"/>
  <c r="F297" i="1"/>
  <c r="K297" i="1"/>
  <c r="D298" i="1"/>
  <c r="E298" i="1"/>
  <c r="F298" i="1"/>
  <c r="K298" i="1"/>
  <c r="D299" i="1"/>
  <c r="E299" i="1"/>
  <c r="F299" i="1"/>
  <c r="K299" i="1"/>
  <c r="D300" i="1"/>
  <c r="E300" i="1"/>
  <c r="F300" i="1"/>
  <c r="K300" i="1"/>
  <c r="D301" i="1"/>
  <c r="E301" i="1"/>
  <c r="F301" i="1"/>
  <c r="K301" i="1"/>
  <c r="D302" i="1"/>
  <c r="E302" i="1"/>
  <c r="F302" i="1"/>
  <c r="K302" i="1"/>
  <c r="D303" i="1"/>
  <c r="E303" i="1"/>
  <c r="F303" i="1"/>
  <c r="K303" i="1"/>
  <c r="D304" i="1"/>
  <c r="E304" i="1"/>
  <c r="F304" i="1"/>
  <c r="K304" i="1"/>
  <c r="D305" i="1"/>
  <c r="E305" i="1"/>
  <c r="F305" i="1"/>
  <c r="K305" i="1"/>
  <c r="D306" i="1"/>
  <c r="E306" i="1"/>
  <c r="F306" i="1"/>
  <c r="K306" i="1"/>
  <c r="D307" i="1"/>
  <c r="E307" i="1"/>
  <c r="F307" i="1"/>
  <c r="K307" i="1"/>
  <c r="D308" i="1"/>
  <c r="E308" i="1"/>
  <c r="F308" i="1"/>
  <c r="K308" i="1"/>
  <c r="D309" i="1"/>
  <c r="E309" i="1"/>
  <c r="F309" i="1"/>
  <c r="K309" i="1"/>
  <c r="D310" i="1"/>
  <c r="E310" i="1"/>
  <c r="F310" i="1"/>
  <c r="K310" i="1"/>
  <c r="D311" i="1"/>
  <c r="E311" i="1"/>
  <c r="F311" i="1"/>
  <c r="K311" i="1"/>
  <c r="D312" i="1"/>
  <c r="E312" i="1"/>
  <c r="F312" i="1"/>
  <c r="K312" i="1"/>
  <c r="D313" i="1"/>
  <c r="E313" i="1"/>
  <c r="F313" i="1"/>
  <c r="K313" i="1"/>
  <c r="D314" i="1"/>
  <c r="E314" i="1"/>
  <c r="F314" i="1"/>
  <c r="K314" i="1"/>
  <c r="D315" i="1"/>
  <c r="E315" i="1"/>
  <c r="F315" i="1"/>
  <c r="K315" i="1"/>
  <c r="D316" i="1"/>
  <c r="E316" i="1"/>
  <c r="F316" i="1"/>
  <c r="K316" i="1"/>
  <c r="D317" i="1"/>
  <c r="E317" i="1"/>
  <c r="F317" i="1"/>
  <c r="K317" i="1"/>
  <c r="D318" i="1"/>
  <c r="E318" i="1"/>
  <c r="F318" i="1"/>
  <c r="K318" i="1"/>
  <c r="D319" i="1"/>
  <c r="E319" i="1"/>
  <c r="F319" i="1"/>
  <c r="K319" i="1"/>
  <c r="D320" i="1"/>
  <c r="E320" i="1"/>
  <c r="F320" i="1"/>
  <c r="K320" i="1"/>
  <c r="D321" i="1"/>
  <c r="E321" i="1"/>
  <c r="F321" i="1"/>
  <c r="K321" i="1"/>
  <c r="D322" i="1"/>
  <c r="E322" i="1"/>
  <c r="F322" i="1"/>
  <c r="K322" i="1"/>
  <c r="D323" i="1"/>
  <c r="E323" i="1"/>
  <c r="F323" i="1"/>
  <c r="K323" i="1"/>
  <c r="D324" i="1"/>
  <c r="E324" i="1"/>
  <c r="F324" i="1"/>
  <c r="K324" i="1"/>
  <c r="D325" i="1"/>
  <c r="E325" i="1"/>
  <c r="F325" i="1"/>
  <c r="K325" i="1"/>
  <c r="D326" i="1"/>
  <c r="E326" i="1"/>
  <c r="F326" i="1"/>
  <c r="K326" i="1"/>
  <c r="D327" i="1"/>
  <c r="E327" i="1"/>
  <c r="F327" i="1"/>
  <c r="K327" i="1"/>
  <c r="D328" i="1"/>
  <c r="E328" i="1"/>
  <c r="F328" i="1"/>
  <c r="K328" i="1"/>
  <c r="D329" i="1"/>
  <c r="E329" i="1"/>
  <c r="F329" i="1"/>
  <c r="K329" i="1"/>
  <c r="D330" i="1"/>
  <c r="E330" i="1"/>
  <c r="F330" i="1"/>
  <c r="K330" i="1"/>
  <c r="D331" i="1"/>
  <c r="E331" i="1"/>
  <c r="F331" i="1"/>
  <c r="K331" i="1"/>
  <c r="D332" i="1"/>
  <c r="E332" i="1"/>
  <c r="F332" i="1"/>
  <c r="K332" i="1"/>
  <c r="D333" i="1"/>
  <c r="E333" i="1"/>
  <c r="F333" i="1"/>
  <c r="K333" i="1"/>
  <c r="D334" i="1"/>
  <c r="E334" i="1"/>
  <c r="F334" i="1"/>
  <c r="K334" i="1"/>
  <c r="D335" i="1"/>
  <c r="E335" i="1"/>
  <c r="F335" i="1"/>
  <c r="K335" i="1"/>
  <c r="D336" i="1"/>
  <c r="E336" i="1"/>
  <c r="F336" i="1"/>
  <c r="K336" i="1"/>
  <c r="D337" i="1"/>
  <c r="E337" i="1"/>
  <c r="F337" i="1"/>
  <c r="K337" i="1"/>
  <c r="D338" i="1"/>
  <c r="E338" i="1"/>
  <c r="F338" i="1"/>
  <c r="K338" i="1"/>
  <c r="D339" i="1"/>
  <c r="E339" i="1"/>
  <c r="F339" i="1"/>
  <c r="I339" i="1"/>
  <c r="K339" i="1" s="1"/>
  <c r="D340" i="1"/>
  <c r="E340" i="1"/>
  <c r="F340" i="1"/>
  <c r="I340" i="1"/>
  <c r="K340" i="1" s="1"/>
  <c r="D341" i="1"/>
  <c r="E341" i="1"/>
  <c r="F341" i="1"/>
  <c r="K341" i="1"/>
  <c r="D342" i="1"/>
  <c r="E342" i="1"/>
  <c r="F342" i="1"/>
  <c r="K342" i="1"/>
  <c r="D343" i="1"/>
  <c r="E343" i="1"/>
  <c r="F343" i="1"/>
  <c r="K343" i="1"/>
  <c r="D344" i="1"/>
  <c r="E344" i="1"/>
  <c r="F344" i="1"/>
  <c r="K344" i="1"/>
  <c r="D345" i="1"/>
  <c r="E345" i="1"/>
  <c r="F345" i="1"/>
  <c r="K345" i="1"/>
  <c r="D346" i="1"/>
  <c r="E346" i="1"/>
  <c r="F346" i="1"/>
  <c r="K346" i="1"/>
  <c r="D347" i="1"/>
  <c r="E347" i="1"/>
  <c r="F347" i="1"/>
  <c r="K347" i="1"/>
  <c r="D348" i="1"/>
  <c r="E348" i="1"/>
  <c r="F348" i="1"/>
  <c r="K348" i="1"/>
  <c r="D349" i="1"/>
  <c r="E349" i="1"/>
  <c r="F349" i="1"/>
  <c r="K349" i="1"/>
  <c r="D350" i="1"/>
  <c r="E350" i="1"/>
  <c r="F350" i="1"/>
  <c r="K350" i="1"/>
  <c r="D351" i="1"/>
  <c r="E351" i="1"/>
  <c r="F351" i="1"/>
  <c r="K351" i="1"/>
  <c r="D352" i="1"/>
  <c r="E352" i="1"/>
  <c r="F352" i="1"/>
  <c r="K352" i="1"/>
  <c r="D353" i="1"/>
  <c r="E353" i="1"/>
  <c r="F353" i="1"/>
  <c r="K353" i="1"/>
  <c r="D354" i="1"/>
  <c r="E354" i="1"/>
  <c r="F354" i="1"/>
  <c r="K354" i="1"/>
  <c r="D355" i="1"/>
  <c r="E355" i="1"/>
  <c r="F355" i="1"/>
  <c r="K355" i="1"/>
  <c r="D356" i="1"/>
  <c r="E356" i="1"/>
  <c r="F356" i="1"/>
  <c r="K356" i="1"/>
  <c r="D357" i="1"/>
  <c r="E357" i="1"/>
  <c r="F357" i="1"/>
  <c r="K357" i="1"/>
  <c r="D358" i="1"/>
  <c r="E358" i="1"/>
  <c r="F358" i="1"/>
  <c r="K358" i="1"/>
  <c r="D359" i="1"/>
  <c r="E359" i="1"/>
  <c r="F359" i="1"/>
  <c r="K359" i="1"/>
  <c r="D360" i="1"/>
  <c r="E360" i="1"/>
  <c r="F360" i="1"/>
  <c r="K360" i="1"/>
  <c r="D361" i="1"/>
  <c r="E361" i="1"/>
  <c r="F361" i="1"/>
  <c r="K361" i="1"/>
  <c r="D362" i="1"/>
  <c r="E362" i="1"/>
  <c r="F362" i="1"/>
  <c r="K362" i="1"/>
  <c r="D363" i="1"/>
  <c r="E363" i="1"/>
  <c r="F363" i="1"/>
  <c r="K363" i="1"/>
  <c r="D364" i="1"/>
  <c r="E364" i="1"/>
  <c r="F364" i="1"/>
  <c r="K364" i="1"/>
  <c r="D365" i="1"/>
  <c r="E365" i="1"/>
  <c r="F365" i="1"/>
  <c r="K365" i="1"/>
  <c r="D366" i="1"/>
  <c r="E366" i="1"/>
  <c r="F366" i="1"/>
  <c r="K366" i="1"/>
  <c r="D367" i="1"/>
  <c r="E367" i="1"/>
  <c r="F367" i="1"/>
  <c r="K367" i="1"/>
  <c r="D368" i="1"/>
  <c r="E368" i="1"/>
  <c r="F368" i="1"/>
  <c r="K368" i="1"/>
  <c r="D369" i="1"/>
  <c r="E369" i="1"/>
  <c r="F369" i="1"/>
  <c r="K369" i="1"/>
  <c r="D370" i="1"/>
  <c r="E370" i="1"/>
  <c r="F370" i="1"/>
  <c r="K370" i="1"/>
  <c r="D371" i="1"/>
  <c r="E371" i="1"/>
  <c r="F371" i="1"/>
  <c r="K371" i="1"/>
  <c r="D372" i="1"/>
  <c r="E372" i="1"/>
  <c r="F372" i="1"/>
  <c r="K372" i="1"/>
  <c r="D373" i="1"/>
  <c r="E373" i="1"/>
  <c r="F373" i="1"/>
  <c r="K373" i="1"/>
  <c r="D374" i="1"/>
  <c r="E374" i="1"/>
  <c r="F374" i="1"/>
  <c r="K374" i="1"/>
  <c r="D375" i="1"/>
  <c r="E375" i="1"/>
  <c r="F375" i="1"/>
  <c r="K375" i="1"/>
  <c r="D376" i="1"/>
  <c r="E376" i="1"/>
  <c r="F376" i="1"/>
  <c r="K376" i="1"/>
  <c r="D377" i="1"/>
  <c r="E377" i="1"/>
  <c r="F377" i="1"/>
  <c r="K377" i="1"/>
  <c r="D378" i="1"/>
  <c r="E378" i="1"/>
  <c r="F378" i="1"/>
  <c r="K378" i="1"/>
  <c r="D379" i="1"/>
  <c r="E379" i="1"/>
  <c r="F379" i="1"/>
  <c r="K379" i="1"/>
  <c r="D380" i="1"/>
  <c r="E380" i="1"/>
  <c r="F380" i="1"/>
  <c r="K380" i="1"/>
  <c r="D381" i="1"/>
  <c r="E381" i="1"/>
  <c r="F381" i="1"/>
  <c r="K381" i="1"/>
  <c r="D382" i="1"/>
  <c r="E382" i="1"/>
  <c r="F382" i="1"/>
  <c r="K382" i="1"/>
  <c r="D383" i="1"/>
  <c r="E383" i="1"/>
  <c r="F383" i="1"/>
  <c r="K383" i="1"/>
  <c r="D384" i="1"/>
  <c r="E384" i="1"/>
  <c r="F384" i="1"/>
  <c r="K384" i="1"/>
  <c r="D385" i="1"/>
  <c r="E385" i="1"/>
  <c r="F385" i="1"/>
  <c r="K385" i="1"/>
  <c r="D386" i="1"/>
  <c r="E386" i="1"/>
  <c r="F386" i="1"/>
  <c r="K386" i="1"/>
  <c r="D387" i="1"/>
  <c r="E387" i="1"/>
  <c r="F387" i="1"/>
  <c r="K387" i="1"/>
  <c r="D388" i="1"/>
  <c r="E388" i="1"/>
  <c r="F388" i="1"/>
  <c r="K388" i="1"/>
  <c r="D389" i="1"/>
  <c r="E389" i="1"/>
  <c r="F389" i="1"/>
  <c r="K389" i="1"/>
  <c r="D390" i="1"/>
  <c r="E390" i="1"/>
  <c r="F390" i="1"/>
  <c r="K390" i="1"/>
  <c r="D391" i="1"/>
  <c r="E391" i="1"/>
  <c r="F391" i="1"/>
  <c r="K391" i="1"/>
  <c r="D392" i="1"/>
  <c r="E392" i="1"/>
  <c r="F392" i="1"/>
  <c r="K392" i="1"/>
  <c r="D393" i="1"/>
  <c r="E393" i="1"/>
  <c r="F393" i="1"/>
  <c r="K393" i="1"/>
  <c r="D394" i="1"/>
  <c r="E394" i="1"/>
  <c r="F394" i="1"/>
  <c r="K394" i="1"/>
  <c r="D395" i="1"/>
  <c r="E395" i="1"/>
  <c r="F395" i="1"/>
  <c r="K395" i="1"/>
  <c r="D396" i="1"/>
  <c r="E396" i="1"/>
  <c r="F396" i="1"/>
  <c r="K396" i="1"/>
  <c r="D397" i="1"/>
  <c r="E397" i="1"/>
  <c r="F397" i="1"/>
  <c r="K397" i="1"/>
  <c r="D398" i="1"/>
  <c r="E398" i="1"/>
  <c r="F398" i="1"/>
  <c r="K398" i="1"/>
  <c r="D399" i="1"/>
  <c r="E399" i="1"/>
  <c r="F399" i="1"/>
  <c r="K399" i="1"/>
  <c r="D400" i="1"/>
  <c r="E400" i="1"/>
  <c r="F400" i="1"/>
  <c r="K400" i="1"/>
  <c r="D401" i="1"/>
  <c r="E401" i="1"/>
  <c r="F401" i="1"/>
  <c r="K401" i="1"/>
  <c r="D402" i="1"/>
  <c r="E402" i="1"/>
  <c r="F402" i="1"/>
  <c r="K402" i="1"/>
  <c r="D403" i="1"/>
  <c r="E403" i="1"/>
  <c r="F403" i="1"/>
  <c r="K403" i="1"/>
  <c r="D404" i="1"/>
  <c r="E404" i="1"/>
  <c r="F404" i="1"/>
  <c r="K404" i="1"/>
  <c r="D405" i="1"/>
  <c r="E405" i="1"/>
  <c r="F405" i="1"/>
  <c r="K405" i="1"/>
  <c r="D406" i="1"/>
  <c r="E406" i="1"/>
  <c r="F406" i="1"/>
  <c r="K406" i="1"/>
  <c r="D407" i="1"/>
  <c r="E407" i="1"/>
  <c r="F407" i="1"/>
  <c r="K407" i="1"/>
  <c r="D408" i="1"/>
  <c r="E408" i="1"/>
  <c r="F408" i="1"/>
  <c r="K408" i="1"/>
  <c r="D409" i="1"/>
  <c r="E409" i="1"/>
  <c r="F409" i="1"/>
  <c r="K409" i="1"/>
  <c r="D410" i="1"/>
  <c r="E410" i="1"/>
  <c r="F410" i="1"/>
  <c r="K410" i="1"/>
  <c r="D411" i="1"/>
  <c r="E411" i="1"/>
  <c r="F411" i="1"/>
  <c r="K411" i="1"/>
  <c r="D412" i="1"/>
  <c r="E412" i="1"/>
  <c r="F412" i="1"/>
  <c r="K412" i="1"/>
  <c r="D413" i="1"/>
  <c r="E413" i="1"/>
  <c r="F413" i="1"/>
  <c r="K413" i="1"/>
  <c r="D414" i="1"/>
  <c r="E414" i="1"/>
  <c r="F414" i="1"/>
  <c r="K414" i="1"/>
  <c r="D415" i="1"/>
  <c r="E415" i="1"/>
  <c r="F415" i="1"/>
  <c r="K415" i="1"/>
  <c r="D416" i="1"/>
  <c r="E416" i="1"/>
  <c r="F416" i="1"/>
  <c r="K416" i="1"/>
  <c r="D417" i="1"/>
  <c r="E417" i="1"/>
  <c r="F417" i="1"/>
  <c r="K417" i="1"/>
  <c r="D418" i="1"/>
  <c r="E418" i="1"/>
  <c r="F418" i="1"/>
  <c r="K418" i="1"/>
  <c r="D419" i="1"/>
  <c r="E419" i="1"/>
  <c r="F419" i="1"/>
  <c r="K419" i="1"/>
  <c r="D420" i="1"/>
  <c r="E420" i="1"/>
  <c r="F420" i="1"/>
  <c r="K420" i="1"/>
  <c r="D421" i="1"/>
  <c r="E421" i="1"/>
  <c r="F421" i="1"/>
  <c r="K421" i="1"/>
  <c r="D422" i="1"/>
  <c r="E422" i="1"/>
  <c r="F422" i="1"/>
  <c r="K422" i="1"/>
  <c r="D423" i="1"/>
  <c r="E423" i="1"/>
  <c r="F423" i="1"/>
  <c r="K423" i="1"/>
  <c r="D424" i="1"/>
  <c r="E424" i="1"/>
  <c r="F424" i="1"/>
  <c r="K424" i="1"/>
  <c r="D425" i="1"/>
  <c r="E425" i="1"/>
  <c r="F425" i="1"/>
  <c r="K425" i="1"/>
  <c r="D426" i="1"/>
  <c r="E426" i="1"/>
  <c r="F426" i="1"/>
  <c r="K426" i="1"/>
  <c r="D427" i="1"/>
  <c r="E427" i="1"/>
  <c r="F427" i="1"/>
  <c r="K427" i="1"/>
  <c r="D428" i="1"/>
  <c r="E428" i="1"/>
  <c r="F428" i="1"/>
  <c r="K428" i="1"/>
  <c r="D429" i="1"/>
  <c r="E429" i="1"/>
  <c r="F429" i="1"/>
  <c r="K429" i="1"/>
  <c r="D430" i="1"/>
  <c r="E430" i="1"/>
  <c r="F430" i="1"/>
  <c r="K430" i="1"/>
  <c r="D431" i="1"/>
  <c r="E431" i="1"/>
  <c r="F431" i="1"/>
  <c r="K431" i="1"/>
  <c r="D432" i="1"/>
  <c r="E432" i="1"/>
  <c r="F432" i="1"/>
  <c r="K432" i="1"/>
  <c r="D433" i="1"/>
  <c r="E433" i="1"/>
  <c r="F433" i="1"/>
  <c r="K433" i="1"/>
  <c r="D434" i="1"/>
  <c r="E434" i="1"/>
  <c r="F434" i="1"/>
  <c r="K434" i="1"/>
  <c r="D435" i="1"/>
  <c r="E435" i="1"/>
  <c r="F435" i="1"/>
  <c r="K435" i="1"/>
  <c r="D436" i="1"/>
  <c r="E436" i="1"/>
  <c r="F436" i="1"/>
  <c r="K436" i="1"/>
  <c r="D437" i="1"/>
  <c r="E437" i="1"/>
  <c r="F437" i="1"/>
  <c r="K437" i="1"/>
  <c r="D438" i="1"/>
  <c r="E438" i="1"/>
  <c r="F438" i="1"/>
  <c r="K438" i="1"/>
  <c r="D439" i="1"/>
  <c r="E439" i="1"/>
  <c r="F439" i="1"/>
  <c r="K439" i="1"/>
  <c r="D440" i="1"/>
  <c r="E440" i="1"/>
  <c r="F440" i="1"/>
  <c r="K440" i="1"/>
  <c r="D441" i="1"/>
  <c r="E441" i="1"/>
  <c r="F441" i="1"/>
  <c r="K441" i="1"/>
  <c r="D442" i="1"/>
  <c r="E442" i="1"/>
  <c r="F442" i="1"/>
  <c r="K442" i="1"/>
  <c r="D443" i="1"/>
  <c r="E443" i="1"/>
  <c r="F443" i="1"/>
  <c r="K443" i="1"/>
  <c r="D444" i="1"/>
  <c r="E444" i="1"/>
  <c r="F444" i="1"/>
  <c r="K444" i="1"/>
  <c r="D445" i="1"/>
  <c r="E445" i="1"/>
  <c r="F445" i="1"/>
  <c r="K445" i="1"/>
  <c r="D446" i="1"/>
  <c r="E446" i="1"/>
  <c r="F446" i="1"/>
  <c r="K446" i="1"/>
  <c r="D447" i="1"/>
  <c r="E447" i="1"/>
  <c r="F447" i="1"/>
  <c r="K447" i="1"/>
  <c r="D448" i="1"/>
  <c r="E448" i="1"/>
  <c r="F448" i="1"/>
  <c r="K448" i="1"/>
  <c r="D449" i="1"/>
  <c r="E449" i="1"/>
  <c r="F449" i="1"/>
  <c r="K449" i="1"/>
  <c r="D450" i="1"/>
  <c r="E450" i="1"/>
  <c r="F450" i="1"/>
  <c r="K450" i="1"/>
  <c r="D451" i="1"/>
  <c r="E451" i="1"/>
  <c r="F451" i="1"/>
  <c r="K451" i="1"/>
  <c r="D452" i="1"/>
  <c r="E452" i="1"/>
  <c r="F452" i="1"/>
  <c r="K452" i="1"/>
  <c r="D453" i="1"/>
  <c r="E453" i="1"/>
  <c r="F453" i="1"/>
  <c r="K453" i="1"/>
  <c r="D454" i="1"/>
  <c r="E454" i="1"/>
  <c r="F454" i="1"/>
  <c r="K454" i="1"/>
  <c r="D455" i="1"/>
  <c r="E455" i="1"/>
  <c r="F455" i="1"/>
  <c r="K455" i="1"/>
  <c r="D456" i="1"/>
  <c r="E456" i="1"/>
  <c r="F456" i="1"/>
  <c r="K456" i="1"/>
  <c r="D457" i="1"/>
  <c r="E457" i="1"/>
  <c r="F457" i="1"/>
  <c r="K457" i="1"/>
  <c r="D458" i="1"/>
  <c r="E458" i="1"/>
  <c r="F458" i="1"/>
  <c r="K458" i="1"/>
  <c r="D459" i="1"/>
  <c r="E459" i="1"/>
  <c r="F459" i="1"/>
  <c r="K459" i="1"/>
  <c r="D460" i="1"/>
  <c r="E460" i="1"/>
  <c r="F460" i="1"/>
  <c r="K460" i="1"/>
  <c r="D461" i="1"/>
  <c r="E461" i="1"/>
  <c r="F461" i="1"/>
  <c r="K461" i="1"/>
  <c r="D462" i="1"/>
  <c r="E462" i="1"/>
  <c r="F462" i="1"/>
  <c r="K462" i="1"/>
  <c r="D463" i="1"/>
  <c r="E463" i="1"/>
  <c r="F463" i="1"/>
  <c r="K463" i="1"/>
  <c r="D464" i="1"/>
  <c r="E464" i="1"/>
  <c r="F464" i="1"/>
  <c r="K464" i="1"/>
  <c r="D465" i="1"/>
  <c r="E465" i="1"/>
  <c r="F465" i="1"/>
  <c r="K465" i="1"/>
  <c r="D466" i="1"/>
  <c r="E466" i="1"/>
  <c r="F466" i="1"/>
  <c r="K466" i="1"/>
  <c r="D467" i="1"/>
  <c r="E467" i="1"/>
  <c r="F467" i="1"/>
  <c r="K467" i="1"/>
  <c r="D468" i="1"/>
  <c r="E468" i="1"/>
  <c r="F468" i="1"/>
  <c r="K468" i="1"/>
  <c r="D469" i="1"/>
  <c r="E469" i="1"/>
  <c r="F469" i="1"/>
  <c r="K469" i="1"/>
  <c r="D470" i="1"/>
  <c r="E470" i="1"/>
  <c r="F470" i="1"/>
  <c r="K470" i="1"/>
  <c r="D471" i="1"/>
  <c r="E471" i="1"/>
  <c r="F471" i="1"/>
  <c r="K471" i="1"/>
  <c r="D472" i="1"/>
  <c r="E472" i="1"/>
  <c r="F472" i="1"/>
  <c r="K472" i="1"/>
  <c r="D473" i="1"/>
  <c r="E473" i="1"/>
  <c r="F473" i="1"/>
  <c r="K473" i="1"/>
  <c r="D474" i="1"/>
  <c r="E474" i="1"/>
  <c r="F474" i="1"/>
  <c r="K474" i="1"/>
  <c r="D475" i="1"/>
  <c r="E475" i="1"/>
  <c r="F475" i="1"/>
  <c r="K475" i="1"/>
  <c r="D476" i="1"/>
  <c r="E476" i="1"/>
  <c r="F476" i="1"/>
  <c r="K476" i="1"/>
  <c r="D477" i="1"/>
  <c r="E477" i="1"/>
  <c r="F477" i="1"/>
  <c r="K477" i="1"/>
  <c r="D478" i="1"/>
  <c r="E478" i="1"/>
  <c r="F478" i="1"/>
  <c r="K478" i="1"/>
  <c r="D479" i="1"/>
  <c r="E479" i="1"/>
  <c r="F479" i="1"/>
  <c r="K479" i="1"/>
  <c r="D480" i="1"/>
  <c r="E480" i="1"/>
  <c r="F480" i="1"/>
  <c r="K480" i="1"/>
  <c r="D481" i="1"/>
  <c r="E481" i="1"/>
  <c r="F481" i="1"/>
  <c r="K481" i="1"/>
  <c r="D482" i="1"/>
  <c r="E482" i="1"/>
  <c r="F482" i="1"/>
  <c r="K482" i="1"/>
  <c r="D483" i="1"/>
  <c r="E483" i="1"/>
  <c r="F483" i="1"/>
  <c r="K483" i="1"/>
  <c r="D484" i="1"/>
  <c r="E484" i="1"/>
  <c r="F484" i="1"/>
  <c r="K484" i="1"/>
  <c r="D485" i="1"/>
  <c r="E485" i="1"/>
  <c r="F485" i="1"/>
  <c r="K485" i="1"/>
  <c r="D486" i="1"/>
  <c r="E486" i="1"/>
  <c r="F486" i="1"/>
  <c r="K486" i="1"/>
  <c r="D487" i="1"/>
  <c r="E487" i="1"/>
  <c r="F487" i="1"/>
  <c r="K487" i="1"/>
  <c r="D488" i="1"/>
  <c r="E488" i="1"/>
  <c r="F488" i="1"/>
  <c r="K488" i="1"/>
  <c r="D489" i="1"/>
  <c r="E489" i="1"/>
  <c r="F489" i="1"/>
  <c r="K489" i="1"/>
  <c r="D490" i="1"/>
  <c r="E490" i="1"/>
  <c r="F490" i="1"/>
  <c r="K490" i="1"/>
  <c r="D491" i="1"/>
  <c r="E491" i="1"/>
  <c r="F491" i="1"/>
  <c r="K491" i="1"/>
  <c r="D492" i="1"/>
  <c r="E492" i="1"/>
  <c r="F492" i="1"/>
  <c r="K492" i="1"/>
  <c r="D493" i="1"/>
  <c r="E493" i="1"/>
  <c r="F493" i="1"/>
  <c r="K493" i="1"/>
  <c r="D494" i="1"/>
  <c r="E494" i="1"/>
  <c r="F494" i="1"/>
  <c r="K494" i="1"/>
  <c r="D495" i="1"/>
  <c r="E495" i="1"/>
  <c r="F495" i="1"/>
  <c r="K495" i="1"/>
  <c r="D496" i="1"/>
  <c r="E496" i="1"/>
  <c r="F496" i="1"/>
  <c r="K496" i="1"/>
  <c r="D497" i="1"/>
  <c r="E497" i="1"/>
  <c r="F497" i="1"/>
  <c r="K497" i="1"/>
  <c r="D498" i="1"/>
  <c r="E498" i="1"/>
  <c r="F498" i="1"/>
  <c r="K498" i="1"/>
  <c r="R498" i="1"/>
  <c r="D499" i="1"/>
  <c r="E499" i="1"/>
  <c r="F499" i="1"/>
  <c r="K499" i="1"/>
  <c r="D500" i="1"/>
  <c r="E500" i="1"/>
  <c r="F500" i="1"/>
  <c r="K500" i="1"/>
  <c r="D501" i="1"/>
  <c r="E501" i="1"/>
  <c r="F501" i="1"/>
  <c r="K501" i="1"/>
  <c r="D502" i="1"/>
  <c r="E502" i="1"/>
  <c r="F502" i="1"/>
  <c r="K502" i="1"/>
  <c r="D503" i="1"/>
  <c r="E503" i="1"/>
  <c r="F503" i="1"/>
  <c r="K503" i="1"/>
  <c r="D504" i="1"/>
  <c r="E504" i="1"/>
  <c r="F504" i="1"/>
  <c r="K504" i="1"/>
  <c r="D505" i="1"/>
  <c r="E505" i="1"/>
  <c r="F505" i="1"/>
  <c r="K505" i="1"/>
  <c r="D506" i="1"/>
  <c r="E506" i="1"/>
  <c r="F506" i="1"/>
  <c r="K506" i="1"/>
  <c r="D507" i="1"/>
  <c r="E507" i="1"/>
  <c r="F507" i="1"/>
  <c r="K507" i="1"/>
  <c r="D508" i="1"/>
  <c r="E508" i="1"/>
  <c r="F508" i="1"/>
  <c r="K508" i="1"/>
  <c r="D509" i="1"/>
  <c r="E509" i="1"/>
  <c r="F509" i="1"/>
  <c r="K509" i="1"/>
  <c r="D510" i="1"/>
  <c r="E510" i="1"/>
  <c r="F510" i="1"/>
  <c r="K510" i="1"/>
  <c r="D511" i="1"/>
  <c r="E511" i="1"/>
  <c r="F511" i="1"/>
  <c r="K511" i="1"/>
  <c r="D512" i="1"/>
  <c r="E512" i="1"/>
  <c r="F512" i="1"/>
  <c r="K512" i="1"/>
  <c r="D513" i="1"/>
  <c r="E513" i="1"/>
  <c r="F513" i="1"/>
  <c r="K513" i="1"/>
  <c r="D514" i="1"/>
  <c r="E514" i="1"/>
  <c r="F514" i="1"/>
  <c r="K514" i="1"/>
  <c r="D515" i="1"/>
  <c r="E515" i="1"/>
  <c r="F515" i="1"/>
  <c r="K515" i="1"/>
  <c r="D516" i="1"/>
  <c r="E516" i="1"/>
  <c r="F516" i="1"/>
  <c r="K516" i="1"/>
  <c r="D517" i="1"/>
  <c r="E517" i="1"/>
  <c r="F517" i="1"/>
  <c r="K517" i="1"/>
  <c r="D518" i="1"/>
  <c r="E518" i="1"/>
  <c r="F518" i="1"/>
  <c r="K518" i="1"/>
  <c r="D519" i="1"/>
  <c r="E519" i="1"/>
  <c r="F519" i="1"/>
  <c r="K519" i="1"/>
  <c r="D520" i="1"/>
  <c r="E520" i="1"/>
  <c r="F520" i="1"/>
  <c r="K520" i="1"/>
  <c r="D521" i="1"/>
  <c r="E521" i="1"/>
  <c r="F521" i="1"/>
  <c r="K521" i="1"/>
  <c r="D522" i="1"/>
  <c r="E522" i="1"/>
  <c r="F522" i="1"/>
  <c r="K522" i="1"/>
  <c r="D523" i="1"/>
  <c r="E523" i="1"/>
  <c r="F523" i="1"/>
  <c r="K523" i="1"/>
  <c r="D524" i="1"/>
  <c r="E524" i="1"/>
  <c r="F524" i="1"/>
  <c r="K524" i="1"/>
  <c r="D525" i="1"/>
  <c r="E525" i="1"/>
  <c r="F525" i="1"/>
  <c r="K525" i="1"/>
  <c r="D526" i="1"/>
  <c r="E526" i="1"/>
  <c r="F526" i="1"/>
  <c r="K526" i="1"/>
  <c r="D527" i="1"/>
  <c r="E527" i="1"/>
  <c r="F527" i="1"/>
  <c r="K527" i="1"/>
  <c r="D528" i="1"/>
  <c r="E528" i="1"/>
  <c r="F528" i="1"/>
  <c r="K528" i="1"/>
  <c r="D529" i="1"/>
  <c r="E529" i="1"/>
  <c r="F529" i="1"/>
  <c r="K529" i="1"/>
  <c r="D530" i="1"/>
  <c r="E530" i="1"/>
  <c r="F530" i="1"/>
  <c r="K530" i="1"/>
  <c r="D531" i="1"/>
  <c r="E531" i="1"/>
  <c r="F531" i="1"/>
  <c r="K531" i="1"/>
  <c r="D532" i="1"/>
  <c r="E532" i="1"/>
  <c r="F532" i="1"/>
  <c r="K532" i="1"/>
  <c r="D533" i="1"/>
  <c r="E533" i="1"/>
  <c r="F533" i="1"/>
  <c r="K533" i="1"/>
  <c r="D534" i="1"/>
  <c r="E534" i="1"/>
  <c r="F534" i="1"/>
  <c r="K534" i="1"/>
  <c r="D535" i="1"/>
  <c r="E535" i="1"/>
  <c r="F535" i="1"/>
  <c r="K535" i="1"/>
  <c r="D536" i="1"/>
  <c r="E536" i="1"/>
  <c r="F536" i="1"/>
  <c r="K536" i="1"/>
  <c r="D537" i="1"/>
  <c r="E537" i="1"/>
  <c r="F537" i="1"/>
  <c r="K537" i="1"/>
  <c r="D538" i="1"/>
  <c r="E538" i="1"/>
  <c r="F538" i="1"/>
  <c r="K538" i="1"/>
  <c r="D539" i="1"/>
  <c r="E539" i="1"/>
  <c r="F539" i="1"/>
  <c r="K539" i="1"/>
  <c r="D540" i="1"/>
  <c r="E540" i="1"/>
  <c r="F540" i="1"/>
  <c r="K540" i="1"/>
  <c r="D541" i="1"/>
  <c r="E541" i="1"/>
  <c r="F541" i="1"/>
  <c r="K541" i="1"/>
  <c r="D542" i="1"/>
  <c r="E542" i="1"/>
  <c r="F542" i="1"/>
  <c r="K542" i="1"/>
  <c r="D543" i="1"/>
  <c r="E543" i="1"/>
  <c r="F543" i="1"/>
  <c r="K543" i="1"/>
  <c r="D544" i="1"/>
  <c r="E544" i="1"/>
  <c r="F544" i="1"/>
  <c r="K544" i="1"/>
  <c r="D545" i="1"/>
  <c r="E545" i="1"/>
  <c r="F545" i="1"/>
  <c r="K545" i="1"/>
  <c r="D546" i="1"/>
  <c r="E546" i="1"/>
  <c r="F546" i="1"/>
  <c r="K546" i="1"/>
  <c r="D547" i="1"/>
  <c r="E547" i="1"/>
  <c r="F547" i="1"/>
  <c r="K547" i="1"/>
  <c r="D548" i="1"/>
  <c r="E548" i="1"/>
  <c r="F548" i="1"/>
  <c r="K548" i="1"/>
  <c r="D549" i="1"/>
  <c r="E549" i="1"/>
  <c r="F549" i="1"/>
  <c r="K549" i="1"/>
  <c r="D550" i="1"/>
  <c r="E550" i="1"/>
  <c r="F550" i="1"/>
  <c r="K550" i="1"/>
  <c r="D551" i="1"/>
  <c r="E551" i="1"/>
  <c r="F551" i="1"/>
  <c r="K551" i="1"/>
  <c r="D552" i="1"/>
  <c r="E552" i="1"/>
  <c r="F552" i="1"/>
  <c r="K552" i="1"/>
  <c r="D553" i="1"/>
  <c r="E553" i="1"/>
  <c r="F553" i="1"/>
  <c r="K553" i="1"/>
  <c r="D554" i="1"/>
  <c r="E554" i="1"/>
  <c r="F554" i="1"/>
  <c r="K554" i="1"/>
  <c r="D555" i="1"/>
  <c r="E555" i="1"/>
  <c r="F555" i="1"/>
  <c r="K555" i="1"/>
  <c r="D556" i="1"/>
  <c r="E556" i="1"/>
  <c r="F556" i="1"/>
  <c r="K556" i="1"/>
  <c r="D557" i="1"/>
  <c r="E557" i="1"/>
  <c r="F557" i="1"/>
  <c r="K557" i="1"/>
  <c r="D558" i="1"/>
  <c r="E558" i="1"/>
  <c r="F558" i="1"/>
  <c r="K558" i="1"/>
  <c r="D559" i="1"/>
  <c r="E559" i="1"/>
  <c r="F559" i="1"/>
  <c r="K559" i="1"/>
  <c r="D560" i="1"/>
  <c r="E560" i="1"/>
  <c r="F560" i="1"/>
  <c r="K560" i="1"/>
  <c r="D561" i="1"/>
  <c r="E561" i="1"/>
  <c r="F561" i="1"/>
  <c r="K561" i="1"/>
  <c r="D562" i="1"/>
  <c r="E562" i="1"/>
  <c r="F562" i="1"/>
  <c r="K562" i="1"/>
  <c r="D563" i="1"/>
  <c r="E563" i="1"/>
  <c r="F563" i="1"/>
  <c r="K563" i="1"/>
  <c r="D564" i="1"/>
  <c r="E564" i="1"/>
  <c r="F564" i="1"/>
  <c r="K564" i="1"/>
  <c r="D565" i="1"/>
  <c r="E565" i="1"/>
  <c r="F565" i="1"/>
  <c r="K565" i="1"/>
  <c r="D566" i="1"/>
  <c r="E566" i="1"/>
  <c r="F566" i="1"/>
  <c r="K566" i="1"/>
  <c r="D567" i="1"/>
  <c r="E567" i="1"/>
  <c r="F567" i="1"/>
  <c r="K567" i="1"/>
  <c r="D568" i="1"/>
  <c r="E568" i="1"/>
  <c r="F568" i="1"/>
  <c r="K568" i="1"/>
  <c r="D569" i="1"/>
  <c r="E569" i="1"/>
  <c r="F569" i="1"/>
  <c r="K569" i="1"/>
  <c r="D570" i="1"/>
  <c r="E570" i="1"/>
  <c r="F570" i="1"/>
  <c r="K570" i="1"/>
  <c r="D571" i="1"/>
  <c r="E571" i="1"/>
  <c r="F571" i="1"/>
  <c r="K571" i="1"/>
  <c r="D572" i="1"/>
  <c r="E572" i="1"/>
  <c r="F572" i="1"/>
  <c r="K572" i="1"/>
  <c r="D573" i="1"/>
  <c r="E573" i="1"/>
  <c r="F573" i="1"/>
  <c r="K573" i="1"/>
  <c r="D574" i="1"/>
  <c r="E574" i="1"/>
  <c r="F574" i="1"/>
  <c r="K574" i="1"/>
  <c r="D575" i="1"/>
  <c r="E575" i="1"/>
  <c r="F575" i="1"/>
  <c r="K575" i="1"/>
  <c r="D576" i="1"/>
  <c r="E576" i="1"/>
  <c r="F576" i="1"/>
  <c r="K576" i="1"/>
  <c r="D577" i="1"/>
  <c r="E577" i="1"/>
  <c r="F577" i="1"/>
  <c r="K577" i="1"/>
  <c r="D578" i="1"/>
  <c r="E578" i="1"/>
  <c r="F578" i="1"/>
  <c r="K578" i="1"/>
  <c r="D579" i="1"/>
  <c r="E579" i="1"/>
  <c r="F579" i="1"/>
  <c r="K579" i="1"/>
  <c r="D580" i="1"/>
  <c r="E580" i="1"/>
  <c r="F580" i="1"/>
  <c r="K580" i="1"/>
  <c r="D581" i="1"/>
  <c r="E581" i="1"/>
  <c r="F581" i="1"/>
  <c r="K581" i="1"/>
  <c r="D582" i="1"/>
  <c r="E582" i="1"/>
  <c r="F582" i="1"/>
  <c r="K582" i="1"/>
  <c r="D583" i="1"/>
  <c r="E583" i="1"/>
  <c r="F583" i="1"/>
  <c r="K583" i="1"/>
  <c r="D584" i="1"/>
  <c r="E584" i="1"/>
  <c r="F584" i="1"/>
  <c r="K584" i="1"/>
  <c r="D585" i="1"/>
  <c r="E585" i="1"/>
  <c r="F585" i="1"/>
  <c r="K585" i="1"/>
  <c r="D586" i="1"/>
  <c r="E586" i="1"/>
  <c r="F586" i="1"/>
  <c r="K586" i="1"/>
  <c r="D587" i="1"/>
  <c r="E587" i="1"/>
  <c r="F587" i="1"/>
  <c r="K587" i="1"/>
  <c r="D588" i="1"/>
  <c r="E588" i="1"/>
  <c r="F588" i="1"/>
  <c r="K588" i="1"/>
  <c r="D589" i="1"/>
  <c r="E589" i="1"/>
  <c r="F589" i="1"/>
  <c r="K589" i="1"/>
  <c r="D590" i="1"/>
  <c r="E590" i="1"/>
  <c r="F590" i="1"/>
  <c r="K590" i="1"/>
  <c r="D591" i="1"/>
  <c r="E591" i="1"/>
  <c r="F591" i="1"/>
  <c r="K591" i="1"/>
  <c r="D592" i="1"/>
  <c r="E592" i="1"/>
  <c r="F592" i="1"/>
  <c r="K592" i="1"/>
  <c r="D593" i="1"/>
  <c r="E593" i="1"/>
  <c r="F593" i="1"/>
  <c r="K593" i="1"/>
  <c r="D594" i="1"/>
  <c r="E594" i="1"/>
  <c r="F594" i="1"/>
  <c r="K594" i="1"/>
  <c r="D595" i="1"/>
  <c r="E595" i="1"/>
  <c r="F595" i="1"/>
  <c r="K595" i="1"/>
  <c r="D596" i="1"/>
  <c r="E596" i="1"/>
  <c r="F596" i="1"/>
  <c r="K596" i="1"/>
  <c r="D597" i="1"/>
  <c r="E597" i="1"/>
  <c r="F597" i="1"/>
  <c r="K597" i="1"/>
  <c r="D598" i="1"/>
  <c r="E598" i="1"/>
  <c r="F598" i="1"/>
  <c r="K598" i="1"/>
  <c r="D599" i="1"/>
  <c r="E599" i="1"/>
  <c r="F599" i="1"/>
  <c r="K599" i="1"/>
  <c r="D600" i="1"/>
  <c r="E600" i="1"/>
  <c r="F600" i="1"/>
  <c r="K600" i="1"/>
  <c r="D601" i="1"/>
  <c r="E601" i="1"/>
  <c r="F601" i="1"/>
  <c r="K601" i="1"/>
  <c r="D602" i="1"/>
  <c r="E602" i="1"/>
  <c r="F602" i="1"/>
  <c r="K602" i="1"/>
  <c r="D603" i="1"/>
  <c r="E603" i="1"/>
  <c r="F603" i="1"/>
  <c r="K603" i="1"/>
  <c r="D604" i="1"/>
  <c r="E604" i="1"/>
  <c r="F604" i="1"/>
  <c r="K604" i="1"/>
  <c r="D605" i="1"/>
  <c r="E605" i="1"/>
  <c r="F605" i="1"/>
  <c r="K605" i="1"/>
  <c r="D606" i="1"/>
  <c r="E606" i="1"/>
  <c r="F606" i="1"/>
  <c r="K606" i="1"/>
  <c r="D607" i="1"/>
  <c r="E607" i="1"/>
  <c r="F607" i="1"/>
  <c r="K607" i="1"/>
  <c r="D608" i="1"/>
  <c r="E608" i="1"/>
  <c r="F608" i="1"/>
  <c r="K608" i="1"/>
  <c r="D609" i="1"/>
  <c r="E609" i="1"/>
  <c r="F609" i="1"/>
  <c r="K609" i="1"/>
  <c r="D610" i="1"/>
  <c r="E610" i="1"/>
  <c r="F610" i="1"/>
  <c r="K610" i="1"/>
  <c r="D611" i="1"/>
  <c r="E611" i="1"/>
  <c r="F611" i="1"/>
  <c r="K611" i="1"/>
  <c r="D612" i="1"/>
  <c r="E612" i="1"/>
  <c r="F612" i="1"/>
  <c r="K612" i="1"/>
  <c r="D613" i="1"/>
  <c r="E613" i="1"/>
  <c r="F613" i="1"/>
  <c r="K613" i="1"/>
  <c r="D614" i="1"/>
  <c r="E614" i="1"/>
  <c r="F614" i="1"/>
  <c r="K614" i="1"/>
  <c r="D615" i="1"/>
  <c r="E615" i="1"/>
  <c r="F615" i="1"/>
  <c r="K615" i="1"/>
  <c r="D616" i="1"/>
  <c r="E616" i="1"/>
  <c r="F616" i="1"/>
  <c r="K616" i="1"/>
  <c r="D617" i="1"/>
  <c r="E617" i="1"/>
  <c r="F617" i="1"/>
  <c r="K617" i="1"/>
  <c r="D618" i="1"/>
  <c r="E618" i="1"/>
  <c r="F618" i="1"/>
  <c r="K618" i="1"/>
  <c r="D619" i="1"/>
  <c r="E619" i="1"/>
  <c r="F619" i="1"/>
  <c r="K619" i="1"/>
  <c r="D620" i="1"/>
  <c r="E620" i="1"/>
  <c r="F620" i="1"/>
  <c r="K620" i="1"/>
  <c r="D621" i="1"/>
  <c r="E621" i="1"/>
  <c r="F621" i="1"/>
  <c r="K621" i="1"/>
  <c r="D622" i="1"/>
  <c r="E622" i="1"/>
  <c r="F622" i="1"/>
  <c r="K622" i="1"/>
  <c r="D623" i="1"/>
  <c r="E623" i="1"/>
  <c r="F623" i="1"/>
  <c r="K623" i="1"/>
  <c r="D624" i="1"/>
  <c r="E624" i="1"/>
  <c r="F624" i="1"/>
  <c r="K624" i="1"/>
  <c r="D625" i="1"/>
  <c r="E625" i="1"/>
  <c r="F625" i="1"/>
  <c r="K625" i="1"/>
  <c r="D626" i="1"/>
  <c r="E626" i="1"/>
  <c r="F626" i="1"/>
  <c r="K626" i="1"/>
  <c r="D627" i="1"/>
  <c r="E627" i="1"/>
  <c r="F627" i="1"/>
  <c r="K627" i="1"/>
  <c r="D628" i="1"/>
  <c r="E628" i="1"/>
  <c r="F628" i="1"/>
  <c r="K628" i="1"/>
  <c r="D629" i="1"/>
  <c r="E629" i="1"/>
  <c r="F629" i="1"/>
  <c r="K629" i="1"/>
  <c r="D630" i="1"/>
  <c r="E630" i="1"/>
  <c r="F630" i="1"/>
  <c r="K630" i="1"/>
  <c r="D631" i="1"/>
  <c r="E631" i="1"/>
  <c r="F631" i="1"/>
  <c r="K631" i="1"/>
  <c r="D632" i="1"/>
  <c r="E632" i="1"/>
  <c r="F632" i="1"/>
  <c r="K632" i="1"/>
  <c r="D633" i="1"/>
  <c r="E633" i="1"/>
  <c r="F633" i="1"/>
  <c r="K633" i="1"/>
  <c r="D634" i="1"/>
  <c r="E634" i="1"/>
  <c r="F634" i="1"/>
  <c r="K634" i="1"/>
  <c r="D635" i="1"/>
  <c r="E635" i="1"/>
  <c r="F635" i="1"/>
  <c r="K635" i="1"/>
  <c r="D636" i="1"/>
  <c r="E636" i="1"/>
  <c r="F636" i="1"/>
  <c r="K636" i="1"/>
  <c r="D637" i="1"/>
  <c r="E637" i="1"/>
  <c r="F637" i="1"/>
  <c r="K637" i="1"/>
  <c r="D638" i="1"/>
  <c r="E638" i="1"/>
  <c r="F638" i="1"/>
  <c r="K638" i="1"/>
  <c r="D639" i="1"/>
  <c r="E639" i="1"/>
  <c r="F639" i="1"/>
  <c r="K639" i="1"/>
  <c r="D640" i="1"/>
  <c r="E640" i="1"/>
  <c r="F640" i="1"/>
  <c r="K640" i="1"/>
  <c r="D641" i="1"/>
  <c r="E641" i="1"/>
  <c r="F641" i="1"/>
  <c r="K641" i="1"/>
  <c r="D642" i="1"/>
  <c r="E642" i="1"/>
  <c r="F642" i="1"/>
  <c r="K642" i="1"/>
  <c r="D643" i="1"/>
  <c r="E643" i="1"/>
  <c r="F643" i="1"/>
  <c r="K643" i="1"/>
  <c r="D644" i="1"/>
  <c r="E644" i="1"/>
  <c r="F644" i="1"/>
  <c r="K644" i="1"/>
  <c r="D645" i="1"/>
  <c r="E645" i="1"/>
  <c r="F645" i="1"/>
  <c r="K645" i="1"/>
  <c r="D646" i="1"/>
  <c r="E646" i="1"/>
  <c r="F646" i="1"/>
  <c r="K646" i="1"/>
  <c r="D647" i="1"/>
  <c r="E647" i="1"/>
  <c r="F647" i="1"/>
  <c r="K647" i="1"/>
  <c r="D648" i="1"/>
  <c r="E648" i="1"/>
  <c r="F648" i="1"/>
  <c r="K648" i="1"/>
  <c r="D649" i="1"/>
  <c r="E649" i="1"/>
  <c r="F649" i="1"/>
  <c r="K649" i="1"/>
  <c r="D650" i="1"/>
  <c r="E650" i="1"/>
  <c r="F650" i="1"/>
  <c r="K650" i="1"/>
  <c r="D651" i="1"/>
  <c r="E651" i="1"/>
  <c r="F651" i="1"/>
  <c r="K651" i="1"/>
  <c r="D652" i="1"/>
  <c r="E652" i="1"/>
  <c r="F652" i="1"/>
  <c r="K652" i="1"/>
  <c r="D653" i="1"/>
  <c r="E653" i="1"/>
  <c r="F653" i="1"/>
  <c r="K653" i="1"/>
  <c r="D654" i="1"/>
  <c r="E654" i="1"/>
  <c r="F654" i="1"/>
  <c r="K654" i="1"/>
  <c r="D655" i="1"/>
  <c r="E655" i="1"/>
  <c r="F655" i="1"/>
  <c r="K655" i="1"/>
  <c r="D656" i="1"/>
  <c r="E656" i="1"/>
  <c r="F656" i="1"/>
  <c r="K656" i="1"/>
  <c r="D657" i="1"/>
  <c r="E657" i="1"/>
  <c r="F657" i="1"/>
  <c r="K657" i="1"/>
  <c r="D658" i="1"/>
  <c r="E658" i="1"/>
  <c r="F658" i="1"/>
  <c r="K658" i="1"/>
  <c r="D659" i="1"/>
  <c r="E659" i="1"/>
  <c r="F659" i="1"/>
  <c r="K659" i="1"/>
  <c r="D660" i="1"/>
  <c r="E660" i="1"/>
  <c r="F660" i="1"/>
  <c r="K660" i="1"/>
  <c r="D661" i="1"/>
  <c r="E661" i="1"/>
  <c r="F661" i="1"/>
  <c r="K661" i="1"/>
  <c r="D662" i="1"/>
  <c r="E662" i="1"/>
  <c r="F662" i="1"/>
  <c r="K662" i="1"/>
  <c r="D663" i="1"/>
  <c r="E663" i="1"/>
  <c r="F663" i="1"/>
  <c r="K663" i="1"/>
  <c r="D664" i="1"/>
  <c r="E664" i="1"/>
  <c r="F664" i="1"/>
  <c r="K664" i="1"/>
  <c r="D665" i="1"/>
  <c r="E665" i="1"/>
  <c r="F665" i="1"/>
  <c r="K665" i="1"/>
  <c r="D666" i="1"/>
  <c r="E666" i="1"/>
  <c r="F666" i="1"/>
  <c r="K666" i="1"/>
  <c r="D667" i="1"/>
  <c r="E667" i="1"/>
  <c r="F667" i="1"/>
  <c r="K667" i="1"/>
  <c r="D668" i="1"/>
  <c r="E668" i="1"/>
  <c r="F668" i="1"/>
  <c r="K668" i="1"/>
  <c r="D669" i="1"/>
  <c r="E669" i="1"/>
  <c r="F669" i="1"/>
  <c r="K669" i="1"/>
  <c r="D670" i="1"/>
  <c r="E670" i="1"/>
  <c r="F670" i="1"/>
  <c r="K670" i="1"/>
  <c r="D671" i="1"/>
  <c r="E671" i="1"/>
  <c r="F671" i="1"/>
  <c r="K671" i="1"/>
  <c r="D672" i="1"/>
  <c r="E672" i="1"/>
  <c r="F672" i="1"/>
  <c r="K672" i="1"/>
  <c r="D673" i="1"/>
  <c r="E673" i="1"/>
  <c r="F673" i="1"/>
  <c r="K673" i="1"/>
  <c r="D674" i="1"/>
  <c r="E674" i="1"/>
  <c r="F674" i="1"/>
  <c r="K674" i="1"/>
  <c r="D675" i="1"/>
  <c r="E675" i="1"/>
  <c r="F675" i="1"/>
  <c r="K675" i="1"/>
  <c r="D676" i="1"/>
  <c r="E676" i="1"/>
  <c r="F676" i="1"/>
  <c r="K676" i="1"/>
  <c r="D677" i="1"/>
  <c r="E677" i="1"/>
  <c r="F677" i="1"/>
  <c r="K677" i="1"/>
  <c r="D678" i="1"/>
  <c r="E678" i="1"/>
  <c r="F678" i="1"/>
  <c r="K678" i="1"/>
  <c r="D679" i="1"/>
  <c r="E679" i="1"/>
  <c r="F679" i="1"/>
  <c r="K679" i="1"/>
  <c r="D680" i="1"/>
  <c r="E680" i="1"/>
  <c r="F680" i="1"/>
  <c r="K680" i="1"/>
  <c r="D681" i="1"/>
  <c r="E681" i="1"/>
  <c r="F681" i="1"/>
  <c r="K681" i="1"/>
  <c r="D682" i="1"/>
  <c r="E682" i="1"/>
  <c r="F682" i="1"/>
  <c r="K682" i="1"/>
  <c r="D683" i="1"/>
  <c r="E683" i="1"/>
  <c r="F683" i="1"/>
  <c r="K683" i="1"/>
  <c r="D684" i="1"/>
  <c r="E684" i="1"/>
  <c r="F684" i="1"/>
  <c r="K684" i="1"/>
  <c r="D685" i="1"/>
  <c r="E685" i="1"/>
  <c r="F685" i="1"/>
  <c r="K685" i="1"/>
  <c r="D686" i="1"/>
  <c r="E686" i="1"/>
  <c r="F686" i="1"/>
  <c r="K686" i="1"/>
  <c r="D687" i="1"/>
  <c r="E687" i="1"/>
  <c r="F687" i="1"/>
  <c r="K687" i="1"/>
  <c r="D688" i="1"/>
  <c r="E688" i="1"/>
  <c r="F688" i="1"/>
  <c r="K688" i="1"/>
  <c r="D689" i="1"/>
  <c r="E689" i="1"/>
  <c r="F689" i="1"/>
  <c r="K689" i="1"/>
  <c r="D690" i="1"/>
  <c r="E690" i="1"/>
  <c r="F690" i="1"/>
  <c r="K690" i="1"/>
  <c r="D691" i="1"/>
  <c r="E691" i="1"/>
  <c r="F691" i="1"/>
  <c r="K691" i="1"/>
  <c r="D692" i="1"/>
  <c r="E692" i="1"/>
  <c r="F692" i="1"/>
  <c r="K692" i="1"/>
  <c r="D693" i="1"/>
  <c r="E693" i="1"/>
  <c r="F693" i="1"/>
  <c r="K693" i="1"/>
  <c r="D694" i="1"/>
  <c r="E694" i="1"/>
  <c r="F694" i="1"/>
  <c r="K694" i="1"/>
  <c r="D695" i="1"/>
  <c r="E695" i="1"/>
  <c r="F695" i="1"/>
  <c r="K695" i="1"/>
  <c r="D696" i="1"/>
  <c r="E696" i="1"/>
  <c r="F696" i="1"/>
  <c r="K696" i="1"/>
  <c r="D697" i="1"/>
  <c r="E697" i="1"/>
  <c r="F697" i="1"/>
  <c r="K697" i="1"/>
  <c r="D698" i="1"/>
  <c r="E698" i="1"/>
  <c r="F698" i="1"/>
  <c r="K698" i="1"/>
  <c r="D699" i="1"/>
  <c r="E699" i="1"/>
  <c r="F699" i="1"/>
  <c r="K699" i="1"/>
  <c r="D700" i="1"/>
  <c r="E700" i="1"/>
  <c r="F700" i="1"/>
  <c r="K700" i="1"/>
  <c r="D701" i="1"/>
  <c r="E701" i="1"/>
  <c r="F701" i="1"/>
  <c r="K701" i="1"/>
  <c r="D702" i="1"/>
  <c r="E702" i="1"/>
  <c r="F702" i="1"/>
  <c r="K702" i="1"/>
  <c r="D703" i="1"/>
  <c r="E703" i="1"/>
  <c r="F703" i="1"/>
  <c r="K703" i="1"/>
  <c r="D704" i="1"/>
  <c r="E704" i="1"/>
  <c r="F704" i="1"/>
  <c r="K704" i="1"/>
  <c r="D705" i="1"/>
  <c r="E705" i="1"/>
  <c r="F705" i="1"/>
  <c r="K705" i="1"/>
  <c r="D706" i="1"/>
  <c r="E706" i="1"/>
  <c r="F706" i="1"/>
  <c r="K706" i="1"/>
  <c r="D707" i="1"/>
  <c r="E707" i="1"/>
  <c r="F707" i="1"/>
  <c r="K707" i="1"/>
  <c r="D708" i="1"/>
  <c r="E708" i="1"/>
  <c r="F708" i="1"/>
  <c r="K708" i="1"/>
  <c r="D709" i="1"/>
  <c r="E709" i="1"/>
  <c r="F709" i="1"/>
  <c r="K709" i="1"/>
  <c r="D710" i="1"/>
  <c r="E710" i="1"/>
  <c r="F710" i="1"/>
  <c r="K710" i="1"/>
  <c r="D711" i="1"/>
  <c r="E711" i="1"/>
  <c r="F711" i="1"/>
  <c r="K711" i="1"/>
  <c r="D712" i="1"/>
  <c r="E712" i="1"/>
  <c r="F712" i="1"/>
  <c r="K712" i="1"/>
  <c r="D713" i="1"/>
  <c r="E713" i="1"/>
  <c r="F713" i="1"/>
  <c r="K713" i="1"/>
  <c r="D714" i="1"/>
  <c r="E714" i="1"/>
  <c r="F714" i="1"/>
  <c r="K714" i="1"/>
  <c r="D715" i="1"/>
  <c r="E715" i="1"/>
  <c r="F715" i="1"/>
  <c r="K715" i="1"/>
  <c r="D716" i="1"/>
  <c r="E716" i="1"/>
  <c r="F716" i="1"/>
  <c r="K716" i="1"/>
  <c r="D717" i="1"/>
  <c r="E717" i="1"/>
  <c r="F717" i="1"/>
  <c r="K717" i="1"/>
  <c r="D718" i="1"/>
  <c r="E718" i="1"/>
  <c r="F718" i="1"/>
  <c r="K718" i="1"/>
  <c r="D719" i="1"/>
  <c r="E719" i="1"/>
  <c r="F719" i="1"/>
  <c r="K719" i="1"/>
  <c r="D720" i="1"/>
  <c r="E720" i="1"/>
  <c r="F720" i="1"/>
  <c r="K720" i="1"/>
  <c r="D721" i="1"/>
  <c r="E721" i="1"/>
  <c r="F721" i="1"/>
  <c r="K721" i="1"/>
  <c r="D722" i="1"/>
  <c r="E722" i="1"/>
  <c r="F722" i="1"/>
  <c r="K722" i="1"/>
  <c r="D723" i="1"/>
  <c r="E723" i="1"/>
  <c r="F723" i="1"/>
  <c r="K723" i="1"/>
  <c r="D724" i="1"/>
  <c r="E724" i="1"/>
  <c r="F724" i="1"/>
  <c r="K724" i="1"/>
  <c r="D725" i="1"/>
  <c r="E725" i="1"/>
  <c r="F725" i="1"/>
  <c r="K725" i="1"/>
  <c r="D726" i="1"/>
  <c r="E726" i="1"/>
  <c r="F726" i="1"/>
  <c r="K726" i="1"/>
  <c r="D727" i="1"/>
  <c r="E727" i="1"/>
  <c r="F727" i="1"/>
  <c r="K727" i="1"/>
  <c r="D728" i="1"/>
  <c r="E728" i="1"/>
  <c r="F728" i="1"/>
  <c r="K728" i="1"/>
  <c r="D729" i="1"/>
  <c r="E729" i="1"/>
  <c r="F729" i="1"/>
  <c r="K729" i="1"/>
  <c r="D730" i="1"/>
  <c r="E730" i="1"/>
  <c r="F730" i="1"/>
  <c r="K730" i="1"/>
  <c r="D731" i="1"/>
  <c r="E731" i="1"/>
  <c r="F731" i="1"/>
  <c r="K731" i="1"/>
  <c r="D732" i="1"/>
  <c r="E732" i="1"/>
  <c r="F732" i="1"/>
  <c r="K732" i="1"/>
  <c r="D733" i="1"/>
  <c r="E733" i="1"/>
  <c r="F733" i="1"/>
  <c r="K733" i="1"/>
  <c r="D734" i="1"/>
  <c r="E734" i="1"/>
  <c r="F734" i="1"/>
  <c r="K734" i="1"/>
  <c r="D735" i="1"/>
  <c r="E735" i="1"/>
  <c r="F735" i="1"/>
  <c r="K735" i="1"/>
  <c r="D736" i="1"/>
  <c r="E736" i="1"/>
  <c r="F736" i="1"/>
  <c r="K736" i="1"/>
  <c r="D737" i="1"/>
  <c r="E737" i="1"/>
  <c r="F737" i="1"/>
  <c r="K737" i="1"/>
  <c r="D738" i="1"/>
  <c r="E738" i="1"/>
  <c r="F738" i="1"/>
  <c r="K738" i="1"/>
  <c r="D739" i="1"/>
  <c r="E739" i="1"/>
  <c r="F739" i="1"/>
  <c r="K739" i="1"/>
  <c r="D740" i="1"/>
  <c r="E740" i="1"/>
  <c r="F740" i="1"/>
  <c r="K740" i="1"/>
  <c r="D741" i="1"/>
  <c r="E741" i="1"/>
  <c r="F741" i="1"/>
  <c r="K741" i="1"/>
  <c r="D742" i="1"/>
  <c r="E742" i="1"/>
  <c r="F742" i="1"/>
  <c r="K742" i="1"/>
  <c r="D743" i="1"/>
  <c r="E743" i="1"/>
  <c r="F743" i="1"/>
  <c r="K743" i="1"/>
  <c r="D744" i="1"/>
  <c r="E744" i="1"/>
  <c r="F744" i="1"/>
  <c r="K744" i="1"/>
  <c r="D745" i="1"/>
  <c r="E745" i="1"/>
  <c r="F745" i="1"/>
  <c r="K745" i="1"/>
  <c r="D746" i="1"/>
  <c r="E746" i="1"/>
  <c r="F746" i="1"/>
  <c r="K746" i="1"/>
  <c r="D747" i="1"/>
  <c r="E747" i="1"/>
  <c r="F747" i="1"/>
  <c r="K747" i="1"/>
  <c r="D748" i="1"/>
  <c r="E748" i="1"/>
  <c r="F748" i="1"/>
  <c r="K748" i="1"/>
  <c r="D749" i="1"/>
  <c r="E749" i="1"/>
  <c r="F749" i="1"/>
  <c r="K749" i="1"/>
  <c r="D750" i="1"/>
  <c r="E750" i="1"/>
  <c r="F750" i="1"/>
  <c r="K750" i="1"/>
  <c r="D751" i="1"/>
  <c r="E751" i="1"/>
  <c r="F751" i="1"/>
  <c r="K751" i="1"/>
  <c r="D752" i="1"/>
  <c r="E752" i="1"/>
  <c r="F752" i="1"/>
  <c r="K752" i="1"/>
  <c r="D753" i="1"/>
  <c r="E753" i="1"/>
  <c r="F753" i="1"/>
  <c r="K753" i="1"/>
  <c r="D754" i="1"/>
  <c r="E754" i="1"/>
  <c r="F754" i="1"/>
  <c r="K754" i="1"/>
  <c r="D755" i="1"/>
  <c r="E755" i="1"/>
  <c r="F755" i="1"/>
  <c r="K755" i="1"/>
  <c r="D756" i="1"/>
  <c r="E756" i="1"/>
  <c r="F756" i="1"/>
  <c r="K756" i="1"/>
  <c r="D757" i="1"/>
  <c r="E757" i="1"/>
  <c r="F757" i="1"/>
  <c r="K757" i="1"/>
  <c r="D758" i="1"/>
  <c r="E758" i="1"/>
  <c r="F758" i="1"/>
  <c r="K758" i="1"/>
  <c r="D759" i="1"/>
  <c r="E759" i="1"/>
  <c r="F759" i="1"/>
  <c r="K759" i="1"/>
  <c r="D760" i="1"/>
  <c r="E760" i="1"/>
  <c r="F760" i="1"/>
  <c r="K760" i="1"/>
  <c r="D761" i="1"/>
  <c r="E761" i="1"/>
  <c r="F761" i="1"/>
  <c r="K761" i="1"/>
  <c r="D762" i="1"/>
  <c r="E762" i="1"/>
  <c r="F762" i="1"/>
  <c r="K762" i="1"/>
  <c r="D763" i="1"/>
  <c r="E763" i="1"/>
  <c r="F763" i="1"/>
  <c r="K763" i="1"/>
  <c r="D764" i="1"/>
  <c r="E764" i="1"/>
  <c r="F764" i="1"/>
  <c r="K764" i="1"/>
  <c r="D765" i="1"/>
  <c r="E765" i="1"/>
  <c r="F765" i="1"/>
  <c r="K765" i="1"/>
  <c r="D766" i="1"/>
  <c r="E766" i="1"/>
  <c r="F766" i="1"/>
  <c r="K766" i="1"/>
  <c r="D767" i="1"/>
  <c r="E767" i="1"/>
  <c r="F767" i="1"/>
  <c r="K767" i="1"/>
  <c r="D768" i="1"/>
  <c r="E768" i="1"/>
  <c r="F768" i="1"/>
  <c r="K768" i="1"/>
  <c r="D769" i="1"/>
  <c r="E769" i="1"/>
  <c r="F769" i="1"/>
  <c r="K769" i="1"/>
  <c r="D770" i="1"/>
  <c r="E770" i="1"/>
  <c r="F770" i="1"/>
  <c r="K770" i="1"/>
  <c r="D771" i="1"/>
  <c r="E771" i="1"/>
  <c r="F771" i="1"/>
  <c r="K771" i="1"/>
  <c r="D772" i="1"/>
  <c r="E772" i="1"/>
  <c r="F772" i="1"/>
  <c r="K772" i="1"/>
  <c r="D773" i="1"/>
  <c r="E773" i="1"/>
  <c r="F773" i="1"/>
  <c r="K773" i="1"/>
  <c r="D774" i="1"/>
  <c r="E774" i="1"/>
  <c r="F774" i="1"/>
  <c r="K774" i="1"/>
  <c r="D775" i="1"/>
  <c r="E775" i="1"/>
  <c r="F775" i="1"/>
  <c r="K775" i="1"/>
  <c r="D776" i="1"/>
  <c r="E776" i="1"/>
  <c r="F776" i="1"/>
  <c r="K776" i="1"/>
  <c r="D777" i="1"/>
  <c r="E777" i="1"/>
  <c r="F777" i="1"/>
  <c r="K777" i="1"/>
  <c r="D778" i="1"/>
  <c r="E778" i="1"/>
  <c r="F778" i="1"/>
  <c r="K778" i="1"/>
  <c r="D779" i="1"/>
  <c r="E779" i="1"/>
  <c r="F779" i="1"/>
  <c r="K779" i="1"/>
  <c r="D780" i="1"/>
  <c r="E780" i="1"/>
  <c r="F780" i="1"/>
  <c r="K780" i="1"/>
  <c r="D781" i="1"/>
  <c r="E781" i="1"/>
  <c r="F781" i="1"/>
  <c r="K781" i="1"/>
  <c r="D782" i="1"/>
  <c r="E782" i="1"/>
  <c r="F782" i="1"/>
  <c r="K782" i="1"/>
  <c r="D783" i="1"/>
  <c r="E783" i="1"/>
  <c r="F783" i="1"/>
  <c r="K783" i="1"/>
  <c r="D784" i="1"/>
  <c r="E784" i="1"/>
  <c r="F784" i="1"/>
  <c r="K784" i="1"/>
  <c r="D785" i="1"/>
  <c r="E785" i="1"/>
  <c r="F785" i="1"/>
  <c r="K785" i="1"/>
  <c r="D786" i="1"/>
  <c r="E786" i="1"/>
  <c r="F786" i="1"/>
  <c r="K786" i="1"/>
  <c r="D787" i="1"/>
  <c r="E787" i="1"/>
  <c r="F787" i="1"/>
  <c r="K787" i="1"/>
  <c r="D788" i="1"/>
  <c r="E788" i="1"/>
  <c r="F788" i="1"/>
  <c r="K788" i="1"/>
  <c r="D789" i="1"/>
  <c r="E789" i="1"/>
  <c r="F789" i="1"/>
  <c r="K789" i="1"/>
  <c r="D790" i="1"/>
  <c r="E790" i="1"/>
  <c r="F790" i="1"/>
  <c r="K790" i="1"/>
  <c r="D791" i="1"/>
  <c r="E791" i="1"/>
  <c r="F791" i="1"/>
  <c r="K791" i="1"/>
  <c r="D792" i="1"/>
  <c r="E792" i="1"/>
  <c r="F792" i="1"/>
  <c r="K792" i="1"/>
  <c r="D793" i="1"/>
  <c r="E793" i="1"/>
  <c r="F793" i="1"/>
  <c r="K793" i="1"/>
  <c r="D794" i="1"/>
  <c r="E794" i="1"/>
  <c r="F794" i="1"/>
  <c r="K794" i="1"/>
  <c r="D795" i="1"/>
  <c r="E795" i="1"/>
  <c r="F795" i="1"/>
  <c r="K795" i="1"/>
  <c r="D796" i="1"/>
  <c r="E796" i="1"/>
  <c r="F796" i="1"/>
  <c r="K796" i="1"/>
  <c r="D797" i="1"/>
  <c r="E797" i="1"/>
  <c r="F797" i="1"/>
  <c r="K797" i="1"/>
  <c r="D798" i="1"/>
  <c r="E798" i="1"/>
  <c r="F798" i="1"/>
  <c r="K798" i="1"/>
  <c r="D799" i="1"/>
  <c r="E799" i="1"/>
  <c r="F799" i="1"/>
  <c r="K799" i="1"/>
  <c r="D800" i="1"/>
  <c r="E800" i="1"/>
  <c r="F800" i="1"/>
  <c r="K800" i="1"/>
  <c r="D801" i="1"/>
  <c r="E801" i="1"/>
  <c r="F801" i="1"/>
  <c r="K801" i="1"/>
  <c r="D802" i="1"/>
  <c r="E802" i="1"/>
  <c r="F802" i="1"/>
  <c r="K802" i="1"/>
  <c r="D803" i="1"/>
  <c r="E803" i="1"/>
  <c r="F803" i="1"/>
  <c r="K803" i="1"/>
  <c r="D804" i="1"/>
  <c r="E804" i="1"/>
  <c r="F804" i="1"/>
  <c r="K804" i="1"/>
  <c r="D805" i="1"/>
  <c r="E805" i="1"/>
  <c r="F805" i="1"/>
  <c r="K805" i="1"/>
  <c r="D806" i="1"/>
  <c r="E806" i="1"/>
  <c r="F806" i="1"/>
  <c r="K806" i="1"/>
  <c r="D807" i="1"/>
  <c r="E807" i="1"/>
  <c r="F807" i="1"/>
  <c r="K807" i="1"/>
  <c r="D808" i="1"/>
  <c r="E808" i="1"/>
  <c r="F808" i="1"/>
  <c r="K808" i="1"/>
  <c r="D809" i="1"/>
  <c r="E809" i="1"/>
  <c r="F809" i="1"/>
  <c r="K809" i="1"/>
  <c r="D810" i="1"/>
  <c r="E810" i="1"/>
  <c r="F810" i="1"/>
  <c r="K810" i="1"/>
  <c r="D811" i="1"/>
  <c r="E811" i="1"/>
  <c r="F811" i="1"/>
  <c r="K811" i="1"/>
  <c r="D812" i="1"/>
  <c r="E812" i="1"/>
  <c r="F812" i="1"/>
  <c r="K812" i="1"/>
  <c r="D813" i="1"/>
  <c r="E813" i="1"/>
  <c r="F813" i="1"/>
  <c r="K813" i="1"/>
  <c r="D814" i="1"/>
  <c r="E814" i="1"/>
  <c r="F814" i="1"/>
  <c r="K814" i="1"/>
  <c r="D815" i="1"/>
  <c r="E815" i="1"/>
  <c r="F815" i="1"/>
  <c r="K815" i="1"/>
  <c r="D816" i="1"/>
  <c r="E816" i="1"/>
  <c r="F816" i="1"/>
  <c r="K816" i="1"/>
  <c r="D817" i="1"/>
  <c r="E817" i="1"/>
  <c r="F817" i="1"/>
  <c r="K817" i="1"/>
  <c r="D818" i="1"/>
  <c r="E818" i="1"/>
  <c r="F818" i="1"/>
  <c r="K818" i="1"/>
  <c r="D819" i="1"/>
  <c r="E819" i="1"/>
  <c r="F819" i="1"/>
  <c r="K819" i="1"/>
  <c r="D820" i="1"/>
  <c r="E820" i="1"/>
  <c r="F820" i="1"/>
  <c r="K820" i="1"/>
  <c r="D821" i="1"/>
  <c r="E821" i="1"/>
  <c r="F821" i="1"/>
  <c r="K821" i="1"/>
  <c r="D822" i="1"/>
  <c r="E822" i="1"/>
  <c r="F822" i="1"/>
  <c r="K822" i="1"/>
  <c r="D823" i="1"/>
  <c r="E823" i="1"/>
  <c r="F823" i="1"/>
  <c r="K823" i="1"/>
  <c r="D824" i="1"/>
  <c r="E824" i="1"/>
  <c r="F824" i="1"/>
  <c r="K824" i="1"/>
  <c r="D825" i="1"/>
  <c r="E825" i="1"/>
  <c r="F825" i="1"/>
  <c r="K825" i="1"/>
  <c r="D826" i="1"/>
  <c r="E826" i="1"/>
  <c r="F826" i="1"/>
  <c r="K826" i="1"/>
  <c r="D827" i="1"/>
  <c r="E827" i="1"/>
  <c r="F827" i="1"/>
  <c r="K827" i="1"/>
  <c r="D828" i="1"/>
  <c r="E828" i="1"/>
  <c r="F828" i="1"/>
  <c r="K828" i="1"/>
  <c r="D829" i="1"/>
  <c r="E829" i="1"/>
  <c r="F829" i="1"/>
  <c r="K829" i="1"/>
  <c r="D830" i="1"/>
  <c r="E830" i="1"/>
  <c r="F830" i="1"/>
  <c r="K830" i="1"/>
  <c r="D831" i="1"/>
  <c r="E831" i="1"/>
  <c r="F831" i="1"/>
  <c r="K831" i="1"/>
  <c r="D832" i="1"/>
  <c r="E832" i="1"/>
  <c r="F832" i="1"/>
  <c r="K832" i="1"/>
  <c r="D833" i="1"/>
  <c r="E833" i="1"/>
  <c r="F833" i="1"/>
  <c r="K833" i="1"/>
  <c r="D834" i="1"/>
  <c r="E834" i="1"/>
  <c r="F834" i="1"/>
  <c r="K834" i="1"/>
  <c r="D835" i="1"/>
  <c r="E835" i="1"/>
  <c r="F835" i="1"/>
  <c r="K835" i="1"/>
  <c r="D836" i="1"/>
  <c r="E836" i="1"/>
  <c r="F836" i="1"/>
  <c r="K836" i="1"/>
  <c r="D837" i="1"/>
  <c r="E837" i="1"/>
  <c r="F837" i="1"/>
  <c r="D838" i="1"/>
  <c r="E838" i="1"/>
  <c r="F838" i="1"/>
  <c r="K838" i="1"/>
  <c r="D839" i="1"/>
  <c r="E839" i="1"/>
  <c r="F839" i="1"/>
  <c r="K839" i="1"/>
  <c r="D840" i="1"/>
  <c r="E840" i="1"/>
  <c r="F840" i="1"/>
  <c r="K840" i="1"/>
  <c r="D841" i="1"/>
  <c r="E841" i="1"/>
  <c r="F841" i="1"/>
  <c r="K841" i="1"/>
  <c r="D842" i="1"/>
  <c r="E842" i="1"/>
  <c r="F842" i="1"/>
  <c r="K842" i="1"/>
  <c r="D843" i="1"/>
  <c r="E843" i="1"/>
  <c r="F843" i="1"/>
  <c r="K843" i="1"/>
  <c r="D844" i="1"/>
  <c r="E844" i="1"/>
  <c r="F844" i="1"/>
  <c r="K844" i="1"/>
  <c r="D845" i="1"/>
  <c r="E845" i="1"/>
  <c r="F845" i="1"/>
  <c r="K845" i="1"/>
  <c r="D846" i="1"/>
  <c r="E846" i="1"/>
  <c r="F846" i="1"/>
  <c r="K846" i="1"/>
  <c r="D847" i="1"/>
  <c r="E847" i="1"/>
  <c r="F847" i="1"/>
  <c r="K847" i="1"/>
  <c r="D848" i="1"/>
  <c r="E848" i="1"/>
  <c r="F848" i="1"/>
  <c r="K848" i="1"/>
  <c r="D849" i="1"/>
  <c r="E849" i="1"/>
  <c r="F849" i="1"/>
  <c r="K849" i="1"/>
  <c r="D850" i="1"/>
  <c r="E850" i="1"/>
  <c r="F850" i="1"/>
  <c r="K850" i="1"/>
  <c r="D851" i="1"/>
  <c r="E851" i="1"/>
  <c r="F851" i="1"/>
  <c r="K851" i="1"/>
  <c r="D852" i="1"/>
  <c r="E852" i="1"/>
  <c r="F852" i="1"/>
  <c r="K852" i="1"/>
  <c r="D853" i="1"/>
  <c r="E853" i="1"/>
  <c r="F853" i="1"/>
  <c r="K853" i="1"/>
  <c r="D854" i="1"/>
  <c r="E854" i="1"/>
  <c r="F854" i="1"/>
  <c r="K854" i="1"/>
  <c r="D855" i="1"/>
  <c r="E855" i="1"/>
  <c r="F855" i="1"/>
  <c r="K855" i="1"/>
  <c r="D856" i="1"/>
  <c r="E856" i="1"/>
  <c r="F856" i="1"/>
  <c r="K856" i="1"/>
  <c r="D857" i="1"/>
  <c r="E857" i="1"/>
  <c r="F857" i="1"/>
  <c r="K857" i="1"/>
  <c r="D858" i="1"/>
  <c r="E858" i="1"/>
  <c r="F858" i="1"/>
  <c r="K858" i="1"/>
  <c r="D859" i="1"/>
  <c r="E859" i="1"/>
  <c r="F859" i="1"/>
  <c r="K859" i="1"/>
  <c r="D860" i="1"/>
  <c r="E860" i="1"/>
  <c r="F860" i="1"/>
  <c r="K860" i="1"/>
  <c r="D861" i="1"/>
  <c r="E861" i="1"/>
  <c r="F861" i="1"/>
  <c r="K861" i="1"/>
  <c r="D862" i="1"/>
  <c r="E862" i="1"/>
  <c r="F862" i="1"/>
  <c r="K862" i="1"/>
  <c r="D863" i="1"/>
  <c r="E863" i="1"/>
  <c r="F863" i="1"/>
  <c r="K863" i="1"/>
  <c r="D864" i="1"/>
  <c r="E864" i="1"/>
  <c r="F864" i="1"/>
  <c r="K864" i="1"/>
  <c r="D865" i="1"/>
  <c r="E865" i="1"/>
  <c r="F865" i="1"/>
  <c r="K865" i="1"/>
  <c r="D866" i="1"/>
  <c r="E866" i="1"/>
  <c r="F866" i="1"/>
  <c r="K866" i="1"/>
  <c r="D867" i="1"/>
  <c r="E867" i="1"/>
  <c r="F867" i="1"/>
  <c r="K867" i="1"/>
  <c r="D868" i="1"/>
  <c r="E868" i="1"/>
  <c r="F868" i="1"/>
  <c r="K868" i="1"/>
  <c r="D869" i="1"/>
  <c r="E869" i="1"/>
  <c r="F869" i="1"/>
  <c r="K869" i="1"/>
  <c r="D870" i="1"/>
  <c r="E870" i="1"/>
  <c r="F870" i="1"/>
  <c r="K870" i="1"/>
  <c r="D871" i="1"/>
  <c r="E871" i="1"/>
  <c r="F871" i="1"/>
  <c r="K871" i="1"/>
  <c r="D872" i="1"/>
  <c r="E872" i="1"/>
  <c r="F872" i="1"/>
  <c r="K872" i="1"/>
  <c r="D873" i="1"/>
  <c r="E873" i="1"/>
  <c r="F873" i="1"/>
  <c r="K873" i="1"/>
  <c r="D874" i="1"/>
  <c r="E874" i="1"/>
  <c r="F874" i="1"/>
  <c r="K874" i="1"/>
  <c r="D875" i="1"/>
  <c r="E875" i="1"/>
  <c r="F875" i="1"/>
  <c r="K875" i="1"/>
  <c r="D876" i="1"/>
  <c r="E876" i="1"/>
  <c r="F876" i="1"/>
  <c r="K876" i="1"/>
  <c r="D877" i="1"/>
  <c r="E877" i="1"/>
  <c r="F877" i="1"/>
  <c r="K877" i="1"/>
  <c r="D878" i="1"/>
  <c r="E878" i="1"/>
  <c r="F878" i="1"/>
  <c r="K878" i="1"/>
  <c r="D879" i="1"/>
  <c r="E879" i="1"/>
  <c r="F879" i="1"/>
  <c r="K879" i="1"/>
  <c r="D880" i="1"/>
  <c r="E880" i="1"/>
  <c r="F880" i="1"/>
  <c r="K880" i="1"/>
  <c r="D881" i="1"/>
  <c r="E881" i="1"/>
  <c r="F881" i="1"/>
  <c r="K881" i="1"/>
  <c r="D882" i="1"/>
  <c r="E882" i="1"/>
  <c r="F882" i="1"/>
  <c r="K882" i="1"/>
  <c r="D883" i="1"/>
  <c r="E883" i="1"/>
  <c r="F883" i="1"/>
  <c r="K883" i="1"/>
  <c r="D884" i="1"/>
  <c r="E884" i="1"/>
  <c r="F884" i="1"/>
  <c r="K884" i="1"/>
  <c r="D885" i="1"/>
  <c r="E885" i="1"/>
  <c r="F885" i="1"/>
  <c r="K885" i="1"/>
  <c r="D886" i="1"/>
  <c r="E886" i="1"/>
  <c r="F886" i="1"/>
  <c r="K886" i="1"/>
  <c r="D887" i="1"/>
  <c r="E887" i="1"/>
  <c r="F887" i="1"/>
  <c r="K887" i="1"/>
  <c r="D888" i="1"/>
  <c r="E888" i="1"/>
  <c r="F888" i="1"/>
  <c r="K888" i="1"/>
  <c r="D889" i="1"/>
  <c r="E889" i="1"/>
  <c r="F889" i="1"/>
  <c r="K889" i="1"/>
  <c r="D890" i="1"/>
  <c r="E890" i="1"/>
  <c r="F890" i="1"/>
  <c r="K890" i="1"/>
  <c r="D891" i="1"/>
  <c r="E891" i="1"/>
  <c r="F891" i="1"/>
  <c r="K891" i="1"/>
  <c r="D892" i="1"/>
  <c r="E892" i="1"/>
  <c r="F892" i="1"/>
  <c r="K892" i="1"/>
  <c r="D893" i="1"/>
  <c r="E893" i="1"/>
  <c r="F893" i="1"/>
  <c r="K893" i="1"/>
  <c r="D894" i="1"/>
  <c r="E894" i="1"/>
  <c r="F894" i="1"/>
  <c r="K894" i="1"/>
  <c r="D895" i="1"/>
  <c r="E895" i="1"/>
  <c r="F895" i="1"/>
  <c r="K895" i="1"/>
  <c r="D896" i="1"/>
  <c r="E896" i="1"/>
  <c r="F896" i="1"/>
  <c r="K896" i="1"/>
  <c r="D897" i="1"/>
  <c r="E897" i="1"/>
  <c r="F897" i="1"/>
  <c r="K897" i="1"/>
  <c r="D898" i="1"/>
  <c r="E898" i="1"/>
  <c r="F898" i="1"/>
  <c r="K898" i="1"/>
  <c r="D899" i="1"/>
  <c r="E899" i="1"/>
  <c r="F899" i="1"/>
  <c r="K899" i="1"/>
  <c r="D900" i="1"/>
  <c r="E900" i="1"/>
  <c r="F900" i="1"/>
  <c r="K900" i="1"/>
  <c r="D901" i="1"/>
  <c r="E901" i="1"/>
  <c r="F901" i="1"/>
  <c r="K901" i="1"/>
  <c r="D902" i="1"/>
  <c r="E902" i="1"/>
  <c r="F902" i="1"/>
  <c r="K902" i="1"/>
  <c r="D903" i="1"/>
  <c r="E903" i="1"/>
  <c r="F903" i="1"/>
  <c r="K903" i="1"/>
  <c r="D904" i="1"/>
  <c r="E904" i="1"/>
  <c r="F904" i="1"/>
  <c r="K904" i="1"/>
  <c r="D905" i="1"/>
  <c r="E905" i="1"/>
  <c r="F905" i="1"/>
  <c r="K905" i="1"/>
  <c r="D906" i="1"/>
  <c r="E906" i="1"/>
  <c r="F906" i="1"/>
  <c r="K906" i="1"/>
  <c r="D907" i="1"/>
  <c r="E907" i="1"/>
  <c r="F907" i="1"/>
  <c r="K907" i="1"/>
  <c r="D908" i="1"/>
  <c r="E908" i="1"/>
  <c r="F908" i="1"/>
  <c r="K908" i="1"/>
  <c r="D909" i="1"/>
  <c r="E909" i="1"/>
  <c r="F909" i="1"/>
  <c r="K909" i="1"/>
  <c r="D910" i="1"/>
  <c r="E910" i="1"/>
  <c r="F910" i="1"/>
  <c r="K910" i="1"/>
  <c r="D911" i="1"/>
  <c r="E911" i="1"/>
  <c r="F911" i="1"/>
  <c r="K911" i="1"/>
  <c r="D912" i="1"/>
  <c r="E912" i="1"/>
  <c r="F912" i="1"/>
  <c r="K912" i="1"/>
  <c r="D913" i="1"/>
  <c r="E913" i="1"/>
  <c r="F913" i="1"/>
  <c r="K913" i="1"/>
  <c r="D914" i="1"/>
  <c r="E914" i="1"/>
  <c r="F914" i="1"/>
  <c r="K914" i="1"/>
  <c r="D915" i="1"/>
  <c r="E915" i="1"/>
  <c r="F915" i="1"/>
  <c r="K915" i="1"/>
  <c r="D916" i="1"/>
  <c r="E916" i="1"/>
  <c r="F916" i="1"/>
  <c r="K916" i="1"/>
  <c r="D917" i="1"/>
  <c r="E917" i="1"/>
  <c r="F917" i="1"/>
  <c r="K917" i="1"/>
  <c r="D918" i="1"/>
  <c r="E918" i="1"/>
  <c r="F918" i="1"/>
  <c r="D919" i="1"/>
  <c r="E919" i="1"/>
  <c r="F919" i="1"/>
  <c r="K919" i="1"/>
  <c r="D920" i="1"/>
  <c r="E920" i="1"/>
  <c r="F920" i="1"/>
  <c r="K920" i="1"/>
  <c r="D921" i="1"/>
  <c r="E921" i="1"/>
  <c r="F921" i="1"/>
  <c r="K921" i="1"/>
  <c r="D922" i="1"/>
  <c r="E922" i="1"/>
  <c r="F922" i="1"/>
  <c r="K922" i="1"/>
  <c r="D923" i="1"/>
  <c r="E923" i="1"/>
  <c r="F923" i="1"/>
  <c r="K923" i="1"/>
  <c r="D924" i="1"/>
  <c r="E924" i="1"/>
  <c r="F924" i="1"/>
  <c r="K924" i="1"/>
  <c r="D925" i="1"/>
  <c r="E925" i="1"/>
  <c r="F925" i="1"/>
  <c r="K925" i="1"/>
  <c r="D926" i="1"/>
  <c r="E926" i="1"/>
  <c r="F926" i="1"/>
  <c r="K926" i="1"/>
  <c r="D927" i="1"/>
  <c r="E927" i="1"/>
  <c r="F927" i="1"/>
  <c r="K927" i="1"/>
  <c r="D928" i="1"/>
  <c r="E928" i="1"/>
  <c r="F928" i="1"/>
  <c r="K928" i="1"/>
  <c r="D929" i="1"/>
  <c r="E929" i="1"/>
  <c r="F929" i="1"/>
  <c r="K929" i="1"/>
  <c r="D930" i="1"/>
  <c r="E930" i="1"/>
  <c r="F930" i="1"/>
  <c r="K930" i="1"/>
  <c r="D931" i="1"/>
  <c r="E931" i="1"/>
  <c r="F931" i="1"/>
  <c r="K931" i="1"/>
  <c r="D932" i="1"/>
  <c r="E932" i="1"/>
  <c r="F932" i="1"/>
  <c r="K932" i="1"/>
  <c r="D933" i="1"/>
  <c r="E933" i="1"/>
  <c r="F933" i="1"/>
  <c r="K933" i="1"/>
  <c r="D934" i="1"/>
  <c r="E934" i="1"/>
  <c r="F934" i="1"/>
  <c r="K934" i="1"/>
  <c r="D935" i="1"/>
  <c r="E935" i="1"/>
  <c r="F935" i="1"/>
  <c r="K935" i="1"/>
  <c r="D936" i="1"/>
  <c r="E936" i="1"/>
  <c r="F936" i="1"/>
  <c r="K936" i="1"/>
  <c r="D937" i="1"/>
  <c r="E937" i="1"/>
  <c r="F937" i="1"/>
  <c r="K937" i="1"/>
  <c r="D938" i="1"/>
  <c r="E938" i="1"/>
  <c r="F938" i="1"/>
  <c r="K938" i="1"/>
  <c r="D939" i="1"/>
  <c r="E939" i="1"/>
  <c r="F939" i="1"/>
  <c r="K939" i="1"/>
  <c r="D940" i="1"/>
  <c r="E940" i="1"/>
  <c r="F940" i="1"/>
  <c r="K940" i="1"/>
  <c r="D941" i="1"/>
  <c r="E941" i="1"/>
  <c r="F941" i="1"/>
  <c r="K941" i="1"/>
  <c r="D942" i="1"/>
  <c r="E942" i="1"/>
  <c r="F942" i="1"/>
  <c r="K942" i="1"/>
  <c r="D943" i="1"/>
  <c r="E943" i="1"/>
  <c r="F943" i="1"/>
  <c r="K943" i="1"/>
  <c r="D944" i="1"/>
  <c r="E944" i="1"/>
  <c r="F944" i="1"/>
  <c r="K944" i="1"/>
  <c r="D945" i="1"/>
  <c r="E945" i="1"/>
  <c r="F945" i="1"/>
  <c r="K945" i="1"/>
  <c r="D946" i="1"/>
  <c r="E946" i="1"/>
  <c r="F946" i="1"/>
  <c r="K946" i="1"/>
  <c r="D947" i="1"/>
  <c r="E947" i="1"/>
  <c r="F947" i="1"/>
  <c r="K947" i="1"/>
  <c r="D948" i="1"/>
  <c r="E948" i="1"/>
  <c r="F948" i="1"/>
  <c r="K948" i="1"/>
  <c r="D949" i="1"/>
  <c r="E949" i="1"/>
  <c r="F949" i="1"/>
  <c r="K949" i="1"/>
  <c r="D950" i="1"/>
  <c r="E950" i="1"/>
  <c r="F950" i="1"/>
  <c r="K950" i="1"/>
  <c r="D951" i="1"/>
  <c r="E951" i="1"/>
  <c r="F951" i="1"/>
  <c r="K951" i="1"/>
  <c r="D952" i="1"/>
  <c r="E952" i="1"/>
  <c r="F952" i="1"/>
  <c r="K952" i="1"/>
  <c r="D953" i="1"/>
  <c r="E953" i="1"/>
  <c r="F953" i="1"/>
  <c r="K953" i="1"/>
  <c r="D954" i="1"/>
  <c r="E954" i="1"/>
  <c r="F954" i="1"/>
  <c r="K954" i="1"/>
  <c r="D955" i="1"/>
  <c r="E955" i="1"/>
  <c r="F955" i="1"/>
  <c r="K955" i="1"/>
  <c r="D956" i="1"/>
  <c r="E956" i="1"/>
  <c r="F956" i="1"/>
  <c r="K956" i="1"/>
  <c r="D957" i="1"/>
  <c r="E957" i="1"/>
  <c r="F957" i="1"/>
  <c r="K957" i="1"/>
  <c r="D958" i="1"/>
  <c r="E958" i="1"/>
  <c r="F958" i="1"/>
  <c r="K958" i="1"/>
  <c r="D959" i="1"/>
  <c r="E959" i="1"/>
  <c r="F959" i="1"/>
  <c r="K959" i="1"/>
  <c r="D960" i="1"/>
  <c r="E960" i="1"/>
  <c r="F960" i="1"/>
  <c r="K960" i="1"/>
  <c r="D961" i="1"/>
  <c r="E961" i="1"/>
  <c r="F961" i="1"/>
  <c r="K961" i="1"/>
  <c r="D962" i="1"/>
  <c r="E962" i="1"/>
  <c r="F962" i="1"/>
  <c r="K962" i="1"/>
  <c r="D963" i="1"/>
  <c r="E963" i="1"/>
  <c r="F963" i="1"/>
  <c r="K963" i="1"/>
  <c r="D964" i="1"/>
  <c r="E964" i="1"/>
  <c r="F964" i="1"/>
  <c r="K964" i="1"/>
  <c r="D965" i="1"/>
  <c r="E965" i="1"/>
  <c r="F965" i="1"/>
  <c r="K965" i="1"/>
  <c r="D966" i="1"/>
  <c r="E966" i="1"/>
  <c r="F966" i="1"/>
  <c r="K966" i="1"/>
  <c r="D967" i="1"/>
  <c r="E967" i="1"/>
  <c r="F967" i="1"/>
  <c r="K967" i="1"/>
  <c r="D968" i="1"/>
  <c r="E968" i="1"/>
  <c r="F968" i="1"/>
  <c r="K968" i="1"/>
  <c r="D969" i="1"/>
  <c r="E969" i="1"/>
  <c r="F969" i="1"/>
  <c r="K969" i="1"/>
  <c r="D970" i="1"/>
  <c r="E970" i="1"/>
  <c r="F970" i="1"/>
  <c r="K970" i="1"/>
  <c r="D971" i="1"/>
  <c r="E971" i="1"/>
  <c r="F971" i="1"/>
  <c r="K971" i="1"/>
  <c r="D972" i="1"/>
  <c r="E972" i="1"/>
  <c r="F972" i="1"/>
  <c r="K972" i="1"/>
  <c r="D973" i="1"/>
  <c r="E973" i="1"/>
  <c r="F973" i="1"/>
  <c r="K973" i="1"/>
  <c r="D974" i="1"/>
  <c r="E974" i="1"/>
  <c r="F974" i="1"/>
  <c r="K974" i="1"/>
  <c r="D975" i="1"/>
  <c r="E975" i="1"/>
  <c r="F975" i="1"/>
  <c r="K975" i="1"/>
  <c r="D976" i="1"/>
  <c r="E976" i="1"/>
  <c r="F976" i="1"/>
  <c r="K976" i="1"/>
  <c r="D977" i="1"/>
  <c r="E977" i="1"/>
  <c r="F977" i="1"/>
  <c r="K977" i="1"/>
  <c r="D978" i="1"/>
  <c r="E978" i="1"/>
  <c r="F978" i="1"/>
  <c r="K978" i="1"/>
  <c r="D979" i="1"/>
  <c r="E979" i="1"/>
  <c r="F979" i="1"/>
  <c r="K979" i="1"/>
  <c r="D980" i="1"/>
  <c r="E980" i="1"/>
  <c r="F980" i="1"/>
  <c r="K980" i="1"/>
  <c r="D981" i="1"/>
  <c r="E981" i="1"/>
  <c r="F981" i="1"/>
  <c r="K981" i="1"/>
  <c r="D982" i="1"/>
  <c r="E982" i="1"/>
  <c r="F982" i="1"/>
  <c r="K982" i="1"/>
  <c r="D983" i="1"/>
  <c r="E983" i="1"/>
  <c r="F983" i="1"/>
  <c r="K983" i="1"/>
  <c r="D984" i="1"/>
  <c r="E984" i="1"/>
  <c r="F984" i="1"/>
  <c r="K984" i="1"/>
  <c r="D985" i="1"/>
  <c r="E985" i="1"/>
  <c r="F985" i="1"/>
  <c r="K985" i="1"/>
  <c r="D986" i="1"/>
  <c r="E986" i="1"/>
  <c r="F986" i="1"/>
  <c r="K986" i="1"/>
  <c r="D987" i="1"/>
  <c r="E987" i="1"/>
  <c r="F987" i="1"/>
  <c r="K987" i="1"/>
  <c r="D988" i="1"/>
  <c r="E988" i="1"/>
  <c r="F988" i="1"/>
  <c r="K988" i="1"/>
  <c r="D989" i="1"/>
  <c r="E989" i="1"/>
  <c r="F989" i="1"/>
  <c r="K989" i="1"/>
  <c r="D990" i="1"/>
  <c r="E990" i="1"/>
  <c r="F990" i="1"/>
  <c r="K990" i="1"/>
  <c r="D991" i="1"/>
  <c r="E991" i="1"/>
  <c r="F991" i="1"/>
  <c r="K991" i="1"/>
  <c r="D992" i="1"/>
  <c r="E992" i="1"/>
  <c r="F992" i="1"/>
  <c r="K992" i="1"/>
  <c r="D993" i="1"/>
  <c r="E993" i="1"/>
  <c r="F993" i="1"/>
  <c r="K993" i="1"/>
  <c r="D994" i="1"/>
  <c r="E994" i="1"/>
  <c r="F994" i="1"/>
  <c r="K994" i="1"/>
  <c r="D995" i="1"/>
  <c r="E995" i="1"/>
  <c r="F995" i="1"/>
  <c r="K995" i="1"/>
  <c r="D996" i="1"/>
  <c r="E996" i="1"/>
  <c r="F996" i="1"/>
  <c r="K996" i="1"/>
  <c r="D997" i="1"/>
  <c r="E997" i="1"/>
  <c r="F997" i="1"/>
  <c r="K997" i="1"/>
  <c r="D998" i="1"/>
  <c r="E998" i="1"/>
  <c r="F998" i="1"/>
  <c r="K998" i="1"/>
  <c r="D999" i="1"/>
  <c r="E999" i="1"/>
  <c r="F999" i="1"/>
  <c r="K999" i="1"/>
  <c r="D1000" i="1"/>
  <c r="E1000" i="1"/>
  <c r="F1000" i="1"/>
  <c r="K1000" i="1"/>
  <c r="D1001" i="1"/>
  <c r="E1001" i="1"/>
  <c r="F1001" i="1"/>
  <c r="K1001" i="1"/>
  <c r="D1002" i="1"/>
  <c r="E1002" i="1"/>
  <c r="F1002" i="1"/>
  <c r="K1002" i="1"/>
  <c r="D1003" i="1"/>
  <c r="E1003" i="1"/>
  <c r="F1003" i="1"/>
  <c r="K1003" i="1"/>
  <c r="D1004" i="1"/>
  <c r="E1004" i="1"/>
  <c r="F1004" i="1"/>
  <c r="K1004" i="1"/>
  <c r="D1005" i="1"/>
  <c r="E1005" i="1"/>
  <c r="F1005" i="1"/>
  <c r="K1005" i="1"/>
  <c r="D1006" i="1"/>
  <c r="E1006" i="1"/>
  <c r="F1006" i="1"/>
  <c r="K1006" i="1"/>
  <c r="D1007" i="1"/>
  <c r="E1007" i="1"/>
  <c r="F1007" i="1"/>
  <c r="K1007" i="1"/>
  <c r="D1008" i="1"/>
  <c r="E1008" i="1"/>
  <c r="F1008" i="1"/>
  <c r="K1008" i="1"/>
  <c r="D1009" i="1"/>
  <c r="E1009" i="1"/>
  <c r="F1009" i="1"/>
  <c r="K1009" i="1"/>
  <c r="D1010" i="1"/>
  <c r="E1010" i="1"/>
  <c r="F1010" i="1"/>
  <c r="K1010" i="1"/>
  <c r="D1011" i="1"/>
  <c r="E1011" i="1"/>
  <c r="F1011" i="1"/>
  <c r="K1011" i="1"/>
  <c r="D1012" i="1"/>
  <c r="E1012" i="1"/>
  <c r="F1012" i="1"/>
  <c r="K1012" i="1"/>
  <c r="D1013" i="1"/>
  <c r="E1013" i="1"/>
  <c r="F1013" i="1"/>
  <c r="K1013" i="1"/>
  <c r="D1014" i="1"/>
  <c r="E1014" i="1"/>
  <c r="F1014" i="1"/>
  <c r="K1014" i="1"/>
  <c r="D1015" i="1"/>
  <c r="E1015" i="1"/>
  <c r="F1015" i="1"/>
  <c r="K1015" i="1"/>
  <c r="D1016" i="1"/>
  <c r="E1016" i="1"/>
  <c r="F1016" i="1"/>
  <c r="K1016" i="1"/>
  <c r="D1017" i="1"/>
  <c r="E1017" i="1"/>
  <c r="F1017" i="1"/>
  <c r="K1017" i="1"/>
  <c r="D1018" i="1"/>
  <c r="E1018" i="1"/>
  <c r="F1018" i="1"/>
  <c r="K1018" i="1"/>
  <c r="D1019" i="1"/>
  <c r="E1019" i="1"/>
  <c r="F1019" i="1"/>
  <c r="K1019" i="1"/>
  <c r="D1020" i="1"/>
  <c r="E1020" i="1"/>
  <c r="F1020" i="1"/>
  <c r="K1020" i="1"/>
  <c r="D1021" i="1"/>
  <c r="E1021" i="1"/>
  <c r="F1021" i="1"/>
  <c r="K1021" i="1"/>
  <c r="D1022" i="1"/>
  <c r="E1022" i="1"/>
  <c r="F1022" i="1"/>
  <c r="K1022" i="1"/>
  <c r="D1023" i="1"/>
  <c r="E1023" i="1"/>
  <c r="F1023" i="1"/>
  <c r="K1023" i="1"/>
  <c r="D1024" i="1"/>
  <c r="E1024" i="1"/>
  <c r="F1024" i="1"/>
  <c r="K1024" i="1"/>
  <c r="D1025" i="1"/>
  <c r="E1025" i="1"/>
  <c r="F1025" i="1"/>
  <c r="K1025" i="1"/>
  <c r="D1026" i="1"/>
  <c r="E1026" i="1"/>
  <c r="F1026" i="1"/>
  <c r="K1026" i="1"/>
  <c r="D1027" i="1"/>
  <c r="E1027" i="1"/>
  <c r="F1027" i="1"/>
  <c r="K1027" i="1"/>
  <c r="D1028" i="1"/>
  <c r="E1028" i="1"/>
  <c r="F1028" i="1"/>
  <c r="K1028" i="1"/>
  <c r="D1029" i="1"/>
  <c r="E1029" i="1"/>
  <c r="F1029" i="1"/>
  <c r="K1029" i="1"/>
  <c r="D1030" i="1"/>
  <c r="E1030" i="1"/>
  <c r="F1030" i="1"/>
  <c r="K1030" i="1"/>
  <c r="D1031" i="1"/>
  <c r="E1031" i="1"/>
  <c r="F1031" i="1"/>
  <c r="K1031" i="1"/>
  <c r="D1032" i="1"/>
  <c r="E1032" i="1"/>
  <c r="F1032" i="1"/>
  <c r="K1032" i="1"/>
  <c r="D1033" i="1"/>
  <c r="E1033" i="1"/>
  <c r="F1033" i="1"/>
  <c r="K1033" i="1"/>
  <c r="D1034" i="1"/>
  <c r="E1034" i="1"/>
  <c r="F1034" i="1"/>
  <c r="K1034" i="1"/>
  <c r="D1035" i="1"/>
  <c r="E1035" i="1"/>
  <c r="F1035" i="1"/>
  <c r="K1035" i="1"/>
  <c r="D1036" i="1"/>
  <c r="E1036" i="1"/>
  <c r="F1036" i="1"/>
  <c r="K1036" i="1"/>
  <c r="D1037" i="1"/>
  <c r="E1037" i="1"/>
  <c r="F1037" i="1"/>
  <c r="K1037" i="1"/>
  <c r="D1038" i="1"/>
  <c r="E1038" i="1"/>
  <c r="F1038" i="1"/>
  <c r="K1038" i="1"/>
  <c r="D1039" i="1"/>
  <c r="E1039" i="1"/>
  <c r="F1039" i="1"/>
  <c r="K1039" i="1"/>
  <c r="D1040" i="1"/>
  <c r="E1040" i="1"/>
  <c r="F1040" i="1"/>
  <c r="K1040" i="1"/>
  <c r="D1041" i="1"/>
  <c r="E1041" i="1"/>
  <c r="F1041" i="1"/>
  <c r="K1041" i="1"/>
  <c r="D1042" i="1"/>
  <c r="E1042" i="1"/>
  <c r="F1042" i="1"/>
  <c r="K1042" i="1"/>
  <c r="D1043" i="1"/>
  <c r="E1043" i="1"/>
  <c r="F1043" i="1"/>
  <c r="K1043" i="1"/>
  <c r="D1044" i="1"/>
  <c r="E1044" i="1"/>
  <c r="F1044" i="1"/>
  <c r="K1044" i="1"/>
  <c r="D1045" i="1"/>
  <c r="E1045" i="1"/>
  <c r="F1045" i="1"/>
  <c r="K1045" i="1"/>
  <c r="D1046" i="1"/>
  <c r="E1046" i="1"/>
  <c r="F1046" i="1"/>
  <c r="K1046" i="1"/>
  <c r="D1047" i="1"/>
  <c r="E1047" i="1"/>
  <c r="F1047" i="1"/>
  <c r="K1047" i="1"/>
  <c r="D1048" i="1"/>
  <c r="E1048" i="1"/>
  <c r="F1048" i="1"/>
  <c r="K1048" i="1"/>
  <c r="D1049" i="1"/>
  <c r="E1049" i="1"/>
  <c r="F1049" i="1"/>
  <c r="K1049" i="1"/>
  <c r="D1050" i="1"/>
  <c r="E1050" i="1"/>
  <c r="F1050" i="1"/>
  <c r="K1050" i="1"/>
  <c r="D1051" i="1"/>
  <c r="E1051" i="1"/>
  <c r="F1051" i="1"/>
  <c r="K1051" i="1"/>
  <c r="D1052" i="1"/>
  <c r="E1052" i="1"/>
  <c r="F1052" i="1"/>
  <c r="K1052" i="1"/>
  <c r="D1053" i="1"/>
  <c r="E1053" i="1"/>
  <c r="F1053" i="1"/>
  <c r="K1053" i="1"/>
  <c r="D1054" i="1"/>
  <c r="E1054" i="1"/>
  <c r="F1054" i="1"/>
  <c r="K1054" i="1"/>
  <c r="D1055" i="1"/>
  <c r="E1055" i="1"/>
  <c r="F1055" i="1"/>
  <c r="K1055" i="1"/>
  <c r="D1056" i="1"/>
  <c r="E1056" i="1"/>
  <c r="F1056" i="1"/>
  <c r="K1056" i="1"/>
  <c r="D1057" i="1"/>
  <c r="E1057" i="1"/>
  <c r="F1057" i="1"/>
  <c r="K1057" i="1"/>
  <c r="D1058" i="1"/>
  <c r="E1058" i="1"/>
  <c r="F1058" i="1"/>
  <c r="K1058" i="1"/>
  <c r="D1059" i="1"/>
  <c r="E1059" i="1"/>
  <c r="F1059" i="1"/>
  <c r="K1059" i="1"/>
  <c r="D1060" i="1"/>
  <c r="E1060" i="1"/>
  <c r="F1060" i="1"/>
  <c r="K1060" i="1"/>
  <c r="D1061" i="1"/>
  <c r="E1061" i="1"/>
  <c r="F1061" i="1"/>
  <c r="K1061" i="1"/>
  <c r="D1062" i="1"/>
  <c r="E1062" i="1"/>
  <c r="F1062" i="1"/>
  <c r="K1062" i="1"/>
  <c r="D1063" i="1"/>
  <c r="E1063" i="1"/>
  <c r="F1063" i="1"/>
  <c r="K1063" i="1"/>
  <c r="D1064" i="1"/>
  <c r="E1064" i="1"/>
  <c r="F1064" i="1"/>
  <c r="K1064" i="1"/>
  <c r="D1065" i="1"/>
  <c r="E1065" i="1"/>
  <c r="F1065" i="1"/>
  <c r="K1065" i="1"/>
  <c r="D1066" i="1"/>
  <c r="E1066" i="1"/>
  <c r="F1066" i="1"/>
  <c r="K1066" i="1"/>
  <c r="D1067" i="1"/>
  <c r="E1067" i="1"/>
  <c r="F1067" i="1"/>
  <c r="K1067" i="1"/>
  <c r="D1068" i="1"/>
  <c r="E1068" i="1"/>
  <c r="F1068" i="1"/>
  <c r="K1068" i="1"/>
  <c r="D1069" i="1"/>
  <c r="E1069" i="1"/>
  <c r="F1069" i="1"/>
  <c r="K1069" i="1"/>
  <c r="D1070" i="1"/>
  <c r="E1070" i="1"/>
  <c r="F1070" i="1"/>
  <c r="K1070" i="1"/>
  <c r="D1071" i="1"/>
  <c r="E1071" i="1"/>
  <c r="F1071" i="1"/>
  <c r="K1071" i="1"/>
  <c r="D1072" i="1"/>
  <c r="E1072" i="1"/>
  <c r="F1072" i="1"/>
  <c r="K1072" i="1"/>
  <c r="D1073" i="1"/>
  <c r="E1073" i="1"/>
  <c r="F1073" i="1"/>
  <c r="K1073" i="1"/>
  <c r="D1074" i="1"/>
  <c r="E1074" i="1"/>
  <c r="F1074" i="1"/>
  <c r="K1074" i="1"/>
  <c r="D1075" i="1"/>
  <c r="E1075" i="1"/>
  <c r="F1075" i="1"/>
  <c r="K1075" i="1"/>
  <c r="D1076" i="1"/>
  <c r="E1076" i="1"/>
  <c r="F1076" i="1"/>
  <c r="K1076" i="1"/>
  <c r="D1077" i="1"/>
  <c r="E1077" i="1"/>
  <c r="F1077" i="1"/>
  <c r="K1077" i="1"/>
  <c r="D1078" i="1"/>
  <c r="E1078" i="1"/>
  <c r="F1078" i="1"/>
  <c r="K1078" i="1"/>
  <c r="D1079" i="1"/>
  <c r="E1079" i="1"/>
  <c r="F1079" i="1"/>
  <c r="K1079" i="1"/>
  <c r="D1080" i="1"/>
  <c r="E1080" i="1"/>
  <c r="F1080" i="1"/>
  <c r="K1080" i="1"/>
  <c r="D1081" i="1"/>
  <c r="E1081" i="1"/>
  <c r="F1081" i="1"/>
  <c r="K1081" i="1"/>
  <c r="D1082" i="1"/>
  <c r="E1082" i="1"/>
  <c r="F1082" i="1"/>
  <c r="K1082" i="1"/>
  <c r="D1083" i="1"/>
  <c r="E1083" i="1"/>
  <c r="F1083" i="1"/>
  <c r="K1083" i="1"/>
  <c r="D1084" i="1"/>
  <c r="E1084" i="1"/>
  <c r="F1084" i="1"/>
  <c r="K1084" i="1"/>
  <c r="D1085" i="1"/>
  <c r="E1085" i="1"/>
  <c r="F1085" i="1"/>
  <c r="K1085" i="1"/>
  <c r="D1086" i="1"/>
  <c r="E1086" i="1"/>
  <c r="F1086" i="1"/>
  <c r="K1086" i="1"/>
  <c r="D1087" i="1"/>
  <c r="E1087" i="1"/>
  <c r="F1087" i="1"/>
  <c r="K1087" i="1"/>
  <c r="D1088" i="1"/>
  <c r="E1088" i="1"/>
  <c r="F1088" i="1"/>
  <c r="K1088" i="1"/>
  <c r="D1089" i="1"/>
  <c r="E1089" i="1"/>
  <c r="F1089" i="1"/>
  <c r="K1089" i="1"/>
  <c r="D1090" i="1"/>
  <c r="E1090" i="1"/>
  <c r="F1090" i="1"/>
  <c r="K1090" i="1"/>
  <c r="D1091" i="1"/>
  <c r="E1091" i="1"/>
  <c r="F1091" i="1"/>
  <c r="K1091" i="1"/>
  <c r="D1092" i="1"/>
  <c r="E1092" i="1"/>
  <c r="F1092" i="1"/>
  <c r="K1092" i="1"/>
  <c r="D1093" i="1"/>
  <c r="E1093" i="1"/>
  <c r="F1093" i="1"/>
  <c r="K1093" i="1"/>
  <c r="D1094" i="1"/>
  <c r="E1094" i="1"/>
  <c r="F1094" i="1"/>
  <c r="K1094" i="1"/>
  <c r="D1095" i="1"/>
  <c r="E1095" i="1"/>
  <c r="F1095" i="1"/>
  <c r="K1095" i="1"/>
  <c r="D1096" i="1"/>
  <c r="E1096" i="1"/>
  <c r="F1096" i="1"/>
  <c r="K1096" i="1"/>
  <c r="D1097" i="1"/>
  <c r="E1097" i="1"/>
  <c r="F1097" i="1"/>
  <c r="K1097" i="1"/>
  <c r="D1098" i="1"/>
  <c r="E1098" i="1"/>
  <c r="F1098" i="1"/>
  <c r="K1098" i="1"/>
  <c r="D1099" i="1"/>
  <c r="E1099" i="1"/>
  <c r="F1099" i="1"/>
  <c r="K1099" i="1"/>
  <c r="D1100" i="1"/>
  <c r="E1100" i="1"/>
  <c r="F1100" i="1"/>
  <c r="K1100" i="1"/>
  <c r="D1101" i="1"/>
  <c r="E1101" i="1"/>
  <c r="F1101" i="1"/>
  <c r="K1101" i="1"/>
  <c r="D1102" i="1"/>
  <c r="E1102" i="1"/>
  <c r="F1102" i="1"/>
  <c r="K1102" i="1"/>
  <c r="D1103" i="1"/>
  <c r="E1103" i="1"/>
  <c r="F1103" i="1"/>
  <c r="K1103" i="1"/>
  <c r="D1104" i="1"/>
  <c r="E1104" i="1"/>
  <c r="F1104" i="1"/>
  <c r="K1104" i="1"/>
  <c r="D1105" i="1"/>
  <c r="E1105" i="1"/>
  <c r="F1105" i="1"/>
  <c r="K1105" i="1"/>
  <c r="D1106" i="1"/>
  <c r="E1106" i="1"/>
  <c r="F1106" i="1"/>
  <c r="K1106" i="1"/>
  <c r="D1107" i="1"/>
  <c r="E1107" i="1"/>
  <c r="F1107" i="1"/>
  <c r="K1107" i="1"/>
  <c r="D1108" i="1"/>
  <c r="E1108" i="1"/>
  <c r="F1108" i="1"/>
  <c r="K1108" i="1"/>
  <c r="D1109" i="1"/>
  <c r="E1109" i="1"/>
  <c r="F1109" i="1"/>
  <c r="K1109" i="1"/>
  <c r="D1110" i="1"/>
  <c r="E1110" i="1"/>
  <c r="F1110" i="1"/>
  <c r="K1110" i="1"/>
  <c r="D1111" i="1"/>
  <c r="E1111" i="1"/>
  <c r="F1111" i="1"/>
  <c r="K1111" i="1"/>
  <c r="D1112" i="1"/>
  <c r="E1112" i="1"/>
  <c r="F1112" i="1"/>
  <c r="K1112" i="1"/>
  <c r="D1113" i="1"/>
  <c r="E1113" i="1"/>
  <c r="F1113" i="1"/>
  <c r="K1113" i="1"/>
  <c r="D1114" i="1"/>
  <c r="E1114" i="1"/>
  <c r="F1114" i="1"/>
  <c r="K1114" i="1"/>
  <c r="D1115" i="1"/>
  <c r="E1115" i="1"/>
  <c r="F1115" i="1"/>
  <c r="K1115" i="1"/>
  <c r="D1116" i="1"/>
  <c r="E1116" i="1"/>
  <c r="F1116" i="1"/>
  <c r="K1116" i="1"/>
  <c r="D1117" i="1"/>
  <c r="E1117" i="1"/>
  <c r="F1117" i="1"/>
  <c r="K1117" i="1"/>
  <c r="D1118" i="1"/>
  <c r="E1118" i="1"/>
  <c r="F1118" i="1"/>
  <c r="K1118" i="1"/>
  <c r="D1119" i="1"/>
  <c r="E1119" i="1"/>
  <c r="F1119" i="1"/>
  <c r="K1119" i="1"/>
  <c r="D1120" i="1"/>
  <c r="E1120" i="1"/>
  <c r="F1120" i="1"/>
  <c r="K1120" i="1"/>
  <c r="D1121" i="1"/>
  <c r="E1121" i="1"/>
  <c r="F1121" i="1"/>
  <c r="K1121" i="1"/>
  <c r="D1122" i="1"/>
  <c r="E1122" i="1"/>
  <c r="F1122" i="1"/>
  <c r="K1122" i="1"/>
  <c r="D1123" i="1"/>
  <c r="E1123" i="1"/>
  <c r="F1123" i="1"/>
  <c r="K1123" i="1"/>
  <c r="D1124" i="1"/>
  <c r="E1124" i="1"/>
  <c r="F1124" i="1"/>
  <c r="K1124" i="1"/>
  <c r="D1125" i="1"/>
  <c r="E1125" i="1"/>
  <c r="F1125" i="1"/>
  <c r="K1125" i="1"/>
  <c r="D1126" i="1"/>
  <c r="E1126" i="1"/>
  <c r="F1126" i="1"/>
  <c r="K1126" i="1"/>
  <c r="D1127" i="1"/>
  <c r="E1127" i="1"/>
  <c r="F1127" i="1"/>
  <c r="K1127" i="1"/>
  <c r="D1128" i="1"/>
  <c r="E1128" i="1"/>
  <c r="F1128" i="1"/>
  <c r="K1128" i="1"/>
  <c r="D1129" i="1"/>
  <c r="E1129" i="1"/>
  <c r="F1129" i="1"/>
  <c r="K1129" i="1"/>
  <c r="D1130" i="1"/>
  <c r="E1130" i="1"/>
  <c r="F1130" i="1"/>
  <c r="K1130" i="1"/>
  <c r="D1131" i="1"/>
  <c r="E1131" i="1"/>
  <c r="F1131" i="1"/>
  <c r="K1131" i="1"/>
  <c r="D1132" i="1"/>
  <c r="E1132" i="1"/>
  <c r="F1132" i="1"/>
  <c r="K1132" i="1"/>
  <c r="D1133" i="1"/>
  <c r="E1133" i="1"/>
  <c r="F1133" i="1"/>
  <c r="K1133" i="1"/>
  <c r="D1134" i="1"/>
  <c r="E1134" i="1"/>
  <c r="F1134" i="1"/>
  <c r="K1134" i="1"/>
  <c r="D1135" i="1"/>
  <c r="E1135" i="1"/>
  <c r="F1135" i="1"/>
  <c r="K1135" i="1"/>
  <c r="D1136" i="1"/>
  <c r="E1136" i="1"/>
  <c r="F1136" i="1"/>
  <c r="K1136" i="1"/>
  <c r="D1137" i="1"/>
  <c r="E1137" i="1"/>
  <c r="F1137" i="1"/>
  <c r="K1137" i="1"/>
  <c r="D1138" i="1"/>
  <c r="E1138" i="1"/>
  <c r="F1138" i="1"/>
  <c r="K1138" i="1"/>
  <c r="D1139" i="1"/>
  <c r="E1139" i="1"/>
  <c r="F1139" i="1"/>
  <c r="K1139" i="1"/>
  <c r="D1140" i="1"/>
  <c r="E1140" i="1"/>
  <c r="F1140" i="1"/>
  <c r="K1140" i="1"/>
  <c r="D1141" i="1"/>
  <c r="E1141" i="1"/>
  <c r="F1141" i="1"/>
  <c r="K1141" i="1"/>
  <c r="D1142" i="1"/>
  <c r="E1142" i="1"/>
  <c r="F1142" i="1"/>
  <c r="K1142" i="1"/>
  <c r="D1143" i="1"/>
  <c r="E1143" i="1"/>
  <c r="F1143" i="1"/>
  <c r="K1143" i="1"/>
  <c r="D1144" i="1"/>
  <c r="E1144" i="1"/>
  <c r="F1144" i="1"/>
  <c r="K1144" i="1"/>
  <c r="D1145" i="1"/>
  <c r="E1145" i="1"/>
  <c r="F1145" i="1"/>
  <c r="K1145" i="1"/>
  <c r="D1146" i="1"/>
  <c r="E1146" i="1"/>
  <c r="F1146" i="1"/>
  <c r="K1146" i="1"/>
  <c r="D1147" i="1"/>
  <c r="E1147" i="1"/>
  <c r="F1147" i="1"/>
  <c r="K1147" i="1"/>
  <c r="D1148" i="1"/>
  <c r="E1148" i="1"/>
  <c r="F1148" i="1"/>
  <c r="K1148" i="1"/>
  <c r="D1149" i="1"/>
  <c r="E1149" i="1"/>
  <c r="F1149" i="1"/>
  <c r="K1149" i="1"/>
  <c r="D1150" i="1"/>
  <c r="E1150" i="1"/>
  <c r="F1150" i="1"/>
  <c r="K1150" i="1"/>
  <c r="D1151" i="1"/>
  <c r="E1151" i="1"/>
  <c r="F1151" i="1"/>
  <c r="K1151" i="1"/>
  <c r="D1152" i="1"/>
  <c r="E1152" i="1"/>
  <c r="F1152" i="1"/>
  <c r="K1152" i="1"/>
  <c r="D1153" i="1"/>
  <c r="E1153" i="1"/>
  <c r="F1153" i="1"/>
  <c r="K1153" i="1"/>
  <c r="D1154" i="1"/>
  <c r="E1154" i="1"/>
  <c r="F1154" i="1"/>
  <c r="K1154" i="1"/>
  <c r="D1155" i="1"/>
  <c r="E1155" i="1"/>
  <c r="F1155" i="1"/>
  <c r="K1155" i="1"/>
  <c r="D1156" i="1"/>
  <c r="E1156" i="1"/>
  <c r="F1156" i="1"/>
  <c r="K1156" i="1"/>
  <c r="D1157" i="1"/>
  <c r="E1157" i="1"/>
  <c r="F1157" i="1"/>
  <c r="K1157" i="1"/>
  <c r="D1158" i="1"/>
  <c r="E1158" i="1"/>
  <c r="F1158" i="1"/>
  <c r="K1158" i="1"/>
  <c r="D1159" i="1"/>
  <c r="E1159" i="1"/>
  <c r="F1159" i="1"/>
  <c r="K1159" i="1"/>
  <c r="D1160" i="1"/>
  <c r="E1160" i="1"/>
  <c r="F1160" i="1"/>
  <c r="K1160" i="1"/>
  <c r="D1161" i="1"/>
  <c r="E1161" i="1"/>
  <c r="F1161" i="1"/>
  <c r="K1161" i="1"/>
  <c r="D1162" i="1"/>
  <c r="E1162" i="1"/>
  <c r="F1162" i="1"/>
  <c r="K1162" i="1"/>
  <c r="D1163" i="1"/>
  <c r="E1163" i="1"/>
  <c r="F1163" i="1"/>
  <c r="K1163" i="1"/>
  <c r="D1164" i="1"/>
  <c r="E1164" i="1"/>
  <c r="F1164" i="1"/>
  <c r="K1164" i="1"/>
  <c r="D1165" i="1"/>
  <c r="E1165" i="1"/>
  <c r="F1165" i="1"/>
  <c r="K1165" i="1"/>
  <c r="D1166" i="1"/>
  <c r="E1166" i="1"/>
  <c r="F1166" i="1"/>
  <c r="K1166" i="1"/>
  <c r="D1167" i="1"/>
  <c r="E1167" i="1"/>
  <c r="F1167" i="1"/>
  <c r="K1167" i="1"/>
  <c r="D1168" i="1"/>
  <c r="E1168" i="1"/>
  <c r="F1168" i="1"/>
  <c r="K1168" i="1"/>
  <c r="D1169" i="1"/>
  <c r="E1169" i="1"/>
  <c r="F1169" i="1"/>
  <c r="K1169" i="1"/>
  <c r="D1170" i="1"/>
  <c r="E1170" i="1"/>
  <c r="F1170" i="1"/>
  <c r="K1170" i="1"/>
  <c r="D1171" i="1"/>
  <c r="E1171" i="1"/>
  <c r="F1171" i="1"/>
  <c r="K1171" i="1"/>
  <c r="D1172" i="1"/>
  <c r="E1172" i="1"/>
  <c r="F1172" i="1"/>
  <c r="K1172" i="1"/>
  <c r="D1173" i="1"/>
  <c r="E1173" i="1"/>
  <c r="F1173" i="1"/>
  <c r="K1173" i="1"/>
  <c r="D1174" i="1"/>
  <c r="E1174" i="1"/>
  <c r="F1174" i="1"/>
  <c r="K1174" i="1"/>
  <c r="D1175" i="1"/>
  <c r="E1175" i="1"/>
  <c r="F1175" i="1"/>
  <c r="K1175" i="1"/>
  <c r="D1176" i="1"/>
  <c r="E1176" i="1"/>
  <c r="F1176" i="1"/>
  <c r="K1176" i="1"/>
  <c r="D1177" i="1"/>
  <c r="E1177" i="1"/>
  <c r="F1177" i="1"/>
  <c r="K1177" i="1"/>
  <c r="D1178" i="1"/>
  <c r="E1178" i="1"/>
  <c r="F1178" i="1"/>
  <c r="K1178" i="1"/>
  <c r="D1179" i="1"/>
  <c r="E1179" i="1"/>
  <c r="F1179" i="1"/>
  <c r="K1179" i="1"/>
  <c r="D1180" i="1"/>
  <c r="E1180" i="1"/>
  <c r="F1180" i="1"/>
  <c r="K1180" i="1"/>
  <c r="D1181" i="1"/>
  <c r="E1181" i="1"/>
  <c r="F1181" i="1"/>
  <c r="K1181" i="1"/>
  <c r="D1182" i="1"/>
  <c r="E1182" i="1"/>
  <c r="F1182" i="1"/>
  <c r="K1182" i="1"/>
  <c r="D1183" i="1"/>
  <c r="E1183" i="1"/>
  <c r="F1183" i="1"/>
  <c r="K1183" i="1"/>
  <c r="D1184" i="1"/>
  <c r="E1184" i="1"/>
  <c r="F1184" i="1"/>
  <c r="K1184" i="1"/>
  <c r="D1185" i="1"/>
  <c r="E1185" i="1"/>
  <c r="F1185" i="1"/>
  <c r="K1185" i="1"/>
  <c r="D1186" i="1"/>
  <c r="E1186" i="1"/>
  <c r="F1186" i="1"/>
  <c r="K1186" i="1"/>
  <c r="D1187" i="1"/>
  <c r="E1187" i="1"/>
  <c r="F1187" i="1"/>
  <c r="K1187" i="1"/>
  <c r="D1188" i="1"/>
  <c r="E1188" i="1"/>
  <c r="F1188" i="1"/>
  <c r="K1188" i="1"/>
  <c r="D1189" i="1"/>
  <c r="E1189" i="1"/>
  <c r="F1189" i="1"/>
  <c r="K1189" i="1"/>
  <c r="D1190" i="1"/>
  <c r="E1190" i="1"/>
  <c r="F1190" i="1"/>
  <c r="K1190" i="1"/>
  <c r="D1191" i="1"/>
  <c r="E1191" i="1"/>
  <c r="F1191" i="1"/>
  <c r="K1191" i="1"/>
  <c r="D1192" i="1"/>
  <c r="E1192" i="1"/>
  <c r="F1192" i="1"/>
  <c r="K1192" i="1"/>
  <c r="D1193" i="1"/>
  <c r="E1193" i="1"/>
  <c r="F1193" i="1"/>
  <c r="K1193" i="1"/>
  <c r="D1194" i="1"/>
  <c r="E1194" i="1"/>
  <c r="F1194" i="1"/>
  <c r="K1194" i="1"/>
  <c r="D1195" i="1"/>
  <c r="E1195" i="1"/>
  <c r="F1195" i="1"/>
  <c r="K1195" i="1"/>
  <c r="D1196" i="1"/>
  <c r="E1196" i="1"/>
  <c r="F1196" i="1"/>
  <c r="K1196" i="1"/>
  <c r="D1197" i="1"/>
  <c r="E1197" i="1"/>
  <c r="F1197" i="1"/>
  <c r="K1197" i="1"/>
  <c r="D1198" i="1"/>
  <c r="E1198" i="1"/>
  <c r="F1198" i="1"/>
  <c r="K1198" i="1"/>
  <c r="D1199" i="1"/>
  <c r="E1199" i="1"/>
  <c r="F1199" i="1"/>
  <c r="K1199" i="1"/>
  <c r="D1200" i="1"/>
  <c r="E1200" i="1"/>
  <c r="F1200" i="1"/>
  <c r="K1200" i="1"/>
  <c r="D1201" i="1"/>
  <c r="E1201" i="1"/>
  <c r="F1201" i="1"/>
  <c r="K1201" i="1"/>
  <c r="D1202" i="1"/>
  <c r="E1202" i="1"/>
  <c r="F1202" i="1"/>
  <c r="K1202" i="1"/>
  <c r="D1203" i="1"/>
  <c r="E1203" i="1"/>
  <c r="F1203" i="1"/>
  <c r="K1203" i="1"/>
  <c r="D1204" i="1"/>
  <c r="E1204" i="1"/>
  <c r="F1204" i="1"/>
  <c r="K1204" i="1"/>
  <c r="D1205" i="1"/>
  <c r="E1205" i="1"/>
  <c r="F1205" i="1"/>
  <c r="K1205" i="1"/>
  <c r="D1206" i="1"/>
  <c r="E1206" i="1"/>
  <c r="F1206" i="1"/>
  <c r="K1206" i="1"/>
  <c r="D1207" i="1"/>
  <c r="E1207" i="1"/>
  <c r="F1207" i="1"/>
  <c r="K1207" i="1"/>
  <c r="D1208" i="1"/>
  <c r="E1208" i="1"/>
  <c r="F1208" i="1"/>
  <c r="K1208" i="1"/>
  <c r="D1209" i="1"/>
  <c r="E1209" i="1"/>
  <c r="F1209" i="1"/>
  <c r="K1209" i="1"/>
  <c r="D1210" i="1"/>
  <c r="E1210" i="1"/>
  <c r="F1210" i="1"/>
  <c r="K1210" i="1"/>
  <c r="D1211" i="1"/>
  <c r="E1211" i="1"/>
  <c r="F1211" i="1"/>
  <c r="K1211" i="1"/>
  <c r="D1212" i="1"/>
  <c r="E1212" i="1"/>
  <c r="F1212" i="1"/>
  <c r="K1212" i="1"/>
  <c r="D1213" i="1"/>
  <c r="E1213" i="1"/>
  <c r="F1213" i="1"/>
  <c r="K1213" i="1"/>
  <c r="D1214" i="1"/>
  <c r="E1214" i="1"/>
  <c r="F1214" i="1"/>
  <c r="K1214" i="1"/>
  <c r="D1215" i="1"/>
  <c r="E1215" i="1"/>
  <c r="F1215" i="1"/>
  <c r="K1215" i="1"/>
  <c r="D1216" i="1"/>
  <c r="E1216" i="1"/>
  <c r="F1216" i="1"/>
  <c r="K1216" i="1"/>
  <c r="D1217" i="1"/>
  <c r="E1217" i="1"/>
  <c r="F1217" i="1"/>
  <c r="K1217" i="1"/>
  <c r="D1218" i="1"/>
  <c r="E1218" i="1"/>
  <c r="F1218" i="1"/>
  <c r="K1218" i="1"/>
  <c r="D1219" i="1"/>
  <c r="E1219" i="1"/>
  <c r="F1219" i="1"/>
  <c r="K1219" i="1"/>
  <c r="D1220" i="1"/>
  <c r="E1220" i="1"/>
  <c r="F1220" i="1"/>
  <c r="K1220" i="1"/>
  <c r="D1221" i="1"/>
  <c r="E1221" i="1"/>
  <c r="F1221" i="1"/>
  <c r="K1221" i="1"/>
  <c r="D1222" i="1"/>
  <c r="E1222" i="1"/>
  <c r="F1222" i="1"/>
  <c r="K1222" i="1"/>
  <c r="D1223" i="1"/>
  <c r="E1223" i="1"/>
  <c r="F1223" i="1"/>
  <c r="K1223" i="1"/>
  <c r="D1224" i="1"/>
  <c r="E1224" i="1"/>
  <c r="F1224" i="1"/>
  <c r="K1224" i="1"/>
  <c r="D1225" i="1"/>
  <c r="E1225" i="1"/>
  <c r="F1225" i="1"/>
  <c r="K1225" i="1"/>
  <c r="D1226" i="1"/>
  <c r="E1226" i="1"/>
  <c r="F1226" i="1"/>
  <c r="K1226" i="1"/>
  <c r="D1227" i="1"/>
  <c r="E1227" i="1"/>
  <c r="F1227" i="1"/>
  <c r="K1227" i="1"/>
  <c r="D1228" i="1"/>
  <c r="E1228" i="1"/>
  <c r="F1228" i="1"/>
  <c r="K1228" i="1"/>
  <c r="D1229" i="1"/>
  <c r="E1229" i="1"/>
  <c r="F1229" i="1"/>
  <c r="K1229" i="1"/>
  <c r="D1230" i="1"/>
  <c r="E1230" i="1"/>
  <c r="F1230" i="1"/>
  <c r="K1230" i="1"/>
  <c r="D1231" i="1"/>
  <c r="E1231" i="1"/>
  <c r="F1231" i="1"/>
  <c r="K1231" i="1"/>
  <c r="D1232" i="1"/>
  <c r="E1232" i="1"/>
  <c r="F1232" i="1"/>
  <c r="K1232" i="1"/>
  <c r="D1233" i="1"/>
  <c r="E1233" i="1"/>
  <c r="F1233" i="1"/>
  <c r="K1233" i="1"/>
  <c r="D1234" i="1"/>
  <c r="E1234" i="1"/>
  <c r="F1234" i="1"/>
  <c r="K1234" i="1"/>
  <c r="D1235" i="1"/>
  <c r="E1235" i="1"/>
  <c r="F1235" i="1"/>
  <c r="K1235" i="1"/>
  <c r="D1236" i="1"/>
  <c r="E1236" i="1"/>
  <c r="F1236" i="1"/>
  <c r="K1236" i="1"/>
  <c r="D1237" i="1"/>
  <c r="E1237" i="1"/>
  <c r="F1237" i="1"/>
  <c r="K1237" i="1"/>
  <c r="D1238" i="1"/>
  <c r="E1238" i="1"/>
  <c r="F1238" i="1"/>
  <c r="K1238" i="1"/>
  <c r="D1239" i="1"/>
  <c r="E1239" i="1"/>
  <c r="F1239" i="1"/>
  <c r="K1239" i="1"/>
  <c r="D1240" i="1"/>
  <c r="E1240" i="1"/>
  <c r="F1240" i="1"/>
  <c r="K1240" i="1"/>
  <c r="D1241" i="1"/>
  <c r="E1241" i="1"/>
  <c r="F1241" i="1"/>
  <c r="K1241" i="1"/>
  <c r="D1242" i="1"/>
  <c r="E1242" i="1"/>
  <c r="F1242" i="1"/>
  <c r="K1242" i="1"/>
  <c r="D1243" i="1"/>
  <c r="E1243" i="1"/>
  <c r="F1243" i="1"/>
  <c r="K1243" i="1"/>
  <c r="D1244" i="1"/>
  <c r="E1244" i="1"/>
  <c r="F1244" i="1"/>
  <c r="K1244" i="1"/>
  <c r="D1245" i="1"/>
  <c r="E1245" i="1"/>
  <c r="F1245" i="1"/>
  <c r="K1245" i="1"/>
  <c r="D1246" i="1"/>
  <c r="E1246" i="1"/>
  <c r="F1246" i="1"/>
  <c r="K1246" i="1"/>
  <c r="D1247" i="1"/>
  <c r="E1247" i="1"/>
  <c r="F1247" i="1"/>
  <c r="K1247" i="1"/>
  <c r="D1248" i="1"/>
  <c r="E1248" i="1"/>
  <c r="F1248" i="1"/>
  <c r="K1248" i="1"/>
  <c r="D1249" i="1"/>
  <c r="E1249" i="1"/>
  <c r="F1249" i="1"/>
  <c r="K1249" i="1"/>
  <c r="D1250" i="1"/>
  <c r="E1250" i="1"/>
  <c r="F1250" i="1"/>
  <c r="K1250" i="1"/>
  <c r="D1251" i="1"/>
  <c r="E1251" i="1"/>
  <c r="F1251" i="1"/>
  <c r="K1251" i="1"/>
  <c r="D1252" i="1"/>
  <c r="E1252" i="1"/>
  <c r="F1252" i="1"/>
  <c r="K1252" i="1"/>
  <c r="D1253" i="1"/>
  <c r="E1253" i="1"/>
  <c r="F1253" i="1"/>
  <c r="K1253" i="1"/>
  <c r="D1254" i="1"/>
  <c r="E1254" i="1"/>
  <c r="F1254" i="1"/>
  <c r="K1254" i="1"/>
  <c r="D1255" i="1"/>
  <c r="E1255" i="1"/>
  <c r="F1255" i="1"/>
  <c r="K1255" i="1"/>
  <c r="D1256" i="1"/>
  <c r="E1256" i="1"/>
  <c r="F1256" i="1"/>
  <c r="K1256" i="1"/>
  <c r="D1257" i="1"/>
  <c r="E1257" i="1"/>
  <c r="F1257" i="1"/>
  <c r="K1257" i="1"/>
  <c r="D1258" i="1"/>
  <c r="E1258" i="1"/>
  <c r="F1258" i="1"/>
  <c r="K1258" i="1"/>
  <c r="D1259" i="1"/>
  <c r="E1259" i="1"/>
  <c r="F1259" i="1"/>
  <c r="K1259" i="1"/>
  <c r="D1260" i="1"/>
  <c r="E1260" i="1"/>
  <c r="F1260" i="1"/>
  <c r="K1260" i="1"/>
  <c r="D1261" i="1"/>
  <c r="E1261" i="1"/>
  <c r="F1261" i="1"/>
  <c r="K1261" i="1"/>
  <c r="D1262" i="1"/>
  <c r="E1262" i="1"/>
  <c r="F1262" i="1"/>
  <c r="K1262" i="1"/>
  <c r="D1263" i="1"/>
  <c r="E1263" i="1"/>
  <c r="F1263" i="1"/>
  <c r="K1263" i="1"/>
  <c r="D1264" i="1"/>
  <c r="E1264" i="1"/>
  <c r="F1264" i="1"/>
  <c r="K1264" i="1"/>
  <c r="D1265" i="1"/>
  <c r="E1265" i="1"/>
  <c r="F1265" i="1"/>
  <c r="K1265" i="1"/>
  <c r="D1266" i="1"/>
  <c r="E1266" i="1"/>
  <c r="F1266" i="1"/>
  <c r="K1266" i="1"/>
  <c r="D1267" i="1"/>
  <c r="E1267" i="1"/>
  <c r="F1267" i="1"/>
  <c r="K1267" i="1"/>
  <c r="D1268" i="1"/>
  <c r="E1268" i="1"/>
  <c r="F1268" i="1"/>
  <c r="K1268" i="1"/>
  <c r="D1269" i="1"/>
  <c r="E1269" i="1"/>
  <c r="F1269" i="1"/>
  <c r="K1269" i="1"/>
  <c r="D1270" i="1"/>
  <c r="E1270" i="1"/>
  <c r="F1270" i="1"/>
  <c r="K1270" i="1"/>
  <c r="D1271" i="1"/>
  <c r="E1271" i="1"/>
  <c r="F1271" i="1"/>
  <c r="K1271" i="1"/>
  <c r="D1272" i="1"/>
  <c r="E1272" i="1"/>
  <c r="F1272" i="1"/>
  <c r="K1272" i="1"/>
  <c r="D1273" i="1"/>
  <c r="E1273" i="1"/>
  <c r="F1273" i="1"/>
  <c r="K1273" i="1"/>
  <c r="D1274" i="1"/>
  <c r="E1274" i="1"/>
  <c r="F1274" i="1"/>
  <c r="K1274" i="1"/>
  <c r="D1275" i="1"/>
  <c r="E1275" i="1"/>
  <c r="F1275" i="1"/>
  <c r="K1275" i="1"/>
  <c r="D1276" i="1"/>
  <c r="E1276" i="1"/>
  <c r="F1276" i="1"/>
  <c r="K1276" i="1"/>
  <c r="D1277" i="1"/>
  <c r="E1277" i="1"/>
  <c r="F1277" i="1"/>
  <c r="K1277" i="1"/>
  <c r="D1278" i="1"/>
  <c r="E1278" i="1"/>
  <c r="F1278" i="1"/>
  <c r="K1278" i="1"/>
  <c r="D1279" i="1"/>
  <c r="E1279" i="1"/>
  <c r="F1279" i="1"/>
  <c r="K1279" i="1"/>
  <c r="D1280" i="1"/>
  <c r="E1280" i="1"/>
  <c r="F1280" i="1"/>
  <c r="K1280" i="1"/>
  <c r="D1281" i="1"/>
  <c r="E1281" i="1"/>
  <c r="F1281" i="1"/>
  <c r="K1281" i="1"/>
  <c r="D1282" i="1"/>
  <c r="E1282" i="1"/>
  <c r="F1282" i="1"/>
  <c r="K1282" i="1"/>
  <c r="D1283" i="1"/>
  <c r="E1283" i="1"/>
  <c r="F1283" i="1"/>
  <c r="K1283" i="1"/>
  <c r="D1284" i="1"/>
  <c r="E1284" i="1"/>
  <c r="F1284" i="1"/>
  <c r="K1284" i="1"/>
  <c r="D1285" i="1"/>
  <c r="E1285" i="1"/>
  <c r="F1285" i="1"/>
  <c r="K1285" i="1"/>
  <c r="D1286" i="1"/>
  <c r="E1286" i="1"/>
  <c r="F1286" i="1"/>
  <c r="K1286" i="1"/>
  <c r="D1287" i="1"/>
  <c r="E1287" i="1"/>
  <c r="F1287" i="1"/>
  <c r="K1287" i="1"/>
  <c r="D1288" i="1"/>
  <c r="E1288" i="1"/>
  <c r="F1288" i="1"/>
  <c r="K1288" i="1"/>
  <c r="D1289" i="1"/>
  <c r="E1289" i="1"/>
  <c r="F1289" i="1"/>
  <c r="K1289" i="1"/>
  <c r="D1290" i="1"/>
  <c r="E1290" i="1"/>
  <c r="F1290" i="1"/>
  <c r="K1290" i="1"/>
  <c r="D1291" i="1"/>
  <c r="E1291" i="1"/>
  <c r="F1291" i="1"/>
  <c r="K1291" i="1"/>
  <c r="D1292" i="1"/>
  <c r="E1292" i="1"/>
  <c r="F1292" i="1"/>
  <c r="K1292" i="1"/>
  <c r="D1293" i="1"/>
  <c r="E1293" i="1"/>
  <c r="F1293" i="1"/>
  <c r="K1293" i="1"/>
  <c r="D1294" i="1"/>
  <c r="E1294" i="1"/>
  <c r="F1294" i="1"/>
  <c r="K1294" i="1"/>
  <c r="D1295" i="1"/>
  <c r="E1295" i="1"/>
  <c r="F1295" i="1"/>
  <c r="K1295" i="1"/>
  <c r="D1296" i="1"/>
  <c r="E1296" i="1"/>
  <c r="F1296" i="1"/>
  <c r="K1296" i="1"/>
  <c r="D1297" i="1"/>
  <c r="E1297" i="1"/>
  <c r="F1297" i="1"/>
  <c r="K1297" i="1"/>
  <c r="D1298" i="1"/>
  <c r="E1298" i="1"/>
  <c r="F1298" i="1"/>
  <c r="K1298" i="1"/>
  <c r="D1299" i="1"/>
  <c r="E1299" i="1"/>
  <c r="F1299" i="1"/>
  <c r="K1299" i="1"/>
  <c r="D1300" i="1"/>
  <c r="E1300" i="1"/>
  <c r="F1300" i="1"/>
  <c r="K1300" i="1"/>
  <c r="D1301" i="1"/>
  <c r="E1301" i="1"/>
  <c r="F1301" i="1"/>
  <c r="K1301" i="1"/>
  <c r="D1302" i="1"/>
  <c r="E1302" i="1"/>
  <c r="F1302" i="1"/>
  <c r="K1302" i="1"/>
  <c r="D1303" i="1"/>
  <c r="E1303" i="1"/>
  <c r="F1303" i="1"/>
  <c r="K1303" i="1"/>
  <c r="D1304" i="1"/>
  <c r="E1304" i="1"/>
  <c r="F1304" i="1"/>
  <c r="K1304" i="1"/>
  <c r="D1305" i="1"/>
  <c r="E1305" i="1"/>
  <c r="F1305" i="1"/>
  <c r="K1305" i="1"/>
  <c r="D1306" i="1"/>
  <c r="E1306" i="1"/>
  <c r="F1306" i="1"/>
  <c r="K1306" i="1"/>
  <c r="D1307" i="1"/>
  <c r="E1307" i="1"/>
  <c r="F1307" i="1"/>
  <c r="K1307" i="1"/>
  <c r="D1308" i="1"/>
  <c r="E1308" i="1"/>
  <c r="F1308" i="1"/>
  <c r="K1308" i="1"/>
  <c r="D1309" i="1"/>
  <c r="E1309" i="1"/>
  <c r="F1309" i="1"/>
  <c r="K1309" i="1"/>
  <c r="D1310" i="1"/>
  <c r="E1310" i="1"/>
  <c r="F1310" i="1"/>
  <c r="K1310" i="1"/>
  <c r="D1311" i="1"/>
  <c r="E1311" i="1"/>
  <c r="F1311" i="1"/>
  <c r="K1311" i="1"/>
  <c r="D1312" i="1"/>
  <c r="E1312" i="1"/>
  <c r="F1312" i="1"/>
  <c r="K1312" i="1"/>
  <c r="D1313" i="1"/>
  <c r="E1313" i="1"/>
  <c r="F1313" i="1"/>
  <c r="K1313" i="1"/>
  <c r="D1314" i="1"/>
  <c r="E1314" i="1"/>
  <c r="F1314" i="1"/>
  <c r="K1314" i="1"/>
  <c r="D1315" i="1"/>
  <c r="E1315" i="1"/>
  <c r="F1315" i="1"/>
  <c r="K1315" i="1"/>
  <c r="D1316" i="1"/>
  <c r="E1316" i="1"/>
  <c r="F1316" i="1"/>
  <c r="K1316" i="1"/>
  <c r="D1317" i="1"/>
  <c r="E1317" i="1"/>
  <c r="F1317" i="1"/>
  <c r="K1317" i="1"/>
  <c r="D1318" i="1"/>
  <c r="E1318" i="1"/>
  <c r="F1318" i="1"/>
  <c r="K1318" i="1"/>
  <c r="D1319" i="1"/>
  <c r="E1319" i="1"/>
  <c r="F1319" i="1"/>
  <c r="K1319" i="1"/>
  <c r="D1320" i="1"/>
  <c r="E1320" i="1"/>
  <c r="F1320" i="1"/>
  <c r="K1320" i="1"/>
  <c r="D1321" i="1"/>
  <c r="E1321" i="1"/>
  <c r="F1321" i="1"/>
  <c r="K1321" i="1"/>
  <c r="D1322" i="1"/>
  <c r="E1322" i="1"/>
  <c r="F1322" i="1"/>
  <c r="K1322" i="1"/>
  <c r="D1323" i="1"/>
  <c r="E1323" i="1"/>
  <c r="F1323" i="1"/>
  <c r="K1323" i="1"/>
  <c r="D1324" i="1"/>
  <c r="E1324" i="1"/>
  <c r="F1324" i="1"/>
  <c r="K1324" i="1"/>
  <c r="D1325" i="1"/>
  <c r="E1325" i="1"/>
  <c r="F1325" i="1"/>
  <c r="K1325" i="1"/>
  <c r="D1326" i="1"/>
  <c r="E1326" i="1"/>
  <c r="F1326" i="1"/>
  <c r="K1326" i="1"/>
  <c r="D1327" i="1"/>
  <c r="E1327" i="1"/>
  <c r="F1327" i="1"/>
  <c r="K1327" i="1"/>
  <c r="D1328" i="1"/>
  <c r="E1328" i="1"/>
  <c r="F1328" i="1"/>
  <c r="K1328" i="1"/>
  <c r="D1329" i="1"/>
  <c r="E1329" i="1"/>
  <c r="F1329" i="1"/>
  <c r="K1329" i="1"/>
  <c r="D1330" i="1"/>
  <c r="E1330" i="1"/>
  <c r="F1330" i="1"/>
  <c r="K1330" i="1"/>
  <c r="D1331" i="1"/>
  <c r="E1331" i="1"/>
  <c r="F1331" i="1"/>
  <c r="K1331" i="1"/>
  <c r="D1332" i="1"/>
  <c r="E1332" i="1"/>
  <c r="F1332" i="1"/>
  <c r="K1332" i="1"/>
  <c r="D1333" i="1"/>
  <c r="E1333" i="1"/>
  <c r="F1333" i="1"/>
  <c r="K1333" i="1"/>
  <c r="D1334" i="1"/>
  <c r="E1334" i="1"/>
  <c r="F1334" i="1"/>
  <c r="K1334" i="1"/>
  <c r="D1335" i="1"/>
  <c r="E1335" i="1"/>
  <c r="F1335" i="1"/>
  <c r="K1335" i="1"/>
  <c r="D1336" i="1"/>
  <c r="E1336" i="1"/>
  <c r="F1336" i="1"/>
  <c r="K1336" i="1"/>
  <c r="D1337" i="1"/>
  <c r="E1337" i="1"/>
  <c r="F1337" i="1"/>
  <c r="K1337" i="1"/>
  <c r="D1338" i="1"/>
  <c r="E1338" i="1"/>
  <c r="F1338" i="1"/>
  <c r="K1338" i="1"/>
  <c r="D1339" i="1"/>
  <c r="E1339" i="1"/>
  <c r="F1339" i="1"/>
  <c r="K1339" i="1"/>
  <c r="D1340" i="1"/>
  <c r="E1340" i="1"/>
  <c r="F1340" i="1"/>
  <c r="K1340" i="1"/>
  <c r="D1341" i="1"/>
  <c r="E1341" i="1"/>
  <c r="F1341" i="1"/>
  <c r="K1341" i="1"/>
  <c r="D1342" i="1"/>
  <c r="E1342" i="1"/>
  <c r="F1342" i="1"/>
  <c r="K1342" i="1"/>
  <c r="D1343" i="1"/>
  <c r="E1343" i="1"/>
  <c r="F1343" i="1"/>
  <c r="K1343" i="1"/>
  <c r="D1344" i="1"/>
  <c r="E1344" i="1"/>
  <c r="F1344" i="1"/>
  <c r="K1344" i="1"/>
  <c r="D1345" i="1"/>
  <c r="E1345" i="1"/>
  <c r="F1345" i="1"/>
  <c r="K1345" i="1"/>
  <c r="D1346" i="1"/>
  <c r="E1346" i="1"/>
  <c r="F1346" i="1"/>
  <c r="K1346" i="1"/>
  <c r="D1347" i="1"/>
  <c r="E1347" i="1"/>
  <c r="F1347" i="1"/>
  <c r="K1347" i="1"/>
  <c r="D1348" i="1"/>
  <c r="E1348" i="1"/>
  <c r="F1348" i="1"/>
  <c r="K1348" i="1"/>
  <c r="D1349" i="1"/>
  <c r="E1349" i="1"/>
  <c r="F1349" i="1"/>
  <c r="K1349" i="1"/>
  <c r="D1350" i="1"/>
  <c r="E1350" i="1"/>
  <c r="F1350" i="1"/>
  <c r="K1350" i="1"/>
  <c r="D1351" i="1"/>
  <c r="E1351" i="1"/>
  <c r="F1351" i="1"/>
  <c r="K1351" i="1"/>
  <c r="D1352" i="1"/>
  <c r="E1352" i="1"/>
  <c r="F1352" i="1"/>
  <c r="K1352" i="1"/>
  <c r="D1353" i="1"/>
  <c r="E1353" i="1"/>
  <c r="F1353" i="1"/>
  <c r="K1353" i="1"/>
  <c r="D1354" i="1"/>
  <c r="E1354" i="1"/>
  <c r="F1354" i="1"/>
  <c r="K1354" i="1"/>
  <c r="D1355" i="1"/>
  <c r="E1355" i="1"/>
  <c r="F1355" i="1"/>
  <c r="K1355" i="1"/>
  <c r="D1356" i="1"/>
  <c r="E1356" i="1"/>
  <c r="F1356" i="1"/>
  <c r="K1356" i="1"/>
  <c r="D1357" i="1"/>
  <c r="E1357" i="1"/>
  <c r="F1357" i="1"/>
  <c r="K1357" i="1"/>
  <c r="D1358" i="1"/>
  <c r="E1358" i="1"/>
  <c r="F1358" i="1"/>
  <c r="K1358" i="1"/>
  <c r="D1359" i="1"/>
  <c r="E1359" i="1"/>
  <c r="F1359" i="1"/>
  <c r="K1359" i="1"/>
  <c r="D1360" i="1"/>
  <c r="E1360" i="1"/>
  <c r="F1360" i="1"/>
  <c r="K1360" i="1"/>
  <c r="D1361" i="1"/>
  <c r="E1361" i="1"/>
  <c r="F1361" i="1"/>
  <c r="K1361" i="1"/>
  <c r="D1362" i="1"/>
  <c r="E1362" i="1"/>
  <c r="F1362" i="1"/>
  <c r="K1362" i="1"/>
  <c r="D1363" i="1"/>
  <c r="E1363" i="1"/>
  <c r="F1363" i="1"/>
  <c r="K1363" i="1"/>
  <c r="D1364" i="1"/>
  <c r="E1364" i="1"/>
  <c r="F1364" i="1"/>
  <c r="K1364" i="1"/>
  <c r="D1365" i="1"/>
  <c r="E1365" i="1"/>
  <c r="F1365" i="1"/>
  <c r="K1365" i="1"/>
  <c r="D1366" i="1"/>
  <c r="E1366" i="1"/>
  <c r="F1366" i="1"/>
  <c r="K1366" i="1"/>
  <c r="D1367" i="1"/>
  <c r="E1367" i="1"/>
  <c r="F1367" i="1"/>
  <c r="K1367" i="1"/>
  <c r="D1368" i="1"/>
  <c r="E1368" i="1"/>
  <c r="F1368" i="1"/>
  <c r="K1368" i="1"/>
  <c r="D1369" i="1"/>
  <c r="E1369" i="1"/>
  <c r="F1369" i="1"/>
  <c r="K1369" i="1"/>
  <c r="D1370" i="1"/>
  <c r="E1370" i="1"/>
  <c r="F1370" i="1"/>
  <c r="K1370" i="1"/>
  <c r="D1371" i="1"/>
  <c r="E1371" i="1"/>
  <c r="F1371" i="1"/>
  <c r="K1371" i="1"/>
  <c r="D1372" i="1"/>
  <c r="E1372" i="1"/>
  <c r="F1372" i="1"/>
  <c r="K1372" i="1"/>
  <c r="D1373" i="1"/>
  <c r="E1373" i="1"/>
  <c r="F1373" i="1"/>
  <c r="K1373" i="1"/>
  <c r="D1374" i="1"/>
  <c r="E1374" i="1"/>
  <c r="F1374" i="1"/>
  <c r="K1374" i="1"/>
  <c r="D1375" i="1"/>
  <c r="E1375" i="1"/>
  <c r="F1375" i="1"/>
  <c r="K1375" i="1"/>
  <c r="D1376" i="1"/>
  <c r="E1376" i="1"/>
  <c r="F1376" i="1"/>
  <c r="K1376" i="1"/>
  <c r="D1377" i="1"/>
  <c r="E1377" i="1"/>
  <c r="F1377" i="1"/>
  <c r="K1377" i="1"/>
  <c r="D1378" i="1"/>
  <c r="E1378" i="1"/>
  <c r="F1378" i="1"/>
  <c r="K1378" i="1"/>
  <c r="D1379" i="1"/>
  <c r="E1379" i="1"/>
  <c r="F1379" i="1"/>
  <c r="K1379" i="1"/>
  <c r="D1380" i="1"/>
  <c r="E1380" i="1"/>
  <c r="F1380" i="1"/>
  <c r="K1380" i="1"/>
  <c r="D1381" i="1"/>
  <c r="E1381" i="1"/>
  <c r="F1381" i="1"/>
  <c r="K1381" i="1"/>
  <c r="D1382" i="1"/>
  <c r="E1382" i="1"/>
  <c r="F1382" i="1"/>
  <c r="K1382" i="1"/>
  <c r="D1383" i="1"/>
  <c r="E1383" i="1"/>
  <c r="F1383" i="1"/>
  <c r="K1383" i="1"/>
  <c r="D1384" i="1"/>
  <c r="E1384" i="1"/>
  <c r="F1384" i="1"/>
  <c r="K1384" i="1"/>
  <c r="D1385" i="1"/>
  <c r="E1385" i="1"/>
  <c r="F1385" i="1"/>
  <c r="K1385" i="1"/>
  <c r="D1386" i="1"/>
  <c r="E1386" i="1"/>
  <c r="F1386" i="1"/>
  <c r="K1386" i="1"/>
  <c r="D1387" i="1"/>
  <c r="E1387" i="1"/>
  <c r="F1387" i="1"/>
  <c r="K1387" i="1"/>
  <c r="D1388" i="1"/>
  <c r="E1388" i="1"/>
  <c r="F1388" i="1"/>
  <c r="K1388" i="1"/>
  <c r="D1389" i="1"/>
  <c r="E1389" i="1"/>
  <c r="F1389" i="1"/>
  <c r="K1389" i="1"/>
  <c r="D1390" i="1"/>
  <c r="E1390" i="1"/>
  <c r="F1390" i="1"/>
  <c r="K1390" i="1"/>
  <c r="D1391" i="1"/>
  <c r="E1391" i="1"/>
  <c r="F1391" i="1"/>
  <c r="K1391" i="1"/>
  <c r="D1392" i="1"/>
  <c r="E1392" i="1"/>
  <c r="F1392" i="1"/>
  <c r="K1392" i="1"/>
  <c r="D1393" i="1"/>
  <c r="E1393" i="1"/>
  <c r="F1393" i="1"/>
  <c r="K1393" i="1"/>
  <c r="D1394" i="1"/>
  <c r="E1394" i="1"/>
  <c r="F1394" i="1"/>
  <c r="K1394" i="1"/>
  <c r="D1395" i="1"/>
  <c r="E1395" i="1"/>
  <c r="F1395" i="1"/>
  <c r="K1395" i="1"/>
  <c r="D1396" i="1"/>
  <c r="E1396" i="1"/>
  <c r="F1396" i="1"/>
  <c r="K1396" i="1"/>
  <c r="D1397" i="1"/>
  <c r="E1397" i="1"/>
  <c r="F1397" i="1"/>
  <c r="K1397" i="1"/>
  <c r="D1398" i="1"/>
  <c r="E1398" i="1"/>
  <c r="F1398" i="1"/>
  <c r="K1398" i="1"/>
  <c r="D1399" i="1"/>
  <c r="E1399" i="1"/>
  <c r="F1399" i="1"/>
  <c r="K1399" i="1"/>
  <c r="D1400" i="1"/>
  <c r="E1400" i="1"/>
  <c r="F1400" i="1"/>
  <c r="K1400" i="1"/>
  <c r="D1401" i="1"/>
  <c r="E1401" i="1"/>
  <c r="F1401" i="1"/>
  <c r="K1401" i="1"/>
  <c r="D1402" i="1"/>
  <c r="E1402" i="1"/>
  <c r="F1402" i="1"/>
  <c r="K1402" i="1"/>
  <c r="D1403" i="1"/>
  <c r="E1403" i="1"/>
  <c r="F1403" i="1"/>
  <c r="K1403" i="1"/>
  <c r="D1404" i="1"/>
  <c r="E1404" i="1"/>
  <c r="F1404" i="1"/>
  <c r="K1404" i="1"/>
  <c r="D1405" i="1"/>
  <c r="E1405" i="1"/>
  <c r="F1405" i="1"/>
  <c r="K1405" i="1"/>
  <c r="D1406" i="1"/>
  <c r="E1406" i="1"/>
  <c r="F1406" i="1"/>
  <c r="K1406" i="1"/>
  <c r="D1407" i="1"/>
  <c r="E1407" i="1"/>
  <c r="F1407" i="1"/>
  <c r="K1407" i="1"/>
  <c r="D1408" i="1"/>
  <c r="E1408" i="1"/>
  <c r="F1408" i="1"/>
  <c r="K1408" i="1"/>
  <c r="D1409" i="1"/>
  <c r="E1409" i="1"/>
  <c r="F1409" i="1"/>
  <c r="K1409" i="1"/>
  <c r="D1410" i="1"/>
  <c r="E1410" i="1"/>
  <c r="F1410" i="1"/>
  <c r="K1410" i="1"/>
  <c r="D1411" i="1"/>
  <c r="E1411" i="1"/>
  <c r="F1411" i="1"/>
  <c r="K1411" i="1"/>
  <c r="D1412" i="1"/>
  <c r="E1412" i="1"/>
  <c r="F1412" i="1"/>
  <c r="K1412" i="1"/>
  <c r="D1413" i="1"/>
  <c r="E1413" i="1"/>
  <c r="F1413" i="1"/>
  <c r="K1413" i="1"/>
  <c r="D1414" i="1"/>
  <c r="E1414" i="1"/>
  <c r="F1414" i="1"/>
  <c r="K1414" i="1"/>
  <c r="D1415" i="1"/>
  <c r="E1415" i="1"/>
  <c r="F1415" i="1"/>
  <c r="K1415" i="1"/>
  <c r="D1416" i="1"/>
  <c r="E1416" i="1"/>
  <c r="F1416" i="1"/>
  <c r="K1416" i="1"/>
  <c r="D1417" i="1"/>
  <c r="E1417" i="1"/>
  <c r="F1417" i="1"/>
  <c r="K1417" i="1"/>
  <c r="D1418" i="1"/>
  <c r="E1418" i="1"/>
  <c r="F1418" i="1"/>
  <c r="K1418" i="1"/>
  <c r="D1419" i="1"/>
  <c r="E1419" i="1"/>
  <c r="F1419" i="1"/>
  <c r="K1419" i="1"/>
  <c r="D1420" i="1"/>
  <c r="E1420" i="1"/>
  <c r="F1420" i="1"/>
  <c r="K1420" i="1"/>
  <c r="D1421" i="1"/>
  <c r="E1421" i="1"/>
  <c r="F1421" i="1"/>
  <c r="K1421" i="1"/>
  <c r="D1422" i="1"/>
  <c r="E1422" i="1"/>
  <c r="F1422" i="1"/>
  <c r="K1422" i="1"/>
  <c r="D1423" i="1"/>
  <c r="E1423" i="1"/>
  <c r="F1423" i="1"/>
  <c r="K1423" i="1"/>
  <c r="D1424" i="1"/>
  <c r="E1424" i="1"/>
  <c r="F1424" i="1"/>
  <c r="K1424" i="1"/>
  <c r="D1425" i="1"/>
  <c r="E1425" i="1"/>
  <c r="F1425" i="1"/>
  <c r="K1425" i="1"/>
  <c r="D1426" i="1"/>
  <c r="E1426" i="1"/>
  <c r="F1426" i="1"/>
  <c r="I1426" i="1"/>
  <c r="K1426" i="1" s="1"/>
  <c r="D1427" i="1"/>
  <c r="E1427" i="1"/>
  <c r="F1427" i="1"/>
  <c r="K1427" i="1"/>
  <c r="D1428" i="1"/>
  <c r="E1428" i="1"/>
  <c r="F1428" i="1"/>
  <c r="K1428" i="1"/>
  <c r="D1429" i="1"/>
  <c r="E1429" i="1"/>
  <c r="F1429" i="1"/>
  <c r="K1429" i="1"/>
  <c r="D1430" i="1"/>
  <c r="E1430" i="1"/>
  <c r="F1430" i="1"/>
  <c r="K1430" i="1"/>
  <c r="D1431" i="1"/>
  <c r="E1431" i="1"/>
  <c r="F1431" i="1"/>
  <c r="K1431" i="1"/>
  <c r="D1432" i="1"/>
  <c r="E1432" i="1"/>
  <c r="F1432" i="1"/>
  <c r="K1432" i="1"/>
  <c r="D1433" i="1"/>
  <c r="E1433" i="1"/>
  <c r="F1433" i="1"/>
  <c r="K1433" i="1"/>
  <c r="D1434" i="1"/>
  <c r="E1434" i="1"/>
  <c r="F1434" i="1"/>
  <c r="K1434" i="1"/>
  <c r="D1435" i="1"/>
  <c r="E1435" i="1"/>
  <c r="F1435" i="1"/>
  <c r="K1435" i="1"/>
  <c r="D1436" i="1"/>
  <c r="E1436" i="1"/>
  <c r="F1436" i="1"/>
  <c r="K1436" i="1"/>
  <c r="D1437" i="1"/>
  <c r="E1437" i="1"/>
  <c r="F1437" i="1"/>
  <c r="K1437" i="1"/>
  <c r="D1438" i="1"/>
  <c r="E1438" i="1"/>
  <c r="F1438" i="1"/>
  <c r="K1438" i="1"/>
  <c r="D1439" i="1"/>
  <c r="E1439" i="1"/>
  <c r="F1439" i="1"/>
  <c r="K1439" i="1"/>
  <c r="D1440" i="1"/>
  <c r="E1440" i="1"/>
  <c r="F1440" i="1"/>
  <c r="K1440" i="1"/>
  <c r="D1441" i="1"/>
  <c r="E1441" i="1"/>
  <c r="F1441" i="1"/>
  <c r="K1441" i="1"/>
  <c r="D1442" i="1"/>
  <c r="E1442" i="1"/>
  <c r="F1442" i="1"/>
  <c r="K1442" i="1"/>
  <c r="D1443" i="1"/>
  <c r="E1443" i="1"/>
  <c r="F1443" i="1"/>
  <c r="K1443" i="1"/>
  <c r="D1444" i="1"/>
  <c r="E1444" i="1"/>
  <c r="F1444" i="1"/>
  <c r="K1444" i="1"/>
  <c r="D1445" i="1"/>
  <c r="E1445" i="1"/>
  <c r="F1445" i="1"/>
  <c r="K1445" i="1"/>
  <c r="D1446" i="1"/>
  <c r="E1446" i="1"/>
  <c r="F1446" i="1"/>
  <c r="K1446" i="1"/>
  <c r="D1447" i="1"/>
  <c r="E1447" i="1"/>
  <c r="F1447" i="1"/>
  <c r="K1447" i="1"/>
  <c r="D1448" i="1"/>
  <c r="E1448" i="1"/>
  <c r="F1448" i="1"/>
  <c r="K1448" i="1"/>
  <c r="D1449" i="1"/>
  <c r="E1449" i="1"/>
  <c r="F1449" i="1"/>
  <c r="K1449" i="1"/>
  <c r="D1450" i="1"/>
  <c r="E1450" i="1"/>
  <c r="F1450" i="1"/>
  <c r="K1450" i="1"/>
  <c r="D1451" i="1"/>
  <c r="E1451" i="1"/>
  <c r="F1451" i="1"/>
  <c r="K1451" i="1"/>
  <c r="D1452" i="1"/>
  <c r="E1452" i="1"/>
  <c r="F1452" i="1"/>
  <c r="K1452" i="1"/>
  <c r="D1453" i="1"/>
  <c r="E1453" i="1"/>
  <c r="F1453" i="1"/>
  <c r="K1453" i="1"/>
  <c r="D1454" i="1"/>
  <c r="E1454" i="1"/>
  <c r="F1454" i="1"/>
  <c r="K1454" i="1"/>
  <c r="D1455" i="1"/>
  <c r="E1455" i="1"/>
  <c r="F1455" i="1"/>
  <c r="K1455" i="1"/>
  <c r="D1456" i="1"/>
  <c r="E1456" i="1"/>
  <c r="F1456" i="1"/>
  <c r="K1456" i="1"/>
  <c r="D1457" i="1"/>
  <c r="E1457" i="1"/>
  <c r="F1457" i="1"/>
  <c r="K1457" i="1"/>
  <c r="D1458" i="1"/>
  <c r="E1458" i="1"/>
  <c r="F1458" i="1"/>
  <c r="K1458" i="1"/>
  <c r="D1459" i="1"/>
  <c r="E1459" i="1"/>
  <c r="F1459" i="1"/>
  <c r="K1459" i="1"/>
  <c r="D1460" i="1"/>
  <c r="E1460" i="1"/>
  <c r="F1460" i="1"/>
  <c r="K1460" i="1"/>
  <c r="D1461" i="1"/>
  <c r="E1461" i="1"/>
  <c r="F1461" i="1"/>
  <c r="K1461" i="1"/>
  <c r="D1462" i="1"/>
  <c r="E1462" i="1"/>
  <c r="F1462" i="1"/>
  <c r="K1462" i="1"/>
  <c r="D1463" i="1"/>
  <c r="E1463" i="1"/>
  <c r="F1463" i="1"/>
  <c r="K1463" i="1"/>
  <c r="D1464" i="1"/>
  <c r="E1464" i="1"/>
  <c r="F1464" i="1"/>
  <c r="K1464" i="1"/>
  <c r="D1465" i="1"/>
  <c r="E1465" i="1"/>
  <c r="F1465" i="1"/>
  <c r="K1465" i="1"/>
  <c r="D1466" i="1"/>
  <c r="E1466" i="1"/>
  <c r="F1466" i="1"/>
  <c r="K1466" i="1"/>
  <c r="D1467" i="1"/>
  <c r="E1467" i="1"/>
  <c r="F1467" i="1"/>
  <c r="K1467" i="1"/>
  <c r="D1468" i="1"/>
  <c r="E1468" i="1"/>
  <c r="F1468" i="1"/>
  <c r="K1468" i="1"/>
  <c r="D1469" i="1"/>
  <c r="E1469" i="1"/>
  <c r="F1469" i="1"/>
  <c r="K1469" i="1"/>
  <c r="D1470" i="1"/>
  <c r="E1470" i="1"/>
  <c r="F1470" i="1"/>
  <c r="K1470" i="1"/>
  <c r="D1471" i="1"/>
  <c r="E1471" i="1"/>
  <c r="F1471" i="1"/>
  <c r="K1471" i="1"/>
  <c r="D1472" i="1"/>
  <c r="E1472" i="1"/>
  <c r="F1472" i="1"/>
  <c r="K1472" i="1"/>
  <c r="D1473" i="1"/>
  <c r="E1473" i="1"/>
  <c r="F1473" i="1"/>
  <c r="K1473" i="1"/>
  <c r="D1474" i="1"/>
  <c r="E1474" i="1"/>
  <c r="F1474" i="1"/>
  <c r="K1474" i="1"/>
  <c r="D1475" i="1"/>
  <c r="E1475" i="1"/>
  <c r="F1475" i="1"/>
  <c r="K1475" i="1"/>
  <c r="D1476" i="1"/>
  <c r="E1476" i="1"/>
  <c r="F1476" i="1"/>
  <c r="K1476" i="1"/>
  <c r="D1477" i="1"/>
  <c r="E1477" i="1"/>
  <c r="F1477" i="1"/>
  <c r="K1477" i="1"/>
  <c r="D1478" i="1"/>
  <c r="E1478" i="1"/>
  <c r="F1478" i="1"/>
  <c r="K1478" i="1"/>
  <c r="D1479" i="1"/>
  <c r="E1479" i="1"/>
  <c r="F1479" i="1"/>
  <c r="K1479" i="1"/>
  <c r="D1480" i="1"/>
  <c r="E1480" i="1"/>
  <c r="F1480" i="1"/>
  <c r="K1480" i="1"/>
  <c r="D1481" i="1"/>
  <c r="E1481" i="1"/>
  <c r="F1481" i="1"/>
  <c r="K1481" i="1"/>
  <c r="D1482" i="1"/>
  <c r="E1482" i="1"/>
  <c r="F1482" i="1"/>
  <c r="K1482" i="1"/>
  <c r="D1483" i="1"/>
  <c r="E1483" i="1"/>
  <c r="F1483" i="1"/>
  <c r="K1483" i="1"/>
  <c r="D1484" i="1"/>
  <c r="E1484" i="1"/>
  <c r="F1484" i="1"/>
  <c r="K1484" i="1"/>
  <c r="D1485" i="1"/>
  <c r="E1485" i="1"/>
  <c r="F1485" i="1"/>
  <c r="K1485" i="1"/>
  <c r="D1486" i="1"/>
  <c r="E1486" i="1"/>
  <c r="F1486" i="1"/>
  <c r="K1486" i="1"/>
  <c r="D1487" i="1"/>
  <c r="E1487" i="1"/>
  <c r="F1487" i="1"/>
  <c r="K1487" i="1"/>
  <c r="D1488" i="1"/>
  <c r="E1488" i="1"/>
  <c r="F1488" i="1"/>
  <c r="K1488" i="1"/>
  <c r="D1489" i="1"/>
  <c r="E1489" i="1"/>
  <c r="F1489" i="1"/>
  <c r="K1489" i="1"/>
  <c r="D1490" i="1"/>
  <c r="E1490" i="1"/>
  <c r="F1490" i="1"/>
  <c r="K1490" i="1"/>
  <c r="D1491" i="1"/>
  <c r="E1491" i="1"/>
  <c r="F1491" i="1"/>
  <c r="K1491" i="1"/>
  <c r="D1492" i="1"/>
  <c r="E1492" i="1"/>
  <c r="F1492" i="1"/>
  <c r="K1492" i="1"/>
  <c r="D1493" i="1"/>
  <c r="E1493" i="1"/>
  <c r="F1493" i="1"/>
  <c r="K1493" i="1"/>
  <c r="D1494" i="1"/>
  <c r="E1494" i="1"/>
  <c r="F1494" i="1"/>
  <c r="K1494" i="1"/>
  <c r="D1495" i="1"/>
  <c r="E1495" i="1"/>
  <c r="F1495" i="1"/>
  <c r="K1495" i="1"/>
  <c r="D1496" i="1"/>
  <c r="E1496" i="1"/>
  <c r="F1496" i="1"/>
  <c r="K1496" i="1"/>
  <c r="D1497" i="1"/>
  <c r="E1497" i="1"/>
  <c r="F1497" i="1"/>
  <c r="K1497" i="1"/>
  <c r="D1498" i="1"/>
  <c r="E1498" i="1"/>
  <c r="F1498" i="1"/>
  <c r="K1498" i="1"/>
  <c r="D1499" i="1"/>
  <c r="E1499" i="1"/>
  <c r="F1499" i="1"/>
  <c r="K1499" i="1"/>
  <c r="D1500" i="1"/>
  <c r="E1500" i="1"/>
  <c r="F1500" i="1"/>
  <c r="K1500" i="1"/>
  <c r="D1501" i="1"/>
  <c r="E1501" i="1"/>
  <c r="F1501" i="1"/>
  <c r="K1501" i="1"/>
  <c r="D1502" i="1"/>
  <c r="E1502" i="1"/>
  <c r="F1502" i="1"/>
  <c r="K1502" i="1"/>
  <c r="D1503" i="1"/>
  <c r="E1503" i="1"/>
  <c r="F1503" i="1"/>
  <c r="K1503" i="1"/>
  <c r="D1504" i="1"/>
  <c r="E1504" i="1"/>
  <c r="F1504" i="1"/>
  <c r="K1504" i="1"/>
  <c r="D1505" i="1"/>
  <c r="E1505" i="1"/>
  <c r="F1505" i="1"/>
  <c r="K1505" i="1"/>
  <c r="D1506" i="1"/>
  <c r="E1506" i="1"/>
  <c r="F1506" i="1"/>
  <c r="K1506" i="1"/>
  <c r="D1507" i="1"/>
  <c r="E1507" i="1"/>
  <c r="F1507" i="1"/>
  <c r="K1507" i="1"/>
  <c r="D1508" i="1"/>
  <c r="E1508" i="1"/>
  <c r="F1508" i="1"/>
  <c r="K1508" i="1"/>
  <c r="D1509" i="1"/>
  <c r="E1509" i="1"/>
  <c r="F1509" i="1"/>
  <c r="K1509" i="1"/>
  <c r="D1510" i="1"/>
  <c r="E1510" i="1"/>
  <c r="F1510" i="1"/>
  <c r="K1510" i="1"/>
  <c r="D1511" i="1"/>
  <c r="E1511" i="1"/>
  <c r="F1511" i="1"/>
  <c r="K1511" i="1"/>
  <c r="D1512" i="1"/>
  <c r="E1512" i="1"/>
  <c r="F1512" i="1"/>
  <c r="K1512" i="1"/>
  <c r="D1513" i="1"/>
  <c r="E1513" i="1"/>
  <c r="F1513" i="1"/>
  <c r="K1513" i="1"/>
  <c r="D1514" i="1"/>
  <c r="E1514" i="1"/>
  <c r="F1514" i="1"/>
  <c r="K1514" i="1"/>
  <c r="D1515" i="1"/>
  <c r="E1515" i="1"/>
  <c r="F1515" i="1"/>
  <c r="K1515" i="1"/>
  <c r="D1516" i="1"/>
  <c r="E1516" i="1"/>
  <c r="F1516" i="1"/>
  <c r="K1516" i="1"/>
  <c r="D1517" i="1"/>
  <c r="E1517" i="1"/>
  <c r="F1517" i="1"/>
  <c r="K1517" i="1"/>
  <c r="D1518" i="1"/>
  <c r="E1518" i="1"/>
  <c r="F1518" i="1"/>
  <c r="K1518" i="1"/>
  <c r="D1519" i="1"/>
  <c r="E1519" i="1"/>
  <c r="F1519" i="1"/>
  <c r="K1519" i="1"/>
  <c r="D1520" i="1"/>
  <c r="E1520" i="1"/>
  <c r="F1520" i="1"/>
  <c r="K1520" i="1"/>
  <c r="D1521" i="1"/>
  <c r="E1521" i="1"/>
  <c r="F1521" i="1"/>
  <c r="K1521" i="1"/>
  <c r="D1522" i="1"/>
  <c r="E1522" i="1"/>
  <c r="F1522" i="1"/>
  <c r="K1522" i="1"/>
  <c r="D1523" i="1"/>
  <c r="E1523" i="1"/>
  <c r="F1523" i="1"/>
  <c r="K1523" i="1"/>
  <c r="D1524" i="1"/>
  <c r="E1524" i="1"/>
  <c r="F1524" i="1"/>
  <c r="K1524" i="1"/>
  <c r="D1525" i="1"/>
  <c r="E1525" i="1"/>
  <c r="F1525" i="1"/>
  <c r="K1525" i="1"/>
  <c r="D1526" i="1"/>
  <c r="E1526" i="1"/>
  <c r="F1526" i="1"/>
  <c r="K1526" i="1"/>
  <c r="D1527" i="1"/>
  <c r="E1527" i="1"/>
  <c r="F1527" i="1"/>
  <c r="K1527" i="1"/>
  <c r="D1528" i="1"/>
  <c r="E1528" i="1"/>
  <c r="F1528" i="1"/>
  <c r="K1528" i="1"/>
  <c r="D1529" i="1"/>
  <c r="E1529" i="1"/>
  <c r="F1529" i="1"/>
  <c r="K1529" i="1"/>
  <c r="D1530" i="1"/>
  <c r="E1530" i="1"/>
  <c r="F1530" i="1"/>
  <c r="K1530" i="1"/>
  <c r="D1531" i="1"/>
  <c r="E1531" i="1"/>
  <c r="F1531" i="1"/>
  <c r="K1531" i="1"/>
  <c r="D1532" i="1"/>
  <c r="E1532" i="1"/>
  <c r="F1532" i="1"/>
  <c r="K1532" i="1"/>
  <c r="D1533" i="1"/>
  <c r="E1533" i="1"/>
  <c r="F1533" i="1"/>
  <c r="K1533" i="1"/>
  <c r="D1534" i="1"/>
  <c r="E1534" i="1"/>
  <c r="F1534" i="1"/>
  <c r="K1534" i="1"/>
  <c r="D1535" i="1"/>
  <c r="E1535" i="1"/>
  <c r="F1535" i="1"/>
  <c r="K1535" i="1"/>
  <c r="D1536" i="1"/>
  <c r="E1536" i="1"/>
  <c r="F1536" i="1"/>
  <c r="K1536" i="1"/>
  <c r="D1537" i="1"/>
  <c r="E1537" i="1"/>
  <c r="F1537" i="1"/>
  <c r="K1537" i="1"/>
  <c r="D1538" i="1"/>
  <c r="E1538" i="1"/>
  <c r="F1538" i="1"/>
  <c r="K1538" i="1"/>
  <c r="D1539" i="1"/>
  <c r="E1539" i="1"/>
  <c r="F1539" i="1"/>
  <c r="K1539" i="1"/>
  <c r="D1540" i="1"/>
  <c r="E1540" i="1"/>
  <c r="F1540" i="1"/>
  <c r="K1540" i="1"/>
  <c r="D1541" i="1"/>
  <c r="E1541" i="1"/>
  <c r="F1541" i="1"/>
  <c r="K1541" i="1"/>
  <c r="D1542" i="1"/>
  <c r="E1542" i="1"/>
  <c r="F1542" i="1"/>
  <c r="K1542" i="1"/>
  <c r="D1543" i="1"/>
  <c r="E1543" i="1"/>
  <c r="F1543" i="1"/>
  <c r="K1543" i="1"/>
  <c r="D1544" i="1"/>
  <c r="E1544" i="1"/>
  <c r="F1544" i="1"/>
  <c r="K1544" i="1"/>
  <c r="D1545" i="1"/>
  <c r="E1545" i="1"/>
  <c r="F1545" i="1"/>
  <c r="K1545" i="1"/>
  <c r="D1546" i="1"/>
  <c r="E1546" i="1"/>
  <c r="F1546" i="1"/>
  <c r="K1546" i="1"/>
  <c r="D1547" i="1"/>
  <c r="E1547" i="1"/>
  <c r="F1547" i="1"/>
  <c r="K1547" i="1"/>
  <c r="D1548" i="1"/>
  <c r="E1548" i="1"/>
  <c r="F1548" i="1"/>
  <c r="K1548" i="1"/>
  <c r="D1549" i="1"/>
  <c r="E1549" i="1"/>
  <c r="F1549" i="1"/>
  <c r="K1549" i="1"/>
  <c r="D1550" i="1"/>
  <c r="E1550" i="1"/>
  <c r="F1550" i="1"/>
  <c r="K1550" i="1"/>
  <c r="D1551" i="1"/>
  <c r="E1551" i="1"/>
  <c r="F1551" i="1"/>
  <c r="K1551" i="1"/>
  <c r="D1552" i="1"/>
  <c r="E1552" i="1"/>
  <c r="F1552" i="1"/>
  <c r="K1552" i="1"/>
  <c r="D1553" i="1"/>
  <c r="E1553" i="1"/>
  <c r="F1553" i="1"/>
  <c r="K1553" i="1"/>
  <c r="D1554" i="1"/>
  <c r="E1554" i="1"/>
  <c r="F1554" i="1"/>
  <c r="K1554" i="1"/>
  <c r="D1555" i="1"/>
  <c r="E1555" i="1"/>
  <c r="F1555" i="1"/>
  <c r="K1555" i="1"/>
  <c r="D1556" i="1"/>
  <c r="E1556" i="1"/>
  <c r="F1556" i="1"/>
  <c r="K1556" i="1"/>
  <c r="D1557" i="1"/>
  <c r="E1557" i="1"/>
  <c r="F1557" i="1"/>
  <c r="K1557" i="1"/>
  <c r="D1558" i="1"/>
  <c r="E1558" i="1"/>
  <c r="F1558" i="1"/>
  <c r="K1558" i="1"/>
  <c r="D1559" i="1"/>
  <c r="E1559" i="1"/>
  <c r="F1559" i="1"/>
  <c r="K1559" i="1"/>
  <c r="D1560" i="1"/>
  <c r="E1560" i="1"/>
  <c r="F1560" i="1"/>
  <c r="K1560" i="1"/>
  <c r="D1561" i="1"/>
  <c r="E1561" i="1"/>
  <c r="F1561" i="1"/>
  <c r="K1561" i="1"/>
  <c r="D1562" i="1"/>
  <c r="E1562" i="1"/>
  <c r="F1562" i="1"/>
  <c r="K1562" i="1"/>
  <c r="D1563" i="1"/>
  <c r="E1563" i="1"/>
  <c r="F1563" i="1"/>
  <c r="K1563" i="1"/>
  <c r="D1564" i="1"/>
  <c r="E1564" i="1"/>
  <c r="F1564" i="1"/>
  <c r="K1564" i="1"/>
  <c r="D1565" i="1"/>
  <c r="E1565" i="1"/>
  <c r="F1565" i="1"/>
  <c r="K1565" i="1"/>
  <c r="D1566" i="1"/>
  <c r="E1566" i="1"/>
  <c r="F1566" i="1"/>
  <c r="K1566" i="1"/>
  <c r="D1567" i="1"/>
  <c r="E1567" i="1"/>
  <c r="F1567" i="1"/>
  <c r="K1567" i="1"/>
  <c r="D1568" i="1"/>
  <c r="E1568" i="1"/>
  <c r="F1568" i="1"/>
  <c r="K1568" i="1"/>
  <c r="D1569" i="1"/>
  <c r="E1569" i="1"/>
  <c r="F1569" i="1"/>
  <c r="K1569" i="1"/>
  <c r="D1570" i="1"/>
  <c r="E1570" i="1"/>
  <c r="F1570" i="1"/>
  <c r="K1570" i="1"/>
  <c r="D1571" i="1"/>
  <c r="E1571" i="1"/>
  <c r="F1571" i="1"/>
  <c r="K1571" i="1"/>
  <c r="D1572" i="1"/>
  <c r="E1572" i="1"/>
  <c r="F1572" i="1"/>
  <c r="K1572" i="1"/>
  <c r="D1573" i="1"/>
  <c r="E1573" i="1"/>
  <c r="F1573" i="1"/>
  <c r="K1573" i="1"/>
  <c r="D1574" i="1"/>
  <c r="E1574" i="1"/>
  <c r="F1574" i="1"/>
  <c r="K1574" i="1"/>
  <c r="D1575" i="1"/>
  <c r="E1575" i="1"/>
  <c r="F1575" i="1"/>
  <c r="K1575" i="1"/>
  <c r="D1576" i="1"/>
  <c r="E1576" i="1"/>
  <c r="F1576" i="1"/>
  <c r="K1576" i="1"/>
  <c r="D1577" i="1"/>
  <c r="E1577" i="1"/>
  <c r="F1577" i="1"/>
  <c r="K1577" i="1"/>
  <c r="D1578" i="1"/>
  <c r="E1578" i="1"/>
  <c r="F1578" i="1"/>
  <c r="K1578" i="1"/>
  <c r="D1579" i="1"/>
  <c r="E1579" i="1"/>
  <c r="F1579" i="1"/>
  <c r="K1579" i="1"/>
  <c r="D1580" i="1"/>
  <c r="E1580" i="1"/>
  <c r="F1580" i="1"/>
  <c r="K1580" i="1"/>
  <c r="D1581" i="1"/>
  <c r="E1581" i="1"/>
  <c r="F1581" i="1"/>
  <c r="K1581" i="1"/>
  <c r="D1582" i="1"/>
  <c r="E1582" i="1"/>
  <c r="F1582" i="1"/>
  <c r="K1582" i="1"/>
  <c r="D1583" i="1"/>
  <c r="E1583" i="1"/>
  <c r="F1583" i="1"/>
  <c r="K1583" i="1"/>
  <c r="D1584" i="1"/>
  <c r="E1584" i="1"/>
  <c r="F1584" i="1"/>
  <c r="K1584" i="1"/>
  <c r="D1585" i="1"/>
  <c r="E1585" i="1"/>
  <c r="F1585" i="1"/>
  <c r="K1585" i="1"/>
  <c r="D1586" i="1"/>
  <c r="E1586" i="1"/>
  <c r="F1586" i="1"/>
  <c r="K1586" i="1"/>
  <c r="D1587" i="1"/>
  <c r="E1587" i="1"/>
  <c r="F1587" i="1"/>
  <c r="K1587" i="1"/>
  <c r="D1588" i="1"/>
  <c r="E1588" i="1"/>
  <c r="F1588" i="1"/>
  <c r="K1588" i="1"/>
  <c r="D1589" i="1"/>
  <c r="E1589" i="1"/>
  <c r="F1589" i="1"/>
  <c r="K1589" i="1"/>
  <c r="D1590" i="1"/>
  <c r="E1590" i="1"/>
  <c r="F1590" i="1"/>
  <c r="K1590" i="1"/>
  <c r="D1591" i="1"/>
  <c r="E1591" i="1"/>
  <c r="F1591" i="1"/>
  <c r="K1591" i="1"/>
  <c r="D1592" i="1"/>
  <c r="E1592" i="1"/>
  <c r="F1592" i="1"/>
  <c r="K1592" i="1"/>
  <c r="D1593" i="1"/>
  <c r="E1593" i="1"/>
  <c r="F1593" i="1"/>
  <c r="K1593" i="1"/>
  <c r="D1594" i="1"/>
  <c r="E1594" i="1"/>
  <c r="F1594" i="1"/>
  <c r="K1594" i="1"/>
  <c r="D1595" i="1"/>
  <c r="E1595" i="1"/>
  <c r="F1595" i="1"/>
  <c r="K1595" i="1"/>
  <c r="D1596" i="1"/>
  <c r="E1596" i="1"/>
  <c r="F1596" i="1"/>
  <c r="K1596" i="1"/>
  <c r="D1597" i="1"/>
  <c r="E1597" i="1"/>
  <c r="F1597" i="1"/>
  <c r="K1597" i="1"/>
  <c r="D1598" i="1"/>
  <c r="E1598" i="1"/>
  <c r="F1598" i="1"/>
  <c r="K1598" i="1"/>
  <c r="D1599" i="1"/>
  <c r="E1599" i="1"/>
  <c r="F1599" i="1"/>
  <c r="K1599" i="1"/>
  <c r="D1600" i="1"/>
  <c r="E1600" i="1"/>
  <c r="F1600" i="1"/>
  <c r="K1600" i="1"/>
  <c r="D1601" i="1"/>
  <c r="E1601" i="1"/>
  <c r="F1601" i="1"/>
  <c r="K1601" i="1"/>
  <c r="D1602" i="1"/>
  <c r="E1602" i="1"/>
  <c r="F1602" i="1"/>
  <c r="K1602" i="1"/>
  <c r="D1603" i="1"/>
  <c r="E1603" i="1"/>
  <c r="F1603" i="1"/>
  <c r="K1603" i="1"/>
  <c r="D1604" i="1"/>
  <c r="E1604" i="1"/>
  <c r="F1604" i="1"/>
  <c r="K1604" i="1"/>
  <c r="D1605" i="1"/>
  <c r="E1605" i="1"/>
  <c r="F1605" i="1"/>
  <c r="K1605" i="1"/>
  <c r="D1606" i="1"/>
  <c r="E1606" i="1"/>
  <c r="F1606" i="1"/>
  <c r="K1606" i="1"/>
  <c r="D1607" i="1"/>
  <c r="E1607" i="1"/>
  <c r="F1607" i="1"/>
  <c r="K1607" i="1"/>
  <c r="D1608" i="1"/>
  <c r="E1608" i="1"/>
  <c r="F1608" i="1"/>
  <c r="K1608" i="1"/>
  <c r="D1609" i="1"/>
  <c r="E1609" i="1"/>
  <c r="F1609" i="1"/>
  <c r="K1609" i="1"/>
  <c r="D1610" i="1"/>
  <c r="E1610" i="1"/>
  <c r="F1610" i="1"/>
  <c r="K1610" i="1"/>
  <c r="D1611" i="1"/>
  <c r="E1611" i="1"/>
  <c r="F1611" i="1"/>
  <c r="K1611" i="1"/>
  <c r="D1612" i="1"/>
  <c r="E1612" i="1"/>
  <c r="F1612" i="1"/>
  <c r="K1612" i="1"/>
  <c r="D1613" i="1"/>
  <c r="E1613" i="1"/>
  <c r="F1613" i="1"/>
  <c r="K1613" i="1"/>
  <c r="D1614" i="1"/>
  <c r="E1614" i="1"/>
  <c r="F1614" i="1"/>
  <c r="K1614" i="1"/>
  <c r="D1615" i="1"/>
  <c r="E1615" i="1"/>
  <c r="F1615" i="1"/>
  <c r="K1615" i="1"/>
  <c r="D1616" i="1"/>
  <c r="E1616" i="1"/>
  <c r="F1616" i="1"/>
  <c r="K1616" i="1"/>
  <c r="D1617" i="1"/>
  <c r="E1617" i="1"/>
  <c r="F1617" i="1"/>
  <c r="K1617" i="1"/>
  <c r="D1618" i="1"/>
  <c r="E1618" i="1"/>
  <c r="F1618" i="1"/>
  <c r="K1618" i="1"/>
  <c r="D1619" i="1"/>
  <c r="E1619" i="1"/>
  <c r="F1619" i="1"/>
  <c r="K1619" i="1"/>
  <c r="D1620" i="1"/>
  <c r="E1620" i="1"/>
  <c r="F1620" i="1"/>
  <c r="K1620" i="1"/>
  <c r="D1621" i="1"/>
  <c r="E1621" i="1"/>
  <c r="F1621" i="1"/>
  <c r="K1621" i="1"/>
  <c r="D1622" i="1"/>
  <c r="E1622" i="1"/>
  <c r="F1622" i="1"/>
  <c r="K1622" i="1"/>
  <c r="D1623" i="1"/>
  <c r="E1623" i="1"/>
  <c r="F1623" i="1"/>
  <c r="K1623" i="1"/>
  <c r="D1624" i="1"/>
  <c r="E1624" i="1"/>
  <c r="F1624" i="1"/>
  <c r="K1624" i="1"/>
  <c r="D1625" i="1"/>
  <c r="E1625" i="1"/>
  <c r="F1625" i="1"/>
  <c r="K1625" i="1"/>
  <c r="D1626" i="1"/>
  <c r="E1626" i="1"/>
  <c r="F1626" i="1"/>
  <c r="K1626" i="1"/>
  <c r="D1627" i="1"/>
  <c r="E1627" i="1"/>
  <c r="F1627" i="1"/>
  <c r="K1627" i="1"/>
  <c r="D1628" i="1"/>
  <c r="E1628" i="1"/>
  <c r="F1628" i="1"/>
  <c r="K1628" i="1"/>
  <c r="D1629" i="1"/>
  <c r="E1629" i="1"/>
  <c r="F1629" i="1"/>
  <c r="K1629" i="1"/>
  <c r="D1630" i="1"/>
  <c r="E1630" i="1"/>
  <c r="F1630" i="1"/>
  <c r="K1630" i="1"/>
  <c r="D1631" i="1"/>
  <c r="E1631" i="1"/>
  <c r="F1631" i="1"/>
  <c r="K1631" i="1"/>
  <c r="D1632" i="1"/>
  <c r="E1632" i="1"/>
  <c r="F1632" i="1"/>
  <c r="K1632" i="1"/>
  <c r="D1633" i="1"/>
  <c r="E1633" i="1"/>
  <c r="F1633" i="1"/>
  <c r="K1633" i="1"/>
  <c r="D1634" i="1"/>
  <c r="E1634" i="1"/>
  <c r="F1634" i="1"/>
  <c r="K1634" i="1"/>
  <c r="D1635" i="1"/>
  <c r="E1635" i="1"/>
  <c r="F1635" i="1"/>
  <c r="K1635" i="1"/>
  <c r="D1636" i="1"/>
  <c r="E1636" i="1"/>
  <c r="F1636" i="1"/>
  <c r="K1636" i="1"/>
  <c r="D1637" i="1"/>
  <c r="E1637" i="1"/>
  <c r="F1637" i="1"/>
  <c r="K1637" i="1"/>
  <c r="D1638" i="1"/>
  <c r="E1638" i="1"/>
  <c r="F1638" i="1"/>
  <c r="K1638" i="1"/>
  <c r="D1639" i="1"/>
  <c r="E1639" i="1"/>
  <c r="F1639" i="1"/>
  <c r="K1639" i="1"/>
  <c r="D1640" i="1"/>
  <c r="E1640" i="1"/>
  <c r="F1640" i="1"/>
  <c r="K1640" i="1"/>
  <c r="D1641" i="1"/>
  <c r="E1641" i="1"/>
  <c r="F1641" i="1"/>
  <c r="K1641" i="1"/>
  <c r="D1642" i="1"/>
  <c r="E1642" i="1"/>
  <c r="F1642" i="1"/>
  <c r="K1642" i="1"/>
  <c r="D1643" i="1"/>
  <c r="E1643" i="1"/>
  <c r="F1643" i="1"/>
  <c r="K1643" i="1"/>
  <c r="D1644" i="1"/>
  <c r="E1644" i="1"/>
  <c r="F1644" i="1"/>
  <c r="K1644" i="1"/>
  <c r="D1645" i="1"/>
  <c r="E1645" i="1"/>
  <c r="F1645" i="1"/>
  <c r="K1645" i="1"/>
  <c r="D1646" i="1"/>
  <c r="E1646" i="1"/>
  <c r="F1646" i="1"/>
  <c r="K1646" i="1"/>
  <c r="D1647" i="1"/>
  <c r="E1647" i="1"/>
  <c r="F1647" i="1"/>
  <c r="K1647" i="1"/>
  <c r="D1648" i="1"/>
  <c r="E1648" i="1"/>
  <c r="F1648" i="1"/>
  <c r="K1648" i="1"/>
  <c r="D1649" i="1"/>
  <c r="E1649" i="1"/>
  <c r="F1649" i="1"/>
  <c r="K1649" i="1"/>
  <c r="D1650" i="1"/>
  <c r="E1650" i="1"/>
  <c r="F1650" i="1"/>
  <c r="K1650" i="1"/>
  <c r="D1651" i="1"/>
  <c r="E1651" i="1"/>
  <c r="F1651" i="1"/>
  <c r="K1651" i="1"/>
  <c r="D1652" i="1"/>
  <c r="E1652" i="1"/>
  <c r="F1652" i="1"/>
  <c r="K1652" i="1"/>
  <c r="D1653" i="1"/>
  <c r="E1653" i="1"/>
  <c r="F1653" i="1"/>
  <c r="K1653" i="1"/>
  <c r="D1654" i="1"/>
  <c r="E1654" i="1"/>
  <c r="F1654" i="1"/>
  <c r="K1654" i="1"/>
  <c r="D1655" i="1"/>
  <c r="E1655" i="1"/>
  <c r="F1655" i="1"/>
  <c r="K1655" i="1"/>
  <c r="D1656" i="1"/>
  <c r="E1656" i="1"/>
  <c r="F1656" i="1"/>
  <c r="K1656" i="1"/>
  <c r="D1657" i="1"/>
  <c r="E1657" i="1"/>
  <c r="F1657" i="1"/>
  <c r="K1657" i="1"/>
  <c r="D1658" i="1"/>
  <c r="E1658" i="1"/>
  <c r="F1658" i="1"/>
  <c r="K1658" i="1"/>
  <c r="D1659" i="1"/>
  <c r="E1659" i="1"/>
  <c r="F1659" i="1"/>
  <c r="K1659" i="1"/>
  <c r="D1660" i="1"/>
  <c r="E1660" i="1"/>
  <c r="F1660" i="1"/>
  <c r="K1660" i="1"/>
  <c r="D1661" i="1"/>
  <c r="E1661" i="1"/>
  <c r="F1661" i="1"/>
  <c r="K1661" i="1"/>
  <c r="D1662" i="1"/>
  <c r="E1662" i="1"/>
  <c r="F1662" i="1"/>
  <c r="K1662" i="1"/>
  <c r="D1663" i="1"/>
  <c r="E1663" i="1"/>
  <c r="F1663" i="1"/>
  <c r="K1663" i="1"/>
  <c r="D1664" i="1"/>
  <c r="E1664" i="1"/>
  <c r="F1664" i="1"/>
  <c r="K1664" i="1"/>
  <c r="D1665" i="1"/>
  <c r="E1665" i="1"/>
  <c r="F1665" i="1"/>
  <c r="K1665" i="1"/>
  <c r="D1666" i="1"/>
  <c r="E1666" i="1"/>
  <c r="F1666" i="1"/>
  <c r="K1666" i="1"/>
  <c r="D1667" i="1"/>
  <c r="E1667" i="1"/>
  <c r="F1667" i="1"/>
  <c r="K1667" i="1"/>
  <c r="D1668" i="1"/>
  <c r="E1668" i="1"/>
  <c r="F1668" i="1"/>
  <c r="K1668" i="1"/>
  <c r="D1669" i="1"/>
  <c r="E1669" i="1"/>
  <c r="F1669" i="1"/>
  <c r="K1669" i="1"/>
  <c r="D1670" i="1"/>
  <c r="E1670" i="1"/>
  <c r="F1670" i="1"/>
  <c r="K1670" i="1"/>
  <c r="D1671" i="1"/>
  <c r="E1671" i="1"/>
  <c r="F1671" i="1"/>
  <c r="K1671" i="1"/>
  <c r="D1672" i="1"/>
  <c r="E1672" i="1"/>
  <c r="F1672" i="1"/>
  <c r="K1672" i="1"/>
  <c r="D1673" i="1"/>
  <c r="E1673" i="1"/>
  <c r="F1673" i="1"/>
  <c r="K1673" i="1"/>
  <c r="D1674" i="1"/>
  <c r="E1674" i="1"/>
  <c r="F1674" i="1"/>
  <c r="K1674" i="1"/>
  <c r="D1675" i="1"/>
  <c r="E1675" i="1"/>
  <c r="F1675" i="1"/>
  <c r="K1675" i="1"/>
  <c r="D1676" i="1"/>
  <c r="E1676" i="1"/>
  <c r="F1676" i="1"/>
  <c r="K1676" i="1"/>
  <c r="D1677" i="1"/>
  <c r="E1677" i="1"/>
  <c r="F1677" i="1"/>
  <c r="K1677" i="1"/>
  <c r="D1678" i="1"/>
  <c r="E1678" i="1"/>
  <c r="F1678" i="1"/>
  <c r="K1678" i="1"/>
  <c r="D1679" i="1"/>
  <c r="E1679" i="1"/>
  <c r="F1679" i="1"/>
  <c r="K1679" i="1"/>
  <c r="D1680" i="1"/>
  <c r="E1680" i="1"/>
  <c r="F1680" i="1"/>
  <c r="K1680" i="1"/>
  <c r="D1681" i="1"/>
  <c r="E1681" i="1"/>
  <c r="F1681" i="1"/>
  <c r="K1681" i="1"/>
  <c r="D1682" i="1"/>
  <c r="E1682" i="1"/>
  <c r="F1682" i="1"/>
  <c r="K1682" i="1"/>
  <c r="D1683" i="1"/>
  <c r="E1683" i="1"/>
  <c r="F1683" i="1"/>
  <c r="K1683" i="1"/>
  <c r="D1684" i="1"/>
  <c r="E1684" i="1"/>
  <c r="F1684" i="1"/>
  <c r="K1684" i="1"/>
  <c r="D1685" i="1"/>
  <c r="E1685" i="1"/>
  <c r="F1685" i="1"/>
  <c r="K1685" i="1"/>
  <c r="D1686" i="1"/>
  <c r="E1686" i="1"/>
  <c r="F1686" i="1"/>
  <c r="K1686" i="1"/>
  <c r="D1687" i="1"/>
  <c r="E1687" i="1"/>
  <c r="F1687" i="1"/>
  <c r="K1687" i="1"/>
  <c r="D1688" i="1"/>
  <c r="E1688" i="1"/>
  <c r="F1688" i="1"/>
  <c r="K1688" i="1"/>
  <c r="D1689" i="1"/>
  <c r="E1689" i="1"/>
  <c r="F1689" i="1"/>
  <c r="K1689" i="1"/>
  <c r="D1690" i="1"/>
  <c r="E1690" i="1"/>
  <c r="F1690" i="1"/>
  <c r="K1690" i="1"/>
  <c r="D1691" i="1"/>
  <c r="E1691" i="1"/>
  <c r="F1691" i="1"/>
  <c r="K1691" i="1"/>
  <c r="D1692" i="1"/>
  <c r="E1692" i="1"/>
  <c r="F1692" i="1"/>
  <c r="K1692" i="1"/>
  <c r="D1693" i="1"/>
  <c r="E1693" i="1"/>
  <c r="F1693" i="1"/>
  <c r="K1693" i="1"/>
  <c r="D1694" i="1"/>
  <c r="E1694" i="1"/>
  <c r="F1694" i="1"/>
  <c r="K1694" i="1"/>
  <c r="D1695" i="1"/>
  <c r="E1695" i="1"/>
  <c r="F1695" i="1"/>
  <c r="K1695" i="1"/>
  <c r="D1696" i="1"/>
  <c r="E1696" i="1"/>
  <c r="F1696" i="1"/>
  <c r="K1696" i="1"/>
  <c r="D1697" i="1"/>
  <c r="E1697" i="1"/>
  <c r="F1697" i="1"/>
  <c r="K1697" i="1"/>
  <c r="D1698" i="1"/>
  <c r="E1698" i="1"/>
  <c r="F1698" i="1"/>
  <c r="K1698" i="1"/>
  <c r="D1699" i="1"/>
  <c r="E1699" i="1"/>
  <c r="F1699" i="1"/>
  <c r="K1699" i="1"/>
  <c r="D1700" i="1"/>
  <c r="E1700" i="1"/>
  <c r="F1700" i="1"/>
  <c r="K1700" i="1"/>
  <c r="D1701" i="1"/>
  <c r="E1701" i="1"/>
  <c r="F1701" i="1"/>
  <c r="K1701" i="1"/>
  <c r="D1702" i="1"/>
  <c r="E1702" i="1"/>
  <c r="F1702" i="1"/>
  <c r="K1702" i="1"/>
  <c r="D1703" i="1"/>
  <c r="E1703" i="1"/>
  <c r="F1703" i="1"/>
  <c r="K1703" i="1"/>
  <c r="D1704" i="1"/>
  <c r="E1704" i="1"/>
  <c r="F1704" i="1"/>
  <c r="K1704" i="1"/>
  <c r="D1705" i="1"/>
  <c r="E1705" i="1"/>
  <c r="F1705" i="1"/>
  <c r="K1705" i="1"/>
  <c r="D1706" i="1"/>
  <c r="E1706" i="1"/>
  <c r="F1706" i="1"/>
  <c r="K1706" i="1"/>
  <c r="D1707" i="1"/>
  <c r="E1707" i="1"/>
  <c r="F1707" i="1"/>
  <c r="K1707" i="1"/>
  <c r="D1708" i="1"/>
  <c r="E1708" i="1"/>
  <c r="F1708" i="1"/>
  <c r="K1708" i="1"/>
  <c r="D1709" i="1"/>
  <c r="E1709" i="1"/>
  <c r="F1709" i="1"/>
  <c r="K1709" i="1"/>
  <c r="D1710" i="1"/>
  <c r="E1710" i="1"/>
  <c r="F1710" i="1"/>
  <c r="K1710" i="1"/>
  <c r="D1711" i="1"/>
  <c r="E1711" i="1"/>
  <c r="F1711" i="1"/>
  <c r="K1711" i="1"/>
  <c r="D1712" i="1"/>
  <c r="E1712" i="1"/>
  <c r="F1712" i="1"/>
  <c r="K1712" i="1"/>
  <c r="D1713" i="1"/>
  <c r="E1713" i="1"/>
  <c r="F1713" i="1"/>
  <c r="K1713" i="1"/>
  <c r="D1714" i="1"/>
  <c r="E1714" i="1"/>
  <c r="F1714" i="1"/>
  <c r="K1714" i="1"/>
  <c r="D1715" i="1"/>
  <c r="E1715" i="1"/>
  <c r="F1715" i="1"/>
  <c r="K1715" i="1"/>
  <c r="D1716" i="1"/>
  <c r="E1716" i="1"/>
  <c r="F1716" i="1"/>
  <c r="K1716" i="1"/>
  <c r="D1717" i="1"/>
  <c r="E1717" i="1"/>
  <c r="F1717" i="1"/>
  <c r="K1717" i="1"/>
  <c r="D1718" i="1"/>
  <c r="E1718" i="1"/>
  <c r="F1718" i="1"/>
  <c r="K1718" i="1"/>
  <c r="D1719" i="1"/>
  <c r="E1719" i="1"/>
  <c r="F1719" i="1"/>
  <c r="K1719" i="1"/>
  <c r="D1720" i="1"/>
  <c r="E1720" i="1"/>
  <c r="F1720" i="1"/>
  <c r="K1720" i="1"/>
  <c r="D1721" i="1"/>
  <c r="E1721" i="1"/>
  <c r="F1721" i="1"/>
  <c r="K1721" i="1"/>
  <c r="D1722" i="1"/>
  <c r="E1722" i="1"/>
  <c r="F1722" i="1"/>
  <c r="K1722" i="1"/>
  <c r="D1723" i="1"/>
  <c r="E1723" i="1"/>
  <c r="F1723" i="1"/>
  <c r="K1723" i="1"/>
  <c r="D1724" i="1"/>
  <c r="E1724" i="1"/>
  <c r="F1724" i="1"/>
  <c r="K1724" i="1"/>
  <c r="D1725" i="1"/>
  <c r="E1725" i="1"/>
  <c r="F1725" i="1"/>
  <c r="K1725" i="1"/>
  <c r="D1726" i="1"/>
  <c r="E1726" i="1"/>
  <c r="F1726" i="1"/>
  <c r="K1726" i="1"/>
  <c r="D1727" i="1"/>
  <c r="E1727" i="1"/>
  <c r="F1727" i="1"/>
  <c r="K1727" i="1"/>
  <c r="D1728" i="1"/>
  <c r="E1728" i="1"/>
  <c r="F1728" i="1"/>
  <c r="K1728" i="1"/>
  <c r="D1729" i="1"/>
  <c r="E1729" i="1"/>
  <c r="F1729" i="1"/>
  <c r="K1729" i="1"/>
  <c r="D1730" i="1"/>
  <c r="E1730" i="1"/>
  <c r="F1730" i="1"/>
  <c r="K1730" i="1"/>
  <c r="D1731" i="1"/>
  <c r="E1731" i="1"/>
  <c r="F1731" i="1"/>
  <c r="K1731" i="1"/>
  <c r="D1732" i="1"/>
  <c r="E1732" i="1"/>
  <c r="F1732" i="1"/>
  <c r="K1732" i="1"/>
  <c r="D1733" i="1"/>
  <c r="E1733" i="1"/>
  <c r="F1733" i="1"/>
  <c r="K1733" i="1"/>
  <c r="D1734" i="1"/>
  <c r="E1734" i="1"/>
  <c r="F1734" i="1"/>
  <c r="K1734" i="1"/>
  <c r="D1735" i="1"/>
  <c r="E1735" i="1"/>
  <c r="F1735" i="1"/>
  <c r="K1735" i="1"/>
  <c r="D1736" i="1"/>
  <c r="E1736" i="1"/>
  <c r="F1736" i="1"/>
  <c r="K1736" i="1"/>
  <c r="D1737" i="1"/>
  <c r="E1737" i="1"/>
  <c r="F1737" i="1"/>
  <c r="K1737" i="1"/>
  <c r="D1738" i="1"/>
  <c r="E1738" i="1"/>
  <c r="F1738" i="1"/>
  <c r="K1738" i="1"/>
  <c r="D1739" i="1"/>
  <c r="E1739" i="1"/>
  <c r="F1739" i="1"/>
  <c r="K1739" i="1"/>
  <c r="D1740" i="1"/>
  <c r="E1740" i="1"/>
  <c r="F1740" i="1"/>
  <c r="K1740" i="1"/>
  <c r="D1741" i="1"/>
  <c r="E1741" i="1"/>
  <c r="F1741" i="1"/>
  <c r="K1741" i="1"/>
  <c r="D1742" i="1"/>
  <c r="E1742" i="1"/>
  <c r="F1742" i="1"/>
  <c r="K1742" i="1"/>
  <c r="D1743" i="1"/>
  <c r="E1743" i="1"/>
  <c r="F1743" i="1"/>
  <c r="K1743" i="1"/>
  <c r="D1744" i="1"/>
  <c r="E1744" i="1"/>
  <c r="F1744" i="1"/>
  <c r="K1744" i="1"/>
  <c r="D1745" i="1"/>
  <c r="E1745" i="1"/>
  <c r="F1745" i="1"/>
  <c r="K1745" i="1"/>
  <c r="D1746" i="1"/>
  <c r="E1746" i="1"/>
  <c r="F1746" i="1"/>
  <c r="K1746" i="1"/>
  <c r="D1747" i="1"/>
  <c r="E1747" i="1"/>
  <c r="F1747" i="1"/>
  <c r="K1747" i="1"/>
  <c r="D1748" i="1"/>
  <c r="E1748" i="1"/>
  <c r="F1748" i="1"/>
  <c r="K1748" i="1"/>
  <c r="D1749" i="1"/>
  <c r="E1749" i="1"/>
  <c r="F1749" i="1"/>
  <c r="K1749" i="1"/>
  <c r="D1750" i="1"/>
  <c r="E1750" i="1"/>
  <c r="F1750" i="1"/>
  <c r="K1750" i="1"/>
  <c r="D1751" i="1"/>
  <c r="E1751" i="1"/>
  <c r="F1751" i="1"/>
  <c r="K1751" i="1"/>
  <c r="D1752" i="1"/>
  <c r="E1752" i="1"/>
  <c r="F1752" i="1"/>
  <c r="K1752" i="1"/>
  <c r="D1753" i="1"/>
  <c r="E1753" i="1"/>
  <c r="F1753" i="1"/>
  <c r="K1753" i="1"/>
  <c r="D1754" i="1"/>
  <c r="E1754" i="1"/>
  <c r="F1754" i="1"/>
  <c r="K1754" i="1"/>
  <c r="D1755" i="1"/>
  <c r="E1755" i="1"/>
  <c r="F1755" i="1"/>
  <c r="K1755" i="1"/>
  <c r="D1756" i="1"/>
  <c r="E1756" i="1"/>
  <c r="F1756" i="1"/>
  <c r="K1756" i="1"/>
  <c r="D1757" i="1"/>
  <c r="E1757" i="1"/>
  <c r="F1757" i="1"/>
  <c r="K1757" i="1"/>
  <c r="D1758" i="1"/>
  <c r="E1758" i="1"/>
  <c r="F1758" i="1"/>
  <c r="K1758" i="1"/>
  <c r="D1759" i="1"/>
  <c r="E1759" i="1"/>
  <c r="F1759" i="1"/>
  <c r="K1759" i="1"/>
  <c r="D1760" i="1"/>
  <c r="E1760" i="1"/>
  <c r="F1760" i="1"/>
  <c r="K1760" i="1"/>
  <c r="D1761" i="1"/>
  <c r="E1761" i="1"/>
  <c r="F1761" i="1"/>
  <c r="K1761" i="1"/>
  <c r="D1762" i="1"/>
  <c r="E1762" i="1"/>
  <c r="F1762" i="1"/>
  <c r="K1762" i="1"/>
  <c r="D1763" i="1"/>
  <c r="E1763" i="1"/>
  <c r="F1763" i="1"/>
  <c r="K1763" i="1"/>
  <c r="D1764" i="1"/>
  <c r="E1764" i="1"/>
  <c r="F1764" i="1"/>
  <c r="K1764" i="1"/>
  <c r="D1765" i="1"/>
  <c r="E1765" i="1"/>
  <c r="F1765" i="1"/>
  <c r="K1765" i="1"/>
  <c r="D1766" i="1"/>
  <c r="E1766" i="1"/>
  <c r="F1766" i="1"/>
  <c r="K1766" i="1"/>
  <c r="D1767" i="1"/>
  <c r="E1767" i="1"/>
  <c r="F1767" i="1"/>
  <c r="K1767" i="1"/>
  <c r="D1768" i="1"/>
  <c r="E1768" i="1"/>
  <c r="F1768" i="1"/>
  <c r="K1768" i="1"/>
  <c r="D1769" i="1"/>
  <c r="E1769" i="1"/>
  <c r="F1769" i="1"/>
  <c r="K1769" i="1"/>
  <c r="D1770" i="1"/>
  <c r="E1770" i="1"/>
  <c r="F1770" i="1"/>
  <c r="K1770" i="1"/>
  <c r="D1771" i="1"/>
  <c r="E1771" i="1"/>
  <c r="F1771" i="1"/>
  <c r="K1771" i="1"/>
  <c r="D1772" i="1"/>
  <c r="E1772" i="1"/>
  <c r="F1772" i="1"/>
  <c r="K1772" i="1"/>
  <c r="D1773" i="1"/>
  <c r="E1773" i="1"/>
  <c r="F1773" i="1"/>
  <c r="K1773" i="1"/>
  <c r="D1774" i="1"/>
  <c r="E1774" i="1"/>
  <c r="F1774" i="1"/>
  <c r="K1774" i="1"/>
  <c r="D1775" i="1"/>
  <c r="E1775" i="1"/>
  <c r="F1775" i="1"/>
  <c r="K1775" i="1"/>
  <c r="D1776" i="1"/>
  <c r="E1776" i="1"/>
  <c r="F1776" i="1"/>
  <c r="K1776" i="1"/>
  <c r="D1777" i="1"/>
  <c r="E1777" i="1"/>
  <c r="F1777" i="1"/>
  <c r="K1777" i="1"/>
  <c r="D1778" i="1"/>
  <c r="E1778" i="1"/>
  <c r="F1778" i="1"/>
  <c r="K1778" i="1"/>
  <c r="D1779" i="1"/>
  <c r="E1779" i="1"/>
  <c r="F1779" i="1"/>
  <c r="K1779" i="1"/>
  <c r="D1780" i="1"/>
  <c r="E1780" i="1"/>
  <c r="F1780" i="1"/>
  <c r="K1780" i="1"/>
  <c r="D1781" i="1"/>
  <c r="E1781" i="1"/>
  <c r="F1781" i="1"/>
  <c r="K1781" i="1"/>
  <c r="D1782" i="1"/>
  <c r="E1782" i="1"/>
  <c r="F1782" i="1"/>
  <c r="K1782" i="1"/>
  <c r="D1783" i="1"/>
  <c r="E1783" i="1"/>
  <c r="F1783" i="1"/>
  <c r="K1783" i="1"/>
  <c r="D1784" i="1"/>
  <c r="E1784" i="1"/>
  <c r="F1784" i="1"/>
  <c r="K1784" i="1"/>
  <c r="D1785" i="1"/>
  <c r="E1785" i="1"/>
  <c r="F1785" i="1"/>
  <c r="K1785" i="1"/>
  <c r="D1786" i="1"/>
  <c r="E1786" i="1"/>
  <c r="F1786" i="1"/>
  <c r="K1786" i="1"/>
  <c r="D1787" i="1"/>
  <c r="E1787" i="1"/>
  <c r="F1787" i="1"/>
  <c r="K1787" i="1"/>
  <c r="D1788" i="1"/>
  <c r="E1788" i="1"/>
  <c r="F1788" i="1"/>
  <c r="K1788" i="1"/>
  <c r="D1789" i="1"/>
  <c r="E1789" i="1"/>
  <c r="F1789" i="1"/>
  <c r="K1789" i="1"/>
  <c r="D1790" i="1"/>
  <c r="E1790" i="1"/>
  <c r="F1790" i="1"/>
  <c r="K1790" i="1"/>
  <c r="D1791" i="1"/>
  <c r="E1791" i="1"/>
  <c r="F1791" i="1"/>
  <c r="K1791" i="1"/>
  <c r="D1792" i="1"/>
  <c r="E1792" i="1"/>
  <c r="F1792" i="1"/>
  <c r="K1792" i="1"/>
  <c r="D1793" i="1"/>
  <c r="E1793" i="1"/>
  <c r="F1793" i="1"/>
  <c r="K1793" i="1"/>
  <c r="D1794" i="1"/>
  <c r="E1794" i="1"/>
  <c r="F1794" i="1"/>
  <c r="K1794" i="1"/>
  <c r="D1795" i="1"/>
  <c r="E1795" i="1"/>
  <c r="F1795" i="1"/>
  <c r="K1795" i="1"/>
  <c r="D1796" i="1"/>
  <c r="E1796" i="1"/>
  <c r="F1796" i="1"/>
  <c r="K1796" i="1"/>
  <c r="D1797" i="1"/>
  <c r="E1797" i="1"/>
  <c r="F1797" i="1"/>
  <c r="K1797" i="1"/>
  <c r="D1798" i="1"/>
  <c r="E1798" i="1"/>
  <c r="F1798" i="1"/>
  <c r="K1798" i="1"/>
  <c r="D1799" i="1"/>
  <c r="E1799" i="1"/>
  <c r="F1799" i="1"/>
  <c r="K1799" i="1"/>
  <c r="D1800" i="1"/>
  <c r="E1800" i="1"/>
  <c r="F1800" i="1"/>
  <c r="K1800" i="1"/>
  <c r="D1801" i="1"/>
  <c r="E1801" i="1"/>
  <c r="F1801" i="1"/>
  <c r="K1801" i="1"/>
  <c r="D1802" i="1"/>
  <c r="E1802" i="1"/>
  <c r="F1802" i="1"/>
  <c r="K1802" i="1"/>
  <c r="D1803" i="1"/>
  <c r="E1803" i="1"/>
  <c r="F1803" i="1"/>
  <c r="K1803" i="1"/>
  <c r="D1804" i="1"/>
  <c r="E1804" i="1"/>
  <c r="F1804" i="1"/>
  <c r="K1804" i="1"/>
  <c r="D1805" i="1"/>
  <c r="E1805" i="1"/>
  <c r="F1805" i="1"/>
  <c r="K1805" i="1"/>
  <c r="D1806" i="1"/>
  <c r="E1806" i="1"/>
  <c r="F1806" i="1"/>
  <c r="K1806" i="1"/>
  <c r="D1807" i="1"/>
  <c r="E1807" i="1"/>
  <c r="F1807" i="1"/>
  <c r="K1807" i="1"/>
  <c r="D1808" i="1"/>
  <c r="E1808" i="1"/>
  <c r="F1808" i="1"/>
  <c r="K1808" i="1"/>
  <c r="D1809" i="1"/>
  <c r="E1809" i="1"/>
  <c r="F1809" i="1"/>
  <c r="K1809" i="1"/>
  <c r="D1810" i="1"/>
  <c r="E1810" i="1"/>
  <c r="F1810" i="1"/>
  <c r="K1810" i="1"/>
  <c r="D1811" i="1"/>
  <c r="E1811" i="1"/>
  <c r="F1811" i="1"/>
  <c r="K1811" i="1"/>
  <c r="D1812" i="1"/>
  <c r="E1812" i="1"/>
  <c r="F1812" i="1"/>
  <c r="K1812" i="1"/>
  <c r="D1813" i="1"/>
  <c r="E1813" i="1"/>
  <c r="F1813" i="1"/>
  <c r="K1813" i="1"/>
  <c r="D1814" i="1"/>
  <c r="E1814" i="1"/>
  <c r="F1814" i="1"/>
  <c r="K1814" i="1"/>
  <c r="D1815" i="1"/>
  <c r="E1815" i="1"/>
  <c r="F1815" i="1"/>
  <c r="K1815" i="1"/>
  <c r="D1816" i="1"/>
  <c r="E1816" i="1"/>
  <c r="F1816" i="1"/>
  <c r="K1816" i="1"/>
  <c r="D1817" i="1"/>
  <c r="E1817" i="1"/>
  <c r="F1817" i="1"/>
  <c r="K1817" i="1"/>
  <c r="D1818" i="1"/>
  <c r="E1818" i="1"/>
  <c r="F1818" i="1"/>
  <c r="K1818" i="1"/>
  <c r="D1819" i="1"/>
  <c r="E1819" i="1"/>
  <c r="F1819" i="1"/>
  <c r="K1819" i="1"/>
  <c r="D1820" i="1"/>
  <c r="E1820" i="1"/>
  <c r="F1820" i="1"/>
  <c r="K1820" i="1"/>
  <c r="D1821" i="1"/>
  <c r="E1821" i="1"/>
  <c r="F1821" i="1"/>
  <c r="K1821" i="1"/>
  <c r="D1822" i="1"/>
  <c r="E1822" i="1"/>
  <c r="F1822" i="1"/>
  <c r="K1822" i="1"/>
  <c r="D1823" i="1"/>
  <c r="E1823" i="1"/>
  <c r="F1823" i="1"/>
  <c r="K1823" i="1"/>
  <c r="D1824" i="1"/>
  <c r="E1824" i="1"/>
  <c r="F1824" i="1"/>
  <c r="K1824" i="1"/>
  <c r="D1825" i="1"/>
  <c r="E1825" i="1"/>
  <c r="F1825" i="1"/>
  <c r="K1825" i="1"/>
  <c r="D1826" i="1"/>
  <c r="E1826" i="1"/>
  <c r="F1826" i="1"/>
  <c r="K1826" i="1"/>
  <c r="D1827" i="1"/>
  <c r="E1827" i="1"/>
  <c r="F1827" i="1"/>
  <c r="K1827" i="1"/>
  <c r="D1828" i="1"/>
  <c r="E1828" i="1"/>
  <c r="F1828" i="1"/>
  <c r="K1828" i="1"/>
  <c r="D1829" i="1"/>
  <c r="E1829" i="1"/>
  <c r="F1829" i="1"/>
  <c r="K1829" i="1"/>
  <c r="D1830" i="1"/>
  <c r="E1830" i="1"/>
  <c r="F1830" i="1"/>
  <c r="K1830" i="1"/>
  <c r="D1831" i="1"/>
  <c r="E1831" i="1"/>
  <c r="F1831" i="1"/>
  <c r="K1831" i="1"/>
  <c r="D1832" i="1"/>
  <c r="E1832" i="1"/>
  <c r="F1832" i="1"/>
  <c r="K1832" i="1"/>
  <c r="D1833" i="1"/>
  <c r="E1833" i="1"/>
  <c r="F1833" i="1"/>
  <c r="K1833" i="1"/>
  <c r="D1834" i="1"/>
  <c r="E1834" i="1"/>
  <c r="F1834" i="1"/>
  <c r="K1834" i="1"/>
  <c r="D1835" i="1"/>
  <c r="E1835" i="1"/>
  <c r="F1835" i="1"/>
  <c r="K1835" i="1"/>
  <c r="D1836" i="1"/>
  <c r="E1836" i="1"/>
  <c r="F1836" i="1"/>
  <c r="K1836" i="1"/>
  <c r="D1837" i="1"/>
  <c r="E1837" i="1"/>
  <c r="F1837" i="1"/>
  <c r="K1837" i="1"/>
  <c r="D1838" i="1"/>
  <c r="E1838" i="1"/>
  <c r="F1838" i="1"/>
  <c r="K1838" i="1"/>
  <c r="D1839" i="1"/>
  <c r="E1839" i="1"/>
  <c r="F1839" i="1"/>
  <c r="K1839" i="1"/>
  <c r="D1840" i="1"/>
  <c r="E1840" i="1"/>
  <c r="F1840" i="1"/>
  <c r="K1840" i="1"/>
  <c r="D1841" i="1"/>
  <c r="E1841" i="1"/>
  <c r="F1841" i="1"/>
  <c r="K1841" i="1"/>
  <c r="D1842" i="1"/>
  <c r="E1842" i="1"/>
  <c r="F1842" i="1"/>
  <c r="K1842" i="1"/>
  <c r="D1843" i="1"/>
  <c r="E1843" i="1"/>
  <c r="F1843" i="1"/>
  <c r="K1843" i="1"/>
  <c r="D1844" i="1"/>
  <c r="E1844" i="1"/>
  <c r="F1844" i="1"/>
  <c r="K1844" i="1"/>
  <c r="D1845" i="1"/>
  <c r="E1845" i="1"/>
  <c r="F1845" i="1"/>
  <c r="K1845" i="1"/>
  <c r="D1846" i="1"/>
  <c r="E1846" i="1"/>
  <c r="F1846" i="1"/>
  <c r="K1846" i="1"/>
  <c r="D1847" i="1"/>
  <c r="E1847" i="1"/>
  <c r="F1847" i="1"/>
  <c r="K1847" i="1"/>
  <c r="D1848" i="1"/>
  <c r="E1848" i="1"/>
  <c r="F1848" i="1"/>
  <c r="K1848" i="1"/>
  <c r="D1849" i="1"/>
  <c r="E1849" i="1"/>
  <c r="F1849" i="1"/>
  <c r="K1849" i="1"/>
  <c r="D1850" i="1"/>
  <c r="E1850" i="1"/>
  <c r="F1850" i="1"/>
  <c r="K1850" i="1"/>
  <c r="D1851" i="1"/>
  <c r="E1851" i="1"/>
  <c r="F1851" i="1"/>
  <c r="K1851" i="1"/>
  <c r="D1852" i="1"/>
  <c r="E1852" i="1"/>
  <c r="F1852" i="1"/>
  <c r="K1852" i="1"/>
  <c r="D1853" i="1"/>
  <c r="E1853" i="1"/>
  <c r="F1853" i="1"/>
  <c r="K1853" i="1"/>
  <c r="D1854" i="1"/>
  <c r="E1854" i="1"/>
  <c r="F1854" i="1"/>
  <c r="K1854" i="1"/>
  <c r="D1855" i="1"/>
  <c r="E1855" i="1"/>
  <c r="F1855" i="1"/>
  <c r="K1855" i="1"/>
  <c r="D1856" i="1"/>
  <c r="E1856" i="1"/>
  <c r="F1856" i="1"/>
  <c r="K1856" i="1"/>
  <c r="D1857" i="1"/>
  <c r="E1857" i="1"/>
  <c r="F1857" i="1"/>
  <c r="K1857" i="1"/>
  <c r="D1858" i="1"/>
  <c r="E1858" i="1"/>
  <c r="F1858" i="1"/>
  <c r="K1858" i="1"/>
  <c r="D1859" i="1"/>
  <c r="E1859" i="1"/>
  <c r="F1859" i="1"/>
  <c r="K1859" i="1"/>
  <c r="D1860" i="1"/>
  <c r="E1860" i="1"/>
  <c r="F1860" i="1"/>
  <c r="K1860" i="1"/>
  <c r="D1861" i="1"/>
  <c r="E1861" i="1"/>
  <c r="F1861" i="1"/>
  <c r="K1861" i="1"/>
  <c r="D1862" i="1"/>
  <c r="E1862" i="1"/>
  <c r="F1862" i="1"/>
  <c r="K1862" i="1"/>
  <c r="D1863" i="1"/>
  <c r="E1863" i="1"/>
  <c r="F1863" i="1"/>
  <c r="K1863" i="1"/>
  <c r="D1864" i="1"/>
  <c r="E1864" i="1"/>
  <c r="F1864" i="1"/>
  <c r="K1864" i="1"/>
  <c r="D1865" i="1"/>
  <c r="E1865" i="1"/>
  <c r="F1865" i="1"/>
  <c r="K1865" i="1"/>
  <c r="D1866" i="1"/>
  <c r="E1866" i="1"/>
  <c r="F1866" i="1"/>
  <c r="K1866" i="1"/>
  <c r="D1867" i="1"/>
  <c r="E1867" i="1"/>
  <c r="F1867" i="1"/>
  <c r="K1867" i="1"/>
  <c r="D1868" i="1"/>
  <c r="E1868" i="1"/>
  <c r="F1868" i="1"/>
  <c r="K1868" i="1"/>
  <c r="D1869" i="1"/>
  <c r="E1869" i="1"/>
  <c r="F1869" i="1"/>
  <c r="K1869" i="1"/>
  <c r="D1870" i="1"/>
  <c r="E1870" i="1"/>
  <c r="F1870" i="1"/>
  <c r="K1870" i="1"/>
  <c r="D1871" i="1"/>
  <c r="E1871" i="1"/>
  <c r="F1871" i="1"/>
  <c r="K1871" i="1"/>
  <c r="D1872" i="1"/>
  <c r="E1872" i="1"/>
  <c r="F1872" i="1"/>
  <c r="K1872" i="1"/>
  <c r="D1873" i="1"/>
  <c r="E1873" i="1"/>
  <c r="F1873" i="1"/>
  <c r="K1873" i="1"/>
  <c r="D1874" i="1"/>
  <c r="E1874" i="1"/>
  <c r="F1874" i="1"/>
  <c r="K1874" i="1"/>
  <c r="D1875" i="1"/>
  <c r="E1875" i="1"/>
  <c r="F1875" i="1"/>
  <c r="K1875" i="1"/>
  <c r="D1876" i="1"/>
  <c r="E1876" i="1"/>
  <c r="F1876" i="1"/>
  <c r="K1876" i="1"/>
  <c r="D1877" i="1"/>
  <c r="E1877" i="1"/>
  <c r="F1877" i="1"/>
  <c r="K1877" i="1"/>
  <c r="D1878" i="1"/>
  <c r="E1878" i="1"/>
  <c r="F1878" i="1"/>
  <c r="K1878" i="1"/>
  <c r="D1879" i="1"/>
  <c r="E1879" i="1"/>
  <c r="F1879" i="1"/>
  <c r="K1879" i="1"/>
  <c r="D1880" i="1"/>
  <c r="E1880" i="1"/>
  <c r="F1880" i="1"/>
  <c r="K1880" i="1"/>
  <c r="D1881" i="1"/>
  <c r="E1881" i="1"/>
  <c r="F1881" i="1"/>
  <c r="K1881" i="1"/>
  <c r="D1882" i="1"/>
  <c r="E1882" i="1"/>
  <c r="F1882" i="1"/>
  <c r="K1882" i="1"/>
  <c r="D1883" i="1"/>
  <c r="E1883" i="1"/>
  <c r="F1883" i="1"/>
  <c r="K1883" i="1"/>
  <c r="D1884" i="1"/>
  <c r="E1884" i="1"/>
  <c r="F1884" i="1"/>
  <c r="K1884" i="1"/>
  <c r="D1885" i="1"/>
  <c r="E1885" i="1"/>
  <c r="F1885" i="1"/>
  <c r="K1885" i="1"/>
  <c r="D1886" i="1"/>
  <c r="E1886" i="1"/>
  <c r="F1886" i="1"/>
  <c r="K1886" i="1"/>
  <c r="D1887" i="1"/>
  <c r="E1887" i="1"/>
  <c r="F1887" i="1"/>
  <c r="K1887" i="1"/>
  <c r="D1888" i="1"/>
  <c r="E1888" i="1"/>
  <c r="F1888" i="1"/>
  <c r="K1888" i="1"/>
  <c r="D1889" i="1"/>
  <c r="E1889" i="1"/>
  <c r="F1889" i="1"/>
  <c r="K1889" i="1"/>
  <c r="D1890" i="1"/>
  <c r="E1890" i="1"/>
  <c r="F1890" i="1"/>
  <c r="K1890" i="1"/>
  <c r="D1891" i="1"/>
  <c r="E1891" i="1"/>
  <c r="F1891" i="1"/>
  <c r="K1891" i="1"/>
  <c r="D1892" i="1"/>
  <c r="E1892" i="1"/>
  <c r="F1892" i="1"/>
  <c r="K1892" i="1"/>
  <c r="D1893" i="1"/>
  <c r="E1893" i="1"/>
  <c r="F1893" i="1"/>
  <c r="K1893" i="1"/>
  <c r="D1894" i="1"/>
  <c r="E1894" i="1"/>
  <c r="F1894" i="1"/>
  <c r="K1894" i="1"/>
  <c r="D1895" i="1"/>
  <c r="E1895" i="1"/>
  <c r="F1895" i="1"/>
  <c r="K1895" i="1"/>
  <c r="D1896" i="1"/>
  <c r="E1896" i="1"/>
  <c r="F1896" i="1"/>
  <c r="K1896" i="1"/>
  <c r="D1897" i="1"/>
  <c r="E1897" i="1"/>
  <c r="F1897" i="1"/>
  <c r="K1897" i="1"/>
  <c r="D1898" i="1"/>
  <c r="E1898" i="1"/>
  <c r="F1898" i="1"/>
  <c r="K1898" i="1"/>
  <c r="D1899" i="1"/>
  <c r="E1899" i="1"/>
  <c r="F1899" i="1"/>
  <c r="K1899" i="1"/>
  <c r="D1900" i="1"/>
  <c r="E1900" i="1"/>
  <c r="F1900" i="1"/>
  <c r="K1900" i="1"/>
  <c r="D1901" i="1"/>
  <c r="E1901" i="1"/>
  <c r="F1901" i="1"/>
  <c r="K1901" i="1"/>
  <c r="D1902" i="1"/>
  <c r="E1902" i="1"/>
  <c r="F1902" i="1"/>
  <c r="K1902" i="1"/>
  <c r="D1903" i="1"/>
  <c r="E1903" i="1"/>
  <c r="F1903" i="1"/>
  <c r="K1903" i="1"/>
  <c r="D1904" i="1"/>
  <c r="E1904" i="1"/>
  <c r="F1904" i="1"/>
  <c r="K1904" i="1"/>
  <c r="D1905" i="1"/>
  <c r="E1905" i="1"/>
  <c r="F1905" i="1"/>
  <c r="K1905" i="1"/>
  <c r="D1906" i="1"/>
  <c r="E1906" i="1"/>
  <c r="F1906" i="1"/>
  <c r="K1906" i="1"/>
  <c r="D1907" i="1"/>
  <c r="E1907" i="1"/>
  <c r="F1907" i="1"/>
  <c r="K1907" i="1"/>
  <c r="D1908" i="1"/>
  <c r="E1908" i="1"/>
  <c r="F1908" i="1"/>
  <c r="K1908" i="1"/>
  <c r="D1909" i="1"/>
  <c r="E1909" i="1"/>
  <c r="F1909" i="1"/>
  <c r="K1909" i="1"/>
  <c r="D1910" i="1"/>
  <c r="E1910" i="1"/>
  <c r="F1910" i="1"/>
  <c r="K1910" i="1"/>
  <c r="D1911" i="1"/>
  <c r="E1911" i="1"/>
  <c r="F1911" i="1"/>
  <c r="K1911" i="1"/>
  <c r="D1912" i="1"/>
  <c r="E1912" i="1"/>
  <c r="F1912" i="1"/>
  <c r="K1912" i="1"/>
  <c r="D1913" i="1"/>
  <c r="E1913" i="1"/>
  <c r="F1913" i="1"/>
  <c r="K1913" i="1"/>
  <c r="D1914" i="1"/>
  <c r="E1914" i="1"/>
  <c r="F1914" i="1"/>
  <c r="K1914" i="1"/>
  <c r="D1915" i="1"/>
  <c r="E1915" i="1"/>
  <c r="F1915" i="1"/>
  <c r="K1915" i="1"/>
  <c r="D1916" i="1"/>
  <c r="E1916" i="1"/>
  <c r="F1916" i="1"/>
  <c r="K1916" i="1"/>
  <c r="D1917" i="1"/>
  <c r="E1917" i="1"/>
  <c r="F1917" i="1"/>
  <c r="K1917" i="1"/>
  <c r="D1918" i="1"/>
  <c r="E1918" i="1"/>
  <c r="F1918" i="1"/>
  <c r="K1918" i="1"/>
  <c r="D1919" i="1"/>
  <c r="E1919" i="1"/>
  <c r="F1919" i="1"/>
  <c r="K1919" i="1"/>
  <c r="D1920" i="1"/>
  <c r="E1920" i="1"/>
  <c r="F1920" i="1"/>
  <c r="K1920" i="1"/>
  <c r="D1921" i="1"/>
  <c r="E1921" i="1"/>
  <c r="F1921" i="1"/>
  <c r="K1921" i="1"/>
  <c r="D1922" i="1"/>
  <c r="E1922" i="1"/>
  <c r="F1922" i="1"/>
  <c r="K1922" i="1"/>
  <c r="D1923" i="1"/>
  <c r="E1923" i="1"/>
  <c r="F1923" i="1"/>
  <c r="K1923" i="1"/>
  <c r="D1924" i="1"/>
  <c r="E1924" i="1"/>
  <c r="F1924" i="1"/>
  <c r="K1924" i="1"/>
  <c r="D1925" i="1"/>
  <c r="E1925" i="1"/>
  <c r="F1925" i="1"/>
  <c r="K1925" i="1"/>
  <c r="D1926" i="1"/>
  <c r="E1926" i="1"/>
  <c r="F1926" i="1"/>
  <c r="K1926" i="1"/>
  <c r="D1927" i="1"/>
  <c r="E1927" i="1"/>
  <c r="F1927" i="1"/>
  <c r="K1927" i="1"/>
  <c r="D1928" i="1"/>
  <c r="E1928" i="1"/>
  <c r="F1928" i="1"/>
  <c r="K1928" i="1"/>
  <c r="D1929" i="1"/>
  <c r="E1929" i="1"/>
  <c r="F1929" i="1"/>
  <c r="K1929" i="1"/>
  <c r="D1930" i="1"/>
  <c r="E1930" i="1"/>
  <c r="F1930" i="1"/>
  <c r="K1930" i="1"/>
  <c r="D1931" i="1"/>
  <c r="E1931" i="1"/>
  <c r="F1931" i="1"/>
  <c r="K1931" i="1"/>
  <c r="D1932" i="1"/>
  <c r="E1932" i="1"/>
  <c r="F1932" i="1"/>
  <c r="K1932" i="1"/>
  <c r="D1933" i="1"/>
  <c r="E1933" i="1"/>
  <c r="F1933" i="1"/>
  <c r="K1933" i="1"/>
  <c r="D1934" i="1"/>
  <c r="E1934" i="1"/>
  <c r="F1934" i="1"/>
  <c r="K1934" i="1"/>
  <c r="D1935" i="1"/>
  <c r="E1935" i="1"/>
  <c r="F1935" i="1"/>
  <c r="K1935" i="1"/>
  <c r="D1936" i="1"/>
  <c r="E1936" i="1"/>
  <c r="F1936" i="1"/>
  <c r="K1936" i="1"/>
  <c r="D1937" i="1"/>
  <c r="E1937" i="1"/>
  <c r="F1937" i="1"/>
  <c r="K1937" i="1"/>
  <c r="D1938" i="1"/>
  <c r="E1938" i="1"/>
  <c r="F1938" i="1"/>
  <c r="K1938" i="1"/>
  <c r="D1939" i="1"/>
  <c r="E1939" i="1"/>
  <c r="F1939" i="1"/>
  <c r="K1939" i="1"/>
  <c r="D1940" i="1"/>
  <c r="E1940" i="1"/>
  <c r="F1940" i="1"/>
  <c r="K1940" i="1"/>
  <c r="D1941" i="1"/>
  <c r="E1941" i="1"/>
  <c r="F1941" i="1"/>
  <c r="K1941" i="1"/>
  <c r="D1942" i="1"/>
  <c r="E1942" i="1"/>
  <c r="F1942" i="1"/>
  <c r="K1942" i="1"/>
  <c r="D1943" i="1"/>
  <c r="E1943" i="1"/>
  <c r="F1943" i="1"/>
  <c r="K1943" i="1"/>
  <c r="D1944" i="1"/>
  <c r="E1944" i="1"/>
  <c r="F1944" i="1"/>
  <c r="K1944" i="1"/>
  <c r="D1945" i="1"/>
  <c r="E1945" i="1"/>
  <c r="F1945" i="1"/>
  <c r="K1945" i="1"/>
  <c r="D1946" i="1"/>
  <c r="E1946" i="1"/>
  <c r="F1946" i="1"/>
  <c r="K1946" i="1"/>
  <c r="D1947" i="1"/>
  <c r="E1947" i="1"/>
  <c r="F1947" i="1"/>
  <c r="K1947" i="1"/>
  <c r="D1948" i="1"/>
  <c r="E1948" i="1"/>
  <c r="F1948" i="1"/>
  <c r="K1948" i="1"/>
  <c r="D1949" i="1"/>
  <c r="E1949" i="1"/>
  <c r="F1949" i="1"/>
  <c r="K1949" i="1"/>
  <c r="D1950" i="1"/>
  <c r="E1950" i="1"/>
  <c r="F1950" i="1"/>
  <c r="K1950" i="1"/>
  <c r="D1951" i="1"/>
  <c r="E1951" i="1"/>
  <c r="F1951" i="1"/>
  <c r="K1951" i="1"/>
  <c r="D1952" i="1"/>
  <c r="E1952" i="1"/>
  <c r="F1952" i="1"/>
  <c r="K1952" i="1"/>
  <c r="D1953" i="1"/>
  <c r="E1953" i="1"/>
  <c r="F1953" i="1"/>
  <c r="K1953" i="1"/>
  <c r="D1954" i="1"/>
  <c r="E1954" i="1"/>
  <c r="F1954" i="1"/>
  <c r="K1954" i="1"/>
  <c r="D1955" i="1"/>
  <c r="E1955" i="1"/>
  <c r="F1955" i="1"/>
  <c r="K1955" i="1"/>
  <c r="D1956" i="1"/>
  <c r="E1956" i="1"/>
  <c r="F1956" i="1"/>
  <c r="K1956" i="1"/>
  <c r="D1957" i="1"/>
  <c r="E1957" i="1"/>
  <c r="F1957" i="1"/>
  <c r="K1957" i="1"/>
  <c r="D1958" i="1"/>
  <c r="E1958" i="1"/>
  <c r="F1958" i="1"/>
  <c r="K1958" i="1"/>
  <c r="D1959" i="1"/>
  <c r="E1959" i="1"/>
  <c r="F1959" i="1"/>
  <c r="K1959" i="1"/>
  <c r="D1960" i="1"/>
  <c r="E1960" i="1"/>
  <c r="F1960" i="1"/>
  <c r="K1960" i="1"/>
  <c r="D1961" i="1"/>
  <c r="E1961" i="1"/>
  <c r="F1961" i="1"/>
  <c r="K1961" i="1"/>
  <c r="D1962" i="1"/>
  <c r="E1962" i="1"/>
  <c r="F1962" i="1"/>
  <c r="K1962" i="1"/>
  <c r="D1963" i="1"/>
  <c r="E1963" i="1"/>
  <c r="F1963" i="1"/>
  <c r="K1963" i="1"/>
  <c r="D1964" i="1"/>
  <c r="E1964" i="1"/>
  <c r="F1964" i="1"/>
  <c r="K1964" i="1"/>
  <c r="D1965" i="1"/>
  <c r="E1965" i="1"/>
  <c r="F1965" i="1"/>
  <c r="K1965" i="1"/>
  <c r="D1966" i="1"/>
  <c r="E1966" i="1"/>
  <c r="F1966" i="1"/>
  <c r="K1966" i="1"/>
  <c r="D1967" i="1"/>
  <c r="E1967" i="1"/>
  <c r="F1967" i="1"/>
  <c r="K1967" i="1"/>
  <c r="D1968" i="1"/>
  <c r="E1968" i="1"/>
  <c r="F1968" i="1"/>
  <c r="K1968" i="1"/>
  <c r="D1969" i="1"/>
  <c r="E1969" i="1"/>
  <c r="F1969" i="1"/>
  <c r="K1969" i="1"/>
  <c r="D1970" i="1"/>
  <c r="E1970" i="1"/>
  <c r="F1970" i="1"/>
  <c r="K1970" i="1"/>
  <c r="D1971" i="1"/>
  <c r="E1971" i="1"/>
  <c r="F1971" i="1"/>
  <c r="K1971" i="1"/>
  <c r="D1972" i="1"/>
  <c r="E1972" i="1"/>
  <c r="F1972" i="1"/>
  <c r="K1972" i="1"/>
  <c r="D1973" i="1"/>
  <c r="E1973" i="1"/>
  <c r="F1973" i="1"/>
  <c r="K1973" i="1"/>
  <c r="D1974" i="1"/>
  <c r="E1974" i="1"/>
  <c r="F1974" i="1"/>
  <c r="K1974" i="1"/>
  <c r="D1975" i="1"/>
  <c r="E1975" i="1"/>
  <c r="F1975" i="1"/>
  <c r="K1975" i="1"/>
  <c r="D1976" i="1"/>
  <c r="E1976" i="1"/>
  <c r="F1976" i="1"/>
  <c r="K1976" i="1"/>
  <c r="D1977" i="1"/>
  <c r="E1977" i="1"/>
  <c r="F1977" i="1"/>
  <c r="K1977" i="1"/>
  <c r="D1978" i="1"/>
  <c r="E1978" i="1"/>
  <c r="F1978" i="1"/>
  <c r="K1978" i="1"/>
  <c r="D1979" i="1"/>
  <c r="E1979" i="1"/>
  <c r="F1979" i="1"/>
  <c r="K1979" i="1"/>
  <c r="D1980" i="1"/>
  <c r="E1980" i="1"/>
  <c r="F1980" i="1"/>
  <c r="K1980" i="1"/>
  <c r="D1981" i="1"/>
  <c r="E1981" i="1"/>
  <c r="F1981" i="1"/>
  <c r="K1981" i="1"/>
  <c r="D1982" i="1"/>
  <c r="E1982" i="1"/>
  <c r="F1982" i="1"/>
  <c r="K1982" i="1"/>
  <c r="D1983" i="1"/>
  <c r="E1983" i="1"/>
  <c r="F1983" i="1"/>
  <c r="K1983" i="1"/>
  <c r="D1984" i="1"/>
  <c r="E1984" i="1"/>
  <c r="F1984" i="1"/>
  <c r="K1984" i="1"/>
  <c r="D1985" i="1"/>
  <c r="E1985" i="1"/>
  <c r="F1985" i="1"/>
  <c r="K1985" i="1"/>
  <c r="D1986" i="1"/>
  <c r="E1986" i="1"/>
  <c r="F1986" i="1"/>
  <c r="K1986" i="1"/>
  <c r="D1987" i="1"/>
  <c r="E1987" i="1"/>
  <c r="F1987" i="1"/>
  <c r="K1987" i="1"/>
  <c r="D1988" i="1"/>
  <c r="E1988" i="1"/>
  <c r="F1988" i="1"/>
  <c r="K1988" i="1"/>
  <c r="D1989" i="1"/>
  <c r="E1989" i="1"/>
  <c r="F1989" i="1"/>
  <c r="K1989" i="1"/>
  <c r="D1990" i="1"/>
  <c r="E1990" i="1"/>
  <c r="F1990" i="1"/>
  <c r="K1990" i="1"/>
  <c r="D1991" i="1"/>
  <c r="E1991" i="1"/>
  <c r="F1991" i="1"/>
  <c r="K1991" i="1"/>
  <c r="D1992" i="1"/>
  <c r="E1992" i="1"/>
  <c r="F1992" i="1"/>
  <c r="K1992" i="1"/>
  <c r="D1993" i="1"/>
  <c r="E1993" i="1"/>
  <c r="F1993" i="1"/>
  <c r="K1993" i="1"/>
  <c r="D1994" i="1"/>
  <c r="E1994" i="1"/>
  <c r="F1994" i="1"/>
  <c r="K1994" i="1"/>
  <c r="D1995" i="1"/>
  <c r="E1995" i="1"/>
  <c r="F1995" i="1"/>
  <c r="K1995" i="1"/>
  <c r="D1996" i="1"/>
  <c r="E1996" i="1"/>
  <c r="F1996" i="1"/>
  <c r="K1996" i="1"/>
  <c r="D1997" i="1"/>
  <c r="E1997" i="1"/>
  <c r="F1997" i="1"/>
  <c r="K1997" i="1"/>
  <c r="D1998" i="1"/>
  <c r="E1998" i="1"/>
  <c r="F1998" i="1"/>
  <c r="K1998" i="1"/>
  <c r="D1999" i="1"/>
  <c r="E1999" i="1"/>
  <c r="F1999" i="1"/>
  <c r="K1999" i="1"/>
  <c r="D2000" i="1"/>
  <c r="E2000" i="1"/>
  <c r="F2000" i="1"/>
  <c r="K2000" i="1"/>
  <c r="D2001" i="1"/>
  <c r="E2001" i="1"/>
  <c r="F2001" i="1"/>
  <c r="K2001" i="1"/>
  <c r="D2002" i="1"/>
  <c r="E2002" i="1"/>
  <c r="F2002" i="1"/>
  <c r="K2002" i="1"/>
  <c r="D2003" i="1"/>
  <c r="E2003" i="1"/>
  <c r="F2003" i="1"/>
  <c r="K2003" i="1"/>
  <c r="D2004" i="1"/>
  <c r="E2004" i="1"/>
  <c r="F2004" i="1"/>
  <c r="K2004" i="1"/>
  <c r="D2005" i="1"/>
  <c r="E2005" i="1"/>
  <c r="F2005" i="1"/>
  <c r="K2005" i="1"/>
  <c r="D2006" i="1"/>
  <c r="E2006" i="1"/>
  <c r="F2006" i="1"/>
  <c r="K2006" i="1"/>
  <c r="D2007" i="1"/>
  <c r="E2007" i="1"/>
  <c r="F2007" i="1"/>
  <c r="K2007" i="1"/>
  <c r="D2008" i="1"/>
  <c r="E2008" i="1"/>
  <c r="F2008" i="1"/>
  <c r="K2008" i="1"/>
  <c r="D2009" i="1"/>
  <c r="E2009" i="1"/>
  <c r="F2009" i="1"/>
  <c r="K2009" i="1"/>
  <c r="D2010" i="1"/>
  <c r="E2010" i="1"/>
  <c r="F2010" i="1"/>
  <c r="K2010" i="1"/>
  <c r="D2011" i="1"/>
  <c r="E2011" i="1"/>
  <c r="F2011" i="1"/>
  <c r="K2011" i="1"/>
  <c r="D2012" i="1"/>
  <c r="E2012" i="1"/>
  <c r="F2012" i="1"/>
  <c r="K2012" i="1"/>
  <c r="D2013" i="1"/>
  <c r="E2013" i="1"/>
  <c r="F2013" i="1"/>
  <c r="K2013" i="1"/>
  <c r="D2014" i="1"/>
  <c r="E2014" i="1"/>
  <c r="F2014" i="1"/>
  <c r="K2014" i="1"/>
  <c r="D2015" i="1"/>
  <c r="E2015" i="1"/>
  <c r="F2015" i="1"/>
  <c r="K2015" i="1"/>
  <c r="D2016" i="1"/>
  <c r="E2016" i="1"/>
  <c r="F2016" i="1"/>
  <c r="K2016" i="1"/>
  <c r="D2017" i="1"/>
  <c r="E2017" i="1"/>
  <c r="F2017" i="1"/>
  <c r="D2018" i="1"/>
  <c r="E2018" i="1"/>
  <c r="F2018" i="1"/>
  <c r="K2018" i="1"/>
  <c r="D2019" i="1"/>
  <c r="E2019" i="1"/>
  <c r="F2019" i="1"/>
  <c r="K2019" i="1"/>
  <c r="D2020" i="1"/>
  <c r="E2020" i="1"/>
  <c r="F2020" i="1"/>
  <c r="K2020" i="1"/>
  <c r="D2021" i="1"/>
  <c r="E2021" i="1"/>
  <c r="F2021" i="1"/>
  <c r="K2021" i="1"/>
  <c r="D2022" i="1"/>
  <c r="E2022" i="1"/>
  <c r="F2022" i="1"/>
  <c r="K2022" i="1"/>
  <c r="D2023" i="1"/>
  <c r="E2023" i="1"/>
  <c r="F2023" i="1"/>
  <c r="K2023" i="1"/>
  <c r="D2024" i="1"/>
  <c r="E2024" i="1"/>
  <c r="F2024" i="1"/>
  <c r="K2024" i="1"/>
  <c r="D2025" i="1"/>
  <c r="E2025" i="1"/>
  <c r="F2025" i="1"/>
  <c r="K2025" i="1"/>
  <c r="D2026" i="1"/>
  <c r="E2026" i="1"/>
  <c r="F2026" i="1"/>
  <c r="K2026" i="1"/>
  <c r="D2027" i="1"/>
  <c r="E2027" i="1"/>
  <c r="F2027" i="1"/>
  <c r="K2027" i="1"/>
  <c r="D2029" i="1"/>
  <c r="E2029" i="1"/>
  <c r="F2029" i="1"/>
  <c r="K2029" i="1"/>
  <c r="D2030" i="1"/>
  <c r="E2030" i="1"/>
  <c r="F2030" i="1"/>
  <c r="K2030" i="1"/>
  <c r="D2031" i="1"/>
  <c r="E2031" i="1"/>
  <c r="F2031" i="1"/>
  <c r="K2031" i="1"/>
  <c r="D2032" i="1"/>
  <c r="E2032" i="1"/>
  <c r="F2032" i="1"/>
  <c r="K2032" i="1"/>
  <c r="D2033" i="1"/>
  <c r="E2033" i="1"/>
  <c r="F2033" i="1"/>
  <c r="K2033" i="1"/>
  <c r="D2034" i="1"/>
  <c r="E2034" i="1"/>
  <c r="F2034" i="1"/>
  <c r="K2034" i="1"/>
  <c r="D2035" i="1"/>
  <c r="E2035" i="1"/>
  <c r="F2035" i="1"/>
  <c r="K2035" i="1"/>
  <c r="D2036" i="1"/>
  <c r="E2036" i="1"/>
  <c r="F2036" i="1"/>
  <c r="K2036" i="1"/>
  <c r="D2037" i="1"/>
  <c r="E2037" i="1"/>
  <c r="F2037" i="1"/>
  <c r="K2037" i="1"/>
  <c r="D2038" i="1"/>
  <c r="E2038" i="1"/>
  <c r="F2038" i="1"/>
  <c r="K2038" i="1"/>
  <c r="D2039" i="1"/>
  <c r="E2039" i="1"/>
  <c r="F2039" i="1"/>
  <c r="K2039" i="1"/>
  <c r="D2040" i="1"/>
  <c r="E2040" i="1"/>
  <c r="F2040" i="1"/>
  <c r="K2040" i="1"/>
  <c r="D2041" i="1"/>
  <c r="E2041" i="1"/>
  <c r="F2041" i="1"/>
  <c r="K2041" i="1"/>
  <c r="D2042" i="1"/>
  <c r="E2042" i="1"/>
  <c r="F2042" i="1"/>
  <c r="K2042" i="1"/>
  <c r="D2043" i="1"/>
  <c r="E2043" i="1"/>
  <c r="F2043" i="1"/>
  <c r="K2043" i="1"/>
  <c r="D2044" i="1"/>
  <c r="E2044" i="1"/>
  <c r="F2044" i="1"/>
  <c r="K2044" i="1"/>
  <c r="D2045" i="1"/>
  <c r="E2045" i="1"/>
  <c r="F2045" i="1"/>
  <c r="K2045" i="1"/>
  <c r="D2046" i="1"/>
  <c r="E2046" i="1"/>
  <c r="F2046" i="1"/>
  <c r="K2046" i="1"/>
  <c r="D2047" i="1"/>
  <c r="E2047" i="1"/>
  <c r="F2047" i="1"/>
  <c r="K2047" i="1"/>
  <c r="D2048" i="1"/>
  <c r="E2048" i="1"/>
  <c r="F2048" i="1"/>
  <c r="K2048" i="1"/>
  <c r="D2049" i="1"/>
  <c r="E2049" i="1"/>
  <c r="F2049" i="1"/>
  <c r="K2049" i="1"/>
  <c r="D2050" i="1"/>
  <c r="E2050" i="1"/>
  <c r="F2050" i="1"/>
  <c r="K2050" i="1"/>
  <c r="D2051" i="1"/>
  <c r="E2051" i="1"/>
  <c r="F2051" i="1"/>
  <c r="K2051" i="1"/>
  <c r="D2052" i="1"/>
  <c r="E2052" i="1"/>
  <c r="F2052" i="1"/>
  <c r="K2052" i="1"/>
  <c r="D2053" i="1"/>
  <c r="E2053" i="1"/>
  <c r="F2053" i="1"/>
  <c r="K2053" i="1"/>
  <c r="D2054" i="1"/>
  <c r="E2054" i="1"/>
  <c r="F2054" i="1"/>
  <c r="K2054" i="1"/>
  <c r="D2055" i="1"/>
  <c r="E2055" i="1"/>
  <c r="F2055" i="1"/>
  <c r="K2055" i="1"/>
  <c r="D2056" i="1"/>
  <c r="E2056" i="1"/>
  <c r="F2056" i="1"/>
  <c r="K2056" i="1"/>
  <c r="D2057" i="1"/>
  <c r="E2057" i="1"/>
  <c r="F2057" i="1"/>
  <c r="K2057" i="1"/>
  <c r="D2058" i="1"/>
  <c r="E2058" i="1"/>
  <c r="F2058" i="1"/>
  <c r="K2058" i="1"/>
  <c r="D2059" i="1"/>
  <c r="E2059" i="1"/>
  <c r="F2059" i="1"/>
  <c r="K2059" i="1"/>
  <c r="D2060" i="1"/>
  <c r="E2060" i="1"/>
  <c r="F2060" i="1"/>
  <c r="K2060" i="1"/>
  <c r="D2061" i="1"/>
  <c r="E2061" i="1"/>
  <c r="F2061" i="1"/>
  <c r="K2061" i="1"/>
  <c r="D2062" i="1"/>
  <c r="E2062" i="1"/>
  <c r="F2062" i="1"/>
  <c r="K2062" i="1"/>
  <c r="D2063" i="1"/>
  <c r="E2063" i="1"/>
  <c r="F2063" i="1"/>
  <c r="K2063" i="1"/>
  <c r="D2064" i="1"/>
  <c r="E2064" i="1"/>
  <c r="F2064" i="1"/>
  <c r="K2064" i="1"/>
  <c r="D2065" i="1"/>
  <c r="E2065" i="1"/>
  <c r="F2065" i="1"/>
  <c r="K2065" i="1"/>
  <c r="D2066" i="1"/>
  <c r="E2066" i="1"/>
  <c r="F2066" i="1"/>
  <c r="K2066" i="1"/>
  <c r="D2067" i="1"/>
  <c r="E2067" i="1"/>
  <c r="F2067" i="1"/>
  <c r="K2067" i="1"/>
  <c r="D2068" i="1"/>
  <c r="E2068" i="1"/>
  <c r="F2068" i="1"/>
  <c r="K2068" i="1"/>
  <c r="D2069" i="1"/>
  <c r="E2069" i="1"/>
  <c r="F2069" i="1"/>
  <c r="K2069" i="1"/>
  <c r="D2070" i="1"/>
  <c r="E2070" i="1"/>
  <c r="F2070" i="1"/>
  <c r="K2070" i="1"/>
  <c r="D2071" i="1"/>
  <c r="E2071" i="1"/>
  <c r="F2071" i="1"/>
  <c r="K2071" i="1"/>
  <c r="D2072" i="1"/>
  <c r="E2072" i="1"/>
  <c r="F2072" i="1"/>
  <c r="K2072" i="1"/>
  <c r="D2073" i="1"/>
  <c r="E2073" i="1"/>
  <c r="F2073" i="1"/>
  <c r="K2073" i="1"/>
  <c r="D2074" i="1"/>
  <c r="E2074" i="1"/>
  <c r="F2074" i="1"/>
  <c r="K2074" i="1"/>
  <c r="D2075" i="1"/>
  <c r="E2075" i="1"/>
  <c r="F2075" i="1"/>
  <c r="K2075" i="1"/>
  <c r="D2076" i="1"/>
  <c r="E2076" i="1"/>
  <c r="F2076" i="1"/>
  <c r="K2076" i="1"/>
  <c r="D2077" i="1"/>
  <c r="E2077" i="1"/>
  <c r="F2077" i="1"/>
  <c r="K2077" i="1"/>
  <c r="D2078" i="1"/>
  <c r="E2078" i="1"/>
  <c r="F2078" i="1"/>
  <c r="K2078" i="1"/>
  <c r="D2079" i="1"/>
  <c r="E2079" i="1"/>
  <c r="F2079" i="1"/>
  <c r="K2079" i="1"/>
  <c r="D2080" i="1"/>
  <c r="E2080" i="1"/>
  <c r="F2080" i="1"/>
  <c r="K2080" i="1"/>
  <c r="D2081" i="1"/>
  <c r="E2081" i="1"/>
  <c r="F2081" i="1"/>
  <c r="K2081" i="1"/>
  <c r="D2082" i="1"/>
  <c r="E2082" i="1"/>
  <c r="F2082" i="1"/>
  <c r="K2082" i="1"/>
  <c r="D2083" i="1"/>
  <c r="E2083" i="1"/>
  <c r="F2083" i="1"/>
  <c r="K2083" i="1"/>
  <c r="D2084" i="1"/>
  <c r="E2084" i="1"/>
  <c r="F2084" i="1"/>
  <c r="K2084" i="1"/>
  <c r="D2085" i="1"/>
  <c r="E2085" i="1"/>
  <c r="F2085" i="1"/>
  <c r="K2085" i="1"/>
  <c r="D2086" i="1"/>
  <c r="E2086" i="1"/>
  <c r="F2086" i="1"/>
  <c r="K2086" i="1"/>
  <c r="D2087" i="1"/>
  <c r="E2087" i="1"/>
  <c r="F2087" i="1"/>
  <c r="K2087" i="1"/>
  <c r="D2088" i="1"/>
  <c r="E2088" i="1"/>
  <c r="F2088" i="1"/>
  <c r="K2088" i="1"/>
  <c r="D2089" i="1"/>
  <c r="E2089" i="1"/>
  <c r="F2089" i="1"/>
  <c r="K2089" i="1"/>
  <c r="D2090" i="1"/>
  <c r="E2090" i="1"/>
  <c r="F2090" i="1"/>
  <c r="K2090" i="1"/>
  <c r="D2091" i="1"/>
  <c r="E2091" i="1"/>
  <c r="F2091" i="1"/>
  <c r="K2091" i="1"/>
  <c r="D2092" i="1"/>
  <c r="E2092" i="1"/>
  <c r="F2092" i="1"/>
  <c r="K2092" i="1"/>
  <c r="D2093" i="1"/>
  <c r="E2093" i="1"/>
  <c r="F2093" i="1"/>
  <c r="K2093" i="1"/>
  <c r="D2094" i="1"/>
  <c r="E2094" i="1"/>
  <c r="F2094" i="1"/>
  <c r="K2094" i="1"/>
  <c r="D2095" i="1"/>
  <c r="E2095" i="1"/>
  <c r="F2095" i="1"/>
  <c r="K2095" i="1"/>
  <c r="D2096" i="1"/>
  <c r="E2096" i="1"/>
  <c r="F2096" i="1"/>
  <c r="K2096" i="1"/>
  <c r="D2097" i="1"/>
  <c r="E2097" i="1"/>
  <c r="F2097" i="1"/>
  <c r="K2097" i="1"/>
  <c r="D2098" i="1"/>
  <c r="E2098" i="1"/>
  <c r="F2098" i="1"/>
  <c r="K2098" i="1"/>
  <c r="D2099" i="1"/>
  <c r="E2099" i="1"/>
  <c r="F2099" i="1"/>
  <c r="K2099" i="1"/>
  <c r="D2100" i="1"/>
  <c r="E2100" i="1"/>
  <c r="F2100" i="1"/>
  <c r="K2100" i="1"/>
  <c r="D2101" i="1"/>
  <c r="E2101" i="1"/>
  <c r="F2101" i="1"/>
  <c r="K2101" i="1"/>
  <c r="D2102" i="1"/>
  <c r="E2102" i="1"/>
  <c r="F2102" i="1"/>
  <c r="K2102" i="1"/>
  <c r="D2103" i="1"/>
  <c r="E2103" i="1"/>
  <c r="F2103" i="1"/>
  <c r="K2103" i="1"/>
  <c r="D2104" i="1"/>
  <c r="E2104" i="1"/>
  <c r="F2104" i="1"/>
  <c r="K2104" i="1"/>
  <c r="D2105" i="1"/>
  <c r="E2105" i="1"/>
  <c r="F2105" i="1"/>
  <c r="K2105" i="1"/>
  <c r="D2106" i="1"/>
  <c r="E2106" i="1"/>
  <c r="F2106" i="1"/>
  <c r="K2106" i="1"/>
  <c r="D2107" i="1"/>
  <c r="E2107" i="1"/>
  <c r="F2107" i="1"/>
  <c r="K2107" i="1"/>
  <c r="D2108" i="1"/>
  <c r="E2108" i="1"/>
  <c r="F2108" i="1"/>
  <c r="K2108" i="1"/>
  <c r="D2109" i="1"/>
  <c r="E2109" i="1"/>
  <c r="F2109" i="1"/>
  <c r="K2109" i="1"/>
  <c r="D2110" i="1"/>
  <c r="E2110" i="1"/>
  <c r="F2110" i="1"/>
  <c r="K2110" i="1"/>
  <c r="D2111" i="1"/>
  <c r="E2111" i="1"/>
  <c r="F2111" i="1"/>
  <c r="K2111" i="1"/>
  <c r="D2112" i="1"/>
  <c r="E2112" i="1"/>
  <c r="F2112" i="1"/>
  <c r="K2112" i="1"/>
  <c r="D2113" i="1"/>
  <c r="E2113" i="1"/>
  <c r="F2113" i="1"/>
  <c r="K2113" i="1"/>
  <c r="D2114" i="1"/>
  <c r="E2114" i="1"/>
  <c r="F2114" i="1"/>
  <c r="K2114" i="1"/>
  <c r="D2115" i="1"/>
  <c r="E2115" i="1"/>
  <c r="F2115" i="1"/>
  <c r="K2115" i="1"/>
  <c r="D2116" i="1"/>
  <c r="E2116" i="1"/>
  <c r="F2116" i="1"/>
  <c r="K2116" i="1"/>
  <c r="D2117" i="1"/>
  <c r="E2117" i="1"/>
  <c r="F2117" i="1"/>
  <c r="K2117" i="1"/>
  <c r="D2118" i="1"/>
  <c r="E2118" i="1"/>
  <c r="F2118" i="1"/>
  <c r="K2118" i="1"/>
  <c r="D2119" i="1"/>
  <c r="E2119" i="1"/>
  <c r="F2119" i="1"/>
  <c r="K2119" i="1"/>
  <c r="D2120" i="1"/>
  <c r="E2120" i="1"/>
  <c r="F2120" i="1"/>
  <c r="K2120" i="1"/>
  <c r="D2121" i="1"/>
  <c r="E2121" i="1"/>
  <c r="F2121" i="1"/>
  <c r="K2121" i="1"/>
  <c r="D2122" i="1"/>
  <c r="E2122" i="1"/>
  <c r="F2122" i="1"/>
  <c r="K2122" i="1"/>
  <c r="D2123" i="1"/>
  <c r="E2123" i="1"/>
  <c r="F2123" i="1"/>
  <c r="K2123" i="1"/>
  <c r="D2124" i="1"/>
  <c r="E2124" i="1"/>
  <c r="F2124" i="1"/>
  <c r="K2124" i="1"/>
  <c r="D2125" i="1"/>
  <c r="E2125" i="1"/>
  <c r="F2125" i="1"/>
  <c r="K2125" i="1"/>
  <c r="D2126" i="1"/>
  <c r="E2126" i="1"/>
  <c r="F2126" i="1"/>
  <c r="K2126" i="1"/>
  <c r="D2127" i="1"/>
  <c r="E2127" i="1"/>
  <c r="F2127" i="1"/>
  <c r="K2127" i="1"/>
  <c r="D2128" i="1"/>
  <c r="E2128" i="1"/>
  <c r="F2128" i="1"/>
  <c r="K2128" i="1"/>
  <c r="D2129" i="1"/>
  <c r="E2129" i="1"/>
  <c r="F2129" i="1"/>
  <c r="K2129" i="1"/>
  <c r="D2130" i="1"/>
  <c r="E2130" i="1"/>
  <c r="F2130" i="1"/>
  <c r="K2130" i="1"/>
  <c r="D2131" i="1"/>
  <c r="E2131" i="1"/>
  <c r="F2131" i="1"/>
  <c r="K2131" i="1"/>
  <c r="D2132" i="1"/>
  <c r="E2132" i="1"/>
  <c r="F2132" i="1"/>
  <c r="K2132" i="1"/>
  <c r="D2133" i="1"/>
  <c r="E2133" i="1"/>
  <c r="F2133" i="1"/>
  <c r="K2133" i="1"/>
  <c r="D2134" i="1"/>
  <c r="E2134" i="1"/>
  <c r="F2134" i="1"/>
  <c r="K2134" i="1"/>
  <c r="D2135" i="1"/>
  <c r="E2135" i="1"/>
  <c r="F2135" i="1"/>
  <c r="K2135" i="1"/>
  <c r="D2136" i="1"/>
  <c r="E2136" i="1"/>
  <c r="F2136" i="1"/>
  <c r="K2136" i="1"/>
  <c r="D2137" i="1"/>
  <c r="E2137" i="1"/>
  <c r="F2137" i="1"/>
  <c r="K2137" i="1"/>
  <c r="D2138" i="1"/>
  <c r="E2138" i="1"/>
  <c r="F2138" i="1"/>
  <c r="K2138" i="1"/>
  <c r="D2139" i="1"/>
  <c r="E2139" i="1"/>
  <c r="F2139" i="1"/>
  <c r="K2139" i="1"/>
  <c r="D2140" i="1"/>
  <c r="E2140" i="1"/>
  <c r="F2140" i="1"/>
  <c r="K2140" i="1"/>
  <c r="D2141" i="1"/>
  <c r="E2141" i="1"/>
  <c r="F2141" i="1"/>
  <c r="K2141" i="1"/>
  <c r="D2142" i="1"/>
  <c r="E2142" i="1"/>
  <c r="F2142" i="1"/>
  <c r="K2142" i="1"/>
  <c r="D2143" i="1"/>
  <c r="E2143" i="1"/>
  <c r="F2143" i="1"/>
  <c r="K2143" i="1"/>
  <c r="D2144" i="1"/>
  <c r="E2144" i="1"/>
  <c r="F2144" i="1"/>
  <c r="K2144" i="1"/>
  <c r="D2145" i="1"/>
  <c r="E2145" i="1"/>
  <c r="F2145" i="1"/>
  <c r="K2145" i="1"/>
  <c r="D2146" i="1"/>
  <c r="E2146" i="1"/>
  <c r="F2146" i="1"/>
  <c r="K2146" i="1"/>
  <c r="D2147" i="1"/>
  <c r="E2147" i="1"/>
  <c r="F2147" i="1"/>
  <c r="K2147" i="1"/>
  <c r="D2148" i="1"/>
  <c r="E2148" i="1"/>
  <c r="F2148" i="1"/>
  <c r="K2148" i="1"/>
  <c r="D2149" i="1"/>
  <c r="E2149" i="1"/>
  <c r="F2149" i="1"/>
  <c r="K2149" i="1"/>
  <c r="D2150" i="1"/>
  <c r="E2150" i="1"/>
  <c r="F2150" i="1"/>
  <c r="K2150" i="1"/>
  <c r="D2151" i="1"/>
  <c r="E2151" i="1"/>
  <c r="F2151" i="1"/>
  <c r="K2151" i="1"/>
  <c r="D2152" i="1"/>
  <c r="E2152" i="1"/>
  <c r="F2152" i="1"/>
  <c r="K2152" i="1"/>
  <c r="D2153" i="1"/>
  <c r="E2153" i="1"/>
  <c r="F2153" i="1"/>
  <c r="K2153" i="1"/>
  <c r="D2154" i="1"/>
  <c r="E2154" i="1"/>
  <c r="F2154" i="1"/>
  <c r="K2154" i="1"/>
  <c r="D2155" i="1"/>
  <c r="E2155" i="1"/>
  <c r="F2155" i="1"/>
  <c r="K2155" i="1"/>
  <c r="D2156" i="1"/>
  <c r="E2156" i="1"/>
  <c r="F2156" i="1"/>
  <c r="K2156" i="1"/>
  <c r="D2157" i="1"/>
  <c r="E2157" i="1"/>
  <c r="F2157" i="1"/>
  <c r="K2157" i="1"/>
  <c r="D2158" i="1"/>
  <c r="E2158" i="1"/>
  <c r="F2158" i="1"/>
  <c r="K2158" i="1"/>
  <c r="D2159" i="1"/>
  <c r="E2159" i="1"/>
  <c r="F2159" i="1"/>
  <c r="K2159" i="1"/>
  <c r="D2160" i="1"/>
  <c r="E2160" i="1"/>
  <c r="F2160" i="1"/>
  <c r="K2160" i="1"/>
  <c r="D2161" i="1"/>
  <c r="E2161" i="1"/>
  <c r="F2161" i="1"/>
  <c r="K2161" i="1"/>
  <c r="D2162" i="1"/>
  <c r="E2162" i="1"/>
  <c r="F2162" i="1"/>
  <c r="K2162" i="1"/>
  <c r="D2163" i="1"/>
  <c r="E2163" i="1"/>
  <c r="F2163" i="1"/>
  <c r="K2163" i="1"/>
  <c r="D2164" i="1"/>
  <c r="E2164" i="1"/>
  <c r="F2164" i="1"/>
  <c r="K2164" i="1"/>
  <c r="D2165" i="1"/>
  <c r="E2165" i="1"/>
  <c r="F2165" i="1"/>
  <c r="K2165" i="1"/>
  <c r="D2166" i="1"/>
  <c r="E2166" i="1"/>
  <c r="F2166" i="1"/>
  <c r="K2166" i="1"/>
  <c r="D2167" i="1"/>
  <c r="E2167" i="1"/>
  <c r="F2167" i="1"/>
  <c r="K2167" i="1"/>
  <c r="D2168" i="1"/>
  <c r="E2168" i="1"/>
  <c r="F2168" i="1"/>
  <c r="K2168" i="1"/>
  <c r="D2169" i="1"/>
  <c r="E2169" i="1"/>
  <c r="F2169" i="1"/>
  <c r="K2169" i="1"/>
  <c r="D2170" i="1"/>
  <c r="E2170" i="1"/>
  <c r="F2170" i="1"/>
  <c r="K2170" i="1"/>
  <c r="D2171" i="1"/>
  <c r="E2171" i="1"/>
  <c r="F2171" i="1"/>
  <c r="K2171" i="1"/>
  <c r="D2172" i="1"/>
  <c r="E2172" i="1"/>
  <c r="F2172" i="1"/>
  <c r="K2172" i="1"/>
  <c r="D2173" i="1"/>
  <c r="E2173" i="1"/>
  <c r="F2173" i="1"/>
  <c r="K2173" i="1"/>
  <c r="D2174" i="1"/>
  <c r="E2174" i="1"/>
  <c r="F2174" i="1"/>
  <c r="K2174" i="1"/>
  <c r="D2175" i="1"/>
  <c r="E2175" i="1"/>
  <c r="F2175" i="1"/>
  <c r="K2175" i="1"/>
  <c r="D2176" i="1"/>
  <c r="E2176" i="1"/>
  <c r="F2176" i="1"/>
  <c r="K2176" i="1"/>
  <c r="D2177" i="1"/>
  <c r="E2177" i="1"/>
  <c r="F2177" i="1"/>
  <c r="K2177" i="1"/>
  <c r="D2178" i="1"/>
  <c r="E2178" i="1"/>
  <c r="F2178" i="1"/>
  <c r="K2178" i="1"/>
  <c r="D2179" i="1"/>
  <c r="E2179" i="1"/>
  <c r="F2179" i="1"/>
  <c r="K2179" i="1"/>
  <c r="D2180" i="1"/>
  <c r="E2180" i="1"/>
  <c r="F2180" i="1"/>
  <c r="K2180" i="1"/>
  <c r="D2181" i="1"/>
  <c r="E2181" i="1"/>
  <c r="F2181" i="1"/>
  <c r="K2181" i="1"/>
  <c r="D2182" i="1"/>
  <c r="E2182" i="1"/>
  <c r="F2182" i="1"/>
  <c r="K2182" i="1"/>
  <c r="D2183" i="1"/>
  <c r="E2183" i="1"/>
  <c r="F2183" i="1"/>
  <c r="K2183" i="1"/>
  <c r="D2184" i="1"/>
  <c r="E2184" i="1"/>
  <c r="F2184" i="1"/>
  <c r="K2184" i="1"/>
  <c r="D2185" i="1"/>
  <c r="E2185" i="1"/>
  <c r="F2185" i="1"/>
  <c r="K2185" i="1"/>
  <c r="D2186" i="1"/>
  <c r="E2186" i="1"/>
  <c r="F2186" i="1"/>
  <c r="K2186" i="1"/>
  <c r="D2187" i="1"/>
  <c r="E2187" i="1"/>
  <c r="F2187" i="1"/>
  <c r="K2187" i="1"/>
  <c r="D2188" i="1"/>
  <c r="E2188" i="1"/>
  <c r="F2188" i="1"/>
  <c r="K2188" i="1"/>
  <c r="D2189" i="1"/>
  <c r="E2189" i="1"/>
  <c r="F2189" i="1"/>
  <c r="K2189" i="1"/>
  <c r="D2190" i="1"/>
  <c r="E2190" i="1"/>
  <c r="F2190" i="1"/>
  <c r="K2190" i="1"/>
  <c r="D2191" i="1"/>
  <c r="E2191" i="1"/>
  <c r="F2191" i="1"/>
  <c r="K2191" i="1"/>
  <c r="D2192" i="1"/>
  <c r="E2192" i="1"/>
  <c r="F2192" i="1"/>
  <c r="K2192" i="1"/>
  <c r="D2193" i="1"/>
  <c r="E2193" i="1"/>
  <c r="F2193" i="1"/>
  <c r="K2193" i="1"/>
  <c r="D2194" i="1"/>
  <c r="E2194" i="1"/>
  <c r="F2194" i="1"/>
  <c r="K2194" i="1"/>
  <c r="D2195" i="1"/>
  <c r="E2195" i="1"/>
  <c r="F2195" i="1"/>
  <c r="K2195" i="1"/>
  <c r="D2196" i="1"/>
  <c r="E2196" i="1"/>
  <c r="F2196" i="1"/>
  <c r="K2196" i="1"/>
  <c r="D2197" i="1"/>
  <c r="E2197" i="1"/>
  <c r="F2197" i="1"/>
  <c r="K2197" i="1"/>
  <c r="D2198" i="1"/>
  <c r="E2198" i="1"/>
  <c r="F2198" i="1"/>
  <c r="K2198" i="1"/>
  <c r="D2199" i="1"/>
  <c r="E2199" i="1"/>
  <c r="F2199" i="1"/>
  <c r="K2199" i="1"/>
  <c r="D2200" i="1"/>
  <c r="E2200" i="1"/>
  <c r="F2200" i="1"/>
  <c r="K2200" i="1"/>
  <c r="D2201" i="1"/>
  <c r="E2201" i="1"/>
  <c r="F2201" i="1"/>
  <c r="K2201" i="1"/>
  <c r="D2202" i="1"/>
  <c r="E2202" i="1"/>
  <c r="F2202" i="1"/>
  <c r="K2202" i="1"/>
  <c r="D2203" i="1"/>
  <c r="E2203" i="1"/>
  <c r="F2203" i="1"/>
  <c r="K2203" i="1"/>
  <c r="D2204" i="1"/>
  <c r="E2204" i="1"/>
  <c r="F2204" i="1"/>
  <c r="K2204" i="1"/>
  <c r="D2205" i="1"/>
  <c r="E2205" i="1"/>
  <c r="F2205" i="1"/>
  <c r="K2205" i="1"/>
  <c r="D2206" i="1"/>
  <c r="E2206" i="1"/>
  <c r="F2206" i="1"/>
  <c r="K2206" i="1"/>
  <c r="D2207" i="1"/>
  <c r="E2207" i="1"/>
  <c r="F2207" i="1"/>
  <c r="K2207" i="1"/>
  <c r="D2208" i="1"/>
  <c r="E2208" i="1"/>
  <c r="F2208" i="1"/>
  <c r="K2208" i="1"/>
  <c r="D2209" i="1"/>
  <c r="E2209" i="1"/>
  <c r="F2209" i="1"/>
  <c r="K2209" i="1"/>
  <c r="D2210" i="1"/>
  <c r="E2210" i="1"/>
  <c r="F2210" i="1"/>
  <c r="K2210" i="1"/>
  <c r="D2211" i="1"/>
  <c r="E2211" i="1"/>
  <c r="F2211" i="1"/>
  <c r="K2211" i="1"/>
  <c r="D2212" i="1"/>
  <c r="E2212" i="1"/>
  <c r="F2212" i="1"/>
  <c r="K2212" i="1"/>
  <c r="D2213" i="1"/>
  <c r="E2213" i="1"/>
  <c r="F2213" i="1"/>
  <c r="K2213" i="1"/>
  <c r="D2214" i="1"/>
  <c r="E2214" i="1"/>
  <c r="F2214" i="1"/>
  <c r="K2214" i="1"/>
  <c r="D2215" i="1"/>
  <c r="E2215" i="1"/>
  <c r="F2215" i="1"/>
  <c r="K2215" i="1"/>
  <c r="D2216" i="1"/>
  <c r="E2216" i="1"/>
  <c r="F2216" i="1"/>
  <c r="K2216" i="1"/>
  <c r="D2217" i="1"/>
  <c r="E2217" i="1"/>
  <c r="F2217" i="1"/>
  <c r="K2217" i="1"/>
  <c r="D2218" i="1"/>
  <c r="E2218" i="1"/>
  <c r="F2218" i="1"/>
  <c r="K2218" i="1"/>
  <c r="D2219" i="1"/>
  <c r="E2219" i="1"/>
  <c r="F2219" i="1"/>
  <c r="K2219" i="1"/>
  <c r="D2220" i="1"/>
  <c r="E2220" i="1"/>
  <c r="F2220" i="1"/>
  <c r="K2220" i="1"/>
  <c r="D2221" i="1"/>
  <c r="E2221" i="1"/>
  <c r="F2221" i="1"/>
  <c r="K2221" i="1"/>
  <c r="D2222" i="1"/>
  <c r="E2222" i="1"/>
  <c r="F2222" i="1"/>
  <c r="K2222" i="1"/>
  <c r="D2223" i="1"/>
  <c r="E2223" i="1"/>
  <c r="F2223" i="1"/>
  <c r="K2223" i="1"/>
  <c r="D2224" i="1"/>
  <c r="E2224" i="1"/>
  <c r="F2224" i="1"/>
  <c r="K2224" i="1"/>
  <c r="D2225" i="1"/>
  <c r="E2225" i="1"/>
  <c r="F2225" i="1"/>
  <c r="K2225" i="1"/>
  <c r="D2226" i="1"/>
  <c r="E2226" i="1"/>
  <c r="F2226" i="1"/>
  <c r="K2226" i="1"/>
  <c r="D2227" i="1"/>
  <c r="E2227" i="1"/>
  <c r="F2227" i="1"/>
  <c r="K2227" i="1"/>
  <c r="D2228" i="1"/>
  <c r="E2228" i="1"/>
  <c r="F2228" i="1"/>
  <c r="K2228" i="1"/>
  <c r="D2229" i="1"/>
  <c r="E2229" i="1"/>
  <c r="F2229" i="1"/>
  <c r="K2229" i="1"/>
  <c r="D2230" i="1"/>
  <c r="E2230" i="1"/>
  <c r="F2230" i="1"/>
  <c r="K2230" i="1"/>
  <c r="D2231" i="1"/>
  <c r="E2231" i="1"/>
  <c r="F2231" i="1"/>
  <c r="K2231" i="1"/>
  <c r="D2232" i="1"/>
  <c r="E2232" i="1"/>
  <c r="F2232" i="1"/>
  <c r="K2232" i="1"/>
  <c r="D2233" i="1"/>
  <c r="E2233" i="1"/>
  <c r="F2233" i="1"/>
  <c r="K2233" i="1"/>
  <c r="D2234" i="1"/>
  <c r="E2234" i="1"/>
  <c r="F2234" i="1"/>
  <c r="K2234" i="1"/>
  <c r="D2235" i="1"/>
  <c r="E2235" i="1"/>
  <c r="F2235" i="1"/>
  <c r="K2235" i="1"/>
  <c r="D2236" i="1"/>
  <c r="E2236" i="1"/>
  <c r="F2236" i="1"/>
  <c r="K2236" i="1"/>
  <c r="D2237" i="1"/>
  <c r="E2237" i="1"/>
  <c r="F2237" i="1"/>
  <c r="K2237" i="1"/>
  <c r="D2238" i="1"/>
  <c r="E2238" i="1"/>
  <c r="F2238" i="1"/>
  <c r="K2238" i="1"/>
  <c r="D2239" i="1"/>
  <c r="E2239" i="1"/>
  <c r="F2239" i="1"/>
  <c r="K2239" i="1"/>
  <c r="D2240" i="1"/>
  <c r="E2240" i="1"/>
  <c r="F2240" i="1"/>
  <c r="K2240" i="1"/>
  <c r="D2241" i="1"/>
  <c r="E2241" i="1"/>
  <c r="F2241" i="1"/>
  <c r="K2241" i="1"/>
  <c r="D2242" i="1"/>
  <c r="E2242" i="1"/>
  <c r="F2242" i="1"/>
  <c r="K2242" i="1"/>
  <c r="D2243" i="1"/>
  <c r="E2243" i="1"/>
  <c r="F2243" i="1"/>
  <c r="K2243" i="1"/>
  <c r="D2244" i="1"/>
  <c r="E2244" i="1"/>
  <c r="F2244" i="1"/>
  <c r="K2244" i="1"/>
  <c r="D2245" i="1"/>
  <c r="E2245" i="1"/>
  <c r="F2245" i="1"/>
  <c r="K2245" i="1"/>
  <c r="D2246" i="1"/>
  <c r="E2246" i="1"/>
  <c r="F2246" i="1"/>
  <c r="K2246" i="1"/>
  <c r="D2247" i="1"/>
  <c r="E2247" i="1"/>
  <c r="F2247" i="1"/>
  <c r="K2247" i="1"/>
  <c r="D2248" i="1"/>
  <c r="E2248" i="1"/>
  <c r="F2248" i="1"/>
  <c r="K2248" i="1"/>
  <c r="D2249" i="1"/>
  <c r="E2249" i="1"/>
  <c r="F2249" i="1"/>
  <c r="K2249" i="1"/>
  <c r="D2250" i="1"/>
  <c r="E2250" i="1"/>
  <c r="F2250" i="1"/>
  <c r="K2250" i="1"/>
  <c r="D2251" i="1"/>
  <c r="E2251" i="1"/>
  <c r="F2251" i="1"/>
  <c r="K2251" i="1"/>
  <c r="D2252" i="1"/>
  <c r="E2252" i="1"/>
  <c r="F2252" i="1"/>
  <c r="K2252" i="1"/>
  <c r="D2253" i="1"/>
  <c r="E2253" i="1"/>
  <c r="F2253" i="1"/>
  <c r="K2253" i="1"/>
  <c r="D2254" i="1"/>
  <c r="E2254" i="1"/>
  <c r="F2254" i="1"/>
  <c r="K2254" i="1"/>
  <c r="D2255" i="1"/>
  <c r="E2255" i="1"/>
  <c r="F2255" i="1"/>
  <c r="K2255" i="1"/>
  <c r="D2256" i="1"/>
  <c r="E2256" i="1"/>
  <c r="F2256" i="1"/>
  <c r="K2256" i="1"/>
  <c r="D2257" i="1"/>
  <c r="E2257" i="1"/>
  <c r="F2257" i="1"/>
  <c r="K2257" i="1"/>
  <c r="D2258" i="1"/>
  <c r="E2258" i="1"/>
  <c r="F2258" i="1"/>
  <c r="K2258" i="1"/>
  <c r="D2259" i="1"/>
  <c r="E2259" i="1"/>
  <c r="F2259" i="1"/>
  <c r="K2259" i="1"/>
  <c r="D2260" i="1"/>
  <c r="E2260" i="1"/>
  <c r="F2260" i="1"/>
  <c r="K2260" i="1"/>
  <c r="D2261" i="1"/>
  <c r="E2261" i="1"/>
  <c r="F2261" i="1"/>
  <c r="K2261" i="1"/>
  <c r="D2262" i="1"/>
  <c r="E2262" i="1"/>
  <c r="F2262" i="1"/>
  <c r="K2262" i="1"/>
  <c r="D2263" i="1"/>
  <c r="E2263" i="1"/>
  <c r="F2263" i="1"/>
  <c r="K2263" i="1"/>
  <c r="D2264" i="1"/>
  <c r="E2264" i="1"/>
  <c r="F2264" i="1"/>
  <c r="K2264" i="1"/>
  <c r="D2265" i="1"/>
  <c r="E2265" i="1"/>
  <c r="F2265" i="1"/>
  <c r="K2265" i="1"/>
  <c r="D2266" i="1"/>
  <c r="E2266" i="1"/>
  <c r="F2266" i="1"/>
  <c r="K2266" i="1"/>
  <c r="D2267" i="1"/>
  <c r="E2267" i="1"/>
  <c r="F2267" i="1"/>
  <c r="K2267" i="1"/>
  <c r="D2268" i="1"/>
  <c r="E2268" i="1"/>
  <c r="F2268" i="1"/>
  <c r="K2268" i="1"/>
  <c r="D2269" i="1"/>
  <c r="E2269" i="1"/>
  <c r="F2269" i="1"/>
  <c r="K2269" i="1"/>
  <c r="D2270" i="1"/>
  <c r="E2270" i="1"/>
  <c r="F2270" i="1"/>
  <c r="K2270" i="1"/>
  <c r="D2271" i="1"/>
  <c r="E2271" i="1"/>
  <c r="F2271" i="1"/>
  <c r="K2271" i="1"/>
  <c r="D2272" i="1"/>
  <c r="E2272" i="1"/>
  <c r="F2272" i="1"/>
  <c r="K2272" i="1"/>
  <c r="D2273" i="1"/>
  <c r="E2273" i="1"/>
  <c r="F2273" i="1"/>
  <c r="K2273" i="1"/>
  <c r="D2274" i="1"/>
  <c r="E2274" i="1"/>
  <c r="F2274" i="1"/>
  <c r="K2274" i="1"/>
  <c r="D2275" i="1"/>
  <c r="E2275" i="1"/>
  <c r="F2275" i="1"/>
  <c r="K2275" i="1"/>
  <c r="D2276" i="1"/>
  <c r="E2276" i="1"/>
  <c r="F2276" i="1"/>
  <c r="K2276" i="1"/>
  <c r="D2277" i="1"/>
  <c r="E2277" i="1"/>
  <c r="F2277" i="1"/>
  <c r="K2277" i="1"/>
  <c r="D2278" i="1"/>
  <c r="E2278" i="1"/>
  <c r="F2278" i="1"/>
  <c r="K2278" i="1"/>
  <c r="D2279" i="1"/>
  <c r="E2279" i="1"/>
  <c r="F2279" i="1"/>
  <c r="K2279" i="1"/>
  <c r="D2281" i="1"/>
  <c r="E2281" i="1"/>
  <c r="F2281" i="1"/>
  <c r="K2281" i="1"/>
  <c r="D2282" i="1"/>
  <c r="E2282" i="1"/>
  <c r="F2282" i="1"/>
  <c r="K2282" i="1"/>
  <c r="D2283" i="1"/>
  <c r="E2283" i="1"/>
  <c r="F2283" i="1"/>
  <c r="K2283" i="1"/>
  <c r="D2284" i="1"/>
  <c r="E2284" i="1"/>
  <c r="F2284" i="1"/>
  <c r="K2284" i="1"/>
  <c r="D2285" i="1"/>
  <c r="E2285" i="1"/>
  <c r="F2285" i="1"/>
  <c r="K2285" i="1"/>
  <c r="D2286" i="1"/>
  <c r="E2286" i="1"/>
  <c r="F2286" i="1"/>
  <c r="K2286" i="1"/>
  <c r="D2287" i="1"/>
  <c r="E2287" i="1"/>
  <c r="F2287" i="1"/>
  <c r="K2287" i="1"/>
  <c r="D2288" i="1"/>
  <c r="E2288" i="1"/>
  <c r="F2288" i="1"/>
  <c r="K2288" i="1"/>
  <c r="D2289" i="1"/>
  <c r="E2289" i="1"/>
  <c r="F2289" i="1"/>
  <c r="K2289" i="1"/>
  <c r="D2290" i="1"/>
  <c r="E2290" i="1"/>
  <c r="F2290" i="1"/>
  <c r="K2290" i="1"/>
  <c r="D2291" i="1"/>
  <c r="E2291" i="1"/>
  <c r="F2291" i="1"/>
  <c r="K2291" i="1"/>
  <c r="D2292" i="1"/>
  <c r="E2292" i="1"/>
  <c r="F2292" i="1"/>
  <c r="K2292" i="1"/>
  <c r="D2293" i="1"/>
  <c r="E2293" i="1"/>
  <c r="F2293" i="1"/>
  <c r="K2293" i="1"/>
  <c r="D2294" i="1"/>
  <c r="E2294" i="1"/>
  <c r="F2294" i="1"/>
  <c r="K2294" i="1"/>
  <c r="D2295" i="1"/>
  <c r="E2295" i="1"/>
  <c r="F2295" i="1"/>
  <c r="K2295" i="1"/>
  <c r="D2296" i="1"/>
  <c r="E2296" i="1"/>
  <c r="F2296" i="1"/>
  <c r="K2296" i="1"/>
  <c r="D2297" i="1"/>
  <c r="E2297" i="1"/>
  <c r="F2297" i="1"/>
  <c r="K2297" i="1"/>
  <c r="D2298" i="1"/>
  <c r="E2298" i="1"/>
  <c r="F2298" i="1"/>
  <c r="K2298" i="1"/>
  <c r="D2299" i="1"/>
  <c r="E2299" i="1"/>
  <c r="F2299" i="1"/>
  <c r="K2299" i="1"/>
  <c r="D2300" i="1"/>
  <c r="E2300" i="1"/>
  <c r="F2300" i="1"/>
  <c r="K2300" i="1"/>
  <c r="D2301" i="1"/>
  <c r="E2301" i="1"/>
  <c r="F2301" i="1"/>
  <c r="K2301" i="1"/>
  <c r="D2302" i="1"/>
  <c r="E2302" i="1"/>
  <c r="F2302" i="1"/>
  <c r="K2302" i="1"/>
  <c r="D2303" i="1"/>
  <c r="E2303" i="1"/>
  <c r="F2303" i="1"/>
  <c r="K2303" i="1"/>
  <c r="D2304" i="1"/>
  <c r="E2304" i="1"/>
  <c r="F2304" i="1"/>
  <c r="K2304" i="1"/>
  <c r="D2305" i="1"/>
  <c r="E2305" i="1"/>
  <c r="F2305" i="1"/>
  <c r="K2305" i="1"/>
  <c r="D2306" i="1"/>
  <c r="E2306" i="1"/>
  <c r="F2306" i="1"/>
  <c r="K2306" i="1"/>
  <c r="D2307" i="1"/>
  <c r="E2307" i="1"/>
  <c r="F2307" i="1"/>
  <c r="K2307" i="1"/>
  <c r="D2308" i="1"/>
  <c r="E2308" i="1"/>
  <c r="F2308" i="1"/>
  <c r="K2308" i="1"/>
  <c r="D2309" i="1"/>
  <c r="E2309" i="1"/>
  <c r="F2309" i="1"/>
  <c r="K2309" i="1"/>
  <c r="D2310" i="1"/>
  <c r="E2310" i="1"/>
  <c r="F2310" i="1"/>
  <c r="K2310" i="1"/>
  <c r="D2311" i="1"/>
  <c r="E2311" i="1"/>
  <c r="F2311" i="1"/>
  <c r="K2311" i="1"/>
  <c r="D2312" i="1"/>
  <c r="E2312" i="1"/>
  <c r="F2312" i="1"/>
  <c r="K2312" i="1"/>
  <c r="D2313" i="1"/>
  <c r="E2313" i="1"/>
  <c r="F2313" i="1"/>
  <c r="K2313" i="1"/>
  <c r="D2314" i="1"/>
  <c r="E2314" i="1"/>
  <c r="F2314" i="1"/>
  <c r="K2314" i="1"/>
  <c r="D2315" i="1"/>
  <c r="E2315" i="1"/>
  <c r="F2315" i="1"/>
  <c r="K2315" i="1"/>
  <c r="D2316" i="1"/>
  <c r="E2316" i="1"/>
  <c r="F2316" i="1"/>
  <c r="K2316" i="1"/>
  <c r="D2317" i="1"/>
  <c r="E2317" i="1"/>
  <c r="F2317" i="1"/>
  <c r="K2317" i="1"/>
  <c r="D2318" i="1"/>
  <c r="E2318" i="1"/>
  <c r="F2318" i="1"/>
  <c r="K2318" i="1"/>
  <c r="D2319" i="1"/>
  <c r="E2319" i="1"/>
  <c r="F2319" i="1"/>
  <c r="K2319" i="1"/>
  <c r="D2320" i="1"/>
  <c r="E2320" i="1"/>
  <c r="F2320" i="1"/>
  <c r="K2320" i="1"/>
  <c r="D2321" i="1"/>
  <c r="E2321" i="1"/>
  <c r="F2321" i="1"/>
  <c r="K2321" i="1"/>
  <c r="D2322" i="1"/>
  <c r="E2322" i="1"/>
  <c r="F2322" i="1"/>
  <c r="K2322" i="1"/>
  <c r="D2323" i="1"/>
  <c r="E2323" i="1"/>
  <c r="F2323" i="1"/>
  <c r="K2323" i="1"/>
  <c r="D2324" i="1"/>
  <c r="E2324" i="1"/>
  <c r="F2324" i="1"/>
  <c r="K2324" i="1"/>
  <c r="D2325" i="1"/>
  <c r="E2325" i="1"/>
  <c r="F2325" i="1"/>
  <c r="K2325" i="1"/>
  <c r="D2326" i="1"/>
  <c r="E2326" i="1"/>
  <c r="F2326" i="1"/>
  <c r="K2326" i="1"/>
  <c r="D2327" i="1"/>
  <c r="E2327" i="1"/>
  <c r="F2327" i="1"/>
  <c r="K2327" i="1"/>
  <c r="D2328" i="1"/>
  <c r="E2328" i="1"/>
  <c r="F2328" i="1"/>
  <c r="K2328" i="1"/>
  <c r="D2329" i="1"/>
  <c r="E2329" i="1"/>
  <c r="F2329" i="1"/>
  <c r="K2329" i="1"/>
  <c r="D2330" i="1"/>
  <c r="E2330" i="1"/>
  <c r="F2330" i="1"/>
  <c r="K2330" i="1"/>
  <c r="D2331" i="1"/>
  <c r="E2331" i="1"/>
  <c r="F2331" i="1"/>
  <c r="K2331" i="1"/>
  <c r="D2332" i="1"/>
  <c r="E2332" i="1"/>
  <c r="F2332" i="1"/>
  <c r="K2332" i="1"/>
  <c r="D2333" i="1"/>
  <c r="E2333" i="1"/>
  <c r="F2333" i="1"/>
  <c r="K2333" i="1"/>
  <c r="D2334" i="1"/>
  <c r="E2334" i="1"/>
  <c r="F2334" i="1"/>
  <c r="K2334" i="1"/>
  <c r="D2335" i="1"/>
  <c r="E2335" i="1"/>
  <c r="F2335" i="1"/>
  <c r="K2335" i="1"/>
  <c r="D2336" i="1"/>
  <c r="E2336" i="1"/>
  <c r="F2336" i="1"/>
  <c r="K2336" i="1"/>
  <c r="D2337" i="1"/>
  <c r="E2337" i="1"/>
  <c r="F2337" i="1"/>
  <c r="K2337" i="1"/>
  <c r="D2338" i="1"/>
  <c r="E2338" i="1"/>
  <c r="F2338" i="1"/>
  <c r="K2338" i="1"/>
  <c r="D2339" i="1"/>
  <c r="E2339" i="1"/>
  <c r="F2339" i="1"/>
  <c r="K2339" i="1"/>
  <c r="D2340" i="1"/>
  <c r="E2340" i="1"/>
  <c r="F2340" i="1"/>
  <c r="K2340" i="1"/>
  <c r="D2341" i="1"/>
  <c r="E2341" i="1"/>
  <c r="F2341" i="1"/>
  <c r="K2341" i="1"/>
  <c r="D2342" i="1"/>
  <c r="E2342" i="1"/>
  <c r="F2342" i="1"/>
  <c r="K2342" i="1"/>
  <c r="D2343" i="1"/>
  <c r="E2343" i="1"/>
  <c r="F2343" i="1"/>
  <c r="K2343" i="1"/>
  <c r="D2344" i="1"/>
  <c r="E2344" i="1"/>
  <c r="F2344" i="1"/>
  <c r="K2344" i="1"/>
  <c r="D2345" i="1"/>
  <c r="E2345" i="1"/>
  <c r="F2345" i="1"/>
  <c r="K2345" i="1"/>
  <c r="D2346" i="1"/>
  <c r="E2346" i="1"/>
  <c r="F2346" i="1"/>
  <c r="K2346" i="1"/>
  <c r="D2347" i="1"/>
  <c r="E2347" i="1"/>
  <c r="F2347" i="1"/>
  <c r="K2347" i="1"/>
  <c r="D2348" i="1"/>
  <c r="E2348" i="1"/>
  <c r="F2348" i="1"/>
  <c r="K2348" i="1"/>
  <c r="D2349" i="1"/>
  <c r="E2349" i="1"/>
  <c r="F2349" i="1"/>
  <c r="K2349" i="1"/>
  <c r="D2350" i="1"/>
  <c r="E2350" i="1"/>
  <c r="F2350" i="1"/>
  <c r="K2350" i="1"/>
  <c r="D2351" i="1"/>
  <c r="E2351" i="1"/>
  <c r="F2351" i="1"/>
  <c r="K2351" i="1"/>
  <c r="D2352" i="1"/>
  <c r="E2352" i="1"/>
  <c r="F2352" i="1"/>
  <c r="K2352" i="1"/>
  <c r="D2353" i="1"/>
  <c r="E2353" i="1"/>
  <c r="F2353" i="1"/>
  <c r="K2353" i="1"/>
  <c r="D2354" i="1"/>
  <c r="E2354" i="1"/>
  <c r="F2354" i="1"/>
  <c r="K2354" i="1"/>
  <c r="D2355" i="1"/>
  <c r="E2355" i="1"/>
  <c r="F2355" i="1"/>
  <c r="K2355" i="1"/>
  <c r="D2356" i="1"/>
  <c r="E2356" i="1"/>
  <c r="F2356" i="1"/>
  <c r="K2356" i="1"/>
  <c r="D2357" i="1"/>
  <c r="E2357" i="1"/>
  <c r="F2357" i="1"/>
  <c r="K2357" i="1"/>
  <c r="D2358" i="1"/>
  <c r="E2358" i="1"/>
  <c r="F2358" i="1"/>
  <c r="K2358" i="1"/>
  <c r="D2359" i="1"/>
  <c r="E2359" i="1"/>
  <c r="F2359" i="1"/>
  <c r="K2359" i="1"/>
  <c r="D2360" i="1"/>
  <c r="E2360" i="1"/>
  <c r="F2360" i="1"/>
  <c r="K2360" i="1"/>
  <c r="D2361" i="1"/>
  <c r="E2361" i="1"/>
  <c r="F2361" i="1"/>
  <c r="K2361" i="1"/>
  <c r="D2362" i="1"/>
  <c r="E2362" i="1"/>
  <c r="F2362" i="1"/>
  <c r="K2362" i="1"/>
  <c r="D2363" i="1"/>
  <c r="E2363" i="1"/>
  <c r="F2363" i="1"/>
  <c r="K2363" i="1"/>
  <c r="D2364" i="1"/>
  <c r="E2364" i="1"/>
  <c r="F2364" i="1"/>
  <c r="K2364" i="1"/>
  <c r="D2365" i="1"/>
  <c r="E2365" i="1"/>
  <c r="F2365" i="1"/>
  <c r="K2365" i="1"/>
  <c r="D2366" i="1"/>
  <c r="E2366" i="1"/>
  <c r="F2366" i="1"/>
  <c r="K2366" i="1"/>
  <c r="D2367" i="1"/>
  <c r="E2367" i="1"/>
  <c r="F2367" i="1"/>
  <c r="K2367" i="1"/>
  <c r="D2368" i="1"/>
  <c r="E2368" i="1"/>
  <c r="F2368" i="1"/>
  <c r="K2368" i="1"/>
  <c r="D2369" i="1"/>
  <c r="E2369" i="1"/>
  <c r="F2369" i="1"/>
  <c r="K2369" i="1"/>
  <c r="D2370" i="1"/>
  <c r="E2370" i="1"/>
  <c r="F2370" i="1"/>
  <c r="K2370" i="1"/>
  <c r="D2371" i="1"/>
  <c r="E2371" i="1"/>
  <c r="F2371" i="1"/>
  <c r="K2371" i="1"/>
  <c r="D2372" i="1"/>
  <c r="E2372" i="1"/>
  <c r="F2372" i="1"/>
  <c r="K2372" i="1"/>
  <c r="D2373" i="1"/>
  <c r="E2373" i="1"/>
  <c r="F2373" i="1"/>
  <c r="K2373" i="1"/>
  <c r="D2374" i="1"/>
  <c r="E2374" i="1"/>
  <c r="F2374" i="1"/>
  <c r="K2374" i="1"/>
  <c r="D2375" i="1"/>
  <c r="E2375" i="1"/>
  <c r="F2375" i="1"/>
  <c r="K2375" i="1"/>
  <c r="D2376" i="1"/>
  <c r="E2376" i="1"/>
  <c r="F2376" i="1"/>
  <c r="K2376" i="1"/>
  <c r="D2377" i="1"/>
  <c r="E2377" i="1"/>
  <c r="F2377" i="1"/>
  <c r="K2377" i="1"/>
  <c r="D2378" i="1"/>
  <c r="E2378" i="1"/>
  <c r="F2378" i="1"/>
  <c r="K2378" i="1"/>
  <c r="D2379" i="1"/>
  <c r="E2379" i="1"/>
  <c r="F2379" i="1"/>
  <c r="K2379" i="1"/>
  <c r="D2380" i="1"/>
  <c r="E2380" i="1"/>
  <c r="F2380" i="1"/>
  <c r="K2380" i="1"/>
  <c r="D2381" i="1"/>
  <c r="E2381" i="1"/>
  <c r="F2381" i="1"/>
  <c r="K2381" i="1"/>
  <c r="D2382" i="1"/>
  <c r="E2382" i="1"/>
  <c r="F2382" i="1"/>
  <c r="K2382" i="1"/>
  <c r="D2383" i="1"/>
  <c r="E2383" i="1"/>
  <c r="F2383" i="1"/>
  <c r="K2383" i="1"/>
  <c r="D2384" i="1"/>
  <c r="E2384" i="1"/>
  <c r="F2384" i="1"/>
  <c r="K2384" i="1"/>
  <c r="D2385" i="1"/>
  <c r="E2385" i="1"/>
  <c r="F2385" i="1"/>
  <c r="K2385" i="1"/>
  <c r="D2386" i="1"/>
  <c r="E2386" i="1"/>
  <c r="F2386" i="1"/>
  <c r="K2386" i="1"/>
  <c r="D2387" i="1"/>
  <c r="E2387" i="1"/>
  <c r="F2387" i="1"/>
  <c r="K2387" i="1"/>
  <c r="D2388" i="1"/>
  <c r="E2388" i="1"/>
  <c r="F2388" i="1"/>
  <c r="K2388" i="1"/>
  <c r="D2389" i="1"/>
  <c r="E2389" i="1"/>
  <c r="F2389" i="1"/>
  <c r="K2389" i="1"/>
  <c r="D2390" i="1"/>
  <c r="E2390" i="1"/>
  <c r="F2390" i="1"/>
  <c r="K2390" i="1"/>
  <c r="D2391" i="1"/>
  <c r="E2391" i="1"/>
  <c r="F2391" i="1"/>
  <c r="K2391" i="1"/>
  <c r="D2392" i="1"/>
  <c r="E2392" i="1"/>
  <c r="F2392" i="1"/>
  <c r="K2392" i="1"/>
  <c r="D2393" i="1"/>
  <c r="E2393" i="1"/>
  <c r="F2393" i="1"/>
  <c r="K2393" i="1"/>
  <c r="D2394" i="1"/>
  <c r="E2394" i="1"/>
  <c r="F2394" i="1"/>
  <c r="K2394" i="1"/>
  <c r="D2395" i="1"/>
  <c r="E2395" i="1"/>
  <c r="F2395" i="1"/>
  <c r="K2395" i="1"/>
  <c r="D2396" i="1"/>
  <c r="E2396" i="1"/>
  <c r="F2396" i="1"/>
  <c r="K2396" i="1"/>
  <c r="D2397" i="1"/>
  <c r="E2397" i="1"/>
  <c r="F2397" i="1"/>
  <c r="K2397" i="1"/>
  <c r="D2398" i="1"/>
  <c r="E2398" i="1"/>
  <c r="F2398" i="1"/>
  <c r="K2398" i="1"/>
  <c r="D2399" i="1"/>
  <c r="E2399" i="1"/>
  <c r="F2399" i="1"/>
  <c r="K2399" i="1"/>
  <c r="D2400" i="1"/>
  <c r="E2400" i="1"/>
  <c r="F2400" i="1"/>
  <c r="K2400" i="1"/>
  <c r="D2401" i="1"/>
  <c r="E2401" i="1"/>
  <c r="F2401" i="1"/>
  <c r="K2401" i="1"/>
  <c r="D2402" i="1"/>
  <c r="E2402" i="1"/>
  <c r="F2402" i="1"/>
  <c r="K2402" i="1"/>
  <c r="D2403" i="1"/>
  <c r="E2403" i="1"/>
  <c r="F2403" i="1"/>
  <c r="K2403" i="1"/>
  <c r="D2404" i="1"/>
  <c r="E2404" i="1"/>
  <c r="F2404" i="1"/>
  <c r="K2404" i="1"/>
  <c r="D2406" i="1"/>
  <c r="E2406" i="1"/>
  <c r="F2406" i="1"/>
  <c r="K2406" i="1"/>
  <c r="D2407" i="1"/>
  <c r="E2407" i="1"/>
  <c r="F2407" i="1"/>
  <c r="K2407" i="1"/>
  <c r="D2408" i="1"/>
  <c r="E2408" i="1"/>
  <c r="F2408" i="1"/>
  <c r="K2408" i="1"/>
  <c r="D2409" i="1"/>
  <c r="E2409" i="1"/>
  <c r="F2409" i="1"/>
  <c r="K2409" i="1"/>
  <c r="D2410" i="1"/>
  <c r="E2410" i="1"/>
  <c r="F2410" i="1"/>
  <c r="K2410" i="1"/>
  <c r="D2411" i="1"/>
  <c r="E2411" i="1"/>
  <c r="F2411" i="1"/>
  <c r="K2411" i="1"/>
  <c r="D2412" i="1"/>
  <c r="E2412" i="1"/>
  <c r="F2412" i="1"/>
  <c r="K2412" i="1"/>
  <c r="D2413" i="1"/>
  <c r="E2413" i="1"/>
  <c r="F2413" i="1"/>
  <c r="K2413" i="1"/>
  <c r="D2414" i="1"/>
  <c r="E2414" i="1"/>
  <c r="F2414" i="1"/>
  <c r="K2414" i="1"/>
  <c r="D2415" i="1"/>
  <c r="E2415" i="1"/>
  <c r="F2415" i="1"/>
  <c r="K2415" i="1"/>
  <c r="D2416" i="1"/>
  <c r="E2416" i="1"/>
  <c r="F2416" i="1"/>
  <c r="K2416" i="1"/>
  <c r="D2417" i="1"/>
  <c r="E2417" i="1"/>
  <c r="F2417" i="1"/>
  <c r="K2417" i="1"/>
  <c r="D2418" i="1"/>
  <c r="E2418" i="1"/>
  <c r="F2418" i="1"/>
  <c r="K2418" i="1"/>
  <c r="D2419" i="1"/>
  <c r="E2419" i="1"/>
  <c r="F2419" i="1"/>
  <c r="K2419" i="1"/>
  <c r="D2420" i="1"/>
  <c r="E2420" i="1"/>
  <c r="F2420" i="1"/>
  <c r="K2420" i="1"/>
  <c r="D2421" i="1"/>
  <c r="E2421" i="1"/>
  <c r="F2421" i="1"/>
  <c r="K2421" i="1"/>
  <c r="D2422" i="1"/>
  <c r="E2422" i="1"/>
  <c r="F2422" i="1"/>
  <c r="K2422" i="1"/>
  <c r="D2423" i="1"/>
  <c r="E2423" i="1"/>
  <c r="F2423" i="1"/>
  <c r="K2423" i="1"/>
  <c r="D2424" i="1"/>
  <c r="E2424" i="1"/>
  <c r="F2424" i="1"/>
  <c r="K2424" i="1"/>
  <c r="D2425" i="1"/>
  <c r="E2425" i="1"/>
  <c r="F2425" i="1"/>
  <c r="K2425" i="1"/>
  <c r="D2426" i="1"/>
  <c r="E2426" i="1"/>
  <c r="F2426" i="1"/>
  <c r="K2426" i="1"/>
  <c r="D2427" i="1"/>
  <c r="E2427" i="1"/>
  <c r="F2427" i="1"/>
  <c r="K2427" i="1"/>
  <c r="D2428" i="1"/>
  <c r="E2428" i="1"/>
  <c r="F2428" i="1"/>
  <c r="K2428" i="1"/>
  <c r="D2429" i="1"/>
  <c r="E2429" i="1"/>
  <c r="F2429" i="1"/>
  <c r="K2429" i="1"/>
  <c r="D2430" i="1"/>
  <c r="E2430" i="1"/>
  <c r="F2430" i="1"/>
  <c r="K2430" i="1"/>
  <c r="D2431" i="1"/>
  <c r="E2431" i="1"/>
  <c r="F2431" i="1"/>
  <c r="K2431" i="1"/>
  <c r="D2432" i="1"/>
  <c r="E2432" i="1"/>
  <c r="F2432" i="1"/>
  <c r="K2432" i="1"/>
  <c r="D2433" i="1"/>
  <c r="E2433" i="1"/>
  <c r="F2433" i="1"/>
  <c r="K2433" i="1"/>
  <c r="D2434" i="1"/>
  <c r="E2434" i="1"/>
  <c r="F2434" i="1"/>
  <c r="K2434" i="1"/>
  <c r="D2435" i="1"/>
  <c r="E2435" i="1"/>
  <c r="F2435" i="1"/>
  <c r="K2435" i="1"/>
  <c r="D2436" i="1"/>
  <c r="E2436" i="1"/>
  <c r="F2436" i="1"/>
  <c r="K2436" i="1"/>
  <c r="D2437" i="1"/>
  <c r="E2437" i="1"/>
  <c r="F2437" i="1"/>
  <c r="K2437" i="1"/>
  <c r="D2438" i="1"/>
  <c r="E2438" i="1"/>
  <c r="F2438" i="1"/>
  <c r="K2438" i="1"/>
  <c r="D2439" i="1"/>
  <c r="E2439" i="1"/>
  <c r="F2439" i="1"/>
  <c r="K2439" i="1"/>
  <c r="D2440" i="1"/>
  <c r="E2440" i="1"/>
  <c r="F2440" i="1"/>
  <c r="K2440" i="1"/>
  <c r="D2441" i="1"/>
  <c r="E2441" i="1"/>
  <c r="F2441" i="1"/>
  <c r="K2441" i="1"/>
  <c r="D2442" i="1"/>
  <c r="E2442" i="1"/>
  <c r="F2442" i="1"/>
  <c r="K2442" i="1"/>
  <c r="D2443" i="1"/>
  <c r="E2443" i="1"/>
  <c r="F2443" i="1"/>
  <c r="K2443" i="1"/>
  <c r="D2444" i="1"/>
  <c r="E2444" i="1"/>
  <c r="F2444" i="1"/>
  <c r="K2444" i="1"/>
  <c r="D2445" i="1"/>
  <c r="E2445" i="1"/>
  <c r="F2445" i="1"/>
  <c r="K2445" i="1"/>
  <c r="D2446" i="1"/>
  <c r="E2446" i="1"/>
  <c r="F2446" i="1"/>
  <c r="K2446" i="1"/>
  <c r="D2447" i="1"/>
  <c r="E2447" i="1"/>
  <c r="F2447" i="1"/>
  <c r="K2447" i="1"/>
  <c r="D2448" i="1"/>
  <c r="E2448" i="1"/>
  <c r="F2448" i="1"/>
  <c r="K2448" i="1"/>
  <c r="D2449" i="1"/>
  <c r="E2449" i="1"/>
  <c r="F2449" i="1"/>
  <c r="K2449" i="1"/>
  <c r="D2450" i="1"/>
  <c r="E2450" i="1"/>
  <c r="F2450" i="1"/>
  <c r="K2450" i="1"/>
  <c r="D2451" i="1"/>
  <c r="E2451" i="1"/>
  <c r="F2451" i="1"/>
  <c r="K2451" i="1"/>
  <c r="D2452" i="1"/>
  <c r="E2452" i="1"/>
  <c r="F2452" i="1"/>
  <c r="K2452" i="1"/>
  <c r="D2453" i="1"/>
  <c r="E2453" i="1"/>
  <c r="F2453" i="1"/>
  <c r="K2453" i="1"/>
  <c r="D2454" i="1"/>
  <c r="E2454" i="1"/>
  <c r="F2454" i="1"/>
  <c r="K2454" i="1"/>
  <c r="D2455" i="1"/>
  <c r="E2455" i="1"/>
  <c r="F2455" i="1"/>
  <c r="K2455" i="1"/>
  <c r="D2456" i="1"/>
  <c r="E2456" i="1"/>
  <c r="F2456" i="1"/>
  <c r="K2456" i="1"/>
  <c r="D2457" i="1"/>
  <c r="E2457" i="1"/>
  <c r="F2457" i="1"/>
  <c r="K2457" i="1"/>
  <c r="D2458" i="1"/>
  <c r="E2458" i="1"/>
  <c r="F2458" i="1"/>
  <c r="K2458" i="1"/>
  <c r="D2459" i="1"/>
  <c r="E2459" i="1"/>
  <c r="F2459" i="1"/>
  <c r="K2459" i="1"/>
  <c r="D2460" i="1"/>
  <c r="E2460" i="1"/>
  <c r="F2460" i="1"/>
  <c r="K2460" i="1"/>
  <c r="D2461" i="1"/>
  <c r="E2461" i="1"/>
  <c r="F2461" i="1"/>
  <c r="K2461" i="1"/>
  <c r="D2462" i="1"/>
  <c r="E2462" i="1"/>
  <c r="F2462" i="1"/>
  <c r="K2462" i="1"/>
  <c r="D2463" i="1"/>
  <c r="E2463" i="1"/>
  <c r="F2463" i="1"/>
  <c r="K2463" i="1"/>
  <c r="D2464" i="1"/>
  <c r="E2464" i="1"/>
  <c r="F2464" i="1"/>
  <c r="K2464" i="1"/>
  <c r="D2465" i="1"/>
  <c r="E2465" i="1"/>
  <c r="F2465" i="1"/>
  <c r="K2465" i="1"/>
  <c r="D2466" i="1"/>
  <c r="E2466" i="1"/>
  <c r="F2466" i="1"/>
  <c r="K2466" i="1"/>
  <c r="D2467" i="1"/>
  <c r="E2467" i="1"/>
  <c r="F2467" i="1"/>
  <c r="K2467" i="1"/>
  <c r="D2468" i="1"/>
  <c r="E2468" i="1"/>
  <c r="F2468" i="1"/>
  <c r="K2468" i="1"/>
  <c r="D2469" i="1"/>
  <c r="E2469" i="1"/>
  <c r="F2469" i="1"/>
  <c r="K2469" i="1"/>
  <c r="D2470" i="1"/>
  <c r="E2470" i="1"/>
  <c r="F2470" i="1"/>
  <c r="K2470" i="1"/>
  <c r="D2471" i="1"/>
  <c r="E2471" i="1"/>
  <c r="F2471" i="1"/>
  <c r="K2471" i="1"/>
  <c r="D2472" i="1"/>
  <c r="E2472" i="1"/>
  <c r="F2472" i="1"/>
  <c r="K2472" i="1"/>
  <c r="D2473" i="1"/>
  <c r="E2473" i="1"/>
  <c r="F2473" i="1"/>
  <c r="K2473" i="1"/>
  <c r="D2474" i="1"/>
  <c r="E2474" i="1"/>
  <c r="F2474" i="1"/>
  <c r="K2474" i="1"/>
  <c r="D2475" i="1"/>
  <c r="E2475" i="1"/>
  <c r="F2475" i="1"/>
  <c r="K2475" i="1"/>
  <c r="D2476" i="1"/>
  <c r="E2476" i="1"/>
  <c r="F2476" i="1"/>
  <c r="K2476" i="1"/>
  <c r="D2477" i="1"/>
  <c r="E2477" i="1"/>
  <c r="F2477" i="1"/>
  <c r="K2477" i="1"/>
  <c r="D2478" i="1"/>
  <c r="E2478" i="1"/>
  <c r="F2478" i="1"/>
  <c r="K2478" i="1"/>
  <c r="D2479" i="1"/>
  <c r="E2479" i="1"/>
  <c r="F2479" i="1"/>
  <c r="K2479" i="1"/>
  <c r="D2480" i="1"/>
  <c r="E2480" i="1"/>
  <c r="F2480" i="1"/>
  <c r="K2480" i="1"/>
  <c r="D2481" i="1"/>
  <c r="E2481" i="1"/>
  <c r="F2481" i="1"/>
  <c r="K2481" i="1"/>
  <c r="D2482" i="1"/>
  <c r="E2482" i="1"/>
  <c r="F2482" i="1"/>
  <c r="K2482" i="1"/>
  <c r="D2483" i="1"/>
  <c r="E2483" i="1"/>
  <c r="F2483" i="1"/>
  <c r="K2483" i="1"/>
  <c r="D2484" i="1"/>
  <c r="E2484" i="1"/>
  <c r="F2484" i="1"/>
  <c r="K2484" i="1"/>
  <c r="D2485" i="1"/>
  <c r="E2485" i="1"/>
  <c r="F2485" i="1"/>
  <c r="K2485" i="1"/>
  <c r="D2486" i="1"/>
  <c r="E2486" i="1"/>
  <c r="F2486" i="1"/>
  <c r="K2486" i="1"/>
  <c r="D2487" i="1"/>
  <c r="E2487" i="1"/>
  <c r="F2487" i="1"/>
  <c r="K2487" i="1"/>
  <c r="D2488" i="1"/>
  <c r="E2488" i="1"/>
  <c r="F2488" i="1"/>
  <c r="K2488" i="1"/>
  <c r="D2489" i="1"/>
  <c r="E2489" i="1"/>
  <c r="F2489" i="1"/>
  <c r="K2489" i="1"/>
  <c r="D2490" i="1"/>
  <c r="E2490" i="1"/>
  <c r="F2490" i="1"/>
  <c r="K2490" i="1"/>
  <c r="D2491" i="1"/>
  <c r="E2491" i="1"/>
  <c r="F2491" i="1"/>
  <c r="K2491" i="1"/>
  <c r="D2492" i="1"/>
  <c r="E2492" i="1"/>
  <c r="F2492" i="1"/>
  <c r="K2492" i="1"/>
  <c r="D2493" i="1"/>
  <c r="E2493" i="1"/>
  <c r="F2493" i="1"/>
  <c r="K2493" i="1"/>
  <c r="D2494" i="1"/>
  <c r="E2494" i="1"/>
  <c r="F2494" i="1"/>
  <c r="K2494" i="1"/>
  <c r="D2495" i="1"/>
  <c r="E2495" i="1"/>
  <c r="F2495" i="1"/>
  <c r="K2495" i="1"/>
  <c r="D2496" i="1"/>
  <c r="E2496" i="1"/>
  <c r="F2496" i="1"/>
  <c r="K2496" i="1"/>
  <c r="D2497" i="1"/>
  <c r="E2497" i="1"/>
  <c r="F2497" i="1"/>
  <c r="K2497" i="1"/>
  <c r="D2498" i="1"/>
  <c r="E2498" i="1"/>
  <c r="F2498" i="1"/>
  <c r="K2498" i="1"/>
  <c r="D2499" i="1"/>
  <c r="E2499" i="1"/>
  <c r="F2499" i="1"/>
  <c r="K2499" i="1"/>
  <c r="D2500" i="1"/>
  <c r="E2500" i="1"/>
  <c r="F2500" i="1"/>
  <c r="K2500" i="1"/>
  <c r="D2501" i="1"/>
  <c r="E2501" i="1"/>
  <c r="F2501" i="1"/>
  <c r="K2501" i="1"/>
  <c r="D2502" i="1"/>
  <c r="E2502" i="1"/>
  <c r="F2502" i="1"/>
  <c r="K2502" i="1"/>
  <c r="D2503" i="1"/>
  <c r="E2503" i="1"/>
  <c r="F2503" i="1"/>
  <c r="K2503" i="1"/>
  <c r="D2504" i="1"/>
  <c r="E2504" i="1"/>
  <c r="F2504" i="1"/>
  <c r="K2504" i="1"/>
  <c r="D2505" i="1"/>
  <c r="E2505" i="1"/>
  <c r="F2505" i="1"/>
  <c r="K2505" i="1"/>
  <c r="D2506" i="1"/>
  <c r="E2506" i="1"/>
  <c r="F2506" i="1"/>
  <c r="K2506" i="1"/>
  <c r="D2507" i="1"/>
  <c r="E2507" i="1"/>
  <c r="F2507" i="1"/>
  <c r="K2507" i="1"/>
  <c r="D2508" i="1"/>
  <c r="E2508" i="1"/>
  <c r="F2508" i="1"/>
  <c r="K2508" i="1"/>
  <c r="D2509" i="1"/>
  <c r="E2509" i="1"/>
  <c r="F2509" i="1"/>
  <c r="K2509" i="1"/>
  <c r="D2510" i="1"/>
  <c r="E2510" i="1"/>
  <c r="F2510" i="1"/>
  <c r="K2510" i="1"/>
  <c r="D2511" i="1"/>
  <c r="E2511" i="1"/>
  <c r="F2511" i="1"/>
  <c r="K2511" i="1"/>
  <c r="D2512" i="1"/>
  <c r="E2512" i="1"/>
  <c r="F2512" i="1"/>
  <c r="K2512" i="1"/>
  <c r="D2513" i="1"/>
  <c r="E2513" i="1"/>
  <c r="F2513" i="1"/>
  <c r="K2513" i="1"/>
  <c r="D2514" i="1"/>
  <c r="E2514" i="1"/>
  <c r="F2514" i="1"/>
  <c r="K2514" i="1"/>
  <c r="D2515" i="1"/>
  <c r="E2515" i="1"/>
  <c r="F2515" i="1"/>
  <c r="K2515" i="1"/>
  <c r="D2516" i="1"/>
  <c r="E2516" i="1"/>
  <c r="F2516" i="1"/>
  <c r="K2516" i="1"/>
  <c r="D2517" i="1"/>
  <c r="E2517" i="1"/>
  <c r="F2517" i="1"/>
  <c r="K2517" i="1"/>
  <c r="D2518" i="1"/>
  <c r="E2518" i="1"/>
  <c r="F2518" i="1"/>
  <c r="K2518" i="1"/>
  <c r="D2519" i="1"/>
  <c r="E2519" i="1"/>
  <c r="F2519" i="1"/>
  <c r="K2519" i="1"/>
  <c r="D2520" i="1"/>
  <c r="E2520" i="1"/>
  <c r="F2520" i="1"/>
  <c r="K2520" i="1"/>
  <c r="D2521" i="1"/>
  <c r="E2521" i="1"/>
  <c r="F2521" i="1"/>
  <c r="K2521" i="1"/>
  <c r="D2522" i="1"/>
  <c r="E2522" i="1"/>
  <c r="F2522" i="1"/>
  <c r="K2522" i="1"/>
  <c r="D2523" i="1"/>
  <c r="E2523" i="1"/>
  <c r="F2523" i="1"/>
  <c r="K2523" i="1"/>
  <c r="D2524" i="1"/>
  <c r="E2524" i="1"/>
  <c r="F2524" i="1"/>
  <c r="K2524" i="1"/>
  <c r="D2525" i="1"/>
  <c r="E2525" i="1"/>
  <c r="F2525" i="1"/>
  <c r="K2525" i="1"/>
  <c r="D2526" i="1"/>
  <c r="E2526" i="1"/>
  <c r="F2526" i="1"/>
  <c r="K2526" i="1"/>
  <c r="D2527" i="1"/>
  <c r="E2527" i="1"/>
  <c r="F2527" i="1"/>
  <c r="K2527" i="1"/>
  <c r="D2528" i="1"/>
  <c r="E2528" i="1"/>
  <c r="F2528" i="1"/>
  <c r="K2528" i="1"/>
  <c r="D2529" i="1"/>
  <c r="E2529" i="1"/>
  <c r="F2529" i="1"/>
  <c r="K2529" i="1"/>
  <c r="D2530" i="1"/>
  <c r="E2530" i="1"/>
  <c r="F2530" i="1"/>
  <c r="K2530" i="1"/>
  <c r="D2531" i="1"/>
  <c r="E2531" i="1"/>
  <c r="F2531" i="1"/>
  <c r="K2531" i="1"/>
  <c r="D2532" i="1"/>
  <c r="E2532" i="1"/>
  <c r="F2532" i="1"/>
  <c r="K2532" i="1"/>
  <c r="D2533" i="1"/>
  <c r="E2533" i="1"/>
  <c r="F2533" i="1"/>
  <c r="K2533" i="1"/>
  <c r="D2534" i="1"/>
  <c r="E2534" i="1"/>
  <c r="F2534" i="1"/>
  <c r="K2534" i="1"/>
  <c r="D2535" i="1"/>
  <c r="E2535" i="1"/>
  <c r="F2535" i="1"/>
  <c r="K2535" i="1"/>
  <c r="D2536" i="1"/>
  <c r="E2536" i="1"/>
  <c r="F2536" i="1"/>
  <c r="K2536" i="1"/>
  <c r="D2537" i="1"/>
  <c r="E2537" i="1"/>
  <c r="F2537" i="1"/>
  <c r="K2537" i="1"/>
  <c r="D2538" i="1"/>
  <c r="E2538" i="1"/>
  <c r="F2538" i="1"/>
  <c r="K2538" i="1"/>
  <c r="D2539" i="1"/>
  <c r="E2539" i="1"/>
  <c r="F2539" i="1"/>
  <c r="K2539" i="1"/>
  <c r="D2540" i="1"/>
  <c r="E2540" i="1"/>
  <c r="F2540" i="1"/>
  <c r="K2540" i="1"/>
  <c r="D2541" i="1"/>
  <c r="E2541" i="1"/>
  <c r="F2541" i="1"/>
  <c r="K2541" i="1"/>
  <c r="D2542" i="1"/>
  <c r="E2542" i="1"/>
  <c r="F2542" i="1"/>
  <c r="K2542" i="1"/>
  <c r="D2543" i="1"/>
  <c r="E2543" i="1"/>
  <c r="F2543" i="1"/>
  <c r="K2543" i="1"/>
  <c r="D2544" i="1"/>
  <c r="E2544" i="1"/>
  <c r="F2544" i="1"/>
  <c r="K2544" i="1"/>
  <c r="D2545" i="1"/>
  <c r="E2545" i="1"/>
  <c r="F2545" i="1"/>
  <c r="K2545" i="1"/>
  <c r="D2546" i="1"/>
  <c r="E2546" i="1"/>
  <c r="F2546" i="1"/>
  <c r="K2546" i="1"/>
  <c r="D2547" i="1"/>
  <c r="E2547" i="1"/>
  <c r="F2547" i="1"/>
  <c r="K2547" i="1"/>
  <c r="D2548" i="1"/>
  <c r="E2548" i="1"/>
  <c r="F2548" i="1"/>
  <c r="K2548" i="1"/>
  <c r="D2549" i="1"/>
  <c r="E2549" i="1"/>
  <c r="F2549" i="1"/>
  <c r="K2549" i="1"/>
  <c r="D2550" i="1"/>
  <c r="E2550" i="1"/>
  <c r="F2550" i="1"/>
  <c r="K2550" i="1"/>
  <c r="D2551" i="1"/>
  <c r="E2551" i="1"/>
  <c r="F2551" i="1"/>
  <c r="K2551" i="1"/>
  <c r="D2552" i="1"/>
  <c r="E2552" i="1"/>
  <c r="F2552" i="1"/>
  <c r="K2552" i="1"/>
  <c r="D2553" i="1"/>
  <c r="E2553" i="1"/>
  <c r="F2553" i="1"/>
  <c r="K2553" i="1"/>
  <c r="D2554" i="1"/>
  <c r="E2554" i="1"/>
  <c r="F2554" i="1"/>
  <c r="K2554" i="1"/>
  <c r="D2555" i="1"/>
  <c r="E2555" i="1"/>
  <c r="F2555" i="1"/>
  <c r="K2555" i="1"/>
  <c r="D2556" i="1"/>
  <c r="E2556" i="1"/>
  <c r="F2556" i="1"/>
  <c r="K2556" i="1"/>
  <c r="D2557" i="1"/>
  <c r="E2557" i="1"/>
  <c r="F2557" i="1"/>
  <c r="K2557" i="1"/>
  <c r="D2558" i="1"/>
  <c r="E2558" i="1"/>
  <c r="F2558" i="1"/>
  <c r="K2558" i="1"/>
  <c r="D2559" i="1"/>
  <c r="E2559" i="1"/>
  <c r="F2559" i="1"/>
  <c r="K2559" i="1"/>
  <c r="D2560" i="1"/>
  <c r="E2560" i="1"/>
  <c r="F2560" i="1"/>
  <c r="K2560" i="1"/>
  <c r="D2561" i="1"/>
  <c r="E2561" i="1"/>
  <c r="F2561" i="1"/>
  <c r="K2561" i="1"/>
  <c r="D2562" i="1"/>
  <c r="E2562" i="1"/>
  <c r="F2562" i="1"/>
  <c r="K2562" i="1"/>
  <c r="D2563" i="1"/>
  <c r="E2563" i="1"/>
  <c r="F2563" i="1"/>
  <c r="K2563" i="1"/>
  <c r="D2564" i="1"/>
  <c r="E2564" i="1"/>
  <c r="F2564" i="1"/>
  <c r="K2564" i="1"/>
  <c r="D2565" i="1"/>
  <c r="E2565" i="1"/>
  <c r="F2565" i="1"/>
  <c r="K2565" i="1"/>
  <c r="D2566" i="1"/>
  <c r="E2566" i="1"/>
  <c r="F2566" i="1"/>
  <c r="K2566" i="1"/>
  <c r="D2567" i="1"/>
  <c r="E2567" i="1"/>
  <c r="F2567" i="1"/>
  <c r="K2567" i="1"/>
  <c r="D2568" i="1"/>
  <c r="E2568" i="1"/>
  <c r="F2568" i="1"/>
  <c r="K2568" i="1"/>
  <c r="D2569" i="1"/>
  <c r="E2569" i="1"/>
  <c r="F2569" i="1"/>
  <c r="K2569" i="1"/>
  <c r="D2570" i="1"/>
  <c r="E2570" i="1"/>
  <c r="F2570" i="1"/>
  <c r="K2570" i="1"/>
  <c r="D2571" i="1"/>
  <c r="E2571" i="1"/>
  <c r="F2571" i="1"/>
  <c r="K2571" i="1"/>
  <c r="D2572" i="1"/>
  <c r="E2572" i="1"/>
  <c r="F2572" i="1"/>
  <c r="K2572" i="1"/>
  <c r="D2573" i="1"/>
  <c r="E2573" i="1"/>
  <c r="F2573" i="1"/>
  <c r="K2573" i="1"/>
  <c r="D2574" i="1"/>
  <c r="E2574" i="1"/>
  <c r="F2574" i="1"/>
  <c r="K2574" i="1"/>
  <c r="D2575" i="1"/>
  <c r="E2575" i="1"/>
  <c r="F2575" i="1"/>
  <c r="K2575" i="1"/>
  <c r="D2576" i="1"/>
  <c r="E2576" i="1"/>
  <c r="F2576" i="1"/>
  <c r="K2576" i="1"/>
  <c r="D2577" i="1"/>
  <c r="E2577" i="1"/>
  <c r="F2577" i="1"/>
  <c r="K2577" i="1"/>
  <c r="D2578" i="1"/>
  <c r="E2578" i="1"/>
  <c r="F2578" i="1"/>
  <c r="K2578" i="1"/>
  <c r="D2579" i="1"/>
  <c r="E2579" i="1"/>
  <c r="F2579" i="1"/>
  <c r="K2579" i="1"/>
  <c r="D2580" i="1"/>
  <c r="E2580" i="1"/>
  <c r="F2580" i="1"/>
  <c r="K2580" i="1"/>
  <c r="D2581" i="1"/>
  <c r="E2581" i="1"/>
  <c r="F2581" i="1"/>
  <c r="K2581" i="1"/>
  <c r="D2582" i="1"/>
  <c r="E2582" i="1"/>
  <c r="F2582" i="1"/>
  <c r="K2582" i="1"/>
  <c r="D2583" i="1"/>
  <c r="E2583" i="1"/>
  <c r="F2583" i="1"/>
  <c r="K2583" i="1"/>
  <c r="D2584" i="1"/>
  <c r="E2584" i="1"/>
  <c r="F2584" i="1"/>
  <c r="K2584" i="1"/>
  <c r="D2585" i="1"/>
  <c r="E2585" i="1"/>
  <c r="F2585" i="1"/>
  <c r="K2585" i="1"/>
  <c r="D2586" i="1"/>
  <c r="E2586" i="1"/>
  <c r="F2586" i="1"/>
  <c r="K2586" i="1"/>
  <c r="D2587" i="1"/>
  <c r="E2587" i="1"/>
  <c r="F2587" i="1"/>
  <c r="K2587" i="1"/>
  <c r="D2588" i="1"/>
  <c r="E2588" i="1"/>
  <c r="F2588" i="1"/>
  <c r="K2588" i="1"/>
  <c r="D2589" i="1"/>
  <c r="E2589" i="1"/>
  <c r="F2589" i="1"/>
  <c r="K2589" i="1"/>
  <c r="D2590" i="1"/>
  <c r="E2590" i="1"/>
  <c r="F2590" i="1"/>
  <c r="K2590" i="1"/>
  <c r="D2591" i="1"/>
  <c r="E2591" i="1"/>
  <c r="F2591" i="1"/>
  <c r="K2591" i="1"/>
  <c r="D2592" i="1"/>
  <c r="E2592" i="1"/>
  <c r="F2592" i="1"/>
  <c r="K2592" i="1"/>
  <c r="D2593" i="1"/>
  <c r="E2593" i="1"/>
  <c r="F2593" i="1"/>
  <c r="K2593" i="1"/>
  <c r="D2594" i="1"/>
  <c r="E2594" i="1"/>
  <c r="F2594" i="1"/>
  <c r="K2594" i="1"/>
  <c r="D2595" i="1"/>
  <c r="E2595" i="1"/>
  <c r="F2595" i="1"/>
  <c r="K2595" i="1"/>
  <c r="D2596" i="1"/>
  <c r="E2596" i="1"/>
  <c r="F2596" i="1"/>
  <c r="K2596" i="1"/>
  <c r="D2597" i="1"/>
  <c r="E2597" i="1"/>
  <c r="F2597" i="1"/>
  <c r="K2597" i="1"/>
  <c r="D2598" i="1"/>
  <c r="E2598" i="1"/>
  <c r="F2598" i="1"/>
  <c r="K2598" i="1"/>
  <c r="D2599" i="1"/>
  <c r="E2599" i="1"/>
  <c r="F2599" i="1"/>
  <c r="K2599" i="1"/>
  <c r="D2600" i="1"/>
  <c r="E2600" i="1"/>
  <c r="F2600" i="1"/>
  <c r="K2600" i="1"/>
  <c r="D2601" i="1"/>
  <c r="E2601" i="1"/>
  <c r="F2601" i="1"/>
  <c r="K2601" i="1"/>
  <c r="D2602" i="1"/>
  <c r="E2602" i="1"/>
  <c r="F2602" i="1"/>
  <c r="K2602" i="1"/>
  <c r="D2603" i="1"/>
  <c r="E2603" i="1"/>
  <c r="F2603" i="1"/>
  <c r="K2603" i="1"/>
  <c r="D2604" i="1"/>
  <c r="E2604" i="1"/>
  <c r="F2604" i="1"/>
  <c r="K2604" i="1"/>
  <c r="D2605" i="1"/>
  <c r="E2605" i="1"/>
  <c r="F2605" i="1"/>
  <c r="K2605" i="1"/>
  <c r="D2606" i="1"/>
  <c r="E2606" i="1"/>
  <c r="F2606" i="1"/>
  <c r="K2606" i="1"/>
  <c r="D2607" i="1"/>
  <c r="E2607" i="1"/>
  <c r="F2607" i="1"/>
  <c r="K2607" i="1"/>
  <c r="D2608" i="1"/>
  <c r="E2608" i="1"/>
  <c r="F2608" i="1"/>
  <c r="K2608" i="1"/>
  <c r="D2609" i="1"/>
  <c r="E2609" i="1"/>
  <c r="F2609" i="1"/>
  <c r="K2609" i="1"/>
  <c r="D2610" i="1"/>
  <c r="E2610" i="1"/>
  <c r="F2610" i="1"/>
  <c r="K2610" i="1"/>
  <c r="D2611" i="1"/>
  <c r="E2611" i="1"/>
  <c r="F2611" i="1"/>
  <c r="K2611" i="1"/>
  <c r="D2612" i="1"/>
  <c r="E2612" i="1"/>
  <c r="F2612" i="1"/>
  <c r="K2612" i="1"/>
  <c r="D2613" i="1"/>
  <c r="E2613" i="1"/>
  <c r="F2613" i="1"/>
  <c r="K2613" i="1"/>
  <c r="D2614" i="1"/>
  <c r="E2614" i="1"/>
  <c r="F2614" i="1"/>
  <c r="K2614" i="1"/>
  <c r="D2615" i="1"/>
  <c r="E2615" i="1"/>
  <c r="F2615" i="1"/>
  <c r="K2615" i="1"/>
  <c r="D2616" i="1"/>
  <c r="E2616" i="1"/>
  <c r="F2616" i="1"/>
  <c r="K2616" i="1"/>
  <c r="D2617" i="1"/>
  <c r="E2617" i="1"/>
  <c r="F2617" i="1"/>
  <c r="K2617" i="1"/>
  <c r="D2618" i="1"/>
  <c r="E2618" i="1"/>
  <c r="F2618" i="1"/>
  <c r="K2618" i="1"/>
  <c r="D2619" i="1"/>
  <c r="E2619" i="1"/>
  <c r="F2619" i="1"/>
  <c r="K2619" i="1"/>
  <c r="D2620" i="1"/>
  <c r="E2620" i="1"/>
  <c r="F2620" i="1"/>
  <c r="K2620" i="1"/>
  <c r="D2621" i="1"/>
  <c r="E2621" i="1"/>
  <c r="F2621" i="1"/>
  <c r="K2621" i="1"/>
  <c r="D2622" i="1"/>
  <c r="E2622" i="1"/>
  <c r="F2622" i="1"/>
  <c r="K2622" i="1"/>
  <c r="D2623" i="1"/>
  <c r="E2623" i="1"/>
  <c r="F2623" i="1"/>
  <c r="K2623" i="1"/>
  <c r="D2624" i="1"/>
  <c r="E2624" i="1"/>
  <c r="F2624" i="1"/>
  <c r="K2624" i="1"/>
  <c r="D2625" i="1"/>
  <c r="E2625" i="1"/>
  <c r="F2625" i="1"/>
  <c r="K2625" i="1"/>
  <c r="D2626" i="1"/>
  <c r="E2626" i="1"/>
  <c r="F2626" i="1"/>
  <c r="K2626" i="1"/>
  <c r="D2627" i="1"/>
  <c r="E2627" i="1"/>
  <c r="F2627" i="1"/>
  <c r="K2627" i="1"/>
  <c r="D2628" i="1"/>
  <c r="E2628" i="1"/>
  <c r="F2628" i="1"/>
  <c r="K2628" i="1"/>
  <c r="D2629" i="1"/>
  <c r="E2629" i="1"/>
  <c r="F2629" i="1"/>
  <c r="K2629" i="1"/>
  <c r="D2630" i="1"/>
  <c r="E2630" i="1"/>
  <c r="F2630" i="1"/>
  <c r="K2630" i="1"/>
  <c r="D2631" i="1"/>
  <c r="E2631" i="1"/>
  <c r="F2631" i="1"/>
  <c r="K2631" i="1"/>
  <c r="D2632" i="1"/>
  <c r="E2632" i="1"/>
  <c r="F2632" i="1"/>
  <c r="K2632" i="1"/>
  <c r="D2633" i="1"/>
  <c r="E2633" i="1"/>
  <c r="F2633" i="1"/>
  <c r="K2633" i="1"/>
  <c r="D2634" i="1"/>
  <c r="E2634" i="1"/>
  <c r="F2634" i="1"/>
  <c r="K2634" i="1"/>
  <c r="D2635" i="1"/>
  <c r="E2635" i="1"/>
  <c r="F2635" i="1"/>
  <c r="K2635" i="1"/>
  <c r="D2636" i="1"/>
  <c r="E2636" i="1"/>
  <c r="F2636" i="1"/>
  <c r="K2636" i="1"/>
  <c r="D2637" i="1"/>
  <c r="E2637" i="1"/>
  <c r="F2637" i="1"/>
  <c r="K2637" i="1"/>
  <c r="D2638" i="1"/>
  <c r="E2638" i="1"/>
  <c r="F2638" i="1"/>
  <c r="K2638" i="1"/>
  <c r="D2639" i="1"/>
  <c r="E2639" i="1"/>
  <c r="F2639" i="1"/>
  <c r="K2639" i="1"/>
  <c r="D2640" i="1"/>
  <c r="E2640" i="1"/>
  <c r="F2640" i="1"/>
  <c r="K2640" i="1"/>
  <c r="D2641" i="1"/>
  <c r="E2641" i="1"/>
  <c r="F2641" i="1"/>
  <c r="K2641" i="1"/>
  <c r="D2642" i="1"/>
  <c r="E2642" i="1"/>
  <c r="F2642" i="1"/>
  <c r="K2642" i="1"/>
  <c r="D2643" i="1"/>
  <c r="E2643" i="1"/>
  <c r="F2643" i="1"/>
  <c r="K2643" i="1"/>
  <c r="D2644" i="1"/>
  <c r="E2644" i="1"/>
  <c r="F2644" i="1"/>
  <c r="K2644" i="1"/>
  <c r="D2645" i="1"/>
  <c r="E2645" i="1"/>
  <c r="F2645" i="1"/>
  <c r="K2645" i="1"/>
  <c r="D2646" i="1"/>
  <c r="E2646" i="1"/>
  <c r="F2646" i="1"/>
  <c r="K2646" i="1"/>
  <c r="D2647" i="1"/>
  <c r="E2647" i="1"/>
  <c r="F2647" i="1"/>
  <c r="K2647" i="1"/>
  <c r="D2648" i="1"/>
  <c r="E2648" i="1"/>
  <c r="F2648" i="1"/>
  <c r="K2648" i="1"/>
  <c r="D2649" i="1"/>
  <c r="E2649" i="1"/>
  <c r="F2649" i="1"/>
  <c r="K2649" i="1"/>
  <c r="D2650" i="1"/>
  <c r="E2650" i="1"/>
  <c r="F2650" i="1"/>
  <c r="K2650" i="1"/>
  <c r="D2651" i="1"/>
  <c r="E2651" i="1"/>
  <c r="F2651" i="1"/>
  <c r="K2651" i="1"/>
  <c r="D2652" i="1"/>
  <c r="E2652" i="1"/>
  <c r="F2652" i="1"/>
  <c r="K2652" i="1"/>
  <c r="D2653" i="1"/>
  <c r="E2653" i="1"/>
  <c r="F2653" i="1"/>
  <c r="K2653" i="1"/>
  <c r="D2654" i="1"/>
  <c r="E2654" i="1"/>
  <c r="F2654" i="1"/>
  <c r="K2654" i="1"/>
  <c r="D2655" i="1"/>
  <c r="E2655" i="1"/>
  <c r="F2655" i="1"/>
  <c r="K2655" i="1"/>
  <c r="D2656" i="1"/>
  <c r="E2656" i="1"/>
  <c r="F2656" i="1"/>
  <c r="K2656" i="1"/>
  <c r="D2657" i="1"/>
  <c r="E2657" i="1"/>
  <c r="F2657" i="1"/>
  <c r="K2657" i="1"/>
  <c r="D2658" i="1"/>
  <c r="E2658" i="1"/>
  <c r="F2658" i="1"/>
  <c r="K2658" i="1"/>
  <c r="D2659" i="1"/>
  <c r="E2659" i="1"/>
  <c r="F2659" i="1"/>
  <c r="K2659" i="1"/>
  <c r="D2660" i="1"/>
  <c r="E2660" i="1"/>
  <c r="F2660" i="1"/>
  <c r="K2660" i="1"/>
  <c r="D2661" i="1"/>
  <c r="E2661" i="1"/>
  <c r="F2661" i="1"/>
  <c r="K2661" i="1"/>
  <c r="D2662" i="1"/>
  <c r="E2662" i="1"/>
  <c r="F2662" i="1"/>
  <c r="K2662" i="1"/>
  <c r="D2663" i="1"/>
  <c r="E2663" i="1"/>
  <c r="F2663" i="1"/>
  <c r="K2663" i="1"/>
  <c r="D2664" i="1"/>
  <c r="E2664" i="1"/>
  <c r="F2664" i="1"/>
  <c r="K2664" i="1"/>
  <c r="D2665" i="1"/>
  <c r="E2665" i="1"/>
  <c r="F2665" i="1"/>
  <c r="K2665" i="1"/>
  <c r="D2666" i="1"/>
  <c r="E2666" i="1"/>
  <c r="F2666" i="1"/>
  <c r="K2666" i="1"/>
  <c r="D2667" i="1"/>
  <c r="E2667" i="1"/>
  <c r="F2667" i="1"/>
  <c r="K2667" i="1"/>
  <c r="D2668" i="1"/>
  <c r="E2668" i="1"/>
  <c r="F2668" i="1"/>
  <c r="K2668" i="1"/>
  <c r="D2669" i="1"/>
  <c r="E2669" i="1"/>
  <c r="F2669" i="1"/>
  <c r="K2669" i="1"/>
  <c r="D2670" i="1"/>
  <c r="E2670" i="1"/>
  <c r="F2670" i="1"/>
  <c r="K2670" i="1"/>
  <c r="D2671" i="1"/>
  <c r="E2671" i="1"/>
  <c r="F2671" i="1"/>
  <c r="K2671" i="1"/>
  <c r="D2672" i="1"/>
  <c r="E2672" i="1"/>
  <c r="F2672" i="1"/>
  <c r="K2672" i="1"/>
  <c r="D2673" i="1"/>
  <c r="E2673" i="1"/>
  <c r="F2673" i="1"/>
  <c r="K2673" i="1"/>
  <c r="D2674" i="1"/>
  <c r="E2674" i="1"/>
  <c r="F2674" i="1"/>
  <c r="K2674" i="1"/>
  <c r="D2675" i="1"/>
  <c r="E2675" i="1"/>
  <c r="F2675" i="1"/>
  <c r="K2675" i="1"/>
  <c r="D2676" i="1"/>
  <c r="E2676" i="1"/>
  <c r="F2676" i="1"/>
  <c r="K2676" i="1"/>
  <c r="D2677" i="1"/>
  <c r="E2677" i="1"/>
  <c r="F2677" i="1"/>
  <c r="K2677" i="1"/>
  <c r="D2678" i="1"/>
  <c r="E2678" i="1"/>
  <c r="F2678" i="1"/>
  <c r="K2678" i="1"/>
  <c r="D2679" i="1"/>
  <c r="E2679" i="1"/>
  <c r="F2679" i="1"/>
  <c r="K2679" i="1"/>
  <c r="D2680" i="1"/>
  <c r="E2680" i="1"/>
  <c r="F2680" i="1"/>
  <c r="K2680" i="1"/>
  <c r="D2681" i="1"/>
  <c r="E2681" i="1"/>
  <c r="F2681" i="1"/>
  <c r="K2681" i="1"/>
  <c r="D2682" i="1"/>
  <c r="E2682" i="1"/>
  <c r="F2682" i="1"/>
  <c r="K2682" i="1"/>
  <c r="D2683" i="1"/>
  <c r="E2683" i="1"/>
  <c r="F2683" i="1"/>
  <c r="K2683" i="1"/>
  <c r="D2684" i="1"/>
  <c r="E2684" i="1"/>
  <c r="F2684" i="1"/>
  <c r="K2684" i="1"/>
  <c r="D2685" i="1"/>
  <c r="E2685" i="1"/>
  <c r="F2685" i="1"/>
  <c r="K2685" i="1"/>
  <c r="D2686" i="1"/>
  <c r="E2686" i="1"/>
  <c r="F2686" i="1"/>
  <c r="K2686" i="1"/>
  <c r="D2687" i="1"/>
  <c r="E2687" i="1"/>
  <c r="F2687" i="1"/>
  <c r="K2687" i="1"/>
  <c r="D2688" i="1"/>
  <c r="E2688" i="1"/>
  <c r="F2688" i="1"/>
  <c r="K2688" i="1"/>
  <c r="D2689" i="1"/>
  <c r="E2689" i="1"/>
  <c r="F2689" i="1"/>
  <c r="K2689" i="1"/>
  <c r="D2690" i="1"/>
  <c r="E2690" i="1"/>
  <c r="F2690" i="1"/>
  <c r="K2690" i="1"/>
  <c r="D2691" i="1"/>
  <c r="E2691" i="1"/>
  <c r="F2691" i="1"/>
  <c r="K2691" i="1"/>
  <c r="D2692" i="1"/>
  <c r="E2692" i="1"/>
  <c r="F2692" i="1"/>
  <c r="K2692" i="1"/>
  <c r="D2693" i="1"/>
  <c r="E2693" i="1"/>
  <c r="F2693" i="1"/>
  <c r="K2693" i="1"/>
  <c r="D2694" i="1"/>
  <c r="E2694" i="1"/>
  <c r="F2694" i="1"/>
  <c r="K2694" i="1"/>
  <c r="D2695" i="1"/>
  <c r="E2695" i="1"/>
  <c r="F2695" i="1"/>
  <c r="K2695" i="1"/>
  <c r="D2696" i="1"/>
  <c r="E2696" i="1"/>
  <c r="F2696" i="1"/>
  <c r="K2696" i="1"/>
  <c r="D2697" i="1"/>
  <c r="E2697" i="1"/>
  <c r="F2697" i="1"/>
  <c r="K2697" i="1"/>
  <c r="D2698" i="1"/>
  <c r="E2698" i="1"/>
  <c r="F2698" i="1"/>
  <c r="K2698" i="1"/>
  <c r="D2699" i="1"/>
  <c r="E2699" i="1"/>
  <c r="F2699" i="1"/>
  <c r="K2699" i="1"/>
  <c r="D2700" i="1"/>
  <c r="E2700" i="1"/>
  <c r="F2700" i="1"/>
  <c r="K2700" i="1"/>
  <c r="D2701" i="1"/>
  <c r="E2701" i="1"/>
  <c r="F2701" i="1"/>
  <c r="K2701" i="1"/>
  <c r="D2702" i="1"/>
  <c r="E2702" i="1"/>
  <c r="F2702" i="1"/>
  <c r="K2702" i="1"/>
  <c r="D2703" i="1"/>
  <c r="E2703" i="1"/>
  <c r="F2703" i="1"/>
  <c r="K2703" i="1"/>
  <c r="D2704" i="1"/>
  <c r="E2704" i="1"/>
  <c r="F2704" i="1"/>
  <c r="K2704" i="1"/>
  <c r="D2705" i="1"/>
  <c r="E2705" i="1"/>
  <c r="F2705" i="1"/>
  <c r="K2705" i="1"/>
  <c r="D2706" i="1"/>
  <c r="E2706" i="1"/>
  <c r="F2706" i="1"/>
  <c r="K2706" i="1"/>
  <c r="D2707" i="1"/>
  <c r="E2707" i="1"/>
  <c r="F2707" i="1"/>
  <c r="K2707" i="1"/>
  <c r="D2708" i="1"/>
  <c r="E2708" i="1"/>
  <c r="F2708" i="1"/>
  <c r="K2708" i="1"/>
  <c r="D2709" i="1"/>
  <c r="E2709" i="1"/>
  <c r="F2709" i="1"/>
  <c r="K2709" i="1"/>
  <c r="D2710" i="1"/>
  <c r="E2710" i="1"/>
  <c r="F2710" i="1"/>
  <c r="K2710" i="1"/>
  <c r="D2711" i="1"/>
  <c r="E2711" i="1"/>
  <c r="F2711" i="1"/>
  <c r="K2711" i="1"/>
  <c r="D2712" i="1"/>
  <c r="E2712" i="1"/>
  <c r="F2712" i="1"/>
  <c r="K2712" i="1"/>
  <c r="D2713" i="1"/>
  <c r="E2713" i="1"/>
  <c r="F2713" i="1"/>
  <c r="K2713" i="1"/>
  <c r="D2714" i="1"/>
  <c r="E2714" i="1"/>
  <c r="F2714" i="1"/>
  <c r="K2714" i="1"/>
  <c r="D2715" i="1"/>
  <c r="E2715" i="1"/>
  <c r="F2715" i="1"/>
  <c r="K2715" i="1"/>
  <c r="D2716" i="1"/>
  <c r="E2716" i="1"/>
  <c r="F2716" i="1"/>
  <c r="K2716" i="1"/>
  <c r="D2717" i="1"/>
  <c r="E2717" i="1"/>
  <c r="F2717" i="1"/>
  <c r="K2717" i="1"/>
  <c r="D2718" i="1"/>
  <c r="E2718" i="1"/>
  <c r="F2718" i="1"/>
  <c r="K2718" i="1"/>
  <c r="D2719" i="1"/>
  <c r="E2719" i="1"/>
  <c r="F2719" i="1"/>
  <c r="K2719" i="1"/>
  <c r="D2720" i="1"/>
  <c r="E2720" i="1"/>
  <c r="F2720" i="1"/>
  <c r="K2720" i="1"/>
  <c r="D2721" i="1"/>
  <c r="E2721" i="1"/>
  <c r="F2721" i="1"/>
  <c r="K2721" i="1"/>
  <c r="D2722" i="1"/>
  <c r="E2722" i="1"/>
  <c r="F2722" i="1"/>
  <c r="K2722" i="1"/>
  <c r="D2723" i="1"/>
  <c r="E2723" i="1"/>
  <c r="F2723" i="1"/>
  <c r="K2723" i="1"/>
  <c r="D2724" i="1"/>
  <c r="E2724" i="1"/>
  <c r="F2724" i="1"/>
  <c r="K2724" i="1"/>
  <c r="D2725" i="1"/>
  <c r="E2725" i="1"/>
  <c r="F2725" i="1"/>
  <c r="K2725" i="1"/>
  <c r="D2726" i="1"/>
  <c r="E2726" i="1"/>
  <c r="F2726" i="1"/>
  <c r="K2726" i="1"/>
  <c r="D2727" i="1"/>
  <c r="E2727" i="1"/>
  <c r="F2727" i="1"/>
  <c r="K2727" i="1"/>
  <c r="D2728" i="1"/>
  <c r="E2728" i="1"/>
  <c r="F2728" i="1"/>
  <c r="K2728" i="1"/>
  <c r="D2729" i="1"/>
  <c r="E2729" i="1"/>
  <c r="F2729" i="1"/>
  <c r="K2729" i="1"/>
  <c r="D2730" i="1"/>
  <c r="E2730" i="1"/>
  <c r="F2730" i="1"/>
  <c r="K2730" i="1"/>
  <c r="D2731" i="1"/>
  <c r="E2731" i="1"/>
  <c r="F2731" i="1"/>
  <c r="K2731" i="1"/>
  <c r="D2732" i="1"/>
  <c r="E2732" i="1"/>
  <c r="F2732" i="1"/>
  <c r="K2732" i="1"/>
  <c r="D2733" i="1"/>
  <c r="E2733" i="1"/>
  <c r="F2733" i="1"/>
  <c r="K2733" i="1"/>
  <c r="D2734" i="1"/>
  <c r="E2734" i="1"/>
  <c r="F2734" i="1"/>
  <c r="K2734" i="1"/>
  <c r="D2735" i="1"/>
  <c r="E2735" i="1"/>
  <c r="F2735" i="1"/>
  <c r="K2735" i="1"/>
  <c r="D2736" i="1"/>
  <c r="E2736" i="1"/>
  <c r="F2736" i="1"/>
  <c r="K2736" i="1"/>
  <c r="D2737" i="1"/>
  <c r="E2737" i="1"/>
  <c r="F2737" i="1"/>
  <c r="K2737" i="1"/>
  <c r="D2738" i="1"/>
  <c r="E2738" i="1"/>
  <c r="F2738" i="1"/>
  <c r="K2738" i="1"/>
  <c r="D2739" i="1"/>
  <c r="E2739" i="1"/>
  <c r="F2739" i="1"/>
  <c r="K2739" i="1"/>
  <c r="D2740" i="1"/>
  <c r="E2740" i="1"/>
  <c r="F2740" i="1"/>
  <c r="K2740" i="1"/>
  <c r="D2741" i="1"/>
  <c r="E2741" i="1"/>
  <c r="F2741" i="1"/>
  <c r="K2741" i="1"/>
  <c r="D2742" i="1"/>
  <c r="E2742" i="1"/>
  <c r="F2742" i="1"/>
  <c r="K2742" i="1"/>
  <c r="D2743" i="1"/>
  <c r="E2743" i="1"/>
  <c r="F2743" i="1"/>
  <c r="K2743" i="1"/>
  <c r="D2744" i="1"/>
  <c r="E2744" i="1"/>
  <c r="F2744" i="1"/>
  <c r="K2744" i="1"/>
  <c r="D2745" i="1"/>
  <c r="E2745" i="1"/>
  <c r="F2745" i="1"/>
  <c r="K2745" i="1"/>
  <c r="D2746" i="1"/>
  <c r="E2746" i="1"/>
  <c r="F2746" i="1"/>
  <c r="K2746" i="1"/>
  <c r="D2747" i="1"/>
  <c r="E2747" i="1"/>
  <c r="F2747" i="1"/>
  <c r="K2747" i="1"/>
  <c r="D2748" i="1"/>
  <c r="E2748" i="1"/>
  <c r="F2748" i="1"/>
  <c r="K2748" i="1"/>
  <c r="D2749" i="1"/>
  <c r="E2749" i="1"/>
  <c r="F2749" i="1"/>
  <c r="K2749" i="1"/>
  <c r="D2750" i="1"/>
  <c r="E2750" i="1"/>
  <c r="F2750" i="1"/>
  <c r="K2750" i="1"/>
  <c r="D2751" i="1"/>
  <c r="E2751" i="1"/>
  <c r="F2751" i="1"/>
  <c r="K2751" i="1"/>
  <c r="D2752" i="1"/>
  <c r="E2752" i="1"/>
  <c r="F2752" i="1"/>
  <c r="K2752" i="1"/>
  <c r="D2753" i="1"/>
  <c r="E2753" i="1"/>
  <c r="F2753" i="1"/>
  <c r="K2753" i="1"/>
  <c r="D2754" i="1"/>
  <c r="E2754" i="1"/>
  <c r="F2754" i="1"/>
  <c r="K2754" i="1"/>
  <c r="D2755" i="1"/>
  <c r="E2755" i="1"/>
  <c r="F2755" i="1"/>
  <c r="K2755" i="1"/>
  <c r="D2756" i="1"/>
  <c r="E2756" i="1"/>
  <c r="F2756" i="1"/>
  <c r="K2756" i="1"/>
  <c r="D2757" i="1"/>
  <c r="E2757" i="1"/>
  <c r="F2757" i="1"/>
  <c r="K2757" i="1"/>
  <c r="D2758" i="1"/>
  <c r="E2758" i="1"/>
  <c r="F2758" i="1"/>
  <c r="K2758" i="1"/>
  <c r="D2759" i="1"/>
  <c r="E2759" i="1"/>
  <c r="F2759" i="1"/>
  <c r="K2759" i="1"/>
  <c r="D2760" i="1"/>
  <c r="E2760" i="1"/>
  <c r="F2760" i="1"/>
  <c r="K2760" i="1"/>
  <c r="D2761" i="1"/>
  <c r="E2761" i="1"/>
  <c r="F2761" i="1"/>
  <c r="K2761" i="1"/>
  <c r="D2762" i="1"/>
  <c r="E2762" i="1"/>
  <c r="F2762" i="1"/>
  <c r="K2762" i="1"/>
  <c r="D2763" i="1"/>
  <c r="E2763" i="1"/>
  <c r="F2763" i="1"/>
  <c r="K2763" i="1"/>
  <c r="D2764" i="1"/>
  <c r="E2764" i="1"/>
  <c r="F2764" i="1"/>
  <c r="K2764" i="1"/>
  <c r="D2765" i="1"/>
  <c r="E2765" i="1"/>
  <c r="F2765" i="1"/>
  <c r="K2765" i="1"/>
  <c r="D2766" i="1"/>
  <c r="E2766" i="1"/>
  <c r="F2766" i="1"/>
  <c r="K2766" i="1"/>
  <c r="D2767" i="1"/>
  <c r="E2767" i="1"/>
  <c r="F2767" i="1"/>
  <c r="K2767" i="1"/>
  <c r="D2768" i="1"/>
  <c r="E2768" i="1"/>
  <c r="F2768" i="1"/>
  <c r="K2768" i="1"/>
  <c r="D2769" i="1"/>
  <c r="E2769" i="1"/>
  <c r="F2769" i="1"/>
  <c r="K2769" i="1"/>
  <c r="D2770" i="1"/>
  <c r="E2770" i="1"/>
  <c r="F2770" i="1"/>
  <c r="K2770" i="1"/>
  <c r="D2771" i="1"/>
  <c r="E2771" i="1"/>
  <c r="F2771" i="1"/>
  <c r="K2771" i="1"/>
  <c r="D2772" i="1"/>
  <c r="E2772" i="1"/>
  <c r="F2772" i="1"/>
  <c r="K2772" i="1"/>
  <c r="D2773" i="1"/>
  <c r="E2773" i="1"/>
  <c r="F2773" i="1"/>
  <c r="K2773" i="1"/>
  <c r="D2774" i="1"/>
  <c r="E2774" i="1"/>
  <c r="F2774" i="1"/>
  <c r="K2774" i="1"/>
  <c r="D2775" i="1"/>
  <c r="E2775" i="1"/>
  <c r="F2775" i="1"/>
  <c r="K2775" i="1"/>
  <c r="D2776" i="1"/>
  <c r="E2776" i="1"/>
  <c r="F2776" i="1"/>
  <c r="K2776" i="1"/>
  <c r="D2777" i="1"/>
  <c r="E2777" i="1"/>
  <c r="F2777" i="1"/>
  <c r="K2777" i="1"/>
  <c r="D2778" i="1"/>
  <c r="E2778" i="1"/>
  <c r="F2778" i="1"/>
  <c r="K2778" i="1"/>
  <c r="D2779" i="1"/>
  <c r="E2779" i="1"/>
  <c r="F2779" i="1"/>
  <c r="K2779" i="1"/>
  <c r="D2780" i="1"/>
  <c r="E2780" i="1"/>
  <c r="F2780" i="1"/>
  <c r="K2780" i="1"/>
  <c r="D2781" i="1"/>
  <c r="E2781" i="1"/>
  <c r="F2781" i="1"/>
  <c r="K2781" i="1"/>
  <c r="D2782" i="1"/>
  <c r="E2782" i="1"/>
  <c r="F2782" i="1"/>
  <c r="K2782" i="1"/>
  <c r="D2783" i="1"/>
  <c r="E2783" i="1"/>
  <c r="F2783" i="1"/>
  <c r="K2783" i="1"/>
  <c r="D2784" i="1"/>
  <c r="E2784" i="1"/>
  <c r="F2784" i="1"/>
  <c r="K2784" i="1"/>
  <c r="D2785" i="1"/>
  <c r="E2785" i="1"/>
  <c r="F2785" i="1"/>
  <c r="K2785" i="1"/>
  <c r="D2786" i="1"/>
  <c r="E2786" i="1"/>
  <c r="F2786" i="1"/>
  <c r="K2786" i="1"/>
  <c r="D2787" i="1"/>
  <c r="E2787" i="1"/>
  <c r="F2787" i="1"/>
  <c r="K2787" i="1"/>
  <c r="D2788" i="1"/>
  <c r="E2788" i="1"/>
  <c r="F2788" i="1"/>
  <c r="K2788" i="1"/>
  <c r="D2789" i="1"/>
  <c r="E2789" i="1"/>
  <c r="F2789" i="1"/>
  <c r="K2789" i="1"/>
  <c r="D2790" i="1"/>
  <c r="E2790" i="1"/>
  <c r="F2790" i="1"/>
  <c r="K2790" i="1"/>
  <c r="D2791" i="1"/>
  <c r="E2791" i="1"/>
  <c r="F2791" i="1"/>
  <c r="K2791" i="1"/>
  <c r="D2792" i="1"/>
  <c r="E2792" i="1"/>
  <c r="F2792" i="1"/>
  <c r="K2792" i="1"/>
  <c r="D2793" i="1"/>
  <c r="E2793" i="1"/>
  <c r="F2793" i="1"/>
  <c r="K2793" i="1"/>
  <c r="D2794" i="1"/>
  <c r="E2794" i="1"/>
  <c r="F2794" i="1"/>
  <c r="K2794" i="1"/>
  <c r="D2795" i="1"/>
  <c r="E2795" i="1"/>
  <c r="F2795" i="1"/>
  <c r="K2795" i="1"/>
  <c r="D2799" i="1"/>
  <c r="E2799" i="1"/>
  <c r="F2799" i="1"/>
  <c r="K2799" i="1"/>
  <c r="D2800" i="1"/>
  <c r="E2800" i="1"/>
  <c r="F2800" i="1"/>
  <c r="K2800" i="1"/>
  <c r="D2801" i="1"/>
  <c r="E2801" i="1"/>
  <c r="F2801" i="1"/>
  <c r="K2801" i="1"/>
  <c r="D2802" i="1"/>
  <c r="E2802" i="1"/>
  <c r="F2802" i="1"/>
  <c r="K2802" i="1"/>
  <c r="D2803" i="1"/>
  <c r="E2803" i="1"/>
  <c r="F2803" i="1"/>
  <c r="K2803" i="1"/>
  <c r="D2804" i="1"/>
  <c r="E2804" i="1"/>
  <c r="F2804" i="1"/>
  <c r="K2804" i="1"/>
  <c r="D2805" i="1"/>
  <c r="E2805" i="1"/>
  <c r="F2805" i="1"/>
  <c r="K2805" i="1"/>
  <c r="D2806" i="1"/>
  <c r="E2806" i="1"/>
  <c r="F2806" i="1"/>
  <c r="K2806" i="1"/>
  <c r="D2807" i="1"/>
  <c r="E2807" i="1"/>
  <c r="F2807" i="1"/>
  <c r="K2807" i="1"/>
  <c r="D2808" i="1"/>
  <c r="E2808" i="1"/>
  <c r="F2808" i="1"/>
  <c r="K2808" i="1"/>
  <c r="D2809" i="1"/>
  <c r="E2809" i="1"/>
  <c r="F2809" i="1"/>
  <c r="K2809" i="1"/>
  <c r="D2810" i="1"/>
  <c r="E2810" i="1"/>
  <c r="F2810" i="1"/>
  <c r="K2810" i="1"/>
  <c r="D2811" i="1"/>
  <c r="E2811" i="1"/>
  <c r="F2811" i="1"/>
  <c r="K2811" i="1"/>
  <c r="D2812" i="1"/>
  <c r="E2812" i="1"/>
  <c r="F2812" i="1"/>
  <c r="K2812" i="1"/>
  <c r="D2813" i="1"/>
  <c r="E2813" i="1"/>
  <c r="F2813" i="1"/>
  <c r="K2813" i="1"/>
  <c r="D2814" i="1"/>
  <c r="E2814" i="1"/>
  <c r="F2814" i="1"/>
  <c r="K2814" i="1"/>
  <c r="D2815" i="1"/>
  <c r="E2815" i="1"/>
  <c r="F2815" i="1"/>
  <c r="K2815" i="1"/>
  <c r="D2816" i="1"/>
  <c r="E2816" i="1"/>
  <c r="F2816" i="1"/>
  <c r="K2816" i="1"/>
  <c r="D2817" i="1"/>
  <c r="E2817" i="1"/>
  <c r="F2817" i="1"/>
  <c r="K2817" i="1"/>
  <c r="D2818" i="1"/>
  <c r="E2818" i="1"/>
  <c r="F2818" i="1"/>
  <c r="K2818" i="1"/>
  <c r="D2819" i="1"/>
  <c r="E2819" i="1"/>
  <c r="F2819" i="1"/>
  <c r="K2819" i="1"/>
  <c r="D2820" i="1"/>
  <c r="E2820" i="1"/>
  <c r="F2820" i="1"/>
  <c r="K2820" i="1"/>
  <c r="D2821" i="1"/>
  <c r="E2821" i="1"/>
  <c r="F2821" i="1"/>
  <c r="K2821" i="1"/>
  <c r="D2822" i="1"/>
  <c r="E2822" i="1"/>
  <c r="F2822" i="1"/>
  <c r="K2822" i="1"/>
  <c r="D2823" i="1"/>
  <c r="E2823" i="1"/>
  <c r="F2823" i="1"/>
  <c r="K2823" i="1"/>
  <c r="D2824" i="1"/>
  <c r="E2824" i="1"/>
  <c r="F2824" i="1"/>
  <c r="K2824" i="1"/>
  <c r="D2825" i="1"/>
  <c r="E2825" i="1"/>
  <c r="F2825" i="1"/>
  <c r="K2825" i="1"/>
  <c r="D2826" i="1"/>
  <c r="E2826" i="1"/>
  <c r="F2826" i="1"/>
  <c r="K2826" i="1"/>
  <c r="D2827" i="1"/>
  <c r="E2827" i="1"/>
  <c r="F2827" i="1"/>
  <c r="K2827" i="1"/>
  <c r="D2828" i="1"/>
  <c r="E2828" i="1"/>
  <c r="F2828" i="1"/>
  <c r="K2828" i="1"/>
  <c r="D2829" i="1"/>
  <c r="E2829" i="1"/>
  <c r="F2829" i="1"/>
  <c r="K2829" i="1"/>
  <c r="D2830" i="1"/>
  <c r="E2830" i="1"/>
  <c r="F2830" i="1"/>
  <c r="K2830" i="1"/>
  <c r="D2831" i="1"/>
  <c r="E2831" i="1"/>
  <c r="F2831" i="1"/>
  <c r="K2831" i="1"/>
  <c r="D2832" i="1"/>
  <c r="E2832" i="1"/>
  <c r="F2832" i="1"/>
  <c r="K2832" i="1"/>
  <c r="D2833" i="1"/>
  <c r="E2833" i="1"/>
  <c r="F2833" i="1"/>
  <c r="K2833" i="1"/>
  <c r="D2834" i="1"/>
  <c r="E2834" i="1"/>
  <c r="F2834" i="1"/>
  <c r="K2834" i="1"/>
  <c r="D2835" i="1"/>
  <c r="E2835" i="1"/>
  <c r="F2835" i="1"/>
  <c r="K2835" i="1"/>
  <c r="D2836" i="1"/>
  <c r="E2836" i="1"/>
  <c r="F2836" i="1"/>
  <c r="K2836" i="1"/>
  <c r="D2837" i="1"/>
  <c r="E2837" i="1"/>
  <c r="F2837" i="1"/>
  <c r="K2837" i="1"/>
  <c r="D2838" i="1"/>
  <c r="E2838" i="1"/>
  <c r="F2838" i="1"/>
  <c r="K2838" i="1"/>
  <c r="D2839" i="1"/>
  <c r="E2839" i="1"/>
  <c r="F2839" i="1"/>
  <c r="K2839" i="1"/>
  <c r="D2840" i="1"/>
  <c r="E2840" i="1"/>
  <c r="F2840" i="1"/>
  <c r="K2840" i="1"/>
  <c r="D2841" i="1"/>
  <c r="E2841" i="1"/>
  <c r="F2841" i="1"/>
  <c r="K2841" i="1"/>
  <c r="D2842" i="1"/>
  <c r="E2842" i="1"/>
  <c r="F2842" i="1"/>
  <c r="K2842" i="1"/>
  <c r="D2843" i="1"/>
  <c r="E2843" i="1"/>
  <c r="F2843" i="1"/>
  <c r="K2843" i="1"/>
  <c r="D2844" i="1"/>
  <c r="E2844" i="1"/>
  <c r="F2844" i="1"/>
  <c r="K2844" i="1"/>
  <c r="D2845" i="1"/>
  <c r="E2845" i="1"/>
  <c r="F2845" i="1"/>
  <c r="K2845" i="1"/>
  <c r="D2846" i="1"/>
  <c r="E2846" i="1"/>
  <c r="F2846" i="1"/>
  <c r="K2846" i="1"/>
  <c r="D2847" i="1"/>
  <c r="E2847" i="1"/>
  <c r="F2847" i="1"/>
  <c r="K2847" i="1"/>
  <c r="D2848" i="1"/>
  <c r="E2848" i="1"/>
  <c r="F2848" i="1"/>
  <c r="K2848" i="1"/>
  <c r="D2849" i="1"/>
  <c r="E2849" i="1"/>
  <c r="F2849" i="1"/>
  <c r="K2849" i="1"/>
  <c r="D2850" i="1"/>
  <c r="E2850" i="1"/>
  <c r="F2850" i="1"/>
  <c r="K2850" i="1"/>
  <c r="D2851" i="1"/>
  <c r="E2851" i="1"/>
  <c r="F2851" i="1"/>
  <c r="K2851" i="1"/>
  <c r="D2852" i="1"/>
  <c r="E2852" i="1"/>
  <c r="F2852" i="1"/>
  <c r="K2852" i="1"/>
  <c r="D2857" i="1"/>
  <c r="E2857" i="1"/>
  <c r="F2857" i="1"/>
  <c r="K2857" i="1"/>
  <c r="D2858" i="1"/>
  <c r="E2858" i="1"/>
  <c r="F2858" i="1"/>
  <c r="K2858" i="1"/>
  <c r="D2859" i="1"/>
  <c r="E2859" i="1"/>
  <c r="F2859" i="1"/>
  <c r="K2859" i="1"/>
  <c r="D2860" i="1"/>
  <c r="E2860" i="1"/>
  <c r="F2860" i="1"/>
  <c r="K2860" i="1"/>
  <c r="D2861" i="1"/>
  <c r="E2861" i="1"/>
  <c r="F2861" i="1"/>
  <c r="K2861" i="1"/>
  <c r="D2862" i="1"/>
  <c r="E2862" i="1"/>
  <c r="F2862" i="1"/>
  <c r="K2862" i="1"/>
  <c r="D2863" i="1"/>
  <c r="E2863" i="1"/>
  <c r="F2863" i="1"/>
  <c r="K2863" i="1"/>
  <c r="D2864" i="1"/>
  <c r="E2864" i="1"/>
  <c r="F2864" i="1"/>
  <c r="K2864" i="1"/>
  <c r="D2865" i="1"/>
  <c r="E2865" i="1"/>
  <c r="F2865" i="1"/>
  <c r="K2865" i="1"/>
  <c r="D2866" i="1"/>
  <c r="E2866" i="1"/>
  <c r="F2866" i="1"/>
  <c r="K2866" i="1"/>
  <c r="D2867" i="1"/>
  <c r="E2867" i="1"/>
  <c r="F2867" i="1"/>
  <c r="K2867" i="1"/>
  <c r="D2868" i="1"/>
  <c r="E2868" i="1"/>
  <c r="F2868" i="1"/>
  <c r="K2868" i="1"/>
  <c r="D2869" i="1"/>
  <c r="E2869" i="1"/>
  <c r="F2869" i="1"/>
  <c r="K2869" i="1"/>
  <c r="D2870" i="1"/>
  <c r="E2870" i="1"/>
  <c r="F2870" i="1"/>
  <c r="K2870" i="1"/>
  <c r="D2871" i="1"/>
  <c r="E2871" i="1"/>
  <c r="F2871" i="1"/>
  <c r="K2871" i="1"/>
  <c r="D2872" i="1"/>
  <c r="E2872" i="1"/>
  <c r="F2872" i="1"/>
  <c r="K2872" i="1"/>
  <c r="D2873" i="1"/>
  <c r="E2873" i="1"/>
  <c r="F2873" i="1"/>
  <c r="K2873" i="1"/>
  <c r="D2874" i="1"/>
  <c r="E2874" i="1"/>
  <c r="F2874" i="1"/>
  <c r="K2874" i="1"/>
  <c r="D2875" i="1"/>
  <c r="E2875" i="1"/>
  <c r="F2875" i="1"/>
  <c r="K2875" i="1"/>
  <c r="D2876" i="1"/>
  <c r="E2876" i="1"/>
  <c r="F2876" i="1"/>
  <c r="K2876" i="1"/>
  <c r="D2877" i="1"/>
  <c r="E2877" i="1"/>
  <c r="F2877" i="1"/>
  <c r="K2877" i="1"/>
  <c r="D2878" i="1"/>
  <c r="E2878" i="1"/>
  <c r="F2878" i="1"/>
  <c r="K2878" i="1"/>
  <c r="D2879" i="1"/>
  <c r="E2879" i="1"/>
  <c r="F2879" i="1"/>
  <c r="K2879" i="1"/>
  <c r="D2880" i="1"/>
  <c r="E2880" i="1"/>
  <c r="F2880" i="1"/>
  <c r="K2880" i="1"/>
  <c r="D2881" i="1"/>
  <c r="E2881" i="1"/>
  <c r="F2881" i="1"/>
  <c r="K2881" i="1"/>
  <c r="D2882" i="1"/>
  <c r="E2882" i="1"/>
  <c r="F2882" i="1"/>
  <c r="K2882" i="1"/>
  <c r="D2883" i="1"/>
  <c r="E2883" i="1"/>
  <c r="F2883" i="1"/>
  <c r="K2883" i="1"/>
  <c r="D2884" i="1"/>
  <c r="E2884" i="1"/>
  <c r="F2884" i="1"/>
  <c r="K2884" i="1"/>
  <c r="D2885" i="1"/>
  <c r="E2885" i="1"/>
  <c r="F2885" i="1"/>
  <c r="K2885" i="1"/>
  <c r="D2886" i="1"/>
  <c r="E2886" i="1"/>
  <c r="F2886" i="1"/>
  <c r="K2886" i="1"/>
  <c r="D2887" i="1"/>
  <c r="E2887" i="1"/>
  <c r="F2887" i="1"/>
  <c r="K2887" i="1"/>
  <c r="D2888" i="1"/>
  <c r="E2888" i="1"/>
  <c r="F2888" i="1"/>
  <c r="K2888" i="1"/>
  <c r="D2889" i="1"/>
  <c r="E2889" i="1"/>
  <c r="F2889" i="1"/>
  <c r="K2889" i="1"/>
  <c r="D2890" i="1"/>
  <c r="E2890" i="1"/>
  <c r="F2890" i="1"/>
  <c r="K2890" i="1"/>
  <c r="D2891" i="1"/>
  <c r="E2891" i="1"/>
  <c r="F2891" i="1"/>
  <c r="K2891" i="1"/>
  <c r="D2892" i="1"/>
  <c r="E2892" i="1"/>
  <c r="F2892" i="1"/>
  <c r="K2892" i="1"/>
  <c r="D2893" i="1"/>
  <c r="E2893" i="1"/>
  <c r="F2893" i="1"/>
  <c r="K2893" i="1"/>
  <c r="D2894" i="1"/>
  <c r="E2894" i="1"/>
  <c r="F2894" i="1"/>
  <c r="K2894" i="1"/>
  <c r="D2895" i="1"/>
  <c r="E2895" i="1"/>
  <c r="F2895" i="1"/>
  <c r="K2895" i="1"/>
  <c r="D2896" i="1"/>
  <c r="E2896" i="1"/>
  <c r="F2896" i="1"/>
  <c r="K2896" i="1"/>
  <c r="D2897" i="1"/>
  <c r="E2897" i="1"/>
  <c r="F2897" i="1"/>
  <c r="K2897" i="1"/>
  <c r="D2898" i="1"/>
  <c r="E2898" i="1"/>
  <c r="F2898" i="1"/>
  <c r="K2898" i="1"/>
  <c r="D2899" i="1"/>
  <c r="E2899" i="1"/>
  <c r="F2899" i="1"/>
  <c r="K2899" i="1"/>
  <c r="D2900" i="1"/>
  <c r="E2900" i="1"/>
  <c r="F2900" i="1"/>
  <c r="K2900" i="1"/>
  <c r="D2901" i="1"/>
  <c r="E2901" i="1"/>
  <c r="F2901" i="1"/>
  <c r="K2901" i="1"/>
  <c r="D2902" i="1"/>
  <c r="E2902" i="1"/>
  <c r="F2902" i="1"/>
  <c r="K2902" i="1"/>
  <c r="D2903" i="1"/>
  <c r="E2903" i="1"/>
  <c r="F2903" i="1"/>
  <c r="K2903" i="1"/>
  <c r="D2904" i="1"/>
  <c r="E2904" i="1"/>
  <c r="F2904" i="1"/>
  <c r="K2904" i="1"/>
  <c r="D2905" i="1"/>
  <c r="E2905" i="1"/>
  <c r="F2905" i="1"/>
  <c r="K2905" i="1"/>
  <c r="D2906" i="1"/>
  <c r="E2906" i="1"/>
  <c r="F2906" i="1"/>
  <c r="K2906" i="1"/>
  <c r="D2907" i="1"/>
  <c r="E2907" i="1"/>
  <c r="F2907" i="1"/>
  <c r="K2907" i="1"/>
  <c r="D2908" i="1"/>
  <c r="E2908" i="1"/>
  <c r="F2908" i="1"/>
  <c r="K2908" i="1"/>
  <c r="D2909" i="1"/>
  <c r="E2909" i="1"/>
  <c r="F2909" i="1"/>
  <c r="K2909" i="1"/>
  <c r="D2910" i="1"/>
  <c r="E2910" i="1"/>
  <c r="F2910" i="1"/>
  <c r="K2910" i="1"/>
  <c r="D2911" i="1"/>
  <c r="E2911" i="1"/>
  <c r="F2911" i="1"/>
  <c r="K2911" i="1"/>
  <c r="D2912" i="1"/>
  <c r="E2912" i="1"/>
  <c r="F2912" i="1"/>
  <c r="K2912" i="1"/>
  <c r="D2913" i="1"/>
  <c r="E2913" i="1"/>
  <c r="F2913" i="1"/>
  <c r="K2913" i="1"/>
  <c r="D2914" i="1"/>
  <c r="E2914" i="1"/>
  <c r="F2914" i="1"/>
  <c r="K2914" i="1"/>
  <c r="D2918" i="1"/>
  <c r="E2918" i="1"/>
  <c r="F2918" i="1"/>
  <c r="K2918" i="1"/>
  <c r="D2919" i="1"/>
  <c r="E2919" i="1"/>
  <c r="F2919" i="1"/>
  <c r="K2919" i="1"/>
  <c r="D2921" i="1"/>
  <c r="E2921" i="1"/>
  <c r="F2921" i="1"/>
  <c r="K2921" i="1"/>
  <c r="D2922" i="1"/>
  <c r="E2922" i="1"/>
  <c r="F2922" i="1"/>
  <c r="K2922" i="1"/>
  <c r="D2923" i="1"/>
  <c r="E2923" i="1"/>
  <c r="F2923" i="1"/>
  <c r="K2923" i="1"/>
  <c r="D2924" i="1"/>
  <c r="E2924" i="1"/>
  <c r="F2924" i="1"/>
  <c r="K2924" i="1"/>
  <c r="D2925" i="1"/>
  <c r="E2925" i="1"/>
  <c r="F2925" i="1"/>
  <c r="K2925" i="1"/>
  <c r="D2926" i="1"/>
  <c r="E2926" i="1"/>
  <c r="F2926" i="1"/>
  <c r="K2926" i="1"/>
  <c r="D2927" i="1"/>
  <c r="E2927" i="1"/>
  <c r="F2927" i="1"/>
  <c r="K2927" i="1"/>
  <c r="D2928" i="1"/>
  <c r="E2928" i="1"/>
  <c r="F2928" i="1"/>
  <c r="K2928" i="1"/>
  <c r="D2929" i="1"/>
  <c r="E2929" i="1"/>
  <c r="F2929" i="1"/>
  <c r="K2929" i="1"/>
  <c r="D2930" i="1"/>
  <c r="E2930" i="1"/>
  <c r="F2930" i="1"/>
  <c r="K2930" i="1"/>
  <c r="D2931" i="1"/>
  <c r="E2931" i="1"/>
  <c r="F2931" i="1"/>
  <c r="K2931" i="1"/>
  <c r="D2932" i="1"/>
  <c r="E2932" i="1"/>
  <c r="F2932" i="1"/>
  <c r="K2932" i="1"/>
  <c r="D2933" i="1"/>
  <c r="E2933" i="1"/>
  <c r="F2933" i="1"/>
  <c r="K2933" i="1"/>
  <c r="D2934" i="1"/>
  <c r="E2934" i="1"/>
  <c r="F2934" i="1"/>
  <c r="K2934" i="1"/>
  <c r="D2935" i="1"/>
  <c r="E2935" i="1"/>
  <c r="F2935" i="1"/>
  <c r="K2935" i="1"/>
  <c r="D2936" i="1"/>
  <c r="E2936" i="1"/>
  <c r="F2936" i="1"/>
  <c r="K2936" i="1"/>
  <c r="D2937" i="1"/>
  <c r="E2937" i="1"/>
  <c r="F2937" i="1"/>
  <c r="K2937" i="1"/>
  <c r="D2938" i="1"/>
  <c r="E2938" i="1"/>
  <c r="F2938" i="1"/>
  <c r="K2938" i="1"/>
  <c r="D2939" i="1"/>
  <c r="E2939" i="1"/>
  <c r="F2939" i="1"/>
  <c r="K2939" i="1"/>
  <c r="D2940" i="1"/>
  <c r="E2940" i="1"/>
  <c r="F2940" i="1"/>
  <c r="K2940" i="1"/>
  <c r="D2941" i="1"/>
  <c r="E2941" i="1"/>
  <c r="F2941" i="1"/>
  <c r="K2941" i="1"/>
  <c r="D2942" i="1"/>
  <c r="E2942" i="1"/>
  <c r="F2942" i="1"/>
  <c r="K2942" i="1"/>
  <c r="D2943" i="1"/>
  <c r="E2943" i="1"/>
  <c r="F2943" i="1"/>
  <c r="K2943" i="1"/>
  <c r="D2944" i="1"/>
  <c r="E2944" i="1"/>
  <c r="F2944" i="1"/>
  <c r="K2944" i="1"/>
  <c r="D2945" i="1"/>
  <c r="E2945" i="1"/>
  <c r="F2945" i="1"/>
  <c r="K2945" i="1"/>
  <c r="D2946" i="1"/>
  <c r="E2946" i="1"/>
  <c r="F2946" i="1"/>
  <c r="K2946" i="1"/>
  <c r="D2947" i="1"/>
  <c r="E2947" i="1"/>
  <c r="F2947" i="1"/>
  <c r="K2947" i="1"/>
  <c r="D2948" i="1"/>
  <c r="E2948" i="1"/>
  <c r="F2948" i="1"/>
  <c r="K2948" i="1"/>
  <c r="D2949" i="1"/>
  <c r="E2949" i="1"/>
  <c r="F2949" i="1"/>
  <c r="K2949" i="1"/>
  <c r="D2950" i="1"/>
  <c r="E2950" i="1"/>
  <c r="F2950" i="1"/>
  <c r="K2950" i="1"/>
  <c r="D2951" i="1"/>
  <c r="E2951" i="1"/>
  <c r="F2951" i="1"/>
  <c r="K2951" i="1"/>
  <c r="D2952" i="1"/>
  <c r="E2952" i="1"/>
  <c r="F2952" i="1"/>
  <c r="K2952" i="1"/>
  <c r="D2953" i="1"/>
  <c r="E2953" i="1"/>
  <c r="F2953" i="1"/>
  <c r="K2953" i="1"/>
  <c r="D2954" i="1"/>
  <c r="E2954" i="1"/>
  <c r="F2954" i="1"/>
  <c r="K2954" i="1"/>
  <c r="D2955" i="1"/>
  <c r="E2955" i="1"/>
  <c r="F2955" i="1"/>
  <c r="K2955" i="1"/>
  <c r="D2956" i="1"/>
  <c r="E2956" i="1"/>
  <c r="F2956" i="1"/>
  <c r="K2956" i="1"/>
  <c r="D2957" i="1"/>
  <c r="E2957" i="1"/>
  <c r="F2957" i="1"/>
  <c r="K2957" i="1"/>
  <c r="D2958" i="1"/>
  <c r="E2958" i="1"/>
  <c r="F2958" i="1"/>
  <c r="K2958" i="1"/>
  <c r="D2959" i="1"/>
  <c r="E2959" i="1"/>
  <c r="F2959" i="1"/>
  <c r="K2959" i="1"/>
  <c r="D2960" i="1"/>
  <c r="E2960" i="1"/>
  <c r="F2960" i="1"/>
  <c r="K2960" i="1"/>
  <c r="D2961" i="1"/>
  <c r="E2961" i="1"/>
  <c r="F2961" i="1"/>
  <c r="K2961" i="1"/>
  <c r="D2962" i="1"/>
  <c r="E2962" i="1"/>
  <c r="F2962" i="1"/>
  <c r="K2962" i="1"/>
  <c r="D2963" i="1"/>
  <c r="E2963" i="1"/>
  <c r="F2963" i="1"/>
  <c r="K2963" i="1"/>
  <c r="D2964" i="1"/>
  <c r="E2964" i="1"/>
  <c r="F2964" i="1"/>
  <c r="K2964" i="1"/>
  <c r="D2965" i="1"/>
  <c r="E2965" i="1"/>
  <c r="F2965" i="1"/>
  <c r="K2965" i="1"/>
  <c r="D2966" i="1"/>
  <c r="E2966" i="1"/>
  <c r="F2966" i="1"/>
  <c r="K2966" i="1"/>
  <c r="D2967" i="1"/>
  <c r="E2967" i="1"/>
  <c r="F2967" i="1"/>
  <c r="K2967" i="1"/>
  <c r="D2968" i="1"/>
  <c r="E2968" i="1"/>
  <c r="F2968" i="1"/>
  <c r="K2968" i="1"/>
  <c r="D2969" i="1"/>
  <c r="E2969" i="1"/>
  <c r="F2969" i="1"/>
  <c r="K2969" i="1"/>
  <c r="D2970" i="1"/>
  <c r="E2970" i="1"/>
  <c r="F2970" i="1"/>
  <c r="K2970" i="1"/>
  <c r="D2971" i="1"/>
  <c r="E2971" i="1"/>
  <c r="F2971" i="1"/>
  <c r="K2971" i="1"/>
  <c r="D2972" i="1"/>
  <c r="E2972" i="1"/>
  <c r="F2972" i="1"/>
  <c r="K2972" i="1"/>
  <c r="D2973" i="1"/>
  <c r="E2973" i="1"/>
  <c r="F2973" i="1"/>
  <c r="K2973" i="1"/>
  <c r="D2974" i="1"/>
  <c r="E2974" i="1"/>
  <c r="F2974" i="1"/>
  <c r="K2974" i="1"/>
  <c r="D2975" i="1"/>
  <c r="E2975" i="1"/>
  <c r="F2975" i="1"/>
  <c r="K2975" i="1"/>
  <c r="D2976" i="1"/>
  <c r="E2976" i="1"/>
  <c r="F2976" i="1"/>
  <c r="K2976" i="1"/>
  <c r="D2977" i="1"/>
  <c r="E2977" i="1"/>
  <c r="F2977" i="1"/>
  <c r="K2977" i="1"/>
  <c r="D2978" i="1"/>
  <c r="E2978" i="1"/>
  <c r="F2978" i="1"/>
  <c r="K2978" i="1"/>
  <c r="D2979" i="1"/>
  <c r="E2979" i="1"/>
  <c r="F2979" i="1"/>
  <c r="K2979" i="1"/>
  <c r="D2980" i="1"/>
  <c r="E2980" i="1"/>
  <c r="F2980" i="1"/>
  <c r="K2980" i="1"/>
  <c r="D2981" i="1"/>
  <c r="E2981" i="1"/>
  <c r="F2981" i="1"/>
  <c r="K2981" i="1"/>
  <c r="D2982" i="1"/>
  <c r="E2982" i="1"/>
  <c r="F2982" i="1"/>
  <c r="K2982" i="1"/>
  <c r="D2983" i="1"/>
  <c r="E2983" i="1"/>
  <c r="F2983" i="1"/>
  <c r="K2983" i="1"/>
  <c r="D2984" i="1"/>
  <c r="E2984" i="1"/>
  <c r="F2984" i="1"/>
  <c r="K2984" i="1"/>
  <c r="D2985" i="1"/>
  <c r="E2985" i="1"/>
  <c r="F2985" i="1"/>
  <c r="K2985" i="1"/>
  <c r="D2986" i="1"/>
  <c r="E2986" i="1"/>
  <c r="F2986" i="1"/>
  <c r="K2986" i="1"/>
  <c r="D2987" i="1"/>
  <c r="E2987" i="1"/>
  <c r="F2987" i="1"/>
  <c r="K2987" i="1"/>
  <c r="D2988" i="1"/>
  <c r="E2988" i="1"/>
  <c r="F2988" i="1"/>
  <c r="K2988" i="1"/>
  <c r="D2989" i="1"/>
  <c r="E2989" i="1"/>
  <c r="F2989" i="1"/>
  <c r="K2989" i="1"/>
  <c r="D2990" i="1"/>
  <c r="E2990" i="1"/>
  <c r="F2990" i="1"/>
  <c r="K2990" i="1"/>
  <c r="D2991" i="1"/>
  <c r="E2991" i="1"/>
  <c r="F2991" i="1"/>
  <c r="K2991" i="1"/>
  <c r="D2992" i="1"/>
  <c r="E2992" i="1"/>
  <c r="F2992" i="1"/>
  <c r="K2992" i="1"/>
  <c r="D2993" i="1"/>
  <c r="E2993" i="1"/>
  <c r="F2993" i="1"/>
  <c r="K2993" i="1"/>
  <c r="D2994" i="1"/>
  <c r="E2994" i="1"/>
  <c r="F2994" i="1"/>
  <c r="K2994" i="1"/>
  <c r="D2995" i="1"/>
  <c r="E2995" i="1"/>
  <c r="F2995" i="1"/>
  <c r="K2995" i="1"/>
  <c r="D2996" i="1"/>
  <c r="E2996" i="1"/>
  <c r="F2996" i="1"/>
  <c r="K2996" i="1"/>
  <c r="D2997" i="1"/>
  <c r="E2997" i="1"/>
  <c r="F2997" i="1"/>
  <c r="K2997" i="1"/>
  <c r="D2998" i="1"/>
  <c r="E2998" i="1"/>
  <c r="F2998" i="1"/>
  <c r="K2998" i="1"/>
  <c r="D2999" i="1"/>
  <c r="E2999" i="1"/>
  <c r="F2999" i="1"/>
  <c r="K2999" i="1"/>
  <c r="D3000" i="1"/>
  <c r="E3000" i="1"/>
  <c r="F3000" i="1"/>
  <c r="K3000" i="1"/>
  <c r="D3001" i="1"/>
  <c r="E3001" i="1"/>
  <c r="F3001" i="1"/>
  <c r="K3001" i="1"/>
  <c r="D3002" i="1"/>
  <c r="E3002" i="1"/>
  <c r="F3002" i="1"/>
  <c r="K3002" i="1"/>
  <c r="D3003" i="1"/>
  <c r="E3003" i="1"/>
  <c r="F3003" i="1"/>
  <c r="K3003" i="1"/>
  <c r="D3004" i="1"/>
  <c r="E3004" i="1"/>
  <c r="F3004" i="1"/>
  <c r="K3004" i="1"/>
  <c r="D3005" i="1"/>
  <c r="E3005" i="1"/>
  <c r="F3005" i="1"/>
  <c r="K3005" i="1"/>
  <c r="D3006" i="1"/>
  <c r="E3006" i="1"/>
  <c r="F3006" i="1"/>
  <c r="K3006" i="1"/>
  <c r="D3007" i="1"/>
  <c r="E3007" i="1"/>
  <c r="F3007" i="1"/>
  <c r="K3007" i="1"/>
  <c r="D3008" i="1"/>
  <c r="E3008" i="1"/>
  <c r="F3008" i="1"/>
  <c r="K3008" i="1"/>
  <c r="D3009" i="1"/>
  <c r="E3009" i="1"/>
  <c r="F3009" i="1"/>
  <c r="K3009" i="1"/>
  <c r="D3010" i="1"/>
  <c r="E3010" i="1"/>
  <c r="F3010" i="1"/>
  <c r="K3010" i="1"/>
  <c r="D3011" i="1"/>
  <c r="E3011" i="1"/>
  <c r="F3011" i="1"/>
  <c r="K3011" i="1"/>
  <c r="D3012" i="1"/>
  <c r="E3012" i="1"/>
  <c r="F3012" i="1"/>
  <c r="K3012" i="1"/>
  <c r="D3013" i="1"/>
  <c r="E3013" i="1"/>
  <c r="F3013" i="1"/>
  <c r="K3013" i="1"/>
  <c r="D3014" i="1"/>
  <c r="E3014" i="1"/>
  <c r="F3014" i="1"/>
  <c r="K3014" i="1"/>
  <c r="D3015" i="1"/>
  <c r="E3015" i="1"/>
  <c r="F3015" i="1"/>
  <c r="K3015" i="1"/>
  <c r="D3016" i="1"/>
  <c r="E3016" i="1"/>
  <c r="F3016" i="1"/>
  <c r="K3016" i="1"/>
  <c r="D3017" i="1"/>
  <c r="E3017" i="1"/>
  <c r="F3017" i="1"/>
  <c r="K3017" i="1"/>
  <c r="D3018" i="1"/>
  <c r="E3018" i="1"/>
  <c r="F3018" i="1"/>
  <c r="K3018" i="1"/>
  <c r="D3019" i="1"/>
  <c r="E3019" i="1"/>
  <c r="F3019" i="1"/>
  <c r="K3019" i="1"/>
  <c r="D3020" i="1"/>
  <c r="E3020" i="1"/>
  <c r="F3020" i="1"/>
  <c r="K3020" i="1"/>
  <c r="D3025" i="1"/>
  <c r="E3025" i="1"/>
  <c r="F3025" i="1"/>
  <c r="K3025" i="1"/>
  <c r="D3026" i="1"/>
  <c r="E3026" i="1"/>
  <c r="F3026" i="1"/>
  <c r="K3026" i="1"/>
  <c r="D3027" i="1"/>
  <c r="E3027" i="1"/>
  <c r="F3027" i="1"/>
  <c r="K3027" i="1"/>
  <c r="D3028" i="1"/>
  <c r="E3028" i="1"/>
  <c r="F3028" i="1"/>
  <c r="K3028" i="1"/>
  <c r="D3029" i="1"/>
  <c r="E3029" i="1"/>
  <c r="F3029" i="1"/>
  <c r="K3029" i="1"/>
  <c r="D3030" i="1"/>
  <c r="E3030" i="1"/>
  <c r="F3030" i="1"/>
  <c r="K3030" i="1"/>
  <c r="D3031" i="1"/>
  <c r="E3031" i="1"/>
  <c r="F3031" i="1"/>
  <c r="K3031" i="1"/>
  <c r="D3032" i="1"/>
  <c r="E3032" i="1"/>
  <c r="F3032" i="1"/>
  <c r="K3032" i="1"/>
  <c r="D3033" i="1"/>
  <c r="E3033" i="1"/>
  <c r="F3033" i="1"/>
  <c r="K3033" i="1"/>
  <c r="D3034" i="1"/>
  <c r="E3034" i="1"/>
  <c r="F3034" i="1"/>
  <c r="K3034" i="1"/>
  <c r="D3035" i="1"/>
  <c r="E3035" i="1"/>
  <c r="F3035" i="1"/>
  <c r="K3035" i="1"/>
  <c r="D3036" i="1"/>
  <c r="E3036" i="1"/>
  <c r="F3036" i="1"/>
  <c r="K3036" i="1"/>
  <c r="D3037" i="1"/>
  <c r="E3037" i="1"/>
  <c r="F3037" i="1"/>
  <c r="K3037" i="1"/>
  <c r="D3038" i="1"/>
  <c r="E3038" i="1"/>
  <c r="F3038" i="1"/>
  <c r="K3038" i="1"/>
  <c r="D3039" i="1"/>
  <c r="E3039" i="1"/>
  <c r="F3039" i="1"/>
  <c r="K3039" i="1"/>
  <c r="D3040" i="1"/>
  <c r="E3040" i="1"/>
  <c r="F3040" i="1"/>
  <c r="K3040" i="1"/>
  <c r="D3041" i="1"/>
  <c r="E3041" i="1"/>
  <c r="F3041" i="1"/>
  <c r="K3041" i="1"/>
  <c r="D3042" i="1"/>
  <c r="E3042" i="1"/>
  <c r="F3042" i="1"/>
  <c r="K3042" i="1"/>
  <c r="D3043" i="1"/>
  <c r="E3043" i="1"/>
  <c r="F3043" i="1"/>
  <c r="K3043" i="1"/>
  <c r="D3044" i="1"/>
  <c r="E3044" i="1"/>
  <c r="F3044" i="1"/>
  <c r="K3044" i="1"/>
  <c r="D3045" i="1"/>
  <c r="E3045" i="1"/>
  <c r="F3045" i="1"/>
  <c r="K3045" i="1"/>
  <c r="D3046" i="1"/>
  <c r="E3046" i="1"/>
  <c r="F3046" i="1"/>
  <c r="K3046" i="1"/>
  <c r="D3047" i="1"/>
  <c r="E3047" i="1"/>
  <c r="F3047" i="1"/>
  <c r="K3047" i="1"/>
  <c r="D3048" i="1"/>
  <c r="E3048" i="1"/>
  <c r="F3048" i="1"/>
  <c r="K3048" i="1"/>
  <c r="D3049" i="1"/>
  <c r="E3049" i="1"/>
  <c r="F3049" i="1"/>
  <c r="K3049" i="1"/>
  <c r="D3050" i="1"/>
  <c r="E3050" i="1"/>
  <c r="F3050" i="1"/>
  <c r="K3050" i="1"/>
  <c r="D3051" i="1"/>
  <c r="E3051" i="1"/>
  <c r="F3051" i="1"/>
  <c r="K3051" i="1"/>
  <c r="D3052" i="1"/>
  <c r="E3052" i="1"/>
  <c r="F3052" i="1"/>
  <c r="K3052" i="1"/>
  <c r="D3053" i="1"/>
  <c r="E3053" i="1"/>
  <c r="F3053" i="1"/>
  <c r="K3053" i="1"/>
  <c r="D3054" i="1"/>
  <c r="E3054" i="1"/>
  <c r="F3054" i="1"/>
  <c r="K3054" i="1"/>
  <c r="D3055" i="1"/>
  <c r="E3055" i="1"/>
  <c r="F3055" i="1"/>
  <c r="K3055" i="1"/>
  <c r="D3056" i="1"/>
  <c r="E3056" i="1"/>
  <c r="F3056" i="1"/>
  <c r="K3056" i="1"/>
  <c r="D3057" i="1"/>
  <c r="E3057" i="1"/>
  <c r="F3057" i="1"/>
  <c r="K3057" i="1"/>
  <c r="D3058" i="1"/>
  <c r="E3058" i="1"/>
  <c r="F3058" i="1"/>
  <c r="K3058" i="1"/>
  <c r="D3059" i="1"/>
  <c r="E3059" i="1"/>
  <c r="F3059" i="1"/>
  <c r="K3059" i="1"/>
  <c r="D3060" i="1"/>
  <c r="E3060" i="1"/>
  <c r="F3060" i="1"/>
  <c r="K3060" i="1"/>
  <c r="D3061" i="1"/>
  <c r="E3061" i="1"/>
  <c r="F3061" i="1"/>
  <c r="K3061" i="1"/>
  <c r="D3062" i="1"/>
  <c r="E3062" i="1"/>
  <c r="F3062" i="1"/>
  <c r="K3062" i="1"/>
  <c r="D3063" i="1"/>
  <c r="E3063" i="1"/>
  <c r="F3063" i="1"/>
  <c r="K3063" i="1"/>
  <c r="D3064" i="1"/>
  <c r="E3064" i="1"/>
  <c r="F3064" i="1"/>
  <c r="K3064" i="1"/>
  <c r="D3065" i="1"/>
  <c r="E3065" i="1"/>
  <c r="F3065" i="1"/>
  <c r="K3065" i="1"/>
  <c r="D3066" i="1"/>
  <c r="E3066" i="1"/>
  <c r="F3066" i="1"/>
  <c r="K3066" i="1"/>
  <c r="D3067" i="1"/>
  <c r="E3067" i="1"/>
  <c r="F3067" i="1"/>
  <c r="K3067" i="1"/>
  <c r="D3068" i="1"/>
  <c r="E3068" i="1"/>
  <c r="F3068" i="1"/>
  <c r="K3068" i="1"/>
  <c r="D3069" i="1"/>
  <c r="E3069" i="1"/>
  <c r="F3069" i="1"/>
  <c r="K3069" i="1"/>
  <c r="D3070" i="1"/>
  <c r="E3070" i="1"/>
  <c r="F3070" i="1"/>
  <c r="K3070" i="1"/>
  <c r="D3071" i="1"/>
  <c r="E3071" i="1"/>
  <c r="F3071" i="1"/>
  <c r="K3071" i="1"/>
  <c r="D3072" i="1"/>
  <c r="E3072" i="1"/>
  <c r="F3072" i="1"/>
  <c r="K3072" i="1"/>
  <c r="D3073" i="1"/>
  <c r="E3073" i="1"/>
  <c r="F3073" i="1"/>
  <c r="K3073" i="1"/>
  <c r="D3074" i="1"/>
  <c r="E3074" i="1"/>
  <c r="F3074" i="1"/>
  <c r="K3074" i="1"/>
  <c r="D3075" i="1"/>
  <c r="E3075" i="1"/>
  <c r="F3075" i="1"/>
  <c r="K3075" i="1"/>
  <c r="D3078" i="1"/>
  <c r="E3078" i="1"/>
  <c r="F3078" i="1"/>
  <c r="K3078" i="1"/>
  <c r="D3079" i="1"/>
  <c r="E3079" i="1"/>
  <c r="F3079" i="1"/>
  <c r="K3079" i="1"/>
  <c r="D3080" i="1"/>
  <c r="E3080" i="1"/>
  <c r="F3080" i="1"/>
  <c r="K3080" i="1"/>
  <c r="D3081" i="1"/>
  <c r="E3081" i="1"/>
  <c r="F3081" i="1"/>
  <c r="K3081" i="1"/>
  <c r="D3082" i="1"/>
  <c r="E3082" i="1"/>
  <c r="F3082" i="1"/>
  <c r="K3082" i="1"/>
  <c r="D3083" i="1"/>
  <c r="E3083" i="1"/>
  <c r="F3083" i="1"/>
  <c r="K3083" i="1"/>
  <c r="D3084" i="1"/>
  <c r="E3084" i="1"/>
  <c r="F3084" i="1"/>
  <c r="K3084" i="1"/>
  <c r="D3085" i="1"/>
  <c r="E3085" i="1"/>
  <c r="F3085" i="1"/>
  <c r="K3085" i="1"/>
  <c r="D3086" i="1"/>
  <c r="E3086" i="1"/>
  <c r="F3086" i="1"/>
  <c r="K3086" i="1"/>
  <c r="D3087" i="1"/>
  <c r="E3087" i="1"/>
  <c r="F3087" i="1"/>
  <c r="K3087" i="1"/>
  <c r="D3088" i="1"/>
  <c r="E3088" i="1"/>
  <c r="F3088" i="1"/>
  <c r="K3088" i="1"/>
  <c r="D3089" i="1"/>
  <c r="E3089" i="1"/>
  <c r="F3089" i="1"/>
  <c r="K3089" i="1"/>
  <c r="D3090" i="1"/>
  <c r="E3090" i="1"/>
  <c r="F3090" i="1"/>
  <c r="K3090" i="1"/>
  <c r="D3091" i="1"/>
  <c r="E3091" i="1"/>
  <c r="F3091" i="1"/>
  <c r="K3091" i="1"/>
  <c r="D3092" i="1"/>
  <c r="E3092" i="1"/>
  <c r="F3092" i="1"/>
  <c r="K3092" i="1"/>
  <c r="D3093" i="1"/>
  <c r="E3093" i="1"/>
  <c r="F3093" i="1"/>
  <c r="K3093" i="1"/>
  <c r="D3094" i="1"/>
  <c r="E3094" i="1"/>
  <c r="F3094" i="1"/>
  <c r="K3094" i="1"/>
  <c r="D3095" i="1"/>
  <c r="E3095" i="1"/>
  <c r="F3095" i="1"/>
  <c r="K3095" i="1"/>
  <c r="D3096" i="1"/>
  <c r="E3096" i="1"/>
  <c r="F3096" i="1"/>
  <c r="K3096" i="1"/>
  <c r="D3097" i="1"/>
  <c r="E3097" i="1"/>
  <c r="F3097" i="1"/>
  <c r="K3097" i="1"/>
  <c r="D3098" i="1"/>
  <c r="E3098" i="1"/>
  <c r="F3098" i="1"/>
  <c r="K3098" i="1"/>
  <c r="D3099" i="1"/>
  <c r="E3099" i="1"/>
  <c r="F3099" i="1"/>
  <c r="K3099" i="1"/>
  <c r="D3100" i="1"/>
  <c r="E3100" i="1"/>
  <c r="F3100" i="1"/>
  <c r="K3100" i="1"/>
  <c r="D3101" i="1"/>
  <c r="E3101" i="1"/>
  <c r="F3101" i="1"/>
  <c r="K3101" i="1"/>
  <c r="D3102" i="1"/>
  <c r="E3102" i="1"/>
  <c r="F3102" i="1"/>
  <c r="K3102" i="1"/>
  <c r="D3103" i="1"/>
  <c r="E3103" i="1"/>
  <c r="F3103" i="1"/>
  <c r="K3103" i="1"/>
  <c r="D3105" i="1"/>
  <c r="E3105" i="1"/>
  <c r="F3105" i="1"/>
  <c r="K3105" i="1"/>
  <c r="D3106" i="1"/>
  <c r="E3106" i="1"/>
  <c r="F3106" i="1"/>
  <c r="K3106" i="1"/>
  <c r="D3107" i="1"/>
  <c r="E3107" i="1"/>
  <c r="F3107" i="1"/>
  <c r="K3107" i="1"/>
  <c r="D3108" i="1"/>
  <c r="E3108" i="1"/>
  <c r="F3108" i="1"/>
  <c r="K3108" i="1"/>
  <c r="D3109" i="1"/>
  <c r="E3109" i="1"/>
  <c r="F3109" i="1"/>
  <c r="K3109" i="1"/>
  <c r="D3110" i="1"/>
  <c r="E3110" i="1"/>
  <c r="F3110" i="1"/>
  <c r="K3110" i="1"/>
  <c r="D3111" i="1"/>
  <c r="E3111" i="1"/>
  <c r="F3111" i="1"/>
  <c r="K3111" i="1"/>
  <c r="D3112" i="1"/>
  <c r="E3112" i="1"/>
  <c r="F3112" i="1"/>
  <c r="K3112" i="1"/>
  <c r="D3113" i="1"/>
  <c r="E3113" i="1"/>
  <c r="F3113" i="1"/>
  <c r="K3113" i="1"/>
  <c r="D3114" i="1"/>
  <c r="E3114" i="1"/>
  <c r="F3114" i="1"/>
  <c r="K3114" i="1"/>
  <c r="D3115" i="1"/>
  <c r="E3115" i="1"/>
  <c r="F3115" i="1"/>
  <c r="K3115" i="1"/>
  <c r="D3116" i="1"/>
  <c r="E3116" i="1"/>
  <c r="F3116" i="1"/>
  <c r="K3116" i="1"/>
  <c r="D3117" i="1"/>
  <c r="E3117" i="1"/>
  <c r="F3117" i="1"/>
  <c r="K3117" i="1"/>
  <c r="D3118" i="1"/>
  <c r="E3118" i="1"/>
  <c r="F3118" i="1"/>
  <c r="K3118" i="1"/>
  <c r="D3119" i="1"/>
  <c r="E3119" i="1"/>
  <c r="F3119" i="1"/>
  <c r="K3119" i="1"/>
  <c r="D3120" i="1"/>
  <c r="E3120" i="1"/>
  <c r="F3120" i="1"/>
  <c r="K3120" i="1"/>
  <c r="D3121" i="1"/>
  <c r="E3121" i="1"/>
  <c r="F3121" i="1"/>
  <c r="K3121" i="1"/>
  <c r="D3122" i="1"/>
  <c r="E3122" i="1"/>
  <c r="F3122" i="1"/>
  <c r="K3122" i="1"/>
  <c r="D3123" i="1"/>
  <c r="E3123" i="1"/>
  <c r="F3123" i="1"/>
  <c r="K3123" i="1"/>
  <c r="D3124" i="1"/>
  <c r="E3124" i="1"/>
  <c r="F3124" i="1"/>
  <c r="K3124" i="1"/>
  <c r="D3125" i="1"/>
  <c r="E3125" i="1"/>
  <c r="F3125" i="1"/>
  <c r="K3125" i="1"/>
  <c r="D3127" i="1"/>
  <c r="E3127" i="1"/>
  <c r="F3127" i="1"/>
  <c r="K3127" i="1"/>
  <c r="D3128" i="1"/>
  <c r="E3128" i="1"/>
  <c r="F3128" i="1"/>
  <c r="K3128" i="1"/>
  <c r="D3129" i="1"/>
  <c r="E3129" i="1"/>
  <c r="F3129" i="1"/>
  <c r="K3129" i="1"/>
  <c r="D3130" i="1"/>
  <c r="E3130" i="1"/>
  <c r="F3130" i="1"/>
  <c r="K3130" i="1"/>
  <c r="D3131" i="1"/>
  <c r="E3131" i="1"/>
  <c r="F3131" i="1"/>
  <c r="K3131" i="1"/>
  <c r="D3132" i="1"/>
  <c r="E3132" i="1"/>
  <c r="F3132" i="1"/>
  <c r="K3132" i="1"/>
  <c r="D3133" i="1"/>
  <c r="E3133" i="1"/>
  <c r="F3133" i="1"/>
  <c r="K3133" i="1"/>
  <c r="D3134" i="1"/>
  <c r="E3134" i="1"/>
  <c r="F3134" i="1"/>
  <c r="K3134" i="1"/>
  <c r="D3135" i="1"/>
  <c r="E3135" i="1"/>
  <c r="F3135" i="1"/>
  <c r="K3135" i="1"/>
  <c r="D3136" i="1"/>
  <c r="E3136" i="1"/>
  <c r="F3136" i="1"/>
  <c r="K3136" i="1"/>
  <c r="D3137" i="1"/>
  <c r="E3137" i="1"/>
  <c r="F3137" i="1"/>
  <c r="K3137" i="1"/>
  <c r="D3138" i="1"/>
  <c r="E3138" i="1"/>
  <c r="F3138" i="1"/>
  <c r="K3138" i="1"/>
  <c r="D3139" i="1"/>
  <c r="E3139" i="1"/>
  <c r="F3139" i="1"/>
  <c r="K3139" i="1"/>
  <c r="D3140" i="1"/>
  <c r="E3140" i="1"/>
  <c r="F3140" i="1"/>
  <c r="K3140" i="1"/>
  <c r="D3141" i="1"/>
  <c r="E3141" i="1"/>
  <c r="F3141" i="1"/>
  <c r="K3141" i="1"/>
  <c r="D3142" i="1"/>
  <c r="E3142" i="1"/>
  <c r="F3142" i="1"/>
  <c r="K3142" i="1"/>
  <c r="D3143" i="1"/>
  <c r="E3143" i="1"/>
  <c r="F3143" i="1"/>
  <c r="K3143" i="1"/>
  <c r="D3144" i="1"/>
  <c r="E3144" i="1"/>
  <c r="F3144" i="1"/>
  <c r="K3144" i="1"/>
  <c r="D3145" i="1"/>
  <c r="E3145" i="1"/>
  <c r="F3145" i="1"/>
  <c r="K3145" i="1"/>
  <c r="D3146" i="1"/>
  <c r="E3146" i="1"/>
  <c r="F3146" i="1"/>
  <c r="K3146" i="1"/>
  <c r="D3147" i="1"/>
  <c r="E3147" i="1"/>
  <c r="F3147" i="1"/>
  <c r="K3147" i="1"/>
  <c r="D3148" i="1"/>
  <c r="E3148" i="1"/>
  <c r="F3148" i="1"/>
  <c r="K3148" i="1"/>
  <c r="D3149" i="1"/>
  <c r="E3149" i="1"/>
  <c r="F3149" i="1"/>
  <c r="K3149" i="1"/>
  <c r="D3150" i="1"/>
  <c r="E3150" i="1"/>
  <c r="F3150" i="1"/>
  <c r="K3150" i="1"/>
  <c r="D3151" i="1"/>
  <c r="E3151" i="1"/>
  <c r="F3151" i="1"/>
  <c r="K3151" i="1"/>
  <c r="D3152" i="1"/>
  <c r="E3152" i="1"/>
  <c r="F3152" i="1"/>
  <c r="K3152" i="1"/>
  <c r="D3153" i="1"/>
  <c r="E3153" i="1"/>
  <c r="F3153" i="1"/>
  <c r="K3153" i="1"/>
  <c r="D3154" i="1"/>
  <c r="E3154" i="1"/>
  <c r="F3154" i="1"/>
  <c r="K3154" i="1"/>
  <c r="D3155" i="1"/>
  <c r="E3155" i="1"/>
  <c r="F3155" i="1"/>
  <c r="K3155" i="1"/>
  <c r="D3156" i="1"/>
  <c r="E3156" i="1"/>
  <c r="F3156" i="1"/>
  <c r="K3156" i="1"/>
  <c r="D3157" i="1"/>
  <c r="E3157" i="1"/>
  <c r="F3157" i="1"/>
  <c r="K3157" i="1"/>
  <c r="D3158" i="1"/>
  <c r="E3158" i="1"/>
  <c r="F3158" i="1"/>
  <c r="K3158" i="1"/>
  <c r="D3159" i="1"/>
  <c r="E3159" i="1"/>
  <c r="F3159" i="1"/>
  <c r="K3159" i="1"/>
  <c r="D3160" i="1"/>
  <c r="E3160" i="1"/>
  <c r="F3160" i="1"/>
  <c r="K3160" i="1"/>
  <c r="D3161" i="1"/>
  <c r="E3161" i="1"/>
  <c r="F3161" i="1"/>
  <c r="K3161" i="1"/>
  <c r="D3162" i="1"/>
  <c r="E3162" i="1"/>
  <c r="F3162" i="1"/>
  <c r="K3162" i="1"/>
  <c r="D3163" i="1"/>
  <c r="E3163" i="1"/>
  <c r="F3163" i="1"/>
  <c r="K3163" i="1"/>
  <c r="D3164" i="1"/>
  <c r="E3164" i="1"/>
  <c r="F3164" i="1"/>
  <c r="K3164" i="1"/>
  <c r="D3165" i="1"/>
  <c r="E3165" i="1"/>
  <c r="F3165" i="1"/>
  <c r="K3165" i="1"/>
  <c r="D3166" i="1"/>
  <c r="E3166" i="1"/>
  <c r="F3166" i="1"/>
  <c r="K3166" i="1"/>
  <c r="D3167" i="1"/>
  <c r="E3167" i="1"/>
  <c r="F3167" i="1"/>
  <c r="K3167" i="1"/>
  <c r="D3168" i="1"/>
  <c r="E3168" i="1"/>
  <c r="F3168" i="1"/>
  <c r="K3168" i="1"/>
  <c r="D3169" i="1"/>
  <c r="E3169" i="1"/>
  <c r="F3169" i="1"/>
  <c r="K3169" i="1"/>
  <c r="D3170" i="1"/>
  <c r="E3170" i="1"/>
  <c r="F3170" i="1"/>
  <c r="K3170" i="1"/>
  <c r="D3171" i="1"/>
  <c r="E3171" i="1"/>
  <c r="F3171" i="1"/>
  <c r="K3171" i="1"/>
  <c r="D3172" i="1"/>
  <c r="E3172" i="1"/>
  <c r="F3172" i="1"/>
  <c r="K3172" i="1"/>
  <c r="D3173" i="1"/>
  <c r="E3173" i="1"/>
  <c r="F3173" i="1"/>
  <c r="K3173" i="1"/>
  <c r="D3174" i="1"/>
  <c r="E3174" i="1"/>
  <c r="F3174" i="1"/>
  <c r="K3174" i="1"/>
  <c r="D3175" i="1"/>
  <c r="E3175" i="1"/>
  <c r="F3175" i="1"/>
  <c r="K3175" i="1"/>
  <c r="D3176" i="1"/>
  <c r="E3176" i="1"/>
  <c r="F3176" i="1"/>
  <c r="K3176" i="1"/>
  <c r="D3177" i="1"/>
  <c r="E3177" i="1"/>
  <c r="F3177" i="1"/>
  <c r="K3177" i="1"/>
  <c r="D3178" i="1"/>
  <c r="E3178" i="1"/>
  <c r="F3178" i="1"/>
  <c r="K3178" i="1"/>
  <c r="D3179" i="1"/>
  <c r="E3179" i="1"/>
  <c r="F3179" i="1"/>
  <c r="K3179" i="1"/>
  <c r="D3180" i="1"/>
  <c r="E3180" i="1"/>
  <c r="F3180" i="1"/>
  <c r="K3180" i="1"/>
  <c r="D3181" i="1"/>
  <c r="E3181" i="1"/>
  <c r="F3181" i="1"/>
  <c r="K3181" i="1"/>
  <c r="D3182" i="1"/>
  <c r="E3182" i="1"/>
  <c r="F3182" i="1"/>
  <c r="K3182" i="1"/>
  <c r="D3183" i="1"/>
  <c r="E3183" i="1"/>
  <c r="F3183" i="1"/>
  <c r="K3183" i="1"/>
  <c r="D3184" i="1"/>
  <c r="E3184" i="1"/>
  <c r="F3184" i="1"/>
  <c r="K3184" i="1"/>
  <c r="D3185" i="1"/>
  <c r="E3185" i="1"/>
  <c r="F3185" i="1"/>
  <c r="K3185" i="1"/>
  <c r="D3186" i="1"/>
  <c r="E3186" i="1"/>
  <c r="F3186" i="1"/>
  <c r="K3186" i="1"/>
  <c r="D3187" i="1"/>
  <c r="E3187" i="1"/>
  <c r="F3187" i="1"/>
  <c r="K3187" i="1"/>
  <c r="D3188" i="1"/>
  <c r="E3188" i="1"/>
  <c r="F3188" i="1"/>
  <c r="K3188" i="1"/>
  <c r="D3189" i="1"/>
  <c r="E3189" i="1"/>
  <c r="F3189" i="1"/>
  <c r="K3189" i="1"/>
  <c r="D3190" i="1"/>
  <c r="E3190" i="1"/>
  <c r="F3190" i="1"/>
  <c r="K3190" i="1"/>
  <c r="D3191" i="1"/>
  <c r="E3191" i="1"/>
  <c r="F3191" i="1"/>
  <c r="K3191" i="1"/>
  <c r="D3192" i="1"/>
  <c r="E3192" i="1"/>
  <c r="F3192" i="1"/>
  <c r="K3192" i="1"/>
  <c r="D3193" i="1"/>
  <c r="E3193" i="1"/>
  <c r="F3193" i="1"/>
  <c r="K3193" i="1"/>
  <c r="D3194" i="1"/>
  <c r="E3194" i="1"/>
  <c r="F3194" i="1"/>
  <c r="K3194" i="1"/>
  <c r="D3195" i="1"/>
  <c r="E3195" i="1"/>
  <c r="F3195" i="1"/>
  <c r="K3195" i="1"/>
  <c r="D3196" i="1"/>
  <c r="E3196" i="1"/>
  <c r="F3196" i="1"/>
  <c r="K3196" i="1"/>
  <c r="D3197" i="1"/>
  <c r="E3197" i="1"/>
  <c r="F3197" i="1"/>
  <c r="K3197" i="1"/>
  <c r="D3198" i="1"/>
  <c r="E3198" i="1"/>
  <c r="F3198" i="1"/>
  <c r="K3198" i="1"/>
  <c r="D3199" i="1"/>
  <c r="E3199" i="1"/>
  <c r="F3199" i="1"/>
  <c r="K3199" i="1"/>
  <c r="D3200" i="1"/>
  <c r="E3200" i="1"/>
  <c r="F3200" i="1"/>
  <c r="K3200" i="1"/>
  <c r="D3201" i="1"/>
  <c r="E3201" i="1"/>
  <c r="F3201" i="1"/>
  <c r="K3201" i="1"/>
  <c r="D3202" i="1"/>
  <c r="E3202" i="1"/>
  <c r="F3202" i="1"/>
  <c r="K3202" i="1"/>
  <c r="D3203" i="1"/>
  <c r="E3203" i="1"/>
  <c r="F3203" i="1"/>
  <c r="K3203" i="1"/>
  <c r="D3204" i="1"/>
  <c r="E3204" i="1"/>
  <c r="F3204" i="1"/>
  <c r="K3204" i="1"/>
  <c r="D3205" i="1"/>
  <c r="E3205" i="1"/>
  <c r="F3205" i="1"/>
  <c r="K3205" i="1"/>
  <c r="D3206" i="1"/>
  <c r="E3206" i="1"/>
  <c r="F3206" i="1"/>
  <c r="K3206" i="1"/>
  <c r="D3207" i="1"/>
  <c r="E3207" i="1"/>
  <c r="F3207" i="1"/>
  <c r="K3207" i="1"/>
  <c r="D3208" i="1"/>
  <c r="E3208" i="1"/>
  <c r="F3208" i="1"/>
  <c r="K3208" i="1"/>
  <c r="D3209" i="1"/>
  <c r="E3209" i="1"/>
  <c r="F3209" i="1"/>
  <c r="K3209" i="1"/>
  <c r="D3210" i="1"/>
  <c r="E3210" i="1"/>
  <c r="F3210" i="1"/>
  <c r="K3210" i="1"/>
  <c r="D3211" i="1"/>
  <c r="E3211" i="1"/>
  <c r="F3211" i="1"/>
  <c r="K3211" i="1"/>
  <c r="D3212" i="1"/>
  <c r="E3212" i="1"/>
  <c r="F3212" i="1"/>
  <c r="K3212" i="1"/>
  <c r="D3213" i="1"/>
  <c r="E3213" i="1"/>
  <c r="F3213" i="1"/>
  <c r="K3213" i="1"/>
  <c r="D3214" i="1"/>
  <c r="E3214" i="1"/>
  <c r="F3214" i="1"/>
  <c r="K3214" i="1"/>
  <c r="D3215" i="1"/>
  <c r="E3215" i="1"/>
  <c r="F3215" i="1"/>
  <c r="K3215" i="1"/>
  <c r="D3216" i="1"/>
  <c r="E3216" i="1"/>
  <c r="F3216" i="1"/>
  <c r="K3216" i="1"/>
  <c r="D3217" i="1"/>
  <c r="E3217" i="1"/>
  <c r="F3217" i="1"/>
  <c r="K3217" i="1"/>
  <c r="D3218" i="1"/>
  <c r="E3218" i="1"/>
  <c r="F3218" i="1"/>
  <c r="K3218" i="1"/>
  <c r="D3219" i="1"/>
  <c r="E3219" i="1"/>
  <c r="F3219" i="1"/>
  <c r="K3219" i="1"/>
  <c r="D3220" i="1"/>
  <c r="E3220" i="1"/>
  <c r="F3220" i="1"/>
  <c r="K3220" i="1"/>
  <c r="D3221" i="1"/>
  <c r="E3221" i="1"/>
  <c r="F3221" i="1"/>
  <c r="K3221" i="1"/>
  <c r="D3222" i="1"/>
  <c r="E3222" i="1"/>
  <c r="F3222" i="1"/>
  <c r="K3222" i="1"/>
  <c r="D3223" i="1"/>
  <c r="E3223" i="1"/>
  <c r="F3223" i="1"/>
  <c r="K3223" i="1"/>
  <c r="D3224" i="1"/>
  <c r="E3224" i="1"/>
  <c r="F3224" i="1"/>
  <c r="K3224" i="1"/>
  <c r="D3225" i="1"/>
  <c r="E3225" i="1"/>
  <c r="F3225" i="1"/>
  <c r="K3225" i="1"/>
  <c r="D3226" i="1"/>
  <c r="E3226" i="1"/>
  <c r="F3226" i="1"/>
  <c r="K3226" i="1"/>
  <c r="D3227" i="1"/>
  <c r="E3227" i="1"/>
  <c r="F3227" i="1"/>
  <c r="K3227" i="1"/>
  <c r="D3228" i="1"/>
  <c r="E3228" i="1"/>
  <c r="F3228" i="1"/>
  <c r="K3228" i="1"/>
  <c r="D3229" i="1"/>
  <c r="E3229" i="1"/>
  <c r="F3229" i="1"/>
  <c r="K3229" i="1"/>
  <c r="D3230" i="1"/>
  <c r="E3230" i="1"/>
  <c r="F3230" i="1"/>
  <c r="K3230" i="1"/>
  <c r="D3231" i="1"/>
  <c r="E3231" i="1"/>
  <c r="F3231" i="1"/>
  <c r="K3231" i="1"/>
  <c r="D3232" i="1"/>
  <c r="E3232" i="1"/>
  <c r="F3232" i="1"/>
  <c r="K3232" i="1"/>
  <c r="D3233" i="1"/>
  <c r="E3233" i="1"/>
  <c r="F3233" i="1"/>
  <c r="K3233" i="1"/>
  <c r="D3234" i="1"/>
  <c r="E3234" i="1"/>
  <c r="F3234" i="1"/>
  <c r="K3234" i="1"/>
  <c r="D3235" i="1"/>
  <c r="E3235" i="1"/>
  <c r="F3235" i="1"/>
  <c r="K3235" i="1"/>
  <c r="D3236" i="1"/>
  <c r="E3236" i="1"/>
  <c r="F3236" i="1"/>
  <c r="K3236" i="1"/>
  <c r="D3237" i="1"/>
  <c r="E3237" i="1"/>
  <c r="F3237" i="1"/>
  <c r="K3237" i="1"/>
  <c r="D3239" i="1"/>
  <c r="E3239" i="1"/>
  <c r="F3239" i="1"/>
  <c r="K3239" i="1"/>
  <c r="D3240" i="1"/>
  <c r="E3240" i="1"/>
  <c r="F3240" i="1"/>
  <c r="K3240" i="1"/>
  <c r="D3241" i="1"/>
  <c r="E3241" i="1"/>
  <c r="F3241" i="1"/>
  <c r="K3241" i="1"/>
  <c r="D3242" i="1"/>
  <c r="E3242" i="1"/>
  <c r="F3242" i="1"/>
  <c r="K3242" i="1"/>
  <c r="D3243" i="1"/>
  <c r="E3243" i="1"/>
  <c r="F3243" i="1"/>
  <c r="K3243" i="1"/>
  <c r="D3244" i="1"/>
  <c r="E3244" i="1"/>
  <c r="F3244" i="1"/>
  <c r="K3244" i="1"/>
  <c r="D3245" i="1"/>
  <c r="E3245" i="1"/>
  <c r="F3245" i="1"/>
  <c r="K3245" i="1"/>
  <c r="D3246" i="1"/>
  <c r="E3246" i="1"/>
  <c r="F3246" i="1"/>
  <c r="K3246" i="1"/>
  <c r="D3247" i="1"/>
  <c r="E3247" i="1"/>
  <c r="F3247" i="1"/>
  <c r="K3247" i="1"/>
  <c r="D3248" i="1"/>
  <c r="E3248" i="1"/>
  <c r="F3248" i="1"/>
  <c r="K3248" i="1"/>
  <c r="D3249" i="1"/>
  <c r="E3249" i="1"/>
  <c r="F3249" i="1"/>
  <c r="K3249" i="1"/>
  <c r="D3250" i="1"/>
  <c r="E3250" i="1"/>
  <c r="F3250" i="1"/>
  <c r="K3250" i="1"/>
  <c r="D3251" i="1"/>
  <c r="E3251" i="1"/>
  <c r="F3251" i="1"/>
  <c r="K3251" i="1"/>
  <c r="D3252" i="1"/>
  <c r="E3252" i="1"/>
  <c r="F3252" i="1"/>
  <c r="K3252" i="1"/>
  <c r="D3253" i="1"/>
  <c r="E3253" i="1"/>
  <c r="F3253" i="1"/>
  <c r="K3253" i="1"/>
  <c r="D3254" i="1"/>
  <c r="E3254" i="1"/>
  <c r="F3254" i="1"/>
  <c r="K3254" i="1"/>
  <c r="D3255" i="1"/>
  <c r="E3255" i="1"/>
  <c r="F3255" i="1"/>
  <c r="K3255" i="1"/>
  <c r="D3256" i="1"/>
  <c r="E3256" i="1"/>
  <c r="F3256" i="1"/>
  <c r="K3256" i="1"/>
  <c r="D3257" i="1"/>
  <c r="E3257" i="1"/>
  <c r="F3257" i="1"/>
  <c r="K3257" i="1"/>
  <c r="D3258" i="1"/>
  <c r="E3258" i="1"/>
  <c r="F3258" i="1"/>
  <c r="K3258" i="1"/>
  <c r="D3259" i="1"/>
  <c r="E3259" i="1"/>
  <c r="F3259" i="1"/>
  <c r="K3259" i="1"/>
  <c r="D3260" i="1"/>
  <c r="E3260" i="1"/>
  <c r="F3260" i="1"/>
  <c r="K3260" i="1"/>
  <c r="D3261" i="1"/>
  <c r="E3261" i="1"/>
  <c r="F3261" i="1"/>
  <c r="K3261" i="1"/>
  <c r="D3262" i="1"/>
  <c r="E3262" i="1"/>
  <c r="F3262" i="1"/>
  <c r="K3262" i="1"/>
  <c r="D3263" i="1"/>
  <c r="E3263" i="1"/>
  <c r="F3263" i="1"/>
  <c r="K3263" i="1"/>
  <c r="D3264" i="1"/>
  <c r="E3264" i="1"/>
  <c r="F3264" i="1"/>
  <c r="K3264" i="1"/>
  <c r="D3265" i="1"/>
  <c r="E3265" i="1"/>
  <c r="F3265" i="1"/>
  <c r="K3265" i="1"/>
  <c r="D3266" i="1"/>
  <c r="E3266" i="1"/>
  <c r="F3266" i="1"/>
  <c r="K3266" i="1"/>
  <c r="D3267" i="1"/>
  <c r="E3267" i="1"/>
  <c r="F3267" i="1"/>
  <c r="K3267" i="1"/>
  <c r="D3268" i="1"/>
  <c r="E3268" i="1"/>
  <c r="F3268" i="1"/>
  <c r="K3268" i="1"/>
  <c r="D3269" i="1"/>
  <c r="E3269" i="1"/>
  <c r="F3269" i="1"/>
  <c r="K3269" i="1"/>
  <c r="D3270" i="1"/>
  <c r="E3270" i="1"/>
  <c r="F3270" i="1"/>
  <c r="K3270" i="1"/>
  <c r="D3271" i="1"/>
  <c r="E3271" i="1"/>
  <c r="F3271" i="1"/>
  <c r="I3271" i="1"/>
  <c r="K3271" i="1" s="1"/>
  <c r="D3272" i="1"/>
  <c r="E3272" i="1"/>
  <c r="F3272" i="1"/>
  <c r="K3272" i="1"/>
  <c r="D3273" i="1"/>
  <c r="E3273" i="1"/>
  <c r="F3273" i="1"/>
  <c r="K3273" i="1"/>
  <c r="D3274" i="1"/>
  <c r="E3274" i="1"/>
  <c r="F3274" i="1"/>
  <c r="K3274" i="1"/>
  <c r="D3275" i="1"/>
  <c r="E3275" i="1"/>
  <c r="F3275" i="1"/>
  <c r="K3275" i="1"/>
  <c r="D3276" i="1"/>
  <c r="E3276" i="1"/>
  <c r="F3276" i="1"/>
  <c r="K3276" i="1"/>
  <c r="D3277" i="1"/>
  <c r="E3277" i="1"/>
  <c r="F3277" i="1"/>
  <c r="K3277" i="1"/>
  <c r="D3278" i="1"/>
  <c r="E3278" i="1"/>
  <c r="F3278" i="1"/>
  <c r="K3278" i="1"/>
  <c r="D3279" i="1"/>
  <c r="E3279" i="1"/>
  <c r="F3279" i="1"/>
  <c r="K3279" i="1"/>
  <c r="D3280" i="1"/>
  <c r="E3280" i="1"/>
  <c r="F3280" i="1"/>
  <c r="K3280" i="1"/>
  <c r="D3281" i="1"/>
  <c r="E3281" i="1"/>
  <c r="F3281" i="1"/>
  <c r="K3281" i="1"/>
  <c r="D3282" i="1"/>
  <c r="E3282" i="1"/>
  <c r="F3282" i="1"/>
  <c r="K3282" i="1"/>
  <c r="D3283" i="1"/>
  <c r="E3283" i="1"/>
  <c r="F3283" i="1"/>
  <c r="K3283" i="1"/>
  <c r="D3284" i="1"/>
  <c r="E3284" i="1"/>
  <c r="F3284" i="1"/>
  <c r="K3284" i="1"/>
  <c r="D3285" i="1"/>
  <c r="E3285" i="1"/>
  <c r="F3285" i="1"/>
  <c r="K3285" i="1"/>
  <c r="D3286" i="1"/>
  <c r="E3286" i="1"/>
  <c r="F3286" i="1"/>
  <c r="K3286" i="1"/>
  <c r="D3287" i="1"/>
  <c r="E3287" i="1"/>
  <c r="F3287" i="1"/>
  <c r="K3287" i="1"/>
  <c r="D3288" i="1"/>
  <c r="E3288" i="1"/>
  <c r="F3288" i="1"/>
  <c r="K3288" i="1"/>
  <c r="D3289" i="1"/>
  <c r="E3289" i="1"/>
  <c r="F3289" i="1"/>
  <c r="K3289" i="1"/>
  <c r="D3290" i="1"/>
  <c r="E3290" i="1"/>
  <c r="F3290" i="1"/>
  <c r="K3290" i="1"/>
  <c r="D3291" i="1"/>
  <c r="E3291" i="1"/>
  <c r="F3291" i="1"/>
  <c r="K3291" i="1"/>
  <c r="D3292" i="1"/>
  <c r="E3292" i="1"/>
  <c r="F3292" i="1"/>
  <c r="K3292" i="1"/>
  <c r="D3293" i="1"/>
  <c r="E3293" i="1"/>
  <c r="F3293" i="1"/>
  <c r="K3293" i="1"/>
  <c r="D3294" i="1"/>
  <c r="E3294" i="1"/>
  <c r="F3294" i="1"/>
  <c r="K3294" i="1"/>
  <c r="D3295" i="1"/>
  <c r="E3295" i="1"/>
  <c r="F3295" i="1"/>
  <c r="K3295" i="1"/>
  <c r="D3296" i="1"/>
  <c r="E3296" i="1"/>
  <c r="F3296" i="1"/>
  <c r="K3296" i="1"/>
  <c r="D3297" i="1"/>
  <c r="E3297" i="1"/>
  <c r="F3297" i="1"/>
  <c r="K3297" i="1"/>
  <c r="D3298" i="1"/>
  <c r="E3298" i="1"/>
  <c r="F3298" i="1"/>
  <c r="K3298" i="1"/>
  <c r="D3299" i="1"/>
  <c r="E3299" i="1"/>
  <c r="F3299" i="1"/>
  <c r="K3299" i="1"/>
  <c r="D3300" i="1"/>
  <c r="E3300" i="1"/>
  <c r="F3300" i="1"/>
  <c r="K3300" i="1"/>
  <c r="D3301" i="1"/>
  <c r="E3301" i="1"/>
  <c r="F3301" i="1"/>
  <c r="K3301" i="1"/>
  <c r="D3302" i="1"/>
  <c r="E3302" i="1"/>
  <c r="F3302" i="1"/>
  <c r="K3302" i="1"/>
  <c r="D3303" i="1"/>
  <c r="E3303" i="1"/>
  <c r="F3303" i="1"/>
  <c r="K3303" i="1"/>
  <c r="D3304" i="1"/>
  <c r="E3304" i="1"/>
  <c r="F3304" i="1"/>
  <c r="K3304" i="1"/>
  <c r="D3305" i="1"/>
  <c r="E3305" i="1"/>
  <c r="F3305" i="1"/>
  <c r="K3305" i="1"/>
  <c r="D3306" i="1"/>
  <c r="E3306" i="1"/>
  <c r="F3306" i="1"/>
  <c r="K3306" i="1"/>
  <c r="D3307" i="1"/>
  <c r="E3307" i="1"/>
  <c r="F3307" i="1"/>
  <c r="K3307" i="1"/>
  <c r="D3308" i="1"/>
  <c r="E3308" i="1"/>
  <c r="F3308" i="1"/>
  <c r="K3308" i="1"/>
  <c r="D3309" i="1"/>
  <c r="E3309" i="1"/>
  <c r="F3309" i="1"/>
  <c r="K3309" i="1"/>
  <c r="D3310" i="1"/>
  <c r="E3310" i="1"/>
  <c r="F3310" i="1"/>
  <c r="K3310" i="1"/>
  <c r="D3311" i="1"/>
  <c r="E3311" i="1"/>
  <c r="F3311" i="1"/>
  <c r="K3311" i="1"/>
  <c r="D3312" i="1"/>
  <c r="E3312" i="1"/>
  <c r="F3312" i="1"/>
  <c r="K3312" i="1"/>
  <c r="D3313" i="1"/>
  <c r="E3313" i="1"/>
  <c r="F3313" i="1"/>
  <c r="K3313" i="1"/>
  <c r="D3314" i="1"/>
  <c r="E3314" i="1"/>
  <c r="F3314" i="1"/>
  <c r="K3314" i="1"/>
  <c r="D3315" i="1"/>
  <c r="E3315" i="1"/>
  <c r="F3315" i="1"/>
  <c r="K3315" i="1"/>
  <c r="D3316" i="1"/>
  <c r="E3316" i="1"/>
  <c r="F3316" i="1"/>
  <c r="K3316" i="1"/>
  <c r="D3317" i="1"/>
  <c r="E3317" i="1"/>
  <c r="F3317" i="1"/>
  <c r="K3317" i="1"/>
  <c r="D3318" i="1"/>
  <c r="E3318" i="1"/>
  <c r="F3318" i="1"/>
  <c r="K3318" i="1"/>
  <c r="D3319" i="1"/>
  <c r="E3319" i="1"/>
  <c r="F3319" i="1"/>
  <c r="K3319" i="1"/>
  <c r="D3320" i="1"/>
  <c r="E3320" i="1"/>
  <c r="F3320" i="1"/>
  <c r="K3320" i="1"/>
  <c r="D3321" i="1"/>
  <c r="E3321" i="1"/>
  <c r="F3321" i="1"/>
  <c r="K3321" i="1"/>
  <c r="D3322" i="1"/>
  <c r="E3322" i="1"/>
  <c r="F3322" i="1"/>
  <c r="K3322" i="1"/>
  <c r="D3323" i="1"/>
  <c r="E3323" i="1"/>
  <c r="F3323" i="1"/>
  <c r="K3323" i="1"/>
  <c r="D3324" i="1"/>
  <c r="E3324" i="1"/>
  <c r="F3324" i="1"/>
  <c r="K3324" i="1"/>
  <c r="D3325" i="1"/>
  <c r="E3325" i="1"/>
  <c r="F3325" i="1"/>
  <c r="K3325" i="1"/>
  <c r="D3326" i="1"/>
  <c r="E3326" i="1"/>
  <c r="F3326" i="1"/>
  <c r="K3326" i="1"/>
  <c r="D3327" i="1"/>
  <c r="E3327" i="1"/>
  <c r="F3327" i="1"/>
  <c r="K3327" i="1"/>
  <c r="D3328" i="1"/>
  <c r="E3328" i="1"/>
  <c r="F3328" i="1"/>
  <c r="K3328" i="1"/>
  <c r="D3329" i="1"/>
  <c r="E3329" i="1"/>
  <c r="F3329" i="1"/>
  <c r="K3329" i="1"/>
  <c r="D3330" i="1"/>
  <c r="E3330" i="1"/>
  <c r="F3330" i="1"/>
  <c r="K3330" i="1"/>
  <c r="D3331" i="1"/>
  <c r="E3331" i="1"/>
  <c r="F3331" i="1"/>
  <c r="K3331" i="1"/>
  <c r="D3332" i="1"/>
  <c r="E3332" i="1"/>
  <c r="F3332" i="1"/>
  <c r="K3332" i="1"/>
  <c r="D3333" i="1"/>
  <c r="E3333" i="1"/>
  <c r="F3333" i="1"/>
  <c r="K3333" i="1"/>
  <c r="D3334" i="1"/>
  <c r="E3334" i="1"/>
  <c r="F3334" i="1"/>
  <c r="K3334" i="1"/>
  <c r="D3335" i="1"/>
  <c r="E3335" i="1"/>
  <c r="F3335" i="1"/>
  <c r="K3335" i="1"/>
  <c r="D3336" i="1"/>
  <c r="E3336" i="1"/>
  <c r="F3336" i="1"/>
  <c r="K3336" i="1"/>
  <c r="D3337" i="1"/>
  <c r="E3337" i="1"/>
  <c r="F3337" i="1"/>
  <c r="K3337" i="1"/>
  <c r="D3338" i="1"/>
  <c r="E3338" i="1"/>
  <c r="F3338" i="1"/>
  <c r="K3338" i="1"/>
  <c r="D3339" i="1"/>
  <c r="E3339" i="1"/>
  <c r="F3339" i="1"/>
  <c r="K3339" i="1"/>
  <c r="D3340" i="1"/>
  <c r="E3340" i="1"/>
  <c r="F3340" i="1"/>
  <c r="K3340" i="1"/>
  <c r="D3341" i="1"/>
  <c r="E3341" i="1"/>
  <c r="F3341" i="1"/>
  <c r="K3341" i="1"/>
  <c r="D3342" i="1"/>
  <c r="E3342" i="1"/>
  <c r="F3342" i="1"/>
  <c r="K3342" i="1"/>
  <c r="D3343" i="1"/>
  <c r="E3343" i="1"/>
  <c r="F3343" i="1"/>
  <c r="K3343" i="1"/>
  <c r="D3344" i="1"/>
  <c r="E3344" i="1"/>
  <c r="F3344" i="1"/>
  <c r="K3344" i="1"/>
  <c r="D3345" i="1"/>
  <c r="E3345" i="1"/>
  <c r="F3345" i="1"/>
  <c r="K3345" i="1"/>
  <c r="D3346" i="1"/>
  <c r="E3346" i="1"/>
  <c r="F3346" i="1"/>
  <c r="K3346" i="1"/>
  <c r="D3347" i="1"/>
  <c r="E3347" i="1"/>
  <c r="F3347" i="1"/>
  <c r="K3347" i="1"/>
  <c r="D3348" i="1"/>
  <c r="E3348" i="1"/>
  <c r="F3348" i="1"/>
  <c r="K3348" i="1"/>
  <c r="D3349" i="1"/>
  <c r="E3349" i="1"/>
  <c r="F3349" i="1"/>
  <c r="K3349" i="1"/>
  <c r="D3350" i="1"/>
  <c r="E3350" i="1"/>
  <c r="F3350" i="1"/>
  <c r="K3350" i="1"/>
  <c r="D3351" i="1"/>
  <c r="E3351" i="1"/>
  <c r="F3351" i="1"/>
  <c r="K3351" i="1"/>
  <c r="D3352" i="1"/>
  <c r="E3352" i="1"/>
  <c r="F3352" i="1"/>
  <c r="K3352" i="1"/>
  <c r="D3353" i="1"/>
  <c r="E3353" i="1"/>
  <c r="F3353" i="1"/>
  <c r="K3353" i="1"/>
  <c r="D3354" i="1"/>
  <c r="E3354" i="1"/>
  <c r="F3354" i="1"/>
  <c r="K3354" i="1"/>
  <c r="D3355" i="1"/>
  <c r="E3355" i="1"/>
  <c r="F3355" i="1"/>
  <c r="K3355" i="1"/>
  <c r="D3356" i="1"/>
  <c r="E3356" i="1"/>
  <c r="F3356" i="1"/>
  <c r="K3356" i="1"/>
  <c r="D3357" i="1"/>
  <c r="E3357" i="1"/>
  <c r="F3357" i="1"/>
  <c r="K3357" i="1"/>
  <c r="D3358" i="1"/>
  <c r="E3358" i="1"/>
  <c r="F3358" i="1"/>
  <c r="K3358" i="1"/>
  <c r="D3359" i="1"/>
  <c r="E3359" i="1"/>
  <c r="F3359" i="1"/>
  <c r="K3359" i="1"/>
  <c r="D3360" i="1"/>
  <c r="E3360" i="1"/>
  <c r="F3360" i="1"/>
  <c r="K3360" i="1"/>
  <c r="D3361" i="1"/>
  <c r="E3361" i="1"/>
  <c r="F3361" i="1"/>
  <c r="K3361" i="1"/>
  <c r="D3362" i="1"/>
  <c r="E3362" i="1"/>
  <c r="F3362" i="1"/>
  <c r="K3362" i="1"/>
  <c r="D3363" i="1"/>
  <c r="E3363" i="1"/>
  <c r="F3363" i="1"/>
  <c r="K3363" i="1"/>
  <c r="D3364" i="1"/>
  <c r="E3364" i="1"/>
  <c r="F3364" i="1"/>
  <c r="K3364" i="1"/>
  <c r="D3365" i="1"/>
  <c r="E3365" i="1"/>
  <c r="F3365" i="1"/>
  <c r="K3365" i="1"/>
  <c r="D3366" i="1"/>
  <c r="E3366" i="1"/>
  <c r="F3366" i="1"/>
  <c r="K3366" i="1"/>
  <c r="D3367" i="1"/>
  <c r="E3367" i="1"/>
  <c r="F3367" i="1"/>
  <c r="K3367" i="1"/>
  <c r="D3368" i="1"/>
  <c r="E3368" i="1"/>
  <c r="F3368" i="1"/>
  <c r="K3368" i="1"/>
  <c r="D3369" i="1"/>
  <c r="E3369" i="1"/>
  <c r="F3369" i="1"/>
  <c r="K3369" i="1"/>
  <c r="D3370" i="1"/>
  <c r="E3370" i="1"/>
  <c r="F3370" i="1"/>
  <c r="K3370" i="1"/>
  <c r="D3371" i="1"/>
  <c r="E3371" i="1"/>
  <c r="F3371" i="1"/>
  <c r="K3371" i="1"/>
  <c r="D3372" i="1"/>
  <c r="E3372" i="1"/>
  <c r="F3372" i="1"/>
  <c r="K3372" i="1"/>
  <c r="D3373" i="1"/>
  <c r="E3373" i="1"/>
  <c r="F3373" i="1"/>
  <c r="K3373" i="1"/>
  <c r="D3374" i="1"/>
  <c r="E3374" i="1"/>
  <c r="F3374" i="1"/>
  <c r="K3374" i="1"/>
  <c r="D3375" i="1"/>
  <c r="E3375" i="1"/>
  <c r="F3375" i="1"/>
  <c r="K3375" i="1"/>
  <c r="D3376" i="1"/>
  <c r="E3376" i="1"/>
  <c r="F3376" i="1"/>
  <c r="K3376" i="1"/>
  <c r="D3377" i="1"/>
  <c r="E3377" i="1"/>
  <c r="F3377" i="1"/>
  <c r="K3377" i="1"/>
  <c r="D3378" i="1"/>
  <c r="E3378" i="1"/>
  <c r="F3378" i="1"/>
  <c r="K3378" i="1"/>
  <c r="D3379" i="1"/>
  <c r="E3379" i="1"/>
  <c r="F3379" i="1"/>
  <c r="K3379" i="1"/>
  <c r="D3380" i="1"/>
  <c r="E3380" i="1"/>
  <c r="F3380" i="1"/>
  <c r="K3380" i="1"/>
  <c r="D3381" i="1"/>
  <c r="E3381" i="1"/>
  <c r="F3381" i="1"/>
  <c r="K3381" i="1"/>
  <c r="D3382" i="1"/>
  <c r="E3382" i="1"/>
  <c r="F3382" i="1"/>
  <c r="K3382" i="1"/>
  <c r="D3383" i="1"/>
  <c r="E3383" i="1"/>
  <c r="F3383" i="1"/>
  <c r="K3383" i="1"/>
  <c r="D3384" i="1"/>
  <c r="E3384" i="1"/>
  <c r="F3384" i="1"/>
  <c r="K3384" i="1"/>
  <c r="D3386" i="1"/>
  <c r="E3386" i="1"/>
  <c r="F3386" i="1"/>
  <c r="K3386" i="1"/>
  <c r="D3387" i="1"/>
  <c r="E3387" i="1"/>
  <c r="F3387" i="1"/>
  <c r="K3387" i="1"/>
  <c r="D3388" i="1"/>
  <c r="E3388" i="1"/>
  <c r="F3388" i="1"/>
  <c r="K3388" i="1"/>
  <c r="D3389" i="1"/>
  <c r="E3389" i="1"/>
  <c r="F3389" i="1"/>
  <c r="K3389" i="1"/>
  <c r="D3390" i="1"/>
  <c r="E3390" i="1"/>
  <c r="F3390" i="1"/>
  <c r="K3390" i="1"/>
  <c r="D3391" i="1"/>
  <c r="E3391" i="1"/>
  <c r="F3391" i="1"/>
  <c r="K3391" i="1"/>
  <c r="D3392" i="1"/>
  <c r="E3392" i="1"/>
  <c r="F3392" i="1"/>
  <c r="K3392" i="1"/>
  <c r="D3393" i="1"/>
  <c r="E3393" i="1"/>
  <c r="F3393" i="1"/>
  <c r="K3393" i="1"/>
  <c r="D3394" i="1"/>
  <c r="E3394" i="1"/>
  <c r="F3394" i="1"/>
  <c r="K3394" i="1"/>
  <c r="D3395" i="1"/>
  <c r="E3395" i="1"/>
  <c r="F3395" i="1"/>
  <c r="K3395" i="1"/>
  <c r="D3396" i="1"/>
  <c r="E3396" i="1"/>
  <c r="F3396" i="1"/>
  <c r="K3396" i="1"/>
  <c r="D3397" i="1"/>
  <c r="E3397" i="1"/>
  <c r="F3397" i="1"/>
  <c r="K3397" i="1"/>
  <c r="D3398" i="1"/>
  <c r="E3398" i="1"/>
  <c r="F3398" i="1"/>
  <c r="K3398" i="1"/>
  <c r="D3399" i="1"/>
  <c r="E3399" i="1"/>
  <c r="F3399" i="1"/>
  <c r="K3399" i="1"/>
  <c r="D3400" i="1"/>
  <c r="E3400" i="1"/>
  <c r="F3400" i="1"/>
  <c r="K3400" i="1"/>
  <c r="D3401" i="1"/>
  <c r="E3401" i="1"/>
  <c r="F3401" i="1"/>
  <c r="K3401" i="1"/>
  <c r="D3402" i="1"/>
  <c r="E3402" i="1"/>
  <c r="F3402" i="1"/>
  <c r="K3402" i="1"/>
  <c r="D3403" i="1"/>
  <c r="E3403" i="1"/>
  <c r="F3403" i="1"/>
  <c r="K3403" i="1"/>
  <c r="D3404" i="1"/>
  <c r="E3404" i="1"/>
  <c r="F3404" i="1"/>
  <c r="K3404" i="1"/>
  <c r="D3405" i="1"/>
  <c r="E3405" i="1"/>
  <c r="F3405" i="1"/>
  <c r="K3405" i="1"/>
  <c r="D3406" i="1"/>
  <c r="E3406" i="1"/>
  <c r="F3406" i="1"/>
  <c r="K3406" i="1"/>
  <c r="D3407" i="1"/>
  <c r="E3407" i="1"/>
  <c r="F3407" i="1"/>
  <c r="K3407" i="1"/>
  <c r="D3408" i="1"/>
  <c r="E3408" i="1"/>
  <c r="F3408" i="1"/>
  <c r="K3408" i="1"/>
  <c r="D3409" i="1"/>
  <c r="E3409" i="1"/>
  <c r="F3409" i="1"/>
  <c r="K3409" i="1"/>
  <c r="D3410" i="1"/>
  <c r="E3410" i="1"/>
  <c r="F3410" i="1"/>
  <c r="K3410" i="1"/>
  <c r="D3411" i="1"/>
  <c r="E3411" i="1"/>
  <c r="F3411" i="1"/>
  <c r="K3411" i="1"/>
  <c r="D3412" i="1"/>
  <c r="E3412" i="1"/>
  <c r="F3412" i="1"/>
  <c r="K3412" i="1"/>
  <c r="D3414" i="1"/>
  <c r="E3414" i="1"/>
  <c r="F3414" i="1"/>
  <c r="K3414" i="1"/>
  <c r="D3415" i="1"/>
  <c r="E3415" i="1"/>
  <c r="F3415" i="1"/>
  <c r="K3415" i="1"/>
  <c r="D3416" i="1"/>
  <c r="E3416" i="1"/>
  <c r="F3416" i="1"/>
  <c r="K3416" i="1"/>
  <c r="D3417" i="1"/>
  <c r="E3417" i="1"/>
  <c r="F3417" i="1"/>
  <c r="K3417" i="1"/>
  <c r="D3418" i="1"/>
  <c r="E3418" i="1"/>
  <c r="F3418" i="1"/>
  <c r="K3418" i="1"/>
  <c r="D3419" i="1"/>
  <c r="E3419" i="1"/>
  <c r="F3419" i="1"/>
  <c r="K3419" i="1"/>
  <c r="D3420" i="1"/>
  <c r="E3420" i="1"/>
  <c r="F3420" i="1"/>
  <c r="K3420" i="1"/>
  <c r="D3421" i="1"/>
  <c r="E3421" i="1"/>
  <c r="F3421" i="1"/>
  <c r="K3421" i="1"/>
  <c r="D3422" i="1"/>
  <c r="E3422" i="1"/>
  <c r="F3422" i="1"/>
  <c r="K3422" i="1"/>
  <c r="D3423" i="1"/>
  <c r="E3423" i="1"/>
  <c r="F3423" i="1"/>
  <c r="K3423" i="1"/>
  <c r="D3424" i="1"/>
  <c r="E3424" i="1"/>
  <c r="F3424" i="1"/>
  <c r="K3424" i="1"/>
  <c r="D3425" i="1"/>
  <c r="E3425" i="1"/>
  <c r="F3425" i="1"/>
  <c r="K3425" i="1"/>
  <c r="D3426" i="1"/>
  <c r="E3426" i="1"/>
  <c r="F3426" i="1"/>
  <c r="K3426" i="1"/>
  <c r="D3427" i="1"/>
  <c r="E3427" i="1"/>
  <c r="F3427" i="1"/>
  <c r="K3427" i="1"/>
  <c r="D3428" i="1"/>
  <c r="E3428" i="1"/>
  <c r="F3428" i="1"/>
  <c r="K3428" i="1"/>
  <c r="D3429" i="1"/>
  <c r="E3429" i="1"/>
  <c r="F3429" i="1"/>
  <c r="K3429" i="1"/>
  <c r="D3430" i="1"/>
  <c r="E3430" i="1"/>
  <c r="F3430" i="1"/>
  <c r="K3430" i="1"/>
  <c r="D3431" i="1"/>
  <c r="E3431" i="1"/>
  <c r="F3431" i="1"/>
  <c r="K3431" i="1"/>
  <c r="D3432" i="1"/>
  <c r="E3432" i="1"/>
  <c r="F3432" i="1"/>
  <c r="K3432" i="1"/>
  <c r="D3433" i="1"/>
  <c r="E3433" i="1"/>
  <c r="F3433" i="1"/>
  <c r="K3433" i="1"/>
  <c r="D3434" i="1"/>
  <c r="E3434" i="1"/>
  <c r="F3434" i="1"/>
  <c r="K3434" i="1"/>
  <c r="D3435" i="1"/>
  <c r="E3435" i="1"/>
  <c r="F3435" i="1"/>
  <c r="K3435" i="1"/>
  <c r="D3436" i="1"/>
  <c r="E3436" i="1"/>
  <c r="F3436" i="1"/>
  <c r="K3436" i="1"/>
  <c r="D3437" i="1"/>
  <c r="E3437" i="1"/>
  <c r="F3437" i="1"/>
  <c r="K3437" i="1"/>
  <c r="D3438" i="1"/>
  <c r="E3438" i="1"/>
  <c r="F3438" i="1"/>
  <c r="K3438" i="1"/>
  <c r="D3439" i="1"/>
  <c r="E3439" i="1"/>
  <c r="F3439" i="1"/>
  <c r="K3439" i="1"/>
  <c r="D3440" i="1"/>
  <c r="E3440" i="1"/>
  <c r="F3440" i="1"/>
  <c r="K3440" i="1"/>
  <c r="D3441" i="1"/>
  <c r="E3441" i="1"/>
  <c r="F3441" i="1"/>
  <c r="K3441" i="1"/>
  <c r="D3442" i="1"/>
  <c r="E3442" i="1"/>
  <c r="F3442" i="1"/>
  <c r="K3442" i="1"/>
  <c r="D3443" i="1"/>
  <c r="E3443" i="1"/>
  <c r="F3443" i="1"/>
  <c r="K3443" i="1"/>
  <c r="D3444" i="1"/>
  <c r="E3444" i="1"/>
  <c r="F3444" i="1"/>
  <c r="K3444" i="1"/>
  <c r="D3445" i="1"/>
  <c r="E3445" i="1"/>
  <c r="F3445" i="1"/>
  <c r="K3445" i="1"/>
  <c r="D3446" i="1"/>
  <c r="E3446" i="1"/>
  <c r="F3446" i="1"/>
  <c r="K3446" i="1"/>
  <c r="D3447" i="1"/>
  <c r="E3447" i="1"/>
  <c r="F3447" i="1"/>
  <c r="K3447" i="1"/>
  <c r="D3448" i="1"/>
  <c r="E3448" i="1"/>
  <c r="F3448" i="1"/>
  <c r="K3448" i="1"/>
  <c r="D3449" i="1"/>
  <c r="E3449" i="1"/>
  <c r="F3449" i="1"/>
  <c r="K3449" i="1"/>
  <c r="D3450" i="1"/>
  <c r="E3450" i="1"/>
  <c r="F3450" i="1"/>
  <c r="K3450" i="1"/>
  <c r="D3451" i="1"/>
  <c r="E3451" i="1"/>
  <c r="F3451" i="1"/>
  <c r="K3451" i="1"/>
  <c r="D3452" i="1"/>
  <c r="E3452" i="1"/>
  <c r="F3452" i="1"/>
  <c r="K3452" i="1"/>
  <c r="D3453" i="1"/>
  <c r="E3453" i="1"/>
  <c r="F3453" i="1"/>
  <c r="K3453" i="1"/>
  <c r="D3454" i="1"/>
  <c r="E3454" i="1"/>
  <c r="F3454" i="1"/>
  <c r="K3454" i="1"/>
  <c r="D3455" i="1"/>
  <c r="E3455" i="1"/>
  <c r="F3455" i="1"/>
  <c r="K3455" i="1"/>
  <c r="D3456" i="1"/>
  <c r="E3456" i="1"/>
  <c r="F3456" i="1"/>
  <c r="K3456" i="1"/>
  <c r="D3457" i="1"/>
  <c r="E3457" i="1"/>
  <c r="F3457" i="1"/>
  <c r="K3457" i="1"/>
  <c r="D3458" i="1"/>
  <c r="E3458" i="1"/>
  <c r="F3458" i="1"/>
  <c r="K3458" i="1"/>
  <c r="D3459" i="1"/>
  <c r="E3459" i="1"/>
  <c r="F3459" i="1"/>
  <c r="K3459" i="1"/>
  <c r="D3460" i="1"/>
  <c r="E3460" i="1"/>
  <c r="F3460" i="1"/>
  <c r="K3460" i="1"/>
  <c r="D3461" i="1"/>
  <c r="E3461" i="1"/>
  <c r="F3461" i="1"/>
  <c r="K3461" i="1"/>
  <c r="D3462" i="1"/>
  <c r="E3462" i="1"/>
  <c r="F3462" i="1"/>
  <c r="K3462" i="1"/>
  <c r="D3463" i="1"/>
  <c r="E3463" i="1"/>
  <c r="F3463" i="1"/>
  <c r="K3463" i="1"/>
  <c r="D3464" i="1"/>
  <c r="E3464" i="1"/>
  <c r="F3464" i="1"/>
  <c r="K3464" i="1"/>
  <c r="D3465" i="1"/>
  <c r="E3465" i="1"/>
  <c r="F3465" i="1"/>
  <c r="K3465" i="1"/>
  <c r="D3466" i="1"/>
  <c r="E3466" i="1"/>
  <c r="F3466" i="1"/>
  <c r="K3466" i="1"/>
  <c r="D3467" i="1"/>
  <c r="E3467" i="1"/>
  <c r="F3467" i="1"/>
  <c r="K3467" i="1"/>
  <c r="T3467" i="1"/>
  <c r="D3468" i="1"/>
  <c r="E3468" i="1"/>
  <c r="F3468" i="1"/>
  <c r="K3468" i="1"/>
  <c r="D3469" i="1"/>
  <c r="E3469" i="1"/>
  <c r="F3469" i="1"/>
  <c r="K3469" i="1"/>
  <c r="D3470" i="1"/>
  <c r="E3470" i="1"/>
  <c r="F3470" i="1"/>
  <c r="K3470" i="1"/>
  <c r="D3471" i="1"/>
  <c r="E3471" i="1"/>
  <c r="F3471" i="1"/>
  <c r="K3471" i="1"/>
  <c r="D3472" i="1"/>
  <c r="E3472" i="1"/>
  <c r="F3472" i="1"/>
  <c r="K3472" i="1"/>
  <c r="D3473" i="1"/>
  <c r="E3473" i="1"/>
  <c r="F3473" i="1"/>
  <c r="K3473" i="1"/>
  <c r="D3474" i="1"/>
  <c r="E3474" i="1"/>
  <c r="F3474" i="1"/>
  <c r="K3474" i="1"/>
  <c r="D3475" i="1"/>
  <c r="E3475" i="1"/>
  <c r="F3475" i="1"/>
  <c r="K3475" i="1"/>
  <c r="D3476" i="1"/>
  <c r="E3476" i="1"/>
  <c r="F3476" i="1"/>
  <c r="K3476" i="1"/>
  <c r="D3477" i="1"/>
  <c r="E3477" i="1"/>
  <c r="F3477" i="1"/>
  <c r="K3477" i="1"/>
  <c r="D3478" i="1"/>
  <c r="E3478" i="1"/>
  <c r="F3478" i="1"/>
  <c r="K3478" i="1"/>
  <c r="D3479" i="1"/>
  <c r="E3479" i="1"/>
  <c r="F3479" i="1"/>
  <c r="K3479" i="1"/>
  <c r="D3480" i="1"/>
  <c r="E3480" i="1"/>
  <c r="F3480" i="1"/>
  <c r="K3480" i="1"/>
  <c r="D3481" i="1"/>
  <c r="E3481" i="1"/>
  <c r="F3481" i="1"/>
  <c r="K3481" i="1"/>
  <c r="D3482" i="1"/>
  <c r="E3482" i="1"/>
  <c r="F3482" i="1"/>
  <c r="K3482" i="1"/>
  <c r="D3483" i="1"/>
  <c r="E3483" i="1"/>
  <c r="F3483" i="1"/>
  <c r="K3483" i="1"/>
  <c r="D3484" i="1"/>
  <c r="E3484" i="1"/>
  <c r="F3484" i="1"/>
  <c r="K3484" i="1"/>
  <c r="D3485" i="1"/>
  <c r="E3485" i="1"/>
  <c r="F3485" i="1"/>
  <c r="K3485" i="1"/>
  <c r="D3486" i="1"/>
  <c r="E3486" i="1"/>
  <c r="F3486" i="1"/>
  <c r="K3486" i="1"/>
  <c r="D3487" i="1"/>
  <c r="E3487" i="1"/>
  <c r="F3487" i="1"/>
  <c r="K3487" i="1"/>
  <c r="D3488" i="1"/>
  <c r="E3488" i="1"/>
  <c r="F3488" i="1"/>
  <c r="K3488" i="1"/>
  <c r="D3489" i="1"/>
  <c r="E3489" i="1"/>
  <c r="F3489" i="1"/>
  <c r="K3489" i="1"/>
  <c r="D3490" i="1"/>
  <c r="E3490" i="1"/>
  <c r="F3490" i="1"/>
  <c r="K3490" i="1"/>
  <c r="D3491" i="1"/>
  <c r="E3491" i="1"/>
  <c r="F3491" i="1"/>
  <c r="K3491" i="1"/>
  <c r="D3492" i="1"/>
  <c r="E3492" i="1"/>
  <c r="F3492" i="1"/>
  <c r="K3492" i="1"/>
  <c r="D3493" i="1"/>
  <c r="E3493" i="1"/>
  <c r="F3493" i="1"/>
  <c r="K3493" i="1"/>
  <c r="D3494" i="1"/>
  <c r="E3494" i="1"/>
  <c r="F3494" i="1"/>
  <c r="K3494" i="1"/>
  <c r="D3495" i="1"/>
  <c r="E3495" i="1"/>
  <c r="F3495" i="1"/>
  <c r="K3495" i="1"/>
  <c r="D3496" i="1"/>
  <c r="E3496" i="1"/>
  <c r="F3496" i="1"/>
  <c r="K3496" i="1"/>
  <c r="D3497" i="1"/>
  <c r="E3497" i="1"/>
  <c r="F3497" i="1"/>
  <c r="K3497" i="1"/>
  <c r="D3498" i="1"/>
  <c r="E3498" i="1"/>
  <c r="F3498" i="1"/>
  <c r="K3498" i="1"/>
  <c r="D3499" i="1"/>
  <c r="E3499" i="1"/>
  <c r="F3499" i="1"/>
  <c r="K3499" i="1"/>
  <c r="D3500" i="1"/>
  <c r="E3500" i="1"/>
  <c r="F3500" i="1"/>
  <c r="K3500" i="1"/>
  <c r="D3501" i="1"/>
  <c r="E3501" i="1"/>
  <c r="F3501" i="1"/>
  <c r="K3501" i="1"/>
  <c r="D3502" i="1"/>
  <c r="E3502" i="1"/>
  <c r="F3502" i="1"/>
  <c r="K3502" i="1"/>
  <c r="D3503" i="1"/>
  <c r="E3503" i="1"/>
  <c r="F3503" i="1"/>
  <c r="K3503" i="1"/>
  <c r="D3504" i="1"/>
  <c r="E3504" i="1"/>
  <c r="F3504" i="1"/>
  <c r="K3504" i="1"/>
  <c r="T3504" i="1"/>
  <c r="D3505" i="1"/>
  <c r="E3505" i="1"/>
  <c r="F3505" i="1"/>
  <c r="K3505" i="1"/>
  <c r="D3506" i="1"/>
  <c r="E3506" i="1"/>
  <c r="F3506" i="1"/>
  <c r="K3506" i="1"/>
  <c r="D3507" i="1"/>
  <c r="E3507" i="1"/>
  <c r="F3507" i="1"/>
  <c r="K3507" i="1"/>
  <c r="D3508" i="1"/>
  <c r="E3508" i="1"/>
  <c r="F3508" i="1"/>
  <c r="K3508" i="1"/>
  <c r="D3509" i="1"/>
  <c r="E3509" i="1"/>
  <c r="F3509" i="1"/>
  <c r="K3509" i="1"/>
  <c r="D3510" i="1"/>
  <c r="E3510" i="1"/>
  <c r="F3510" i="1"/>
  <c r="K3510" i="1"/>
  <c r="D3511" i="1"/>
  <c r="E3511" i="1"/>
  <c r="F3511" i="1"/>
  <c r="K3511" i="1"/>
  <c r="D3512" i="1"/>
  <c r="E3512" i="1"/>
  <c r="F3512" i="1"/>
  <c r="K3512" i="1"/>
  <c r="D3513" i="1"/>
  <c r="E3513" i="1"/>
  <c r="F3513" i="1"/>
  <c r="K3513" i="1"/>
  <c r="D3514" i="1"/>
  <c r="E3514" i="1"/>
  <c r="F3514" i="1"/>
  <c r="K3514" i="1"/>
  <c r="D3515" i="1"/>
  <c r="E3515" i="1"/>
  <c r="F3515" i="1"/>
  <c r="K3515" i="1"/>
  <c r="D3516" i="1"/>
  <c r="E3516" i="1"/>
  <c r="F3516" i="1"/>
  <c r="K3516" i="1"/>
  <c r="D297" i="2" l="1"/>
  <c r="E297" i="2"/>
  <c r="F297" i="2"/>
  <c r="D295" i="2"/>
  <c r="D296" i="2"/>
  <c r="D298" i="2"/>
  <c r="E295" i="2"/>
  <c r="E296" i="2"/>
  <c r="E298" i="2"/>
  <c r="F295" i="2"/>
  <c r="F296" i="2"/>
  <c r="F298" i="2"/>
  <c r="E336" i="3" l="1"/>
  <c r="D294" i="2"/>
  <c r="E294" i="2"/>
  <c r="F294" i="2"/>
  <c r="E335" i="3" l="1"/>
  <c r="E333" i="3"/>
  <c r="E334" i="3"/>
  <c r="D293" i="2"/>
  <c r="E293" i="2"/>
  <c r="F293" i="2"/>
  <c r="E332" i="3"/>
  <c r="E331" i="3"/>
  <c r="D291" i="2"/>
  <c r="D292" i="2"/>
  <c r="E291" i="2"/>
  <c r="E292" i="2"/>
  <c r="F291" i="2"/>
  <c r="F292" i="2"/>
  <c r="D287" i="2"/>
  <c r="E287" i="2"/>
  <c r="F287" i="2"/>
  <c r="D288" i="2" l="1"/>
  <c r="D289" i="2"/>
  <c r="D290" i="2"/>
  <c r="E288" i="2"/>
  <c r="E289" i="2"/>
  <c r="E290" i="2"/>
  <c r="F288" i="2"/>
  <c r="F289" i="2"/>
  <c r="F290" i="2"/>
  <c r="E330" i="3"/>
  <c r="D286" i="2" l="1"/>
  <c r="E286" i="2"/>
  <c r="F286" i="2"/>
  <c r="D285" i="2"/>
  <c r="E285" i="2"/>
  <c r="F285" i="2"/>
  <c r="D284" i="2"/>
  <c r="E284" i="2"/>
  <c r="F284" i="2"/>
  <c r="E329" i="3"/>
  <c r="E328" i="3"/>
  <c r="E327" i="3"/>
  <c r="E326" i="3"/>
  <c r="E323" i="3"/>
  <c r="E324" i="3"/>
  <c r="E325" i="3"/>
  <c r="D283" i="2" l="1"/>
  <c r="E283" i="2"/>
  <c r="F283" i="2"/>
  <c r="D282" i="2"/>
  <c r="E282" i="2"/>
  <c r="F282" i="2"/>
  <c r="D280" i="2"/>
  <c r="D281" i="2"/>
  <c r="E280" i="2"/>
  <c r="E281" i="2"/>
  <c r="F280" i="2"/>
  <c r="F281" i="2"/>
  <c r="D279" i="2" l="1"/>
  <c r="E279" i="2"/>
  <c r="F279" i="2"/>
  <c r="E315" i="3"/>
  <c r="E314" i="3"/>
  <c r="E322" i="3"/>
  <c r="D318" i="3" l="1"/>
  <c r="D278" i="2"/>
  <c r="E278" i="2"/>
  <c r="F278" i="2"/>
  <c r="D321" i="3"/>
  <c r="D320" i="3"/>
  <c r="F321" i="3"/>
  <c r="F320" i="3"/>
  <c r="F318" i="3"/>
  <c r="F317" i="3"/>
  <c r="E316" i="3"/>
  <c r="E317" i="3"/>
  <c r="E319" i="3"/>
  <c r="E318" i="3" l="1"/>
  <c r="E320" i="3"/>
  <c r="E321" i="3"/>
  <c r="D277" i="2"/>
  <c r="E277" i="2"/>
  <c r="F277" i="2"/>
  <c r="D269" i="2" l="1"/>
  <c r="D270" i="2"/>
  <c r="D271" i="2"/>
  <c r="D272" i="2"/>
  <c r="D273" i="2"/>
  <c r="D274" i="2"/>
  <c r="D275" i="2"/>
  <c r="D276" i="2"/>
  <c r="E269" i="2"/>
  <c r="E270" i="2"/>
  <c r="E271" i="2"/>
  <c r="E272" i="2"/>
  <c r="E273" i="2"/>
  <c r="E274" i="2"/>
  <c r="E275" i="2"/>
  <c r="E276" i="2"/>
  <c r="F269" i="2"/>
  <c r="F270" i="2"/>
  <c r="F271" i="2"/>
  <c r="F272" i="2"/>
  <c r="F273" i="2"/>
  <c r="F274" i="2"/>
  <c r="F275" i="2"/>
  <c r="F276" i="2"/>
  <c r="D268" i="2" l="1"/>
  <c r="E268" i="2"/>
  <c r="F268" i="2"/>
  <c r="D265" i="2"/>
  <c r="D266" i="2"/>
  <c r="D267" i="2"/>
  <c r="E265" i="2"/>
  <c r="E266" i="2"/>
  <c r="E267" i="2"/>
  <c r="F265" i="2"/>
  <c r="F266" i="2"/>
  <c r="F267" i="2"/>
  <c r="E313" i="3" l="1"/>
  <c r="Q3" i="10" l="1"/>
  <c r="L11" i="10"/>
  <c r="D263" i="2" l="1"/>
  <c r="D264" i="2"/>
  <c r="E263" i="2"/>
  <c r="E264" i="2"/>
  <c r="F263" i="2"/>
  <c r="F264" i="2"/>
  <c r="D262" i="2"/>
  <c r="E262" i="2"/>
  <c r="F262" i="2"/>
  <c r="D261" i="2"/>
  <c r="E261" i="2"/>
  <c r="F261" i="2"/>
  <c r="F310" i="3" l="1"/>
  <c r="E312" i="3"/>
  <c r="D310" i="3"/>
  <c r="E311" i="3"/>
  <c r="E309" i="3"/>
  <c r="E310" i="3" l="1"/>
  <c r="E308" i="3"/>
  <c r="E307" i="3"/>
  <c r="E295" i="3"/>
  <c r="E306" i="3"/>
  <c r="D258" i="2"/>
  <c r="D259" i="2"/>
  <c r="D260" i="2"/>
  <c r="E258" i="2"/>
  <c r="E259" i="2"/>
  <c r="E260" i="2"/>
  <c r="F258" i="2"/>
  <c r="F259" i="2"/>
  <c r="F260" i="2"/>
  <c r="D257" i="2"/>
  <c r="E257" i="2"/>
  <c r="F257" i="2"/>
  <c r="D255" i="2" l="1"/>
  <c r="E255" i="2"/>
  <c r="F255" i="2"/>
  <c r="E301" i="3" l="1"/>
  <c r="E302" i="3"/>
  <c r="E303" i="3"/>
  <c r="E304" i="3"/>
  <c r="E305" i="3"/>
  <c r="E297" i="3"/>
  <c r="E298" i="3"/>
  <c r="E299" i="3"/>
  <c r="E300" i="3"/>
  <c r="E296" i="3"/>
  <c r="D256" i="2"/>
  <c r="E256" i="2"/>
  <c r="F256" i="2"/>
  <c r="D254" i="2" l="1"/>
  <c r="E254" i="2"/>
  <c r="F254" i="2"/>
  <c r="D253" i="2"/>
  <c r="E253" i="2"/>
  <c r="F253" i="2"/>
  <c r="D252" i="2"/>
  <c r="E252" i="2"/>
  <c r="F252" i="2"/>
  <c r="D251" i="2"/>
  <c r="E251" i="2"/>
  <c r="F251" i="2"/>
  <c r="D250" i="2"/>
  <c r="E250" i="2"/>
  <c r="F250" i="2"/>
  <c r="D249" i="2"/>
  <c r="E249" i="2"/>
  <c r="F249" i="2"/>
  <c r="D248" i="2"/>
  <c r="E248" i="2"/>
  <c r="F248" i="2"/>
  <c r="E294" i="3"/>
  <c r="E293" i="3" l="1"/>
  <c r="E292" i="3"/>
  <c r="E291" i="3" l="1"/>
  <c r="D247" i="2"/>
  <c r="E247" i="2"/>
  <c r="F247" i="2"/>
  <c r="D246" i="2"/>
  <c r="E246" i="2"/>
  <c r="F246" i="2"/>
  <c r="D245" i="2"/>
  <c r="E245" i="2"/>
  <c r="F245" i="2"/>
  <c r="E290" i="3"/>
  <c r="E289" i="3"/>
  <c r="D244" i="2" l="1"/>
  <c r="E244" i="2"/>
  <c r="F244" i="2"/>
  <c r="E288" i="3"/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L9" i="10"/>
  <c r="P2" i="12"/>
  <c r="O2" i="12"/>
  <c r="N2" i="12"/>
  <c r="M2" i="12"/>
  <c r="N4" i="11" l="1"/>
  <c r="L7" i="10" l="1"/>
  <c r="P31" i="10"/>
  <c r="O3" i="11"/>
  <c r="R2" i="12"/>
  <c r="M11" i="10" l="1"/>
  <c r="S11" i="10" s="1"/>
  <c r="F243" i="2"/>
  <c r="M4" i="11"/>
  <c r="L4" i="11"/>
  <c r="E287" i="3"/>
  <c r="E286" i="3"/>
  <c r="E284" i="3"/>
  <c r="E285" i="3"/>
  <c r="P4" i="11" l="1"/>
  <c r="F242" i="2"/>
  <c r="F241" i="2"/>
  <c r="E283" i="3"/>
  <c r="F239" i="2" l="1"/>
  <c r="F240" i="2"/>
  <c r="E282" i="3" l="1"/>
  <c r="E281" i="3"/>
  <c r="E280" i="3"/>
  <c r="E276" i="3"/>
  <c r="E277" i="3"/>
  <c r="E278" i="3"/>
  <c r="E279" i="3"/>
  <c r="E275" i="3"/>
  <c r="F238" i="2" l="1"/>
  <c r="F237" i="2"/>
  <c r="E274" i="3" l="1"/>
  <c r="E273" i="3"/>
  <c r="F236" i="2" l="1"/>
  <c r="F235" i="2"/>
  <c r="F232" i="2"/>
  <c r="F234" i="2" l="1"/>
  <c r="F233" i="2"/>
  <c r="F231" i="2"/>
  <c r="E271" i="3" l="1"/>
  <c r="E272" i="3"/>
  <c r="F230" i="2"/>
  <c r="E270" i="3" l="1"/>
  <c r="D269" i="3"/>
  <c r="E269" i="3" s="1"/>
  <c r="F229" i="2" l="1"/>
  <c r="F228" i="2"/>
  <c r="E265" i="3" l="1"/>
  <c r="E266" i="3"/>
  <c r="E267" i="3"/>
  <c r="E268" i="3"/>
  <c r="F227" i="2" l="1"/>
  <c r="F226" i="2"/>
  <c r="F225" i="2"/>
  <c r="F222" i="2"/>
  <c r="F224" i="2"/>
  <c r="E264" i="3"/>
  <c r="E263" i="3"/>
  <c r="E248" i="3"/>
  <c r="E247" i="3"/>
  <c r="E246" i="3"/>
  <c r="F219" i="2" l="1"/>
  <c r="F220" i="2"/>
  <c r="F221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5" i="2"/>
  <c r="F26" i="2"/>
  <c r="F27" i="2"/>
  <c r="F28" i="2"/>
  <c r="F29" i="2"/>
  <c r="F24" i="2"/>
  <c r="F19" i="2"/>
  <c r="F20" i="2"/>
  <c r="F21" i="2"/>
  <c r="F22" i="2"/>
  <c r="F23" i="2"/>
  <c r="E242" i="3"/>
  <c r="E262" i="3"/>
  <c r="E261" i="3"/>
  <c r="E260" i="3" l="1"/>
  <c r="E259" i="3"/>
  <c r="E258" i="3"/>
  <c r="E257" i="3"/>
  <c r="E254" i="3"/>
  <c r="E255" i="3"/>
  <c r="E256" i="3"/>
  <c r="E249" i="3"/>
  <c r="E250" i="3"/>
  <c r="E251" i="3"/>
  <c r="E252" i="3"/>
  <c r="E253" i="3"/>
  <c r="Q7" i="10" l="1"/>
  <c r="Q8" i="10"/>
  <c r="M9" i="10"/>
  <c r="M3" i="11"/>
  <c r="M10" i="10" l="1"/>
  <c r="L10" i="10"/>
  <c r="S10" i="10" l="1"/>
  <c r="E244" i="3" l="1"/>
  <c r="E245" i="3"/>
  <c r="E243" i="3"/>
  <c r="F18" i="2" l="1"/>
  <c r="F17" i="2"/>
  <c r="E241" i="3" l="1"/>
  <c r="E240" i="3"/>
  <c r="E239" i="3"/>
  <c r="E238" i="3"/>
  <c r="E237" i="3" l="1"/>
  <c r="E236" i="3"/>
  <c r="E235" i="3"/>
  <c r="E224" i="3" l="1"/>
  <c r="E234" i="3"/>
  <c r="E233" i="3" l="1"/>
  <c r="E232" i="3" l="1"/>
  <c r="E225" i="3"/>
  <c r="E226" i="3"/>
  <c r="E227" i="3"/>
  <c r="E228" i="3"/>
  <c r="E229" i="3"/>
  <c r="E230" i="3"/>
  <c r="E231" i="3"/>
  <c r="E223" i="3" l="1"/>
  <c r="E222" i="3" l="1"/>
  <c r="E221" i="3" l="1"/>
  <c r="E196" i="3" l="1"/>
  <c r="E208" i="3"/>
  <c r="E220" i="3" l="1"/>
  <c r="E219" i="3" l="1"/>
  <c r="E218" i="3"/>
  <c r="E217" i="3" l="1"/>
  <c r="E216" i="3"/>
  <c r="E215" i="3"/>
  <c r="E214" i="3"/>
  <c r="E210" i="3"/>
  <c r="E211" i="3"/>
  <c r="E212" i="3"/>
  <c r="E213" i="3"/>
  <c r="E209" i="3" l="1"/>
  <c r="E204" i="3" l="1"/>
  <c r="E205" i="3"/>
  <c r="E206" i="3"/>
  <c r="E200" i="3" l="1"/>
  <c r="E207" i="3" l="1"/>
  <c r="S9" i="10" l="1"/>
  <c r="E203" i="3" l="1"/>
  <c r="E201" i="3"/>
  <c r="E202" i="3"/>
  <c r="E199" i="3" l="1"/>
  <c r="E198" i="3"/>
  <c r="E197" i="3"/>
  <c r="E195" i="3" l="1"/>
  <c r="E168" i="3" l="1"/>
  <c r="E174" i="3"/>
  <c r="E175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7" i="3"/>
  <c r="E158" i="3"/>
  <c r="E159" i="3"/>
  <c r="E160" i="3"/>
  <c r="E161" i="3"/>
  <c r="E162" i="3"/>
  <c r="E163" i="3"/>
  <c r="E164" i="3"/>
  <c r="E165" i="3"/>
  <c r="E166" i="3"/>
  <c r="E167" i="3"/>
  <c r="E169" i="3"/>
  <c r="E170" i="3"/>
  <c r="E171" i="3"/>
  <c r="E172" i="3"/>
  <c r="E173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Q6" i="10" l="1"/>
  <c r="M6" i="10"/>
  <c r="L6" i="10"/>
  <c r="S6" i="10" l="1"/>
  <c r="C43" i="8" l="1"/>
  <c r="C42" i="8"/>
  <c r="O2" i="11" l="1"/>
  <c r="Q2" i="10" l="1"/>
  <c r="N3" i="11" l="1"/>
  <c r="L3" i="11"/>
  <c r="P3" i="11" s="1"/>
  <c r="N2" i="11"/>
  <c r="M2" i="11"/>
  <c r="L2" i="11"/>
  <c r="M8" i="10"/>
  <c r="S8" i="10"/>
  <c r="M7" i="10"/>
  <c r="Q5" i="10"/>
  <c r="M5" i="10"/>
  <c r="L5" i="10"/>
  <c r="Q4" i="10"/>
  <c r="M4" i="10"/>
  <c r="L4" i="10"/>
  <c r="M3" i="10"/>
  <c r="L3" i="10"/>
  <c r="M2" i="10"/>
  <c r="L2" i="10"/>
  <c r="P2" i="11" l="1"/>
  <c r="S4" i="10"/>
  <c r="S5" i="10"/>
  <c r="S2" i="10"/>
  <c r="S3" i="10"/>
  <c r="S7" i="10"/>
  <c r="C28" i="8" l="1"/>
  <c r="C29" i="8"/>
  <c r="L96" i="3"/>
  <c r="H63" i="2" l="1"/>
  <c r="H6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460" i="3" l="1"/>
  <c r="E499" i="3" l="1"/>
  <c r="E500" i="3"/>
  <c r="E54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Grisales Rios</author>
    <author>tc={03C107CD-196E-4DA1-997F-3F4E6C8EFE29}</author>
    <author>tc={E7C31967-3539-48D8-85AF-A43885CCF6A1}</author>
    <author>tc={A5086142-AD76-4A36-AFE4-A65C5A5B3875}</author>
  </authors>
  <commentList>
    <comment ref="G1426" authorId="0" shapeId="0" xr:uid="{A2401070-89D9-44DA-8669-44AEEBE90705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10991</t>
        </r>
      </text>
    </comment>
    <comment ref="G168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11211</t>
        </r>
      </text>
    </comment>
    <comment ref="H1765" authorId="0" shapeId="0" xr:uid="{9F97EE3E-0C1D-41E3-ACEA-BD0E54FAFFF0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11255</t>
        </r>
      </text>
    </comment>
    <comment ref="H1767" authorId="0" shapeId="0" xr:uid="{2DE1974D-2926-4B51-A599-1A2801B1C4C0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11257</t>
        </r>
      </text>
    </comment>
    <comment ref="H1917" authorId="0" shapeId="0" xr:uid="{D6BA7E8E-6BFA-466A-8541-6A56D9005784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11412</t>
        </r>
      </text>
    </comment>
    <comment ref="H1950" authorId="0" shapeId="0" xr:uid="{32F7C2F2-C7DB-415B-83AC-83D230970E47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11466</t>
        </r>
      </text>
    </comment>
    <comment ref="H2043" authorId="0" shapeId="0" xr:uid="{127B7D9D-37AE-46E3-88E1-2FFD6A9F420B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11430</t>
        </r>
      </text>
    </comment>
    <comment ref="H2150" authorId="0" shapeId="0" xr:uid="{42A5E89B-DAE1-4615-AE64-DECBB86E1ECD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11204</t>
        </r>
      </text>
    </comment>
    <comment ref="H2152" authorId="0" shapeId="0" xr:uid="{939E0808-845D-4B73-A6F0-6B90779C997A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11205</t>
        </r>
      </text>
    </comment>
    <comment ref="H2153" authorId="0" shapeId="0" xr:uid="{7AEE879F-0772-4B37-82A5-E85CFD8DBF68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11299</t>
        </r>
      </text>
    </comment>
    <comment ref="H2222" authorId="0" shapeId="0" xr:uid="{5A7B7CBC-6E4C-48BE-BABD-279A0D2B2338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imo 11587</t>
        </r>
      </text>
    </comment>
    <comment ref="H2247" authorId="0" shapeId="0" xr:uid="{DFB0F3BD-70AE-4EB8-8BF2-54B28449B617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11619</t>
        </r>
      </text>
    </comment>
    <comment ref="H2322" authorId="0" shapeId="0" xr:uid="{91752BD3-A224-455F-B039-0EB1F8EACAB6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11693</t>
        </r>
      </text>
    </comment>
    <comment ref="H2348" authorId="0" shapeId="0" xr:uid="{F5962E4D-527B-4B95-9509-C506CF054C88}">
      <text>
        <r>
          <rPr>
            <b/>
            <sz val="9"/>
            <color indexed="81"/>
            <rFont val="Tahoma"/>
            <family val="2"/>
          </rPr>
          <t>Johan Grisales Rios:</t>
        </r>
        <r>
          <rPr>
            <sz val="9"/>
            <color indexed="81"/>
            <rFont val="Tahoma"/>
            <family val="2"/>
          </rPr>
          <t xml:space="preserve">
antes la imp 11449</t>
        </r>
      </text>
    </comment>
    <comment ref="U3805" authorId="1" shapeId="0" xr:uid="{03C107CD-196E-4DA1-997F-3F4E6C8EFE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Forex AR Pontes # 12257, por error de Bancolombia se abonó a Punto Fa</t>
      </text>
    </comment>
    <comment ref="U3806" authorId="2" shapeId="0" xr:uid="{E7C31967-3539-48D8-85AF-A43885CCF6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Forex AR Pontes # 12257, por error de Bancolombia se abonó a Punto Fa</t>
      </text>
    </comment>
    <comment ref="U3807" authorId="3" shapeId="0" xr:uid="{A5086142-AD76-4A36-AFE4-A65C5A5B38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Forex AR Pontes # 12257, por error de Bancolombia se abonó a Punto Fa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Melany Escobar Arcila</author>
  </authors>
  <commentList>
    <comment ref="C150" authorId="0" shapeId="0" xr:uid="{00000000-0006-0000-0300-000001000000}">
      <text>
        <r>
          <rPr>
            <sz val="9"/>
            <color indexed="81"/>
            <rFont val="Tahoma"/>
            <family val="2"/>
          </rPr>
          <t>Pago de sanción 1'700</t>
        </r>
      </text>
    </comment>
    <comment ref="C19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Melany Escobar Arcila:</t>
        </r>
        <r>
          <rPr>
            <sz val="9"/>
            <color indexed="81"/>
            <rFont val="Tahoma"/>
            <family val="2"/>
          </rPr>
          <t xml:space="preserve">
Pago intereses</t>
        </r>
      </text>
    </comment>
    <comment ref="C20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Melany Escobar Arcila:</t>
        </r>
        <r>
          <rPr>
            <sz val="9"/>
            <color indexed="81"/>
            <rFont val="Tahoma"/>
            <family val="2"/>
          </rPr>
          <t xml:space="preserve">
Pago sanción</t>
        </r>
      </text>
    </comment>
    <comment ref="C204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Melany Escobar Arcila:</t>
        </r>
        <r>
          <rPr>
            <sz val="9"/>
            <color indexed="81"/>
            <rFont val="Tahoma"/>
            <family val="2"/>
          </rPr>
          <t xml:space="preserve">
Prepago parcial crédito 2.000.000
</t>
        </r>
      </text>
    </comment>
    <comment ref="C205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Melany Escobar Arcila:</t>
        </r>
        <r>
          <rPr>
            <sz val="9"/>
            <color indexed="81"/>
            <rFont val="Tahoma"/>
            <family val="2"/>
          </rPr>
          <t xml:space="preserve">
Pago de intereses</t>
        </r>
      </text>
    </comment>
    <comment ref="C20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Melany Escobar Arcila:</t>
        </r>
        <r>
          <rPr>
            <sz val="9"/>
            <color indexed="81"/>
            <rFont val="Tahoma"/>
            <family val="2"/>
          </rPr>
          <t xml:space="preserve">
Pago sanción</t>
        </r>
      </text>
    </comment>
    <comment ref="C207" authorId="0" shapeId="0" xr:uid="{00000000-0006-0000-0300-000007000000}">
      <text>
        <r>
          <rPr>
            <sz val="9"/>
            <color indexed="81"/>
            <rFont val="Tahoma"/>
            <family val="2"/>
          </rPr>
          <t>Facturas a nombre de Naftalina año 2023, Carolina Uribe aprueba pagar a pesar del riesgo cambiario.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tc={4CEC3BE9-B6A6-4B86-909B-62076B8C6508}</author>
  </authors>
  <commentList>
    <comment ref="G310" authorId="0" shapeId="0" xr:uid="{4CEC3BE9-B6A6-4B86-909B-62076B8C65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Triangulación IMPO 12312.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Kelly Johana Castrillon Lopez</author>
  </authors>
  <commentList>
    <comment ref="C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Kelly Johana Castrillon Lopez:</t>
        </r>
        <r>
          <rPr>
            <sz val="9"/>
            <color indexed="81"/>
            <rFont val="Tahoma"/>
            <family val="2"/>
          </rPr>
          <t xml:space="preserve">
SE SUMAN 30 FORMULARIOS MAS QUE SON ANTICIPOS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Kelly Johana Castrillon Lopez</author>
  </authors>
  <commentList>
    <comment ref="Q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Kelly Johana Castrillon Lopez:</t>
        </r>
        <r>
          <rPr>
            <sz val="9"/>
            <color indexed="81"/>
            <rFont val="Tahoma"/>
            <family val="2"/>
          </rPr>
          <t xml:space="preserve">
Cobraron sobre el valor anterior</t>
        </r>
      </text>
    </comment>
    <comment ref="J9" authorId="0" shapeId="0" xr:uid="{3EC31009-A4B6-47DB-BCA5-963C807D9F82}">
      <text>
        <r>
          <rPr>
            <b/>
            <sz val="9"/>
            <color indexed="81"/>
            <rFont val="Tahoma"/>
            <family val="2"/>
          </rPr>
          <t>Kelly Johana Castrillon Lopez:</t>
        </r>
        <r>
          <rPr>
            <sz val="9"/>
            <color indexed="81"/>
            <rFont val="Tahoma"/>
            <family val="2"/>
          </rPr>
          <t xml:space="preserve">
trimestral</t>
        </r>
      </text>
    </comment>
    <comment ref="N11" authorId="0" shapeId="0" xr:uid="{8ACA2FF9-3213-44FE-8A60-9AC6528D59D3}">
      <text>
        <r>
          <rPr>
            <b/>
            <sz val="9"/>
            <color indexed="81"/>
            <rFont val="Tahoma"/>
            <family val="2"/>
          </rPr>
          <t>Kelly Johana Castrillon Lopez:</t>
        </r>
        <r>
          <rPr>
            <sz val="9"/>
            <color indexed="81"/>
            <rFont val="Tahoma"/>
            <family val="2"/>
          </rPr>
          <t xml:space="preserve">
Se hizo en junio 2025</t>
        </r>
      </text>
    </comment>
    <comment ref="K13" authorId="0" shapeId="0" xr:uid="{6847F2C1-BABC-4CFE-B085-7463E8978964}">
      <text>
        <r>
          <rPr>
            <b/>
            <sz val="9"/>
            <color indexed="81"/>
            <rFont val="Tahoma"/>
            <family val="2"/>
          </rPr>
          <t>Kelly Johana Castrillon Lopez:</t>
        </r>
        <r>
          <rPr>
            <sz val="9"/>
            <color indexed="81"/>
            <rFont val="Tahoma"/>
            <family val="2"/>
          </rPr>
          <t xml:space="preserve">
os 431 son la modificacion de valor de julio a agosto.</t>
        </r>
      </text>
    </comment>
    <comment ref="Q13" authorId="0" shapeId="0" xr:uid="{8A7FF664-35B6-4F28-A341-8BF120578BED}">
      <text>
        <r>
          <rPr>
            <b/>
            <sz val="9"/>
            <color indexed="81"/>
            <rFont val="Tahoma"/>
            <family val="2"/>
          </rPr>
          <t>Kelly Johana Castrillon Lopez:</t>
        </r>
        <r>
          <rPr>
            <sz val="9"/>
            <color indexed="81"/>
            <rFont val="Tahoma"/>
            <family val="2"/>
          </rPr>
          <t xml:space="preserve">
No tiene el cálculo ya que estan cobrando según la fecha y monto de las modificaciones </t>
        </r>
      </text>
    </comment>
    <comment ref="Q14" authorId="0" shapeId="0" xr:uid="{CD5FE43A-91B6-45A2-8DE2-F7C03225FB27}">
      <text>
        <r>
          <rPr>
            <b/>
            <sz val="9"/>
            <color indexed="81"/>
            <rFont val="Tahoma"/>
            <family val="2"/>
          </rPr>
          <t>Kelly Johana Castrillon Lopez:</t>
        </r>
        <r>
          <rPr>
            <sz val="9"/>
            <color indexed="81"/>
            <rFont val="Tahoma"/>
            <family val="2"/>
          </rPr>
          <t xml:space="preserve">
No se sabe si vamos a tener cobro</t>
        </r>
      </text>
    </comment>
    <comment ref="Q15" authorId="0" shapeId="0" xr:uid="{CD4DBBEC-D1C1-420F-A3D5-B28F30C5B475}">
      <text>
        <r>
          <rPr>
            <b/>
            <sz val="9"/>
            <color indexed="81"/>
            <rFont val="Tahoma"/>
            <family val="2"/>
          </rPr>
          <t>Kelly Johana Castrillon Lopez:</t>
        </r>
        <r>
          <rPr>
            <sz val="9"/>
            <color indexed="81"/>
            <rFont val="Tahoma"/>
            <family val="2"/>
          </rPr>
          <t xml:space="preserve">
Falta cobro por USD 1.000, este cobro lo realizan en noviembre</t>
        </r>
      </text>
    </comment>
  </commentList>
</comments>
</file>

<file path=xl/sharedStrings.xml><?xml version="1.0" encoding="utf-8"?>
<sst xmlns="http://schemas.openxmlformats.org/spreadsheetml/2006/main" count="72045" uniqueCount="1634">
  <si>
    <t>IMPORTADOR</t>
  </si>
  <si>
    <t>EMPRESA</t>
  </si>
  <si>
    <t>FECHA DE PAGO</t>
  </si>
  <si>
    <t>PROVEEDOR</t>
  </si>
  <si>
    <t># IMPORTACION</t>
  </si>
  <si>
    <t>VALOR MONEDA ORIGEN</t>
  </si>
  <si>
    <t>MONEDA</t>
  </si>
  <si>
    <t>VALOR USD</t>
  </si>
  <si>
    <t>FACTOR DE CONVERSION</t>
  </si>
  <si>
    <t>FORMA DE PAGO</t>
  </si>
  <si>
    <t>TIPO DE PAGO</t>
  </si>
  <si>
    <t>FECHA DE APERTURA CREDITO -UTILIZACION LC</t>
  </si>
  <si>
    <t>FECHA DE VENCIMIENTO</t>
  </si>
  <si>
    <t># CREDITO</t>
  </si>
  <si>
    <t># DEUDA EXTERNA</t>
  </si>
  <si>
    <t xml:space="preserve">NOTA CREDITO </t>
  </si>
  <si>
    <t>DIA</t>
  </si>
  <si>
    <t xml:space="preserve">MES </t>
  </si>
  <si>
    <t>AÑO</t>
  </si>
  <si>
    <t>JOHN URIBE E HIJOS SA</t>
  </si>
  <si>
    <t>COMODIN SAS</t>
  </si>
  <si>
    <t>ESPRIT</t>
  </si>
  <si>
    <t>RIFLE</t>
  </si>
  <si>
    <t>NAF NAF</t>
  </si>
  <si>
    <t>AMERICANINO</t>
  </si>
  <si>
    <t>CHEVIGNON</t>
  </si>
  <si>
    <t>MANGO</t>
  </si>
  <si>
    <t>AEO</t>
  </si>
  <si>
    <t>EVER ORIENT</t>
  </si>
  <si>
    <t>DALIAN WANLIN</t>
  </si>
  <si>
    <t>XIAMEN UNIBEST</t>
  </si>
  <si>
    <t>USD</t>
  </si>
  <si>
    <t>DIRECTO</t>
  </si>
  <si>
    <t>CUENTA DE COMPENSACION</t>
  </si>
  <si>
    <t>N/A</t>
  </si>
  <si>
    <t>TIMEKOL</t>
  </si>
  <si>
    <t>DALIAN SHENGMA</t>
  </si>
  <si>
    <t>ZHEJIANG ORIENT MULTITEX</t>
  </si>
  <si>
    <t>SOUTHERN</t>
  </si>
  <si>
    <t>IMANSUR</t>
  </si>
  <si>
    <t>PT UNGGUL</t>
  </si>
  <si>
    <t>TEXTILFIO</t>
  </si>
  <si>
    <t>ANTICIPO</t>
  </si>
  <si>
    <t>NANTONG JIAHENG</t>
  </si>
  <si>
    <t>CHANGZHOU SHOWSHA</t>
  </si>
  <si>
    <t>FOSHAN BLUE DENIM</t>
  </si>
  <si>
    <t>ZHEJIANG LESON</t>
  </si>
  <si>
    <t>HONG KONG TEK</t>
  </si>
  <si>
    <t>JK TEX</t>
  </si>
  <si>
    <t>SANKO</t>
  </si>
  <si>
    <t>ARTISTIC MILLINERS</t>
  </si>
  <si>
    <t>EUR</t>
  </si>
  <si>
    <t>SEDATEX</t>
  </si>
  <si>
    <t>AKBASLAR</t>
  </si>
  <si>
    <t>VICUNHA</t>
  </si>
  <si>
    <t>SHAOXING KEQIAO TIANLUO</t>
  </si>
  <si>
    <t>TEXTILES CAMONES</t>
  </si>
  <si>
    <t>ZHEJIANG TENGMA</t>
  </si>
  <si>
    <t>TOP SKY ROYAL</t>
  </si>
  <si>
    <t>ZHEJIANG XINLAN</t>
  </si>
  <si>
    <t>ONE BEAT</t>
  </si>
  <si>
    <t>VALOR FACTURA</t>
  </si>
  <si>
    <t>EXPORTADOR</t>
  </si>
  <si>
    <t>FECHA DE INGRESO</t>
  </si>
  <si>
    <t>CLIENTE</t>
  </si>
  <si>
    <t>MARCA</t>
  </si>
  <si>
    <t>IMPORTADORA MADURO</t>
  </si>
  <si>
    <t>PIAMONTE</t>
  </si>
  <si>
    <t>BLANCA VALENCIA</t>
  </si>
  <si>
    <t>DISTRITEX</t>
  </si>
  <si>
    <t>NOVOMODE</t>
  </si>
  <si>
    <t>MERCADEO Y MODA SAS</t>
  </si>
  <si>
    <t>LIFEMILES</t>
  </si>
  <si>
    <t>PUNTO FA</t>
  </si>
  <si>
    <t>ZHEJIANG ORIENT HOLYA</t>
  </si>
  <si>
    <t>ANS CLOTHING</t>
  </si>
  <si>
    <t>HUZHOU ZHENGXING</t>
  </si>
  <si>
    <t>NIRESTAR</t>
  </si>
  <si>
    <t>AR PONTES</t>
  </si>
  <si>
    <t>CHARLES CHEVIGNON</t>
  </si>
  <si>
    <t>SHIVEN</t>
  </si>
  <si>
    <t>ARTISTIC FABRIC MILLS</t>
  </si>
  <si>
    <t>DEPEI</t>
  </si>
  <si>
    <t>SHAOXING HAOS</t>
  </si>
  <si>
    <t>NAVEENA</t>
  </si>
  <si>
    <t>DNM</t>
  </si>
  <si>
    <t>SHAOXING QIFEI</t>
  </si>
  <si>
    <t>RAYMOND</t>
  </si>
  <si>
    <t>SHANGHAI DAYA</t>
  </si>
  <si>
    <t>SHAOXING RUOJIN</t>
  </si>
  <si>
    <t>TEXTIL CANATIBA</t>
  </si>
  <si>
    <t>YULIN YIXING</t>
  </si>
  <si>
    <t>BADONEL</t>
  </si>
  <si>
    <t>VANGO</t>
  </si>
  <si>
    <t>FOREX</t>
  </si>
  <si>
    <t>CREDITEX</t>
  </si>
  <si>
    <t>BMS FASHION</t>
  </si>
  <si>
    <t>GID</t>
  </si>
  <si>
    <t>ALGOTEX</t>
  </si>
  <si>
    <t>PROSPERITY</t>
  </si>
  <si>
    <t>BLUE STAR</t>
  </si>
  <si>
    <t>BHASKAR</t>
  </si>
  <si>
    <t>VINOD</t>
  </si>
  <si>
    <t>INDUSTRIA TEXTIL APUCARANA</t>
  </si>
  <si>
    <t>GESI TEKSTIL</t>
  </si>
  <si>
    <t>MONTREAL FASHION</t>
  </si>
  <si>
    <t>ZHEJIANG BLUEDREAM</t>
  </si>
  <si>
    <t>SARENA</t>
  </si>
  <si>
    <t>CHRIS J</t>
  </si>
  <si>
    <t>BILHAN</t>
  </si>
  <si>
    <t>SIGNET DENIM</t>
  </si>
  <si>
    <t>CHANGZHOU KAILAN</t>
  </si>
  <si>
    <t xml:space="preserve">PUNTO FA </t>
  </si>
  <si>
    <t>STOURIKA</t>
  </si>
  <si>
    <t>GIRO FINANCIADO</t>
  </si>
  <si>
    <t>8021000420852</t>
  </si>
  <si>
    <t>8021000420838</t>
  </si>
  <si>
    <t>SICHUAN YILONG</t>
  </si>
  <si>
    <t>SHAOXING ADA</t>
  </si>
  <si>
    <t>SUZHOU SHENRUI</t>
  </si>
  <si>
    <t xml:space="preserve">ZHEJIANG LISTEN </t>
  </si>
  <si>
    <t>KIPAS</t>
  </si>
  <si>
    <t>JIANYE TEXTILE</t>
  </si>
  <si>
    <t>SHAOXING RUBY</t>
  </si>
  <si>
    <t>LANXI ZHENGXUAN</t>
  </si>
  <si>
    <t>SHAOXING FEIFANLAN</t>
  </si>
  <si>
    <t>ZHEJIANG FANTASY</t>
  </si>
  <si>
    <t>SHAOXING KEQIAO ESSE</t>
  </si>
  <si>
    <t>TUNTEX</t>
  </si>
  <si>
    <t>SHIJIAZHUANG LONGSHOW</t>
  </si>
  <si>
    <t>TOOTAL FABRICS</t>
  </si>
  <si>
    <t>SAGA FALABELLA</t>
  </si>
  <si>
    <t>KROKOM</t>
  </si>
  <si>
    <t>XINXIANG XINKE</t>
  </si>
  <si>
    <t>FECHA COMPRA</t>
  </si>
  <si>
    <t>BANCO</t>
  </si>
  <si>
    <t>SPOT O FWD</t>
  </si>
  <si>
    <t>VALOR</t>
  </si>
  <si>
    <t>CUSTOMER SERVICE</t>
  </si>
  <si>
    <t>WILHELMINA</t>
  </si>
  <si>
    <t>MICHELE VALADAO</t>
  </si>
  <si>
    <t>CRITEO</t>
  </si>
  <si>
    <t>LUCAS JAMES</t>
  </si>
  <si>
    <t>TIKTOK</t>
  </si>
  <si>
    <t>AH CREATIVE</t>
  </si>
  <si>
    <t>META</t>
  </si>
  <si>
    <t>INGENIERIA MOVIL APLICADA</t>
  </si>
  <si>
    <t>GOOGLE</t>
  </si>
  <si>
    <t>RTBH</t>
  </si>
  <si>
    <t>AGAVIS</t>
  </si>
  <si>
    <t>ASCENTIAL</t>
  </si>
  <si>
    <t>MAKE PRO</t>
  </si>
  <si>
    <t>VALOR PAGO</t>
  </si>
  <si>
    <t>VALOR RETENCION</t>
  </si>
  <si>
    <t>SPOT</t>
  </si>
  <si>
    <t>FWD</t>
  </si>
  <si>
    <t>BANCOLOMBIA</t>
  </si>
  <si>
    <t>CREDICORP</t>
  </si>
  <si>
    <t>GLOBAL</t>
  </si>
  <si>
    <t>007C135737</t>
  </si>
  <si>
    <t>BANCOLOMBIA PANAMA</t>
  </si>
  <si>
    <t>NEGOCIO</t>
  </si>
  <si>
    <t>UNIFIED</t>
  </si>
  <si>
    <t>OBSERVACIONES</t>
  </si>
  <si>
    <t>LUNELLI TEXTIL</t>
  </si>
  <si>
    <t>SK EXPORTS</t>
  </si>
  <si>
    <t>antes de la 9935</t>
  </si>
  <si>
    <t>antes de la 9873</t>
  </si>
  <si>
    <t>antes de la 9300</t>
  </si>
  <si>
    <t>antes de la 9732</t>
  </si>
  <si>
    <t>INTERESES JP</t>
  </si>
  <si>
    <t>SERVICIOS</t>
  </si>
  <si>
    <t>INTERESES DAV</t>
  </si>
  <si>
    <t>REGALIAS AEO</t>
  </si>
  <si>
    <t>XIN XING LONG</t>
  </si>
  <si>
    <t>inicialmente de la 9741 no deja heredar el pago</t>
  </si>
  <si>
    <t>antes de la 9861</t>
  </si>
  <si>
    <t>TUSA DIS TICARET</t>
  </si>
  <si>
    <t>IMP0040</t>
  </si>
  <si>
    <t>IMP0053</t>
  </si>
  <si>
    <t>IMP0054</t>
  </si>
  <si>
    <t>IMP0056</t>
  </si>
  <si>
    <t>IMP0060</t>
  </si>
  <si>
    <t>SHAOXING SAGA</t>
  </si>
  <si>
    <t>IMP0061</t>
  </si>
  <si>
    <t>IMP0065</t>
  </si>
  <si>
    <t>CARTA DE CREDITO</t>
  </si>
  <si>
    <t>PUNTO FA - PUBLICIDAD</t>
  </si>
  <si>
    <t>REGALIAS CHEVIGNON</t>
  </si>
  <si>
    <t xml:space="preserve">REGALIAS NAF NAF </t>
  </si>
  <si>
    <t>REGALIAS CHEV</t>
  </si>
  <si>
    <t>REGALIAS NAF</t>
  </si>
  <si>
    <t>MES</t>
  </si>
  <si>
    <t>CANTIDAD</t>
  </si>
  <si>
    <t>PROIN</t>
  </si>
  <si>
    <t>INTERCREDITO</t>
  </si>
  <si>
    <t>JP MORGAN</t>
  </si>
  <si>
    <t>JP MORGAN TODAS LAS MARCAS</t>
  </si>
  <si>
    <t>BOGOTA MIAMI</t>
  </si>
  <si>
    <t>SUMAR LOS ANTICIPOS</t>
  </si>
  <si>
    <t xml:space="preserve">MERCADEO </t>
  </si>
  <si>
    <t>a los numerados sumar 5 mas</t>
  </si>
  <si>
    <t>COMPANHIA INDUSTRIAL CATAGUASES</t>
  </si>
  <si>
    <t>ESPRIT WHOLESALE</t>
  </si>
  <si>
    <t>EDUARDO URIETA</t>
  </si>
  <si>
    <t>IMP0064</t>
  </si>
  <si>
    <t>IMP0019</t>
  </si>
  <si>
    <t>pago de mas en la 9784</t>
  </si>
  <si>
    <t>BALNOR</t>
  </si>
  <si>
    <t>DALILA TEXTIL</t>
  </si>
  <si>
    <t>MARITAS</t>
  </si>
  <si>
    <t>ORTA ANADOLU</t>
  </si>
  <si>
    <t>INTERESES</t>
  </si>
  <si>
    <t>CIA DE FIACAO E TECIDOS CEDRO</t>
  </si>
  <si>
    <t>IMP0037</t>
  </si>
  <si>
    <t>IMP0048</t>
  </si>
  <si>
    <t>JP MORGAN NA</t>
  </si>
  <si>
    <t>JP MORGAN SUISSE</t>
  </si>
  <si>
    <t>COLBAIX</t>
  </si>
  <si>
    <t>antes de la 10287</t>
  </si>
  <si>
    <t>Antes de la 10116</t>
  </si>
  <si>
    <t>RICEBALL</t>
  </si>
  <si>
    <t>SHOWSHA</t>
  </si>
  <si>
    <t>G STAR</t>
  </si>
  <si>
    <t>IMP0074</t>
  </si>
  <si>
    <t>ZHEJIANG JINSUO</t>
  </si>
  <si>
    <t>IMP0115</t>
  </si>
  <si>
    <t>IMP0116</t>
  </si>
  <si>
    <t>RB DENIM</t>
  </si>
  <si>
    <t>IMP0009</t>
  </si>
  <si>
    <t>NEXT MANAGEMENT</t>
  </si>
  <si>
    <t>RETAIL MIND</t>
  </si>
  <si>
    <t>Antes de la 10183</t>
  </si>
  <si>
    <t>antes de la 10308</t>
  </si>
  <si>
    <t>antes de la 10111</t>
  </si>
  <si>
    <t>antes de la 10267</t>
  </si>
  <si>
    <t xml:space="preserve">INTERESES </t>
  </si>
  <si>
    <t>9923 - IMP0072</t>
  </si>
  <si>
    <t>7811 - IMP0024</t>
  </si>
  <si>
    <t>9929 - IMP0008</t>
  </si>
  <si>
    <t>GLOBAL TEXTILE</t>
  </si>
  <si>
    <t>IMP0042</t>
  </si>
  <si>
    <t>IMP0049</t>
  </si>
  <si>
    <t>8021000437058</t>
  </si>
  <si>
    <t>8021000437003</t>
  </si>
  <si>
    <t>antes de la 10288</t>
  </si>
  <si>
    <t>antes de la 9934</t>
  </si>
  <si>
    <t>antes de la 9936</t>
  </si>
  <si>
    <t>antes de la 10112</t>
  </si>
  <si>
    <t>antes de la 10120</t>
  </si>
  <si>
    <t>IMP0025</t>
  </si>
  <si>
    <t>IMP0073</t>
  </si>
  <si>
    <t>IMP0068</t>
  </si>
  <si>
    <t>IMP0036</t>
  </si>
  <si>
    <t>IMP0062</t>
  </si>
  <si>
    <t>KROKOM - TRIANGULACION</t>
  </si>
  <si>
    <t>antes de la 10265</t>
  </si>
  <si>
    <t>antes de la impo 10327</t>
  </si>
  <si>
    <t>DESCUENTO PRONTO PAGO</t>
  </si>
  <si>
    <t>se pago de mas en la 10317</t>
  </si>
  <si>
    <t>IMP0020</t>
  </si>
  <si>
    <t>IMP0080</t>
  </si>
  <si>
    <t>IMP0075</t>
  </si>
  <si>
    <t>SHAOXING YUZE</t>
  </si>
  <si>
    <t>SHAOXING MANYI</t>
  </si>
  <si>
    <t>SHAOXING TUJIA</t>
  </si>
  <si>
    <t>IMP0026</t>
  </si>
  <si>
    <t>JULIANA LATTUCA</t>
  </si>
  <si>
    <t>MIX MODELS</t>
  </si>
  <si>
    <t>IMP0152</t>
  </si>
  <si>
    <t>FWD GF</t>
  </si>
  <si>
    <t>pago de mas en la 9743</t>
  </si>
  <si>
    <t>antes de la impo 10522</t>
  </si>
  <si>
    <t>SHAOXING OMMA</t>
  </si>
  <si>
    <t>SHAFI TEXCEL</t>
  </si>
  <si>
    <t>MEGA BUSINESS GROUP</t>
  </si>
  <si>
    <t>Pago doble reasignado</t>
  </si>
  <si>
    <t>IMP0006</t>
  </si>
  <si>
    <t>IMP0077</t>
  </si>
  <si>
    <t>IMP0010</t>
  </si>
  <si>
    <t>IMP0011</t>
  </si>
  <si>
    <t>ANDREA BORRERO ANGEL</t>
  </si>
  <si>
    <t>IMP0058</t>
  </si>
  <si>
    <t>Se pagó de mas en la 10207</t>
  </si>
  <si>
    <t>INTERESES JP SUISSE</t>
  </si>
  <si>
    <t>ETHNIC CRAFTART</t>
  </si>
  <si>
    <t>IMP0038</t>
  </si>
  <si>
    <t>IMP0027</t>
  </si>
  <si>
    <t>IMP0041</t>
  </si>
  <si>
    <t>IMP0051</t>
  </si>
  <si>
    <t>IMP0059</t>
  </si>
  <si>
    <t>IMP0078</t>
  </si>
  <si>
    <t>IMP0096</t>
  </si>
  <si>
    <t>IMP0103</t>
  </si>
  <si>
    <t>IMP0050</t>
  </si>
  <si>
    <t>pago de mas en la 9038</t>
  </si>
  <si>
    <t>Pago de mas en la 9868</t>
  </si>
  <si>
    <t>antes de la 10193</t>
  </si>
  <si>
    <t>antes de la 10363</t>
  </si>
  <si>
    <t>HANGZHOU EAZZY</t>
  </si>
  <si>
    <t>SHAOXING NAYING</t>
  </si>
  <si>
    <t>IMP0164</t>
  </si>
  <si>
    <t>IMP0114</t>
  </si>
  <si>
    <t>VRIJESH NATURAL</t>
  </si>
  <si>
    <t>KELLY TALAMAS</t>
  </si>
  <si>
    <t>10090 - IMP0044</t>
  </si>
  <si>
    <t>10088 - IMP0045</t>
  </si>
  <si>
    <t>IMP0110</t>
  </si>
  <si>
    <t>Pago doble</t>
  </si>
  <si>
    <t>IMP0057</t>
  </si>
  <si>
    <t>IMP0099</t>
  </si>
  <si>
    <t>IMP0101</t>
  </si>
  <si>
    <t>IMP0094</t>
  </si>
  <si>
    <t>IMP0007</t>
  </si>
  <si>
    <t>IMP0039</t>
  </si>
  <si>
    <t>IMP9904</t>
  </si>
  <si>
    <t>IMP10086</t>
  </si>
  <si>
    <t>MERCADEO Y MODA SA - TRIANGULACION</t>
  </si>
  <si>
    <t>10091 - IMP0046</t>
  </si>
  <si>
    <t>10089 - IMP0043</t>
  </si>
  <si>
    <t>9628 - IMP0111</t>
  </si>
  <si>
    <t>KASSIM TEXTILES</t>
  </si>
  <si>
    <t>IMP0097</t>
  </si>
  <si>
    <t>IMP0102</t>
  </si>
  <si>
    <t>IMP0129</t>
  </si>
  <si>
    <t>IMP0124</t>
  </si>
  <si>
    <t>IMP0052</t>
  </si>
  <si>
    <t>IMP0146</t>
  </si>
  <si>
    <t>IMP0215</t>
  </si>
  <si>
    <t>10092 - IMP0063</t>
  </si>
  <si>
    <t>9849 - IMP0126</t>
  </si>
  <si>
    <t>IMP0211</t>
  </si>
  <si>
    <t>MERCADEO Y MODA SA</t>
  </si>
  <si>
    <t>ACE GLOBAL</t>
  </si>
  <si>
    <t>10011 - IMP0016</t>
  </si>
  <si>
    <t>IMP0119</t>
  </si>
  <si>
    <t>IMP0139</t>
  </si>
  <si>
    <t>IMP0117</t>
  </si>
  <si>
    <t>IMP0133</t>
  </si>
  <si>
    <t>IMP0144</t>
  </si>
  <si>
    <t>IMP0170</t>
  </si>
  <si>
    <t>IMP0029</t>
  </si>
  <si>
    <t>IMP0169</t>
  </si>
  <si>
    <t>10798-10512</t>
  </si>
  <si>
    <t>IMP0047</t>
  </si>
  <si>
    <t>antes de la 10577</t>
  </si>
  <si>
    <t>antes de la impo 10526</t>
  </si>
  <si>
    <t>antes de la 10523</t>
  </si>
  <si>
    <t>antes de la 10522</t>
  </si>
  <si>
    <t>Devolución</t>
  </si>
  <si>
    <t>TASA</t>
  </si>
  <si>
    <t>BHARTIYA</t>
  </si>
  <si>
    <t>REPRIND SAC</t>
  </si>
  <si>
    <t>IMP0112</t>
  </si>
  <si>
    <t>IMP0137</t>
  </si>
  <si>
    <t>IMP0030</t>
  </si>
  <si>
    <t>IMP0031</t>
  </si>
  <si>
    <t>IMP0032</t>
  </si>
  <si>
    <t>IMP0033</t>
  </si>
  <si>
    <t>IMP0227</t>
  </si>
  <si>
    <t>IMP0143</t>
  </si>
  <si>
    <t>IMP0177</t>
  </si>
  <si>
    <t>IMP0157</t>
  </si>
  <si>
    <t>IMP0180</t>
  </si>
  <si>
    <t>Se pagó de mas en la 10719</t>
  </si>
  <si>
    <t>IMP0145</t>
  </si>
  <si>
    <t>IMP0081</t>
  </si>
  <si>
    <t>IMP0095</t>
  </si>
  <si>
    <t>IMP0120</t>
  </si>
  <si>
    <t>IMP0104</t>
  </si>
  <si>
    <t>IMP0106</t>
  </si>
  <si>
    <t>IMP0034</t>
  </si>
  <si>
    <t>IMP0035</t>
  </si>
  <si>
    <t>IMP0028</t>
  </si>
  <si>
    <t>IMP0098</t>
  </si>
  <si>
    <t>IMP0216</t>
  </si>
  <si>
    <t>IMP0241</t>
  </si>
  <si>
    <t>IMP0224</t>
  </si>
  <si>
    <t>IMP0238</t>
  </si>
  <si>
    <t>IMP0228</t>
  </si>
  <si>
    <t>IMP0239</t>
  </si>
  <si>
    <t>Empresa</t>
  </si>
  <si>
    <t>Proveedor</t>
  </si>
  <si>
    <t>Fecha de apertura o prórroga</t>
  </si>
  <si>
    <t>Fecha de vencimiento</t>
  </si>
  <si>
    <t>Monto</t>
  </si>
  <si>
    <t>Moneda</t>
  </si>
  <si>
    <t># de producto</t>
  </si>
  <si>
    <t>Tasa de apertura o modificación</t>
  </si>
  <si>
    <t>Cobro mensaje swift USD</t>
  </si>
  <si>
    <t>Tasa Banco Corresponsal</t>
  </si>
  <si>
    <t>Comisión de apertura o prórroga</t>
  </si>
  <si>
    <t>Mensaje swift</t>
  </si>
  <si>
    <t>Comisión modificación</t>
  </si>
  <si>
    <t>TRM</t>
  </si>
  <si>
    <t>Fecha de cobro Banco Corresponsal</t>
  </si>
  <si>
    <t>Cobro Banco Corresponsal</t>
  </si>
  <si>
    <t>TRM Cobro Corresponsal</t>
  </si>
  <si>
    <t>Total cobros</t>
  </si>
  <si>
    <t>Comodin</t>
  </si>
  <si>
    <t xml:space="preserve">Industria Mercadeo y Color </t>
  </si>
  <si>
    <t>Esprit</t>
  </si>
  <si>
    <t>John Uribe</t>
  </si>
  <si>
    <t>Punto fa</t>
  </si>
  <si>
    <t xml:space="preserve">Fecha de apertura </t>
  </si>
  <si>
    <t xml:space="preserve">Tasa de apertura </t>
  </si>
  <si>
    <t>Tasa días adicionales</t>
  </si>
  <si>
    <t>Cobro utilización USD</t>
  </si>
  <si>
    <t>Comisión días adicionales</t>
  </si>
  <si>
    <t>Comisión utilización</t>
  </si>
  <si>
    <t>Total comisiones</t>
  </si>
  <si>
    <t>FU SHENG</t>
  </si>
  <si>
    <t>inicialmente de la 10554</t>
  </si>
  <si>
    <t>ALMACENES DE PRATI</t>
  </si>
  <si>
    <t>BANCO DE BOGOTÁ</t>
  </si>
  <si>
    <t>IMP0184</t>
  </si>
  <si>
    <t>IMP0109</t>
  </si>
  <si>
    <t>IMP0147</t>
  </si>
  <si>
    <t>IMP0128</t>
  </si>
  <si>
    <t>IMP0067</t>
  </si>
  <si>
    <t>IMP0108</t>
  </si>
  <si>
    <t>ANHUI HUISHANG</t>
  </si>
  <si>
    <t>IMP0138</t>
  </si>
  <si>
    <t>IMP0105</t>
  </si>
  <si>
    <t>ZHEJIANG SANSEN</t>
  </si>
  <si>
    <t>IMP0182</t>
  </si>
  <si>
    <t>IMP0179</t>
  </si>
  <si>
    <t>IMP0205</t>
  </si>
  <si>
    <t>IMP0084</t>
  </si>
  <si>
    <t>IMP0113</t>
  </si>
  <si>
    <t>10020 - IMP0071</t>
  </si>
  <si>
    <t>IMP0055</t>
  </si>
  <si>
    <t>antes de la 10638</t>
  </si>
  <si>
    <t>antes de la 10454</t>
  </si>
  <si>
    <t>se pago de mas en la 10518</t>
  </si>
  <si>
    <t>JIANGSU PINYTEX</t>
  </si>
  <si>
    <t>IMP0154</t>
  </si>
  <si>
    <t>IMP0082</t>
  </si>
  <si>
    <t>IMP0083</t>
  </si>
  <si>
    <t>IMP0217</t>
  </si>
  <si>
    <t>IMP0187</t>
  </si>
  <si>
    <t>INTERESES GF</t>
  </si>
  <si>
    <t>SANKO INTERNATIONAL</t>
  </si>
  <si>
    <t>9736 - IMP0081</t>
  </si>
  <si>
    <t>IMP0150</t>
  </si>
  <si>
    <t>IMP0142</t>
  </si>
  <si>
    <t>IMP0130</t>
  </si>
  <si>
    <t xml:space="preserve">IMP0131 </t>
  </si>
  <si>
    <t>IMP0069</t>
  </si>
  <si>
    <t>Muestras</t>
  </si>
  <si>
    <t>IMP0085</t>
  </si>
  <si>
    <t>IMP0086</t>
  </si>
  <si>
    <t>IMP0213</t>
  </si>
  <si>
    <t>IMP0259</t>
  </si>
  <si>
    <t>antes de la 10763</t>
  </si>
  <si>
    <t>se pagó de mas en la IMP0164</t>
  </si>
  <si>
    <t>inicialmente de la 10552</t>
  </si>
  <si>
    <t>IMP0262</t>
  </si>
  <si>
    <t>IMP0275</t>
  </si>
  <si>
    <t>PAKIPEK</t>
  </si>
  <si>
    <t>IMP0093</t>
  </si>
  <si>
    <t>IMP0148</t>
  </si>
  <si>
    <t>OC7674</t>
  </si>
  <si>
    <t>IMP0087</t>
  </si>
  <si>
    <t>IMP0090</t>
  </si>
  <si>
    <t>IMP0231</t>
  </si>
  <si>
    <t>antes de la 10556</t>
  </si>
  <si>
    <t>antes de la 10860</t>
  </si>
  <si>
    <t>antes de la 10580</t>
  </si>
  <si>
    <t>antes de la 10524</t>
  </si>
  <si>
    <t>FOREX - Pago derecho de entrada Serrezuela</t>
  </si>
  <si>
    <t>IMP0118</t>
  </si>
  <si>
    <t>IMP0156</t>
  </si>
  <si>
    <t>IMP0234</t>
  </si>
  <si>
    <t>IMP0194</t>
  </si>
  <si>
    <t>IMP0089</t>
  </si>
  <si>
    <t>IMP0141</t>
  </si>
  <si>
    <t>IMP0181</t>
  </si>
  <si>
    <t>IMP0122</t>
  </si>
  <si>
    <t>IMP0210</t>
  </si>
  <si>
    <t>IMP0274</t>
  </si>
  <si>
    <t>IMP0225</t>
  </si>
  <si>
    <t>antes de la 10790</t>
  </si>
  <si>
    <t>OZEL TEKSTIL</t>
  </si>
  <si>
    <t>IMP0088</t>
  </si>
  <si>
    <t>IMP0091</t>
  </si>
  <si>
    <t>inicialmente de la 10769</t>
  </si>
  <si>
    <t>inicialmente de la 10804</t>
  </si>
  <si>
    <t>inicialmente de la 10803</t>
  </si>
  <si>
    <t>inicialmente de la 10484</t>
  </si>
  <si>
    <t>inicialmente de la 10481</t>
  </si>
  <si>
    <t>RSWM LIMITED</t>
  </si>
  <si>
    <t>IMP0149</t>
  </si>
  <si>
    <t>IMP0171</t>
  </si>
  <si>
    <t>IMP0186</t>
  </si>
  <si>
    <t>IMP0100</t>
  </si>
  <si>
    <t>IMP0121</t>
  </si>
  <si>
    <t>IMP0107</t>
  </si>
  <si>
    <t>IMP0092</t>
  </si>
  <si>
    <t>IMP0158</t>
  </si>
  <si>
    <t>CANCELACION JP SUISSE</t>
  </si>
  <si>
    <t>Triangulación</t>
  </si>
  <si>
    <t>SVES APPPAREL</t>
  </si>
  <si>
    <t>IMP0167</t>
  </si>
  <si>
    <t>IMP0123</t>
  </si>
  <si>
    <t>IMP0172</t>
  </si>
  <si>
    <t>OC7724</t>
  </si>
  <si>
    <t>inicialmente de la 10768</t>
  </si>
  <si>
    <t>inicialmente de  la 10767</t>
  </si>
  <si>
    <t>IMP0196</t>
  </si>
  <si>
    <t>IMP0197</t>
  </si>
  <si>
    <t>IMP0183</t>
  </si>
  <si>
    <t>Devolución por pago demás en importación IMP0227</t>
  </si>
  <si>
    <t>antes de la 10998</t>
  </si>
  <si>
    <t>antes de la 10839</t>
  </si>
  <si>
    <t>FORD MODELS INC</t>
  </si>
  <si>
    <t>FORD MODELS NY</t>
  </si>
  <si>
    <t>IMP0193</t>
  </si>
  <si>
    <t>IMP0229</t>
  </si>
  <si>
    <t>IMP0289</t>
  </si>
  <si>
    <t>IMP0297</t>
  </si>
  <si>
    <t>IMP0315</t>
  </si>
  <si>
    <t>IMP0219</t>
  </si>
  <si>
    <t>FABRICS AND TEXTILES</t>
  </si>
  <si>
    <t>IMP0173</t>
  </si>
  <si>
    <t>IMP0214</t>
  </si>
  <si>
    <t>IMP0159</t>
  </si>
  <si>
    <t>IMP0174</t>
  </si>
  <si>
    <t>IMP0264</t>
  </si>
  <si>
    <t>IMP0235</t>
  </si>
  <si>
    <t>IMP0168</t>
  </si>
  <si>
    <t>IMP0190</t>
  </si>
  <si>
    <t>IMP0189</t>
  </si>
  <si>
    <t>IMP0191</t>
  </si>
  <si>
    <t>DIAMOND FABRICS</t>
  </si>
  <si>
    <t>TICA CASTAÑO</t>
  </si>
  <si>
    <t>IMP0233</t>
  </si>
  <si>
    <t>IMP0127</t>
  </si>
  <si>
    <t>IMP0165</t>
  </si>
  <si>
    <t>IMP0140</t>
  </si>
  <si>
    <t>IMP0160</t>
  </si>
  <si>
    <t>IMP0162</t>
  </si>
  <si>
    <t>IMP0192</t>
  </si>
  <si>
    <t>ROGELIO HUESCA SUAREZ</t>
  </si>
  <si>
    <t>IMP0125</t>
  </si>
  <si>
    <t>IMP0132</t>
  </si>
  <si>
    <t>IMP0279</t>
  </si>
  <si>
    <t>IMP0291</t>
  </si>
  <si>
    <t>IMP0290</t>
  </si>
  <si>
    <t>IMP0163</t>
  </si>
  <si>
    <t>IMP0178</t>
  </si>
  <si>
    <t>IMP0242</t>
  </si>
  <si>
    <t>SHAOXING CITY</t>
  </si>
  <si>
    <t>SHAOXING XUDIAN</t>
  </si>
  <si>
    <t>ZHEJIANG LIZABELLA</t>
  </si>
  <si>
    <t>SHAOXING SHANHAI</t>
  </si>
  <si>
    <t>IMP0206</t>
  </si>
  <si>
    <t>IMP0204</t>
  </si>
  <si>
    <t>IMP0161</t>
  </si>
  <si>
    <t>IMP0298</t>
  </si>
  <si>
    <t>IMP0295</t>
  </si>
  <si>
    <t>IMP0293</t>
  </si>
  <si>
    <t>IMP0303</t>
  </si>
  <si>
    <t>IMP0245</t>
  </si>
  <si>
    <t>IMP0240</t>
  </si>
  <si>
    <t>IMPRIMA</t>
  </si>
  <si>
    <t>MALHAS MENEGOTTI</t>
  </si>
  <si>
    <t xml:space="preserve">JEWEL </t>
  </si>
  <si>
    <t>IMP0207</t>
  </si>
  <si>
    <t>MUESTRAS</t>
  </si>
  <si>
    <t>IMP0209</t>
  </si>
  <si>
    <t>IMP0198</t>
  </si>
  <si>
    <t>IMP0218</t>
  </si>
  <si>
    <t>IMP0153</t>
  </si>
  <si>
    <t>IMP0201</t>
  </si>
  <si>
    <t>BOTMAKER</t>
  </si>
  <si>
    <t>IMP0244</t>
  </si>
  <si>
    <t>IMP0199</t>
  </si>
  <si>
    <t>IMP0202</t>
  </si>
  <si>
    <t>IMP0203</t>
  </si>
  <si>
    <t>IMP0226</t>
  </si>
  <si>
    <t>IMP00019</t>
  </si>
  <si>
    <t>ZHEJIANG SHAOXING</t>
  </si>
  <si>
    <t>OC7845</t>
  </si>
  <si>
    <t>OC7844</t>
  </si>
  <si>
    <t>IMP0166</t>
  </si>
  <si>
    <t>IMP0302</t>
  </si>
  <si>
    <t>IMP0246</t>
  </si>
  <si>
    <t>IMP0220</t>
  </si>
  <si>
    <t>TM25 HOLDING BV</t>
  </si>
  <si>
    <t>G STAR RAW C. V</t>
  </si>
  <si>
    <t>ESPRIT WHOLESALE GMBH</t>
  </si>
  <si>
    <t>AEO MANAGEMENT CO</t>
  </si>
  <si>
    <t>PUNTO FA SA</t>
  </si>
  <si>
    <t>LORD KRISHNA</t>
  </si>
  <si>
    <t>SHAOXING JINZHOU</t>
  </si>
  <si>
    <t>IMP0185</t>
  </si>
  <si>
    <t>IMP0232</t>
  </si>
  <si>
    <t>IMP0257</t>
  </si>
  <si>
    <t>IMP0277</t>
  </si>
  <si>
    <t>IMP0276</t>
  </si>
  <si>
    <t>TOPMAN INTERNATIONAL</t>
  </si>
  <si>
    <t>IMP0230</t>
  </si>
  <si>
    <t>IMP0134</t>
  </si>
  <si>
    <t>OC7691 IMP0357</t>
  </si>
  <si>
    <t>IMP0176</t>
  </si>
  <si>
    <t>IMP0237</t>
  </si>
  <si>
    <t>IMP0236</t>
  </si>
  <si>
    <t>IMP0258</t>
  </si>
  <si>
    <t>IMP0255</t>
  </si>
  <si>
    <t>IMP0322</t>
  </si>
  <si>
    <t>IMP0243</t>
  </si>
  <si>
    <t>IMP0261</t>
  </si>
  <si>
    <t>IMP0208</t>
  </si>
  <si>
    <t>IMP0282</t>
  </si>
  <si>
    <t>IMP0200</t>
  </si>
  <si>
    <t>IMP0283</t>
  </si>
  <si>
    <t>IMP0284</t>
  </si>
  <si>
    <t>IMP0286</t>
  </si>
  <si>
    <t>OC7871 IMP0355</t>
  </si>
  <si>
    <t>Devolución a cliente por garantía</t>
  </si>
  <si>
    <t>Observaciones</t>
  </si>
  <si>
    <t>FOREX - Factura Software</t>
  </si>
  <si>
    <t>FOREX - Impresora</t>
  </si>
  <si>
    <t>FOREX - Antes de la 10983</t>
  </si>
  <si>
    <t>IMP0285</t>
  </si>
  <si>
    <t>IMP0256</t>
  </si>
  <si>
    <t>IMP0265</t>
  </si>
  <si>
    <t>IMP0263</t>
  </si>
  <si>
    <t>IMP0247</t>
  </si>
  <si>
    <t>IMP0248</t>
  </si>
  <si>
    <t>IMP0249</t>
  </si>
  <si>
    <t>OC7747</t>
  </si>
  <si>
    <t>OC7805</t>
  </si>
  <si>
    <t>OC7830</t>
  </si>
  <si>
    <t>OC7824</t>
  </si>
  <si>
    <t>OC7829</t>
  </si>
  <si>
    <t>OC7826</t>
  </si>
  <si>
    <t>OC7827</t>
  </si>
  <si>
    <t>OC7828</t>
  </si>
  <si>
    <t>OC7825</t>
  </si>
  <si>
    <t>IMP0175</t>
  </si>
  <si>
    <t>IMP0188</t>
  </si>
  <si>
    <t>Antes la imp 11160</t>
  </si>
  <si>
    <t>Antes de la 11182</t>
  </si>
  <si>
    <t>Antes de la 11194</t>
  </si>
  <si>
    <t>Antes 11286</t>
  </si>
  <si>
    <t>Antes 11425</t>
  </si>
  <si>
    <t>Antes 11426</t>
  </si>
  <si>
    <t>Antes 11071</t>
  </si>
  <si>
    <t>Antes 11149</t>
  </si>
  <si>
    <t>Antes 11157</t>
  </si>
  <si>
    <t>Antes 11159</t>
  </si>
  <si>
    <t>Pago de intereses</t>
  </si>
  <si>
    <t>IMP0223</t>
  </si>
  <si>
    <t>IMP0281</t>
  </si>
  <si>
    <t>IMP0300</t>
  </si>
  <si>
    <t>IMP0222</t>
  </si>
  <si>
    <t>se pago de mas y se agg a las otras 2 imp</t>
  </si>
  <si>
    <t>GSTAR</t>
  </si>
  <si>
    <t>BONDING SA</t>
  </si>
  <si>
    <t>IMP0250</t>
  </si>
  <si>
    <t>IMP0251</t>
  </si>
  <si>
    <t>IMP0252</t>
  </si>
  <si>
    <t>IMP0321</t>
  </si>
  <si>
    <t>IMP0330</t>
  </si>
  <si>
    <t>IMP0299</t>
  </si>
  <si>
    <t>FT01-0021853</t>
  </si>
  <si>
    <t>FT01-0021854</t>
  </si>
  <si>
    <t>Antes 10715</t>
  </si>
  <si>
    <t>Antes 11324</t>
  </si>
  <si>
    <t>Antes 11301</t>
  </si>
  <si>
    <t>Antes 11300</t>
  </si>
  <si>
    <t>Antes 11089</t>
  </si>
  <si>
    <t>Antes 11064</t>
  </si>
  <si>
    <t>Antes 11181</t>
  </si>
  <si>
    <t>IMP0253</t>
  </si>
  <si>
    <t>IMP0316</t>
  </si>
  <si>
    <t>Antes la imp 11211</t>
  </si>
  <si>
    <t>OC7818</t>
  </si>
  <si>
    <t>OC7923</t>
  </si>
  <si>
    <t>IMP0287</t>
  </si>
  <si>
    <t>IMP0221</t>
  </si>
  <si>
    <t>GERARDO CESAR ARELLANO</t>
  </si>
  <si>
    <t>IMP0269</t>
  </si>
  <si>
    <t>IMP0268</t>
  </si>
  <si>
    <t>MANUFACTURAS INTERAMERICANAS</t>
  </si>
  <si>
    <t>Reintegro a proveedor de retención en la fuente</t>
  </si>
  <si>
    <t>IMP0278</t>
  </si>
  <si>
    <t>IMP0317</t>
  </si>
  <si>
    <t>IMP0327</t>
  </si>
  <si>
    <t>IMP0355</t>
  </si>
  <si>
    <t>IMP0357</t>
  </si>
  <si>
    <t>IMP0381</t>
  </si>
  <si>
    <t>COMODIN SA (ECUADOR)</t>
  </si>
  <si>
    <t>Anticipo</t>
  </si>
  <si>
    <t>SHAOXING TOFFEE</t>
  </si>
  <si>
    <t>IMP0254</t>
  </si>
  <si>
    <t>IMP0266</t>
  </si>
  <si>
    <t>IMP0318</t>
  </si>
  <si>
    <t>OC7979</t>
  </si>
  <si>
    <t>OC7980</t>
  </si>
  <si>
    <t>IMP0267</t>
  </si>
  <si>
    <t>antes la imp 11619</t>
  </si>
  <si>
    <t>antes la imp 11693</t>
  </si>
  <si>
    <t>HOUSTON GALLERIA IV SA GALLERIA LLC</t>
  </si>
  <si>
    <t>MERCADEO</t>
  </si>
  <si>
    <t>SOLEDAD BAENA</t>
  </si>
  <si>
    <t>PAYPAL</t>
  </si>
  <si>
    <t>Antes la imp 11255</t>
  </si>
  <si>
    <t>antes la imp 11257</t>
  </si>
  <si>
    <t>antes la imp 11449</t>
  </si>
  <si>
    <t>COMODIN SA</t>
  </si>
  <si>
    <t>VIVANT</t>
  </si>
  <si>
    <t>IMP0304</t>
  </si>
  <si>
    <t>IMP0270</t>
  </si>
  <si>
    <t>IMP0271</t>
  </si>
  <si>
    <t>IMP0288</t>
  </si>
  <si>
    <t>IMP0323</t>
  </si>
  <si>
    <t>IMP0414</t>
  </si>
  <si>
    <t>antes la imp 11466</t>
  </si>
  <si>
    <t>IMP0292</t>
  </si>
  <si>
    <t>IMP0296</t>
  </si>
  <si>
    <t>IMP0273</t>
  </si>
  <si>
    <t>IMP0306</t>
  </si>
  <si>
    <t>IMP0308</t>
  </si>
  <si>
    <t>IMP0294</t>
  </si>
  <si>
    <t>IMP0331</t>
  </si>
  <si>
    <t>IMP0360</t>
  </si>
  <si>
    <t>IMP0372</t>
  </si>
  <si>
    <t>IMP0376</t>
  </si>
  <si>
    <t>IMP0366</t>
  </si>
  <si>
    <t>IMP0382</t>
  </si>
  <si>
    <t xml:space="preserve">Cobro por modificación </t>
  </si>
  <si>
    <t>No se renovó</t>
  </si>
  <si>
    <t>0.6% + EUR 265</t>
  </si>
  <si>
    <t>1% + USD 270</t>
  </si>
  <si>
    <t>PREMIUM EXPORT</t>
  </si>
  <si>
    <t>JARED</t>
  </si>
  <si>
    <t>RTB HOUSE LATAM</t>
  </si>
  <si>
    <t>Pago sanción</t>
  </si>
  <si>
    <t>Cancelación crédito</t>
  </si>
  <si>
    <t>Antes la imp 10991</t>
  </si>
  <si>
    <t>Pago de mas en la 11130</t>
  </si>
  <si>
    <t>inicialmente de la 10770</t>
  </si>
  <si>
    <t>Pago de más en la 11366</t>
  </si>
  <si>
    <t>Antes la imp 11587</t>
  </si>
  <si>
    <t>Antes 11430</t>
  </si>
  <si>
    <t>La imp se parcializo 12030</t>
  </si>
  <si>
    <t>Banco de Bogotá Miami</t>
  </si>
  <si>
    <t>TOP SKY OCEAN</t>
  </si>
  <si>
    <t>IMP0272</t>
  </si>
  <si>
    <t>IMP0370</t>
  </si>
  <si>
    <t>IMP0358</t>
  </si>
  <si>
    <t>IMP0363</t>
  </si>
  <si>
    <t>IMP0362</t>
  </si>
  <si>
    <t>IMP0334</t>
  </si>
  <si>
    <t>IMP0387</t>
  </si>
  <si>
    <t>IMP0369</t>
  </si>
  <si>
    <t>IMP0430</t>
  </si>
  <si>
    <t>IMP0383</t>
  </si>
  <si>
    <t>IMP0371</t>
  </si>
  <si>
    <t>IMP0404</t>
  </si>
  <si>
    <t>IMP0462</t>
  </si>
  <si>
    <t>IMP0401</t>
  </si>
  <si>
    <t>IMP0407</t>
  </si>
  <si>
    <t>WGSN</t>
  </si>
  <si>
    <t>IMP0388</t>
  </si>
  <si>
    <t>IMP0385</t>
  </si>
  <si>
    <t>OC7887 IMP0454</t>
  </si>
  <si>
    <t>OC7862 IMP0407</t>
  </si>
  <si>
    <t>OC7813 IMP0403</t>
  </si>
  <si>
    <t>ORBIS CORPORATION</t>
  </si>
  <si>
    <t>PARFUMS JACQUES BOGART</t>
  </si>
  <si>
    <t>IMP0307</t>
  </si>
  <si>
    <t>IMP0311</t>
  </si>
  <si>
    <t>IMP0312</t>
  </si>
  <si>
    <t>IMP0390</t>
  </si>
  <si>
    <t>IMP0402</t>
  </si>
  <si>
    <t>IMP0427</t>
  </si>
  <si>
    <t>IMP0406</t>
  </si>
  <si>
    <t>IMP0433</t>
  </si>
  <si>
    <t>IMP0398</t>
  </si>
  <si>
    <t>IMP0403</t>
  </si>
  <si>
    <t>IMP0415</t>
  </si>
  <si>
    <t>FOREX - Pago derecho de entrada tienda mango San Nicolás</t>
  </si>
  <si>
    <t>antes 11412</t>
  </si>
  <si>
    <t>antes 11634</t>
  </si>
  <si>
    <t>antes 11403</t>
  </si>
  <si>
    <t>antes 11485</t>
  </si>
  <si>
    <t>antes 11577</t>
  </si>
  <si>
    <t>antes 11839</t>
  </si>
  <si>
    <t>antes 11684</t>
  </si>
  <si>
    <t>antes 11642</t>
  </si>
  <si>
    <t>antes 11699</t>
  </si>
  <si>
    <t>antes 11698</t>
  </si>
  <si>
    <t>Pagamos de más</t>
  </si>
  <si>
    <t>IMP0305</t>
  </si>
  <si>
    <t>IMP0280</t>
  </si>
  <si>
    <t>IMP0352</t>
  </si>
  <si>
    <t>IMP0378</t>
  </si>
  <si>
    <t>IMP0336</t>
  </si>
  <si>
    <t>IMP0351</t>
  </si>
  <si>
    <t>LUCKY SUN INTERNATIONAL</t>
  </si>
  <si>
    <t>IMP0413</t>
  </si>
  <si>
    <t>IMP0412</t>
  </si>
  <si>
    <t>IMP0426</t>
  </si>
  <si>
    <t>IMP0423</t>
  </si>
  <si>
    <t>IMP0416</t>
  </si>
  <si>
    <t>IMP0405</t>
  </si>
  <si>
    <t>IMP0506</t>
  </si>
  <si>
    <t>Antes 11765</t>
  </si>
  <si>
    <t>Se pago de más</t>
  </si>
  <si>
    <t>antes 11356</t>
  </si>
  <si>
    <t>IMP0309</t>
  </si>
  <si>
    <t>IMP0310</t>
  </si>
  <si>
    <t>IMP0328</t>
  </si>
  <si>
    <t>IMP0338</t>
  </si>
  <si>
    <t>IMP0320</t>
  </si>
  <si>
    <t>IMP0367</t>
  </si>
  <si>
    <t>IMP0399</t>
  </si>
  <si>
    <t>IMP0365</t>
  </si>
  <si>
    <t>IMP0386</t>
  </si>
  <si>
    <t>antes 11652</t>
  </si>
  <si>
    <t>amtes 11735</t>
  </si>
  <si>
    <t>IMP0508</t>
  </si>
  <si>
    <t>antes 11740</t>
  </si>
  <si>
    <t>FOREX - FACTURA 25002102</t>
  </si>
  <si>
    <t>FOREX - FACTURA 25004411</t>
  </si>
  <si>
    <t>FOREX - FACTURA 24135302</t>
  </si>
  <si>
    <t>antes 11337</t>
  </si>
  <si>
    <t>EDOTEX HANGZHOU</t>
  </si>
  <si>
    <t>antes 11929</t>
  </si>
  <si>
    <t>antes 11709</t>
  </si>
  <si>
    <t>antes 11878</t>
  </si>
  <si>
    <t>antes 11688</t>
  </si>
  <si>
    <t>antes 11766</t>
  </si>
  <si>
    <t>antes 11883</t>
  </si>
  <si>
    <t>Banco de Bogotá Miami antes la 11953</t>
  </si>
  <si>
    <t>Cliente</t>
  </si>
  <si>
    <t>Manufacturas Interamericanas SA</t>
  </si>
  <si>
    <t>usd</t>
  </si>
  <si>
    <t>Confirmación LC</t>
  </si>
  <si>
    <t>Cobro Corresponsal</t>
  </si>
  <si>
    <t>Mensaje swift USD</t>
  </si>
  <si>
    <t>Comisión de confirmación LC</t>
  </si>
  <si>
    <t>Gastos de correo</t>
  </si>
  <si>
    <t xml:space="preserve">El banco corresponsal envió mensaje swift diciendo que cobró lo que era </t>
  </si>
  <si>
    <t>Se realiza el reclamo a Bancolombia, ya que Katia no nos cotizó cobro trimestral. Bancolombia va asumir el cobro de los otros 3 trimestres, adicional el cobro debía ser en USD y cobraron en EUR hacen devolucion por 138920 pesos</t>
  </si>
  <si>
    <t>JORGE ADAMES</t>
  </si>
  <si>
    <t>antes 11785</t>
  </si>
  <si>
    <t>antes la 11720</t>
  </si>
  <si>
    <t>IMP0353</t>
  </si>
  <si>
    <t>IMP0356</t>
  </si>
  <si>
    <t>IMP0340</t>
  </si>
  <si>
    <t>IMP0341</t>
  </si>
  <si>
    <t>IMP0343</t>
  </si>
  <si>
    <t>IMP0333</t>
  </si>
  <si>
    <t>IMP0437</t>
  </si>
  <si>
    <t>IMP0454</t>
  </si>
  <si>
    <t>IMP0434</t>
  </si>
  <si>
    <t>IMP0458</t>
  </si>
  <si>
    <t>IMP0400</t>
  </si>
  <si>
    <t>IMP0468</t>
  </si>
  <si>
    <t>IMP0324</t>
  </si>
  <si>
    <t>IMP0389</t>
  </si>
  <si>
    <t>IMP0422</t>
  </si>
  <si>
    <t>IMP0408</t>
  </si>
  <si>
    <t>IMP0409</t>
  </si>
  <si>
    <t>IMP0456</t>
  </si>
  <si>
    <t>IMP0475</t>
  </si>
  <si>
    <t>IMP0435</t>
  </si>
  <si>
    <t>EXP - Devolución a cliente INVERSIONES PISTOL</t>
  </si>
  <si>
    <t>IMP0350</t>
  </si>
  <si>
    <t>IMP0339</t>
  </si>
  <si>
    <t>IMP0421</t>
  </si>
  <si>
    <t>IMP0410</t>
  </si>
  <si>
    <t>IMP0464</t>
  </si>
  <si>
    <t>IMP0419</t>
  </si>
  <si>
    <t>IMP0476</t>
  </si>
  <si>
    <t>IMP0424</t>
  </si>
  <si>
    <t>IMP0481</t>
  </si>
  <si>
    <t>ZHEJIANG SHINE</t>
  </si>
  <si>
    <t>IMP0509</t>
  </si>
  <si>
    <t>IMP0377</t>
  </si>
  <si>
    <t>TAILORIA GROUP HOLDING</t>
  </si>
  <si>
    <t>IMP0335</t>
  </si>
  <si>
    <t>IMP0342</t>
  </si>
  <si>
    <t>IMP0344</t>
  </si>
  <si>
    <t>IMP0332</t>
  </si>
  <si>
    <t>IMP0380</t>
  </si>
  <si>
    <t>SANTISTA</t>
  </si>
  <si>
    <t>IMP0354</t>
  </si>
  <si>
    <t>antes 11885</t>
  </si>
  <si>
    <t>antes 11355</t>
  </si>
  <si>
    <t>Pago intereses</t>
  </si>
  <si>
    <t>IMP0472</t>
  </si>
  <si>
    <t>IMP0345</t>
  </si>
  <si>
    <t>IMP0346</t>
  </si>
  <si>
    <t>IMP0348</t>
  </si>
  <si>
    <t>IMP0349</t>
  </si>
  <si>
    <t>IMP0510</t>
  </si>
  <si>
    <t>OC7247</t>
  </si>
  <si>
    <t>OC8171</t>
  </si>
  <si>
    <t>ILOGISTIC</t>
  </si>
  <si>
    <t>CEDI</t>
  </si>
  <si>
    <t>Antes 11896</t>
  </si>
  <si>
    <t>FOREX antes 11837</t>
  </si>
  <si>
    <t>GUANGZHOU COTTON FIELD TEXTILE</t>
  </si>
  <si>
    <t>IMP0364</t>
  </si>
  <si>
    <t>IMP0373</t>
  </si>
  <si>
    <t>IMP0397</t>
  </si>
  <si>
    <t>IMP0411</t>
  </si>
  <si>
    <t>IMP0497</t>
  </si>
  <si>
    <t>IMP0463</t>
  </si>
  <si>
    <t>IMP0466</t>
  </si>
  <si>
    <t>OC8274</t>
  </si>
  <si>
    <t>OC8278</t>
  </si>
  <si>
    <t>antes 11708</t>
  </si>
  <si>
    <t>antes 11908</t>
  </si>
  <si>
    <t>antes 11707</t>
  </si>
  <si>
    <t>IMP0511</t>
  </si>
  <si>
    <t>Se descuentan 70 USD pendientes</t>
  </si>
  <si>
    <t>IMP0465</t>
  </si>
  <si>
    <t>IMP0374</t>
  </si>
  <si>
    <t>IMP0431</t>
  </si>
  <si>
    <t>IMP0452</t>
  </si>
  <si>
    <t>IMP0453</t>
  </si>
  <si>
    <t>IMP0499</t>
  </si>
  <si>
    <t>IMP0501</t>
  </si>
  <si>
    <t>IMP0502</t>
  </si>
  <si>
    <t>IMP0503</t>
  </si>
  <si>
    <t>IMP0505</t>
  </si>
  <si>
    <t>IMP0507</t>
  </si>
  <si>
    <t>OC8263</t>
  </si>
  <si>
    <t>OC8276</t>
  </si>
  <si>
    <t>JOYLING LIMITED</t>
  </si>
  <si>
    <t>|</t>
  </si>
  <si>
    <t>Banco de Bogotá Miami cambio de impo</t>
  </si>
  <si>
    <t xml:space="preserve">Antes 12246 </t>
  </si>
  <si>
    <t>Antes 12239</t>
  </si>
  <si>
    <t>Antes 12287</t>
  </si>
  <si>
    <t>IMP0361</t>
  </si>
  <si>
    <t>IMP0425</t>
  </si>
  <si>
    <t>IMP0451</t>
  </si>
  <si>
    <t>IMP0457</t>
  </si>
  <si>
    <t>IMP0500</t>
  </si>
  <si>
    <t>OC8261</t>
  </si>
  <si>
    <t>Antes 12235</t>
  </si>
  <si>
    <t>Antes 12367</t>
  </si>
  <si>
    <t>IMP0368</t>
  </si>
  <si>
    <t>IMP0432</t>
  </si>
  <si>
    <t>IMP0438</t>
  </si>
  <si>
    <t>IMP0469</t>
  </si>
  <si>
    <t>IMP0471</t>
  </si>
  <si>
    <t>IMP0474</t>
  </si>
  <si>
    <t>FOREX / Antes Imp: 11682</t>
  </si>
  <si>
    <t>MAURICIO DAVILA</t>
  </si>
  <si>
    <t>OC8207 IMP0590</t>
  </si>
  <si>
    <t>ALBERTO ALVES MIRANDA</t>
  </si>
  <si>
    <t>IMP0484</t>
  </si>
  <si>
    <t>IMP0429</t>
  </si>
  <si>
    <t>IMP0470</t>
  </si>
  <si>
    <t>IMP0436</t>
  </si>
  <si>
    <t>IMP0392</t>
  </si>
  <si>
    <t>IMP0393</t>
  </si>
  <si>
    <t>IMP0347</t>
  </si>
  <si>
    <t>IMP0455</t>
  </si>
  <si>
    <t>IMP0537</t>
  </si>
  <si>
    <t>OC8268</t>
  </si>
  <si>
    <t>REGALIAS</t>
  </si>
  <si>
    <t>UNIKO MODEL AGENCY</t>
  </si>
  <si>
    <t>Antes 12398</t>
  </si>
  <si>
    <t>IMP0533</t>
  </si>
  <si>
    <t>IMP0459</t>
  </si>
  <si>
    <t>IMP0394</t>
  </si>
  <si>
    <t>IMP0396</t>
  </si>
  <si>
    <t>IMP0483</t>
  </si>
  <si>
    <t>IMP0543</t>
  </si>
  <si>
    <t>SHENGLAIXIN</t>
  </si>
  <si>
    <t>RICARDO &amp; JOAO</t>
  </si>
  <si>
    <t>Devolución por pago demás en importación IMP0481</t>
  </si>
  <si>
    <t>IMP0504</t>
  </si>
  <si>
    <t>IMP0592</t>
  </si>
  <si>
    <t>OC8277 IMP0592</t>
  </si>
  <si>
    <t>IMP0473</t>
  </si>
  <si>
    <t>IMP0549</t>
  </si>
  <si>
    <t>IMP0516</t>
  </si>
  <si>
    <t>OC8430</t>
  </si>
  <si>
    <t>GUANGZHOU LIDING</t>
  </si>
  <si>
    <t>IMP0395</t>
  </si>
  <si>
    <t>IMP0477</t>
  </si>
  <si>
    <t>IMP0478</t>
  </si>
  <si>
    <t>IMP0539</t>
  </si>
  <si>
    <t>IMP0525</t>
  </si>
  <si>
    <t>IMP0531</t>
  </si>
  <si>
    <t>IMP0538</t>
  </si>
  <si>
    <t>IMP0569</t>
  </si>
  <si>
    <t>IMP0573</t>
  </si>
  <si>
    <t>OC8445</t>
  </si>
  <si>
    <t>OC8446</t>
  </si>
  <si>
    <t>SHAOXING BEYONE TEXTILE</t>
  </si>
  <si>
    <t>SHAOXING LENORE TEXTILE</t>
  </si>
  <si>
    <t>SHAO XING HANG YUN TEXTILE</t>
  </si>
  <si>
    <t>OC8506</t>
  </si>
  <si>
    <t>Prepago parcial crédito 800.000</t>
  </si>
  <si>
    <t>antes 11889</t>
  </si>
  <si>
    <t>antes 12303</t>
  </si>
  <si>
    <t>antes 11638</t>
  </si>
  <si>
    <t>antes 12048</t>
  </si>
  <si>
    <t>antes 12110</t>
  </si>
  <si>
    <t>antes 11690</t>
  </si>
  <si>
    <t>antes 12411</t>
  </si>
  <si>
    <t>IMP0441</t>
  </si>
  <si>
    <t>IMP0443</t>
  </si>
  <si>
    <t>IMP0498</t>
  </si>
  <si>
    <t>IMP0545</t>
  </si>
  <si>
    <t>IMP0568</t>
  </si>
  <si>
    <t>IMP0548</t>
  </si>
  <si>
    <t>IMP0535</t>
  </si>
  <si>
    <t>IMP0614</t>
  </si>
  <si>
    <t>RESPONSABLE</t>
  </si>
  <si>
    <t>SI</t>
  </si>
  <si>
    <t>Ana Maria Mejia Chaverra</t>
  </si>
  <si>
    <t>LEGALIZACIÓN</t>
  </si>
  <si>
    <t>Ok</t>
  </si>
  <si>
    <t>Pendiente</t>
  </si>
  <si>
    <t>OC8357</t>
  </si>
  <si>
    <t>OC8358</t>
  </si>
  <si>
    <t>IMP0442</t>
  </si>
  <si>
    <t>IMP0444</t>
  </si>
  <si>
    <t>IMP0445</t>
  </si>
  <si>
    <t>IMP0514</t>
  </si>
  <si>
    <t>IMP0512</t>
  </si>
  <si>
    <t>IMP0520</t>
  </si>
  <si>
    <t>IMP0523</t>
  </si>
  <si>
    <t>IMP0518</t>
  </si>
  <si>
    <t>IMP0479</t>
  </si>
  <si>
    <t>IMP0617</t>
  </si>
  <si>
    <t>IMP0570</t>
  </si>
  <si>
    <t>IMP0596</t>
  </si>
  <si>
    <t>SPG HOUSTON HOLDINGS LP</t>
  </si>
  <si>
    <t>antes 12573</t>
  </si>
  <si>
    <t>Antes 12189</t>
  </si>
  <si>
    <t>antes 12378</t>
  </si>
  <si>
    <t>antes 12410</t>
  </si>
  <si>
    <t>antes 12559</t>
  </si>
  <si>
    <t>antes 12562</t>
  </si>
  <si>
    <t>antes 11691</t>
  </si>
  <si>
    <t>antes 11893</t>
  </si>
  <si>
    <t>antes 12062</t>
  </si>
  <si>
    <t>antes 12348</t>
  </si>
  <si>
    <t>antes 11955</t>
  </si>
  <si>
    <t>antes 11521</t>
  </si>
  <si>
    <t>antes 11646</t>
  </si>
  <si>
    <t>antes 11644</t>
  </si>
  <si>
    <t>antes 11751</t>
  </si>
  <si>
    <t>antes 11791</t>
  </si>
  <si>
    <t>IMP0418</t>
  </si>
  <si>
    <t>IMP0480</t>
  </si>
  <si>
    <t>IMP0517</t>
  </si>
  <si>
    <t>INDUSTRIA TEXTIL SANTA CLARA</t>
  </si>
  <si>
    <t>IMP0482</t>
  </si>
  <si>
    <t>IMP0532</t>
  </si>
  <si>
    <t>IMP0544</t>
  </si>
  <si>
    <t>IMP0567</t>
  </si>
  <si>
    <t>IMP0613</t>
  </si>
  <si>
    <t>UNIVERSAL CARGO PTY</t>
  </si>
  <si>
    <t>IMP0447</t>
  </si>
  <si>
    <t>IMP0528</t>
  </si>
  <si>
    <t>IMP0529</t>
  </si>
  <si>
    <t>IMP0546</t>
  </si>
  <si>
    <t>IMP0526</t>
  </si>
  <si>
    <t>IMP0536</t>
  </si>
  <si>
    <t>IMP0571</t>
  </si>
  <si>
    <t>IMP0584</t>
  </si>
  <si>
    <t>FASHION TRADEMARKS</t>
  </si>
  <si>
    <t>USIZY</t>
  </si>
  <si>
    <t>IMP0135</t>
  </si>
  <si>
    <t>IMP0541</t>
  </si>
  <si>
    <t>IMP0449</t>
  </si>
  <si>
    <t>IMP0450</t>
  </si>
  <si>
    <t>IMP0597</t>
  </si>
  <si>
    <t>IMP0598</t>
  </si>
  <si>
    <t>IMP0515</t>
  </si>
  <si>
    <t>IMP0622</t>
  </si>
  <si>
    <t>IMP0572</t>
  </si>
  <si>
    <t>IMP0643</t>
  </si>
  <si>
    <t>IMP0590</t>
  </si>
  <si>
    <t>IMP0593</t>
  </si>
  <si>
    <t>IMP0618</t>
  </si>
  <si>
    <t>IMP0485</t>
  </si>
  <si>
    <t>Antes 12465</t>
  </si>
  <si>
    <t>Antes 12674</t>
  </si>
  <si>
    <t>Se pago de más 2 usd</t>
  </si>
  <si>
    <t>ANTES 12412</t>
  </si>
  <si>
    <t>ANTES 12437</t>
  </si>
  <si>
    <t>ANTES 12838</t>
  </si>
  <si>
    <t>Antes 12050</t>
  </si>
  <si>
    <t>Antes 11913</t>
  </si>
  <si>
    <t>Antes 11912</t>
  </si>
  <si>
    <t>IMP0486</t>
  </si>
  <si>
    <t>IMP0487</t>
  </si>
  <si>
    <t>IMP0488</t>
  </si>
  <si>
    <t>IMP0489</t>
  </si>
  <si>
    <t>IMP0490</t>
  </si>
  <si>
    <t>IMP0527</t>
  </si>
  <si>
    <t>IMP0540</t>
  </si>
  <si>
    <t>IMP0586</t>
  </si>
  <si>
    <t>HEBEI XINDADONG TEXTILE</t>
  </si>
  <si>
    <t>HANGZHOU SANJIN</t>
  </si>
  <si>
    <t>IMP0467</t>
  </si>
  <si>
    <t>IMP0491</t>
  </si>
  <si>
    <t>IMP0519</t>
  </si>
  <si>
    <t>IMP0542</t>
  </si>
  <si>
    <t>ZHEJIANG LISTEN</t>
  </si>
  <si>
    <t>IMP0587</t>
  </si>
  <si>
    <t>VIYOM IMPEX PRIVATE</t>
  </si>
  <si>
    <t>IMP0642</t>
  </si>
  <si>
    <t>IMP0649</t>
  </si>
  <si>
    <t>IMP0673</t>
  </si>
  <si>
    <t xml:space="preserve">Luisa Fernanda Grajales Vinasco </t>
  </si>
  <si>
    <t>antes 12461</t>
  </si>
  <si>
    <t>antes 12600</t>
  </si>
  <si>
    <t>antes 12736</t>
  </si>
  <si>
    <t xml:space="preserve">antes 12663 </t>
  </si>
  <si>
    <t>antes 12693</t>
  </si>
  <si>
    <t>Antes 12519</t>
  </si>
  <si>
    <t>Antes 12532</t>
  </si>
  <si>
    <t>Antes 12744</t>
  </si>
  <si>
    <t>Antes 11665</t>
  </si>
  <si>
    <t>Antes 11865</t>
  </si>
  <si>
    <t>LECTRA SA</t>
  </si>
  <si>
    <t>Retail Royalty</t>
  </si>
  <si>
    <t>IMP0624</t>
  </si>
  <si>
    <t>IMP0492</t>
  </si>
  <si>
    <t>IMP0493</t>
  </si>
  <si>
    <t>IMP0495</t>
  </si>
  <si>
    <t>IMP0628</t>
  </si>
  <si>
    <t>IMP0645</t>
  </si>
  <si>
    <t>OC8599</t>
  </si>
  <si>
    <t>antes 12785</t>
  </si>
  <si>
    <t>De más</t>
  </si>
  <si>
    <t>antes 12336</t>
  </si>
  <si>
    <t>G STAR PIC HONG KONG LTD</t>
  </si>
  <si>
    <t>IMP0530</t>
  </si>
  <si>
    <t>CELITA</t>
  </si>
  <si>
    <t>IMP0496</t>
  </si>
  <si>
    <t>IMP0550</t>
  </si>
  <si>
    <t>IMP0564</t>
  </si>
  <si>
    <t>IMP0565</t>
  </si>
  <si>
    <t>IMP0575</t>
  </si>
  <si>
    <t>IMP0585</t>
  </si>
  <si>
    <t>IMP0562</t>
  </si>
  <si>
    <t>IMP0583</t>
  </si>
  <si>
    <t>IMP0647</t>
  </si>
  <si>
    <t>REGALIAS TM25 HOLDING</t>
  </si>
  <si>
    <t xml:space="preserve">G STAR </t>
  </si>
  <si>
    <t>Diferencia mayo</t>
  </si>
  <si>
    <t>Diferencia abril</t>
  </si>
  <si>
    <t>IMP0551</t>
  </si>
  <si>
    <t>IMP0521</t>
  </si>
  <si>
    <t>FT01-0022508</t>
  </si>
  <si>
    <t>FT01-0022507</t>
  </si>
  <si>
    <t>FT01-0022444</t>
  </si>
  <si>
    <t>FT01-0022384</t>
  </si>
  <si>
    <t>IMP0553</t>
  </si>
  <si>
    <t>IMP0566</t>
  </si>
  <si>
    <t>IMP0578</t>
  </si>
  <si>
    <t>IMP0663</t>
  </si>
  <si>
    <t>IMP0594</t>
  </si>
  <si>
    <t>IMP0630</t>
  </si>
  <si>
    <t>IMP0579</t>
  </si>
  <si>
    <t>antes 12947</t>
  </si>
  <si>
    <t>antes 12955</t>
  </si>
  <si>
    <t>antes 12459</t>
  </si>
  <si>
    <t>Hicieron una devolucion por 84.469.078 comisiones cobradas por error en los periodos 2022 y 2023</t>
  </si>
  <si>
    <t>Antes 12889</t>
  </si>
  <si>
    <t>IMP0494</t>
  </si>
  <si>
    <t>IMP0552</t>
  </si>
  <si>
    <t>IMP0554</t>
  </si>
  <si>
    <t>IMP0534</t>
  </si>
  <si>
    <t>IMP0623</t>
  </si>
  <si>
    <t>IMP0660</t>
  </si>
  <si>
    <t>IMP0651</t>
  </si>
  <si>
    <t>IMP0684</t>
  </si>
  <si>
    <t>SAHOXING ADA</t>
  </si>
  <si>
    <t>IMP0671</t>
  </si>
  <si>
    <t>IMP0670</t>
  </si>
  <si>
    <t>SOORTY ENTERPRISES</t>
  </si>
  <si>
    <t>IMP0557</t>
  </si>
  <si>
    <t>IMP0595</t>
  </si>
  <si>
    <t>IMP0616</t>
  </si>
  <si>
    <t>IMO0625</t>
  </si>
  <si>
    <t>IMP0655</t>
  </si>
  <si>
    <t>IMP0668</t>
  </si>
  <si>
    <t>IMP0714</t>
  </si>
  <si>
    <t>Antes 12533</t>
  </si>
  <si>
    <t>Antes 12719</t>
  </si>
  <si>
    <t>anted 12903</t>
  </si>
  <si>
    <t>antes 12883</t>
  </si>
  <si>
    <t>antes 12963</t>
  </si>
  <si>
    <t>Antes 12750</t>
  </si>
  <si>
    <t>Antes 12798</t>
  </si>
  <si>
    <t>Antes 12799</t>
  </si>
  <si>
    <t>Antes 12859</t>
  </si>
  <si>
    <t>antes 12346</t>
  </si>
  <si>
    <t>antes 12956</t>
  </si>
  <si>
    <t>antes 12840</t>
  </si>
  <si>
    <t>IMP0555</t>
  </si>
  <si>
    <t>IMP0576</t>
  </si>
  <si>
    <t>IMP0621</t>
  </si>
  <si>
    <t>IMP0591</t>
  </si>
  <si>
    <t>IMP0720</t>
  </si>
  <si>
    <t>IMP0615</t>
  </si>
  <si>
    <t>ASOCIACION INSTITUTO AUDITORES DEL SALVADOR</t>
  </si>
  <si>
    <t>IMP0556</t>
  </si>
  <si>
    <t>IMP0558</t>
  </si>
  <si>
    <t>IMP0559</t>
  </si>
  <si>
    <t>IMP0560</t>
  </si>
  <si>
    <t>IMP0582</t>
  </si>
  <si>
    <t>BANCOLOMBIA PANAMÁ</t>
  </si>
  <si>
    <t>ABA STUDIO</t>
  </si>
  <si>
    <t>Si</t>
  </si>
  <si>
    <t>IMP0698</t>
  </si>
  <si>
    <t>IMP0561</t>
  </si>
  <si>
    <t>IMP0661</t>
  </si>
  <si>
    <t>IMP0705</t>
  </si>
  <si>
    <t>83+29 swift</t>
  </si>
  <si>
    <t>0.65% + usd 200 + 261.52 x modificacion</t>
  </si>
  <si>
    <t>IMP0619</t>
  </si>
  <si>
    <t>IMP0730</t>
  </si>
  <si>
    <t>IMP0716</t>
  </si>
  <si>
    <t>IMP0588</t>
  </si>
  <si>
    <t>IMP0620</t>
  </si>
  <si>
    <t>IMP0580</t>
  </si>
  <si>
    <t>IMP0650</t>
  </si>
  <si>
    <t>IMP0700</t>
  </si>
  <si>
    <t>WUJIANG LA MODE TEXTILE</t>
  </si>
  <si>
    <t>IMP0301</t>
  </si>
  <si>
    <t>IMP0524</t>
  </si>
  <si>
    <t>IMP0626</t>
  </si>
  <si>
    <t>IMP0644</t>
  </si>
  <si>
    <t>IMP0667</t>
  </si>
  <si>
    <t>IMP0681</t>
  </si>
  <si>
    <t>IMP0672</t>
  </si>
  <si>
    <t>IMP0699</t>
  </si>
  <si>
    <t>IMP0724</t>
  </si>
  <si>
    <t>DUCK BOX</t>
  </si>
  <si>
    <t>FITIT</t>
  </si>
  <si>
    <t>IMP0599</t>
  </si>
  <si>
    <t>IMP0600</t>
  </si>
  <si>
    <t>IMP0601</t>
  </si>
  <si>
    <t>IMP0603</t>
  </si>
  <si>
    <t>IMP0604</t>
  </si>
  <si>
    <t>IMP0703</t>
  </si>
  <si>
    <t>IMP0727</t>
  </si>
  <si>
    <t>Debitaron $ 313.305.752 en julio y $55.629.200 en agosto por la modificacion y la prorroga. Bancolombia liquidó mal</t>
  </si>
  <si>
    <t>antes 12860</t>
  </si>
  <si>
    <t>antes 12789</t>
  </si>
  <si>
    <t>antes 12807</t>
  </si>
  <si>
    <t>IMP0602</t>
  </si>
  <si>
    <t>IMP0625</t>
  </si>
  <si>
    <t>IMP0664</t>
  </si>
  <si>
    <t>IMP0709</t>
  </si>
  <si>
    <t>IMP0723</t>
  </si>
  <si>
    <t>IMP0669</t>
  </si>
  <si>
    <t>IMP0662</t>
  </si>
  <si>
    <t>IMP0654</t>
  </si>
  <si>
    <t>IMP0676</t>
  </si>
  <si>
    <t>1% + USD250+swift+courier</t>
  </si>
  <si>
    <t>Reclamo a Bancolombia por las tarifas del corresponsal. El debito inicial por 11633890 lo devolvieron el 01 de septiembre de 2025</t>
  </si>
  <si>
    <t>IMP0781</t>
  </si>
  <si>
    <t>IMP0782</t>
  </si>
  <si>
    <t>IMP0797</t>
  </si>
  <si>
    <t>IMP0799</t>
  </si>
  <si>
    <t>IMP0801</t>
  </si>
  <si>
    <t>IMP0805</t>
  </si>
  <si>
    <t>IMP0806</t>
  </si>
  <si>
    <t>IMP0807</t>
  </si>
  <si>
    <t>IMP0772</t>
  </si>
  <si>
    <t>IMP0776</t>
  </si>
  <si>
    <t>IMP0706</t>
  </si>
  <si>
    <t>IMP0666</t>
  </si>
  <si>
    <t>IMP0679</t>
  </si>
  <si>
    <t>IMP0711</t>
  </si>
  <si>
    <t>IMP0646</t>
  </si>
  <si>
    <t>IMP0574</t>
  </si>
  <si>
    <t>IMP0715</t>
  </si>
  <si>
    <t>ANTES 12203</t>
  </si>
  <si>
    <t>GUANGZHOU VESTUDIO</t>
  </si>
  <si>
    <t>IMP0732</t>
  </si>
  <si>
    <t>IMP0609</t>
  </si>
  <si>
    <t>IMP0631</t>
  </si>
  <si>
    <t>IMP0701</t>
  </si>
  <si>
    <t>IMP0665</t>
  </si>
  <si>
    <t>IMP0680</t>
  </si>
  <si>
    <t>IMP0717</t>
  </si>
  <si>
    <t>IMP0719</t>
  </si>
  <si>
    <t>IMP0733</t>
  </si>
  <si>
    <t>IMP0755</t>
  </si>
  <si>
    <t>IMP0775</t>
  </si>
  <si>
    <t>IMP0821</t>
  </si>
  <si>
    <t>Reintegro por calidad</t>
  </si>
  <si>
    <t>antes 12881</t>
  </si>
  <si>
    <t>antes 13221</t>
  </si>
  <si>
    <t>antes 12260</t>
  </si>
  <si>
    <t>antes 11911</t>
  </si>
  <si>
    <t>antes 12051</t>
  </si>
  <si>
    <t>antes 13417</t>
  </si>
  <si>
    <t>CATAGUASES</t>
  </si>
  <si>
    <t xml:space="preserve">SANKO TEKSTIL </t>
  </si>
  <si>
    <t>IMP0632</t>
  </si>
  <si>
    <t>IMP0635</t>
  </si>
  <si>
    <t>ZHENJIANG</t>
  </si>
  <si>
    <t>IMP0710</t>
  </si>
  <si>
    <t>IMP0778</t>
  </si>
  <si>
    <t>IMP0712</t>
  </si>
  <si>
    <t>IMP0725</t>
  </si>
  <si>
    <t>IMP0721</t>
  </si>
  <si>
    <t>IMP0726</t>
  </si>
  <si>
    <t>IMP0729</t>
  </si>
  <si>
    <t>IMP0765</t>
  </si>
  <si>
    <t>antes 13046</t>
  </si>
  <si>
    <t>NOA BRANDS</t>
  </si>
  <si>
    <t>UNIBEST</t>
  </si>
  <si>
    <t>CHANGZHOU CAIBO</t>
  </si>
  <si>
    <t xml:space="preserve">FOSHAN BLUE DENIM </t>
  </si>
  <si>
    <t>IMP0780</t>
  </si>
  <si>
    <t>IMP0704</t>
  </si>
  <si>
    <t>IMP0760</t>
  </si>
  <si>
    <t>IMP0731</t>
  </si>
  <si>
    <t>IMP0633</t>
  </si>
  <si>
    <t>IMP0634</t>
  </si>
  <si>
    <t>IMP0640</t>
  </si>
  <si>
    <t>IMP0683</t>
  </si>
  <si>
    <t>IMP0657</t>
  </si>
  <si>
    <t>IMP0761</t>
  </si>
  <si>
    <t>IMP0653</t>
  </si>
  <si>
    <t>IMP0674</t>
  </si>
  <si>
    <t>IMP0659</t>
  </si>
  <si>
    <t>IMP0605</t>
  </si>
  <si>
    <t>IMP0610</t>
  </si>
  <si>
    <t>IMP0611</t>
  </si>
  <si>
    <t>IMP0612</t>
  </si>
  <si>
    <t>IMP0608</t>
  </si>
  <si>
    <t>IMP0607</t>
  </si>
  <si>
    <t xml:space="preserve">GLOBAL </t>
  </si>
  <si>
    <t>NXT MANAGEMENT</t>
  </si>
  <si>
    <t>antes 12962</t>
  </si>
  <si>
    <t>antes 12882</t>
  </si>
  <si>
    <t>antes 11924</t>
  </si>
  <si>
    <t>antes 12997</t>
  </si>
  <si>
    <t>antes 13074</t>
  </si>
  <si>
    <t>antes 13226</t>
  </si>
  <si>
    <t>antes 13021</t>
  </si>
  <si>
    <t>antes 13034</t>
  </si>
  <si>
    <t>MERCER AMSTERDAM B.V</t>
  </si>
  <si>
    <t>IMP0637</t>
  </si>
  <si>
    <t>IMP0639</t>
  </si>
  <si>
    <t>IMP0641</t>
  </si>
  <si>
    <t>IMP0648</t>
  </si>
  <si>
    <t>IMP0656</t>
  </si>
  <si>
    <t>IMP0739</t>
  </si>
  <si>
    <t>IMP0764</t>
  </si>
  <si>
    <t>IMP0770</t>
  </si>
  <si>
    <t>IMP0758</t>
  </si>
  <si>
    <t>IMP0769</t>
  </si>
  <si>
    <t>IMP0845</t>
  </si>
  <si>
    <t>IMP0848</t>
  </si>
  <si>
    <t>IMP0850</t>
  </si>
  <si>
    <t>IMP0852</t>
  </si>
  <si>
    <t>HELLO FANCY</t>
  </si>
  <si>
    <t>OPCION</t>
  </si>
  <si>
    <t>GLOBAL Y UNIFIED</t>
  </si>
  <si>
    <t>antes 12902</t>
  </si>
  <si>
    <t>antes 13045</t>
  </si>
  <si>
    <t>antes 13073</t>
  </si>
  <si>
    <t>antes 13276</t>
  </si>
  <si>
    <t>IMPO 11461</t>
  </si>
  <si>
    <t>IMPO 11498</t>
  </si>
  <si>
    <t>IMPO 11615</t>
  </si>
  <si>
    <t>IMPO 11861</t>
  </si>
  <si>
    <t>IMPO 11859</t>
  </si>
  <si>
    <t>IMPO 11862</t>
  </si>
  <si>
    <t>IMPO 11614</t>
  </si>
  <si>
    <t>IMPO 11860</t>
  </si>
  <si>
    <t>IMPO 11858</t>
  </si>
  <si>
    <t>IMPO 11863</t>
  </si>
  <si>
    <t>antes 13403</t>
  </si>
  <si>
    <t>antes 13486</t>
  </si>
  <si>
    <t>antes 13619</t>
  </si>
  <si>
    <t>antes 13809</t>
  </si>
  <si>
    <t>antes 13630</t>
  </si>
  <si>
    <t>se pago de más</t>
  </si>
  <si>
    <t>antes 13376 y se pago de más Banco de Bogotá Miami</t>
  </si>
  <si>
    <t>antes 10834</t>
  </si>
  <si>
    <t>antes 12334</t>
  </si>
  <si>
    <t>antes 12333</t>
  </si>
  <si>
    <t>antes 12581</t>
  </si>
  <si>
    <t>MANGO MNG SA</t>
  </si>
  <si>
    <t>REGALIAS MOFT</t>
  </si>
  <si>
    <t>Nota credito</t>
  </si>
  <si>
    <t>IMP0629</t>
  </si>
  <si>
    <t>IMP0800</t>
  </si>
  <si>
    <t>IMP0810</t>
  </si>
  <si>
    <t>IMP0638</t>
  </si>
  <si>
    <t>IMP0682</t>
  </si>
  <si>
    <t>IMP0708</t>
  </si>
  <si>
    <t>IMP0713</t>
  </si>
  <si>
    <t>IMP0728</t>
  </si>
  <si>
    <t>IMP0756</t>
  </si>
  <si>
    <t>IMP0762</t>
  </si>
  <si>
    <t>IMP0766</t>
  </si>
  <si>
    <t>IMP0767</t>
  </si>
  <si>
    <t>IMP0690</t>
  </si>
  <si>
    <t>IMP0691</t>
  </si>
  <si>
    <t>IMP0693</t>
  </si>
  <si>
    <t>IMP0694</t>
  </si>
  <si>
    <t>IMP0736</t>
  </si>
  <si>
    <t>IMP0737</t>
  </si>
  <si>
    <t>IMP0740</t>
  </si>
  <si>
    <t>IMP0702</t>
  </si>
  <si>
    <t>IMP0722</t>
  </si>
  <si>
    <t>IMP0735</t>
  </si>
  <si>
    <t>IMP0777</t>
  </si>
  <si>
    <t>IMP0875</t>
  </si>
  <si>
    <t>THEOBALD</t>
  </si>
  <si>
    <t>YIWU TOP ACCESSORY</t>
  </si>
  <si>
    <t>SOBRANTE PUNTO FA</t>
  </si>
  <si>
    <t>IMP0685</t>
  </si>
  <si>
    <t>MUETRAS</t>
  </si>
  <si>
    <t>IMP0695</t>
  </si>
  <si>
    <t>IMP0768</t>
  </si>
  <si>
    <t>IMP0836</t>
  </si>
  <si>
    <t>IMP0837</t>
  </si>
  <si>
    <t>IMP0779</t>
  </si>
  <si>
    <t>IMP0884</t>
  </si>
  <si>
    <t>IMP0885</t>
  </si>
  <si>
    <t>IMP0886</t>
  </si>
  <si>
    <t>IMP0784</t>
  </si>
  <si>
    <t>IMP0798</t>
  </si>
  <si>
    <t>IMP0824</t>
  </si>
  <si>
    <t>IMP0851</t>
  </si>
  <si>
    <t>IMP0887</t>
  </si>
  <si>
    <t>IMP0888</t>
  </si>
  <si>
    <t>IMP0890</t>
  </si>
  <si>
    <t>IMP0891</t>
  </si>
  <si>
    <t>IMP0892</t>
  </si>
  <si>
    <t>IMP0893</t>
  </si>
  <si>
    <t>IMP0889</t>
  </si>
  <si>
    <t>Procesos integrales en manufacturas</t>
  </si>
  <si>
    <t>REGALIAS ESPRIT</t>
  </si>
  <si>
    <t>BANCO DE BOGOTA MIAMI</t>
  </si>
  <si>
    <t>IMP0577</t>
  </si>
  <si>
    <t>IMP0686</t>
  </si>
  <si>
    <t>IMP0759</t>
  </si>
  <si>
    <t>IMP0786</t>
  </si>
  <si>
    <t>IMP0802</t>
  </si>
  <si>
    <t>IMP0814</t>
  </si>
  <si>
    <t>IMP0820</t>
  </si>
  <si>
    <t>IMP0822</t>
  </si>
  <si>
    <t>IMP0823</t>
  </si>
  <si>
    <t>IMP0687</t>
  </si>
  <si>
    <t>IMP0688</t>
  </si>
  <si>
    <t xml:space="preserve">SHAOXING  TUJIA </t>
  </si>
  <si>
    <t>BOGART</t>
  </si>
  <si>
    <t>FORD MODELS</t>
  </si>
  <si>
    <t>PYPAL</t>
  </si>
  <si>
    <t>antes 13446</t>
  </si>
  <si>
    <t>antes 13496</t>
  </si>
  <si>
    <t>antes 12477</t>
  </si>
  <si>
    <t>antes 13040</t>
  </si>
  <si>
    <t>antes 13341</t>
  </si>
  <si>
    <t>antes 13615</t>
  </si>
  <si>
    <t>antes 13617</t>
  </si>
  <si>
    <t>antes 13759</t>
  </si>
  <si>
    <t xml:space="preserve">PROIN </t>
  </si>
  <si>
    <t>FOREX - SOFTWARE</t>
  </si>
  <si>
    <t>175.63+58.54+17.56+1000</t>
  </si>
  <si>
    <t>REGALIAS NAF NAF</t>
  </si>
  <si>
    <t>IMP0689</t>
  </si>
  <si>
    <t>IMP0692</t>
  </si>
  <si>
    <t>IMP0696</t>
  </si>
  <si>
    <t>IMP0697</t>
  </si>
  <si>
    <t>IMP0752</t>
  </si>
  <si>
    <t>IMP0808</t>
  </si>
  <si>
    <t>IMP0819</t>
  </si>
  <si>
    <t>IMP0844</t>
  </si>
  <si>
    <t xml:space="preserve">RIFLE </t>
  </si>
  <si>
    <t>LIDING</t>
  </si>
  <si>
    <t>IMP0741</t>
  </si>
  <si>
    <t>IMP0742</t>
  </si>
  <si>
    <t>IMP0745</t>
  </si>
  <si>
    <t>IMP0757</t>
  </si>
  <si>
    <t>IMP0763</t>
  </si>
  <si>
    <t>IMP0773</t>
  </si>
  <si>
    <t>IMP0753</t>
  </si>
  <si>
    <t>IMP0771</t>
  </si>
  <si>
    <t>IMP0840</t>
  </si>
  <si>
    <t>IMP0855</t>
  </si>
  <si>
    <t>IMP0853</t>
  </si>
  <si>
    <t>IMP0856</t>
  </si>
  <si>
    <t>IMP0919</t>
  </si>
  <si>
    <t>IMP0926</t>
  </si>
  <si>
    <t xml:space="preserve">YIWU BOSSEE IMP AND EXP </t>
  </si>
  <si>
    <t>IMP0754</t>
  </si>
  <si>
    <t>IMP0812</t>
  </si>
  <si>
    <t>IMP0743</t>
  </si>
  <si>
    <t>IMP0744</t>
  </si>
  <si>
    <t>IMP0748</t>
  </si>
  <si>
    <t>IMP0817</t>
  </si>
  <si>
    <t>FOSHAN HINTON TEXTIL</t>
  </si>
  <si>
    <t>Traslado</t>
  </si>
  <si>
    <t>MV CASTAÑO</t>
  </si>
  <si>
    <t>SHAOXING ZHENFANG</t>
  </si>
  <si>
    <t>NAF</t>
  </si>
  <si>
    <t xml:space="preserve">ZHEJIANG SHINE </t>
  </si>
  <si>
    <t>SHOXING TOFFEE</t>
  </si>
  <si>
    <t>MV 56 FOOTWEAR</t>
  </si>
  <si>
    <t>IMP0746</t>
  </si>
  <si>
    <t>IMP0749</t>
  </si>
  <si>
    <t>IMP0750</t>
  </si>
  <si>
    <t>IMP0751</t>
  </si>
  <si>
    <t>IMP0825</t>
  </si>
  <si>
    <t>IMP0833</t>
  </si>
  <si>
    <t>IMP0826</t>
  </si>
  <si>
    <t>IMP0846</t>
  </si>
  <si>
    <t xml:space="preserve">SICHUAN YILONG </t>
  </si>
  <si>
    <t>IMP0854</t>
  </si>
  <si>
    <t>IMP0861</t>
  </si>
  <si>
    <t>3870,42-3779,2</t>
  </si>
  <si>
    <t>IIPI GLOBAL LLP</t>
  </si>
  <si>
    <t xml:space="preserve">SHAFI TEXCEL </t>
  </si>
  <si>
    <t>IMP0738</t>
  </si>
  <si>
    <t>IMP0747</t>
  </si>
  <si>
    <t>IMP0803</t>
  </si>
  <si>
    <t>IMP0796</t>
  </si>
  <si>
    <t>IMP0811</t>
  </si>
  <si>
    <t>IMP0842</t>
  </si>
  <si>
    <t>IMP0813</t>
  </si>
  <si>
    <t>IMP0843</t>
  </si>
  <si>
    <t>IMP0847</t>
  </si>
  <si>
    <t>IMP0873</t>
  </si>
  <si>
    <t>IMP0883</t>
  </si>
  <si>
    <t>3861,34 y 3784,43</t>
  </si>
  <si>
    <t>Saldo a favor 13766</t>
  </si>
  <si>
    <t>antes 13762</t>
  </si>
  <si>
    <t xml:space="preserve">Banco de Bogotá Miami 13378 </t>
  </si>
  <si>
    <t>13875   </t>
  </si>
  <si>
    <t>14025 </t>
  </si>
  <si>
    <t>pago de más 13150</t>
  </si>
  <si>
    <t>INTERESES GF IMP0669</t>
  </si>
  <si>
    <t>IMP0933</t>
  </si>
  <si>
    <t xml:space="preserve"> IMP0714</t>
  </si>
  <si>
    <t>IMP0707</t>
  </si>
  <si>
    <t>PUNTO FA - SOFTWARE</t>
  </si>
  <si>
    <t>PUNTO FA - DERECHOS</t>
  </si>
  <si>
    <t>Derecho de entrada Santa fe medellín</t>
  </si>
  <si>
    <t>IMP0857</t>
  </si>
  <si>
    <t>IMP00912</t>
  </si>
  <si>
    <t>IMP0849</t>
  </si>
  <si>
    <t xml:space="preserve">SHAOXING QIFEI </t>
  </si>
  <si>
    <t>IMP0818</t>
  </si>
  <si>
    <t>IMP0839</t>
  </si>
  <si>
    <t>IMP0791</t>
  </si>
  <si>
    <t>IMP0792</t>
  </si>
  <si>
    <t>IMP0815</t>
  </si>
  <si>
    <t>QINGDAO MAX VOGUE</t>
  </si>
  <si>
    <t>IMP0969</t>
  </si>
  <si>
    <t>INTERESES GF IMP0605 IMP0608 IMP0607</t>
  </si>
  <si>
    <t>ÖZEL TEKSTIL</t>
  </si>
  <si>
    <t>INTERESES GF #13620</t>
  </si>
  <si>
    <t>INTERESES GF #12645 13186</t>
  </si>
  <si>
    <t>INTERESES GF # 12777</t>
  </si>
  <si>
    <t>INTERESES GF # 13370</t>
  </si>
  <si>
    <t>INTERESES GF # 13455</t>
  </si>
  <si>
    <t>INTERESES GF #13370</t>
  </si>
  <si>
    <t>INTERESES GF #13204 #13698</t>
  </si>
  <si>
    <t>IMP0838</t>
  </si>
  <si>
    <t>IMP0794</t>
  </si>
  <si>
    <t>IMP0789</t>
  </si>
  <si>
    <t>IMP0793</t>
  </si>
  <si>
    <t>IMP0901</t>
  </si>
  <si>
    <t>IMP0960</t>
  </si>
  <si>
    <t>INTERESES GF IMP0610 IMP0611 IMP0612</t>
  </si>
  <si>
    <t xml:space="preserve">LIDING </t>
  </si>
  <si>
    <t>SOUTH TO NORTH</t>
  </si>
  <si>
    <t>INTERESES GF #13452 #13833 #13449</t>
  </si>
  <si>
    <t>INTERESES GF #13387</t>
  </si>
  <si>
    <t>IMP0788</t>
  </si>
  <si>
    <t>IMP0959</t>
  </si>
  <si>
    <t>IMP0909</t>
  </si>
  <si>
    <t>IMP0902</t>
  </si>
  <si>
    <t>IMP0915</t>
  </si>
  <si>
    <t>IMP0934</t>
  </si>
  <si>
    <t>IMP0913</t>
  </si>
  <si>
    <t>IMP0967</t>
  </si>
  <si>
    <t>Forex Publicidad Performance Online</t>
  </si>
  <si>
    <t>Forex Publicidad Tienda San Nicolas</t>
  </si>
  <si>
    <t xml:space="preserve">JARED </t>
  </si>
  <si>
    <t xml:space="preserve">KIPAS </t>
  </si>
  <si>
    <t>JIAXING LAYO</t>
  </si>
  <si>
    <t>IMP0787</t>
  </si>
  <si>
    <t>IMP0790</t>
  </si>
  <si>
    <t>IMP0827</t>
  </si>
  <si>
    <t>IMP0834</t>
  </si>
  <si>
    <t>IMP0835</t>
  </si>
  <si>
    <t>IMP0859</t>
  </si>
  <si>
    <t>IMP0880</t>
  </si>
  <si>
    <t>IMP0914</t>
  </si>
  <si>
    <t>IMP0900</t>
  </si>
  <si>
    <t>IMP0918</t>
  </si>
  <si>
    <t>IMP0949</t>
  </si>
  <si>
    <t>IMP0921</t>
  </si>
  <si>
    <t>IMP0922</t>
  </si>
  <si>
    <t>IMP0925</t>
  </si>
  <si>
    <t>IMP0927</t>
  </si>
  <si>
    <t>IMP0974</t>
  </si>
  <si>
    <t>IMP0954</t>
  </si>
  <si>
    <t>IMP0928</t>
  </si>
  <si>
    <t>IMP0931</t>
  </si>
  <si>
    <t>IMP0947</t>
  </si>
  <si>
    <t>IMP0964</t>
  </si>
  <si>
    <t>ZHEJIANG FEIFALAN</t>
  </si>
  <si>
    <t>IMP0804</t>
  </si>
  <si>
    <t>IMP0978</t>
  </si>
  <si>
    <t>IMP0828</t>
  </si>
  <si>
    <t>IMP0923</t>
  </si>
  <si>
    <t>IMP0907</t>
  </si>
  <si>
    <t>IMP0841</t>
  </si>
  <si>
    <t>IMP0924</t>
  </si>
  <si>
    <t>GLOWELL</t>
  </si>
  <si>
    <t xml:space="preserve">NAVEENA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</si>
</sst>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_(&quot;$&quot;* #,##0_);_(&quot;$&quot;* \(#,##0\);_(&quot;$&quot;* &quot;-&quot;??_);_(@_)"/>
    <numFmt numFmtId="166" formatCode="0.0%"/>
    <numFmt numFmtId="167" formatCode="0.000000"/>
    <numFmt numFmtId="168" formatCode="_([$€-2]\ * #,##0.00_);_([$€-2]\ * \(#,##0.00\);_([$€-2]\ * &quot;-&quot;??_);_(@_)"/>
    <numFmt numFmtId="169" formatCode="0.00000"/>
    <numFmt numFmtId="170" formatCode="0.000"/>
    <numFmt numFmtId="171" formatCode="_(* #,##0_);_(* \(#,##0\);_(* &quot;-&quot;??_);_(@_)"/>
    <numFmt numFmtId="172" formatCode="_-[$$-240A]\ * #,##0.00_-;\-[$$-240A]\ * #,##0.00_-;_-[$$-240A]\ * &quot;-&quot;??_-;_-@_-"/>
    <numFmt numFmtId="173" formatCode="_([$$-240A]\ * #,##0.00_);_([$$-240A]\ * \(#,##0.00\);_([$$-240A]\ * &quot;-&quot;??_);_(@_)"/>
    <numFmt numFmtId="174" formatCode="_(&quot;$&quot;\ * #,##0.00_);_(&quot;$&quot;\ * \(#,##0.00\);_(&quot;$&quot;\ * &quot;-&quot;??_);_(@_)"/>
    <numFmt numFmtId="175" formatCode="_-[$€-2]* #,##0.00_-;\-[$€-2]* #,##0.00_-;_-[$€-2]* &quot;-&quot;??_-"/>
    <numFmt numFmtId="176" formatCode="_-* #,##0.00\ _€_-;\-* #,##0.00\ _€_-;_-* &quot;-&quot;??\ _€_-;_-@_-"/>
  </numFmts>
  <fonts count="41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9ED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9">
    <xf numFmtId="0" fontId="0" fillId="0" borderId="0"/>
    <xf numFmtId="43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17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35" fillId="0" borderId="0"/>
    <xf numFmtId="0" fontId="3" fillId="0" borderId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43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2" borderId="2" xfId="0" applyNumberFormat="1" applyFont="1" applyFill="1" applyBorder="1" applyAlignment="1">
      <alignment horizontal="center" vertical="center" wrapText="1"/>
    </xf>
    <xf numFmtId="0" fontId="0" fillId="0" borderId="3" xfId="0" applyBorder="1"/>
    <xf numFmtId="164" fontId="0" fillId="0" borderId="3" xfId="0" applyNumberFormat="1" applyBorder="1"/>
    <xf numFmtId="0" fontId="3" fillId="0" borderId="0" xfId="0" applyFont="1"/>
    <xf numFmtId="43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3" borderId="0" xfId="0" applyNumberFormat="1" applyFill="1"/>
    <xf numFmtId="2" fontId="0" fillId="0" borderId="0" xfId="0" applyNumberFormat="1"/>
    <xf numFmtId="44" fontId="0" fillId="0" borderId="0" xfId="0" applyNumberFormat="1"/>
    <xf numFmtId="0" fontId="0" fillId="5" borderId="0" xfId="0" applyFill="1"/>
    <xf numFmtId="0" fontId="0" fillId="0" borderId="4" xfId="0" applyBorder="1"/>
    <xf numFmtId="14" fontId="0" fillId="0" borderId="4" xfId="0" applyNumberFormat="1" applyBorder="1"/>
    <xf numFmtId="0" fontId="0" fillId="6" borderId="4" xfId="0" applyFill="1" applyBorder="1"/>
    <xf numFmtId="14" fontId="0" fillId="6" borderId="4" xfId="0" applyNumberFormat="1" applyFill="1" applyBorder="1"/>
    <xf numFmtId="0" fontId="0" fillId="7" borderId="4" xfId="0" applyFill="1" applyBorder="1"/>
    <xf numFmtId="0" fontId="0" fillId="6" borderId="5" xfId="0" applyFill="1" applyBorder="1"/>
    <xf numFmtId="14" fontId="0" fillId="6" borderId="5" xfId="0" applyNumberFormat="1" applyFill="1" applyBorder="1"/>
    <xf numFmtId="0" fontId="0" fillId="7" borderId="0" xfId="0" applyFill="1"/>
    <xf numFmtId="44" fontId="1" fillId="2" borderId="1" xfId="0" applyNumberFormat="1" applyFont="1" applyFill="1" applyBorder="1" applyAlignment="1">
      <alignment horizontal="center" vertical="center" wrapText="1"/>
    </xf>
    <xf numFmtId="44" fontId="1" fillId="2" borderId="0" xfId="0" applyNumberFormat="1" applyFont="1" applyFill="1" applyAlignment="1">
      <alignment horizontal="center" vertical="center" wrapText="1"/>
    </xf>
    <xf numFmtId="44" fontId="4" fillId="0" borderId="0" xfId="1" applyNumberFormat="1" applyFont="1"/>
    <xf numFmtId="44" fontId="8" fillId="0" borderId="0" xfId="1" applyNumberFormat="1" applyFont="1"/>
    <xf numFmtId="44" fontId="0" fillId="0" borderId="0" xfId="1" applyNumberFormat="1" applyFont="1"/>
    <xf numFmtId="44" fontId="9" fillId="0" borderId="0" xfId="1" applyNumberFormat="1" applyFont="1"/>
    <xf numFmtId="44" fontId="3" fillId="0" borderId="0" xfId="1" applyNumberFormat="1" applyFont="1" applyFill="1"/>
    <xf numFmtId="44" fontId="4" fillId="0" borderId="0" xfId="1" applyNumberFormat="1" applyFont="1" applyFill="1"/>
    <xf numFmtId="44" fontId="10" fillId="0" borderId="0" xfId="1" applyNumberFormat="1" applyFont="1"/>
    <xf numFmtId="0" fontId="1" fillId="2" borderId="1" xfId="0" applyFont="1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44" fontId="0" fillId="0" borderId="0" xfId="0" applyNumberFormat="1" applyProtection="1">
      <protection locked="0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3" xfId="0" applyFont="1" applyBorder="1"/>
    <xf numFmtId="14" fontId="12" fillId="0" borderId="3" xfId="0" applyNumberFormat="1" applyFont="1" applyBorder="1"/>
    <xf numFmtId="43" fontId="12" fillId="0" borderId="3" xfId="1" applyFont="1" applyBorder="1"/>
    <xf numFmtId="0" fontId="13" fillId="0" borderId="6" xfId="4" applyFont="1" applyBorder="1"/>
    <xf numFmtId="10" fontId="12" fillId="0" borderId="12" xfId="0" applyNumberFormat="1" applyFont="1" applyBorder="1"/>
    <xf numFmtId="10" fontId="12" fillId="0" borderId="3" xfId="0" applyNumberFormat="1" applyFont="1" applyBorder="1"/>
    <xf numFmtId="165" fontId="12" fillId="0" borderId="10" xfId="3" applyNumberFormat="1" applyFont="1" applyBorder="1"/>
    <xf numFmtId="165" fontId="12" fillId="0" borderId="3" xfId="3" applyNumberFormat="1" applyFont="1" applyBorder="1"/>
    <xf numFmtId="44" fontId="12" fillId="0" borderId="3" xfId="3" applyFont="1" applyBorder="1"/>
    <xf numFmtId="166" fontId="12" fillId="0" borderId="3" xfId="0" applyNumberFormat="1" applyFont="1" applyBorder="1"/>
    <xf numFmtId="10" fontId="12" fillId="0" borderId="14" xfId="0" applyNumberFormat="1" applyFont="1" applyBorder="1"/>
    <xf numFmtId="10" fontId="12" fillId="0" borderId="15" xfId="0" applyNumberFormat="1" applyFont="1" applyBorder="1"/>
    <xf numFmtId="0" fontId="0" fillId="0" borderId="17" xfId="0" applyBorder="1"/>
    <xf numFmtId="43" fontId="12" fillId="0" borderId="13" xfId="1" applyFont="1" applyBorder="1"/>
    <xf numFmtId="43" fontId="12" fillId="0" borderId="15" xfId="1" applyFont="1" applyBorder="1"/>
    <xf numFmtId="43" fontId="12" fillId="0" borderId="16" xfId="1" applyFont="1" applyBorder="1"/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4" fontId="14" fillId="0" borderId="0" xfId="1" applyNumberFormat="1" applyFont="1"/>
    <xf numFmtId="44" fontId="15" fillId="0" borderId="0" xfId="1" applyNumberFormat="1" applyFont="1"/>
    <xf numFmtId="0" fontId="12" fillId="8" borderId="3" xfId="0" applyFont="1" applyFill="1" applyBorder="1"/>
    <xf numFmtId="44" fontId="14" fillId="0" borderId="0" xfId="1" applyNumberFormat="1" applyFont="1" applyFill="1"/>
    <xf numFmtId="44" fontId="15" fillId="0" borderId="0" xfId="1" applyNumberFormat="1" applyFont="1" applyFill="1"/>
    <xf numFmtId="44" fontId="16" fillId="0" borderId="0" xfId="1" applyNumberFormat="1" applyFont="1"/>
    <xf numFmtId="44" fontId="0" fillId="0" borderId="0" xfId="0" applyNumberFormat="1" applyAlignment="1">
      <alignment horizontal="center"/>
    </xf>
    <xf numFmtId="44" fontId="4" fillId="0" borderId="0" xfId="1" applyNumberFormat="1" applyFont="1" applyAlignment="1">
      <alignment horizontal="center"/>
    </xf>
    <xf numFmtId="44" fontId="0" fillId="0" borderId="0" xfId="0" applyNumberFormat="1" applyAlignment="1">
      <alignment horizontal="center" vertical="center"/>
    </xf>
    <xf numFmtId="0" fontId="18" fillId="0" borderId="3" xfId="0" applyFont="1" applyBorder="1"/>
    <xf numFmtId="44" fontId="17" fillId="0" borderId="0" xfId="1" applyNumberFormat="1" applyFont="1" applyFill="1"/>
    <xf numFmtId="44" fontId="0" fillId="0" borderId="0" xfId="1" applyNumberFormat="1" applyFont="1" applyFill="1"/>
    <xf numFmtId="44" fontId="17" fillId="0" borderId="0" xfId="1" applyNumberFormat="1" applyFont="1"/>
    <xf numFmtId="44" fontId="19" fillId="0" borderId="0" xfId="1" applyNumberFormat="1" applyFont="1" applyFill="1"/>
    <xf numFmtId="44" fontId="19" fillId="0" borderId="0" xfId="1" applyNumberFormat="1" applyFont="1"/>
    <xf numFmtId="167" fontId="0" fillId="0" borderId="0" xfId="0" applyNumberFormat="1"/>
    <xf numFmtId="2" fontId="12" fillId="0" borderId="3" xfId="0" applyNumberFormat="1" applyFont="1" applyBorder="1"/>
    <xf numFmtId="44" fontId="21" fillId="0" borderId="0" xfId="1" applyNumberFormat="1" applyFont="1"/>
    <xf numFmtId="165" fontId="0" fillId="0" borderId="3" xfId="0" applyNumberFormat="1" applyBorder="1"/>
    <xf numFmtId="14" fontId="0" fillId="0" borderId="3" xfId="0" applyNumberFormat="1" applyBorder="1"/>
    <xf numFmtId="2" fontId="0" fillId="0" borderId="3" xfId="0" applyNumberFormat="1" applyBorder="1"/>
    <xf numFmtId="165" fontId="12" fillId="0" borderId="3" xfId="0" applyNumberFormat="1" applyFont="1" applyBorder="1"/>
    <xf numFmtId="0" fontId="11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168" fontId="0" fillId="0" borderId="0" xfId="0" applyNumberFormat="1" applyAlignment="1">
      <alignment horizontal="center"/>
    </xf>
    <xf numFmtId="44" fontId="0" fillId="0" borderId="0" xfId="1" applyNumberFormat="1" applyFont="1" applyBorder="1"/>
    <xf numFmtId="44" fontId="0" fillId="0" borderId="3" xfId="0" applyNumberFormat="1" applyBorder="1"/>
    <xf numFmtId="44" fontId="0" fillId="0" borderId="3" xfId="1" applyNumberFormat="1" applyFont="1" applyBorder="1"/>
    <xf numFmtId="44" fontId="3" fillId="0" borderId="0" xfId="1" applyNumberFormat="1" applyFont="1" applyFill="1" applyAlignment="1">
      <alignment horizontal="right" vertical="center"/>
    </xf>
    <xf numFmtId="44" fontId="0" fillId="0" borderId="0" xfId="1" applyNumberFormat="1" applyFont="1" applyFill="1" applyBorder="1"/>
    <xf numFmtId="44" fontId="3" fillId="0" borderId="0" xfId="0" applyNumberFormat="1" applyFont="1"/>
    <xf numFmtId="44" fontId="3" fillId="0" borderId="0" xfId="2" applyFill="1" applyAlignment="1">
      <alignment horizontal="right" vertical="center"/>
    </xf>
    <xf numFmtId="1" fontId="0" fillId="0" borderId="3" xfId="1" applyNumberFormat="1" applyFont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0" fillId="0" borderId="0" xfId="1" quotePrefix="1" applyNumberFormat="1" applyFont="1" applyAlignment="1">
      <alignment horizontal="center"/>
    </xf>
    <xf numFmtId="1" fontId="0" fillId="4" borderId="0" xfId="1" applyNumberFormat="1" applyFont="1" applyFill="1" applyAlignment="1">
      <alignment horizontal="center"/>
    </xf>
    <xf numFmtId="1" fontId="0" fillId="0" borderId="0" xfId="0" applyNumberFormat="1"/>
    <xf numFmtId="44" fontId="1" fillId="2" borderId="2" xfId="0" applyNumberFormat="1" applyFont="1" applyFill="1" applyBorder="1" applyAlignment="1">
      <alignment horizontal="center" vertical="center" wrapText="1"/>
    </xf>
    <xf numFmtId="44" fontId="3" fillId="0" borderId="0" xfId="2" applyFont="1" applyFill="1"/>
    <xf numFmtId="44" fontId="3" fillId="7" borderId="0" xfId="2" applyFill="1" applyAlignment="1">
      <alignment horizontal="right" vertical="center"/>
    </xf>
    <xf numFmtId="44" fontId="0" fillId="7" borderId="0" xfId="1" applyNumberFormat="1" applyFont="1" applyFill="1"/>
    <xf numFmtId="44" fontId="3" fillId="7" borderId="0" xfId="0" applyNumberFormat="1" applyFont="1" applyFill="1"/>
    <xf numFmtId="44" fontId="0" fillId="0" borderId="4" xfId="1" applyNumberFormat="1" applyFont="1" applyBorder="1"/>
    <xf numFmtId="44" fontId="0" fillId="6" borderId="4" xfId="1" applyNumberFormat="1" applyFont="1" applyFill="1" applyBorder="1"/>
    <xf numFmtId="44" fontId="0" fillId="7" borderId="4" xfId="1" applyNumberFormat="1" applyFont="1" applyFill="1" applyBorder="1"/>
    <xf numFmtId="44" fontId="0" fillId="6" borderId="5" xfId="1" applyNumberFormat="1" applyFont="1" applyFill="1" applyBorder="1"/>
    <xf numFmtId="44" fontId="0" fillId="0" borderId="4" xfId="1" applyNumberFormat="1" applyFont="1" applyFill="1" applyBorder="1"/>
    <xf numFmtId="44" fontId="0" fillId="7" borderId="5" xfId="1" applyNumberFormat="1" applyFont="1" applyFill="1" applyBorder="1"/>
    <xf numFmtId="44" fontId="0" fillId="0" borderId="5" xfId="1" applyNumberFormat="1" applyFont="1" applyFill="1" applyBorder="1"/>
    <xf numFmtId="44" fontId="0" fillId="0" borderId="5" xfId="1" applyNumberFormat="1" applyFont="1" applyBorder="1"/>
    <xf numFmtId="44" fontId="20" fillId="7" borderId="5" xfId="1" applyNumberFormat="1" applyFont="1" applyFill="1" applyBorder="1"/>
    <xf numFmtId="1" fontId="1" fillId="2" borderId="1" xfId="0" applyNumberFormat="1" applyFont="1" applyFill="1" applyBorder="1" applyAlignment="1" applyProtection="1">
      <alignment wrapText="1"/>
      <protection locked="0"/>
    </xf>
    <xf numFmtId="2" fontId="0" fillId="0" borderId="0" xfId="1" applyNumberFormat="1" applyFont="1" applyFill="1"/>
    <xf numFmtId="2" fontId="1" fillId="2" borderId="1" xfId="0" applyNumberFormat="1" applyFont="1" applyFill="1" applyBorder="1" applyAlignment="1">
      <alignment horizontal="center" vertical="center" wrapText="1"/>
    </xf>
    <xf numFmtId="44" fontId="22" fillId="0" borderId="0" xfId="1" applyNumberFormat="1" applyFont="1"/>
    <xf numFmtId="44" fontId="0" fillId="7" borderId="0" xfId="0" applyNumberFormat="1" applyFill="1"/>
    <xf numFmtId="1" fontId="0" fillId="0" borderId="0" xfId="1" applyNumberFormat="1" applyFont="1" applyFill="1" applyAlignment="1">
      <alignment horizontal="center"/>
    </xf>
    <xf numFmtId="44" fontId="23" fillId="0" borderId="0" xfId="1" applyNumberFormat="1" applyFont="1"/>
    <xf numFmtId="0" fontId="0" fillId="9" borderId="0" xfId="0" applyFill="1"/>
    <xf numFmtId="169" fontId="0" fillId="0" borderId="0" xfId="0" applyNumberFormat="1"/>
    <xf numFmtId="0" fontId="3" fillId="0" borderId="3" xfId="0" applyFont="1" applyBorder="1"/>
    <xf numFmtId="0" fontId="13" fillId="0" borderId="3" xfId="4" applyFont="1" applyBorder="1"/>
    <xf numFmtId="165" fontId="0" fillId="0" borderId="0" xfId="0" applyNumberFormat="1"/>
    <xf numFmtId="0" fontId="11" fillId="0" borderId="18" xfId="0" applyFont="1" applyBorder="1" applyAlignment="1">
      <alignment horizontal="center" vertical="center" wrapText="1"/>
    </xf>
    <xf numFmtId="43" fontId="12" fillId="0" borderId="6" xfId="1" applyFont="1" applyBorder="1"/>
    <xf numFmtId="44" fontId="12" fillId="0" borderId="3" xfId="3" applyFont="1" applyFill="1" applyBorder="1"/>
    <xf numFmtId="14" fontId="0" fillId="0" borderId="0" xfId="0" applyNumberFormat="1" applyProtection="1">
      <protection locked="0"/>
    </xf>
    <xf numFmtId="14" fontId="1" fillId="2" borderId="1" xfId="0" applyNumberFormat="1" applyFont="1" applyFill="1" applyBorder="1" applyAlignment="1" applyProtection="1">
      <alignment wrapText="1"/>
      <protection locked="0"/>
    </xf>
    <xf numFmtId="44" fontId="0" fillId="0" borderId="3" xfId="0" applyNumberFormat="1" applyBorder="1" applyAlignment="1">
      <alignment horizontal="center"/>
    </xf>
    <xf numFmtId="44" fontId="0" fillId="9" borderId="0" xfId="0" applyNumberFormat="1" applyFill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 applyAlignment="1">
      <alignment vertical="center" wrapText="1"/>
    </xf>
    <xf numFmtId="44" fontId="24" fillId="0" borderId="0" xfId="1" applyNumberFormat="1" applyFont="1"/>
    <xf numFmtId="0" fontId="0" fillId="0" borderId="3" xfId="0" applyBorder="1" applyAlignment="1">
      <alignment horizontal="center"/>
    </xf>
    <xf numFmtId="44" fontId="0" fillId="0" borderId="3" xfId="3" applyFont="1" applyBorder="1"/>
    <xf numFmtId="165" fontId="0" fillId="0" borderId="0" xfId="3" applyNumberFormat="1" applyFont="1"/>
    <xf numFmtId="44" fontId="25" fillId="0" borderId="0" xfId="1" applyNumberFormat="1" applyFont="1"/>
    <xf numFmtId="44" fontId="2" fillId="0" borderId="3" xfId="3" applyFont="1" applyFill="1" applyBorder="1"/>
    <xf numFmtId="170" fontId="0" fillId="0" borderId="0" xfId="0" applyNumberFormat="1"/>
    <xf numFmtId="44" fontId="0" fillId="0" borderId="19" xfId="0" applyNumberFormat="1" applyBorder="1" applyAlignment="1">
      <alignment horizontal="center"/>
    </xf>
    <xf numFmtId="44" fontId="26" fillId="0" borderId="0" xfId="1" applyNumberFormat="1" applyFont="1"/>
    <xf numFmtId="168" fontId="0" fillId="0" borderId="0" xfId="0" applyNumberFormat="1" applyAlignment="1">
      <alignment horizontal="left"/>
    </xf>
    <xf numFmtId="44" fontId="0" fillId="0" borderId="0" xfId="0" applyNumberFormat="1" applyAlignment="1">
      <alignment horizontal="left"/>
    </xf>
    <xf numFmtId="44" fontId="27" fillId="0" borderId="0" xfId="1" applyNumberFormat="1" applyFont="1"/>
    <xf numFmtId="44" fontId="0" fillId="0" borderId="0" xfId="2" applyFont="1"/>
    <xf numFmtId="8" fontId="0" fillId="0" borderId="0" xfId="1" applyNumberFormat="1" applyFont="1"/>
    <xf numFmtId="44" fontId="28" fillId="0" borderId="0" xfId="1" applyNumberFormat="1" applyFont="1"/>
    <xf numFmtId="165" fontId="12" fillId="0" borderId="10" xfId="3" applyNumberFormat="1" applyFont="1" applyFill="1" applyBorder="1"/>
    <xf numFmtId="165" fontId="12" fillId="0" borderId="3" xfId="3" applyNumberFormat="1" applyFont="1" applyFill="1" applyBorder="1"/>
    <xf numFmtId="43" fontId="12" fillId="0" borderId="3" xfId="1" applyFont="1" applyFill="1" applyBorder="1"/>
    <xf numFmtId="171" fontId="12" fillId="0" borderId="3" xfId="1" applyNumberFormat="1" applyFont="1" applyFill="1" applyBorder="1"/>
    <xf numFmtId="8" fontId="0" fillId="0" borderId="0" xfId="0" applyNumberFormat="1"/>
    <xf numFmtId="8" fontId="0" fillId="4" borderId="0" xfId="0" applyNumberFormat="1" applyFill="1"/>
    <xf numFmtId="44" fontId="3" fillId="0" borderId="3" xfId="0" applyNumberFormat="1" applyFont="1" applyBorder="1"/>
    <xf numFmtId="0" fontId="0" fillId="0" borderId="0" xfId="1" applyNumberFormat="1" applyFont="1" applyAlignment="1">
      <alignment horizontal="center"/>
    </xf>
    <xf numFmtId="44" fontId="0" fillId="0" borderId="0" xfId="3" applyFont="1"/>
    <xf numFmtId="172" fontId="1" fillId="2" borderId="1" xfId="3" applyNumberFormat="1" applyFont="1" applyFill="1" applyBorder="1" applyAlignment="1">
      <alignment horizontal="center" vertical="center" wrapText="1"/>
    </xf>
    <xf numFmtId="172" fontId="0" fillId="0" borderId="0" xfId="3" applyNumberFormat="1" applyFont="1"/>
    <xf numFmtId="172" fontId="0" fillId="0" borderId="4" xfId="3" applyNumberFormat="1" applyFont="1" applyBorder="1"/>
    <xf numFmtId="172" fontId="0" fillId="0" borderId="5" xfId="3" applyNumberFormat="1" applyFont="1" applyBorder="1"/>
    <xf numFmtId="172" fontId="3" fillId="0" borderId="0" xfId="3" applyNumberFormat="1" applyFont="1" applyFill="1"/>
    <xf numFmtId="173" fontId="0" fillId="0" borderId="0" xfId="0" applyNumberFormat="1"/>
    <xf numFmtId="0" fontId="0" fillId="0" borderId="5" xfId="0" applyBorder="1"/>
    <xf numFmtId="44" fontId="0" fillId="0" borderId="0" xfId="3" applyFont="1" applyBorder="1"/>
    <xf numFmtId="44" fontId="29" fillId="0" borderId="0" xfId="1" applyNumberFormat="1" applyFont="1"/>
    <xf numFmtId="1" fontId="0" fillId="0" borderId="0" xfId="1" applyNumberFormat="1" applyFont="1" applyBorder="1" applyAlignment="1">
      <alignment horizontal="center"/>
    </xf>
    <xf numFmtId="44" fontId="0" fillId="0" borderId="19" xfId="1" applyNumberFormat="1" applyFont="1" applyBorder="1"/>
    <xf numFmtId="44" fontId="28" fillId="0" borderId="0" xfId="1" applyNumberFormat="1" applyFont="1" applyFill="1"/>
    <xf numFmtId="0" fontId="0" fillId="0" borderId="0" xfId="0" quotePrefix="1" applyAlignment="1">
      <alignment horizontal="right"/>
    </xf>
    <xf numFmtId="14" fontId="31" fillId="2" borderId="20" xfId="0" applyNumberFormat="1" applyFont="1" applyFill="1" applyBorder="1" applyAlignment="1">
      <alignment horizontal="center" vertical="center" wrapText="1"/>
    </xf>
    <xf numFmtId="44" fontId="3" fillId="0" borderId="0" xfId="2" applyFont="1" applyFill="1" applyBorder="1"/>
    <xf numFmtId="2" fontId="0" fillId="0" borderId="3" xfId="1" applyNumberFormat="1" applyFont="1" applyFill="1" applyBorder="1"/>
    <xf numFmtId="44" fontId="0" fillId="0" borderId="0" xfId="3" applyFont="1" applyFill="1"/>
    <xf numFmtId="2" fontId="0" fillId="0" borderId="0" xfId="1" applyNumberFormat="1" applyFont="1" applyFill="1" applyBorder="1"/>
    <xf numFmtId="1" fontId="0" fillId="0" borderId="0" xfId="1" applyNumberFormat="1" applyFont="1" applyFill="1" applyBorder="1" applyAlignment="1">
      <alignment horizontal="center"/>
    </xf>
    <xf numFmtId="1" fontId="12" fillId="0" borderId="3" xfId="0" applyNumberFormat="1" applyFont="1" applyBorder="1"/>
    <xf numFmtId="44" fontId="30" fillId="0" borderId="0" xfId="1" applyNumberFormat="1" applyFont="1" applyFill="1"/>
    <xf numFmtId="44" fontId="0" fillId="0" borderId="3" xfId="3" applyFont="1" applyFill="1" applyBorder="1"/>
    <xf numFmtId="44" fontId="32" fillId="0" borderId="0" xfId="1" applyNumberFormat="1" applyFont="1" applyFill="1"/>
    <xf numFmtId="1" fontId="0" fillId="0" borderId="3" xfId="0" applyNumberFormat="1" applyBorder="1"/>
    <xf numFmtId="0" fontId="0" fillId="0" borderId="0" xfId="1" applyNumberFormat="1" applyFont="1" applyFill="1" applyAlignment="1">
      <alignment horizontal="center"/>
    </xf>
    <xf numFmtId="1" fontId="0" fillId="0" borderId="21" xfId="0" applyNumberFormat="1" applyBorder="1"/>
    <xf numFmtId="2" fontId="0" fillId="10" borderId="0" xfId="1" applyNumberFormat="1" applyFont="1" applyFill="1"/>
    <xf numFmtId="44" fontId="0" fillId="11" borderId="0" xfId="0" applyNumberFormat="1" applyFill="1"/>
    <xf numFmtId="0" fontId="0" fillId="11" borderId="0" xfId="0" applyFill="1"/>
    <xf numFmtId="44" fontId="33" fillId="0" borderId="0" xfId="1" applyNumberFormat="1" applyFont="1" applyFill="1"/>
    <xf numFmtId="44" fontId="20" fillId="0" borderId="0" xfId="1" applyNumberFormat="1" applyFont="1" applyFill="1"/>
    <xf numFmtId="44" fontId="36" fillId="0" borderId="0" xfId="1" applyNumberFormat="1" applyFont="1" applyFill="1"/>
    <xf numFmtId="44" fontId="0" fillId="0" borderId="4" xfId="0" applyNumberFormat="1" applyBorder="1"/>
    <xf numFmtId="44" fontId="20" fillId="0" borderId="4" xfId="0" applyNumberFormat="1" applyFont="1" applyBorder="1"/>
    <xf numFmtId="44" fontId="20" fillId="0" borderId="5" xfId="0" applyNumberFormat="1" applyFont="1" applyBorder="1"/>
    <xf numFmtId="44" fontId="0" fillId="0" borderId="5" xfId="0" applyNumberFormat="1" applyBorder="1"/>
    <xf numFmtId="44" fontId="3" fillId="0" borderId="3" xfId="4" applyNumberFormat="1" applyBorder="1"/>
    <xf numFmtId="44" fontId="20" fillId="0" borderId="3" xfId="0" applyNumberFormat="1" applyFont="1" applyBorder="1"/>
    <xf numFmtId="1" fontId="0" fillId="0" borderId="19" xfId="1" applyNumberFormat="1" applyFont="1" applyFill="1" applyBorder="1" applyAlignment="1">
      <alignment horizontal="center"/>
    </xf>
    <xf numFmtId="44" fontId="0" fillId="0" borderId="19" xfId="1" applyNumberFormat="1" applyFont="1" applyFill="1" applyBorder="1"/>
    <xf numFmtId="44" fontId="36" fillId="0" borderId="0" xfId="1" applyNumberFormat="1" applyFont="1"/>
    <xf numFmtId="0" fontId="0" fillId="4" borderId="3" xfId="0" applyFill="1" applyBorder="1"/>
    <xf numFmtId="1" fontId="1" fillId="2" borderId="1" xfId="1" applyNumberFormat="1" applyFont="1" applyFill="1" applyBorder="1" applyAlignment="1">
      <alignment horizontal="center" wrapText="1"/>
    </xf>
    <xf numFmtId="0" fontId="20" fillId="0" borderId="3" xfId="0" applyFont="1" applyBorder="1" applyAlignment="1">
      <alignment horizontal="center"/>
    </xf>
    <xf numFmtId="44" fontId="37" fillId="0" borderId="0" xfId="1" applyNumberFormat="1" applyFont="1" applyFill="1"/>
    <xf numFmtId="44" fontId="38" fillId="0" borderId="0" xfId="1" applyNumberFormat="1" applyFont="1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3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/>
    </xf>
    <xf numFmtId="1" fontId="0" fillId="0" borderId="0" xfId="1" applyNumberFormat="1" applyFont="1" applyAlignment="1">
      <alignment horizontal="left"/>
    </xf>
    <xf numFmtId="0" fontId="0" fillId="0" borderId="0" xfId="1" applyNumberFormat="1" applyFont="1" applyAlignment="1">
      <alignment horizontal="left"/>
    </xf>
    <xf numFmtId="1" fontId="0" fillId="0" borderId="0" xfId="1" applyNumberFormat="1" applyFont="1" applyFill="1" applyAlignment="1">
      <alignment horizontal="left"/>
    </xf>
    <xf numFmtId="0" fontId="39" fillId="0" borderId="0" xfId="0" applyFont="1" applyAlignment="1">
      <alignment vertical="center"/>
    </xf>
    <xf numFmtId="0" fontId="0" fillId="12" borderId="0" xfId="0" applyFill="1"/>
    <xf numFmtId="44" fontId="38" fillId="0" borderId="0" xfId="1" applyNumberFormat="1" applyFont="1" applyFill="1"/>
    <xf numFmtId="0" fontId="0" fillId="13" borderId="0" xfId="0" applyFill="1"/>
    <xf numFmtId="44" fontId="0" fillId="13" borderId="0" xfId="1" applyNumberFormat="1" applyFont="1" applyFill="1"/>
    <xf numFmtId="44" fontId="3" fillId="0" borderId="0" xfId="1" applyNumberFormat="1" applyFont="1" applyFill="1" applyAlignment="1">
      <alignment horizontal="right"/>
    </xf>
    <xf numFmtId="0" fontId="0" fillId="10" borderId="0" xfId="0" applyFill="1"/>
    <xf numFmtId="44" fontId="40" fillId="0" borderId="0" xfId="1" applyNumberFormat="1" applyFont="1"/>
    <xf numFmtId="1" fontId="0" fillId="0" borderId="3" xfId="1" applyNumberFormat="1" applyFont="1" applyFill="1" applyBorder="1" applyAlignment="1">
      <alignment horizontal="center"/>
    </xf>
    <xf numFmtId="44" fontId="0" fillId="0" borderId="3" xfId="1" applyNumberFormat="1" applyFont="1" applyFill="1" applyBorder="1"/>
    <xf numFmtId="1" fontId="0" fillId="0" borderId="6" xfId="1" applyNumberFormat="1" applyFont="1" applyFill="1" applyBorder="1" applyAlignment="1">
      <alignment horizontal="center"/>
    </xf>
    <xf numFmtId="44" fontId="0" fillId="0" borderId="19" xfId="0" applyNumberFormat="1" applyBorder="1"/>
    <xf numFmtId="0" fontId="20" fillId="0" borderId="3" xfId="0" applyFont="1" applyBorder="1"/>
    <xf numFmtId="0" fontId="0" fillId="0" borderId="19" xfId="0" applyBorder="1"/>
    <xf numFmtId="0" fontId="0" fillId="0" borderId="3" xfId="0" applyBorder="1" applyAlignment="1">
      <alignment horizontal="center" vertical="center"/>
    </xf>
    <xf numFmtId="1" fontId="0" fillId="0" borderId="22" xfId="1" applyNumberFormat="1" applyFont="1" applyFill="1" applyBorder="1" applyAlignment="1">
      <alignment horizontal="center"/>
    </xf>
    <xf numFmtId="1" fontId="0" fillId="0" borderId="11" xfId="1" applyNumberFormat="1" applyFont="1" applyFill="1" applyBorder="1" applyAlignment="1">
      <alignment horizontal="center"/>
    </xf>
    <xf numFmtId="1" fontId="34" fillId="0" borderId="19" xfId="1" applyNumberFormat="1" applyFont="1" applyFill="1" applyBorder="1" applyAlignment="1">
      <alignment horizontal="center"/>
    </xf>
    <xf numFmtId="44" fontId="40" fillId="0" borderId="0" xfId="1" applyNumberFormat="1" applyFont="1" applyFill="1"/>
    <xf numFmtId="1" fontId="0" fillId="10" borderId="0" xfId="1" applyNumberFormat="1" applyFont="1" applyFill="1" applyAlignment="1">
      <alignment horizontal="center"/>
    </xf>
    <xf numFmtId="0" fontId="0" fillId="6" borderId="4" xfId="0" applyFont="1" applyFill="1" applyBorder="1"/>
    <xf numFmtId="0" fontId="0" fillId="0" borderId="4" xfId="0" applyFont="1" applyBorder="1"/>
    <xf numFmtId="0" fontId="0" fillId="0" borderId="0" xfId="0" applyFill="1"/>
    <xf numFmtId="14" fontId="0" fillId="0" borderId="0" xfId="0" applyNumberFormat="1" applyFill="1"/>
    <xf numFmtId="44" fontId="0" fillId="0" borderId="0" xfId="0" applyNumberFormat="1" applyFill="1"/>
    <xf numFmtId="44" fontId="3" fillId="0" borderId="0" xfId="0" applyNumberFormat="1" applyFont="1" applyFill="1"/>
    <xf numFmtId="14" fontId="0" fillId="0" borderId="4" xfId="0" applyNumberFormat="1" applyFont="1" applyFill="1" applyBorder="1"/>
    <xf numFmtId="0" fontId="0" fillId="0" borderId="4" xfId="0" applyFont="1" applyFill="1" applyBorder="1"/>
  </cellXfs>
  <cellStyles count="69">
    <cellStyle name="Euro" xfId="5" xr:uid="{7C441C59-48B7-449D-B80E-8C8B236B5551}"/>
    <cellStyle name="Millares" xfId="1" builtinId="3"/>
    <cellStyle name="Millares 2" xfId="7" xr:uid="{F0CDD5D8-AC67-4376-A115-742E9E4EC4D8}"/>
    <cellStyle name="Millares 2 2" xfId="52" xr:uid="{3126B220-2BDF-47D3-9DBB-0F2611DBB764}"/>
    <cellStyle name="Millares 3" xfId="8" xr:uid="{22C2634E-05ED-4123-AE1D-0AFDFCCF1129}"/>
    <cellStyle name="Millares 4" xfId="6" xr:uid="{58D90235-CEB0-4022-AD93-C1D5D1AC8810}"/>
    <cellStyle name="Moneda" xfId="3" builtinId="4"/>
    <cellStyle name="Moneda [0] 2" xfId="11" xr:uid="{CBB6B8A0-88C2-404C-A46A-6311EEB71A71}"/>
    <cellStyle name="Moneda [0] 3" xfId="10" xr:uid="{4A1A6FBB-8641-4FF3-80B7-7F5F778C1844}"/>
    <cellStyle name="Moneda 10" xfId="12" xr:uid="{466E8ACD-EE2A-41A6-8048-8079668921C7}"/>
    <cellStyle name="Moneda 11" xfId="13" xr:uid="{9A014018-1066-46A6-B882-42EE3A039DF6}"/>
    <cellStyle name="Moneda 12" xfId="14" xr:uid="{14BDDC27-ADF2-4642-8029-12996AE6F1D6}"/>
    <cellStyle name="Moneda 13" xfId="15" xr:uid="{FD664A43-9DA5-475A-8030-F196C0244A5F}"/>
    <cellStyle name="Moneda 14" xfId="16" xr:uid="{876AC151-0A00-4F18-A591-8CF6252124AF}"/>
    <cellStyle name="Moneda 15" xfId="17" xr:uid="{22FB681E-1EEF-4F20-B24B-FAF92822BDA9}"/>
    <cellStyle name="Moneda 16" xfId="18" xr:uid="{48714213-B822-4F02-860D-F257D3FE233E}"/>
    <cellStyle name="Moneda 17" xfId="19" xr:uid="{19F21B13-5039-4651-9B8D-78AB2E18CEC3}"/>
    <cellStyle name="Moneda 18" xfId="20" xr:uid="{BF6211C5-BA6A-4792-BB73-731EA053D9C0}"/>
    <cellStyle name="Moneda 19" xfId="21" xr:uid="{33459AF0-E2E0-4559-9E58-6536600A394A}"/>
    <cellStyle name="Moneda 2" xfId="2" xr:uid="{00000000-0005-0000-0000-000002000000}"/>
    <cellStyle name="Moneda 2 2" xfId="56" xr:uid="{CEF1815F-AF46-469D-B001-A4B5E196C665}"/>
    <cellStyle name="Moneda 20" xfId="23" xr:uid="{AEF5910A-80A1-4023-A5FA-F1A7FC2844E4}"/>
    <cellStyle name="Moneda 21" xfId="24" xr:uid="{4E5DB796-7216-4BC6-BBE2-09E22A44DF74}"/>
    <cellStyle name="Moneda 22" xfId="25" xr:uid="{996423D5-2998-4348-B58D-C8D779F639D5}"/>
    <cellStyle name="Moneda 23" xfId="26" xr:uid="{6D9AB7C5-970E-4715-AB3B-A4FD8063AA08}"/>
    <cellStyle name="Moneda 24" xfId="27" xr:uid="{20DE810F-4D25-4B93-944D-A60703F726EA}"/>
    <cellStyle name="Moneda 25" xfId="28" xr:uid="{DB5DBA31-11C2-4220-8B73-D44671F3DEBF}"/>
    <cellStyle name="Moneda 26" xfId="29" xr:uid="{78ACD5C8-8A6E-4FF8-B221-FA5B086CD9A5}"/>
    <cellStyle name="Moneda 27" xfId="30" xr:uid="{51113964-3FE0-4262-9CC0-6B3E33758E07}"/>
    <cellStyle name="Moneda 28" xfId="31" xr:uid="{C4D4DEF9-9506-435B-9FD3-FDCB1BB24DC1}"/>
    <cellStyle name="Moneda 29" xfId="32" xr:uid="{E1374895-A53E-4D59-8D27-D5D82E354F13}"/>
    <cellStyle name="Moneda 3" xfId="33" xr:uid="{C3895902-5E41-4EE3-80F4-AECB65F8BBA9}"/>
    <cellStyle name="Moneda 30" xfId="34" xr:uid="{7B57D807-A0A3-49DC-B049-B0BC422356B4}"/>
    <cellStyle name="Moneda 31" xfId="35" xr:uid="{AAAB1CF7-F1AC-401D-A6DD-0B287E470A98}"/>
    <cellStyle name="Moneda 32" xfId="36" xr:uid="{FE21B0E3-A5BD-473A-91D5-82D3C950B437}"/>
    <cellStyle name="Moneda 33" xfId="37" xr:uid="{0A02A032-CEE0-4173-8ADD-5986787CDCB8}"/>
    <cellStyle name="Moneda 34" xfId="53" xr:uid="{FFFE75AC-E9B4-4A19-8ED1-0D6A0561DCB3}"/>
    <cellStyle name="Moneda 35" xfId="57" xr:uid="{E9124AA5-9F1F-4980-8AE9-3005F5E0F76B}"/>
    <cellStyle name="Moneda 36" xfId="54" xr:uid="{09172F0B-0414-49E8-A3CC-D5D0A867E88E}"/>
    <cellStyle name="Moneda 37" xfId="22" xr:uid="{F813268D-DE0A-4785-9CCC-B160BF243AE9}"/>
    <cellStyle name="Moneda 38" xfId="55" xr:uid="{7C6F97C2-B5FE-4E91-BBC1-66F1056C28FF}"/>
    <cellStyle name="Moneda 39" xfId="60" xr:uid="{C06B0405-1090-4661-BC02-F3AE0D5B52DE}"/>
    <cellStyle name="Moneda 4" xfId="38" xr:uid="{2749F848-97D2-49EA-924A-8A6205E5BCB7}"/>
    <cellStyle name="Moneda 40" xfId="59" xr:uid="{C7BC4C74-014F-46D1-89E1-62A904850C4D}"/>
    <cellStyle name="Moneda 41" xfId="61" xr:uid="{DFB416C2-CCE8-422C-894F-318DC4938E36}"/>
    <cellStyle name="Moneda 42" xfId="51" xr:uid="{ED5DF6AE-461A-42FC-9D49-10B282E9E06B}"/>
    <cellStyle name="Moneda 43" xfId="9" xr:uid="{A18F1268-FB8D-499A-BE70-858E1710ED07}"/>
    <cellStyle name="Moneda 44" xfId="63" xr:uid="{11F3CA2E-8319-4DCE-B838-56722FCC802F}"/>
    <cellStyle name="Moneda 45" xfId="64" xr:uid="{F3C09DB3-3EE3-4383-B87C-6939132D4326}"/>
    <cellStyle name="Moneda 46" xfId="58" xr:uid="{26FAC640-5A56-4074-AFD1-0266D44997CE}"/>
    <cellStyle name="Moneda 47" xfId="62" xr:uid="{C3CD1E76-1982-436D-B2E5-9183E4577154}"/>
    <cellStyle name="Moneda 48" xfId="65" xr:uid="{C5AF2260-816E-48C6-9DBB-859FDDFFA1C6}"/>
    <cellStyle name="Moneda 49" xfId="67" xr:uid="{F7C15159-80AB-44E0-A173-CA06FC76C049}"/>
    <cellStyle name="Moneda 5" xfId="39" xr:uid="{95F31D25-3B48-4CE0-9A47-5AC01A46F201}"/>
    <cellStyle name="Moneda 50" xfId="68" xr:uid="{73F236D3-5C7C-45CD-8061-58FFAB25368D}"/>
    <cellStyle name="Moneda 51" xfId="66" xr:uid="{4F7B0DC2-154E-4135-8D60-B7D3900F5536}"/>
    <cellStyle name="Moneda 6" xfId="40" xr:uid="{BE8FF8C8-4EF1-499B-8B7E-36F0B7768F0D}"/>
    <cellStyle name="Moneda 7" xfId="41" xr:uid="{AB2BD3BA-6B87-4544-B311-5BFF9DE582F2}"/>
    <cellStyle name="Moneda 8" xfId="42" xr:uid="{BD5005E2-51CD-42A3-85C5-C09917710B72}"/>
    <cellStyle name="Moneda 9" xfId="43" xr:uid="{B6E759C2-59D2-41DA-BF75-203574F0AA49}"/>
    <cellStyle name="Normal" xfId="0" builtinId="0"/>
    <cellStyle name="Normal 2" xfId="4" xr:uid="{00000000-0005-0000-0000-000004000000}"/>
    <cellStyle name="Normal 2 2" xfId="44" xr:uid="{F8D89C1C-AE53-49A0-AC35-41A99B6EAF86}"/>
    <cellStyle name="Normal 3" xfId="45" xr:uid="{310FF0BF-6662-489E-9D45-D83087B46E60}"/>
    <cellStyle name="Normal 3 2" xfId="46" xr:uid="{BA73EE2D-E03A-4843-8016-335D93926632}"/>
    <cellStyle name="Normal 4" xfId="47" xr:uid="{2B6EE765-7BAD-4B49-B787-905D2FC91F91}"/>
    <cellStyle name="Porcentaje 2" xfId="49" xr:uid="{C0CC7A98-F19E-4DA9-9229-A720443C78FF}"/>
    <cellStyle name="Porcentaje 3" xfId="50" xr:uid="{70F2350C-8956-4FEB-8456-7753F6368F09}"/>
    <cellStyle name="Porcentaje 4" xfId="48" xr:uid="{4BF858A5-3B82-4FAC-8072-2BB31DE03E74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protection locked="1" hidden="0"/>
    </dxf>
    <dxf>
      <numFmt numFmtId="1" formatCode="0"/>
      <protection locked="0" hidden="0"/>
    </dxf>
    <dxf>
      <numFmt numFmtId="19" formatCode="dd/mm/yyyy"/>
      <protection locked="0" hidden="0"/>
    </dxf>
    <dxf>
      <protection locked="0" hidden="0"/>
    </dxf>
    <dxf>
      <protection locked="0" hidden="0"/>
    </dxf>
    <dxf>
      <protection locked="0" hidden="0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9" formatCode="dd/mm/yyyy"/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center" textRotation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center" textRotation="0" indent="0" justifyLastLine="0" shrinkToFit="0" readingOrder="0"/>
    </dxf>
    <dxf>
      <alignment horizontal="left" textRotation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textRotation="0" indent="0" justifyLastLine="0" shrinkToFit="0" readingOrder="0"/>
    </dxf>
    <dxf>
      <numFmt numFmtId="34" formatCode="_(&quot;$&quot;* #,##0.00_);_(&quot;$&quot;* \(#,##0.00\);_(&quot;$&quot;* &quot;-&quot;??_);_(@_)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CCFF"/>
      <color rgb="FFFFFF99"/>
      <color rgb="FFFFFFCC"/>
      <color rgb="FFB9EDFF"/>
      <color rgb="FFFF99CC"/>
      <color rgb="FFFFCC99"/>
      <color rgb="FF5BD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lany Escobar Arcila" id="{3CE658CA-7619-4F0F-8548-32C04A71171E}" userId="S::melany.escobar@gco.com.co::f1e768b7-f159-445d-a316-f672d6a22cf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U6214" totalsRowShown="0" headerRowDxfId="46" tableBorderDxfId="45">
  <autoFilter ref="A1:U6214" xr:uid="{00000000-000C-0000-FFFF-FFFF00000000}"/>
  <tableColumns count="21">
    <tableColumn id="1" xr3:uid="{00000000-0010-0000-0000-000001000000}" name="IMPORTADOR"/>
    <tableColumn id="2" xr3:uid="{00000000-0010-0000-0000-000002000000}" name="MARCA"/>
    <tableColumn id="3" xr3:uid="{00000000-0010-0000-0000-000003000000}" name="FECHA DE PAGO" dataDxfId="44"/>
    <tableColumn id="4" xr3:uid="{00000000-0010-0000-0000-000004000000}" name="DIA">
      <calculatedColumnFormula>DAY(C2)</calculatedColumnFormula>
    </tableColumn>
    <tableColumn id="5" xr3:uid="{00000000-0010-0000-0000-000005000000}" name="MES ">
      <calculatedColumnFormula>MONTH(C2)</calculatedColumnFormula>
    </tableColumn>
    <tableColumn id="6" xr3:uid="{00000000-0010-0000-0000-000006000000}" name="AÑO">
      <calculatedColumnFormula>YEAR(C2)</calculatedColumnFormula>
    </tableColumn>
    <tableColumn id="7" xr3:uid="{00000000-0010-0000-0000-000007000000}" name="PROVEEDOR"/>
    <tableColumn id="8" xr3:uid="{00000000-0010-0000-0000-000008000000}" name="# IMPORTACION" dataDxfId="43" dataCellStyle="Millares" totalsRowCellStyle="Millares"/>
    <tableColumn id="9" xr3:uid="{00000000-0010-0000-0000-000009000000}" name="VALOR MONEDA ORIGEN" dataDxfId="42" dataCellStyle="Millares" totalsRowCellStyle="Millares"/>
    <tableColumn id="10" xr3:uid="{00000000-0010-0000-0000-00000A000000}" name="MONEDA" dataDxfId="41"/>
    <tableColumn id="11" xr3:uid="{00000000-0010-0000-0000-00000B000000}" name="VALOR USD" dataDxfId="40" dataCellStyle="Millares" totalsRowCellStyle="Millares"/>
    <tableColumn id="12" xr3:uid="{00000000-0010-0000-0000-00000C000000}" name="FACTOR DE CONVERSION"/>
    <tableColumn id="24" xr3:uid="{00000000-0010-0000-0000-000018000000}" name="DESCUENTO PRONTO PAGO" dataDxfId="39" dataCellStyle="Millares" totalsRowCellStyle="Millares"/>
    <tableColumn id="13" xr3:uid="{00000000-0010-0000-0000-00000D000000}" name="FORMA DE PAGO"/>
    <tableColumn id="14" xr3:uid="{00000000-0010-0000-0000-00000E000000}" name="TIPO DE PAGO"/>
    <tableColumn id="15" xr3:uid="{00000000-0010-0000-0000-00000F000000}" name="FECHA DE APERTURA CREDITO -UTILIZACION LC"/>
    <tableColumn id="16" xr3:uid="{00000000-0010-0000-0000-000010000000}" name="FECHA DE VENCIMIENTO"/>
    <tableColumn id="20" xr3:uid="{00000000-0010-0000-0000-000014000000}" name="# CREDITO"/>
    <tableColumn id="21" xr3:uid="{00000000-0010-0000-0000-000015000000}" name="# DEUDA EXTERNA"/>
    <tableColumn id="22" xr3:uid="{00000000-0010-0000-0000-000016000000}" name="NOTA CREDITO " dataDxfId="38" dataCellStyle="Millares" totalsRowCellStyle="Millares"/>
    <tableColumn id="23" xr3:uid="{00000000-0010-0000-0000-000017000000}" name="OBSERVACIONES" dataDxfId="37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33" displayName="Tabla33" ref="A1:G1306" totalsRowShown="0" headerRowDxfId="36">
  <autoFilter ref="A1:G1306" xr:uid="{00000000-0009-0000-0100-000002000000}"/>
  <tableColumns count="7">
    <tableColumn id="1" xr3:uid="{00000000-0010-0000-0300-000001000000}" name="EMPRESA"/>
    <tableColumn id="5" xr3:uid="{00000000-0010-0000-0300-000005000000}" name="NEGOCIO"/>
    <tableColumn id="2" xr3:uid="{00000000-0010-0000-0300-000002000000}" name="FECHA COMPRA"/>
    <tableColumn id="3" xr3:uid="{00000000-0010-0000-0300-000003000000}" name="BANCO"/>
    <tableColumn id="7" xr3:uid="{00000000-0010-0000-0300-000007000000}" name="SPOT O FWD"/>
    <tableColumn id="4" xr3:uid="{00000000-0010-0000-0300-000004000000}" name="VALOR" dataDxfId="35"/>
    <tableColumn id="6" xr3:uid="{00000000-0010-0000-0300-000006000000}" name="TASA" dataDxfId="3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1:K562" totalsRowShown="0" headerRowDxfId="33">
  <autoFilter ref="A1:K562" xr:uid="{00000000-000C-0000-FFFF-FFFF02000000}"/>
  <tableColumns count="11">
    <tableColumn id="1" xr3:uid="{00000000-0010-0000-0200-000001000000}" name="EMPRESA"/>
    <tableColumn id="2" xr3:uid="{00000000-0010-0000-0200-000002000000}" name="FECHA DE PAGO"/>
    <tableColumn id="3" xr3:uid="{00000000-0010-0000-0200-000003000000}" name="PROVEEDOR"/>
    <tableColumn id="4" xr3:uid="{00000000-0010-0000-0200-000004000000}" name="VALOR FACTURA" dataDxfId="32" totalsRowDxfId="31"/>
    <tableColumn id="5" xr3:uid="{00000000-0010-0000-0200-000005000000}" name="VALOR RETENCION" dataDxfId="30" totalsRowDxfId="29">
      <calculatedColumnFormula>+Tabla3[[#This Row],[VALOR FACTURA]]-Tabla3[[#This Row],[VALOR PAGO]]</calculatedColumnFormula>
    </tableColumn>
    <tableColumn id="8" xr3:uid="{00000000-0010-0000-0200-000008000000}" name="VALOR PAGO" dataDxfId="28" totalsRowDxfId="27" dataCellStyle="Millares" totalsRowCellStyle="Millares"/>
    <tableColumn id="6" xr3:uid="{00000000-0010-0000-0200-000006000000}" name="VALOR MONEDA ORIGEN" dataDxfId="26" totalsRowDxfId="25"/>
    <tableColumn id="7" xr3:uid="{00000000-0010-0000-0200-000007000000}" name="OBSERVACIONES" dataDxfId="24" totalsRowDxfId="23"/>
    <tableColumn id="10" xr3:uid="{6BCE75FF-23DE-4D1C-B84E-9AC40D7F4CEF}" name="RESPONSABLE" dataDxfId="22" totalsRowDxfId="21"/>
    <tableColumn id="9" xr3:uid="{C4A25F20-8C43-429E-B38C-0705303C3B1D}" name="ANTICIPO" dataDxfId="20" totalsRowDxfId="19"/>
    <tableColumn id="11" xr3:uid="{2A4E35CB-CFC5-49E7-972B-7816804F02A3}" name="LEGALIZACIÓN" dataDxfId="18" totalsRowDxfId="17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A1:I459" headerRowDxfId="16" headerRowBorderDxfId="15" tableBorderDxfId="14">
  <autoFilter ref="A1:I459" xr:uid="{00000000-000C-0000-FFFF-FFFF01000000}"/>
  <tableColumns count="9">
    <tableColumn id="1" xr3:uid="{00000000-0010-0000-0100-000001000000}" name="EXPORTADOR"/>
    <tableColumn id="2" xr3:uid="{00000000-0010-0000-0100-000002000000}" name="MARCA"/>
    <tableColumn id="3" xr3:uid="{00000000-0010-0000-0100-000003000000}" name="FECHA DE INGRESO"/>
    <tableColumn id="4" xr3:uid="{00000000-0010-0000-0100-000004000000}" name="DIA" dataDxfId="13">
      <calculatedColumnFormula>DAY(C2)</calculatedColumnFormula>
    </tableColumn>
    <tableColumn id="5" xr3:uid="{00000000-0010-0000-0100-000005000000}" name="MES " dataDxfId="12">
      <calculatedColumnFormula>MONTH(C2)</calculatedColumnFormula>
    </tableColumn>
    <tableColumn id="6" xr3:uid="{00000000-0010-0000-0100-000006000000}" name="AÑO" dataDxfId="11">
      <calculatedColumnFormula>YEAR(C2)</calculatedColumnFormula>
    </tableColumn>
    <tableColumn id="7" xr3:uid="{00000000-0010-0000-0100-000007000000}" name="CLIENTE"/>
    <tableColumn id="8" xr3:uid="{00000000-0010-0000-0100-000008000000}" name="VALOR USD" dataDxfId="10" totalsRowDxfId="9"/>
    <tableColumn id="9" xr3:uid="{F5B994CB-428E-492B-A560-36ADCC6B01DB}" name="OBSERVACIONES" dataDxfId="8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336" displayName="Tabla336" ref="A1:D137" totalsRowShown="0" headerRowDxfId="7" dataDxfId="6">
  <autoFilter ref="A1:D137" xr:uid="{00000000-0009-0000-0100-000005000000}"/>
  <tableColumns count="4">
    <tableColumn id="1" xr3:uid="{00000000-0010-0000-0400-000001000000}" name="EMPRESA" dataDxfId="5"/>
    <tableColumn id="5" xr3:uid="{00000000-0010-0000-0400-000005000000}" name="MES" dataDxfId="4"/>
    <tableColumn id="2" xr3:uid="{00000000-0010-0000-0400-000002000000}" name="CANTIDAD" dataDxfId="3"/>
    <tableColumn id="3" xr3:uid="{00000000-0010-0000-0400-000003000000}" name="BANCO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3805" dT="2025-06-11T19:38:49.29" personId="{3CE658CA-7619-4F0F-8548-32C04A71171E}" id="{03C107CD-196E-4DA1-997F-3F4E6C8EFE29}">
    <text>Forex AR Pontes # 12257, por error de Bancolombia se abonó a Punto Fa</text>
  </threadedComment>
  <threadedComment ref="U3806" dT="2025-06-11T19:38:49.29" personId="{3CE658CA-7619-4F0F-8548-32C04A71171E}" id="{E7C31967-3539-48D8-85AF-A43885CCF6A1}">
    <text>Forex AR Pontes # 12257, por error de Bancolombia se abonó a Punto Fa</text>
  </threadedComment>
  <threadedComment ref="U3807" dT="2025-06-11T19:38:49.29" personId="{3CE658CA-7619-4F0F-8548-32C04A71171E}" id="{A5086142-AD76-4A36-AFE4-A65C5A5B3875}">
    <text>Forex AR Pontes # 12257, por error de Bancolombia se abonó a Punto Fa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10" dT="2025-05-14T21:57:48.89" personId="{3CE658CA-7619-4F0F-8548-32C04A71171E}" id="{4CEC3BE9-B6A6-4B86-909B-62076B8C6508}">
    <text>Triangulación IMPO 12312.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8"/>
  <sheetViews>
    <sheetView zoomScale="66" workbookViewId="0">
      <selection activeCell="C20" sqref="C20"/>
    </sheetView>
  </sheetViews>
  <sheetFormatPr baseColWidth="10" defaultRowHeight="14.5" x14ac:dyDescent="0.35"/>
  <sheetData>
    <row r="1" spans="1:3" x14ac:dyDescent="0.35">
      <c r="A1" t="s">
        <v>19</v>
      </c>
      <c r="C1" t="s">
        <v>21</v>
      </c>
    </row>
    <row r="2" spans="1:3" x14ac:dyDescent="0.35">
      <c r="A2" t="s">
        <v>20</v>
      </c>
      <c r="C2" t="s">
        <v>23</v>
      </c>
    </row>
    <row r="3" spans="1:3" x14ac:dyDescent="0.35">
      <c r="C3" t="s">
        <v>25</v>
      </c>
    </row>
    <row r="4" spans="1:3" x14ac:dyDescent="0.35">
      <c r="C4" t="s">
        <v>24</v>
      </c>
    </row>
    <row r="5" spans="1:3" x14ac:dyDescent="0.35">
      <c r="C5" t="s">
        <v>19</v>
      </c>
    </row>
    <row r="6" spans="1:3" x14ac:dyDescent="0.35">
      <c r="C6" t="s">
        <v>22</v>
      </c>
    </row>
    <row r="7" spans="1:3" x14ac:dyDescent="0.35">
      <c r="C7" t="s">
        <v>26</v>
      </c>
    </row>
    <row r="8" spans="1:3" x14ac:dyDescent="0.35">
      <c r="C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U6214"/>
  <sheetViews>
    <sheetView topLeftCell="G1" zoomScale="90" zoomScaleNormal="90" workbookViewId="0">
      <pane ySplit="1" topLeftCell="A5670" activePane="bottomLeft" state="frozen"/>
      <selection pane="bottomLeft" activeCell="K1" sqref="K1:K1048576"/>
    </sheetView>
  </sheetViews>
  <sheetFormatPr baseColWidth="10" defaultRowHeight="14.5" x14ac:dyDescent="0.35"/>
  <cols>
    <col min="1" max="1" width="21.26953125" bestFit="1" customWidth="1"/>
    <col min="2" max="2" width="16.81640625" customWidth="1"/>
    <col min="3" max="3" width="12.1796875" customWidth="1"/>
    <col min="4" max="4" width="4.1796875" customWidth="1"/>
    <col min="5" max="5" width="4" customWidth="1"/>
    <col min="6" max="6" width="6.453125" customWidth="1"/>
    <col min="7" max="7" width="46.81640625" customWidth="1"/>
    <col min="8" max="8" width="13.81640625" style="98" customWidth="1"/>
    <col min="9" max="9" width="17.1796875" style="15" bestFit="1" customWidth="1"/>
    <col min="10" max="10" width="8.453125" style="12" customWidth="1"/>
    <col min="11" max="11" width="15.1796875" style="15" bestFit="1" customWidth="1"/>
    <col min="12" max="12" width="12.453125" customWidth="1"/>
    <col min="13" max="13" width="12.453125" style="15" customWidth="1"/>
    <col min="14" max="14" width="9.54296875" customWidth="1"/>
    <col min="15" max="15" width="26.453125" customWidth="1"/>
    <col min="16" max="16" width="12.453125" customWidth="1"/>
    <col min="17" max="17" width="13.26953125" customWidth="1"/>
    <col min="18" max="18" width="16.453125" bestFit="1" customWidth="1"/>
    <col min="19" max="19" width="18.1796875" customWidth="1"/>
    <col min="20" max="20" width="15.7265625" style="14" customWidth="1"/>
    <col min="21" max="21" width="57.81640625" style="209" bestFit="1" customWidth="1"/>
  </cols>
  <sheetData>
    <row r="1" spans="1:21" s="11" customFormat="1" ht="44.15" customHeight="1" x14ac:dyDescent="0.25">
      <c r="A1" s="8" t="s">
        <v>0</v>
      </c>
      <c r="B1" s="8" t="s">
        <v>65</v>
      </c>
      <c r="C1" s="9" t="s">
        <v>2</v>
      </c>
      <c r="D1" s="9" t="s">
        <v>16</v>
      </c>
      <c r="E1" s="9" t="s">
        <v>17</v>
      </c>
      <c r="F1" s="9" t="s">
        <v>18</v>
      </c>
      <c r="G1" s="8" t="s">
        <v>3</v>
      </c>
      <c r="H1" s="204" t="s">
        <v>4</v>
      </c>
      <c r="I1" s="25" t="s">
        <v>5</v>
      </c>
      <c r="J1" s="8" t="s">
        <v>6</v>
      </c>
      <c r="K1" s="25" t="s">
        <v>7</v>
      </c>
      <c r="L1" s="8" t="s">
        <v>8</v>
      </c>
      <c r="M1" s="25" t="s">
        <v>258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118" t="s">
        <v>15</v>
      </c>
      <c r="U1" s="208" t="s">
        <v>163</v>
      </c>
    </row>
    <row r="2" spans="1:21" ht="14.5" customHeight="1" x14ac:dyDescent="0.35">
      <c r="A2" t="s">
        <v>19</v>
      </c>
      <c r="B2" t="s">
        <v>23</v>
      </c>
      <c r="C2" s="1">
        <v>45301</v>
      </c>
      <c r="D2">
        <f t="shared" ref="D2:D65" si="0">DAY(C2)</f>
        <v>10</v>
      </c>
      <c r="E2">
        <f t="shared" ref="E2:E65" si="1">MONTH(C2)</f>
        <v>1</v>
      </c>
      <c r="F2">
        <f t="shared" ref="F2:F65" si="2">YEAR(C2)</f>
        <v>2024</v>
      </c>
      <c r="G2" t="s">
        <v>74</v>
      </c>
      <c r="H2" s="97">
        <v>9440</v>
      </c>
      <c r="I2" s="90">
        <v>33918.15</v>
      </c>
      <c r="J2" s="12" t="s">
        <v>31</v>
      </c>
      <c r="K2" s="29">
        <f t="shared" ref="K2:K33" si="3">IF(J2="USD",I2,I2*L2)</f>
        <v>33918.15</v>
      </c>
      <c r="L2" s="101">
        <v>1</v>
      </c>
      <c r="M2" s="29">
        <v>0</v>
      </c>
      <c r="N2" t="s">
        <v>32</v>
      </c>
      <c r="O2" t="s">
        <v>33</v>
      </c>
      <c r="P2" t="s">
        <v>34</v>
      </c>
      <c r="Q2" t="s">
        <v>34</v>
      </c>
      <c r="R2" t="s">
        <v>34</v>
      </c>
      <c r="S2" t="s">
        <v>34</v>
      </c>
      <c r="T2" s="117">
        <v>0</v>
      </c>
    </row>
    <row r="3" spans="1:21" ht="14.5" customHeight="1" x14ac:dyDescent="0.35">
      <c r="A3" t="s">
        <v>19</v>
      </c>
      <c r="B3" t="s">
        <v>23</v>
      </c>
      <c r="C3" s="1">
        <v>45301</v>
      </c>
      <c r="D3">
        <f t="shared" si="0"/>
        <v>10</v>
      </c>
      <c r="E3">
        <f t="shared" si="1"/>
        <v>1</v>
      </c>
      <c r="F3">
        <f t="shared" si="2"/>
        <v>2024</v>
      </c>
      <c r="G3" t="s">
        <v>74</v>
      </c>
      <c r="H3" s="97">
        <v>9441</v>
      </c>
      <c r="I3" s="90">
        <v>42158.3</v>
      </c>
      <c r="J3" s="12" t="s">
        <v>31</v>
      </c>
      <c r="K3" s="29">
        <f t="shared" si="3"/>
        <v>42158.3</v>
      </c>
      <c r="L3">
        <v>1</v>
      </c>
      <c r="M3" s="29">
        <v>0</v>
      </c>
      <c r="N3" t="s">
        <v>32</v>
      </c>
      <c r="O3" t="s">
        <v>33</v>
      </c>
      <c r="P3" t="s">
        <v>34</v>
      </c>
      <c r="Q3" t="s">
        <v>34</v>
      </c>
      <c r="R3" t="s">
        <v>34</v>
      </c>
      <c r="S3" t="s">
        <v>34</v>
      </c>
      <c r="T3" s="117">
        <v>0</v>
      </c>
    </row>
    <row r="4" spans="1:21" ht="14.5" customHeight="1" x14ac:dyDescent="0.35">
      <c r="A4" t="s">
        <v>19</v>
      </c>
      <c r="B4" t="s">
        <v>23</v>
      </c>
      <c r="C4" s="1">
        <v>45301</v>
      </c>
      <c r="D4">
        <f t="shared" si="0"/>
        <v>10</v>
      </c>
      <c r="E4">
        <f t="shared" si="1"/>
        <v>1</v>
      </c>
      <c r="F4">
        <f t="shared" si="2"/>
        <v>2024</v>
      </c>
      <c r="G4" t="s">
        <v>75</v>
      </c>
      <c r="H4" s="171">
        <v>9715</v>
      </c>
      <c r="I4" s="90">
        <v>47223.8</v>
      </c>
      <c r="J4" s="12" t="s">
        <v>31</v>
      </c>
      <c r="K4" s="29">
        <f t="shared" si="3"/>
        <v>47223.8</v>
      </c>
      <c r="L4">
        <v>1</v>
      </c>
      <c r="M4" s="29">
        <v>0</v>
      </c>
      <c r="N4" t="s">
        <v>32</v>
      </c>
      <c r="O4" t="s">
        <v>33</v>
      </c>
      <c r="P4" t="s">
        <v>34</v>
      </c>
      <c r="Q4" t="s">
        <v>34</v>
      </c>
      <c r="R4" t="s">
        <v>34</v>
      </c>
      <c r="S4" t="s">
        <v>34</v>
      </c>
      <c r="T4" s="117">
        <v>0</v>
      </c>
    </row>
    <row r="5" spans="1:21" ht="14.5" customHeight="1" x14ac:dyDescent="0.35">
      <c r="A5" t="s">
        <v>19</v>
      </c>
      <c r="B5" t="s">
        <v>23</v>
      </c>
      <c r="C5" s="1">
        <v>45301</v>
      </c>
      <c r="D5">
        <f t="shared" si="0"/>
        <v>10</v>
      </c>
      <c r="E5">
        <f t="shared" si="1"/>
        <v>1</v>
      </c>
      <c r="F5">
        <f t="shared" si="2"/>
        <v>2024</v>
      </c>
      <c r="G5" t="s">
        <v>76</v>
      </c>
      <c r="H5" s="98">
        <v>9644</v>
      </c>
      <c r="I5" s="91">
        <v>54404.2</v>
      </c>
      <c r="J5" s="12" t="s">
        <v>31</v>
      </c>
      <c r="K5" s="29">
        <f t="shared" si="3"/>
        <v>54404.2</v>
      </c>
      <c r="L5">
        <v>1</v>
      </c>
      <c r="M5" s="29">
        <v>0</v>
      </c>
      <c r="N5" t="s">
        <v>32</v>
      </c>
      <c r="O5" t="s">
        <v>33</v>
      </c>
      <c r="P5" t="s">
        <v>34</v>
      </c>
      <c r="Q5" t="s">
        <v>34</v>
      </c>
      <c r="R5" t="s">
        <v>34</v>
      </c>
      <c r="S5" t="s">
        <v>34</v>
      </c>
      <c r="T5" s="117">
        <v>0</v>
      </c>
    </row>
    <row r="6" spans="1:21" ht="14.5" customHeight="1" x14ac:dyDescent="0.35">
      <c r="A6" t="s">
        <v>19</v>
      </c>
      <c r="B6" t="s">
        <v>23</v>
      </c>
      <c r="C6" s="1">
        <v>45301</v>
      </c>
      <c r="D6">
        <f t="shared" si="0"/>
        <v>10</v>
      </c>
      <c r="E6">
        <f t="shared" si="1"/>
        <v>1</v>
      </c>
      <c r="F6">
        <f t="shared" si="2"/>
        <v>2024</v>
      </c>
      <c r="G6" t="s">
        <v>76</v>
      </c>
      <c r="H6" s="98">
        <v>9610</v>
      </c>
      <c r="I6" s="91">
        <v>50434.25</v>
      </c>
      <c r="J6" s="12" t="s">
        <v>31</v>
      </c>
      <c r="K6" s="29">
        <f t="shared" si="3"/>
        <v>50434.25</v>
      </c>
      <c r="L6">
        <v>1</v>
      </c>
      <c r="M6" s="29">
        <v>0</v>
      </c>
      <c r="N6" t="s">
        <v>32</v>
      </c>
      <c r="O6" t="s">
        <v>33</v>
      </c>
      <c r="P6" t="s">
        <v>34</v>
      </c>
      <c r="Q6" t="s">
        <v>34</v>
      </c>
      <c r="R6" t="s">
        <v>34</v>
      </c>
      <c r="S6" t="s">
        <v>34</v>
      </c>
      <c r="T6" s="117">
        <v>0</v>
      </c>
    </row>
    <row r="7" spans="1:21" ht="14.5" customHeight="1" x14ac:dyDescent="0.35">
      <c r="A7" t="s">
        <v>19</v>
      </c>
      <c r="B7" t="s">
        <v>22</v>
      </c>
      <c r="C7" s="1">
        <v>45301</v>
      </c>
      <c r="D7">
        <f t="shared" si="0"/>
        <v>10</v>
      </c>
      <c r="E7">
        <f t="shared" si="1"/>
        <v>1</v>
      </c>
      <c r="F7">
        <f t="shared" si="2"/>
        <v>2024</v>
      </c>
      <c r="G7" t="s">
        <v>77</v>
      </c>
      <c r="H7" s="98">
        <v>9891</v>
      </c>
      <c r="I7" s="90">
        <v>11799</v>
      </c>
      <c r="J7" s="12" t="s">
        <v>31</v>
      </c>
      <c r="K7" s="29">
        <f t="shared" si="3"/>
        <v>11799</v>
      </c>
      <c r="L7">
        <v>1</v>
      </c>
      <c r="M7" s="29">
        <v>0</v>
      </c>
      <c r="N7" t="s">
        <v>42</v>
      </c>
      <c r="O7" t="s">
        <v>33</v>
      </c>
      <c r="P7" t="s">
        <v>34</v>
      </c>
      <c r="Q7" t="s">
        <v>34</v>
      </c>
      <c r="R7" t="s">
        <v>34</v>
      </c>
      <c r="S7" t="s">
        <v>34</v>
      </c>
      <c r="T7" s="117">
        <v>0</v>
      </c>
    </row>
    <row r="8" spans="1:21" ht="14.5" customHeight="1" x14ac:dyDescent="0.35">
      <c r="A8" t="s">
        <v>19</v>
      </c>
      <c r="B8" t="s">
        <v>22</v>
      </c>
      <c r="C8" s="1">
        <v>45301</v>
      </c>
      <c r="D8">
        <f t="shared" si="0"/>
        <v>10</v>
      </c>
      <c r="E8">
        <f t="shared" si="1"/>
        <v>1</v>
      </c>
      <c r="F8">
        <f t="shared" si="2"/>
        <v>2024</v>
      </c>
      <c r="G8" t="s">
        <v>77</v>
      </c>
      <c r="H8" s="98">
        <v>9892</v>
      </c>
      <c r="I8" s="29">
        <v>2677.5</v>
      </c>
      <c r="J8" s="12" t="s">
        <v>31</v>
      </c>
      <c r="K8" s="29">
        <f t="shared" si="3"/>
        <v>2677.5</v>
      </c>
      <c r="L8">
        <v>1</v>
      </c>
      <c r="M8" s="29">
        <v>0</v>
      </c>
      <c r="N8" t="s">
        <v>42</v>
      </c>
      <c r="O8" t="s">
        <v>33</v>
      </c>
      <c r="P8" t="s">
        <v>34</v>
      </c>
      <c r="Q8" t="s">
        <v>34</v>
      </c>
      <c r="R8" t="s">
        <v>34</v>
      </c>
      <c r="S8" t="s">
        <v>34</v>
      </c>
      <c r="T8" s="117">
        <v>0</v>
      </c>
    </row>
    <row r="9" spans="1:21" ht="14.5" customHeight="1" x14ac:dyDescent="0.35">
      <c r="A9" t="s">
        <v>19</v>
      </c>
      <c r="B9" t="s">
        <v>25</v>
      </c>
      <c r="C9" s="1">
        <v>45301</v>
      </c>
      <c r="D9">
        <f t="shared" si="0"/>
        <v>10</v>
      </c>
      <c r="E9">
        <f t="shared" si="1"/>
        <v>1</v>
      </c>
      <c r="F9">
        <f t="shared" si="2"/>
        <v>2024</v>
      </c>
      <c r="G9" t="s">
        <v>78</v>
      </c>
      <c r="H9" s="98">
        <v>9857</v>
      </c>
      <c r="I9" s="29">
        <v>6162.3</v>
      </c>
      <c r="J9" s="12" t="s">
        <v>51</v>
      </c>
      <c r="K9" s="29">
        <f t="shared" si="3"/>
        <v>6776.67</v>
      </c>
      <c r="L9" s="5">
        <v>1.0996981646463171</v>
      </c>
      <c r="M9" s="29">
        <v>0</v>
      </c>
      <c r="N9" t="s">
        <v>42</v>
      </c>
      <c r="O9" t="s">
        <v>33</v>
      </c>
      <c r="P9" t="s">
        <v>34</v>
      </c>
      <c r="Q9" t="s">
        <v>34</v>
      </c>
      <c r="R9" t="s">
        <v>34</v>
      </c>
      <c r="S9" t="s">
        <v>34</v>
      </c>
      <c r="T9" s="117">
        <v>0</v>
      </c>
    </row>
    <row r="10" spans="1:21" ht="14.5" customHeight="1" x14ac:dyDescent="0.35">
      <c r="A10" t="s">
        <v>19</v>
      </c>
      <c r="B10" t="s">
        <v>25</v>
      </c>
      <c r="C10" s="1">
        <v>45301</v>
      </c>
      <c r="D10">
        <f t="shared" si="0"/>
        <v>10</v>
      </c>
      <c r="E10">
        <f t="shared" si="1"/>
        <v>1</v>
      </c>
      <c r="F10">
        <f t="shared" si="2"/>
        <v>2024</v>
      </c>
      <c r="G10" t="s">
        <v>36</v>
      </c>
      <c r="H10" s="97">
        <v>8917</v>
      </c>
      <c r="I10" s="91">
        <v>123390.25</v>
      </c>
      <c r="J10" s="12" t="s">
        <v>31</v>
      </c>
      <c r="K10" s="29">
        <f t="shared" si="3"/>
        <v>123390.25</v>
      </c>
      <c r="L10">
        <v>1</v>
      </c>
      <c r="M10" s="29">
        <v>0</v>
      </c>
      <c r="N10" t="s">
        <v>32</v>
      </c>
      <c r="O10" t="s">
        <v>33</v>
      </c>
      <c r="P10" t="s">
        <v>34</v>
      </c>
      <c r="Q10" t="s">
        <v>34</v>
      </c>
      <c r="R10" t="s">
        <v>34</v>
      </c>
      <c r="S10" t="s">
        <v>34</v>
      </c>
      <c r="T10" s="117">
        <v>0</v>
      </c>
    </row>
    <row r="11" spans="1:21" ht="14.5" customHeight="1" x14ac:dyDescent="0.35">
      <c r="A11" t="s">
        <v>19</v>
      </c>
      <c r="B11" t="s">
        <v>21</v>
      </c>
      <c r="C11" s="1">
        <v>45301</v>
      </c>
      <c r="D11">
        <f t="shared" si="0"/>
        <v>10</v>
      </c>
      <c r="E11">
        <f t="shared" si="1"/>
        <v>1</v>
      </c>
      <c r="F11">
        <f t="shared" si="2"/>
        <v>2024</v>
      </c>
      <c r="G11" t="s">
        <v>36</v>
      </c>
      <c r="H11" s="97">
        <v>9193</v>
      </c>
      <c r="I11" s="91">
        <v>30896.52</v>
      </c>
      <c r="J11" s="12" t="s">
        <v>31</v>
      </c>
      <c r="K11" s="29">
        <f t="shared" si="3"/>
        <v>30896.52</v>
      </c>
      <c r="L11">
        <v>1</v>
      </c>
      <c r="M11" s="29">
        <v>0</v>
      </c>
      <c r="N11" t="s">
        <v>32</v>
      </c>
      <c r="O11" t="s">
        <v>33</v>
      </c>
      <c r="P11" t="s">
        <v>34</v>
      </c>
      <c r="Q11" t="s">
        <v>34</v>
      </c>
      <c r="R11" t="s">
        <v>34</v>
      </c>
      <c r="S11" t="s">
        <v>34</v>
      </c>
      <c r="T11" s="117">
        <v>0</v>
      </c>
    </row>
    <row r="12" spans="1:21" ht="14.5" customHeight="1" x14ac:dyDescent="0.35">
      <c r="A12" t="s">
        <v>19</v>
      </c>
      <c r="B12" t="s">
        <v>25</v>
      </c>
      <c r="C12" s="1">
        <v>45301</v>
      </c>
      <c r="D12">
        <f t="shared" si="0"/>
        <v>10</v>
      </c>
      <c r="E12">
        <f t="shared" si="1"/>
        <v>1</v>
      </c>
      <c r="F12">
        <f t="shared" si="2"/>
        <v>2024</v>
      </c>
      <c r="G12" t="s">
        <v>36</v>
      </c>
      <c r="H12" s="97">
        <v>9327</v>
      </c>
      <c r="I12" s="91">
        <v>13077.78</v>
      </c>
      <c r="J12" s="12" t="s">
        <v>31</v>
      </c>
      <c r="K12" s="29">
        <f t="shared" si="3"/>
        <v>13077.78</v>
      </c>
      <c r="L12">
        <v>1</v>
      </c>
      <c r="M12" s="29">
        <v>0</v>
      </c>
      <c r="N12" t="s">
        <v>32</v>
      </c>
      <c r="O12" t="s">
        <v>33</v>
      </c>
      <c r="P12" t="s">
        <v>34</v>
      </c>
      <c r="Q12" t="s">
        <v>34</v>
      </c>
      <c r="R12" t="s">
        <v>34</v>
      </c>
      <c r="S12" t="s">
        <v>34</v>
      </c>
      <c r="T12" s="117">
        <v>0</v>
      </c>
    </row>
    <row r="13" spans="1:21" ht="14.5" customHeight="1" x14ac:dyDescent="0.35">
      <c r="A13" t="s">
        <v>19</v>
      </c>
      <c r="B13" t="s">
        <v>25</v>
      </c>
      <c r="C13" s="1">
        <v>45301</v>
      </c>
      <c r="D13">
        <f t="shared" si="0"/>
        <v>10</v>
      </c>
      <c r="E13">
        <f t="shared" si="1"/>
        <v>1</v>
      </c>
      <c r="F13">
        <f t="shared" si="2"/>
        <v>2024</v>
      </c>
      <c r="G13" t="s">
        <v>29</v>
      </c>
      <c r="H13" s="97">
        <v>9032</v>
      </c>
      <c r="I13" s="91">
        <v>29098.58</v>
      </c>
      <c r="J13" s="12" t="s">
        <v>31</v>
      </c>
      <c r="K13" s="29">
        <f t="shared" si="3"/>
        <v>29098.58</v>
      </c>
      <c r="L13">
        <v>1</v>
      </c>
      <c r="M13" s="29">
        <v>0</v>
      </c>
      <c r="N13" t="s">
        <v>32</v>
      </c>
      <c r="O13" t="s">
        <v>33</v>
      </c>
      <c r="P13" t="s">
        <v>34</v>
      </c>
      <c r="Q13" t="s">
        <v>34</v>
      </c>
      <c r="R13" t="s">
        <v>34</v>
      </c>
      <c r="S13" t="s">
        <v>34</v>
      </c>
      <c r="T13" s="117">
        <v>0</v>
      </c>
    </row>
    <row r="14" spans="1:21" ht="14.5" customHeight="1" x14ac:dyDescent="0.35">
      <c r="A14" t="s">
        <v>19</v>
      </c>
      <c r="B14" t="s">
        <v>25</v>
      </c>
      <c r="C14" s="1">
        <v>45301</v>
      </c>
      <c r="D14">
        <f t="shared" si="0"/>
        <v>10</v>
      </c>
      <c r="E14">
        <f t="shared" si="1"/>
        <v>1</v>
      </c>
      <c r="F14">
        <f t="shared" si="2"/>
        <v>2024</v>
      </c>
      <c r="G14" t="s">
        <v>79</v>
      </c>
      <c r="H14" s="98">
        <v>9635</v>
      </c>
      <c r="I14" s="29">
        <v>841.3</v>
      </c>
      <c r="J14" s="12" t="s">
        <v>51</v>
      </c>
      <c r="K14" s="29">
        <f t="shared" si="3"/>
        <v>925.17760999999985</v>
      </c>
      <c r="L14">
        <v>1.0996999999999999</v>
      </c>
      <c r="M14" s="29">
        <v>0</v>
      </c>
      <c r="N14" t="s">
        <v>32</v>
      </c>
      <c r="O14" t="s">
        <v>33</v>
      </c>
      <c r="P14" t="s">
        <v>34</v>
      </c>
      <c r="Q14" t="s">
        <v>34</v>
      </c>
      <c r="R14" t="s">
        <v>34</v>
      </c>
      <c r="S14" t="s">
        <v>34</v>
      </c>
      <c r="T14" s="117">
        <v>0</v>
      </c>
    </row>
    <row r="15" spans="1:21" ht="14.5" customHeight="1" x14ac:dyDescent="0.35">
      <c r="A15" t="s">
        <v>19</v>
      </c>
      <c r="B15" t="s">
        <v>24</v>
      </c>
      <c r="C15" s="1">
        <v>45301</v>
      </c>
      <c r="D15">
        <f t="shared" si="0"/>
        <v>10</v>
      </c>
      <c r="E15">
        <f t="shared" si="1"/>
        <v>1</v>
      </c>
      <c r="F15">
        <f t="shared" si="2"/>
        <v>2024</v>
      </c>
      <c r="G15" t="s">
        <v>39</v>
      </c>
      <c r="H15" s="98">
        <v>9416</v>
      </c>
      <c r="I15" s="90">
        <v>51889.599999999999</v>
      </c>
      <c r="J15" s="12" t="s">
        <v>31</v>
      </c>
      <c r="K15" s="29">
        <f t="shared" si="3"/>
        <v>51889.599999999999</v>
      </c>
      <c r="L15">
        <v>1</v>
      </c>
      <c r="M15" s="29">
        <v>0</v>
      </c>
      <c r="N15" t="s">
        <v>32</v>
      </c>
      <c r="O15" t="s">
        <v>33</v>
      </c>
      <c r="P15" t="s">
        <v>34</v>
      </c>
      <c r="Q15" t="s">
        <v>34</v>
      </c>
      <c r="R15" t="s">
        <v>34</v>
      </c>
      <c r="S15" t="s">
        <v>34</v>
      </c>
      <c r="T15" s="117">
        <v>0</v>
      </c>
    </row>
    <row r="16" spans="1:21" ht="14.5" customHeight="1" x14ac:dyDescent="0.35">
      <c r="A16" t="s">
        <v>19</v>
      </c>
      <c r="B16" t="s">
        <v>25</v>
      </c>
      <c r="C16" s="1">
        <v>45301</v>
      </c>
      <c r="D16">
        <f t="shared" si="0"/>
        <v>10</v>
      </c>
      <c r="E16">
        <f t="shared" si="1"/>
        <v>1</v>
      </c>
      <c r="F16">
        <f t="shared" si="2"/>
        <v>2024</v>
      </c>
      <c r="G16" t="s">
        <v>39</v>
      </c>
      <c r="H16" s="98">
        <v>9525</v>
      </c>
      <c r="I16" s="29">
        <v>75</v>
      </c>
      <c r="J16" s="12" t="s">
        <v>31</v>
      </c>
      <c r="K16" s="29">
        <f t="shared" si="3"/>
        <v>75</v>
      </c>
      <c r="L16">
        <v>1</v>
      </c>
      <c r="M16" s="29">
        <v>0</v>
      </c>
      <c r="N16" t="s">
        <v>42</v>
      </c>
      <c r="O16" t="s">
        <v>33</v>
      </c>
      <c r="P16" t="s">
        <v>34</v>
      </c>
      <c r="Q16" t="s">
        <v>34</v>
      </c>
      <c r="R16" t="s">
        <v>34</v>
      </c>
      <c r="S16" t="s">
        <v>34</v>
      </c>
      <c r="T16" s="117">
        <v>0</v>
      </c>
    </row>
    <row r="17" spans="1:20" ht="14.5" customHeight="1" x14ac:dyDescent="0.35">
      <c r="A17" t="s">
        <v>19</v>
      </c>
      <c r="B17" t="s">
        <v>25</v>
      </c>
      <c r="C17" s="1">
        <v>45301</v>
      </c>
      <c r="D17">
        <f t="shared" si="0"/>
        <v>10</v>
      </c>
      <c r="E17">
        <f t="shared" si="1"/>
        <v>1</v>
      </c>
      <c r="F17">
        <f t="shared" si="2"/>
        <v>2024</v>
      </c>
      <c r="G17" t="s">
        <v>80</v>
      </c>
      <c r="H17" s="98">
        <v>9325</v>
      </c>
      <c r="I17" s="90">
        <v>31250</v>
      </c>
      <c r="J17" s="12" t="s">
        <v>31</v>
      </c>
      <c r="K17" s="29">
        <f t="shared" si="3"/>
        <v>31250</v>
      </c>
      <c r="L17">
        <v>1</v>
      </c>
      <c r="M17" s="29">
        <v>0</v>
      </c>
      <c r="N17" t="s">
        <v>42</v>
      </c>
      <c r="O17" t="s">
        <v>33</v>
      </c>
      <c r="P17" t="s">
        <v>34</v>
      </c>
      <c r="Q17" t="s">
        <v>34</v>
      </c>
      <c r="R17" t="s">
        <v>34</v>
      </c>
      <c r="S17" t="s">
        <v>34</v>
      </c>
      <c r="T17" s="117">
        <v>0</v>
      </c>
    </row>
    <row r="18" spans="1:20" ht="14.5" customHeight="1" x14ac:dyDescent="0.35">
      <c r="A18" t="s">
        <v>19</v>
      </c>
      <c r="B18" t="s">
        <v>25</v>
      </c>
      <c r="C18" s="1">
        <v>45301</v>
      </c>
      <c r="D18">
        <f t="shared" si="0"/>
        <v>10</v>
      </c>
      <c r="E18">
        <f t="shared" si="1"/>
        <v>1</v>
      </c>
      <c r="F18">
        <f t="shared" si="2"/>
        <v>2024</v>
      </c>
      <c r="G18" t="s">
        <v>80</v>
      </c>
      <c r="H18" s="98">
        <v>9641</v>
      </c>
      <c r="I18" s="29">
        <v>1006</v>
      </c>
      <c r="J18" s="12" t="s">
        <v>31</v>
      </c>
      <c r="K18" s="29">
        <f t="shared" si="3"/>
        <v>1006</v>
      </c>
      <c r="L18">
        <v>1</v>
      </c>
      <c r="M18" s="29">
        <v>0</v>
      </c>
      <c r="N18" t="s">
        <v>32</v>
      </c>
      <c r="O18" t="s">
        <v>33</v>
      </c>
      <c r="P18" t="s">
        <v>34</v>
      </c>
      <c r="Q18" t="s">
        <v>34</v>
      </c>
      <c r="R18" t="s">
        <v>34</v>
      </c>
      <c r="S18" t="s">
        <v>34</v>
      </c>
      <c r="T18" s="117">
        <v>0</v>
      </c>
    </row>
    <row r="19" spans="1:20" ht="14.5" customHeight="1" x14ac:dyDescent="0.35">
      <c r="A19" t="s">
        <v>19</v>
      </c>
      <c r="B19" t="s">
        <v>25</v>
      </c>
      <c r="C19" s="1">
        <v>45301</v>
      </c>
      <c r="D19">
        <f t="shared" si="0"/>
        <v>10</v>
      </c>
      <c r="E19">
        <f t="shared" si="1"/>
        <v>1</v>
      </c>
      <c r="F19">
        <f t="shared" si="2"/>
        <v>2024</v>
      </c>
      <c r="G19" t="s">
        <v>38</v>
      </c>
      <c r="H19" s="97">
        <v>9615</v>
      </c>
      <c r="I19" s="29">
        <v>419.6</v>
      </c>
      <c r="J19" s="12" t="s">
        <v>31</v>
      </c>
      <c r="K19" s="29">
        <f t="shared" si="3"/>
        <v>419.6</v>
      </c>
      <c r="L19">
        <v>1</v>
      </c>
      <c r="M19" s="29">
        <v>0</v>
      </c>
      <c r="N19" t="s">
        <v>32</v>
      </c>
      <c r="O19" t="s">
        <v>33</v>
      </c>
      <c r="P19" t="s">
        <v>34</v>
      </c>
      <c r="Q19" t="s">
        <v>34</v>
      </c>
      <c r="R19" t="s">
        <v>34</v>
      </c>
      <c r="S19" t="s">
        <v>34</v>
      </c>
      <c r="T19" s="117">
        <v>0</v>
      </c>
    </row>
    <row r="20" spans="1:20" ht="14.5" customHeight="1" x14ac:dyDescent="0.35">
      <c r="A20" t="s">
        <v>19</v>
      </c>
      <c r="B20" t="s">
        <v>25</v>
      </c>
      <c r="C20" s="1">
        <v>45301</v>
      </c>
      <c r="D20">
        <f t="shared" si="0"/>
        <v>10</v>
      </c>
      <c r="E20">
        <f t="shared" si="1"/>
        <v>1</v>
      </c>
      <c r="F20">
        <f t="shared" si="2"/>
        <v>2024</v>
      </c>
      <c r="G20" t="s">
        <v>38</v>
      </c>
      <c r="H20" s="97">
        <v>9642</v>
      </c>
      <c r="I20" s="29">
        <v>172.1</v>
      </c>
      <c r="J20" s="12" t="s">
        <v>31</v>
      </c>
      <c r="K20" s="29">
        <f t="shared" si="3"/>
        <v>172.1</v>
      </c>
      <c r="L20">
        <v>1</v>
      </c>
      <c r="M20" s="29">
        <v>0</v>
      </c>
      <c r="N20" t="s">
        <v>32</v>
      </c>
      <c r="O20" t="s">
        <v>33</v>
      </c>
      <c r="P20" t="s">
        <v>34</v>
      </c>
      <c r="Q20" t="s">
        <v>34</v>
      </c>
      <c r="R20" t="s">
        <v>34</v>
      </c>
      <c r="S20" t="s">
        <v>34</v>
      </c>
      <c r="T20" s="117">
        <v>0</v>
      </c>
    </row>
    <row r="21" spans="1:20" ht="14.5" customHeight="1" x14ac:dyDescent="0.35">
      <c r="A21" t="s">
        <v>19</v>
      </c>
      <c r="B21" t="s">
        <v>23</v>
      </c>
      <c r="C21" s="1">
        <v>45301</v>
      </c>
      <c r="D21">
        <f t="shared" si="0"/>
        <v>10</v>
      </c>
      <c r="E21">
        <f t="shared" si="1"/>
        <v>1</v>
      </c>
      <c r="F21">
        <f t="shared" si="2"/>
        <v>2024</v>
      </c>
      <c r="G21" t="s">
        <v>35</v>
      </c>
      <c r="H21" s="97">
        <v>9312</v>
      </c>
      <c r="I21" s="90">
        <v>5783.5</v>
      </c>
      <c r="J21" s="139" t="s">
        <v>31</v>
      </c>
      <c r="K21" s="29">
        <f t="shared" si="3"/>
        <v>5783.5</v>
      </c>
      <c r="L21">
        <v>1</v>
      </c>
      <c r="M21" s="29">
        <v>0</v>
      </c>
      <c r="N21" t="s">
        <v>32</v>
      </c>
      <c r="O21" t="s">
        <v>33</v>
      </c>
      <c r="P21" t="s">
        <v>34</v>
      </c>
      <c r="Q21" t="s">
        <v>34</v>
      </c>
      <c r="R21" t="s">
        <v>34</v>
      </c>
      <c r="S21" t="s">
        <v>34</v>
      </c>
      <c r="T21" s="117">
        <v>0</v>
      </c>
    </row>
    <row r="22" spans="1:20" ht="14.5" customHeight="1" x14ac:dyDescent="0.35">
      <c r="A22" t="s">
        <v>19</v>
      </c>
      <c r="B22" t="s">
        <v>24</v>
      </c>
      <c r="C22" s="1">
        <v>45301</v>
      </c>
      <c r="D22">
        <f t="shared" si="0"/>
        <v>10</v>
      </c>
      <c r="E22">
        <f t="shared" si="1"/>
        <v>1</v>
      </c>
      <c r="F22">
        <f t="shared" si="2"/>
        <v>2024</v>
      </c>
      <c r="G22" t="s">
        <v>35</v>
      </c>
      <c r="H22" s="97">
        <v>9391</v>
      </c>
      <c r="I22" s="90">
        <v>99</v>
      </c>
      <c r="J22" s="139" t="s">
        <v>31</v>
      </c>
      <c r="K22" s="29">
        <f t="shared" si="3"/>
        <v>99</v>
      </c>
      <c r="L22">
        <v>1</v>
      </c>
      <c r="M22" s="29">
        <v>0</v>
      </c>
      <c r="N22" t="s">
        <v>32</v>
      </c>
      <c r="O22" t="s">
        <v>33</v>
      </c>
      <c r="P22" t="s">
        <v>34</v>
      </c>
      <c r="Q22" t="s">
        <v>34</v>
      </c>
      <c r="R22" t="s">
        <v>34</v>
      </c>
      <c r="S22" t="s">
        <v>34</v>
      </c>
      <c r="T22" s="117">
        <v>0</v>
      </c>
    </row>
    <row r="23" spans="1:20" ht="14.5" customHeight="1" x14ac:dyDescent="0.35">
      <c r="A23" t="s">
        <v>19</v>
      </c>
      <c r="B23" t="s">
        <v>19</v>
      </c>
      <c r="C23" s="1">
        <v>45301</v>
      </c>
      <c r="D23">
        <f t="shared" si="0"/>
        <v>10</v>
      </c>
      <c r="E23">
        <f t="shared" si="1"/>
        <v>1</v>
      </c>
      <c r="F23">
        <f t="shared" si="2"/>
        <v>2024</v>
      </c>
      <c r="G23" t="s">
        <v>91</v>
      </c>
      <c r="H23" s="97">
        <v>9504</v>
      </c>
      <c r="I23" s="29">
        <v>11471.25</v>
      </c>
      <c r="J23" s="139" t="s">
        <v>31</v>
      </c>
      <c r="K23" s="29">
        <f t="shared" si="3"/>
        <v>11471.25</v>
      </c>
      <c r="L23">
        <v>1</v>
      </c>
      <c r="M23" s="29">
        <v>0</v>
      </c>
      <c r="N23" t="s">
        <v>32</v>
      </c>
      <c r="O23" t="s">
        <v>33</v>
      </c>
      <c r="P23" t="s">
        <v>34</v>
      </c>
      <c r="Q23" t="s">
        <v>34</v>
      </c>
      <c r="R23" t="s">
        <v>34</v>
      </c>
      <c r="S23" t="s">
        <v>34</v>
      </c>
      <c r="T23" s="117">
        <v>0</v>
      </c>
    </row>
    <row r="24" spans="1:20" ht="14.5" customHeight="1" x14ac:dyDescent="0.35">
      <c r="A24" t="s">
        <v>19</v>
      </c>
      <c r="B24" t="s">
        <v>19</v>
      </c>
      <c r="C24" s="1">
        <v>45301</v>
      </c>
      <c r="D24">
        <f t="shared" si="0"/>
        <v>10</v>
      </c>
      <c r="E24">
        <f t="shared" si="1"/>
        <v>1</v>
      </c>
      <c r="F24">
        <f t="shared" si="2"/>
        <v>2024</v>
      </c>
      <c r="G24" t="s">
        <v>228</v>
      </c>
      <c r="H24" s="97">
        <v>9468</v>
      </c>
      <c r="I24" s="90">
        <v>79950</v>
      </c>
      <c r="J24" s="139" t="s">
        <v>31</v>
      </c>
      <c r="K24" s="29">
        <f t="shared" si="3"/>
        <v>79950</v>
      </c>
      <c r="L24">
        <v>1</v>
      </c>
      <c r="M24" s="29">
        <v>0</v>
      </c>
      <c r="N24" t="s">
        <v>32</v>
      </c>
      <c r="O24" t="s">
        <v>33</v>
      </c>
      <c r="P24" t="s">
        <v>34</v>
      </c>
      <c r="Q24" t="s">
        <v>34</v>
      </c>
      <c r="R24" t="s">
        <v>34</v>
      </c>
      <c r="S24" t="s">
        <v>34</v>
      </c>
      <c r="T24" s="117">
        <v>0</v>
      </c>
    </row>
    <row r="25" spans="1:20" ht="14.5" customHeight="1" x14ac:dyDescent="0.35">
      <c r="A25" t="s">
        <v>19</v>
      </c>
      <c r="B25" t="s">
        <v>19</v>
      </c>
      <c r="C25" s="1">
        <v>45301</v>
      </c>
      <c r="D25">
        <f t="shared" si="0"/>
        <v>10</v>
      </c>
      <c r="E25">
        <f t="shared" si="1"/>
        <v>1</v>
      </c>
      <c r="F25">
        <f t="shared" si="2"/>
        <v>2024</v>
      </c>
      <c r="G25" t="s">
        <v>56</v>
      </c>
      <c r="H25" s="97">
        <v>9221</v>
      </c>
      <c r="I25" s="29">
        <v>187272.03</v>
      </c>
      <c r="J25" s="139" t="s">
        <v>31</v>
      </c>
      <c r="K25" s="29">
        <f t="shared" si="3"/>
        <v>187272.03</v>
      </c>
      <c r="L25">
        <v>1</v>
      </c>
      <c r="M25" s="29">
        <v>0</v>
      </c>
      <c r="N25" t="s">
        <v>32</v>
      </c>
      <c r="O25" t="s">
        <v>33</v>
      </c>
      <c r="P25" t="s">
        <v>34</v>
      </c>
      <c r="Q25" t="s">
        <v>34</v>
      </c>
      <c r="R25" t="s">
        <v>34</v>
      </c>
      <c r="S25" t="s">
        <v>34</v>
      </c>
      <c r="T25" s="117">
        <v>0</v>
      </c>
    </row>
    <row r="26" spans="1:20" ht="14.5" customHeight="1" x14ac:dyDescent="0.35">
      <c r="A26" t="s">
        <v>19</v>
      </c>
      <c r="B26" t="s">
        <v>24</v>
      </c>
      <c r="C26" s="1">
        <v>45301</v>
      </c>
      <c r="D26">
        <f t="shared" si="0"/>
        <v>10</v>
      </c>
      <c r="E26">
        <f t="shared" si="1"/>
        <v>1</v>
      </c>
      <c r="F26">
        <f t="shared" si="2"/>
        <v>2024</v>
      </c>
      <c r="G26" t="s">
        <v>37</v>
      </c>
      <c r="H26" s="97">
        <v>9434</v>
      </c>
      <c r="I26" s="90">
        <v>15963.05</v>
      </c>
      <c r="J26" s="139" t="s">
        <v>31</v>
      </c>
      <c r="K26" s="29">
        <f t="shared" si="3"/>
        <v>15963.05</v>
      </c>
      <c r="L26">
        <v>1</v>
      </c>
      <c r="M26" s="29">
        <v>0</v>
      </c>
      <c r="N26" t="s">
        <v>32</v>
      </c>
      <c r="O26" t="s">
        <v>33</v>
      </c>
      <c r="P26" t="s">
        <v>34</v>
      </c>
      <c r="Q26" t="s">
        <v>34</v>
      </c>
      <c r="R26" t="s">
        <v>34</v>
      </c>
      <c r="S26" t="s">
        <v>34</v>
      </c>
      <c r="T26" s="117">
        <v>0</v>
      </c>
    </row>
    <row r="27" spans="1:20" ht="14.5" customHeight="1" x14ac:dyDescent="0.35">
      <c r="A27" t="s">
        <v>71</v>
      </c>
      <c r="B27" t="s">
        <v>25</v>
      </c>
      <c r="C27" s="1">
        <v>45301</v>
      </c>
      <c r="D27">
        <f t="shared" si="0"/>
        <v>10</v>
      </c>
      <c r="E27">
        <f t="shared" si="1"/>
        <v>1</v>
      </c>
      <c r="F27">
        <f t="shared" si="2"/>
        <v>2024</v>
      </c>
      <c r="G27" t="s">
        <v>81</v>
      </c>
      <c r="H27" s="97">
        <v>9214</v>
      </c>
      <c r="I27" s="29">
        <v>11855.7</v>
      </c>
      <c r="J27" s="139" t="s">
        <v>31</v>
      </c>
      <c r="K27" s="29">
        <f t="shared" si="3"/>
        <v>11855.7</v>
      </c>
      <c r="L27">
        <v>1</v>
      </c>
      <c r="M27" s="29">
        <v>0</v>
      </c>
      <c r="N27" t="s">
        <v>42</v>
      </c>
      <c r="O27" t="s">
        <v>33</v>
      </c>
      <c r="P27" t="s">
        <v>34</v>
      </c>
      <c r="Q27" t="s">
        <v>34</v>
      </c>
      <c r="R27" t="s">
        <v>34</v>
      </c>
      <c r="S27" t="s">
        <v>34</v>
      </c>
      <c r="T27" s="117">
        <v>0</v>
      </c>
    </row>
    <row r="28" spans="1:20" ht="14.5" customHeight="1" x14ac:dyDescent="0.35">
      <c r="A28" t="s">
        <v>71</v>
      </c>
      <c r="B28" t="s">
        <v>25</v>
      </c>
      <c r="C28" s="1">
        <v>45301</v>
      </c>
      <c r="D28">
        <f t="shared" si="0"/>
        <v>10</v>
      </c>
      <c r="E28">
        <f t="shared" si="1"/>
        <v>1</v>
      </c>
      <c r="F28">
        <f t="shared" si="2"/>
        <v>2024</v>
      </c>
      <c r="G28" t="s">
        <v>81</v>
      </c>
      <c r="H28" s="97">
        <v>9768</v>
      </c>
      <c r="I28" s="29">
        <v>1960</v>
      </c>
      <c r="J28" s="139" t="s">
        <v>31</v>
      </c>
      <c r="K28" s="29">
        <f t="shared" si="3"/>
        <v>1960</v>
      </c>
      <c r="L28">
        <v>1</v>
      </c>
      <c r="M28" s="29">
        <v>0</v>
      </c>
      <c r="N28" t="s">
        <v>42</v>
      </c>
      <c r="O28" t="s">
        <v>33</v>
      </c>
      <c r="P28" t="s">
        <v>34</v>
      </c>
      <c r="Q28" t="s">
        <v>34</v>
      </c>
      <c r="R28" t="s">
        <v>34</v>
      </c>
      <c r="S28" t="s">
        <v>34</v>
      </c>
      <c r="T28" s="117">
        <v>0</v>
      </c>
    </row>
    <row r="29" spans="1:20" ht="14.5" customHeight="1" x14ac:dyDescent="0.35">
      <c r="A29" t="s">
        <v>71</v>
      </c>
      <c r="B29" t="s">
        <v>25</v>
      </c>
      <c r="C29" s="1">
        <v>45301</v>
      </c>
      <c r="D29">
        <f t="shared" si="0"/>
        <v>10</v>
      </c>
      <c r="E29">
        <f t="shared" si="1"/>
        <v>1</v>
      </c>
      <c r="F29">
        <f t="shared" si="2"/>
        <v>2024</v>
      </c>
      <c r="G29" t="s">
        <v>81</v>
      </c>
      <c r="H29" s="97">
        <v>9858</v>
      </c>
      <c r="I29" s="29">
        <v>22.52</v>
      </c>
      <c r="J29" s="139" t="s">
        <v>31</v>
      </c>
      <c r="K29" s="29">
        <f t="shared" si="3"/>
        <v>22.52</v>
      </c>
      <c r="L29">
        <v>1</v>
      </c>
      <c r="M29" s="29">
        <v>0</v>
      </c>
      <c r="N29" t="s">
        <v>42</v>
      </c>
      <c r="O29" t="s">
        <v>33</v>
      </c>
      <c r="P29" t="s">
        <v>34</v>
      </c>
      <c r="Q29" t="s">
        <v>34</v>
      </c>
      <c r="R29" t="s">
        <v>34</v>
      </c>
      <c r="S29" t="s">
        <v>34</v>
      </c>
      <c r="T29" s="117">
        <v>0</v>
      </c>
    </row>
    <row r="30" spans="1:20" ht="14.5" customHeight="1" x14ac:dyDescent="0.35">
      <c r="A30" t="s">
        <v>71</v>
      </c>
      <c r="B30" t="s">
        <v>25</v>
      </c>
      <c r="C30" s="1">
        <v>45301</v>
      </c>
      <c r="D30">
        <f t="shared" si="0"/>
        <v>10</v>
      </c>
      <c r="E30">
        <f t="shared" si="1"/>
        <v>1</v>
      </c>
      <c r="F30">
        <f t="shared" si="2"/>
        <v>2024</v>
      </c>
      <c r="G30" t="s">
        <v>81</v>
      </c>
      <c r="H30" s="97">
        <v>9859</v>
      </c>
      <c r="I30" s="29">
        <v>11347.1</v>
      </c>
      <c r="J30" s="139" t="s">
        <v>31</v>
      </c>
      <c r="K30" s="29">
        <f t="shared" si="3"/>
        <v>11347.1</v>
      </c>
      <c r="L30">
        <v>1</v>
      </c>
      <c r="M30" s="29">
        <v>0</v>
      </c>
      <c r="N30" t="s">
        <v>42</v>
      </c>
      <c r="O30" t="s">
        <v>33</v>
      </c>
      <c r="P30" t="s">
        <v>34</v>
      </c>
      <c r="Q30" t="s">
        <v>34</v>
      </c>
      <c r="R30" t="s">
        <v>34</v>
      </c>
      <c r="S30" t="s">
        <v>34</v>
      </c>
      <c r="T30" s="117">
        <v>0</v>
      </c>
    </row>
    <row r="31" spans="1:20" ht="14.5" customHeight="1" x14ac:dyDescent="0.35">
      <c r="A31" t="s">
        <v>71</v>
      </c>
      <c r="B31" t="s">
        <v>25</v>
      </c>
      <c r="C31" s="1">
        <v>45301</v>
      </c>
      <c r="D31">
        <f t="shared" si="0"/>
        <v>10</v>
      </c>
      <c r="E31">
        <f t="shared" si="1"/>
        <v>1</v>
      </c>
      <c r="F31">
        <f t="shared" si="2"/>
        <v>2024</v>
      </c>
      <c r="G31" t="s">
        <v>81</v>
      </c>
      <c r="H31" s="97">
        <v>9862</v>
      </c>
      <c r="I31" s="29">
        <v>9891.7999999999993</v>
      </c>
      <c r="J31" s="139" t="s">
        <v>31</v>
      </c>
      <c r="K31" s="29">
        <f t="shared" si="3"/>
        <v>9891.7999999999993</v>
      </c>
      <c r="L31">
        <v>1</v>
      </c>
      <c r="M31" s="29">
        <v>0</v>
      </c>
      <c r="N31" t="s">
        <v>42</v>
      </c>
      <c r="O31" t="s">
        <v>33</v>
      </c>
      <c r="P31" t="s">
        <v>34</v>
      </c>
      <c r="Q31" t="s">
        <v>34</v>
      </c>
      <c r="R31" t="s">
        <v>34</v>
      </c>
      <c r="S31" t="s">
        <v>34</v>
      </c>
      <c r="T31" s="117">
        <v>0</v>
      </c>
    </row>
    <row r="32" spans="1:20" ht="14.5" customHeight="1" x14ac:dyDescent="0.35">
      <c r="A32" t="s">
        <v>71</v>
      </c>
      <c r="B32" t="s">
        <v>25</v>
      </c>
      <c r="C32" s="1">
        <v>45301</v>
      </c>
      <c r="D32">
        <f t="shared" si="0"/>
        <v>10</v>
      </c>
      <c r="E32">
        <f t="shared" si="1"/>
        <v>1</v>
      </c>
      <c r="F32">
        <f t="shared" si="2"/>
        <v>2024</v>
      </c>
      <c r="G32" t="s">
        <v>81</v>
      </c>
      <c r="H32" s="97">
        <v>9863</v>
      </c>
      <c r="I32" s="29">
        <v>8443.7999999999993</v>
      </c>
      <c r="J32" s="139" t="s">
        <v>31</v>
      </c>
      <c r="K32" s="29">
        <f t="shared" si="3"/>
        <v>8443.7999999999993</v>
      </c>
      <c r="L32">
        <v>1</v>
      </c>
      <c r="M32" s="29">
        <v>0</v>
      </c>
      <c r="N32" t="s">
        <v>42</v>
      </c>
      <c r="O32" t="s">
        <v>33</v>
      </c>
      <c r="P32" t="s">
        <v>34</v>
      </c>
      <c r="Q32" t="s">
        <v>34</v>
      </c>
      <c r="R32" t="s">
        <v>34</v>
      </c>
      <c r="S32" t="s">
        <v>34</v>
      </c>
      <c r="T32" s="117">
        <v>0</v>
      </c>
    </row>
    <row r="33" spans="1:21" ht="14.5" customHeight="1" x14ac:dyDescent="0.35">
      <c r="A33" t="s">
        <v>71</v>
      </c>
      <c r="B33" t="s">
        <v>25</v>
      </c>
      <c r="C33" s="1">
        <v>45301</v>
      </c>
      <c r="D33">
        <f t="shared" si="0"/>
        <v>10</v>
      </c>
      <c r="E33">
        <f t="shared" si="1"/>
        <v>1</v>
      </c>
      <c r="F33">
        <f t="shared" si="2"/>
        <v>2024</v>
      </c>
      <c r="G33" t="s">
        <v>81</v>
      </c>
      <c r="H33" s="97">
        <v>9864</v>
      </c>
      <c r="I33" s="29">
        <v>546</v>
      </c>
      <c r="J33" s="139" t="s">
        <v>31</v>
      </c>
      <c r="K33" s="29">
        <f t="shared" si="3"/>
        <v>546</v>
      </c>
      <c r="L33">
        <v>1</v>
      </c>
      <c r="M33" s="29">
        <v>0</v>
      </c>
      <c r="N33" t="s">
        <v>42</v>
      </c>
      <c r="O33" t="s">
        <v>33</v>
      </c>
      <c r="P33" t="s">
        <v>34</v>
      </c>
      <c r="Q33" t="s">
        <v>34</v>
      </c>
      <c r="R33" t="s">
        <v>34</v>
      </c>
      <c r="S33" t="s">
        <v>34</v>
      </c>
      <c r="T33" s="117">
        <v>0</v>
      </c>
    </row>
    <row r="34" spans="1:21" ht="14.5" customHeight="1" x14ac:dyDescent="0.35">
      <c r="A34" t="s">
        <v>71</v>
      </c>
      <c r="B34" t="s">
        <v>25</v>
      </c>
      <c r="C34" s="1">
        <v>45301</v>
      </c>
      <c r="D34">
        <f t="shared" si="0"/>
        <v>10</v>
      </c>
      <c r="E34">
        <f t="shared" si="1"/>
        <v>1</v>
      </c>
      <c r="F34">
        <f t="shared" si="2"/>
        <v>2024</v>
      </c>
      <c r="G34" t="s">
        <v>81</v>
      </c>
      <c r="H34" s="97">
        <v>9878</v>
      </c>
      <c r="I34" s="29">
        <v>17061.25</v>
      </c>
      <c r="J34" s="139" t="s">
        <v>31</v>
      </c>
      <c r="K34" s="29">
        <f t="shared" ref="K34:K65" si="4">IF(J34="USD",I34,I34*L34)</f>
        <v>17061.25</v>
      </c>
      <c r="L34">
        <v>1</v>
      </c>
      <c r="M34" s="29">
        <v>0</v>
      </c>
      <c r="N34" t="s">
        <v>42</v>
      </c>
      <c r="O34" t="s">
        <v>33</v>
      </c>
      <c r="P34" t="s">
        <v>34</v>
      </c>
      <c r="Q34" t="s">
        <v>34</v>
      </c>
      <c r="R34" t="s">
        <v>34</v>
      </c>
      <c r="S34" t="s">
        <v>34</v>
      </c>
      <c r="T34" s="117">
        <v>0</v>
      </c>
    </row>
    <row r="35" spans="1:21" ht="14.5" customHeight="1" x14ac:dyDescent="0.35">
      <c r="A35" t="s">
        <v>71</v>
      </c>
      <c r="B35" t="s">
        <v>25</v>
      </c>
      <c r="C35" s="1">
        <v>45301</v>
      </c>
      <c r="D35">
        <f t="shared" si="0"/>
        <v>10</v>
      </c>
      <c r="E35">
        <f t="shared" si="1"/>
        <v>1</v>
      </c>
      <c r="F35">
        <f t="shared" si="2"/>
        <v>2024</v>
      </c>
      <c r="G35" t="s">
        <v>81</v>
      </c>
      <c r="H35" s="97">
        <v>9869</v>
      </c>
      <c r="I35" s="29">
        <v>1400</v>
      </c>
      <c r="J35" s="139" t="s">
        <v>31</v>
      </c>
      <c r="K35" s="29">
        <f t="shared" si="4"/>
        <v>1400</v>
      </c>
      <c r="L35">
        <v>1</v>
      </c>
      <c r="M35" s="29">
        <v>0</v>
      </c>
      <c r="N35" t="s">
        <v>42</v>
      </c>
      <c r="O35" t="s">
        <v>33</v>
      </c>
      <c r="P35" t="s">
        <v>34</v>
      </c>
      <c r="Q35" t="s">
        <v>34</v>
      </c>
      <c r="R35" t="s">
        <v>34</v>
      </c>
      <c r="S35" t="s">
        <v>34</v>
      </c>
      <c r="T35" s="117">
        <v>0</v>
      </c>
    </row>
    <row r="36" spans="1:21" ht="14.5" customHeight="1" x14ac:dyDescent="0.35">
      <c r="A36" t="s">
        <v>71</v>
      </c>
      <c r="B36" t="s">
        <v>25</v>
      </c>
      <c r="C36" s="1">
        <v>45301</v>
      </c>
      <c r="D36">
        <f t="shared" si="0"/>
        <v>10</v>
      </c>
      <c r="E36">
        <f t="shared" si="1"/>
        <v>1</v>
      </c>
      <c r="F36">
        <f t="shared" si="2"/>
        <v>2024</v>
      </c>
      <c r="G36" t="s">
        <v>81</v>
      </c>
      <c r="H36" s="97">
        <v>9880</v>
      </c>
      <c r="I36" s="29">
        <v>142.38</v>
      </c>
      <c r="J36" s="139" t="s">
        <v>31</v>
      </c>
      <c r="K36" s="29">
        <f t="shared" si="4"/>
        <v>142.38</v>
      </c>
      <c r="L36">
        <v>1</v>
      </c>
      <c r="M36" s="29">
        <v>0</v>
      </c>
      <c r="N36" t="s">
        <v>42</v>
      </c>
      <c r="O36" t="s">
        <v>33</v>
      </c>
      <c r="P36" t="s">
        <v>34</v>
      </c>
      <c r="Q36" t="s">
        <v>34</v>
      </c>
      <c r="R36" t="s">
        <v>34</v>
      </c>
      <c r="S36" t="s">
        <v>34</v>
      </c>
      <c r="T36" s="117">
        <v>0</v>
      </c>
    </row>
    <row r="37" spans="1:21" ht="14.5" customHeight="1" x14ac:dyDescent="0.35">
      <c r="A37" t="s">
        <v>71</v>
      </c>
      <c r="B37" t="s">
        <v>25</v>
      </c>
      <c r="C37" s="1">
        <v>45301</v>
      </c>
      <c r="D37">
        <f t="shared" si="0"/>
        <v>10</v>
      </c>
      <c r="E37">
        <f t="shared" si="1"/>
        <v>1</v>
      </c>
      <c r="F37">
        <f t="shared" si="2"/>
        <v>2024</v>
      </c>
      <c r="G37" t="s">
        <v>50</v>
      </c>
      <c r="H37" s="97">
        <v>9871</v>
      </c>
      <c r="I37" s="29">
        <v>956.8</v>
      </c>
      <c r="J37" s="139" t="s">
        <v>31</v>
      </c>
      <c r="K37" s="29">
        <f t="shared" si="4"/>
        <v>956.8</v>
      </c>
      <c r="L37">
        <v>1</v>
      </c>
      <c r="M37" s="29">
        <v>0</v>
      </c>
      <c r="N37" t="s">
        <v>42</v>
      </c>
      <c r="O37" t="s">
        <v>33</v>
      </c>
      <c r="P37" t="s">
        <v>34</v>
      </c>
      <c r="Q37" t="s">
        <v>34</v>
      </c>
      <c r="R37" t="s">
        <v>34</v>
      </c>
      <c r="S37" t="s">
        <v>34</v>
      </c>
      <c r="T37" s="117">
        <v>0</v>
      </c>
    </row>
    <row r="38" spans="1:21" ht="14.5" customHeight="1" x14ac:dyDescent="0.35">
      <c r="A38" t="s">
        <v>71</v>
      </c>
      <c r="B38" t="s">
        <v>25</v>
      </c>
      <c r="C38" s="1">
        <v>45301</v>
      </c>
      <c r="D38">
        <f t="shared" si="0"/>
        <v>10</v>
      </c>
      <c r="E38">
        <f t="shared" si="1"/>
        <v>1</v>
      </c>
      <c r="F38">
        <f t="shared" si="2"/>
        <v>2024</v>
      </c>
      <c r="G38" t="s">
        <v>50</v>
      </c>
      <c r="H38" s="97">
        <v>10046</v>
      </c>
      <c r="I38" s="29">
        <v>1178.06</v>
      </c>
      <c r="J38" s="139" t="s">
        <v>31</v>
      </c>
      <c r="K38" s="29">
        <f t="shared" si="4"/>
        <v>1178.06</v>
      </c>
      <c r="L38">
        <v>1</v>
      </c>
      <c r="M38" s="29">
        <v>0</v>
      </c>
      <c r="N38" t="s">
        <v>42</v>
      </c>
      <c r="O38" t="s">
        <v>33</v>
      </c>
      <c r="P38" t="s">
        <v>34</v>
      </c>
      <c r="Q38" t="s">
        <v>34</v>
      </c>
      <c r="R38" t="s">
        <v>34</v>
      </c>
      <c r="S38" t="s">
        <v>34</v>
      </c>
      <c r="T38" s="117">
        <v>0</v>
      </c>
    </row>
    <row r="39" spans="1:21" ht="14.5" customHeight="1" x14ac:dyDescent="0.35">
      <c r="A39" t="s">
        <v>71</v>
      </c>
      <c r="B39" t="s">
        <v>25</v>
      </c>
      <c r="C39" s="1">
        <v>45301</v>
      </c>
      <c r="D39">
        <f t="shared" si="0"/>
        <v>10</v>
      </c>
      <c r="E39">
        <f t="shared" si="1"/>
        <v>1</v>
      </c>
      <c r="F39">
        <f t="shared" si="2"/>
        <v>2024</v>
      </c>
      <c r="G39" t="s">
        <v>50</v>
      </c>
      <c r="H39" s="97">
        <v>9877</v>
      </c>
      <c r="I39" s="29">
        <v>5262.4</v>
      </c>
      <c r="J39" s="139" t="s">
        <v>31</v>
      </c>
      <c r="K39" s="29">
        <f t="shared" si="4"/>
        <v>5262.4</v>
      </c>
      <c r="L39">
        <v>1</v>
      </c>
      <c r="M39" s="29">
        <v>0</v>
      </c>
      <c r="N39" t="s">
        <v>42</v>
      </c>
      <c r="O39" t="s">
        <v>33</v>
      </c>
      <c r="P39" t="s">
        <v>34</v>
      </c>
      <c r="Q39" t="s">
        <v>34</v>
      </c>
      <c r="R39" t="s">
        <v>34</v>
      </c>
      <c r="S39" t="s">
        <v>34</v>
      </c>
      <c r="T39" s="117">
        <v>0</v>
      </c>
      <c r="U39" s="209" t="s">
        <v>167</v>
      </c>
    </row>
    <row r="40" spans="1:21" ht="14.5" customHeight="1" x14ac:dyDescent="0.35">
      <c r="A40" t="s">
        <v>71</v>
      </c>
      <c r="B40" t="s">
        <v>25</v>
      </c>
      <c r="C40" s="1">
        <v>45301</v>
      </c>
      <c r="D40">
        <f t="shared" si="0"/>
        <v>10</v>
      </c>
      <c r="E40">
        <f t="shared" si="1"/>
        <v>1</v>
      </c>
      <c r="F40">
        <f t="shared" si="2"/>
        <v>2024</v>
      </c>
      <c r="G40" t="s">
        <v>50</v>
      </c>
      <c r="H40" s="97">
        <v>9874</v>
      </c>
      <c r="I40" s="29">
        <v>2182.6999999999998</v>
      </c>
      <c r="J40" s="139" t="s">
        <v>31</v>
      </c>
      <c r="K40" s="29">
        <f t="shared" si="4"/>
        <v>2182.6999999999998</v>
      </c>
      <c r="L40">
        <v>1</v>
      </c>
      <c r="M40" s="29">
        <v>0</v>
      </c>
      <c r="N40" t="s">
        <v>42</v>
      </c>
      <c r="O40" t="s">
        <v>33</v>
      </c>
      <c r="P40" t="s">
        <v>34</v>
      </c>
      <c r="Q40" t="s">
        <v>34</v>
      </c>
      <c r="R40" t="s">
        <v>34</v>
      </c>
      <c r="S40" t="s">
        <v>34</v>
      </c>
      <c r="T40" s="117">
        <v>0</v>
      </c>
    </row>
    <row r="41" spans="1:21" ht="14.5" customHeight="1" x14ac:dyDescent="0.35">
      <c r="A41" t="s">
        <v>71</v>
      </c>
      <c r="B41" t="s">
        <v>25</v>
      </c>
      <c r="C41" s="1">
        <v>45301</v>
      </c>
      <c r="D41">
        <f t="shared" si="0"/>
        <v>10</v>
      </c>
      <c r="E41">
        <f t="shared" si="1"/>
        <v>1</v>
      </c>
      <c r="F41">
        <f t="shared" si="2"/>
        <v>2024</v>
      </c>
      <c r="G41" t="s">
        <v>50</v>
      </c>
      <c r="H41" s="97">
        <v>9875</v>
      </c>
      <c r="I41" s="29">
        <v>1405.3</v>
      </c>
      <c r="J41" s="139" t="s">
        <v>31</v>
      </c>
      <c r="K41" s="29">
        <f t="shared" si="4"/>
        <v>1405.3</v>
      </c>
      <c r="L41">
        <v>1</v>
      </c>
      <c r="M41" s="29">
        <v>0</v>
      </c>
      <c r="N41" t="s">
        <v>42</v>
      </c>
      <c r="O41" t="s">
        <v>33</v>
      </c>
      <c r="P41" t="s">
        <v>34</v>
      </c>
      <c r="Q41" t="s">
        <v>34</v>
      </c>
      <c r="R41" t="s">
        <v>34</v>
      </c>
      <c r="S41" t="s">
        <v>34</v>
      </c>
      <c r="T41" s="117">
        <v>0</v>
      </c>
    </row>
    <row r="42" spans="1:21" ht="14.5" customHeight="1" x14ac:dyDescent="0.35">
      <c r="A42" t="s">
        <v>71</v>
      </c>
      <c r="B42" t="s">
        <v>25</v>
      </c>
      <c r="C42" s="1">
        <v>45301</v>
      </c>
      <c r="D42">
        <f t="shared" si="0"/>
        <v>10</v>
      </c>
      <c r="E42">
        <f t="shared" si="1"/>
        <v>1</v>
      </c>
      <c r="F42">
        <f t="shared" si="2"/>
        <v>2024</v>
      </c>
      <c r="G42" t="s">
        <v>50</v>
      </c>
      <c r="H42" s="97">
        <v>9876</v>
      </c>
      <c r="I42" s="29">
        <v>1305</v>
      </c>
      <c r="J42" s="139" t="s">
        <v>31</v>
      </c>
      <c r="K42" s="29">
        <f t="shared" si="4"/>
        <v>1305</v>
      </c>
      <c r="L42">
        <v>1</v>
      </c>
      <c r="M42" s="29">
        <v>0</v>
      </c>
      <c r="N42" t="s">
        <v>42</v>
      </c>
      <c r="O42" t="s">
        <v>33</v>
      </c>
      <c r="P42" t="s">
        <v>34</v>
      </c>
      <c r="Q42" t="s">
        <v>34</v>
      </c>
      <c r="R42" t="s">
        <v>34</v>
      </c>
      <c r="S42" t="s">
        <v>34</v>
      </c>
      <c r="T42" s="117">
        <v>0</v>
      </c>
    </row>
    <row r="43" spans="1:21" ht="14.5" customHeight="1" x14ac:dyDescent="0.35">
      <c r="A43" t="s">
        <v>71</v>
      </c>
      <c r="B43" t="s">
        <v>25</v>
      </c>
      <c r="C43" s="1">
        <v>45301</v>
      </c>
      <c r="D43">
        <f t="shared" si="0"/>
        <v>10</v>
      </c>
      <c r="E43">
        <f t="shared" si="1"/>
        <v>1</v>
      </c>
      <c r="F43">
        <f t="shared" si="2"/>
        <v>2024</v>
      </c>
      <c r="G43" t="s">
        <v>50</v>
      </c>
      <c r="H43" s="97">
        <v>9877</v>
      </c>
      <c r="I43" s="29">
        <v>1305</v>
      </c>
      <c r="J43" s="139" t="s">
        <v>31</v>
      </c>
      <c r="K43" s="29">
        <f t="shared" si="4"/>
        <v>1305</v>
      </c>
      <c r="L43">
        <v>1</v>
      </c>
      <c r="M43" s="29">
        <v>0</v>
      </c>
      <c r="N43" t="s">
        <v>42</v>
      </c>
      <c r="O43" t="s">
        <v>33</v>
      </c>
      <c r="P43" t="s">
        <v>34</v>
      </c>
      <c r="Q43" t="s">
        <v>34</v>
      </c>
      <c r="R43" t="s">
        <v>34</v>
      </c>
      <c r="S43" t="s">
        <v>34</v>
      </c>
      <c r="T43" s="117">
        <v>0</v>
      </c>
    </row>
    <row r="44" spans="1:21" ht="14.5" customHeight="1" x14ac:dyDescent="0.35">
      <c r="A44" t="s">
        <v>71</v>
      </c>
      <c r="B44" t="s">
        <v>23</v>
      </c>
      <c r="C44" s="1">
        <v>45301</v>
      </c>
      <c r="D44">
        <f t="shared" si="0"/>
        <v>10</v>
      </c>
      <c r="E44">
        <f t="shared" si="1"/>
        <v>1</v>
      </c>
      <c r="F44">
        <f t="shared" si="2"/>
        <v>2024</v>
      </c>
      <c r="G44" t="s">
        <v>46</v>
      </c>
      <c r="H44" s="97">
        <v>9432</v>
      </c>
      <c r="I44" s="90">
        <v>1473.22</v>
      </c>
      <c r="J44" s="139" t="s">
        <v>31</v>
      </c>
      <c r="K44" s="29">
        <f t="shared" si="4"/>
        <v>1473.22</v>
      </c>
      <c r="L44">
        <v>1</v>
      </c>
      <c r="M44" s="29">
        <v>0</v>
      </c>
      <c r="N44" s="4" t="s">
        <v>32</v>
      </c>
      <c r="O44" t="s">
        <v>33</v>
      </c>
      <c r="P44" t="s">
        <v>34</v>
      </c>
      <c r="Q44" t="s">
        <v>34</v>
      </c>
      <c r="R44" t="s">
        <v>34</v>
      </c>
      <c r="S44" t="s">
        <v>34</v>
      </c>
      <c r="T44" s="117">
        <v>0</v>
      </c>
    </row>
    <row r="45" spans="1:21" ht="14.5" customHeight="1" x14ac:dyDescent="0.35">
      <c r="A45" t="s">
        <v>71</v>
      </c>
      <c r="B45" t="s">
        <v>25</v>
      </c>
      <c r="C45" s="1">
        <v>45301</v>
      </c>
      <c r="D45">
        <f t="shared" si="0"/>
        <v>10</v>
      </c>
      <c r="E45">
        <f t="shared" si="1"/>
        <v>1</v>
      </c>
      <c r="F45">
        <f t="shared" si="2"/>
        <v>2024</v>
      </c>
      <c r="G45" t="s">
        <v>46</v>
      </c>
      <c r="H45" s="97">
        <v>9860</v>
      </c>
      <c r="I45" s="29">
        <v>67</v>
      </c>
      <c r="J45" s="139" t="s">
        <v>31</v>
      </c>
      <c r="K45" s="29">
        <f t="shared" si="4"/>
        <v>67</v>
      </c>
      <c r="L45">
        <v>1</v>
      </c>
      <c r="M45" s="29">
        <v>0</v>
      </c>
      <c r="N45" s="4" t="s">
        <v>42</v>
      </c>
      <c r="O45" t="s">
        <v>33</v>
      </c>
      <c r="P45" t="s">
        <v>34</v>
      </c>
      <c r="Q45" t="s">
        <v>34</v>
      </c>
      <c r="R45" t="s">
        <v>34</v>
      </c>
      <c r="S45" t="s">
        <v>34</v>
      </c>
      <c r="T45" s="117">
        <v>0</v>
      </c>
    </row>
    <row r="46" spans="1:21" ht="14.5" customHeight="1" x14ac:dyDescent="0.35">
      <c r="A46" t="s">
        <v>71</v>
      </c>
      <c r="B46" t="s">
        <v>25</v>
      </c>
      <c r="C46" s="1">
        <v>45301</v>
      </c>
      <c r="D46">
        <f t="shared" si="0"/>
        <v>10</v>
      </c>
      <c r="E46">
        <f t="shared" si="1"/>
        <v>1</v>
      </c>
      <c r="F46">
        <f t="shared" si="2"/>
        <v>2024</v>
      </c>
      <c r="G46" t="s">
        <v>46</v>
      </c>
      <c r="H46" s="97">
        <v>10194</v>
      </c>
      <c r="I46" s="29">
        <v>656.6</v>
      </c>
      <c r="J46" s="139" t="s">
        <v>31</v>
      </c>
      <c r="K46" s="29">
        <f t="shared" si="4"/>
        <v>656.6</v>
      </c>
      <c r="L46">
        <v>1</v>
      </c>
      <c r="M46" s="29">
        <v>0</v>
      </c>
      <c r="N46" s="4" t="s">
        <v>42</v>
      </c>
      <c r="O46" t="s">
        <v>33</v>
      </c>
      <c r="P46" t="s">
        <v>34</v>
      </c>
      <c r="Q46" t="s">
        <v>34</v>
      </c>
      <c r="R46" t="s">
        <v>34</v>
      </c>
      <c r="S46" t="s">
        <v>34</v>
      </c>
      <c r="T46" s="117">
        <v>0</v>
      </c>
      <c r="U46" s="209" t="s">
        <v>176</v>
      </c>
    </row>
    <row r="47" spans="1:21" ht="14.5" customHeight="1" x14ac:dyDescent="0.35">
      <c r="A47" t="s">
        <v>71</v>
      </c>
      <c r="B47" t="s">
        <v>23</v>
      </c>
      <c r="C47" s="1">
        <v>45301</v>
      </c>
      <c r="D47">
        <f t="shared" si="0"/>
        <v>10</v>
      </c>
      <c r="E47">
        <f t="shared" si="1"/>
        <v>1</v>
      </c>
      <c r="F47">
        <f t="shared" si="2"/>
        <v>2024</v>
      </c>
      <c r="G47" t="s">
        <v>52</v>
      </c>
      <c r="H47" s="97">
        <v>9427</v>
      </c>
      <c r="I47" s="90">
        <v>79.790000000000006</v>
      </c>
      <c r="J47" s="139" t="s">
        <v>31</v>
      </c>
      <c r="K47" s="29">
        <f t="shared" si="4"/>
        <v>79.790000000000006</v>
      </c>
      <c r="L47">
        <v>1</v>
      </c>
      <c r="M47" s="29">
        <v>0</v>
      </c>
      <c r="N47" s="4" t="s">
        <v>32</v>
      </c>
      <c r="O47" t="s">
        <v>33</v>
      </c>
      <c r="P47" t="s">
        <v>34</v>
      </c>
      <c r="Q47" t="s">
        <v>34</v>
      </c>
      <c r="R47" t="s">
        <v>34</v>
      </c>
      <c r="S47" t="s">
        <v>34</v>
      </c>
      <c r="T47" s="117">
        <v>0</v>
      </c>
    </row>
    <row r="48" spans="1:21" ht="14.5" customHeight="1" x14ac:dyDescent="0.35">
      <c r="A48" t="s">
        <v>71</v>
      </c>
      <c r="B48" t="s">
        <v>23</v>
      </c>
      <c r="C48" s="1">
        <v>45301</v>
      </c>
      <c r="D48">
        <f t="shared" si="0"/>
        <v>10</v>
      </c>
      <c r="E48">
        <f t="shared" si="1"/>
        <v>1</v>
      </c>
      <c r="F48">
        <f t="shared" si="2"/>
        <v>2024</v>
      </c>
      <c r="G48" t="s">
        <v>52</v>
      </c>
      <c r="H48" s="97">
        <v>9498</v>
      </c>
      <c r="I48" s="29">
        <v>77.75</v>
      </c>
      <c r="J48" s="139" t="s">
        <v>31</v>
      </c>
      <c r="K48" s="29">
        <f t="shared" si="4"/>
        <v>77.75</v>
      </c>
      <c r="L48">
        <v>1</v>
      </c>
      <c r="M48" s="29">
        <v>0</v>
      </c>
      <c r="N48" s="4" t="s">
        <v>32</v>
      </c>
      <c r="O48" t="s">
        <v>33</v>
      </c>
      <c r="P48" t="s">
        <v>34</v>
      </c>
      <c r="Q48" t="s">
        <v>34</v>
      </c>
      <c r="R48" t="s">
        <v>34</v>
      </c>
      <c r="S48" t="s">
        <v>34</v>
      </c>
      <c r="T48" s="117">
        <v>0</v>
      </c>
    </row>
    <row r="49" spans="1:20" ht="14.5" customHeight="1" x14ac:dyDescent="0.35">
      <c r="A49" t="s">
        <v>71</v>
      </c>
      <c r="B49" t="s">
        <v>23</v>
      </c>
      <c r="C49" s="1">
        <v>45301</v>
      </c>
      <c r="D49">
        <f t="shared" si="0"/>
        <v>10</v>
      </c>
      <c r="E49">
        <f t="shared" si="1"/>
        <v>1</v>
      </c>
      <c r="F49">
        <f t="shared" si="2"/>
        <v>2024</v>
      </c>
      <c r="G49" t="s">
        <v>52</v>
      </c>
      <c r="H49" s="97">
        <v>9673</v>
      </c>
      <c r="I49" s="29">
        <v>68.680000000000007</v>
      </c>
      <c r="J49" s="139" t="s">
        <v>31</v>
      </c>
      <c r="K49" s="29">
        <f t="shared" si="4"/>
        <v>68.680000000000007</v>
      </c>
      <c r="L49">
        <v>1</v>
      </c>
      <c r="M49" s="29">
        <v>0</v>
      </c>
      <c r="N49" s="4" t="s">
        <v>32</v>
      </c>
      <c r="O49" t="s">
        <v>33</v>
      </c>
      <c r="P49" t="s">
        <v>34</v>
      </c>
      <c r="Q49" t="s">
        <v>34</v>
      </c>
      <c r="R49" t="s">
        <v>34</v>
      </c>
      <c r="S49" t="s">
        <v>34</v>
      </c>
      <c r="T49" s="117">
        <v>0</v>
      </c>
    </row>
    <row r="50" spans="1:20" ht="14.5" customHeight="1" x14ac:dyDescent="0.35">
      <c r="A50" t="s">
        <v>71</v>
      </c>
      <c r="B50" t="s">
        <v>23</v>
      </c>
      <c r="C50" s="1">
        <v>45301</v>
      </c>
      <c r="D50">
        <f t="shared" si="0"/>
        <v>10</v>
      </c>
      <c r="E50">
        <f t="shared" si="1"/>
        <v>1</v>
      </c>
      <c r="F50">
        <f t="shared" si="2"/>
        <v>2024</v>
      </c>
      <c r="G50" t="s">
        <v>82</v>
      </c>
      <c r="H50" s="97">
        <v>9429</v>
      </c>
      <c r="I50" s="90">
        <v>25.8</v>
      </c>
      <c r="J50" s="139" t="s">
        <v>31</v>
      </c>
      <c r="K50" s="29">
        <f t="shared" si="4"/>
        <v>25.8</v>
      </c>
      <c r="L50">
        <v>1</v>
      </c>
      <c r="M50" s="29">
        <v>0</v>
      </c>
      <c r="N50" s="4" t="s">
        <v>32</v>
      </c>
      <c r="O50" t="s">
        <v>33</v>
      </c>
      <c r="P50" t="s">
        <v>34</v>
      </c>
      <c r="Q50" t="s">
        <v>34</v>
      </c>
      <c r="R50" t="s">
        <v>34</v>
      </c>
      <c r="S50" t="s">
        <v>34</v>
      </c>
      <c r="T50" s="117">
        <v>0</v>
      </c>
    </row>
    <row r="51" spans="1:20" ht="14.5" customHeight="1" x14ac:dyDescent="0.35">
      <c r="A51" t="s">
        <v>71</v>
      </c>
      <c r="B51" t="s">
        <v>23</v>
      </c>
      <c r="C51" s="1">
        <v>45301</v>
      </c>
      <c r="D51">
        <f t="shared" si="0"/>
        <v>10</v>
      </c>
      <c r="E51">
        <f t="shared" si="1"/>
        <v>1</v>
      </c>
      <c r="F51">
        <f t="shared" si="2"/>
        <v>2024</v>
      </c>
      <c r="G51" t="s">
        <v>82</v>
      </c>
      <c r="H51" s="97">
        <v>9430</v>
      </c>
      <c r="I51" s="90">
        <v>27540.28</v>
      </c>
      <c r="J51" s="139" t="s">
        <v>31</v>
      </c>
      <c r="K51" s="29">
        <f t="shared" si="4"/>
        <v>27540.28</v>
      </c>
      <c r="L51">
        <v>1</v>
      </c>
      <c r="M51" s="29">
        <v>0</v>
      </c>
      <c r="N51" s="4" t="s">
        <v>32</v>
      </c>
      <c r="O51" t="s">
        <v>33</v>
      </c>
      <c r="P51" t="s">
        <v>34</v>
      </c>
      <c r="Q51" t="s">
        <v>34</v>
      </c>
      <c r="R51" t="s">
        <v>34</v>
      </c>
      <c r="S51" t="s">
        <v>34</v>
      </c>
      <c r="T51" s="117">
        <v>0</v>
      </c>
    </row>
    <row r="52" spans="1:20" ht="14.5" customHeight="1" x14ac:dyDescent="0.35">
      <c r="A52" t="s">
        <v>71</v>
      </c>
      <c r="B52" t="s">
        <v>23</v>
      </c>
      <c r="C52" s="1">
        <v>45301</v>
      </c>
      <c r="D52">
        <f t="shared" si="0"/>
        <v>10</v>
      </c>
      <c r="E52">
        <f t="shared" si="1"/>
        <v>1</v>
      </c>
      <c r="F52">
        <f t="shared" si="2"/>
        <v>2024</v>
      </c>
      <c r="G52" t="s">
        <v>82</v>
      </c>
      <c r="H52" s="97">
        <v>9524</v>
      </c>
      <c r="I52" s="29">
        <v>2838</v>
      </c>
      <c r="J52" s="139" t="s">
        <v>31</v>
      </c>
      <c r="K52" s="29">
        <f t="shared" si="4"/>
        <v>2838</v>
      </c>
      <c r="L52">
        <v>1</v>
      </c>
      <c r="M52" s="29">
        <v>0</v>
      </c>
      <c r="N52" s="4" t="s">
        <v>32</v>
      </c>
      <c r="O52" t="s">
        <v>33</v>
      </c>
      <c r="P52" t="s">
        <v>34</v>
      </c>
      <c r="Q52" t="s">
        <v>34</v>
      </c>
      <c r="R52" t="s">
        <v>34</v>
      </c>
      <c r="S52" t="s">
        <v>34</v>
      </c>
      <c r="T52" s="117">
        <v>0</v>
      </c>
    </row>
    <row r="53" spans="1:20" ht="14.5" customHeight="1" x14ac:dyDescent="0.35">
      <c r="A53" t="s">
        <v>71</v>
      </c>
      <c r="B53" t="s">
        <v>25</v>
      </c>
      <c r="C53" s="1">
        <v>45301</v>
      </c>
      <c r="D53">
        <f t="shared" si="0"/>
        <v>10</v>
      </c>
      <c r="E53">
        <f t="shared" si="1"/>
        <v>1</v>
      </c>
      <c r="F53">
        <f t="shared" si="2"/>
        <v>2024</v>
      </c>
      <c r="G53" t="s">
        <v>565</v>
      </c>
      <c r="H53" s="97">
        <v>9852</v>
      </c>
      <c r="I53" s="29">
        <v>46.2</v>
      </c>
      <c r="J53" s="139" t="s">
        <v>31</v>
      </c>
      <c r="K53" s="29">
        <f t="shared" si="4"/>
        <v>46.2</v>
      </c>
      <c r="L53">
        <v>1</v>
      </c>
      <c r="M53" s="29">
        <v>0</v>
      </c>
      <c r="N53" t="s">
        <v>42</v>
      </c>
      <c r="O53" t="s">
        <v>33</v>
      </c>
      <c r="P53" t="s">
        <v>34</v>
      </c>
      <c r="Q53" t="s">
        <v>34</v>
      </c>
      <c r="R53" t="s">
        <v>34</v>
      </c>
      <c r="S53" t="s">
        <v>34</v>
      </c>
      <c r="T53" s="117">
        <v>0</v>
      </c>
    </row>
    <row r="54" spans="1:20" ht="14.5" customHeight="1" x14ac:dyDescent="0.35">
      <c r="A54" t="s">
        <v>71</v>
      </c>
      <c r="B54" t="s">
        <v>25</v>
      </c>
      <c r="C54" s="1">
        <v>45301</v>
      </c>
      <c r="D54">
        <f t="shared" si="0"/>
        <v>10</v>
      </c>
      <c r="E54">
        <f t="shared" si="1"/>
        <v>1</v>
      </c>
      <c r="F54">
        <f t="shared" si="2"/>
        <v>2024</v>
      </c>
      <c r="G54" t="s">
        <v>565</v>
      </c>
      <c r="H54" s="97">
        <v>9853</v>
      </c>
      <c r="I54" s="29">
        <v>3869.25</v>
      </c>
      <c r="J54" s="139" t="s">
        <v>31</v>
      </c>
      <c r="K54" s="29">
        <f t="shared" si="4"/>
        <v>3869.25</v>
      </c>
      <c r="L54">
        <v>1</v>
      </c>
      <c r="M54" s="29">
        <v>0</v>
      </c>
      <c r="N54" t="s">
        <v>42</v>
      </c>
      <c r="O54" t="s">
        <v>33</v>
      </c>
      <c r="P54" t="s">
        <v>34</v>
      </c>
      <c r="Q54" t="s">
        <v>34</v>
      </c>
      <c r="R54" t="s">
        <v>34</v>
      </c>
      <c r="S54" t="s">
        <v>34</v>
      </c>
      <c r="T54" s="117">
        <v>0</v>
      </c>
    </row>
    <row r="55" spans="1:20" ht="14.5" customHeight="1" x14ac:dyDescent="0.35">
      <c r="A55" t="s">
        <v>71</v>
      </c>
      <c r="B55" t="s">
        <v>25</v>
      </c>
      <c r="C55" s="1">
        <v>45301</v>
      </c>
      <c r="D55">
        <f t="shared" si="0"/>
        <v>10</v>
      </c>
      <c r="E55">
        <f t="shared" si="1"/>
        <v>1</v>
      </c>
      <c r="F55">
        <f t="shared" si="2"/>
        <v>2024</v>
      </c>
      <c r="G55" t="s">
        <v>83</v>
      </c>
      <c r="H55" s="97">
        <v>9850</v>
      </c>
      <c r="I55" s="90">
        <v>51</v>
      </c>
      <c r="J55" s="139" t="s">
        <v>31</v>
      </c>
      <c r="K55" s="29">
        <f t="shared" si="4"/>
        <v>51</v>
      </c>
      <c r="L55">
        <v>1</v>
      </c>
      <c r="M55" s="29">
        <v>0</v>
      </c>
      <c r="N55" t="s">
        <v>42</v>
      </c>
      <c r="O55" t="s">
        <v>33</v>
      </c>
      <c r="P55" t="s">
        <v>34</v>
      </c>
      <c r="Q55" t="s">
        <v>34</v>
      </c>
      <c r="R55" t="s">
        <v>34</v>
      </c>
      <c r="S55" t="s">
        <v>34</v>
      </c>
      <c r="T55" s="117">
        <v>0</v>
      </c>
    </row>
    <row r="56" spans="1:20" ht="14.5" customHeight="1" x14ac:dyDescent="0.35">
      <c r="A56" t="s">
        <v>71</v>
      </c>
      <c r="B56" t="s">
        <v>25</v>
      </c>
      <c r="C56" s="1">
        <v>45301</v>
      </c>
      <c r="D56">
        <f t="shared" si="0"/>
        <v>10</v>
      </c>
      <c r="E56">
        <f t="shared" si="1"/>
        <v>1</v>
      </c>
      <c r="F56">
        <f t="shared" si="2"/>
        <v>2024</v>
      </c>
      <c r="G56" t="s">
        <v>83</v>
      </c>
      <c r="H56" s="97">
        <v>9851</v>
      </c>
      <c r="I56" s="90">
        <v>1912.5</v>
      </c>
      <c r="J56" s="139" t="s">
        <v>31</v>
      </c>
      <c r="K56" s="29">
        <f t="shared" si="4"/>
        <v>1912.5</v>
      </c>
      <c r="L56">
        <v>1</v>
      </c>
      <c r="M56" s="29">
        <v>0</v>
      </c>
      <c r="N56" t="s">
        <v>42</v>
      </c>
      <c r="O56" t="s">
        <v>33</v>
      </c>
      <c r="P56" t="s">
        <v>34</v>
      </c>
      <c r="Q56" t="s">
        <v>34</v>
      </c>
      <c r="R56" t="s">
        <v>34</v>
      </c>
      <c r="S56" t="s">
        <v>34</v>
      </c>
      <c r="T56" s="117">
        <v>0</v>
      </c>
    </row>
    <row r="57" spans="1:20" ht="14.5" customHeight="1" x14ac:dyDescent="0.35">
      <c r="A57" t="s">
        <v>71</v>
      </c>
      <c r="B57" t="s">
        <v>25</v>
      </c>
      <c r="C57" s="1">
        <v>45301</v>
      </c>
      <c r="D57">
        <f t="shared" si="0"/>
        <v>10</v>
      </c>
      <c r="E57">
        <f t="shared" si="1"/>
        <v>1</v>
      </c>
      <c r="F57">
        <f t="shared" si="2"/>
        <v>2024</v>
      </c>
      <c r="G57" t="s">
        <v>84</v>
      </c>
      <c r="H57" s="97">
        <v>9854</v>
      </c>
      <c r="I57" s="90">
        <v>1860</v>
      </c>
      <c r="J57" s="139" t="s">
        <v>31</v>
      </c>
      <c r="K57" s="29">
        <f t="shared" si="4"/>
        <v>1860</v>
      </c>
      <c r="L57">
        <v>1</v>
      </c>
      <c r="M57" s="29">
        <v>0</v>
      </c>
      <c r="N57" t="s">
        <v>32</v>
      </c>
      <c r="O57" t="s">
        <v>33</v>
      </c>
      <c r="P57" t="s">
        <v>34</v>
      </c>
      <c r="Q57" t="s">
        <v>34</v>
      </c>
      <c r="R57" t="s">
        <v>34</v>
      </c>
      <c r="S57" t="s">
        <v>34</v>
      </c>
      <c r="T57" s="117">
        <v>0</v>
      </c>
    </row>
    <row r="58" spans="1:20" ht="14.5" customHeight="1" x14ac:dyDescent="0.35">
      <c r="A58" t="s">
        <v>71</v>
      </c>
      <c r="B58" t="s">
        <v>25</v>
      </c>
      <c r="C58" s="1">
        <v>45301</v>
      </c>
      <c r="D58">
        <f t="shared" si="0"/>
        <v>10</v>
      </c>
      <c r="E58">
        <f t="shared" si="1"/>
        <v>1</v>
      </c>
      <c r="F58">
        <f t="shared" si="2"/>
        <v>2024</v>
      </c>
      <c r="G58" t="s">
        <v>49</v>
      </c>
      <c r="H58" s="97">
        <v>9299</v>
      </c>
      <c r="I58" s="90">
        <v>27361.63</v>
      </c>
      <c r="J58" s="139" t="s">
        <v>51</v>
      </c>
      <c r="K58" s="29">
        <f t="shared" si="4"/>
        <v>30089.55</v>
      </c>
      <c r="L58" s="5">
        <v>1.0996987387081836</v>
      </c>
      <c r="M58" s="29">
        <v>0</v>
      </c>
      <c r="N58" t="s">
        <v>32</v>
      </c>
      <c r="O58" t="s">
        <v>33</v>
      </c>
      <c r="P58" t="s">
        <v>34</v>
      </c>
      <c r="Q58" t="s">
        <v>34</v>
      </c>
      <c r="R58" t="s">
        <v>34</v>
      </c>
      <c r="S58" t="s">
        <v>34</v>
      </c>
      <c r="T58" s="117">
        <v>0</v>
      </c>
    </row>
    <row r="59" spans="1:20" ht="14.5" customHeight="1" x14ac:dyDescent="0.35">
      <c r="A59" t="s">
        <v>71</v>
      </c>
      <c r="B59" t="s">
        <v>25</v>
      </c>
      <c r="C59" s="1">
        <v>45301</v>
      </c>
      <c r="D59">
        <f t="shared" si="0"/>
        <v>10</v>
      </c>
      <c r="E59">
        <f t="shared" si="1"/>
        <v>1</v>
      </c>
      <c r="F59">
        <f t="shared" si="2"/>
        <v>2024</v>
      </c>
      <c r="G59" t="s">
        <v>85</v>
      </c>
      <c r="H59" s="97">
        <v>9340</v>
      </c>
      <c r="I59" s="90">
        <v>7535.02</v>
      </c>
      <c r="J59" s="139" t="s">
        <v>31</v>
      </c>
      <c r="K59" s="29">
        <f t="shared" si="4"/>
        <v>7535.02</v>
      </c>
      <c r="L59">
        <v>1</v>
      </c>
      <c r="M59" s="29">
        <v>0</v>
      </c>
      <c r="N59" t="s">
        <v>32</v>
      </c>
      <c r="O59" t="s">
        <v>33</v>
      </c>
      <c r="P59" t="s">
        <v>34</v>
      </c>
      <c r="Q59" t="s">
        <v>34</v>
      </c>
      <c r="R59" t="s">
        <v>34</v>
      </c>
      <c r="S59" t="s">
        <v>34</v>
      </c>
      <c r="T59" s="117">
        <v>0</v>
      </c>
    </row>
    <row r="60" spans="1:20" ht="14.5" customHeight="1" x14ac:dyDescent="0.35">
      <c r="A60" t="s">
        <v>71</v>
      </c>
      <c r="B60" t="s">
        <v>25</v>
      </c>
      <c r="C60" s="1">
        <v>45301</v>
      </c>
      <c r="D60">
        <f t="shared" si="0"/>
        <v>10</v>
      </c>
      <c r="E60">
        <f t="shared" si="1"/>
        <v>1</v>
      </c>
      <c r="F60">
        <f t="shared" si="2"/>
        <v>2024</v>
      </c>
      <c r="G60" t="s">
        <v>45</v>
      </c>
      <c r="H60" s="97">
        <v>9249</v>
      </c>
      <c r="I60" s="90">
        <v>10865.82</v>
      </c>
      <c r="J60" s="139" t="s">
        <v>31</v>
      </c>
      <c r="K60" s="29">
        <f t="shared" si="4"/>
        <v>10865.82</v>
      </c>
      <c r="L60">
        <v>1</v>
      </c>
      <c r="M60" s="29">
        <v>0</v>
      </c>
      <c r="N60" t="s">
        <v>32</v>
      </c>
      <c r="O60" t="s">
        <v>33</v>
      </c>
      <c r="P60" t="s">
        <v>34</v>
      </c>
      <c r="Q60" t="s">
        <v>34</v>
      </c>
      <c r="R60" t="s">
        <v>34</v>
      </c>
      <c r="S60" t="s">
        <v>34</v>
      </c>
      <c r="T60" s="117">
        <v>0</v>
      </c>
    </row>
    <row r="61" spans="1:20" ht="14.5" customHeight="1" x14ac:dyDescent="0.35">
      <c r="A61" t="s">
        <v>71</v>
      </c>
      <c r="B61" t="s">
        <v>24</v>
      </c>
      <c r="C61" s="1">
        <v>45301</v>
      </c>
      <c r="D61">
        <f t="shared" si="0"/>
        <v>10</v>
      </c>
      <c r="E61">
        <f t="shared" si="1"/>
        <v>1</v>
      </c>
      <c r="F61">
        <f t="shared" si="2"/>
        <v>2024</v>
      </c>
      <c r="G61" t="s">
        <v>43</v>
      </c>
      <c r="H61" s="97">
        <v>9244</v>
      </c>
      <c r="I61" s="91">
        <v>2829.96</v>
      </c>
      <c r="J61" s="139" t="s">
        <v>31</v>
      </c>
      <c r="K61" s="29">
        <f t="shared" si="4"/>
        <v>2829.96</v>
      </c>
      <c r="L61">
        <v>1</v>
      </c>
      <c r="M61" s="29">
        <v>0</v>
      </c>
      <c r="N61" t="s">
        <v>32</v>
      </c>
      <c r="O61" t="s">
        <v>33</v>
      </c>
      <c r="P61" t="s">
        <v>34</v>
      </c>
      <c r="Q61" t="s">
        <v>34</v>
      </c>
      <c r="R61" t="s">
        <v>34</v>
      </c>
      <c r="S61" t="s">
        <v>34</v>
      </c>
      <c r="T61" s="117">
        <v>0</v>
      </c>
    </row>
    <row r="62" spans="1:20" ht="14.5" customHeight="1" x14ac:dyDescent="0.35">
      <c r="A62" t="s">
        <v>71</v>
      </c>
      <c r="B62" t="s">
        <v>23</v>
      </c>
      <c r="C62" s="1">
        <v>45301</v>
      </c>
      <c r="D62">
        <f t="shared" si="0"/>
        <v>10</v>
      </c>
      <c r="E62">
        <f t="shared" si="1"/>
        <v>1</v>
      </c>
      <c r="F62">
        <f t="shared" si="2"/>
        <v>2024</v>
      </c>
      <c r="G62" t="s">
        <v>86</v>
      </c>
      <c r="H62" s="97">
        <v>9241</v>
      </c>
      <c r="I62" s="91">
        <v>27.2</v>
      </c>
      <c r="J62" s="139" t="s">
        <v>31</v>
      </c>
      <c r="K62" s="29">
        <f t="shared" si="4"/>
        <v>27.2</v>
      </c>
      <c r="L62">
        <v>1</v>
      </c>
      <c r="M62" s="29">
        <v>0</v>
      </c>
      <c r="N62" t="s">
        <v>32</v>
      </c>
      <c r="O62" t="s">
        <v>33</v>
      </c>
      <c r="P62" t="s">
        <v>34</v>
      </c>
      <c r="Q62" t="s">
        <v>34</v>
      </c>
      <c r="R62" t="s">
        <v>34</v>
      </c>
      <c r="S62" t="s">
        <v>34</v>
      </c>
      <c r="T62" s="117">
        <v>0</v>
      </c>
    </row>
    <row r="63" spans="1:20" ht="14.5" customHeight="1" x14ac:dyDescent="0.35">
      <c r="A63" t="s">
        <v>71</v>
      </c>
      <c r="B63" t="s">
        <v>23</v>
      </c>
      <c r="C63" s="1">
        <v>45301</v>
      </c>
      <c r="D63">
        <f t="shared" si="0"/>
        <v>10</v>
      </c>
      <c r="E63">
        <f t="shared" si="1"/>
        <v>1</v>
      </c>
      <c r="F63">
        <f t="shared" si="2"/>
        <v>2024</v>
      </c>
      <c r="G63" t="s">
        <v>86</v>
      </c>
      <c r="H63" s="97">
        <v>9242</v>
      </c>
      <c r="I63" s="91">
        <v>4225.5200000000004</v>
      </c>
      <c r="J63" s="139" t="s">
        <v>31</v>
      </c>
      <c r="K63" s="29">
        <f t="shared" si="4"/>
        <v>4225.5200000000004</v>
      </c>
      <c r="L63">
        <v>1</v>
      </c>
      <c r="M63" s="29">
        <v>0</v>
      </c>
      <c r="N63" t="s">
        <v>32</v>
      </c>
      <c r="O63" t="s">
        <v>33</v>
      </c>
      <c r="P63" t="s">
        <v>34</v>
      </c>
      <c r="Q63" t="s">
        <v>34</v>
      </c>
      <c r="R63" t="s">
        <v>34</v>
      </c>
      <c r="S63" t="s">
        <v>34</v>
      </c>
      <c r="T63" s="117">
        <v>0</v>
      </c>
    </row>
    <row r="64" spans="1:20" ht="14.5" customHeight="1" x14ac:dyDescent="0.35">
      <c r="A64" t="s">
        <v>71</v>
      </c>
      <c r="B64" t="s">
        <v>25</v>
      </c>
      <c r="C64" s="1">
        <v>45301</v>
      </c>
      <c r="D64">
        <f t="shared" si="0"/>
        <v>10</v>
      </c>
      <c r="E64">
        <f t="shared" si="1"/>
        <v>1</v>
      </c>
      <c r="F64">
        <f t="shared" si="2"/>
        <v>2024</v>
      </c>
      <c r="G64" t="s">
        <v>87</v>
      </c>
      <c r="H64" s="97">
        <v>9222</v>
      </c>
      <c r="I64" s="91">
        <v>41130.300000000003</v>
      </c>
      <c r="J64" s="139" t="s">
        <v>31</v>
      </c>
      <c r="K64" s="29">
        <f t="shared" si="4"/>
        <v>41130.300000000003</v>
      </c>
      <c r="L64">
        <v>1</v>
      </c>
      <c r="M64" s="29">
        <v>0</v>
      </c>
      <c r="N64" t="s">
        <v>32</v>
      </c>
      <c r="O64" t="s">
        <v>33</v>
      </c>
      <c r="P64" t="s">
        <v>34</v>
      </c>
      <c r="Q64" t="s">
        <v>34</v>
      </c>
      <c r="R64" t="s">
        <v>34</v>
      </c>
      <c r="S64" t="s">
        <v>34</v>
      </c>
      <c r="T64" s="117">
        <v>0</v>
      </c>
    </row>
    <row r="65" spans="1:20" ht="14.5" customHeight="1" x14ac:dyDescent="0.35">
      <c r="A65" t="s">
        <v>71</v>
      </c>
      <c r="B65" t="s">
        <v>24</v>
      </c>
      <c r="C65" s="1">
        <v>45301</v>
      </c>
      <c r="D65">
        <f t="shared" si="0"/>
        <v>10</v>
      </c>
      <c r="E65">
        <f t="shared" si="1"/>
        <v>1</v>
      </c>
      <c r="F65">
        <f t="shared" si="2"/>
        <v>2024</v>
      </c>
      <c r="G65" t="s">
        <v>88</v>
      </c>
      <c r="H65" s="97">
        <v>9153</v>
      </c>
      <c r="I65" s="91">
        <v>29778.560000000001</v>
      </c>
      <c r="J65" s="139" t="s">
        <v>31</v>
      </c>
      <c r="K65" s="29">
        <f t="shared" si="4"/>
        <v>29778.560000000001</v>
      </c>
      <c r="L65">
        <v>1</v>
      </c>
      <c r="M65" s="29">
        <v>0</v>
      </c>
      <c r="N65" s="4" t="s">
        <v>32</v>
      </c>
      <c r="O65" t="s">
        <v>33</v>
      </c>
      <c r="P65" t="s">
        <v>34</v>
      </c>
      <c r="Q65" t="s">
        <v>34</v>
      </c>
      <c r="R65" t="s">
        <v>34</v>
      </c>
      <c r="S65" t="s">
        <v>34</v>
      </c>
      <c r="T65" s="117">
        <v>0</v>
      </c>
    </row>
    <row r="66" spans="1:20" ht="14.5" customHeight="1" x14ac:dyDescent="0.35">
      <c r="A66" t="s">
        <v>71</v>
      </c>
      <c r="B66" t="s">
        <v>23</v>
      </c>
      <c r="C66" s="1">
        <v>45301</v>
      </c>
      <c r="D66">
        <f t="shared" ref="D66:D129" si="5">DAY(C66)</f>
        <v>10</v>
      </c>
      <c r="E66">
        <f t="shared" ref="E66:E129" si="6">MONTH(C66)</f>
        <v>1</v>
      </c>
      <c r="F66">
        <f t="shared" ref="F66:F129" si="7">YEAR(C66)</f>
        <v>2024</v>
      </c>
      <c r="G66" t="s">
        <v>89</v>
      </c>
      <c r="H66" s="97">
        <v>9304</v>
      </c>
      <c r="I66" s="91">
        <v>2493.15</v>
      </c>
      <c r="J66" s="139" t="s">
        <v>31</v>
      </c>
      <c r="K66" s="29">
        <f t="shared" ref="K66:K97" si="8">IF(J66="USD",I66,I66*L66)</f>
        <v>2493.15</v>
      </c>
      <c r="L66">
        <v>1</v>
      </c>
      <c r="M66" s="29">
        <v>0</v>
      </c>
      <c r="N66" s="4" t="s">
        <v>42</v>
      </c>
      <c r="O66" t="s">
        <v>33</v>
      </c>
      <c r="P66" t="s">
        <v>34</v>
      </c>
      <c r="Q66" t="s">
        <v>34</v>
      </c>
      <c r="R66" t="s">
        <v>34</v>
      </c>
      <c r="S66" t="s">
        <v>34</v>
      </c>
      <c r="T66" s="117">
        <v>0</v>
      </c>
    </row>
    <row r="67" spans="1:20" ht="14.5" customHeight="1" x14ac:dyDescent="0.35">
      <c r="A67" t="s">
        <v>71</v>
      </c>
      <c r="B67" t="s">
        <v>23</v>
      </c>
      <c r="C67" s="1">
        <v>45301</v>
      </c>
      <c r="D67">
        <f t="shared" si="5"/>
        <v>10</v>
      </c>
      <c r="E67">
        <f t="shared" si="6"/>
        <v>1</v>
      </c>
      <c r="F67">
        <f t="shared" si="7"/>
        <v>2024</v>
      </c>
      <c r="G67" t="s">
        <v>89</v>
      </c>
      <c r="H67" s="97">
        <v>9521</v>
      </c>
      <c r="I67" s="91">
        <v>8504.92</v>
      </c>
      <c r="J67" s="139" t="s">
        <v>31</v>
      </c>
      <c r="K67" s="29">
        <f t="shared" si="8"/>
        <v>8504.92</v>
      </c>
      <c r="L67">
        <v>1</v>
      </c>
      <c r="M67" s="29">
        <v>0</v>
      </c>
      <c r="N67" s="4" t="s">
        <v>42</v>
      </c>
      <c r="O67" t="s">
        <v>33</v>
      </c>
      <c r="P67" t="s">
        <v>34</v>
      </c>
      <c r="Q67" t="s">
        <v>34</v>
      </c>
      <c r="R67" t="s">
        <v>34</v>
      </c>
      <c r="S67" t="s">
        <v>34</v>
      </c>
      <c r="T67" s="117">
        <v>0</v>
      </c>
    </row>
    <row r="68" spans="1:20" ht="14.5" customHeight="1" x14ac:dyDescent="0.35">
      <c r="A68" t="s">
        <v>71</v>
      </c>
      <c r="B68" t="s">
        <v>21</v>
      </c>
      <c r="C68" s="1">
        <v>45301</v>
      </c>
      <c r="D68">
        <f t="shared" si="5"/>
        <v>10</v>
      </c>
      <c r="E68">
        <f t="shared" si="6"/>
        <v>1</v>
      </c>
      <c r="F68">
        <f t="shared" si="7"/>
        <v>2024</v>
      </c>
      <c r="G68" t="s">
        <v>90</v>
      </c>
      <c r="H68" s="97">
        <v>8833</v>
      </c>
      <c r="I68" s="91">
        <v>6379.34</v>
      </c>
      <c r="J68" s="139" t="s">
        <v>31</v>
      </c>
      <c r="K68" s="29">
        <f t="shared" si="8"/>
        <v>6379.34</v>
      </c>
      <c r="L68">
        <v>1</v>
      </c>
      <c r="M68" s="29">
        <v>0</v>
      </c>
      <c r="N68" s="4" t="s">
        <v>32</v>
      </c>
      <c r="O68" t="s">
        <v>33</v>
      </c>
      <c r="P68" t="s">
        <v>34</v>
      </c>
      <c r="Q68" t="s">
        <v>34</v>
      </c>
      <c r="R68" t="s">
        <v>34</v>
      </c>
      <c r="S68" t="s">
        <v>34</v>
      </c>
      <c r="T68" s="117">
        <v>0</v>
      </c>
    </row>
    <row r="69" spans="1:20" ht="14.5" customHeight="1" x14ac:dyDescent="0.35">
      <c r="A69" t="s">
        <v>71</v>
      </c>
      <c r="B69" t="s">
        <v>25</v>
      </c>
      <c r="C69" s="1">
        <v>45301</v>
      </c>
      <c r="D69">
        <f t="shared" si="5"/>
        <v>10</v>
      </c>
      <c r="E69">
        <f t="shared" si="6"/>
        <v>1</v>
      </c>
      <c r="F69">
        <f t="shared" si="7"/>
        <v>2024</v>
      </c>
      <c r="G69" t="s">
        <v>91</v>
      </c>
      <c r="H69" s="97">
        <v>9277</v>
      </c>
      <c r="I69" s="91">
        <v>3794.7</v>
      </c>
      <c r="J69" s="139" t="s">
        <v>31</v>
      </c>
      <c r="K69" s="29">
        <f t="shared" si="8"/>
        <v>3794.7</v>
      </c>
      <c r="L69">
        <v>1</v>
      </c>
      <c r="M69" s="29">
        <v>0</v>
      </c>
      <c r="N69" s="4" t="s">
        <v>32</v>
      </c>
      <c r="O69" t="s">
        <v>33</v>
      </c>
      <c r="P69" t="s">
        <v>34</v>
      </c>
      <c r="Q69" t="s">
        <v>34</v>
      </c>
      <c r="R69" t="s">
        <v>34</v>
      </c>
      <c r="S69" t="s">
        <v>34</v>
      </c>
      <c r="T69" s="117">
        <v>0</v>
      </c>
    </row>
    <row r="70" spans="1:20" ht="14.5" customHeight="1" x14ac:dyDescent="0.35">
      <c r="A70" t="s">
        <v>20</v>
      </c>
      <c r="B70" t="s">
        <v>24</v>
      </c>
      <c r="C70" s="1">
        <v>45301</v>
      </c>
      <c r="D70">
        <f t="shared" si="5"/>
        <v>10</v>
      </c>
      <c r="E70">
        <f t="shared" si="6"/>
        <v>1</v>
      </c>
      <c r="F70">
        <f t="shared" si="7"/>
        <v>2024</v>
      </c>
      <c r="G70" t="s">
        <v>81</v>
      </c>
      <c r="H70" s="97">
        <v>9827</v>
      </c>
      <c r="I70" s="91">
        <v>100.4</v>
      </c>
      <c r="J70" s="139" t="s">
        <v>31</v>
      </c>
      <c r="K70" s="29">
        <f t="shared" si="8"/>
        <v>100.4</v>
      </c>
      <c r="L70">
        <v>1</v>
      </c>
      <c r="M70" s="29">
        <v>0</v>
      </c>
      <c r="N70" t="s">
        <v>42</v>
      </c>
      <c r="O70" t="s">
        <v>33</v>
      </c>
      <c r="P70" t="s">
        <v>34</v>
      </c>
      <c r="Q70" t="s">
        <v>34</v>
      </c>
      <c r="R70" t="s">
        <v>34</v>
      </c>
      <c r="S70" t="s">
        <v>34</v>
      </c>
      <c r="T70" s="117">
        <v>0</v>
      </c>
    </row>
    <row r="71" spans="1:20" ht="14.5" customHeight="1" x14ac:dyDescent="0.35">
      <c r="A71" t="s">
        <v>20</v>
      </c>
      <c r="B71" t="s">
        <v>24</v>
      </c>
      <c r="C71" s="1">
        <v>45301</v>
      </c>
      <c r="D71">
        <f t="shared" si="5"/>
        <v>10</v>
      </c>
      <c r="E71">
        <f t="shared" si="6"/>
        <v>1</v>
      </c>
      <c r="F71">
        <f t="shared" si="7"/>
        <v>2024</v>
      </c>
      <c r="G71" t="s">
        <v>81</v>
      </c>
      <c r="H71" s="97">
        <v>9828</v>
      </c>
      <c r="I71" s="91">
        <v>2212.6</v>
      </c>
      <c r="J71" s="139" t="s">
        <v>31</v>
      </c>
      <c r="K71" s="29">
        <f t="shared" si="8"/>
        <v>2212.6</v>
      </c>
      <c r="L71">
        <v>1</v>
      </c>
      <c r="M71" s="29">
        <v>0</v>
      </c>
      <c r="N71" t="s">
        <v>42</v>
      </c>
      <c r="O71" t="s">
        <v>33</v>
      </c>
      <c r="P71" t="s">
        <v>34</v>
      </c>
      <c r="Q71" t="s">
        <v>34</v>
      </c>
      <c r="R71" t="s">
        <v>34</v>
      </c>
      <c r="S71" t="s">
        <v>34</v>
      </c>
      <c r="T71" s="117">
        <v>0</v>
      </c>
    </row>
    <row r="72" spans="1:20" ht="14.5" customHeight="1" x14ac:dyDescent="0.35">
      <c r="A72" t="s">
        <v>20</v>
      </c>
      <c r="B72" t="s">
        <v>24</v>
      </c>
      <c r="C72" s="1">
        <v>45301</v>
      </c>
      <c r="D72">
        <f t="shared" si="5"/>
        <v>10</v>
      </c>
      <c r="E72">
        <f t="shared" si="6"/>
        <v>1</v>
      </c>
      <c r="F72">
        <f t="shared" si="7"/>
        <v>2024</v>
      </c>
      <c r="G72" t="s">
        <v>81</v>
      </c>
      <c r="H72" s="97">
        <v>9829</v>
      </c>
      <c r="I72" s="91">
        <v>2904.85</v>
      </c>
      <c r="J72" s="139" t="s">
        <v>31</v>
      </c>
      <c r="K72" s="29">
        <f t="shared" si="8"/>
        <v>2904.85</v>
      </c>
      <c r="L72">
        <v>1</v>
      </c>
      <c r="M72" s="29">
        <v>0</v>
      </c>
      <c r="N72" t="s">
        <v>42</v>
      </c>
      <c r="O72" t="s">
        <v>33</v>
      </c>
      <c r="P72" t="s">
        <v>34</v>
      </c>
      <c r="Q72" t="s">
        <v>34</v>
      </c>
      <c r="R72" t="s">
        <v>34</v>
      </c>
      <c r="S72" t="s">
        <v>34</v>
      </c>
      <c r="T72" s="117">
        <v>0</v>
      </c>
    </row>
    <row r="73" spans="1:20" ht="14.5" customHeight="1" x14ac:dyDescent="0.35">
      <c r="A73" t="s">
        <v>20</v>
      </c>
      <c r="B73" t="s">
        <v>24</v>
      </c>
      <c r="C73" s="1">
        <v>45301</v>
      </c>
      <c r="D73">
        <f t="shared" si="5"/>
        <v>10</v>
      </c>
      <c r="E73">
        <f t="shared" si="6"/>
        <v>1</v>
      </c>
      <c r="F73">
        <f t="shared" si="7"/>
        <v>2024</v>
      </c>
      <c r="G73" t="s">
        <v>81</v>
      </c>
      <c r="H73" s="97">
        <v>9830</v>
      </c>
      <c r="I73" s="91">
        <v>1407.25</v>
      </c>
      <c r="J73" s="139" t="s">
        <v>31</v>
      </c>
      <c r="K73" s="29">
        <f t="shared" si="8"/>
        <v>1407.25</v>
      </c>
      <c r="L73">
        <v>1</v>
      </c>
      <c r="M73" s="29">
        <v>0</v>
      </c>
      <c r="N73" t="s">
        <v>42</v>
      </c>
      <c r="O73" t="s">
        <v>33</v>
      </c>
      <c r="P73" t="s">
        <v>34</v>
      </c>
      <c r="Q73" t="s">
        <v>34</v>
      </c>
      <c r="R73" t="s">
        <v>34</v>
      </c>
      <c r="S73" t="s">
        <v>34</v>
      </c>
      <c r="T73" s="117">
        <v>0</v>
      </c>
    </row>
    <row r="74" spans="1:20" ht="14.5" customHeight="1" x14ac:dyDescent="0.35">
      <c r="A74" t="s">
        <v>20</v>
      </c>
      <c r="B74" t="s">
        <v>24</v>
      </c>
      <c r="C74" s="1">
        <v>45301</v>
      </c>
      <c r="D74">
        <f t="shared" si="5"/>
        <v>10</v>
      </c>
      <c r="E74">
        <f t="shared" si="6"/>
        <v>1</v>
      </c>
      <c r="F74">
        <f t="shared" si="7"/>
        <v>2024</v>
      </c>
      <c r="G74" t="s">
        <v>81</v>
      </c>
      <c r="H74" s="97">
        <v>9831</v>
      </c>
      <c r="I74" s="91">
        <v>4648.1499999999996</v>
      </c>
      <c r="J74" s="139" t="s">
        <v>31</v>
      </c>
      <c r="K74" s="29">
        <f t="shared" si="8"/>
        <v>4648.1499999999996</v>
      </c>
      <c r="L74">
        <v>1</v>
      </c>
      <c r="M74" s="29">
        <v>0</v>
      </c>
      <c r="N74" t="s">
        <v>42</v>
      </c>
      <c r="O74" t="s">
        <v>33</v>
      </c>
      <c r="P74" t="s">
        <v>34</v>
      </c>
      <c r="Q74" t="s">
        <v>34</v>
      </c>
      <c r="R74" t="s">
        <v>34</v>
      </c>
      <c r="S74" t="s">
        <v>34</v>
      </c>
      <c r="T74" s="117">
        <v>0</v>
      </c>
    </row>
    <row r="75" spans="1:20" ht="14.5" customHeight="1" x14ac:dyDescent="0.35">
      <c r="A75" t="s">
        <v>20</v>
      </c>
      <c r="B75" t="s">
        <v>24</v>
      </c>
      <c r="C75" s="1">
        <v>45301</v>
      </c>
      <c r="D75">
        <f t="shared" si="5"/>
        <v>10</v>
      </c>
      <c r="E75">
        <f t="shared" si="6"/>
        <v>1</v>
      </c>
      <c r="F75">
        <f t="shared" si="7"/>
        <v>2024</v>
      </c>
      <c r="G75" t="s">
        <v>81</v>
      </c>
      <c r="H75" s="97">
        <v>9832</v>
      </c>
      <c r="I75" s="91">
        <v>1456</v>
      </c>
      <c r="J75" s="139" t="s">
        <v>31</v>
      </c>
      <c r="K75" s="29">
        <f t="shared" si="8"/>
        <v>1456</v>
      </c>
      <c r="L75">
        <v>1</v>
      </c>
      <c r="M75" s="29">
        <v>0</v>
      </c>
      <c r="N75" t="s">
        <v>42</v>
      </c>
      <c r="O75" t="s">
        <v>33</v>
      </c>
      <c r="P75" t="s">
        <v>34</v>
      </c>
      <c r="Q75" t="s">
        <v>34</v>
      </c>
      <c r="R75" t="s">
        <v>34</v>
      </c>
      <c r="S75" t="s">
        <v>34</v>
      </c>
      <c r="T75" s="117">
        <v>0</v>
      </c>
    </row>
    <row r="76" spans="1:20" ht="14.5" customHeight="1" x14ac:dyDescent="0.35">
      <c r="A76" t="s">
        <v>20</v>
      </c>
      <c r="B76" t="s">
        <v>24</v>
      </c>
      <c r="C76" s="1">
        <v>45301</v>
      </c>
      <c r="D76">
        <f t="shared" si="5"/>
        <v>10</v>
      </c>
      <c r="E76">
        <f t="shared" si="6"/>
        <v>1</v>
      </c>
      <c r="F76">
        <f t="shared" si="7"/>
        <v>2024</v>
      </c>
      <c r="G76" t="s">
        <v>50</v>
      </c>
      <c r="H76" s="98">
        <v>9801</v>
      </c>
      <c r="I76" s="91">
        <v>290</v>
      </c>
      <c r="J76" s="139" t="s">
        <v>31</v>
      </c>
      <c r="K76" s="29">
        <f t="shared" si="8"/>
        <v>290</v>
      </c>
      <c r="L76">
        <v>1</v>
      </c>
      <c r="M76" s="29">
        <v>0</v>
      </c>
      <c r="N76" t="s">
        <v>42</v>
      </c>
      <c r="O76" t="s">
        <v>33</v>
      </c>
      <c r="P76" t="s">
        <v>34</v>
      </c>
      <c r="Q76" t="s">
        <v>34</v>
      </c>
      <c r="R76" t="s">
        <v>34</v>
      </c>
      <c r="S76" t="s">
        <v>34</v>
      </c>
      <c r="T76" s="117">
        <v>0</v>
      </c>
    </row>
    <row r="77" spans="1:20" ht="14.5" customHeight="1" x14ac:dyDescent="0.35">
      <c r="A77" t="s">
        <v>20</v>
      </c>
      <c r="B77" t="s">
        <v>24</v>
      </c>
      <c r="C77" s="1">
        <v>45301</v>
      </c>
      <c r="D77">
        <f t="shared" si="5"/>
        <v>10</v>
      </c>
      <c r="E77">
        <f t="shared" si="6"/>
        <v>1</v>
      </c>
      <c r="F77">
        <f t="shared" si="7"/>
        <v>2024</v>
      </c>
      <c r="G77" t="s">
        <v>50</v>
      </c>
      <c r="H77" s="98">
        <v>9802</v>
      </c>
      <c r="I77" s="91">
        <v>2476.6</v>
      </c>
      <c r="J77" s="139" t="s">
        <v>31</v>
      </c>
      <c r="K77" s="29">
        <f t="shared" si="8"/>
        <v>2476.6</v>
      </c>
      <c r="L77">
        <v>1</v>
      </c>
      <c r="M77" s="29">
        <v>0</v>
      </c>
      <c r="N77" t="s">
        <v>42</v>
      </c>
      <c r="O77" t="s">
        <v>33</v>
      </c>
      <c r="P77" t="s">
        <v>34</v>
      </c>
      <c r="Q77" t="s">
        <v>34</v>
      </c>
      <c r="R77" t="s">
        <v>34</v>
      </c>
      <c r="S77" t="s">
        <v>34</v>
      </c>
      <c r="T77" s="117">
        <v>0</v>
      </c>
    </row>
    <row r="78" spans="1:20" ht="14.5" customHeight="1" x14ac:dyDescent="0.35">
      <c r="A78" t="s">
        <v>20</v>
      </c>
      <c r="B78" t="s">
        <v>24</v>
      </c>
      <c r="C78" s="1">
        <v>45301</v>
      </c>
      <c r="D78">
        <f t="shared" si="5"/>
        <v>10</v>
      </c>
      <c r="E78">
        <f t="shared" si="6"/>
        <v>1</v>
      </c>
      <c r="F78">
        <f t="shared" si="7"/>
        <v>2024</v>
      </c>
      <c r="G78" t="s">
        <v>50</v>
      </c>
      <c r="H78" s="98">
        <v>9803</v>
      </c>
      <c r="I78" s="91">
        <v>2148.9</v>
      </c>
      <c r="J78" s="139" t="s">
        <v>31</v>
      </c>
      <c r="K78" s="29">
        <f t="shared" si="8"/>
        <v>2148.9</v>
      </c>
      <c r="L78">
        <v>1</v>
      </c>
      <c r="M78" s="29">
        <v>0</v>
      </c>
      <c r="N78" t="s">
        <v>42</v>
      </c>
      <c r="O78" t="s">
        <v>33</v>
      </c>
      <c r="P78" t="s">
        <v>34</v>
      </c>
      <c r="Q78" t="s">
        <v>34</v>
      </c>
      <c r="R78" t="s">
        <v>34</v>
      </c>
      <c r="S78" t="s">
        <v>34</v>
      </c>
      <c r="T78" s="117">
        <v>0</v>
      </c>
    </row>
    <row r="79" spans="1:20" ht="14.5" customHeight="1" x14ac:dyDescent="0.35">
      <c r="A79" t="s">
        <v>19</v>
      </c>
      <c r="B79" t="s">
        <v>19</v>
      </c>
      <c r="C79" s="1">
        <v>45302</v>
      </c>
      <c r="D79">
        <f t="shared" si="5"/>
        <v>11</v>
      </c>
      <c r="E79">
        <f t="shared" si="6"/>
        <v>1</v>
      </c>
      <c r="F79">
        <f t="shared" si="7"/>
        <v>2024</v>
      </c>
      <c r="G79" t="s">
        <v>57</v>
      </c>
      <c r="H79" s="97">
        <v>9346</v>
      </c>
      <c r="I79" s="90">
        <v>28651.200000000001</v>
      </c>
      <c r="J79" s="139" t="s">
        <v>31</v>
      </c>
      <c r="K79" s="29">
        <f t="shared" si="8"/>
        <v>28651.200000000001</v>
      </c>
      <c r="L79">
        <v>1</v>
      </c>
      <c r="M79" s="29">
        <v>0</v>
      </c>
      <c r="N79" t="s">
        <v>32</v>
      </c>
      <c r="O79" t="s">
        <v>33</v>
      </c>
      <c r="P79" t="s">
        <v>34</v>
      </c>
      <c r="Q79" t="s">
        <v>34</v>
      </c>
      <c r="R79" t="s">
        <v>34</v>
      </c>
      <c r="S79" t="s">
        <v>34</v>
      </c>
      <c r="T79" s="117">
        <v>0</v>
      </c>
    </row>
    <row r="80" spans="1:20" ht="14.5" customHeight="1" x14ac:dyDescent="0.35">
      <c r="A80" t="s">
        <v>19</v>
      </c>
      <c r="B80" t="s">
        <v>19</v>
      </c>
      <c r="C80" s="1">
        <v>45302</v>
      </c>
      <c r="D80">
        <f t="shared" si="5"/>
        <v>11</v>
      </c>
      <c r="E80">
        <f t="shared" si="6"/>
        <v>1</v>
      </c>
      <c r="F80">
        <f t="shared" si="7"/>
        <v>2024</v>
      </c>
      <c r="G80" t="s">
        <v>88</v>
      </c>
      <c r="H80" s="97">
        <v>9465</v>
      </c>
      <c r="I80" s="90">
        <v>21705.119999999999</v>
      </c>
      <c r="J80" s="139" t="s">
        <v>31</v>
      </c>
      <c r="K80" s="29">
        <f t="shared" si="8"/>
        <v>21705.119999999999</v>
      </c>
      <c r="L80">
        <v>1</v>
      </c>
      <c r="M80" s="29">
        <v>0</v>
      </c>
      <c r="N80" t="s">
        <v>32</v>
      </c>
      <c r="O80" t="s">
        <v>33</v>
      </c>
      <c r="P80" t="s">
        <v>34</v>
      </c>
      <c r="Q80" t="s">
        <v>34</v>
      </c>
      <c r="R80" t="s">
        <v>34</v>
      </c>
      <c r="S80" t="s">
        <v>34</v>
      </c>
      <c r="T80" s="117">
        <v>0</v>
      </c>
    </row>
    <row r="81" spans="1:21" ht="14.5" customHeight="1" x14ac:dyDescent="0.35">
      <c r="A81" t="s">
        <v>19</v>
      </c>
      <c r="B81" t="s">
        <v>19</v>
      </c>
      <c r="C81" s="1">
        <v>45302</v>
      </c>
      <c r="D81">
        <f t="shared" si="5"/>
        <v>11</v>
      </c>
      <c r="E81">
        <f t="shared" si="6"/>
        <v>1</v>
      </c>
      <c r="F81">
        <f t="shared" si="7"/>
        <v>2024</v>
      </c>
      <c r="G81" t="s">
        <v>117</v>
      </c>
      <c r="H81" s="97">
        <v>9849</v>
      </c>
      <c r="I81" s="90">
        <v>51375</v>
      </c>
      <c r="J81" s="139" t="s">
        <v>31</v>
      </c>
      <c r="K81" s="29">
        <f t="shared" si="8"/>
        <v>51375</v>
      </c>
      <c r="L81">
        <v>1</v>
      </c>
      <c r="M81" s="29">
        <v>0</v>
      </c>
      <c r="N81" t="s">
        <v>42</v>
      </c>
      <c r="O81" t="s">
        <v>33</v>
      </c>
      <c r="P81" t="s">
        <v>34</v>
      </c>
      <c r="Q81" t="s">
        <v>34</v>
      </c>
      <c r="R81" t="s">
        <v>34</v>
      </c>
      <c r="S81" t="s">
        <v>34</v>
      </c>
      <c r="T81" s="117">
        <v>0</v>
      </c>
    </row>
    <row r="82" spans="1:21" ht="14.5" customHeight="1" x14ac:dyDescent="0.35">
      <c r="A82" t="s">
        <v>19</v>
      </c>
      <c r="B82" t="s">
        <v>21</v>
      </c>
      <c r="C82" s="1">
        <v>45308</v>
      </c>
      <c r="D82">
        <f t="shared" si="5"/>
        <v>17</v>
      </c>
      <c r="E82">
        <f t="shared" si="6"/>
        <v>1</v>
      </c>
      <c r="F82">
        <f t="shared" si="7"/>
        <v>2024</v>
      </c>
      <c r="G82" t="s">
        <v>92</v>
      </c>
      <c r="H82" s="97">
        <v>9899</v>
      </c>
      <c r="I82" s="91">
        <v>31.8</v>
      </c>
      <c r="J82" s="139" t="s">
        <v>31</v>
      </c>
      <c r="K82" s="29">
        <f t="shared" si="8"/>
        <v>31.8</v>
      </c>
      <c r="L82">
        <v>1</v>
      </c>
      <c r="M82" s="29">
        <v>0</v>
      </c>
      <c r="N82" t="s">
        <v>42</v>
      </c>
      <c r="O82" t="s">
        <v>33</v>
      </c>
      <c r="P82" t="s">
        <v>34</v>
      </c>
      <c r="Q82" t="s">
        <v>34</v>
      </c>
      <c r="R82" t="s">
        <v>34</v>
      </c>
      <c r="S82" t="s">
        <v>34</v>
      </c>
      <c r="T82" s="117">
        <v>0</v>
      </c>
    </row>
    <row r="83" spans="1:21" ht="14.5" customHeight="1" x14ac:dyDescent="0.35">
      <c r="A83" t="s">
        <v>19</v>
      </c>
      <c r="B83" t="s">
        <v>21</v>
      </c>
      <c r="C83" s="1">
        <v>45308</v>
      </c>
      <c r="D83">
        <f t="shared" si="5"/>
        <v>17</v>
      </c>
      <c r="E83">
        <f t="shared" si="6"/>
        <v>1</v>
      </c>
      <c r="F83">
        <f t="shared" si="7"/>
        <v>2024</v>
      </c>
      <c r="G83" t="s">
        <v>92</v>
      </c>
      <c r="H83" s="97">
        <v>9900</v>
      </c>
      <c r="I83" s="91">
        <v>2528.1</v>
      </c>
      <c r="J83" s="139" t="s">
        <v>31</v>
      </c>
      <c r="K83" s="29">
        <f t="shared" si="8"/>
        <v>2528.1</v>
      </c>
      <c r="L83">
        <v>1</v>
      </c>
      <c r="M83" s="29">
        <v>0</v>
      </c>
      <c r="N83" t="s">
        <v>42</v>
      </c>
      <c r="O83" t="s">
        <v>33</v>
      </c>
      <c r="P83" t="s">
        <v>34</v>
      </c>
      <c r="Q83" t="s">
        <v>34</v>
      </c>
      <c r="R83" t="s">
        <v>34</v>
      </c>
      <c r="S83" t="s">
        <v>34</v>
      </c>
      <c r="T83" s="117">
        <v>0</v>
      </c>
    </row>
    <row r="84" spans="1:21" ht="14.5" customHeight="1" x14ac:dyDescent="0.35">
      <c r="A84" t="s">
        <v>19</v>
      </c>
      <c r="B84" t="s">
        <v>21</v>
      </c>
      <c r="C84" s="1">
        <v>45308</v>
      </c>
      <c r="D84">
        <f t="shared" si="5"/>
        <v>17</v>
      </c>
      <c r="E84">
        <f t="shared" si="6"/>
        <v>1</v>
      </c>
      <c r="F84">
        <f t="shared" si="7"/>
        <v>2024</v>
      </c>
      <c r="G84" t="s">
        <v>28</v>
      </c>
      <c r="H84" s="97">
        <v>9286</v>
      </c>
      <c r="I84" s="91">
        <v>36247.4</v>
      </c>
      <c r="J84" s="139" t="s">
        <v>31</v>
      </c>
      <c r="K84" s="29">
        <f t="shared" si="8"/>
        <v>36247.4</v>
      </c>
      <c r="L84">
        <v>1</v>
      </c>
      <c r="M84" s="29">
        <v>0</v>
      </c>
      <c r="N84" t="s">
        <v>32</v>
      </c>
      <c r="O84" t="s">
        <v>33</v>
      </c>
      <c r="P84" t="s">
        <v>34</v>
      </c>
      <c r="Q84" t="s">
        <v>34</v>
      </c>
      <c r="R84" t="s">
        <v>34</v>
      </c>
      <c r="S84" t="s">
        <v>34</v>
      </c>
      <c r="T84" s="117">
        <v>0</v>
      </c>
    </row>
    <row r="85" spans="1:21" ht="14.5" customHeight="1" x14ac:dyDescent="0.35">
      <c r="A85" t="s">
        <v>19</v>
      </c>
      <c r="B85" t="s">
        <v>23</v>
      </c>
      <c r="C85" s="1">
        <v>45308</v>
      </c>
      <c r="D85">
        <f t="shared" si="5"/>
        <v>17</v>
      </c>
      <c r="E85">
        <f t="shared" si="6"/>
        <v>1</v>
      </c>
      <c r="F85">
        <f t="shared" si="7"/>
        <v>2024</v>
      </c>
      <c r="G85" t="s">
        <v>28</v>
      </c>
      <c r="H85" s="97">
        <v>9286</v>
      </c>
      <c r="I85" s="91">
        <v>16962.5</v>
      </c>
      <c r="J85" s="139" t="s">
        <v>31</v>
      </c>
      <c r="K85" s="29">
        <f t="shared" si="8"/>
        <v>16962.5</v>
      </c>
      <c r="L85">
        <v>1</v>
      </c>
      <c r="M85" s="29">
        <v>0</v>
      </c>
      <c r="N85" t="s">
        <v>32</v>
      </c>
      <c r="O85" t="s">
        <v>33</v>
      </c>
      <c r="P85" t="s">
        <v>34</v>
      </c>
      <c r="Q85" t="s">
        <v>34</v>
      </c>
      <c r="R85" t="s">
        <v>34</v>
      </c>
      <c r="S85" t="s">
        <v>34</v>
      </c>
      <c r="T85" s="117">
        <v>0</v>
      </c>
    </row>
    <row r="86" spans="1:21" ht="14.5" customHeight="1" x14ac:dyDescent="0.35">
      <c r="A86" t="s">
        <v>19</v>
      </c>
      <c r="B86" t="s">
        <v>23</v>
      </c>
      <c r="C86" s="1">
        <v>45308</v>
      </c>
      <c r="D86">
        <f t="shared" si="5"/>
        <v>17</v>
      </c>
      <c r="E86">
        <f t="shared" si="6"/>
        <v>1</v>
      </c>
      <c r="F86">
        <f t="shared" si="7"/>
        <v>2024</v>
      </c>
      <c r="G86" t="s">
        <v>28</v>
      </c>
      <c r="H86" s="97">
        <v>9335</v>
      </c>
      <c r="I86" s="91">
        <v>38.5</v>
      </c>
      <c r="J86" s="139" t="s">
        <v>31</v>
      </c>
      <c r="K86" s="29">
        <f t="shared" si="8"/>
        <v>38.5</v>
      </c>
      <c r="L86">
        <v>1</v>
      </c>
      <c r="M86" s="29">
        <v>0</v>
      </c>
      <c r="N86" t="s">
        <v>32</v>
      </c>
      <c r="O86" t="s">
        <v>33</v>
      </c>
      <c r="P86" t="s">
        <v>34</v>
      </c>
      <c r="Q86" t="s">
        <v>34</v>
      </c>
      <c r="R86" t="s">
        <v>34</v>
      </c>
      <c r="S86" t="s">
        <v>34</v>
      </c>
      <c r="T86" s="117">
        <v>0</v>
      </c>
    </row>
    <row r="87" spans="1:21" ht="14.5" customHeight="1" x14ac:dyDescent="0.35">
      <c r="A87" t="s">
        <v>19</v>
      </c>
      <c r="B87" t="s">
        <v>21</v>
      </c>
      <c r="C87" s="1">
        <v>45308</v>
      </c>
      <c r="D87">
        <f t="shared" si="5"/>
        <v>17</v>
      </c>
      <c r="E87">
        <f t="shared" si="6"/>
        <v>1</v>
      </c>
      <c r="F87">
        <f t="shared" si="7"/>
        <v>2024</v>
      </c>
      <c r="G87" t="s">
        <v>28</v>
      </c>
      <c r="H87" s="97">
        <v>9289</v>
      </c>
      <c r="I87" s="91">
        <v>129.6</v>
      </c>
      <c r="J87" s="139" t="s">
        <v>31</v>
      </c>
      <c r="K87" s="29">
        <f t="shared" si="8"/>
        <v>129.6</v>
      </c>
      <c r="L87">
        <v>1</v>
      </c>
      <c r="M87" s="29">
        <v>0</v>
      </c>
      <c r="N87" t="s">
        <v>32</v>
      </c>
      <c r="O87" t="s">
        <v>33</v>
      </c>
      <c r="P87" t="s">
        <v>34</v>
      </c>
      <c r="Q87" t="s">
        <v>34</v>
      </c>
      <c r="R87" t="s">
        <v>34</v>
      </c>
      <c r="S87" t="s">
        <v>34</v>
      </c>
      <c r="T87" s="117">
        <v>0</v>
      </c>
    </row>
    <row r="88" spans="1:21" ht="14.5" customHeight="1" x14ac:dyDescent="0.35">
      <c r="A88" t="s">
        <v>19</v>
      </c>
      <c r="B88" t="s">
        <v>21</v>
      </c>
      <c r="C88" s="1">
        <v>45308</v>
      </c>
      <c r="D88">
        <f t="shared" si="5"/>
        <v>17</v>
      </c>
      <c r="E88">
        <f t="shared" si="6"/>
        <v>1</v>
      </c>
      <c r="F88">
        <f t="shared" si="7"/>
        <v>2024</v>
      </c>
      <c r="G88" t="s">
        <v>36</v>
      </c>
      <c r="H88" s="97">
        <v>9192</v>
      </c>
      <c r="I88" s="91">
        <v>144</v>
      </c>
      <c r="J88" s="139" t="s">
        <v>31</v>
      </c>
      <c r="K88" s="29">
        <f t="shared" si="8"/>
        <v>144</v>
      </c>
      <c r="L88">
        <v>1</v>
      </c>
      <c r="M88" s="29">
        <v>0</v>
      </c>
      <c r="N88" t="s">
        <v>32</v>
      </c>
      <c r="O88" t="s">
        <v>33</v>
      </c>
      <c r="P88" t="s">
        <v>34</v>
      </c>
      <c r="Q88" t="s">
        <v>34</v>
      </c>
      <c r="R88" t="s">
        <v>34</v>
      </c>
      <c r="S88" t="s">
        <v>34</v>
      </c>
      <c r="T88" s="117">
        <v>0</v>
      </c>
    </row>
    <row r="89" spans="1:21" ht="14.5" customHeight="1" x14ac:dyDescent="0.35">
      <c r="A89" t="s">
        <v>19</v>
      </c>
      <c r="B89" t="s">
        <v>21</v>
      </c>
      <c r="C89" s="1">
        <v>45308</v>
      </c>
      <c r="D89">
        <f t="shared" si="5"/>
        <v>17</v>
      </c>
      <c r="E89">
        <f t="shared" si="6"/>
        <v>1</v>
      </c>
      <c r="F89">
        <f t="shared" si="7"/>
        <v>2024</v>
      </c>
      <c r="G89" t="s">
        <v>36</v>
      </c>
      <c r="H89" s="97">
        <v>9194</v>
      </c>
      <c r="I89" s="91">
        <v>6931</v>
      </c>
      <c r="J89" s="139" t="s">
        <v>31</v>
      </c>
      <c r="K89" s="29">
        <f t="shared" si="8"/>
        <v>6931</v>
      </c>
      <c r="L89">
        <v>1</v>
      </c>
      <c r="M89" s="29">
        <v>0</v>
      </c>
      <c r="N89" t="s">
        <v>42</v>
      </c>
      <c r="O89" t="s">
        <v>33</v>
      </c>
      <c r="P89" t="s">
        <v>34</v>
      </c>
      <c r="Q89" t="s">
        <v>34</v>
      </c>
      <c r="R89" t="s">
        <v>34</v>
      </c>
      <c r="S89" t="s">
        <v>34</v>
      </c>
      <c r="T89" s="117">
        <v>0</v>
      </c>
    </row>
    <row r="90" spans="1:21" ht="14.5" customHeight="1" x14ac:dyDescent="0.35">
      <c r="A90" t="s">
        <v>19</v>
      </c>
      <c r="B90" t="s">
        <v>24</v>
      </c>
      <c r="C90" s="1">
        <v>45308</v>
      </c>
      <c r="D90">
        <f t="shared" si="5"/>
        <v>17</v>
      </c>
      <c r="E90">
        <f t="shared" si="6"/>
        <v>1</v>
      </c>
      <c r="F90">
        <f t="shared" si="7"/>
        <v>2024</v>
      </c>
      <c r="G90" t="s">
        <v>36</v>
      </c>
      <c r="H90" s="97">
        <v>9437</v>
      </c>
      <c r="I90" s="91">
        <v>54313.2</v>
      </c>
      <c r="J90" s="139" t="s">
        <v>31</v>
      </c>
      <c r="K90" s="29">
        <f t="shared" si="8"/>
        <v>54313.2</v>
      </c>
      <c r="L90">
        <v>1</v>
      </c>
      <c r="M90" s="29">
        <v>0</v>
      </c>
      <c r="N90" t="s">
        <v>32</v>
      </c>
      <c r="O90" t="s">
        <v>33</v>
      </c>
      <c r="P90" t="s">
        <v>34</v>
      </c>
      <c r="Q90" t="s">
        <v>34</v>
      </c>
      <c r="R90" t="s">
        <v>34</v>
      </c>
      <c r="S90" t="s">
        <v>34</v>
      </c>
      <c r="T90" s="117">
        <v>0</v>
      </c>
    </row>
    <row r="91" spans="1:21" ht="14.5" customHeight="1" x14ac:dyDescent="0.35">
      <c r="A91" t="s">
        <v>19</v>
      </c>
      <c r="B91" t="s">
        <v>25</v>
      </c>
      <c r="C91" s="1">
        <v>45308</v>
      </c>
      <c r="D91">
        <f t="shared" si="5"/>
        <v>17</v>
      </c>
      <c r="E91">
        <f t="shared" si="6"/>
        <v>1</v>
      </c>
      <c r="F91">
        <f t="shared" si="7"/>
        <v>2024</v>
      </c>
      <c r="G91" t="s">
        <v>36</v>
      </c>
      <c r="H91" s="97">
        <v>9538</v>
      </c>
      <c r="I91" s="91">
        <v>56.64</v>
      </c>
      <c r="J91" s="139" t="s">
        <v>31</v>
      </c>
      <c r="K91" s="29">
        <f t="shared" si="8"/>
        <v>56.64</v>
      </c>
      <c r="L91">
        <v>1</v>
      </c>
      <c r="M91" s="29">
        <v>0</v>
      </c>
      <c r="N91" t="s">
        <v>32</v>
      </c>
      <c r="O91" t="s">
        <v>33</v>
      </c>
      <c r="P91" t="s">
        <v>34</v>
      </c>
      <c r="Q91" t="s">
        <v>34</v>
      </c>
      <c r="R91" t="s">
        <v>34</v>
      </c>
      <c r="S91" t="s">
        <v>34</v>
      </c>
      <c r="T91" s="117">
        <v>0</v>
      </c>
    </row>
    <row r="92" spans="1:21" ht="14.5" customHeight="1" x14ac:dyDescent="0.35">
      <c r="A92" t="s">
        <v>19</v>
      </c>
      <c r="B92" t="s">
        <v>25</v>
      </c>
      <c r="C92" s="1">
        <v>45308</v>
      </c>
      <c r="D92">
        <f t="shared" si="5"/>
        <v>17</v>
      </c>
      <c r="E92">
        <f t="shared" si="6"/>
        <v>1</v>
      </c>
      <c r="F92">
        <f t="shared" si="7"/>
        <v>2024</v>
      </c>
      <c r="G92" t="s">
        <v>36</v>
      </c>
      <c r="H92" s="97">
        <v>9437</v>
      </c>
      <c r="I92" s="91">
        <v>56014.63</v>
      </c>
      <c r="J92" s="139" t="s">
        <v>31</v>
      </c>
      <c r="K92" s="29">
        <f t="shared" si="8"/>
        <v>56014.63</v>
      </c>
      <c r="L92">
        <v>1</v>
      </c>
      <c r="M92" s="29">
        <v>0</v>
      </c>
      <c r="N92" t="s">
        <v>32</v>
      </c>
      <c r="O92" t="s">
        <v>33</v>
      </c>
      <c r="P92" t="s">
        <v>34</v>
      </c>
      <c r="Q92" t="s">
        <v>34</v>
      </c>
      <c r="R92" t="s">
        <v>34</v>
      </c>
      <c r="S92" t="s">
        <v>34</v>
      </c>
      <c r="T92" s="117">
        <v>0</v>
      </c>
    </row>
    <row r="93" spans="1:21" ht="14.5" customHeight="1" x14ac:dyDescent="0.35">
      <c r="A93" t="s">
        <v>19</v>
      </c>
      <c r="B93" t="s">
        <v>21</v>
      </c>
      <c r="C93" s="1">
        <v>45308</v>
      </c>
      <c r="D93">
        <f t="shared" si="5"/>
        <v>17</v>
      </c>
      <c r="E93">
        <f t="shared" si="6"/>
        <v>1</v>
      </c>
      <c r="F93">
        <f t="shared" si="7"/>
        <v>2024</v>
      </c>
      <c r="G93" t="s">
        <v>40</v>
      </c>
      <c r="H93" s="97">
        <v>9751</v>
      </c>
      <c r="I93" s="91">
        <v>39.6</v>
      </c>
      <c r="J93" s="139" t="s">
        <v>31</v>
      </c>
      <c r="K93" s="29">
        <f t="shared" si="8"/>
        <v>39.6</v>
      </c>
      <c r="L93">
        <v>1</v>
      </c>
      <c r="M93" s="29">
        <v>0</v>
      </c>
      <c r="N93" t="s">
        <v>32</v>
      </c>
      <c r="O93" t="s">
        <v>33</v>
      </c>
      <c r="P93" t="s">
        <v>34</v>
      </c>
      <c r="Q93" t="s">
        <v>34</v>
      </c>
      <c r="R93" t="s">
        <v>34</v>
      </c>
      <c r="S93" t="s">
        <v>34</v>
      </c>
      <c r="T93" s="117">
        <v>0</v>
      </c>
    </row>
    <row r="94" spans="1:21" ht="14.5" customHeight="1" x14ac:dyDescent="0.35">
      <c r="A94" t="s">
        <v>19</v>
      </c>
      <c r="B94" t="s">
        <v>21</v>
      </c>
      <c r="C94" s="1">
        <v>45308</v>
      </c>
      <c r="D94">
        <f t="shared" si="5"/>
        <v>17</v>
      </c>
      <c r="E94">
        <f t="shared" si="6"/>
        <v>1</v>
      </c>
      <c r="F94">
        <f t="shared" si="7"/>
        <v>2024</v>
      </c>
      <c r="G94" t="s">
        <v>40</v>
      </c>
      <c r="H94" s="97">
        <v>9609</v>
      </c>
      <c r="I94" s="91">
        <v>17611.05</v>
      </c>
      <c r="J94" s="139" t="s">
        <v>31</v>
      </c>
      <c r="K94" s="29">
        <f t="shared" si="8"/>
        <v>17611.05</v>
      </c>
      <c r="L94">
        <v>1</v>
      </c>
      <c r="M94" s="29">
        <v>0</v>
      </c>
      <c r="N94" t="s">
        <v>32</v>
      </c>
      <c r="O94" t="s">
        <v>33</v>
      </c>
      <c r="P94" t="s">
        <v>34</v>
      </c>
      <c r="Q94" t="s">
        <v>34</v>
      </c>
      <c r="R94" t="s">
        <v>34</v>
      </c>
      <c r="S94" t="s">
        <v>34</v>
      </c>
      <c r="T94" s="117">
        <v>0</v>
      </c>
    </row>
    <row r="95" spans="1:21" ht="14.5" customHeight="1" x14ac:dyDescent="0.35">
      <c r="A95" t="s">
        <v>19</v>
      </c>
      <c r="B95" t="s">
        <v>25</v>
      </c>
      <c r="C95" s="1">
        <v>45308</v>
      </c>
      <c r="D95">
        <f t="shared" si="5"/>
        <v>17</v>
      </c>
      <c r="E95">
        <f t="shared" si="6"/>
        <v>1</v>
      </c>
      <c r="F95">
        <f t="shared" si="7"/>
        <v>2024</v>
      </c>
      <c r="G95" t="s">
        <v>79</v>
      </c>
      <c r="H95" s="97">
        <v>9694</v>
      </c>
      <c r="I95" s="91">
        <v>299.7</v>
      </c>
      <c r="J95" s="139" t="s">
        <v>51</v>
      </c>
      <c r="K95" s="29">
        <f t="shared" si="8"/>
        <v>326.0736</v>
      </c>
      <c r="L95" s="4">
        <v>1.0880000000000001</v>
      </c>
      <c r="M95" s="29">
        <v>0</v>
      </c>
      <c r="N95" t="s">
        <v>32</v>
      </c>
      <c r="O95" t="s">
        <v>33</v>
      </c>
      <c r="P95" t="s">
        <v>34</v>
      </c>
      <c r="Q95" t="s">
        <v>34</v>
      </c>
      <c r="R95" t="s">
        <v>34</v>
      </c>
      <c r="S95" t="s">
        <v>34</v>
      </c>
      <c r="T95" s="117">
        <v>0</v>
      </c>
      <c r="U95" s="209" t="s">
        <v>94</v>
      </c>
    </row>
    <row r="96" spans="1:21" ht="14.5" customHeight="1" x14ac:dyDescent="0.35">
      <c r="A96" t="s">
        <v>19</v>
      </c>
      <c r="B96" t="s">
        <v>25</v>
      </c>
      <c r="C96" s="1">
        <v>45308</v>
      </c>
      <c r="D96">
        <f t="shared" si="5"/>
        <v>17</v>
      </c>
      <c r="E96">
        <f t="shared" si="6"/>
        <v>1</v>
      </c>
      <c r="F96">
        <f t="shared" si="7"/>
        <v>2024</v>
      </c>
      <c r="G96" t="s">
        <v>79</v>
      </c>
      <c r="H96" s="97">
        <v>9903</v>
      </c>
      <c r="I96" s="91">
        <v>100035</v>
      </c>
      <c r="J96" s="139" t="s">
        <v>51</v>
      </c>
      <c r="K96" s="29">
        <f t="shared" si="8"/>
        <v>108838.08</v>
      </c>
      <c r="L96" s="4">
        <v>1.0880000000000001</v>
      </c>
      <c r="M96" s="29">
        <v>0</v>
      </c>
      <c r="N96" t="s">
        <v>32</v>
      </c>
      <c r="O96" t="s">
        <v>33</v>
      </c>
      <c r="P96" t="s">
        <v>34</v>
      </c>
      <c r="Q96" t="s">
        <v>34</v>
      </c>
      <c r="R96" t="s">
        <v>34</v>
      </c>
      <c r="S96" t="s">
        <v>34</v>
      </c>
      <c r="T96" s="117">
        <v>0</v>
      </c>
      <c r="U96" s="209" t="s">
        <v>94</v>
      </c>
    </row>
    <row r="97" spans="1:21" ht="14.5" customHeight="1" x14ac:dyDescent="0.35">
      <c r="A97" t="s">
        <v>19</v>
      </c>
      <c r="B97" t="s">
        <v>25</v>
      </c>
      <c r="C97" s="1">
        <v>45308</v>
      </c>
      <c r="D97">
        <f t="shared" si="5"/>
        <v>17</v>
      </c>
      <c r="E97">
        <f t="shared" si="6"/>
        <v>1</v>
      </c>
      <c r="F97">
        <f t="shared" si="7"/>
        <v>2024</v>
      </c>
      <c r="G97" t="s">
        <v>93</v>
      </c>
      <c r="H97" s="97">
        <v>9614</v>
      </c>
      <c r="I97" s="91">
        <v>448.8</v>
      </c>
      <c r="J97" s="139" t="s">
        <v>31</v>
      </c>
      <c r="K97" s="29">
        <f t="shared" si="8"/>
        <v>448.8</v>
      </c>
      <c r="L97">
        <v>1</v>
      </c>
      <c r="M97" s="29">
        <v>0</v>
      </c>
      <c r="N97" t="s">
        <v>32</v>
      </c>
      <c r="O97" t="s">
        <v>33</v>
      </c>
      <c r="P97" t="s">
        <v>34</v>
      </c>
      <c r="Q97" t="s">
        <v>34</v>
      </c>
      <c r="R97" t="s">
        <v>34</v>
      </c>
      <c r="S97" t="s">
        <v>34</v>
      </c>
      <c r="T97" s="117">
        <v>0</v>
      </c>
    </row>
    <row r="98" spans="1:21" ht="14.5" customHeight="1" x14ac:dyDescent="0.35">
      <c r="A98" t="s">
        <v>19</v>
      </c>
      <c r="B98" t="s">
        <v>25</v>
      </c>
      <c r="C98" s="1">
        <v>45308</v>
      </c>
      <c r="D98">
        <f t="shared" si="5"/>
        <v>17</v>
      </c>
      <c r="E98">
        <f t="shared" si="6"/>
        <v>1</v>
      </c>
      <c r="F98">
        <f t="shared" si="7"/>
        <v>2024</v>
      </c>
      <c r="G98" t="s">
        <v>38</v>
      </c>
      <c r="H98" s="97">
        <v>9349</v>
      </c>
      <c r="I98" s="91">
        <v>316442.05</v>
      </c>
      <c r="J98" s="139" t="s">
        <v>31</v>
      </c>
      <c r="K98" s="29">
        <f t="shared" ref="K98:K129" si="9">IF(J98="USD",I98,I98*L98)</f>
        <v>316442.05</v>
      </c>
      <c r="L98">
        <v>1</v>
      </c>
      <c r="M98" s="29">
        <v>0</v>
      </c>
      <c r="N98" t="s">
        <v>32</v>
      </c>
      <c r="O98" t="s">
        <v>33</v>
      </c>
      <c r="P98" t="s">
        <v>34</v>
      </c>
      <c r="Q98" t="s">
        <v>34</v>
      </c>
      <c r="R98" t="s">
        <v>34</v>
      </c>
      <c r="S98" t="s">
        <v>34</v>
      </c>
      <c r="T98" s="117">
        <v>0</v>
      </c>
    </row>
    <row r="99" spans="1:21" ht="14.5" customHeight="1" x14ac:dyDescent="0.35">
      <c r="A99" t="s">
        <v>19</v>
      </c>
      <c r="B99" t="s">
        <v>21</v>
      </c>
      <c r="C99" s="1">
        <v>45308</v>
      </c>
      <c r="D99">
        <f t="shared" si="5"/>
        <v>17</v>
      </c>
      <c r="E99">
        <f t="shared" si="6"/>
        <v>1</v>
      </c>
      <c r="F99">
        <f t="shared" si="7"/>
        <v>2024</v>
      </c>
      <c r="G99" s="4" t="s">
        <v>35</v>
      </c>
      <c r="H99" s="97">
        <v>9173</v>
      </c>
      <c r="I99" s="91">
        <v>8250.75</v>
      </c>
      <c r="J99" s="139" t="s">
        <v>31</v>
      </c>
      <c r="K99" s="29">
        <f t="shared" si="9"/>
        <v>8250.75</v>
      </c>
      <c r="L99">
        <v>1</v>
      </c>
      <c r="M99" s="29">
        <v>0</v>
      </c>
      <c r="N99" s="4" t="s">
        <v>32</v>
      </c>
      <c r="O99" t="s">
        <v>33</v>
      </c>
      <c r="P99" t="s">
        <v>34</v>
      </c>
      <c r="Q99" t="s">
        <v>34</v>
      </c>
      <c r="R99" t="s">
        <v>34</v>
      </c>
      <c r="S99" t="s">
        <v>34</v>
      </c>
      <c r="T99" s="117">
        <v>0</v>
      </c>
    </row>
    <row r="100" spans="1:21" ht="14.5" customHeight="1" x14ac:dyDescent="0.35">
      <c r="A100" t="s">
        <v>19</v>
      </c>
      <c r="B100" t="s">
        <v>21</v>
      </c>
      <c r="C100" s="1">
        <v>45308</v>
      </c>
      <c r="D100">
        <f t="shared" si="5"/>
        <v>17</v>
      </c>
      <c r="E100">
        <f t="shared" si="6"/>
        <v>1</v>
      </c>
      <c r="F100">
        <f t="shared" si="7"/>
        <v>2024</v>
      </c>
      <c r="G100" s="4" t="s">
        <v>37</v>
      </c>
      <c r="H100" s="97">
        <v>9532</v>
      </c>
      <c r="I100" s="91">
        <v>11475.8</v>
      </c>
      <c r="J100" s="139" t="s">
        <v>31</v>
      </c>
      <c r="K100" s="29">
        <f t="shared" si="9"/>
        <v>11475.8</v>
      </c>
      <c r="L100">
        <v>1</v>
      </c>
      <c r="M100" s="29">
        <v>0</v>
      </c>
      <c r="N100" s="4" t="s">
        <v>32</v>
      </c>
      <c r="O100" t="s">
        <v>33</v>
      </c>
      <c r="P100" t="s">
        <v>34</v>
      </c>
      <c r="Q100" t="s">
        <v>34</v>
      </c>
      <c r="R100" t="s">
        <v>34</v>
      </c>
      <c r="S100" t="s">
        <v>34</v>
      </c>
      <c r="T100" s="117">
        <v>0</v>
      </c>
    </row>
    <row r="101" spans="1:21" ht="14.5" customHeight="1" x14ac:dyDescent="0.35">
      <c r="A101" t="s">
        <v>71</v>
      </c>
      <c r="B101" t="s">
        <v>25</v>
      </c>
      <c r="C101" s="1">
        <v>45308</v>
      </c>
      <c r="D101">
        <f t="shared" si="5"/>
        <v>17</v>
      </c>
      <c r="E101">
        <f t="shared" si="6"/>
        <v>1</v>
      </c>
      <c r="F101">
        <f t="shared" si="7"/>
        <v>2024</v>
      </c>
      <c r="G101" s="4" t="s">
        <v>95</v>
      </c>
      <c r="H101" s="97">
        <v>9907</v>
      </c>
      <c r="I101" s="91">
        <v>51.2</v>
      </c>
      <c r="J101" s="139" t="s">
        <v>31</v>
      </c>
      <c r="K101" s="29">
        <f t="shared" si="9"/>
        <v>51.2</v>
      </c>
      <c r="L101">
        <v>1</v>
      </c>
      <c r="M101" s="29">
        <v>0</v>
      </c>
      <c r="N101" s="4" t="s">
        <v>42</v>
      </c>
      <c r="O101" t="s">
        <v>33</v>
      </c>
      <c r="P101" t="s">
        <v>34</v>
      </c>
      <c r="Q101" t="s">
        <v>34</v>
      </c>
      <c r="R101" t="s">
        <v>34</v>
      </c>
      <c r="S101" t="s">
        <v>34</v>
      </c>
      <c r="T101" s="117">
        <v>0</v>
      </c>
    </row>
    <row r="102" spans="1:21" ht="14.5" customHeight="1" x14ac:dyDescent="0.35">
      <c r="A102" t="s">
        <v>71</v>
      </c>
      <c r="B102" t="s">
        <v>25</v>
      </c>
      <c r="C102" s="1">
        <v>45308</v>
      </c>
      <c r="D102">
        <f t="shared" si="5"/>
        <v>17</v>
      </c>
      <c r="E102">
        <f t="shared" si="6"/>
        <v>1</v>
      </c>
      <c r="F102">
        <f t="shared" si="7"/>
        <v>2024</v>
      </c>
      <c r="G102" s="4" t="s">
        <v>95</v>
      </c>
      <c r="H102" s="97">
        <v>9908</v>
      </c>
      <c r="I102" s="91">
        <v>1868.8</v>
      </c>
      <c r="J102" s="139" t="s">
        <v>31</v>
      </c>
      <c r="K102" s="29">
        <f t="shared" si="9"/>
        <v>1868.8</v>
      </c>
      <c r="L102">
        <v>1</v>
      </c>
      <c r="M102" s="29">
        <v>0</v>
      </c>
      <c r="N102" s="4" t="s">
        <v>42</v>
      </c>
      <c r="O102" t="s">
        <v>33</v>
      </c>
      <c r="P102" t="s">
        <v>34</v>
      </c>
      <c r="Q102" t="s">
        <v>34</v>
      </c>
      <c r="R102" t="s">
        <v>34</v>
      </c>
      <c r="S102" t="s">
        <v>34</v>
      </c>
      <c r="T102" s="117">
        <v>0</v>
      </c>
    </row>
    <row r="103" spans="1:21" ht="14.5" customHeight="1" x14ac:dyDescent="0.35">
      <c r="A103" t="s">
        <v>71</v>
      </c>
      <c r="B103" t="s">
        <v>25</v>
      </c>
      <c r="C103" s="1">
        <v>45308</v>
      </c>
      <c r="D103">
        <f t="shared" si="5"/>
        <v>17</v>
      </c>
      <c r="E103">
        <f t="shared" si="6"/>
        <v>1</v>
      </c>
      <c r="F103">
        <f t="shared" si="7"/>
        <v>2024</v>
      </c>
      <c r="G103" s="4" t="s">
        <v>96</v>
      </c>
      <c r="H103" s="97">
        <v>9933</v>
      </c>
      <c r="I103" s="91">
        <v>8.4</v>
      </c>
      <c r="J103" s="139" t="s">
        <v>31</v>
      </c>
      <c r="K103" s="29">
        <f t="shared" si="9"/>
        <v>8.4</v>
      </c>
      <c r="L103">
        <v>1</v>
      </c>
      <c r="M103" s="29">
        <v>0</v>
      </c>
      <c r="N103" s="4" t="s">
        <v>42</v>
      </c>
      <c r="O103" t="s">
        <v>33</v>
      </c>
      <c r="P103" t="s">
        <v>34</v>
      </c>
      <c r="Q103" t="s">
        <v>34</v>
      </c>
      <c r="R103" t="s">
        <v>34</v>
      </c>
      <c r="S103" t="s">
        <v>34</v>
      </c>
      <c r="T103" s="117">
        <v>0</v>
      </c>
    </row>
    <row r="104" spans="1:21" ht="14.5" customHeight="1" x14ac:dyDescent="0.35">
      <c r="A104" t="s">
        <v>71</v>
      </c>
      <c r="B104" t="s">
        <v>25</v>
      </c>
      <c r="C104" s="1">
        <v>45308</v>
      </c>
      <c r="D104">
        <f t="shared" si="5"/>
        <v>17</v>
      </c>
      <c r="E104">
        <f t="shared" si="6"/>
        <v>1</v>
      </c>
      <c r="F104">
        <f t="shared" si="7"/>
        <v>2024</v>
      </c>
      <c r="G104" s="4" t="s">
        <v>96</v>
      </c>
      <c r="H104" s="97">
        <v>9791</v>
      </c>
      <c r="I104" s="91">
        <v>945</v>
      </c>
      <c r="J104" s="139" t="s">
        <v>31</v>
      </c>
      <c r="K104" s="29">
        <f t="shared" si="9"/>
        <v>945</v>
      </c>
      <c r="L104">
        <v>1</v>
      </c>
      <c r="M104" s="29">
        <v>0</v>
      </c>
      <c r="N104" s="4" t="s">
        <v>42</v>
      </c>
      <c r="O104" t="s">
        <v>33</v>
      </c>
      <c r="P104" t="s">
        <v>34</v>
      </c>
      <c r="Q104" t="s">
        <v>34</v>
      </c>
      <c r="R104" t="s">
        <v>34</v>
      </c>
      <c r="S104" t="s">
        <v>34</v>
      </c>
      <c r="T104" s="117">
        <v>0</v>
      </c>
      <c r="U104" s="209" t="s">
        <v>246</v>
      </c>
    </row>
    <row r="105" spans="1:21" ht="14.5" customHeight="1" x14ac:dyDescent="0.35">
      <c r="A105" t="s">
        <v>71</v>
      </c>
      <c r="B105" t="s">
        <v>25</v>
      </c>
      <c r="C105" s="1">
        <v>45308</v>
      </c>
      <c r="D105">
        <f t="shared" si="5"/>
        <v>17</v>
      </c>
      <c r="E105">
        <f t="shared" si="6"/>
        <v>1</v>
      </c>
      <c r="F105">
        <f t="shared" si="7"/>
        <v>2024</v>
      </c>
      <c r="G105" s="4" t="s">
        <v>96</v>
      </c>
      <c r="H105" s="97">
        <v>9933</v>
      </c>
      <c r="I105" s="91">
        <v>18.399999999999999</v>
      </c>
      <c r="J105" s="139" t="s">
        <v>31</v>
      </c>
      <c r="K105" s="29">
        <f t="shared" si="9"/>
        <v>18.399999999999999</v>
      </c>
      <c r="L105">
        <v>1</v>
      </c>
      <c r="M105" s="29">
        <v>0</v>
      </c>
      <c r="N105" s="4" t="s">
        <v>42</v>
      </c>
      <c r="O105" t="s">
        <v>33</v>
      </c>
      <c r="P105" t="s">
        <v>34</v>
      </c>
      <c r="Q105" t="s">
        <v>34</v>
      </c>
      <c r="R105" t="s">
        <v>34</v>
      </c>
      <c r="S105" t="s">
        <v>34</v>
      </c>
      <c r="T105" s="117">
        <v>0</v>
      </c>
      <c r="U105" s="209" t="s">
        <v>166</v>
      </c>
    </row>
    <row r="106" spans="1:21" ht="14.5" customHeight="1" x14ac:dyDescent="0.35">
      <c r="A106" t="s">
        <v>71</v>
      </c>
      <c r="B106" t="s">
        <v>25</v>
      </c>
      <c r="C106" s="1">
        <v>45308</v>
      </c>
      <c r="D106">
        <f t="shared" si="5"/>
        <v>17</v>
      </c>
      <c r="E106">
        <f t="shared" si="6"/>
        <v>1</v>
      </c>
      <c r="F106">
        <f t="shared" si="7"/>
        <v>2024</v>
      </c>
      <c r="G106" s="4" t="s">
        <v>96</v>
      </c>
      <c r="H106" s="97">
        <v>9791</v>
      </c>
      <c r="I106" s="91">
        <v>2070</v>
      </c>
      <c r="J106" s="139" t="s">
        <v>31</v>
      </c>
      <c r="K106" s="29">
        <f t="shared" si="9"/>
        <v>2070</v>
      </c>
      <c r="L106">
        <v>1</v>
      </c>
      <c r="M106" s="29">
        <v>0</v>
      </c>
      <c r="N106" s="4" t="s">
        <v>42</v>
      </c>
      <c r="O106" t="s">
        <v>33</v>
      </c>
      <c r="P106" t="s">
        <v>34</v>
      </c>
      <c r="Q106" t="s">
        <v>34</v>
      </c>
      <c r="R106" t="s">
        <v>34</v>
      </c>
      <c r="S106" t="s">
        <v>34</v>
      </c>
      <c r="T106" s="117">
        <v>0</v>
      </c>
      <c r="U106" s="209" t="s">
        <v>247</v>
      </c>
    </row>
    <row r="107" spans="1:21" ht="14.5" customHeight="1" x14ac:dyDescent="0.35">
      <c r="A107" t="s">
        <v>71</v>
      </c>
      <c r="B107" t="s">
        <v>25</v>
      </c>
      <c r="C107" s="1">
        <v>45308</v>
      </c>
      <c r="D107">
        <f t="shared" si="5"/>
        <v>17</v>
      </c>
      <c r="E107">
        <f t="shared" si="6"/>
        <v>1</v>
      </c>
      <c r="F107">
        <f t="shared" si="7"/>
        <v>2024</v>
      </c>
      <c r="G107" s="4" t="s">
        <v>84</v>
      </c>
      <c r="H107" s="97">
        <v>9944</v>
      </c>
      <c r="I107" s="91">
        <v>8578.2999999999993</v>
      </c>
      <c r="J107" s="139" t="s">
        <v>31</v>
      </c>
      <c r="K107" s="29">
        <f t="shared" si="9"/>
        <v>8578.2999999999993</v>
      </c>
      <c r="L107">
        <v>1</v>
      </c>
      <c r="M107" s="29">
        <v>0</v>
      </c>
      <c r="N107" s="4" t="s">
        <v>42</v>
      </c>
      <c r="O107" t="s">
        <v>33</v>
      </c>
      <c r="P107" t="s">
        <v>34</v>
      </c>
      <c r="Q107" t="s">
        <v>34</v>
      </c>
      <c r="R107" t="s">
        <v>34</v>
      </c>
      <c r="S107" t="s">
        <v>34</v>
      </c>
      <c r="T107" s="117">
        <v>0</v>
      </c>
    </row>
    <row r="108" spans="1:21" ht="14.5" customHeight="1" x14ac:dyDescent="0.35">
      <c r="A108" t="s">
        <v>20</v>
      </c>
      <c r="B108" t="s">
        <v>24</v>
      </c>
      <c r="C108" s="1">
        <v>45308</v>
      </c>
      <c r="D108">
        <f t="shared" si="5"/>
        <v>17</v>
      </c>
      <c r="E108">
        <f t="shared" si="6"/>
        <v>1</v>
      </c>
      <c r="F108">
        <f t="shared" si="7"/>
        <v>2024</v>
      </c>
      <c r="G108" t="s">
        <v>97</v>
      </c>
      <c r="H108" s="97">
        <v>9749</v>
      </c>
      <c r="I108" s="91">
        <v>257.5</v>
      </c>
      <c r="J108" s="139" t="s">
        <v>31</v>
      </c>
      <c r="K108" s="29">
        <f t="shared" si="9"/>
        <v>257.5</v>
      </c>
      <c r="L108">
        <v>1</v>
      </c>
      <c r="M108" s="29">
        <v>0</v>
      </c>
      <c r="N108" t="s">
        <v>32</v>
      </c>
      <c r="O108" t="s">
        <v>33</v>
      </c>
      <c r="P108" t="s">
        <v>34</v>
      </c>
      <c r="Q108" t="s">
        <v>34</v>
      </c>
      <c r="R108" t="s">
        <v>34</v>
      </c>
      <c r="S108" t="s">
        <v>34</v>
      </c>
      <c r="T108" s="117">
        <v>0</v>
      </c>
    </row>
    <row r="109" spans="1:21" ht="14.5" customHeight="1" x14ac:dyDescent="0.35">
      <c r="A109" t="s">
        <v>19</v>
      </c>
      <c r="B109" t="s">
        <v>22</v>
      </c>
      <c r="C109" s="1">
        <v>45308</v>
      </c>
      <c r="D109">
        <f t="shared" si="5"/>
        <v>17</v>
      </c>
      <c r="E109">
        <f t="shared" si="6"/>
        <v>1</v>
      </c>
      <c r="F109">
        <f t="shared" si="7"/>
        <v>2024</v>
      </c>
      <c r="G109" t="s">
        <v>98</v>
      </c>
      <c r="H109" s="97">
        <v>9748</v>
      </c>
      <c r="I109" s="91">
        <v>10315.5</v>
      </c>
      <c r="J109" s="139" t="s">
        <v>31</v>
      </c>
      <c r="K109" s="29">
        <f t="shared" si="9"/>
        <v>10315.5</v>
      </c>
      <c r="L109">
        <v>1</v>
      </c>
      <c r="M109" s="29">
        <v>0</v>
      </c>
      <c r="N109" t="s">
        <v>42</v>
      </c>
      <c r="O109" t="s">
        <v>33</v>
      </c>
      <c r="P109" t="s">
        <v>34</v>
      </c>
      <c r="Q109" t="s">
        <v>34</v>
      </c>
      <c r="R109" t="s">
        <v>34</v>
      </c>
      <c r="S109" t="s">
        <v>34</v>
      </c>
      <c r="T109" s="117">
        <v>0</v>
      </c>
    </row>
    <row r="110" spans="1:21" ht="14.5" customHeight="1" x14ac:dyDescent="0.35">
      <c r="A110" t="s">
        <v>19</v>
      </c>
      <c r="B110" t="s">
        <v>19</v>
      </c>
      <c r="C110" s="1">
        <v>45308</v>
      </c>
      <c r="D110">
        <f t="shared" si="5"/>
        <v>17</v>
      </c>
      <c r="E110">
        <f t="shared" si="6"/>
        <v>1</v>
      </c>
      <c r="F110">
        <f t="shared" si="7"/>
        <v>2024</v>
      </c>
      <c r="G110" t="s">
        <v>118</v>
      </c>
      <c r="H110" s="97">
        <v>9611</v>
      </c>
      <c r="I110" s="92">
        <v>34540.44</v>
      </c>
      <c r="J110" s="139" t="s">
        <v>31</v>
      </c>
      <c r="K110" s="29">
        <f t="shared" si="9"/>
        <v>34540.44</v>
      </c>
      <c r="L110">
        <v>1</v>
      </c>
      <c r="M110" s="29">
        <v>0</v>
      </c>
      <c r="N110" t="s">
        <v>32</v>
      </c>
      <c r="O110" t="s">
        <v>33</v>
      </c>
      <c r="P110" t="s">
        <v>34</v>
      </c>
      <c r="Q110" t="s">
        <v>34</v>
      </c>
      <c r="R110" t="s">
        <v>34</v>
      </c>
      <c r="S110" t="s">
        <v>34</v>
      </c>
      <c r="T110" s="117">
        <v>0</v>
      </c>
    </row>
    <row r="111" spans="1:21" ht="14.5" customHeight="1" x14ac:dyDescent="0.35">
      <c r="A111" t="s">
        <v>19</v>
      </c>
      <c r="B111" t="s">
        <v>19</v>
      </c>
      <c r="C111" s="1">
        <v>45308</v>
      </c>
      <c r="D111">
        <f t="shared" si="5"/>
        <v>17</v>
      </c>
      <c r="E111">
        <f t="shared" si="6"/>
        <v>1</v>
      </c>
      <c r="F111">
        <f t="shared" si="7"/>
        <v>2024</v>
      </c>
      <c r="G111" t="s">
        <v>119</v>
      </c>
      <c r="H111" s="97">
        <v>9478</v>
      </c>
      <c r="I111" s="92">
        <v>62367.49</v>
      </c>
      <c r="J111" s="139" t="s">
        <v>31</v>
      </c>
      <c r="K111" s="29">
        <f t="shared" si="9"/>
        <v>62367.49</v>
      </c>
      <c r="L111">
        <v>1</v>
      </c>
      <c r="M111" s="29">
        <v>0</v>
      </c>
      <c r="N111" t="s">
        <v>32</v>
      </c>
      <c r="O111" t="s">
        <v>33</v>
      </c>
      <c r="P111" t="s">
        <v>34</v>
      </c>
      <c r="Q111" t="s">
        <v>34</v>
      </c>
      <c r="R111" t="s">
        <v>34</v>
      </c>
      <c r="S111" t="s">
        <v>34</v>
      </c>
      <c r="T111" s="117">
        <v>0</v>
      </c>
    </row>
    <row r="112" spans="1:21" ht="14.5" customHeight="1" x14ac:dyDescent="0.35">
      <c r="A112" t="s">
        <v>19</v>
      </c>
      <c r="B112" t="s">
        <v>19</v>
      </c>
      <c r="C112" s="1">
        <v>45308</v>
      </c>
      <c r="D112">
        <f t="shared" si="5"/>
        <v>17</v>
      </c>
      <c r="E112">
        <f t="shared" si="6"/>
        <v>1</v>
      </c>
      <c r="F112">
        <f t="shared" si="7"/>
        <v>2024</v>
      </c>
      <c r="G112" t="s">
        <v>120</v>
      </c>
      <c r="H112" s="97">
        <v>9594</v>
      </c>
      <c r="I112" s="92">
        <v>33546.97</v>
      </c>
      <c r="J112" s="139" t="s">
        <v>31</v>
      </c>
      <c r="K112" s="29">
        <f t="shared" si="9"/>
        <v>33546.97</v>
      </c>
      <c r="L112">
        <v>1</v>
      </c>
      <c r="M112" s="29">
        <v>0</v>
      </c>
      <c r="N112" t="s">
        <v>32</v>
      </c>
      <c r="O112" t="s">
        <v>33</v>
      </c>
      <c r="P112" t="s">
        <v>34</v>
      </c>
      <c r="Q112" t="s">
        <v>34</v>
      </c>
      <c r="R112" t="s">
        <v>34</v>
      </c>
      <c r="S112" t="s">
        <v>34</v>
      </c>
      <c r="T112" s="117">
        <v>0</v>
      </c>
    </row>
    <row r="113" spans="1:21" ht="14.5" customHeight="1" x14ac:dyDescent="0.35">
      <c r="A113" t="s">
        <v>19</v>
      </c>
      <c r="B113" t="s">
        <v>19</v>
      </c>
      <c r="C113" s="1">
        <v>45308</v>
      </c>
      <c r="D113">
        <f t="shared" si="5"/>
        <v>17</v>
      </c>
      <c r="E113">
        <f t="shared" si="6"/>
        <v>1</v>
      </c>
      <c r="F113">
        <f t="shared" si="7"/>
        <v>2024</v>
      </c>
      <c r="G113" t="s">
        <v>120</v>
      </c>
      <c r="H113" s="97">
        <v>9623</v>
      </c>
      <c r="I113" s="92">
        <v>398.48</v>
      </c>
      <c r="J113" s="139" t="s">
        <v>31</v>
      </c>
      <c r="K113" s="29">
        <f t="shared" si="9"/>
        <v>398.48</v>
      </c>
      <c r="L113">
        <v>1</v>
      </c>
      <c r="M113" s="29">
        <v>0</v>
      </c>
      <c r="N113" t="s">
        <v>32</v>
      </c>
      <c r="O113" t="s">
        <v>33</v>
      </c>
      <c r="P113" t="s">
        <v>34</v>
      </c>
      <c r="Q113" t="s">
        <v>34</v>
      </c>
      <c r="R113" t="s">
        <v>34</v>
      </c>
      <c r="S113" t="s">
        <v>34</v>
      </c>
      <c r="T113" s="117">
        <v>0</v>
      </c>
    </row>
    <row r="114" spans="1:21" ht="14.5" customHeight="1" x14ac:dyDescent="0.35">
      <c r="A114" t="s">
        <v>19</v>
      </c>
      <c r="B114" t="s">
        <v>19</v>
      </c>
      <c r="C114" s="1">
        <v>45308</v>
      </c>
      <c r="D114">
        <f t="shared" si="5"/>
        <v>17</v>
      </c>
      <c r="E114">
        <f t="shared" si="6"/>
        <v>1</v>
      </c>
      <c r="F114">
        <f t="shared" si="7"/>
        <v>2024</v>
      </c>
      <c r="G114" t="s">
        <v>103</v>
      </c>
      <c r="H114" s="97">
        <v>9116</v>
      </c>
      <c r="I114" s="92">
        <v>51512.5</v>
      </c>
      <c r="J114" s="139" t="s">
        <v>31</v>
      </c>
      <c r="K114" s="29">
        <f t="shared" si="9"/>
        <v>51512.5</v>
      </c>
      <c r="L114">
        <v>1</v>
      </c>
      <c r="M114" s="29">
        <v>0</v>
      </c>
      <c r="N114" t="s">
        <v>42</v>
      </c>
      <c r="O114" t="s">
        <v>33</v>
      </c>
      <c r="P114" t="s">
        <v>34</v>
      </c>
      <c r="Q114" t="s">
        <v>34</v>
      </c>
      <c r="R114" t="s">
        <v>34</v>
      </c>
      <c r="S114" t="s">
        <v>34</v>
      </c>
      <c r="T114" s="117">
        <v>0</v>
      </c>
    </row>
    <row r="115" spans="1:21" ht="14.5" customHeight="1" x14ac:dyDescent="0.35">
      <c r="A115" t="s">
        <v>19</v>
      </c>
      <c r="B115" t="s">
        <v>19</v>
      </c>
      <c r="C115" s="1">
        <v>45308</v>
      </c>
      <c r="D115">
        <f t="shared" si="5"/>
        <v>17</v>
      </c>
      <c r="E115">
        <f t="shared" si="6"/>
        <v>1</v>
      </c>
      <c r="F115">
        <f t="shared" si="7"/>
        <v>2024</v>
      </c>
      <c r="G115" t="s">
        <v>111</v>
      </c>
      <c r="H115" s="97">
        <v>9625</v>
      </c>
      <c r="I115" s="92">
        <v>611</v>
      </c>
      <c r="J115" s="139" t="s">
        <v>31</v>
      </c>
      <c r="K115" s="29">
        <f t="shared" si="9"/>
        <v>611</v>
      </c>
      <c r="L115">
        <v>1</v>
      </c>
      <c r="M115" s="29">
        <v>0</v>
      </c>
      <c r="N115" t="s">
        <v>32</v>
      </c>
      <c r="O115" t="s">
        <v>33</v>
      </c>
      <c r="P115" t="s">
        <v>34</v>
      </c>
      <c r="Q115" t="s">
        <v>34</v>
      </c>
      <c r="R115" t="s">
        <v>34</v>
      </c>
      <c r="S115" t="s">
        <v>34</v>
      </c>
      <c r="T115" s="117">
        <v>17</v>
      </c>
    </row>
    <row r="116" spans="1:21" ht="14.5" customHeight="1" x14ac:dyDescent="0.35">
      <c r="A116" t="s">
        <v>19</v>
      </c>
      <c r="B116" t="s">
        <v>19</v>
      </c>
      <c r="C116" s="1">
        <v>45308</v>
      </c>
      <c r="D116">
        <f t="shared" si="5"/>
        <v>17</v>
      </c>
      <c r="E116">
        <f t="shared" si="6"/>
        <v>1</v>
      </c>
      <c r="F116">
        <f t="shared" si="7"/>
        <v>2024</v>
      </c>
      <c r="G116" t="s">
        <v>56</v>
      </c>
      <c r="H116" s="97">
        <v>9406</v>
      </c>
      <c r="I116" s="92">
        <v>178068.61</v>
      </c>
      <c r="J116" s="139" t="s">
        <v>31</v>
      </c>
      <c r="K116" s="29">
        <f t="shared" si="9"/>
        <v>178068.61</v>
      </c>
      <c r="L116">
        <v>1</v>
      </c>
      <c r="M116" s="29">
        <v>0</v>
      </c>
      <c r="N116" t="s">
        <v>32</v>
      </c>
      <c r="O116" t="s">
        <v>33</v>
      </c>
      <c r="P116" t="s">
        <v>34</v>
      </c>
      <c r="Q116" t="s">
        <v>34</v>
      </c>
      <c r="R116" t="s">
        <v>34</v>
      </c>
      <c r="S116" t="s">
        <v>34</v>
      </c>
      <c r="T116" s="117">
        <v>0</v>
      </c>
    </row>
    <row r="117" spans="1:21" ht="14.5" customHeight="1" x14ac:dyDescent="0.35">
      <c r="A117" t="s">
        <v>19</v>
      </c>
      <c r="B117" t="s">
        <v>19</v>
      </c>
      <c r="C117" s="1">
        <v>45308</v>
      </c>
      <c r="D117">
        <f t="shared" si="5"/>
        <v>17</v>
      </c>
      <c r="E117">
        <f t="shared" si="6"/>
        <v>1</v>
      </c>
      <c r="F117">
        <f t="shared" si="7"/>
        <v>2024</v>
      </c>
      <c r="G117" t="s">
        <v>56</v>
      </c>
      <c r="H117" s="97">
        <v>9425</v>
      </c>
      <c r="I117" s="92">
        <v>5576.38</v>
      </c>
      <c r="J117" s="139" t="s">
        <v>31</v>
      </c>
      <c r="K117" s="29">
        <f t="shared" si="9"/>
        <v>5576.38</v>
      </c>
      <c r="L117">
        <v>1</v>
      </c>
      <c r="M117" s="29">
        <v>0</v>
      </c>
      <c r="N117" t="s">
        <v>32</v>
      </c>
      <c r="O117" t="s">
        <v>33</v>
      </c>
      <c r="P117" t="s">
        <v>34</v>
      </c>
      <c r="Q117" t="s">
        <v>34</v>
      </c>
      <c r="R117" t="s">
        <v>34</v>
      </c>
      <c r="S117" t="s">
        <v>34</v>
      </c>
      <c r="T117" s="117">
        <v>0</v>
      </c>
    </row>
    <row r="118" spans="1:21" ht="14.5" customHeight="1" x14ac:dyDescent="0.35">
      <c r="A118" t="s">
        <v>19</v>
      </c>
      <c r="B118" t="s">
        <v>19</v>
      </c>
      <c r="C118" s="1">
        <v>45308</v>
      </c>
      <c r="D118">
        <f t="shared" si="5"/>
        <v>17</v>
      </c>
      <c r="E118">
        <f t="shared" si="6"/>
        <v>1</v>
      </c>
      <c r="F118">
        <f t="shared" si="7"/>
        <v>2024</v>
      </c>
      <c r="G118" t="s">
        <v>56</v>
      </c>
      <c r="H118" s="97">
        <v>9411</v>
      </c>
      <c r="I118" s="92">
        <v>168442.21</v>
      </c>
      <c r="J118" s="139" t="s">
        <v>31</v>
      </c>
      <c r="K118" s="29">
        <f t="shared" si="9"/>
        <v>168442.21</v>
      </c>
      <c r="L118">
        <v>1</v>
      </c>
      <c r="M118" s="29">
        <v>0</v>
      </c>
      <c r="N118" t="s">
        <v>32</v>
      </c>
      <c r="O118" t="s">
        <v>33</v>
      </c>
      <c r="P118" t="s">
        <v>34</v>
      </c>
      <c r="Q118" t="s">
        <v>34</v>
      </c>
      <c r="R118" t="s">
        <v>34</v>
      </c>
      <c r="S118" t="s">
        <v>34</v>
      </c>
      <c r="T118" s="117">
        <v>0</v>
      </c>
    </row>
    <row r="119" spans="1:21" ht="14.5" customHeight="1" x14ac:dyDescent="0.35">
      <c r="A119" t="s">
        <v>19</v>
      </c>
      <c r="B119" t="s">
        <v>19</v>
      </c>
      <c r="C119" s="1">
        <v>45308</v>
      </c>
      <c r="D119">
        <f t="shared" si="5"/>
        <v>17</v>
      </c>
      <c r="E119">
        <f t="shared" si="6"/>
        <v>1</v>
      </c>
      <c r="F119">
        <f t="shared" si="7"/>
        <v>2024</v>
      </c>
      <c r="G119" t="s">
        <v>56</v>
      </c>
      <c r="H119" s="97">
        <v>9459</v>
      </c>
      <c r="I119" s="92">
        <v>2104.02</v>
      </c>
      <c r="J119" s="139" t="s">
        <v>31</v>
      </c>
      <c r="K119" s="29">
        <f t="shared" si="9"/>
        <v>2104.02</v>
      </c>
      <c r="L119">
        <v>1</v>
      </c>
      <c r="M119" s="29">
        <v>0</v>
      </c>
      <c r="N119" t="s">
        <v>32</v>
      </c>
      <c r="O119" t="s">
        <v>33</v>
      </c>
      <c r="P119" t="s">
        <v>34</v>
      </c>
      <c r="Q119" t="s">
        <v>34</v>
      </c>
      <c r="R119" t="s">
        <v>34</v>
      </c>
      <c r="S119" t="s">
        <v>34</v>
      </c>
      <c r="T119" s="117">
        <v>0</v>
      </c>
    </row>
    <row r="120" spans="1:21" ht="14.5" customHeight="1" x14ac:dyDescent="0.35">
      <c r="A120" t="s">
        <v>19</v>
      </c>
      <c r="B120" t="s">
        <v>26</v>
      </c>
      <c r="C120" s="1">
        <v>45309</v>
      </c>
      <c r="D120">
        <f t="shared" si="5"/>
        <v>18</v>
      </c>
      <c r="E120">
        <f t="shared" si="6"/>
        <v>1</v>
      </c>
      <c r="F120">
        <f t="shared" si="7"/>
        <v>2024</v>
      </c>
      <c r="G120" t="s">
        <v>73</v>
      </c>
      <c r="H120" s="97">
        <v>9629</v>
      </c>
      <c r="I120" s="91">
        <v>20871.259999999998</v>
      </c>
      <c r="J120" s="139" t="s">
        <v>51</v>
      </c>
      <c r="K120" s="29">
        <f t="shared" si="9"/>
        <v>22726.715013999998</v>
      </c>
      <c r="L120" s="4">
        <v>1.0889</v>
      </c>
      <c r="M120" s="29">
        <v>0</v>
      </c>
      <c r="N120" t="s">
        <v>32</v>
      </c>
      <c r="O120" t="s">
        <v>33</v>
      </c>
      <c r="P120" t="s">
        <v>34</v>
      </c>
      <c r="Q120" t="s">
        <v>34</v>
      </c>
      <c r="R120" t="s">
        <v>34</v>
      </c>
      <c r="S120" t="s">
        <v>34</v>
      </c>
      <c r="T120" s="117">
        <v>0</v>
      </c>
      <c r="U120" s="209" t="s">
        <v>94</v>
      </c>
    </row>
    <row r="121" spans="1:21" ht="14.5" customHeight="1" x14ac:dyDescent="0.35">
      <c r="A121" t="s">
        <v>19</v>
      </c>
      <c r="B121" t="s">
        <v>26</v>
      </c>
      <c r="C121" s="1">
        <v>45309</v>
      </c>
      <c r="D121">
        <f t="shared" si="5"/>
        <v>18</v>
      </c>
      <c r="E121">
        <f t="shared" si="6"/>
        <v>1</v>
      </c>
      <c r="F121">
        <f t="shared" si="7"/>
        <v>2024</v>
      </c>
      <c r="G121" t="s">
        <v>73</v>
      </c>
      <c r="H121" s="97">
        <v>9630</v>
      </c>
      <c r="I121" s="91">
        <v>82413.62</v>
      </c>
      <c r="J121" s="139" t="s">
        <v>51</v>
      </c>
      <c r="K121" s="29">
        <f t="shared" si="9"/>
        <v>89740.190817999988</v>
      </c>
      <c r="L121" s="4">
        <v>1.0889</v>
      </c>
      <c r="M121" s="29">
        <v>0</v>
      </c>
      <c r="N121" t="s">
        <v>32</v>
      </c>
      <c r="O121" t="s">
        <v>33</v>
      </c>
      <c r="P121" t="s">
        <v>34</v>
      </c>
      <c r="Q121" t="s">
        <v>34</v>
      </c>
      <c r="R121" t="s">
        <v>34</v>
      </c>
      <c r="S121" t="s">
        <v>34</v>
      </c>
      <c r="T121" s="117">
        <v>0</v>
      </c>
      <c r="U121" s="209" t="s">
        <v>94</v>
      </c>
    </row>
    <row r="122" spans="1:21" ht="14.5" customHeight="1" x14ac:dyDescent="0.35">
      <c r="A122" t="s">
        <v>19</v>
      </c>
      <c r="B122" t="s">
        <v>26</v>
      </c>
      <c r="C122" s="1">
        <v>45309</v>
      </c>
      <c r="D122">
        <f t="shared" si="5"/>
        <v>18</v>
      </c>
      <c r="E122">
        <f t="shared" si="6"/>
        <v>1</v>
      </c>
      <c r="F122">
        <f t="shared" si="7"/>
        <v>2024</v>
      </c>
      <c r="G122" t="s">
        <v>73</v>
      </c>
      <c r="H122" s="97">
        <v>9668</v>
      </c>
      <c r="I122" s="91">
        <v>75157.48</v>
      </c>
      <c r="J122" s="139" t="s">
        <v>51</v>
      </c>
      <c r="K122" s="29">
        <f t="shared" si="9"/>
        <v>81838.979972000001</v>
      </c>
      <c r="L122" s="4">
        <v>1.0889</v>
      </c>
      <c r="M122" s="29">
        <v>0</v>
      </c>
      <c r="N122" t="s">
        <v>32</v>
      </c>
      <c r="O122" t="s">
        <v>33</v>
      </c>
      <c r="P122" t="s">
        <v>34</v>
      </c>
      <c r="Q122" t="s">
        <v>34</v>
      </c>
      <c r="R122" t="s">
        <v>34</v>
      </c>
      <c r="S122" t="s">
        <v>34</v>
      </c>
      <c r="T122" s="117">
        <v>0</v>
      </c>
      <c r="U122" s="209" t="s">
        <v>94</v>
      </c>
    </row>
    <row r="123" spans="1:21" ht="14.5" customHeight="1" x14ac:dyDescent="0.35">
      <c r="A123" t="s">
        <v>19</v>
      </c>
      <c r="B123" t="s">
        <v>26</v>
      </c>
      <c r="C123" s="1">
        <v>45309</v>
      </c>
      <c r="D123">
        <f t="shared" si="5"/>
        <v>18</v>
      </c>
      <c r="E123">
        <f t="shared" si="6"/>
        <v>1</v>
      </c>
      <c r="F123">
        <f t="shared" si="7"/>
        <v>2024</v>
      </c>
      <c r="G123" t="s">
        <v>73</v>
      </c>
      <c r="H123" s="97">
        <v>9675</v>
      </c>
      <c r="I123" s="91">
        <v>103343.79</v>
      </c>
      <c r="J123" s="139" t="s">
        <v>51</v>
      </c>
      <c r="K123" s="29">
        <f t="shared" si="9"/>
        <v>112531.05293099998</v>
      </c>
      <c r="L123" s="4">
        <v>1.0889</v>
      </c>
      <c r="M123" s="29">
        <v>0</v>
      </c>
      <c r="N123" t="s">
        <v>32</v>
      </c>
      <c r="O123" t="s">
        <v>33</v>
      </c>
      <c r="P123" t="s">
        <v>34</v>
      </c>
      <c r="Q123" t="s">
        <v>34</v>
      </c>
      <c r="R123" t="s">
        <v>34</v>
      </c>
      <c r="S123" t="s">
        <v>34</v>
      </c>
      <c r="T123" s="117">
        <v>0</v>
      </c>
      <c r="U123" s="209" t="s">
        <v>94</v>
      </c>
    </row>
    <row r="124" spans="1:21" ht="14.5" customHeight="1" x14ac:dyDescent="0.35">
      <c r="A124" t="s">
        <v>19</v>
      </c>
      <c r="B124" t="s">
        <v>26</v>
      </c>
      <c r="C124" s="1">
        <v>45309</v>
      </c>
      <c r="D124">
        <f t="shared" si="5"/>
        <v>18</v>
      </c>
      <c r="E124">
        <f t="shared" si="6"/>
        <v>1</v>
      </c>
      <c r="F124">
        <f t="shared" si="7"/>
        <v>2024</v>
      </c>
      <c r="G124" t="s">
        <v>73</v>
      </c>
      <c r="H124" s="97">
        <v>9689</v>
      </c>
      <c r="I124" s="91">
        <v>86356.63</v>
      </c>
      <c r="J124" s="139" t="s">
        <v>51</v>
      </c>
      <c r="K124" s="29">
        <f t="shared" si="9"/>
        <v>94033.734406999996</v>
      </c>
      <c r="L124" s="4">
        <v>1.0889</v>
      </c>
      <c r="M124" s="29">
        <v>0</v>
      </c>
      <c r="N124" t="s">
        <v>32</v>
      </c>
      <c r="O124" t="s">
        <v>33</v>
      </c>
      <c r="P124" t="s">
        <v>34</v>
      </c>
      <c r="Q124" t="s">
        <v>34</v>
      </c>
      <c r="R124" t="s">
        <v>34</v>
      </c>
      <c r="S124" t="s">
        <v>34</v>
      </c>
      <c r="T124" s="117">
        <v>0</v>
      </c>
      <c r="U124" s="209" t="s">
        <v>94</v>
      </c>
    </row>
    <row r="125" spans="1:21" ht="14.5" customHeight="1" x14ac:dyDescent="0.35">
      <c r="A125" t="s">
        <v>19</v>
      </c>
      <c r="B125" t="s">
        <v>26</v>
      </c>
      <c r="C125" s="1">
        <v>45309</v>
      </c>
      <c r="D125">
        <f t="shared" si="5"/>
        <v>18</v>
      </c>
      <c r="E125">
        <f t="shared" si="6"/>
        <v>1</v>
      </c>
      <c r="F125">
        <f t="shared" si="7"/>
        <v>2024</v>
      </c>
      <c r="G125" t="s">
        <v>73</v>
      </c>
      <c r="H125" s="97">
        <v>9690</v>
      </c>
      <c r="I125" s="91">
        <v>13418.71</v>
      </c>
      <c r="J125" s="139" t="s">
        <v>51</v>
      </c>
      <c r="K125" s="29">
        <f t="shared" si="9"/>
        <v>14611.633318999999</v>
      </c>
      <c r="L125" s="4">
        <v>1.0889</v>
      </c>
      <c r="M125" s="29">
        <v>0</v>
      </c>
      <c r="N125" t="s">
        <v>32</v>
      </c>
      <c r="O125" t="s">
        <v>33</v>
      </c>
      <c r="P125" t="s">
        <v>34</v>
      </c>
      <c r="Q125" t="s">
        <v>34</v>
      </c>
      <c r="R125" t="s">
        <v>34</v>
      </c>
      <c r="S125" t="s">
        <v>34</v>
      </c>
      <c r="T125" s="117">
        <v>0</v>
      </c>
      <c r="U125" s="209" t="s">
        <v>94</v>
      </c>
    </row>
    <row r="126" spans="1:21" ht="14.5" customHeight="1" x14ac:dyDescent="0.35">
      <c r="A126" t="s">
        <v>19</v>
      </c>
      <c r="B126" t="s">
        <v>21</v>
      </c>
      <c r="C126" s="1">
        <v>45314</v>
      </c>
      <c r="D126">
        <f t="shared" si="5"/>
        <v>23</v>
      </c>
      <c r="E126">
        <f t="shared" si="6"/>
        <v>1</v>
      </c>
      <c r="F126">
        <f t="shared" si="7"/>
        <v>2024</v>
      </c>
      <c r="G126" t="s">
        <v>39</v>
      </c>
      <c r="H126" s="97">
        <v>9548</v>
      </c>
      <c r="I126" s="91">
        <v>32</v>
      </c>
      <c r="J126" s="139" t="s">
        <v>31</v>
      </c>
      <c r="K126" s="29">
        <f t="shared" si="9"/>
        <v>32</v>
      </c>
      <c r="L126">
        <v>1</v>
      </c>
      <c r="M126" s="29">
        <v>0</v>
      </c>
      <c r="N126" t="s">
        <v>32</v>
      </c>
      <c r="O126" t="s">
        <v>33</v>
      </c>
      <c r="P126" t="s">
        <v>34</v>
      </c>
      <c r="Q126" t="s">
        <v>34</v>
      </c>
      <c r="R126" t="s">
        <v>34</v>
      </c>
      <c r="S126" t="s">
        <v>34</v>
      </c>
      <c r="T126" s="117">
        <v>0</v>
      </c>
    </row>
    <row r="127" spans="1:21" ht="14.5" customHeight="1" x14ac:dyDescent="0.35">
      <c r="A127" t="s">
        <v>19</v>
      </c>
      <c r="B127" t="s">
        <v>21</v>
      </c>
      <c r="C127" s="1">
        <v>45314</v>
      </c>
      <c r="D127">
        <f t="shared" si="5"/>
        <v>23</v>
      </c>
      <c r="E127">
        <f t="shared" si="6"/>
        <v>1</v>
      </c>
      <c r="F127">
        <f t="shared" si="7"/>
        <v>2024</v>
      </c>
      <c r="G127" t="s">
        <v>39</v>
      </c>
      <c r="H127" s="97">
        <v>9549</v>
      </c>
      <c r="I127" s="91">
        <v>6568</v>
      </c>
      <c r="J127" s="139" t="s">
        <v>31</v>
      </c>
      <c r="K127" s="29">
        <f t="shared" si="9"/>
        <v>6568</v>
      </c>
      <c r="L127">
        <v>1</v>
      </c>
      <c r="M127" s="29">
        <v>0</v>
      </c>
      <c r="N127" t="s">
        <v>32</v>
      </c>
      <c r="O127" t="s">
        <v>33</v>
      </c>
      <c r="P127" t="s">
        <v>34</v>
      </c>
      <c r="Q127" t="s">
        <v>34</v>
      </c>
      <c r="R127" t="s">
        <v>34</v>
      </c>
      <c r="S127" t="s">
        <v>34</v>
      </c>
      <c r="T127" s="117">
        <v>0</v>
      </c>
    </row>
    <row r="128" spans="1:21" ht="14.5" customHeight="1" x14ac:dyDescent="0.35">
      <c r="A128" t="s">
        <v>19</v>
      </c>
      <c r="B128" t="s">
        <v>21</v>
      </c>
      <c r="C128" s="1">
        <v>45314</v>
      </c>
      <c r="D128">
        <f t="shared" si="5"/>
        <v>23</v>
      </c>
      <c r="E128">
        <f t="shared" si="6"/>
        <v>1</v>
      </c>
      <c r="F128">
        <f t="shared" si="7"/>
        <v>2024</v>
      </c>
      <c r="G128" t="s">
        <v>39</v>
      </c>
      <c r="H128" s="97">
        <v>9637</v>
      </c>
      <c r="I128" s="91">
        <v>6042</v>
      </c>
      <c r="J128" s="139" t="s">
        <v>31</v>
      </c>
      <c r="K128" s="29">
        <f t="shared" si="9"/>
        <v>6042</v>
      </c>
      <c r="L128">
        <v>1</v>
      </c>
      <c r="M128" s="29">
        <v>0</v>
      </c>
      <c r="N128" t="s">
        <v>42</v>
      </c>
      <c r="O128" t="s">
        <v>33</v>
      </c>
      <c r="P128" t="s">
        <v>34</v>
      </c>
      <c r="Q128" t="s">
        <v>34</v>
      </c>
      <c r="R128" t="s">
        <v>34</v>
      </c>
      <c r="S128" t="s">
        <v>34</v>
      </c>
      <c r="T128" s="117">
        <v>0</v>
      </c>
    </row>
    <row r="129" spans="1:20" ht="14.5" customHeight="1" x14ac:dyDescent="0.35">
      <c r="A129" t="s">
        <v>19</v>
      </c>
      <c r="B129" t="s">
        <v>25</v>
      </c>
      <c r="C129" s="1">
        <v>45314</v>
      </c>
      <c r="D129">
        <f t="shared" si="5"/>
        <v>23</v>
      </c>
      <c r="E129">
        <f t="shared" si="6"/>
        <v>1</v>
      </c>
      <c r="F129">
        <f t="shared" si="7"/>
        <v>2024</v>
      </c>
      <c r="G129" t="s">
        <v>39</v>
      </c>
      <c r="H129" s="97">
        <v>9881</v>
      </c>
      <c r="I129" s="91">
        <v>2625</v>
      </c>
      <c r="J129" s="139" t="s">
        <v>31</v>
      </c>
      <c r="K129" s="29">
        <f t="shared" si="9"/>
        <v>2625</v>
      </c>
      <c r="L129">
        <v>1</v>
      </c>
      <c r="M129" s="29">
        <v>0</v>
      </c>
      <c r="N129" t="s">
        <v>32</v>
      </c>
      <c r="O129" t="s">
        <v>33</v>
      </c>
      <c r="P129" t="s">
        <v>34</v>
      </c>
      <c r="Q129" t="s">
        <v>34</v>
      </c>
      <c r="R129" t="s">
        <v>34</v>
      </c>
      <c r="S129" t="s">
        <v>34</v>
      </c>
      <c r="T129" s="117">
        <v>0</v>
      </c>
    </row>
    <row r="130" spans="1:20" ht="14.5" customHeight="1" x14ac:dyDescent="0.35">
      <c r="A130" t="s">
        <v>19</v>
      </c>
      <c r="B130" t="s">
        <v>25</v>
      </c>
      <c r="C130" s="1">
        <v>45314</v>
      </c>
      <c r="D130">
        <f t="shared" ref="D130:D193" si="10">DAY(C130)</f>
        <v>23</v>
      </c>
      <c r="E130">
        <f t="shared" ref="E130:E193" si="11">MONTH(C130)</f>
        <v>1</v>
      </c>
      <c r="F130">
        <f t="shared" ref="F130:F193" si="12">YEAR(C130)</f>
        <v>2024</v>
      </c>
      <c r="G130" t="s">
        <v>93</v>
      </c>
      <c r="H130" s="98">
        <v>9372</v>
      </c>
      <c r="I130" s="91">
        <v>19749.75</v>
      </c>
      <c r="J130" s="139" t="s">
        <v>31</v>
      </c>
      <c r="K130" s="29">
        <f t="shared" ref="K130:K161" si="13">IF(J130="USD",I130,I130*L130)</f>
        <v>19749.75</v>
      </c>
      <c r="L130">
        <v>1</v>
      </c>
      <c r="M130" s="29">
        <v>0</v>
      </c>
      <c r="N130" t="s">
        <v>32</v>
      </c>
      <c r="O130" t="s">
        <v>33</v>
      </c>
      <c r="P130" t="s">
        <v>34</v>
      </c>
      <c r="Q130" t="s">
        <v>34</v>
      </c>
      <c r="R130" t="s">
        <v>34</v>
      </c>
      <c r="S130" t="s">
        <v>34</v>
      </c>
      <c r="T130" s="117">
        <v>0</v>
      </c>
    </row>
    <row r="131" spans="1:20" ht="14.5" customHeight="1" x14ac:dyDescent="0.35">
      <c r="A131" t="s">
        <v>19</v>
      </c>
      <c r="B131" t="s">
        <v>25</v>
      </c>
      <c r="C131" s="1">
        <v>45314</v>
      </c>
      <c r="D131">
        <f t="shared" si="10"/>
        <v>23</v>
      </c>
      <c r="E131">
        <f t="shared" si="11"/>
        <v>1</v>
      </c>
      <c r="F131">
        <f t="shared" si="12"/>
        <v>2024</v>
      </c>
      <c r="G131" t="s">
        <v>93</v>
      </c>
      <c r="H131" s="171">
        <v>9451</v>
      </c>
      <c r="I131" s="91">
        <v>7029.75</v>
      </c>
      <c r="J131" s="139" t="s">
        <v>31</v>
      </c>
      <c r="K131" s="29">
        <f t="shared" si="13"/>
        <v>7029.75</v>
      </c>
      <c r="L131">
        <v>1</v>
      </c>
      <c r="M131" s="29">
        <v>0</v>
      </c>
      <c r="N131" t="s">
        <v>32</v>
      </c>
      <c r="O131" t="s">
        <v>33</v>
      </c>
      <c r="P131" t="s">
        <v>34</v>
      </c>
      <c r="Q131" t="s">
        <v>34</v>
      </c>
      <c r="R131" t="s">
        <v>34</v>
      </c>
      <c r="S131" t="s">
        <v>34</v>
      </c>
      <c r="T131" s="117">
        <v>0</v>
      </c>
    </row>
    <row r="132" spans="1:20" ht="14.5" customHeight="1" x14ac:dyDescent="0.35">
      <c r="A132" t="s">
        <v>71</v>
      </c>
      <c r="B132" t="s">
        <v>25</v>
      </c>
      <c r="C132" s="1">
        <v>45314</v>
      </c>
      <c r="D132">
        <f t="shared" si="10"/>
        <v>23</v>
      </c>
      <c r="E132">
        <f t="shared" si="11"/>
        <v>1</v>
      </c>
      <c r="F132">
        <f t="shared" si="12"/>
        <v>2024</v>
      </c>
      <c r="G132" t="s">
        <v>54</v>
      </c>
      <c r="H132" s="97">
        <v>9308</v>
      </c>
      <c r="I132" s="91">
        <v>7045.67</v>
      </c>
      <c r="J132" s="139" t="s">
        <v>31</v>
      </c>
      <c r="K132" s="29">
        <f t="shared" si="13"/>
        <v>7045.67</v>
      </c>
      <c r="L132">
        <v>1</v>
      </c>
      <c r="M132" s="29">
        <v>0</v>
      </c>
      <c r="N132" t="s">
        <v>32</v>
      </c>
      <c r="O132" t="s">
        <v>33</v>
      </c>
      <c r="P132" t="s">
        <v>34</v>
      </c>
      <c r="Q132" t="s">
        <v>34</v>
      </c>
      <c r="R132" t="s">
        <v>34</v>
      </c>
      <c r="S132" t="s">
        <v>34</v>
      </c>
      <c r="T132" s="117">
        <v>0</v>
      </c>
    </row>
    <row r="133" spans="1:20" ht="14.5" customHeight="1" x14ac:dyDescent="0.35">
      <c r="A133" t="s">
        <v>71</v>
      </c>
      <c r="B133" t="s">
        <v>25</v>
      </c>
      <c r="C133" s="1">
        <v>45314</v>
      </c>
      <c r="D133">
        <f t="shared" si="10"/>
        <v>23</v>
      </c>
      <c r="E133">
        <f t="shared" si="11"/>
        <v>1</v>
      </c>
      <c r="F133">
        <f t="shared" si="12"/>
        <v>2024</v>
      </c>
      <c r="G133" t="s">
        <v>54</v>
      </c>
      <c r="H133" s="97">
        <v>9309</v>
      </c>
      <c r="I133" s="91">
        <v>7479.62</v>
      </c>
      <c r="J133" s="139" t="s">
        <v>31</v>
      </c>
      <c r="K133" s="29">
        <f t="shared" si="13"/>
        <v>7479.62</v>
      </c>
      <c r="L133">
        <v>1</v>
      </c>
      <c r="M133" s="29">
        <v>0</v>
      </c>
      <c r="N133" t="s">
        <v>32</v>
      </c>
      <c r="O133" t="s">
        <v>33</v>
      </c>
      <c r="P133" t="s">
        <v>34</v>
      </c>
      <c r="Q133" t="s">
        <v>34</v>
      </c>
      <c r="R133" t="s">
        <v>34</v>
      </c>
      <c r="S133" t="s">
        <v>34</v>
      </c>
      <c r="T133" s="117">
        <v>0</v>
      </c>
    </row>
    <row r="134" spans="1:20" ht="14.5" customHeight="1" x14ac:dyDescent="0.35">
      <c r="A134" t="s">
        <v>71</v>
      </c>
      <c r="B134" t="s">
        <v>25</v>
      </c>
      <c r="C134" s="1">
        <v>45314</v>
      </c>
      <c r="D134">
        <f t="shared" si="10"/>
        <v>23</v>
      </c>
      <c r="E134">
        <f t="shared" si="11"/>
        <v>1</v>
      </c>
      <c r="F134">
        <f t="shared" si="12"/>
        <v>2024</v>
      </c>
      <c r="G134" t="s">
        <v>54</v>
      </c>
      <c r="H134" s="97">
        <v>9486</v>
      </c>
      <c r="I134" s="91">
        <v>9068.52</v>
      </c>
      <c r="J134" s="139" t="s">
        <v>31</v>
      </c>
      <c r="K134" s="29">
        <f t="shared" si="13"/>
        <v>9068.52</v>
      </c>
      <c r="L134">
        <v>1</v>
      </c>
      <c r="M134" s="29">
        <v>0</v>
      </c>
      <c r="N134" t="s">
        <v>42</v>
      </c>
      <c r="O134" t="s">
        <v>33</v>
      </c>
      <c r="P134" t="s">
        <v>34</v>
      </c>
      <c r="Q134" t="s">
        <v>34</v>
      </c>
      <c r="R134" t="s">
        <v>34</v>
      </c>
      <c r="S134" t="s">
        <v>34</v>
      </c>
      <c r="T134" s="117">
        <v>0</v>
      </c>
    </row>
    <row r="135" spans="1:20" ht="14.5" customHeight="1" x14ac:dyDescent="0.35">
      <c r="A135" t="s">
        <v>71</v>
      </c>
      <c r="B135" t="s">
        <v>25</v>
      </c>
      <c r="C135" s="1">
        <v>45314</v>
      </c>
      <c r="D135">
        <f t="shared" si="10"/>
        <v>23</v>
      </c>
      <c r="E135">
        <f t="shared" si="11"/>
        <v>1</v>
      </c>
      <c r="F135">
        <f t="shared" si="12"/>
        <v>2024</v>
      </c>
      <c r="G135" t="s">
        <v>81</v>
      </c>
      <c r="H135" s="97">
        <v>9768</v>
      </c>
      <c r="I135" s="91">
        <v>17640</v>
      </c>
      <c r="J135" s="139" t="s">
        <v>31</v>
      </c>
      <c r="K135" s="29">
        <f t="shared" si="13"/>
        <v>17640</v>
      </c>
      <c r="L135">
        <v>1</v>
      </c>
      <c r="M135" s="29">
        <v>0</v>
      </c>
      <c r="N135" t="s">
        <v>42</v>
      </c>
      <c r="O135" t="s">
        <v>33</v>
      </c>
      <c r="P135" t="s">
        <v>34</v>
      </c>
      <c r="Q135" t="s">
        <v>34</v>
      </c>
      <c r="R135" t="s">
        <v>34</v>
      </c>
      <c r="S135" t="s">
        <v>34</v>
      </c>
      <c r="T135" s="117">
        <v>0</v>
      </c>
    </row>
    <row r="136" spans="1:20" ht="14.5" customHeight="1" x14ac:dyDescent="0.35">
      <c r="A136" t="s">
        <v>71</v>
      </c>
      <c r="B136" t="s">
        <v>25</v>
      </c>
      <c r="C136" s="1">
        <v>45314</v>
      </c>
      <c r="D136">
        <f t="shared" si="10"/>
        <v>23</v>
      </c>
      <c r="E136">
        <f t="shared" si="11"/>
        <v>1</v>
      </c>
      <c r="F136">
        <f t="shared" si="12"/>
        <v>2024</v>
      </c>
      <c r="G136" s="4" t="s">
        <v>90</v>
      </c>
      <c r="H136" s="97">
        <v>9463</v>
      </c>
      <c r="I136" s="91">
        <v>211.8</v>
      </c>
      <c r="J136" s="139" t="s">
        <v>31</v>
      </c>
      <c r="K136" s="29">
        <f t="shared" si="13"/>
        <v>211.8</v>
      </c>
      <c r="L136">
        <v>1</v>
      </c>
      <c r="M136" s="29">
        <v>0</v>
      </c>
      <c r="N136" t="s">
        <v>32</v>
      </c>
      <c r="O136" t="s">
        <v>33</v>
      </c>
      <c r="P136" t="s">
        <v>34</v>
      </c>
      <c r="Q136" t="s">
        <v>34</v>
      </c>
      <c r="R136" t="s">
        <v>34</v>
      </c>
      <c r="S136" t="s">
        <v>34</v>
      </c>
      <c r="T136" s="117">
        <v>0</v>
      </c>
    </row>
    <row r="137" spans="1:20" ht="14.5" customHeight="1" x14ac:dyDescent="0.35">
      <c r="A137" t="s">
        <v>71</v>
      </c>
      <c r="B137" t="s">
        <v>21</v>
      </c>
      <c r="C137" s="1">
        <v>45314</v>
      </c>
      <c r="D137">
        <f t="shared" si="10"/>
        <v>23</v>
      </c>
      <c r="E137">
        <f t="shared" si="11"/>
        <v>1</v>
      </c>
      <c r="F137">
        <f t="shared" si="12"/>
        <v>2024</v>
      </c>
      <c r="G137" s="4" t="s">
        <v>90</v>
      </c>
      <c r="H137" s="97">
        <v>9476</v>
      </c>
      <c r="I137" s="91">
        <v>77.8</v>
      </c>
      <c r="J137" s="139" t="s">
        <v>31</v>
      </c>
      <c r="K137" s="29">
        <f t="shared" si="13"/>
        <v>77.8</v>
      </c>
      <c r="L137">
        <v>1</v>
      </c>
      <c r="M137" s="29">
        <v>0</v>
      </c>
      <c r="N137" t="s">
        <v>32</v>
      </c>
      <c r="O137" t="s">
        <v>33</v>
      </c>
      <c r="P137" t="s">
        <v>34</v>
      </c>
      <c r="Q137" t="s">
        <v>34</v>
      </c>
      <c r="R137" t="s">
        <v>34</v>
      </c>
      <c r="S137" t="s">
        <v>34</v>
      </c>
      <c r="T137" s="117">
        <v>0</v>
      </c>
    </row>
    <row r="138" spans="1:20" ht="14.5" customHeight="1" x14ac:dyDescent="0.35">
      <c r="A138" t="s">
        <v>71</v>
      </c>
      <c r="B138" t="s">
        <v>21</v>
      </c>
      <c r="C138" s="1">
        <v>45314</v>
      </c>
      <c r="D138">
        <f t="shared" si="10"/>
        <v>23</v>
      </c>
      <c r="E138">
        <f t="shared" si="11"/>
        <v>1</v>
      </c>
      <c r="F138">
        <f t="shared" si="12"/>
        <v>2024</v>
      </c>
      <c r="G138" s="4" t="s">
        <v>90</v>
      </c>
      <c r="H138" s="97">
        <v>9477</v>
      </c>
      <c r="I138" s="91">
        <v>4170.8599999999997</v>
      </c>
      <c r="J138" s="139" t="s">
        <v>31</v>
      </c>
      <c r="K138" s="29">
        <f t="shared" si="13"/>
        <v>4170.8599999999997</v>
      </c>
      <c r="L138">
        <v>1</v>
      </c>
      <c r="M138" s="29">
        <v>0</v>
      </c>
      <c r="N138" t="s">
        <v>32</v>
      </c>
      <c r="O138" t="s">
        <v>33</v>
      </c>
      <c r="P138" t="s">
        <v>34</v>
      </c>
      <c r="Q138" t="s">
        <v>34</v>
      </c>
      <c r="R138" t="s">
        <v>34</v>
      </c>
      <c r="S138" t="s">
        <v>34</v>
      </c>
      <c r="T138" s="117">
        <v>0</v>
      </c>
    </row>
    <row r="139" spans="1:20" ht="14.5" customHeight="1" x14ac:dyDescent="0.35">
      <c r="A139" t="s">
        <v>71</v>
      </c>
      <c r="B139" t="s">
        <v>24</v>
      </c>
      <c r="C139" s="1">
        <v>45314</v>
      </c>
      <c r="D139">
        <f t="shared" si="10"/>
        <v>23</v>
      </c>
      <c r="E139">
        <f t="shared" si="11"/>
        <v>1</v>
      </c>
      <c r="F139">
        <f t="shared" si="12"/>
        <v>2024</v>
      </c>
      <c r="G139" s="4" t="s">
        <v>90</v>
      </c>
      <c r="H139" s="97">
        <v>9206</v>
      </c>
      <c r="I139" s="91">
        <v>353.66</v>
      </c>
      <c r="J139" s="139" t="s">
        <v>31</v>
      </c>
      <c r="K139" s="29">
        <f t="shared" si="13"/>
        <v>353.66</v>
      </c>
      <c r="L139">
        <v>1</v>
      </c>
      <c r="M139" s="29">
        <v>0</v>
      </c>
      <c r="N139" t="s">
        <v>32</v>
      </c>
      <c r="O139" t="s">
        <v>33</v>
      </c>
      <c r="P139" t="s">
        <v>34</v>
      </c>
      <c r="Q139" t="s">
        <v>34</v>
      </c>
      <c r="R139" t="s">
        <v>34</v>
      </c>
      <c r="S139" t="s">
        <v>34</v>
      </c>
      <c r="T139" s="117">
        <v>0</v>
      </c>
    </row>
    <row r="140" spans="1:20" ht="14.5" customHeight="1" x14ac:dyDescent="0.35">
      <c r="A140" t="s">
        <v>71</v>
      </c>
      <c r="B140" t="s">
        <v>21</v>
      </c>
      <c r="C140" s="1">
        <v>45314</v>
      </c>
      <c r="D140">
        <f t="shared" si="10"/>
        <v>23</v>
      </c>
      <c r="E140">
        <f t="shared" si="11"/>
        <v>1</v>
      </c>
      <c r="F140">
        <f t="shared" si="12"/>
        <v>2024</v>
      </c>
      <c r="G140" s="4" t="s">
        <v>90</v>
      </c>
      <c r="H140" s="97">
        <v>9333</v>
      </c>
      <c r="I140" s="91">
        <v>80.59</v>
      </c>
      <c r="J140" s="139" t="s">
        <v>31</v>
      </c>
      <c r="K140" s="29">
        <f t="shared" si="13"/>
        <v>80.59</v>
      </c>
      <c r="L140">
        <v>1</v>
      </c>
      <c r="M140" s="29">
        <v>0</v>
      </c>
      <c r="N140" t="s">
        <v>32</v>
      </c>
      <c r="O140" t="s">
        <v>33</v>
      </c>
      <c r="P140" t="s">
        <v>34</v>
      </c>
      <c r="Q140" t="s">
        <v>34</v>
      </c>
      <c r="R140" t="s">
        <v>34</v>
      </c>
      <c r="S140" t="s">
        <v>34</v>
      </c>
      <c r="T140" s="117">
        <v>0</v>
      </c>
    </row>
    <row r="141" spans="1:20" ht="14.5" customHeight="1" x14ac:dyDescent="0.35">
      <c r="A141" t="s">
        <v>71</v>
      </c>
      <c r="B141" t="s">
        <v>25</v>
      </c>
      <c r="C141" s="1">
        <v>45314</v>
      </c>
      <c r="D141">
        <f t="shared" si="10"/>
        <v>23</v>
      </c>
      <c r="E141">
        <f t="shared" si="11"/>
        <v>1</v>
      </c>
      <c r="F141">
        <f t="shared" si="12"/>
        <v>2024</v>
      </c>
      <c r="G141" s="4" t="s">
        <v>90</v>
      </c>
      <c r="H141" s="97">
        <v>9333</v>
      </c>
      <c r="I141" s="91">
        <v>173.53</v>
      </c>
      <c r="J141" s="139" t="s">
        <v>31</v>
      </c>
      <c r="K141" s="29">
        <f t="shared" si="13"/>
        <v>173.53</v>
      </c>
      <c r="L141">
        <v>1</v>
      </c>
      <c r="M141" s="29">
        <v>0</v>
      </c>
      <c r="N141" t="s">
        <v>32</v>
      </c>
      <c r="O141" t="s">
        <v>33</v>
      </c>
      <c r="P141" t="s">
        <v>34</v>
      </c>
      <c r="Q141" t="s">
        <v>34</v>
      </c>
      <c r="R141" t="s">
        <v>34</v>
      </c>
      <c r="S141" t="s">
        <v>34</v>
      </c>
      <c r="T141" s="117">
        <v>0</v>
      </c>
    </row>
    <row r="142" spans="1:20" ht="14.5" customHeight="1" x14ac:dyDescent="0.35">
      <c r="A142" t="s">
        <v>71</v>
      </c>
      <c r="B142" t="s">
        <v>24</v>
      </c>
      <c r="C142" s="1">
        <v>45314</v>
      </c>
      <c r="D142">
        <f t="shared" si="10"/>
        <v>23</v>
      </c>
      <c r="E142">
        <f t="shared" si="11"/>
        <v>1</v>
      </c>
      <c r="F142">
        <f t="shared" si="12"/>
        <v>2024</v>
      </c>
      <c r="G142" s="4" t="s">
        <v>90</v>
      </c>
      <c r="H142" s="97">
        <v>9458</v>
      </c>
      <c r="I142" s="91">
        <v>12713.62</v>
      </c>
      <c r="J142" s="139" t="s">
        <v>31</v>
      </c>
      <c r="K142" s="29">
        <f t="shared" si="13"/>
        <v>12713.62</v>
      </c>
      <c r="L142">
        <v>1</v>
      </c>
      <c r="M142" s="29">
        <v>0</v>
      </c>
      <c r="N142" t="s">
        <v>32</v>
      </c>
      <c r="O142" t="s">
        <v>33</v>
      </c>
      <c r="P142" t="s">
        <v>34</v>
      </c>
      <c r="Q142" t="s">
        <v>34</v>
      </c>
      <c r="R142" t="s">
        <v>34</v>
      </c>
      <c r="S142" t="s">
        <v>34</v>
      </c>
      <c r="T142" s="117">
        <v>0</v>
      </c>
    </row>
    <row r="143" spans="1:20" ht="14.5" customHeight="1" x14ac:dyDescent="0.35">
      <c r="A143" t="s">
        <v>71</v>
      </c>
      <c r="B143" t="s">
        <v>21</v>
      </c>
      <c r="C143" s="1">
        <v>45314</v>
      </c>
      <c r="D143">
        <f t="shared" si="10"/>
        <v>23</v>
      </c>
      <c r="E143">
        <f t="shared" si="11"/>
        <v>1</v>
      </c>
      <c r="F143">
        <f t="shared" si="12"/>
        <v>2024</v>
      </c>
      <c r="G143" s="4" t="s">
        <v>90</v>
      </c>
      <c r="H143" s="97">
        <v>9458</v>
      </c>
      <c r="I143" s="91">
        <v>5875.79</v>
      </c>
      <c r="J143" s="139" t="s">
        <v>31</v>
      </c>
      <c r="K143" s="29">
        <f t="shared" si="13"/>
        <v>5875.79</v>
      </c>
      <c r="L143">
        <v>1</v>
      </c>
      <c r="M143" s="29">
        <v>0</v>
      </c>
      <c r="N143" t="s">
        <v>32</v>
      </c>
      <c r="O143" t="s">
        <v>33</v>
      </c>
      <c r="P143" t="s">
        <v>34</v>
      </c>
      <c r="Q143" t="s">
        <v>34</v>
      </c>
      <c r="R143" t="s">
        <v>34</v>
      </c>
      <c r="S143" t="s">
        <v>34</v>
      </c>
      <c r="T143" s="117">
        <v>0</v>
      </c>
    </row>
    <row r="144" spans="1:20" ht="14.5" customHeight="1" x14ac:dyDescent="0.35">
      <c r="A144" t="s">
        <v>71</v>
      </c>
      <c r="B144" t="s">
        <v>23</v>
      </c>
      <c r="C144" s="1">
        <v>45314</v>
      </c>
      <c r="D144">
        <f t="shared" si="10"/>
        <v>23</v>
      </c>
      <c r="E144">
        <f t="shared" si="11"/>
        <v>1</v>
      </c>
      <c r="F144">
        <f t="shared" si="12"/>
        <v>2024</v>
      </c>
      <c r="G144" s="4" t="s">
        <v>90</v>
      </c>
      <c r="H144" s="97">
        <v>9458</v>
      </c>
      <c r="I144" s="91">
        <v>9987.93</v>
      </c>
      <c r="J144" s="139" t="s">
        <v>31</v>
      </c>
      <c r="K144" s="29">
        <f t="shared" si="13"/>
        <v>9987.93</v>
      </c>
      <c r="L144">
        <v>1</v>
      </c>
      <c r="M144" s="29">
        <v>0</v>
      </c>
      <c r="N144" t="s">
        <v>32</v>
      </c>
      <c r="O144" t="s">
        <v>33</v>
      </c>
      <c r="P144" t="s">
        <v>34</v>
      </c>
      <c r="Q144" t="s">
        <v>34</v>
      </c>
      <c r="R144" t="s">
        <v>34</v>
      </c>
      <c r="S144" t="s">
        <v>34</v>
      </c>
      <c r="T144" s="117">
        <v>0</v>
      </c>
    </row>
    <row r="145" spans="1:20" ht="14.5" customHeight="1" x14ac:dyDescent="0.35">
      <c r="A145" t="s">
        <v>71</v>
      </c>
      <c r="B145" t="s">
        <v>25</v>
      </c>
      <c r="C145" s="1">
        <v>45314</v>
      </c>
      <c r="D145">
        <f t="shared" si="10"/>
        <v>23</v>
      </c>
      <c r="E145">
        <f t="shared" si="11"/>
        <v>1</v>
      </c>
      <c r="F145">
        <f t="shared" si="12"/>
        <v>2024</v>
      </c>
      <c r="G145" s="4" t="s">
        <v>90</v>
      </c>
      <c r="H145" s="97">
        <v>9458</v>
      </c>
      <c r="I145" s="91">
        <v>11835.38</v>
      </c>
      <c r="J145" s="139" t="s">
        <v>31</v>
      </c>
      <c r="K145" s="29">
        <f t="shared" si="13"/>
        <v>11835.38</v>
      </c>
      <c r="L145">
        <v>1</v>
      </c>
      <c r="M145" s="29">
        <v>0</v>
      </c>
      <c r="N145" t="s">
        <v>32</v>
      </c>
      <c r="O145" t="s">
        <v>33</v>
      </c>
      <c r="P145" t="s">
        <v>34</v>
      </c>
      <c r="Q145" t="s">
        <v>34</v>
      </c>
      <c r="R145" t="s">
        <v>34</v>
      </c>
      <c r="S145" t="s">
        <v>34</v>
      </c>
      <c r="T145" s="117">
        <v>0</v>
      </c>
    </row>
    <row r="146" spans="1:20" ht="14.5" customHeight="1" x14ac:dyDescent="0.35">
      <c r="A146" t="s">
        <v>71</v>
      </c>
      <c r="B146" t="s">
        <v>25</v>
      </c>
      <c r="C146" s="1">
        <v>45314</v>
      </c>
      <c r="D146">
        <f t="shared" si="10"/>
        <v>23</v>
      </c>
      <c r="E146">
        <f t="shared" si="11"/>
        <v>1</v>
      </c>
      <c r="F146">
        <f t="shared" si="12"/>
        <v>2024</v>
      </c>
      <c r="G146" t="s">
        <v>91</v>
      </c>
      <c r="H146" s="97">
        <v>9276</v>
      </c>
      <c r="I146" s="91">
        <v>4802.25</v>
      </c>
      <c r="J146" s="139" t="s">
        <v>31</v>
      </c>
      <c r="K146" s="29">
        <f t="shared" si="13"/>
        <v>4802.25</v>
      </c>
      <c r="L146">
        <v>1</v>
      </c>
      <c r="M146" s="29">
        <v>0</v>
      </c>
      <c r="N146" t="s">
        <v>32</v>
      </c>
      <c r="O146" t="s">
        <v>33</v>
      </c>
      <c r="P146" t="s">
        <v>34</v>
      </c>
      <c r="Q146" t="s">
        <v>34</v>
      </c>
      <c r="R146" t="s">
        <v>34</v>
      </c>
      <c r="S146" t="s">
        <v>34</v>
      </c>
      <c r="T146" s="117">
        <v>0</v>
      </c>
    </row>
    <row r="147" spans="1:20" ht="14.5" customHeight="1" x14ac:dyDescent="0.35">
      <c r="A147" t="s">
        <v>71</v>
      </c>
      <c r="B147" t="s">
        <v>25</v>
      </c>
      <c r="C147" s="1">
        <v>45314</v>
      </c>
      <c r="D147">
        <f t="shared" si="10"/>
        <v>23</v>
      </c>
      <c r="E147">
        <f t="shared" si="11"/>
        <v>1</v>
      </c>
      <c r="F147">
        <f t="shared" si="12"/>
        <v>2024</v>
      </c>
      <c r="G147" t="s">
        <v>91</v>
      </c>
      <c r="H147" s="97">
        <v>9324</v>
      </c>
      <c r="I147" s="91">
        <v>5754.15</v>
      </c>
      <c r="J147" s="139" t="s">
        <v>31</v>
      </c>
      <c r="K147" s="29">
        <f t="shared" si="13"/>
        <v>5754.15</v>
      </c>
      <c r="L147">
        <v>1</v>
      </c>
      <c r="M147" s="29">
        <v>0</v>
      </c>
      <c r="N147" t="s">
        <v>42</v>
      </c>
      <c r="O147" t="s">
        <v>33</v>
      </c>
      <c r="P147" t="s">
        <v>34</v>
      </c>
      <c r="Q147" t="s">
        <v>34</v>
      </c>
      <c r="R147" t="s">
        <v>34</v>
      </c>
      <c r="S147" t="s">
        <v>34</v>
      </c>
      <c r="T147" s="117">
        <v>0</v>
      </c>
    </row>
    <row r="148" spans="1:20" ht="14.5" customHeight="1" x14ac:dyDescent="0.35">
      <c r="A148" t="s">
        <v>71</v>
      </c>
      <c r="B148" t="s">
        <v>24</v>
      </c>
      <c r="C148" s="1">
        <v>45314</v>
      </c>
      <c r="D148">
        <f t="shared" si="10"/>
        <v>23</v>
      </c>
      <c r="E148">
        <f t="shared" si="11"/>
        <v>1</v>
      </c>
      <c r="F148">
        <f t="shared" si="12"/>
        <v>2024</v>
      </c>
      <c r="G148" t="s">
        <v>87</v>
      </c>
      <c r="H148" s="97">
        <v>9223</v>
      </c>
      <c r="I148" s="91">
        <v>115.5</v>
      </c>
      <c r="J148" s="139" t="s">
        <v>31</v>
      </c>
      <c r="K148" s="29">
        <f t="shared" si="13"/>
        <v>115.5</v>
      </c>
      <c r="L148">
        <v>1</v>
      </c>
      <c r="M148" s="29">
        <v>0</v>
      </c>
      <c r="N148" t="s">
        <v>32</v>
      </c>
      <c r="O148" t="s">
        <v>33</v>
      </c>
      <c r="P148" t="s">
        <v>34</v>
      </c>
      <c r="Q148" t="s">
        <v>34</v>
      </c>
      <c r="R148" t="s">
        <v>34</v>
      </c>
      <c r="S148" t="s">
        <v>34</v>
      </c>
      <c r="T148" s="117">
        <v>0</v>
      </c>
    </row>
    <row r="149" spans="1:20" ht="14.5" customHeight="1" x14ac:dyDescent="0.35">
      <c r="A149" t="s">
        <v>71</v>
      </c>
      <c r="B149" t="s">
        <v>24</v>
      </c>
      <c r="C149" s="1">
        <v>45314</v>
      </c>
      <c r="D149">
        <f t="shared" si="10"/>
        <v>23</v>
      </c>
      <c r="E149">
        <f t="shared" si="11"/>
        <v>1</v>
      </c>
      <c r="F149">
        <f t="shared" si="12"/>
        <v>2024</v>
      </c>
      <c r="G149" t="s">
        <v>87</v>
      </c>
      <c r="H149" s="97">
        <v>9589</v>
      </c>
      <c r="I149" s="91">
        <v>346.5</v>
      </c>
      <c r="J149" s="139" t="s">
        <v>31</v>
      </c>
      <c r="K149" s="29">
        <f t="shared" si="13"/>
        <v>346.5</v>
      </c>
      <c r="L149">
        <v>1</v>
      </c>
      <c r="M149" s="29">
        <v>0</v>
      </c>
      <c r="N149" t="s">
        <v>32</v>
      </c>
      <c r="O149" t="s">
        <v>33</v>
      </c>
      <c r="P149" t="s">
        <v>34</v>
      </c>
      <c r="Q149" t="s">
        <v>34</v>
      </c>
      <c r="R149" t="s">
        <v>34</v>
      </c>
      <c r="S149" t="s">
        <v>34</v>
      </c>
      <c r="T149" s="117">
        <v>0</v>
      </c>
    </row>
    <row r="150" spans="1:20" ht="14.5" customHeight="1" x14ac:dyDescent="0.35">
      <c r="A150" t="s">
        <v>71</v>
      </c>
      <c r="B150" t="s">
        <v>24</v>
      </c>
      <c r="C150" s="1">
        <v>45314</v>
      </c>
      <c r="D150">
        <f t="shared" si="10"/>
        <v>23</v>
      </c>
      <c r="E150">
        <f t="shared" si="11"/>
        <v>1</v>
      </c>
      <c r="F150">
        <f t="shared" si="12"/>
        <v>2024</v>
      </c>
      <c r="G150" t="s">
        <v>87</v>
      </c>
      <c r="H150" s="97">
        <v>9224</v>
      </c>
      <c r="I150" s="91">
        <v>38500</v>
      </c>
      <c r="J150" s="139" t="s">
        <v>31</v>
      </c>
      <c r="K150" s="29">
        <f t="shared" si="13"/>
        <v>38500</v>
      </c>
      <c r="L150">
        <v>1</v>
      </c>
      <c r="M150" s="29">
        <v>0</v>
      </c>
      <c r="N150" t="s">
        <v>32</v>
      </c>
      <c r="O150" t="s">
        <v>33</v>
      </c>
      <c r="P150" t="s">
        <v>34</v>
      </c>
      <c r="Q150" t="s">
        <v>34</v>
      </c>
      <c r="R150" t="s">
        <v>34</v>
      </c>
      <c r="S150" t="s">
        <v>34</v>
      </c>
      <c r="T150" s="117">
        <v>0</v>
      </c>
    </row>
    <row r="151" spans="1:20" ht="14.5" customHeight="1" x14ac:dyDescent="0.35">
      <c r="A151" t="s">
        <v>71</v>
      </c>
      <c r="B151" t="s">
        <v>24</v>
      </c>
      <c r="C151" s="1">
        <v>45314</v>
      </c>
      <c r="D151">
        <f t="shared" si="10"/>
        <v>23</v>
      </c>
      <c r="E151">
        <f t="shared" si="11"/>
        <v>1</v>
      </c>
      <c r="F151">
        <f t="shared" si="12"/>
        <v>2024</v>
      </c>
      <c r="G151" s="4" t="s">
        <v>85</v>
      </c>
      <c r="H151" s="97">
        <v>9186</v>
      </c>
      <c r="I151" s="91">
        <v>89821.77</v>
      </c>
      <c r="J151" s="139" t="s">
        <v>31</v>
      </c>
      <c r="K151" s="29">
        <f t="shared" si="13"/>
        <v>89821.77</v>
      </c>
      <c r="L151">
        <v>1</v>
      </c>
      <c r="M151" s="29">
        <v>0</v>
      </c>
      <c r="N151" t="s">
        <v>32</v>
      </c>
      <c r="O151" t="s">
        <v>33</v>
      </c>
      <c r="P151" t="s">
        <v>34</v>
      </c>
      <c r="Q151" t="s">
        <v>34</v>
      </c>
      <c r="R151" t="s">
        <v>34</v>
      </c>
      <c r="S151" t="s">
        <v>34</v>
      </c>
      <c r="T151" s="117">
        <v>0</v>
      </c>
    </row>
    <row r="152" spans="1:20" ht="14.5" customHeight="1" x14ac:dyDescent="0.35">
      <c r="A152" t="s">
        <v>71</v>
      </c>
      <c r="B152" t="s">
        <v>25</v>
      </c>
      <c r="C152" s="1">
        <v>45314</v>
      </c>
      <c r="D152">
        <f t="shared" si="10"/>
        <v>23</v>
      </c>
      <c r="E152">
        <f t="shared" si="11"/>
        <v>1</v>
      </c>
      <c r="F152">
        <f t="shared" si="12"/>
        <v>2024</v>
      </c>
      <c r="G152" s="4" t="s">
        <v>85</v>
      </c>
      <c r="H152" s="97">
        <v>9186</v>
      </c>
      <c r="I152" s="91">
        <v>6785.43</v>
      </c>
      <c r="J152" s="139" t="s">
        <v>31</v>
      </c>
      <c r="K152" s="29">
        <f t="shared" si="13"/>
        <v>6785.43</v>
      </c>
      <c r="L152">
        <v>1</v>
      </c>
      <c r="M152" s="29">
        <v>0</v>
      </c>
      <c r="N152" t="s">
        <v>32</v>
      </c>
      <c r="O152" t="s">
        <v>33</v>
      </c>
      <c r="P152" t="s">
        <v>34</v>
      </c>
      <c r="Q152" t="s">
        <v>34</v>
      </c>
      <c r="R152" t="s">
        <v>34</v>
      </c>
      <c r="S152" t="s">
        <v>34</v>
      </c>
      <c r="T152" s="117">
        <v>0</v>
      </c>
    </row>
    <row r="153" spans="1:20" ht="14.5" customHeight="1" x14ac:dyDescent="0.35">
      <c r="A153" t="s">
        <v>71</v>
      </c>
      <c r="B153" t="s">
        <v>24</v>
      </c>
      <c r="C153" s="1">
        <v>45314</v>
      </c>
      <c r="D153">
        <f t="shared" si="10"/>
        <v>23</v>
      </c>
      <c r="E153">
        <f t="shared" si="11"/>
        <v>1</v>
      </c>
      <c r="F153">
        <f t="shared" si="12"/>
        <v>2024</v>
      </c>
      <c r="G153" t="s">
        <v>99</v>
      </c>
      <c r="H153" s="97">
        <v>9584</v>
      </c>
      <c r="I153" s="91">
        <v>8075.24</v>
      </c>
      <c r="J153" s="139" t="s">
        <v>31</v>
      </c>
      <c r="K153" s="29">
        <f t="shared" si="13"/>
        <v>8075.24</v>
      </c>
      <c r="L153">
        <v>1</v>
      </c>
      <c r="M153" s="29">
        <v>0</v>
      </c>
      <c r="N153" t="s">
        <v>32</v>
      </c>
      <c r="O153" t="s">
        <v>33</v>
      </c>
      <c r="P153" t="s">
        <v>34</v>
      </c>
      <c r="Q153" t="s">
        <v>34</v>
      </c>
      <c r="R153" t="s">
        <v>34</v>
      </c>
      <c r="S153" t="s">
        <v>34</v>
      </c>
      <c r="T153" s="117">
        <v>0</v>
      </c>
    </row>
    <row r="154" spans="1:20" ht="14.5" customHeight="1" x14ac:dyDescent="0.35">
      <c r="A154" t="s">
        <v>71</v>
      </c>
      <c r="B154" t="s">
        <v>25</v>
      </c>
      <c r="C154" s="1">
        <v>45314</v>
      </c>
      <c r="D154">
        <f t="shared" si="10"/>
        <v>23</v>
      </c>
      <c r="E154">
        <f t="shared" si="11"/>
        <v>1</v>
      </c>
      <c r="F154">
        <f t="shared" si="12"/>
        <v>2024</v>
      </c>
      <c r="G154" t="s">
        <v>99</v>
      </c>
      <c r="H154" s="97">
        <v>9584</v>
      </c>
      <c r="I154" s="91">
        <v>26416.05</v>
      </c>
      <c r="J154" s="139" t="s">
        <v>31</v>
      </c>
      <c r="K154" s="29">
        <f t="shared" si="13"/>
        <v>26416.05</v>
      </c>
      <c r="L154">
        <v>1</v>
      </c>
      <c r="M154" s="29">
        <v>0</v>
      </c>
      <c r="N154" t="s">
        <v>32</v>
      </c>
      <c r="O154" t="s">
        <v>33</v>
      </c>
      <c r="P154" t="s">
        <v>34</v>
      </c>
      <c r="Q154" t="s">
        <v>34</v>
      </c>
      <c r="R154" t="s">
        <v>34</v>
      </c>
      <c r="S154" t="s">
        <v>34</v>
      </c>
      <c r="T154" s="117">
        <v>0</v>
      </c>
    </row>
    <row r="155" spans="1:20" ht="14.5" customHeight="1" x14ac:dyDescent="0.35">
      <c r="A155" t="s">
        <v>71</v>
      </c>
      <c r="B155" t="s">
        <v>24</v>
      </c>
      <c r="C155" s="1">
        <v>45314</v>
      </c>
      <c r="D155">
        <f t="shared" si="10"/>
        <v>23</v>
      </c>
      <c r="E155">
        <f t="shared" si="11"/>
        <v>1</v>
      </c>
      <c r="F155">
        <f t="shared" si="12"/>
        <v>2024</v>
      </c>
      <c r="G155" t="s">
        <v>99</v>
      </c>
      <c r="H155" s="97">
        <v>9240</v>
      </c>
      <c r="I155" s="91">
        <v>29750.17</v>
      </c>
      <c r="J155" s="139" t="s">
        <v>31</v>
      </c>
      <c r="K155" s="29">
        <f t="shared" si="13"/>
        <v>29750.17</v>
      </c>
      <c r="L155">
        <v>1</v>
      </c>
      <c r="M155" s="29">
        <v>0</v>
      </c>
      <c r="N155" t="s">
        <v>32</v>
      </c>
      <c r="O155" t="s">
        <v>33</v>
      </c>
      <c r="P155" t="s">
        <v>34</v>
      </c>
      <c r="Q155" t="s">
        <v>34</v>
      </c>
      <c r="R155" t="s">
        <v>34</v>
      </c>
      <c r="S155" t="s">
        <v>34</v>
      </c>
      <c r="T155" s="117">
        <v>0</v>
      </c>
    </row>
    <row r="156" spans="1:20" ht="14.5" customHeight="1" x14ac:dyDescent="0.35">
      <c r="A156" t="s">
        <v>71</v>
      </c>
      <c r="B156" t="s">
        <v>23</v>
      </c>
      <c r="C156" s="1">
        <v>45314</v>
      </c>
      <c r="D156">
        <f t="shared" si="10"/>
        <v>23</v>
      </c>
      <c r="E156">
        <f t="shared" si="11"/>
        <v>1</v>
      </c>
      <c r="F156">
        <f t="shared" si="12"/>
        <v>2024</v>
      </c>
      <c r="G156" t="s">
        <v>82</v>
      </c>
      <c r="H156" s="98">
        <v>9814</v>
      </c>
      <c r="I156" s="90">
        <v>5616.32</v>
      </c>
      <c r="J156" s="12" t="s">
        <v>31</v>
      </c>
      <c r="K156" s="29">
        <f t="shared" si="13"/>
        <v>5616.32</v>
      </c>
      <c r="L156">
        <v>1</v>
      </c>
      <c r="M156" s="29">
        <v>0</v>
      </c>
      <c r="N156" t="s">
        <v>32</v>
      </c>
      <c r="O156" t="s">
        <v>33</v>
      </c>
      <c r="P156" t="s">
        <v>34</v>
      </c>
      <c r="Q156" t="s">
        <v>34</v>
      </c>
      <c r="R156" t="s">
        <v>34</v>
      </c>
      <c r="S156" t="s">
        <v>34</v>
      </c>
      <c r="T156" s="117">
        <v>0</v>
      </c>
    </row>
    <row r="157" spans="1:20" ht="14.5" customHeight="1" x14ac:dyDescent="0.35">
      <c r="A157" t="s">
        <v>71</v>
      </c>
      <c r="B157" t="s">
        <v>24</v>
      </c>
      <c r="C157" s="1">
        <v>45314</v>
      </c>
      <c r="D157">
        <f t="shared" si="10"/>
        <v>23</v>
      </c>
      <c r="E157">
        <f t="shared" si="11"/>
        <v>1</v>
      </c>
      <c r="F157">
        <f t="shared" si="12"/>
        <v>2024</v>
      </c>
      <c r="G157" t="s">
        <v>45</v>
      </c>
      <c r="H157" s="98">
        <v>9256</v>
      </c>
      <c r="I157" s="90">
        <v>4669.92</v>
      </c>
      <c r="J157" s="12" t="s">
        <v>31</v>
      </c>
      <c r="K157" s="29">
        <f t="shared" si="13"/>
        <v>4669.92</v>
      </c>
      <c r="L157">
        <v>1</v>
      </c>
      <c r="M157" s="29">
        <v>0</v>
      </c>
      <c r="N157" t="s">
        <v>42</v>
      </c>
      <c r="O157" t="s">
        <v>33</v>
      </c>
      <c r="P157" t="s">
        <v>34</v>
      </c>
      <c r="Q157" t="s">
        <v>34</v>
      </c>
      <c r="R157" t="s">
        <v>34</v>
      </c>
      <c r="S157" t="s">
        <v>34</v>
      </c>
      <c r="T157" s="117">
        <v>0</v>
      </c>
    </row>
    <row r="158" spans="1:20" ht="14.5" customHeight="1" x14ac:dyDescent="0.35">
      <c r="A158" t="s">
        <v>71</v>
      </c>
      <c r="B158" t="s">
        <v>23</v>
      </c>
      <c r="C158" s="1">
        <v>45314</v>
      </c>
      <c r="D158">
        <f t="shared" si="10"/>
        <v>23</v>
      </c>
      <c r="E158">
        <f t="shared" si="11"/>
        <v>1</v>
      </c>
      <c r="F158">
        <f t="shared" si="12"/>
        <v>2024</v>
      </c>
      <c r="G158" t="s">
        <v>121</v>
      </c>
      <c r="H158" s="98">
        <v>9270</v>
      </c>
      <c r="I158" s="90">
        <v>12759.52</v>
      </c>
      <c r="J158" s="12" t="s">
        <v>31</v>
      </c>
      <c r="K158" s="29">
        <f t="shared" si="13"/>
        <v>12759.52</v>
      </c>
      <c r="L158">
        <v>1</v>
      </c>
      <c r="M158" s="29">
        <v>0</v>
      </c>
      <c r="N158" t="s">
        <v>32</v>
      </c>
      <c r="O158" t="s">
        <v>33</v>
      </c>
      <c r="P158" t="s">
        <v>34</v>
      </c>
      <c r="Q158" t="s">
        <v>34</v>
      </c>
      <c r="R158" t="s">
        <v>34</v>
      </c>
      <c r="S158" t="s">
        <v>34</v>
      </c>
      <c r="T158" s="117">
        <v>0</v>
      </c>
    </row>
    <row r="159" spans="1:20" ht="14.5" customHeight="1" x14ac:dyDescent="0.35">
      <c r="A159" t="s">
        <v>71</v>
      </c>
      <c r="B159" t="s">
        <v>25</v>
      </c>
      <c r="C159" s="1">
        <v>45314</v>
      </c>
      <c r="D159">
        <f t="shared" si="10"/>
        <v>23</v>
      </c>
      <c r="E159">
        <f t="shared" si="11"/>
        <v>1</v>
      </c>
      <c r="F159">
        <f t="shared" si="12"/>
        <v>2024</v>
      </c>
      <c r="G159" t="s">
        <v>49</v>
      </c>
      <c r="H159" s="98">
        <v>9297</v>
      </c>
      <c r="I159" s="90">
        <v>22460.77</v>
      </c>
      <c r="J159" s="12" t="s">
        <v>51</v>
      </c>
      <c r="K159" s="29">
        <f t="shared" si="13"/>
        <v>24448.548145000001</v>
      </c>
      <c r="L159">
        <v>1.0885</v>
      </c>
      <c r="M159" s="29">
        <v>0</v>
      </c>
      <c r="N159" t="s">
        <v>32</v>
      </c>
      <c r="O159" t="s">
        <v>33</v>
      </c>
      <c r="P159" t="s">
        <v>34</v>
      </c>
      <c r="Q159" t="s">
        <v>34</v>
      </c>
      <c r="R159" t="s">
        <v>34</v>
      </c>
      <c r="S159" t="s">
        <v>34</v>
      </c>
      <c r="T159" s="117">
        <v>0</v>
      </c>
    </row>
    <row r="160" spans="1:20" ht="14.5" customHeight="1" x14ac:dyDescent="0.35">
      <c r="A160" t="s">
        <v>71</v>
      </c>
      <c r="B160" t="s">
        <v>25</v>
      </c>
      <c r="C160" s="1">
        <v>45314</v>
      </c>
      <c r="D160">
        <f t="shared" si="10"/>
        <v>23</v>
      </c>
      <c r="E160">
        <f t="shared" si="11"/>
        <v>1</v>
      </c>
      <c r="F160">
        <f t="shared" si="12"/>
        <v>2024</v>
      </c>
      <c r="G160" t="s">
        <v>49</v>
      </c>
      <c r="H160" s="98">
        <v>9543</v>
      </c>
      <c r="I160" s="90">
        <v>29997.56</v>
      </c>
      <c r="J160" s="12" t="s">
        <v>51</v>
      </c>
      <c r="K160" s="29">
        <f t="shared" si="13"/>
        <v>32652.344060000003</v>
      </c>
      <c r="L160">
        <v>1.0885</v>
      </c>
      <c r="M160" s="29">
        <v>0</v>
      </c>
      <c r="N160" t="s">
        <v>32</v>
      </c>
      <c r="O160" t="s">
        <v>33</v>
      </c>
      <c r="P160" t="s">
        <v>34</v>
      </c>
      <c r="Q160" t="s">
        <v>34</v>
      </c>
      <c r="R160" t="s">
        <v>34</v>
      </c>
      <c r="S160" t="s">
        <v>34</v>
      </c>
      <c r="T160" s="117">
        <v>0</v>
      </c>
    </row>
    <row r="161" spans="1:21" ht="14.5" customHeight="1" x14ac:dyDescent="0.35">
      <c r="A161" t="s">
        <v>71</v>
      </c>
      <c r="B161" t="s">
        <v>23</v>
      </c>
      <c r="C161" s="1">
        <v>45314</v>
      </c>
      <c r="D161">
        <f t="shared" si="10"/>
        <v>23</v>
      </c>
      <c r="E161">
        <f t="shared" si="11"/>
        <v>1</v>
      </c>
      <c r="F161">
        <f t="shared" si="12"/>
        <v>2024</v>
      </c>
      <c r="G161" t="s">
        <v>52</v>
      </c>
      <c r="H161" s="98">
        <v>9499</v>
      </c>
      <c r="I161" s="90">
        <v>6868.5</v>
      </c>
      <c r="J161" s="12" t="s">
        <v>31</v>
      </c>
      <c r="K161" s="29">
        <f t="shared" si="13"/>
        <v>6868.5</v>
      </c>
      <c r="L161">
        <v>1</v>
      </c>
      <c r="M161" s="29">
        <v>0</v>
      </c>
      <c r="N161" t="s">
        <v>32</v>
      </c>
      <c r="O161" t="s">
        <v>33</v>
      </c>
      <c r="P161" t="s">
        <v>34</v>
      </c>
      <c r="Q161" t="s">
        <v>34</v>
      </c>
      <c r="R161" t="s">
        <v>34</v>
      </c>
      <c r="S161" t="s">
        <v>34</v>
      </c>
      <c r="T161" s="117">
        <v>0</v>
      </c>
    </row>
    <row r="162" spans="1:21" ht="14.5" customHeight="1" x14ac:dyDescent="0.35">
      <c r="A162" t="s">
        <v>20</v>
      </c>
      <c r="B162" t="s">
        <v>23</v>
      </c>
      <c r="C162" s="1">
        <v>45314</v>
      </c>
      <c r="D162">
        <f t="shared" si="10"/>
        <v>23</v>
      </c>
      <c r="E162">
        <f t="shared" si="11"/>
        <v>1</v>
      </c>
      <c r="F162">
        <f t="shared" si="12"/>
        <v>2024</v>
      </c>
      <c r="G162" t="s">
        <v>97</v>
      </c>
      <c r="H162" s="98">
        <v>9750</v>
      </c>
      <c r="I162" s="90">
        <v>40368.57</v>
      </c>
      <c r="J162" s="12" t="s">
        <v>31</v>
      </c>
      <c r="K162" s="29">
        <f t="shared" ref="K162:K191" si="14">IF(J162="USD",I162,I162*L162)</f>
        <v>40368.57</v>
      </c>
      <c r="L162">
        <v>1</v>
      </c>
      <c r="M162" s="29">
        <v>1248.51</v>
      </c>
      <c r="N162" t="s">
        <v>32</v>
      </c>
      <c r="O162" t="s">
        <v>33</v>
      </c>
      <c r="P162" t="s">
        <v>34</v>
      </c>
      <c r="Q162" t="s">
        <v>34</v>
      </c>
      <c r="R162" t="s">
        <v>34</v>
      </c>
      <c r="S162" t="s">
        <v>34</v>
      </c>
      <c r="T162" s="117">
        <v>0</v>
      </c>
    </row>
    <row r="163" spans="1:21" ht="14.5" customHeight="1" x14ac:dyDescent="0.35">
      <c r="A163" t="s">
        <v>20</v>
      </c>
      <c r="B163" t="s">
        <v>23</v>
      </c>
      <c r="C163" s="1">
        <v>45314</v>
      </c>
      <c r="D163">
        <f t="shared" si="10"/>
        <v>23</v>
      </c>
      <c r="E163">
        <f t="shared" si="11"/>
        <v>1</v>
      </c>
      <c r="F163">
        <f t="shared" si="12"/>
        <v>2024</v>
      </c>
      <c r="G163" t="s">
        <v>43</v>
      </c>
      <c r="H163" s="98">
        <v>9695</v>
      </c>
      <c r="I163" s="90">
        <v>22.5</v>
      </c>
      <c r="J163" s="12" t="s">
        <v>31</v>
      </c>
      <c r="K163" s="29">
        <f t="shared" si="14"/>
        <v>22.5</v>
      </c>
      <c r="L163">
        <v>1</v>
      </c>
      <c r="M163" s="29">
        <v>0</v>
      </c>
      <c r="N163" t="s">
        <v>42</v>
      </c>
      <c r="O163" t="s">
        <v>33</v>
      </c>
      <c r="P163" t="s">
        <v>34</v>
      </c>
      <c r="Q163" t="s">
        <v>34</v>
      </c>
      <c r="R163" t="s">
        <v>34</v>
      </c>
      <c r="S163" t="s">
        <v>34</v>
      </c>
      <c r="T163" s="117">
        <v>0</v>
      </c>
    </row>
    <row r="164" spans="1:21" ht="14.5" customHeight="1" x14ac:dyDescent="0.35">
      <c r="A164" t="s">
        <v>20</v>
      </c>
      <c r="B164" t="s">
        <v>23</v>
      </c>
      <c r="C164" s="1">
        <v>45314</v>
      </c>
      <c r="D164">
        <f t="shared" si="10"/>
        <v>23</v>
      </c>
      <c r="E164">
        <f t="shared" si="11"/>
        <v>1</v>
      </c>
      <c r="F164">
        <f t="shared" si="12"/>
        <v>2024</v>
      </c>
      <c r="G164" t="s">
        <v>43</v>
      </c>
      <c r="H164" s="98">
        <v>9696</v>
      </c>
      <c r="I164" s="90">
        <v>4161.1499999999996</v>
      </c>
      <c r="J164" s="12" t="s">
        <v>31</v>
      </c>
      <c r="K164" s="29">
        <f t="shared" si="14"/>
        <v>4161.1499999999996</v>
      </c>
      <c r="L164">
        <v>1</v>
      </c>
      <c r="M164" s="29">
        <v>0</v>
      </c>
      <c r="N164" t="s">
        <v>42</v>
      </c>
      <c r="O164" t="s">
        <v>33</v>
      </c>
      <c r="P164" t="s">
        <v>34</v>
      </c>
      <c r="Q164" t="s">
        <v>34</v>
      </c>
      <c r="R164" t="s">
        <v>34</v>
      </c>
      <c r="S164" t="s">
        <v>34</v>
      </c>
      <c r="T164" s="117">
        <v>0</v>
      </c>
    </row>
    <row r="165" spans="1:21" ht="14.5" customHeight="1" x14ac:dyDescent="0.35">
      <c r="A165" t="s">
        <v>20</v>
      </c>
      <c r="B165" t="s">
        <v>23</v>
      </c>
      <c r="C165" s="1">
        <v>45314</v>
      </c>
      <c r="D165">
        <f t="shared" si="10"/>
        <v>23</v>
      </c>
      <c r="E165">
        <f t="shared" si="11"/>
        <v>1</v>
      </c>
      <c r="F165">
        <f t="shared" si="12"/>
        <v>2024</v>
      </c>
      <c r="G165" t="s">
        <v>52</v>
      </c>
      <c r="H165" s="98">
        <v>9674</v>
      </c>
      <c r="I165" s="90">
        <v>15769.79</v>
      </c>
      <c r="J165" s="12" t="s">
        <v>31</v>
      </c>
      <c r="K165" s="29">
        <f t="shared" si="14"/>
        <v>15769.79</v>
      </c>
      <c r="L165">
        <v>1</v>
      </c>
      <c r="M165" s="29">
        <v>0</v>
      </c>
      <c r="N165" t="s">
        <v>32</v>
      </c>
      <c r="O165" t="s">
        <v>33</v>
      </c>
      <c r="P165" t="s">
        <v>34</v>
      </c>
      <c r="Q165" t="s">
        <v>34</v>
      </c>
      <c r="R165" t="s">
        <v>34</v>
      </c>
      <c r="S165" t="s">
        <v>34</v>
      </c>
      <c r="T165" s="117">
        <v>0</v>
      </c>
    </row>
    <row r="166" spans="1:21" ht="14.5" customHeight="1" x14ac:dyDescent="0.35">
      <c r="A166" t="s">
        <v>19</v>
      </c>
      <c r="B166" t="s">
        <v>19</v>
      </c>
      <c r="C166" s="1">
        <v>45315</v>
      </c>
      <c r="D166">
        <f t="shared" si="10"/>
        <v>24</v>
      </c>
      <c r="E166">
        <f t="shared" si="11"/>
        <v>1</v>
      </c>
      <c r="F166">
        <f t="shared" si="12"/>
        <v>2024</v>
      </c>
      <c r="G166" t="s">
        <v>58</v>
      </c>
      <c r="H166" s="171">
        <v>9517</v>
      </c>
      <c r="I166" s="90">
        <v>69161.7</v>
      </c>
      <c r="J166" s="12" t="s">
        <v>31</v>
      </c>
      <c r="K166" s="29">
        <f t="shared" si="14"/>
        <v>69161.7</v>
      </c>
      <c r="L166">
        <v>1</v>
      </c>
      <c r="M166" s="29">
        <v>0</v>
      </c>
      <c r="N166" t="s">
        <v>32</v>
      </c>
      <c r="O166" t="s">
        <v>33</v>
      </c>
      <c r="P166" t="s">
        <v>34</v>
      </c>
      <c r="Q166" t="s">
        <v>34</v>
      </c>
      <c r="R166" t="s">
        <v>34</v>
      </c>
      <c r="S166" t="s">
        <v>34</v>
      </c>
      <c r="T166" s="117">
        <v>2511.5300000000002</v>
      </c>
    </row>
    <row r="167" spans="1:21" ht="14.5" customHeight="1" x14ac:dyDescent="0.35">
      <c r="A167" t="s">
        <v>19</v>
      </c>
      <c r="B167" t="s">
        <v>19</v>
      </c>
      <c r="C167" s="1">
        <v>45315</v>
      </c>
      <c r="D167">
        <f t="shared" si="10"/>
        <v>24</v>
      </c>
      <c r="E167">
        <f t="shared" si="11"/>
        <v>1</v>
      </c>
      <c r="F167">
        <f t="shared" si="12"/>
        <v>2024</v>
      </c>
      <c r="G167" t="s">
        <v>56</v>
      </c>
      <c r="H167" s="98">
        <v>9407</v>
      </c>
      <c r="I167" s="90">
        <v>181225.38</v>
      </c>
      <c r="J167" s="12" t="s">
        <v>31</v>
      </c>
      <c r="K167" s="29">
        <f t="shared" si="14"/>
        <v>181225.38</v>
      </c>
      <c r="L167">
        <v>1</v>
      </c>
      <c r="M167" s="29">
        <v>0</v>
      </c>
      <c r="N167" t="s">
        <v>32</v>
      </c>
      <c r="O167" t="s">
        <v>33</v>
      </c>
      <c r="P167" t="s">
        <v>34</v>
      </c>
      <c r="Q167" t="s">
        <v>34</v>
      </c>
      <c r="R167" t="s">
        <v>34</v>
      </c>
      <c r="S167" t="s">
        <v>34</v>
      </c>
      <c r="T167" s="117">
        <v>0</v>
      </c>
    </row>
    <row r="168" spans="1:21" ht="14.5" customHeight="1" x14ac:dyDescent="0.35">
      <c r="A168" t="s">
        <v>19</v>
      </c>
      <c r="B168" t="s">
        <v>19</v>
      </c>
      <c r="C168" s="1">
        <v>45315</v>
      </c>
      <c r="D168">
        <f t="shared" si="10"/>
        <v>24</v>
      </c>
      <c r="E168">
        <f t="shared" si="11"/>
        <v>1</v>
      </c>
      <c r="F168">
        <f t="shared" si="12"/>
        <v>2024</v>
      </c>
      <c r="G168" t="s">
        <v>122</v>
      </c>
      <c r="H168" s="98">
        <v>9798</v>
      </c>
      <c r="I168" s="90">
        <v>134905.41</v>
      </c>
      <c r="J168" s="12" t="s">
        <v>31</v>
      </c>
      <c r="K168" s="29">
        <f t="shared" si="14"/>
        <v>134905.41</v>
      </c>
      <c r="L168">
        <v>1</v>
      </c>
      <c r="M168" s="29">
        <v>0</v>
      </c>
      <c r="N168" t="s">
        <v>32</v>
      </c>
      <c r="O168" t="s">
        <v>33</v>
      </c>
      <c r="P168" t="s">
        <v>34</v>
      </c>
      <c r="Q168" t="s">
        <v>34</v>
      </c>
      <c r="R168" t="s">
        <v>34</v>
      </c>
      <c r="S168" t="s">
        <v>34</v>
      </c>
      <c r="T168" s="117">
        <v>0</v>
      </c>
    </row>
    <row r="169" spans="1:21" ht="14.5" customHeight="1" x14ac:dyDescent="0.35">
      <c r="A169" t="s">
        <v>19</v>
      </c>
      <c r="B169" t="s">
        <v>19</v>
      </c>
      <c r="C169" s="1">
        <v>45315</v>
      </c>
      <c r="D169">
        <f t="shared" si="10"/>
        <v>24</v>
      </c>
      <c r="E169">
        <f t="shared" si="11"/>
        <v>1</v>
      </c>
      <c r="F169">
        <f t="shared" si="12"/>
        <v>2024</v>
      </c>
      <c r="G169" t="s">
        <v>55</v>
      </c>
      <c r="H169" s="98">
        <v>9557</v>
      </c>
      <c r="I169" s="90">
        <v>27878.9</v>
      </c>
      <c r="J169" s="12" t="s">
        <v>31</v>
      </c>
      <c r="K169" s="29">
        <f t="shared" si="14"/>
        <v>27878.9</v>
      </c>
      <c r="L169">
        <v>1</v>
      </c>
      <c r="M169" s="29">
        <v>0</v>
      </c>
      <c r="N169" t="s">
        <v>32</v>
      </c>
      <c r="O169" t="s">
        <v>33</v>
      </c>
      <c r="P169" t="s">
        <v>34</v>
      </c>
      <c r="Q169" t="s">
        <v>34</v>
      </c>
      <c r="R169" t="s">
        <v>34</v>
      </c>
      <c r="S169" t="s">
        <v>34</v>
      </c>
      <c r="T169" s="117">
        <v>0</v>
      </c>
    </row>
    <row r="170" spans="1:21" ht="14.5" customHeight="1" x14ac:dyDescent="0.35">
      <c r="A170" t="s">
        <v>19</v>
      </c>
      <c r="B170" t="s">
        <v>19</v>
      </c>
      <c r="C170" s="1">
        <v>45315</v>
      </c>
      <c r="D170">
        <f t="shared" si="10"/>
        <v>24</v>
      </c>
      <c r="E170">
        <f t="shared" si="11"/>
        <v>1</v>
      </c>
      <c r="F170">
        <f t="shared" si="12"/>
        <v>2024</v>
      </c>
      <c r="G170" t="s">
        <v>123</v>
      </c>
      <c r="H170" s="98">
        <v>9654</v>
      </c>
      <c r="I170" s="90">
        <v>10862</v>
      </c>
      <c r="J170" s="12" t="s">
        <v>31</v>
      </c>
      <c r="K170" s="29">
        <f t="shared" si="14"/>
        <v>10862</v>
      </c>
      <c r="L170">
        <v>1</v>
      </c>
      <c r="M170" s="29">
        <v>0</v>
      </c>
      <c r="N170" t="s">
        <v>32</v>
      </c>
      <c r="O170" t="s">
        <v>33</v>
      </c>
      <c r="P170" t="s">
        <v>34</v>
      </c>
      <c r="Q170" t="s">
        <v>34</v>
      </c>
      <c r="R170" t="s">
        <v>34</v>
      </c>
      <c r="S170" t="s">
        <v>34</v>
      </c>
      <c r="T170" s="117">
        <v>0</v>
      </c>
    </row>
    <row r="171" spans="1:21" ht="14.5" customHeight="1" x14ac:dyDescent="0.35">
      <c r="A171" t="s">
        <v>19</v>
      </c>
      <c r="B171" t="s">
        <v>19</v>
      </c>
      <c r="C171" s="1">
        <v>45315</v>
      </c>
      <c r="D171">
        <f t="shared" si="10"/>
        <v>24</v>
      </c>
      <c r="E171">
        <f t="shared" si="11"/>
        <v>1</v>
      </c>
      <c r="F171">
        <f t="shared" si="12"/>
        <v>2024</v>
      </c>
      <c r="G171" t="s">
        <v>111</v>
      </c>
      <c r="H171" s="98">
        <v>9466</v>
      </c>
      <c r="I171" s="90">
        <v>37494.43</v>
      </c>
      <c r="J171" s="12" t="s">
        <v>31</v>
      </c>
      <c r="K171" s="29">
        <f t="shared" si="14"/>
        <v>37494.43</v>
      </c>
      <c r="L171">
        <v>1</v>
      </c>
      <c r="M171" s="29">
        <v>0</v>
      </c>
      <c r="N171" t="s">
        <v>32</v>
      </c>
      <c r="O171" t="s">
        <v>33</v>
      </c>
      <c r="P171" t="s">
        <v>34</v>
      </c>
      <c r="Q171" t="s">
        <v>34</v>
      </c>
      <c r="R171" t="s">
        <v>34</v>
      </c>
      <c r="S171" t="s">
        <v>34</v>
      </c>
      <c r="T171" s="117">
        <v>1106.07</v>
      </c>
    </row>
    <row r="172" spans="1:21" ht="14.5" customHeight="1" x14ac:dyDescent="0.35">
      <c r="A172" t="s">
        <v>19</v>
      </c>
      <c r="B172" t="s">
        <v>19</v>
      </c>
      <c r="C172" s="1">
        <v>45315</v>
      </c>
      <c r="D172">
        <f t="shared" si="10"/>
        <v>24</v>
      </c>
      <c r="E172">
        <f t="shared" si="11"/>
        <v>1</v>
      </c>
      <c r="F172">
        <f t="shared" si="12"/>
        <v>2024</v>
      </c>
      <c r="G172" t="s">
        <v>124</v>
      </c>
      <c r="H172" s="98">
        <v>9616</v>
      </c>
      <c r="I172" s="90">
        <v>364.5</v>
      </c>
      <c r="J172" s="12" t="s">
        <v>31</v>
      </c>
      <c r="K172" s="29">
        <f t="shared" si="14"/>
        <v>364.5</v>
      </c>
      <c r="L172">
        <v>1</v>
      </c>
      <c r="M172" s="29">
        <v>0</v>
      </c>
      <c r="N172" t="s">
        <v>32</v>
      </c>
      <c r="O172" t="s">
        <v>33</v>
      </c>
      <c r="P172" t="s">
        <v>34</v>
      </c>
      <c r="Q172" t="s">
        <v>34</v>
      </c>
      <c r="R172" t="s">
        <v>34</v>
      </c>
      <c r="S172" t="s">
        <v>34</v>
      </c>
      <c r="T172" s="117">
        <v>0</v>
      </c>
    </row>
    <row r="173" spans="1:21" ht="14.5" customHeight="1" x14ac:dyDescent="0.35">
      <c r="A173" t="s">
        <v>19</v>
      </c>
      <c r="B173" t="s">
        <v>19</v>
      </c>
      <c r="C173" s="1">
        <v>45315</v>
      </c>
      <c r="D173">
        <f t="shared" si="10"/>
        <v>24</v>
      </c>
      <c r="E173">
        <f t="shared" si="11"/>
        <v>1</v>
      </c>
      <c r="F173">
        <f t="shared" si="12"/>
        <v>2024</v>
      </c>
      <c r="G173" t="s">
        <v>125</v>
      </c>
      <c r="H173" s="98">
        <v>9511</v>
      </c>
      <c r="I173" s="90">
        <v>59709.47</v>
      </c>
      <c r="J173" s="12" t="s">
        <v>31</v>
      </c>
      <c r="K173" s="29">
        <f t="shared" si="14"/>
        <v>59709.47</v>
      </c>
      <c r="L173">
        <v>1</v>
      </c>
      <c r="M173" s="29">
        <v>0</v>
      </c>
      <c r="N173" t="s">
        <v>32</v>
      </c>
      <c r="O173" t="s">
        <v>33</v>
      </c>
      <c r="P173" t="s">
        <v>34</v>
      </c>
      <c r="Q173" t="s">
        <v>34</v>
      </c>
      <c r="R173" t="s">
        <v>34</v>
      </c>
      <c r="S173" t="s">
        <v>34</v>
      </c>
      <c r="T173" s="117">
        <v>0</v>
      </c>
    </row>
    <row r="174" spans="1:21" ht="14.5" customHeight="1" x14ac:dyDescent="0.35">
      <c r="A174" t="s">
        <v>19</v>
      </c>
      <c r="B174" t="s">
        <v>26</v>
      </c>
      <c r="C174" s="1">
        <v>45317</v>
      </c>
      <c r="D174">
        <f t="shared" si="10"/>
        <v>26</v>
      </c>
      <c r="E174">
        <f t="shared" si="11"/>
        <v>1</v>
      </c>
      <c r="F174">
        <f t="shared" si="12"/>
        <v>2024</v>
      </c>
      <c r="G174" t="s">
        <v>73</v>
      </c>
      <c r="H174" s="98">
        <v>9690</v>
      </c>
      <c r="I174" s="90">
        <v>29541.21</v>
      </c>
      <c r="J174" s="12" t="s">
        <v>51</v>
      </c>
      <c r="K174" s="29">
        <f t="shared" si="14"/>
        <v>32194.010658000003</v>
      </c>
      <c r="L174">
        <v>1.0898000000000001</v>
      </c>
      <c r="M174" s="29">
        <v>0</v>
      </c>
      <c r="N174" t="s">
        <v>32</v>
      </c>
      <c r="O174" t="s">
        <v>33</v>
      </c>
      <c r="P174" t="s">
        <v>34</v>
      </c>
      <c r="Q174" t="s">
        <v>34</v>
      </c>
      <c r="R174" t="s">
        <v>34</v>
      </c>
      <c r="S174" t="s">
        <v>34</v>
      </c>
      <c r="T174" s="117">
        <v>0</v>
      </c>
      <c r="U174" s="209" t="s">
        <v>94</v>
      </c>
    </row>
    <row r="175" spans="1:21" ht="14.5" customHeight="1" x14ac:dyDescent="0.35">
      <c r="A175" t="s">
        <v>19</v>
      </c>
      <c r="B175" t="s">
        <v>26</v>
      </c>
      <c r="C175" s="1">
        <v>45317</v>
      </c>
      <c r="D175">
        <f t="shared" si="10"/>
        <v>26</v>
      </c>
      <c r="E175">
        <f t="shared" si="11"/>
        <v>1</v>
      </c>
      <c r="F175">
        <f t="shared" si="12"/>
        <v>2024</v>
      </c>
      <c r="G175" t="s">
        <v>73</v>
      </c>
      <c r="H175" s="98">
        <v>9691</v>
      </c>
      <c r="I175" s="90">
        <v>96302.07</v>
      </c>
      <c r="J175" s="12" t="s">
        <v>51</v>
      </c>
      <c r="K175" s="29">
        <f t="shared" si="14"/>
        <v>104949.99588600002</v>
      </c>
      <c r="L175">
        <v>1.0898000000000001</v>
      </c>
      <c r="M175" s="29">
        <v>0</v>
      </c>
      <c r="N175" t="s">
        <v>32</v>
      </c>
      <c r="O175" t="s">
        <v>33</v>
      </c>
      <c r="P175" t="s">
        <v>34</v>
      </c>
      <c r="Q175" t="s">
        <v>34</v>
      </c>
      <c r="R175" t="s">
        <v>34</v>
      </c>
      <c r="S175" t="s">
        <v>34</v>
      </c>
      <c r="T175" s="117">
        <v>0</v>
      </c>
      <c r="U175" s="209" t="s">
        <v>94</v>
      </c>
    </row>
    <row r="176" spans="1:21" ht="14.5" customHeight="1" x14ac:dyDescent="0.35">
      <c r="A176" t="s">
        <v>19</v>
      </c>
      <c r="B176" t="s">
        <v>26</v>
      </c>
      <c r="C176" s="1">
        <v>45317</v>
      </c>
      <c r="D176">
        <f t="shared" si="10"/>
        <v>26</v>
      </c>
      <c r="E176">
        <f t="shared" si="11"/>
        <v>1</v>
      </c>
      <c r="F176">
        <f t="shared" si="12"/>
        <v>2024</v>
      </c>
      <c r="G176" t="s">
        <v>73</v>
      </c>
      <c r="H176" s="98">
        <v>9692</v>
      </c>
      <c r="I176" s="90">
        <v>86351.91</v>
      </c>
      <c r="J176" s="12" t="s">
        <v>51</v>
      </c>
      <c r="K176" s="29">
        <f t="shared" si="14"/>
        <v>94106.311518000017</v>
      </c>
      <c r="L176">
        <v>1.0898000000000001</v>
      </c>
      <c r="M176" s="29">
        <v>0</v>
      </c>
      <c r="N176" t="s">
        <v>32</v>
      </c>
      <c r="O176" t="s">
        <v>33</v>
      </c>
      <c r="P176" t="s">
        <v>34</v>
      </c>
      <c r="Q176" t="s">
        <v>34</v>
      </c>
      <c r="R176" t="s">
        <v>34</v>
      </c>
      <c r="S176" t="s">
        <v>34</v>
      </c>
      <c r="T176" s="117">
        <v>0</v>
      </c>
      <c r="U176" s="209" t="s">
        <v>94</v>
      </c>
    </row>
    <row r="177" spans="1:21" ht="14.5" customHeight="1" x14ac:dyDescent="0.35">
      <c r="A177" t="s">
        <v>19</v>
      </c>
      <c r="B177" t="s">
        <v>26</v>
      </c>
      <c r="C177" s="1">
        <v>45317</v>
      </c>
      <c r="D177">
        <f t="shared" si="10"/>
        <v>26</v>
      </c>
      <c r="E177">
        <f t="shared" si="11"/>
        <v>1</v>
      </c>
      <c r="F177">
        <f t="shared" si="12"/>
        <v>2024</v>
      </c>
      <c r="G177" t="s">
        <v>73</v>
      </c>
      <c r="H177" s="98">
        <v>9882</v>
      </c>
      <c r="I177" s="90">
        <v>40371.94</v>
      </c>
      <c r="J177" s="12" t="s">
        <v>51</v>
      </c>
      <c r="K177" s="29">
        <f t="shared" si="14"/>
        <v>43997.34021200001</v>
      </c>
      <c r="L177">
        <v>1.0898000000000001</v>
      </c>
      <c r="M177" s="29">
        <v>0</v>
      </c>
      <c r="N177" t="s">
        <v>32</v>
      </c>
      <c r="O177" t="s">
        <v>33</v>
      </c>
      <c r="P177" t="s">
        <v>34</v>
      </c>
      <c r="Q177" t="s">
        <v>34</v>
      </c>
      <c r="R177" t="s">
        <v>34</v>
      </c>
      <c r="S177" t="s">
        <v>34</v>
      </c>
      <c r="T177" s="117">
        <v>0</v>
      </c>
      <c r="U177" s="209" t="s">
        <v>94</v>
      </c>
    </row>
    <row r="178" spans="1:21" ht="14.5" customHeight="1" x14ac:dyDescent="0.35">
      <c r="A178" t="s">
        <v>19</v>
      </c>
      <c r="B178" t="s">
        <v>21</v>
      </c>
      <c r="C178" s="1">
        <v>45321</v>
      </c>
      <c r="D178">
        <f t="shared" si="10"/>
        <v>30</v>
      </c>
      <c r="E178">
        <f t="shared" si="11"/>
        <v>1</v>
      </c>
      <c r="F178">
        <f t="shared" si="12"/>
        <v>2024</v>
      </c>
      <c r="G178" t="s">
        <v>36</v>
      </c>
      <c r="H178" s="98">
        <v>9194</v>
      </c>
      <c r="I178" s="90">
        <v>6931</v>
      </c>
      <c r="J178" s="12" t="s">
        <v>31</v>
      </c>
      <c r="K178" s="29">
        <f t="shared" si="14"/>
        <v>6931</v>
      </c>
      <c r="L178">
        <v>1</v>
      </c>
      <c r="M178" s="29">
        <v>0</v>
      </c>
      <c r="N178" t="s">
        <v>32</v>
      </c>
      <c r="O178" t="s">
        <v>33</v>
      </c>
      <c r="P178" t="s">
        <v>34</v>
      </c>
      <c r="Q178" t="s">
        <v>34</v>
      </c>
      <c r="R178" t="s">
        <v>34</v>
      </c>
      <c r="S178" t="s">
        <v>34</v>
      </c>
      <c r="T178" s="117">
        <v>0</v>
      </c>
    </row>
    <row r="179" spans="1:21" ht="14.5" customHeight="1" x14ac:dyDescent="0.35">
      <c r="A179" t="s">
        <v>19</v>
      </c>
      <c r="B179" t="s">
        <v>24</v>
      </c>
      <c r="C179" s="1">
        <v>45321</v>
      </c>
      <c r="D179">
        <f t="shared" si="10"/>
        <v>30</v>
      </c>
      <c r="E179">
        <f t="shared" si="11"/>
        <v>1</v>
      </c>
      <c r="F179">
        <f t="shared" si="12"/>
        <v>2024</v>
      </c>
      <c r="G179" t="s">
        <v>36</v>
      </c>
      <c r="H179" s="98">
        <v>9437</v>
      </c>
      <c r="I179" s="90">
        <v>54313.2</v>
      </c>
      <c r="J179" s="12" t="s">
        <v>31</v>
      </c>
      <c r="K179" s="29">
        <f t="shared" si="14"/>
        <v>54313.2</v>
      </c>
      <c r="L179">
        <v>1</v>
      </c>
      <c r="M179" s="29">
        <v>0</v>
      </c>
      <c r="N179" t="s">
        <v>32</v>
      </c>
      <c r="O179" t="s">
        <v>33</v>
      </c>
      <c r="P179" t="s">
        <v>34</v>
      </c>
      <c r="Q179" t="s">
        <v>34</v>
      </c>
      <c r="R179" t="s">
        <v>34</v>
      </c>
      <c r="S179" t="s">
        <v>34</v>
      </c>
      <c r="T179" s="117">
        <v>0</v>
      </c>
    </row>
    <row r="180" spans="1:21" ht="14.5" customHeight="1" x14ac:dyDescent="0.35">
      <c r="A180" t="s">
        <v>19</v>
      </c>
      <c r="B180" t="s">
        <v>19</v>
      </c>
      <c r="C180" s="1">
        <v>45321</v>
      </c>
      <c r="D180">
        <f t="shared" si="10"/>
        <v>30</v>
      </c>
      <c r="E180">
        <f t="shared" si="11"/>
        <v>1</v>
      </c>
      <c r="F180">
        <f t="shared" si="12"/>
        <v>2024</v>
      </c>
      <c r="G180" t="s">
        <v>56</v>
      </c>
      <c r="H180" s="98">
        <v>9410</v>
      </c>
      <c r="I180" s="90">
        <v>171979.81</v>
      </c>
      <c r="J180" s="12" t="s">
        <v>31</v>
      </c>
      <c r="K180" s="29">
        <f t="shared" si="14"/>
        <v>171979.81</v>
      </c>
      <c r="L180">
        <v>1</v>
      </c>
      <c r="M180" s="29">
        <v>0</v>
      </c>
      <c r="N180" t="s">
        <v>32</v>
      </c>
      <c r="O180" t="s">
        <v>33</v>
      </c>
      <c r="P180" t="s">
        <v>34</v>
      </c>
      <c r="Q180" t="s">
        <v>34</v>
      </c>
      <c r="R180" t="s">
        <v>34</v>
      </c>
      <c r="S180" t="s">
        <v>34</v>
      </c>
      <c r="T180" s="117">
        <v>0</v>
      </c>
    </row>
    <row r="181" spans="1:21" ht="14.5" customHeight="1" x14ac:dyDescent="0.35">
      <c r="A181" t="s">
        <v>19</v>
      </c>
      <c r="B181" t="s">
        <v>19</v>
      </c>
      <c r="C181" s="1">
        <v>45321</v>
      </c>
      <c r="D181">
        <f t="shared" si="10"/>
        <v>30</v>
      </c>
      <c r="E181">
        <f t="shared" si="11"/>
        <v>1</v>
      </c>
      <c r="F181">
        <f t="shared" si="12"/>
        <v>2024</v>
      </c>
      <c r="G181" t="s">
        <v>56</v>
      </c>
      <c r="H181" s="98">
        <v>9414</v>
      </c>
      <c r="I181" s="90">
        <f>168437.58+7355.74</f>
        <v>175793.31999999998</v>
      </c>
      <c r="J181" s="12" t="s">
        <v>31</v>
      </c>
      <c r="K181" s="29">
        <f t="shared" si="14"/>
        <v>175793.31999999998</v>
      </c>
      <c r="L181">
        <v>1</v>
      </c>
      <c r="M181" s="29">
        <v>0</v>
      </c>
      <c r="N181" t="s">
        <v>32</v>
      </c>
      <c r="O181" t="s">
        <v>33</v>
      </c>
      <c r="P181" t="s">
        <v>34</v>
      </c>
      <c r="Q181" t="s">
        <v>34</v>
      </c>
      <c r="R181" t="s">
        <v>34</v>
      </c>
      <c r="S181" t="s">
        <v>34</v>
      </c>
      <c r="T181" s="117">
        <v>0</v>
      </c>
    </row>
    <row r="182" spans="1:21" ht="14.5" customHeight="1" x14ac:dyDescent="0.35">
      <c r="A182" t="s">
        <v>19</v>
      </c>
      <c r="B182" t="s">
        <v>19</v>
      </c>
      <c r="C182" s="1">
        <v>45321</v>
      </c>
      <c r="D182">
        <f t="shared" si="10"/>
        <v>30</v>
      </c>
      <c r="E182">
        <f t="shared" si="11"/>
        <v>1</v>
      </c>
      <c r="F182">
        <f t="shared" si="12"/>
        <v>2024</v>
      </c>
      <c r="G182" t="s">
        <v>45</v>
      </c>
      <c r="H182" s="98">
        <v>9735</v>
      </c>
      <c r="I182" s="90">
        <v>12816</v>
      </c>
      <c r="J182" s="12" t="s">
        <v>31</v>
      </c>
      <c r="K182" s="29">
        <f t="shared" si="14"/>
        <v>12816</v>
      </c>
      <c r="L182">
        <v>1</v>
      </c>
      <c r="M182" s="29">
        <v>0</v>
      </c>
      <c r="N182" t="s">
        <v>32</v>
      </c>
      <c r="O182" t="s">
        <v>33</v>
      </c>
      <c r="P182" t="s">
        <v>34</v>
      </c>
      <c r="Q182" t="s">
        <v>34</v>
      </c>
      <c r="R182" t="s">
        <v>34</v>
      </c>
      <c r="S182" t="s">
        <v>34</v>
      </c>
      <c r="T182" s="117">
        <v>0</v>
      </c>
    </row>
    <row r="183" spans="1:21" ht="14.5" customHeight="1" x14ac:dyDescent="0.35">
      <c r="A183" t="s">
        <v>19</v>
      </c>
      <c r="B183" t="s">
        <v>19</v>
      </c>
      <c r="C183" s="1">
        <v>45321</v>
      </c>
      <c r="D183">
        <f t="shared" si="10"/>
        <v>30</v>
      </c>
      <c r="E183">
        <f t="shared" si="11"/>
        <v>1</v>
      </c>
      <c r="F183">
        <f t="shared" si="12"/>
        <v>2024</v>
      </c>
      <c r="G183" t="s">
        <v>126</v>
      </c>
      <c r="H183" s="98">
        <v>9582</v>
      </c>
      <c r="I183" s="90">
        <v>16838.849999999999</v>
      </c>
      <c r="J183" s="12" t="s">
        <v>31</v>
      </c>
      <c r="K183" s="29">
        <f t="shared" si="14"/>
        <v>16838.849999999999</v>
      </c>
      <c r="L183">
        <v>1</v>
      </c>
      <c r="M183" s="29">
        <v>0</v>
      </c>
      <c r="N183" t="s">
        <v>32</v>
      </c>
      <c r="O183" t="s">
        <v>33</v>
      </c>
      <c r="P183" t="s">
        <v>34</v>
      </c>
      <c r="Q183" t="s">
        <v>34</v>
      </c>
      <c r="R183" t="s">
        <v>34</v>
      </c>
      <c r="S183" t="s">
        <v>34</v>
      </c>
      <c r="T183" s="117">
        <v>0</v>
      </c>
    </row>
    <row r="184" spans="1:21" ht="14.5" customHeight="1" x14ac:dyDescent="0.35">
      <c r="A184" t="s">
        <v>19</v>
      </c>
      <c r="B184" t="s">
        <v>19</v>
      </c>
      <c r="C184" s="1">
        <v>45321</v>
      </c>
      <c r="D184">
        <f t="shared" si="10"/>
        <v>30</v>
      </c>
      <c r="E184">
        <f t="shared" si="11"/>
        <v>1</v>
      </c>
      <c r="F184">
        <f t="shared" si="12"/>
        <v>2024</v>
      </c>
      <c r="G184" t="s">
        <v>127</v>
      </c>
      <c r="H184" s="98">
        <v>9710</v>
      </c>
      <c r="I184" s="90">
        <v>21764.94</v>
      </c>
      <c r="J184" s="12" t="s">
        <v>31</v>
      </c>
      <c r="K184" s="29">
        <f t="shared" si="14"/>
        <v>21764.94</v>
      </c>
      <c r="L184">
        <v>1</v>
      </c>
      <c r="M184" s="29">
        <v>0</v>
      </c>
      <c r="N184" t="s">
        <v>32</v>
      </c>
      <c r="O184" t="s">
        <v>33</v>
      </c>
      <c r="P184" t="s">
        <v>34</v>
      </c>
      <c r="Q184" t="s">
        <v>34</v>
      </c>
      <c r="R184" t="s">
        <v>34</v>
      </c>
      <c r="S184" t="s">
        <v>34</v>
      </c>
      <c r="T184" s="117">
        <v>0</v>
      </c>
    </row>
    <row r="185" spans="1:21" ht="14.5" customHeight="1" x14ac:dyDescent="0.35">
      <c r="A185" t="s">
        <v>19</v>
      </c>
      <c r="B185" t="s">
        <v>19</v>
      </c>
      <c r="C185" s="1">
        <v>45321</v>
      </c>
      <c r="D185">
        <f t="shared" si="10"/>
        <v>30</v>
      </c>
      <c r="E185">
        <f t="shared" si="11"/>
        <v>1</v>
      </c>
      <c r="F185">
        <f t="shared" si="12"/>
        <v>2024</v>
      </c>
      <c r="G185" t="s">
        <v>120</v>
      </c>
      <c r="H185" s="98">
        <v>9916</v>
      </c>
      <c r="I185" s="90">
        <v>3880</v>
      </c>
      <c r="J185" s="12" t="s">
        <v>31</v>
      </c>
      <c r="K185" s="29">
        <f t="shared" si="14"/>
        <v>3880</v>
      </c>
      <c r="L185">
        <v>1</v>
      </c>
      <c r="M185" s="29">
        <v>0</v>
      </c>
      <c r="N185" t="s">
        <v>42</v>
      </c>
      <c r="O185" t="s">
        <v>33</v>
      </c>
      <c r="P185" t="s">
        <v>34</v>
      </c>
      <c r="Q185" t="s">
        <v>34</v>
      </c>
      <c r="R185" t="s">
        <v>34</v>
      </c>
      <c r="S185" t="s">
        <v>34</v>
      </c>
      <c r="T185" s="117">
        <v>0</v>
      </c>
    </row>
    <row r="186" spans="1:21" ht="14.5" customHeight="1" x14ac:dyDescent="0.35">
      <c r="A186" t="s">
        <v>19</v>
      </c>
      <c r="B186" t="s">
        <v>19</v>
      </c>
      <c r="C186" s="1">
        <v>45321</v>
      </c>
      <c r="D186">
        <f t="shared" si="10"/>
        <v>30</v>
      </c>
      <c r="E186">
        <f t="shared" si="11"/>
        <v>1</v>
      </c>
      <c r="F186">
        <f t="shared" si="12"/>
        <v>2024</v>
      </c>
      <c r="G186" t="s">
        <v>120</v>
      </c>
      <c r="H186" s="98">
        <v>9595</v>
      </c>
      <c r="I186" s="90">
        <v>47207.43</v>
      </c>
      <c r="J186" s="12" t="s">
        <v>31</v>
      </c>
      <c r="K186" s="29">
        <f t="shared" si="14"/>
        <v>47207.43</v>
      </c>
      <c r="L186">
        <v>1</v>
      </c>
      <c r="M186" s="29">
        <v>0</v>
      </c>
      <c r="N186" t="s">
        <v>32</v>
      </c>
      <c r="O186" t="s">
        <v>33</v>
      </c>
      <c r="P186" t="s">
        <v>34</v>
      </c>
      <c r="Q186" t="s">
        <v>34</v>
      </c>
      <c r="R186" t="s">
        <v>34</v>
      </c>
      <c r="S186" t="s">
        <v>34</v>
      </c>
      <c r="T186" s="117">
        <v>0</v>
      </c>
    </row>
    <row r="187" spans="1:21" ht="14.5" customHeight="1" x14ac:dyDescent="0.35">
      <c r="A187" t="s">
        <v>19</v>
      </c>
      <c r="B187" t="s">
        <v>19</v>
      </c>
      <c r="C187" s="1">
        <v>45321</v>
      </c>
      <c r="D187">
        <f t="shared" si="10"/>
        <v>30</v>
      </c>
      <c r="E187">
        <f t="shared" si="11"/>
        <v>1</v>
      </c>
      <c r="F187">
        <f t="shared" si="12"/>
        <v>2024</v>
      </c>
      <c r="G187" t="s">
        <v>128</v>
      </c>
      <c r="H187" s="171">
        <v>9919</v>
      </c>
      <c r="I187" s="90">
        <v>51302</v>
      </c>
      <c r="J187" s="12" t="s">
        <v>31</v>
      </c>
      <c r="K187" s="29">
        <f t="shared" si="14"/>
        <v>51302</v>
      </c>
      <c r="L187">
        <v>1</v>
      </c>
      <c r="M187" s="29">
        <v>0</v>
      </c>
      <c r="N187" t="s">
        <v>42</v>
      </c>
      <c r="O187" t="s">
        <v>33</v>
      </c>
      <c r="P187" t="s">
        <v>34</v>
      </c>
      <c r="Q187" t="s">
        <v>34</v>
      </c>
      <c r="R187" t="s">
        <v>34</v>
      </c>
      <c r="S187" t="s">
        <v>34</v>
      </c>
      <c r="T187" s="117">
        <v>0</v>
      </c>
    </row>
    <row r="188" spans="1:21" ht="14.5" customHeight="1" x14ac:dyDescent="0.35">
      <c r="A188" t="s">
        <v>19</v>
      </c>
      <c r="B188" t="s">
        <v>19</v>
      </c>
      <c r="C188" s="1">
        <v>45321</v>
      </c>
      <c r="D188">
        <f t="shared" si="10"/>
        <v>30</v>
      </c>
      <c r="E188">
        <f t="shared" si="11"/>
        <v>1</v>
      </c>
      <c r="F188">
        <f t="shared" si="12"/>
        <v>2024</v>
      </c>
      <c r="G188" t="s">
        <v>421</v>
      </c>
      <c r="H188" s="171">
        <v>9108</v>
      </c>
      <c r="I188" s="90">
        <v>33838.839999999997</v>
      </c>
      <c r="J188" s="12" t="s">
        <v>31</v>
      </c>
      <c r="K188" s="29">
        <f t="shared" si="14"/>
        <v>33838.839999999997</v>
      </c>
      <c r="L188">
        <v>1</v>
      </c>
      <c r="M188" s="29">
        <v>0</v>
      </c>
      <c r="N188" t="s">
        <v>32</v>
      </c>
      <c r="O188" t="s">
        <v>33</v>
      </c>
      <c r="P188" t="s">
        <v>34</v>
      </c>
      <c r="Q188" t="s">
        <v>34</v>
      </c>
      <c r="R188" t="s">
        <v>34</v>
      </c>
      <c r="S188" t="s">
        <v>34</v>
      </c>
      <c r="T188" s="117">
        <v>0</v>
      </c>
    </row>
    <row r="189" spans="1:21" ht="14.5" customHeight="1" x14ac:dyDescent="0.35">
      <c r="A189" t="s">
        <v>19</v>
      </c>
      <c r="B189" t="s">
        <v>19</v>
      </c>
      <c r="C189" s="1">
        <v>45321</v>
      </c>
      <c r="D189">
        <f t="shared" si="10"/>
        <v>30</v>
      </c>
      <c r="E189">
        <f t="shared" si="11"/>
        <v>1</v>
      </c>
      <c r="F189">
        <f t="shared" si="12"/>
        <v>2024</v>
      </c>
      <c r="G189" t="s">
        <v>124</v>
      </c>
      <c r="H189" s="98">
        <v>9597</v>
      </c>
      <c r="I189" s="90">
        <v>47748.79</v>
      </c>
      <c r="J189" s="12" t="s">
        <v>31</v>
      </c>
      <c r="K189" s="29">
        <f t="shared" si="14"/>
        <v>47748.79</v>
      </c>
      <c r="L189">
        <v>1</v>
      </c>
      <c r="M189" s="29">
        <v>0</v>
      </c>
      <c r="N189" t="s">
        <v>32</v>
      </c>
      <c r="O189" t="s">
        <v>33</v>
      </c>
      <c r="P189" t="s">
        <v>34</v>
      </c>
      <c r="Q189" t="s">
        <v>34</v>
      </c>
      <c r="R189" t="s">
        <v>34</v>
      </c>
      <c r="S189" t="s">
        <v>34</v>
      </c>
      <c r="T189" s="117">
        <v>0</v>
      </c>
    </row>
    <row r="190" spans="1:21" ht="14.5" customHeight="1" x14ac:dyDescent="0.35">
      <c r="A190" t="s">
        <v>19</v>
      </c>
      <c r="B190" t="s">
        <v>19</v>
      </c>
      <c r="C190" s="1">
        <v>45321</v>
      </c>
      <c r="D190">
        <f t="shared" si="10"/>
        <v>30</v>
      </c>
      <c r="E190">
        <f t="shared" si="11"/>
        <v>1</v>
      </c>
      <c r="F190">
        <f t="shared" si="12"/>
        <v>2024</v>
      </c>
      <c r="G190" t="s">
        <v>110</v>
      </c>
      <c r="H190" s="98">
        <v>9491</v>
      </c>
      <c r="I190" s="90">
        <v>81196.600000000006</v>
      </c>
      <c r="J190" s="12" t="s">
        <v>31</v>
      </c>
      <c r="K190" s="29">
        <f t="shared" si="14"/>
        <v>81196.600000000006</v>
      </c>
      <c r="L190">
        <v>1</v>
      </c>
      <c r="M190" s="29">
        <v>0</v>
      </c>
      <c r="N190" t="s">
        <v>32</v>
      </c>
      <c r="O190" t="s">
        <v>33</v>
      </c>
      <c r="P190" t="s">
        <v>34</v>
      </c>
      <c r="Q190" t="s">
        <v>34</v>
      </c>
      <c r="R190" t="s">
        <v>34</v>
      </c>
      <c r="S190" t="s">
        <v>34</v>
      </c>
      <c r="T190" s="117">
        <v>262.60000000000002</v>
      </c>
    </row>
    <row r="191" spans="1:21" ht="14.5" customHeight="1" x14ac:dyDescent="0.35">
      <c r="A191" t="s">
        <v>20</v>
      </c>
      <c r="B191" t="s">
        <v>25</v>
      </c>
      <c r="C191" s="1">
        <v>45321</v>
      </c>
      <c r="D191">
        <f t="shared" si="10"/>
        <v>30</v>
      </c>
      <c r="E191">
        <f t="shared" si="11"/>
        <v>1</v>
      </c>
      <c r="F191">
        <f t="shared" si="12"/>
        <v>2024</v>
      </c>
      <c r="G191" t="s">
        <v>274</v>
      </c>
      <c r="H191" s="98">
        <v>9743</v>
      </c>
      <c r="I191" s="90">
        <v>14948.85</v>
      </c>
      <c r="J191" s="12" t="s">
        <v>31</v>
      </c>
      <c r="K191" s="29">
        <f t="shared" si="14"/>
        <v>14948.85</v>
      </c>
      <c r="L191">
        <v>1</v>
      </c>
      <c r="M191" s="29">
        <v>0</v>
      </c>
      <c r="N191" t="s">
        <v>42</v>
      </c>
      <c r="O191" t="s">
        <v>33</v>
      </c>
      <c r="P191" t="s">
        <v>34</v>
      </c>
      <c r="Q191" t="s">
        <v>34</v>
      </c>
      <c r="R191" t="s">
        <v>34</v>
      </c>
      <c r="S191" t="s">
        <v>34</v>
      </c>
      <c r="T191" s="117">
        <v>0</v>
      </c>
    </row>
    <row r="192" spans="1:21" ht="14.5" customHeight="1" x14ac:dyDescent="0.35">
      <c r="A192" t="s">
        <v>20</v>
      </c>
      <c r="B192" t="s">
        <v>25</v>
      </c>
      <c r="C192" s="1">
        <v>45321</v>
      </c>
      <c r="D192">
        <f t="shared" si="10"/>
        <v>30</v>
      </c>
      <c r="E192">
        <f t="shared" si="11"/>
        <v>1</v>
      </c>
      <c r="F192">
        <f t="shared" si="12"/>
        <v>2024</v>
      </c>
      <c r="G192" t="s">
        <v>274</v>
      </c>
      <c r="H192" s="98">
        <v>10553</v>
      </c>
      <c r="I192" s="90">
        <v>31.31</v>
      </c>
      <c r="J192" s="12" t="s">
        <v>31</v>
      </c>
      <c r="K192" s="29">
        <v>31.31</v>
      </c>
      <c r="L192">
        <v>1</v>
      </c>
      <c r="M192" s="29">
        <v>0</v>
      </c>
      <c r="N192" t="s">
        <v>42</v>
      </c>
      <c r="O192" t="s">
        <v>33</v>
      </c>
      <c r="P192" t="s">
        <v>34</v>
      </c>
      <c r="Q192" t="s">
        <v>34</v>
      </c>
      <c r="R192" t="s">
        <v>34</v>
      </c>
      <c r="S192" t="s">
        <v>34</v>
      </c>
      <c r="T192" s="117">
        <v>0</v>
      </c>
      <c r="U192" s="209" t="s">
        <v>271</v>
      </c>
    </row>
    <row r="193" spans="1:21" ht="14.5" customHeight="1" x14ac:dyDescent="0.35">
      <c r="A193" t="s">
        <v>20</v>
      </c>
      <c r="B193" t="s">
        <v>23</v>
      </c>
      <c r="C193" s="1">
        <v>45321</v>
      </c>
      <c r="D193">
        <f t="shared" si="10"/>
        <v>30</v>
      </c>
      <c r="E193">
        <f t="shared" si="11"/>
        <v>1</v>
      </c>
      <c r="F193">
        <f t="shared" si="12"/>
        <v>2024</v>
      </c>
      <c r="G193" t="s">
        <v>89</v>
      </c>
      <c r="H193" s="98">
        <v>10015</v>
      </c>
      <c r="I193" s="90">
        <v>27.5</v>
      </c>
      <c r="J193" s="12" t="s">
        <v>31</v>
      </c>
      <c r="K193" s="29">
        <f t="shared" ref="K193:K256" si="15">IF(J193="USD",I193,I193*L193)</f>
        <v>27.5</v>
      </c>
      <c r="L193">
        <v>1</v>
      </c>
      <c r="M193" s="29">
        <v>0</v>
      </c>
      <c r="N193" t="s">
        <v>42</v>
      </c>
      <c r="O193" t="s">
        <v>33</v>
      </c>
      <c r="P193" t="s">
        <v>34</v>
      </c>
      <c r="Q193" t="s">
        <v>34</v>
      </c>
      <c r="R193" t="s">
        <v>34</v>
      </c>
      <c r="S193" t="s">
        <v>34</v>
      </c>
      <c r="T193" s="117">
        <v>0</v>
      </c>
    </row>
    <row r="194" spans="1:21" ht="14.5" customHeight="1" x14ac:dyDescent="0.35">
      <c r="A194" t="s">
        <v>20</v>
      </c>
      <c r="B194" t="s">
        <v>23</v>
      </c>
      <c r="C194" s="1">
        <v>45321</v>
      </c>
      <c r="D194">
        <f t="shared" ref="D194:D257" si="16">DAY(C194)</f>
        <v>30</v>
      </c>
      <c r="E194">
        <f t="shared" ref="E194:E257" si="17">MONTH(C194)</f>
        <v>1</v>
      </c>
      <c r="F194">
        <f t="shared" ref="F194:F257" si="18">YEAR(C194)</f>
        <v>2024</v>
      </c>
      <c r="G194" t="s">
        <v>89</v>
      </c>
      <c r="H194" s="98">
        <v>10016</v>
      </c>
      <c r="I194" s="90">
        <v>1237.5</v>
      </c>
      <c r="J194" s="12" t="s">
        <v>31</v>
      </c>
      <c r="K194" s="29">
        <f t="shared" si="15"/>
        <v>1237.5</v>
      </c>
      <c r="L194">
        <v>1</v>
      </c>
      <c r="M194" s="29">
        <v>0</v>
      </c>
      <c r="N194" t="s">
        <v>42</v>
      </c>
      <c r="O194" t="s">
        <v>33</v>
      </c>
      <c r="P194" t="s">
        <v>34</v>
      </c>
      <c r="Q194" t="s">
        <v>34</v>
      </c>
      <c r="R194" t="s">
        <v>34</v>
      </c>
      <c r="S194" t="s">
        <v>34</v>
      </c>
      <c r="T194" s="117">
        <v>0</v>
      </c>
    </row>
    <row r="195" spans="1:21" ht="14.5" customHeight="1" x14ac:dyDescent="0.35">
      <c r="A195" t="s">
        <v>19</v>
      </c>
      <c r="B195" t="s">
        <v>26</v>
      </c>
      <c r="C195" s="1">
        <v>45323</v>
      </c>
      <c r="D195">
        <f t="shared" si="16"/>
        <v>1</v>
      </c>
      <c r="E195">
        <f t="shared" si="17"/>
        <v>2</v>
      </c>
      <c r="F195">
        <f t="shared" si="18"/>
        <v>2024</v>
      </c>
      <c r="G195" t="s">
        <v>73</v>
      </c>
      <c r="H195" s="98">
        <v>9882</v>
      </c>
      <c r="I195" s="90">
        <v>41720.36</v>
      </c>
      <c r="J195" s="12" t="s">
        <v>51</v>
      </c>
      <c r="K195" s="29">
        <f t="shared" si="15"/>
        <v>45229.042276</v>
      </c>
      <c r="L195">
        <v>1.0841000000000001</v>
      </c>
      <c r="M195" s="29">
        <v>0</v>
      </c>
      <c r="N195" t="s">
        <v>32</v>
      </c>
      <c r="O195" t="s">
        <v>33</v>
      </c>
      <c r="P195" t="s">
        <v>34</v>
      </c>
      <c r="Q195" t="s">
        <v>34</v>
      </c>
      <c r="R195" t="s">
        <v>34</v>
      </c>
      <c r="S195" t="s">
        <v>34</v>
      </c>
      <c r="T195" s="117">
        <v>0</v>
      </c>
      <c r="U195" s="209" t="s">
        <v>94</v>
      </c>
    </row>
    <row r="196" spans="1:21" ht="14.5" customHeight="1" x14ac:dyDescent="0.35">
      <c r="A196" t="s">
        <v>19</v>
      </c>
      <c r="B196" t="s">
        <v>26</v>
      </c>
      <c r="C196" s="1">
        <v>45323</v>
      </c>
      <c r="D196">
        <f t="shared" si="16"/>
        <v>1</v>
      </c>
      <c r="E196">
        <f t="shared" si="17"/>
        <v>2</v>
      </c>
      <c r="F196">
        <f t="shared" si="18"/>
        <v>2024</v>
      </c>
      <c r="G196" t="s">
        <v>73</v>
      </c>
      <c r="H196" s="98">
        <v>9883</v>
      </c>
      <c r="I196" s="90">
        <v>77998.36</v>
      </c>
      <c r="J196" s="12" t="s">
        <v>51</v>
      </c>
      <c r="K196" s="29">
        <f t="shared" si="15"/>
        <v>84558.022076000008</v>
      </c>
      <c r="L196">
        <v>1.0841000000000001</v>
      </c>
      <c r="M196" s="29">
        <v>0</v>
      </c>
      <c r="N196" t="s">
        <v>32</v>
      </c>
      <c r="O196" t="s">
        <v>33</v>
      </c>
      <c r="P196" t="s">
        <v>34</v>
      </c>
      <c r="Q196" t="s">
        <v>34</v>
      </c>
      <c r="R196" t="s">
        <v>34</v>
      </c>
      <c r="S196" t="s">
        <v>34</v>
      </c>
      <c r="T196" s="117">
        <v>0</v>
      </c>
      <c r="U196" s="209" t="s">
        <v>94</v>
      </c>
    </row>
    <row r="197" spans="1:21" ht="14.5" customHeight="1" x14ac:dyDescent="0.35">
      <c r="A197" t="s">
        <v>19</v>
      </c>
      <c r="B197" t="s">
        <v>26</v>
      </c>
      <c r="C197" s="1">
        <v>45323</v>
      </c>
      <c r="D197">
        <f t="shared" si="16"/>
        <v>1</v>
      </c>
      <c r="E197">
        <f t="shared" si="17"/>
        <v>2</v>
      </c>
      <c r="F197">
        <f t="shared" si="18"/>
        <v>2024</v>
      </c>
      <c r="G197" t="s">
        <v>73</v>
      </c>
      <c r="H197" s="98">
        <v>9889</v>
      </c>
      <c r="I197" s="90">
        <v>18729.060000000001</v>
      </c>
      <c r="J197" s="12" t="s">
        <v>51</v>
      </c>
      <c r="K197" s="29">
        <f t="shared" si="15"/>
        <v>20304.173946000003</v>
      </c>
      <c r="L197">
        <v>1.0841000000000001</v>
      </c>
      <c r="M197" s="29">
        <v>0</v>
      </c>
      <c r="N197" t="s">
        <v>32</v>
      </c>
      <c r="O197" t="s">
        <v>33</v>
      </c>
      <c r="P197" t="s">
        <v>34</v>
      </c>
      <c r="Q197" t="s">
        <v>34</v>
      </c>
      <c r="R197" t="s">
        <v>34</v>
      </c>
      <c r="S197" t="s">
        <v>34</v>
      </c>
      <c r="T197" s="117">
        <v>0</v>
      </c>
      <c r="U197" s="209" t="s">
        <v>94</v>
      </c>
    </row>
    <row r="198" spans="1:21" ht="14.5" customHeight="1" x14ac:dyDescent="0.35">
      <c r="A198" t="s">
        <v>19</v>
      </c>
      <c r="B198" t="s">
        <v>26</v>
      </c>
      <c r="C198" s="1">
        <v>45323</v>
      </c>
      <c r="D198">
        <f t="shared" si="16"/>
        <v>1</v>
      </c>
      <c r="E198">
        <f t="shared" si="17"/>
        <v>2</v>
      </c>
      <c r="F198">
        <f t="shared" si="18"/>
        <v>2024</v>
      </c>
      <c r="G198" t="s">
        <v>187</v>
      </c>
      <c r="H198" s="98">
        <v>0</v>
      </c>
      <c r="I198" s="90">
        <v>34123.35</v>
      </c>
      <c r="J198" s="12" t="s">
        <v>51</v>
      </c>
      <c r="K198" s="29">
        <f t="shared" si="15"/>
        <v>36976.062059999997</v>
      </c>
      <c r="L198">
        <v>1.0835999999999999</v>
      </c>
      <c r="M198" s="29">
        <v>0</v>
      </c>
      <c r="N198" t="s">
        <v>32</v>
      </c>
      <c r="O198" t="s">
        <v>33</v>
      </c>
      <c r="P198" t="s">
        <v>34</v>
      </c>
      <c r="Q198" t="s">
        <v>34</v>
      </c>
      <c r="R198" t="s">
        <v>34</v>
      </c>
      <c r="S198" t="s">
        <v>34</v>
      </c>
      <c r="T198" s="117">
        <v>0</v>
      </c>
      <c r="U198" s="209" t="s">
        <v>94</v>
      </c>
    </row>
    <row r="199" spans="1:21" ht="14.5" customHeight="1" x14ac:dyDescent="0.35">
      <c r="A199" t="s">
        <v>19</v>
      </c>
      <c r="B199" t="s">
        <v>22</v>
      </c>
      <c r="C199" s="1">
        <v>45329</v>
      </c>
      <c r="D199">
        <f t="shared" si="16"/>
        <v>7</v>
      </c>
      <c r="E199">
        <f t="shared" si="17"/>
        <v>2</v>
      </c>
      <c r="F199">
        <f t="shared" si="18"/>
        <v>2024</v>
      </c>
      <c r="G199" t="s">
        <v>77</v>
      </c>
      <c r="H199" s="98">
        <v>9450</v>
      </c>
      <c r="I199" s="90">
        <v>26404</v>
      </c>
      <c r="J199" s="12" t="s">
        <v>31</v>
      </c>
      <c r="K199" s="29">
        <f t="shared" si="15"/>
        <v>26404</v>
      </c>
      <c r="L199">
        <v>1</v>
      </c>
      <c r="M199" s="29">
        <v>0</v>
      </c>
      <c r="N199" t="s">
        <v>32</v>
      </c>
      <c r="O199" t="s">
        <v>33</v>
      </c>
      <c r="P199" t="s">
        <v>34</v>
      </c>
      <c r="Q199" t="s">
        <v>34</v>
      </c>
      <c r="R199" t="s">
        <v>34</v>
      </c>
      <c r="S199" t="s">
        <v>34</v>
      </c>
      <c r="T199" s="117">
        <v>0</v>
      </c>
    </row>
    <row r="200" spans="1:21" ht="14.5" customHeight="1" x14ac:dyDescent="0.35">
      <c r="A200" t="s">
        <v>19</v>
      </c>
      <c r="B200" t="s">
        <v>22</v>
      </c>
      <c r="C200" s="1">
        <v>45329</v>
      </c>
      <c r="D200">
        <f t="shared" si="16"/>
        <v>7</v>
      </c>
      <c r="E200">
        <f t="shared" si="17"/>
        <v>2</v>
      </c>
      <c r="F200">
        <f t="shared" si="18"/>
        <v>2024</v>
      </c>
      <c r="G200" t="s">
        <v>77</v>
      </c>
      <c r="H200" s="98">
        <v>9891</v>
      </c>
      <c r="I200" s="90">
        <v>6337.5</v>
      </c>
      <c r="J200" s="12" t="s">
        <v>31</v>
      </c>
      <c r="K200" s="29">
        <f t="shared" si="15"/>
        <v>6337.5</v>
      </c>
      <c r="L200">
        <v>1</v>
      </c>
      <c r="M200" s="29">
        <v>0</v>
      </c>
      <c r="N200" t="s">
        <v>32</v>
      </c>
      <c r="O200" t="s">
        <v>33</v>
      </c>
      <c r="P200" t="s">
        <v>34</v>
      </c>
      <c r="Q200" t="s">
        <v>34</v>
      </c>
      <c r="R200" t="s">
        <v>34</v>
      </c>
      <c r="S200" t="s">
        <v>34</v>
      </c>
      <c r="T200" s="117">
        <v>0</v>
      </c>
    </row>
    <row r="201" spans="1:21" ht="14.5" customHeight="1" x14ac:dyDescent="0.35">
      <c r="A201" t="s">
        <v>19</v>
      </c>
      <c r="B201" t="s">
        <v>22</v>
      </c>
      <c r="C201" s="1">
        <v>45329</v>
      </c>
      <c r="D201">
        <f t="shared" si="16"/>
        <v>7</v>
      </c>
      <c r="E201">
        <f t="shared" si="17"/>
        <v>2</v>
      </c>
      <c r="F201">
        <f t="shared" si="18"/>
        <v>2024</v>
      </c>
      <c r="G201" t="s">
        <v>77</v>
      </c>
      <c r="H201" s="98">
        <v>9911</v>
      </c>
      <c r="I201" s="90">
        <v>16829.25</v>
      </c>
      <c r="J201" s="12" t="s">
        <v>31</v>
      </c>
      <c r="K201" s="29">
        <f t="shared" si="15"/>
        <v>16829.25</v>
      </c>
      <c r="L201">
        <v>1</v>
      </c>
      <c r="M201" s="29">
        <v>0</v>
      </c>
      <c r="N201" t="s">
        <v>32</v>
      </c>
      <c r="O201" t="s">
        <v>33</v>
      </c>
      <c r="P201" t="s">
        <v>34</v>
      </c>
      <c r="Q201" t="s">
        <v>34</v>
      </c>
      <c r="R201" t="s">
        <v>34</v>
      </c>
      <c r="S201" t="s">
        <v>34</v>
      </c>
      <c r="T201" s="117">
        <v>0</v>
      </c>
    </row>
    <row r="202" spans="1:21" ht="14.5" customHeight="1" x14ac:dyDescent="0.35">
      <c r="A202" t="s">
        <v>19</v>
      </c>
      <c r="B202" t="s">
        <v>23</v>
      </c>
      <c r="C202" s="1">
        <v>45329</v>
      </c>
      <c r="D202">
        <f t="shared" si="16"/>
        <v>7</v>
      </c>
      <c r="E202">
        <f t="shared" si="17"/>
        <v>2</v>
      </c>
      <c r="F202">
        <f t="shared" si="18"/>
        <v>2024</v>
      </c>
      <c r="G202" t="s">
        <v>77</v>
      </c>
      <c r="H202" s="98">
        <v>9529</v>
      </c>
      <c r="I202" s="90">
        <v>4030.1</v>
      </c>
      <c r="J202" s="12" t="s">
        <v>31</v>
      </c>
      <c r="K202" s="29">
        <f t="shared" si="15"/>
        <v>4030.1</v>
      </c>
      <c r="L202">
        <v>1</v>
      </c>
      <c r="M202" s="29">
        <v>0</v>
      </c>
      <c r="N202" t="s">
        <v>42</v>
      </c>
      <c r="O202" t="s">
        <v>33</v>
      </c>
      <c r="P202" t="s">
        <v>34</v>
      </c>
      <c r="Q202" t="s">
        <v>34</v>
      </c>
      <c r="R202" t="s">
        <v>34</v>
      </c>
      <c r="S202" t="s">
        <v>34</v>
      </c>
      <c r="T202" s="117">
        <v>0</v>
      </c>
    </row>
    <row r="203" spans="1:21" ht="14.5" customHeight="1" x14ac:dyDescent="0.35">
      <c r="A203" t="s">
        <v>19</v>
      </c>
      <c r="B203" t="s">
        <v>23</v>
      </c>
      <c r="C203" s="1">
        <v>45329</v>
      </c>
      <c r="D203">
        <f t="shared" si="16"/>
        <v>7</v>
      </c>
      <c r="E203">
        <f t="shared" si="17"/>
        <v>2</v>
      </c>
      <c r="F203">
        <f t="shared" si="18"/>
        <v>2024</v>
      </c>
      <c r="G203" t="s">
        <v>74</v>
      </c>
      <c r="H203" s="98">
        <v>9452</v>
      </c>
      <c r="I203" s="90">
        <v>29031.8</v>
      </c>
      <c r="J203" s="12" t="s">
        <v>31</v>
      </c>
      <c r="K203" s="29">
        <f t="shared" si="15"/>
        <v>29031.8</v>
      </c>
      <c r="L203">
        <v>1</v>
      </c>
      <c r="M203" s="29">
        <v>0</v>
      </c>
      <c r="N203" t="s">
        <v>32</v>
      </c>
      <c r="O203" t="s">
        <v>33</v>
      </c>
      <c r="P203" t="s">
        <v>34</v>
      </c>
      <c r="Q203" t="s">
        <v>34</v>
      </c>
      <c r="R203" t="s">
        <v>34</v>
      </c>
      <c r="S203" t="s">
        <v>34</v>
      </c>
      <c r="T203" s="117">
        <v>0</v>
      </c>
    </row>
    <row r="204" spans="1:21" ht="14.5" customHeight="1" x14ac:dyDescent="0.35">
      <c r="A204" t="s">
        <v>19</v>
      </c>
      <c r="B204" t="s">
        <v>21</v>
      </c>
      <c r="C204" s="1">
        <v>45329</v>
      </c>
      <c r="D204">
        <f t="shared" si="16"/>
        <v>7</v>
      </c>
      <c r="E204">
        <f t="shared" si="17"/>
        <v>2</v>
      </c>
      <c r="F204">
        <f t="shared" si="18"/>
        <v>2024</v>
      </c>
      <c r="G204" t="s">
        <v>37</v>
      </c>
      <c r="H204" s="98">
        <v>9489</v>
      </c>
      <c r="I204" s="90">
        <v>101.6</v>
      </c>
      <c r="J204" s="12" t="s">
        <v>31</v>
      </c>
      <c r="K204" s="29">
        <f t="shared" si="15"/>
        <v>101.6</v>
      </c>
      <c r="L204">
        <v>1</v>
      </c>
      <c r="M204" s="29">
        <v>0</v>
      </c>
      <c r="N204" t="s">
        <v>32</v>
      </c>
      <c r="O204" t="s">
        <v>33</v>
      </c>
      <c r="P204" t="s">
        <v>34</v>
      </c>
      <c r="Q204" t="s">
        <v>34</v>
      </c>
      <c r="R204" t="s">
        <v>34</v>
      </c>
      <c r="S204" t="s">
        <v>34</v>
      </c>
      <c r="T204" s="117">
        <v>0</v>
      </c>
    </row>
    <row r="205" spans="1:21" ht="14.5" customHeight="1" x14ac:dyDescent="0.35">
      <c r="A205" t="s">
        <v>19</v>
      </c>
      <c r="B205" t="s">
        <v>24</v>
      </c>
      <c r="C205" s="1">
        <v>45329</v>
      </c>
      <c r="D205">
        <f t="shared" si="16"/>
        <v>7</v>
      </c>
      <c r="E205">
        <f t="shared" si="17"/>
        <v>2</v>
      </c>
      <c r="F205">
        <f t="shared" si="18"/>
        <v>2024</v>
      </c>
      <c r="G205" t="s">
        <v>37</v>
      </c>
      <c r="H205" s="98">
        <v>9665</v>
      </c>
      <c r="I205" s="90">
        <v>48</v>
      </c>
      <c r="J205" s="12" t="s">
        <v>31</v>
      </c>
      <c r="K205" s="29">
        <f t="shared" si="15"/>
        <v>48</v>
      </c>
      <c r="L205">
        <v>1</v>
      </c>
      <c r="M205" s="29">
        <v>0</v>
      </c>
      <c r="N205" t="s">
        <v>32</v>
      </c>
      <c r="O205" t="s">
        <v>33</v>
      </c>
      <c r="P205" t="s">
        <v>34</v>
      </c>
      <c r="Q205" t="s">
        <v>34</v>
      </c>
      <c r="R205" t="s">
        <v>34</v>
      </c>
      <c r="S205" t="s">
        <v>34</v>
      </c>
      <c r="T205" s="117">
        <v>0</v>
      </c>
    </row>
    <row r="206" spans="1:21" ht="14.5" customHeight="1" x14ac:dyDescent="0.35">
      <c r="A206" t="s">
        <v>19</v>
      </c>
      <c r="B206" t="s">
        <v>21</v>
      </c>
      <c r="C206" s="1">
        <v>45329</v>
      </c>
      <c r="D206">
        <f t="shared" si="16"/>
        <v>7</v>
      </c>
      <c r="E206">
        <f t="shared" si="17"/>
        <v>2</v>
      </c>
      <c r="F206">
        <f t="shared" si="18"/>
        <v>2024</v>
      </c>
      <c r="G206" t="s">
        <v>37</v>
      </c>
      <c r="H206" s="98">
        <v>9729</v>
      </c>
      <c r="I206" s="90">
        <v>29.6</v>
      </c>
      <c r="J206" s="12" t="s">
        <v>31</v>
      </c>
      <c r="K206" s="29">
        <f t="shared" si="15"/>
        <v>29.6</v>
      </c>
      <c r="L206">
        <v>1</v>
      </c>
      <c r="M206" s="29">
        <v>0</v>
      </c>
      <c r="N206" t="s">
        <v>32</v>
      </c>
      <c r="O206" t="s">
        <v>33</v>
      </c>
      <c r="P206" t="s">
        <v>34</v>
      </c>
      <c r="Q206" t="s">
        <v>34</v>
      </c>
      <c r="R206" t="s">
        <v>34</v>
      </c>
      <c r="S206" t="s">
        <v>34</v>
      </c>
      <c r="T206" s="117">
        <v>0</v>
      </c>
    </row>
    <row r="207" spans="1:21" ht="14.5" customHeight="1" x14ac:dyDescent="0.35">
      <c r="A207" t="s">
        <v>19</v>
      </c>
      <c r="B207" t="s">
        <v>21</v>
      </c>
      <c r="C207" s="1">
        <v>45329</v>
      </c>
      <c r="D207">
        <f t="shared" si="16"/>
        <v>7</v>
      </c>
      <c r="E207">
        <f t="shared" si="17"/>
        <v>2</v>
      </c>
      <c r="F207">
        <f t="shared" si="18"/>
        <v>2024</v>
      </c>
      <c r="G207" t="s">
        <v>37</v>
      </c>
      <c r="H207" s="98">
        <v>9837</v>
      </c>
      <c r="I207" s="90">
        <v>37.799999999999997</v>
      </c>
      <c r="J207" s="12" t="s">
        <v>31</v>
      </c>
      <c r="K207" s="29">
        <f t="shared" si="15"/>
        <v>37.799999999999997</v>
      </c>
      <c r="L207">
        <v>1</v>
      </c>
      <c r="M207" s="29">
        <v>0</v>
      </c>
      <c r="N207" t="s">
        <v>32</v>
      </c>
      <c r="O207" t="s">
        <v>33</v>
      </c>
      <c r="P207" t="s">
        <v>34</v>
      </c>
      <c r="Q207" t="s">
        <v>34</v>
      </c>
      <c r="R207" t="s">
        <v>34</v>
      </c>
      <c r="S207" t="s">
        <v>34</v>
      </c>
      <c r="T207" s="117">
        <v>0</v>
      </c>
    </row>
    <row r="208" spans="1:21" ht="14.5" customHeight="1" x14ac:dyDescent="0.35">
      <c r="A208" t="s">
        <v>19</v>
      </c>
      <c r="B208" t="s">
        <v>19</v>
      </c>
      <c r="C208" s="1">
        <v>45329</v>
      </c>
      <c r="D208">
        <f t="shared" si="16"/>
        <v>7</v>
      </c>
      <c r="E208">
        <f t="shared" si="17"/>
        <v>2</v>
      </c>
      <c r="F208">
        <f t="shared" si="18"/>
        <v>2024</v>
      </c>
      <c r="G208" t="s">
        <v>56</v>
      </c>
      <c r="H208" s="98">
        <v>9412</v>
      </c>
      <c r="I208" s="90">
        <v>186827.03</v>
      </c>
      <c r="J208" s="12" t="s">
        <v>31</v>
      </c>
      <c r="K208" s="29">
        <f t="shared" si="15"/>
        <v>186827.03</v>
      </c>
      <c r="L208">
        <v>1</v>
      </c>
      <c r="M208" s="29">
        <v>0</v>
      </c>
      <c r="N208" t="s">
        <v>32</v>
      </c>
      <c r="O208" t="s">
        <v>33</v>
      </c>
      <c r="P208" t="s">
        <v>34</v>
      </c>
      <c r="Q208" t="s">
        <v>34</v>
      </c>
      <c r="R208" t="s">
        <v>34</v>
      </c>
      <c r="S208" t="s">
        <v>34</v>
      </c>
      <c r="T208" s="117">
        <v>0</v>
      </c>
    </row>
    <row r="209" spans="1:21" ht="14.5" customHeight="1" x14ac:dyDescent="0.35">
      <c r="A209" t="s">
        <v>19</v>
      </c>
      <c r="B209" t="s">
        <v>19</v>
      </c>
      <c r="C209" s="1">
        <v>45329</v>
      </c>
      <c r="D209">
        <f t="shared" si="16"/>
        <v>7</v>
      </c>
      <c r="E209">
        <f t="shared" si="17"/>
        <v>2</v>
      </c>
      <c r="F209">
        <f t="shared" si="18"/>
        <v>2024</v>
      </c>
      <c r="G209" t="s">
        <v>56</v>
      </c>
      <c r="H209" s="98">
        <v>9413</v>
      </c>
      <c r="I209" s="90">
        <v>81047.490000000005</v>
      </c>
      <c r="J209" s="12" t="s">
        <v>31</v>
      </c>
      <c r="K209" s="29">
        <f t="shared" si="15"/>
        <v>81047.490000000005</v>
      </c>
      <c r="L209">
        <v>1</v>
      </c>
      <c r="M209" s="29">
        <v>0</v>
      </c>
      <c r="N209" t="s">
        <v>32</v>
      </c>
      <c r="O209" t="s">
        <v>33</v>
      </c>
      <c r="P209" t="s">
        <v>34</v>
      </c>
      <c r="Q209" t="s">
        <v>34</v>
      </c>
      <c r="R209" t="s">
        <v>34</v>
      </c>
      <c r="S209" t="s">
        <v>34</v>
      </c>
      <c r="T209" s="117">
        <v>0</v>
      </c>
    </row>
    <row r="210" spans="1:21" ht="14.5" customHeight="1" x14ac:dyDescent="0.35">
      <c r="A210" t="s">
        <v>19</v>
      </c>
      <c r="B210" t="s">
        <v>19</v>
      </c>
      <c r="C210" s="1">
        <v>45329</v>
      </c>
      <c r="D210">
        <f t="shared" si="16"/>
        <v>7</v>
      </c>
      <c r="E210">
        <f t="shared" si="17"/>
        <v>2</v>
      </c>
      <c r="F210">
        <f t="shared" si="18"/>
        <v>2024</v>
      </c>
      <c r="G210" t="s">
        <v>111</v>
      </c>
      <c r="H210" s="98">
        <v>9660</v>
      </c>
      <c r="I210" s="90">
        <v>91278.97</v>
      </c>
      <c r="J210" s="12" t="s">
        <v>31</v>
      </c>
      <c r="K210" s="29">
        <f t="shared" si="15"/>
        <v>91278.97</v>
      </c>
      <c r="L210">
        <v>1</v>
      </c>
      <c r="M210" s="29">
        <v>0</v>
      </c>
      <c r="N210" t="s">
        <v>32</v>
      </c>
      <c r="O210" t="s">
        <v>33</v>
      </c>
      <c r="P210" t="s">
        <v>34</v>
      </c>
      <c r="Q210" t="s">
        <v>34</v>
      </c>
      <c r="R210" t="s">
        <v>34</v>
      </c>
      <c r="S210" t="s">
        <v>34</v>
      </c>
      <c r="T210" s="117">
        <v>1093.8399999999999</v>
      </c>
    </row>
    <row r="211" spans="1:21" ht="14.5" customHeight="1" x14ac:dyDescent="0.35">
      <c r="A211" t="s">
        <v>19</v>
      </c>
      <c r="B211" t="s">
        <v>19</v>
      </c>
      <c r="C211" s="1">
        <v>45329</v>
      </c>
      <c r="D211">
        <f t="shared" si="16"/>
        <v>7</v>
      </c>
      <c r="E211">
        <f t="shared" si="17"/>
        <v>2</v>
      </c>
      <c r="F211">
        <f t="shared" si="18"/>
        <v>2024</v>
      </c>
      <c r="G211" t="s">
        <v>129</v>
      </c>
      <c r="H211" s="98">
        <v>9560</v>
      </c>
      <c r="I211" s="90">
        <v>101444.61</v>
      </c>
      <c r="J211" s="12" t="s">
        <v>31</v>
      </c>
      <c r="K211" s="29">
        <f t="shared" si="15"/>
        <v>101444.61</v>
      </c>
      <c r="L211">
        <v>1</v>
      </c>
      <c r="M211" s="29">
        <v>0</v>
      </c>
      <c r="N211" t="s">
        <v>32</v>
      </c>
      <c r="O211" t="s">
        <v>33</v>
      </c>
      <c r="P211" t="s">
        <v>34</v>
      </c>
      <c r="Q211" t="s">
        <v>34</v>
      </c>
      <c r="R211" t="s">
        <v>34</v>
      </c>
      <c r="S211" t="s">
        <v>34</v>
      </c>
      <c r="T211" s="117">
        <v>0</v>
      </c>
    </row>
    <row r="212" spans="1:21" ht="14.5" customHeight="1" x14ac:dyDescent="0.35">
      <c r="A212" t="s">
        <v>19</v>
      </c>
      <c r="B212" t="s">
        <v>19</v>
      </c>
      <c r="C212" s="1">
        <v>45329</v>
      </c>
      <c r="D212">
        <f t="shared" si="16"/>
        <v>7</v>
      </c>
      <c r="E212">
        <f t="shared" si="17"/>
        <v>2</v>
      </c>
      <c r="F212">
        <f t="shared" si="18"/>
        <v>2024</v>
      </c>
      <c r="G212" t="s">
        <v>228</v>
      </c>
      <c r="H212" s="98">
        <v>9643</v>
      </c>
      <c r="I212" s="90">
        <v>36900</v>
      </c>
      <c r="J212" s="12" t="s">
        <v>31</v>
      </c>
      <c r="K212" s="29">
        <f t="shared" si="15"/>
        <v>36900</v>
      </c>
      <c r="L212">
        <v>1</v>
      </c>
      <c r="M212" s="29">
        <v>0</v>
      </c>
      <c r="N212" t="s">
        <v>32</v>
      </c>
      <c r="O212" t="s">
        <v>33</v>
      </c>
      <c r="P212" t="s">
        <v>34</v>
      </c>
      <c r="Q212" t="s">
        <v>34</v>
      </c>
      <c r="R212" t="s">
        <v>34</v>
      </c>
      <c r="S212" t="s">
        <v>34</v>
      </c>
      <c r="T212" s="117">
        <v>0</v>
      </c>
    </row>
    <row r="213" spans="1:21" ht="14.5" customHeight="1" x14ac:dyDescent="0.35">
      <c r="A213" t="s">
        <v>19</v>
      </c>
      <c r="B213" t="s">
        <v>19</v>
      </c>
      <c r="C213" s="1">
        <v>45329</v>
      </c>
      <c r="D213">
        <f t="shared" si="16"/>
        <v>7</v>
      </c>
      <c r="E213">
        <f t="shared" si="17"/>
        <v>2</v>
      </c>
      <c r="F213">
        <f t="shared" si="18"/>
        <v>2024</v>
      </c>
      <c r="G213" t="s">
        <v>130</v>
      </c>
      <c r="H213" s="98">
        <v>9994</v>
      </c>
      <c r="I213" s="90">
        <v>21839.42</v>
      </c>
      <c r="J213" s="12" t="s">
        <v>31</v>
      </c>
      <c r="K213" s="29">
        <f t="shared" si="15"/>
        <v>21839.42</v>
      </c>
      <c r="L213">
        <v>1</v>
      </c>
      <c r="M213" s="29">
        <v>0</v>
      </c>
      <c r="N213" t="s">
        <v>32</v>
      </c>
      <c r="O213" t="s">
        <v>33</v>
      </c>
      <c r="P213" t="s">
        <v>34</v>
      </c>
      <c r="Q213" t="s">
        <v>34</v>
      </c>
      <c r="R213" t="s">
        <v>34</v>
      </c>
      <c r="S213" t="s">
        <v>34</v>
      </c>
      <c r="T213" s="117">
        <v>909.98</v>
      </c>
    </row>
    <row r="214" spans="1:21" ht="14.5" customHeight="1" x14ac:dyDescent="0.35">
      <c r="A214" t="s">
        <v>19</v>
      </c>
      <c r="B214" t="s">
        <v>19</v>
      </c>
      <c r="C214" s="1">
        <v>45329</v>
      </c>
      <c r="D214">
        <f t="shared" si="16"/>
        <v>7</v>
      </c>
      <c r="E214">
        <f t="shared" si="17"/>
        <v>2</v>
      </c>
      <c r="F214">
        <f t="shared" si="18"/>
        <v>2024</v>
      </c>
      <c r="G214" t="s">
        <v>119</v>
      </c>
      <c r="H214" s="98">
        <v>9479</v>
      </c>
      <c r="I214" s="90">
        <v>63440.07</v>
      </c>
      <c r="J214" s="12" t="s">
        <v>31</v>
      </c>
      <c r="K214" s="29">
        <f t="shared" si="15"/>
        <v>63440.07</v>
      </c>
      <c r="L214">
        <v>1</v>
      </c>
      <c r="M214" s="29">
        <v>0</v>
      </c>
      <c r="N214" t="s">
        <v>32</v>
      </c>
      <c r="O214" t="s">
        <v>33</v>
      </c>
      <c r="P214" t="s">
        <v>34</v>
      </c>
      <c r="Q214" t="s">
        <v>34</v>
      </c>
      <c r="R214" t="s">
        <v>34</v>
      </c>
      <c r="S214" t="s">
        <v>34</v>
      </c>
      <c r="T214" s="117">
        <v>0</v>
      </c>
    </row>
    <row r="215" spans="1:21" ht="14.5" customHeight="1" x14ac:dyDescent="0.35">
      <c r="A215" t="s">
        <v>19</v>
      </c>
      <c r="B215" t="s">
        <v>19</v>
      </c>
      <c r="C215" s="1">
        <v>45329</v>
      </c>
      <c r="D215">
        <f t="shared" si="16"/>
        <v>7</v>
      </c>
      <c r="E215">
        <f t="shared" si="17"/>
        <v>2</v>
      </c>
      <c r="F215">
        <f t="shared" si="18"/>
        <v>2024</v>
      </c>
      <c r="G215" t="s">
        <v>88</v>
      </c>
      <c r="H215" s="98">
        <v>9501</v>
      </c>
      <c r="I215" s="90">
        <v>22133.59</v>
      </c>
      <c r="J215" s="12" t="s">
        <v>31</v>
      </c>
      <c r="K215" s="29">
        <f t="shared" si="15"/>
        <v>22133.59</v>
      </c>
      <c r="L215">
        <v>1</v>
      </c>
      <c r="M215" s="29">
        <v>0</v>
      </c>
      <c r="N215" t="s">
        <v>32</v>
      </c>
      <c r="O215" t="s">
        <v>33</v>
      </c>
      <c r="P215" t="s">
        <v>34</v>
      </c>
      <c r="Q215" t="s">
        <v>34</v>
      </c>
      <c r="R215" t="s">
        <v>34</v>
      </c>
      <c r="S215" t="s">
        <v>34</v>
      </c>
      <c r="T215" s="117">
        <v>0</v>
      </c>
    </row>
    <row r="216" spans="1:21" ht="14.5" customHeight="1" x14ac:dyDescent="0.35">
      <c r="A216" t="s">
        <v>19</v>
      </c>
      <c r="B216" t="s">
        <v>19</v>
      </c>
      <c r="C216" s="1">
        <v>45329</v>
      </c>
      <c r="D216">
        <f t="shared" si="16"/>
        <v>7</v>
      </c>
      <c r="E216">
        <f t="shared" si="17"/>
        <v>2</v>
      </c>
      <c r="F216">
        <f t="shared" si="18"/>
        <v>2024</v>
      </c>
      <c r="G216" t="s">
        <v>103</v>
      </c>
      <c r="H216" s="98">
        <v>10004</v>
      </c>
      <c r="I216" s="90">
        <v>34000</v>
      </c>
      <c r="J216" s="12" t="s">
        <v>31</v>
      </c>
      <c r="K216" s="29">
        <f t="shared" si="15"/>
        <v>34000</v>
      </c>
      <c r="L216">
        <v>1</v>
      </c>
      <c r="M216" s="29">
        <v>0</v>
      </c>
      <c r="N216" t="s">
        <v>42</v>
      </c>
      <c r="O216" t="s">
        <v>33</v>
      </c>
      <c r="P216" t="s">
        <v>34</v>
      </c>
      <c r="Q216" t="s">
        <v>34</v>
      </c>
      <c r="R216" t="s">
        <v>34</v>
      </c>
      <c r="S216" t="s">
        <v>34</v>
      </c>
      <c r="T216" s="117">
        <v>0</v>
      </c>
    </row>
    <row r="217" spans="1:21" ht="14.5" customHeight="1" x14ac:dyDescent="0.35">
      <c r="A217" t="s">
        <v>20</v>
      </c>
      <c r="B217" t="s">
        <v>23</v>
      </c>
      <c r="C217" s="1">
        <v>45329</v>
      </c>
      <c r="D217">
        <f t="shared" si="16"/>
        <v>7</v>
      </c>
      <c r="E217">
        <f t="shared" si="17"/>
        <v>2</v>
      </c>
      <c r="F217">
        <f t="shared" si="18"/>
        <v>2024</v>
      </c>
      <c r="G217" t="s">
        <v>82</v>
      </c>
      <c r="H217" s="98">
        <v>9698</v>
      </c>
      <c r="I217" s="90">
        <v>67</v>
      </c>
      <c r="J217" s="12" t="s">
        <v>31</v>
      </c>
      <c r="K217" s="29">
        <f t="shared" si="15"/>
        <v>67</v>
      </c>
      <c r="L217">
        <v>1</v>
      </c>
      <c r="M217" s="29">
        <v>0</v>
      </c>
      <c r="N217" t="s">
        <v>42</v>
      </c>
      <c r="O217" t="s">
        <v>33</v>
      </c>
      <c r="P217" t="s">
        <v>34</v>
      </c>
      <c r="Q217" t="s">
        <v>34</v>
      </c>
      <c r="R217" t="s">
        <v>34</v>
      </c>
      <c r="S217" t="s">
        <v>34</v>
      </c>
      <c r="T217" s="117">
        <v>0</v>
      </c>
    </row>
    <row r="218" spans="1:21" ht="14.5" customHeight="1" x14ac:dyDescent="0.35">
      <c r="A218" t="s">
        <v>20</v>
      </c>
      <c r="B218" t="s">
        <v>23</v>
      </c>
      <c r="C218" s="1">
        <v>45329</v>
      </c>
      <c r="D218">
        <f t="shared" si="16"/>
        <v>7</v>
      </c>
      <c r="E218">
        <f t="shared" si="17"/>
        <v>2</v>
      </c>
      <c r="F218">
        <f t="shared" si="18"/>
        <v>2024</v>
      </c>
      <c r="G218" t="s">
        <v>82</v>
      </c>
      <c r="H218" s="98">
        <v>9845</v>
      </c>
      <c r="I218" s="90">
        <v>32</v>
      </c>
      <c r="J218" s="12" t="s">
        <v>31</v>
      </c>
      <c r="K218" s="29">
        <f t="shared" si="15"/>
        <v>32</v>
      </c>
      <c r="L218">
        <v>1</v>
      </c>
      <c r="M218" s="29">
        <v>0</v>
      </c>
      <c r="N218" t="s">
        <v>32</v>
      </c>
      <c r="O218" t="s">
        <v>33</v>
      </c>
      <c r="P218" t="s">
        <v>34</v>
      </c>
      <c r="Q218" t="s">
        <v>34</v>
      </c>
      <c r="R218" t="s">
        <v>34</v>
      </c>
      <c r="S218" t="s">
        <v>34</v>
      </c>
      <c r="T218" s="117">
        <v>0</v>
      </c>
    </row>
    <row r="219" spans="1:21" ht="14.5" customHeight="1" x14ac:dyDescent="0.35">
      <c r="A219" t="s">
        <v>20</v>
      </c>
      <c r="B219" t="s">
        <v>23</v>
      </c>
      <c r="C219" s="1">
        <v>45329</v>
      </c>
      <c r="D219">
        <f t="shared" si="16"/>
        <v>7</v>
      </c>
      <c r="E219">
        <f t="shared" si="17"/>
        <v>2</v>
      </c>
      <c r="F219">
        <f t="shared" si="18"/>
        <v>2024</v>
      </c>
      <c r="G219" t="s">
        <v>46</v>
      </c>
      <c r="H219" s="98">
        <v>9701</v>
      </c>
      <c r="I219" s="90">
        <v>3976.83</v>
      </c>
      <c r="J219" s="12" t="s">
        <v>31</v>
      </c>
      <c r="K219" s="29">
        <f t="shared" si="15"/>
        <v>3976.83</v>
      </c>
      <c r="L219">
        <v>1</v>
      </c>
      <c r="M219" s="29">
        <v>0</v>
      </c>
      <c r="N219" t="s">
        <v>32</v>
      </c>
      <c r="O219" t="s">
        <v>33</v>
      </c>
      <c r="P219" t="s">
        <v>34</v>
      </c>
      <c r="Q219" t="s">
        <v>34</v>
      </c>
      <c r="R219" t="s">
        <v>34</v>
      </c>
      <c r="S219" t="s">
        <v>34</v>
      </c>
      <c r="T219" s="117">
        <v>0</v>
      </c>
    </row>
    <row r="220" spans="1:21" ht="14.5" customHeight="1" x14ac:dyDescent="0.35">
      <c r="A220" t="s">
        <v>20</v>
      </c>
      <c r="B220" t="s">
        <v>23</v>
      </c>
      <c r="C220" s="1">
        <v>45329</v>
      </c>
      <c r="D220">
        <f t="shared" si="16"/>
        <v>7</v>
      </c>
      <c r="E220">
        <f t="shared" si="17"/>
        <v>2</v>
      </c>
      <c r="F220">
        <f t="shared" si="18"/>
        <v>2024</v>
      </c>
      <c r="G220" t="s">
        <v>46</v>
      </c>
      <c r="H220" s="98">
        <v>9793</v>
      </c>
      <c r="I220" s="90">
        <v>31.04</v>
      </c>
      <c r="J220" s="12" t="s">
        <v>31</v>
      </c>
      <c r="K220" s="29">
        <f t="shared" si="15"/>
        <v>31.04</v>
      </c>
      <c r="L220">
        <v>1</v>
      </c>
      <c r="M220" s="29">
        <v>0</v>
      </c>
      <c r="N220" t="s">
        <v>32</v>
      </c>
      <c r="O220" t="s">
        <v>33</v>
      </c>
      <c r="P220" t="s">
        <v>34</v>
      </c>
      <c r="Q220" t="s">
        <v>34</v>
      </c>
      <c r="R220" t="s">
        <v>34</v>
      </c>
      <c r="S220" t="s">
        <v>34</v>
      </c>
      <c r="T220" s="117">
        <v>0</v>
      </c>
    </row>
    <row r="221" spans="1:21" ht="14.5" customHeight="1" x14ac:dyDescent="0.35">
      <c r="A221" t="s">
        <v>20</v>
      </c>
      <c r="B221" t="s">
        <v>24</v>
      </c>
      <c r="C221" s="1">
        <v>45329</v>
      </c>
      <c r="D221">
        <f t="shared" si="16"/>
        <v>7</v>
      </c>
      <c r="E221">
        <f t="shared" si="17"/>
        <v>2</v>
      </c>
      <c r="F221">
        <f t="shared" si="18"/>
        <v>2024</v>
      </c>
      <c r="G221" t="s">
        <v>43</v>
      </c>
      <c r="H221" s="98">
        <v>9775</v>
      </c>
      <c r="I221" s="93">
        <v>1514.8</v>
      </c>
      <c r="J221" s="12" t="s">
        <v>31</v>
      </c>
      <c r="K221" s="29">
        <f t="shared" si="15"/>
        <v>1514.8</v>
      </c>
      <c r="L221">
        <v>1</v>
      </c>
      <c r="M221" s="29">
        <v>0</v>
      </c>
      <c r="N221" t="s">
        <v>32</v>
      </c>
      <c r="O221" t="s">
        <v>33</v>
      </c>
      <c r="P221" t="s">
        <v>34</v>
      </c>
      <c r="Q221" t="s">
        <v>34</v>
      </c>
      <c r="R221" t="s">
        <v>34</v>
      </c>
      <c r="S221" t="s">
        <v>34</v>
      </c>
      <c r="T221" s="117">
        <v>0</v>
      </c>
    </row>
    <row r="222" spans="1:21" ht="14.5" customHeight="1" x14ac:dyDescent="0.35">
      <c r="A222" t="s">
        <v>19</v>
      </c>
      <c r="B222" t="s">
        <v>26</v>
      </c>
      <c r="C222" s="1">
        <v>45330</v>
      </c>
      <c r="D222">
        <f t="shared" si="16"/>
        <v>8</v>
      </c>
      <c r="E222">
        <f t="shared" si="17"/>
        <v>2</v>
      </c>
      <c r="F222">
        <f t="shared" si="18"/>
        <v>2024</v>
      </c>
      <c r="G222" t="s">
        <v>73</v>
      </c>
      <c r="H222" s="98">
        <v>9889</v>
      </c>
      <c r="I222" s="15">
        <v>73772.97</v>
      </c>
      <c r="J222" s="12" t="s">
        <v>51</v>
      </c>
      <c r="K222" s="29">
        <f t="shared" si="15"/>
        <v>79586.280035999996</v>
      </c>
      <c r="L222">
        <v>1.0788</v>
      </c>
      <c r="M222" s="29">
        <v>0</v>
      </c>
      <c r="N222" t="s">
        <v>32</v>
      </c>
      <c r="O222" t="s">
        <v>33</v>
      </c>
      <c r="P222" t="s">
        <v>34</v>
      </c>
      <c r="Q222" t="s">
        <v>34</v>
      </c>
      <c r="R222" t="s">
        <v>34</v>
      </c>
      <c r="S222" t="s">
        <v>34</v>
      </c>
      <c r="T222" s="117">
        <v>0</v>
      </c>
      <c r="U222" s="209" t="s">
        <v>94</v>
      </c>
    </row>
    <row r="223" spans="1:21" ht="14.5" customHeight="1" x14ac:dyDescent="0.35">
      <c r="A223" t="s">
        <v>19</v>
      </c>
      <c r="B223" t="s">
        <v>26</v>
      </c>
      <c r="C223" s="1">
        <v>45330</v>
      </c>
      <c r="D223">
        <f t="shared" si="16"/>
        <v>8</v>
      </c>
      <c r="E223">
        <f t="shared" si="17"/>
        <v>2</v>
      </c>
      <c r="F223">
        <f t="shared" si="18"/>
        <v>2024</v>
      </c>
      <c r="G223" t="s">
        <v>73</v>
      </c>
      <c r="H223" s="98">
        <v>9909</v>
      </c>
      <c r="I223" s="15">
        <v>77483.7</v>
      </c>
      <c r="J223" s="12" t="s">
        <v>51</v>
      </c>
      <c r="K223" s="29">
        <f t="shared" si="15"/>
        <v>83589.415559999994</v>
      </c>
      <c r="L223">
        <v>1.0788</v>
      </c>
      <c r="M223" s="29">
        <v>0</v>
      </c>
      <c r="N223" t="s">
        <v>32</v>
      </c>
      <c r="O223" t="s">
        <v>33</v>
      </c>
      <c r="P223" t="s">
        <v>34</v>
      </c>
      <c r="Q223" t="s">
        <v>34</v>
      </c>
      <c r="R223" t="s">
        <v>34</v>
      </c>
      <c r="S223" t="s">
        <v>34</v>
      </c>
      <c r="T223" s="117">
        <v>0</v>
      </c>
      <c r="U223" s="209" t="s">
        <v>94</v>
      </c>
    </row>
    <row r="224" spans="1:21" ht="14.5" customHeight="1" x14ac:dyDescent="0.35">
      <c r="A224" t="s">
        <v>19</v>
      </c>
      <c r="B224" t="s">
        <v>26</v>
      </c>
      <c r="C224" s="1">
        <v>45330</v>
      </c>
      <c r="D224">
        <f t="shared" si="16"/>
        <v>8</v>
      </c>
      <c r="E224">
        <f t="shared" si="17"/>
        <v>2</v>
      </c>
      <c r="F224">
        <f t="shared" si="18"/>
        <v>2024</v>
      </c>
      <c r="G224" t="s">
        <v>73</v>
      </c>
      <c r="H224" s="98">
        <v>9910</v>
      </c>
      <c r="I224" s="15">
        <v>34033.57</v>
      </c>
      <c r="J224" s="12" t="s">
        <v>51</v>
      </c>
      <c r="K224" s="29">
        <f t="shared" si="15"/>
        <v>36715.415315999999</v>
      </c>
      <c r="L224">
        <v>1.0788</v>
      </c>
      <c r="M224" s="29">
        <v>0</v>
      </c>
      <c r="N224" t="s">
        <v>32</v>
      </c>
      <c r="O224" t="s">
        <v>33</v>
      </c>
      <c r="P224" t="s">
        <v>34</v>
      </c>
      <c r="Q224" t="s">
        <v>34</v>
      </c>
      <c r="R224" t="s">
        <v>34</v>
      </c>
      <c r="S224" t="s">
        <v>34</v>
      </c>
      <c r="T224" s="117">
        <v>0</v>
      </c>
      <c r="U224" s="209" t="s">
        <v>94</v>
      </c>
    </row>
    <row r="225" spans="1:20" ht="14.5" customHeight="1" x14ac:dyDescent="0.35">
      <c r="A225" t="s">
        <v>19</v>
      </c>
      <c r="B225" t="s">
        <v>21</v>
      </c>
      <c r="C225" s="1">
        <v>45336</v>
      </c>
      <c r="D225">
        <f t="shared" si="16"/>
        <v>14</v>
      </c>
      <c r="E225">
        <f t="shared" si="17"/>
        <v>2</v>
      </c>
      <c r="F225">
        <f t="shared" si="18"/>
        <v>2024</v>
      </c>
      <c r="G225" t="s">
        <v>28</v>
      </c>
      <c r="H225" s="98">
        <v>9293</v>
      </c>
      <c r="I225" s="90">
        <v>218.2</v>
      </c>
      <c r="J225" s="12" t="s">
        <v>31</v>
      </c>
      <c r="K225" s="29">
        <f t="shared" si="15"/>
        <v>218.2</v>
      </c>
      <c r="L225">
        <v>1</v>
      </c>
      <c r="M225" s="29">
        <v>0</v>
      </c>
      <c r="N225" t="s">
        <v>32</v>
      </c>
      <c r="O225" t="s">
        <v>33</v>
      </c>
      <c r="P225" t="s">
        <v>34</v>
      </c>
      <c r="Q225" t="s">
        <v>34</v>
      </c>
      <c r="R225" t="s">
        <v>34</v>
      </c>
      <c r="S225" t="s">
        <v>34</v>
      </c>
      <c r="T225" s="117">
        <v>0</v>
      </c>
    </row>
    <row r="226" spans="1:20" ht="14.5" customHeight="1" x14ac:dyDescent="0.35">
      <c r="A226" t="s">
        <v>19</v>
      </c>
      <c r="B226" t="s">
        <v>23</v>
      </c>
      <c r="C226" s="1">
        <v>45336</v>
      </c>
      <c r="D226">
        <f t="shared" si="16"/>
        <v>14</v>
      </c>
      <c r="E226">
        <f t="shared" si="17"/>
        <v>2</v>
      </c>
      <c r="F226">
        <f t="shared" si="18"/>
        <v>2024</v>
      </c>
      <c r="G226" t="s">
        <v>28</v>
      </c>
      <c r="H226" s="98">
        <v>9336</v>
      </c>
      <c r="I226" s="90">
        <v>13528.9</v>
      </c>
      <c r="J226" s="12" t="s">
        <v>31</v>
      </c>
      <c r="K226" s="29">
        <f t="shared" si="15"/>
        <v>13528.9</v>
      </c>
      <c r="L226">
        <v>1</v>
      </c>
      <c r="M226" s="29">
        <v>0</v>
      </c>
      <c r="N226" t="s">
        <v>32</v>
      </c>
      <c r="O226" t="s">
        <v>33</v>
      </c>
      <c r="P226" t="s">
        <v>34</v>
      </c>
      <c r="Q226" t="s">
        <v>34</v>
      </c>
      <c r="R226" t="s">
        <v>34</v>
      </c>
      <c r="S226" t="s">
        <v>34</v>
      </c>
      <c r="T226" s="117">
        <v>0</v>
      </c>
    </row>
    <row r="227" spans="1:20" ht="14.5" customHeight="1" x14ac:dyDescent="0.35">
      <c r="A227" t="s">
        <v>19</v>
      </c>
      <c r="B227" t="s">
        <v>25</v>
      </c>
      <c r="C227" s="1">
        <v>45336</v>
      </c>
      <c r="D227">
        <f t="shared" si="16"/>
        <v>14</v>
      </c>
      <c r="E227">
        <f t="shared" si="17"/>
        <v>2</v>
      </c>
      <c r="F227">
        <f t="shared" si="18"/>
        <v>2024</v>
      </c>
      <c r="G227" t="s">
        <v>29</v>
      </c>
      <c r="H227" s="98">
        <v>9363</v>
      </c>
      <c r="I227" s="90">
        <v>5083.05</v>
      </c>
      <c r="J227" s="12" t="s">
        <v>31</v>
      </c>
      <c r="K227" s="29">
        <f t="shared" si="15"/>
        <v>5083.05</v>
      </c>
      <c r="L227">
        <v>1</v>
      </c>
      <c r="M227" s="29">
        <v>0</v>
      </c>
      <c r="N227" t="s">
        <v>32</v>
      </c>
      <c r="O227" t="s">
        <v>33</v>
      </c>
      <c r="P227" t="s">
        <v>34</v>
      </c>
      <c r="Q227" t="s">
        <v>34</v>
      </c>
      <c r="R227" t="s">
        <v>34</v>
      </c>
      <c r="S227" t="s">
        <v>34</v>
      </c>
      <c r="T227" s="117">
        <v>0</v>
      </c>
    </row>
    <row r="228" spans="1:20" ht="14.5" customHeight="1" x14ac:dyDescent="0.35">
      <c r="A228" t="s">
        <v>19</v>
      </c>
      <c r="B228" t="s">
        <v>24</v>
      </c>
      <c r="C228" s="1">
        <v>45336</v>
      </c>
      <c r="D228">
        <f t="shared" si="16"/>
        <v>14</v>
      </c>
      <c r="E228">
        <f t="shared" si="17"/>
        <v>2</v>
      </c>
      <c r="F228">
        <f t="shared" si="18"/>
        <v>2024</v>
      </c>
      <c r="G228" t="s">
        <v>29</v>
      </c>
      <c r="H228" s="98">
        <v>9663</v>
      </c>
      <c r="I228" s="29">
        <v>128.4</v>
      </c>
      <c r="J228" s="12" t="s">
        <v>31</v>
      </c>
      <c r="K228" s="29">
        <f t="shared" si="15"/>
        <v>128.4</v>
      </c>
      <c r="L228">
        <v>1</v>
      </c>
      <c r="M228" s="29">
        <v>0</v>
      </c>
      <c r="N228" t="s">
        <v>32</v>
      </c>
      <c r="O228" t="s">
        <v>33</v>
      </c>
      <c r="P228" t="s">
        <v>34</v>
      </c>
      <c r="Q228" t="s">
        <v>34</v>
      </c>
      <c r="R228" t="s">
        <v>34</v>
      </c>
      <c r="S228" t="s">
        <v>34</v>
      </c>
      <c r="T228" s="117">
        <v>0</v>
      </c>
    </row>
    <row r="229" spans="1:20" ht="14.5" customHeight="1" x14ac:dyDescent="0.35">
      <c r="A229" t="s">
        <v>19</v>
      </c>
      <c r="B229" t="s">
        <v>25</v>
      </c>
      <c r="C229" s="1">
        <v>45336</v>
      </c>
      <c r="D229">
        <f t="shared" si="16"/>
        <v>14</v>
      </c>
      <c r="E229">
        <f t="shared" si="17"/>
        <v>2</v>
      </c>
      <c r="F229">
        <f t="shared" si="18"/>
        <v>2024</v>
      </c>
      <c r="G229" t="s">
        <v>30</v>
      </c>
      <c r="H229" s="98">
        <v>9375</v>
      </c>
      <c r="I229" s="90">
        <v>33370.050000000003</v>
      </c>
      <c r="J229" s="12" t="s">
        <v>31</v>
      </c>
      <c r="K229" s="29">
        <f t="shared" si="15"/>
        <v>33370.050000000003</v>
      </c>
      <c r="L229">
        <v>1</v>
      </c>
      <c r="M229" s="29">
        <v>0</v>
      </c>
      <c r="N229" t="s">
        <v>32</v>
      </c>
      <c r="O229" t="s">
        <v>33</v>
      </c>
      <c r="P229" t="s">
        <v>34</v>
      </c>
      <c r="Q229" t="s">
        <v>34</v>
      </c>
      <c r="R229" t="s">
        <v>34</v>
      </c>
      <c r="S229" t="s">
        <v>34</v>
      </c>
      <c r="T229" s="117">
        <v>0</v>
      </c>
    </row>
    <row r="230" spans="1:20" ht="14.5" customHeight="1" x14ac:dyDescent="0.35">
      <c r="A230" t="s">
        <v>19</v>
      </c>
      <c r="B230" t="s">
        <v>25</v>
      </c>
      <c r="C230" s="1">
        <v>45336</v>
      </c>
      <c r="D230">
        <f t="shared" si="16"/>
        <v>14</v>
      </c>
      <c r="E230">
        <f t="shared" si="17"/>
        <v>2</v>
      </c>
      <c r="F230">
        <f t="shared" si="18"/>
        <v>2024</v>
      </c>
      <c r="G230" t="s">
        <v>30</v>
      </c>
      <c r="H230" s="98">
        <v>9376</v>
      </c>
      <c r="I230" s="90">
        <v>138.4</v>
      </c>
      <c r="J230" s="12" t="s">
        <v>31</v>
      </c>
      <c r="K230" s="29">
        <f t="shared" si="15"/>
        <v>138.4</v>
      </c>
      <c r="L230">
        <v>1</v>
      </c>
      <c r="M230" s="29">
        <v>0</v>
      </c>
      <c r="N230" t="s">
        <v>32</v>
      </c>
      <c r="O230" t="s">
        <v>33</v>
      </c>
      <c r="P230" t="s">
        <v>34</v>
      </c>
      <c r="Q230" t="s">
        <v>34</v>
      </c>
      <c r="R230" t="s">
        <v>34</v>
      </c>
      <c r="S230" t="s">
        <v>34</v>
      </c>
      <c r="T230" s="117">
        <v>0</v>
      </c>
    </row>
    <row r="231" spans="1:20" ht="14.5" customHeight="1" x14ac:dyDescent="0.35">
      <c r="A231" t="s">
        <v>19</v>
      </c>
      <c r="B231" t="s">
        <v>24</v>
      </c>
      <c r="C231" s="1">
        <v>45336</v>
      </c>
      <c r="D231">
        <f t="shared" si="16"/>
        <v>14</v>
      </c>
      <c r="E231">
        <f t="shared" si="17"/>
        <v>2</v>
      </c>
      <c r="F231">
        <f t="shared" si="18"/>
        <v>2024</v>
      </c>
      <c r="G231" t="s">
        <v>35</v>
      </c>
      <c r="H231" s="98">
        <v>9392</v>
      </c>
      <c r="I231" s="90">
        <v>16351.5</v>
      </c>
      <c r="J231" s="12" t="s">
        <v>31</v>
      </c>
      <c r="K231" s="29">
        <f t="shared" si="15"/>
        <v>16351.5</v>
      </c>
      <c r="L231">
        <v>1</v>
      </c>
      <c r="M231" s="29">
        <v>0</v>
      </c>
      <c r="N231" t="s">
        <v>32</v>
      </c>
      <c r="O231" t="s">
        <v>33</v>
      </c>
      <c r="P231" t="s">
        <v>34</v>
      </c>
      <c r="Q231" t="s">
        <v>34</v>
      </c>
      <c r="R231" t="s">
        <v>34</v>
      </c>
      <c r="S231" t="s">
        <v>34</v>
      </c>
      <c r="T231" s="117">
        <v>0</v>
      </c>
    </row>
    <row r="232" spans="1:20" ht="14.5" customHeight="1" x14ac:dyDescent="0.35">
      <c r="A232" t="s">
        <v>19</v>
      </c>
      <c r="B232" t="s">
        <v>23</v>
      </c>
      <c r="C232" s="1">
        <v>45336</v>
      </c>
      <c r="D232">
        <f t="shared" si="16"/>
        <v>14</v>
      </c>
      <c r="E232">
        <f t="shared" si="17"/>
        <v>2</v>
      </c>
      <c r="F232">
        <f t="shared" si="18"/>
        <v>2024</v>
      </c>
      <c r="G232" t="s">
        <v>35</v>
      </c>
      <c r="H232" s="98">
        <v>9454</v>
      </c>
      <c r="I232" s="90">
        <v>13992.55</v>
      </c>
      <c r="J232" s="12" t="s">
        <v>31</v>
      </c>
      <c r="K232" s="29">
        <f t="shared" si="15"/>
        <v>13992.55</v>
      </c>
      <c r="L232">
        <v>1</v>
      </c>
      <c r="M232" s="29">
        <v>0</v>
      </c>
      <c r="N232" t="s">
        <v>32</v>
      </c>
      <c r="O232" t="s">
        <v>33</v>
      </c>
      <c r="P232" t="s">
        <v>34</v>
      </c>
      <c r="Q232" t="s">
        <v>34</v>
      </c>
      <c r="R232" t="s">
        <v>34</v>
      </c>
      <c r="S232" t="s">
        <v>34</v>
      </c>
      <c r="T232" s="117">
        <v>0</v>
      </c>
    </row>
    <row r="233" spans="1:20" ht="14.5" customHeight="1" x14ac:dyDescent="0.35">
      <c r="A233" t="s">
        <v>19</v>
      </c>
      <c r="B233" t="s">
        <v>25</v>
      </c>
      <c r="C233" s="1">
        <v>45336</v>
      </c>
      <c r="D233">
        <f t="shared" si="16"/>
        <v>14</v>
      </c>
      <c r="E233">
        <f t="shared" si="17"/>
        <v>2</v>
      </c>
      <c r="F233">
        <f t="shared" si="18"/>
        <v>2024</v>
      </c>
      <c r="G233" t="s">
        <v>35</v>
      </c>
      <c r="H233" s="98">
        <v>9770</v>
      </c>
      <c r="I233" s="29">
        <v>109.44</v>
      </c>
      <c r="J233" s="12" t="s">
        <v>31</v>
      </c>
      <c r="K233" s="29">
        <f t="shared" si="15"/>
        <v>109.44</v>
      </c>
      <c r="L233">
        <v>1</v>
      </c>
      <c r="M233" s="29">
        <v>0</v>
      </c>
      <c r="N233" t="s">
        <v>32</v>
      </c>
      <c r="O233" t="s">
        <v>33</v>
      </c>
      <c r="P233" t="s">
        <v>34</v>
      </c>
      <c r="Q233" t="s">
        <v>34</v>
      </c>
      <c r="R233" t="s">
        <v>34</v>
      </c>
      <c r="S233" t="s">
        <v>34</v>
      </c>
      <c r="T233" s="117">
        <v>0</v>
      </c>
    </row>
    <row r="234" spans="1:20" ht="14.5" customHeight="1" x14ac:dyDescent="0.35">
      <c r="A234" t="s">
        <v>19</v>
      </c>
      <c r="B234" t="s">
        <v>25</v>
      </c>
      <c r="C234" s="1">
        <v>45336</v>
      </c>
      <c r="D234">
        <f t="shared" si="16"/>
        <v>14</v>
      </c>
      <c r="E234">
        <f t="shared" si="17"/>
        <v>2</v>
      </c>
      <c r="F234">
        <f t="shared" si="18"/>
        <v>2024</v>
      </c>
      <c r="G234" t="s">
        <v>36</v>
      </c>
      <c r="H234" s="98">
        <v>9437</v>
      </c>
      <c r="I234" s="90">
        <v>56014.63</v>
      </c>
      <c r="J234" s="12" t="s">
        <v>31</v>
      </c>
      <c r="K234" s="29">
        <f t="shared" si="15"/>
        <v>56014.63</v>
      </c>
      <c r="L234">
        <v>1</v>
      </c>
      <c r="M234" s="29">
        <v>0</v>
      </c>
      <c r="N234" t="s">
        <v>32</v>
      </c>
      <c r="O234" t="s">
        <v>33</v>
      </c>
      <c r="P234" t="s">
        <v>34</v>
      </c>
      <c r="Q234" t="s">
        <v>34</v>
      </c>
      <c r="R234" t="s">
        <v>34</v>
      </c>
      <c r="S234" t="s">
        <v>34</v>
      </c>
      <c r="T234" s="117">
        <v>0</v>
      </c>
    </row>
    <row r="235" spans="1:20" ht="14.5" customHeight="1" x14ac:dyDescent="0.35">
      <c r="A235" t="s">
        <v>19</v>
      </c>
      <c r="B235" t="s">
        <v>21</v>
      </c>
      <c r="C235" s="1">
        <v>45336</v>
      </c>
      <c r="D235">
        <f t="shared" si="16"/>
        <v>14</v>
      </c>
      <c r="E235">
        <f t="shared" si="17"/>
        <v>2</v>
      </c>
      <c r="F235">
        <f t="shared" si="18"/>
        <v>2024</v>
      </c>
      <c r="G235" t="s">
        <v>36</v>
      </c>
      <c r="H235" s="98">
        <v>9569</v>
      </c>
      <c r="I235" s="29">
        <v>466</v>
      </c>
      <c r="J235" s="12" t="s">
        <v>31</v>
      </c>
      <c r="K235" s="29">
        <f t="shared" si="15"/>
        <v>466</v>
      </c>
      <c r="L235">
        <v>1</v>
      </c>
      <c r="M235" s="29">
        <v>0</v>
      </c>
      <c r="N235" t="s">
        <v>32</v>
      </c>
      <c r="O235" t="s">
        <v>33</v>
      </c>
      <c r="P235" t="s">
        <v>34</v>
      </c>
      <c r="Q235" t="s">
        <v>34</v>
      </c>
      <c r="R235" t="s">
        <v>34</v>
      </c>
      <c r="S235" t="s">
        <v>34</v>
      </c>
      <c r="T235" s="117">
        <v>0</v>
      </c>
    </row>
    <row r="236" spans="1:20" ht="14.5" customHeight="1" x14ac:dyDescent="0.35">
      <c r="A236" t="s">
        <v>19</v>
      </c>
      <c r="B236" t="s">
        <v>25</v>
      </c>
      <c r="C236" s="1">
        <v>45336</v>
      </c>
      <c r="D236">
        <f t="shared" si="16"/>
        <v>14</v>
      </c>
      <c r="E236">
        <f t="shared" si="17"/>
        <v>2</v>
      </c>
      <c r="F236">
        <f t="shared" si="18"/>
        <v>2024</v>
      </c>
      <c r="G236" t="s">
        <v>36</v>
      </c>
      <c r="H236" s="98">
        <v>9631</v>
      </c>
      <c r="I236" s="29">
        <v>239679.5</v>
      </c>
      <c r="J236" s="12" t="s">
        <v>31</v>
      </c>
      <c r="K236" s="29">
        <f t="shared" si="15"/>
        <v>239679.5</v>
      </c>
      <c r="L236">
        <v>1</v>
      </c>
      <c r="M236" s="29">
        <v>0</v>
      </c>
      <c r="N236" t="s">
        <v>32</v>
      </c>
      <c r="O236" t="s">
        <v>33</v>
      </c>
      <c r="P236" t="s">
        <v>34</v>
      </c>
      <c r="Q236" t="s">
        <v>34</v>
      </c>
      <c r="R236" t="s">
        <v>34</v>
      </c>
      <c r="S236" t="s">
        <v>34</v>
      </c>
      <c r="T236" s="117">
        <v>0</v>
      </c>
    </row>
    <row r="237" spans="1:20" ht="14.5" customHeight="1" x14ac:dyDescent="0.35">
      <c r="A237" t="s">
        <v>19</v>
      </c>
      <c r="B237" t="s">
        <v>21</v>
      </c>
      <c r="C237" s="1">
        <v>45336</v>
      </c>
      <c r="D237">
        <f t="shared" si="16"/>
        <v>14</v>
      </c>
      <c r="E237">
        <f t="shared" si="17"/>
        <v>2</v>
      </c>
      <c r="F237">
        <f t="shared" si="18"/>
        <v>2024</v>
      </c>
      <c r="G237" t="s">
        <v>37</v>
      </c>
      <c r="H237" s="98">
        <v>9490</v>
      </c>
      <c r="I237" s="29">
        <v>30158.799999999999</v>
      </c>
      <c r="J237" s="12" t="s">
        <v>31</v>
      </c>
      <c r="K237" s="29">
        <f t="shared" si="15"/>
        <v>30158.799999999999</v>
      </c>
      <c r="L237">
        <v>1</v>
      </c>
      <c r="M237" s="29">
        <v>0</v>
      </c>
      <c r="N237" t="s">
        <v>32</v>
      </c>
      <c r="O237" t="s">
        <v>33</v>
      </c>
      <c r="P237" t="s">
        <v>34</v>
      </c>
      <c r="Q237" t="s">
        <v>34</v>
      </c>
      <c r="R237" t="s">
        <v>34</v>
      </c>
      <c r="S237" t="s">
        <v>34</v>
      </c>
      <c r="T237" s="117">
        <v>0</v>
      </c>
    </row>
    <row r="238" spans="1:20" ht="14.5" customHeight="1" x14ac:dyDescent="0.35">
      <c r="A238" t="s">
        <v>19</v>
      </c>
      <c r="B238" t="s">
        <v>25</v>
      </c>
      <c r="C238" s="1">
        <v>45336</v>
      </c>
      <c r="D238">
        <f t="shared" si="16"/>
        <v>14</v>
      </c>
      <c r="E238">
        <f t="shared" si="17"/>
        <v>2</v>
      </c>
      <c r="F238">
        <f t="shared" si="18"/>
        <v>2024</v>
      </c>
      <c r="G238" t="s">
        <v>38</v>
      </c>
      <c r="H238" s="98">
        <v>9727</v>
      </c>
      <c r="I238" s="29">
        <v>32630.799999999999</v>
      </c>
      <c r="J238" s="12" t="s">
        <v>31</v>
      </c>
      <c r="K238" s="29">
        <f t="shared" si="15"/>
        <v>32630.799999999999</v>
      </c>
      <c r="L238">
        <v>1</v>
      </c>
      <c r="M238" s="29">
        <v>0</v>
      </c>
      <c r="N238" t="s">
        <v>32</v>
      </c>
      <c r="O238" t="s">
        <v>33</v>
      </c>
      <c r="P238" t="s">
        <v>34</v>
      </c>
      <c r="Q238" t="s">
        <v>34</v>
      </c>
      <c r="R238" t="s">
        <v>34</v>
      </c>
      <c r="S238" t="s">
        <v>34</v>
      </c>
      <c r="T238" s="117">
        <v>0</v>
      </c>
    </row>
    <row r="239" spans="1:20" ht="14.5" customHeight="1" x14ac:dyDescent="0.35">
      <c r="A239" t="s">
        <v>19</v>
      </c>
      <c r="B239" t="s">
        <v>25</v>
      </c>
      <c r="C239" s="1">
        <v>45336</v>
      </c>
      <c r="D239">
        <f t="shared" si="16"/>
        <v>14</v>
      </c>
      <c r="E239">
        <f t="shared" si="17"/>
        <v>2</v>
      </c>
      <c r="F239">
        <f t="shared" si="18"/>
        <v>2024</v>
      </c>
      <c r="G239" t="s">
        <v>39</v>
      </c>
      <c r="H239" s="98">
        <v>9772</v>
      </c>
      <c r="I239" s="29">
        <v>279</v>
      </c>
      <c r="J239" s="12" t="s">
        <v>31</v>
      </c>
      <c r="K239" s="29">
        <f t="shared" si="15"/>
        <v>279</v>
      </c>
      <c r="L239">
        <v>1</v>
      </c>
      <c r="M239" s="29">
        <v>0</v>
      </c>
      <c r="N239" t="s">
        <v>32</v>
      </c>
      <c r="O239" t="s">
        <v>33</v>
      </c>
      <c r="P239" t="s">
        <v>34</v>
      </c>
      <c r="Q239" t="s">
        <v>34</v>
      </c>
      <c r="R239" t="s">
        <v>34</v>
      </c>
      <c r="S239" t="s">
        <v>34</v>
      </c>
      <c r="T239" s="117">
        <v>0</v>
      </c>
    </row>
    <row r="240" spans="1:20" ht="14.5" customHeight="1" x14ac:dyDescent="0.35">
      <c r="A240" t="s">
        <v>19</v>
      </c>
      <c r="B240" t="s">
        <v>24</v>
      </c>
      <c r="C240" s="1">
        <v>45336</v>
      </c>
      <c r="D240">
        <f t="shared" si="16"/>
        <v>14</v>
      </c>
      <c r="E240">
        <f t="shared" si="17"/>
        <v>2</v>
      </c>
      <c r="F240">
        <f t="shared" si="18"/>
        <v>2024</v>
      </c>
      <c r="G240" t="s">
        <v>39</v>
      </c>
      <c r="H240" s="98">
        <v>9865</v>
      </c>
      <c r="I240" s="29">
        <v>105.3</v>
      </c>
      <c r="J240" s="12" t="s">
        <v>31</v>
      </c>
      <c r="K240" s="29">
        <f t="shared" si="15"/>
        <v>105.3</v>
      </c>
      <c r="L240">
        <v>1</v>
      </c>
      <c r="M240" s="29">
        <v>0</v>
      </c>
      <c r="N240" t="s">
        <v>32</v>
      </c>
      <c r="O240" t="s">
        <v>33</v>
      </c>
      <c r="P240" t="s">
        <v>34</v>
      </c>
      <c r="Q240" t="s">
        <v>34</v>
      </c>
      <c r="R240" t="s">
        <v>34</v>
      </c>
      <c r="S240" t="s">
        <v>34</v>
      </c>
      <c r="T240" s="117">
        <v>0</v>
      </c>
    </row>
    <row r="241" spans="1:20" ht="14.5" customHeight="1" x14ac:dyDescent="0.35">
      <c r="A241" t="s">
        <v>19</v>
      </c>
      <c r="B241" t="s">
        <v>25</v>
      </c>
      <c r="C241" s="1">
        <v>45336</v>
      </c>
      <c r="D241">
        <f t="shared" si="16"/>
        <v>14</v>
      </c>
      <c r="E241">
        <f t="shared" si="17"/>
        <v>2</v>
      </c>
      <c r="F241">
        <f t="shared" si="18"/>
        <v>2024</v>
      </c>
      <c r="G241" t="s">
        <v>40</v>
      </c>
      <c r="H241" s="98">
        <v>9884</v>
      </c>
      <c r="I241" s="29">
        <v>5771.6</v>
      </c>
      <c r="J241" s="12" t="s">
        <v>31</v>
      </c>
      <c r="K241" s="29">
        <f t="shared" si="15"/>
        <v>5771.6</v>
      </c>
      <c r="L241">
        <v>1</v>
      </c>
      <c r="M241" s="29">
        <v>0</v>
      </c>
      <c r="N241" t="s">
        <v>32</v>
      </c>
      <c r="O241" t="s">
        <v>33</v>
      </c>
      <c r="P241" t="s">
        <v>34</v>
      </c>
      <c r="Q241" t="s">
        <v>34</v>
      </c>
      <c r="R241" t="s">
        <v>34</v>
      </c>
      <c r="S241" t="s">
        <v>34</v>
      </c>
      <c r="T241" s="117">
        <v>0</v>
      </c>
    </row>
    <row r="242" spans="1:20" ht="14.5" customHeight="1" x14ac:dyDescent="0.35">
      <c r="A242" t="s">
        <v>19</v>
      </c>
      <c r="B242" t="s">
        <v>24</v>
      </c>
      <c r="C242" s="1">
        <v>45336</v>
      </c>
      <c r="D242">
        <f t="shared" si="16"/>
        <v>14</v>
      </c>
      <c r="E242">
        <f t="shared" si="17"/>
        <v>2</v>
      </c>
      <c r="F242">
        <f t="shared" si="18"/>
        <v>2024</v>
      </c>
      <c r="G242" t="s">
        <v>40</v>
      </c>
      <c r="H242" s="98">
        <v>9884</v>
      </c>
      <c r="I242" s="29">
        <v>12554.2</v>
      </c>
      <c r="J242" s="12" t="s">
        <v>31</v>
      </c>
      <c r="K242" s="29">
        <f t="shared" si="15"/>
        <v>12554.2</v>
      </c>
      <c r="L242">
        <v>1</v>
      </c>
      <c r="M242" s="29">
        <v>0</v>
      </c>
      <c r="N242" t="s">
        <v>32</v>
      </c>
      <c r="O242" t="s">
        <v>33</v>
      </c>
      <c r="P242" t="s">
        <v>34</v>
      </c>
      <c r="Q242" t="s">
        <v>34</v>
      </c>
      <c r="R242" t="s">
        <v>34</v>
      </c>
      <c r="S242" t="s">
        <v>34</v>
      </c>
      <c r="T242" s="117">
        <v>0</v>
      </c>
    </row>
    <row r="243" spans="1:20" ht="14.5" customHeight="1" x14ac:dyDescent="0.35">
      <c r="A243" t="s">
        <v>19</v>
      </c>
      <c r="B243" t="s">
        <v>21</v>
      </c>
      <c r="C243" s="1">
        <v>45336</v>
      </c>
      <c r="D243">
        <f t="shared" si="16"/>
        <v>14</v>
      </c>
      <c r="E243">
        <f t="shared" si="17"/>
        <v>2</v>
      </c>
      <c r="F243">
        <f t="shared" si="18"/>
        <v>2024</v>
      </c>
      <c r="G243" t="s">
        <v>40</v>
      </c>
      <c r="H243" s="98">
        <v>9884</v>
      </c>
      <c r="I243" s="29">
        <v>29082.9</v>
      </c>
      <c r="J243" s="12" t="s">
        <v>31</v>
      </c>
      <c r="K243" s="29">
        <f t="shared" si="15"/>
        <v>29082.9</v>
      </c>
      <c r="L243">
        <v>1</v>
      </c>
      <c r="M243" s="29">
        <v>0</v>
      </c>
      <c r="N243" t="s">
        <v>32</v>
      </c>
      <c r="O243" t="s">
        <v>33</v>
      </c>
      <c r="P243" t="s">
        <v>34</v>
      </c>
      <c r="Q243" t="s">
        <v>34</v>
      </c>
      <c r="R243" t="s">
        <v>34</v>
      </c>
      <c r="S243" t="s">
        <v>34</v>
      </c>
      <c r="T243" s="117">
        <v>0</v>
      </c>
    </row>
    <row r="244" spans="1:20" ht="14.5" customHeight="1" x14ac:dyDescent="0.35">
      <c r="A244" t="s">
        <v>19</v>
      </c>
      <c r="B244" t="s">
        <v>24</v>
      </c>
      <c r="C244" s="1">
        <v>45336</v>
      </c>
      <c r="D244">
        <f t="shared" si="16"/>
        <v>14</v>
      </c>
      <c r="E244">
        <f t="shared" si="17"/>
        <v>2</v>
      </c>
      <c r="F244">
        <f t="shared" si="18"/>
        <v>2024</v>
      </c>
      <c r="G244" t="s">
        <v>40</v>
      </c>
      <c r="H244" s="98">
        <v>9969</v>
      </c>
      <c r="I244" s="29">
        <v>49.2</v>
      </c>
      <c r="J244" s="12" t="s">
        <v>31</v>
      </c>
      <c r="K244" s="29">
        <f t="shared" si="15"/>
        <v>49.2</v>
      </c>
      <c r="L244">
        <v>1</v>
      </c>
      <c r="M244" s="29">
        <v>0</v>
      </c>
      <c r="N244" t="s">
        <v>32</v>
      </c>
      <c r="O244" t="s">
        <v>33</v>
      </c>
      <c r="P244" t="s">
        <v>34</v>
      </c>
      <c r="Q244" t="s">
        <v>34</v>
      </c>
      <c r="R244" t="s">
        <v>34</v>
      </c>
      <c r="S244" t="s">
        <v>34</v>
      </c>
      <c r="T244" s="117">
        <v>0</v>
      </c>
    </row>
    <row r="245" spans="1:20" ht="14.5" customHeight="1" x14ac:dyDescent="0.35">
      <c r="A245" t="s">
        <v>19</v>
      </c>
      <c r="B245" t="s">
        <v>25</v>
      </c>
      <c r="C245" s="1">
        <v>45336</v>
      </c>
      <c r="D245">
        <f t="shared" si="16"/>
        <v>14</v>
      </c>
      <c r="E245">
        <f t="shared" si="17"/>
        <v>2</v>
      </c>
      <c r="F245">
        <f t="shared" si="18"/>
        <v>2024</v>
      </c>
      <c r="G245" t="s">
        <v>40</v>
      </c>
      <c r="H245" s="98">
        <v>9969</v>
      </c>
      <c r="I245" s="29">
        <v>28.2</v>
      </c>
      <c r="J245" s="12" t="s">
        <v>31</v>
      </c>
      <c r="K245" s="29">
        <f t="shared" si="15"/>
        <v>28.2</v>
      </c>
      <c r="L245">
        <v>1</v>
      </c>
      <c r="M245" s="29">
        <v>0</v>
      </c>
      <c r="N245" t="s">
        <v>32</v>
      </c>
      <c r="O245" t="s">
        <v>33</v>
      </c>
      <c r="P245" t="s">
        <v>34</v>
      </c>
      <c r="Q245" t="s">
        <v>34</v>
      </c>
      <c r="R245" t="s">
        <v>34</v>
      </c>
      <c r="S245" t="s">
        <v>34</v>
      </c>
      <c r="T245" s="117">
        <v>0</v>
      </c>
    </row>
    <row r="246" spans="1:20" ht="14.5" customHeight="1" x14ac:dyDescent="0.35">
      <c r="A246" t="s">
        <v>19</v>
      </c>
      <c r="B246" t="s">
        <v>21</v>
      </c>
      <c r="C246" s="1">
        <v>45336</v>
      </c>
      <c r="D246">
        <f t="shared" si="16"/>
        <v>14</v>
      </c>
      <c r="E246">
        <f t="shared" si="17"/>
        <v>2</v>
      </c>
      <c r="F246">
        <f t="shared" si="18"/>
        <v>2024</v>
      </c>
      <c r="G246" t="s">
        <v>40</v>
      </c>
      <c r="H246" s="98">
        <v>10013</v>
      </c>
      <c r="I246" s="29">
        <v>134.4</v>
      </c>
      <c r="J246" s="12" t="s">
        <v>31</v>
      </c>
      <c r="K246" s="29">
        <f t="shared" si="15"/>
        <v>134.4</v>
      </c>
      <c r="L246">
        <v>1</v>
      </c>
      <c r="M246" s="29">
        <v>0</v>
      </c>
      <c r="N246" t="s">
        <v>32</v>
      </c>
      <c r="O246" t="s">
        <v>33</v>
      </c>
      <c r="P246" t="s">
        <v>34</v>
      </c>
      <c r="Q246" t="s">
        <v>34</v>
      </c>
      <c r="R246" t="s">
        <v>34</v>
      </c>
      <c r="S246" t="s">
        <v>34</v>
      </c>
      <c r="T246" s="117">
        <v>0</v>
      </c>
    </row>
    <row r="247" spans="1:20" ht="14.5" customHeight="1" x14ac:dyDescent="0.35">
      <c r="A247" t="s">
        <v>20</v>
      </c>
      <c r="B247" t="s">
        <v>24</v>
      </c>
      <c r="C247" s="1">
        <v>45336</v>
      </c>
      <c r="D247">
        <f t="shared" si="16"/>
        <v>14</v>
      </c>
      <c r="E247">
        <f t="shared" si="17"/>
        <v>2</v>
      </c>
      <c r="F247">
        <f t="shared" si="18"/>
        <v>2024</v>
      </c>
      <c r="G247" t="s">
        <v>41</v>
      </c>
      <c r="H247" s="98">
        <v>9203</v>
      </c>
      <c r="I247" s="29">
        <v>3971.16</v>
      </c>
      <c r="J247" s="12" t="s">
        <v>31</v>
      </c>
      <c r="K247" s="29">
        <f t="shared" si="15"/>
        <v>3971.16</v>
      </c>
      <c r="L247">
        <v>1</v>
      </c>
      <c r="M247" s="29">
        <v>0</v>
      </c>
      <c r="N247" t="s">
        <v>42</v>
      </c>
      <c r="O247" t="s">
        <v>33</v>
      </c>
      <c r="P247" t="s">
        <v>34</v>
      </c>
      <c r="Q247" t="s">
        <v>34</v>
      </c>
      <c r="R247" t="s">
        <v>34</v>
      </c>
      <c r="S247" t="s">
        <v>34</v>
      </c>
      <c r="T247" s="117">
        <v>0</v>
      </c>
    </row>
    <row r="248" spans="1:20" ht="14.5" customHeight="1" x14ac:dyDescent="0.35">
      <c r="A248" t="s">
        <v>20</v>
      </c>
      <c r="B248" t="s">
        <v>25</v>
      </c>
      <c r="C248" s="1">
        <v>45336</v>
      </c>
      <c r="D248">
        <f t="shared" si="16"/>
        <v>14</v>
      </c>
      <c r="E248">
        <f t="shared" si="17"/>
        <v>2</v>
      </c>
      <c r="F248">
        <f t="shared" si="18"/>
        <v>2024</v>
      </c>
      <c r="G248" t="s">
        <v>43</v>
      </c>
      <c r="H248" s="98">
        <v>9720</v>
      </c>
      <c r="I248" s="29">
        <v>1046</v>
      </c>
      <c r="J248" s="12" t="s">
        <v>31</v>
      </c>
      <c r="K248" s="29">
        <f t="shared" si="15"/>
        <v>1046</v>
      </c>
      <c r="L248">
        <v>1</v>
      </c>
      <c r="M248" s="29">
        <v>0</v>
      </c>
      <c r="N248" t="s">
        <v>32</v>
      </c>
      <c r="O248" t="s">
        <v>33</v>
      </c>
      <c r="P248" t="s">
        <v>34</v>
      </c>
      <c r="Q248" t="s">
        <v>34</v>
      </c>
      <c r="R248" t="s">
        <v>34</v>
      </c>
      <c r="S248" t="s">
        <v>34</v>
      </c>
      <c r="T248" s="117">
        <v>0</v>
      </c>
    </row>
    <row r="249" spans="1:20" ht="14.5" customHeight="1" x14ac:dyDescent="0.35">
      <c r="A249" t="s">
        <v>20</v>
      </c>
      <c r="B249" t="s">
        <v>25</v>
      </c>
      <c r="C249" s="1">
        <v>45336</v>
      </c>
      <c r="D249">
        <f t="shared" si="16"/>
        <v>14</v>
      </c>
      <c r="E249">
        <f t="shared" si="17"/>
        <v>2</v>
      </c>
      <c r="F249">
        <f t="shared" si="18"/>
        <v>2024</v>
      </c>
      <c r="G249" t="s">
        <v>44</v>
      </c>
      <c r="H249" s="98">
        <v>9723</v>
      </c>
      <c r="I249" s="29">
        <v>193</v>
      </c>
      <c r="J249" s="12" t="s">
        <v>31</v>
      </c>
      <c r="K249" s="29">
        <f t="shared" si="15"/>
        <v>193</v>
      </c>
      <c r="L249">
        <v>1</v>
      </c>
      <c r="M249" s="29">
        <v>0</v>
      </c>
      <c r="N249" t="s">
        <v>32</v>
      </c>
      <c r="O249" t="s">
        <v>33</v>
      </c>
      <c r="P249" t="s">
        <v>34</v>
      </c>
      <c r="Q249" t="s">
        <v>34</v>
      </c>
      <c r="R249" t="s">
        <v>34</v>
      </c>
      <c r="S249" t="s">
        <v>34</v>
      </c>
      <c r="T249" s="117">
        <v>0</v>
      </c>
    </row>
    <row r="250" spans="1:20" ht="14.5" customHeight="1" x14ac:dyDescent="0.35">
      <c r="A250" t="s">
        <v>20</v>
      </c>
      <c r="B250" t="s">
        <v>25</v>
      </c>
      <c r="C250" s="1">
        <v>45336</v>
      </c>
      <c r="D250">
        <f t="shared" si="16"/>
        <v>14</v>
      </c>
      <c r="E250">
        <f t="shared" si="17"/>
        <v>2</v>
      </c>
      <c r="F250">
        <f t="shared" si="18"/>
        <v>2024</v>
      </c>
      <c r="G250" t="s">
        <v>45</v>
      </c>
      <c r="H250" s="98">
        <v>9823</v>
      </c>
      <c r="I250" s="29">
        <v>581</v>
      </c>
      <c r="J250" s="12" t="s">
        <v>31</v>
      </c>
      <c r="K250" s="29">
        <f t="shared" si="15"/>
        <v>581</v>
      </c>
      <c r="L250">
        <v>1</v>
      </c>
      <c r="M250" s="29">
        <v>0</v>
      </c>
      <c r="N250" t="s">
        <v>32</v>
      </c>
      <c r="O250" t="s">
        <v>33</v>
      </c>
      <c r="P250" t="s">
        <v>34</v>
      </c>
      <c r="Q250" t="s">
        <v>34</v>
      </c>
      <c r="R250" t="s">
        <v>34</v>
      </c>
      <c r="S250" t="s">
        <v>34</v>
      </c>
      <c r="T250" s="117">
        <v>0</v>
      </c>
    </row>
    <row r="251" spans="1:20" ht="14.5" customHeight="1" x14ac:dyDescent="0.35">
      <c r="A251" t="s">
        <v>20</v>
      </c>
      <c r="B251" t="s">
        <v>21</v>
      </c>
      <c r="C251" s="1">
        <v>45336</v>
      </c>
      <c r="D251">
        <f t="shared" si="16"/>
        <v>14</v>
      </c>
      <c r="E251">
        <f t="shared" si="17"/>
        <v>2</v>
      </c>
      <c r="F251">
        <f t="shared" si="18"/>
        <v>2024</v>
      </c>
      <c r="G251" t="s">
        <v>46</v>
      </c>
      <c r="H251" s="98">
        <v>9332</v>
      </c>
      <c r="I251" s="29">
        <v>82</v>
      </c>
      <c r="J251" s="12" t="s">
        <v>31</v>
      </c>
      <c r="K251" s="29">
        <f t="shared" si="15"/>
        <v>82</v>
      </c>
      <c r="L251">
        <v>1</v>
      </c>
      <c r="M251" s="29">
        <v>0</v>
      </c>
      <c r="N251" t="s">
        <v>32</v>
      </c>
      <c r="O251" t="s">
        <v>33</v>
      </c>
      <c r="P251" t="s">
        <v>34</v>
      </c>
      <c r="Q251" t="s">
        <v>34</v>
      </c>
      <c r="R251" t="s">
        <v>34</v>
      </c>
      <c r="S251" t="s">
        <v>34</v>
      </c>
      <c r="T251" s="117">
        <v>0</v>
      </c>
    </row>
    <row r="252" spans="1:20" ht="14.5" customHeight="1" x14ac:dyDescent="0.35">
      <c r="A252" t="s">
        <v>20</v>
      </c>
      <c r="B252" t="s">
        <v>23</v>
      </c>
      <c r="C252" s="1">
        <v>45336</v>
      </c>
      <c r="D252">
        <f t="shared" si="16"/>
        <v>14</v>
      </c>
      <c r="E252">
        <f t="shared" si="17"/>
        <v>2</v>
      </c>
      <c r="F252">
        <f t="shared" si="18"/>
        <v>2024</v>
      </c>
      <c r="G252" t="s">
        <v>46</v>
      </c>
      <c r="H252" s="98">
        <v>9794</v>
      </c>
      <c r="I252" s="29">
        <v>4884.7299999999996</v>
      </c>
      <c r="J252" s="12" t="s">
        <v>31</v>
      </c>
      <c r="K252" s="29">
        <f t="shared" si="15"/>
        <v>4884.7299999999996</v>
      </c>
      <c r="L252">
        <v>1</v>
      </c>
      <c r="M252" s="29">
        <v>0</v>
      </c>
      <c r="N252" t="s">
        <v>42</v>
      </c>
      <c r="O252" t="s">
        <v>33</v>
      </c>
      <c r="P252" t="s">
        <v>34</v>
      </c>
      <c r="Q252" t="s">
        <v>34</v>
      </c>
      <c r="R252" t="s">
        <v>34</v>
      </c>
      <c r="S252" t="s">
        <v>34</v>
      </c>
      <c r="T252" s="117">
        <v>0</v>
      </c>
    </row>
    <row r="253" spans="1:20" ht="14.5" customHeight="1" x14ac:dyDescent="0.35">
      <c r="A253" t="s">
        <v>20</v>
      </c>
      <c r="B253" t="s">
        <v>21</v>
      </c>
      <c r="C253" s="1">
        <v>45336</v>
      </c>
      <c r="D253">
        <f t="shared" si="16"/>
        <v>14</v>
      </c>
      <c r="E253">
        <f t="shared" si="17"/>
        <v>2</v>
      </c>
      <c r="F253">
        <f t="shared" si="18"/>
        <v>2024</v>
      </c>
      <c r="G253" t="s">
        <v>46</v>
      </c>
      <c r="H253" s="98">
        <v>10081</v>
      </c>
      <c r="I253" s="29">
        <v>77.599999999999994</v>
      </c>
      <c r="J253" s="12" t="s">
        <v>31</v>
      </c>
      <c r="K253" s="29">
        <f t="shared" si="15"/>
        <v>77.599999999999994</v>
      </c>
      <c r="L253">
        <v>1</v>
      </c>
      <c r="M253" s="29">
        <v>0</v>
      </c>
      <c r="N253" t="s">
        <v>42</v>
      </c>
      <c r="O253" t="s">
        <v>33</v>
      </c>
      <c r="P253" t="s">
        <v>34</v>
      </c>
      <c r="Q253" t="s">
        <v>34</v>
      </c>
      <c r="R253" t="s">
        <v>34</v>
      </c>
      <c r="S253" t="s">
        <v>34</v>
      </c>
      <c r="T253" s="117">
        <v>0</v>
      </c>
    </row>
    <row r="254" spans="1:20" ht="14.5" customHeight="1" x14ac:dyDescent="0.35">
      <c r="A254" t="s">
        <v>20</v>
      </c>
      <c r="B254" t="s">
        <v>21</v>
      </c>
      <c r="C254" s="1">
        <v>45336</v>
      </c>
      <c r="D254">
        <f t="shared" si="16"/>
        <v>14</v>
      </c>
      <c r="E254">
        <f t="shared" si="17"/>
        <v>2</v>
      </c>
      <c r="F254">
        <f t="shared" si="18"/>
        <v>2024</v>
      </c>
      <c r="G254" t="s">
        <v>46</v>
      </c>
      <c r="H254" s="98">
        <v>10082</v>
      </c>
      <c r="I254" s="29">
        <v>980.86</v>
      </c>
      <c r="J254" s="12" t="s">
        <v>31</v>
      </c>
      <c r="K254" s="29">
        <f t="shared" si="15"/>
        <v>980.86</v>
      </c>
      <c r="L254">
        <v>1</v>
      </c>
      <c r="M254" s="29">
        <v>0</v>
      </c>
      <c r="N254" t="s">
        <v>42</v>
      </c>
      <c r="O254" t="s">
        <v>33</v>
      </c>
      <c r="P254" t="s">
        <v>34</v>
      </c>
      <c r="Q254" t="s">
        <v>34</v>
      </c>
      <c r="R254" t="s">
        <v>34</v>
      </c>
      <c r="S254" t="s">
        <v>34</v>
      </c>
      <c r="T254" s="117">
        <v>0</v>
      </c>
    </row>
    <row r="255" spans="1:20" ht="14.5" customHeight="1" x14ac:dyDescent="0.35">
      <c r="A255" t="s">
        <v>20</v>
      </c>
      <c r="B255" t="s">
        <v>21</v>
      </c>
      <c r="C255" s="1">
        <v>45336</v>
      </c>
      <c r="D255">
        <f t="shared" si="16"/>
        <v>14</v>
      </c>
      <c r="E255">
        <f t="shared" si="17"/>
        <v>2</v>
      </c>
      <c r="F255">
        <f t="shared" si="18"/>
        <v>2024</v>
      </c>
      <c r="G255" t="s">
        <v>46</v>
      </c>
      <c r="H255" s="98">
        <v>10070</v>
      </c>
      <c r="I255" s="29">
        <v>156</v>
      </c>
      <c r="J255" s="12" t="s">
        <v>31</v>
      </c>
      <c r="K255" s="29">
        <f t="shared" si="15"/>
        <v>156</v>
      </c>
      <c r="L255">
        <v>1</v>
      </c>
      <c r="M255" s="29">
        <v>0</v>
      </c>
      <c r="N255" t="s">
        <v>42</v>
      </c>
      <c r="O255" t="s">
        <v>33</v>
      </c>
      <c r="P255" t="s">
        <v>34</v>
      </c>
      <c r="Q255" t="s">
        <v>34</v>
      </c>
      <c r="R255" t="s">
        <v>34</v>
      </c>
      <c r="S255" t="s">
        <v>34</v>
      </c>
      <c r="T255" s="117">
        <v>0</v>
      </c>
    </row>
    <row r="256" spans="1:20" ht="14.5" customHeight="1" x14ac:dyDescent="0.35">
      <c r="A256" t="s">
        <v>20</v>
      </c>
      <c r="B256" t="s">
        <v>21</v>
      </c>
      <c r="C256" s="1">
        <v>45336</v>
      </c>
      <c r="D256">
        <f t="shared" si="16"/>
        <v>14</v>
      </c>
      <c r="E256">
        <f t="shared" si="17"/>
        <v>2</v>
      </c>
      <c r="F256">
        <f t="shared" si="18"/>
        <v>2024</v>
      </c>
      <c r="G256" t="s">
        <v>46</v>
      </c>
      <c r="H256" s="98">
        <v>10071</v>
      </c>
      <c r="I256" s="29">
        <v>906.96</v>
      </c>
      <c r="J256" s="12" t="s">
        <v>31</v>
      </c>
      <c r="K256" s="29">
        <f t="shared" si="15"/>
        <v>906.96</v>
      </c>
      <c r="L256">
        <v>1</v>
      </c>
      <c r="M256" s="29">
        <v>0</v>
      </c>
      <c r="N256" t="s">
        <v>42</v>
      </c>
      <c r="O256" t="s">
        <v>33</v>
      </c>
      <c r="P256" t="s">
        <v>34</v>
      </c>
      <c r="Q256" t="s">
        <v>34</v>
      </c>
      <c r="R256" t="s">
        <v>34</v>
      </c>
      <c r="S256" t="s">
        <v>34</v>
      </c>
      <c r="T256" s="117">
        <v>0</v>
      </c>
    </row>
    <row r="257" spans="1:21" ht="14.5" customHeight="1" x14ac:dyDescent="0.35">
      <c r="A257" t="s">
        <v>20</v>
      </c>
      <c r="B257" t="s">
        <v>23</v>
      </c>
      <c r="C257" s="1">
        <v>45336</v>
      </c>
      <c r="D257">
        <f t="shared" si="16"/>
        <v>14</v>
      </c>
      <c r="E257">
        <f t="shared" si="17"/>
        <v>2</v>
      </c>
      <c r="F257">
        <f t="shared" si="18"/>
        <v>2024</v>
      </c>
      <c r="G257" t="s">
        <v>483</v>
      </c>
      <c r="H257" s="98">
        <v>9989</v>
      </c>
      <c r="I257" s="29">
        <v>6928.68</v>
      </c>
      <c r="J257" s="12" t="s">
        <v>31</v>
      </c>
      <c r="K257" s="29">
        <f t="shared" ref="K257:K320" si="19">IF(J257="USD",I257,I257*L257)</f>
        <v>6928.68</v>
      </c>
      <c r="L257">
        <v>1</v>
      </c>
      <c r="M257" s="29">
        <v>0</v>
      </c>
      <c r="N257" t="s">
        <v>42</v>
      </c>
      <c r="O257" t="s">
        <v>33</v>
      </c>
      <c r="P257" t="s">
        <v>34</v>
      </c>
      <c r="Q257" t="s">
        <v>34</v>
      </c>
      <c r="R257" t="s">
        <v>34</v>
      </c>
      <c r="S257" t="s">
        <v>34</v>
      </c>
      <c r="T257" s="117">
        <v>0</v>
      </c>
    </row>
    <row r="258" spans="1:21" ht="14.5" customHeight="1" x14ac:dyDescent="0.35">
      <c r="A258" t="s">
        <v>20</v>
      </c>
      <c r="B258" t="s">
        <v>23</v>
      </c>
      <c r="C258" s="1">
        <v>45336</v>
      </c>
      <c r="D258">
        <f t="shared" ref="D258:D321" si="20">DAY(C258)</f>
        <v>14</v>
      </c>
      <c r="E258">
        <f t="shared" ref="E258:E321" si="21">MONTH(C258)</f>
        <v>2</v>
      </c>
      <c r="F258">
        <f t="shared" ref="F258:F321" si="22">YEAR(C258)</f>
        <v>2024</v>
      </c>
      <c r="G258" t="s">
        <v>483</v>
      </c>
      <c r="H258" s="98">
        <v>9990</v>
      </c>
      <c r="I258" s="29">
        <v>33</v>
      </c>
      <c r="J258" s="12" t="s">
        <v>31</v>
      </c>
      <c r="K258" s="29">
        <f t="shared" si="19"/>
        <v>33</v>
      </c>
      <c r="L258">
        <v>1</v>
      </c>
      <c r="M258" s="29">
        <v>0</v>
      </c>
      <c r="N258" t="s">
        <v>32</v>
      </c>
      <c r="O258" t="s">
        <v>33</v>
      </c>
      <c r="P258" t="s">
        <v>34</v>
      </c>
      <c r="Q258" t="s">
        <v>34</v>
      </c>
      <c r="R258" t="s">
        <v>34</v>
      </c>
      <c r="S258" t="s">
        <v>34</v>
      </c>
      <c r="T258" s="117">
        <v>0</v>
      </c>
    </row>
    <row r="259" spans="1:21" ht="14.5" customHeight="1" x14ac:dyDescent="0.35">
      <c r="A259" t="s">
        <v>20</v>
      </c>
      <c r="B259" t="s">
        <v>21</v>
      </c>
      <c r="C259" s="1">
        <v>45336</v>
      </c>
      <c r="D259">
        <f t="shared" si="20"/>
        <v>14</v>
      </c>
      <c r="E259">
        <f t="shared" si="21"/>
        <v>2</v>
      </c>
      <c r="F259">
        <f t="shared" si="22"/>
        <v>2024</v>
      </c>
      <c r="G259" t="s">
        <v>47</v>
      </c>
      <c r="H259" s="98">
        <v>10068</v>
      </c>
      <c r="I259" s="29">
        <v>21.84</v>
      </c>
      <c r="J259" s="12" t="s">
        <v>31</v>
      </c>
      <c r="K259" s="29">
        <f t="shared" si="19"/>
        <v>21.84</v>
      </c>
      <c r="L259">
        <v>1</v>
      </c>
      <c r="M259" s="29">
        <v>0</v>
      </c>
      <c r="N259" t="s">
        <v>42</v>
      </c>
      <c r="O259" t="s">
        <v>33</v>
      </c>
      <c r="P259" t="s">
        <v>34</v>
      </c>
      <c r="Q259" t="s">
        <v>34</v>
      </c>
      <c r="R259" t="s">
        <v>34</v>
      </c>
      <c r="S259" t="s">
        <v>34</v>
      </c>
      <c r="T259" s="117">
        <v>0</v>
      </c>
    </row>
    <row r="260" spans="1:21" ht="14.5" customHeight="1" x14ac:dyDescent="0.35">
      <c r="A260" t="s">
        <v>20</v>
      </c>
      <c r="B260" t="s">
        <v>21</v>
      </c>
      <c r="C260" s="1">
        <v>45336</v>
      </c>
      <c r="D260">
        <f t="shared" si="20"/>
        <v>14</v>
      </c>
      <c r="E260">
        <f t="shared" si="21"/>
        <v>2</v>
      </c>
      <c r="F260">
        <f t="shared" si="22"/>
        <v>2024</v>
      </c>
      <c r="G260" t="s">
        <v>47</v>
      </c>
      <c r="H260" s="98">
        <v>10069</v>
      </c>
      <c r="I260" s="29">
        <v>1779.96</v>
      </c>
      <c r="J260" s="12" t="s">
        <v>31</v>
      </c>
      <c r="K260" s="29">
        <f t="shared" si="19"/>
        <v>1779.96</v>
      </c>
      <c r="L260">
        <v>1</v>
      </c>
      <c r="M260" s="29">
        <v>0</v>
      </c>
      <c r="N260" t="s">
        <v>42</v>
      </c>
      <c r="O260" t="s">
        <v>33</v>
      </c>
      <c r="P260" t="s">
        <v>34</v>
      </c>
      <c r="Q260" t="s">
        <v>34</v>
      </c>
      <c r="R260" t="s">
        <v>34</v>
      </c>
      <c r="S260" t="s">
        <v>34</v>
      </c>
      <c r="T260" s="117">
        <v>0</v>
      </c>
    </row>
    <row r="261" spans="1:21" ht="14.5" customHeight="1" x14ac:dyDescent="0.35">
      <c r="A261" t="s">
        <v>20</v>
      </c>
      <c r="B261" t="s">
        <v>21</v>
      </c>
      <c r="C261" s="1">
        <v>45336</v>
      </c>
      <c r="D261">
        <f t="shared" si="20"/>
        <v>14</v>
      </c>
      <c r="E261">
        <f t="shared" si="21"/>
        <v>2</v>
      </c>
      <c r="F261">
        <f t="shared" si="22"/>
        <v>2024</v>
      </c>
      <c r="G261" t="s">
        <v>48</v>
      </c>
      <c r="H261" s="98">
        <v>10074</v>
      </c>
      <c r="I261" s="29">
        <v>95.2</v>
      </c>
      <c r="J261" s="12" t="s">
        <v>31</v>
      </c>
      <c r="K261" s="29">
        <f t="shared" si="19"/>
        <v>95.2</v>
      </c>
      <c r="L261">
        <v>1</v>
      </c>
      <c r="M261" s="29">
        <v>0</v>
      </c>
      <c r="N261" t="s">
        <v>42</v>
      </c>
      <c r="O261" t="s">
        <v>33</v>
      </c>
      <c r="P261" t="s">
        <v>34</v>
      </c>
      <c r="Q261" t="s">
        <v>34</v>
      </c>
      <c r="R261" t="s">
        <v>34</v>
      </c>
      <c r="S261" t="s">
        <v>34</v>
      </c>
      <c r="T261" s="117">
        <v>0</v>
      </c>
    </row>
    <row r="262" spans="1:21" ht="14.5" customHeight="1" x14ac:dyDescent="0.35">
      <c r="A262" t="s">
        <v>20</v>
      </c>
      <c r="B262" t="s">
        <v>21</v>
      </c>
      <c r="C262" s="1">
        <v>45336</v>
      </c>
      <c r="D262">
        <f t="shared" si="20"/>
        <v>14</v>
      </c>
      <c r="E262">
        <f t="shared" si="21"/>
        <v>2</v>
      </c>
      <c r="F262">
        <f t="shared" si="22"/>
        <v>2024</v>
      </c>
      <c r="G262" t="s">
        <v>48</v>
      </c>
      <c r="H262" s="98">
        <v>10075</v>
      </c>
      <c r="I262" s="29">
        <v>1656.48</v>
      </c>
      <c r="J262" s="12" t="s">
        <v>31</v>
      </c>
      <c r="K262" s="29">
        <f t="shared" si="19"/>
        <v>1656.48</v>
      </c>
      <c r="L262">
        <v>1</v>
      </c>
      <c r="M262" s="29">
        <v>0</v>
      </c>
      <c r="N262" t="s">
        <v>42</v>
      </c>
      <c r="O262" t="s">
        <v>33</v>
      </c>
      <c r="P262" t="s">
        <v>34</v>
      </c>
      <c r="Q262" t="s">
        <v>34</v>
      </c>
      <c r="R262" t="s">
        <v>34</v>
      </c>
      <c r="S262" t="s">
        <v>34</v>
      </c>
      <c r="T262" s="117">
        <v>0</v>
      </c>
    </row>
    <row r="263" spans="1:21" ht="14.5" customHeight="1" x14ac:dyDescent="0.35">
      <c r="A263" t="s">
        <v>20</v>
      </c>
      <c r="B263" t="s">
        <v>24</v>
      </c>
      <c r="C263" s="1">
        <v>45336</v>
      </c>
      <c r="D263">
        <f t="shared" si="20"/>
        <v>14</v>
      </c>
      <c r="E263">
        <f t="shared" si="21"/>
        <v>2</v>
      </c>
      <c r="F263">
        <f t="shared" si="22"/>
        <v>2024</v>
      </c>
      <c r="G263" t="s">
        <v>50</v>
      </c>
      <c r="H263" s="98">
        <v>10080</v>
      </c>
      <c r="I263" s="29">
        <v>3960</v>
      </c>
      <c r="J263" s="12" t="s">
        <v>31</v>
      </c>
      <c r="K263" s="29">
        <f t="shared" si="19"/>
        <v>3960</v>
      </c>
      <c r="L263">
        <v>1</v>
      </c>
      <c r="M263" s="29">
        <v>0</v>
      </c>
      <c r="N263" t="s">
        <v>42</v>
      </c>
      <c r="O263" t="s">
        <v>33</v>
      </c>
      <c r="P263" t="s">
        <v>34</v>
      </c>
      <c r="Q263" t="s">
        <v>34</v>
      </c>
      <c r="R263" t="s">
        <v>34</v>
      </c>
      <c r="S263" t="s">
        <v>34</v>
      </c>
      <c r="T263" s="117">
        <v>0</v>
      </c>
    </row>
    <row r="264" spans="1:21" ht="14.5" customHeight="1" x14ac:dyDescent="0.35">
      <c r="A264" t="s">
        <v>20</v>
      </c>
      <c r="B264" t="s">
        <v>25</v>
      </c>
      <c r="C264" s="1">
        <v>45336</v>
      </c>
      <c r="D264">
        <f t="shared" si="20"/>
        <v>14</v>
      </c>
      <c r="E264">
        <f t="shared" si="21"/>
        <v>2</v>
      </c>
      <c r="F264">
        <f t="shared" si="22"/>
        <v>2024</v>
      </c>
      <c r="G264" t="s">
        <v>49</v>
      </c>
      <c r="H264" s="98">
        <v>10107</v>
      </c>
      <c r="I264" s="29">
        <v>41885.050000000003</v>
      </c>
      <c r="J264" s="12" t="s">
        <v>51</v>
      </c>
      <c r="K264" s="29">
        <f t="shared" si="19"/>
        <v>45068.221587269582</v>
      </c>
      <c r="L264" s="2">
        <v>1.0759977984333211</v>
      </c>
      <c r="M264" s="29">
        <v>0</v>
      </c>
      <c r="N264" t="s">
        <v>32</v>
      </c>
      <c r="O264" t="s">
        <v>33</v>
      </c>
      <c r="P264" t="s">
        <v>34</v>
      </c>
      <c r="Q264" t="s">
        <v>34</v>
      </c>
      <c r="R264" t="s">
        <v>34</v>
      </c>
      <c r="S264" t="s">
        <v>34</v>
      </c>
      <c r="T264" s="117">
        <v>0</v>
      </c>
      <c r="U264" s="209" t="s">
        <v>168</v>
      </c>
    </row>
    <row r="265" spans="1:21" ht="14.5" customHeight="1" x14ac:dyDescent="0.35">
      <c r="A265" t="s">
        <v>20</v>
      </c>
      <c r="B265" t="s">
        <v>25</v>
      </c>
      <c r="C265" s="1">
        <v>45336</v>
      </c>
      <c r="D265">
        <f t="shared" si="20"/>
        <v>14</v>
      </c>
      <c r="E265">
        <f t="shared" si="21"/>
        <v>2</v>
      </c>
      <c r="F265">
        <f t="shared" si="22"/>
        <v>2024</v>
      </c>
      <c r="G265" t="s">
        <v>49</v>
      </c>
      <c r="H265" s="98">
        <v>10109</v>
      </c>
      <c r="I265" s="29">
        <v>6117.13</v>
      </c>
      <c r="J265" s="12" t="s">
        <v>51</v>
      </c>
      <c r="K265" s="29">
        <f t="shared" si="19"/>
        <v>6582.0184127304219</v>
      </c>
      <c r="L265" s="2">
        <v>1.0759977984333211</v>
      </c>
      <c r="M265" s="29">
        <v>0</v>
      </c>
      <c r="N265" t="s">
        <v>32</v>
      </c>
      <c r="O265" t="s">
        <v>33</v>
      </c>
      <c r="P265" t="s">
        <v>34</v>
      </c>
      <c r="Q265" t="s">
        <v>34</v>
      </c>
      <c r="R265" t="s">
        <v>34</v>
      </c>
      <c r="S265" t="s">
        <v>34</v>
      </c>
      <c r="T265" s="117">
        <v>0</v>
      </c>
      <c r="U265" s="209" t="s">
        <v>169</v>
      </c>
    </row>
    <row r="266" spans="1:21" ht="14.5" customHeight="1" x14ac:dyDescent="0.35">
      <c r="A266" t="s">
        <v>20</v>
      </c>
      <c r="B266" t="s">
        <v>23</v>
      </c>
      <c r="C266" s="1">
        <v>45336</v>
      </c>
      <c r="D266">
        <f t="shared" si="20"/>
        <v>14</v>
      </c>
      <c r="E266">
        <f t="shared" si="21"/>
        <v>2</v>
      </c>
      <c r="F266">
        <f t="shared" si="22"/>
        <v>2024</v>
      </c>
      <c r="G266" t="s">
        <v>52</v>
      </c>
      <c r="H266" s="98">
        <v>8634</v>
      </c>
      <c r="I266" s="29">
        <v>39.5</v>
      </c>
      <c r="J266" s="12" t="s">
        <v>31</v>
      </c>
      <c r="K266" s="29">
        <f t="shared" si="19"/>
        <v>39.5</v>
      </c>
      <c r="L266">
        <v>1</v>
      </c>
      <c r="M266" s="29">
        <v>0</v>
      </c>
      <c r="N266" t="s">
        <v>32</v>
      </c>
      <c r="O266" t="s">
        <v>33</v>
      </c>
      <c r="P266" t="s">
        <v>34</v>
      </c>
      <c r="Q266" t="s">
        <v>34</v>
      </c>
      <c r="R266" t="s">
        <v>34</v>
      </c>
      <c r="S266" t="s">
        <v>34</v>
      </c>
      <c r="T266" s="117">
        <v>0</v>
      </c>
    </row>
    <row r="267" spans="1:21" ht="14.5" customHeight="1" x14ac:dyDescent="0.35">
      <c r="A267" t="s">
        <v>20</v>
      </c>
      <c r="B267" t="s">
        <v>23</v>
      </c>
      <c r="C267" s="1">
        <v>45336</v>
      </c>
      <c r="D267">
        <f t="shared" si="20"/>
        <v>14</v>
      </c>
      <c r="E267">
        <f t="shared" si="21"/>
        <v>2</v>
      </c>
      <c r="F267">
        <f t="shared" si="22"/>
        <v>2024</v>
      </c>
      <c r="G267" t="s">
        <v>52</v>
      </c>
      <c r="H267" s="98">
        <v>9428</v>
      </c>
      <c r="I267" s="90">
        <v>25215.42</v>
      </c>
      <c r="J267" s="12" t="s">
        <v>31</v>
      </c>
      <c r="K267" s="29">
        <f t="shared" si="19"/>
        <v>25215.42</v>
      </c>
      <c r="L267">
        <v>1</v>
      </c>
      <c r="M267" s="29">
        <v>0</v>
      </c>
      <c r="N267" t="s">
        <v>32</v>
      </c>
      <c r="O267" t="s">
        <v>33</v>
      </c>
      <c r="P267" t="s">
        <v>34</v>
      </c>
      <c r="Q267" t="s">
        <v>34</v>
      </c>
      <c r="R267" t="s">
        <v>34</v>
      </c>
      <c r="S267" t="s">
        <v>34</v>
      </c>
      <c r="T267" s="117">
        <v>0</v>
      </c>
    </row>
    <row r="268" spans="1:21" ht="14.5" customHeight="1" x14ac:dyDescent="0.35">
      <c r="A268" t="s">
        <v>20</v>
      </c>
      <c r="B268" t="s">
        <v>23</v>
      </c>
      <c r="C268" s="1">
        <v>45336</v>
      </c>
      <c r="D268">
        <f t="shared" si="20"/>
        <v>14</v>
      </c>
      <c r="E268">
        <f t="shared" si="21"/>
        <v>2</v>
      </c>
      <c r="F268">
        <f t="shared" si="22"/>
        <v>2024</v>
      </c>
      <c r="G268" t="s">
        <v>52</v>
      </c>
      <c r="H268" s="98">
        <v>9640</v>
      </c>
      <c r="I268" s="29">
        <v>46.2</v>
      </c>
      <c r="J268" s="12" t="s">
        <v>31</v>
      </c>
      <c r="K268" s="29">
        <f t="shared" si="19"/>
        <v>46.2</v>
      </c>
      <c r="L268">
        <v>1</v>
      </c>
      <c r="M268" s="29">
        <v>0</v>
      </c>
      <c r="N268" t="s">
        <v>32</v>
      </c>
      <c r="O268" t="s">
        <v>33</v>
      </c>
      <c r="P268" t="s">
        <v>34</v>
      </c>
      <c r="Q268" t="s">
        <v>34</v>
      </c>
      <c r="R268" t="s">
        <v>34</v>
      </c>
      <c r="S268" t="s">
        <v>34</v>
      </c>
      <c r="T268" s="117">
        <v>0</v>
      </c>
    </row>
    <row r="269" spans="1:21" ht="14.5" customHeight="1" x14ac:dyDescent="0.35">
      <c r="A269" t="s">
        <v>20</v>
      </c>
      <c r="B269" t="s">
        <v>23</v>
      </c>
      <c r="C269" s="1">
        <v>45336</v>
      </c>
      <c r="D269">
        <f t="shared" si="20"/>
        <v>14</v>
      </c>
      <c r="E269">
        <f t="shared" si="21"/>
        <v>2</v>
      </c>
      <c r="F269">
        <f t="shared" si="22"/>
        <v>2024</v>
      </c>
      <c r="G269" t="s">
        <v>52</v>
      </c>
      <c r="H269" s="98">
        <v>10043</v>
      </c>
      <c r="I269" s="29">
        <v>89.89</v>
      </c>
      <c r="J269" s="12" t="s">
        <v>31</v>
      </c>
      <c r="K269" s="29">
        <f t="shared" si="19"/>
        <v>89.89</v>
      </c>
      <c r="L269">
        <v>1</v>
      </c>
      <c r="M269" s="29">
        <v>0</v>
      </c>
      <c r="N269" t="s">
        <v>32</v>
      </c>
      <c r="O269" t="s">
        <v>33</v>
      </c>
      <c r="P269" t="s">
        <v>34</v>
      </c>
      <c r="Q269" t="s">
        <v>34</v>
      </c>
      <c r="R269" t="s">
        <v>34</v>
      </c>
      <c r="S269" t="s">
        <v>34</v>
      </c>
      <c r="T269" s="117">
        <v>0</v>
      </c>
    </row>
    <row r="270" spans="1:21" ht="14.5" customHeight="1" x14ac:dyDescent="0.35">
      <c r="A270" t="s">
        <v>20</v>
      </c>
      <c r="B270" t="s">
        <v>23</v>
      </c>
      <c r="C270" s="1">
        <v>45336</v>
      </c>
      <c r="D270">
        <f t="shared" si="20"/>
        <v>14</v>
      </c>
      <c r="E270">
        <f t="shared" si="21"/>
        <v>2</v>
      </c>
      <c r="F270">
        <f t="shared" si="22"/>
        <v>2024</v>
      </c>
      <c r="G270" t="s">
        <v>53</v>
      </c>
      <c r="H270" s="98">
        <v>9658</v>
      </c>
      <c r="I270" s="29">
        <v>68.819999999999993</v>
      </c>
      <c r="J270" s="12" t="s">
        <v>31</v>
      </c>
      <c r="K270" s="29">
        <f t="shared" si="19"/>
        <v>68.819999999999993</v>
      </c>
      <c r="L270">
        <v>1</v>
      </c>
      <c r="M270" s="29">
        <v>0</v>
      </c>
      <c r="N270" t="s">
        <v>32</v>
      </c>
      <c r="O270" t="s">
        <v>33</v>
      </c>
      <c r="P270" t="s">
        <v>34</v>
      </c>
      <c r="Q270" t="s">
        <v>34</v>
      </c>
      <c r="R270" t="s">
        <v>34</v>
      </c>
      <c r="S270" t="s">
        <v>34</v>
      </c>
      <c r="T270" s="117">
        <v>0</v>
      </c>
    </row>
    <row r="271" spans="1:21" ht="14.5" customHeight="1" x14ac:dyDescent="0.35">
      <c r="A271" t="s">
        <v>20</v>
      </c>
      <c r="B271" t="s">
        <v>23</v>
      </c>
      <c r="C271" s="1">
        <v>45336</v>
      </c>
      <c r="D271">
        <f t="shared" si="20"/>
        <v>14</v>
      </c>
      <c r="E271">
        <f t="shared" si="21"/>
        <v>2</v>
      </c>
      <c r="F271">
        <f t="shared" si="22"/>
        <v>2024</v>
      </c>
      <c r="G271" t="s">
        <v>53</v>
      </c>
      <c r="H271" s="98">
        <v>9812</v>
      </c>
      <c r="I271" s="90">
        <v>72.069999999999993</v>
      </c>
      <c r="J271" s="12" t="s">
        <v>31</v>
      </c>
      <c r="K271" s="29">
        <f t="shared" si="19"/>
        <v>72.069999999999993</v>
      </c>
      <c r="L271">
        <v>1</v>
      </c>
      <c r="M271" s="29">
        <v>0</v>
      </c>
      <c r="N271" t="s">
        <v>32</v>
      </c>
      <c r="O271" t="s">
        <v>33</v>
      </c>
      <c r="P271" t="s">
        <v>34</v>
      </c>
      <c r="Q271" t="s">
        <v>34</v>
      </c>
      <c r="R271" t="s">
        <v>34</v>
      </c>
      <c r="S271" t="s">
        <v>34</v>
      </c>
      <c r="T271" s="117">
        <v>0</v>
      </c>
    </row>
    <row r="272" spans="1:21" ht="14.5" customHeight="1" x14ac:dyDescent="0.35">
      <c r="A272" t="s">
        <v>19</v>
      </c>
      <c r="B272" t="s">
        <v>19</v>
      </c>
      <c r="C272" s="1">
        <v>45336</v>
      </c>
      <c r="D272">
        <f t="shared" si="20"/>
        <v>14</v>
      </c>
      <c r="E272">
        <f t="shared" si="21"/>
        <v>2</v>
      </c>
      <c r="F272">
        <f t="shared" si="22"/>
        <v>2024</v>
      </c>
      <c r="G272" t="s">
        <v>213</v>
      </c>
      <c r="H272" s="98">
        <v>9460</v>
      </c>
      <c r="I272" s="90">
        <v>60657.79</v>
      </c>
      <c r="J272" s="12" t="s">
        <v>31</v>
      </c>
      <c r="K272" s="29">
        <f t="shared" si="19"/>
        <v>60657.79</v>
      </c>
      <c r="L272">
        <v>1</v>
      </c>
      <c r="M272" s="29">
        <v>0</v>
      </c>
      <c r="N272" t="s">
        <v>32</v>
      </c>
      <c r="O272" t="s">
        <v>33</v>
      </c>
      <c r="P272" t="s">
        <v>34</v>
      </c>
      <c r="Q272" t="s">
        <v>34</v>
      </c>
      <c r="R272" t="s">
        <v>34</v>
      </c>
      <c r="S272" t="s">
        <v>34</v>
      </c>
      <c r="T272" s="117">
        <v>0</v>
      </c>
    </row>
    <row r="273" spans="1:21" ht="14.5" customHeight="1" x14ac:dyDescent="0.35">
      <c r="A273" t="s">
        <v>19</v>
      </c>
      <c r="B273" t="s">
        <v>19</v>
      </c>
      <c r="C273" s="1">
        <v>45336</v>
      </c>
      <c r="D273">
        <f t="shared" si="20"/>
        <v>14</v>
      </c>
      <c r="E273">
        <f t="shared" si="21"/>
        <v>2</v>
      </c>
      <c r="F273">
        <f t="shared" si="22"/>
        <v>2024</v>
      </c>
      <c r="G273" t="s">
        <v>54</v>
      </c>
      <c r="H273" s="171">
        <v>9284</v>
      </c>
      <c r="I273" s="90">
        <v>73814.34</v>
      </c>
      <c r="J273" s="12" t="s">
        <v>31</v>
      </c>
      <c r="K273" s="29">
        <f t="shared" si="19"/>
        <v>73814.34</v>
      </c>
      <c r="L273">
        <v>1</v>
      </c>
      <c r="M273" s="29">
        <v>0</v>
      </c>
      <c r="N273" t="s">
        <v>32</v>
      </c>
      <c r="O273" t="s">
        <v>33</v>
      </c>
      <c r="P273" t="s">
        <v>34</v>
      </c>
      <c r="Q273" t="s">
        <v>34</v>
      </c>
      <c r="R273" t="s">
        <v>34</v>
      </c>
      <c r="S273" t="s">
        <v>34</v>
      </c>
      <c r="T273" s="117">
        <v>0</v>
      </c>
    </row>
    <row r="274" spans="1:21" ht="14.5" customHeight="1" x14ac:dyDescent="0.35">
      <c r="A274" t="s">
        <v>19</v>
      </c>
      <c r="B274" t="s">
        <v>19</v>
      </c>
      <c r="C274" s="1">
        <v>45336</v>
      </c>
      <c r="D274">
        <f t="shared" si="20"/>
        <v>14</v>
      </c>
      <c r="E274">
        <f t="shared" si="21"/>
        <v>2</v>
      </c>
      <c r="F274">
        <f t="shared" si="22"/>
        <v>2024</v>
      </c>
      <c r="G274" t="s">
        <v>55</v>
      </c>
      <c r="H274" s="98">
        <v>9602</v>
      </c>
      <c r="I274" s="29">
        <v>27978.75</v>
      </c>
      <c r="J274" s="12" t="s">
        <v>31</v>
      </c>
      <c r="K274" s="29">
        <f t="shared" si="19"/>
        <v>27978.75</v>
      </c>
      <c r="L274">
        <v>1</v>
      </c>
      <c r="M274" s="29">
        <v>0</v>
      </c>
      <c r="N274" t="s">
        <v>32</v>
      </c>
      <c r="O274" t="s">
        <v>33</v>
      </c>
      <c r="P274" t="s">
        <v>34</v>
      </c>
      <c r="Q274" t="s">
        <v>34</v>
      </c>
      <c r="R274" t="s">
        <v>34</v>
      </c>
      <c r="S274" t="s">
        <v>34</v>
      </c>
      <c r="T274" s="117">
        <v>0</v>
      </c>
    </row>
    <row r="275" spans="1:21" ht="14.5" customHeight="1" x14ac:dyDescent="0.35">
      <c r="A275" t="s">
        <v>19</v>
      </c>
      <c r="B275" t="s">
        <v>19</v>
      </c>
      <c r="C275" s="1">
        <v>45336</v>
      </c>
      <c r="D275">
        <f t="shared" si="20"/>
        <v>14</v>
      </c>
      <c r="E275">
        <f t="shared" si="21"/>
        <v>2</v>
      </c>
      <c r="F275">
        <f t="shared" si="22"/>
        <v>2024</v>
      </c>
      <c r="G275" t="s">
        <v>56</v>
      </c>
      <c r="H275" s="98">
        <v>9551</v>
      </c>
      <c r="I275" s="29">
        <v>1272.71</v>
      </c>
      <c r="J275" s="12" t="s">
        <v>31</v>
      </c>
      <c r="K275" s="29">
        <f t="shared" si="19"/>
        <v>1272.71</v>
      </c>
      <c r="L275">
        <v>1</v>
      </c>
      <c r="M275" s="29">
        <v>0</v>
      </c>
      <c r="N275" t="s">
        <v>32</v>
      </c>
      <c r="O275" t="s">
        <v>33</v>
      </c>
      <c r="P275" t="s">
        <v>34</v>
      </c>
      <c r="Q275" t="s">
        <v>34</v>
      </c>
      <c r="R275" t="s">
        <v>34</v>
      </c>
      <c r="S275" t="s">
        <v>34</v>
      </c>
      <c r="T275" s="117">
        <v>0</v>
      </c>
    </row>
    <row r="276" spans="1:21" ht="14.5" customHeight="1" x14ac:dyDescent="0.35">
      <c r="A276" t="s">
        <v>19</v>
      </c>
      <c r="B276" t="s">
        <v>19</v>
      </c>
      <c r="C276" s="1">
        <v>45336</v>
      </c>
      <c r="D276">
        <f t="shared" si="20"/>
        <v>14</v>
      </c>
      <c r="E276">
        <f t="shared" si="21"/>
        <v>2</v>
      </c>
      <c r="F276">
        <f t="shared" si="22"/>
        <v>2024</v>
      </c>
      <c r="G276" t="s">
        <v>56</v>
      </c>
      <c r="H276" s="98">
        <v>9408</v>
      </c>
      <c r="I276" s="90">
        <v>83500.149999999994</v>
      </c>
      <c r="J276" s="12" t="s">
        <v>31</v>
      </c>
      <c r="K276" s="29">
        <f t="shared" si="19"/>
        <v>83500.149999999994</v>
      </c>
      <c r="L276">
        <v>1</v>
      </c>
      <c r="M276" s="29">
        <v>0</v>
      </c>
      <c r="N276" t="s">
        <v>32</v>
      </c>
      <c r="O276" t="s">
        <v>33</v>
      </c>
      <c r="P276" t="s">
        <v>34</v>
      </c>
      <c r="Q276" t="s">
        <v>34</v>
      </c>
      <c r="R276" t="s">
        <v>34</v>
      </c>
      <c r="S276" t="s">
        <v>34</v>
      </c>
      <c r="T276" s="117">
        <v>0</v>
      </c>
    </row>
    <row r="277" spans="1:21" ht="14.5" customHeight="1" x14ac:dyDescent="0.35">
      <c r="A277" t="s">
        <v>19</v>
      </c>
      <c r="B277" t="s">
        <v>19</v>
      </c>
      <c r="C277" s="1">
        <v>45336</v>
      </c>
      <c r="D277">
        <f t="shared" si="20"/>
        <v>14</v>
      </c>
      <c r="E277">
        <f t="shared" si="21"/>
        <v>2</v>
      </c>
      <c r="F277">
        <f t="shared" si="22"/>
        <v>2024</v>
      </c>
      <c r="G277" t="s">
        <v>56</v>
      </c>
      <c r="H277" s="98">
        <v>9409</v>
      </c>
      <c r="I277" s="90">
        <v>170132.14</v>
      </c>
      <c r="J277" s="12" t="s">
        <v>31</v>
      </c>
      <c r="K277" s="29">
        <f t="shared" si="19"/>
        <v>170132.14</v>
      </c>
      <c r="L277">
        <v>1</v>
      </c>
      <c r="M277" s="29">
        <v>0</v>
      </c>
      <c r="N277" t="s">
        <v>32</v>
      </c>
      <c r="O277" t="s">
        <v>33</v>
      </c>
      <c r="P277" t="s">
        <v>34</v>
      </c>
      <c r="Q277" t="s">
        <v>34</v>
      </c>
      <c r="R277" t="s">
        <v>34</v>
      </c>
      <c r="S277" t="s">
        <v>34</v>
      </c>
      <c r="T277" s="117">
        <v>0</v>
      </c>
    </row>
    <row r="278" spans="1:21" ht="14.5" customHeight="1" x14ac:dyDescent="0.35">
      <c r="A278" t="s">
        <v>19</v>
      </c>
      <c r="B278" t="s">
        <v>19</v>
      </c>
      <c r="C278" s="1">
        <v>45336</v>
      </c>
      <c r="D278">
        <f t="shared" si="20"/>
        <v>14</v>
      </c>
      <c r="E278">
        <f t="shared" si="21"/>
        <v>2</v>
      </c>
      <c r="F278">
        <f t="shared" si="22"/>
        <v>2024</v>
      </c>
      <c r="G278" t="s">
        <v>56</v>
      </c>
      <c r="H278" s="98">
        <v>9523</v>
      </c>
      <c r="I278" s="29">
        <v>3138.96</v>
      </c>
      <c r="J278" s="12" t="s">
        <v>31</v>
      </c>
      <c r="K278" s="29">
        <f t="shared" si="19"/>
        <v>3138.96</v>
      </c>
      <c r="L278">
        <v>1</v>
      </c>
      <c r="M278" s="29">
        <v>0</v>
      </c>
      <c r="N278" t="s">
        <v>32</v>
      </c>
      <c r="O278" t="s">
        <v>33</v>
      </c>
      <c r="P278" t="s">
        <v>34</v>
      </c>
      <c r="Q278" t="s">
        <v>34</v>
      </c>
      <c r="R278" t="s">
        <v>34</v>
      </c>
      <c r="S278" t="s">
        <v>34</v>
      </c>
      <c r="T278" s="117">
        <v>0</v>
      </c>
    </row>
    <row r="279" spans="1:21" ht="14.5" customHeight="1" x14ac:dyDescent="0.35">
      <c r="A279" t="s">
        <v>19</v>
      </c>
      <c r="B279" t="s">
        <v>19</v>
      </c>
      <c r="C279" s="1">
        <v>45336</v>
      </c>
      <c r="D279">
        <f t="shared" si="20"/>
        <v>14</v>
      </c>
      <c r="E279">
        <f t="shared" si="21"/>
        <v>2</v>
      </c>
      <c r="F279">
        <f t="shared" si="22"/>
        <v>2024</v>
      </c>
      <c r="G279" t="s">
        <v>57</v>
      </c>
      <c r="H279" s="98">
        <v>9364</v>
      </c>
      <c r="I279" s="90">
        <v>46678.05</v>
      </c>
      <c r="J279" s="12" t="s">
        <v>31</v>
      </c>
      <c r="K279" s="29">
        <f t="shared" si="19"/>
        <v>46678.05</v>
      </c>
      <c r="L279">
        <v>1</v>
      </c>
      <c r="M279" s="29">
        <v>0</v>
      </c>
      <c r="N279" t="s">
        <v>32</v>
      </c>
      <c r="O279" t="s">
        <v>33</v>
      </c>
      <c r="P279" t="s">
        <v>34</v>
      </c>
      <c r="Q279" t="s">
        <v>34</v>
      </c>
      <c r="R279" t="s">
        <v>34</v>
      </c>
      <c r="S279" t="s">
        <v>34</v>
      </c>
      <c r="T279" s="117">
        <v>0</v>
      </c>
    </row>
    <row r="280" spans="1:21" ht="14.5" customHeight="1" x14ac:dyDescent="0.35">
      <c r="A280" t="s">
        <v>19</v>
      </c>
      <c r="B280" t="s">
        <v>19</v>
      </c>
      <c r="C280" s="1">
        <v>45336</v>
      </c>
      <c r="D280">
        <f t="shared" si="20"/>
        <v>14</v>
      </c>
      <c r="E280">
        <f t="shared" si="21"/>
        <v>2</v>
      </c>
      <c r="F280">
        <f t="shared" si="22"/>
        <v>2024</v>
      </c>
      <c r="G280" t="s">
        <v>58</v>
      </c>
      <c r="H280" s="171">
        <v>9518</v>
      </c>
      <c r="I280" s="90">
        <v>88655.4</v>
      </c>
      <c r="J280" s="12" t="s">
        <v>31</v>
      </c>
      <c r="K280" s="29">
        <f t="shared" si="19"/>
        <v>88655.4</v>
      </c>
      <c r="L280">
        <v>1</v>
      </c>
      <c r="M280" s="29">
        <v>0</v>
      </c>
      <c r="N280" t="s">
        <v>32</v>
      </c>
      <c r="O280" t="s">
        <v>33</v>
      </c>
      <c r="P280" t="s">
        <v>34</v>
      </c>
      <c r="Q280" t="s">
        <v>34</v>
      </c>
      <c r="R280" t="s">
        <v>34</v>
      </c>
      <c r="S280" t="s">
        <v>34</v>
      </c>
      <c r="T280" s="117">
        <v>1999.99</v>
      </c>
    </row>
    <row r="281" spans="1:21" ht="14.5" customHeight="1" x14ac:dyDescent="0.35">
      <c r="A281" t="s">
        <v>19</v>
      </c>
      <c r="B281" t="s">
        <v>19</v>
      </c>
      <c r="C281" s="1">
        <v>45336</v>
      </c>
      <c r="D281">
        <f t="shared" si="20"/>
        <v>14</v>
      </c>
      <c r="E281">
        <f t="shared" si="21"/>
        <v>2</v>
      </c>
      <c r="F281">
        <f t="shared" si="22"/>
        <v>2024</v>
      </c>
      <c r="G281" t="s">
        <v>59</v>
      </c>
      <c r="H281" s="98">
        <v>9646</v>
      </c>
      <c r="I281" s="29">
        <v>484.86</v>
      </c>
      <c r="J281" s="12" t="s">
        <v>31</v>
      </c>
      <c r="K281" s="29">
        <f t="shared" si="19"/>
        <v>484.86</v>
      </c>
      <c r="L281">
        <v>1</v>
      </c>
      <c r="M281" s="29">
        <v>0</v>
      </c>
      <c r="N281" t="s">
        <v>32</v>
      </c>
      <c r="O281" t="s">
        <v>33</v>
      </c>
      <c r="P281" t="s">
        <v>34</v>
      </c>
      <c r="Q281" t="s">
        <v>34</v>
      </c>
      <c r="R281" t="s">
        <v>34</v>
      </c>
      <c r="S281" t="s">
        <v>34</v>
      </c>
      <c r="T281" s="117">
        <v>0</v>
      </c>
    </row>
    <row r="282" spans="1:21" ht="14.5" customHeight="1" x14ac:dyDescent="0.35">
      <c r="A282" t="s">
        <v>19</v>
      </c>
      <c r="B282" t="s">
        <v>26</v>
      </c>
      <c r="C282" s="1">
        <v>45337</v>
      </c>
      <c r="D282">
        <f t="shared" si="20"/>
        <v>15</v>
      </c>
      <c r="E282">
        <f t="shared" si="21"/>
        <v>2</v>
      </c>
      <c r="F282">
        <f t="shared" si="22"/>
        <v>2024</v>
      </c>
      <c r="G282" t="s">
        <v>73</v>
      </c>
      <c r="H282" s="98">
        <v>9910</v>
      </c>
      <c r="I282" s="29">
        <v>55540.18</v>
      </c>
      <c r="J282" s="12" t="s">
        <v>51</v>
      </c>
      <c r="K282" s="29">
        <f t="shared" si="19"/>
        <v>59727.909571999997</v>
      </c>
      <c r="L282">
        <v>1.0753999999999999</v>
      </c>
      <c r="M282" s="29">
        <v>0</v>
      </c>
      <c r="N282" t="s">
        <v>32</v>
      </c>
      <c r="O282" t="s">
        <v>33</v>
      </c>
      <c r="P282" t="s">
        <v>34</v>
      </c>
      <c r="Q282" t="s">
        <v>34</v>
      </c>
      <c r="R282" t="s">
        <v>34</v>
      </c>
      <c r="S282" t="s">
        <v>34</v>
      </c>
      <c r="T282" s="117">
        <v>0</v>
      </c>
      <c r="U282" s="209" t="s">
        <v>94</v>
      </c>
    </row>
    <row r="283" spans="1:21" ht="14.5" customHeight="1" x14ac:dyDescent="0.35">
      <c r="A283" t="s">
        <v>19</v>
      </c>
      <c r="B283" t="s">
        <v>26</v>
      </c>
      <c r="C283" s="1">
        <v>45337</v>
      </c>
      <c r="D283">
        <f t="shared" si="20"/>
        <v>15</v>
      </c>
      <c r="E283">
        <f t="shared" si="21"/>
        <v>2</v>
      </c>
      <c r="F283">
        <f t="shared" si="22"/>
        <v>2024</v>
      </c>
      <c r="G283" t="s">
        <v>73</v>
      </c>
      <c r="H283" s="98">
        <v>9970</v>
      </c>
      <c r="I283" s="29">
        <v>53295.47</v>
      </c>
      <c r="J283" s="12" t="s">
        <v>51</v>
      </c>
      <c r="K283" s="29">
        <f t="shared" si="19"/>
        <v>57313.948437999999</v>
      </c>
      <c r="L283">
        <v>1.0753999999999999</v>
      </c>
      <c r="M283" s="29">
        <v>0</v>
      </c>
      <c r="N283" t="s">
        <v>32</v>
      </c>
      <c r="O283" t="s">
        <v>33</v>
      </c>
      <c r="P283" t="s">
        <v>34</v>
      </c>
      <c r="Q283" t="s">
        <v>34</v>
      </c>
      <c r="R283" t="s">
        <v>34</v>
      </c>
      <c r="S283" t="s">
        <v>34</v>
      </c>
      <c r="T283" s="117">
        <v>0</v>
      </c>
      <c r="U283" s="209" t="s">
        <v>94</v>
      </c>
    </row>
    <row r="284" spans="1:21" ht="14.5" customHeight="1" x14ac:dyDescent="0.35">
      <c r="A284" t="s">
        <v>19</v>
      </c>
      <c r="B284" t="s">
        <v>26</v>
      </c>
      <c r="C284" s="1">
        <v>45337</v>
      </c>
      <c r="D284">
        <f t="shared" si="20"/>
        <v>15</v>
      </c>
      <c r="E284">
        <f t="shared" si="21"/>
        <v>2</v>
      </c>
      <c r="F284">
        <f t="shared" si="22"/>
        <v>2024</v>
      </c>
      <c r="G284" t="s">
        <v>73</v>
      </c>
      <c r="H284" s="98">
        <v>9971</v>
      </c>
      <c r="I284" s="29">
        <v>55399.8</v>
      </c>
      <c r="J284" s="12" t="s">
        <v>51</v>
      </c>
      <c r="K284" s="29">
        <f t="shared" si="19"/>
        <v>59576.944920000002</v>
      </c>
      <c r="L284">
        <v>1.0753999999999999</v>
      </c>
      <c r="M284" s="29">
        <v>0</v>
      </c>
      <c r="N284" t="s">
        <v>32</v>
      </c>
      <c r="O284" t="s">
        <v>33</v>
      </c>
      <c r="P284" t="s">
        <v>34</v>
      </c>
      <c r="Q284" t="s">
        <v>34</v>
      </c>
      <c r="R284" t="s">
        <v>34</v>
      </c>
      <c r="S284" t="s">
        <v>34</v>
      </c>
      <c r="T284" s="117">
        <v>0</v>
      </c>
      <c r="U284" s="209" t="s">
        <v>94</v>
      </c>
    </row>
    <row r="285" spans="1:21" ht="14.5" customHeight="1" x14ac:dyDescent="0.35">
      <c r="A285" t="s">
        <v>19</v>
      </c>
      <c r="B285" t="s">
        <v>26</v>
      </c>
      <c r="C285" s="1">
        <v>45337</v>
      </c>
      <c r="D285">
        <f t="shared" si="20"/>
        <v>15</v>
      </c>
      <c r="E285">
        <f t="shared" si="21"/>
        <v>2</v>
      </c>
      <c r="F285">
        <f t="shared" si="22"/>
        <v>2024</v>
      </c>
      <c r="G285" t="s">
        <v>187</v>
      </c>
      <c r="H285" s="98">
        <v>0</v>
      </c>
      <c r="I285" s="29">
        <v>20591.349999999999</v>
      </c>
      <c r="J285" s="12" t="s">
        <v>51</v>
      </c>
      <c r="K285" s="29">
        <f t="shared" si="19"/>
        <v>22143.937789999996</v>
      </c>
      <c r="L285">
        <v>1.0753999999999999</v>
      </c>
      <c r="M285" s="29">
        <v>0</v>
      </c>
      <c r="N285" t="s">
        <v>32</v>
      </c>
      <c r="O285" t="s">
        <v>33</v>
      </c>
      <c r="P285" t="s">
        <v>34</v>
      </c>
      <c r="Q285" t="s">
        <v>34</v>
      </c>
      <c r="R285" t="s">
        <v>34</v>
      </c>
      <c r="S285" t="s">
        <v>34</v>
      </c>
      <c r="T285" s="117">
        <v>0</v>
      </c>
      <c r="U285" s="209" t="s">
        <v>94</v>
      </c>
    </row>
    <row r="286" spans="1:21" ht="14.5" customHeight="1" x14ac:dyDescent="0.35">
      <c r="A286" t="s">
        <v>19</v>
      </c>
      <c r="B286" t="s">
        <v>23</v>
      </c>
      <c r="C286" s="1">
        <v>45343</v>
      </c>
      <c r="D286">
        <f t="shared" si="20"/>
        <v>21</v>
      </c>
      <c r="E286">
        <f t="shared" si="21"/>
        <v>2</v>
      </c>
      <c r="F286">
        <f t="shared" si="22"/>
        <v>2024</v>
      </c>
      <c r="G286" t="s">
        <v>28</v>
      </c>
      <c r="H286" s="98">
        <v>9716</v>
      </c>
      <c r="I286" s="29">
        <v>20329.16</v>
      </c>
      <c r="J286" s="12" t="s">
        <v>31</v>
      </c>
      <c r="K286" s="29">
        <f t="shared" si="19"/>
        <v>20329.16</v>
      </c>
      <c r="L286">
        <v>1</v>
      </c>
      <c r="M286" s="29">
        <v>0</v>
      </c>
      <c r="N286" t="s">
        <v>32</v>
      </c>
      <c r="O286" t="s">
        <v>33</v>
      </c>
      <c r="P286" t="s">
        <v>34</v>
      </c>
      <c r="Q286" t="s">
        <v>34</v>
      </c>
      <c r="R286" t="s">
        <v>34</v>
      </c>
      <c r="S286" t="s">
        <v>34</v>
      </c>
      <c r="T286" s="117">
        <v>0</v>
      </c>
    </row>
    <row r="287" spans="1:21" ht="14.5" customHeight="1" x14ac:dyDescent="0.35">
      <c r="A287" t="s">
        <v>19</v>
      </c>
      <c r="B287" t="s">
        <v>25</v>
      </c>
      <c r="C287" s="1">
        <v>45343</v>
      </c>
      <c r="D287">
        <f t="shared" si="20"/>
        <v>21</v>
      </c>
      <c r="E287">
        <f t="shared" si="21"/>
        <v>2</v>
      </c>
      <c r="F287">
        <f t="shared" si="22"/>
        <v>2024</v>
      </c>
      <c r="G287" t="s">
        <v>36</v>
      </c>
      <c r="H287" s="98">
        <v>9563</v>
      </c>
      <c r="I287" s="29">
        <v>61.5</v>
      </c>
      <c r="J287" s="12" t="s">
        <v>31</v>
      </c>
      <c r="K287" s="29">
        <f t="shared" si="19"/>
        <v>61.5</v>
      </c>
      <c r="L287">
        <v>1</v>
      </c>
      <c r="M287" s="29">
        <v>0</v>
      </c>
      <c r="N287" t="s">
        <v>32</v>
      </c>
      <c r="O287" t="s">
        <v>33</v>
      </c>
      <c r="P287" t="s">
        <v>34</v>
      </c>
      <c r="Q287" t="s">
        <v>34</v>
      </c>
      <c r="R287" t="s">
        <v>34</v>
      </c>
      <c r="S287" t="s">
        <v>34</v>
      </c>
      <c r="T287" s="117">
        <v>0</v>
      </c>
    </row>
    <row r="288" spans="1:21" ht="14.5" customHeight="1" x14ac:dyDescent="0.35">
      <c r="A288" t="s">
        <v>19</v>
      </c>
      <c r="B288" t="s">
        <v>21</v>
      </c>
      <c r="C288" s="1">
        <v>45343</v>
      </c>
      <c r="D288">
        <f t="shared" si="20"/>
        <v>21</v>
      </c>
      <c r="E288">
        <f t="shared" si="21"/>
        <v>2</v>
      </c>
      <c r="F288">
        <f t="shared" si="22"/>
        <v>2024</v>
      </c>
      <c r="G288" t="s">
        <v>36</v>
      </c>
      <c r="H288" s="98">
        <v>9566</v>
      </c>
      <c r="I288" s="29">
        <v>62</v>
      </c>
      <c r="J288" s="12" t="s">
        <v>31</v>
      </c>
      <c r="K288" s="29">
        <f t="shared" si="19"/>
        <v>62</v>
      </c>
      <c r="L288">
        <v>1</v>
      </c>
      <c r="M288" s="29">
        <v>0</v>
      </c>
      <c r="N288" t="s">
        <v>32</v>
      </c>
      <c r="O288" t="s">
        <v>33</v>
      </c>
      <c r="P288" t="s">
        <v>34</v>
      </c>
      <c r="Q288" t="s">
        <v>34</v>
      </c>
      <c r="R288" t="s">
        <v>34</v>
      </c>
      <c r="S288" t="s">
        <v>34</v>
      </c>
      <c r="T288" s="117">
        <v>0</v>
      </c>
    </row>
    <row r="289" spans="1:20" ht="14.5" customHeight="1" x14ac:dyDescent="0.35">
      <c r="A289" t="s">
        <v>19</v>
      </c>
      <c r="B289" t="s">
        <v>21</v>
      </c>
      <c r="C289" s="1">
        <v>45343</v>
      </c>
      <c r="D289">
        <f t="shared" si="20"/>
        <v>21</v>
      </c>
      <c r="E289">
        <f t="shared" si="21"/>
        <v>2</v>
      </c>
      <c r="F289">
        <f t="shared" si="22"/>
        <v>2024</v>
      </c>
      <c r="G289" t="s">
        <v>36</v>
      </c>
      <c r="H289" s="98">
        <v>9567</v>
      </c>
      <c r="I289" s="29">
        <v>108</v>
      </c>
      <c r="J289" s="12" t="s">
        <v>31</v>
      </c>
      <c r="K289" s="29">
        <f t="shared" si="19"/>
        <v>108</v>
      </c>
      <c r="L289">
        <v>1</v>
      </c>
      <c r="M289" s="29">
        <v>0</v>
      </c>
      <c r="N289" t="s">
        <v>32</v>
      </c>
      <c r="O289" t="s">
        <v>33</v>
      </c>
      <c r="P289" t="s">
        <v>34</v>
      </c>
      <c r="Q289" t="s">
        <v>34</v>
      </c>
      <c r="R289" t="s">
        <v>34</v>
      </c>
      <c r="S289" t="s">
        <v>34</v>
      </c>
      <c r="T289" s="117">
        <v>0</v>
      </c>
    </row>
    <row r="290" spans="1:20" ht="14.5" customHeight="1" x14ac:dyDescent="0.35">
      <c r="A290" t="s">
        <v>19</v>
      </c>
      <c r="B290" t="s">
        <v>25</v>
      </c>
      <c r="C290" s="1">
        <v>45343</v>
      </c>
      <c r="D290">
        <f t="shared" si="20"/>
        <v>21</v>
      </c>
      <c r="E290">
        <f t="shared" si="21"/>
        <v>2</v>
      </c>
      <c r="F290">
        <f t="shared" si="22"/>
        <v>2024</v>
      </c>
      <c r="G290" t="s">
        <v>29</v>
      </c>
      <c r="H290" s="98">
        <v>9536</v>
      </c>
      <c r="I290" s="29">
        <v>470.7</v>
      </c>
      <c r="J290" s="12" t="s">
        <v>31</v>
      </c>
      <c r="K290" s="29">
        <f t="shared" si="19"/>
        <v>470.7</v>
      </c>
      <c r="L290">
        <v>1</v>
      </c>
      <c r="M290" s="29">
        <v>0</v>
      </c>
      <c r="N290" t="s">
        <v>32</v>
      </c>
      <c r="O290" t="s">
        <v>33</v>
      </c>
      <c r="P290" t="s">
        <v>34</v>
      </c>
      <c r="Q290" t="s">
        <v>34</v>
      </c>
      <c r="R290" t="s">
        <v>34</v>
      </c>
      <c r="S290" t="s">
        <v>34</v>
      </c>
      <c r="T290" s="117">
        <v>0</v>
      </c>
    </row>
    <row r="291" spans="1:20" ht="14.5" customHeight="1" x14ac:dyDescent="0.35">
      <c r="A291" t="s">
        <v>19</v>
      </c>
      <c r="B291" t="s">
        <v>25</v>
      </c>
      <c r="C291" s="1">
        <v>45343</v>
      </c>
      <c r="D291">
        <f t="shared" si="20"/>
        <v>21</v>
      </c>
      <c r="E291">
        <f t="shared" si="21"/>
        <v>2</v>
      </c>
      <c r="F291">
        <f t="shared" si="22"/>
        <v>2024</v>
      </c>
      <c r="G291" t="s">
        <v>29</v>
      </c>
      <c r="H291" s="98">
        <v>9537</v>
      </c>
      <c r="I291" s="29">
        <v>74878.63</v>
      </c>
      <c r="J291" s="12" t="s">
        <v>31</v>
      </c>
      <c r="K291" s="29">
        <f t="shared" si="19"/>
        <v>74878.63</v>
      </c>
      <c r="L291">
        <v>1</v>
      </c>
      <c r="M291" s="29">
        <v>0</v>
      </c>
      <c r="N291" t="s">
        <v>42</v>
      </c>
      <c r="O291" t="s">
        <v>33</v>
      </c>
      <c r="P291" t="s">
        <v>34</v>
      </c>
      <c r="Q291" t="s">
        <v>34</v>
      </c>
      <c r="R291" t="s">
        <v>34</v>
      </c>
      <c r="S291" t="s">
        <v>34</v>
      </c>
      <c r="T291" s="117">
        <v>0</v>
      </c>
    </row>
    <row r="292" spans="1:20" ht="14.5" customHeight="1" x14ac:dyDescent="0.35">
      <c r="A292" t="s">
        <v>19</v>
      </c>
      <c r="B292" t="s">
        <v>25</v>
      </c>
      <c r="C292" s="1">
        <v>45343</v>
      </c>
      <c r="D292">
        <f t="shared" si="20"/>
        <v>21</v>
      </c>
      <c r="E292">
        <f t="shared" si="21"/>
        <v>2</v>
      </c>
      <c r="F292">
        <f t="shared" si="22"/>
        <v>2024</v>
      </c>
      <c r="G292" t="s">
        <v>79</v>
      </c>
      <c r="H292" s="98">
        <v>9902</v>
      </c>
      <c r="I292" s="29">
        <v>273</v>
      </c>
      <c r="J292" s="12" t="s">
        <v>51</v>
      </c>
      <c r="K292" s="29">
        <f t="shared" si="19"/>
        <v>296.34013500000003</v>
      </c>
      <c r="L292">
        <v>1.0854950000000001</v>
      </c>
      <c r="M292" s="29">
        <v>0</v>
      </c>
      <c r="N292" t="s">
        <v>32</v>
      </c>
      <c r="O292" t="s">
        <v>33</v>
      </c>
      <c r="P292" t="s">
        <v>34</v>
      </c>
      <c r="Q292" t="s">
        <v>34</v>
      </c>
      <c r="R292" t="s">
        <v>34</v>
      </c>
      <c r="S292" t="s">
        <v>34</v>
      </c>
      <c r="T292" s="117">
        <v>0</v>
      </c>
    </row>
    <row r="293" spans="1:20" ht="14.5" customHeight="1" x14ac:dyDescent="0.35">
      <c r="A293" t="s">
        <v>19</v>
      </c>
      <c r="B293" t="s">
        <v>25</v>
      </c>
      <c r="C293" s="1">
        <v>45343</v>
      </c>
      <c r="D293">
        <f t="shared" si="20"/>
        <v>21</v>
      </c>
      <c r="E293">
        <f t="shared" si="21"/>
        <v>2</v>
      </c>
      <c r="F293">
        <f t="shared" si="22"/>
        <v>2024</v>
      </c>
      <c r="G293" t="s">
        <v>38</v>
      </c>
      <c r="H293" s="98">
        <v>8584</v>
      </c>
      <c r="I293" s="29">
        <v>71250.8</v>
      </c>
      <c r="J293" s="12" t="s">
        <v>31</v>
      </c>
      <c r="K293" s="29">
        <f t="shared" si="19"/>
        <v>71250.8</v>
      </c>
      <c r="L293">
        <v>1</v>
      </c>
      <c r="M293" s="29">
        <v>0</v>
      </c>
      <c r="N293" t="s">
        <v>32</v>
      </c>
      <c r="O293" t="s">
        <v>33</v>
      </c>
      <c r="P293" t="s">
        <v>34</v>
      </c>
      <c r="Q293" t="s">
        <v>34</v>
      </c>
      <c r="R293" t="s">
        <v>34</v>
      </c>
      <c r="S293" t="s">
        <v>34</v>
      </c>
      <c r="T293" s="117">
        <v>0</v>
      </c>
    </row>
    <row r="294" spans="1:20" ht="14.5" customHeight="1" x14ac:dyDescent="0.35">
      <c r="A294" t="s">
        <v>19</v>
      </c>
      <c r="B294" t="s">
        <v>21</v>
      </c>
      <c r="C294" s="1">
        <v>45343</v>
      </c>
      <c r="D294">
        <f t="shared" si="20"/>
        <v>21</v>
      </c>
      <c r="E294">
        <f t="shared" si="21"/>
        <v>2</v>
      </c>
      <c r="F294">
        <f t="shared" si="22"/>
        <v>2024</v>
      </c>
      <c r="G294" t="s">
        <v>92</v>
      </c>
      <c r="H294" s="98">
        <v>10095</v>
      </c>
      <c r="I294" s="29">
        <v>7.2</v>
      </c>
      <c r="J294" s="12" t="s">
        <v>31</v>
      </c>
      <c r="K294" s="29">
        <f t="shared" si="19"/>
        <v>7.2</v>
      </c>
      <c r="L294">
        <v>1</v>
      </c>
      <c r="M294" s="29">
        <v>0</v>
      </c>
      <c r="N294" t="s">
        <v>42</v>
      </c>
      <c r="O294" t="s">
        <v>33</v>
      </c>
      <c r="P294" t="s">
        <v>34</v>
      </c>
      <c r="Q294" t="s">
        <v>34</v>
      </c>
      <c r="R294" t="s">
        <v>34</v>
      </c>
      <c r="S294" t="s">
        <v>34</v>
      </c>
      <c r="T294" s="117">
        <v>0</v>
      </c>
    </row>
    <row r="295" spans="1:20" ht="14.5" customHeight="1" x14ac:dyDescent="0.35">
      <c r="A295" t="s">
        <v>19</v>
      </c>
      <c r="B295" t="s">
        <v>21</v>
      </c>
      <c r="C295" s="1">
        <v>45343</v>
      </c>
      <c r="D295">
        <f t="shared" si="20"/>
        <v>21</v>
      </c>
      <c r="E295">
        <f t="shared" si="21"/>
        <v>2</v>
      </c>
      <c r="F295">
        <f t="shared" si="22"/>
        <v>2024</v>
      </c>
      <c r="G295" t="s">
        <v>92</v>
      </c>
      <c r="H295" s="98">
        <v>10096</v>
      </c>
      <c r="I295" s="29">
        <v>1900.8</v>
      </c>
      <c r="J295" s="12" t="s">
        <v>31</v>
      </c>
      <c r="K295" s="29">
        <f t="shared" si="19"/>
        <v>1900.8</v>
      </c>
      <c r="L295">
        <v>1</v>
      </c>
      <c r="M295" s="29">
        <v>0</v>
      </c>
      <c r="N295" t="s">
        <v>42</v>
      </c>
      <c r="O295" t="s">
        <v>33</v>
      </c>
      <c r="P295" t="s">
        <v>34</v>
      </c>
      <c r="Q295" t="s">
        <v>34</v>
      </c>
      <c r="R295" t="s">
        <v>34</v>
      </c>
      <c r="S295" t="s">
        <v>34</v>
      </c>
      <c r="T295" s="117">
        <v>0</v>
      </c>
    </row>
    <row r="296" spans="1:20" x14ac:dyDescent="0.35">
      <c r="A296" t="s">
        <v>19</v>
      </c>
      <c r="B296" t="s">
        <v>21</v>
      </c>
      <c r="C296" s="1">
        <v>45343</v>
      </c>
      <c r="D296">
        <f t="shared" si="20"/>
        <v>21</v>
      </c>
      <c r="E296">
        <f t="shared" si="21"/>
        <v>2</v>
      </c>
      <c r="F296">
        <f t="shared" si="22"/>
        <v>2024</v>
      </c>
      <c r="G296" t="s">
        <v>92</v>
      </c>
      <c r="H296" s="98">
        <v>10097</v>
      </c>
      <c r="I296" s="29">
        <v>43.32</v>
      </c>
      <c r="J296" s="12" t="s">
        <v>31</v>
      </c>
      <c r="K296" s="29">
        <f t="shared" si="19"/>
        <v>43.32</v>
      </c>
      <c r="L296">
        <v>1</v>
      </c>
      <c r="M296" s="29">
        <v>0</v>
      </c>
      <c r="N296" t="s">
        <v>42</v>
      </c>
      <c r="O296" t="s">
        <v>33</v>
      </c>
      <c r="P296" t="s">
        <v>34</v>
      </c>
      <c r="Q296" t="s">
        <v>34</v>
      </c>
      <c r="R296" t="s">
        <v>34</v>
      </c>
      <c r="S296" t="s">
        <v>34</v>
      </c>
      <c r="T296" s="117">
        <v>0</v>
      </c>
    </row>
    <row r="297" spans="1:20" ht="14.5" customHeight="1" x14ac:dyDescent="0.35">
      <c r="A297" t="s">
        <v>19</v>
      </c>
      <c r="B297" t="s">
        <v>21</v>
      </c>
      <c r="C297" s="1">
        <v>45343</v>
      </c>
      <c r="D297">
        <f t="shared" si="20"/>
        <v>21</v>
      </c>
      <c r="E297">
        <f t="shared" si="21"/>
        <v>2</v>
      </c>
      <c r="F297">
        <f t="shared" si="22"/>
        <v>2024</v>
      </c>
      <c r="G297" t="s">
        <v>92</v>
      </c>
      <c r="H297" s="98">
        <v>10098</v>
      </c>
      <c r="I297" s="29">
        <v>7980.93</v>
      </c>
      <c r="J297" s="12" t="s">
        <v>31</v>
      </c>
      <c r="K297" s="29">
        <f t="shared" si="19"/>
        <v>7980.93</v>
      </c>
      <c r="L297">
        <v>1</v>
      </c>
      <c r="M297" s="29">
        <v>0</v>
      </c>
      <c r="N297" t="s">
        <v>42</v>
      </c>
      <c r="O297" t="s">
        <v>33</v>
      </c>
      <c r="P297" t="s">
        <v>34</v>
      </c>
      <c r="Q297" t="s">
        <v>34</v>
      </c>
      <c r="R297" t="s">
        <v>34</v>
      </c>
      <c r="S297" t="s">
        <v>34</v>
      </c>
      <c r="T297" s="117">
        <v>0</v>
      </c>
    </row>
    <row r="298" spans="1:20" ht="14.5" customHeight="1" x14ac:dyDescent="0.35">
      <c r="A298" t="s">
        <v>19</v>
      </c>
      <c r="B298" t="s">
        <v>27</v>
      </c>
      <c r="C298" s="1">
        <v>45343</v>
      </c>
      <c r="D298">
        <f t="shared" si="20"/>
        <v>21</v>
      </c>
      <c r="E298">
        <f t="shared" si="21"/>
        <v>2</v>
      </c>
      <c r="F298">
        <f t="shared" si="22"/>
        <v>2024</v>
      </c>
      <c r="G298" t="s">
        <v>100</v>
      </c>
      <c r="H298" s="98">
        <v>9632</v>
      </c>
      <c r="I298" s="29">
        <v>215481.29</v>
      </c>
      <c r="J298" s="12" t="s">
        <v>31</v>
      </c>
      <c r="K298" s="29">
        <f t="shared" si="19"/>
        <v>215481.29</v>
      </c>
      <c r="L298">
        <v>1</v>
      </c>
      <c r="M298" s="29">
        <v>0</v>
      </c>
      <c r="N298" t="s">
        <v>32</v>
      </c>
      <c r="O298" t="s">
        <v>33</v>
      </c>
      <c r="P298" t="s">
        <v>34</v>
      </c>
      <c r="Q298" t="s">
        <v>34</v>
      </c>
      <c r="R298" t="s">
        <v>34</v>
      </c>
      <c r="S298" t="s">
        <v>34</v>
      </c>
      <c r="T298" s="117">
        <v>0</v>
      </c>
    </row>
    <row r="299" spans="1:20" ht="14.5" customHeight="1" x14ac:dyDescent="0.35">
      <c r="A299" t="s">
        <v>19</v>
      </c>
      <c r="B299" t="s">
        <v>27</v>
      </c>
      <c r="C299" s="1">
        <v>45343</v>
      </c>
      <c r="D299">
        <f t="shared" si="20"/>
        <v>21</v>
      </c>
      <c r="E299">
        <f t="shared" si="21"/>
        <v>2</v>
      </c>
      <c r="F299">
        <f t="shared" si="22"/>
        <v>2024</v>
      </c>
      <c r="G299" t="s">
        <v>100</v>
      </c>
      <c r="H299" s="98">
        <v>9711</v>
      </c>
      <c r="I299" s="29">
        <v>134694.32</v>
      </c>
      <c r="J299" s="12" t="s">
        <v>31</v>
      </c>
      <c r="K299" s="29">
        <f t="shared" si="19"/>
        <v>134694.32</v>
      </c>
      <c r="L299">
        <v>1</v>
      </c>
      <c r="M299" s="29">
        <v>0</v>
      </c>
      <c r="N299" t="s">
        <v>32</v>
      </c>
      <c r="O299" t="s">
        <v>33</v>
      </c>
      <c r="P299" t="s">
        <v>34</v>
      </c>
      <c r="Q299" t="s">
        <v>34</v>
      </c>
      <c r="R299" t="s">
        <v>34</v>
      </c>
      <c r="S299" t="s">
        <v>34</v>
      </c>
      <c r="T299" s="117">
        <v>0</v>
      </c>
    </row>
    <row r="300" spans="1:20" ht="14.5" customHeight="1" x14ac:dyDescent="0.35">
      <c r="A300" t="s">
        <v>19</v>
      </c>
      <c r="B300" t="s">
        <v>19</v>
      </c>
      <c r="C300" s="1">
        <v>45343</v>
      </c>
      <c r="D300">
        <f t="shared" si="20"/>
        <v>21</v>
      </c>
      <c r="E300">
        <f t="shared" si="21"/>
        <v>2</v>
      </c>
      <c r="F300">
        <f t="shared" si="22"/>
        <v>2024</v>
      </c>
      <c r="G300" t="s">
        <v>91</v>
      </c>
      <c r="H300" s="98">
        <v>9505</v>
      </c>
      <c r="I300" s="29">
        <v>65888.88</v>
      </c>
      <c r="J300" s="12" t="s">
        <v>31</v>
      </c>
      <c r="K300" s="29">
        <f t="shared" si="19"/>
        <v>65888.88</v>
      </c>
      <c r="L300">
        <v>1</v>
      </c>
      <c r="M300" s="29">
        <v>0</v>
      </c>
      <c r="N300" t="s">
        <v>32</v>
      </c>
      <c r="O300" t="s">
        <v>33</v>
      </c>
      <c r="P300" t="s">
        <v>34</v>
      </c>
      <c r="Q300" t="s">
        <v>34</v>
      </c>
      <c r="R300" t="s">
        <v>34</v>
      </c>
      <c r="S300" t="s">
        <v>34</v>
      </c>
      <c r="T300" s="117">
        <v>0</v>
      </c>
    </row>
    <row r="301" spans="1:20" ht="14.5" customHeight="1" x14ac:dyDescent="0.35">
      <c r="A301" t="s">
        <v>19</v>
      </c>
      <c r="B301" t="s">
        <v>19</v>
      </c>
      <c r="C301" s="1">
        <v>45343</v>
      </c>
      <c r="D301">
        <f t="shared" si="20"/>
        <v>21</v>
      </c>
      <c r="E301">
        <f t="shared" si="21"/>
        <v>2</v>
      </c>
      <c r="F301">
        <f t="shared" si="22"/>
        <v>2024</v>
      </c>
      <c r="G301" t="s">
        <v>101</v>
      </c>
      <c r="H301" s="98">
        <v>9918</v>
      </c>
      <c r="I301" s="29">
        <v>761.98</v>
      </c>
      <c r="J301" s="12" t="s">
        <v>31</v>
      </c>
      <c r="K301" s="29">
        <f t="shared" si="19"/>
        <v>761.98</v>
      </c>
      <c r="L301">
        <v>1</v>
      </c>
      <c r="M301" s="29">
        <v>0</v>
      </c>
      <c r="N301" t="s">
        <v>32</v>
      </c>
      <c r="O301" t="s">
        <v>33</v>
      </c>
      <c r="P301" t="s">
        <v>34</v>
      </c>
      <c r="Q301" t="s">
        <v>34</v>
      </c>
      <c r="R301" t="s">
        <v>34</v>
      </c>
      <c r="S301" t="s">
        <v>34</v>
      </c>
      <c r="T301" s="117">
        <v>0</v>
      </c>
    </row>
    <row r="302" spans="1:20" ht="14.5" customHeight="1" x14ac:dyDescent="0.35">
      <c r="A302" t="s">
        <v>19</v>
      </c>
      <c r="B302" t="s">
        <v>19</v>
      </c>
      <c r="C302" s="1">
        <v>45343</v>
      </c>
      <c r="D302">
        <f t="shared" si="20"/>
        <v>21</v>
      </c>
      <c r="E302">
        <f t="shared" si="21"/>
        <v>2</v>
      </c>
      <c r="F302">
        <f t="shared" si="22"/>
        <v>2024</v>
      </c>
      <c r="G302" t="s">
        <v>102</v>
      </c>
      <c r="H302" s="98">
        <v>9600</v>
      </c>
      <c r="I302" s="29">
        <v>29720.28</v>
      </c>
      <c r="J302" s="12" t="s">
        <v>31</v>
      </c>
      <c r="K302" s="29">
        <f t="shared" si="19"/>
        <v>29720.28</v>
      </c>
      <c r="L302">
        <v>1</v>
      </c>
      <c r="M302" s="29">
        <v>0</v>
      </c>
      <c r="N302" t="s">
        <v>32</v>
      </c>
      <c r="O302" t="s">
        <v>33</v>
      </c>
      <c r="P302" t="s">
        <v>34</v>
      </c>
      <c r="Q302" t="s">
        <v>34</v>
      </c>
      <c r="R302" t="s">
        <v>34</v>
      </c>
      <c r="S302" t="s">
        <v>34</v>
      </c>
      <c r="T302" s="117">
        <v>0</v>
      </c>
    </row>
    <row r="303" spans="1:20" ht="14.5" customHeight="1" x14ac:dyDescent="0.35">
      <c r="A303" t="s">
        <v>19</v>
      </c>
      <c r="B303" t="s">
        <v>19</v>
      </c>
      <c r="C303" s="1">
        <v>45343</v>
      </c>
      <c r="D303">
        <f t="shared" si="20"/>
        <v>21</v>
      </c>
      <c r="E303">
        <f t="shared" si="21"/>
        <v>2</v>
      </c>
      <c r="F303">
        <f t="shared" si="22"/>
        <v>2024</v>
      </c>
      <c r="G303" t="s">
        <v>102</v>
      </c>
      <c r="H303" s="98">
        <v>9688</v>
      </c>
      <c r="I303" s="29">
        <v>212</v>
      </c>
      <c r="J303" s="12" t="s">
        <v>31</v>
      </c>
      <c r="K303" s="29">
        <f t="shared" si="19"/>
        <v>212</v>
      </c>
      <c r="L303">
        <v>1</v>
      </c>
      <c r="M303" s="29">
        <v>0</v>
      </c>
      <c r="N303" t="s">
        <v>32</v>
      </c>
      <c r="O303" t="s">
        <v>33</v>
      </c>
      <c r="P303" t="s">
        <v>34</v>
      </c>
      <c r="Q303" t="s">
        <v>34</v>
      </c>
      <c r="R303" t="s">
        <v>34</v>
      </c>
      <c r="S303" t="s">
        <v>34</v>
      </c>
      <c r="T303" s="117">
        <v>0</v>
      </c>
    </row>
    <row r="304" spans="1:20" ht="14.5" customHeight="1" x14ac:dyDescent="0.35">
      <c r="A304" t="s">
        <v>19</v>
      </c>
      <c r="B304" t="s">
        <v>19</v>
      </c>
      <c r="C304" s="1">
        <v>45343</v>
      </c>
      <c r="D304">
        <f t="shared" si="20"/>
        <v>21</v>
      </c>
      <c r="E304">
        <f t="shared" si="21"/>
        <v>2</v>
      </c>
      <c r="F304">
        <f t="shared" si="22"/>
        <v>2024</v>
      </c>
      <c r="G304" t="s">
        <v>59</v>
      </c>
      <c r="H304" s="171">
        <v>8501</v>
      </c>
      <c r="I304" s="90">
        <v>56091.66</v>
      </c>
      <c r="J304" s="12" t="s">
        <v>31</v>
      </c>
      <c r="K304" s="29">
        <f t="shared" si="19"/>
        <v>56091.66</v>
      </c>
      <c r="L304">
        <v>1</v>
      </c>
      <c r="M304" s="29">
        <v>0</v>
      </c>
      <c r="N304" t="s">
        <v>32</v>
      </c>
      <c r="O304" t="s">
        <v>33</v>
      </c>
      <c r="P304" t="s">
        <v>34</v>
      </c>
      <c r="Q304" t="s">
        <v>34</v>
      </c>
      <c r="R304" t="s">
        <v>34</v>
      </c>
      <c r="S304" t="s">
        <v>34</v>
      </c>
      <c r="T304" s="117">
        <v>0</v>
      </c>
    </row>
    <row r="305" spans="1:21" ht="14.5" customHeight="1" x14ac:dyDescent="0.35">
      <c r="A305" t="s">
        <v>19</v>
      </c>
      <c r="B305" t="s">
        <v>19</v>
      </c>
      <c r="C305" s="1">
        <v>45343</v>
      </c>
      <c r="D305">
        <f t="shared" si="20"/>
        <v>21</v>
      </c>
      <c r="E305">
        <f t="shared" si="21"/>
        <v>2</v>
      </c>
      <c r="F305">
        <f t="shared" si="22"/>
        <v>2024</v>
      </c>
      <c r="G305" t="s">
        <v>56</v>
      </c>
      <c r="H305" s="98">
        <v>9578</v>
      </c>
      <c r="I305" s="29">
        <v>186288.74</v>
      </c>
      <c r="J305" s="12" t="s">
        <v>31</v>
      </c>
      <c r="K305" s="29">
        <f t="shared" si="19"/>
        <v>186288.74</v>
      </c>
      <c r="L305">
        <v>1</v>
      </c>
      <c r="M305" s="29">
        <v>0</v>
      </c>
      <c r="N305" t="s">
        <v>32</v>
      </c>
      <c r="O305" t="s">
        <v>33</v>
      </c>
      <c r="P305" t="s">
        <v>34</v>
      </c>
      <c r="Q305" t="s">
        <v>34</v>
      </c>
      <c r="R305" t="s">
        <v>34</v>
      </c>
      <c r="S305" t="s">
        <v>34</v>
      </c>
      <c r="T305" s="117">
        <v>0</v>
      </c>
    </row>
    <row r="306" spans="1:21" ht="14.5" customHeight="1" x14ac:dyDescent="0.35">
      <c r="A306" t="s">
        <v>19</v>
      </c>
      <c r="B306" t="s">
        <v>19</v>
      </c>
      <c r="C306" s="1">
        <v>45343</v>
      </c>
      <c r="D306">
        <f t="shared" si="20"/>
        <v>21</v>
      </c>
      <c r="E306">
        <f t="shared" si="21"/>
        <v>2</v>
      </c>
      <c r="F306">
        <f t="shared" si="22"/>
        <v>2024</v>
      </c>
      <c r="G306" t="s">
        <v>103</v>
      </c>
      <c r="H306" s="98">
        <v>9117</v>
      </c>
      <c r="I306" s="29">
        <v>137668.84</v>
      </c>
      <c r="J306" s="12" t="s">
        <v>31</v>
      </c>
      <c r="K306" s="29">
        <f t="shared" si="19"/>
        <v>137668.84</v>
      </c>
      <c r="L306">
        <v>1</v>
      </c>
      <c r="M306" s="29">
        <v>0</v>
      </c>
      <c r="N306" t="s">
        <v>42</v>
      </c>
      <c r="O306" t="s">
        <v>33</v>
      </c>
      <c r="P306" t="s">
        <v>34</v>
      </c>
      <c r="Q306" t="s">
        <v>34</v>
      </c>
      <c r="R306" t="s">
        <v>34</v>
      </c>
      <c r="S306" t="s">
        <v>34</v>
      </c>
      <c r="T306" s="117">
        <v>0</v>
      </c>
    </row>
    <row r="307" spans="1:21" ht="14.5" customHeight="1" x14ac:dyDescent="0.35">
      <c r="A307" t="s">
        <v>20</v>
      </c>
      <c r="B307" t="s">
        <v>25</v>
      </c>
      <c r="C307" s="1">
        <v>45343</v>
      </c>
      <c r="D307">
        <f t="shared" si="20"/>
        <v>21</v>
      </c>
      <c r="E307">
        <f t="shared" si="21"/>
        <v>2</v>
      </c>
      <c r="F307">
        <f t="shared" si="22"/>
        <v>2024</v>
      </c>
      <c r="G307" t="s">
        <v>81</v>
      </c>
      <c r="H307" s="98">
        <v>9858</v>
      </c>
      <c r="I307" s="29">
        <v>202.68</v>
      </c>
      <c r="J307" s="12" t="s">
        <v>31</v>
      </c>
      <c r="K307" s="29">
        <f t="shared" si="19"/>
        <v>202.68</v>
      </c>
      <c r="L307">
        <v>1</v>
      </c>
      <c r="M307" s="29">
        <v>0</v>
      </c>
      <c r="N307" t="s">
        <v>32</v>
      </c>
      <c r="O307" t="s">
        <v>33</v>
      </c>
      <c r="P307" t="s">
        <v>34</v>
      </c>
      <c r="Q307" t="s">
        <v>34</v>
      </c>
      <c r="R307" t="s">
        <v>34</v>
      </c>
      <c r="S307" t="s">
        <v>34</v>
      </c>
      <c r="T307" s="117">
        <v>0</v>
      </c>
    </row>
    <row r="308" spans="1:21" ht="14.5" customHeight="1" x14ac:dyDescent="0.35">
      <c r="A308" t="s">
        <v>20</v>
      </c>
      <c r="B308" t="s">
        <v>25</v>
      </c>
      <c r="C308" s="1">
        <v>45343</v>
      </c>
      <c r="D308">
        <f t="shared" si="20"/>
        <v>21</v>
      </c>
      <c r="E308">
        <f t="shared" si="21"/>
        <v>2</v>
      </c>
      <c r="F308">
        <f t="shared" si="22"/>
        <v>2024</v>
      </c>
      <c r="G308" t="s">
        <v>81</v>
      </c>
      <c r="H308" s="98">
        <v>9880</v>
      </c>
      <c r="I308" s="29">
        <v>1305.22</v>
      </c>
      <c r="J308" s="12" t="s">
        <v>31</v>
      </c>
      <c r="K308" s="29">
        <f t="shared" si="19"/>
        <v>1305.22</v>
      </c>
      <c r="L308">
        <v>1</v>
      </c>
      <c r="M308" s="29">
        <v>0</v>
      </c>
      <c r="N308" t="s">
        <v>32</v>
      </c>
      <c r="O308" t="s">
        <v>33</v>
      </c>
      <c r="P308" t="s">
        <v>34</v>
      </c>
      <c r="Q308" t="s">
        <v>34</v>
      </c>
      <c r="R308" t="s">
        <v>34</v>
      </c>
      <c r="S308" t="s">
        <v>34</v>
      </c>
      <c r="T308" s="117">
        <v>0</v>
      </c>
    </row>
    <row r="309" spans="1:21" ht="14.5" customHeight="1" x14ac:dyDescent="0.35">
      <c r="A309" t="s">
        <v>20</v>
      </c>
      <c r="B309" t="s">
        <v>23</v>
      </c>
      <c r="C309" s="1">
        <v>45343</v>
      </c>
      <c r="D309">
        <f t="shared" si="20"/>
        <v>21</v>
      </c>
      <c r="E309">
        <f t="shared" si="21"/>
        <v>2</v>
      </c>
      <c r="F309">
        <f t="shared" si="22"/>
        <v>2024</v>
      </c>
      <c r="G309" t="s">
        <v>53</v>
      </c>
      <c r="H309" s="98">
        <v>9662</v>
      </c>
      <c r="I309" s="90">
        <v>25649.200000000001</v>
      </c>
      <c r="J309" s="12" t="s">
        <v>31</v>
      </c>
      <c r="K309" s="29">
        <f t="shared" si="19"/>
        <v>25649.200000000001</v>
      </c>
      <c r="L309">
        <v>1</v>
      </c>
      <c r="M309" s="29">
        <v>0</v>
      </c>
      <c r="N309" t="s">
        <v>32</v>
      </c>
      <c r="O309" t="s">
        <v>33</v>
      </c>
      <c r="P309" t="s">
        <v>34</v>
      </c>
      <c r="Q309" t="s">
        <v>34</v>
      </c>
      <c r="R309" t="s">
        <v>34</v>
      </c>
      <c r="S309" t="s">
        <v>34</v>
      </c>
      <c r="T309" s="117">
        <v>0</v>
      </c>
    </row>
    <row r="310" spans="1:21" ht="14.5" customHeight="1" x14ac:dyDescent="0.35">
      <c r="A310" t="s">
        <v>20</v>
      </c>
      <c r="B310" t="s">
        <v>25</v>
      </c>
      <c r="C310" s="1">
        <v>45343</v>
      </c>
      <c r="D310">
        <f t="shared" si="20"/>
        <v>21</v>
      </c>
      <c r="E310">
        <f t="shared" si="21"/>
        <v>2</v>
      </c>
      <c r="F310">
        <f t="shared" si="22"/>
        <v>2024</v>
      </c>
      <c r="G310" t="s">
        <v>84</v>
      </c>
      <c r="H310" s="98">
        <v>9854</v>
      </c>
      <c r="I310" s="29">
        <v>7901.9</v>
      </c>
      <c r="J310" s="12" t="s">
        <v>31</v>
      </c>
      <c r="K310" s="29">
        <f t="shared" si="19"/>
        <v>7901.9</v>
      </c>
      <c r="L310">
        <v>1</v>
      </c>
      <c r="M310" s="29">
        <v>0</v>
      </c>
      <c r="N310" t="s">
        <v>42</v>
      </c>
      <c r="O310" t="s">
        <v>33</v>
      </c>
      <c r="P310" t="s">
        <v>34</v>
      </c>
      <c r="Q310" t="s">
        <v>34</v>
      </c>
      <c r="R310" t="s">
        <v>34</v>
      </c>
      <c r="S310" t="s">
        <v>34</v>
      </c>
      <c r="T310" s="117">
        <v>0</v>
      </c>
    </row>
    <row r="311" spans="1:21" ht="14.5" customHeight="1" x14ac:dyDescent="0.35">
      <c r="A311" t="s">
        <v>20</v>
      </c>
      <c r="B311" t="s">
        <v>25</v>
      </c>
      <c r="C311" s="1">
        <v>45343</v>
      </c>
      <c r="D311">
        <f t="shared" si="20"/>
        <v>21</v>
      </c>
      <c r="E311">
        <f t="shared" si="21"/>
        <v>2</v>
      </c>
      <c r="F311">
        <f t="shared" si="22"/>
        <v>2024</v>
      </c>
      <c r="G311" t="s">
        <v>84</v>
      </c>
      <c r="H311" s="98">
        <v>9944</v>
      </c>
      <c r="I311" s="29">
        <v>35597.599999999999</v>
      </c>
      <c r="J311" s="12" t="s">
        <v>31</v>
      </c>
      <c r="K311" s="29">
        <f t="shared" si="19"/>
        <v>35597.599999999999</v>
      </c>
      <c r="L311">
        <v>1</v>
      </c>
      <c r="M311" s="29">
        <v>0</v>
      </c>
      <c r="N311" t="s">
        <v>32</v>
      </c>
      <c r="O311" t="s">
        <v>33</v>
      </c>
      <c r="P311" t="s">
        <v>34</v>
      </c>
      <c r="Q311" t="s">
        <v>34</v>
      </c>
      <c r="R311" t="s">
        <v>34</v>
      </c>
      <c r="S311" t="s">
        <v>34</v>
      </c>
      <c r="T311" s="117">
        <v>0</v>
      </c>
    </row>
    <row r="312" spans="1:21" ht="14.5" customHeight="1" x14ac:dyDescent="0.35">
      <c r="A312" t="s">
        <v>20</v>
      </c>
      <c r="B312" t="s">
        <v>24</v>
      </c>
      <c r="C312" s="1">
        <v>45343</v>
      </c>
      <c r="D312">
        <f t="shared" si="20"/>
        <v>21</v>
      </c>
      <c r="E312">
        <f t="shared" si="21"/>
        <v>2</v>
      </c>
      <c r="F312">
        <f t="shared" si="22"/>
        <v>2024</v>
      </c>
      <c r="G312" t="s">
        <v>50</v>
      </c>
      <c r="H312" s="98">
        <v>9802</v>
      </c>
      <c r="I312" s="29">
        <v>22286.5</v>
      </c>
      <c r="J312" s="12" t="s">
        <v>31</v>
      </c>
      <c r="K312" s="29">
        <f t="shared" si="19"/>
        <v>22286.5</v>
      </c>
      <c r="L312">
        <v>1</v>
      </c>
      <c r="M312" s="29">
        <v>0</v>
      </c>
      <c r="N312" t="s">
        <v>32</v>
      </c>
      <c r="O312" t="s">
        <v>33</v>
      </c>
      <c r="P312" t="s">
        <v>34</v>
      </c>
      <c r="Q312" t="s">
        <v>34</v>
      </c>
      <c r="R312" t="s">
        <v>34</v>
      </c>
      <c r="S312" t="s">
        <v>34</v>
      </c>
      <c r="T312" s="117">
        <v>0</v>
      </c>
    </row>
    <row r="313" spans="1:21" ht="14.5" customHeight="1" x14ac:dyDescent="0.35">
      <c r="A313" t="s">
        <v>20</v>
      </c>
      <c r="B313" t="s">
        <v>25</v>
      </c>
      <c r="C313" s="1">
        <v>45343</v>
      </c>
      <c r="D313">
        <f t="shared" si="20"/>
        <v>21</v>
      </c>
      <c r="E313">
        <f t="shared" si="21"/>
        <v>2</v>
      </c>
      <c r="F313">
        <f t="shared" si="22"/>
        <v>2024</v>
      </c>
      <c r="G313" t="s">
        <v>50</v>
      </c>
      <c r="H313" s="98">
        <v>10046</v>
      </c>
      <c r="I313" s="29">
        <v>10602.54</v>
      </c>
      <c r="J313" s="12" t="s">
        <v>31</v>
      </c>
      <c r="K313" s="29">
        <f t="shared" si="19"/>
        <v>10602.54</v>
      </c>
      <c r="L313">
        <v>1</v>
      </c>
      <c r="M313" s="29">
        <v>0</v>
      </c>
      <c r="N313" t="s">
        <v>32</v>
      </c>
      <c r="O313" t="s">
        <v>33</v>
      </c>
      <c r="P313" t="s">
        <v>34</v>
      </c>
      <c r="Q313" t="s">
        <v>34</v>
      </c>
      <c r="R313" t="s">
        <v>34</v>
      </c>
      <c r="S313" t="s">
        <v>34</v>
      </c>
      <c r="T313" s="117">
        <v>0</v>
      </c>
    </row>
    <row r="314" spans="1:21" ht="14.5" customHeight="1" x14ac:dyDescent="0.35">
      <c r="A314" t="s">
        <v>20</v>
      </c>
      <c r="B314" t="s">
        <v>24</v>
      </c>
      <c r="C314" s="1">
        <v>45343</v>
      </c>
      <c r="D314">
        <f t="shared" si="20"/>
        <v>21</v>
      </c>
      <c r="E314">
        <f t="shared" si="21"/>
        <v>2</v>
      </c>
      <c r="F314">
        <f t="shared" si="22"/>
        <v>2024</v>
      </c>
      <c r="G314" t="s">
        <v>86</v>
      </c>
      <c r="H314" s="98">
        <v>9781</v>
      </c>
      <c r="I314" s="29">
        <v>80</v>
      </c>
      <c r="J314" s="12" t="s">
        <v>31</v>
      </c>
      <c r="K314" s="29">
        <f t="shared" si="19"/>
        <v>80</v>
      </c>
      <c r="L314">
        <v>1</v>
      </c>
      <c r="M314" s="29">
        <v>0</v>
      </c>
      <c r="N314" t="s">
        <v>32</v>
      </c>
      <c r="O314" t="s">
        <v>33</v>
      </c>
      <c r="P314" t="s">
        <v>34</v>
      </c>
      <c r="Q314" t="s">
        <v>34</v>
      </c>
      <c r="R314" t="s">
        <v>34</v>
      </c>
      <c r="S314" t="s">
        <v>34</v>
      </c>
      <c r="T314" s="117">
        <v>0</v>
      </c>
    </row>
    <row r="315" spans="1:21" ht="14.5" customHeight="1" x14ac:dyDescent="0.35">
      <c r="A315" t="s">
        <v>20</v>
      </c>
      <c r="B315" t="s">
        <v>23</v>
      </c>
      <c r="C315" s="1">
        <v>45343</v>
      </c>
      <c r="D315">
        <f t="shared" si="20"/>
        <v>21</v>
      </c>
      <c r="E315">
        <f t="shared" si="21"/>
        <v>2</v>
      </c>
      <c r="F315">
        <f t="shared" si="22"/>
        <v>2024</v>
      </c>
      <c r="G315" t="s">
        <v>86</v>
      </c>
      <c r="H315" s="98">
        <v>9847</v>
      </c>
      <c r="I315" s="29">
        <v>27</v>
      </c>
      <c r="J315" s="12" t="s">
        <v>31</v>
      </c>
      <c r="K315" s="29">
        <f t="shared" si="19"/>
        <v>27</v>
      </c>
      <c r="L315">
        <v>1</v>
      </c>
      <c r="M315" s="29">
        <v>0</v>
      </c>
      <c r="N315" t="s">
        <v>32</v>
      </c>
      <c r="O315" t="s">
        <v>33</v>
      </c>
      <c r="P315" t="s">
        <v>34</v>
      </c>
      <c r="Q315" t="s">
        <v>34</v>
      </c>
      <c r="R315" t="s">
        <v>34</v>
      </c>
      <c r="S315" t="s">
        <v>34</v>
      </c>
      <c r="T315" s="117">
        <v>0</v>
      </c>
    </row>
    <row r="316" spans="1:21" ht="14.5" customHeight="1" x14ac:dyDescent="0.35">
      <c r="A316" t="s">
        <v>20</v>
      </c>
      <c r="B316" t="s">
        <v>23</v>
      </c>
      <c r="C316" s="1">
        <v>45343</v>
      </c>
      <c r="D316">
        <f t="shared" si="20"/>
        <v>21</v>
      </c>
      <c r="E316">
        <f t="shared" si="21"/>
        <v>2</v>
      </c>
      <c r="F316">
        <f t="shared" si="22"/>
        <v>2024</v>
      </c>
      <c r="G316" t="s">
        <v>104</v>
      </c>
      <c r="H316" s="98">
        <v>10113</v>
      </c>
      <c r="I316" s="29">
        <v>25</v>
      </c>
      <c r="J316" s="12" t="s">
        <v>31</v>
      </c>
      <c r="K316" s="29">
        <f t="shared" si="19"/>
        <v>25</v>
      </c>
      <c r="L316">
        <v>1</v>
      </c>
      <c r="M316" s="29">
        <v>0</v>
      </c>
      <c r="N316" t="s">
        <v>42</v>
      </c>
      <c r="O316" t="s">
        <v>33</v>
      </c>
      <c r="P316" t="s">
        <v>34</v>
      </c>
      <c r="Q316" t="s">
        <v>34</v>
      </c>
      <c r="R316" t="s">
        <v>34</v>
      </c>
      <c r="S316" t="s">
        <v>34</v>
      </c>
      <c r="T316" s="117">
        <v>0</v>
      </c>
    </row>
    <row r="317" spans="1:21" ht="14.5" customHeight="1" x14ac:dyDescent="0.35">
      <c r="A317" t="s">
        <v>20</v>
      </c>
      <c r="B317" t="s">
        <v>23</v>
      </c>
      <c r="C317" s="1">
        <v>45343</v>
      </c>
      <c r="D317">
        <f t="shared" si="20"/>
        <v>21</v>
      </c>
      <c r="E317">
        <f t="shared" si="21"/>
        <v>2</v>
      </c>
      <c r="F317">
        <f t="shared" si="22"/>
        <v>2024</v>
      </c>
      <c r="G317" t="s">
        <v>104</v>
      </c>
      <c r="H317" s="98">
        <v>10114</v>
      </c>
      <c r="I317" s="29">
        <v>975</v>
      </c>
      <c r="J317" s="12" t="s">
        <v>31</v>
      </c>
      <c r="K317" s="29">
        <f t="shared" si="19"/>
        <v>975</v>
      </c>
      <c r="L317">
        <v>1</v>
      </c>
      <c r="M317" s="29">
        <v>0</v>
      </c>
      <c r="N317" t="s">
        <v>42</v>
      </c>
      <c r="O317" t="s">
        <v>33</v>
      </c>
      <c r="P317" t="s">
        <v>34</v>
      </c>
      <c r="Q317" t="s">
        <v>34</v>
      </c>
      <c r="R317" t="s">
        <v>34</v>
      </c>
      <c r="S317" t="s">
        <v>34</v>
      </c>
      <c r="T317" s="117">
        <v>0</v>
      </c>
    </row>
    <row r="318" spans="1:21" ht="14.5" customHeight="1" x14ac:dyDescent="0.35">
      <c r="A318" t="s">
        <v>20</v>
      </c>
      <c r="B318" t="s">
        <v>23</v>
      </c>
      <c r="C318" s="1">
        <v>45343</v>
      </c>
      <c r="D318">
        <f t="shared" si="20"/>
        <v>21</v>
      </c>
      <c r="E318">
        <f t="shared" si="21"/>
        <v>2</v>
      </c>
      <c r="F318">
        <f t="shared" si="22"/>
        <v>2024</v>
      </c>
      <c r="G318" t="s">
        <v>89</v>
      </c>
      <c r="H318" s="98">
        <v>10119</v>
      </c>
      <c r="I318" s="29">
        <v>60</v>
      </c>
      <c r="J318" s="12" t="s">
        <v>31</v>
      </c>
      <c r="K318" s="29">
        <f t="shared" si="19"/>
        <v>60</v>
      </c>
      <c r="L318">
        <v>1</v>
      </c>
      <c r="M318" s="29">
        <v>0</v>
      </c>
      <c r="N318" t="s">
        <v>42</v>
      </c>
      <c r="O318" t="s">
        <v>33</v>
      </c>
      <c r="P318" t="s">
        <v>34</v>
      </c>
      <c r="Q318" t="s">
        <v>34</v>
      </c>
      <c r="R318" t="s">
        <v>34</v>
      </c>
      <c r="S318" t="s">
        <v>34</v>
      </c>
      <c r="T318" s="117">
        <v>0</v>
      </c>
      <c r="U318" s="209" t="s">
        <v>234</v>
      </c>
    </row>
    <row r="319" spans="1:21" ht="14.5" customHeight="1" x14ac:dyDescent="0.35">
      <c r="A319" t="s">
        <v>20</v>
      </c>
      <c r="B319" t="s">
        <v>23</v>
      </c>
      <c r="C319" s="1">
        <v>45343</v>
      </c>
      <c r="D319">
        <f t="shared" si="20"/>
        <v>21</v>
      </c>
      <c r="E319">
        <f t="shared" si="21"/>
        <v>2</v>
      </c>
      <c r="F319">
        <f t="shared" si="22"/>
        <v>2024</v>
      </c>
      <c r="G319" t="s">
        <v>89</v>
      </c>
      <c r="H319" s="98">
        <v>10268</v>
      </c>
      <c r="I319" s="29">
        <v>2242.5</v>
      </c>
      <c r="J319" s="12" t="s">
        <v>31</v>
      </c>
      <c r="K319" s="29">
        <f t="shared" si="19"/>
        <v>2242.5</v>
      </c>
      <c r="L319">
        <v>1</v>
      </c>
      <c r="M319" s="29">
        <v>0</v>
      </c>
      <c r="N319" t="s">
        <v>42</v>
      </c>
      <c r="O319" t="s">
        <v>33</v>
      </c>
      <c r="P319" t="s">
        <v>34</v>
      </c>
      <c r="Q319" t="s">
        <v>34</v>
      </c>
      <c r="R319" t="s">
        <v>34</v>
      </c>
      <c r="S319" t="s">
        <v>34</v>
      </c>
      <c r="T319" s="117">
        <v>0</v>
      </c>
      <c r="U319" s="209" t="s">
        <v>248</v>
      </c>
    </row>
    <row r="320" spans="1:21" ht="14.5" customHeight="1" x14ac:dyDescent="0.35">
      <c r="A320" t="s">
        <v>20</v>
      </c>
      <c r="B320" t="s">
        <v>23</v>
      </c>
      <c r="C320" s="1">
        <v>45343</v>
      </c>
      <c r="D320">
        <f t="shared" si="20"/>
        <v>21</v>
      </c>
      <c r="E320">
        <f t="shared" si="21"/>
        <v>2</v>
      </c>
      <c r="F320">
        <f t="shared" si="22"/>
        <v>2024</v>
      </c>
      <c r="G320" t="s">
        <v>89</v>
      </c>
      <c r="H320" s="98">
        <v>10119</v>
      </c>
      <c r="I320" s="29">
        <v>24.5</v>
      </c>
      <c r="J320" s="12" t="s">
        <v>31</v>
      </c>
      <c r="K320" s="29">
        <f t="shared" si="19"/>
        <v>24.5</v>
      </c>
      <c r="L320">
        <v>1</v>
      </c>
      <c r="M320" s="29">
        <v>0</v>
      </c>
      <c r="N320" t="s">
        <v>42</v>
      </c>
      <c r="O320" t="s">
        <v>33</v>
      </c>
      <c r="P320" t="s">
        <v>34</v>
      </c>
      <c r="Q320" t="s">
        <v>34</v>
      </c>
      <c r="R320" t="s">
        <v>34</v>
      </c>
      <c r="S320" t="s">
        <v>34</v>
      </c>
      <c r="T320" s="117">
        <v>0</v>
      </c>
    </row>
    <row r="321" spans="1:21" ht="14.5" customHeight="1" x14ac:dyDescent="0.35">
      <c r="A321" t="s">
        <v>20</v>
      </c>
      <c r="B321" t="s">
        <v>23</v>
      </c>
      <c r="C321" s="1">
        <v>45343</v>
      </c>
      <c r="D321">
        <f t="shared" si="20"/>
        <v>21</v>
      </c>
      <c r="E321">
        <f t="shared" si="21"/>
        <v>2</v>
      </c>
      <c r="F321">
        <f t="shared" si="22"/>
        <v>2024</v>
      </c>
      <c r="G321" t="s">
        <v>89</v>
      </c>
      <c r="H321" s="98">
        <v>10268</v>
      </c>
      <c r="I321" s="29">
        <v>2094.75</v>
      </c>
      <c r="J321" s="12" t="s">
        <v>31</v>
      </c>
      <c r="K321" s="29">
        <f t="shared" ref="K321:K384" si="23">IF(J321="USD",I321,I321*L321)</f>
        <v>2094.75</v>
      </c>
      <c r="L321">
        <v>1</v>
      </c>
      <c r="M321" s="29">
        <v>0</v>
      </c>
      <c r="N321" t="s">
        <v>42</v>
      </c>
      <c r="O321" t="s">
        <v>33</v>
      </c>
      <c r="P321" t="s">
        <v>34</v>
      </c>
      <c r="Q321" t="s">
        <v>34</v>
      </c>
      <c r="R321" t="s">
        <v>34</v>
      </c>
      <c r="S321" t="s">
        <v>34</v>
      </c>
      <c r="T321" s="117">
        <v>0</v>
      </c>
      <c r="U321" s="209" t="s">
        <v>249</v>
      </c>
    </row>
    <row r="322" spans="1:21" ht="14.5" customHeight="1" x14ac:dyDescent="0.35">
      <c r="A322" t="s">
        <v>20</v>
      </c>
      <c r="B322" t="s">
        <v>23</v>
      </c>
      <c r="C322" s="1">
        <v>45343</v>
      </c>
      <c r="D322">
        <f t="shared" ref="D322:D385" si="24">DAY(C322)</f>
        <v>21</v>
      </c>
      <c r="E322">
        <f t="shared" ref="E322:E385" si="25">MONTH(C322)</f>
        <v>2</v>
      </c>
      <c r="F322">
        <f t="shared" ref="F322:F385" si="26">YEAR(C322)</f>
        <v>2024</v>
      </c>
      <c r="G322" t="s">
        <v>46</v>
      </c>
      <c r="H322" s="98">
        <v>10115</v>
      </c>
      <c r="I322" s="29">
        <v>50.2</v>
      </c>
      <c r="J322" s="12" t="s">
        <v>31</v>
      </c>
      <c r="K322" s="29">
        <f t="shared" si="23"/>
        <v>50.2</v>
      </c>
      <c r="L322">
        <v>1</v>
      </c>
      <c r="M322" s="29">
        <v>0</v>
      </c>
      <c r="N322" t="s">
        <v>42</v>
      </c>
      <c r="O322" t="s">
        <v>33</v>
      </c>
      <c r="P322" t="s">
        <v>34</v>
      </c>
      <c r="Q322" t="s">
        <v>34</v>
      </c>
      <c r="R322" t="s">
        <v>34</v>
      </c>
      <c r="S322" t="s">
        <v>34</v>
      </c>
      <c r="T322" s="117">
        <v>0</v>
      </c>
    </row>
    <row r="323" spans="1:21" ht="14.5" customHeight="1" x14ac:dyDescent="0.35">
      <c r="A323" t="s">
        <v>20</v>
      </c>
      <c r="B323" t="s">
        <v>23</v>
      </c>
      <c r="C323" s="1">
        <v>45343</v>
      </c>
      <c r="D323">
        <f t="shared" si="24"/>
        <v>21</v>
      </c>
      <c r="E323">
        <f t="shared" si="25"/>
        <v>2</v>
      </c>
      <c r="F323">
        <f t="shared" si="26"/>
        <v>2024</v>
      </c>
      <c r="G323" t="s">
        <v>46</v>
      </c>
      <c r="H323" s="98">
        <v>10118</v>
      </c>
      <c r="I323" s="29">
        <v>2787.6</v>
      </c>
      <c r="J323" s="12" t="s">
        <v>31</v>
      </c>
      <c r="K323" s="29">
        <f t="shared" si="23"/>
        <v>2787.6</v>
      </c>
      <c r="L323">
        <v>1</v>
      </c>
      <c r="M323" s="29">
        <v>0</v>
      </c>
      <c r="N323" t="s">
        <v>42</v>
      </c>
      <c r="O323" t="s">
        <v>33</v>
      </c>
      <c r="P323" t="s">
        <v>34</v>
      </c>
      <c r="Q323" t="s">
        <v>34</v>
      </c>
      <c r="R323" t="s">
        <v>34</v>
      </c>
      <c r="S323" t="s">
        <v>34</v>
      </c>
      <c r="T323" s="117">
        <v>0</v>
      </c>
      <c r="U323" s="209" t="s">
        <v>220</v>
      </c>
    </row>
    <row r="324" spans="1:21" ht="14.5" customHeight="1" x14ac:dyDescent="0.35">
      <c r="A324" t="s">
        <v>20</v>
      </c>
      <c r="B324" t="s">
        <v>23</v>
      </c>
      <c r="C324" s="1">
        <v>45343</v>
      </c>
      <c r="D324">
        <f t="shared" si="24"/>
        <v>21</v>
      </c>
      <c r="E324">
        <f t="shared" si="25"/>
        <v>2</v>
      </c>
      <c r="F324">
        <f t="shared" si="26"/>
        <v>2024</v>
      </c>
      <c r="G324" t="s">
        <v>46</v>
      </c>
      <c r="H324" s="98">
        <v>10117</v>
      </c>
      <c r="I324" s="29">
        <v>24.5</v>
      </c>
      <c r="J324" s="12" t="s">
        <v>31</v>
      </c>
      <c r="K324" s="29">
        <f t="shared" si="23"/>
        <v>24.5</v>
      </c>
      <c r="L324">
        <v>1</v>
      </c>
      <c r="M324" s="29">
        <v>0</v>
      </c>
      <c r="N324" t="s">
        <v>42</v>
      </c>
      <c r="O324" t="s">
        <v>33</v>
      </c>
      <c r="P324" t="s">
        <v>34</v>
      </c>
      <c r="Q324" t="s">
        <v>34</v>
      </c>
      <c r="R324" t="s">
        <v>34</v>
      </c>
      <c r="S324" t="s">
        <v>34</v>
      </c>
      <c r="T324" s="117">
        <v>0</v>
      </c>
    </row>
    <row r="325" spans="1:21" ht="14.5" customHeight="1" x14ac:dyDescent="0.35">
      <c r="A325" t="s">
        <v>20</v>
      </c>
      <c r="B325" t="s">
        <v>23</v>
      </c>
      <c r="C325" s="1">
        <v>45343</v>
      </c>
      <c r="D325">
        <f t="shared" si="24"/>
        <v>21</v>
      </c>
      <c r="E325">
        <f t="shared" si="25"/>
        <v>2</v>
      </c>
      <c r="F325">
        <f t="shared" si="26"/>
        <v>2024</v>
      </c>
      <c r="G325" t="s">
        <v>46</v>
      </c>
      <c r="H325" s="98">
        <v>10118</v>
      </c>
      <c r="I325" s="29">
        <v>1029</v>
      </c>
      <c r="J325" s="12" t="s">
        <v>31</v>
      </c>
      <c r="K325" s="29">
        <f t="shared" si="23"/>
        <v>1029</v>
      </c>
      <c r="L325">
        <v>1</v>
      </c>
      <c r="M325" s="29">
        <v>0</v>
      </c>
      <c r="N325" t="s">
        <v>42</v>
      </c>
      <c r="O325" t="s">
        <v>33</v>
      </c>
      <c r="P325" t="s">
        <v>34</v>
      </c>
      <c r="Q325" t="s">
        <v>34</v>
      </c>
      <c r="R325" t="s">
        <v>34</v>
      </c>
      <c r="S325" t="s">
        <v>34</v>
      </c>
      <c r="T325" s="117">
        <v>0</v>
      </c>
    </row>
    <row r="326" spans="1:21" ht="14.5" customHeight="1" x14ac:dyDescent="0.35">
      <c r="A326" t="s">
        <v>19</v>
      </c>
      <c r="B326" t="s">
        <v>26</v>
      </c>
      <c r="C326" s="1">
        <v>45344</v>
      </c>
      <c r="D326">
        <f t="shared" si="24"/>
        <v>22</v>
      </c>
      <c r="E326">
        <f t="shared" si="25"/>
        <v>2</v>
      </c>
      <c r="F326">
        <f t="shared" si="26"/>
        <v>2024</v>
      </c>
      <c r="G326" t="s">
        <v>73</v>
      </c>
      <c r="H326" s="98">
        <v>9971</v>
      </c>
      <c r="I326" s="29">
        <v>45533</v>
      </c>
      <c r="J326" s="12" t="s">
        <v>51</v>
      </c>
      <c r="K326" s="29">
        <f t="shared" si="23"/>
        <v>49375.985200000003</v>
      </c>
      <c r="L326">
        <v>1.0844</v>
      </c>
      <c r="M326" s="29">
        <v>0</v>
      </c>
      <c r="N326" t="s">
        <v>32</v>
      </c>
      <c r="O326" t="s">
        <v>33</v>
      </c>
      <c r="P326" t="s">
        <v>34</v>
      </c>
      <c r="Q326" t="s">
        <v>34</v>
      </c>
      <c r="R326" t="s">
        <v>34</v>
      </c>
      <c r="S326" t="s">
        <v>34</v>
      </c>
      <c r="T326" s="117">
        <v>0</v>
      </c>
      <c r="U326" s="209" t="s">
        <v>94</v>
      </c>
    </row>
    <row r="327" spans="1:21" ht="14.5" customHeight="1" x14ac:dyDescent="0.35">
      <c r="A327" t="s">
        <v>19</v>
      </c>
      <c r="B327" t="s">
        <v>26</v>
      </c>
      <c r="C327" s="1">
        <v>45344</v>
      </c>
      <c r="D327">
        <f t="shared" si="24"/>
        <v>22</v>
      </c>
      <c r="E327">
        <f t="shared" si="25"/>
        <v>2</v>
      </c>
      <c r="F327">
        <f t="shared" si="26"/>
        <v>2024</v>
      </c>
      <c r="G327" t="s">
        <v>73</v>
      </c>
      <c r="H327" s="98">
        <v>9693</v>
      </c>
      <c r="I327" s="29">
        <v>58634.78</v>
      </c>
      <c r="J327" s="12" t="s">
        <v>51</v>
      </c>
      <c r="K327" s="29">
        <f t="shared" si="23"/>
        <v>63583.555432000001</v>
      </c>
      <c r="L327">
        <v>1.0844</v>
      </c>
      <c r="M327" s="29">
        <v>0</v>
      </c>
      <c r="N327" t="s">
        <v>32</v>
      </c>
      <c r="O327" t="s">
        <v>33</v>
      </c>
      <c r="P327" t="s">
        <v>34</v>
      </c>
      <c r="Q327" t="s">
        <v>34</v>
      </c>
      <c r="R327" t="s">
        <v>34</v>
      </c>
      <c r="S327" t="s">
        <v>34</v>
      </c>
      <c r="T327" s="117">
        <v>0</v>
      </c>
      <c r="U327" s="209" t="s">
        <v>94</v>
      </c>
    </row>
    <row r="328" spans="1:21" ht="14.5" customHeight="1" x14ac:dyDescent="0.35">
      <c r="A328" t="s">
        <v>19</v>
      </c>
      <c r="B328" t="s">
        <v>26</v>
      </c>
      <c r="C328" s="1">
        <v>45344</v>
      </c>
      <c r="D328">
        <f t="shared" si="24"/>
        <v>22</v>
      </c>
      <c r="E328">
        <f t="shared" si="25"/>
        <v>2</v>
      </c>
      <c r="F328">
        <f t="shared" si="26"/>
        <v>2024</v>
      </c>
      <c r="G328" t="s">
        <v>73</v>
      </c>
      <c r="H328" s="98">
        <v>10029</v>
      </c>
      <c r="I328" s="29">
        <v>14579.36</v>
      </c>
      <c r="J328" s="12" t="s">
        <v>51</v>
      </c>
      <c r="K328" s="29">
        <f t="shared" si="23"/>
        <v>15809.857984</v>
      </c>
      <c r="L328">
        <v>1.0844</v>
      </c>
      <c r="M328" s="29">
        <v>0</v>
      </c>
      <c r="N328" t="s">
        <v>32</v>
      </c>
      <c r="O328" t="s">
        <v>33</v>
      </c>
      <c r="P328" t="s">
        <v>34</v>
      </c>
      <c r="Q328" t="s">
        <v>34</v>
      </c>
      <c r="R328" t="s">
        <v>34</v>
      </c>
      <c r="S328" t="s">
        <v>34</v>
      </c>
      <c r="T328" s="117">
        <v>0</v>
      </c>
      <c r="U328" s="209" t="s">
        <v>94</v>
      </c>
    </row>
    <row r="329" spans="1:21" ht="14.5" customHeight="1" x14ac:dyDescent="0.35">
      <c r="A329" t="s">
        <v>19</v>
      </c>
      <c r="B329" t="s">
        <v>27</v>
      </c>
      <c r="C329" s="1">
        <v>45349</v>
      </c>
      <c r="D329">
        <f t="shared" si="24"/>
        <v>27</v>
      </c>
      <c r="E329">
        <f t="shared" si="25"/>
        <v>2</v>
      </c>
      <c r="F329">
        <f t="shared" si="26"/>
        <v>2024</v>
      </c>
      <c r="G329" t="s">
        <v>105</v>
      </c>
      <c r="H329" s="98">
        <v>10122</v>
      </c>
      <c r="I329" s="29">
        <v>344124.1</v>
      </c>
      <c r="J329" s="12" t="s">
        <v>31</v>
      </c>
      <c r="K329" s="29">
        <f t="shared" si="23"/>
        <v>344124.1</v>
      </c>
      <c r="L329">
        <v>1</v>
      </c>
      <c r="M329" s="29">
        <v>0</v>
      </c>
      <c r="N329" t="s">
        <v>32</v>
      </c>
      <c r="O329" t="s">
        <v>33</v>
      </c>
      <c r="P329" t="s">
        <v>34</v>
      </c>
      <c r="Q329" t="s">
        <v>34</v>
      </c>
      <c r="R329" t="s">
        <v>34</v>
      </c>
      <c r="S329" t="s">
        <v>34</v>
      </c>
      <c r="T329" s="117">
        <v>0</v>
      </c>
    </row>
    <row r="330" spans="1:21" ht="14.5" customHeight="1" x14ac:dyDescent="0.35">
      <c r="A330" t="s">
        <v>19</v>
      </c>
      <c r="B330" t="s">
        <v>21</v>
      </c>
      <c r="C330" s="1">
        <v>45350</v>
      </c>
      <c r="D330">
        <f t="shared" si="24"/>
        <v>28</v>
      </c>
      <c r="E330">
        <f t="shared" si="25"/>
        <v>2</v>
      </c>
      <c r="F330">
        <f t="shared" si="26"/>
        <v>2024</v>
      </c>
      <c r="G330" t="s">
        <v>36</v>
      </c>
      <c r="H330" s="98">
        <v>9574</v>
      </c>
      <c r="I330" s="29">
        <v>57290.5</v>
      </c>
      <c r="J330" s="12" t="s">
        <v>31</v>
      </c>
      <c r="K330" s="29">
        <f t="shared" si="23"/>
        <v>57290.5</v>
      </c>
      <c r="L330">
        <v>1</v>
      </c>
      <c r="M330" s="29">
        <v>0</v>
      </c>
      <c r="N330" t="s">
        <v>32</v>
      </c>
      <c r="O330" t="s">
        <v>33</v>
      </c>
      <c r="P330" t="s">
        <v>34</v>
      </c>
      <c r="Q330" t="s">
        <v>34</v>
      </c>
      <c r="R330" t="s">
        <v>34</v>
      </c>
      <c r="S330" t="s">
        <v>34</v>
      </c>
      <c r="T330" s="117">
        <v>0</v>
      </c>
    </row>
    <row r="331" spans="1:21" ht="14.5" customHeight="1" x14ac:dyDescent="0.35">
      <c r="A331" t="s">
        <v>19</v>
      </c>
      <c r="B331" t="s">
        <v>25</v>
      </c>
      <c r="C331" s="1">
        <v>45350</v>
      </c>
      <c r="D331">
        <f t="shared" si="24"/>
        <v>28</v>
      </c>
      <c r="E331">
        <f t="shared" si="25"/>
        <v>2</v>
      </c>
      <c r="F331">
        <f t="shared" si="26"/>
        <v>2024</v>
      </c>
      <c r="G331" t="s">
        <v>36</v>
      </c>
      <c r="H331" s="98">
        <v>10121</v>
      </c>
      <c r="I331" s="29">
        <v>275.94</v>
      </c>
      <c r="J331" s="12" t="s">
        <v>31</v>
      </c>
      <c r="K331" s="29">
        <f t="shared" si="23"/>
        <v>275.94</v>
      </c>
      <c r="L331">
        <v>1</v>
      </c>
      <c r="M331" s="29">
        <v>0</v>
      </c>
      <c r="N331" t="s">
        <v>32</v>
      </c>
      <c r="O331" t="s">
        <v>33</v>
      </c>
      <c r="P331" t="s">
        <v>34</v>
      </c>
      <c r="Q331" t="s">
        <v>34</v>
      </c>
      <c r="R331" t="s">
        <v>34</v>
      </c>
      <c r="S331" t="s">
        <v>34</v>
      </c>
      <c r="T331" s="117">
        <v>0</v>
      </c>
    </row>
    <row r="332" spans="1:21" ht="14.5" customHeight="1" x14ac:dyDescent="0.35">
      <c r="A332" t="s">
        <v>19</v>
      </c>
      <c r="B332" t="s">
        <v>24</v>
      </c>
      <c r="C332" s="1">
        <v>45350</v>
      </c>
      <c r="D332">
        <f t="shared" si="24"/>
        <v>28</v>
      </c>
      <c r="E332">
        <f t="shared" si="25"/>
        <v>2</v>
      </c>
      <c r="F332">
        <f t="shared" si="26"/>
        <v>2024</v>
      </c>
      <c r="G332" t="s">
        <v>29</v>
      </c>
      <c r="H332" s="98">
        <v>9664</v>
      </c>
      <c r="I332" s="29">
        <v>40589.379999999997</v>
      </c>
      <c r="J332" s="12" t="s">
        <v>31</v>
      </c>
      <c r="K332" s="29">
        <f t="shared" si="23"/>
        <v>40589.379999999997</v>
      </c>
      <c r="L332">
        <v>1</v>
      </c>
      <c r="M332" s="29">
        <v>0</v>
      </c>
      <c r="N332" t="s">
        <v>32</v>
      </c>
      <c r="O332" t="s">
        <v>33</v>
      </c>
      <c r="P332" t="s">
        <v>34</v>
      </c>
      <c r="Q332" t="s">
        <v>34</v>
      </c>
      <c r="R332" t="s">
        <v>34</v>
      </c>
      <c r="S332" t="s">
        <v>34</v>
      </c>
      <c r="T332" s="117">
        <v>0</v>
      </c>
    </row>
    <row r="333" spans="1:21" ht="14.5" customHeight="1" x14ac:dyDescent="0.35">
      <c r="A333" t="s">
        <v>19</v>
      </c>
      <c r="B333" t="s">
        <v>25</v>
      </c>
      <c r="C333" s="1">
        <v>45350</v>
      </c>
      <c r="D333">
        <f t="shared" si="24"/>
        <v>28</v>
      </c>
      <c r="E333">
        <f t="shared" si="25"/>
        <v>2</v>
      </c>
      <c r="F333">
        <f t="shared" si="26"/>
        <v>2024</v>
      </c>
      <c r="G333" t="s">
        <v>39</v>
      </c>
      <c r="H333" s="98">
        <v>9951</v>
      </c>
      <c r="I333" s="29">
        <v>20366</v>
      </c>
      <c r="J333" s="12" t="s">
        <v>31</v>
      </c>
      <c r="K333" s="29">
        <f t="shared" si="23"/>
        <v>20366</v>
      </c>
      <c r="L333">
        <v>1</v>
      </c>
      <c r="M333" s="29">
        <v>0</v>
      </c>
      <c r="N333" t="s">
        <v>32</v>
      </c>
      <c r="O333" t="s">
        <v>33</v>
      </c>
      <c r="P333" t="s">
        <v>34</v>
      </c>
      <c r="Q333" t="s">
        <v>34</v>
      </c>
      <c r="R333" t="s">
        <v>34</v>
      </c>
      <c r="S333" t="s">
        <v>34</v>
      </c>
      <c r="T333" s="117">
        <v>0</v>
      </c>
    </row>
    <row r="334" spans="1:21" ht="14.5" customHeight="1" x14ac:dyDescent="0.35">
      <c r="A334" t="s">
        <v>19</v>
      </c>
      <c r="B334" t="s">
        <v>25</v>
      </c>
      <c r="C334" s="1">
        <v>45350</v>
      </c>
      <c r="D334">
        <f t="shared" si="24"/>
        <v>28</v>
      </c>
      <c r="E334">
        <f t="shared" si="25"/>
        <v>2</v>
      </c>
      <c r="F334">
        <f t="shared" si="26"/>
        <v>2024</v>
      </c>
      <c r="G334" t="s">
        <v>93</v>
      </c>
      <c r="H334" s="171">
        <v>9451</v>
      </c>
      <c r="I334" s="90">
        <v>3012.75</v>
      </c>
      <c r="J334" s="12" t="s">
        <v>31</v>
      </c>
      <c r="K334" s="29">
        <f t="shared" si="23"/>
        <v>3012.75</v>
      </c>
      <c r="L334">
        <v>1</v>
      </c>
      <c r="M334" s="29">
        <v>0</v>
      </c>
      <c r="N334" t="s">
        <v>32</v>
      </c>
      <c r="O334" t="s">
        <v>33</v>
      </c>
      <c r="P334" t="s">
        <v>34</v>
      </c>
      <c r="Q334" t="s">
        <v>34</v>
      </c>
      <c r="R334" t="s">
        <v>34</v>
      </c>
      <c r="S334" t="s">
        <v>34</v>
      </c>
      <c r="T334" s="117">
        <v>0</v>
      </c>
    </row>
    <row r="335" spans="1:21" ht="14.5" customHeight="1" x14ac:dyDescent="0.35">
      <c r="A335" t="s">
        <v>19</v>
      </c>
      <c r="B335" t="s">
        <v>25</v>
      </c>
      <c r="C335" s="1">
        <v>45350</v>
      </c>
      <c r="D335">
        <f t="shared" si="24"/>
        <v>28</v>
      </c>
      <c r="E335">
        <f t="shared" si="25"/>
        <v>2</v>
      </c>
      <c r="F335">
        <f t="shared" si="26"/>
        <v>2024</v>
      </c>
      <c r="G335" t="s">
        <v>1146</v>
      </c>
      <c r="H335" s="98">
        <v>10180</v>
      </c>
      <c r="I335" s="29">
        <v>9775.81</v>
      </c>
      <c r="J335" s="12" t="s">
        <v>31</v>
      </c>
      <c r="K335" s="29">
        <f t="shared" si="23"/>
        <v>9775.81</v>
      </c>
      <c r="L335">
        <v>1</v>
      </c>
      <c r="M335" s="29">
        <v>0</v>
      </c>
      <c r="N335" t="s">
        <v>42</v>
      </c>
      <c r="O335" t="s">
        <v>33</v>
      </c>
      <c r="P335" t="s">
        <v>34</v>
      </c>
      <c r="Q335" t="s">
        <v>34</v>
      </c>
      <c r="R335" t="s">
        <v>34</v>
      </c>
      <c r="S335" t="s">
        <v>34</v>
      </c>
      <c r="T335" s="117">
        <v>0</v>
      </c>
    </row>
    <row r="336" spans="1:21" ht="14.5" customHeight="1" x14ac:dyDescent="0.35">
      <c r="A336" t="s">
        <v>19</v>
      </c>
      <c r="B336" t="s">
        <v>27</v>
      </c>
      <c r="C336" s="1">
        <v>45350</v>
      </c>
      <c r="D336">
        <f t="shared" si="24"/>
        <v>28</v>
      </c>
      <c r="E336">
        <f t="shared" si="25"/>
        <v>2</v>
      </c>
      <c r="F336">
        <f t="shared" si="26"/>
        <v>2024</v>
      </c>
      <c r="G336" t="s">
        <v>100</v>
      </c>
      <c r="H336" s="98">
        <v>9804</v>
      </c>
      <c r="I336" s="29">
        <v>19424.23</v>
      </c>
      <c r="J336" s="12" t="s">
        <v>31</v>
      </c>
      <c r="K336" s="29">
        <f t="shared" si="23"/>
        <v>19424.23</v>
      </c>
      <c r="L336">
        <v>1</v>
      </c>
      <c r="M336" s="29">
        <v>0</v>
      </c>
      <c r="N336" t="s">
        <v>32</v>
      </c>
      <c r="O336" t="s">
        <v>33</v>
      </c>
      <c r="P336" t="s">
        <v>34</v>
      </c>
      <c r="Q336" t="s">
        <v>34</v>
      </c>
      <c r="R336" t="s">
        <v>34</v>
      </c>
      <c r="S336" t="s">
        <v>34</v>
      </c>
      <c r="T336" s="117">
        <v>0</v>
      </c>
      <c r="U336" s="209" t="s">
        <v>501</v>
      </c>
    </row>
    <row r="337" spans="1:20" ht="14.5" customHeight="1" x14ac:dyDescent="0.35">
      <c r="A337" t="s">
        <v>19</v>
      </c>
      <c r="B337" t="s">
        <v>19</v>
      </c>
      <c r="C337" s="1">
        <v>45350</v>
      </c>
      <c r="D337">
        <f t="shared" si="24"/>
        <v>28</v>
      </c>
      <c r="E337">
        <f t="shared" si="25"/>
        <v>2</v>
      </c>
      <c r="F337">
        <f t="shared" si="26"/>
        <v>2024</v>
      </c>
      <c r="G337" t="s">
        <v>55</v>
      </c>
      <c r="H337" s="98">
        <v>9995</v>
      </c>
      <c r="I337" s="29">
        <v>11631.47</v>
      </c>
      <c r="J337" s="12" t="s">
        <v>31</v>
      </c>
      <c r="K337" s="29">
        <f t="shared" si="23"/>
        <v>11631.47</v>
      </c>
      <c r="L337">
        <v>1</v>
      </c>
      <c r="M337" s="29">
        <v>0</v>
      </c>
      <c r="N337" t="s">
        <v>32</v>
      </c>
      <c r="O337" t="s">
        <v>33</v>
      </c>
      <c r="P337" t="s">
        <v>34</v>
      </c>
      <c r="Q337" t="s">
        <v>34</v>
      </c>
      <c r="R337" t="s">
        <v>34</v>
      </c>
      <c r="S337" t="s">
        <v>34</v>
      </c>
      <c r="T337" s="117">
        <v>0</v>
      </c>
    </row>
    <row r="338" spans="1:20" ht="14.5" customHeight="1" x14ac:dyDescent="0.35">
      <c r="A338" t="s">
        <v>19</v>
      </c>
      <c r="B338" t="s">
        <v>19</v>
      </c>
      <c r="C338" s="1">
        <v>45350</v>
      </c>
      <c r="D338">
        <f t="shared" si="24"/>
        <v>28</v>
      </c>
      <c r="E338">
        <f t="shared" si="25"/>
        <v>2</v>
      </c>
      <c r="F338">
        <f t="shared" si="26"/>
        <v>2024</v>
      </c>
      <c r="G338" t="s">
        <v>101</v>
      </c>
      <c r="H338" s="98">
        <v>9508</v>
      </c>
      <c r="I338" s="29">
        <v>37654.22</v>
      </c>
      <c r="J338" s="12" t="s">
        <v>31</v>
      </c>
      <c r="K338" s="29">
        <f t="shared" si="23"/>
        <v>37654.22</v>
      </c>
      <c r="L338">
        <v>1</v>
      </c>
      <c r="M338" s="29">
        <v>0</v>
      </c>
      <c r="N338" t="s">
        <v>32</v>
      </c>
      <c r="O338" t="s">
        <v>33</v>
      </c>
      <c r="P338" t="s">
        <v>34</v>
      </c>
      <c r="Q338" t="s">
        <v>34</v>
      </c>
      <c r="R338" t="s">
        <v>34</v>
      </c>
      <c r="S338" t="s">
        <v>34</v>
      </c>
      <c r="T338" s="117">
        <v>0</v>
      </c>
    </row>
    <row r="339" spans="1:20" ht="14.5" customHeight="1" x14ac:dyDescent="0.35">
      <c r="A339" t="s">
        <v>19</v>
      </c>
      <c r="B339" t="s">
        <v>19</v>
      </c>
      <c r="C339" s="1">
        <v>45350</v>
      </c>
      <c r="D339">
        <f t="shared" si="24"/>
        <v>28</v>
      </c>
      <c r="E339">
        <f t="shared" si="25"/>
        <v>2</v>
      </c>
      <c r="F339">
        <f t="shared" si="26"/>
        <v>2024</v>
      </c>
      <c r="G339" t="s">
        <v>56</v>
      </c>
      <c r="H339" s="98">
        <v>9577</v>
      </c>
      <c r="I339" s="29">
        <f>174645.08+5456.88</f>
        <v>180101.96</v>
      </c>
      <c r="J339" s="12" t="s">
        <v>31</v>
      </c>
      <c r="K339" s="29">
        <f t="shared" si="23"/>
        <v>180101.96</v>
      </c>
      <c r="L339">
        <v>1</v>
      </c>
      <c r="M339" s="29">
        <v>0</v>
      </c>
      <c r="N339" t="s">
        <v>32</v>
      </c>
      <c r="O339" t="s">
        <v>33</v>
      </c>
      <c r="P339" t="s">
        <v>34</v>
      </c>
      <c r="Q339" t="s">
        <v>34</v>
      </c>
      <c r="R339" t="s">
        <v>34</v>
      </c>
      <c r="S339" t="s">
        <v>34</v>
      </c>
      <c r="T339" s="117">
        <v>0</v>
      </c>
    </row>
    <row r="340" spans="1:20" ht="14.5" customHeight="1" x14ac:dyDescent="0.35">
      <c r="A340" t="s">
        <v>19</v>
      </c>
      <c r="B340" t="s">
        <v>19</v>
      </c>
      <c r="C340" s="1">
        <v>45350</v>
      </c>
      <c r="D340">
        <f t="shared" si="24"/>
        <v>28</v>
      </c>
      <c r="E340">
        <f t="shared" si="25"/>
        <v>2</v>
      </c>
      <c r="F340">
        <f t="shared" si="26"/>
        <v>2024</v>
      </c>
      <c r="G340" t="s">
        <v>56</v>
      </c>
      <c r="H340" s="98">
        <v>9591</v>
      </c>
      <c r="I340" s="29">
        <f>178513.18+2065.71</f>
        <v>180578.88999999998</v>
      </c>
      <c r="J340" s="12" t="s">
        <v>31</v>
      </c>
      <c r="K340" s="29">
        <f t="shared" si="23"/>
        <v>180578.88999999998</v>
      </c>
      <c r="L340">
        <v>1</v>
      </c>
      <c r="M340" s="29">
        <v>0</v>
      </c>
      <c r="N340" t="s">
        <v>32</v>
      </c>
      <c r="O340" t="s">
        <v>33</v>
      </c>
      <c r="P340" t="s">
        <v>34</v>
      </c>
      <c r="Q340" t="s">
        <v>34</v>
      </c>
      <c r="R340" t="s">
        <v>34</v>
      </c>
      <c r="S340" t="s">
        <v>34</v>
      </c>
      <c r="T340" s="117">
        <v>0</v>
      </c>
    </row>
    <row r="341" spans="1:20" ht="14.5" customHeight="1" x14ac:dyDescent="0.35">
      <c r="A341" t="s">
        <v>19</v>
      </c>
      <c r="B341" t="s">
        <v>19</v>
      </c>
      <c r="C341" s="1">
        <v>45350</v>
      </c>
      <c r="D341">
        <f t="shared" si="24"/>
        <v>28</v>
      </c>
      <c r="E341">
        <f t="shared" si="25"/>
        <v>2</v>
      </c>
      <c r="F341">
        <f t="shared" si="26"/>
        <v>2024</v>
      </c>
      <c r="G341" t="s">
        <v>106</v>
      </c>
      <c r="H341" s="98">
        <v>9626</v>
      </c>
      <c r="I341" s="29">
        <v>1211.1500000000001</v>
      </c>
      <c r="J341" s="12" t="s">
        <v>31</v>
      </c>
      <c r="K341" s="29">
        <f t="shared" si="23"/>
        <v>1211.1500000000001</v>
      </c>
      <c r="L341">
        <v>1</v>
      </c>
      <c r="M341" s="29">
        <v>0</v>
      </c>
      <c r="N341" t="s">
        <v>32</v>
      </c>
      <c r="O341" t="s">
        <v>33</v>
      </c>
      <c r="P341" t="s">
        <v>34</v>
      </c>
      <c r="Q341" t="s">
        <v>34</v>
      </c>
      <c r="R341" t="s">
        <v>34</v>
      </c>
      <c r="S341" t="s">
        <v>34</v>
      </c>
      <c r="T341" s="117">
        <v>0</v>
      </c>
    </row>
    <row r="342" spans="1:20" ht="14.5" customHeight="1" x14ac:dyDescent="0.35">
      <c r="A342" t="s">
        <v>19</v>
      </c>
      <c r="B342" t="s">
        <v>19</v>
      </c>
      <c r="C342" s="1">
        <v>45350</v>
      </c>
      <c r="D342">
        <f t="shared" si="24"/>
        <v>28</v>
      </c>
      <c r="E342">
        <f t="shared" si="25"/>
        <v>2</v>
      </c>
      <c r="F342">
        <f t="shared" si="26"/>
        <v>2024</v>
      </c>
      <c r="G342" t="s">
        <v>106</v>
      </c>
      <c r="H342" s="98">
        <v>9514</v>
      </c>
      <c r="I342" s="29">
        <v>92302.74</v>
      </c>
      <c r="J342" s="12" t="s">
        <v>31</v>
      </c>
      <c r="K342" s="29">
        <f t="shared" si="23"/>
        <v>92302.74</v>
      </c>
      <c r="L342">
        <v>1</v>
      </c>
      <c r="M342" s="29">
        <v>0</v>
      </c>
      <c r="N342" t="s">
        <v>32</v>
      </c>
      <c r="O342" t="s">
        <v>33</v>
      </c>
      <c r="P342" t="s">
        <v>34</v>
      </c>
      <c r="Q342" t="s">
        <v>34</v>
      </c>
      <c r="R342" t="s">
        <v>34</v>
      </c>
      <c r="S342" t="s">
        <v>34</v>
      </c>
      <c r="T342" s="117">
        <v>0</v>
      </c>
    </row>
    <row r="343" spans="1:20" ht="14.5" customHeight="1" x14ac:dyDescent="0.35">
      <c r="A343" t="s">
        <v>20</v>
      </c>
      <c r="B343" t="s">
        <v>24</v>
      </c>
      <c r="C343" s="1">
        <v>45350</v>
      </c>
      <c r="D343">
        <f t="shared" si="24"/>
        <v>28</v>
      </c>
      <c r="E343">
        <f t="shared" si="25"/>
        <v>2</v>
      </c>
      <c r="F343">
        <f t="shared" si="26"/>
        <v>2024</v>
      </c>
      <c r="G343" t="s">
        <v>88</v>
      </c>
      <c r="H343" s="98">
        <v>9152</v>
      </c>
      <c r="I343" s="29">
        <v>532.5</v>
      </c>
      <c r="J343" s="12" t="s">
        <v>31</v>
      </c>
      <c r="K343" s="29">
        <f t="shared" si="23"/>
        <v>532.5</v>
      </c>
      <c r="L343">
        <v>1</v>
      </c>
      <c r="M343" s="29">
        <v>0</v>
      </c>
      <c r="N343" t="s">
        <v>32</v>
      </c>
      <c r="O343" t="s">
        <v>33</v>
      </c>
      <c r="P343" t="s">
        <v>34</v>
      </c>
      <c r="Q343" t="s">
        <v>34</v>
      </c>
      <c r="R343" t="s">
        <v>34</v>
      </c>
      <c r="S343" t="s">
        <v>34</v>
      </c>
      <c r="T343" s="117">
        <v>0</v>
      </c>
    </row>
    <row r="344" spans="1:20" ht="14.5" customHeight="1" x14ac:dyDescent="0.35">
      <c r="A344" t="s">
        <v>20</v>
      </c>
      <c r="B344" t="s">
        <v>24</v>
      </c>
      <c r="C344" s="1">
        <v>45350</v>
      </c>
      <c r="D344">
        <f t="shared" si="24"/>
        <v>28</v>
      </c>
      <c r="E344">
        <f t="shared" si="25"/>
        <v>2</v>
      </c>
      <c r="F344">
        <f t="shared" si="26"/>
        <v>2024</v>
      </c>
      <c r="G344" t="s">
        <v>81</v>
      </c>
      <c r="H344" s="98">
        <v>9827</v>
      </c>
      <c r="I344" s="29">
        <v>903.6</v>
      </c>
      <c r="J344" s="12" t="s">
        <v>31</v>
      </c>
      <c r="K344" s="29">
        <f t="shared" si="23"/>
        <v>903.6</v>
      </c>
      <c r="L344">
        <v>1</v>
      </c>
      <c r="M344" s="29">
        <v>0</v>
      </c>
      <c r="N344" t="s">
        <v>32</v>
      </c>
      <c r="O344" t="s">
        <v>33</v>
      </c>
      <c r="P344" t="s">
        <v>34</v>
      </c>
      <c r="Q344" t="s">
        <v>34</v>
      </c>
      <c r="R344" t="s">
        <v>34</v>
      </c>
      <c r="S344" t="s">
        <v>34</v>
      </c>
      <c r="T344" s="117">
        <v>0</v>
      </c>
    </row>
    <row r="345" spans="1:20" ht="14.5" customHeight="1" x14ac:dyDescent="0.35">
      <c r="A345" t="s">
        <v>20</v>
      </c>
      <c r="B345" t="s">
        <v>24</v>
      </c>
      <c r="C345" s="1">
        <v>45350</v>
      </c>
      <c r="D345">
        <f t="shared" si="24"/>
        <v>28</v>
      </c>
      <c r="E345">
        <f t="shared" si="25"/>
        <v>2</v>
      </c>
      <c r="F345">
        <f t="shared" si="26"/>
        <v>2024</v>
      </c>
      <c r="G345" t="s">
        <v>81</v>
      </c>
      <c r="H345" s="98">
        <v>9828</v>
      </c>
      <c r="I345" s="29">
        <v>19910.45</v>
      </c>
      <c r="J345" s="12" t="s">
        <v>31</v>
      </c>
      <c r="K345" s="29">
        <f t="shared" si="23"/>
        <v>19910.45</v>
      </c>
      <c r="L345">
        <v>1</v>
      </c>
      <c r="M345" s="29">
        <v>0</v>
      </c>
      <c r="N345" t="s">
        <v>32</v>
      </c>
      <c r="O345" t="s">
        <v>33</v>
      </c>
      <c r="P345" t="s">
        <v>34</v>
      </c>
      <c r="Q345" t="s">
        <v>34</v>
      </c>
      <c r="R345" t="s">
        <v>34</v>
      </c>
      <c r="S345" t="s">
        <v>34</v>
      </c>
      <c r="T345" s="117">
        <v>0</v>
      </c>
    </row>
    <row r="346" spans="1:20" ht="14.5" customHeight="1" x14ac:dyDescent="0.35">
      <c r="A346" t="s">
        <v>20</v>
      </c>
      <c r="B346" t="s">
        <v>25</v>
      </c>
      <c r="C346" s="1">
        <v>45350</v>
      </c>
      <c r="D346">
        <f t="shared" si="24"/>
        <v>28</v>
      </c>
      <c r="E346">
        <f t="shared" si="25"/>
        <v>2</v>
      </c>
      <c r="F346">
        <f t="shared" si="26"/>
        <v>2024</v>
      </c>
      <c r="G346" t="s">
        <v>81</v>
      </c>
      <c r="H346" s="98">
        <v>9863</v>
      </c>
      <c r="I346" s="29">
        <v>81114.2</v>
      </c>
      <c r="J346" s="12" t="s">
        <v>31</v>
      </c>
      <c r="K346" s="29">
        <f t="shared" si="23"/>
        <v>81114.2</v>
      </c>
      <c r="L346">
        <v>1</v>
      </c>
      <c r="M346" s="29">
        <v>0</v>
      </c>
      <c r="N346" t="s">
        <v>32</v>
      </c>
      <c r="O346" t="s">
        <v>33</v>
      </c>
      <c r="P346" t="s">
        <v>34</v>
      </c>
      <c r="Q346" t="s">
        <v>34</v>
      </c>
      <c r="R346" t="s">
        <v>34</v>
      </c>
      <c r="S346" t="s">
        <v>34</v>
      </c>
      <c r="T346" s="117">
        <v>0</v>
      </c>
    </row>
    <row r="347" spans="1:20" ht="14.5" customHeight="1" x14ac:dyDescent="0.35">
      <c r="A347" t="s">
        <v>20</v>
      </c>
      <c r="B347" t="s">
        <v>23</v>
      </c>
      <c r="C347" s="1">
        <v>45350</v>
      </c>
      <c r="D347">
        <f t="shared" si="24"/>
        <v>28</v>
      </c>
      <c r="E347">
        <f t="shared" si="25"/>
        <v>2</v>
      </c>
      <c r="F347">
        <f t="shared" si="26"/>
        <v>2024</v>
      </c>
      <c r="G347" t="s">
        <v>47</v>
      </c>
      <c r="H347" s="98">
        <v>10142</v>
      </c>
      <c r="I347" s="29">
        <v>14.4</v>
      </c>
      <c r="J347" s="12" t="s">
        <v>31</v>
      </c>
      <c r="K347" s="29">
        <f t="shared" si="23"/>
        <v>14.4</v>
      </c>
      <c r="L347">
        <v>1</v>
      </c>
      <c r="M347" s="29">
        <v>0</v>
      </c>
      <c r="N347" t="s">
        <v>42</v>
      </c>
      <c r="O347" t="s">
        <v>33</v>
      </c>
      <c r="P347" t="s">
        <v>34</v>
      </c>
      <c r="Q347" t="s">
        <v>34</v>
      </c>
      <c r="R347" t="s">
        <v>34</v>
      </c>
      <c r="S347" t="s">
        <v>34</v>
      </c>
      <c r="T347" s="117">
        <v>0</v>
      </c>
    </row>
    <row r="348" spans="1:20" ht="14.5" customHeight="1" x14ac:dyDescent="0.35">
      <c r="A348" t="s">
        <v>20</v>
      </c>
      <c r="B348" t="s">
        <v>23</v>
      </c>
      <c r="C348" s="1">
        <v>45350</v>
      </c>
      <c r="D348">
        <f t="shared" si="24"/>
        <v>28</v>
      </c>
      <c r="E348">
        <f t="shared" si="25"/>
        <v>2</v>
      </c>
      <c r="F348">
        <f t="shared" si="26"/>
        <v>2024</v>
      </c>
      <c r="G348" t="s">
        <v>47</v>
      </c>
      <c r="H348" s="98">
        <v>10142</v>
      </c>
      <c r="I348" s="29">
        <v>1425.6</v>
      </c>
      <c r="J348" s="12" t="s">
        <v>31</v>
      </c>
      <c r="K348" s="29">
        <f t="shared" si="23"/>
        <v>1425.6</v>
      </c>
      <c r="L348">
        <v>1</v>
      </c>
      <c r="M348" s="29">
        <v>0</v>
      </c>
      <c r="N348" t="s">
        <v>42</v>
      </c>
      <c r="O348" t="s">
        <v>33</v>
      </c>
      <c r="P348" t="s">
        <v>34</v>
      </c>
      <c r="Q348" t="s">
        <v>34</v>
      </c>
      <c r="R348" t="s">
        <v>34</v>
      </c>
      <c r="S348" t="s">
        <v>34</v>
      </c>
      <c r="T348" s="117">
        <v>0</v>
      </c>
    </row>
    <row r="349" spans="1:20" ht="14.5" customHeight="1" x14ac:dyDescent="0.35">
      <c r="A349" t="s">
        <v>20</v>
      </c>
      <c r="B349" t="s">
        <v>23</v>
      </c>
      <c r="C349" s="1">
        <v>45350</v>
      </c>
      <c r="D349">
        <f t="shared" si="24"/>
        <v>28</v>
      </c>
      <c r="E349">
        <f t="shared" si="25"/>
        <v>2</v>
      </c>
      <c r="F349">
        <f t="shared" si="26"/>
        <v>2024</v>
      </c>
      <c r="G349" t="s">
        <v>86</v>
      </c>
      <c r="H349" s="98">
        <v>9848</v>
      </c>
      <c r="I349" s="29">
        <v>5107.8900000000003</v>
      </c>
      <c r="J349" s="12" t="s">
        <v>31</v>
      </c>
      <c r="K349" s="29">
        <f t="shared" si="23"/>
        <v>5107.8900000000003</v>
      </c>
      <c r="L349">
        <v>1</v>
      </c>
      <c r="M349" s="29">
        <v>0</v>
      </c>
      <c r="N349" t="s">
        <v>32</v>
      </c>
      <c r="O349" t="s">
        <v>33</v>
      </c>
      <c r="P349" t="s">
        <v>34</v>
      </c>
      <c r="Q349" t="s">
        <v>34</v>
      </c>
      <c r="R349" t="s">
        <v>34</v>
      </c>
      <c r="S349" t="s">
        <v>34</v>
      </c>
      <c r="T349" s="117">
        <v>0</v>
      </c>
    </row>
    <row r="350" spans="1:20" ht="14.5" customHeight="1" x14ac:dyDescent="0.35">
      <c r="A350" t="s">
        <v>20</v>
      </c>
      <c r="B350" t="s">
        <v>24</v>
      </c>
      <c r="C350" s="1">
        <v>45350</v>
      </c>
      <c r="D350">
        <f t="shared" si="24"/>
        <v>28</v>
      </c>
      <c r="E350">
        <f t="shared" si="25"/>
        <v>2</v>
      </c>
      <c r="F350">
        <f t="shared" si="26"/>
        <v>2024</v>
      </c>
      <c r="G350" t="s">
        <v>107</v>
      </c>
      <c r="H350" s="98">
        <v>9762</v>
      </c>
      <c r="I350" s="29">
        <v>18005</v>
      </c>
      <c r="J350" s="12" t="s">
        <v>31</v>
      </c>
      <c r="K350" s="29">
        <f t="shared" si="23"/>
        <v>18005</v>
      </c>
      <c r="L350">
        <v>1</v>
      </c>
      <c r="M350" s="29">
        <v>0</v>
      </c>
      <c r="N350" t="s">
        <v>42</v>
      </c>
      <c r="O350" t="s">
        <v>33</v>
      </c>
      <c r="P350" t="s">
        <v>34</v>
      </c>
      <c r="Q350" t="s">
        <v>34</v>
      </c>
      <c r="R350" t="s">
        <v>34</v>
      </c>
      <c r="S350" t="s">
        <v>34</v>
      </c>
      <c r="T350" s="117">
        <v>0</v>
      </c>
    </row>
    <row r="351" spans="1:20" ht="14.5" customHeight="1" x14ac:dyDescent="0.35">
      <c r="A351" t="s">
        <v>20</v>
      </c>
      <c r="B351" t="s">
        <v>23</v>
      </c>
      <c r="C351" s="1">
        <v>45350</v>
      </c>
      <c r="D351">
        <f t="shared" si="24"/>
        <v>28</v>
      </c>
      <c r="E351">
        <f t="shared" si="25"/>
        <v>2</v>
      </c>
      <c r="F351">
        <f t="shared" si="26"/>
        <v>2024</v>
      </c>
      <c r="G351" t="s">
        <v>108</v>
      </c>
      <c r="H351" s="98">
        <v>10162</v>
      </c>
      <c r="I351" s="29">
        <v>5.4</v>
      </c>
      <c r="J351" s="12" t="s">
        <v>31</v>
      </c>
      <c r="K351" s="29">
        <f t="shared" si="23"/>
        <v>5.4</v>
      </c>
      <c r="L351">
        <v>1</v>
      </c>
      <c r="M351" s="29">
        <v>0</v>
      </c>
      <c r="N351" t="s">
        <v>42</v>
      </c>
      <c r="O351" t="s">
        <v>33</v>
      </c>
      <c r="P351" t="s">
        <v>34</v>
      </c>
      <c r="Q351" t="s">
        <v>34</v>
      </c>
      <c r="R351" t="s">
        <v>34</v>
      </c>
      <c r="S351" t="s">
        <v>34</v>
      </c>
      <c r="T351" s="117">
        <v>0</v>
      </c>
    </row>
    <row r="352" spans="1:20" ht="14.5" customHeight="1" x14ac:dyDescent="0.35">
      <c r="A352" t="s">
        <v>20</v>
      </c>
      <c r="B352" t="s">
        <v>23</v>
      </c>
      <c r="C352" s="1">
        <v>45350</v>
      </c>
      <c r="D352">
        <f t="shared" si="24"/>
        <v>28</v>
      </c>
      <c r="E352">
        <f t="shared" si="25"/>
        <v>2</v>
      </c>
      <c r="F352">
        <f t="shared" si="26"/>
        <v>2024</v>
      </c>
      <c r="G352" t="s">
        <v>108</v>
      </c>
      <c r="H352" s="98">
        <v>10163</v>
      </c>
      <c r="I352" s="29">
        <v>621</v>
      </c>
      <c r="J352" s="12" t="s">
        <v>31</v>
      </c>
      <c r="K352" s="29">
        <f t="shared" si="23"/>
        <v>621</v>
      </c>
      <c r="L352">
        <v>1</v>
      </c>
      <c r="M352" s="29">
        <v>0</v>
      </c>
      <c r="N352" t="s">
        <v>42</v>
      </c>
      <c r="O352" t="s">
        <v>33</v>
      </c>
      <c r="P352" t="s">
        <v>34</v>
      </c>
      <c r="Q352" t="s">
        <v>34</v>
      </c>
      <c r="R352" t="s">
        <v>34</v>
      </c>
      <c r="S352" t="s">
        <v>34</v>
      </c>
      <c r="T352" s="117">
        <v>0</v>
      </c>
    </row>
    <row r="353" spans="1:21" ht="14.5" customHeight="1" x14ac:dyDescent="0.35">
      <c r="A353" t="s">
        <v>20</v>
      </c>
      <c r="B353" t="s">
        <v>23</v>
      </c>
      <c r="C353" s="1">
        <v>45350</v>
      </c>
      <c r="D353">
        <f t="shared" si="24"/>
        <v>28</v>
      </c>
      <c r="E353">
        <f t="shared" si="25"/>
        <v>2</v>
      </c>
      <c r="F353">
        <f t="shared" si="26"/>
        <v>2024</v>
      </c>
      <c r="G353" t="s">
        <v>99</v>
      </c>
      <c r="H353" s="98">
        <v>9843</v>
      </c>
      <c r="I353" s="29">
        <v>40</v>
      </c>
      <c r="J353" s="12" t="s">
        <v>31</v>
      </c>
      <c r="K353" s="29">
        <f t="shared" si="23"/>
        <v>40</v>
      </c>
      <c r="L353">
        <v>1</v>
      </c>
      <c r="M353" s="29">
        <v>0</v>
      </c>
      <c r="N353" t="s">
        <v>32</v>
      </c>
      <c r="O353" t="s">
        <v>33</v>
      </c>
      <c r="P353" t="s">
        <v>34</v>
      </c>
      <c r="Q353" t="s">
        <v>34</v>
      </c>
      <c r="R353" t="s">
        <v>34</v>
      </c>
      <c r="S353" t="s">
        <v>34</v>
      </c>
      <c r="T353" s="117">
        <v>0</v>
      </c>
    </row>
    <row r="354" spans="1:21" ht="14.5" customHeight="1" x14ac:dyDescent="0.35">
      <c r="A354" t="s">
        <v>20</v>
      </c>
      <c r="B354" t="s">
        <v>23</v>
      </c>
      <c r="C354" s="1">
        <v>45350</v>
      </c>
      <c r="D354">
        <f t="shared" si="24"/>
        <v>28</v>
      </c>
      <c r="E354">
        <f t="shared" si="25"/>
        <v>2</v>
      </c>
      <c r="F354">
        <f t="shared" si="26"/>
        <v>2024</v>
      </c>
      <c r="G354" t="s">
        <v>99</v>
      </c>
      <c r="H354" s="98">
        <v>9844</v>
      </c>
      <c r="I354" s="29">
        <v>9162.2800000000007</v>
      </c>
      <c r="J354" s="12" t="s">
        <v>31</v>
      </c>
      <c r="K354" s="29">
        <f t="shared" si="23"/>
        <v>9162.2800000000007</v>
      </c>
      <c r="L354">
        <v>1</v>
      </c>
      <c r="M354" s="29">
        <v>0</v>
      </c>
      <c r="N354" t="s">
        <v>32</v>
      </c>
      <c r="O354" t="s">
        <v>33</v>
      </c>
      <c r="P354" t="s">
        <v>34</v>
      </c>
      <c r="Q354" t="s">
        <v>34</v>
      </c>
      <c r="R354" t="s">
        <v>34</v>
      </c>
      <c r="S354" t="s">
        <v>34</v>
      </c>
      <c r="T354" s="117">
        <v>0</v>
      </c>
    </row>
    <row r="355" spans="1:21" ht="14.5" customHeight="1" x14ac:dyDescent="0.35">
      <c r="A355" t="s">
        <v>20</v>
      </c>
      <c r="B355" t="s">
        <v>23</v>
      </c>
      <c r="C355" s="1">
        <v>45350</v>
      </c>
      <c r="D355">
        <f t="shared" si="24"/>
        <v>28</v>
      </c>
      <c r="E355">
        <f t="shared" si="25"/>
        <v>2</v>
      </c>
      <c r="F355">
        <f t="shared" si="26"/>
        <v>2024</v>
      </c>
      <c r="G355" t="s">
        <v>97</v>
      </c>
      <c r="H355" s="98">
        <v>9815</v>
      </c>
      <c r="I355" s="29">
        <v>171.5</v>
      </c>
      <c r="J355" s="12" t="s">
        <v>31</v>
      </c>
      <c r="K355" s="29">
        <f t="shared" si="23"/>
        <v>171.5</v>
      </c>
      <c r="L355">
        <v>1</v>
      </c>
      <c r="M355" s="29">
        <v>0</v>
      </c>
      <c r="N355" t="s">
        <v>32</v>
      </c>
      <c r="O355" t="s">
        <v>33</v>
      </c>
      <c r="P355" t="s">
        <v>34</v>
      </c>
      <c r="Q355" t="s">
        <v>34</v>
      </c>
      <c r="R355" t="s">
        <v>34</v>
      </c>
      <c r="S355" t="s">
        <v>34</v>
      </c>
      <c r="T355" s="117">
        <v>0</v>
      </c>
    </row>
    <row r="356" spans="1:21" ht="14.5" customHeight="1" x14ac:dyDescent="0.35">
      <c r="A356" t="s">
        <v>20</v>
      </c>
      <c r="B356" t="s">
        <v>25</v>
      </c>
      <c r="C356" s="1">
        <v>45350</v>
      </c>
      <c r="D356">
        <f t="shared" si="24"/>
        <v>28</v>
      </c>
      <c r="E356">
        <f t="shared" si="25"/>
        <v>2</v>
      </c>
      <c r="F356">
        <f t="shared" si="26"/>
        <v>2024</v>
      </c>
      <c r="G356" t="s">
        <v>97</v>
      </c>
      <c r="H356" s="98">
        <v>9815</v>
      </c>
      <c r="I356" s="29">
        <v>3982.5</v>
      </c>
      <c r="J356" s="12" t="s">
        <v>31</v>
      </c>
      <c r="K356" s="29">
        <f t="shared" si="23"/>
        <v>3982.5</v>
      </c>
      <c r="L356">
        <v>1</v>
      </c>
      <c r="M356" s="29">
        <v>0</v>
      </c>
      <c r="N356" t="s">
        <v>32</v>
      </c>
      <c r="O356" t="s">
        <v>33</v>
      </c>
      <c r="P356" t="s">
        <v>34</v>
      </c>
      <c r="Q356" t="s">
        <v>34</v>
      </c>
      <c r="R356" t="s">
        <v>34</v>
      </c>
      <c r="S356" t="s">
        <v>34</v>
      </c>
      <c r="T356" s="117">
        <v>0</v>
      </c>
    </row>
    <row r="357" spans="1:21" ht="14.5" customHeight="1" x14ac:dyDescent="0.35">
      <c r="A357" t="s">
        <v>20</v>
      </c>
      <c r="B357" t="s">
        <v>21</v>
      </c>
      <c r="C357" s="1">
        <v>45350</v>
      </c>
      <c r="D357">
        <f t="shared" si="24"/>
        <v>28</v>
      </c>
      <c r="E357">
        <f t="shared" si="25"/>
        <v>2</v>
      </c>
      <c r="F357">
        <f t="shared" si="26"/>
        <v>2024</v>
      </c>
      <c r="G357" t="s">
        <v>97</v>
      </c>
      <c r="H357" s="98">
        <v>9815</v>
      </c>
      <c r="I357" s="29">
        <v>462</v>
      </c>
      <c r="J357" s="12" t="s">
        <v>31</v>
      </c>
      <c r="K357" s="29">
        <f t="shared" si="23"/>
        <v>462</v>
      </c>
      <c r="L357">
        <v>1</v>
      </c>
      <c r="M357" s="29">
        <v>0</v>
      </c>
      <c r="N357" t="s">
        <v>32</v>
      </c>
      <c r="O357" t="s">
        <v>33</v>
      </c>
      <c r="P357" t="s">
        <v>34</v>
      </c>
      <c r="Q357" t="s">
        <v>34</v>
      </c>
      <c r="R357" t="s">
        <v>34</v>
      </c>
      <c r="S357" t="s">
        <v>34</v>
      </c>
      <c r="T357" s="117">
        <v>0</v>
      </c>
    </row>
    <row r="358" spans="1:21" ht="14.5" customHeight="1" x14ac:dyDescent="0.35">
      <c r="A358" t="s">
        <v>20</v>
      </c>
      <c r="B358" t="s">
        <v>24</v>
      </c>
      <c r="C358" s="1">
        <v>45350</v>
      </c>
      <c r="D358">
        <f t="shared" si="24"/>
        <v>28</v>
      </c>
      <c r="E358">
        <f t="shared" si="25"/>
        <v>2</v>
      </c>
      <c r="F358">
        <f t="shared" si="26"/>
        <v>2024</v>
      </c>
      <c r="G358" t="s">
        <v>97</v>
      </c>
      <c r="H358" s="98">
        <v>9815</v>
      </c>
      <c r="I358" s="29">
        <v>412</v>
      </c>
      <c r="J358" s="12" t="s">
        <v>31</v>
      </c>
      <c r="K358" s="29">
        <f t="shared" si="23"/>
        <v>412</v>
      </c>
      <c r="L358">
        <v>1</v>
      </c>
      <c r="M358" s="29">
        <v>0</v>
      </c>
      <c r="N358" t="s">
        <v>32</v>
      </c>
      <c r="O358" t="s">
        <v>33</v>
      </c>
      <c r="P358" t="s">
        <v>34</v>
      </c>
      <c r="Q358" t="s">
        <v>34</v>
      </c>
      <c r="R358" t="s">
        <v>34</v>
      </c>
      <c r="S358" t="s">
        <v>34</v>
      </c>
      <c r="T358" s="117">
        <v>0</v>
      </c>
    </row>
    <row r="359" spans="1:21" ht="14.5" customHeight="1" x14ac:dyDescent="0.35">
      <c r="A359" t="s">
        <v>20</v>
      </c>
      <c r="B359" t="s">
        <v>21</v>
      </c>
      <c r="C359" s="1">
        <v>45350</v>
      </c>
      <c r="D359">
        <f t="shared" si="24"/>
        <v>28</v>
      </c>
      <c r="E359">
        <f t="shared" si="25"/>
        <v>2</v>
      </c>
      <c r="F359">
        <f t="shared" si="26"/>
        <v>2024</v>
      </c>
      <c r="G359" t="s">
        <v>97</v>
      </c>
      <c r="H359" s="98">
        <v>9841</v>
      </c>
      <c r="I359" s="29">
        <v>34531.883600000001</v>
      </c>
      <c r="J359" s="12" t="s">
        <v>31</v>
      </c>
      <c r="K359" s="29">
        <f t="shared" si="23"/>
        <v>34531.883600000001</v>
      </c>
      <c r="L359">
        <v>1</v>
      </c>
      <c r="M359" s="29">
        <v>1056.68</v>
      </c>
      <c r="N359" t="s">
        <v>32</v>
      </c>
      <c r="O359" t="s">
        <v>33</v>
      </c>
      <c r="P359" t="s">
        <v>34</v>
      </c>
      <c r="Q359" t="s">
        <v>34</v>
      </c>
      <c r="R359" t="s">
        <v>34</v>
      </c>
      <c r="S359" t="s">
        <v>34</v>
      </c>
      <c r="T359" s="117">
        <v>0</v>
      </c>
    </row>
    <row r="360" spans="1:21" ht="14.5" customHeight="1" x14ac:dyDescent="0.35">
      <c r="A360" t="s">
        <v>20</v>
      </c>
      <c r="B360" t="s">
        <v>23</v>
      </c>
      <c r="C360" s="1">
        <v>45350</v>
      </c>
      <c r="D360">
        <f t="shared" si="24"/>
        <v>28</v>
      </c>
      <c r="E360">
        <f t="shared" si="25"/>
        <v>2</v>
      </c>
      <c r="F360">
        <f t="shared" si="26"/>
        <v>2024</v>
      </c>
      <c r="G360" t="s">
        <v>97</v>
      </c>
      <c r="H360" s="98">
        <v>9841</v>
      </c>
      <c r="I360" s="29">
        <v>21436.466499999999</v>
      </c>
      <c r="J360" s="12" t="s">
        <v>31</v>
      </c>
      <c r="K360" s="29">
        <f t="shared" si="23"/>
        <v>21436.466499999999</v>
      </c>
      <c r="L360">
        <v>1</v>
      </c>
      <c r="M360" s="29">
        <v>657.93</v>
      </c>
      <c r="N360" t="s">
        <v>32</v>
      </c>
      <c r="O360" t="s">
        <v>33</v>
      </c>
      <c r="P360" t="s">
        <v>34</v>
      </c>
      <c r="Q360" t="s">
        <v>34</v>
      </c>
      <c r="R360" t="s">
        <v>34</v>
      </c>
      <c r="S360" t="s">
        <v>34</v>
      </c>
      <c r="T360" s="117">
        <v>0</v>
      </c>
    </row>
    <row r="361" spans="1:21" ht="14.5" customHeight="1" x14ac:dyDescent="0.35">
      <c r="A361" t="s">
        <v>20</v>
      </c>
      <c r="B361" t="s">
        <v>25</v>
      </c>
      <c r="C361" s="1">
        <v>45350</v>
      </c>
      <c r="D361">
        <f t="shared" si="24"/>
        <v>28</v>
      </c>
      <c r="E361">
        <f t="shared" si="25"/>
        <v>2</v>
      </c>
      <c r="F361">
        <f t="shared" si="26"/>
        <v>2024</v>
      </c>
      <c r="G361" t="s">
        <v>97</v>
      </c>
      <c r="H361" s="98">
        <v>9841</v>
      </c>
      <c r="I361" s="29">
        <v>8495.4539999999997</v>
      </c>
      <c r="J361" s="12" t="s">
        <v>31</v>
      </c>
      <c r="K361" s="29">
        <f t="shared" si="23"/>
        <v>8495.4539999999997</v>
      </c>
      <c r="L361">
        <v>1</v>
      </c>
      <c r="M361" s="29">
        <v>279.12</v>
      </c>
      <c r="N361" t="s">
        <v>32</v>
      </c>
      <c r="O361" t="s">
        <v>33</v>
      </c>
      <c r="P361" t="s">
        <v>34</v>
      </c>
      <c r="Q361" t="s">
        <v>34</v>
      </c>
      <c r="R361" t="s">
        <v>34</v>
      </c>
      <c r="S361" t="s">
        <v>34</v>
      </c>
      <c r="T361" s="117">
        <v>0</v>
      </c>
    </row>
    <row r="362" spans="1:21" ht="14.5" customHeight="1" x14ac:dyDescent="0.35">
      <c r="A362" t="s">
        <v>20</v>
      </c>
      <c r="B362" t="s">
        <v>25</v>
      </c>
      <c r="C362" s="1">
        <v>45350</v>
      </c>
      <c r="D362">
        <f t="shared" si="24"/>
        <v>28</v>
      </c>
      <c r="E362">
        <f t="shared" si="25"/>
        <v>2</v>
      </c>
      <c r="F362">
        <f t="shared" si="26"/>
        <v>2024</v>
      </c>
      <c r="G362" t="s">
        <v>274</v>
      </c>
      <c r="H362" s="98">
        <v>9742</v>
      </c>
      <c r="I362" s="29">
        <v>131.6</v>
      </c>
      <c r="J362" s="12" t="s">
        <v>31</v>
      </c>
      <c r="K362" s="29">
        <f t="shared" si="23"/>
        <v>131.6</v>
      </c>
      <c r="L362">
        <v>1</v>
      </c>
      <c r="M362" s="29">
        <v>0</v>
      </c>
      <c r="N362" t="s">
        <v>42</v>
      </c>
      <c r="O362" t="s">
        <v>33</v>
      </c>
      <c r="P362" t="s">
        <v>34</v>
      </c>
      <c r="Q362" t="s">
        <v>34</v>
      </c>
      <c r="R362" t="s">
        <v>34</v>
      </c>
      <c r="S362" t="s">
        <v>34</v>
      </c>
      <c r="T362" s="117">
        <v>0</v>
      </c>
    </row>
    <row r="363" spans="1:21" ht="14.5" customHeight="1" x14ac:dyDescent="0.35">
      <c r="A363" t="s">
        <v>19</v>
      </c>
      <c r="B363" t="s">
        <v>25</v>
      </c>
      <c r="C363" s="1">
        <v>45350</v>
      </c>
      <c r="D363">
        <f t="shared" si="24"/>
        <v>28</v>
      </c>
      <c r="E363">
        <f t="shared" si="25"/>
        <v>2</v>
      </c>
      <c r="F363">
        <f t="shared" si="26"/>
        <v>2024</v>
      </c>
      <c r="G363" t="s">
        <v>113</v>
      </c>
      <c r="H363" s="98">
        <v>9358</v>
      </c>
      <c r="I363" s="90">
        <v>275809.8</v>
      </c>
      <c r="J363" s="12" t="s">
        <v>51</v>
      </c>
      <c r="K363" s="29">
        <f t="shared" si="23"/>
        <v>299584.60476000002</v>
      </c>
      <c r="L363">
        <v>1.0862000000000001</v>
      </c>
      <c r="M363" s="29">
        <v>0</v>
      </c>
      <c r="N363" t="s">
        <v>42</v>
      </c>
      <c r="O363" t="s">
        <v>114</v>
      </c>
      <c r="P363" s="1">
        <v>45350</v>
      </c>
      <c r="Q363" s="1">
        <v>45427</v>
      </c>
      <c r="R363" s="174" t="s">
        <v>115</v>
      </c>
      <c r="S363" t="s">
        <v>159</v>
      </c>
      <c r="T363" s="117">
        <v>0</v>
      </c>
      <c r="U363" s="209" t="s">
        <v>160</v>
      </c>
    </row>
    <row r="364" spans="1:21" ht="14.5" customHeight="1" x14ac:dyDescent="0.35">
      <c r="A364" t="s">
        <v>19</v>
      </c>
      <c r="B364" t="s">
        <v>27</v>
      </c>
      <c r="C364" s="1">
        <v>45350</v>
      </c>
      <c r="D364">
        <f t="shared" si="24"/>
        <v>28</v>
      </c>
      <c r="E364">
        <f t="shared" si="25"/>
        <v>2</v>
      </c>
      <c r="F364">
        <f t="shared" si="26"/>
        <v>2024</v>
      </c>
      <c r="G364" t="s">
        <v>100</v>
      </c>
      <c r="H364" s="98">
        <v>9711</v>
      </c>
      <c r="I364" s="29">
        <v>400000</v>
      </c>
      <c r="J364" s="12" t="s">
        <v>31</v>
      </c>
      <c r="K364" s="29">
        <f t="shared" si="23"/>
        <v>400000</v>
      </c>
      <c r="L364">
        <v>1</v>
      </c>
      <c r="M364" s="29">
        <v>0</v>
      </c>
      <c r="N364" t="s">
        <v>32</v>
      </c>
      <c r="O364" t="s">
        <v>114</v>
      </c>
      <c r="P364" s="1">
        <v>45350</v>
      </c>
      <c r="Q364" s="1">
        <v>45434</v>
      </c>
      <c r="R364" s="174" t="s">
        <v>116</v>
      </c>
      <c r="S364" t="s">
        <v>34</v>
      </c>
      <c r="T364" s="117">
        <v>0</v>
      </c>
    </row>
    <row r="365" spans="1:21" ht="14.5" customHeight="1" x14ac:dyDescent="0.35">
      <c r="A365" t="s">
        <v>19</v>
      </c>
      <c r="B365" t="s">
        <v>26</v>
      </c>
      <c r="C365" s="1">
        <v>45352</v>
      </c>
      <c r="D365">
        <f t="shared" si="24"/>
        <v>1</v>
      </c>
      <c r="E365">
        <f t="shared" si="25"/>
        <v>3</v>
      </c>
      <c r="F365">
        <f t="shared" si="26"/>
        <v>2024</v>
      </c>
      <c r="G365" t="s">
        <v>73</v>
      </c>
      <c r="H365" s="98">
        <v>10029</v>
      </c>
      <c r="I365" s="15">
        <v>84176.24</v>
      </c>
      <c r="J365" s="12" t="s">
        <v>51</v>
      </c>
      <c r="K365" s="29">
        <f t="shared" si="23"/>
        <v>91162.867920000004</v>
      </c>
      <c r="L365">
        <v>1.083</v>
      </c>
      <c r="M365" s="29">
        <v>0</v>
      </c>
      <c r="N365" t="s">
        <v>32</v>
      </c>
      <c r="O365" t="s">
        <v>33</v>
      </c>
      <c r="P365" t="s">
        <v>34</v>
      </c>
      <c r="Q365" t="s">
        <v>34</v>
      </c>
      <c r="R365" t="s">
        <v>34</v>
      </c>
      <c r="S365" t="s">
        <v>34</v>
      </c>
      <c r="T365" s="117">
        <v>0</v>
      </c>
      <c r="U365" s="209" t="s">
        <v>94</v>
      </c>
    </row>
    <row r="366" spans="1:21" ht="14.5" customHeight="1" x14ac:dyDescent="0.35">
      <c r="A366" t="s">
        <v>19</v>
      </c>
      <c r="B366" t="s">
        <v>26</v>
      </c>
      <c r="C366" s="1">
        <v>45352</v>
      </c>
      <c r="D366">
        <f t="shared" si="24"/>
        <v>1</v>
      </c>
      <c r="E366">
        <f t="shared" si="25"/>
        <v>3</v>
      </c>
      <c r="F366">
        <f t="shared" si="26"/>
        <v>2024</v>
      </c>
      <c r="G366" t="s">
        <v>73</v>
      </c>
      <c r="H366" s="98">
        <v>10030</v>
      </c>
      <c r="I366" s="15">
        <v>65758.600000000006</v>
      </c>
      <c r="J366" s="12" t="s">
        <v>51</v>
      </c>
      <c r="K366" s="29">
        <f t="shared" si="23"/>
        <v>71216.563800000004</v>
      </c>
      <c r="L366">
        <v>1.083</v>
      </c>
      <c r="M366" s="29">
        <v>0</v>
      </c>
      <c r="N366" t="s">
        <v>32</v>
      </c>
      <c r="O366" t="s">
        <v>33</v>
      </c>
      <c r="P366" t="s">
        <v>34</v>
      </c>
      <c r="Q366" t="s">
        <v>34</v>
      </c>
      <c r="R366" t="s">
        <v>34</v>
      </c>
      <c r="S366" t="s">
        <v>34</v>
      </c>
      <c r="T366" s="117">
        <v>0</v>
      </c>
      <c r="U366" s="209" t="s">
        <v>94</v>
      </c>
    </row>
    <row r="367" spans="1:21" ht="14.5" customHeight="1" x14ac:dyDescent="0.35">
      <c r="A367" t="s">
        <v>19</v>
      </c>
      <c r="B367" t="s">
        <v>21</v>
      </c>
      <c r="C367" s="1">
        <v>45357</v>
      </c>
      <c r="D367">
        <f t="shared" si="24"/>
        <v>6</v>
      </c>
      <c r="E367">
        <f t="shared" si="25"/>
        <v>3</v>
      </c>
      <c r="F367">
        <f t="shared" si="26"/>
        <v>2024</v>
      </c>
      <c r="G367" t="s">
        <v>37</v>
      </c>
      <c r="H367" s="98">
        <v>9730</v>
      </c>
      <c r="I367" s="29">
        <v>17672.599999999999</v>
      </c>
      <c r="J367" s="12" t="s">
        <v>31</v>
      </c>
      <c r="K367" s="29">
        <f t="shared" si="23"/>
        <v>17672.599999999999</v>
      </c>
      <c r="L367">
        <v>1</v>
      </c>
      <c r="M367" s="29">
        <v>0</v>
      </c>
      <c r="N367" t="s">
        <v>32</v>
      </c>
      <c r="O367" t="s">
        <v>33</v>
      </c>
      <c r="P367" t="s">
        <v>34</v>
      </c>
      <c r="Q367" t="s">
        <v>34</v>
      </c>
      <c r="R367" t="s">
        <v>34</v>
      </c>
      <c r="S367" t="s">
        <v>34</v>
      </c>
      <c r="T367" s="117">
        <v>0</v>
      </c>
    </row>
    <row r="368" spans="1:21" ht="14.5" customHeight="1" x14ac:dyDescent="0.35">
      <c r="A368" t="s">
        <v>19</v>
      </c>
      <c r="B368" t="s">
        <v>24</v>
      </c>
      <c r="C368" s="1">
        <v>45357</v>
      </c>
      <c r="D368">
        <f t="shared" si="24"/>
        <v>6</v>
      </c>
      <c r="E368">
        <f t="shared" si="25"/>
        <v>3</v>
      </c>
      <c r="F368">
        <f t="shared" si="26"/>
        <v>2024</v>
      </c>
      <c r="G368" t="s">
        <v>37</v>
      </c>
      <c r="H368" s="98">
        <v>9730</v>
      </c>
      <c r="I368" s="29">
        <v>16640</v>
      </c>
      <c r="J368" s="12" t="s">
        <v>31</v>
      </c>
      <c r="K368" s="29">
        <f t="shared" si="23"/>
        <v>16640</v>
      </c>
      <c r="L368">
        <v>1</v>
      </c>
      <c r="M368" s="29">
        <v>0</v>
      </c>
      <c r="N368" t="s">
        <v>32</v>
      </c>
      <c r="O368" t="s">
        <v>33</v>
      </c>
      <c r="P368" t="s">
        <v>34</v>
      </c>
      <c r="Q368" t="s">
        <v>34</v>
      </c>
      <c r="R368" t="s">
        <v>34</v>
      </c>
      <c r="S368" t="s">
        <v>34</v>
      </c>
      <c r="T368" s="117">
        <v>0</v>
      </c>
    </row>
    <row r="369" spans="1:21" ht="14.5" customHeight="1" x14ac:dyDescent="0.35">
      <c r="A369" t="s">
        <v>20</v>
      </c>
      <c r="B369" t="s">
        <v>23</v>
      </c>
      <c r="C369" s="1">
        <v>45357</v>
      </c>
      <c r="D369">
        <f t="shared" si="24"/>
        <v>6</v>
      </c>
      <c r="E369">
        <f t="shared" si="25"/>
        <v>3</v>
      </c>
      <c r="F369">
        <f t="shared" si="26"/>
        <v>2024</v>
      </c>
      <c r="G369" t="s">
        <v>109</v>
      </c>
      <c r="H369" s="98">
        <v>10139</v>
      </c>
      <c r="I369" s="29">
        <v>1350</v>
      </c>
      <c r="J369" s="12" t="s">
        <v>31</v>
      </c>
      <c r="K369" s="29">
        <f t="shared" si="23"/>
        <v>1350</v>
      </c>
      <c r="L369">
        <v>1</v>
      </c>
      <c r="M369" s="29">
        <v>0</v>
      </c>
      <c r="N369" t="s">
        <v>42</v>
      </c>
      <c r="O369" t="s">
        <v>33</v>
      </c>
      <c r="P369" t="s">
        <v>34</v>
      </c>
      <c r="Q369" t="s">
        <v>34</v>
      </c>
      <c r="R369" t="s">
        <v>34</v>
      </c>
      <c r="S369" t="s">
        <v>34</v>
      </c>
      <c r="T369" s="117">
        <v>0</v>
      </c>
    </row>
    <row r="370" spans="1:21" ht="14.5" customHeight="1" x14ac:dyDescent="0.35">
      <c r="A370" t="s">
        <v>20</v>
      </c>
      <c r="B370" t="s">
        <v>25</v>
      </c>
      <c r="C370" s="1">
        <v>45357</v>
      </c>
      <c r="D370">
        <f t="shared" si="24"/>
        <v>6</v>
      </c>
      <c r="E370">
        <f t="shared" si="25"/>
        <v>3</v>
      </c>
      <c r="F370">
        <f t="shared" si="26"/>
        <v>2024</v>
      </c>
      <c r="G370" t="s">
        <v>81</v>
      </c>
      <c r="H370" s="98">
        <v>9869</v>
      </c>
      <c r="I370" s="29">
        <v>12591.6</v>
      </c>
      <c r="J370" s="12" t="s">
        <v>31</v>
      </c>
      <c r="K370" s="29">
        <f t="shared" si="23"/>
        <v>12591.6</v>
      </c>
      <c r="L370">
        <v>1</v>
      </c>
      <c r="M370" s="29">
        <v>0</v>
      </c>
      <c r="N370" t="s">
        <v>32</v>
      </c>
      <c r="O370" t="s">
        <v>33</v>
      </c>
      <c r="P370" t="s">
        <v>34</v>
      </c>
      <c r="Q370" t="s">
        <v>34</v>
      </c>
      <c r="R370" t="s">
        <v>34</v>
      </c>
      <c r="S370" t="s">
        <v>34</v>
      </c>
      <c r="T370" s="117">
        <v>0</v>
      </c>
    </row>
    <row r="371" spans="1:21" ht="14.5" customHeight="1" x14ac:dyDescent="0.35">
      <c r="A371" t="s">
        <v>20</v>
      </c>
      <c r="B371" t="s">
        <v>25</v>
      </c>
      <c r="C371" s="1">
        <v>45357</v>
      </c>
      <c r="D371">
        <f t="shared" si="24"/>
        <v>6</v>
      </c>
      <c r="E371">
        <f t="shared" si="25"/>
        <v>3</v>
      </c>
      <c r="F371">
        <f t="shared" si="26"/>
        <v>2024</v>
      </c>
      <c r="G371" t="s">
        <v>81</v>
      </c>
      <c r="H371" s="98">
        <v>9831</v>
      </c>
      <c r="I371" s="29">
        <v>2680</v>
      </c>
      <c r="J371" s="12" t="s">
        <v>31</v>
      </c>
      <c r="K371" s="29">
        <f t="shared" si="23"/>
        <v>2680</v>
      </c>
      <c r="L371">
        <v>1</v>
      </c>
      <c r="M371" s="29">
        <v>0</v>
      </c>
      <c r="N371" t="s">
        <v>42</v>
      </c>
      <c r="O371" t="s">
        <v>33</v>
      </c>
      <c r="P371" t="s">
        <v>34</v>
      </c>
      <c r="Q371" t="s">
        <v>34</v>
      </c>
      <c r="R371" t="s">
        <v>34</v>
      </c>
      <c r="S371" t="s">
        <v>34</v>
      </c>
      <c r="T371" s="117">
        <v>0</v>
      </c>
      <c r="U371" s="209" t="s">
        <v>232</v>
      </c>
    </row>
    <row r="372" spans="1:21" ht="14.5" customHeight="1" x14ac:dyDescent="0.35">
      <c r="A372" t="s">
        <v>20</v>
      </c>
      <c r="B372" t="s">
        <v>25</v>
      </c>
      <c r="C372" s="1">
        <v>45357</v>
      </c>
      <c r="D372">
        <f t="shared" si="24"/>
        <v>6</v>
      </c>
      <c r="E372">
        <f t="shared" si="25"/>
        <v>3</v>
      </c>
      <c r="F372">
        <f t="shared" si="26"/>
        <v>2024</v>
      </c>
      <c r="G372" t="s">
        <v>81</v>
      </c>
      <c r="H372" s="98">
        <v>10184</v>
      </c>
      <c r="I372" s="29">
        <v>1600</v>
      </c>
      <c r="J372" s="12" t="s">
        <v>31</v>
      </c>
      <c r="K372" s="29">
        <f t="shared" si="23"/>
        <v>1600</v>
      </c>
      <c r="L372">
        <v>1</v>
      </c>
      <c r="M372" s="29">
        <v>0</v>
      </c>
      <c r="N372" t="s">
        <v>42</v>
      </c>
      <c r="O372" t="s">
        <v>33</v>
      </c>
      <c r="P372" t="s">
        <v>34</v>
      </c>
      <c r="Q372" t="s">
        <v>34</v>
      </c>
      <c r="R372" t="s">
        <v>34</v>
      </c>
      <c r="S372" t="s">
        <v>34</v>
      </c>
      <c r="T372" s="117">
        <v>0</v>
      </c>
    </row>
    <row r="373" spans="1:21" ht="14.5" customHeight="1" x14ac:dyDescent="0.35">
      <c r="A373" t="s">
        <v>20</v>
      </c>
      <c r="B373" t="s">
        <v>23</v>
      </c>
      <c r="C373" s="1">
        <v>45357</v>
      </c>
      <c r="D373">
        <f t="shared" si="24"/>
        <v>6</v>
      </c>
      <c r="E373">
        <f t="shared" si="25"/>
        <v>3</v>
      </c>
      <c r="F373">
        <f t="shared" si="26"/>
        <v>2024</v>
      </c>
      <c r="G373" t="s">
        <v>52</v>
      </c>
      <c r="H373" s="98">
        <v>9810</v>
      </c>
      <c r="I373" s="29">
        <v>76.13</v>
      </c>
      <c r="J373" s="12" t="s">
        <v>31</v>
      </c>
      <c r="K373" s="29">
        <f t="shared" si="23"/>
        <v>76.13</v>
      </c>
      <c r="L373">
        <v>1</v>
      </c>
      <c r="M373" s="29">
        <v>0</v>
      </c>
      <c r="N373" t="s">
        <v>32</v>
      </c>
      <c r="O373" t="s">
        <v>33</v>
      </c>
      <c r="P373" t="s">
        <v>34</v>
      </c>
      <c r="Q373" t="s">
        <v>34</v>
      </c>
      <c r="R373" t="s">
        <v>34</v>
      </c>
      <c r="S373" t="s">
        <v>34</v>
      </c>
      <c r="T373" s="117">
        <v>0</v>
      </c>
    </row>
    <row r="374" spans="1:21" ht="14.5" customHeight="1" x14ac:dyDescent="0.35">
      <c r="A374" t="s">
        <v>20</v>
      </c>
      <c r="B374" t="s">
        <v>21</v>
      </c>
      <c r="C374" s="1">
        <v>45357</v>
      </c>
      <c r="D374">
        <f t="shared" si="24"/>
        <v>6</v>
      </c>
      <c r="E374">
        <f t="shared" si="25"/>
        <v>3</v>
      </c>
      <c r="F374">
        <f t="shared" si="26"/>
        <v>2024</v>
      </c>
      <c r="G374" t="s">
        <v>53</v>
      </c>
      <c r="H374" s="98">
        <v>9973</v>
      </c>
      <c r="I374" s="29">
        <v>53</v>
      </c>
      <c r="J374" s="12" t="s">
        <v>31</v>
      </c>
      <c r="K374" s="29">
        <f t="shared" si="23"/>
        <v>53</v>
      </c>
      <c r="L374">
        <v>1</v>
      </c>
      <c r="M374" s="29">
        <v>0</v>
      </c>
      <c r="N374" t="s">
        <v>32</v>
      </c>
      <c r="O374" t="s">
        <v>33</v>
      </c>
      <c r="P374" t="s">
        <v>34</v>
      </c>
      <c r="Q374" t="s">
        <v>34</v>
      </c>
      <c r="R374" t="s">
        <v>34</v>
      </c>
      <c r="S374" t="s">
        <v>34</v>
      </c>
      <c r="T374" s="117">
        <v>0</v>
      </c>
    </row>
    <row r="375" spans="1:21" ht="14.5" customHeight="1" x14ac:dyDescent="0.35">
      <c r="A375" t="s">
        <v>20</v>
      </c>
      <c r="B375" t="s">
        <v>21</v>
      </c>
      <c r="C375" s="1">
        <v>45357</v>
      </c>
      <c r="D375">
        <f t="shared" si="24"/>
        <v>6</v>
      </c>
      <c r="E375">
        <f t="shared" si="25"/>
        <v>3</v>
      </c>
      <c r="F375">
        <f t="shared" si="26"/>
        <v>2024</v>
      </c>
      <c r="G375" t="s">
        <v>53</v>
      </c>
      <c r="H375" s="98">
        <v>10129</v>
      </c>
      <c r="I375" s="29">
        <v>108.65</v>
      </c>
      <c r="J375" s="12" t="s">
        <v>31</v>
      </c>
      <c r="K375" s="29">
        <f t="shared" si="23"/>
        <v>108.65</v>
      </c>
      <c r="L375">
        <v>1</v>
      </c>
      <c r="M375" s="29">
        <v>0</v>
      </c>
      <c r="N375" t="s">
        <v>32</v>
      </c>
      <c r="O375" t="s">
        <v>33</v>
      </c>
      <c r="P375" t="s">
        <v>34</v>
      </c>
      <c r="Q375" t="s">
        <v>34</v>
      </c>
      <c r="R375" t="s">
        <v>34</v>
      </c>
      <c r="S375" t="s">
        <v>34</v>
      </c>
      <c r="T375" s="117">
        <v>0</v>
      </c>
    </row>
    <row r="376" spans="1:21" ht="14.5" customHeight="1" x14ac:dyDescent="0.35">
      <c r="A376" t="s">
        <v>20</v>
      </c>
      <c r="B376" t="s">
        <v>25</v>
      </c>
      <c r="C376" s="1">
        <v>45357</v>
      </c>
      <c r="D376">
        <f t="shared" si="24"/>
        <v>6</v>
      </c>
      <c r="E376">
        <f t="shared" si="25"/>
        <v>3</v>
      </c>
      <c r="F376">
        <f t="shared" si="26"/>
        <v>2024</v>
      </c>
      <c r="G376" t="s">
        <v>50</v>
      </c>
      <c r="H376" s="98">
        <v>9876</v>
      </c>
      <c r="I376" s="29">
        <v>11745</v>
      </c>
      <c r="J376" s="12" t="s">
        <v>31</v>
      </c>
      <c r="K376" s="29">
        <f t="shared" si="23"/>
        <v>11745</v>
      </c>
      <c r="L376">
        <v>1</v>
      </c>
      <c r="M376" s="29">
        <v>0</v>
      </c>
      <c r="N376" t="s">
        <v>32</v>
      </c>
      <c r="O376" t="s">
        <v>33</v>
      </c>
      <c r="P376" t="s">
        <v>34</v>
      </c>
      <c r="Q376" t="s">
        <v>34</v>
      </c>
      <c r="R376" t="s">
        <v>34</v>
      </c>
      <c r="S376" t="s">
        <v>34</v>
      </c>
      <c r="T376" s="117">
        <v>0</v>
      </c>
    </row>
    <row r="377" spans="1:21" ht="14.5" customHeight="1" x14ac:dyDescent="0.35">
      <c r="A377" t="s">
        <v>20</v>
      </c>
      <c r="B377" t="s">
        <v>23</v>
      </c>
      <c r="C377" s="1">
        <v>45357</v>
      </c>
      <c r="D377">
        <f t="shared" si="24"/>
        <v>6</v>
      </c>
      <c r="E377">
        <f t="shared" si="25"/>
        <v>3</v>
      </c>
      <c r="F377">
        <f t="shared" si="26"/>
        <v>2024</v>
      </c>
      <c r="G377" t="s">
        <v>82</v>
      </c>
      <c r="H377" s="98">
        <v>9636</v>
      </c>
      <c r="I377" s="29">
        <v>5802.94</v>
      </c>
      <c r="J377" s="12" t="s">
        <v>31</v>
      </c>
      <c r="K377" s="29">
        <f t="shared" si="23"/>
        <v>5802.94</v>
      </c>
      <c r="L377">
        <v>1</v>
      </c>
      <c r="M377" s="29">
        <v>0</v>
      </c>
      <c r="N377" t="s">
        <v>32</v>
      </c>
      <c r="O377" t="s">
        <v>33</v>
      </c>
      <c r="P377" t="s">
        <v>34</v>
      </c>
      <c r="Q377" t="s">
        <v>34</v>
      </c>
      <c r="R377" t="s">
        <v>34</v>
      </c>
      <c r="S377" t="s">
        <v>34</v>
      </c>
      <c r="T377" s="117">
        <v>0</v>
      </c>
    </row>
    <row r="378" spans="1:21" ht="14.5" customHeight="1" x14ac:dyDescent="0.35">
      <c r="A378" t="s">
        <v>20</v>
      </c>
      <c r="B378" t="s">
        <v>24</v>
      </c>
      <c r="C378" s="1">
        <v>45357</v>
      </c>
      <c r="D378">
        <f t="shared" si="24"/>
        <v>6</v>
      </c>
      <c r="E378">
        <f t="shared" si="25"/>
        <v>3</v>
      </c>
      <c r="F378">
        <f t="shared" si="26"/>
        <v>2024</v>
      </c>
      <c r="G378" t="s">
        <v>85</v>
      </c>
      <c r="H378" s="98">
        <v>9937</v>
      </c>
      <c r="I378" s="29">
        <v>2241.5700000000002</v>
      </c>
      <c r="J378" s="12" t="s">
        <v>31</v>
      </c>
      <c r="K378" s="29">
        <f t="shared" si="23"/>
        <v>2241.5700000000002</v>
      </c>
      <c r="L378">
        <v>1</v>
      </c>
      <c r="M378" s="29">
        <v>0</v>
      </c>
      <c r="N378" t="s">
        <v>42</v>
      </c>
      <c r="O378" t="s">
        <v>33</v>
      </c>
      <c r="P378" t="s">
        <v>34</v>
      </c>
      <c r="Q378" t="s">
        <v>34</v>
      </c>
      <c r="R378" t="s">
        <v>34</v>
      </c>
      <c r="S378" t="s">
        <v>34</v>
      </c>
      <c r="T378" s="117">
        <v>0</v>
      </c>
    </row>
    <row r="379" spans="1:21" ht="14.5" customHeight="1" x14ac:dyDescent="0.35">
      <c r="A379" t="s">
        <v>20</v>
      </c>
      <c r="B379" t="s">
        <v>24</v>
      </c>
      <c r="C379" s="1">
        <v>45357</v>
      </c>
      <c r="D379">
        <f t="shared" si="24"/>
        <v>6</v>
      </c>
      <c r="E379">
        <f t="shared" si="25"/>
        <v>3</v>
      </c>
      <c r="F379">
        <f t="shared" si="26"/>
        <v>2024</v>
      </c>
      <c r="G379" t="s">
        <v>85</v>
      </c>
      <c r="H379" s="98">
        <v>9940</v>
      </c>
      <c r="I379" s="29">
        <v>93897.37</v>
      </c>
      <c r="J379" s="12" t="s">
        <v>31</v>
      </c>
      <c r="K379" s="29">
        <f t="shared" si="23"/>
        <v>93897.37</v>
      </c>
      <c r="L379">
        <v>1</v>
      </c>
      <c r="M379" s="29">
        <v>0</v>
      </c>
      <c r="N379" t="s">
        <v>42</v>
      </c>
      <c r="O379" t="s">
        <v>33</v>
      </c>
      <c r="P379" t="s">
        <v>34</v>
      </c>
      <c r="Q379" t="s">
        <v>34</v>
      </c>
      <c r="R379" t="s">
        <v>34</v>
      </c>
      <c r="S379" t="s">
        <v>34</v>
      </c>
      <c r="T379" s="117">
        <v>0</v>
      </c>
    </row>
    <row r="380" spans="1:21" ht="14.5" customHeight="1" x14ac:dyDescent="0.35">
      <c r="A380" t="s">
        <v>20</v>
      </c>
      <c r="B380" t="s">
        <v>25</v>
      </c>
      <c r="C380" s="1">
        <v>45357</v>
      </c>
      <c r="D380">
        <f t="shared" si="24"/>
        <v>6</v>
      </c>
      <c r="E380">
        <f t="shared" si="25"/>
        <v>3</v>
      </c>
      <c r="F380">
        <f t="shared" si="26"/>
        <v>2024</v>
      </c>
      <c r="G380" t="s">
        <v>107</v>
      </c>
      <c r="H380" s="98">
        <v>9759</v>
      </c>
      <c r="I380" s="29">
        <v>2977.78</v>
      </c>
      <c r="J380" s="12" t="s">
        <v>31</v>
      </c>
      <c r="K380" s="29">
        <f t="shared" si="23"/>
        <v>2977.78</v>
      </c>
      <c r="L380">
        <v>1</v>
      </c>
      <c r="M380" s="29">
        <v>0</v>
      </c>
      <c r="N380" t="s">
        <v>42</v>
      </c>
      <c r="O380" t="s">
        <v>33</v>
      </c>
      <c r="P380" t="s">
        <v>34</v>
      </c>
      <c r="Q380" t="s">
        <v>34</v>
      </c>
      <c r="R380" t="s">
        <v>34</v>
      </c>
      <c r="S380" t="s">
        <v>34</v>
      </c>
      <c r="T380" s="117">
        <v>0</v>
      </c>
    </row>
    <row r="381" spans="1:21" ht="14.5" customHeight="1" x14ac:dyDescent="0.35">
      <c r="A381" t="s">
        <v>20</v>
      </c>
      <c r="B381" t="s">
        <v>21</v>
      </c>
      <c r="C381" s="1">
        <v>45357</v>
      </c>
      <c r="D381">
        <f t="shared" si="24"/>
        <v>6</v>
      </c>
      <c r="E381">
        <f t="shared" si="25"/>
        <v>3</v>
      </c>
      <c r="F381">
        <f t="shared" si="26"/>
        <v>2024</v>
      </c>
      <c r="G381" t="s">
        <v>46</v>
      </c>
      <c r="H381" s="98">
        <v>9765</v>
      </c>
      <c r="I381" s="29">
        <v>13222.47</v>
      </c>
      <c r="J381" s="12" t="s">
        <v>31</v>
      </c>
      <c r="K381" s="29">
        <f t="shared" si="23"/>
        <v>13222.47</v>
      </c>
      <c r="L381">
        <v>1</v>
      </c>
      <c r="M381" s="29">
        <v>0</v>
      </c>
      <c r="N381" t="s">
        <v>42</v>
      </c>
      <c r="O381" t="s">
        <v>33</v>
      </c>
      <c r="P381" t="s">
        <v>34</v>
      </c>
      <c r="Q381" t="s">
        <v>34</v>
      </c>
      <c r="R381" t="s">
        <v>34</v>
      </c>
      <c r="S381" t="s">
        <v>34</v>
      </c>
      <c r="T381" s="117">
        <v>0</v>
      </c>
    </row>
    <row r="382" spans="1:21" ht="14.5" customHeight="1" x14ac:dyDescent="0.35">
      <c r="A382" t="s">
        <v>20</v>
      </c>
      <c r="B382" t="s">
        <v>21</v>
      </c>
      <c r="C382" s="1">
        <v>45357</v>
      </c>
      <c r="D382">
        <f t="shared" si="24"/>
        <v>6</v>
      </c>
      <c r="E382">
        <f t="shared" si="25"/>
        <v>3</v>
      </c>
      <c r="F382">
        <f t="shared" si="26"/>
        <v>2024</v>
      </c>
      <c r="G382" t="s">
        <v>46</v>
      </c>
      <c r="H382" s="98">
        <v>9767</v>
      </c>
      <c r="I382" s="29">
        <v>3940.13</v>
      </c>
      <c r="J382" s="12" t="s">
        <v>31</v>
      </c>
      <c r="K382" s="29">
        <f t="shared" si="23"/>
        <v>3940.13</v>
      </c>
      <c r="L382">
        <v>1</v>
      </c>
      <c r="M382" s="29">
        <v>0</v>
      </c>
      <c r="N382" t="s">
        <v>42</v>
      </c>
      <c r="O382" t="s">
        <v>33</v>
      </c>
      <c r="P382" t="s">
        <v>34</v>
      </c>
      <c r="Q382" t="s">
        <v>34</v>
      </c>
      <c r="R382" t="s">
        <v>34</v>
      </c>
      <c r="S382" t="s">
        <v>34</v>
      </c>
      <c r="T382" s="117">
        <v>0</v>
      </c>
    </row>
    <row r="383" spans="1:21" ht="14.5" customHeight="1" x14ac:dyDescent="0.35">
      <c r="A383" t="s">
        <v>20</v>
      </c>
      <c r="B383" t="s">
        <v>23</v>
      </c>
      <c r="C383" s="1">
        <v>45357</v>
      </c>
      <c r="D383">
        <f t="shared" si="24"/>
        <v>6</v>
      </c>
      <c r="E383">
        <f t="shared" si="25"/>
        <v>3</v>
      </c>
      <c r="F383">
        <f t="shared" si="26"/>
        <v>2024</v>
      </c>
      <c r="G383" t="s">
        <v>46</v>
      </c>
      <c r="H383" s="98">
        <v>10192</v>
      </c>
      <c r="I383" s="29">
        <v>97.7</v>
      </c>
      <c r="J383" s="12" t="s">
        <v>31</v>
      </c>
      <c r="K383" s="29">
        <f t="shared" si="23"/>
        <v>97.7</v>
      </c>
      <c r="L383">
        <v>1</v>
      </c>
      <c r="M383" s="29">
        <v>0</v>
      </c>
      <c r="N383" t="s">
        <v>42</v>
      </c>
      <c r="O383" t="s">
        <v>33</v>
      </c>
      <c r="P383" t="s">
        <v>34</v>
      </c>
      <c r="Q383" t="s">
        <v>34</v>
      </c>
      <c r="R383" t="s">
        <v>34</v>
      </c>
      <c r="S383" t="s">
        <v>34</v>
      </c>
      <c r="T383" s="117">
        <v>0</v>
      </c>
    </row>
    <row r="384" spans="1:21" ht="14.5" customHeight="1" x14ac:dyDescent="0.35">
      <c r="A384" t="s">
        <v>20</v>
      </c>
      <c r="B384" t="s">
        <v>23</v>
      </c>
      <c r="C384" s="1">
        <v>45357</v>
      </c>
      <c r="D384">
        <f t="shared" si="24"/>
        <v>6</v>
      </c>
      <c r="E384">
        <f t="shared" si="25"/>
        <v>3</v>
      </c>
      <c r="F384">
        <f t="shared" si="26"/>
        <v>2024</v>
      </c>
      <c r="G384" t="s">
        <v>46</v>
      </c>
      <c r="H384" s="98">
        <v>10266</v>
      </c>
      <c r="I384" s="29">
        <v>4307</v>
      </c>
      <c r="J384" s="12" t="s">
        <v>31</v>
      </c>
      <c r="K384" s="29">
        <f t="shared" si="23"/>
        <v>4307</v>
      </c>
      <c r="L384">
        <v>1</v>
      </c>
      <c r="M384" s="29">
        <v>0</v>
      </c>
      <c r="N384" t="s">
        <v>42</v>
      </c>
      <c r="O384" t="s">
        <v>33</v>
      </c>
      <c r="P384" t="s">
        <v>34</v>
      </c>
      <c r="Q384" t="s">
        <v>34</v>
      </c>
      <c r="R384" t="s">
        <v>34</v>
      </c>
      <c r="S384" t="s">
        <v>34</v>
      </c>
      <c r="T384" s="117">
        <v>0</v>
      </c>
      <c r="U384" s="209" t="s">
        <v>297</v>
      </c>
    </row>
    <row r="385" spans="1:21" ht="14.5" customHeight="1" x14ac:dyDescent="0.35">
      <c r="A385" t="s">
        <v>19</v>
      </c>
      <c r="B385" t="s">
        <v>19</v>
      </c>
      <c r="C385" s="1">
        <v>45357</v>
      </c>
      <c r="D385">
        <f t="shared" si="24"/>
        <v>6</v>
      </c>
      <c r="E385">
        <f t="shared" si="25"/>
        <v>3</v>
      </c>
      <c r="F385">
        <f t="shared" si="26"/>
        <v>2024</v>
      </c>
      <c r="G385" t="s">
        <v>228</v>
      </c>
      <c r="H385" s="98">
        <v>9469</v>
      </c>
      <c r="I385" s="90">
        <v>80132.45</v>
      </c>
      <c r="J385" s="12" t="s">
        <v>31</v>
      </c>
      <c r="K385" s="29">
        <f t="shared" ref="K385:K448" si="27">IF(J385="USD",I385,I385*L385)</f>
        <v>80132.45</v>
      </c>
      <c r="L385">
        <v>1</v>
      </c>
      <c r="M385" s="29">
        <v>0</v>
      </c>
      <c r="N385" t="s">
        <v>32</v>
      </c>
      <c r="O385" t="s">
        <v>33</v>
      </c>
      <c r="P385" t="s">
        <v>34</v>
      </c>
      <c r="Q385" t="s">
        <v>34</v>
      </c>
      <c r="R385" t="s">
        <v>34</v>
      </c>
      <c r="S385" t="s">
        <v>34</v>
      </c>
      <c r="T385" s="117">
        <v>0</v>
      </c>
    </row>
    <row r="386" spans="1:21" ht="14.5" customHeight="1" x14ac:dyDescent="0.35">
      <c r="A386" t="s">
        <v>19</v>
      </c>
      <c r="B386" t="s">
        <v>19</v>
      </c>
      <c r="C386" s="1">
        <v>45357</v>
      </c>
      <c r="D386">
        <f t="shared" ref="D386:D449" si="28">DAY(C386)</f>
        <v>6</v>
      </c>
      <c r="E386">
        <f t="shared" ref="E386:E449" si="29">MONTH(C386)</f>
        <v>3</v>
      </c>
      <c r="F386">
        <f t="shared" ref="F386:F449" si="30">YEAR(C386)</f>
        <v>2024</v>
      </c>
      <c r="G386" t="s">
        <v>110</v>
      </c>
      <c r="H386" s="98">
        <v>9492</v>
      </c>
      <c r="I386" s="29">
        <v>81143.16</v>
      </c>
      <c r="J386" s="12" t="s">
        <v>31</v>
      </c>
      <c r="K386" s="29">
        <f t="shared" si="27"/>
        <v>81143.16</v>
      </c>
      <c r="L386">
        <v>1</v>
      </c>
      <c r="M386" s="29">
        <v>0</v>
      </c>
      <c r="N386" t="s">
        <v>32</v>
      </c>
      <c r="O386" t="s">
        <v>33</v>
      </c>
      <c r="P386" t="s">
        <v>34</v>
      </c>
      <c r="Q386" t="s">
        <v>34</v>
      </c>
      <c r="R386" t="s">
        <v>34</v>
      </c>
      <c r="S386" t="s">
        <v>34</v>
      </c>
      <c r="T386" s="117">
        <v>0</v>
      </c>
    </row>
    <row r="387" spans="1:21" ht="14.5" customHeight="1" x14ac:dyDescent="0.35">
      <c r="A387" t="s">
        <v>19</v>
      </c>
      <c r="B387" t="s">
        <v>19</v>
      </c>
      <c r="C387" s="1">
        <v>45357</v>
      </c>
      <c r="D387">
        <f t="shared" si="28"/>
        <v>6</v>
      </c>
      <c r="E387">
        <f t="shared" si="29"/>
        <v>3</v>
      </c>
      <c r="F387">
        <f t="shared" si="30"/>
        <v>2024</v>
      </c>
      <c r="G387" t="s">
        <v>111</v>
      </c>
      <c r="H387" s="98">
        <v>9467</v>
      </c>
      <c r="I387" s="90">
        <v>149146.32</v>
      </c>
      <c r="J387" s="12" t="s">
        <v>31</v>
      </c>
      <c r="K387" s="29">
        <f t="shared" si="27"/>
        <v>149146.32</v>
      </c>
      <c r="L387">
        <v>1</v>
      </c>
      <c r="M387" s="29">
        <v>0</v>
      </c>
      <c r="N387" t="s">
        <v>32</v>
      </c>
      <c r="O387" t="s">
        <v>33</v>
      </c>
      <c r="P387" t="s">
        <v>34</v>
      </c>
      <c r="Q387" t="s">
        <v>34</v>
      </c>
      <c r="R387" t="s">
        <v>34</v>
      </c>
      <c r="S387" t="s">
        <v>34</v>
      </c>
      <c r="T387" s="117">
        <v>1144.99</v>
      </c>
    </row>
    <row r="388" spans="1:21" ht="14.5" customHeight="1" x14ac:dyDescent="0.35">
      <c r="A388" t="s">
        <v>19</v>
      </c>
      <c r="B388" t="s">
        <v>19</v>
      </c>
      <c r="C388" s="1">
        <v>45357</v>
      </c>
      <c r="D388">
        <f t="shared" si="28"/>
        <v>6</v>
      </c>
      <c r="E388">
        <f t="shared" si="29"/>
        <v>3</v>
      </c>
      <c r="F388">
        <f t="shared" si="30"/>
        <v>2024</v>
      </c>
      <c r="G388" t="s">
        <v>54</v>
      </c>
      <c r="H388" s="171">
        <v>9284</v>
      </c>
      <c r="I388" s="90">
        <v>101827.68</v>
      </c>
      <c r="J388" s="12" t="s">
        <v>31</v>
      </c>
      <c r="K388" s="29">
        <f t="shared" si="27"/>
        <v>101827.68</v>
      </c>
      <c r="L388">
        <v>1</v>
      </c>
      <c r="M388" s="29">
        <v>0</v>
      </c>
      <c r="N388" t="s">
        <v>32</v>
      </c>
      <c r="O388" t="s">
        <v>33</v>
      </c>
      <c r="P388" t="s">
        <v>34</v>
      </c>
      <c r="Q388" t="s">
        <v>34</v>
      </c>
      <c r="R388" t="s">
        <v>34</v>
      </c>
      <c r="S388" t="s">
        <v>34</v>
      </c>
      <c r="T388" s="117">
        <v>0</v>
      </c>
    </row>
    <row r="389" spans="1:21" ht="14.5" customHeight="1" x14ac:dyDescent="0.35">
      <c r="A389" t="s">
        <v>19</v>
      </c>
      <c r="B389" t="s">
        <v>19</v>
      </c>
      <c r="C389" s="1">
        <v>45357</v>
      </c>
      <c r="D389">
        <f t="shared" si="28"/>
        <v>6</v>
      </c>
      <c r="E389">
        <f t="shared" si="29"/>
        <v>3</v>
      </c>
      <c r="F389">
        <f t="shared" si="30"/>
        <v>2024</v>
      </c>
      <c r="G389" t="s">
        <v>43</v>
      </c>
      <c r="H389" s="98">
        <v>9928</v>
      </c>
      <c r="I389" s="29">
        <v>20070.669999999998</v>
      </c>
      <c r="J389" s="12" t="s">
        <v>31</v>
      </c>
      <c r="K389" s="29">
        <f t="shared" si="27"/>
        <v>20070.669999999998</v>
      </c>
      <c r="L389">
        <v>1</v>
      </c>
      <c r="M389" s="29">
        <v>0</v>
      </c>
      <c r="N389" t="s">
        <v>32</v>
      </c>
      <c r="O389" t="s">
        <v>33</v>
      </c>
      <c r="P389" t="s">
        <v>34</v>
      </c>
      <c r="Q389" t="s">
        <v>34</v>
      </c>
      <c r="R389" t="s">
        <v>34</v>
      </c>
      <c r="S389" t="s">
        <v>34</v>
      </c>
      <c r="T389" s="117">
        <v>0</v>
      </c>
    </row>
    <row r="390" spans="1:21" ht="14.5" customHeight="1" x14ac:dyDescent="0.35">
      <c r="A390" t="s">
        <v>19</v>
      </c>
      <c r="B390" t="s">
        <v>26</v>
      </c>
      <c r="C390" s="1">
        <v>45358</v>
      </c>
      <c r="D390">
        <f t="shared" si="28"/>
        <v>7</v>
      </c>
      <c r="E390">
        <f t="shared" si="29"/>
        <v>3</v>
      </c>
      <c r="F390">
        <f t="shared" si="30"/>
        <v>2024</v>
      </c>
      <c r="G390" t="s">
        <v>112</v>
      </c>
      <c r="H390" s="98">
        <v>10030</v>
      </c>
      <c r="I390" s="29">
        <v>10723.69</v>
      </c>
      <c r="J390" s="12" t="s">
        <v>51</v>
      </c>
      <c r="K390" s="29">
        <f t="shared" si="27"/>
        <v>11699.54579</v>
      </c>
      <c r="L390">
        <v>1.091</v>
      </c>
      <c r="M390" s="29">
        <v>0</v>
      </c>
      <c r="N390" t="s">
        <v>32</v>
      </c>
      <c r="O390" t="s">
        <v>33</v>
      </c>
      <c r="P390" t="s">
        <v>34</v>
      </c>
      <c r="Q390" t="s">
        <v>34</v>
      </c>
      <c r="R390" t="s">
        <v>34</v>
      </c>
      <c r="S390" t="s">
        <v>34</v>
      </c>
      <c r="T390" s="117">
        <v>0</v>
      </c>
      <c r="U390" s="209" t="s">
        <v>94</v>
      </c>
    </row>
    <row r="391" spans="1:21" ht="14.5" customHeight="1" x14ac:dyDescent="0.35">
      <c r="A391" t="s">
        <v>19</v>
      </c>
      <c r="B391" t="s">
        <v>26</v>
      </c>
      <c r="C391" s="1">
        <v>45358</v>
      </c>
      <c r="D391">
        <f t="shared" si="28"/>
        <v>7</v>
      </c>
      <c r="E391">
        <f t="shared" si="29"/>
        <v>3</v>
      </c>
      <c r="F391">
        <f t="shared" si="30"/>
        <v>2024</v>
      </c>
      <c r="G391" t="s">
        <v>112</v>
      </c>
      <c r="H391" s="98">
        <v>10053</v>
      </c>
      <c r="I391" s="29">
        <v>119649.12</v>
      </c>
      <c r="J391" s="12" t="s">
        <v>51</v>
      </c>
      <c r="K391" s="29">
        <f t="shared" si="27"/>
        <v>130537.18991999999</v>
      </c>
      <c r="L391">
        <v>1.091</v>
      </c>
      <c r="M391" s="29">
        <v>0</v>
      </c>
      <c r="N391" t="s">
        <v>32</v>
      </c>
      <c r="O391" t="s">
        <v>33</v>
      </c>
      <c r="P391" t="s">
        <v>34</v>
      </c>
      <c r="Q391" t="s">
        <v>34</v>
      </c>
      <c r="R391" t="s">
        <v>34</v>
      </c>
      <c r="S391" t="s">
        <v>34</v>
      </c>
      <c r="T391" s="117">
        <v>0</v>
      </c>
      <c r="U391" s="209" t="s">
        <v>94</v>
      </c>
    </row>
    <row r="392" spans="1:21" ht="14.5" customHeight="1" x14ac:dyDescent="0.35">
      <c r="A392" t="s">
        <v>19</v>
      </c>
      <c r="B392" t="s">
        <v>26</v>
      </c>
      <c r="C392" s="1">
        <v>45358</v>
      </c>
      <c r="D392">
        <f t="shared" si="28"/>
        <v>7</v>
      </c>
      <c r="E392">
        <f t="shared" si="29"/>
        <v>3</v>
      </c>
      <c r="F392">
        <f t="shared" si="30"/>
        <v>2024</v>
      </c>
      <c r="G392" t="s">
        <v>112</v>
      </c>
      <c r="H392" s="98">
        <v>10102</v>
      </c>
      <c r="I392" s="29">
        <v>20566.97</v>
      </c>
      <c r="J392" s="12" t="s">
        <v>51</v>
      </c>
      <c r="K392" s="29">
        <f t="shared" si="27"/>
        <v>22438.564269999999</v>
      </c>
      <c r="L392">
        <v>1.091</v>
      </c>
      <c r="M392" s="29">
        <v>0</v>
      </c>
      <c r="N392" t="s">
        <v>32</v>
      </c>
      <c r="O392" t="s">
        <v>33</v>
      </c>
      <c r="P392" t="s">
        <v>34</v>
      </c>
      <c r="Q392" t="s">
        <v>34</v>
      </c>
      <c r="R392" t="s">
        <v>34</v>
      </c>
      <c r="S392" t="s">
        <v>34</v>
      </c>
      <c r="T392" s="117">
        <v>0</v>
      </c>
      <c r="U392" s="209" t="s">
        <v>94</v>
      </c>
    </row>
    <row r="393" spans="1:21" ht="14.5" customHeight="1" x14ac:dyDescent="0.35">
      <c r="A393" t="s">
        <v>19</v>
      </c>
      <c r="B393" t="s">
        <v>26</v>
      </c>
      <c r="C393" s="1">
        <v>45358</v>
      </c>
      <c r="D393">
        <f t="shared" si="28"/>
        <v>7</v>
      </c>
      <c r="E393">
        <f t="shared" si="29"/>
        <v>3</v>
      </c>
      <c r="F393">
        <f t="shared" si="30"/>
        <v>2024</v>
      </c>
      <c r="G393" t="s">
        <v>187</v>
      </c>
      <c r="H393" s="98">
        <v>0</v>
      </c>
      <c r="I393" s="29">
        <v>20591.330000000002</v>
      </c>
      <c r="J393" s="12" t="s">
        <v>51</v>
      </c>
      <c r="K393" s="29">
        <f t="shared" si="27"/>
        <v>22465.141030000003</v>
      </c>
      <c r="L393">
        <v>1.091</v>
      </c>
      <c r="M393" s="29">
        <v>0</v>
      </c>
      <c r="N393" t="s">
        <v>32</v>
      </c>
      <c r="O393" t="s">
        <v>33</v>
      </c>
      <c r="P393" t="s">
        <v>34</v>
      </c>
      <c r="Q393" t="s">
        <v>34</v>
      </c>
      <c r="R393" t="s">
        <v>34</v>
      </c>
      <c r="S393" t="s">
        <v>34</v>
      </c>
      <c r="T393" s="117">
        <v>0</v>
      </c>
      <c r="U393" s="209" t="s">
        <v>94</v>
      </c>
    </row>
    <row r="394" spans="1:21" ht="14.5" customHeight="1" x14ac:dyDescent="0.35">
      <c r="A394" t="s">
        <v>19</v>
      </c>
      <c r="B394" t="s">
        <v>27</v>
      </c>
      <c r="C394" s="1">
        <v>45359</v>
      </c>
      <c r="D394">
        <f t="shared" si="28"/>
        <v>8</v>
      </c>
      <c r="E394">
        <f t="shared" si="29"/>
        <v>3</v>
      </c>
      <c r="F394">
        <f t="shared" si="30"/>
        <v>2024</v>
      </c>
      <c r="G394" t="s">
        <v>100</v>
      </c>
      <c r="H394" s="98">
        <v>9807</v>
      </c>
      <c r="I394" s="29">
        <v>29285.71</v>
      </c>
      <c r="J394" s="12" t="s">
        <v>31</v>
      </c>
      <c r="K394" s="29">
        <f t="shared" si="27"/>
        <v>29285.71</v>
      </c>
      <c r="L394">
        <v>1</v>
      </c>
      <c r="M394" s="29">
        <v>0</v>
      </c>
      <c r="N394" t="s">
        <v>32</v>
      </c>
      <c r="O394" t="s">
        <v>33</v>
      </c>
      <c r="P394" t="s">
        <v>34</v>
      </c>
      <c r="Q394" t="s">
        <v>34</v>
      </c>
      <c r="R394" t="s">
        <v>34</v>
      </c>
      <c r="S394" t="s">
        <v>34</v>
      </c>
      <c r="T394" s="117">
        <v>0</v>
      </c>
      <c r="U394" s="209" t="s">
        <v>501</v>
      </c>
    </row>
    <row r="395" spans="1:21" ht="14.5" customHeight="1" x14ac:dyDescent="0.35">
      <c r="A395" t="s">
        <v>19</v>
      </c>
      <c r="B395" t="s">
        <v>25</v>
      </c>
      <c r="C395" s="1">
        <v>45364</v>
      </c>
      <c r="D395">
        <f t="shared" si="28"/>
        <v>13</v>
      </c>
      <c r="E395">
        <f t="shared" si="29"/>
        <v>3</v>
      </c>
      <c r="F395">
        <f t="shared" si="30"/>
        <v>2024</v>
      </c>
      <c r="G395" t="s">
        <v>78</v>
      </c>
      <c r="H395" s="98">
        <v>10207</v>
      </c>
      <c r="I395" s="29">
        <v>52487.7</v>
      </c>
      <c r="J395" s="12" t="s">
        <v>51</v>
      </c>
      <c r="K395" s="29">
        <f t="shared" si="27"/>
        <v>57521.270430000004</v>
      </c>
      <c r="L395">
        <v>1.0959000000000001</v>
      </c>
      <c r="M395" s="29">
        <v>0</v>
      </c>
      <c r="N395" t="s">
        <v>42</v>
      </c>
      <c r="O395" t="s">
        <v>33</v>
      </c>
      <c r="P395" t="s">
        <v>34</v>
      </c>
      <c r="Q395" t="s">
        <v>34</v>
      </c>
      <c r="R395" t="s">
        <v>34</v>
      </c>
      <c r="S395" t="s">
        <v>34</v>
      </c>
      <c r="T395" s="117">
        <v>0</v>
      </c>
    </row>
    <row r="396" spans="1:21" ht="14.5" customHeight="1" x14ac:dyDescent="0.35">
      <c r="A396" t="s">
        <v>19</v>
      </c>
      <c r="B396" t="s">
        <v>21</v>
      </c>
      <c r="C396" s="1">
        <v>45364</v>
      </c>
      <c r="D396">
        <f t="shared" si="28"/>
        <v>13</v>
      </c>
      <c r="E396">
        <f t="shared" si="29"/>
        <v>3</v>
      </c>
      <c r="F396">
        <f t="shared" si="30"/>
        <v>2024</v>
      </c>
      <c r="G396" t="s">
        <v>36</v>
      </c>
      <c r="H396" s="98">
        <v>9571</v>
      </c>
      <c r="I396" s="29">
        <v>14117</v>
      </c>
      <c r="J396" s="12" t="s">
        <v>31</v>
      </c>
      <c r="K396" s="29">
        <f t="shared" si="27"/>
        <v>14117</v>
      </c>
      <c r="L396">
        <v>1</v>
      </c>
      <c r="M396" s="29">
        <v>0</v>
      </c>
      <c r="N396" t="s">
        <v>42</v>
      </c>
      <c r="O396" t="s">
        <v>33</v>
      </c>
      <c r="P396" t="s">
        <v>34</v>
      </c>
      <c r="Q396" t="s">
        <v>34</v>
      </c>
      <c r="R396" t="s">
        <v>34</v>
      </c>
      <c r="S396" t="s">
        <v>34</v>
      </c>
      <c r="T396" s="117">
        <v>0</v>
      </c>
    </row>
    <row r="397" spans="1:21" ht="14.5" customHeight="1" x14ac:dyDescent="0.35">
      <c r="A397" t="s">
        <v>19</v>
      </c>
      <c r="B397" t="s">
        <v>21</v>
      </c>
      <c r="C397" s="1">
        <v>45364</v>
      </c>
      <c r="D397">
        <f t="shared" si="28"/>
        <v>13</v>
      </c>
      <c r="E397">
        <f t="shared" si="29"/>
        <v>3</v>
      </c>
      <c r="F397">
        <f t="shared" si="30"/>
        <v>2024</v>
      </c>
      <c r="G397" t="s">
        <v>36</v>
      </c>
      <c r="H397" s="98">
        <v>9574</v>
      </c>
      <c r="I397" s="29">
        <v>57290.5</v>
      </c>
      <c r="J397" s="12" t="s">
        <v>31</v>
      </c>
      <c r="K397" s="29">
        <f t="shared" si="27"/>
        <v>57290.5</v>
      </c>
      <c r="L397">
        <v>1</v>
      </c>
      <c r="M397" s="29">
        <v>0</v>
      </c>
      <c r="N397" t="s">
        <v>32</v>
      </c>
      <c r="O397" t="s">
        <v>33</v>
      </c>
      <c r="P397" t="s">
        <v>34</v>
      </c>
      <c r="Q397" t="s">
        <v>34</v>
      </c>
      <c r="R397" t="s">
        <v>34</v>
      </c>
      <c r="S397" t="s">
        <v>34</v>
      </c>
      <c r="T397" s="117">
        <v>0</v>
      </c>
    </row>
    <row r="398" spans="1:21" ht="14.5" customHeight="1" x14ac:dyDescent="0.35">
      <c r="A398" t="s">
        <v>19</v>
      </c>
      <c r="B398" t="s">
        <v>25</v>
      </c>
      <c r="C398" s="1">
        <v>45364</v>
      </c>
      <c r="D398">
        <f t="shared" si="28"/>
        <v>13</v>
      </c>
      <c r="E398">
        <f t="shared" si="29"/>
        <v>3</v>
      </c>
      <c r="F398">
        <f t="shared" si="30"/>
        <v>2024</v>
      </c>
      <c r="G398" t="s">
        <v>1146</v>
      </c>
      <c r="H398" s="98">
        <v>10179</v>
      </c>
      <c r="I398" s="29">
        <v>225</v>
      </c>
      <c r="J398" s="12" t="s">
        <v>51</v>
      </c>
      <c r="K398" s="29">
        <f t="shared" si="27"/>
        <v>246.57750000000001</v>
      </c>
      <c r="L398">
        <v>1.0959000000000001</v>
      </c>
      <c r="M398" s="29">
        <v>0</v>
      </c>
      <c r="N398" t="s">
        <v>32</v>
      </c>
      <c r="O398" t="s">
        <v>33</v>
      </c>
      <c r="P398" t="s">
        <v>34</v>
      </c>
      <c r="Q398" t="s">
        <v>34</v>
      </c>
      <c r="R398" t="s">
        <v>34</v>
      </c>
      <c r="S398" t="s">
        <v>34</v>
      </c>
      <c r="T398" s="117">
        <v>0</v>
      </c>
    </row>
    <row r="399" spans="1:21" ht="14.5" customHeight="1" x14ac:dyDescent="0.35">
      <c r="A399" t="s">
        <v>19</v>
      </c>
      <c r="B399" t="s">
        <v>25</v>
      </c>
      <c r="C399" s="1">
        <v>45364</v>
      </c>
      <c r="D399">
        <f t="shared" si="28"/>
        <v>13</v>
      </c>
      <c r="E399">
        <f t="shared" si="29"/>
        <v>3</v>
      </c>
      <c r="F399">
        <f t="shared" si="30"/>
        <v>2024</v>
      </c>
      <c r="G399" t="s">
        <v>1146</v>
      </c>
      <c r="H399" s="98">
        <v>10206</v>
      </c>
      <c r="I399" s="29">
        <v>32323.11</v>
      </c>
      <c r="J399" s="12" t="s">
        <v>51</v>
      </c>
      <c r="K399" s="29">
        <f t="shared" si="27"/>
        <v>35422.896249000005</v>
      </c>
      <c r="L399">
        <v>1.0959000000000001</v>
      </c>
      <c r="M399" s="29">
        <v>0</v>
      </c>
      <c r="N399" t="s">
        <v>42</v>
      </c>
      <c r="O399" t="s">
        <v>33</v>
      </c>
      <c r="P399" t="s">
        <v>34</v>
      </c>
      <c r="Q399" t="s">
        <v>34</v>
      </c>
      <c r="R399" t="s">
        <v>34</v>
      </c>
      <c r="S399" t="s">
        <v>34</v>
      </c>
      <c r="T399" s="117">
        <v>0</v>
      </c>
    </row>
    <row r="400" spans="1:21" ht="14.5" customHeight="1" x14ac:dyDescent="0.35">
      <c r="A400" t="s">
        <v>19</v>
      </c>
      <c r="B400" t="s">
        <v>25</v>
      </c>
      <c r="C400" s="1">
        <v>45364</v>
      </c>
      <c r="D400">
        <f t="shared" si="28"/>
        <v>13</v>
      </c>
      <c r="E400">
        <f t="shared" si="29"/>
        <v>3</v>
      </c>
      <c r="F400">
        <f t="shared" si="30"/>
        <v>2024</v>
      </c>
      <c r="G400" t="s">
        <v>80</v>
      </c>
      <c r="H400" s="98">
        <v>9370</v>
      </c>
      <c r="I400" s="90">
        <v>22426.46</v>
      </c>
      <c r="J400" s="12" t="s">
        <v>31</v>
      </c>
      <c r="K400" s="29">
        <f t="shared" si="27"/>
        <v>22426.46</v>
      </c>
      <c r="L400">
        <v>1</v>
      </c>
      <c r="M400" s="29">
        <v>0</v>
      </c>
      <c r="N400" t="s">
        <v>32</v>
      </c>
      <c r="O400" t="s">
        <v>33</v>
      </c>
      <c r="P400" t="s">
        <v>34</v>
      </c>
      <c r="Q400" t="s">
        <v>34</v>
      </c>
      <c r="R400" t="s">
        <v>34</v>
      </c>
      <c r="S400" t="s">
        <v>34</v>
      </c>
      <c r="T400" s="117">
        <v>0</v>
      </c>
    </row>
    <row r="401" spans="1:20" ht="14.5" customHeight="1" x14ac:dyDescent="0.35">
      <c r="A401" t="s">
        <v>19</v>
      </c>
      <c r="B401" t="s">
        <v>27</v>
      </c>
      <c r="C401" s="1">
        <v>45364</v>
      </c>
      <c r="D401">
        <f t="shared" si="28"/>
        <v>13</v>
      </c>
      <c r="E401">
        <f t="shared" si="29"/>
        <v>3</v>
      </c>
      <c r="F401">
        <f t="shared" si="30"/>
        <v>2024</v>
      </c>
      <c r="G401" t="s">
        <v>100</v>
      </c>
      <c r="H401" s="98">
        <v>10002</v>
      </c>
      <c r="I401" s="29">
        <v>1352.94</v>
      </c>
      <c r="J401" s="12" t="s">
        <v>31</v>
      </c>
      <c r="K401" s="29">
        <f t="shared" si="27"/>
        <v>1352.94</v>
      </c>
      <c r="L401">
        <v>1</v>
      </c>
      <c r="M401" s="29">
        <v>0</v>
      </c>
      <c r="N401" t="s">
        <v>32</v>
      </c>
      <c r="O401" t="s">
        <v>33</v>
      </c>
      <c r="P401" t="s">
        <v>34</v>
      </c>
      <c r="Q401" t="s">
        <v>34</v>
      </c>
      <c r="R401" t="s">
        <v>34</v>
      </c>
      <c r="S401" t="s">
        <v>34</v>
      </c>
      <c r="T401" s="117">
        <v>0</v>
      </c>
    </row>
    <row r="402" spans="1:20" ht="14.5" customHeight="1" x14ac:dyDescent="0.35">
      <c r="A402" t="s">
        <v>19</v>
      </c>
      <c r="B402" t="s">
        <v>27</v>
      </c>
      <c r="C402" s="1">
        <v>45364</v>
      </c>
      <c r="D402">
        <f t="shared" si="28"/>
        <v>13</v>
      </c>
      <c r="E402">
        <f t="shared" si="29"/>
        <v>3</v>
      </c>
      <c r="F402">
        <f t="shared" si="30"/>
        <v>2024</v>
      </c>
      <c r="G402" t="s">
        <v>100</v>
      </c>
      <c r="H402" s="98">
        <v>9988</v>
      </c>
      <c r="I402" s="29">
        <v>8765.2900000000009</v>
      </c>
      <c r="J402" s="12" t="s">
        <v>31</v>
      </c>
      <c r="K402" s="29">
        <f t="shared" si="27"/>
        <v>8765.2900000000009</v>
      </c>
      <c r="L402">
        <v>1</v>
      </c>
      <c r="M402" s="29">
        <v>0</v>
      </c>
      <c r="N402" t="s">
        <v>32</v>
      </c>
      <c r="O402" t="s">
        <v>33</v>
      </c>
      <c r="P402" t="s">
        <v>34</v>
      </c>
      <c r="Q402" t="s">
        <v>34</v>
      </c>
      <c r="R402" t="s">
        <v>34</v>
      </c>
      <c r="S402" t="s">
        <v>34</v>
      </c>
      <c r="T402" s="117">
        <v>0</v>
      </c>
    </row>
    <row r="403" spans="1:20" ht="14.5" customHeight="1" x14ac:dyDescent="0.35">
      <c r="A403" t="s">
        <v>19</v>
      </c>
      <c r="B403" t="s">
        <v>27</v>
      </c>
      <c r="C403" s="1">
        <v>45364</v>
      </c>
      <c r="D403">
        <f t="shared" si="28"/>
        <v>13</v>
      </c>
      <c r="E403">
        <f t="shared" si="29"/>
        <v>3</v>
      </c>
      <c r="F403">
        <f t="shared" si="30"/>
        <v>2024</v>
      </c>
      <c r="G403" t="s">
        <v>100</v>
      </c>
      <c r="H403" s="98">
        <v>9960</v>
      </c>
      <c r="I403" s="29">
        <v>128350.83</v>
      </c>
      <c r="J403" s="12" t="s">
        <v>31</v>
      </c>
      <c r="K403" s="29">
        <f t="shared" si="27"/>
        <v>128350.83</v>
      </c>
      <c r="L403">
        <v>1</v>
      </c>
      <c r="M403" s="29">
        <v>0</v>
      </c>
      <c r="N403" t="s">
        <v>32</v>
      </c>
      <c r="O403" t="s">
        <v>33</v>
      </c>
      <c r="P403" t="s">
        <v>34</v>
      </c>
      <c r="Q403" t="s">
        <v>34</v>
      </c>
      <c r="R403" t="s">
        <v>34</v>
      </c>
      <c r="S403" t="s">
        <v>34</v>
      </c>
      <c r="T403" s="117">
        <v>0</v>
      </c>
    </row>
    <row r="404" spans="1:20" ht="14.5" customHeight="1" x14ac:dyDescent="0.35">
      <c r="A404" t="s">
        <v>19</v>
      </c>
      <c r="B404" t="s">
        <v>25</v>
      </c>
      <c r="C404" s="1">
        <v>45364</v>
      </c>
      <c r="D404">
        <f t="shared" si="28"/>
        <v>13</v>
      </c>
      <c r="E404">
        <f t="shared" si="29"/>
        <v>3</v>
      </c>
      <c r="F404">
        <f t="shared" si="30"/>
        <v>2024</v>
      </c>
      <c r="G404" t="s">
        <v>113</v>
      </c>
      <c r="H404" s="98">
        <v>9359</v>
      </c>
      <c r="I404" s="90">
        <v>1561</v>
      </c>
      <c r="J404" s="12" t="s">
        <v>51</v>
      </c>
      <c r="K404" s="29">
        <f t="shared" si="27"/>
        <v>1710.6999000000001</v>
      </c>
      <c r="L404">
        <v>1.0959000000000001</v>
      </c>
      <c r="M404" s="29">
        <v>0</v>
      </c>
      <c r="N404" t="s">
        <v>32</v>
      </c>
      <c r="O404" t="s">
        <v>33</v>
      </c>
      <c r="P404" t="s">
        <v>34</v>
      </c>
      <c r="Q404" t="s">
        <v>34</v>
      </c>
      <c r="R404" t="s">
        <v>34</v>
      </c>
      <c r="S404" t="s">
        <v>34</v>
      </c>
      <c r="T404" s="117">
        <v>0</v>
      </c>
    </row>
    <row r="405" spans="1:20" ht="14.5" customHeight="1" x14ac:dyDescent="0.35">
      <c r="A405" t="s">
        <v>19</v>
      </c>
      <c r="B405" t="s">
        <v>21</v>
      </c>
      <c r="C405" s="1">
        <v>45364</v>
      </c>
      <c r="D405">
        <f t="shared" si="28"/>
        <v>13</v>
      </c>
      <c r="E405">
        <f t="shared" si="29"/>
        <v>3</v>
      </c>
      <c r="F405">
        <f t="shared" si="30"/>
        <v>2024</v>
      </c>
      <c r="G405" t="s">
        <v>40</v>
      </c>
      <c r="H405" s="98">
        <v>9179</v>
      </c>
      <c r="I405" s="29">
        <v>150</v>
      </c>
      <c r="J405" s="12" t="s">
        <v>31</v>
      </c>
      <c r="K405" s="29">
        <f t="shared" si="27"/>
        <v>150</v>
      </c>
      <c r="L405">
        <v>1</v>
      </c>
      <c r="M405" s="29">
        <v>0</v>
      </c>
      <c r="N405" t="s">
        <v>32</v>
      </c>
      <c r="O405" t="s">
        <v>33</v>
      </c>
      <c r="P405" t="s">
        <v>34</v>
      </c>
      <c r="Q405" t="s">
        <v>34</v>
      </c>
      <c r="R405" t="s">
        <v>34</v>
      </c>
      <c r="S405" t="s">
        <v>34</v>
      </c>
      <c r="T405" s="117">
        <v>0</v>
      </c>
    </row>
    <row r="406" spans="1:20" ht="14.5" customHeight="1" x14ac:dyDescent="0.35">
      <c r="A406" t="s">
        <v>19</v>
      </c>
      <c r="B406" t="s">
        <v>21</v>
      </c>
      <c r="C406" s="1">
        <v>45364</v>
      </c>
      <c r="D406">
        <f t="shared" si="28"/>
        <v>13</v>
      </c>
      <c r="E406">
        <f t="shared" si="29"/>
        <v>3</v>
      </c>
      <c r="F406">
        <f t="shared" si="30"/>
        <v>2024</v>
      </c>
      <c r="G406" t="s">
        <v>40</v>
      </c>
      <c r="H406" s="98">
        <v>9608</v>
      </c>
      <c r="I406" s="29">
        <v>32.6</v>
      </c>
      <c r="J406" s="12" t="s">
        <v>31</v>
      </c>
      <c r="K406" s="29">
        <f t="shared" si="27"/>
        <v>32.6</v>
      </c>
      <c r="L406">
        <v>1</v>
      </c>
      <c r="M406" s="29">
        <v>0</v>
      </c>
      <c r="N406" t="s">
        <v>32</v>
      </c>
      <c r="O406" t="s">
        <v>33</v>
      </c>
      <c r="P406" t="s">
        <v>34</v>
      </c>
      <c r="Q406" t="s">
        <v>34</v>
      </c>
      <c r="R406" t="s">
        <v>34</v>
      </c>
      <c r="S406" t="s">
        <v>34</v>
      </c>
      <c r="T406" s="117">
        <v>0</v>
      </c>
    </row>
    <row r="407" spans="1:20" ht="14.5" customHeight="1" x14ac:dyDescent="0.35">
      <c r="A407" t="s">
        <v>19</v>
      </c>
      <c r="B407" t="s">
        <v>23</v>
      </c>
      <c r="C407" s="1">
        <v>45364</v>
      </c>
      <c r="D407">
        <f t="shared" si="28"/>
        <v>13</v>
      </c>
      <c r="E407">
        <f t="shared" si="29"/>
        <v>3</v>
      </c>
      <c r="F407">
        <f t="shared" si="30"/>
        <v>2024</v>
      </c>
      <c r="G407" t="s">
        <v>76</v>
      </c>
      <c r="H407" s="98">
        <v>9954</v>
      </c>
      <c r="I407" s="29">
        <v>60578.25</v>
      </c>
      <c r="J407" s="12" t="s">
        <v>31</v>
      </c>
      <c r="K407" s="29">
        <f t="shared" si="27"/>
        <v>60578.25</v>
      </c>
      <c r="L407">
        <v>1</v>
      </c>
      <c r="M407" s="29">
        <v>0</v>
      </c>
      <c r="N407" t="s">
        <v>32</v>
      </c>
      <c r="O407" t="s">
        <v>33</v>
      </c>
      <c r="P407" t="s">
        <v>34</v>
      </c>
      <c r="Q407" t="s">
        <v>34</v>
      </c>
      <c r="R407" t="s">
        <v>34</v>
      </c>
      <c r="S407" t="s">
        <v>34</v>
      </c>
      <c r="T407" s="117">
        <v>0</v>
      </c>
    </row>
    <row r="408" spans="1:20" ht="14.5" customHeight="1" x14ac:dyDescent="0.35">
      <c r="A408" t="s">
        <v>19</v>
      </c>
      <c r="B408" t="s">
        <v>21</v>
      </c>
      <c r="C408" s="1">
        <v>45364</v>
      </c>
      <c r="D408">
        <f t="shared" si="28"/>
        <v>13</v>
      </c>
      <c r="E408">
        <f t="shared" si="29"/>
        <v>3</v>
      </c>
      <c r="F408">
        <f t="shared" si="30"/>
        <v>2024</v>
      </c>
      <c r="G408" t="s">
        <v>76</v>
      </c>
      <c r="H408" s="98">
        <v>9568</v>
      </c>
      <c r="I408" s="29">
        <v>27.2</v>
      </c>
      <c r="J408" s="12" t="s">
        <v>31</v>
      </c>
      <c r="K408" s="29">
        <f t="shared" si="27"/>
        <v>27.2</v>
      </c>
      <c r="L408">
        <v>1</v>
      </c>
      <c r="M408" s="29">
        <v>0</v>
      </c>
      <c r="N408" t="s">
        <v>32</v>
      </c>
      <c r="O408" t="s">
        <v>33</v>
      </c>
      <c r="P408" t="s">
        <v>34</v>
      </c>
      <c r="Q408" t="s">
        <v>34</v>
      </c>
      <c r="R408" t="s">
        <v>34</v>
      </c>
      <c r="S408" t="s">
        <v>34</v>
      </c>
      <c r="T408" s="117">
        <v>0</v>
      </c>
    </row>
    <row r="409" spans="1:20" ht="14.5" customHeight="1" x14ac:dyDescent="0.35">
      <c r="A409" t="s">
        <v>20</v>
      </c>
      <c r="B409" t="s">
        <v>24</v>
      </c>
      <c r="C409" s="1">
        <v>45364</v>
      </c>
      <c r="D409">
        <f t="shared" si="28"/>
        <v>13</v>
      </c>
      <c r="E409">
        <f t="shared" si="29"/>
        <v>3</v>
      </c>
      <c r="F409">
        <f t="shared" si="30"/>
        <v>2024</v>
      </c>
      <c r="G409" t="s">
        <v>81</v>
      </c>
      <c r="H409" s="98">
        <v>9829</v>
      </c>
      <c r="I409" s="29">
        <v>26137.5</v>
      </c>
      <c r="J409" s="12" t="s">
        <v>31</v>
      </c>
      <c r="K409" s="29">
        <f t="shared" si="27"/>
        <v>26137.5</v>
      </c>
      <c r="L409">
        <v>1</v>
      </c>
      <c r="M409" s="29">
        <v>0</v>
      </c>
      <c r="N409" t="s">
        <v>32</v>
      </c>
      <c r="O409" t="s">
        <v>33</v>
      </c>
      <c r="P409" t="s">
        <v>34</v>
      </c>
      <c r="Q409" t="s">
        <v>34</v>
      </c>
      <c r="R409" t="s">
        <v>34</v>
      </c>
      <c r="S409" t="s">
        <v>34</v>
      </c>
      <c r="T409" s="117">
        <v>0</v>
      </c>
    </row>
    <row r="410" spans="1:20" ht="14.5" customHeight="1" x14ac:dyDescent="0.35">
      <c r="A410" t="s">
        <v>20</v>
      </c>
      <c r="B410" t="s">
        <v>23</v>
      </c>
      <c r="C410" s="1">
        <v>45364</v>
      </c>
      <c r="D410">
        <f t="shared" si="28"/>
        <v>13</v>
      </c>
      <c r="E410">
        <f t="shared" si="29"/>
        <v>3</v>
      </c>
      <c r="F410">
        <f t="shared" si="30"/>
        <v>2024</v>
      </c>
      <c r="G410" t="s">
        <v>164</v>
      </c>
      <c r="H410" s="98">
        <v>9355</v>
      </c>
      <c r="I410" s="90">
        <v>5645.46</v>
      </c>
      <c r="J410" s="12" t="s">
        <v>31</v>
      </c>
      <c r="K410" s="29">
        <f t="shared" si="27"/>
        <v>5645.46</v>
      </c>
      <c r="L410">
        <v>1</v>
      </c>
      <c r="M410" s="29">
        <v>0</v>
      </c>
      <c r="N410" t="s">
        <v>32</v>
      </c>
      <c r="O410" t="s">
        <v>33</v>
      </c>
      <c r="P410" t="s">
        <v>34</v>
      </c>
      <c r="Q410" t="s">
        <v>34</v>
      </c>
      <c r="R410" t="s">
        <v>34</v>
      </c>
      <c r="S410" t="s">
        <v>34</v>
      </c>
      <c r="T410" s="117">
        <v>0</v>
      </c>
    </row>
    <row r="411" spans="1:20" ht="14.5" customHeight="1" x14ac:dyDescent="0.35">
      <c r="A411" t="s">
        <v>20</v>
      </c>
      <c r="B411" t="s">
        <v>25</v>
      </c>
      <c r="C411" s="1">
        <v>45364</v>
      </c>
      <c r="D411">
        <f t="shared" si="28"/>
        <v>13</v>
      </c>
      <c r="E411">
        <f t="shared" si="29"/>
        <v>3</v>
      </c>
      <c r="F411">
        <f t="shared" si="30"/>
        <v>2024</v>
      </c>
      <c r="G411" s="4" t="s">
        <v>96</v>
      </c>
      <c r="H411" s="98">
        <v>9790</v>
      </c>
      <c r="I411" s="29">
        <v>249</v>
      </c>
      <c r="J411" s="12" t="s">
        <v>31</v>
      </c>
      <c r="K411" s="29">
        <f t="shared" si="27"/>
        <v>249</v>
      </c>
      <c r="L411">
        <v>1</v>
      </c>
      <c r="M411" s="29">
        <v>0</v>
      </c>
      <c r="N411" t="s">
        <v>32</v>
      </c>
      <c r="O411" t="s">
        <v>33</v>
      </c>
      <c r="P411" t="s">
        <v>34</v>
      </c>
      <c r="Q411" t="s">
        <v>34</v>
      </c>
      <c r="R411" t="s">
        <v>34</v>
      </c>
      <c r="S411" t="s">
        <v>34</v>
      </c>
      <c r="T411" s="117">
        <v>0</v>
      </c>
    </row>
    <row r="412" spans="1:20" ht="14.5" customHeight="1" x14ac:dyDescent="0.35">
      <c r="A412" t="s">
        <v>20</v>
      </c>
      <c r="B412" t="s">
        <v>23</v>
      </c>
      <c r="C412" s="1">
        <v>45364</v>
      </c>
      <c r="D412">
        <f t="shared" si="28"/>
        <v>13</v>
      </c>
      <c r="E412">
        <f t="shared" si="29"/>
        <v>3</v>
      </c>
      <c r="F412">
        <f t="shared" si="30"/>
        <v>2024</v>
      </c>
      <c r="G412" t="s">
        <v>165</v>
      </c>
      <c r="H412" s="98">
        <v>10210</v>
      </c>
      <c r="I412" s="29">
        <v>23.52</v>
      </c>
      <c r="J412" s="12" t="s">
        <v>31</v>
      </c>
      <c r="K412" s="29">
        <f t="shared" si="27"/>
        <v>23.52</v>
      </c>
      <c r="L412">
        <v>1</v>
      </c>
      <c r="M412" s="29">
        <v>0</v>
      </c>
      <c r="N412" t="s">
        <v>32</v>
      </c>
      <c r="O412" t="s">
        <v>33</v>
      </c>
      <c r="P412" t="s">
        <v>34</v>
      </c>
      <c r="Q412" t="s">
        <v>34</v>
      </c>
      <c r="R412" t="s">
        <v>34</v>
      </c>
      <c r="S412" t="s">
        <v>34</v>
      </c>
      <c r="T412" s="117">
        <v>0</v>
      </c>
    </row>
    <row r="413" spans="1:20" ht="14.5" customHeight="1" x14ac:dyDescent="0.35">
      <c r="A413" t="s">
        <v>20</v>
      </c>
      <c r="B413" t="s">
        <v>23</v>
      </c>
      <c r="C413" s="1">
        <v>45364</v>
      </c>
      <c r="D413">
        <f t="shared" si="28"/>
        <v>13</v>
      </c>
      <c r="E413">
        <f t="shared" si="29"/>
        <v>3</v>
      </c>
      <c r="F413">
        <f t="shared" si="30"/>
        <v>2024</v>
      </c>
      <c r="G413" t="s">
        <v>165</v>
      </c>
      <c r="H413" s="98">
        <v>10211</v>
      </c>
      <c r="I413" s="29">
        <v>2217.6</v>
      </c>
      <c r="J413" s="12" t="s">
        <v>31</v>
      </c>
      <c r="K413" s="29">
        <f t="shared" si="27"/>
        <v>2217.6</v>
      </c>
      <c r="L413">
        <v>1</v>
      </c>
      <c r="M413" s="29">
        <v>0</v>
      </c>
      <c r="N413" t="s">
        <v>42</v>
      </c>
      <c r="O413" t="s">
        <v>33</v>
      </c>
      <c r="P413" t="s">
        <v>34</v>
      </c>
      <c r="Q413" t="s">
        <v>34</v>
      </c>
      <c r="R413" t="s">
        <v>34</v>
      </c>
      <c r="S413" t="s">
        <v>34</v>
      </c>
      <c r="T413" s="117">
        <v>0</v>
      </c>
    </row>
    <row r="414" spans="1:20" ht="14.5" customHeight="1" x14ac:dyDescent="0.35">
      <c r="A414" t="s">
        <v>20</v>
      </c>
      <c r="B414" t="s">
        <v>21</v>
      </c>
      <c r="C414" s="1">
        <v>45364</v>
      </c>
      <c r="D414">
        <f t="shared" si="28"/>
        <v>13</v>
      </c>
      <c r="E414">
        <f t="shared" si="29"/>
        <v>3</v>
      </c>
      <c r="F414">
        <f t="shared" si="30"/>
        <v>2024</v>
      </c>
      <c r="G414" t="s">
        <v>48</v>
      </c>
      <c r="H414" s="98">
        <v>10075</v>
      </c>
      <c r="I414" s="29">
        <v>4136.4399999999996</v>
      </c>
      <c r="J414" s="12" t="s">
        <v>31</v>
      </c>
      <c r="K414" s="29">
        <f t="shared" si="27"/>
        <v>4136.4399999999996</v>
      </c>
      <c r="L414">
        <v>1</v>
      </c>
      <c r="M414" s="29">
        <v>0</v>
      </c>
      <c r="N414" t="s">
        <v>42</v>
      </c>
      <c r="O414" t="s">
        <v>33</v>
      </c>
      <c r="P414" t="s">
        <v>34</v>
      </c>
      <c r="Q414" t="s">
        <v>34</v>
      </c>
      <c r="R414" t="s">
        <v>34</v>
      </c>
      <c r="S414" t="s">
        <v>34</v>
      </c>
      <c r="T414" s="117">
        <v>0</v>
      </c>
    </row>
    <row r="415" spans="1:20" ht="14.5" customHeight="1" x14ac:dyDescent="0.35">
      <c r="A415" t="s">
        <v>20</v>
      </c>
      <c r="B415" t="s">
        <v>21</v>
      </c>
      <c r="C415" s="1">
        <v>45364</v>
      </c>
      <c r="D415">
        <f t="shared" si="28"/>
        <v>13</v>
      </c>
      <c r="E415">
        <f t="shared" si="29"/>
        <v>3</v>
      </c>
      <c r="F415">
        <f t="shared" si="30"/>
        <v>2024</v>
      </c>
      <c r="G415" t="s">
        <v>82</v>
      </c>
      <c r="H415" s="98">
        <v>9977</v>
      </c>
      <c r="I415" s="29">
        <v>51.4</v>
      </c>
      <c r="J415" s="12" t="s">
        <v>31</v>
      </c>
      <c r="K415" s="29">
        <f t="shared" si="27"/>
        <v>51.4</v>
      </c>
      <c r="L415">
        <v>1</v>
      </c>
      <c r="M415" s="29">
        <v>0</v>
      </c>
      <c r="N415" t="s">
        <v>32</v>
      </c>
      <c r="O415" t="s">
        <v>33</v>
      </c>
      <c r="P415" t="s">
        <v>34</v>
      </c>
      <c r="Q415" t="s">
        <v>34</v>
      </c>
      <c r="R415" t="s">
        <v>34</v>
      </c>
      <c r="S415" t="s">
        <v>34</v>
      </c>
      <c r="T415" s="117">
        <v>0</v>
      </c>
    </row>
    <row r="416" spans="1:20" ht="14.5" customHeight="1" x14ac:dyDescent="0.35">
      <c r="A416" t="s">
        <v>20</v>
      </c>
      <c r="B416" t="s">
        <v>23</v>
      </c>
      <c r="C416" s="1">
        <v>45364</v>
      </c>
      <c r="D416">
        <f t="shared" si="28"/>
        <v>13</v>
      </c>
      <c r="E416">
        <f t="shared" si="29"/>
        <v>3</v>
      </c>
      <c r="F416">
        <f t="shared" si="30"/>
        <v>2024</v>
      </c>
      <c r="G416" t="s">
        <v>82</v>
      </c>
      <c r="H416" s="98">
        <v>10023</v>
      </c>
      <c r="I416" s="29">
        <v>25</v>
      </c>
      <c r="J416" s="12" t="s">
        <v>31</v>
      </c>
      <c r="K416" s="29">
        <f t="shared" si="27"/>
        <v>25</v>
      </c>
      <c r="L416">
        <v>1</v>
      </c>
      <c r="M416" s="29">
        <v>0</v>
      </c>
      <c r="N416" t="s">
        <v>32</v>
      </c>
      <c r="O416" t="s">
        <v>33</v>
      </c>
      <c r="P416" t="s">
        <v>34</v>
      </c>
      <c r="Q416" t="s">
        <v>34</v>
      </c>
      <c r="R416" t="s">
        <v>34</v>
      </c>
      <c r="S416" t="s">
        <v>34</v>
      </c>
      <c r="T416" s="117">
        <v>0</v>
      </c>
    </row>
    <row r="417" spans="1:21" ht="14.5" customHeight="1" x14ac:dyDescent="0.35">
      <c r="A417" t="s">
        <v>20</v>
      </c>
      <c r="B417" t="s">
        <v>23</v>
      </c>
      <c r="C417" s="1">
        <v>45364</v>
      </c>
      <c r="D417">
        <f t="shared" si="28"/>
        <v>13</v>
      </c>
      <c r="E417">
        <f t="shared" si="29"/>
        <v>3</v>
      </c>
      <c r="F417">
        <f t="shared" si="30"/>
        <v>2024</v>
      </c>
      <c r="G417" t="s">
        <v>82</v>
      </c>
      <c r="H417" s="98">
        <v>9800</v>
      </c>
      <c r="I417" s="29">
        <v>16879.669999999998</v>
      </c>
      <c r="J417" s="12" t="s">
        <v>31</v>
      </c>
      <c r="K417" s="29">
        <f t="shared" si="27"/>
        <v>16879.669999999998</v>
      </c>
      <c r="L417">
        <v>1</v>
      </c>
      <c r="M417" s="29">
        <v>0</v>
      </c>
      <c r="N417" t="s">
        <v>32</v>
      </c>
      <c r="O417" t="s">
        <v>33</v>
      </c>
      <c r="P417" t="s">
        <v>34</v>
      </c>
      <c r="Q417" t="s">
        <v>34</v>
      </c>
      <c r="R417" t="s">
        <v>34</v>
      </c>
      <c r="S417" t="s">
        <v>34</v>
      </c>
      <c r="T417" s="117">
        <v>0</v>
      </c>
    </row>
    <row r="418" spans="1:21" ht="14.5" customHeight="1" x14ac:dyDescent="0.35">
      <c r="A418" t="s">
        <v>20</v>
      </c>
      <c r="B418" t="s">
        <v>24</v>
      </c>
      <c r="C418" s="1">
        <v>45364</v>
      </c>
      <c r="D418">
        <f t="shared" si="28"/>
        <v>13</v>
      </c>
      <c r="E418">
        <f t="shared" si="29"/>
        <v>3</v>
      </c>
      <c r="F418">
        <f t="shared" si="30"/>
        <v>2024</v>
      </c>
      <c r="G418" t="s">
        <v>43</v>
      </c>
      <c r="H418" s="98">
        <v>9776</v>
      </c>
      <c r="I418" s="29">
        <v>118.8</v>
      </c>
      <c r="J418" s="12" t="s">
        <v>31</v>
      </c>
      <c r="K418" s="29">
        <f t="shared" si="27"/>
        <v>118.8</v>
      </c>
      <c r="L418">
        <v>1</v>
      </c>
      <c r="M418" s="29">
        <v>0</v>
      </c>
      <c r="N418" t="s">
        <v>32</v>
      </c>
      <c r="O418" t="s">
        <v>33</v>
      </c>
      <c r="P418" t="s">
        <v>34</v>
      </c>
      <c r="Q418" t="s">
        <v>34</v>
      </c>
      <c r="R418" t="s">
        <v>34</v>
      </c>
      <c r="S418" t="s">
        <v>34</v>
      </c>
      <c r="T418" s="117">
        <v>0</v>
      </c>
    </row>
    <row r="419" spans="1:21" ht="14.5" customHeight="1" x14ac:dyDescent="0.35">
      <c r="A419" t="s">
        <v>20</v>
      </c>
      <c r="B419" t="s">
        <v>21</v>
      </c>
      <c r="C419" s="1">
        <v>45364</v>
      </c>
      <c r="D419">
        <f t="shared" si="28"/>
        <v>13</v>
      </c>
      <c r="E419">
        <f t="shared" si="29"/>
        <v>3</v>
      </c>
      <c r="F419">
        <f t="shared" si="30"/>
        <v>2024</v>
      </c>
      <c r="G419" t="s">
        <v>43</v>
      </c>
      <c r="H419" s="98">
        <v>9979</v>
      </c>
      <c r="I419" s="29">
        <v>44</v>
      </c>
      <c r="J419" s="12" t="s">
        <v>31</v>
      </c>
      <c r="K419" s="29">
        <f t="shared" si="27"/>
        <v>44</v>
      </c>
      <c r="L419">
        <v>1</v>
      </c>
      <c r="M419" s="29">
        <v>0</v>
      </c>
      <c r="N419" t="s">
        <v>32</v>
      </c>
      <c r="O419" t="s">
        <v>33</v>
      </c>
      <c r="P419" t="s">
        <v>34</v>
      </c>
      <c r="Q419" t="s">
        <v>34</v>
      </c>
      <c r="R419" t="s">
        <v>34</v>
      </c>
      <c r="S419" t="s">
        <v>34</v>
      </c>
      <c r="T419" s="117">
        <v>0</v>
      </c>
    </row>
    <row r="420" spans="1:21" ht="14.5" customHeight="1" x14ac:dyDescent="0.35">
      <c r="A420" t="s">
        <v>20</v>
      </c>
      <c r="B420" t="s">
        <v>21</v>
      </c>
      <c r="C420" s="1">
        <v>45364</v>
      </c>
      <c r="D420">
        <f t="shared" si="28"/>
        <v>13</v>
      </c>
      <c r="E420">
        <f t="shared" si="29"/>
        <v>3</v>
      </c>
      <c r="F420">
        <f t="shared" si="30"/>
        <v>2024</v>
      </c>
      <c r="G420" t="s">
        <v>43</v>
      </c>
      <c r="H420" s="98">
        <v>9981</v>
      </c>
      <c r="I420" s="29">
        <v>4991.1400000000003</v>
      </c>
      <c r="J420" s="12" t="s">
        <v>31</v>
      </c>
      <c r="K420" s="29">
        <f t="shared" si="27"/>
        <v>4991.1400000000003</v>
      </c>
      <c r="L420">
        <v>1</v>
      </c>
      <c r="M420" s="29">
        <v>0</v>
      </c>
      <c r="N420" t="s">
        <v>42</v>
      </c>
      <c r="O420" t="s">
        <v>33</v>
      </c>
      <c r="P420" t="s">
        <v>34</v>
      </c>
      <c r="Q420" t="s">
        <v>34</v>
      </c>
      <c r="R420" t="s">
        <v>34</v>
      </c>
      <c r="S420" t="s">
        <v>34</v>
      </c>
      <c r="T420" s="117">
        <v>0</v>
      </c>
      <c r="U420" s="209" t="s">
        <v>175</v>
      </c>
    </row>
    <row r="421" spans="1:21" ht="14.5" customHeight="1" x14ac:dyDescent="0.35">
      <c r="A421" t="s">
        <v>20</v>
      </c>
      <c r="B421" t="s">
        <v>24</v>
      </c>
      <c r="C421" s="1">
        <v>45364</v>
      </c>
      <c r="D421">
        <f t="shared" si="28"/>
        <v>13</v>
      </c>
      <c r="E421">
        <f t="shared" si="29"/>
        <v>3</v>
      </c>
      <c r="F421">
        <f t="shared" si="30"/>
        <v>2024</v>
      </c>
      <c r="G421" t="s">
        <v>43</v>
      </c>
      <c r="H421" s="98">
        <v>9981</v>
      </c>
      <c r="I421" s="29">
        <v>52260.44</v>
      </c>
      <c r="J421" s="12" t="s">
        <v>31</v>
      </c>
      <c r="K421" s="29">
        <f t="shared" si="27"/>
        <v>52260.44</v>
      </c>
      <c r="L421">
        <v>1</v>
      </c>
      <c r="M421" s="29">
        <v>0</v>
      </c>
      <c r="N421" t="s">
        <v>42</v>
      </c>
      <c r="O421" t="s">
        <v>33</v>
      </c>
      <c r="P421" t="s">
        <v>34</v>
      </c>
      <c r="Q421" t="s">
        <v>34</v>
      </c>
      <c r="R421" t="s">
        <v>34</v>
      </c>
      <c r="S421" t="s">
        <v>34</v>
      </c>
      <c r="T421" s="117">
        <v>0</v>
      </c>
    </row>
    <row r="422" spans="1:21" ht="14.5" customHeight="1" x14ac:dyDescent="0.35">
      <c r="A422" t="s">
        <v>20</v>
      </c>
      <c r="B422" t="s">
        <v>25</v>
      </c>
      <c r="C422" s="1">
        <v>45364</v>
      </c>
      <c r="D422">
        <f t="shared" si="28"/>
        <v>13</v>
      </c>
      <c r="E422">
        <f t="shared" si="29"/>
        <v>3</v>
      </c>
      <c r="F422">
        <f t="shared" si="30"/>
        <v>2024</v>
      </c>
      <c r="G422" t="s">
        <v>43</v>
      </c>
      <c r="H422" s="98">
        <v>9981</v>
      </c>
      <c r="I422" s="29">
        <v>45552.59</v>
      </c>
      <c r="J422" s="12" t="s">
        <v>31</v>
      </c>
      <c r="K422" s="29">
        <f t="shared" si="27"/>
        <v>45552.59</v>
      </c>
      <c r="L422">
        <v>1</v>
      </c>
      <c r="M422" s="29">
        <v>0</v>
      </c>
      <c r="N422" t="s">
        <v>42</v>
      </c>
      <c r="O422" t="s">
        <v>33</v>
      </c>
      <c r="P422" t="s">
        <v>34</v>
      </c>
      <c r="Q422" t="s">
        <v>34</v>
      </c>
      <c r="R422" t="s">
        <v>34</v>
      </c>
      <c r="S422" t="s">
        <v>34</v>
      </c>
      <c r="T422" s="117">
        <v>0</v>
      </c>
    </row>
    <row r="423" spans="1:21" ht="14.5" customHeight="1" x14ac:dyDescent="0.35">
      <c r="A423" t="s">
        <v>19</v>
      </c>
      <c r="B423" t="s">
        <v>19</v>
      </c>
      <c r="C423" s="1">
        <v>45364</v>
      </c>
      <c r="D423">
        <f t="shared" si="28"/>
        <v>13</v>
      </c>
      <c r="E423">
        <f t="shared" si="29"/>
        <v>3</v>
      </c>
      <c r="F423">
        <f t="shared" si="30"/>
        <v>2024</v>
      </c>
      <c r="G423" t="s">
        <v>421</v>
      </c>
      <c r="H423" s="171">
        <v>9893</v>
      </c>
      <c r="I423" s="90">
        <v>42761.88</v>
      </c>
      <c r="J423" s="12" t="s">
        <v>31</v>
      </c>
      <c r="K423" s="29">
        <f t="shared" si="27"/>
        <v>42761.88</v>
      </c>
      <c r="L423">
        <v>1</v>
      </c>
      <c r="M423" s="29">
        <v>0</v>
      </c>
      <c r="N423" t="s">
        <v>32</v>
      </c>
      <c r="O423" t="s">
        <v>33</v>
      </c>
      <c r="P423" t="s">
        <v>34</v>
      </c>
      <c r="Q423" t="s">
        <v>34</v>
      </c>
      <c r="R423" t="s">
        <v>34</v>
      </c>
      <c r="S423" t="s">
        <v>34</v>
      </c>
      <c r="T423" s="117">
        <v>0</v>
      </c>
    </row>
    <row r="424" spans="1:21" ht="14.5" customHeight="1" x14ac:dyDescent="0.35">
      <c r="A424" t="s">
        <v>19</v>
      </c>
      <c r="B424" t="s">
        <v>19</v>
      </c>
      <c r="C424" s="1">
        <v>45364</v>
      </c>
      <c r="D424">
        <f t="shared" si="28"/>
        <v>13</v>
      </c>
      <c r="E424">
        <f t="shared" si="29"/>
        <v>3</v>
      </c>
      <c r="F424">
        <f t="shared" si="30"/>
        <v>2024</v>
      </c>
      <c r="G424" t="s">
        <v>228</v>
      </c>
      <c r="H424" s="98">
        <v>9470</v>
      </c>
      <c r="I424" s="90">
        <v>79950</v>
      </c>
      <c r="J424" s="12" t="s">
        <v>31</v>
      </c>
      <c r="K424" s="29">
        <f t="shared" si="27"/>
        <v>79950</v>
      </c>
      <c r="L424">
        <v>1</v>
      </c>
      <c r="M424" s="29">
        <v>0</v>
      </c>
      <c r="N424" t="s">
        <v>32</v>
      </c>
      <c r="O424" t="s">
        <v>33</v>
      </c>
      <c r="P424" t="s">
        <v>34</v>
      </c>
      <c r="Q424" t="s">
        <v>34</v>
      </c>
      <c r="R424" t="s">
        <v>34</v>
      </c>
      <c r="S424" t="s">
        <v>34</v>
      </c>
      <c r="T424" s="117">
        <v>0</v>
      </c>
    </row>
    <row r="425" spans="1:21" ht="14.5" customHeight="1" x14ac:dyDescent="0.35">
      <c r="A425" t="s">
        <v>19</v>
      </c>
      <c r="B425" t="s">
        <v>19</v>
      </c>
      <c r="C425" s="1">
        <v>45364</v>
      </c>
      <c r="D425">
        <f t="shared" si="28"/>
        <v>13</v>
      </c>
      <c r="E425">
        <f t="shared" si="29"/>
        <v>3</v>
      </c>
      <c r="F425">
        <f t="shared" si="30"/>
        <v>2024</v>
      </c>
      <c r="G425" t="s">
        <v>601</v>
      </c>
      <c r="H425" s="171">
        <v>9612</v>
      </c>
      <c r="I425" s="90">
        <v>76336.289999999994</v>
      </c>
      <c r="J425" s="12" t="s">
        <v>31</v>
      </c>
      <c r="K425" s="29">
        <f t="shared" si="27"/>
        <v>76336.289999999994</v>
      </c>
      <c r="L425">
        <v>1</v>
      </c>
      <c r="M425" s="29">
        <v>0</v>
      </c>
      <c r="N425" t="s">
        <v>32</v>
      </c>
      <c r="O425" t="s">
        <v>33</v>
      </c>
      <c r="P425" t="s">
        <v>34</v>
      </c>
      <c r="Q425" t="s">
        <v>34</v>
      </c>
      <c r="R425" t="s">
        <v>34</v>
      </c>
      <c r="S425" t="s">
        <v>34</v>
      </c>
      <c r="T425" s="117">
        <v>0</v>
      </c>
    </row>
    <row r="426" spans="1:21" ht="14.5" customHeight="1" x14ac:dyDescent="0.35">
      <c r="A426" t="s">
        <v>19</v>
      </c>
      <c r="B426" t="s">
        <v>19</v>
      </c>
      <c r="C426" s="1">
        <v>45364</v>
      </c>
      <c r="D426">
        <f t="shared" si="28"/>
        <v>13</v>
      </c>
      <c r="E426">
        <f t="shared" si="29"/>
        <v>3</v>
      </c>
      <c r="F426">
        <f t="shared" si="30"/>
        <v>2024</v>
      </c>
      <c r="G426" t="s">
        <v>601</v>
      </c>
      <c r="H426" s="171">
        <v>9617</v>
      </c>
      <c r="I426" s="90">
        <v>348.41</v>
      </c>
      <c r="J426" s="12" t="s">
        <v>31</v>
      </c>
      <c r="K426" s="29">
        <f t="shared" si="27"/>
        <v>348.41</v>
      </c>
      <c r="L426">
        <v>1</v>
      </c>
      <c r="M426" s="29">
        <v>0</v>
      </c>
      <c r="N426" t="s">
        <v>32</v>
      </c>
      <c r="O426" t="s">
        <v>33</v>
      </c>
      <c r="P426" t="s">
        <v>34</v>
      </c>
      <c r="Q426" t="s">
        <v>34</v>
      </c>
      <c r="R426" t="s">
        <v>34</v>
      </c>
      <c r="S426" t="s">
        <v>34</v>
      </c>
      <c r="T426" s="117">
        <v>0</v>
      </c>
    </row>
    <row r="427" spans="1:21" ht="14.5" customHeight="1" x14ac:dyDescent="0.35">
      <c r="A427" t="s">
        <v>19</v>
      </c>
      <c r="B427" t="s">
        <v>19</v>
      </c>
      <c r="C427" s="1">
        <v>45364</v>
      </c>
      <c r="D427">
        <f t="shared" si="28"/>
        <v>13</v>
      </c>
      <c r="E427">
        <f t="shared" si="29"/>
        <v>3</v>
      </c>
      <c r="F427">
        <f t="shared" si="30"/>
        <v>2024</v>
      </c>
      <c r="G427" t="s">
        <v>59</v>
      </c>
      <c r="H427" s="171">
        <v>9558</v>
      </c>
      <c r="I427" s="90">
        <v>125728.87</v>
      </c>
      <c r="J427" s="12" t="s">
        <v>31</v>
      </c>
      <c r="K427" s="29">
        <f t="shared" si="27"/>
        <v>125728.87</v>
      </c>
      <c r="L427">
        <v>1</v>
      </c>
      <c r="M427" s="29">
        <v>0</v>
      </c>
      <c r="N427" t="s">
        <v>32</v>
      </c>
      <c r="O427" t="s">
        <v>33</v>
      </c>
      <c r="P427" t="s">
        <v>34</v>
      </c>
      <c r="Q427" t="s">
        <v>34</v>
      </c>
      <c r="R427" t="s">
        <v>34</v>
      </c>
      <c r="S427" t="s">
        <v>34</v>
      </c>
      <c r="T427" s="117">
        <v>0</v>
      </c>
    </row>
    <row r="428" spans="1:21" ht="14.5" customHeight="1" x14ac:dyDescent="0.35">
      <c r="A428" t="s">
        <v>19</v>
      </c>
      <c r="B428" t="s">
        <v>19</v>
      </c>
      <c r="C428" s="1">
        <v>45364</v>
      </c>
      <c r="D428">
        <f t="shared" si="28"/>
        <v>13</v>
      </c>
      <c r="E428">
        <f t="shared" si="29"/>
        <v>3</v>
      </c>
      <c r="F428">
        <f t="shared" si="30"/>
        <v>2024</v>
      </c>
      <c r="G428" t="s">
        <v>57</v>
      </c>
      <c r="H428" s="98">
        <v>9049</v>
      </c>
      <c r="I428" s="29">
        <v>115810.7</v>
      </c>
      <c r="J428" s="12" t="s">
        <v>31</v>
      </c>
      <c r="K428" s="29">
        <f t="shared" si="27"/>
        <v>115810.7</v>
      </c>
      <c r="L428">
        <v>1</v>
      </c>
      <c r="M428" s="29">
        <v>0</v>
      </c>
      <c r="N428" t="s">
        <v>32</v>
      </c>
      <c r="O428" t="s">
        <v>33</v>
      </c>
      <c r="P428" t="s">
        <v>34</v>
      </c>
      <c r="Q428" t="s">
        <v>34</v>
      </c>
      <c r="R428" t="s">
        <v>34</v>
      </c>
      <c r="S428" t="s">
        <v>34</v>
      </c>
      <c r="T428" s="117">
        <v>0</v>
      </c>
    </row>
    <row r="429" spans="1:21" ht="14.5" customHeight="1" x14ac:dyDescent="0.35">
      <c r="A429" t="s">
        <v>19</v>
      </c>
      <c r="B429" t="s">
        <v>19</v>
      </c>
      <c r="C429" s="1">
        <v>45364</v>
      </c>
      <c r="D429">
        <f t="shared" si="28"/>
        <v>13</v>
      </c>
      <c r="E429">
        <f t="shared" si="29"/>
        <v>3</v>
      </c>
      <c r="F429">
        <f t="shared" si="30"/>
        <v>2024</v>
      </c>
      <c r="G429" t="s">
        <v>101</v>
      </c>
      <c r="H429" s="98">
        <v>9509</v>
      </c>
      <c r="I429" s="29">
        <v>37690.06</v>
      </c>
      <c r="J429" s="12" t="s">
        <v>31</v>
      </c>
      <c r="K429" s="29">
        <f t="shared" si="27"/>
        <v>37690.06</v>
      </c>
      <c r="L429">
        <v>1</v>
      </c>
      <c r="M429" s="29">
        <v>0</v>
      </c>
      <c r="N429" t="s">
        <v>32</v>
      </c>
      <c r="O429" t="s">
        <v>33</v>
      </c>
      <c r="P429" t="s">
        <v>34</v>
      </c>
      <c r="Q429" t="s">
        <v>34</v>
      </c>
      <c r="R429" t="s">
        <v>34</v>
      </c>
      <c r="S429" t="s">
        <v>34</v>
      </c>
      <c r="T429" s="117">
        <v>0</v>
      </c>
    </row>
    <row r="430" spans="1:21" ht="14.5" customHeight="1" x14ac:dyDescent="0.35">
      <c r="A430" t="s">
        <v>19</v>
      </c>
      <c r="B430" t="s">
        <v>19</v>
      </c>
      <c r="C430" s="1">
        <v>45364</v>
      </c>
      <c r="D430">
        <f t="shared" si="28"/>
        <v>13</v>
      </c>
      <c r="E430">
        <f t="shared" si="29"/>
        <v>3</v>
      </c>
      <c r="F430">
        <f t="shared" si="30"/>
        <v>2024</v>
      </c>
      <c r="G430" t="s">
        <v>127</v>
      </c>
      <c r="H430" s="98">
        <v>9945</v>
      </c>
      <c r="I430" s="29">
        <v>129429.06</v>
      </c>
      <c r="J430" s="12" t="s">
        <v>31</v>
      </c>
      <c r="K430" s="29">
        <f t="shared" si="27"/>
        <v>129429.06</v>
      </c>
      <c r="L430">
        <v>1</v>
      </c>
      <c r="M430" s="29">
        <v>0</v>
      </c>
      <c r="N430" t="s">
        <v>32</v>
      </c>
      <c r="O430" t="s">
        <v>33</v>
      </c>
      <c r="P430" t="s">
        <v>34</v>
      </c>
      <c r="Q430" t="s">
        <v>34</v>
      </c>
      <c r="R430" t="s">
        <v>34</v>
      </c>
      <c r="S430" t="s">
        <v>34</v>
      </c>
      <c r="T430" s="117">
        <v>0</v>
      </c>
    </row>
    <row r="431" spans="1:21" ht="14.5" customHeight="1" x14ac:dyDescent="0.35">
      <c r="A431" t="s">
        <v>19</v>
      </c>
      <c r="B431" t="s">
        <v>19</v>
      </c>
      <c r="C431" s="1">
        <v>45364</v>
      </c>
      <c r="D431">
        <f t="shared" si="28"/>
        <v>13</v>
      </c>
      <c r="E431">
        <f t="shared" si="29"/>
        <v>3</v>
      </c>
      <c r="F431">
        <f t="shared" si="30"/>
        <v>2024</v>
      </c>
      <c r="G431" t="s">
        <v>120</v>
      </c>
      <c r="H431" s="98">
        <v>9596</v>
      </c>
      <c r="I431" s="29">
        <v>49979.47</v>
      </c>
      <c r="J431" s="12" t="s">
        <v>31</v>
      </c>
      <c r="K431" s="29">
        <f t="shared" si="27"/>
        <v>49979.47</v>
      </c>
      <c r="L431">
        <v>1</v>
      </c>
      <c r="M431" s="29">
        <v>0</v>
      </c>
      <c r="N431" t="s">
        <v>32</v>
      </c>
      <c r="O431" t="s">
        <v>33</v>
      </c>
      <c r="P431" t="s">
        <v>34</v>
      </c>
      <c r="Q431" t="s">
        <v>34</v>
      </c>
      <c r="R431" t="s">
        <v>34</v>
      </c>
      <c r="S431" t="s">
        <v>34</v>
      </c>
      <c r="T431" s="117">
        <v>0</v>
      </c>
    </row>
    <row r="432" spans="1:21" ht="14.5" customHeight="1" x14ac:dyDescent="0.35">
      <c r="A432" t="s">
        <v>19</v>
      </c>
      <c r="B432" t="s">
        <v>26</v>
      </c>
      <c r="C432" s="1">
        <v>45365</v>
      </c>
      <c r="D432">
        <f t="shared" si="28"/>
        <v>14</v>
      </c>
      <c r="E432">
        <f t="shared" si="29"/>
        <v>3</v>
      </c>
      <c r="F432">
        <f t="shared" si="30"/>
        <v>2024</v>
      </c>
      <c r="G432" t="s">
        <v>73</v>
      </c>
      <c r="H432" s="98">
        <v>10102</v>
      </c>
      <c r="I432" s="15">
        <v>5711.42</v>
      </c>
      <c r="J432" s="12" t="s">
        <v>51</v>
      </c>
      <c r="K432" s="29">
        <f t="shared" si="27"/>
        <v>6243.1532019999995</v>
      </c>
      <c r="L432">
        <v>1.0931</v>
      </c>
      <c r="M432" s="29">
        <v>0</v>
      </c>
      <c r="N432" t="s">
        <v>32</v>
      </c>
      <c r="O432" t="s">
        <v>33</v>
      </c>
      <c r="P432" t="s">
        <v>34</v>
      </c>
      <c r="Q432" t="s">
        <v>34</v>
      </c>
      <c r="R432" t="s">
        <v>34</v>
      </c>
      <c r="S432" t="s">
        <v>34</v>
      </c>
      <c r="T432" s="117">
        <v>0</v>
      </c>
      <c r="U432" s="209" t="s">
        <v>94</v>
      </c>
    </row>
    <row r="433" spans="1:21" ht="14.5" customHeight="1" x14ac:dyDescent="0.35">
      <c r="A433" t="s">
        <v>19</v>
      </c>
      <c r="B433" t="s">
        <v>26</v>
      </c>
      <c r="C433" s="1">
        <v>45365</v>
      </c>
      <c r="D433">
        <f t="shared" si="28"/>
        <v>14</v>
      </c>
      <c r="E433">
        <f t="shared" si="29"/>
        <v>3</v>
      </c>
      <c r="F433">
        <f t="shared" si="30"/>
        <v>2024</v>
      </c>
      <c r="G433" t="s">
        <v>187</v>
      </c>
      <c r="H433" s="98">
        <v>0</v>
      </c>
      <c r="I433" s="15">
        <v>124502.79</v>
      </c>
      <c r="J433" s="12" t="s">
        <v>51</v>
      </c>
      <c r="K433" s="29">
        <f t="shared" si="27"/>
        <v>136093.99974899998</v>
      </c>
      <c r="L433">
        <v>1.0931</v>
      </c>
      <c r="M433" s="29">
        <v>0</v>
      </c>
      <c r="N433" t="s">
        <v>32</v>
      </c>
      <c r="O433" t="s">
        <v>33</v>
      </c>
      <c r="P433" t="s">
        <v>34</v>
      </c>
      <c r="Q433" t="s">
        <v>34</v>
      </c>
      <c r="R433" t="s">
        <v>34</v>
      </c>
      <c r="S433" t="s">
        <v>34</v>
      </c>
      <c r="T433" s="117">
        <v>0</v>
      </c>
      <c r="U433" s="209" t="s">
        <v>94</v>
      </c>
    </row>
    <row r="434" spans="1:21" ht="14.5" customHeight="1" x14ac:dyDescent="0.35">
      <c r="A434" t="s">
        <v>19</v>
      </c>
      <c r="B434" t="s">
        <v>25</v>
      </c>
      <c r="C434" s="1">
        <v>45366</v>
      </c>
      <c r="D434">
        <f t="shared" si="28"/>
        <v>15</v>
      </c>
      <c r="E434">
        <f t="shared" si="29"/>
        <v>3</v>
      </c>
      <c r="F434">
        <f t="shared" si="30"/>
        <v>2024</v>
      </c>
      <c r="G434" t="s">
        <v>78</v>
      </c>
      <c r="H434" s="98">
        <v>10207</v>
      </c>
      <c r="I434" s="15">
        <v>27592.3</v>
      </c>
      <c r="J434" s="12" t="s">
        <v>51</v>
      </c>
      <c r="K434" s="29">
        <f t="shared" si="27"/>
        <v>30094.921609999998</v>
      </c>
      <c r="L434">
        <v>1.0907</v>
      </c>
      <c r="M434" s="29">
        <v>0</v>
      </c>
      <c r="N434" t="s">
        <v>42</v>
      </c>
      <c r="O434" t="s">
        <v>33</v>
      </c>
      <c r="P434" t="s">
        <v>34</v>
      </c>
      <c r="Q434" t="s">
        <v>34</v>
      </c>
      <c r="R434" t="s">
        <v>34</v>
      </c>
      <c r="S434" t="s">
        <v>34</v>
      </c>
      <c r="T434" s="117">
        <v>0</v>
      </c>
      <c r="U434" s="209" t="s">
        <v>94</v>
      </c>
    </row>
    <row r="435" spans="1:21" ht="14.5" customHeight="1" x14ac:dyDescent="0.35">
      <c r="A435" t="s">
        <v>19</v>
      </c>
      <c r="B435" t="s">
        <v>25</v>
      </c>
      <c r="C435" s="1">
        <v>45366</v>
      </c>
      <c r="D435">
        <f t="shared" si="28"/>
        <v>15</v>
      </c>
      <c r="E435">
        <f t="shared" si="29"/>
        <v>3</v>
      </c>
      <c r="F435">
        <f t="shared" si="30"/>
        <v>2024</v>
      </c>
      <c r="G435" t="s">
        <v>78</v>
      </c>
      <c r="H435" s="98">
        <v>10532</v>
      </c>
      <c r="I435" s="29">
        <v>7399.5</v>
      </c>
      <c r="J435" s="12" t="s">
        <v>51</v>
      </c>
      <c r="K435" s="29">
        <f t="shared" si="27"/>
        <v>8070.63465</v>
      </c>
      <c r="L435">
        <v>1.0907</v>
      </c>
      <c r="M435" s="29">
        <v>0</v>
      </c>
      <c r="N435" t="s">
        <v>42</v>
      </c>
      <c r="O435" t="s">
        <v>33</v>
      </c>
      <c r="P435" t="s">
        <v>34</v>
      </c>
      <c r="Q435" t="s">
        <v>34</v>
      </c>
      <c r="R435" t="s">
        <v>34</v>
      </c>
      <c r="S435" t="s">
        <v>34</v>
      </c>
      <c r="T435" s="117">
        <v>0</v>
      </c>
      <c r="U435" s="209" t="s">
        <v>283</v>
      </c>
    </row>
    <row r="436" spans="1:21" ht="14.5" customHeight="1" x14ac:dyDescent="0.35">
      <c r="A436" t="s">
        <v>19</v>
      </c>
      <c r="B436" t="s">
        <v>23</v>
      </c>
      <c r="C436" s="1">
        <v>45371</v>
      </c>
      <c r="D436">
        <f t="shared" si="28"/>
        <v>20</v>
      </c>
      <c r="E436">
        <f t="shared" si="29"/>
        <v>3</v>
      </c>
      <c r="F436">
        <f t="shared" si="30"/>
        <v>2024</v>
      </c>
      <c r="G436" t="s">
        <v>74</v>
      </c>
      <c r="H436" s="98">
        <v>9442</v>
      </c>
      <c r="I436" s="90">
        <v>21964.85</v>
      </c>
      <c r="J436" s="12" t="s">
        <v>31</v>
      </c>
      <c r="K436" s="29">
        <f t="shared" si="27"/>
        <v>21964.85</v>
      </c>
      <c r="L436">
        <v>1</v>
      </c>
      <c r="M436" s="29">
        <v>0</v>
      </c>
      <c r="N436" t="s">
        <v>32</v>
      </c>
      <c r="O436" t="s">
        <v>33</v>
      </c>
      <c r="P436" t="s">
        <v>34</v>
      </c>
      <c r="Q436" t="s">
        <v>34</v>
      </c>
      <c r="R436" t="s">
        <v>34</v>
      </c>
      <c r="S436" t="s">
        <v>34</v>
      </c>
      <c r="T436" s="117">
        <v>0</v>
      </c>
    </row>
    <row r="437" spans="1:21" ht="14.5" customHeight="1" x14ac:dyDescent="0.35">
      <c r="A437" t="s">
        <v>19</v>
      </c>
      <c r="B437" t="s">
        <v>25</v>
      </c>
      <c r="C437" s="1">
        <v>45371</v>
      </c>
      <c r="D437">
        <f t="shared" si="28"/>
        <v>20</v>
      </c>
      <c r="E437">
        <f t="shared" si="29"/>
        <v>3</v>
      </c>
      <c r="F437">
        <f t="shared" si="30"/>
        <v>2024</v>
      </c>
      <c r="G437" t="s">
        <v>93</v>
      </c>
      <c r="H437" s="98">
        <v>9671</v>
      </c>
      <c r="I437" s="29">
        <v>112.2</v>
      </c>
      <c r="J437" s="12" t="s">
        <v>31</v>
      </c>
      <c r="K437" s="29">
        <f t="shared" si="27"/>
        <v>112.2</v>
      </c>
      <c r="L437">
        <v>1</v>
      </c>
      <c r="M437" s="29">
        <v>0</v>
      </c>
      <c r="N437" t="s">
        <v>32</v>
      </c>
      <c r="O437" t="s">
        <v>33</v>
      </c>
      <c r="P437" t="s">
        <v>34</v>
      </c>
      <c r="Q437" t="s">
        <v>34</v>
      </c>
      <c r="R437" t="s">
        <v>34</v>
      </c>
      <c r="S437" t="s">
        <v>34</v>
      </c>
      <c r="T437" s="117">
        <v>0</v>
      </c>
    </row>
    <row r="438" spans="1:21" ht="14.5" customHeight="1" x14ac:dyDescent="0.35">
      <c r="A438" t="s">
        <v>19</v>
      </c>
      <c r="B438" t="s">
        <v>25</v>
      </c>
      <c r="C438" s="1">
        <v>45371</v>
      </c>
      <c r="D438">
        <f t="shared" si="28"/>
        <v>20</v>
      </c>
      <c r="E438">
        <f t="shared" si="29"/>
        <v>3</v>
      </c>
      <c r="F438">
        <f t="shared" si="30"/>
        <v>2024</v>
      </c>
      <c r="G438" t="s">
        <v>93</v>
      </c>
      <c r="H438" s="98">
        <v>9672</v>
      </c>
      <c r="I438" s="29">
        <v>13469.61</v>
      </c>
      <c r="J438" s="12" t="s">
        <v>31</v>
      </c>
      <c r="K438" s="29">
        <f t="shared" si="27"/>
        <v>13469.61</v>
      </c>
      <c r="L438">
        <v>1</v>
      </c>
      <c r="M438" s="29">
        <v>0</v>
      </c>
      <c r="N438" t="s">
        <v>32</v>
      </c>
      <c r="O438" t="s">
        <v>33</v>
      </c>
      <c r="P438" t="s">
        <v>34</v>
      </c>
      <c r="Q438" t="s">
        <v>34</v>
      </c>
      <c r="R438" t="s">
        <v>34</v>
      </c>
      <c r="S438" t="s">
        <v>34</v>
      </c>
      <c r="T438" s="117">
        <v>0</v>
      </c>
    </row>
    <row r="439" spans="1:21" ht="14.5" customHeight="1" x14ac:dyDescent="0.35">
      <c r="A439" t="s">
        <v>19</v>
      </c>
      <c r="B439" t="s">
        <v>25</v>
      </c>
      <c r="C439" s="1">
        <v>45371</v>
      </c>
      <c r="D439">
        <f t="shared" si="28"/>
        <v>20</v>
      </c>
      <c r="E439">
        <f t="shared" si="29"/>
        <v>3</v>
      </c>
      <c r="F439">
        <f t="shared" si="30"/>
        <v>2024</v>
      </c>
      <c r="G439" t="s">
        <v>38</v>
      </c>
      <c r="H439" s="98">
        <v>10185</v>
      </c>
      <c r="I439" s="29">
        <v>165.92</v>
      </c>
      <c r="J439" s="12" t="s">
        <v>31</v>
      </c>
      <c r="K439" s="29">
        <f t="shared" si="27"/>
        <v>165.92</v>
      </c>
      <c r="L439">
        <v>1</v>
      </c>
      <c r="M439" s="29">
        <v>0</v>
      </c>
      <c r="N439" t="s">
        <v>32</v>
      </c>
      <c r="O439" t="s">
        <v>33</v>
      </c>
      <c r="P439" t="s">
        <v>34</v>
      </c>
      <c r="Q439" t="s">
        <v>34</v>
      </c>
      <c r="R439" t="s">
        <v>34</v>
      </c>
      <c r="S439" t="s">
        <v>34</v>
      </c>
      <c r="T439" s="117">
        <v>0</v>
      </c>
    </row>
    <row r="440" spans="1:21" ht="14.5" customHeight="1" x14ac:dyDescent="0.35">
      <c r="A440" t="s">
        <v>19</v>
      </c>
      <c r="B440" t="s">
        <v>27</v>
      </c>
      <c r="C440" s="1">
        <v>45371</v>
      </c>
      <c r="D440">
        <f t="shared" si="28"/>
        <v>20</v>
      </c>
      <c r="E440">
        <f t="shared" si="29"/>
        <v>3</v>
      </c>
      <c r="F440">
        <f t="shared" si="30"/>
        <v>2024</v>
      </c>
      <c r="G440" t="s">
        <v>100</v>
      </c>
      <c r="H440" s="98">
        <v>9960</v>
      </c>
      <c r="I440" s="29">
        <v>150000</v>
      </c>
      <c r="J440" s="12" t="s">
        <v>31</v>
      </c>
      <c r="K440" s="29">
        <f t="shared" si="27"/>
        <v>150000</v>
      </c>
      <c r="L440">
        <v>1</v>
      </c>
      <c r="M440" s="29">
        <v>0</v>
      </c>
      <c r="N440" t="s">
        <v>32</v>
      </c>
      <c r="O440" t="s">
        <v>33</v>
      </c>
      <c r="P440" t="s">
        <v>34</v>
      </c>
      <c r="Q440" t="s">
        <v>34</v>
      </c>
      <c r="R440" t="s">
        <v>34</v>
      </c>
      <c r="S440" t="s">
        <v>34</v>
      </c>
      <c r="T440" s="117">
        <v>0</v>
      </c>
    </row>
    <row r="441" spans="1:21" ht="14.5" customHeight="1" x14ac:dyDescent="0.35">
      <c r="A441" t="s">
        <v>20</v>
      </c>
      <c r="B441" t="s">
        <v>25</v>
      </c>
      <c r="C441" s="1">
        <v>45371</v>
      </c>
      <c r="D441">
        <f t="shared" si="28"/>
        <v>20</v>
      </c>
      <c r="E441">
        <f t="shared" si="29"/>
        <v>3</v>
      </c>
      <c r="F441">
        <f t="shared" si="30"/>
        <v>2024</v>
      </c>
      <c r="G441" s="4" t="s">
        <v>96</v>
      </c>
      <c r="H441" s="98">
        <v>9933</v>
      </c>
      <c r="I441" s="29">
        <v>139.19999999999999</v>
      </c>
      <c r="J441" s="12" t="s">
        <v>31</v>
      </c>
      <c r="K441" s="29">
        <f t="shared" si="27"/>
        <v>139.19999999999999</v>
      </c>
      <c r="L441">
        <v>1</v>
      </c>
      <c r="M441" s="29">
        <v>0</v>
      </c>
      <c r="N441" t="s">
        <v>32</v>
      </c>
      <c r="O441" t="s">
        <v>33</v>
      </c>
      <c r="P441" t="s">
        <v>34</v>
      </c>
      <c r="Q441" t="s">
        <v>34</v>
      </c>
      <c r="R441" t="s">
        <v>34</v>
      </c>
      <c r="S441" t="s">
        <v>34</v>
      </c>
      <c r="T441" s="117">
        <v>0</v>
      </c>
    </row>
    <row r="442" spans="1:21" ht="14.5" customHeight="1" x14ac:dyDescent="0.35">
      <c r="A442" t="s">
        <v>20</v>
      </c>
      <c r="B442" t="s">
        <v>23</v>
      </c>
      <c r="C442" s="1">
        <v>45371</v>
      </c>
      <c r="D442">
        <f t="shared" si="28"/>
        <v>20</v>
      </c>
      <c r="E442">
        <f t="shared" si="29"/>
        <v>3</v>
      </c>
      <c r="F442">
        <f t="shared" si="30"/>
        <v>2024</v>
      </c>
      <c r="G442" t="s">
        <v>97</v>
      </c>
      <c r="H442" s="98">
        <v>10151</v>
      </c>
      <c r="I442" s="29">
        <v>79</v>
      </c>
      <c r="J442" s="12" t="s">
        <v>31</v>
      </c>
      <c r="K442" s="29">
        <f t="shared" si="27"/>
        <v>79</v>
      </c>
      <c r="L442">
        <v>1</v>
      </c>
      <c r="M442" s="29">
        <v>0</v>
      </c>
      <c r="N442" t="s">
        <v>32</v>
      </c>
      <c r="O442" t="s">
        <v>33</v>
      </c>
      <c r="P442" t="s">
        <v>34</v>
      </c>
      <c r="Q442" t="s">
        <v>34</v>
      </c>
      <c r="R442" t="s">
        <v>34</v>
      </c>
      <c r="S442" t="s">
        <v>34</v>
      </c>
      <c r="T442" s="117">
        <v>0</v>
      </c>
    </row>
    <row r="443" spans="1:21" ht="14.5" customHeight="1" x14ac:dyDescent="0.35">
      <c r="A443" t="s">
        <v>20</v>
      </c>
      <c r="B443" t="s">
        <v>23</v>
      </c>
      <c r="C443" s="1">
        <v>45371</v>
      </c>
      <c r="D443">
        <f t="shared" si="28"/>
        <v>20</v>
      </c>
      <c r="E443">
        <f t="shared" si="29"/>
        <v>3</v>
      </c>
      <c r="F443">
        <f t="shared" si="30"/>
        <v>2024</v>
      </c>
      <c r="G443" t="s">
        <v>47</v>
      </c>
      <c r="H443" s="97">
        <v>10235</v>
      </c>
      <c r="I443" s="29">
        <v>10.53</v>
      </c>
      <c r="J443" s="12" t="s">
        <v>31</v>
      </c>
      <c r="K443" s="29">
        <f t="shared" si="27"/>
        <v>10.53</v>
      </c>
      <c r="L443">
        <v>1</v>
      </c>
      <c r="M443" s="29">
        <v>0</v>
      </c>
      <c r="N443" t="s">
        <v>42</v>
      </c>
      <c r="O443" t="s">
        <v>33</v>
      </c>
      <c r="P443" t="s">
        <v>34</v>
      </c>
      <c r="Q443" t="s">
        <v>34</v>
      </c>
      <c r="R443" t="s">
        <v>34</v>
      </c>
      <c r="S443" t="s">
        <v>34</v>
      </c>
      <c r="T443" s="117">
        <v>0</v>
      </c>
    </row>
    <row r="444" spans="1:21" ht="14.5" customHeight="1" x14ac:dyDescent="0.35">
      <c r="A444" t="s">
        <v>20</v>
      </c>
      <c r="B444" t="s">
        <v>23</v>
      </c>
      <c r="C444" s="1">
        <v>45371</v>
      </c>
      <c r="D444">
        <f t="shared" si="28"/>
        <v>20</v>
      </c>
      <c r="E444">
        <f t="shared" si="29"/>
        <v>3</v>
      </c>
      <c r="F444">
        <f t="shared" si="30"/>
        <v>2024</v>
      </c>
      <c r="G444" t="s">
        <v>47</v>
      </c>
      <c r="H444" s="97">
        <v>10236</v>
      </c>
      <c r="I444" s="29">
        <v>2084.94</v>
      </c>
      <c r="J444" s="12" t="s">
        <v>31</v>
      </c>
      <c r="K444" s="29">
        <f t="shared" si="27"/>
        <v>2084.94</v>
      </c>
      <c r="L444">
        <v>1</v>
      </c>
      <c r="M444" s="29">
        <v>0</v>
      </c>
      <c r="N444" t="s">
        <v>42</v>
      </c>
      <c r="O444" t="s">
        <v>33</v>
      </c>
      <c r="P444" t="s">
        <v>34</v>
      </c>
      <c r="Q444" t="s">
        <v>34</v>
      </c>
      <c r="R444" t="s">
        <v>34</v>
      </c>
      <c r="S444" t="s">
        <v>34</v>
      </c>
      <c r="T444" s="117">
        <v>0</v>
      </c>
    </row>
    <row r="445" spans="1:21" ht="14.5" customHeight="1" x14ac:dyDescent="0.35">
      <c r="A445" t="s">
        <v>20</v>
      </c>
      <c r="B445" t="s">
        <v>25</v>
      </c>
      <c r="C445" s="1">
        <v>45371</v>
      </c>
      <c r="D445">
        <f t="shared" si="28"/>
        <v>20</v>
      </c>
      <c r="E445">
        <f t="shared" si="29"/>
        <v>3</v>
      </c>
      <c r="F445">
        <f t="shared" si="30"/>
        <v>2024</v>
      </c>
      <c r="G445" t="s">
        <v>81</v>
      </c>
      <c r="H445" s="98">
        <v>10240</v>
      </c>
      <c r="I445" s="29">
        <v>6.1</v>
      </c>
      <c r="J445" s="12" t="s">
        <v>31</v>
      </c>
      <c r="K445" s="29">
        <f t="shared" si="27"/>
        <v>6.1</v>
      </c>
      <c r="L445">
        <v>1</v>
      </c>
      <c r="M445" s="29">
        <v>0</v>
      </c>
      <c r="N445" t="s">
        <v>42</v>
      </c>
      <c r="O445" t="s">
        <v>33</v>
      </c>
      <c r="P445" t="s">
        <v>34</v>
      </c>
      <c r="Q445" t="s">
        <v>34</v>
      </c>
      <c r="R445" t="s">
        <v>34</v>
      </c>
      <c r="S445" t="s">
        <v>34</v>
      </c>
      <c r="T445" s="117">
        <v>0</v>
      </c>
    </row>
    <row r="446" spans="1:21" ht="14.5" customHeight="1" x14ac:dyDescent="0.35">
      <c r="A446" t="s">
        <v>20</v>
      </c>
      <c r="B446" t="s">
        <v>25</v>
      </c>
      <c r="C446" s="1">
        <v>45371</v>
      </c>
      <c r="D446">
        <f t="shared" si="28"/>
        <v>20</v>
      </c>
      <c r="E446">
        <f t="shared" si="29"/>
        <v>3</v>
      </c>
      <c r="F446">
        <f t="shared" si="30"/>
        <v>2024</v>
      </c>
      <c r="G446" t="s">
        <v>81</v>
      </c>
      <c r="H446" s="98">
        <v>10241</v>
      </c>
      <c r="I446" s="29">
        <v>915</v>
      </c>
      <c r="J446" s="12" t="s">
        <v>31</v>
      </c>
      <c r="K446" s="29">
        <f t="shared" si="27"/>
        <v>915</v>
      </c>
      <c r="L446">
        <v>1</v>
      </c>
      <c r="M446" s="29">
        <v>0</v>
      </c>
      <c r="N446" t="s">
        <v>42</v>
      </c>
      <c r="O446" t="s">
        <v>33</v>
      </c>
      <c r="P446" t="s">
        <v>34</v>
      </c>
      <c r="Q446" t="s">
        <v>34</v>
      </c>
      <c r="R446" t="s">
        <v>34</v>
      </c>
      <c r="S446" t="s">
        <v>34</v>
      </c>
      <c r="T446" s="117">
        <v>0</v>
      </c>
    </row>
    <row r="447" spans="1:21" ht="14.5" customHeight="1" x14ac:dyDescent="0.35">
      <c r="A447" t="s">
        <v>20</v>
      </c>
      <c r="B447" t="s">
        <v>21</v>
      </c>
      <c r="C447" s="1">
        <v>45371</v>
      </c>
      <c r="D447">
        <f t="shared" si="28"/>
        <v>20</v>
      </c>
      <c r="E447">
        <f t="shared" si="29"/>
        <v>3</v>
      </c>
      <c r="F447">
        <f t="shared" si="30"/>
        <v>2024</v>
      </c>
      <c r="G447" t="s">
        <v>53</v>
      </c>
      <c r="H447" s="97">
        <v>9974</v>
      </c>
      <c r="I447" s="29">
        <v>250.13</v>
      </c>
      <c r="J447" s="12" t="s">
        <v>31</v>
      </c>
      <c r="K447" s="29">
        <f t="shared" si="27"/>
        <v>250.13</v>
      </c>
      <c r="L447">
        <v>1</v>
      </c>
      <c r="M447" s="29">
        <v>0</v>
      </c>
      <c r="N447" t="s">
        <v>32</v>
      </c>
      <c r="O447" t="s">
        <v>33</v>
      </c>
      <c r="P447" t="s">
        <v>34</v>
      </c>
      <c r="Q447" t="s">
        <v>34</v>
      </c>
      <c r="R447" t="s">
        <v>34</v>
      </c>
      <c r="S447" t="s">
        <v>34</v>
      </c>
      <c r="T447" s="117">
        <v>0</v>
      </c>
    </row>
    <row r="448" spans="1:21" ht="14.5" customHeight="1" x14ac:dyDescent="0.35">
      <c r="A448" t="s">
        <v>20</v>
      </c>
      <c r="B448" t="s">
        <v>25</v>
      </c>
      <c r="C448" s="1">
        <v>45371</v>
      </c>
      <c r="D448">
        <f t="shared" si="28"/>
        <v>20</v>
      </c>
      <c r="E448">
        <f t="shared" si="29"/>
        <v>3</v>
      </c>
      <c r="F448">
        <f t="shared" si="30"/>
        <v>2024</v>
      </c>
      <c r="G448" t="s">
        <v>53</v>
      </c>
      <c r="H448" s="97">
        <v>10208</v>
      </c>
      <c r="I448" s="90">
        <v>159</v>
      </c>
      <c r="J448" s="12" t="s">
        <v>31</v>
      </c>
      <c r="K448" s="29">
        <f t="shared" si="27"/>
        <v>159</v>
      </c>
      <c r="L448">
        <v>1</v>
      </c>
      <c r="M448" s="29">
        <v>0</v>
      </c>
      <c r="N448" t="s">
        <v>32</v>
      </c>
      <c r="O448" t="s">
        <v>33</v>
      </c>
      <c r="P448" t="s">
        <v>34</v>
      </c>
      <c r="Q448" t="s">
        <v>34</v>
      </c>
      <c r="R448" t="s">
        <v>34</v>
      </c>
      <c r="S448" t="s">
        <v>34</v>
      </c>
      <c r="T448" s="117">
        <v>0</v>
      </c>
    </row>
    <row r="449" spans="1:21" ht="14.5" customHeight="1" x14ac:dyDescent="0.35">
      <c r="A449" t="s">
        <v>20</v>
      </c>
      <c r="B449" t="s">
        <v>24</v>
      </c>
      <c r="C449" s="1">
        <v>45371</v>
      </c>
      <c r="D449">
        <f t="shared" si="28"/>
        <v>20</v>
      </c>
      <c r="E449">
        <f t="shared" si="29"/>
        <v>3</v>
      </c>
      <c r="F449">
        <f t="shared" si="30"/>
        <v>2024</v>
      </c>
      <c r="G449" t="s">
        <v>107</v>
      </c>
      <c r="H449" s="98">
        <v>9763</v>
      </c>
      <c r="I449" s="29">
        <v>14226.53</v>
      </c>
      <c r="J449" s="12" t="s">
        <v>31</v>
      </c>
      <c r="K449" s="29">
        <f t="shared" ref="K449:K512" si="31">IF(J449="USD",I449,I449*L449)</f>
        <v>14226.53</v>
      </c>
      <c r="L449">
        <v>1</v>
      </c>
      <c r="M449" s="29">
        <v>0</v>
      </c>
      <c r="N449" t="s">
        <v>42</v>
      </c>
      <c r="O449" t="s">
        <v>33</v>
      </c>
      <c r="P449" t="s">
        <v>34</v>
      </c>
      <c r="Q449" t="s">
        <v>34</v>
      </c>
      <c r="R449" t="s">
        <v>34</v>
      </c>
      <c r="S449" t="s">
        <v>34</v>
      </c>
      <c r="T449" s="117">
        <v>0</v>
      </c>
    </row>
    <row r="450" spans="1:21" ht="14.5" customHeight="1" x14ac:dyDescent="0.35">
      <c r="A450" t="s">
        <v>20</v>
      </c>
      <c r="B450" t="s">
        <v>25</v>
      </c>
      <c r="C450" s="1">
        <v>45371</v>
      </c>
      <c r="D450">
        <f t="shared" ref="D450:D513" si="32">DAY(C450)</f>
        <v>20</v>
      </c>
      <c r="E450">
        <f t="shared" ref="E450:E513" si="33">MONTH(C450)</f>
        <v>3</v>
      </c>
      <c r="F450">
        <f t="shared" ref="F450:F513" si="34">YEAR(C450)</f>
        <v>2024</v>
      </c>
      <c r="G450" t="s">
        <v>174</v>
      </c>
      <c r="H450" s="98">
        <v>9784</v>
      </c>
      <c r="I450" s="29">
        <v>2989.28</v>
      </c>
      <c r="J450" s="12" t="s">
        <v>31</v>
      </c>
      <c r="K450" s="29">
        <f t="shared" si="31"/>
        <v>2989.28</v>
      </c>
      <c r="L450">
        <v>1</v>
      </c>
      <c r="M450" s="29">
        <v>0</v>
      </c>
      <c r="N450" t="s">
        <v>42</v>
      </c>
      <c r="O450" t="s">
        <v>33</v>
      </c>
      <c r="P450" t="s">
        <v>34</v>
      </c>
      <c r="Q450" t="s">
        <v>34</v>
      </c>
      <c r="R450" t="s">
        <v>34</v>
      </c>
      <c r="S450" t="s">
        <v>34</v>
      </c>
      <c r="T450" s="117">
        <v>0</v>
      </c>
    </row>
    <row r="451" spans="1:21" ht="14.5" customHeight="1" x14ac:dyDescent="0.35">
      <c r="A451" t="s">
        <v>20</v>
      </c>
      <c r="B451" t="s">
        <v>25</v>
      </c>
      <c r="C451" s="1">
        <v>45371</v>
      </c>
      <c r="D451">
        <f t="shared" si="32"/>
        <v>20</v>
      </c>
      <c r="E451">
        <f t="shared" si="33"/>
        <v>3</v>
      </c>
      <c r="F451">
        <f t="shared" si="34"/>
        <v>2024</v>
      </c>
      <c r="G451" t="s">
        <v>174</v>
      </c>
      <c r="H451" s="98">
        <v>9786</v>
      </c>
      <c r="I451" s="29">
        <v>23.8</v>
      </c>
      <c r="J451" s="12" t="s">
        <v>31</v>
      </c>
      <c r="K451" s="29">
        <f t="shared" si="31"/>
        <v>23.8</v>
      </c>
      <c r="L451">
        <v>1</v>
      </c>
      <c r="M451" s="29">
        <v>0</v>
      </c>
      <c r="N451" t="s">
        <v>42</v>
      </c>
      <c r="O451" t="s">
        <v>33</v>
      </c>
      <c r="P451" t="s">
        <v>34</v>
      </c>
      <c r="Q451" t="s">
        <v>34</v>
      </c>
      <c r="R451" t="s">
        <v>34</v>
      </c>
      <c r="S451" t="s">
        <v>34</v>
      </c>
      <c r="T451" s="117">
        <v>0</v>
      </c>
      <c r="U451" s="209" t="s">
        <v>207</v>
      </c>
    </row>
    <row r="452" spans="1:21" ht="14.5" customHeight="1" x14ac:dyDescent="0.35">
      <c r="A452" t="s">
        <v>20</v>
      </c>
      <c r="B452" t="s">
        <v>23</v>
      </c>
      <c r="C452" s="1">
        <v>45371</v>
      </c>
      <c r="D452">
        <f t="shared" si="32"/>
        <v>20</v>
      </c>
      <c r="E452">
        <f t="shared" si="33"/>
        <v>3</v>
      </c>
      <c r="F452">
        <f t="shared" si="34"/>
        <v>2024</v>
      </c>
      <c r="G452" t="s">
        <v>46</v>
      </c>
      <c r="H452" s="97">
        <v>10263</v>
      </c>
      <c r="I452" s="29">
        <v>49</v>
      </c>
      <c r="J452" s="12" t="s">
        <v>31</v>
      </c>
      <c r="K452" s="29">
        <f t="shared" si="31"/>
        <v>49</v>
      </c>
      <c r="L452">
        <v>1</v>
      </c>
      <c r="M452" s="29">
        <v>0</v>
      </c>
      <c r="N452" t="s">
        <v>42</v>
      </c>
      <c r="O452" t="s">
        <v>33</v>
      </c>
      <c r="P452" t="s">
        <v>34</v>
      </c>
      <c r="Q452" t="s">
        <v>34</v>
      </c>
      <c r="R452" t="s">
        <v>34</v>
      </c>
      <c r="S452" t="s">
        <v>34</v>
      </c>
      <c r="T452" s="117">
        <v>0</v>
      </c>
    </row>
    <row r="453" spans="1:21" ht="14.5" customHeight="1" x14ac:dyDescent="0.35">
      <c r="A453" t="s">
        <v>20</v>
      </c>
      <c r="B453" t="s">
        <v>23</v>
      </c>
      <c r="C453" s="1">
        <v>45371</v>
      </c>
      <c r="D453">
        <f t="shared" si="32"/>
        <v>20</v>
      </c>
      <c r="E453">
        <f t="shared" si="33"/>
        <v>3</v>
      </c>
      <c r="F453">
        <f t="shared" si="34"/>
        <v>2024</v>
      </c>
      <c r="G453" t="s">
        <v>46</v>
      </c>
      <c r="H453" s="97">
        <v>10264</v>
      </c>
      <c r="I453" s="29">
        <v>1323</v>
      </c>
      <c r="J453" s="12" t="s">
        <v>31</v>
      </c>
      <c r="K453" s="29">
        <f t="shared" si="31"/>
        <v>1323</v>
      </c>
      <c r="L453">
        <v>1</v>
      </c>
      <c r="M453" s="29">
        <v>0</v>
      </c>
      <c r="N453" t="s">
        <v>42</v>
      </c>
      <c r="O453" t="s">
        <v>33</v>
      </c>
      <c r="P453" t="s">
        <v>34</v>
      </c>
      <c r="Q453" t="s">
        <v>34</v>
      </c>
      <c r="R453" t="s">
        <v>34</v>
      </c>
      <c r="S453" t="s">
        <v>34</v>
      </c>
      <c r="T453" s="117">
        <v>0</v>
      </c>
    </row>
    <row r="454" spans="1:21" ht="14.5" customHeight="1" x14ac:dyDescent="0.35">
      <c r="A454" t="s">
        <v>20</v>
      </c>
      <c r="B454" t="s">
        <v>23</v>
      </c>
      <c r="C454" s="1">
        <v>45371</v>
      </c>
      <c r="D454">
        <f t="shared" si="32"/>
        <v>20</v>
      </c>
      <c r="E454">
        <f t="shared" si="33"/>
        <v>3</v>
      </c>
      <c r="F454">
        <f t="shared" si="34"/>
        <v>2024</v>
      </c>
      <c r="G454" t="s">
        <v>46</v>
      </c>
      <c r="H454" s="97">
        <v>10362</v>
      </c>
      <c r="I454" s="29">
        <v>54.4</v>
      </c>
      <c r="J454" s="12" t="s">
        <v>31</v>
      </c>
      <c r="K454" s="29">
        <f t="shared" si="31"/>
        <v>54.4</v>
      </c>
      <c r="L454">
        <v>1</v>
      </c>
      <c r="M454" s="29">
        <v>0</v>
      </c>
      <c r="N454" t="s">
        <v>42</v>
      </c>
      <c r="O454" t="s">
        <v>33</v>
      </c>
      <c r="P454" t="s">
        <v>34</v>
      </c>
      <c r="Q454" t="s">
        <v>34</v>
      </c>
      <c r="R454" t="s">
        <v>34</v>
      </c>
      <c r="S454" t="s">
        <v>34</v>
      </c>
      <c r="T454" s="117">
        <v>0</v>
      </c>
      <c r="U454" s="209" t="s">
        <v>256</v>
      </c>
    </row>
    <row r="455" spans="1:21" ht="14.5" customHeight="1" x14ac:dyDescent="0.35">
      <c r="A455" t="s">
        <v>20</v>
      </c>
      <c r="B455" t="s">
        <v>23</v>
      </c>
      <c r="C455" s="1">
        <v>45371</v>
      </c>
      <c r="D455">
        <f t="shared" si="32"/>
        <v>20</v>
      </c>
      <c r="E455">
        <f t="shared" si="33"/>
        <v>3</v>
      </c>
      <c r="F455">
        <f t="shared" si="34"/>
        <v>2024</v>
      </c>
      <c r="G455" t="s">
        <v>46</v>
      </c>
      <c r="H455" s="97">
        <v>10266</v>
      </c>
      <c r="I455" s="29">
        <v>3046.4</v>
      </c>
      <c r="J455" s="12" t="s">
        <v>31</v>
      </c>
      <c r="K455" s="29">
        <f t="shared" si="31"/>
        <v>3046.4</v>
      </c>
      <c r="L455">
        <v>1</v>
      </c>
      <c r="M455" s="29">
        <v>0</v>
      </c>
      <c r="N455" t="s">
        <v>42</v>
      </c>
      <c r="O455" t="s">
        <v>33</v>
      </c>
      <c r="P455" t="s">
        <v>34</v>
      </c>
      <c r="Q455" t="s">
        <v>34</v>
      </c>
      <c r="R455" t="s">
        <v>34</v>
      </c>
      <c r="S455" t="s">
        <v>34</v>
      </c>
      <c r="T455" s="117">
        <v>0</v>
      </c>
    </row>
    <row r="456" spans="1:21" ht="14.5" customHeight="1" x14ac:dyDescent="0.35">
      <c r="A456" t="s">
        <v>20</v>
      </c>
      <c r="B456" t="s">
        <v>23</v>
      </c>
      <c r="C456" s="1">
        <v>45371</v>
      </c>
      <c r="D456">
        <f t="shared" si="32"/>
        <v>20</v>
      </c>
      <c r="E456">
        <f t="shared" si="33"/>
        <v>3</v>
      </c>
      <c r="F456">
        <f t="shared" si="34"/>
        <v>2024</v>
      </c>
      <c r="G456" t="s">
        <v>89</v>
      </c>
      <c r="H456" s="97">
        <v>10119</v>
      </c>
      <c r="I456" s="29">
        <v>49</v>
      </c>
      <c r="J456" s="12" t="s">
        <v>31</v>
      </c>
      <c r="K456" s="29">
        <f t="shared" si="31"/>
        <v>49</v>
      </c>
      <c r="L456">
        <v>1</v>
      </c>
      <c r="M456" s="29">
        <v>0</v>
      </c>
      <c r="N456" t="s">
        <v>32</v>
      </c>
      <c r="O456" t="s">
        <v>33</v>
      </c>
      <c r="P456" t="s">
        <v>34</v>
      </c>
      <c r="Q456" t="s">
        <v>34</v>
      </c>
      <c r="R456" t="s">
        <v>34</v>
      </c>
      <c r="S456" t="s">
        <v>34</v>
      </c>
      <c r="T456" s="117">
        <v>0</v>
      </c>
      <c r="U456" s="209" t="s">
        <v>235</v>
      </c>
    </row>
    <row r="457" spans="1:21" ht="14.5" customHeight="1" x14ac:dyDescent="0.35">
      <c r="A457" t="s">
        <v>20</v>
      </c>
      <c r="B457" t="s">
        <v>23</v>
      </c>
      <c r="C457" s="1">
        <v>45371</v>
      </c>
      <c r="D457">
        <f t="shared" si="32"/>
        <v>20</v>
      </c>
      <c r="E457">
        <f t="shared" si="33"/>
        <v>3</v>
      </c>
      <c r="F457">
        <f t="shared" si="34"/>
        <v>2024</v>
      </c>
      <c r="G457" t="s">
        <v>89</v>
      </c>
      <c r="H457" s="97">
        <v>10268</v>
      </c>
      <c r="I457" s="29">
        <v>3160.5</v>
      </c>
      <c r="J457" s="12" t="s">
        <v>31</v>
      </c>
      <c r="K457" s="29">
        <f t="shared" si="31"/>
        <v>3160.5</v>
      </c>
      <c r="L457">
        <v>1</v>
      </c>
      <c r="M457" s="29">
        <v>0</v>
      </c>
      <c r="N457" t="s">
        <v>32</v>
      </c>
      <c r="O457" t="s">
        <v>33</v>
      </c>
      <c r="P457" t="s">
        <v>34</v>
      </c>
      <c r="Q457" t="s">
        <v>34</v>
      </c>
      <c r="R457" t="s">
        <v>34</v>
      </c>
      <c r="S457" t="s">
        <v>34</v>
      </c>
      <c r="T457" s="117">
        <v>0</v>
      </c>
    </row>
    <row r="458" spans="1:21" ht="14.5" customHeight="1" x14ac:dyDescent="0.35">
      <c r="A458" t="s">
        <v>19</v>
      </c>
      <c r="B458" t="s">
        <v>19</v>
      </c>
      <c r="C458" s="1">
        <v>45371</v>
      </c>
      <c r="D458">
        <f t="shared" si="32"/>
        <v>20</v>
      </c>
      <c r="E458">
        <f t="shared" si="33"/>
        <v>3</v>
      </c>
      <c r="F458">
        <f t="shared" si="34"/>
        <v>2024</v>
      </c>
      <c r="G458" t="s">
        <v>421</v>
      </c>
      <c r="H458" s="171">
        <v>9894</v>
      </c>
      <c r="I458" s="90">
        <v>41598.6</v>
      </c>
      <c r="J458" s="12" t="s">
        <v>31</v>
      </c>
      <c r="K458" s="29">
        <f t="shared" si="31"/>
        <v>41598.6</v>
      </c>
      <c r="L458">
        <v>1</v>
      </c>
      <c r="M458" s="29">
        <v>0</v>
      </c>
      <c r="N458" t="s">
        <v>32</v>
      </c>
      <c r="O458" t="s">
        <v>33</v>
      </c>
      <c r="P458" t="s">
        <v>34</v>
      </c>
      <c r="Q458" t="s">
        <v>34</v>
      </c>
      <c r="R458" t="s">
        <v>34</v>
      </c>
      <c r="S458" t="s">
        <v>34</v>
      </c>
      <c r="T458" s="117">
        <v>0</v>
      </c>
    </row>
    <row r="459" spans="1:21" ht="14.5" customHeight="1" x14ac:dyDescent="0.35">
      <c r="A459" t="s">
        <v>19</v>
      </c>
      <c r="B459" t="s">
        <v>19</v>
      </c>
      <c r="C459" s="1">
        <v>45371</v>
      </c>
      <c r="D459">
        <f t="shared" si="32"/>
        <v>20</v>
      </c>
      <c r="E459">
        <f t="shared" si="33"/>
        <v>3</v>
      </c>
      <c r="F459">
        <f t="shared" si="34"/>
        <v>2024</v>
      </c>
      <c r="G459" t="s">
        <v>86</v>
      </c>
      <c r="H459" s="98">
        <v>9655</v>
      </c>
      <c r="I459" s="29">
        <v>49189.08</v>
      </c>
      <c r="J459" s="12" t="s">
        <v>31</v>
      </c>
      <c r="K459" s="29">
        <f t="shared" si="31"/>
        <v>49189.08</v>
      </c>
      <c r="L459">
        <v>1</v>
      </c>
      <c r="M459" s="29">
        <v>0</v>
      </c>
      <c r="N459" t="s">
        <v>32</v>
      </c>
      <c r="O459" t="s">
        <v>33</v>
      </c>
      <c r="P459" t="s">
        <v>34</v>
      </c>
      <c r="Q459" t="s">
        <v>34</v>
      </c>
      <c r="R459" t="s">
        <v>34</v>
      </c>
      <c r="S459" t="s">
        <v>34</v>
      </c>
      <c r="T459" s="117">
        <v>0</v>
      </c>
    </row>
    <row r="460" spans="1:21" ht="14.5" customHeight="1" x14ac:dyDescent="0.35">
      <c r="A460" t="s">
        <v>19</v>
      </c>
      <c r="B460" t="s">
        <v>19</v>
      </c>
      <c r="C460" s="1">
        <v>45371</v>
      </c>
      <c r="D460">
        <f t="shared" si="32"/>
        <v>20</v>
      </c>
      <c r="E460">
        <f t="shared" si="33"/>
        <v>3</v>
      </c>
      <c r="F460">
        <f t="shared" si="34"/>
        <v>2024</v>
      </c>
      <c r="G460" t="s">
        <v>119</v>
      </c>
      <c r="H460" s="98">
        <v>9480</v>
      </c>
      <c r="I460" s="90">
        <v>63205.87</v>
      </c>
      <c r="J460" s="12" t="s">
        <v>31</v>
      </c>
      <c r="K460" s="29">
        <f t="shared" si="31"/>
        <v>63205.87</v>
      </c>
      <c r="L460">
        <v>1</v>
      </c>
      <c r="M460" s="29">
        <v>0</v>
      </c>
      <c r="N460" t="s">
        <v>32</v>
      </c>
      <c r="O460" t="s">
        <v>33</v>
      </c>
      <c r="P460" t="s">
        <v>34</v>
      </c>
      <c r="Q460" t="s">
        <v>34</v>
      </c>
      <c r="R460" t="s">
        <v>34</v>
      </c>
      <c r="S460" t="s">
        <v>34</v>
      </c>
      <c r="T460" s="117">
        <v>0</v>
      </c>
    </row>
    <row r="461" spans="1:21" ht="14.5" customHeight="1" x14ac:dyDescent="0.35">
      <c r="A461" t="s">
        <v>19</v>
      </c>
      <c r="B461" t="s">
        <v>19</v>
      </c>
      <c r="C461" s="1">
        <v>45371</v>
      </c>
      <c r="D461">
        <f t="shared" si="32"/>
        <v>20</v>
      </c>
      <c r="E461">
        <f t="shared" si="33"/>
        <v>3</v>
      </c>
      <c r="F461">
        <f t="shared" si="34"/>
        <v>2024</v>
      </c>
      <c r="G461" t="s">
        <v>119</v>
      </c>
      <c r="H461" s="98">
        <v>9887</v>
      </c>
      <c r="I461" s="29">
        <v>39796.769999999997</v>
      </c>
      <c r="J461" s="12" t="s">
        <v>31</v>
      </c>
      <c r="K461" s="29">
        <f t="shared" si="31"/>
        <v>39796.769999999997</v>
      </c>
      <c r="L461">
        <v>1</v>
      </c>
      <c r="M461" s="29">
        <v>0</v>
      </c>
      <c r="N461" t="s">
        <v>32</v>
      </c>
      <c r="O461" t="s">
        <v>33</v>
      </c>
      <c r="P461" t="s">
        <v>34</v>
      </c>
      <c r="Q461" t="s">
        <v>34</v>
      </c>
      <c r="R461" t="s">
        <v>34</v>
      </c>
      <c r="S461" t="s">
        <v>34</v>
      </c>
      <c r="T461" s="117">
        <v>0</v>
      </c>
    </row>
    <row r="462" spans="1:21" ht="14.5" customHeight="1" x14ac:dyDescent="0.35">
      <c r="A462" t="s">
        <v>19</v>
      </c>
      <c r="B462" t="s">
        <v>19</v>
      </c>
      <c r="C462" s="1">
        <v>45371</v>
      </c>
      <c r="D462">
        <f t="shared" si="32"/>
        <v>20</v>
      </c>
      <c r="E462">
        <f t="shared" si="33"/>
        <v>3</v>
      </c>
      <c r="F462">
        <f t="shared" si="34"/>
        <v>2024</v>
      </c>
      <c r="G462" t="s">
        <v>56</v>
      </c>
      <c r="H462" s="98">
        <v>9707</v>
      </c>
      <c r="I462" s="29">
        <v>172273.27</v>
      </c>
      <c r="J462" s="12" t="s">
        <v>31</v>
      </c>
      <c r="K462" s="29">
        <f t="shared" si="31"/>
        <v>172273.27</v>
      </c>
      <c r="L462">
        <v>1</v>
      </c>
      <c r="M462" s="29">
        <v>0</v>
      </c>
      <c r="N462" t="s">
        <v>32</v>
      </c>
      <c r="O462" t="s">
        <v>33</v>
      </c>
      <c r="P462" t="s">
        <v>34</v>
      </c>
      <c r="Q462" t="s">
        <v>34</v>
      </c>
      <c r="R462" t="s">
        <v>34</v>
      </c>
      <c r="S462" t="s">
        <v>34</v>
      </c>
      <c r="T462" s="117">
        <v>0</v>
      </c>
    </row>
    <row r="463" spans="1:21" ht="14.5" customHeight="1" x14ac:dyDescent="0.35">
      <c r="A463" t="s">
        <v>19</v>
      </c>
      <c r="B463" t="s">
        <v>19</v>
      </c>
      <c r="C463" s="1">
        <v>45371</v>
      </c>
      <c r="D463">
        <f t="shared" si="32"/>
        <v>20</v>
      </c>
      <c r="E463">
        <f t="shared" si="33"/>
        <v>3</v>
      </c>
      <c r="F463">
        <f t="shared" si="34"/>
        <v>2024</v>
      </c>
      <c r="G463" t="s">
        <v>56</v>
      </c>
      <c r="H463" s="98">
        <v>9706</v>
      </c>
      <c r="I463" s="29">
        <v>85411.43</v>
      </c>
      <c r="J463" s="12" t="s">
        <v>31</v>
      </c>
      <c r="K463" s="29">
        <f t="shared" si="31"/>
        <v>85411.43</v>
      </c>
      <c r="L463">
        <v>1</v>
      </c>
      <c r="M463" s="29">
        <v>0</v>
      </c>
      <c r="N463" t="s">
        <v>32</v>
      </c>
      <c r="O463" t="s">
        <v>33</v>
      </c>
      <c r="P463" t="s">
        <v>34</v>
      </c>
      <c r="Q463" t="s">
        <v>34</v>
      </c>
      <c r="R463" t="s">
        <v>34</v>
      </c>
      <c r="S463" t="s">
        <v>34</v>
      </c>
      <c r="T463" s="117">
        <v>0</v>
      </c>
    </row>
    <row r="464" spans="1:21" ht="14.5" customHeight="1" x14ac:dyDescent="0.35">
      <c r="A464" t="s">
        <v>19</v>
      </c>
      <c r="B464" t="s">
        <v>19</v>
      </c>
      <c r="C464" s="1">
        <v>45371</v>
      </c>
      <c r="D464">
        <f t="shared" si="32"/>
        <v>20</v>
      </c>
      <c r="E464">
        <f t="shared" si="33"/>
        <v>3</v>
      </c>
      <c r="F464">
        <f t="shared" si="34"/>
        <v>2024</v>
      </c>
      <c r="G464" t="s">
        <v>56</v>
      </c>
      <c r="H464" s="98">
        <v>9705</v>
      </c>
      <c r="I464" s="29">
        <v>183383.06</v>
      </c>
      <c r="J464" s="12" t="s">
        <v>31</v>
      </c>
      <c r="K464" s="29">
        <f t="shared" si="31"/>
        <v>183383.06</v>
      </c>
      <c r="L464">
        <v>1</v>
      </c>
      <c r="M464" s="29">
        <v>0</v>
      </c>
      <c r="N464" t="s">
        <v>32</v>
      </c>
      <c r="O464" t="s">
        <v>33</v>
      </c>
      <c r="P464" t="s">
        <v>34</v>
      </c>
      <c r="Q464" t="s">
        <v>34</v>
      </c>
      <c r="R464" t="s">
        <v>34</v>
      </c>
      <c r="S464" t="s">
        <v>34</v>
      </c>
      <c r="T464" s="117">
        <v>0</v>
      </c>
    </row>
    <row r="465" spans="1:21" ht="14.5" customHeight="1" x14ac:dyDescent="0.35">
      <c r="A465" t="s">
        <v>19</v>
      </c>
      <c r="B465" t="s">
        <v>19</v>
      </c>
      <c r="C465" s="1">
        <v>45371</v>
      </c>
      <c r="D465">
        <f t="shared" si="32"/>
        <v>20</v>
      </c>
      <c r="E465">
        <f t="shared" si="33"/>
        <v>3</v>
      </c>
      <c r="F465">
        <f t="shared" si="34"/>
        <v>2024</v>
      </c>
      <c r="G465" t="s">
        <v>56</v>
      </c>
      <c r="H465" s="98">
        <v>9647</v>
      </c>
      <c r="I465" s="29">
        <v>108.54</v>
      </c>
      <c r="J465" s="12" t="s">
        <v>31</v>
      </c>
      <c r="K465" s="29">
        <f t="shared" si="31"/>
        <v>108.54</v>
      </c>
      <c r="L465">
        <v>1</v>
      </c>
      <c r="M465" s="29">
        <v>0</v>
      </c>
      <c r="N465" t="s">
        <v>32</v>
      </c>
      <c r="O465" t="s">
        <v>33</v>
      </c>
      <c r="P465" t="s">
        <v>34</v>
      </c>
      <c r="Q465" t="s">
        <v>34</v>
      </c>
      <c r="R465" t="s">
        <v>34</v>
      </c>
      <c r="S465" t="s">
        <v>34</v>
      </c>
      <c r="T465" s="117">
        <v>0</v>
      </c>
    </row>
    <row r="466" spans="1:21" ht="14.5" customHeight="1" x14ac:dyDescent="0.35">
      <c r="A466" t="s">
        <v>19</v>
      </c>
      <c r="B466" t="s">
        <v>19</v>
      </c>
      <c r="C466" s="1">
        <v>45371</v>
      </c>
      <c r="D466">
        <f t="shared" si="32"/>
        <v>20</v>
      </c>
      <c r="E466">
        <f t="shared" si="33"/>
        <v>3</v>
      </c>
      <c r="F466">
        <f t="shared" si="34"/>
        <v>2024</v>
      </c>
      <c r="G466" t="s">
        <v>120</v>
      </c>
      <c r="H466" s="98">
        <v>9916</v>
      </c>
      <c r="I466" s="29">
        <v>18053.060000000001</v>
      </c>
      <c r="J466" s="12" t="s">
        <v>31</v>
      </c>
      <c r="K466" s="29">
        <f t="shared" si="31"/>
        <v>18053.060000000001</v>
      </c>
      <c r="L466">
        <v>1</v>
      </c>
      <c r="M466" s="29">
        <v>0</v>
      </c>
      <c r="N466" t="s">
        <v>32</v>
      </c>
      <c r="O466" t="s">
        <v>33</v>
      </c>
      <c r="P466" t="s">
        <v>34</v>
      </c>
      <c r="Q466" t="s">
        <v>34</v>
      </c>
      <c r="R466" t="s">
        <v>34</v>
      </c>
      <c r="S466" t="s">
        <v>34</v>
      </c>
      <c r="T466" s="117">
        <v>0</v>
      </c>
    </row>
    <row r="467" spans="1:21" ht="14.5" customHeight="1" x14ac:dyDescent="0.35">
      <c r="A467" t="s">
        <v>19</v>
      </c>
      <c r="B467" t="s">
        <v>19</v>
      </c>
      <c r="C467" s="1">
        <v>45371</v>
      </c>
      <c r="D467">
        <f t="shared" si="32"/>
        <v>20</v>
      </c>
      <c r="E467">
        <f t="shared" si="33"/>
        <v>3</v>
      </c>
      <c r="F467">
        <f t="shared" si="34"/>
        <v>2024</v>
      </c>
      <c r="G467" t="s">
        <v>82</v>
      </c>
      <c r="H467" s="98">
        <v>9656</v>
      </c>
      <c r="I467" s="29">
        <v>11041.98</v>
      </c>
      <c r="J467" s="12" t="s">
        <v>31</v>
      </c>
      <c r="K467" s="29">
        <f t="shared" si="31"/>
        <v>11041.98</v>
      </c>
      <c r="L467">
        <v>1</v>
      </c>
      <c r="M467" s="29">
        <v>0</v>
      </c>
      <c r="N467" t="s">
        <v>32</v>
      </c>
      <c r="O467" t="s">
        <v>33</v>
      </c>
      <c r="P467" t="s">
        <v>34</v>
      </c>
      <c r="Q467" t="s">
        <v>34</v>
      </c>
      <c r="R467" t="s">
        <v>34</v>
      </c>
      <c r="S467" t="s">
        <v>34</v>
      </c>
      <c r="T467" s="117">
        <v>0</v>
      </c>
    </row>
    <row r="468" spans="1:21" ht="14.5" customHeight="1" x14ac:dyDescent="0.35">
      <c r="A468" t="s">
        <v>19</v>
      </c>
      <c r="B468" t="s">
        <v>23</v>
      </c>
      <c r="C468" s="1">
        <v>45372</v>
      </c>
      <c r="D468">
        <f t="shared" si="32"/>
        <v>21</v>
      </c>
      <c r="E468">
        <f t="shared" si="33"/>
        <v>3</v>
      </c>
      <c r="F468">
        <f t="shared" si="34"/>
        <v>2024</v>
      </c>
      <c r="G468" t="s">
        <v>75</v>
      </c>
      <c r="H468" s="171">
        <v>9527</v>
      </c>
      <c r="I468" s="90">
        <v>27414.12</v>
      </c>
      <c r="J468" s="12" t="s">
        <v>31</v>
      </c>
      <c r="K468" s="29">
        <f t="shared" si="31"/>
        <v>27414.12</v>
      </c>
      <c r="L468">
        <v>1</v>
      </c>
      <c r="M468" s="29">
        <v>0</v>
      </c>
      <c r="N468" t="s">
        <v>32</v>
      </c>
      <c r="O468" t="s">
        <v>33</v>
      </c>
      <c r="P468" t="s">
        <v>34</v>
      </c>
      <c r="Q468" t="s">
        <v>34</v>
      </c>
      <c r="R468" t="s">
        <v>34</v>
      </c>
      <c r="S468" t="s">
        <v>34</v>
      </c>
      <c r="T468" s="117">
        <v>0</v>
      </c>
    </row>
    <row r="469" spans="1:21" ht="14.5" customHeight="1" x14ac:dyDescent="0.35">
      <c r="A469" t="s">
        <v>19</v>
      </c>
      <c r="B469" t="s">
        <v>26</v>
      </c>
      <c r="C469" s="1">
        <v>45372</v>
      </c>
      <c r="D469">
        <f t="shared" si="32"/>
        <v>21</v>
      </c>
      <c r="E469">
        <f t="shared" si="33"/>
        <v>3</v>
      </c>
      <c r="F469">
        <f t="shared" si="34"/>
        <v>2024</v>
      </c>
      <c r="G469" t="s">
        <v>112</v>
      </c>
      <c r="H469" s="98">
        <v>10102</v>
      </c>
      <c r="I469" s="29">
        <v>55443.58</v>
      </c>
      <c r="J469" s="12" t="s">
        <v>51</v>
      </c>
      <c r="K469" s="29">
        <f t="shared" si="31"/>
        <v>60427.957842000003</v>
      </c>
      <c r="L469">
        <v>1.0899000000000001</v>
      </c>
      <c r="M469" s="29">
        <v>0</v>
      </c>
      <c r="N469" t="s">
        <v>32</v>
      </c>
      <c r="O469" t="s">
        <v>33</v>
      </c>
      <c r="P469" t="s">
        <v>34</v>
      </c>
      <c r="Q469" t="s">
        <v>34</v>
      </c>
      <c r="R469" t="s">
        <v>34</v>
      </c>
      <c r="S469" t="s">
        <v>34</v>
      </c>
      <c r="T469" s="117">
        <v>0</v>
      </c>
      <c r="U469" s="209" t="s">
        <v>94</v>
      </c>
    </row>
    <row r="470" spans="1:21" ht="14.5" customHeight="1" x14ac:dyDescent="0.35">
      <c r="A470" t="s">
        <v>19</v>
      </c>
      <c r="B470" t="s">
        <v>26</v>
      </c>
      <c r="C470" s="1">
        <v>45372</v>
      </c>
      <c r="D470">
        <f t="shared" si="32"/>
        <v>21</v>
      </c>
      <c r="E470">
        <f t="shared" si="33"/>
        <v>3</v>
      </c>
      <c r="F470">
        <f t="shared" si="34"/>
        <v>2024</v>
      </c>
      <c r="G470" t="s">
        <v>112</v>
      </c>
      <c r="H470" s="98">
        <v>10143</v>
      </c>
      <c r="I470" s="29">
        <v>9937.1</v>
      </c>
      <c r="J470" s="12" t="s">
        <v>51</v>
      </c>
      <c r="K470" s="29">
        <f t="shared" si="31"/>
        <v>10830.445290000001</v>
      </c>
      <c r="L470">
        <v>1.0899000000000001</v>
      </c>
      <c r="M470" s="29">
        <v>0</v>
      </c>
      <c r="N470" t="s">
        <v>32</v>
      </c>
      <c r="O470" t="s">
        <v>33</v>
      </c>
      <c r="P470" t="s">
        <v>34</v>
      </c>
      <c r="Q470" t="s">
        <v>34</v>
      </c>
      <c r="R470" t="s">
        <v>34</v>
      </c>
      <c r="S470" t="s">
        <v>34</v>
      </c>
      <c r="T470" s="117">
        <v>0</v>
      </c>
      <c r="U470" s="209" t="s">
        <v>94</v>
      </c>
    </row>
    <row r="471" spans="1:21" ht="14.5" customHeight="1" x14ac:dyDescent="0.35">
      <c r="A471" t="s">
        <v>19</v>
      </c>
      <c r="B471" t="s">
        <v>26</v>
      </c>
      <c r="C471" s="1">
        <v>45372</v>
      </c>
      <c r="D471">
        <f t="shared" si="32"/>
        <v>21</v>
      </c>
      <c r="E471">
        <f t="shared" si="33"/>
        <v>3</v>
      </c>
      <c r="F471">
        <f t="shared" si="34"/>
        <v>2024</v>
      </c>
      <c r="G471" t="s">
        <v>187</v>
      </c>
      <c r="H471" s="98">
        <v>0</v>
      </c>
      <c r="I471" s="90">
        <v>15817.96</v>
      </c>
      <c r="J471" s="12" t="s">
        <v>51</v>
      </c>
      <c r="K471" s="29">
        <f t="shared" si="31"/>
        <v>17239.994604</v>
      </c>
      <c r="L471">
        <v>1.0899000000000001</v>
      </c>
      <c r="M471" s="29">
        <v>0</v>
      </c>
      <c r="N471" t="s">
        <v>32</v>
      </c>
      <c r="O471" t="s">
        <v>33</v>
      </c>
      <c r="P471" t="s">
        <v>34</v>
      </c>
      <c r="Q471" t="s">
        <v>34</v>
      </c>
      <c r="R471" t="s">
        <v>34</v>
      </c>
      <c r="S471" t="s">
        <v>34</v>
      </c>
      <c r="T471" s="117">
        <v>0</v>
      </c>
      <c r="U471" s="209" t="s">
        <v>94</v>
      </c>
    </row>
    <row r="472" spans="1:21" ht="14.5" customHeight="1" x14ac:dyDescent="0.35">
      <c r="A472" t="s">
        <v>19</v>
      </c>
      <c r="B472" t="s">
        <v>23</v>
      </c>
      <c r="C472" s="1">
        <v>45385</v>
      </c>
      <c r="D472">
        <f t="shared" si="32"/>
        <v>3</v>
      </c>
      <c r="E472">
        <f t="shared" si="33"/>
        <v>4</v>
      </c>
      <c r="F472">
        <f t="shared" si="34"/>
        <v>2024</v>
      </c>
      <c r="G472" t="s">
        <v>75</v>
      </c>
      <c r="H472" s="171">
        <v>9119</v>
      </c>
      <c r="I472" s="90">
        <v>35884.800000000003</v>
      </c>
      <c r="J472" s="12" t="s">
        <v>31</v>
      </c>
      <c r="K472" s="29">
        <f t="shared" si="31"/>
        <v>35884.800000000003</v>
      </c>
      <c r="L472">
        <v>1</v>
      </c>
      <c r="M472" s="29">
        <v>0</v>
      </c>
      <c r="N472" t="s">
        <v>42</v>
      </c>
      <c r="O472" t="s">
        <v>33</v>
      </c>
      <c r="P472" t="s">
        <v>34</v>
      </c>
      <c r="Q472" t="s">
        <v>34</v>
      </c>
      <c r="R472" t="s">
        <v>34</v>
      </c>
      <c r="S472" t="s">
        <v>34</v>
      </c>
      <c r="T472" s="117">
        <v>0</v>
      </c>
    </row>
    <row r="473" spans="1:21" ht="14.5" customHeight="1" x14ac:dyDescent="0.35">
      <c r="A473" t="s">
        <v>19</v>
      </c>
      <c r="B473" t="s">
        <v>23</v>
      </c>
      <c r="C473" s="1">
        <v>45385</v>
      </c>
      <c r="D473">
        <f t="shared" si="32"/>
        <v>3</v>
      </c>
      <c r="E473">
        <f t="shared" si="33"/>
        <v>4</v>
      </c>
      <c r="F473">
        <f t="shared" si="34"/>
        <v>2024</v>
      </c>
      <c r="G473" t="s">
        <v>75</v>
      </c>
      <c r="H473" s="171">
        <v>9038</v>
      </c>
      <c r="I473" s="90">
        <v>8298.2000000000007</v>
      </c>
      <c r="J473" s="12" t="s">
        <v>31</v>
      </c>
      <c r="K473" s="29">
        <f t="shared" si="31"/>
        <v>8298.2000000000007</v>
      </c>
      <c r="L473">
        <v>1</v>
      </c>
      <c r="M473" s="29">
        <v>0</v>
      </c>
      <c r="N473" t="s">
        <v>42</v>
      </c>
      <c r="O473" t="s">
        <v>33</v>
      </c>
      <c r="P473" t="s">
        <v>34</v>
      </c>
      <c r="Q473" t="s">
        <v>34</v>
      </c>
      <c r="R473" t="s">
        <v>34</v>
      </c>
      <c r="S473" t="s">
        <v>34</v>
      </c>
      <c r="T473" s="117">
        <v>0</v>
      </c>
    </row>
    <row r="474" spans="1:21" ht="14.5" customHeight="1" x14ac:dyDescent="0.35">
      <c r="A474" t="s">
        <v>19</v>
      </c>
      <c r="B474" t="s">
        <v>23</v>
      </c>
      <c r="C474" s="1">
        <v>45385</v>
      </c>
      <c r="D474">
        <f t="shared" si="32"/>
        <v>3</v>
      </c>
      <c r="E474">
        <f t="shared" si="33"/>
        <v>4</v>
      </c>
      <c r="F474">
        <f t="shared" si="34"/>
        <v>2024</v>
      </c>
      <c r="G474" t="s">
        <v>75</v>
      </c>
      <c r="H474" s="171">
        <v>10246</v>
      </c>
      <c r="I474" s="90">
        <v>332.6</v>
      </c>
      <c r="J474" s="12" t="s">
        <v>31</v>
      </c>
      <c r="K474" s="29">
        <f t="shared" si="31"/>
        <v>332.6</v>
      </c>
      <c r="L474">
        <v>1</v>
      </c>
      <c r="M474" s="29">
        <v>0</v>
      </c>
      <c r="N474" t="s">
        <v>42</v>
      </c>
      <c r="O474" t="s">
        <v>33</v>
      </c>
      <c r="P474" t="s">
        <v>34</v>
      </c>
      <c r="Q474" t="s">
        <v>34</v>
      </c>
      <c r="R474" t="s">
        <v>34</v>
      </c>
      <c r="S474" t="s">
        <v>34</v>
      </c>
      <c r="T474" s="117">
        <v>0</v>
      </c>
      <c r="U474" s="209" t="s">
        <v>295</v>
      </c>
    </row>
    <row r="475" spans="1:21" ht="14.5" customHeight="1" x14ac:dyDescent="0.35">
      <c r="A475" t="s">
        <v>19</v>
      </c>
      <c r="B475" t="s">
        <v>21</v>
      </c>
      <c r="C475" s="1">
        <v>45385</v>
      </c>
      <c r="D475">
        <f t="shared" si="32"/>
        <v>3</v>
      </c>
      <c r="E475">
        <f t="shared" si="33"/>
        <v>4</v>
      </c>
      <c r="F475">
        <f t="shared" si="34"/>
        <v>2024</v>
      </c>
      <c r="G475" t="s">
        <v>40</v>
      </c>
      <c r="H475" s="98">
        <v>10149</v>
      </c>
      <c r="I475" s="29">
        <v>35.4</v>
      </c>
      <c r="J475" s="12" t="s">
        <v>31</v>
      </c>
      <c r="K475" s="29">
        <f t="shared" si="31"/>
        <v>35.4</v>
      </c>
      <c r="L475">
        <v>1</v>
      </c>
      <c r="M475" s="29">
        <v>0</v>
      </c>
      <c r="N475" t="s">
        <v>32</v>
      </c>
      <c r="O475" t="s">
        <v>33</v>
      </c>
      <c r="P475" t="s">
        <v>34</v>
      </c>
      <c r="Q475" t="s">
        <v>34</v>
      </c>
      <c r="R475" t="s">
        <v>34</v>
      </c>
      <c r="S475" t="s">
        <v>34</v>
      </c>
      <c r="T475" s="117">
        <v>0</v>
      </c>
    </row>
    <row r="476" spans="1:21" ht="14.5" customHeight="1" x14ac:dyDescent="0.35">
      <c r="A476" t="s">
        <v>19</v>
      </c>
      <c r="B476" t="s">
        <v>21</v>
      </c>
      <c r="C476" s="1">
        <v>45385</v>
      </c>
      <c r="D476">
        <f t="shared" si="32"/>
        <v>3</v>
      </c>
      <c r="E476">
        <f t="shared" si="33"/>
        <v>4</v>
      </c>
      <c r="F476">
        <f t="shared" si="34"/>
        <v>2024</v>
      </c>
      <c r="G476" t="s">
        <v>40</v>
      </c>
      <c r="H476" s="98">
        <v>10148</v>
      </c>
      <c r="I476" s="29">
        <v>7380.9</v>
      </c>
      <c r="J476" s="12" t="s">
        <v>31</v>
      </c>
      <c r="K476" s="29">
        <f t="shared" si="31"/>
        <v>7380.9</v>
      </c>
      <c r="L476">
        <v>1</v>
      </c>
      <c r="M476" s="29">
        <v>0</v>
      </c>
      <c r="N476" t="s">
        <v>32</v>
      </c>
      <c r="O476" t="s">
        <v>33</v>
      </c>
      <c r="P476" t="s">
        <v>34</v>
      </c>
      <c r="Q476" t="s">
        <v>34</v>
      </c>
      <c r="R476" t="s">
        <v>34</v>
      </c>
      <c r="S476" t="s">
        <v>34</v>
      </c>
      <c r="T476" s="117">
        <v>0</v>
      </c>
    </row>
    <row r="477" spans="1:21" ht="14.5" customHeight="1" x14ac:dyDescent="0.35">
      <c r="A477" t="s">
        <v>19</v>
      </c>
      <c r="B477" t="s">
        <v>23</v>
      </c>
      <c r="C477" s="1">
        <v>45385</v>
      </c>
      <c r="D477">
        <f t="shared" si="32"/>
        <v>3</v>
      </c>
      <c r="E477">
        <f t="shared" si="33"/>
        <v>4</v>
      </c>
      <c r="F477">
        <f t="shared" si="34"/>
        <v>2024</v>
      </c>
      <c r="G477" t="s">
        <v>76</v>
      </c>
      <c r="H477" s="98">
        <v>9957</v>
      </c>
      <c r="I477" s="29">
        <v>38627.199999999997</v>
      </c>
      <c r="J477" s="12" t="s">
        <v>31</v>
      </c>
      <c r="K477" s="29">
        <f t="shared" si="31"/>
        <v>38627.199999999997</v>
      </c>
      <c r="L477">
        <v>1</v>
      </c>
      <c r="M477" s="29">
        <v>0</v>
      </c>
      <c r="N477" t="s">
        <v>32</v>
      </c>
      <c r="O477" t="s">
        <v>33</v>
      </c>
      <c r="P477" t="s">
        <v>34</v>
      </c>
      <c r="Q477" t="s">
        <v>34</v>
      </c>
      <c r="R477" t="s">
        <v>34</v>
      </c>
      <c r="S477" t="s">
        <v>34</v>
      </c>
      <c r="T477" s="117">
        <v>0</v>
      </c>
    </row>
    <row r="478" spans="1:21" ht="14.5" customHeight="1" x14ac:dyDescent="0.35">
      <c r="A478" t="s">
        <v>19</v>
      </c>
      <c r="B478" t="s">
        <v>23</v>
      </c>
      <c r="C478" s="1">
        <v>45385</v>
      </c>
      <c r="D478">
        <f t="shared" si="32"/>
        <v>3</v>
      </c>
      <c r="E478">
        <f t="shared" si="33"/>
        <v>4</v>
      </c>
      <c r="F478">
        <f t="shared" si="34"/>
        <v>2024</v>
      </c>
      <c r="G478" t="s">
        <v>76</v>
      </c>
      <c r="H478" s="98">
        <v>10317</v>
      </c>
      <c r="I478" s="29">
        <v>39637.9</v>
      </c>
      <c r="J478" s="12" t="s">
        <v>31</v>
      </c>
      <c r="K478" s="29">
        <f t="shared" si="31"/>
        <v>39637.9</v>
      </c>
      <c r="L478">
        <v>1</v>
      </c>
      <c r="M478" s="29">
        <v>0</v>
      </c>
      <c r="N478" t="s">
        <v>42</v>
      </c>
      <c r="O478" t="s">
        <v>33</v>
      </c>
      <c r="P478" t="s">
        <v>34</v>
      </c>
      <c r="Q478" t="s">
        <v>34</v>
      </c>
      <c r="R478" t="s">
        <v>34</v>
      </c>
      <c r="S478" t="s">
        <v>34</v>
      </c>
      <c r="T478" s="117">
        <v>0</v>
      </c>
    </row>
    <row r="479" spans="1:21" ht="14.5" customHeight="1" x14ac:dyDescent="0.35">
      <c r="A479" t="s">
        <v>19</v>
      </c>
      <c r="B479" t="s">
        <v>23</v>
      </c>
      <c r="C479" s="1">
        <v>45385</v>
      </c>
      <c r="D479">
        <f t="shared" si="32"/>
        <v>3</v>
      </c>
      <c r="E479">
        <f t="shared" si="33"/>
        <v>4</v>
      </c>
      <c r="F479">
        <f t="shared" si="34"/>
        <v>2024</v>
      </c>
      <c r="G479" t="s">
        <v>76</v>
      </c>
      <c r="H479" s="98">
        <v>10321</v>
      </c>
      <c r="I479" s="29">
        <v>71.06</v>
      </c>
      <c r="J479" s="12" t="s">
        <v>31</v>
      </c>
      <c r="K479" s="29">
        <f t="shared" si="31"/>
        <v>71.06</v>
      </c>
      <c r="L479">
        <v>1</v>
      </c>
      <c r="M479" s="29">
        <v>0</v>
      </c>
      <c r="N479" t="s">
        <v>42</v>
      </c>
      <c r="O479" t="s">
        <v>33</v>
      </c>
      <c r="P479" t="s">
        <v>34</v>
      </c>
      <c r="Q479" t="s">
        <v>34</v>
      </c>
      <c r="R479" t="s">
        <v>34</v>
      </c>
      <c r="S479" t="s">
        <v>34</v>
      </c>
      <c r="T479" s="117">
        <v>0</v>
      </c>
      <c r="U479" s="209" t="s">
        <v>259</v>
      </c>
    </row>
    <row r="480" spans="1:21" ht="14.5" customHeight="1" x14ac:dyDescent="0.35">
      <c r="A480" t="s">
        <v>19</v>
      </c>
      <c r="B480" t="s">
        <v>23</v>
      </c>
      <c r="C480" s="1">
        <v>45385</v>
      </c>
      <c r="D480">
        <f t="shared" si="32"/>
        <v>3</v>
      </c>
      <c r="E480">
        <f t="shared" si="33"/>
        <v>4</v>
      </c>
      <c r="F480">
        <f t="shared" si="34"/>
        <v>2024</v>
      </c>
      <c r="G480" t="s">
        <v>76</v>
      </c>
      <c r="H480" s="98">
        <v>10316</v>
      </c>
      <c r="I480" s="29">
        <v>7050</v>
      </c>
      <c r="J480" s="12" t="s">
        <v>31</v>
      </c>
      <c r="K480" s="29">
        <f t="shared" si="31"/>
        <v>7050</v>
      </c>
      <c r="L480">
        <v>1</v>
      </c>
      <c r="M480" s="29">
        <v>0</v>
      </c>
      <c r="N480" t="s">
        <v>42</v>
      </c>
      <c r="O480" t="s">
        <v>33</v>
      </c>
      <c r="P480" t="s">
        <v>34</v>
      </c>
      <c r="Q480" t="s">
        <v>34</v>
      </c>
      <c r="R480" t="s">
        <v>34</v>
      </c>
      <c r="S480" t="s">
        <v>34</v>
      </c>
      <c r="T480" s="117">
        <v>0</v>
      </c>
    </row>
    <row r="481" spans="1:21" ht="14.5" customHeight="1" x14ac:dyDescent="0.35">
      <c r="A481" t="s">
        <v>19</v>
      </c>
      <c r="B481" t="s">
        <v>25</v>
      </c>
      <c r="C481" s="1">
        <v>45385</v>
      </c>
      <c r="D481">
        <f t="shared" si="32"/>
        <v>3</v>
      </c>
      <c r="E481">
        <f t="shared" si="33"/>
        <v>4</v>
      </c>
      <c r="F481">
        <f t="shared" si="34"/>
        <v>2024</v>
      </c>
      <c r="G481" t="s">
        <v>38</v>
      </c>
      <c r="H481" s="98">
        <v>9888</v>
      </c>
      <c r="I481" s="29">
        <v>56146.62</v>
      </c>
      <c r="J481" s="12" t="s">
        <v>31</v>
      </c>
      <c r="K481" s="29">
        <f t="shared" si="31"/>
        <v>56146.62</v>
      </c>
      <c r="L481">
        <v>1</v>
      </c>
      <c r="M481" s="29">
        <v>0</v>
      </c>
      <c r="N481" t="s">
        <v>32</v>
      </c>
      <c r="O481" t="s">
        <v>33</v>
      </c>
      <c r="P481" t="s">
        <v>34</v>
      </c>
      <c r="Q481" t="s">
        <v>34</v>
      </c>
      <c r="R481" t="s">
        <v>34</v>
      </c>
      <c r="S481" t="s">
        <v>34</v>
      </c>
      <c r="T481" s="117">
        <v>0</v>
      </c>
    </row>
    <row r="482" spans="1:21" ht="14.5" customHeight="1" x14ac:dyDescent="0.35">
      <c r="A482" t="s">
        <v>19</v>
      </c>
      <c r="B482" t="s">
        <v>25</v>
      </c>
      <c r="C482" s="1">
        <v>45385</v>
      </c>
      <c r="D482">
        <f t="shared" si="32"/>
        <v>3</v>
      </c>
      <c r="E482">
        <f t="shared" si="33"/>
        <v>4</v>
      </c>
      <c r="F482">
        <f t="shared" si="34"/>
        <v>2024</v>
      </c>
      <c r="G482" t="s">
        <v>38</v>
      </c>
      <c r="H482" s="98">
        <v>10130</v>
      </c>
      <c r="I482" s="29">
        <v>185.85</v>
      </c>
      <c r="J482" s="12" t="s">
        <v>31</v>
      </c>
      <c r="K482" s="29">
        <f t="shared" si="31"/>
        <v>185.85</v>
      </c>
      <c r="L482">
        <v>1</v>
      </c>
      <c r="M482" s="29">
        <v>0</v>
      </c>
      <c r="N482" t="s">
        <v>32</v>
      </c>
      <c r="O482" t="s">
        <v>33</v>
      </c>
      <c r="P482" t="s">
        <v>34</v>
      </c>
      <c r="Q482" t="s">
        <v>34</v>
      </c>
      <c r="R482" t="s">
        <v>34</v>
      </c>
      <c r="S482" t="s">
        <v>34</v>
      </c>
      <c r="T482" s="117">
        <v>0</v>
      </c>
    </row>
    <row r="483" spans="1:21" ht="14.5" customHeight="1" x14ac:dyDescent="0.35">
      <c r="A483" t="s">
        <v>19</v>
      </c>
      <c r="B483" t="s">
        <v>21</v>
      </c>
      <c r="C483" s="1">
        <v>45385</v>
      </c>
      <c r="D483">
        <f t="shared" si="32"/>
        <v>3</v>
      </c>
      <c r="E483">
        <f t="shared" si="33"/>
        <v>4</v>
      </c>
      <c r="F483">
        <f t="shared" si="34"/>
        <v>2024</v>
      </c>
      <c r="G483" t="s">
        <v>92</v>
      </c>
      <c r="H483" s="98">
        <v>10095</v>
      </c>
      <c r="I483" s="29">
        <v>7.5</v>
      </c>
      <c r="J483" s="12" t="s">
        <v>31</v>
      </c>
      <c r="K483" s="29">
        <f t="shared" si="31"/>
        <v>7.5</v>
      </c>
      <c r="L483">
        <v>1</v>
      </c>
      <c r="M483" s="29">
        <v>0</v>
      </c>
      <c r="N483" t="s">
        <v>42</v>
      </c>
      <c r="O483" t="s">
        <v>33</v>
      </c>
      <c r="P483" t="s">
        <v>34</v>
      </c>
      <c r="Q483" t="s">
        <v>34</v>
      </c>
      <c r="R483" t="s">
        <v>34</v>
      </c>
      <c r="S483" t="s">
        <v>34</v>
      </c>
      <c r="T483" s="117">
        <v>0</v>
      </c>
      <c r="U483" s="209" t="s">
        <v>219</v>
      </c>
    </row>
    <row r="484" spans="1:21" ht="14.5" customHeight="1" x14ac:dyDescent="0.35">
      <c r="A484" t="s">
        <v>19</v>
      </c>
      <c r="B484" t="s">
        <v>21</v>
      </c>
      <c r="C484" s="1">
        <v>45385</v>
      </c>
      <c r="D484">
        <f t="shared" si="32"/>
        <v>3</v>
      </c>
      <c r="E484">
        <f t="shared" si="33"/>
        <v>4</v>
      </c>
      <c r="F484">
        <f t="shared" si="34"/>
        <v>2024</v>
      </c>
      <c r="G484" t="s">
        <v>92</v>
      </c>
      <c r="H484" s="98">
        <v>10096</v>
      </c>
      <c r="I484" s="29">
        <v>1535.63</v>
      </c>
      <c r="J484" s="12" t="s">
        <v>31</v>
      </c>
      <c r="K484" s="29">
        <f t="shared" si="31"/>
        <v>1535.63</v>
      </c>
      <c r="L484">
        <v>1</v>
      </c>
      <c r="M484" s="29">
        <v>0</v>
      </c>
      <c r="N484" t="s">
        <v>42</v>
      </c>
      <c r="O484" t="s">
        <v>33</v>
      </c>
      <c r="P484" t="s">
        <v>34</v>
      </c>
      <c r="Q484" t="s">
        <v>34</v>
      </c>
      <c r="R484" t="s">
        <v>34</v>
      </c>
      <c r="S484" t="s">
        <v>34</v>
      </c>
      <c r="T484" s="117">
        <v>0</v>
      </c>
      <c r="U484" s="209" t="s">
        <v>245</v>
      </c>
    </row>
    <row r="485" spans="1:21" ht="14.5" customHeight="1" x14ac:dyDescent="0.35">
      <c r="A485" t="s">
        <v>19</v>
      </c>
      <c r="B485" t="s">
        <v>21</v>
      </c>
      <c r="C485" s="1">
        <v>45385</v>
      </c>
      <c r="D485">
        <f t="shared" si="32"/>
        <v>3</v>
      </c>
      <c r="E485">
        <f t="shared" si="33"/>
        <v>4</v>
      </c>
      <c r="F485">
        <f t="shared" si="34"/>
        <v>2024</v>
      </c>
      <c r="G485" t="s">
        <v>92</v>
      </c>
      <c r="H485" s="98">
        <v>10289</v>
      </c>
      <c r="I485" s="29">
        <v>54.42</v>
      </c>
      <c r="J485" s="12" t="s">
        <v>31</v>
      </c>
      <c r="K485" s="29">
        <f t="shared" si="31"/>
        <v>54.42</v>
      </c>
      <c r="L485">
        <v>1</v>
      </c>
      <c r="M485" s="29">
        <v>0</v>
      </c>
      <c r="N485" t="s">
        <v>42</v>
      </c>
      <c r="O485" t="s">
        <v>33</v>
      </c>
      <c r="P485" t="s">
        <v>34</v>
      </c>
      <c r="Q485" t="s">
        <v>34</v>
      </c>
      <c r="R485" t="s">
        <v>34</v>
      </c>
      <c r="S485" t="s">
        <v>34</v>
      </c>
      <c r="T485" s="117">
        <v>0</v>
      </c>
    </row>
    <row r="486" spans="1:21" ht="14.5" customHeight="1" x14ac:dyDescent="0.35">
      <c r="A486" t="s">
        <v>19</v>
      </c>
      <c r="B486" t="s">
        <v>21</v>
      </c>
      <c r="C486" s="1">
        <v>45385</v>
      </c>
      <c r="D486">
        <f t="shared" si="32"/>
        <v>3</v>
      </c>
      <c r="E486">
        <f t="shared" si="33"/>
        <v>4</v>
      </c>
      <c r="F486">
        <f t="shared" si="34"/>
        <v>2024</v>
      </c>
      <c r="G486" t="s">
        <v>92</v>
      </c>
      <c r="H486" s="98">
        <v>10290</v>
      </c>
      <c r="I486" s="29">
        <v>22322.31</v>
      </c>
      <c r="J486" s="12" t="s">
        <v>31</v>
      </c>
      <c r="K486" s="29">
        <f t="shared" si="31"/>
        <v>22322.31</v>
      </c>
      <c r="L486">
        <v>1</v>
      </c>
      <c r="M486" s="29">
        <v>0</v>
      </c>
      <c r="N486" t="s">
        <v>42</v>
      </c>
      <c r="O486" t="s">
        <v>33</v>
      </c>
      <c r="P486" t="s">
        <v>34</v>
      </c>
      <c r="Q486" t="s">
        <v>34</v>
      </c>
      <c r="R486" t="s">
        <v>34</v>
      </c>
      <c r="S486" t="s">
        <v>34</v>
      </c>
      <c r="T486" s="117">
        <v>0</v>
      </c>
    </row>
    <row r="487" spans="1:21" ht="14.5" customHeight="1" x14ac:dyDescent="0.35">
      <c r="A487" t="s">
        <v>20</v>
      </c>
      <c r="B487" t="s">
        <v>23</v>
      </c>
      <c r="C487" s="1">
        <v>45385</v>
      </c>
      <c r="D487">
        <f t="shared" si="32"/>
        <v>3</v>
      </c>
      <c r="E487">
        <f t="shared" si="33"/>
        <v>4</v>
      </c>
      <c r="F487">
        <f t="shared" si="34"/>
        <v>2024</v>
      </c>
      <c r="G487" t="s">
        <v>483</v>
      </c>
      <c r="H487" s="98">
        <v>10331</v>
      </c>
      <c r="I487" s="29">
        <v>11385</v>
      </c>
      <c r="J487" s="12" t="s">
        <v>31</v>
      </c>
      <c r="K487" s="29">
        <f t="shared" si="31"/>
        <v>11385</v>
      </c>
      <c r="L487">
        <v>1</v>
      </c>
      <c r="M487" s="29">
        <v>0</v>
      </c>
      <c r="N487" t="s">
        <v>42</v>
      </c>
      <c r="O487" t="s">
        <v>33</v>
      </c>
      <c r="P487" t="s">
        <v>34</v>
      </c>
      <c r="Q487" t="s">
        <v>34</v>
      </c>
      <c r="R487" t="s">
        <v>34</v>
      </c>
      <c r="S487" t="s">
        <v>34</v>
      </c>
      <c r="T487" s="117">
        <v>0</v>
      </c>
    </row>
    <row r="488" spans="1:21" ht="14.5" customHeight="1" x14ac:dyDescent="0.35">
      <c r="A488" t="s">
        <v>20</v>
      </c>
      <c r="B488" t="s">
        <v>23</v>
      </c>
      <c r="C488" s="1">
        <v>45385</v>
      </c>
      <c r="D488">
        <f t="shared" si="32"/>
        <v>3</v>
      </c>
      <c r="E488">
        <f t="shared" si="33"/>
        <v>4</v>
      </c>
      <c r="F488">
        <f t="shared" si="34"/>
        <v>2024</v>
      </c>
      <c r="G488" t="s">
        <v>483</v>
      </c>
      <c r="H488" s="98">
        <v>10330</v>
      </c>
      <c r="I488" s="29">
        <v>33</v>
      </c>
      <c r="J488" s="12" t="s">
        <v>31</v>
      </c>
      <c r="K488" s="29">
        <f t="shared" si="31"/>
        <v>33</v>
      </c>
      <c r="L488">
        <v>1</v>
      </c>
      <c r="M488" s="29">
        <v>0</v>
      </c>
      <c r="N488" t="s">
        <v>42</v>
      </c>
      <c r="O488" t="s">
        <v>33</v>
      </c>
      <c r="P488" t="s">
        <v>34</v>
      </c>
      <c r="Q488" t="s">
        <v>34</v>
      </c>
      <c r="R488" t="s">
        <v>34</v>
      </c>
      <c r="S488" t="s">
        <v>34</v>
      </c>
      <c r="T488" s="117">
        <v>0</v>
      </c>
    </row>
    <row r="489" spans="1:21" ht="14.5" customHeight="1" x14ac:dyDescent="0.35">
      <c r="A489" t="s">
        <v>20</v>
      </c>
      <c r="B489" t="s">
        <v>24</v>
      </c>
      <c r="C489" s="1">
        <v>45385</v>
      </c>
      <c r="D489">
        <f t="shared" si="32"/>
        <v>3</v>
      </c>
      <c r="E489">
        <f t="shared" si="33"/>
        <v>4</v>
      </c>
      <c r="F489">
        <f t="shared" si="34"/>
        <v>2024</v>
      </c>
      <c r="G489" t="s">
        <v>81</v>
      </c>
      <c r="H489" s="98">
        <v>9830</v>
      </c>
      <c r="I489" s="29">
        <v>12662.05</v>
      </c>
      <c r="J489" s="12" t="s">
        <v>31</v>
      </c>
      <c r="K489" s="29">
        <f t="shared" si="31"/>
        <v>12662.05</v>
      </c>
      <c r="L489">
        <v>1</v>
      </c>
      <c r="M489" s="29">
        <v>0</v>
      </c>
      <c r="N489" t="s">
        <v>32</v>
      </c>
      <c r="O489" t="s">
        <v>33</v>
      </c>
      <c r="P489" t="s">
        <v>34</v>
      </c>
      <c r="Q489" t="s">
        <v>34</v>
      </c>
      <c r="R489" t="s">
        <v>34</v>
      </c>
      <c r="S489" t="s">
        <v>34</v>
      </c>
      <c r="T489" s="117">
        <v>0</v>
      </c>
    </row>
    <row r="490" spans="1:21" ht="14.5" customHeight="1" x14ac:dyDescent="0.35">
      <c r="A490" t="s">
        <v>20</v>
      </c>
      <c r="B490" t="s">
        <v>25</v>
      </c>
      <c r="C490" s="1">
        <v>45385</v>
      </c>
      <c r="D490">
        <f t="shared" si="32"/>
        <v>3</v>
      </c>
      <c r="E490">
        <f t="shared" si="33"/>
        <v>4</v>
      </c>
      <c r="F490">
        <f t="shared" si="34"/>
        <v>2024</v>
      </c>
      <c r="G490" t="s">
        <v>81</v>
      </c>
      <c r="H490" s="98">
        <v>9864</v>
      </c>
      <c r="I490" s="29">
        <v>4914</v>
      </c>
      <c r="J490" s="12" t="s">
        <v>31</v>
      </c>
      <c r="K490" s="29">
        <f t="shared" si="31"/>
        <v>4914</v>
      </c>
      <c r="L490">
        <v>1</v>
      </c>
      <c r="M490" s="29">
        <v>0</v>
      </c>
      <c r="N490" t="s">
        <v>32</v>
      </c>
      <c r="O490" t="s">
        <v>33</v>
      </c>
      <c r="P490" t="s">
        <v>34</v>
      </c>
      <c r="Q490" t="s">
        <v>34</v>
      </c>
      <c r="R490" t="s">
        <v>34</v>
      </c>
      <c r="S490" t="s">
        <v>34</v>
      </c>
      <c r="T490" s="117">
        <v>0</v>
      </c>
    </row>
    <row r="491" spans="1:21" ht="14.5" customHeight="1" x14ac:dyDescent="0.35">
      <c r="A491" t="s">
        <v>20</v>
      </c>
      <c r="B491" t="s">
        <v>25</v>
      </c>
      <c r="C491" s="1">
        <v>45385</v>
      </c>
      <c r="D491">
        <f t="shared" si="32"/>
        <v>3</v>
      </c>
      <c r="E491">
        <f t="shared" si="33"/>
        <v>4</v>
      </c>
      <c r="F491">
        <f t="shared" si="34"/>
        <v>2024</v>
      </c>
      <c r="G491" t="s">
        <v>81</v>
      </c>
      <c r="H491" s="98">
        <v>9878</v>
      </c>
      <c r="I491" s="29">
        <v>153514.85</v>
      </c>
      <c r="J491" s="12" t="s">
        <v>31</v>
      </c>
      <c r="K491" s="29">
        <f t="shared" si="31"/>
        <v>153514.85</v>
      </c>
      <c r="L491">
        <v>1</v>
      </c>
      <c r="M491" s="29">
        <v>0</v>
      </c>
      <c r="N491" t="s">
        <v>32</v>
      </c>
      <c r="O491" t="s">
        <v>33</v>
      </c>
      <c r="P491" t="s">
        <v>34</v>
      </c>
      <c r="Q491" t="s">
        <v>34</v>
      </c>
      <c r="R491" t="s">
        <v>34</v>
      </c>
      <c r="S491" t="s">
        <v>34</v>
      </c>
      <c r="T491" s="117">
        <v>0</v>
      </c>
    </row>
    <row r="492" spans="1:21" ht="14.5" customHeight="1" x14ac:dyDescent="0.35">
      <c r="A492" t="s">
        <v>20</v>
      </c>
      <c r="B492" t="s">
        <v>21</v>
      </c>
      <c r="C492" s="1">
        <v>45385</v>
      </c>
      <c r="D492">
        <f t="shared" si="32"/>
        <v>3</v>
      </c>
      <c r="E492">
        <f t="shared" si="33"/>
        <v>4</v>
      </c>
      <c r="F492">
        <f t="shared" si="34"/>
        <v>2024</v>
      </c>
      <c r="G492" t="s">
        <v>97</v>
      </c>
      <c r="H492" s="98">
        <v>10027</v>
      </c>
      <c r="I492" s="29">
        <v>253</v>
      </c>
      <c r="J492" s="12" t="s">
        <v>31</v>
      </c>
      <c r="K492" s="29">
        <f t="shared" si="31"/>
        <v>253</v>
      </c>
      <c r="L492">
        <v>1</v>
      </c>
      <c r="M492" s="29">
        <v>0</v>
      </c>
      <c r="N492" t="s">
        <v>32</v>
      </c>
      <c r="O492" t="s">
        <v>33</v>
      </c>
      <c r="P492" t="s">
        <v>34</v>
      </c>
      <c r="Q492" t="s">
        <v>34</v>
      </c>
      <c r="R492" t="s">
        <v>34</v>
      </c>
      <c r="S492" t="s">
        <v>34</v>
      </c>
      <c r="T492" s="117">
        <v>0</v>
      </c>
    </row>
    <row r="493" spans="1:21" ht="14.5" customHeight="1" x14ac:dyDescent="0.35">
      <c r="A493" t="s">
        <v>20</v>
      </c>
      <c r="B493" t="s">
        <v>23</v>
      </c>
      <c r="C493" s="1">
        <v>45385</v>
      </c>
      <c r="D493">
        <f t="shared" si="32"/>
        <v>3</v>
      </c>
      <c r="E493">
        <f t="shared" si="33"/>
        <v>4</v>
      </c>
      <c r="F493">
        <f t="shared" si="34"/>
        <v>2024</v>
      </c>
      <c r="G493" t="s">
        <v>97</v>
      </c>
      <c r="H493" s="98">
        <v>10027</v>
      </c>
      <c r="I493" s="29">
        <v>229.5</v>
      </c>
      <c r="J493" s="12" t="s">
        <v>31</v>
      </c>
      <c r="K493" s="29">
        <f t="shared" si="31"/>
        <v>229.5</v>
      </c>
      <c r="L493">
        <v>1</v>
      </c>
      <c r="M493" s="29">
        <v>0</v>
      </c>
      <c r="N493" t="s">
        <v>32</v>
      </c>
      <c r="O493" t="s">
        <v>33</v>
      </c>
      <c r="P493" t="s">
        <v>34</v>
      </c>
      <c r="Q493" t="s">
        <v>34</v>
      </c>
      <c r="R493" t="s">
        <v>34</v>
      </c>
      <c r="S493" t="s">
        <v>34</v>
      </c>
      <c r="T493" s="117">
        <v>0</v>
      </c>
    </row>
    <row r="494" spans="1:21" ht="14.5" customHeight="1" x14ac:dyDescent="0.35">
      <c r="A494" t="s">
        <v>20</v>
      </c>
      <c r="B494" t="s">
        <v>25</v>
      </c>
      <c r="C494" s="1">
        <v>45385</v>
      </c>
      <c r="D494">
        <f t="shared" si="32"/>
        <v>3</v>
      </c>
      <c r="E494">
        <f t="shared" si="33"/>
        <v>4</v>
      </c>
      <c r="F494">
        <f t="shared" si="34"/>
        <v>2024</v>
      </c>
      <c r="G494" t="s">
        <v>97</v>
      </c>
      <c r="H494" s="98">
        <v>10027</v>
      </c>
      <c r="I494" s="29">
        <v>292.5</v>
      </c>
      <c r="J494" s="12" t="s">
        <v>31</v>
      </c>
      <c r="K494" s="29">
        <f t="shared" si="31"/>
        <v>292.5</v>
      </c>
      <c r="L494">
        <v>1</v>
      </c>
      <c r="M494" s="29">
        <v>0</v>
      </c>
      <c r="N494" t="s">
        <v>32</v>
      </c>
      <c r="O494" t="s">
        <v>33</v>
      </c>
      <c r="P494" t="s">
        <v>34</v>
      </c>
      <c r="Q494" t="s">
        <v>34</v>
      </c>
      <c r="R494">
        <v>141</v>
      </c>
      <c r="S494" t="s">
        <v>34</v>
      </c>
      <c r="T494" s="117">
        <v>0</v>
      </c>
    </row>
    <row r="495" spans="1:21" ht="14.5" customHeight="1" x14ac:dyDescent="0.35">
      <c r="A495" t="s">
        <v>20</v>
      </c>
      <c r="B495" t="s">
        <v>23</v>
      </c>
      <c r="C495" s="1">
        <v>45385</v>
      </c>
      <c r="D495">
        <f t="shared" si="32"/>
        <v>3</v>
      </c>
      <c r="E495">
        <f t="shared" si="33"/>
        <v>4</v>
      </c>
      <c r="F495">
        <f t="shared" si="34"/>
        <v>2024</v>
      </c>
      <c r="G495" t="s">
        <v>177</v>
      </c>
      <c r="H495" s="98">
        <v>10315</v>
      </c>
      <c r="I495" s="29">
        <v>1556.1</v>
      </c>
      <c r="J495" s="12" t="s">
        <v>31</v>
      </c>
      <c r="K495" s="29">
        <f t="shared" si="31"/>
        <v>1556.1</v>
      </c>
      <c r="L495">
        <v>1</v>
      </c>
      <c r="M495" s="29">
        <v>0</v>
      </c>
      <c r="N495" t="s">
        <v>42</v>
      </c>
      <c r="O495" t="s">
        <v>33</v>
      </c>
      <c r="P495" t="s">
        <v>34</v>
      </c>
      <c r="Q495" t="s">
        <v>34</v>
      </c>
      <c r="R495" t="s">
        <v>34</v>
      </c>
      <c r="S495" t="s">
        <v>34</v>
      </c>
      <c r="T495" s="117">
        <v>0</v>
      </c>
      <c r="U495" s="209" t="s">
        <v>233</v>
      </c>
    </row>
    <row r="496" spans="1:21" ht="14.5" customHeight="1" x14ac:dyDescent="0.35">
      <c r="A496" t="s">
        <v>20</v>
      </c>
      <c r="B496" t="s">
        <v>23</v>
      </c>
      <c r="C496" s="1">
        <v>45385</v>
      </c>
      <c r="D496">
        <f t="shared" si="32"/>
        <v>3</v>
      </c>
      <c r="E496">
        <f t="shared" si="33"/>
        <v>4</v>
      </c>
      <c r="F496">
        <f t="shared" si="34"/>
        <v>2024</v>
      </c>
      <c r="G496" t="s">
        <v>177</v>
      </c>
      <c r="H496" s="171">
        <v>10315</v>
      </c>
      <c r="I496" s="90">
        <v>7276.5</v>
      </c>
      <c r="J496" s="12" t="s">
        <v>31</v>
      </c>
      <c r="K496" s="29">
        <f t="shared" si="31"/>
        <v>7276.5</v>
      </c>
      <c r="L496">
        <v>1</v>
      </c>
      <c r="M496" s="29">
        <v>0</v>
      </c>
      <c r="N496" t="s">
        <v>42</v>
      </c>
      <c r="O496" t="s">
        <v>33</v>
      </c>
      <c r="P496" t="s">
        <v>34</v>
      </c>
      <c r="Q496" t="s">
        <v>34</v>
      </c>
      <c r="R496" t="s">
        <v>34</v>
      </c>
      <c r="S496" t="s">
        <v>34</v>
      </c>
      <c r="T496" s="117">
        <v>0</v>
      </c>
    </row>
    <row r="497" spans="1:20" ht="14.5" customHeight="1" x14ac:dyDescent="0.35">
      <c r="A497" t="s">
        <v>20</v>
      </c>
      <c r="B497" t="s">
        <v>21</v>
      </c>
      <c r="C497" s="1">
        <v>45385</v>
      </c>
      <c r="D497">
        <f t="shared" si="32"/>
        <v>3</v>
      </c>
      <c r="E497">
        <f t="shared" si="33"/>
        <v>4</v>
      </c>
      <c r="F497">
        <f t="shared" si="34"/>
        <v>2024</v>
      </c>
      <c r="G497" t="s">
        <v>53</v>
      </c>
      <c r="H497" s="171">
        <v>9975</v>
      </c>
      <c r="I497" s="90">
        <v>2509.44</v>
      </c>
      <c r="J497" s="12" t="s">
        <v>31</v>
      </c>
      <c r="K497" s="29">
        <f t="shared" si="31"/>
        <v>2509.44</v>
      </c>
      <c r="L497">
        <v>1</v>
      </c>
      <c r="M497" s="29">
        <v>0</v>
      </c>
      <c r="N497" t="s">
        <v>32</v>
      </c>
      <c r="O497" t="s">
        <v>33</v>
      </c>
      <c r="P497" t="s">
        <v>34</v>
      </c>
      <c r="Q497" t="s">
        <v>34</v>
      </c>
      <c r="R497" t="s">
        <v>34</v>
      </c>
      <c r="S497" t="s">
        <v>34</v>
      </c>
      <c r="T497" s="117">
        <v>0</v>
      </c>
    </row>
    <row r="498" spans="1:20" ht="14.5" customHeight="1" x14ac:dyDescent="0.35">
      <c r="A498" t="s">
        <v>20</v>
      </c>
      <c r="B498" t="s">
        <v>23</v>
      </c>
      <c r="C498" s="1">
        <v>45385</v>
      </c>
      <c r="D498">
        <f t="shared" si="32"/>
        <v>3</v>
      </c>
      <c r="E498">
        <f t="shared" si="33"/>
        <v>4</v>
      </c>
      <c r="F498">
        <f t="shared" si="34"/>
        <v>2024</v>
      </c>
      <c r="G498" t="s">
        <v>52</v>
      </c>
      <c r="H498" s="98">
        <v>9811</v>
      </c>
      <c r="I498" s="29">
        <v>26837.65</v>
      </c>
      <c r="J498" s="12" t="s">
        <v>31</v>
      </c>
      <c r="K498" s="29">
        <f t="shared" si="31"/>
        <v>26837.65</v>
      </c>
      <c r="L498">
        <v>1</v>
      </c>
      <c r="M498" s="29">
        <v>0</v>
      </c>
      <c r="N498" t="s">
        <v>32</v>
      </c>
      <c r="O498" t="s">
        <v>33</v>
      </c>
      <c r="P498" t="s">
        <v>34</v>
      </c>
      <c r="Q498" t="s">
        <v>34</v>
      </c>
      <c r="R498">
        <f>262.74+265.65</f>
        <v>528.39</v>
      </c>
      <c r="S498" t="s">
        <v>34</v>
      </c>
      <c r="T498" s="117">
        <v>0</v>
      </c>
    </row>
    <row r="499" spans="1:20" ht="14.5" customHeight="1" x14ac:dyDescent="0.35">
      <c r="A499" t="s">
        <v>20</v>
      </c>
      <c r="B499" t="s">
        <v>23</v>
      </c>
      <c r="C499" s="1">
        <v>45385</v>
      </c>
      <c r="D499">
        <f t="shared" si="32"/>
        <v>3</v>
      </c>
      <c r="E499">
        <f t="shared" si="33"/>
        <v>4</v>
      </c>
      <c r="F499">
        <f t="shared" si="34"/>
        <v>2024</v>
      </c>
      <c r="G499" t="s">
        <v>82</v>
      </c>
      <c r="H499" s="98">
        <v>9699</v>
      </c>
      <c r="I499" s="29">
        <v>20927.98</v>
      </c>
      <c r="J499" s="12" t="s">
        <v>31</v>
      </c>
      <c r="K499" s="29">
        <f t="shared" si="31"/>
        <v>20927.98</v>
      </c>
      <c r="L499">
        <v>1</v>
      </c>
      <c r="M499" s="29">
        <v>0</v>
      </c>
      <c r="N499" t="s">
        <v>32</v>
      </c>
      <c r="O499" t="s">
        <v>33</v>
      </c>
      <c r="P499" t="s">
        <v>34</v>
      </c>
      <c r="Q499" t="s">
        <v>34</v>
      </c>
      <c r="R499" t="s">
        <v>34</v>
      </c>
      <c r="S499" t="s">
        <v>34</v>
      </c>
      <c r="T499" s="117">
        <v>0</v>
      </c>
    </row>
    <row r="500" spans="1:20" ht="14.5" customHeight="1" x14ac:dyDescent="0.35">
      <c r="A500" t="s">
        <v>20</v>
      </c>
      <c r="B500" t="s">
        <v>25</v>
      </c>
      <c r="C500" s="1">
        <v>45385</v>
      </c>
      <c r="D500">
        <f t="shared" si="32"/>
        <v>3</v>
      </c>
      <c r="E500">
        <f t="shared" si="33"/>
        <v>4</v>
      </c>
      <c r="F500">
        <f t="shared" si="34"/>
        <v>2024</v>
      </c>
      <c r="G500" t="s">
        <v>85</v>
      </c>
      <c r="H500" s="98">
        <v>10239</v>
      </c>
      <c r="I500" s="29">
        <v>26152.5</v>
      </c>
      <c r="J500" s="12" t="s">
        <v>31</v>
      </c>
      <c r="K500" s="29">
        <f t="shared" si="31"/>
        <v>26152.5</v>
      </c>
      <c r="L500">
        <v>1</v>
      </c>
      <c r="M500" s="29">
        <v>0</v>
      </c>
      <c r="N500" t="s">
        <v>42</v>
      </c>
      <c r="O500" t="s">
        <v>33</v>
      </c>
      <c r="P500" t="s">
        <v>34</v>
      </c>
      <c r="Q500" t="s">
        <v>34</v>
      </c>
      <c r="R500" t="s">
        <v>34</v>
      </c>
      <c r="S500" t="s">
        <v>34</v>
      </c>
      <c r="T500" s="117">
        <v>0</v>
      </c>
    </row>
    <row r="501" spans="1:20" ht="14.5" customHeight="1" x14ac:dyDescent="0.35">
      <c r="A501" t="s">
        <v>20</v>
      </c>
      <c r="B501" t="s">
        <v>24</v>
      </c>
      <c r="C501" s="1">
        <v>45385</v>
      </c>
      <c r="D501">
        <f t="shared" si="32"/>
        <v>3</v>
      </c>
      <c r="E501">
        <f t="shared" si="33"/>
        <v>4</v>
      </c>
      <c r="F501">
        <f t="shared" si="34"/>
        <v>2024</v>
      </c>
      <c r="G501" t="s">
        <v>85</v>
      </c>
      <c r="H501" s="98">
        <v>10239</v>
      </c>
      <c r="I501" s="29">
        <v>32808.97</v>
      </c>
      <c r="J501" s="12" t="s">
        <v>31</v>
      </c>
      <c r="K501" s="29">
        <f t="shared" si="31"/>
        <v>32808.97</v>
      </c>
      <c r="L501">
        <v>1</v>
      </c>
      <c r="M501" s="29">
        <v>0</v>
      </c>
      <c r="N501" t="s">
        <v>42</v>
      </c>
      <c r="O501" t="s">
        <v>33</v>
      </c>
      <c r="P501" t="s">
        <v>34</v>
      </c>
      <c r="Q501" t="s">
        <v>34</v>
      </c>
      <c r="R501" t="s">
        <v>34</v>
      </c>
      <c r="S501" t="s">
        <v>34</v>
      </c>
      <c r="T501" s="117">
        <v>0</v>
      </c>
    </row>
    <row r="502" spans="1:20" ht="14.5" customHeight="1" x14ac:dyDescent="0.35">
      <c r="A502" t="s">
        <v>20</v>
      </c>
      <c r="B502" t="s">
        <v>25</v>
      </c>
      <c r="C502" s="1">
        <v>45385</v>
      </c>
      <c r="D502">
        <f t="shared" si="32"/>
        <v>3</v>
      </c>
      <c r="E502">
        <f t="shared" si="33"/>
        <v>4</v>
      </c>
      <c r="F502">
        <f t="shared" si="34"/>
        <v>2024</v>
      </c>
      <c r="G502" t="s">
        <v>99</v>
      </c>
      <c r="H502" s="98">
        <v>9238</v>
      </c>
      <c r="I502" s="29">
        <v>42316.65</v>
      </c>
      <c r="J502" s="12" t="s">
        <v>31</v>
      </c>
      <c r="K502" s="29">
        <f t="shared" si="31"/>
        <v>42316.65</v>
      </c>
      <c r="L502">
        <v>1</v>
      </c>
      <c r="M502" s="29">
        <v>0</v>
      </c>
      <c r="N502" t="s">
        <v>32</v>
      </c>
      <c r="O502" t="s">
        <v>33</v>
      </c>
      <c r="P502" t="s">
        <v>34</v>
      </c>
      <c r="Q502" t="s">
        <v>34</v>
      </c>
      <c r="R502">
        <v>108.62</v>
      </c>
      <c r="S502" t="s">
        <v>34</v>
      </c>
      <c r="T502" s="117">
        <v>0</v>
      </c>
    </row>
    <row r="503" spans="1:20" ht="14.5" customHeight="1" x14ac:dyDescent="0.35">
      <c r="A503" t="s">
        <v>20</v>
      </c>
      <c r="B503" t="s">
        <v>24</v>
      </c>
      <c r="C503" s="1">
        <v>45385</v>
      </c>
      <c r="D503">
        <f t="shared" si="32"/>
        <v>3</v>
      </c>
      <c r="E503">
        <f t="shared" si="33"/>
        <v>4</v>
      </c>
      <c r="F503">
        <f t="shared" si="34"/>
        <v>2024</v>
      </c>
      <c r="G503" t="s">
        <v>99</v>
      </c>
      <c r="H503" s="98">
        <v>9795</v>
      </c>
      <c r="I503" s="29">
        <v>344</v>
      </c>
      <c r="J503" s="12" t="s">
        <v>31</v>
      </c>
      <c r="K503" s="29">
        <f t="shared" si="31"/>
        <v>344</v>
      </c>
      <c r="L503">
        <v>1</v>
      </c>
      <c r="M503" s="29">
        <v>0</v>
      </c>
      <c r="N503" t="s">
        <v>32</v>
      </c>
      <c r="O503" t="s">
        <v>33</v>
      </c>
      <c r="P503" t="s">
        <v>34</v>
      </c>
      <c r="Q503" t="s">
        <v>34</v>
      </c>
      <c r="R503" t="s">
        <v>34</v>
      </c>
      <c r="S503" t="s">
        <v>34</v>
      </c>
      <c r="T503" s="117">
        <v>0</v>
      </c>
    </row>
    <row r="504" spans="1:20" ht="14.5" customHeight="1" x14ac:dyDescent="0.35">
      <c r="A504" t="s">
        <v>19</v>
      </c>
      <c r="B504" t="s">
        <v>19</v>
      </c>
      <c r="C504" s="1">
        <v>45385</v>
      </c>
      <c r="D504">
        <f t="shared" si="32"/>
        <v>3</v>
      </c>
      <c r="E504">
        <f t="shared" si="33"/>
        <v>4</v>
      </c>
      <c r="F504">
        <f t="shared" si="34"/>
        <v>2024</v>
      </c>
      <c r="G504" t="s">
        <v>88</v>
      </c>
      <c r="H504" s="98">
        <v>9502</v>
      </c>
      <c r="I504" s="29">
        <v>40000</v>
      </c>
      <c r="J504" s="12" t="s">
        <v>31</v>
      </c>
      <c r="K504" s="29">
        <f t="shared" si="31"/>
        <v>40000</v>
      </c>
      <c r="L504">
        <v>1</v>
      </c>
      <c r="M504" s="29">
        <v>0</v>
      </c>
      <c r="N504" t="s">
        <v>32</v>
      </c>
      <c r="O504" t="s">
        <v>33</v>
      </c>
      <c r="P504" t="s">
        <v>34</v>
      </c>
      <c r="Q504" t="s">
        <v>34</v>
      </c>
      <c r="R504" t="s">
        <v>34</v>
      </c>
      <c r="S504" t="s">
        <v>34</v>
      </c>
      <c r="T504" s="117">
        <v>0</v>
      </c>
    </row>
    <row r="505" spans="1:20" ht="14.5" customHeight="1" x14ac:dyDescent="0.35">
      <c r="A505" t="s">
        <v>19</v>
      </c>
      <c r="B505" t="s">
        <v>19</v>
      </c>
      <c r="C505" s="1">
        <v>45385</v>
      </c>
      <c r="D505">
        <f t="shared" si="32"/>
        <v>3</v>
      </c>
      <c r="E505">
        <f t="shared" si="33"/>
        <v>4</v>
      </c>
      <c r="F505">
        <f t="shared" si="34"/>
        <v>2024</v>
      </c>
      <c r="G505" t="s">
        <v>125</v>
      </c>
      <c r="H505" s="98">
        <v>9512</v>
      </c>
      <c r="I505" s="29">
        <v>50000</v>
      </c>
      <c r="J505" s="12" t="s">
        <v>31</v>
      </c>
      <c r="K505" s="29">
        <f t="shared" si="31"/>
        <v>50000</v>
      </c>
      <c r="L505">
        <v>1</v>
      </c>
      <c r="M505" s="29">
        <v>0</v>
      </c>
      <c r="N505" t="s">
        <v>32</v>
      </c>
      <c r="O505" t="s">
        <v>33</v>
      </c>
      <c r="P505" t="s">
        <v>34</v>
      </c>
      <c r="Q505" t="s">
        <v>34</v>
      </c>
      <c r="R505" t="s">
        <v>34</v>
      </c>
      <c r="S505" t="s">
        <v>34</v>
      </c>
      <c r="T505" s="117">
        <v>0</v>
      </c>
    </row>
    <row r="506" spans="1:20" ht="14.5" customHeight="1" x14ac:dyDescent="0.35">
      <c r="A506" t="s">
        <v>19</v>
      </c>
      <c r="B506" t="s">
        <v>19</v>
      </c>
      <c r="C506" s="1">
        <v>45385</v>
      </c>
      <c r="D506">
        <f t="shared" si="32"/>
        <v>3</v>
      </c>
      <c r="E506">
        <f t="shared" si="33"/>
        <v>4</v>
      </c>
      <c r="F506">
        <f t="shared" si="34"/>
        <v>2024</v>
      </c>
      <c r="G506" t="s">
        <v>55</v>
      </c>
      <c r="H506" s="98">
        <v>9946</v>
      </c>
      <c r="I506" s="29">
        <v>30000</v>
      </c>
      <c r="J506" s="12" t="s">
        <v>31</v>
      </c>
      <c r="K506" s="29">
        <f t="shared" si="31"/>
        <v>30000</v>
      </c>
      <c r="L506">
        <v>1</v>
      </c>
      <c r="M506" s="29">
        <v>0</v>
      </c>
      <c r="N506" t="s">
        <v>32</v>
      </c>
      <c r="O506" t="s">
        <v>33</v>
      </c>
      <c r="P506" t="s">
        <v>34</v>
      </c>
      <c r="Q506" t="s">
        <v>34</v>
      </c>
      <c r="R506" t="s">
        <v>34</v>
      </c>
      <c r="S506" t="s">
        <v>34</v>
      </c>
      <c r="T506" s="117">
        <v>0</v>
      </c>
    </row>
    <row r="507" spans="1:20" ht="14.5" customHeight="1" x14ac:dyDescent="0.35">
      <c r="A507" t="s">
        <v>19</v>
      </c>
      <c r="B507" t="s">
        <v>19</v>
      </c>
      <c r="C507" s="1">
        <v>45385</v>
      </c>
      <c r="D507">
        <f t="shared" si="32"/>
        <v>3</v>
      </c>
      <c r="E507">
        <f t="shared" si="33"/>
        <v>4</v>
      </c>
      <c r="F507">
        <f t="shared" si="34"/>
        <v>2024</v>
      </c>
      <c r="G507" t="s">
        <v>58</v>
      </c>
      <c r="H507" s="171">
        <v>9519</v>
      </c>
      <c r="I507" s="90">
        <v>30000</v>
      </c>
      <c r="J507" s="12" t="s">
        <v>31</v>
      </c>
      <c r="K507" s="29">
        <f t="shared" si="31"/>
        <v>30000</v>
      </c>
      <c r="L507">
        <v>1</v>
      </c>
      <c r="M507" s="29">
        <v>0</v>
      </c>
      <c r="N507" t="s">
        <v>32</v>
      </c>
      <c r="O507" t="s">
        <v>33</v>
      </c>
      <c r="P507" t="s">
        <v>34</v>
      </c>
      <c r="Q507" t="s">
        <v>34</v>
      </c>
      <c r="R507" t="s">
        <v>34</v>
      </c>
      <c r="S507" t="s">
        <v>34</v>
      </c>
      <c r="T507" s="117">
        <v>0</v>
      </c>
    </row>
    <row r="508" spans="1:20" ht="14.5" customHeight="1" x14ac:dyDescent="0.35">
      <c r="A508" t="s">
        <v>19</v>
      </c>
      <c r="B508" t="s">
        <v>19</v>
      </c>
      <c r="C508" s="1">
        <v>45385</v>
      </c>
      <c r="D508">
        <f t="shared" si="32"/>
        <v>3</v>
      </c>
      <c r="E508">
        <f t="shared" si="33"/>
        <v>4</v>
      </c>
      <c r="F508">
        <f t="shared" si="34"/>
        <v>2024</v>
      </c>
      <c r="G508" t="s">
        <v>106</v>
      </c>
      <c r="H508" s="98">
        <v>9515</v>
      </c>
      <c r="I508" s="29">
        <v>101413.47</v>
      </c>
      <c r="J508" s="12" t="s">
        <v>31</v>
      </c>
      <c r="K508" s="29">
        <f t="shared" si="31"/>
        <v>101413.47</v>
      </c>
      <c r="L508">
        <v>1</v>
      </c>
      <c r="M508" s="29">
        <v>0</v>
      </c>
      <c r="N508" t="s">
        <v>32</v>
      </c>
      <c r="O508" t="s">
        <v>33</v>
      </c>
      <c r="P508" t="s">
        <v>34</v>
      </c>
      <c r="Q508" t="s">
        <v>34</v>
      </c>
      <c r="R508" t="s">
        <v>34</v>
      </c>
      <c r="S508" t="s">
        <v>34</v>
      </c>
      <c r="T508" s="117">
        <v>0</v>
      </c>
    </row>
    <row r="509" spans="1:20" ht="14.5" customHeight="1" x14ac:dyDescent="0.35">
      <c r="A509" t="s">
        <v>19</v>
      </c>
      <c r="B509" t="s">
        <v>19</v>
      </c>
      <c r="C509" s="1">
        <v>45385</v>
      </c>
      <c r="D509">
        <f t="shared" si="32"/>
        <v>3</v>
      </c>
      <c r="E509">
        <f t="shared" si="33"/>
        <v>4</v>
      </c>
      <c r="F509">
        <f t="shared" si="34"/>
        <v>2024</v>
      </c>
      <c r="G509" t="s">
        <v>91</v>
      </c>
      <c r="H509" s="99">
        <v>9506</v>
      </c>
      <c r="I509" s="29">
        <v>22990.799999999999</v>
      </c>
      <c r="J509" s="12" t="s">
        <v>31</v>
      </c>
      <c r="K509" s="29">
        <f t="shared" si="31"/>
        <v>22990.799999999999</v>
      </c>
      <c r="L509">
        <v>1</v>
      </c>
      <c r="M509" s="29">
        <v>0</v>
      </c>
      <c r="N509" t="s">
        <v>32</v>
      </c>
      <c r="O509" t="s">
        <v>33</v>
      </c>
      <c r="P509" t="s">
        <v>34</v>
      </c>
      <c r="Q509" t="s">
        <v>34</v>
      </c>
      <c r="R509" t="s">
        <v>34</v>
      </c>
      <c r="S509" t="s">
        <v>34</v>
      </c>
      <c r="T509" s="117">
        <v>0</v>
      </c>
    </row>
    <row r="510" spans="1:20" ht="14.5" customHeight="1" x14ac:dyDescent="0.35">
      <c r="A510" t="s">
        <v>19</v>
      </c>
      <c r="B510" t="s">
        <v>19</v>
      </c>
      <c r="C510" s="1">
        <v>45385</v>
      </c>
      <c r="D510">
        <f t="shared" si="32"/>
        <v>3</v>
      </c>
      <c r="E510">
        <f t="shared" si="33"/>
        <v>4</v>
      </c>
      <c r="F510">
        <f t="shared" si="34"/>
        <v>2024</v>
      </c>
      <c r="G510" t="s">
        <v>59</v>
      </c>
      <c r="H510" s="171">
        <v>9107</v>
      </c>
      <c r="I510" s="90">
        <v>50000</v>
      </c>
      <c r="J510" s="12" t="s">
        <v>31</v>
      </c>
      <c r="K510" s="29">
        <f t="shared" si="31"/>
        <v>50000</v>
      </c>
      <c r="L510">
        <v>1</v>
      </c>
      <c r="M510" s="29">
        <v>0</v>
      </c>
      <c r="N510" t="s">
        <v>32</v>
      </c>
      <c r="O510" t="s">
        <v>33</v>
      </c>
      <c r="P510" t="s">
        <v>34</v>
      </c>
      <c r="Q510" t="s">
        <v>34</v>
      </c>
      <c r="R510" t="s">
        <v>34</v>
      </c>
      <c r="S510" t="s">
        <v>34</v>
      </c>
      <c r="T510" s="117">
        <v>0</v>
      </c>
    </row>
    <row r="511" spans="1:20" ht="14.5" customHeight="1" x14ac:dyDescent="0.35">
      <c r="A511" t="s">
        <v>19</v>
      </c>
      <c r="B511" t="s">
        <v>19</v>
      </c>
      <c r="C511" s="1">
        <v>45385</v>
      </c>
      <c r="D511">
        <f t="shared" si="32"/>
        <v>3</v>
      </c>
      <c r="E511">
        <f t="shared" si="33"/>
        <v>4</v>
      </c>
      <c r="F511">
        <f t="shared" si="34"/>
        <v>2024</v>
      </c>
      <c r="G511" t="s">
        <v>56</v>
      </c>
      <c r="H511" s="98">
        <v>9708</v>
      </c>
      <c r="I511" s="29">
        <v>70000</v>
      </c>
      <c r="J511" s="12" t="s">
        <v>31</v>
      </c>
      <c r="K511" s="29">
        <f t="shared" si="31"/>
        <v>70000</v>
      </c>
      <c r="L511">
        <v>1</v>
      </c>
      <c r="M511" s="29">
        <v>0</v>
      </c>
      <c r="N511" t="s">
        <v>32</v>
      </c>
      <c r="O511" t="s">
        <v>33</v>
      </c>
      <c r="P511" t="s">
        <v>34</v>
      </c>
      <c r="Q511" t="s">
        <v>34</v>
      </c>
      <c r="R511" t="s">
        <v>34</v>
      </c>
      <c r="S511" t="s">
        <v>34</v>
      </c>
      <c r="T511" s="117">
        <v>0</v>
      </c>
    </row>
    <row r="512" spans="1:20" ht="14.5" customHeight="1" x14ac:dyDescent="0.35">
      <c r="A512" t="s">
        <v>19</v>
      </c>
      <c r="B512" t="s">
        <v>19</v>
      </c>
      <c r="C512" s="1">
        <v>45385</v>
      </c>
      <c r="D512">
        <f t="shared" si="32"/>
        <v>3</v>
      </c>
      <c r="E512">
        <f t="shared" si="33"/>
        <v>4</v>
      </c>
      <c r="F512">
        <f t="shared" si="34"/>
        <v>2024</v>
      </c>
      <c r="G512" t="s">
        <v>118</v>
      </c>
      <c r="H512" s="99" t="s">
        <v>178</v>
      </c>
      <c r="I512" s="29">
        <v>5919.2</v>
      </c>
      <c r="J512" s="12" t="s">
        <v>31</v>
      </c>
      <c r="K512" s="29">
        <f t="shared" si="31"/>
        <v>5919.2</v>
      </c>
      <c r="L512">
        <v>1</v>
      </c>
      <c r="M512" s="29">
        <v>0</v>
      </c>
      <c r="N512" t="s">
        <v>42</v>
      </c>
      <c r="O512" t="s">
        <v>33</v>
      </c>
      <c r="P512" t="s">
        <v>34</v>
      </c>
      <c r="Q512" t="s">
        <v>34</v>
      </c>
      <c r="R512" t="s">
        <v>34</v>
      </c>
      <c r="S512" t="s">
        <v>34</v>
      </c>
      <c r="T512" s="117">
        <v>0</v>
      </c>
    </row>
    <row r="513" spans="1:21" ht="14.5" customHeight="1" x14ac:dyDescent="0.35">
      <c r="A513" t="s">
        <v>19</v>
      </c>
      <c r="B513" t="s">
        <v>19</v>
      </c>
      <c r="C513" s="1">
        <v>45385</v>
      </c>
      <c r="D513">
        <f t="shared" si="32"/>
        <v>3</v>
      </c>
      <c r="E513">
        <f t="shared" si="33"/>
        <v>4</v>
      </c>
      <c r="F513">
        <f t="shared" si="34"/>
        <v>2024</v>
      </c>
      <c r="G513" t="s">
        <v>127</v>
      </c>
      <c r="H513" s="98" t="s">
        <v>179</v>
      </c>
      <c r="I513" s="29">
        <v>10695.44</v>
      </c>
      <c r="J513" s="12" t="s">
        <v>31</v>
      </c>
      <c r="K513" s="29">
        <f t="shared" ref="K513:K576" si="35">IF(J513="USD",I513,I513*L513)</f>
        <v>10695.44</v>
      </c>
      <c r="L513">
        <v>1</v>
      </c>
      <c r="M513" s="29">
        <v>0</v>
      </c>
      <c r="N513" t="s">
        <v>42</v>
      </c>
      <c r="O513" t="s">
        <v>33</v>
      </c>
      <c r="P513" t="s">
        <v>34</v>
      </c>
      <c r="Q513" t="s">
        <v>34</v>
      </c>
      <c r="R513" t="s">
        <v>34</v>
      </c>
      <c r="S513" t="s">
        <v>34</v>
      </c>
      <c r="T513" s="117">
        <v>0</v>
      </c>
    </row>
    <row r="514" spans="1:21" ht="14.5" customHeight="1" x14ac:dyDescent="0.35">
      <c r="A514" t="s">
        <v>19</v>
      </c>
      <c r="B514" t="s">
        <v>19</v>
      </c>
      <c r="C514" s="1">
        <v>45385</v>
      </c>
      <c r="D514">
        <f t="shared" ref="D514:D577" si="36">DAY(C514)</f>
        <v>3</v>
      </c>
      <c r="E514">
        <f t="shared" ref="E514:E577" si="37">MONTH(C514)</f>
        <v>4</v>
      </c>
      <c r="F514">
        <f t="shared" ref="F514:F577" si="38">YEAR(C514)</f>
        <v>2024</v>
      </c>
      <c r="G514" t="s">
        <v>122</v>
      </c>
      <c r="H514" s="98" t="s">
        <v>180</v>
      </c>
      <c r="I514" s="29">
        <v>29529.16</v>
      </c>
      <c r="J514" s="12" t="s">
        <v>31</v>
      </c>
      <c r="K514" s="29">
        <f t="shared" si="35"/>
        <v>29529.16</v>
      </c>
      <c r="L514">
        <v>1</v>
      </c>
      <c r="M514" s="29">
        <v>0</v>
      </c>
      <c r="N514" t="s">
        <v>42</v>
      </c>
      <c r="O514" t="s">
        <v>33</v>
      </c>
      <c r="P514" t="s">
        <v>34</v>
      </c>
      <c r="Q514" t="s">
        <v>34</v>
      </c>
      <c r="R514" t="s">
        <v>34</v>
      </c>
      <c r="S514" t="s">
        <v>34</v>
      </c>
      <c r="T514" s="117">
        <v>0</v>
      </c>
    </row>
    <row r="515" spans="1:21" ht="14.5" customHeight="1" x14ac:dyDescent="0.35">
      <c r="A515" t="s">
        <v>19</v>
      </c>
      <c r="B515" t="s">
        <v>19</v>
      </c>
      <c r="C515" s="1">
        <v>45385</v>
      </c>
      <c r="D515">
        <f t="shared" si="36"/>
        <v>3</v>
      </c>
      <c r="E515">
        <f t="shared" si="37"/>
        <v>4</v>
      </c>
      <c r="F515">
        <f t="shared" si="38"/>
        <v>2024</v>
      </c>
      <c r="G515" t="s">
        <v>120</v>
      </c>
      <c r="H515" s="98" t="s">
        <v>181</v>
      </c>
      <c r="I515" s="29">
        <v>20440</v>
      </c>
      <c r="J515" s="12" t="s">
        <v>31</v>
      </c>
      <c r="K515" s="29">
        <f t="shared" si="35"/>
        <v>20440</v>
      </c>
      <c r="L515">
        <v>1</v>
      </c>
      <c r="M515" s="29">
        <v>0</v>
      </c>
      <c r="N515" t="s">
        <v>42</v>
      </c>
      <c r="O515" t="s">
        <v>33</v>
      </c>
      <c r="P515" t="s">
        <v>34</v>
      </c>
      <c r="Q515" t="s">
        <v>34</v>
      </c>
      <c r="R515" t="s">
        <v>34</v>
      </c>
      <c r="S515" t="s">
        <v>34</v>
      </c>
      <c r="T515" s="117">
        <v>0</v>
      </c>
    </row>
    <row r="516" spans="1:21" ht="14.5" customHeight="1" x14ac:dyDescent="0.35">
      <c r="A516" t="s">
        <v>19</v>
      </c>
      <c r="B516" t="s">
        <v>19</v>
      </c>
      <c r="C516" s="1">
        <v>45385</v>
      </c>
      <c r="D516">
        <f t="shared" si="36"/>
        <v>3</v>
      </c>
      <c r="E516">
        <f t="shared" si="37"/>
        <v>4</v>
      </c>
      <c r="F516">
        <f t="shared" si="38"/>
        <v>2024</v>
      </c>
      <c r="G516" t="s">
        <v>123</v>
      </c>
      <c r="H516" s="98" t="s">
        <v>182</v>
      </c>
      <c r="I516" s="29">
        <v>1871</v>
      </c>
      <c r="J516" s="12" t="s">
        <v>31</v>
      </c>
      <c r="K516" s="29">
        <f t="shared" si="35"/>
        <v>1871</v>
      </c>
      <c r="L516">
        <v>1</v>
      </c>
      <c r="M516" s="29">
        <v>0</v>
      </c>
      <c r="N516" t="s">
        <v>42</v>
      </c>
      <c r="O516" t="s">
        <v>33</v>
      </c>
      <c r="P516" t="s">
        <v>34</v>
      </c>
      <c r="Q516" t="s">
        <v>34</v>
      </c>
      <c r="R516" t="s">
        <v>34</v>
      </c>
      <c r="S516" t="s">
        <v>34</v>
      </c>
      <c r="T516" s="117">
        <v>0</v>
      </c>
    </row>
    <row r="517" spans="1:21" ht="14.5" customHeight="1" x14ac:dyDescent="0.35">
      <c r="A517" t="s">
        <v>19</v>
      </c>
      <c r="B517" t="s">
        <v>19</v>
      </c>
      <c r="C517" s="1">
        <v>45385</v>
      </c>
      <c r="D517">
        <f t="shared" si="36"/>
        <v>3</v>
      </c>
      <c r="E517">
        <f t="shared" si="37"/>
        <v>4</v>
      </c>
      <c r="F517">
        <f t="shared" si="38"/>
        <v>2024</v>
      </c>
      <c r="G517" t="s">
        <v>183</v>
      </c>
      <c r="H517" s="98" t="s">
        <v>184</v>
      </c>
      <c r="I517" s="29">
        <v>4884.8</v>
      </c>
      <c r="J517" s="12" t="s">
        <v>31</v>
      </c>
      <c r="K517" s="29">
        <f t="shared" si="35"/>
        <v>4884.8</v>
      </c>
      <c r="L517">
        <v>1</v>
      </c>
      <c r="M517" s="29">
        <v>0</v>
      </c>
      <c r="N517" t="s">
        <v>42</v>
      </c>
      <c r="O517" t="s">
        <v>33</v>
      </c>
      <c r="P517" t="s">
        <v>34</v>
      </c>
      <c r="Q517" t="s">
        <v>34</v>
      </c>
      <c r="R517" t="s">
        <v>34</v>
      </c>
      <c r="S517" t="s">
        <v>34</v>
      </c>
      <c r="T517" s="117">
        <v>0</v>
      </c>
    </row>
    <row r="518" spans="1:21" ht="14.5" customHeight="1" x14ac:dyDescent="0.35">
      <c r="A518" t="s">
        <v>19</v>
      </c>
      <c r="B518" t="s">
        <v>19</v>
      </c>
      <c r="C518" s="1">
        <v>45385</v>
      </c>
      <c r="D518">
        <f t="shared" si="36"/>
        <v>3</v>
      </c>
      <c r="E518">
        <f t="shared" si="37"/>
        <v>4</v>
      </c>
      <c r="F518">
        <f t="shared" si="38"/>
        <v>2024</v>
      </c>
      <c r="G518" t="s">
        <v>103</v>
      </c>
      <c r="H518" s="98" t="s">
        <v>185</v>
      </c>
      <c r="I518" s="29">
        <v>138161.87</v>
      </c>
      <c r="J518" s="12" t="s">
        <v>31</v>
      </c>
      <c r="K518" s="29">
        <f t="shared" si="35"/>
        <v>138161.87</v>
      </c>
      <c r="L518">
        <v>1</v>
      </c>
      <c r="M518" s="29">
        <v>0</v>
      </c>
      <c r="N518" t="s">
        <v>42</v>
      </c>
      <c r="O518" t="s">
        <v>33</v>
      </c>
      <c r="P518" t="s">
        <v>34</v>
      </c>
      <c r="Q518" t="s">
        <v>34</v>
      </c>
      <c r="R518" t="s">
        <v>34</v>
      </c>
      <c r="S518" t="s">
        <v>34</v>
      </c>
      <c r="T518" s="117">
        <v>0</v>
      </c>
    </row>
    <row r="519" spans="1:21" ht="14.5" customHeight="1" x14ac:dyDescent="0.35">
      <c r="A519" t="s">
        <v>20</v>
      </c>
      <c r="B519" t="s">
        <v>24</v>
      </c>
      <c r="C519" s="1">
        <v>45386</v>
      </c>
      <c r="D519">
        <f t="shared" si="36"/>
        <v>4</v>
      </c>
      <c r="E519">
        <f t="shared" si="37"/>
        <v>4</v>
      </c>
      <c r="F519">
        <f t="shared" si="38"/>
        <v>2024</v>
      </c>
      <c r="G519" t="s">
        <v>50</v>
      </c>
      <c r="H519" s="98">
        <v>9803</v>
      </c>
      <c r="I519" s="29">
        <v>19340.099999999999</v>
      </c>
      <c r="J519" s="12" t="s">
        <v>31</v>
      </c>
      <c r="K519" s="29">
        <f t="shared" si="35"/>
        <v>19340.099999999999</v>
      </c>
      <c r="L519">
        <v>1</v>
      </c>
      <c r="M519" s="29">
        <v>0</v>
      </c>
      <c r="N519" t="s">
        <v>32</v>
      </c>
      <c r="O519" t="s">
        <v>33</v>
      </c>
      <c r="P519" t="s">
        <v>34</v>
      </c>
      <c r="Q519" t="s">
        <v>34</v>
      </c>
      <c r="R519" t="s">
        <v>34</v>
      </c>
      <c r="S519" t="s">
        <v>34</v>
      </c>
      <c r="T519" s="117">
        <v>0</v>
      </c>
    </row>
    <row r="520" spans="1:21" ht="14.5" customHeight="1" x14ac:dyDescent="0.35">
      <c r="A520" t="s">
        <v>20</v>
      </c>
      <c r="B520" t="s">
        <v>23</v>
      </c>
      <c r="C520" s="1">
        <v>45386</v>
      </c>
      <c r="D520">
        <f t="shared" si="36"/>
        <v>4</v>
      </c>
      <c r="E520">
        <f t="shared" si="37"/>
        <v>4</v>
      </c>
      <c r="F520">
        <f t="shared" si="38"/>
        <v>2024</v>
      </c>
      <c r="G520" t="s">
        <v>50</v>
      </c>
      <c r="H520" s="98">
        <v>10358</v>
      </c>
      <c r="I520" s="29">
        <v>1005</v>
      </c>
      <c r="J520" s="12" t="s">
        <v>31</v>
      </c>
      <c r="K520" s="29">
        <f t="shared" si="35"/>
        <v>1005</v>
      </c>
      <c r="L520">
        <v>1</v>
      </c>
      <c r="M520" s="29">
        <v>0</v>
      </c>
      <c r="N520" t="s">
        <v>42</v>
      </c>
      <c r="O520" t="s">
        <v>33</v>
      </c>
      <c r="P520" t="s">
        <v>34</v>
      </c>
      <c r="Q520" t="s">
        <v>34</v>
      </c>
      <c r="R520" t="s">
        <v>34</v>
      </c>
      <c r="S520" t="s">
        <v>34</v>
      </c>
      <c r="T520" s="117">
        <v>0</v>
      </c>
      <c r="U520" s="209" t="s">
        <v>257</v>
      </c>
    </row>
    <row r="521" spans="1:21" ht="14.5" customHeight="1" x14ac:dyDescent="0.35">
      <c r="A521" t="s">
        <v>19</v>
      </c>
      <c r="B521" t="s">
        <v>26</v>
      </c>
      <c r="C521" s="1">
        <v>45387</v>
      </c>
      <c r="D521">
        <f t="shared" si="36"/>
        <v>5</v>
      </c>
      <c r="E521">
        <f t="shared" si="37"/>
        <v>4</v>
      </c>
      <c r="F521">
        <f t="shared" si="38"/>
        <v>2024</v>
      </c>
      <c r="G521" t="s">
        <v>73</v>
      </c>
      <c r="H521" s="98">
        <v>10143</v>
      </c>
      <c r="I521" s="29">
        <v>97193.13</v>
      </c>
      <c r="J521" s="12" t="s">
        <v>51</v>
      </c>
      <c r="K521" s="29">
        <f t="shared" si="35"/>
        <v>105289.317729</v>
      </c>
      <c r="L521">
        <v>1.0832999999999999</v>
      </c>
      <c r="M521" s="29">
        <v>0</v>
      </c>
      <c r="N521" t="s">
        <v>32</v>
      </c>
      <c r="O521" t="s">
        <v>33</v>
      </c>
      <c r="P521" t="s">
        <v>34</v>
      </c>
      <c r="Q521" t="s">
        <v>34</v>
      </c>
      <c r="R521" t="s">
        <v>34</v>
      </c>
      <c r="S521" t="s">
        <v>34</v>
      </c>
      <c r="T521" s="117">
        <v>0</v>
      </c>
      <c r="U521" s="209" t="s">
        <v>94</v>
      </c>
    </row>
    <row r="522" spans="1:21" ht="14.5" customHeight="1" x14ac:dyDescent="0.35">
      <c r="A522" t="s">
        <v>19</v>
      </c>
      <c r="B522" t="s">
        <v>26</v>
      </c>
      <c r="C522" s="1">
        <v>45387</v>
      </c>
      <c r="D522">
        <f t="shared" si="36"/>
        <v>5</v>
      </c>
      <c r="E522">
        <f t="shared" si="37"/>
        <v>4</v>
      </c>
      <c r="F522">
        <f t="shared" si="38"/>
        <v>2024</v>
      </c>
      <c r="G522" t="s">
        <v>73</v>
      </c>
      <c r="H522" s="98">
        <v>10144</v>
      </c>
      <c r="I522" s="29">
        <v>79691.899999999994</v>
      </c>
      <c r="J522" s="12" t="s">
        <v>51</v>
      </c>
      <c r="K522" s="29">
        <f t="shared" si="35"/>
        <v>86330.23526999999</v>
      </c>
      <c r="L522">
        <v>1.0832999999999999</v>
      </c>
      <c r="M522" s="29">
        <v>0</v>
      </c>
      <c r="N522" t="s">
        <v>32</v>
      </c>
      <c r="O522" t="s">
        <v>33</v>
      </c>
      <c r="P522" t="s">
        <v>34</v>
      </c>
      <c r="Q522" t="s">
        <v>34</v>
      </c>
      <c r="R522" t="s">
        <v>34</v>
      </c>
      <c r="S522" t="s">
        <v>34</v>
      </c>
      <c r="T522" s="117">
        <v>0</v>
      </c>
      <c r="U522" s="209" t="s">
        <v>94</v>
      </c>
    </row>
    <row r="523" spans="1:21" ht="14.5" customHeight="1" x14ac:dyDescent="0.35">
      <c r="A523" t="s">
        <v>19</v>
      </c>
      <c r="B523" t="s">
        <v>26</v>
      </c>
      <c r="C523" s="1">
        <v>45387</v>
      </c>
      <c r="D523">
        <f t="shared" si="36"/>
        <v>5</v>
      </c>
      <c r="E523">
        <f t="shared" si="37"/>
        <v>4</v>
      </c>
      <c r="F523">
        <f t="shared" si="38"/>
        <v>2024</v>
      </c>
      <c r="G523" t="s">
        <v>73</v>
      </c>
      <c r="H523" s="98">
        <v>10181</v>
      </c>
      <c r="I523" s="29">
        <v>1464.68</v>
      </c>
      <c r="J523" s="12" t="s">
        <v>51</v>
      </c>
      <c r="K523" s="29">
        <f t="shared" si="35"/>
        <v>1586.687844</v>
      </c>
      <c r="L523">
        <v>1.0832999999999999</v>
      </c>
      <c r="M523" s="29">
        <v>0</v>
      </c>
      <c r="N523" t="s">
        <v>32</v>
      </c>
      <c r="O523" t="s">
        <v>33</v>
      </c>
      <c r="P523" t="s">
        <v>34</v>
      </c>
      <c r="Q523" t="s">
        <v>34</v>
      </c>
      <c r="R523" t="s">
        <v>34</v>
      </c>
      <c r="S523" t="s">
        <v>34</v>
      </c>
      <c r="T523" s="117">
        <v>0</v>
      </c>
      <c r="U523" s="209" t="s">
        <v>94</v>
      </c>
    </row>
    <row r="524" spans="1:21" ht="14.5" customHeight="1" x14ac:dyDescent="0.35">
      <c r="A524" t="s">
        <v>19</v>
      </c>
      <c r="B524" t="s">
        <v>26</v>
      </c>
      <c r="C524" s="1">
        <v>45387</v>
      </c>
      <c r="D524">
        <f t="shared" si="36"/>
        <v>5</v>
      </c>
      <c r="E524">
        <f t="shared" si="37"/>
        <v>4</v>
      </c>
      <c r="F524">
        <f t="shared" si="38"/>
        <v>2024</v>
      </c>
      <c r="G524" t="s">
        <v>187</v>
      </c>
      <c r="H524" s="98">
        <v>0</v>
      </c>
      <c r="I524" s="29">
        <v>20591.330000000002</v>
      </c>
      <c r="J524" s="12" t="s">
        <v>51</v>
      </c>
      <c r="K524" s="29">
        <f t="shared" si="35"/>
        <v>22306.587789000001</v>
      </c>
      <c r="L524">
        <v>1.0832999999999999</v>
      </c>
      <c r="M524" s="29">
        <v>0</v>
      </c>
      <c r="N524" t="s">
        <v>32</v>
      </c>
      <c r="O524" t="s">
        <v>33</v>
      </c>
      <c r="P524" t="s">
        <v>34</v>
      </c>
      <c r="Q524" t="s">
        <v>34</v>
      </c>
      <c r="R524" t="s">
        <v>34</v>
      </c>
      <c r="S524" t="s">
        <v>34</v>
      </c>
      <c r="T524" s="117">
        <v>0</v>
      </c>
      <c r="U524" s="209" t="s">
        <v>94</v>
      </c>
    </row>
    <row r="525" spans="1:21" ht="14.5" customHeight="1" x14ac:dyDescent="0.35">
      <c r="A525" t="s">
        <v>20</v>
      </c>
      <c r="B525" t="s">
        <v>25</v>
      </c>
      <c r="C525" s="1">
        <v>45387</v>
      </c>
      <c r="D525">
        <f t="shared" si="36"/>
        <v>5</v>
      </c>
      <c r="E525">
        <f t="shared" si="37"/>
        <v>4</v>
      </c>
      <c r="F525">
        <f t="shared" si="38"/>
        <v>2024</v>
      </c>
      <c r="G525" t="s">
        <v>85</v>
      </c>
      <c r="H525" s="98">
        <v>9855</v>
      </c>
      <c r="I525" s="29">
        <v>395.9</v>
      </c>
      <c r="J525" s="12" t="s">
        <v>31</v>
      </c>
      <c r="K525" s="29">
        <f t="shared" si="35"/>
        <v>395.9</v>
      </c>
      <c r="L525">
        <v>1</v>
      </c>
      <c r="M525" s="29">
        <v>0</v>
      </c>
      <c r="N525" t="s">
        <v>32</v>
      </c>
      <c r="O525" t="s">
        <v>186</v>
      </c>
      <c r="P525" s="1">
        <v>45385</v>
      </c>
      <c r="Q525" t="s">
        <v>34</v>
      </c>
      <c r="R525">
        <v>10010014410</v>
      </c>
      <c r="S525" t="s">
        <v>34</v>
      </c>
      <c r="T525" s="117">
        <v>0</v>
      </c>
    </row>
    <row r="526" spans="1:21" ht="14.5" customHeight="1" x14ac:dyDescent="0.35">
      <c r="A526" t="s">
        <v>20</v>
      </c>
      <c r="B526" t="s">
        <v>24</v>
      </c>
      <c r="C526" s="1">
        <v>45392</v>
      </c>
      <c r="D526">
        <f t="shared" si="36"/>
        <v>10</v>
      </c>
      <c r="E526">
        <f t="shared" si="37"/>
        <v>4</v>
      </c>
      <c r="F526">
        <f t="shared" si="38"/>
        <v>2024</v>
      </c>
      <c r="G526" t="s">
        <v>202</v>
      </c>
      <c r="H526" s="98">
        <v>9980</v>
      </c>
      <c r="I526" s="29">
        <v>228</v>
      </c>
      <c r="J526" s="12" t="s">
        <v>31</v>
      </c>
      <c r="K526" s="29">
        <f t="shared" si="35"/>
        <v>228</v>
      </c>
      <c r="L526">
        <v>1</v>
      </c>
      <c r="M526" s="29">
        <v>0</v>
      </c>
      <c r="N526" t="s">
        <v>32</v>
      </c>
      <c r="O526" t="s">
        <v>33</v>
      </c>
      <c r="P526" t="s">
        <v>34</v>
      </c>
      <c r="Q526" t="s">
        <v>34</v>
      </c>
      <c r="R526" t="s">
        <v>34</v>
      </c>
      <c r="S526" t="s">
        <v>34</v>
      </c>
      <c r="T526" s="117">
        <v>0</v>
      </c>
    </row>
    <row r="527" spans="1:21" ht="14.5" customHeight="1" x14ac:dyDescent="0.35">
      <c r="A527" t="s">
        <v>20</v>
      </c>
      <c r="B527" t="s">
        <v>23</v>
      </c>
      <c r="C527" s="1">
        <v>45392</v>
      </c>
      <c r="D527">
        <f t="shared" si="36"/>
        <v>10</v>
      </c>
      <c r="E527">
        <f t="shared" si="37"/>
        <v>4</v>
      </c>
      <c r="F527">
        <f t="shared" si="38"/>
        <v>2024</v>
      </c>
      <c r="G527" t="s">
        <v>177</v>
      </c>
      <c r="H527" s="171">
        <v>10314</v>
      </c>
      <c r="I527" s="90">
        <v>119.4</v>
      </c>
      <c r="J527" s="12" t="s">
        <v>31</v>
      </c>
      <c r="K527" s="29">
        <f t="shared" si="35"/>
        <v>119.4</v>
      </c>
      <c r="L527">
        <v>1</v>
      </c>
      <c r="M527" s="29">
        <v>0</v>
      </c>
      <c r="N527" t="s">
        <v>32</v>
      </c>
      <c r="O527" t="s">
        <v>33</v>
      </c>
      <c r="P527" t="s">
        <v>34</v>
      </c>
      <c r="Q527" t="s">
        <v>34</v>
      </c>
      <c r="R527" t="s">
        <v>34</v>
      </c>
      <c r="S527" t="s">
        <v>34</v>
      </c>
      <c r="T527" s="117">
        <v>0</v>
      </c>
    </row>
    <row r="528" spans="1:21" ht="14.5" customHeight="1" x14ac:dyDescent="0.35">
      <c r="A528" t="s">
        <v>20</v>
      </c>
      <c r="B528" t="s">
        <v>21</v>
      </c>
      <c r="C528" s="1">
        <v>45392</v>
      </c>
      <c r="D528">
        <f t="shared" si="36"/>
        <v>10</v>
      </c>
      <c r="E528">
        <f t="shared" si="37"/>
        <v>4</v>
      </c>
      <c r="F528">
        <f t="shared" si="38"/>
        <v>2024</v>
      </c>
      <c r="G528" t="s">
        <v>203</v>
      </c>
      <c r="H528" s="98">
        <v>9728</v>
      </c>
      <c r="I528" s="29">
        <v>17267.240000000002</v>
      </c>
      <c r="J528" s="12" t="s">
        <v>51</v>
      </c>
      <c r="K528" s="29">
        <f t="shared" si="35"/>
        <v>18665.869999998937</v>
      </c>
      <c r="L528" s="2">
        <v>1.0809990479080001</v>
      </c>
      <c r="M528" s="29">
        <v>0</v>
      </c>
      <c r="N528" t="s">
        <v>32</v>
      </c>
      <c r="O528" t="s">
        <v>33</v>
      </c>
      <c r="P528" t="s">
        <v>34</v>
      </c>
      <c r="Q528" t="s">
        <v>34</v>
      </c>
      <c r="R528" t="s">
        <v>34</v>
      </c>
      <c r="S528" t="s">
        <v>34</v>
      </c>
      <c r="T528" s="117">
        <v>0</v>
      </c>
    </row>
    <row r="529" spans="1:20" ht="14.5" customHeight="1" x14ac:dyDescent="0.35">
      <c r="A529" t="s">
        <v>20</v>
      </c>
      <c r="B529" t="s">
        <v>23</v>
      </c>
      <c r="C529" s="1">
        <v>45392</v>
      </c>
      <c r="D529">
        <f t="shared" si="36"/>
        <v>10</v>
      </c>
      <c r="E529">
        <f t="shared" si="37"/>
        <v>4</v>
      </c>
      <c r="F529">
        <f t="shared" si="38"/>
        <v>2024</v>
      </c>
      <c r="G529" t="s">
        <v>108</v>
      </c>
      <c r="H529" s="98">
        <v>10364</v>
      </c>
      <c r="I529" s="29">
        <v>5</v>
      </c>
      <c r="J529" s="12" t="s">
        <v>31</v>
      </c>
      <c r="K529" s="29">
        <f t="shared" si="35"/>
        <v>5</v>
      </c>
      <c r="L529">
        <v>1</v>
      </c>
      <c r="M529" s="29">
        <v>0</v>
      </c>
      <c r="N529" t="s">
        <v>42</v>
      </c>
      <c r="O529" t="s">
        <v>33</v>
      </c>
      <c r="P529" t="s">
        <v>34</v>
      </c>
      <c r="Q529" t="s">
        <v>34</v>
      </c>
      <c r="R529" t="s">
        <v>34</v>
      </c>
      <c r="S529" t="s">
        <v>34</v>
      </c>
      <c r="T529" s="117">
        <v>0</v>
      </c>
    </row>
    <row r="530" spans="1:20" ht="14.5" customHeight="1" x14ac:dyDescent="0.35">
      <c r="A530" t="s">
        <v>20</v>
      </c>
      <c r="B530" t="s">
        <v>23</v>
      </c>
      <c r="C530" s="1">
        <v>45392</v>
      </c>
      <c r="D530">
        <f t="shared" si="36"/>
        <v>10</v>
      </c>
      <c r="E530">
        <f t="shared" si="37"/>
        <v>4</v>
      </c>
      <c r="F530">
        <f t="shared" si="38"/>
        <v>2024</v>
      </c>
      <c r="G530" t="s">
        <v>108</v>
      </c>
      <c r="H530" s="98">
        <v>10365</v>
      </c>
      <c r="I530" s="29">
        <v>930</v>
      </c>
      <c r="J530" s="12" t="s">
        <v>31</v>
      </c>
      <c r="K530" s="29">
        <f t="shared" si="35"/>
        <v>930</v>
      </c>
      <c r="L530">
        <v>1</v>
      </c>
      <c r="M530" s="29">
        <v>0</v>
      </c>
      <c r="N530" t="s">
        <v>42</v>
      </c>
      <c r="O530" t="s">
        <v>33</v>
      </c>
      <c r="P530" t="s">
        <v>34</v>
      </c>
      <c r="Q530" t="s">
        <v>34</v>
      </c>
      <c r="R530" t="s">
        <v>34</v>
      </c>
      <c r="S530" t="s">
        <v>34</v>
      </c>
      <c r="T530" s="117">
        <v>0</v>
      </c>
    </row>
    <row r="531" spans="1:20" ht="14.5" customHeight="1" x14ac:dyDescent="0.35">
      <c r="A531" t="s">
        <v>20</v>
      </c>
      <c r="B531" t="s">
        <v>25</v>
      </c>
      <c r="C531" s="1">
        <v>45392</v>
      </c>
      <c r="D531">
        <f t="shared" si="36"/>
        <v>10</v>
      </c>
      <c r="E531">
        <f t="shared" si="37"/>
        <v>4</v>
      </c>
      <c r="F531">
        <f t="shared" si="38"/>
        <v>2024</v>
      </c>
      <c r="G531" t="s">
        <v>50</v>
      </c>
      <c r="H531" s="98">
        <v>9877</v>
      </c>
      <c r="I531" s="29">
        <v>54717.279999999999</v>
      </c>
      <c r="J531" s="12" t="s">
        <v>31</v>
      </c>
      <c r="K531" s="29">
        <f t="shared" si="35"/>
        <v>54717.279999999999</v>
      </c>
      <c r="L531">
        <v>1</v>
      </c>
      <c r="M531" s="29">
        <v>0</v>
      </c>
      <c r="N531" t="s">
        <v>32</v>
      </c>
      <c r="O531" t="s">
        <v>33</v>
      </c>
      <c r="P531" t="s">
        <v>34</v>
      </c>
      <c r="Q531" t="s">
        <v>34</v>
      </c>
      <c r="R531" t="s">
        <v>34</v>
      </c>
      <c r="S531" t="s">
        <v>34</v>
      </c>
      <c r="T531" s="117">
        <v>0</v>
      </c>
    </row>
    <row r="532" spans="1:20" ht="14.5" customHeight="1" x14ac:dyDescent="0.35">
      <c r="A532" t="s">
        <v>20</v>
      </c>
      <c r="B532" t="s">
        <v>24</v>
      </c>
      <c r="C532" s="1">
        <v>45392</v>
      </c>
      <c r="D532">
        <f t="shared" si="36"/>
        <v>10</v>
      </c>
      <c r="E532">
        <f t="shared" si="37"/>
        <v>4</v>
      </c>
      <c r="F532">
        <f t="shared" si="38"/>
        <v>2024</v>
      </c>
      <c r="G532" t="s">
        <v>50</v>
      </c>
      <c r="H532" s="98">
        <v>10358</v>
      </c>
      <c r="I532" s="29">
        <v>6600</v>
      </c>
      <c r="J532" s="12" t="s">
        <v>31</v>
      </c>
      <c r="K532" s="29">
        <f t="shared" si="35"/>
        <v>6600</v>
      </c>
      <c r="L532">
        <v>1</v>
      </c>
      <c r="M532" s="29">
        <v>0</v>
      </c>
      <c r="N532" t="s">
        <v>42</v>
      </c>
      <c r="O532" t="s">
        <v>33</v>
      </c>
      <c r="P532" t="s">
        <v>34</v>
      </c>
      <c r="Q532" t="s">
        <v>34</v>
      </c>
      <c r="R532" t="s">
        <v>34</v>
      </c>
      <c r="S532" t="s">
        <v>34</v>
      </c>
      <c r="T532" s="117">
        <v>0</v>
      </c>
    </row>
    <row r="533" spans="1:20" ht="14.5" customHeight="1" x14ac:dyDescent="0.35">
      <c r="A533" t="s">
        <v>20</v>
      </c>
      <c r="B533" t="s">
        <v>24</v>
      </c>
      <c r="C533" s="1">
        <v>45392</v>
      </c>
      <c r="D533">
        <f t="shared" si="36"/>
        <v>10</v>
      </c>
      <c r="E533">
        <f t="shared" si="37"/>
        <v>4</v>
      </c>
      <c r="F533">
        <f t="shared" si="38"/>
        <v>2024</v>
      </c>
      <c r="G533" t="s">
        <v>50</v>
      </c>
      <c r="H533" s="98">
        <v>10359</v>
      </c>
      <c r="I533" s="29">
        <v>6600</v>
      </c>
      <c r="J533" s="12" t="s">
        <v>31</v>
      </c>
      <c r="K533" s="29">
        <f t="shared" si="35"/>
        <v>6600</v>
      </c>
      <c r="L533">
        <v>1</v>
      </c>
      <c r="M533" s="29">
        <v>0</v>
      </c>
      <c r="N533" t="s">
        <v>42</v>
      </c>
      <c r="O533" t="s">
        <v>33</v>
      </c>
      <c r="P533" t="s">
        <v>34</v>
      </c>
      <c r="Q533" t="s">
        <v>34</v>
      </c>
      <c r="R533" t="s">
        <v>34</v>
      </c>
      <c r="S533" t="s">
        <v>34</v>
      </c>
      <c r="T533" s="117">
        <v>0</v>
      </c>
    </row>
    <row r="534" spans="1:20" ht="14.5" customHeight="1" x14ac:dyDescent="0.35">
      <c r="A534" t="s">
        <v>20</v>
      </c>
      <c r="B534" t="s">
        <v>23</v>
      </c>
      <c r="C534" s="1">
        <v>45392</v>
      </c>
      <c r="D534">
        <f t="shared" si="36"/>
        <v>10</v>
      </c>
      <c r="E534">
        <f t="shared" si="37"/>
        <v>4</v>
      </c>
      <c r="F534">
        <f t="shared" si="38"/>
        <v>2024</v>
      </c>
      <c r="G534" t="s">
        <v>104</v>
      </c>
      <c r="H534" s="98">
        <v>10114</v>
      </c>
      <c r="I534" s="29">
        <v>2176.41</v>
      </c>
      <c r="J534" s="12" t="s">
        <v>31</v>
      </c>
      <c r="K534" s="29">
        <f t="shared" si="35"/>
        <v>2176.41</v>
      </c>
      <c r="L534">
        <v>1</v>
      </c>
      <c r="M534" s="29">
        <v>0</v>
      </c>
      <c r="N534" t="s">
        <v>32</v>
      </c>
      <c r="O534" t="s">
        <v>33</v>
      </c>
      <c r="P534" t="s">
        <v>34</v>
      </c>
      <c r="Q534" t="s">
        <v>34</v>
      </c>
      <c r="R534" t="s">
        <v>34</v>
      </c>
      <c r="S534" t="s">
        <v>34</v>
      </c>
      <c r="T534" s="117">
        <v>166.09</v>
      </c>
    </row>
    <row r="535" spans="1:20" ht="14.5" customHeight="1" x14ac:dyDescent="0.35">
      <c r="A535" t="s">
        <v>20</v>
      </c>
      <c r="B535" t="s">
        <v>24</v>
      </c>
      <c r="C535" s="1">
        <v>45392</v>
      </c>
      <c r="D535">
        <f t="shared" si="36"/>
        <v>10</v>
      </c>
      <c r="E535">
        <f t="shared" si="37"/>
        <v>4</v>
      </c>
      <c r="F535">
        <f t="shared" si="38"/>
        <v>2024</v>
      </c>
      <c r="G535" t="s">
        <v>85</v>
      </c>
      <c r="H535" s="98">
        <v>10017</v>
      </c>
      <c r="I535" s="29">
        <v>24849.87</v>
      </c>
      <c r="J535" s="12" t="s">
        <v>31</v>
      </c>
      <c r="K535" s="29">
        <f t="shared" si="35"/>
        <v>24849.87</v>
      </c>
      <c r="L535">
        <v>1</v>
      </c>
      <c r="M535" s="29">
        <v>0</v>
      </c>
      <c r="N535" t="s">
        <v>42</v>
      </c>
      <c r="O535" t="s">
        <v>33</v>
      </c>
      <c r="P535" t="s">
        <v>34</v>
      </c>
      <c r="Q535" t="s">
        <v>34</v>
      </c>
      <c r="R535" t="s">
        <v>34</v>
      </c>
      <c r="S535" t="s">
        <v>34</v>
      </c>
      <c r="T535" s="117">
        <v>0</v>
      </c>
    </row>
    <row r="536" spans="1:20" ht="14.5" customHeight="1" x14ac:dyDescent="0.35">
      <c r="A536" t="s">
        <v>20</v>
      </c>
      <c r="B536" t="s">
        <v>25</v>
      </c>
      <c r="C536" s="1">
        <v>45392</v>
      </c>
      <c r="D536">
        <f t="shared" si="36"/>
        <v>10</v>
      </c>
      <c r="E536">
        <f t="shared" si="37"/>
        <v>4</v>
      </c>
      <c r="F536">
        <f t="shared" si="38"/>
        <v>2024</v>
      </c>
      <c r="G536" t="s">
        <v>45</v>
      </c>
      <c r="H536" s="98">
        <v>9825</v>
      </c>
      <c r="I536" s="29">
        <v>81.12</v>
      </c>
      <c r="J536" s="12" t="s">
        <v>31</v>
      </c>
      <c r="K536" s="29">
        <f t="shared" si="35"/>
        <v>81.12</v>
      </c>
      <c r="L536">
        <v>1</v>
      </c>
      <c r="M536" s="29">
        <v>0</v>
      </c>
      <c r="N536" t="s">
        <v>32</v>
      </c>
      <c r="O536" t="s">
        <v>33</v>
      </c>
      <c r="P536" t="s">
        <v>34</v>
      </c>
      <c r="Q536" t="s">
        <v>34</v>
      </c>
      <c r="R536" t="s">
        <v>34</v>
      </c>
      <c r="S536" t="s">
        <v>34</v>
      </c>
      <c r="T536" s="117">
        <v>0</v>
      </c>
    </row>
    <row r="537" spans="1:20" ht="14.5" customHeight="1" x14ac:dyDescent="0.35">
      <c r="A537" t="s">
        <v>20</v>
      </c>
      <c r="B537" t="s">
        <v>25</v>
      </c>
      <c r="C537" s="1">
        <v>45392</v>
      </c>
      <c r="D537">
        <f t="shared" si="36"/>
        <v>10</v>
      </c>
      <c r="E537">
        <f t="shared" si="37"/>
        <v>4</v>
      </c>
      <c r="F537">
        <f t="shared" si="38"/>
        <v>2024</v>
      </c>
      <c r="G537" t="s">
        <v>45</v>
      </c>
      <c r="H537" s="98">
        <v>9824</v>
      </c>
      <c r="I537" s="29">
        <v>67603.039999999994</v>
      </c>
      <c r="J537" s="12" t="s">
        <v>31</v>
      </c>
      <c r="K537" s="29">
        <f t="shared" si="35"/>
        <v>67603.039999999994</v>
      </c>
      <c r="L537">
        <v>1</v>
      </c>
      <c r="M537" s="29">
        <v>0</v>
      </c>
      <c r="N537" t="s">
        <v>32</v>
      </c>
      <c r="O537" t="s">
        <v>33</v>
      </c>
      <c r="P537" t="s">
        <v>34</v>
      </c>
      <c r="Q537" t="s">
        <v>34</v>
      </c>
      <c r="R537" t="s">
        <v>34</v>
      </c>
      <c r="S537" t="s">
        <v>34</v>
      </c>
      <c r="T537" s="117">
        <v>0</v>
      </c>
    </row>
    <row r="538" spans="1:20" ht="14.5" customHeight="1" x14ac:dyDescent="0.35">
      <c r="A538" t="s">
        <v>20</v>
      </c>
      <c r="B538" t="s">
        <v>21</v>
      </c>
      <c r="C538" s="1">
        <v>45392</v>
      </c>
      <c r="D538">
        <f t="shared" si="36"/>
        <v>10</v>
      </c>
      <c r="E538">
        <f t="shared" si="37"/>
        <v>4</v>
      </c>
      <c r="F538">
        <f t="shared" si="38"/>
        <v>2024</v>
      </c>
      <c r="G538" t="s">
        <v>45</v>
      </c>
      <c r="H538" s="98">
        <v>10072</v>
      </c>
      <c r="I538" s="29">
        <v>71.599999999999994</v>
      </c>
      <c r="J538" s="12" t="s">
        <v>31</v>
      </c>
      <c r="K538" s="29">
        <f t="shared" si="35"/>
        <v>71.599999999999994</v>
      </c>
      <c r="L538">
        <v>1</v>
      </c>
      <c r="M538" s="29">
        <v>0</v>
      </c>
      <c r="N538" t="s">
        <v>32</v>
      </c>
      <c r="O538" t="s">
        <v>33</v>
      </c>
      <c r="P538" t="s">
        <v>34</v>
      </c>
      <c r="Q538" t="s">
        <v>34</v>
      </c>
      <c r="R538" t="s">
        <v>34</v>
      </c>
      <c r="S538" t="s">
        <v>34</v>
      </c>
      <c r="T538" s="117">
        <v>0</v>
      </c>
    </row>
    <row r="539" spans="1:20" ht="14.5" customHeight="1" x14ac:dyDescent="0.35">
      <c r="A539" t="s">
        <v>20</v>
      </c>
      <c r="B539" t="s">
        <v>24</v>
      </c>
      <c r="C539" s="1">
        <v>45392</v>
      </c>
      <c r="D539">
        <f t="shared" si="36"/>
        <v>10</v>
      </c>
      <c r="E539">
        <f t="shared" si="37"/>
        <v>4</v>
      </c>
      <c r="F539">
        <f t="shared" si="38"/>
        <v>2024</v>
      </c>
      <c r="G539" t="s">
        <v>43</v>
      </c>
      <c r="H539" s="98">
        <v>9778</v>
      </c>
      <c r="I539" s="29">
        <v>54827.42</v>
      </c>
      <c r="J539" s="12" t="s">
        <v>31</v>
      </c>
      <c r="K539" s="29">
        <f t="shared" si="35"/>
        <v>54827.42</v>
      </c>
      <c r="L539">
        <v>1</v>
      </c>
      <c r="M539" s="29">
        <v>0</v>
      </c>
      <c r="N539" t="s">
        <v>42</v>
      </c>
      <c r="O539" t="s">
        <v>33</v>
      </c>
      <c r="P539" t="s">
        <v>34</v>
      </c>
      <c r="Q539" t="s">
        <v>34</v>
      </c>
      <c r="R539" t="s">
        <v>34</v>
      </c>
      <c r="S539" t="s">
        <v>34</v>
      </c>
      <c r="T539" s="117">
        <v>0</v>
      </c>
    </row>
    <row r="540" spans="1:20" ht="14.5" customHeight="1" x14ac:dyDescent="0.35">
      <c r="A540" t="s">
        <v>20</v>
      </c>
      <c r="B540" t="s">
        <v>25</v>
      </c>
      <c r="C540" s="1">
        <v>45392</v>
      </c>
      <c r="D540">
        <f t="shared" si="36"/>
        <v>10</v>
      </c>
      <c r="E540">
        <f t="shared" si="37"/>
        <v>4</v>
      </c>
      <c r="F540">
        <f t="shared" si="38"/>
        <v>2024</v>
      </c>
      <c r="G540" t="s">
        <v>43</v>
      </c>
      <c r="H540" s="98">
        <v>9778</v>
      </c>
      <c r="I540" s="29">
        <v>24456.52</v>
      </c>
      <c r="J540" s="12" t="s">
        <v>31</v>
      </c>
      <c r="K540" s="29">
        <f t="shared" si="35"/>
        <v>24456.52</v>
      </c>
      <c r="L540">
        <v>1</v>
      </c>
      <c r="M540" s="29">
        <v>0</v>
      </c>
      <c r="N540" t="s">
        <v>42</v>
      </c>
      <c r="O540" t="s">
        <v>33</v>
      </c>
      <c r="P540" t="s">
        <v>34</v>
      </c>
      <c r="Q540" t="s">
        <v>34</v>
      </c>
      <c r="R540" t="s">
        <v>34</v>
      </c>
      <c r="S540" t="s">
        <v>34</v>
      </c>
      <c r="T540" s="117">
        <v>0</v>
      </c>
    </row>
    <row r="541" spans="1:20" ht="14.5" customHeight="1" x14ac:dyDescent="0.35">
      <c r="A541" t="s">
        <v>20</v>
      </c>
      <c r="B541" t="s">
        <v>25</v>
      </c>
      <c r="C541" s="1">
        <v>45392</v>
      </c>
      <c r="D541">
        <f t="shared" si="36"/>
        <v>10</v>
      </c>
      <c r="E541">
        <f t="shared" si="37"/>
        <v>4</v>
      </c>
      <c r="F541">
        <f t="shared" si="38"/>
        <v>2024</v>
      </c>
      <c r="G541" t="s">
        <v>87</v>
      </c>
      <c r="H541" s="98">
        <v>9809</v>
      </c>
      <c r="I541" s="29">
        <v>34493.1</v>
      </c>
      <c r="J541" s="12" t="s">
        <v>31</v>
      </c>
      <c r="K541" s="29">
        <f t="shared" si="35"/>
        <v>34493.1</v>
      </c>
      <c r="L541">
        <v>1</v>
      </c>
      <c r="M541" s="29">
        <v>0</v>
      </c>
      <c r="N541" t="s">
        <v>32</v>
      </c>
      <c r="O541" t="s">
        <v>33</v>
      </c>
      <c r="P541" t="s">
        <v>34</v>
      </c>
      <c r="Q541" t="s">
        <v>34</v>
      </c>
      <c r="R541" t="s">
        <v>34</v>
      </c>
      <c r="S541" t="s">
        <v>34</v>
      </c>
      <c r="T541" s="117">
        <v>0</v>
      </c>
    </row>
    <row r="542" spans="1:20" ht="14.5" customHeight="1" x14ac:dyDescent="0.35">
      <c r="A542" t="s">
        <v>20</v>
      </c>
      <c r="B542" t="s">
        <v>21</v>
      </c>
      <c r="C542" s="1">
        <v>45392</v>
      </c>
      <c r="D542">
        <f t="shared" si="36"/>
        <v>10</v>
      </c>
      <c r="E542">
        <f t="shared" si="37"/>
        <v>4</v>
      </c>
      <c r="F542">
        <f t="shared" si="38"/>
        <v>2024</v>
      </c>
      <c r="G542" t="s">
        <v>46</v>
      </c>
      <c r="H542" s="98">
        <v>10194</v>
      </c>
      <c r="I542" s="29">
        <v>2400.94</v>
      </c>
      <c r="J542" s="12" t="s">
        <v>31</v>
      </c>
      <c r="K542" s="29">
        <f t="shared" si="35"/>
        <v>2400.94</v>
      </c>
      <c r="L542">
        <v>1</v>
      </c>
      <c r="M542" s="29">
        <v>0</v>
      </c>
      <c r="N542" t="s">
        <v>42</v>
      </c>
      <c r="O542" t="s">
        <v>33</v>
      </c>
      <c r="P542" t="s">
        <v>34</v>
      </c>
      <c r="Q542" t="s">
        <v>34</v>
      </c>
      <c r="R542" t="s">
        <v>34</v>
      </c>
      <c r="S542" t="s">
        <v>34</v>
      </c>
      <c r="T542" s="117">
        <v>0</v>
      </c>
    </row>
    <row r="543" spans="1:20" ht="14.5" customHeight="1" x14ac:dyDescent="0.35">
      <c r="A543" t="s">
        <v>20</v>
      </c>
      <c r="B543" t="s">
        <v>24</v>
      </c>
      <c r="C543" s="1">
        <v>45392</v>
      </c>
      <c r="D543">
        <f t="shared" si="36"/>
        <v>10</v>
      </c>
      <c r="E543">
        <f t="shared" si="37"/>
        <v>4</v>
      </c>
      <c r="F543">
        <f t="shared" si="38"/>
        <v>2024</v>
      </c>
      <c r="G543" t="s">
        <v>46</v>
      </c>
      <c r="H543" s="98">
        <v>10194</v>
      </c>
      <c r="I543" s="29">
        <v>2501.65</v>
      </c>
      <c r="J543" s="12" t="s">
        <v>31</v>
      </c>
      <c r="K543" s="29">
        <f t="shared" si="35"/>
        <v>2501.65</v>
      </c>
      <c r="L543">
        <v>1</v>
      </c>
      <c r="M543" s="29">
        <v>0</v>
      </c>
      <c r="N543" t="s">
        <v>42</v>
      </c>
      <c r="O543" t="s">
        <v>33</v>
      </c>
      <c r="P543" t="s">
        <v>34</v>
      </c>
      <c r="Q543" t="s">
        <v>34</v>
      </c>
      <c r="R543" t="s">
        <v>34</v>
      </c>
      <c r="S543" t="s">
        <v>34</v>
      </c>
      <c r="T543" s="117">
        <v>0</v>
      </c>
    </row>
    <row r="544" spans="1:20" ht="14.5" customHeight="1" x14ac:dyDescent="0.35">
      <c r="A544" t="s">
        <v>20</v>
      </c>
      <c r="B544" t="s">
        <v>25</v>
      </c>
      <c r="C544" s="1">
        <v>45392</v>
      </c>
      <c r="D544">
        <f t="shared" si="36"/>
        <v>10</v>
      </c>
      <c r="E544">
        <f t="shared" si="37"/>
        <v>4</v>
      </c>
      <c r="F544">
        <f t="shared" si="38"/>
        <v>2024</v>
      </c>
      <c r="G544" t="s">
        <v>46</v>
      </c>
      <c r="H544" s="98">
        <v>10194</v>
      </c>
      <c r="I544" s="29">
        <v>10053.549999999999</v>
      </c>
      <c r="J544" s="12" t="s">
        <v>31</v>
      </c>
      <c r="K544" s="29">
        <f t="shared" si="35"/>
        <v>10053.549999999999</v>
      </c>
      <c r="L544">
        <v>1</v>
      </c>
      <c r="M544" s="29">
        <v>0</v>
      </c>
      <c r="N544" t="s">
        <v>42</v>
      </c>
      <c r="O544" t="s">
        <v>33</v>
      </c>
      <c r="P544" t="s">
        <v>34</v>
      </c>
      <c r="Q544" t="s">
        <v>34</v>
      </c>
      <c r="R544" t="s">
        <v>34</v>
      </c>
      <c r="S544" t="s">
        <v>34</v>
      </c>
      <c r="T544" s="117">
        <v>0</v>
      </c>
    </row>
    <row r="545" spans="1:21" ht="14.5" customHeight="1" x14ac:dyDescent="0.35">
      <c r="A545" t="s">
        <v>20</v>
      </c>
      <c r="B545" t="s">
        <v>23</v>
      </c>
      <c r="C545" s="1">
        <v>45392</v>
      </c>
      <c r="D545">
        <f t="shared" si="36"/>
        <v>10</v>
      </c>
      <c r="E545">
        <f t="shared" si="37"/>
        <v>4</v>
      </c>
      <c r="F545">
        <f t="shared" si="38"/>
        <v>2024</v>
      </c>
      <c r="G545" t="s">
        <v>46</v>
      </c>
      <c r="H545" s="98">
        <v>10362</v>
      </c>
      <c r="I545" s="29">
        <v>30.5</v>
      </c>
      <c r="J545" s="12" t="s">
        <v>31</v>
      </c>
      <c r="K545" s="29">
        <f t="shared" si="35"/>
        <v>30.5</v>
      </c>
      <c r="L545">
        <v>1</v>
      </c>
      <c r="M545" s="29">
        <v>0</v>
      </c>
      <c r="N545" t="s">
        <v>42</v>
      </c>
      <c r="O545" t="s">
        <v>33</v>
      </c>
      <c r="P545" t="s">
        <v>34</v>
      </c>
      <c r="Q545" t="s">
        <v>34</v>
      </c>
      <c r="R545" t="s">
        <v>34</v>
      </c>
      <c r="S545" t="s">
        <v>34</v>
      </c>
      <c r="T545" s="117">
        <v>0</v>
      </c>
    </row>
    <row r="546" spans="1:21" ht="14.5" customHeight="1" x14ac:dyDescent="0.35">
      <c r="A546" t="s">
        <v>20</v>
      </c>
      <c r="B546" t="s">
        <v>23</v>
      </c>
      <c r="C546" s="1">
        <v>45392</v>
      </c>
      <c r="D546">
        <f t="shared" si="36"/>
        <v>10</v>
      </c>
      <c r="E546">
        <f t="shared" si="37"/>
        <v>4</v>
      </c>
      <c r="F546">
        <f t="shared" si="38"/>
        <v>2024</v>
      </c>
      <c r="G546" t="s">
        <v>46</v>
      </c>
      <c r="H546" s="98">
        <v>10266</v>
      </c>
      <c r="I546" s="29">
        <v>244</v>
      </c>
      <c r="J546" s="12" t="s">
        <v>31</v>
      </c>
      <c r="K546" s="29">
        <f t="shared" si="35"/>
        <v>244</v>
      </c>
      <c r="L546">
        <v>1</v>
      </c>
      <c r="M546" s="29">
        <v>0</v>
      </c>
      <c r="N546" t="s">
        <v>42</v>
      </c>
      <c r="O546" t="s">
        <v>33</v>
      </c>
      <c r="P546" t="s">
        <v>34</v>
      </c>
      <c r="Q546" t="s">
        <v>34</v>
      </c>
      <c r="R546" t="s">
        <v>34</v>
      </c>
      <c r="S546" t="s">
        <v>34</v>
      </c>
      <c r="T546" s="117">
        <v>0</v>
      </c>
      <c r="U546" s="209" t="s">
        <v>298</v>
      </c>
    </row>
    <row r="547" spans="1:21" ht="14.5" customHeight="1" x14ac:dyDescent="0.35">
      <c r="A547" t="s">
        <v>20</v>
      </c>
      <c r="B547" t="s">
        <v>25</v>
      </c>
      <c r="C547" s="1">
        <v>45392</v>
      </c>
      <c r="D547">
        <f t="shared" si="36"/>
        <v>10</v>
      </c>
      <c r="E547">
        <f t="shared" si="37"/>
        <v>4</v>
      </c>
      <c r="F547">
        <f t="shared" si="38"/>
        <v>2024</v>
      </c>
      <c r="G547" t="s">
        <v>81</v>
      </c>
      <c r="H547" s="98">
        <v>9862</v>
      </c>
      <c r="I547" s="29">
        <v>88856.11</v>
      </c>
      <c r="J547" s="12" t="s">
        <v>31</v>
      </c>
      <c r="K547" s="29">
        <f t="shared" si="35"/>
        <v>88856.11</v>
      </c>
      <c r="L547">
        <v>1</v>
      </c>
      <c r="M547" s="29">
        <v>0</v>
      </c>
      <c r="N547" t="s">
        <v>32</v>
      </c>
      <c r="O547" t="s">
        <v>33</v>
      </c>
      <c r="P547" t="s">
        <v>34</v>
      </c>
      <c r="Q547" t="s">
        <v>34</v>
      </c>
      <c r="R547" t="s">
        <v>34</v>
      </c>
      <c r="S547" t="s">
        <v>34</v>
      </c>
      <c r="T547" s="117">
        <v>0</v>
      </c>
    </row>
    <row r="548" spans="1:21" ht="14.5" customHeight="1" x14ac:dyDescent="0.35">
      <c r="A548" t="s">
        <v>20</v>
      </c>
      <c r="B548" t="s">
        <v>21</v>
      </c>
      <c r="C548" s="1">
        <v>45392</v>
      </c>
      <c r="D548">
        <f t="shared" si="36"/>
        <v>10</v>
      </c>
      <c r="E548">
        <f t="shared" si="37"/>
        <v>4</v>
      </c>
      <c r="F548">
        <f t="shared" si="38"/>
        <v>2024</v>
      </c>
      <c r="G548" t="s">
        <v>47</v>
      </c>
      <c r="H548" s="98">
        <v>10068</v>
      </c>
      <c r="I548" s="29">
        <v>50.16</v>
      </c>
      <c r="J548" s="12" t="s">
        <v>31</v>
      </c>
      <c r="K548" s="29">
        <f t="shared" si="35"/>
        <v>50.16</v>
      </c>
      <c r="L548">
        <v>1</v>
      </c>
      <c r="M548" s="29">
        <v>0</v>
      </c>
      <c r="N548" t="s">
        <v>32</v>
      </c>
      <c r="O548" t="s">
        <v>33</v>
      </c>
      <c r="P548" t="s">
        <v>34</v>
      </c>
      <c r="Q548" t="s">
        <v>34</v>
      </c>
      <c r="R548" t="s">
        <v>34</v>
      </c>
      <c r="S548" t="s">
        <v>34</v>
      </c>
      <c r="T548" s="117">
        <v>0</v>
      </c>
    </row>
    <row r="549" spans="1:21" ht="14.5" customHeight="1" x14ac:dyDescent="0.35">
      <c r="A549" t="s">
        <v>20</v>
      </c>
      <c r="B549" t="s">
        <v>23</v>
      </c>
      <c r="C549" s="1">
        <v>45392</v>
      </c>
      <c r="D549">
        <f t="shared" si="36"/>
        <v>10</v>
      </c>
      <c r="E549">
        <f t="shared" si="37"/>
        <v>4</v>
      </c>
      <c r="F549">
        <f t="shared" si="38"/>
        <v>2024</v>
      </c>
      <c r="G549" t="s">
        <v>47</v>
      </c>
      <c r="H549" s="98">
        <v>10235</v>
      </c>
      <c r="I549" s="29">
        <v>52.65</v>
      </c>
      <c r="J549" s="12" t="s">
        <v>31</v>
      </c>
      <c r="K549" s="29">
        <f t="shared" si="35"/>
        <v>52.65</v>
      </c>
      <c r="L549">
        <v>1</v>
      </c>
      <c r="M549" s="29">
        <v>0</v>
      </c>
      <c r="N549" t="s">
        <v>32</v>
      </c>
      <c r="O549" t="s">
        <v>33</v>
      </c>
      <c r="P549" t="s">
        <v>34</v>
      </c>
      <c r="Q549" t="s">
        <v>34</v>
      </c>
      <c r="R549" t="s">
        <v>34</v>
      </c>
      <c r="S549" t="s">
        <v>34</v>
      </c>
      <c r="T549" s="117">
        <v>0</v>
      </c>
    </row>
    <row r="550" spans="1:21" ht="14.5" customHeight="1" x14ac:dyDescent="0.35">
      <c r="A550" t="s">
        <v>19</v>
      </c>
      <c r="B550" t="s">
        <v>25</v>
      </c>
      <c r="C550" s="1">
        <v>45392</v>
      </c>
      <c r="D550">
        <f t="shared" si="36"/>
        <v>10</v>
      </c>
      <c r="E550">
        <f t="shared" si="37"/>
        <v>4</v>
      </c>
      <c r="F550">
        <f t="shared" si="38"/>
        <v>2024</v>
      </c>
      <c r="G550" t="s">
        <v>36</v>
      </c>
      <c r="H550" s="98">
        <v>10205</v>
      </c>
      <c r="I550" s="29">
        <v>18212.04</v>
      </c>
      <c r="J550" s="12" t="s">
        <v>31</v>
      </c>
      <c r="K550" s="29">
        <f t="shared" si="35"/>
        <v>18212.04</v>
      </c>
      <c r="L550">
        <v>1</v>
      </c>
      <c r="M550" s="29">
        <v>0</v>
      </c>
      <c r="N550" t="s">
        <v>32</v>
      </c>
      <c r="O550" t="s">
        <v>33</v>
      </c>
      <c r="P550" t="s">
        <v>34</v>
      </c>
      <c r="Q550" t="s">
        <v>34</v>
      </c>
      <c r="R550" t="s">
        <v>34</v>
      </c>
      <c r="S550" t="s">
        <v>34</v>
      </c>
      <c r="T550" s="117">
        <v>0</v>
      </c>
    </row>
    <row r="551" spans="1:21" ht="14.5" customHeight="1" x14ac:dyDescent="0.35">
      <c r="A551" t="s">
        <v>19</v>
      </c>
      <c r="B551" t="s">
        <v>25</v>
      </c>
      <c r="C551" s="1">
        <v>45392</v>
      </c>
      <c r="D551">
        <f t="shared" si="36"/>
        <v>10</v>
      </c>
      <c r="E551">
        <f t="shared" si="37"/>
        <v>4</v>
      </c>
      <c r="F551">
        <f t="shared" si="38"/>
        <v>2024</v>
      </c>
      <c r="G551" t="s">
        <v>29</v>
      </c>
      <c r="H551" s="98">
        <v>9537</v>
      </c>
      <c r="I551" s="29">
        <v>40319.269999999997</v>
      </c>
      <c r="J551" s="12" t="s">
        <v>31</v>
      </c>
      <c r="K551" s="29">
        <f t="shared" si="35"/>
        <v>40319.269999999997</v>
      </c>
      <c r="L551">
        <v>1</v>
      </c>
      <c r="M551" s="29">
        <v>0</v>
      </c>
      <c r="N551" t="s">
        <v>32</v>
      </c>
      <c r="O551" t="s">
        <v>33</v>
      </c>
      <c r="P551" t="s">
        <v>34</v>
      </c>
      <c r="Q551" t="s">
        <v>34</v>
      </c>
      <c r="R551" t="s">
        <v>34</v>
      </c>
      <c r="S551" t="s">
        <v>34</v>
      </c>
      <c r="T551" s="117">
        <v>0</v>
      </c>
    </row>
    <row r="552" spans="1:21" ht="14.5" customHeight="1" x14ac:dyDescent="0.35">
      <c r="A552" t="s">
        <v>19</v>
      </c>
      <c r="B552" t="s">
        <v>24</v>
      </c>
      <c r="C552" s="1">
        <v>45392</v>
      </c>
      <c r="D552">
        <f t="shared" si="36"/>
        <v>10</v>
      </c>
      <c r="E552">
        <f t="shared" si="37"/>
        <v>4</v>
      </c>
      <c r="F552">
        <f t="shared" si="38"/>
        <v>2024</v>
      </c>
      <c r="G552" t="s">
        <v>39</v>
      </c>
      <c r="H552" s="98">
        <v>9866</v>
      </c>
      <c r="I552" s="29">
        <v>118.8</v>
      </c>
      <c r="J552" s="12" t="s">
        <v>31</v>
      </c>
      <c r="K552" s="29">
        <f t="shared" si="35"/>
        <v>118.8</v>
      </c>
      <c r="L552">
        <v>1</v>
      </c>
      <c r="M552" s="29">
        <v>0</v>
      </c>
      <c r="N552" t="s">
        <v>32</v>
      </c>
      <c r="O552" t="s">
        <v>33</v>
      </c>
      <c r="P552" t="s">
        <v>34</v>
      </c>
      <c r="Q552" t="s">
        <v>34</v>
      </c>
      <c r="R552" t="s">
        <v>34</v>
      </c>
      <c r="S552" t="s">
        <v>34</v>
      </c>
      <c r="T552" s="117">
        <v>0</v>
      </c>
    </row>
    <row r="553" spans="1:21" ht="14.5" customHeight="1" x14ac:dyDescent="0.35">
      <c r="A553" t="s">
        <v>19</v>
      </c>
      <c r="B553" t="s">
        <v>25</v>
      </c>
      <c r="C553" s="1">
        <v>45392</v>
      </c>
      <c r="D553">
        <f t="shared" si="36"/>
        <v>10</v>
      </c>
      <c r="E553">
        <f t="shared" si="37"/>
        <v>4</v>
      </c>
      <c r="F553">
        <f t="shared" si="38"/>
        <v>2024</v>
      </c>
      <c r="G553" t="s">
        <v>39</v>
      </c>
      <c r="H553" s="98">
        <v>9901</v>
      </c>
      <c r="I553" s="29">
        <v>11155.68</v>
      </c>
      <c r="J553" s="12" t="s">
        <v>31</v>
      </c>
      <c r="K553" s="29">
        <f t="shared" si="35"/>
        <v>11155.68</v>
      </c>
      <c r="L553">
        <v>1</v>
      </c>
      <c r="M553" s="29">
        <v>0</v>
      </c>
      <c r="N553" t="s">
        <v>32</v>
      </c>
      <c r="O553" t="s">
        <v>33</v>
      </c>
      <c r="P553" t="s">
        <v>34</v>
      </c>
      <c r="Q553" t="s">
        <v>34</v>
      </c>
      <c r="R553" t="s">
        <v>34</v>
      </c>
      <c r="S553" t="s">
        <v>34</v>
      </c>
      <c r="T553" s="117">
        <v>0</v>
      </c>
    </row>
    <row r="554" spans="1:21" ht="14.5" customHeight="1" x14ac:dyDescent="0.35">
      <c r="A554" t="s">
        <v>19</v>
      </c>
      <c r="B554" t="s">
        <v>25</v>
      </c>
      <c r="C554" s="1">
        <v>45392</v>
      </c>
      <c r="D554">
        <f t="shared" si="36"/>
        <v>10</v>
      </c>
      <c r="E554">
        <f t="shared" si="37"/>
        <v>4</v>
      </c>
      <c r="F554">
        <f t="shared" si="38"/>
        <v>2024</v>
      </c>
      <c r="G554" t="s">
        <v>39</v>
      </c>
      <c r="H554" s="98">
        <v>10248</v>
      </c>
      <c r="I554" s="29">
        <v>25.5</v>
      </c>
      <c r="J554" s="12" t="s">
        <v>31</v>
      </c>
      <c r="K554" s="29">
        <f t="shared" si="35"/>
        <v>25.5</v>
      </c>
      <c r="L554">
        <v>1</v>
      </c>
      <c r="M554" s="29">
        <v>0</v>
      </c>
      <c r="N554" t="s">
        <v>32</v>
      </c>
      <c r="O554" t="s">
        <v>33</v>
      </c>
      <c r="P554" t="s">
        <v>34</v>
      </c>
      <c r="Q554" t="s">
        <v>34</v>
      </c>
      <c r="R554" t="s">
        <v>34</v>
      </c>
      <c r="S554" t="s">
        <v>34</v>
      </c>
      <c r="T554" s="117">
        <v>0</v>
      </c>
    </row>
    <row r="555" spans="1:21" ht="14.5" customHeight="1" x14ac:dyDescent="0.35">
      <c r="A555" t="s">
        <v>19</v>
      </c>
      <c r="B555" t="s">
        <v>25</v>
      </c>
      <c r="C555" s="1">
        <v>45392</v>
      </c>
      <c r="D555">
        <f t="shared" si="36"/>
        <v>10</v>
      </c>
      <c r="E555">
        <f t="shared" si="37"/>
        <v>4</v>
      </c>
      <c r="F555">
        <f t="shared" si="38"/>
        <v>2024</v>
      </c>
      <c r="G555" t="s">
        <v>39</v>
      </c>
      <c r="H555" s="98">
        <v>10250</v>
      </c>
      <c r="I555" s="29">
        <v>20756.25</v>
      </c>
      <c r="J555" s="12" t="s">
        <v>31</v>
      </c>
      <c r="K555" s="29">
        <f t="shared" si="35"/>
        <v>20756.25</v>
      </c>
      <c r="L555">
        <v>1</v>
      </c>
      <c r="M555" s="29">
        <v>0</v>
      </c>
      <c r="N555" t="s">
        <v>32</v>
      </c>
      <c r="O555" t="s">
        <v>33</v>
      </c>
      <c r="P555" t="s">
        <v>34</v>
      </c>
      <c r="Q555" t="s">
        <v>34</v>
      </c>
      <c r="R555" t="s">
        <v>34</v>
      </c>
      <c r="S555" t="s">
        <v>34</v>
      </c>
      <c r="T555" s="117">
        <v>0</v>
      </c>
    </row>
    <row r="556" spans="1:21" ht="14.5" customHeight="1" x14ac:dyDescent="0.35">
      <c r="A556" t="s">
        <v>19</v>
      </c>
      <c r="B556" t="s">
        <v>25</v>
      </c>
      <c r="C556" s="1">
        <v>45392</v>
      </c>
      <c r="D556">
        <f t="shared" si="36"/>
        <v>10</v>
      </c>
      <c r="E556">
        <f t="shared" si="37"/>
        <v>4</v>
      </c>
      <c r="F556">
        <f t="shared" si="38"/>
        <v>2024</v>
      </c>
      <c r="G556" t="s">
        <v>1146</v>
      </c>
      <c r="H556" s="98">
        <v>10180</v>
      </c>
      <c r="I556" s="29">
        <v>22627.5</v>
      </c>
      <c r="J556" s="12" t="s">
        <v>51</v>
      </c>
      <c r="K556" s="29">
        <f t="shared" si="35"/>
        <v>24381.131249999999</v>
      </c>
      <c r="L556">
        <v>1.0774999999999999</v>
      </c>
      <c r="M556" s="29">
        <v>0</v>
      </c>
      <c r="N556" t="s">
        <v>32</v>
      </c>
      <c r="O556" t="s">
        <v>33</v>
      </c>
      <c r="P556" t="s">
        <v>34</v>
      </c>
      <c r="Q556" t="s">
        <v>34</v>
      </c>
      <c r="R556" t="s">
        <v>34</v>
      </c>
      <c r="S556" t="s">
        <v>34</v>
      </c>
      <c r="T556" s="117">
        <v>0</v>
      </c>
    </row>
    <row r="557" spans="1:21" ht="14.5" customHeight="1" x14ac:dyDescent="0.35">
      <c r="A557" t="s">
        <v>19</v>
      </c>
      <c r="B557" t="s">
        <v>25</v>
      </c>
      <c r="C557" s="1">
        <v>45392</v>
      </c>
      <c r="D557">
        <f t="shared" si="36"/>
        <v>10</v>
      </c>
      <c r="E557">
        <f t="shared" si="37"/>
        <v>4</v>
      </c>
      <c r="F557">
        <f t="shared" si="38"/>
        <v>2024</v>
      </c>
      <c r="G557" t="s">
        <v>38</v>
      </c>
      <c r="H557" s="98">
        <v>10132</v>
      </c>
      <c r="I557" s="29">
        <v>82.96</v>
      </c>
      <c r="J557" s="12" t="s">
        <v>31</v>
      </c>
      <c r="K557" s="29">
        <f t="shared" si="35"/>
        <v>82.96</v>
      </c>
      <c r="L557">
        <v>1</v>
      </c>
      <c r="M557" s="29">
        <v>0</v>
      </c>
      <c r="N557" t="s">
        <v>32</v>
      </c>
      <c r="O557" t="s">
        <v>33</v>
      </c>
      <c r="P557" t="s">
        <v>34</v>
      </c>
      <c r="Q557" t="s">
        <v>34</v>
      </c>
      <c r="R557" t="s">
        <v>34</v>
      </c>
      <c r="S557" t="s">
        <v>34</v>
      </c>
      <c r="T557" s="117">
        <v>0</v>
      </c>
    </row>
    <row r="558" spans="1:21" ht="14.5" customHeight="1" x14ac:dyDescent="0.35">
      <c r="A558" t="s">
        <v>19</v>
      </c>
      <c r="B558" t="s">
        <v>24</v>
      </c>
      <c r="C558" s="1">
        <v>45392</v>
      </c>
      <c r="D558">
        <f t="shared" si="36"/>
        <v>10</v>
      </c>
      <c r="E558">
        <f t="shared" si="37"/>
        <v>4</v>
      </c>
      <c r="F558">
        <f t="shared" si="38"/>
        <v>2024</v>
      </c>
      <c r="G558" t="s">
        <v>35</v>
      </c>
      <c r="H558" s="98">
        <v>9392</v>
      </c>
      <c r="I558" s="90">
        <v>16351.5</v>
      </c>
      <c r="J558" s="12" t="s">
        <v>31</v>
      </c>
      <c r="K558" s="29">
        <f t="shared" si="35"/>
        <v>16351.5</v>
      </c>
      <c r="L558">
        <v>1</v>
      </c>
      <c r="M558" s="29">
        <v>0</v>
      </c>
      <c r="N558" t="s">
        <v>32</v>
      </c>
      <c r="O558" t="s">
        <v>33</v>
      </c>
      <c r="P558" t="s">
        <v>34</v>
      </c>
      <c r="Q558" t="s">
        <v>34</v>
      </c>
      <c r="R558" t="s">
        <v>34</v>
      </c>
      <c r="S558" t="s">
        <v>34</v>
      </c>
      <c r="T558" s="117">
        <v>0</v>
      </c>
    </row>
    <row r="559" spans="1:21" ht="14.5" customHeight="1" x14ac:dyDescent="0.35">
      <c r="A559" t="s">
        <v>19</v>
      </c>
      <c r="B559" t="s">
        <v>21</v>
      </c>
      <c r="C559" s="1">
        <v>45392</v>
      </c>
      <c r="D559">
        <f t="shared" si="36"/>
        <v>10</v>
      </c>
      <c r="E559">
        <f t="shared" si="37"/>
        <v>4</v>
      </c>
      <c r="F559">
        <f t="shared" si="38"/>
        <v>2024</v>
      </c>
      <c r="G559" t="s">
        <v>35</v>
      </c>
      <c r="H559" s="98">
        <v>9681</v>
      </c>
      <c r="I559" s="29">
        <v>143.4</v>
      </c>
      <c r="J559" s="12" t="s">
        <v>31</v>
      </c>
      <c r="K559" s="29">
        <f t="shared" si="35"/>
        <v>143.4</v>
      </c>
      <c r="L559">
        <v>1</v>
      </c>
      <c r="M559" s="29">
        <v>0</v>
      </c>
      <c r="N559" t="s">
        <v>32</v>
      </c>
      <c r="O559" t="s">
        <v>33</v>
      </c>
      <c r="P559" t="s">
        <v>34</v>
      </c>
      <c r="Q559" t="s">
        <v>34</v>
      </c>
      <c r="R559" t="s">
        <v>34</v>
      </c>
      <c r="S559" t="s">
        <v>34</v>
      </c>
      <c r="T559" s="117">
        <v>0</v>
      </c>
    </row>
    <row r="560" spans="1:21" ht="14.5" customHeight="1" x14ac:dyDescent="0.35">
      <c r="A560" t="s">
        <v>19</v>
      </c>
      <c r="B560" t="s">
        <v>21</v>
      </c>
      <c r="C560" s="1">
        <v>45392</v>
      </c>
      <c r="D560">
        <f t="shared" si="36"/>
        <v>10</v>
      </c>
      <c r="E560">
        <f t="shared" si="37"/>
        <v>4</v>
      </c>
      <c r="F560">
        <f t="shared" si="38"/>
        <v>2024</v>
      </c>
      <c r="G560" t="s">
        <v>92</v>
      </c>
      <c r="H560" s="98">
        <v>9900</v>
      </c>
      <c r="I560" s="29">
        <v>6360</v>
      </c>
      <c r="J560" s="12" t="s">
        <v>31</v>
      </c>
      <c r="K560" s="29">
        <f t="shared" si="35"/>
        <v>6360</v>
      </c>
      <c r="L560">
        <v>1</v>
      </c>
      <c r="M560" s="29">
        <v>0</v>
      </c>
      <c r="N560" t="s">
        <v>32</v>
      </c>
      <c r="O560" t="s">
        <v>33</v>
      </c>
      <c r="P560" t="s">
        <v>34</v>
      </c>
      <c r="Q560" t="s">
        <v>34</v>
      </c>
      <c r="R560" t="s">
        <v>34</v>
      </c>
      <c r="S560" t="s">
        <v>34</v>
      </c>
      <c r="T560" s="117">
        <v>0</v>
      </c>
    </row>
    <row r="561" spans="1:21" ht="14.5" customHeight="1" x14ac:dyDescent="0.35">
      <c r="A561" t="s">
        <v>19</v>
      </c>
      <c r="B561" t="s">
        <v>21</v>
      </c>
      <c r="C561" s="1">
        <v>45392</v>
      </c>
      <c r="D561">
        <f t="shared" si="36"/>
        <v>10</v>
      </c>
      <c r="E561">
        <f t="shared" si="37"/>
        <v>4</v>
      </c>
      <c r="F561">
        <f t="shared" si="38"/>
        <v>2024</v>
      </c>
      <c r="G561" t="s">
        <v>92</v>
      </c>
      <c r="H561" s="98">
        <v>9746</v>
      </c>
      <c r="I561" s="29">
        <v>11122.76</v>
      </c>
      <c r="J561" s="12" t="s">
        <v>31</v>
      </c>
      <c r="K561" s="29">
        <f t="shared" si="35"/>
        <v>11122.76</v>
      </c>
      <c r="L561">
        <v>1</v>
      </c>
      <c r="M561" s="29">
        <v>0</v>
      </c>
      <c r="N561" t="s">
        <v>32</v>
      </c>
      <c r="O561" t="s">
        <v>33</v>
      </c>
      <c r="P561" t="s">
        <v>34</v>
      </c>
      <c r="Q561" t="s">
        <v>34</v>
      </c>
      <c r="R561" t="s">
        <v>34</v>
      </c>
      <c r="S561" t="s">
        <v>34</v>
      </c>
      <c r="T561" s="117">
        <v>0</v>
      </c>
    </row>
    <row r="562" spans="1:21" ht="14.5" customHeight="1" x14ac:dyDescent="0.35">
      <c r="A562" t="s">
        <v>19</v>
      </c>
      <c r="B562" t="s">
        <v>19</v>
      </c>
      <c r="C562" s="1">
        <v>45392</v>
      </c>
      <c r="D562">
        <f t="shared" si="36"/>
        <v>10</v>
      </c>
      <c r="E562">
        <f t="shared" si="37"/>
        <v>4</v>
      </c>
      <c r="F562">
        <f t="shared" si="38"/>
        <v>2024</v>
      </c>
      <c r="G562" t="s">
        <v>59</v>
      </c>
      <c r="H562" s="98">
        <v>9107</v>
      </c>
      <c r="I562" s="29">
        <v>63066.62</v>
      </c>
      <c r="J562" s="12" t="s">
        <v>31</v>
      </c>
      <c r="K562" s="29">
        <f t="shared" si="35"/>
        <v>63066.62</v>
      </c>
      <c r="L562">
        <v>1</v>
      </c>
      <c r="M562" s="29">
        <v>0</v>
      </c>
      <c r="N562" t="s">
        <v>32</v>
      </c>
      <c r="O562" t="s">
        <v>33</v>
      </c>
      <c r="P562" t="s">
        <v>34</v>
      </c>
      <c r="Q562" t="s">
        <v>34</v>
      </c>
      <c r="R562" t="s">
        <v>34</v>
      </c>
      <c r="S562" t="s">
        <v>34</v>
      </c>
      <c r="T562" s="117">
        <v>0</v>
      </c>
    </row>
    <row r="563" spans="1:21" ht="14.5" customHeight="1" x14ac:dyDescent="0.35">
      <c r="A563" t="s">
        <v>19</v>
      </c>
      <c r="B563" t="s">
        <v>19</v>
      </c>
      <c r="C563" s="1">
        <v>45392</v>
      </c>
      <c r="D563">
        <f t="shared" si="36"/>
        <v>10</v>
      </c>
      <c r="E563">
        <f t="shared" si="37"/>
        <v>4</v>
      </c>
      <c r="F563">
        <f t="shared" si="38"/>
        <v>2024</v>
      </c>
      <c r="G563" t="s">
        <v>56</v>
      </c>
      <c r="H563" s="98">
        <v>9708</v>
      </c>
      <c r="I563" s="29">
        <v>128751.03</v>
      </c>
      <c r="J563" s="12" t="s">
        <v>31</v>
      </c>
      <c r="K563" s="29">
        <f t="shared" si="35"/>
        <v>128751.03</v>
      </c>
      <c r="L563">
        <v>1</v>
      </c>
      <c r="M563" s="29">
        <v>0</v>
      </c>
      <c r="N563" t="s">
        <v>32</v>
      </c>
      <c r="O563" t="s">
        <v>33</v>
      </c>
      <c r="P563" t="s">
        <v>34</v>
      </c>
      <c r="Q563" t="s">
        <v>34</v>
      </c>
      <c r="R563" t="s">
        <v>34</v>
      </c>
      <c r="S563" t="s">
        <v>34</v>
      </c>
      <c r="T563" s="117">
        <v>0</v>
      </c>
    </row>
    <row r="564" spans="1:21" ht="14.5" customHeight="1" x14ac:dyDescent="0.35">
      <c r="A564" t="s">
        <v>19</v>
      </c>
      <c r="B564" t="s">
        <v>19</v>
      </c>
      <c r="C564" s="1">
        <v>45392</v>
      </c>
      <c r="D564">
        <f t="shared" si="36"/>
        <v>10</v>
      </c>
      <c r="E564">
        <f t="shared" si="37"/>
        <v>4</v>
      </c>
      <c r="F564">
        <f t="shared" si="38"/>
        <v>2024</v>
      </c>
      <c r="G564" t="s">
        <v>58</v>
      </c>
      <c r="H564" s="171">
        <v>9519</v>
      </c>
      <c r="I564" s="90">
        <v>36288.53</v>
      </c>
      <c r="J564" s="12" t="s">
        <v>31</v>
      </c>
      <c r="K564" s="29">
        <f t="shared" si="35"/>
        <v>36288.53</v>
      </c>
      <c r="L564">
        <v>1</v>
      </c>
      <c r="M564" s="29">
        <v>0</v>
      </c>
      <c r="N564" t="s">
        <v>32</v>
      </c>
      <c r="O564" t="s">
        <v>33</v>
      </c>
      <c r="P564" t="s">
        <v>34</v>
      </c>
      <c r="Q564" t="s">
        <v>34</v>
      </c>
      <c r="R564" t="s">
        <v>34</v>
      </c>
      <c r="S564" t="s">
        <v>34</v>
      </c>
      <c r="T564" s="117">
        <v>0</v>
      </c>
    </row>
    <row r="565" spans="1:21" ht="14.5" customHeight="1" x14ac:dyDescent="0.35">
      <c r="A565" t="s">
        <v>19</v>
      </c>
      <c r="B565" t="s">
        <v>19</v>
      </c>
      <c r="C565" s="1">
        <v>45392</v>
      </c>
      <c r="D565">
        <f t="shared" si="36"/>
        <v>10</v>
      </c>
      <c r="E565">
        <f t="shared" si="37"/>
        <v>4</v>
      </c>
      <c r="F565">
        <f t="shared" si="38"/>
        <v>2024</v>
      </c>
      <c r="G565" t="s">
        <v>88</v>
      </c>
      <c r="H565" s="98">
        <v>9502</v>
      </c>
      <c r="I565" s="29">
        <v>49090.02</v>
      </c>
      <c r="J565" s="12" t="s">
        <v>31</v>
      </c>
      <c r="K565" s="29">
        <f t="shared" si="35"/>
        <v>49090.02</v>
      </c>
      <c r="L565">
        <v>1</v>
      </c>
      <c r="M565" s="29">
        <v>0</v>
      </c>
      <c r="N565" t="s">
        <v>32</v>
      </c>
      <c r="O565" t="s">
        <v>33</v>
      </c>
      <c r="P565" t="s">
        <v>34</v>
      </c>
      <c r="Q565" t="s">
        <v>34</v>
      </c>
      <c r="R565" t="s">
        <v>34</v>
      </c>
      <c r="S565" t="s">
        <v>34</v>
      </c>
      <c r="T565" s="117">
        <v>0</v>
      </c>
    </row>
    <row r="566" spans="1:21" ht="14.5" customHeight="1" x14ac:dyDescent="0.35">
      <c r="A566" t="s">
        <v>19</v>
      </c>
      <c r="B566" t="s">
        <v>19</v>
      </c>
      <c r="C566" s="1">
        <v>45392</v>
      </c>
      <c r="D566">
        <f t="shared" si="36"/>
        <v>10</v>
      </c>
      <c r="E566">
        <f t="shared" si="37"/>
        <v>4</v>
      </c>
      <c r="F566">
        <f t="shared" si="38"/>
        <v>2024</v>
      </c>
      <c r="G566" t="s">
        <v>106</v>
      </c>
      <c r="H566" s="98">
        <v>9515</v>
      </c>
      <c r="I566" s="29">
        <v>107218.3</v>
      </c>
      <c r="J566" s="12" t="s">
        <v>31</v>
      </c>
      <c r="K566" s="29">
        <f t="shared" si="35"/>
        <v>107218.3</v>
      </c>
      <c r="L566">
        <v>1</v>
      </c>
      <c r="M566" s="29">
        <v>0</v>
      </c>
      <c r="N566" t="s">
        <v>32</v>
      </c>
      <c r="O566" t="s">
        <v>33</v>
      </c>
      <c r="P566" t="s">
        <v>34</v>
      </c>
      <c r="Q566" t="s">
        <v>34</v>
      </c>
      <c r="R566" t="s">
        <v>34</v>
      </c>
      <c r="S566" t="s">
        <v>34</v>
      </c>
      <c r="T566" s="117">
        <v>0</v>
      </c>
    </row>
    <row r="567" spans="1:21" ht="14.5" customHeight="1" x14ac:dyDescent="0.35">
      <c r="A567" t="s">
        <v>19</v>
      </c>
      <c r="B567" t="s">
        <v>19</v>
      </c>
      <c r="C567" s="1">
        <v>45392</v>
      </c>
      <c r="D567">
        <f t="shared" si="36"/>
        <v>10</v>
      </c>
      <c r="E567">
        <f t="shared" si="37"/>
        <v>4</v>
      </c>
      <c r="F567">
        <f t="shared" si="38"/>
        <v>2024</v>
      </c>
      <c r="G567" t="s">
        <v>119</v>
      </c>
      <c r="H567" s="98" t="s">
        <v>206</v>
      </c>
      <c r="I567" s="29">
        <v>59858.15</v>
      </c>
      <c r="J567" s="12" t="s">
        <v>31</v>
      </c>
      <c r="K567" s="29">
        <f t="shared" si="35"/>
        <v>59858.15</v>
      </c>
      <c r="L567">
        <v>1</v>
      </c>
      <c r="M567" s="29">
        <v>0</v>
      </c>
      <c r="N567" t="s">
        <v>32</v>
      </c>
      <c r="O567" t="s">
        <v>33</v>
      </c>
      <c r="P567" t="s">
        <v>34</v>
      </c>
      <c r="Q567" t="s">
        <v>34</v>
      </c>
      <c r="R567" t="s">
        <v>34</v>
      </c>
      <c r="S567" t="s">
        <v>34</v>
      </c>
      <c r="T567" s="117">
        <v>0</v>
      </c>
    </row>
    <row r="568" spans="1:21" ht="14.5" customHeight="1" x14ac:dyDescent="0.35">
      <c r="A568" t="s">
        <v>19</v>
      </c>
      <c r="B568" t="s">
        <v>19</v>
      </c>
      <c r="C568" s="1">
        <v>45392</v>
      </c>
      <c r="D568">
        <f t="shared" si="36"/>
        <v>10</v>
      </c>
      <c r="E568">
        <f t="shared" si="37"/>
        <v>4</v>
      </c>
      <c r="F568">
        <f t="shared" si="38"/>
        <v>2024</v>
      </c>
      <c r="G568" t="s">
        <v>110</v>
      </c>
      <c r="H568" s="98">
        <v>9493</v>
      </c>
      <c r="I568" s="29">
        <v>81334.52</v>
      </c>
      <c r="J568" s="12" t="s">
        <v>31</v>
      </c>
      <c r="K568" s="29">
        <f t="shared" si="35"/>
        <v>81334.52</v>
      </c>
      <c r="L568">
        <v>1</v>
      </c>
      <c r="M568" s="29">
        <v>0</v>
      </c>
      <c r="N568" t="s">
        <v>32</v>
      </c>
      <c r="O568" t="s">
        <v>33</v>
      </c>
      <c r="P568" t="s">
        <v>34</v>
      </c>
      <c r="Q568" t="s">
        <v>34</v>
      </c>
      <c r="R568" t="s">
        <v>34</v>
      </c>
      <c r="S568" t="s">
        <v>34</v>
      </c>
      <c r="T568" s="117">
        <v>0</v>
      </c>
    </row>
    <row r="569" spans="1:21" ht="14.5" customHeight="1" x14ac:dyDescent="0.35">
      <c r="A569" t="s">
        <v>19</v>
      </c>
      <c r="B569" t="s">
        <v>19</v>
      </c>
      <c r="C569" s="1">
        <v>45392</v>
      </c>
      <c r="D569">
        <f t="shared" si="36"/>
        <v>10</v>
      </c>
      <c r="E569">
        <f t="shared" si="37"/>
        <v>4</v>
      </c>
      <c r="F569">
        <f t="shared" si="38"/>
        <v>2024</v>
      </c>
      <c r="G569" t="s">
        <v>55</v>
      </c>
      <c r="H569" s="98">
        <v>9946</v>
      </c>
      <c r="I569" s="29">
        <v>32436.55</v>
      </c>
      <c r="J569" s="12" t="s">
        <v>31</v>
      </c>
      <c r="K569" s="29">
        <f t="shared" si="35"/>
        <v>32436.55</v>
      </c>
      <c r="L569">
        <v>1</v>
      </c>
      <c r="M569" s="29">
        <v>0</v>
      </c>
      <c r="N569" t="s">
        <v>32</v>
      </c>
      <c r="O569" t="s">
        <v>33</v>
      </c>
      <c r="P569" t="s">
        <v>34</v>
      </c>
      <c r="Q569" t="s">
        <v>34</v>
      </c>
      <c r="R569" t="s">
        <v>34</v>
      </c>
      <c r="S569" t="s">
        <v>34</v>
      </c>
      <c r="T569" s="117">
        <v>0</v>
      </c>
    </row>
    <row r="570" spans="1:21" ht="14.5" customHeight="1" x14ac:dyDescent="0.35">
      <c r="A570" t="s">
        <v>19</v>
      </c>
      <c r="B570" t="s">
        <v>19</v>
      </c>
      <c r="C570" s="1">
        <v>45392</v>
      </c>
      <c r="D570">
        <f t="shared" si="36"/>
        <v>10</v>
      </c>
      <c r="E570">
        <f t="shared" si="37"/>
        <v>4</v>
      </c>
      <c r="F570">
        <f t="shared" si="38"/>
        <v>2024</v>
      </c>
      <c r="G570" t="s">
        <v>103</v>
      </c>
      <c r="H570" s="98" t="s">
        <v>205</v>
      </c>
      <c r="I570" s="29">
        <v>36480</v>
      </c>
      <c r="J570" s="12" t="s">
        <v>31</v>
      </c>
      <c r="K570" s="29">
        <f t="shared" si="35"/>
        <v>36480</v>
      </c>
      <c r="L570">
        <v>1</v>
      </c>
      <c r="M570" s="29">
        <v>0</v>
      </c>
      <c r="N570" t="s">
        <v>42</v>
      </c>
      <c r="O570" t="s">
        <v>33</v>
      </c>
      <c r="P570" t="s">
        <v>34</v>
      </c>
      <c r="Q570" t="s">
        <v>34</v>
      </c>
      <c r="R570" t="s">
        <v>34</v>
      </c>
      <c r="S570" t="s">
        <v>34</v>
      </c>
      <c r="T570" s="117">
        <v>0</v>
      </c>
    </row>
    <row r="571" spans="1:21" ht="14.5" customHeight="1" x14ac:dyDescent="0.35">
      <c r="A571" t="s">
        <v>19</v>
      </c>
      <c r="B571" t="s">
        <v>25</v>
      </c>
      <c r="C571" s="1">
        <v>45393</v>
      </c>
      <c r="D571">
        <f t="shared" si="36"/>
        <v>11</v>
      </c>
      <c r="E571">
        <f t="shared" si="37"/>
        <v>4</v>
      </c>
      <c r="F571">
        <f t="shared" si="38"/>
        <v>2024</v>
      </c>
      <c r="G571" t="s">
        <v>78</v>
      </c>
      <c r="H571" s="98">
        <v>9857</v>
      </c>
      <c r="I571" s="29">
        <v>109257.7</v>
      </c>
      <c r="J571" s="12" t="s">
        <v>51</v>
      </c>
      <c r="K571" s="29">
        <f t="shared" si="35"/>
        <v>117506.65634999999</v>
      </c>
      <c r="L571">
        <v>1.0754999999999999</v>
      </c>
      <c r="M571" s="29">
        <v>0</v>
      </c>
      <c r="N571" t="s">
        <v>32</v>
      </c>
      <c r="O571" t="s">
        <v>33</v>
      </c>
      <c r="P571" t="s">
        <v>34</v>
      </c>
      <c r="Q571" t="s">
        <v>34</v>
      </c>
      <c r="R571" t="s">
        <v>34</v>
      </c>
      <c r="S571" t="s">
        <v>34</v>
      </c>
      <c r="T571" s="117">
        <v>0</v>
      </c>
      <c r="U571" s="209" t="s">
        <v>94</v>
      </c>
    </row>
    <row r="572" spans="1:21" ht="14.5" customHeight="1" x14ac:dyDescent="0.35">
      <c r="A572" t="s">
        <v>20</v>
      </c>
      <c r="B572" t="s">
        <v>25</v>
      </c>
      <c r="C572" s="1">
        <v>45393</v>
      </c>
      <c r="D572">
        <f t="shared" si="36"/>
        <v>11</v>
      </c>
      <c r="E572">
        <f t="shared" si="37"/>
        <v>4</v>
      </c>
      <c r="F572">
        <f t="shared" si="38"/>
        <v>2024</v>
      </c>
      <c r="G572" t="s">
        <v>97</v>
      </c>
      <c r="H572" s="98">
        <v>10026</v>
      </c>
      <c r="I572" s="29">
        <v>39802.32</v>
      </c>
      <c r="J572" s="12" t="s">
        <v>31</v>
      </c>
      <c r="K572" s="29">
        <f t="shared" si="35"/>
        <v>39802.32</v>
      </c>
      <c r="L572">
        <v>1</v>
      </c>
      <c r="M572" s="29">
        <v>1223.52</v>
      </c>
      <c r="N572" t="s">
        <v>32</v>
      </c>
      <c r="O572" t="s">
        <v>33</v>
      </c>
      <c r="P572" t="s">
        <v>34</v>
      </c>
      <c r="Q572" t="s">
        <v>34</v>
      </c>
      <c r="R572" t="s">
        <v>34</v>
      </c>
      <c r="S572" t="s">
        <v>34</v>
      </c>
      <c r="T572" s="117">
        <v>0</v>
      </c>
    </row>
    <row r="573" spans="1:21" ht="14.5" customHeight="1" x14ac:dyDescent="0.35">
      <c r="A573" t="s">
        <v>20</v>
      </c>
      <c r="B573" t="s">
        <v>21</v>
      </c>
      <c r="C573" s="1">
        <v>45393</v>
      </c>
      <c r="D573">
        <f t="shared" si="36"/>
        <v>11</v>
      </c>
      <c r="E573">
        <f t="shared" si="37"/>
        <v>4</v>
      </c>
      <c r="F573">
        <f t="shared" si="38"/>
        <v>2024</v>
      </c>
      <c r="G573" t="s">
        <v>97</v>
      </c>
      <c r="H573" s="98">
        <v>10026</v>
      </c>
      <c r="I573" s="29">
        <v>21566.2</v>
      </c>
      <c r="J573" s="12" t="s">
        <v>31</v>
      </c>
      <c r="K573" s="29">
        <f t="shared" si="35"/>
        <v>21566.2</v>
      </c>
      <c r="L573">
        <v>1</v>
      </c>
      <c r="M573" s="29">
        <v>679.73</v>
      </c>
      <c r="N573" t="s">
        <v>32</v>
      </c>
      <c r="O573" t="s">
        <v>33</v>
      </c>
      <c r="P573" t="s">
        <v>34</v>
      </c>
      <c r="Q573" t="s">
        <v>34</v>
      </c>
      <c r="R573" t="s">
        <v>34</v>
      </c>
      <c r="S573" t="s">
        <v>34</v>
      </c>
      <c r="T573" s="117">
        <v>0</v>
      </c>
    </row>
    <row r="574" spans="1:21" ht="14.5" customHeight="1" x14ac:dyDescent="0.35">
      <c r="A574" t="s">
        <v>20</v>
      </c>
      <c r="B574" t="s">
        <v>23</v>
      </c>
      <c r="C574" s="1">
        <v>45393</v>
      </c>
      <c r="D574">
        <f t="shared" si="36"/>
        <v>11</v>
      </c>
      <c r="E574">
        <f t="shared" si="37"/>
        <v>4</v>
      </c>
      <c r="F574">
        <f t="shared" si="38"/>
        <v>2024</v>
      </c>
      <c r="G574" t="s">
        <v>97</v>
      </c>
      <c r="H574" s="98">
        <v>10026</v>
      </c>
      <c r="I574" s="29">
        <v>50944.09</v>
      </c>
      <c r="J574" s="12" t="s">
        <v>31</v>
      </c>
      <c r="K574" s="29">
        <f t="shared" si="35"/>
        <v>50944.09</v>
      </c>
      <c r="L574">
        <v>1</v>
      </c>
      <c r="M574" s="29">
        <v>1586.04</v>
      </c>
      <c r="N574" t="s">
        <v>32</v>
      </c>
      <c r="O574" t="s">
        <v>33</v>
      </c>
      <c r="P574" t="s">
        <v>34</v>
      </c>
      <c r="Q574" t="s">
        <v>34</v>
      </c>
      <c r="R574" t="s">
        <v>34</v>
      </c>
      <c r="S574" t="s">
        <v>34</v>
      </c>
      <c r="T574" s="117">
        <v>0</v>
      </c>
    </row>
    <row r="575" spans="1:21" ht="14.5" customHeight="1" x14ac:dyDescent="0.35">
      <c r="A575" t="s">
        <v>20</v>
      </c>
      <c r="B575" t="s">
        <v>24</v>
      </c>
      <c r="C575" s="1">
        <v>45393</v>
      </c>
      <c r="D575">
        <f t="shared" si="36"/>
        <v>11</v>
      </c>
      <c r="E575">
        <f t="shared" si="37"/>
        <v>4</v>
      </c>
      <c r="F575">
        <f t="shared" si="38"/>
        <v>2024</v>
      </c>
      <c r="G575" t="s">
        <v>97</v>
      </c>
      <c r="H575" s="98">
        <v>10026</v>
      </c>
      <c r="I575" s="29">
        <v>34207.050000000003</v>
      </c>
      <c r="J575" s="12" t="s">
        <v>31</v>
      </c>
      <c r="K575" s="29">
        <f t="shared" si="35"/>
        <v>34207.050000000003</v>
      </c>
      <c r="L575">
        <v>1</v>
      </c>
      <c r="M575" s="29">
        <v>1042.25</v>
      </c>
      <c r="N575" t="s">
        <v>32</v>
      </c>
      <c r="O575" t="s">
        <v>33</v>
      </c>
      <c r="P575" t="s">
        <v>34</v>
      </c>
      <c r="Q575" t="s">
        <v>34</v>
      </c>
      <c r="R575" t="s">
        <v>34</v>
      </c>
      <c r="S575" t="s">
        <v>34</v>
      </c>
      <c r="T575" s="117">
        <v>0</v>
      </c>
    </row>
    <row r="576" spans="1:21" ht="14.5" customHeight="1" x14ac:dyDescent="0.35">
      <c r="A576" t="s">
        <v>19</v>
      </c>
      <c r="B576" t="s">
        <v>26</v>
      </c>
      <c r="C576" s="1">
        <v>45394</v>
      </c>
      <c r="D576">
        <f t="shared" si="36"/>
        <v>12</v>
      </c>
      <c r="E576">
        <f t="shared" si="37"/>
        <v>4</v>
      </c>
      <c r="F576">
        <f t="shared" si="38"/>
        <v>2024</v>
      </c>
      <c r="G576" t="s">
        <v>73</v>
      </c>
      <c r="H576" s="98">
        <v>10181</v>
      </c>
      <c r="I576" s="29">
        <v>66166.34</v>
      </c>
      <c r="J576" s="12" t="s">
        <v>51</v>
      </c>
      <c r="K576" s="29">
        <f t="shared" si="35"/>
        <v>70480.385367999988</v>
      </c>
      <c r="L576">
        <v>1.0651999999999999</v>
      </c>
      <c r="M576" s="29">
        <v>0</v>
      </c>
      <c r="N576" t="s">
        <v>32</v>
      </c>
      <c r="O576" t="s">
        <v>33</v>
      </c>
      <c r="P576" t="s">
        <v>34</v>
      </c>
      <c r="Q576" t="s">
        <v>34</v>
      </c>
      <c r="R576" t="s">
        <v>34</v>
      </c>
      <c r="S576" t="s">
        <v>34</v>
      </c>
      <c r="T576" s="117">
        <v>0</v>
      </c>
      <c r="U576" s="209" t="s">
        <v>94</v>
      </c>
    </row>
    <row r="577" spans="1:21" ht="14.5" customHeight="1" x14ac:dyDescent="0.35">
      <c r="A577" t="s">
        <v>19</v>
      </c>
      <c r="B577" t="s">
        <v>26</v>
      </c>
      <c r="C577" s="1">
        <v>45394</v>
      </c>
      <c r="D577">
        <f t="shared" si="36"/>
        <v>12</v>
      </c>
      <c r="E577">
        <f t="shared" si="37"/>
        <v>4</v>
      </c>
      <c r="F577">
        <f t="shared" si="38"/>
        <v>2024</v>
      </c>
      <c r="G577" t="s">
        <v>73</v>
      </c>
      <c r="H577" s="98">
        <v>10182</v>
      </c>
      <c r="I577" s="29">
        <v>54048.67</v>
      </c>
      <c r="J577" s="12" t="s">
        <v>51</v>
      </c>
      <c r="K577" s="29">
        <f t="shared" ref="K577:K640" si="39">IF(J577="USD",I577,I577*L577)</f>
        <v>57572.643283999991</v>
      </c>
      <c r="L577">
        <v>1.0651999999999999</v>
      </c>
      <c r="M577" s="29">
        <v>0</v>
      </c>
      <c r="N577" t="s">
        <v>32</v>
      </c>
      <c r="O577" t="s">
        <v>33</v>
      </c>
      <c r="P577" t="s">
        <v>34</v>
      </c>
      <c r="Q577" t="s">
        <v>34</v>
      </c>
      <c r="R577" t="s">
        <v>34</v>
      </c>
      <c r="S577" t="s">
        <v>34</v>
      </c>
      <c r="T577" s="117">
        <v>0</v>
      </c>
      <c r="U577" s="209" t="s">
        <v>94</v>
      </c>
    </row>
    <row r="578" spans="1:21" ht="14.5" customHeight="1" x14ac:dyDescent="0.35">
      <c r="A578" t="s">
        <v>20</v>
      </c>
      <c r="B578" t="s">
        <v>24</v>
      </c>
      <c r="C578" s="1">
        <v>45397</v>
      </c>
      <c r="D578">
        <f t="shared" ref="D578:D641" si="40">DAY(C578)</f>
        <v>15</v>
      </c>
      <c r="E578">
        <f t="shared" ref="E578:E641" si="41">MONTH(C578)</f>
        <v>4</v>
      </c>
      <c r="F578">
        <f t="shared" ref="F578:F641" si="42">YEAR(C578)</f>
        <v>2024</v>
      </c>
      <c r="G578" t="s">
        <v>85</v>
      </c>
      <c r="H578" s="98">
        <v>9586</v>
      </c>
      <c r="I578" s="29">
        <v>91755.8</v>
      </c>
      <c r="J578" s="12" t="s">
        <v>31</v>
      </c>
      <c r="K578" s="29">
        <f t="shared" si="39"/>
        <v>91755.8</v>
      </c>
      <c r="L578">
        <v>1</v>
      </c>
      <c r="M578" s="29">
        <v>0</v>
      </c>
      <c r="N578" t="s">
        <v>32</v>
      </c>
      <c r="O578" t="s">
        <v>186</v>
      </c>
      <c r="P578" s="1">
        <v>45393</v>
      </c>
      <c r="Q578" t="s">
        <v>34</v>
      </c>
      <c r="R578">
        <v>10010014410</v>
      </c>
      <c r="S578" t="s">
        <v>34</v>
      </c>
      <c r="T578" s="117">
        <v>0</v>
      </c>
    </row>
    <row r="579" spans="1:21" ht="14.5" customHeight="1" x14ac:dyDescent="0.35">
      <c r="A579" t="s">
        <v>19</v>
      </c>
      <c r="B579" t="s">
        <v>19</v>
      </c>
      <c r="C579" s="1">
        <v>45397</v>
      </c>
      <c r="D579">
        <f t="shared" si="40"/>
        <v>15</v>
      </c>
      <c r="E579">
        <f t="shared" si="41"/>
        <v>4</v>
      </c>
      <c r="F579">
        <f t="shared" si="42"/>
        <v>2024</v>
      </c>
      <c r="G579" t="s">
        <v>56</v>
      </c>
      <c r="H579" s="98">
        <v>9709</v>
      </c>
      <c r="I579" s="29">
        <v>198123.93</v>
      </c>
      <c r="J579" s="12" t="s">
        <v>31</v>
      </c>
      <c r="K579" s="29">
        <f t="shared" si="39"/>
        <v>198123.93</v>
      </c>
      <c r="L579">
        <v>1</v>
      </c>
      <c r="M579" s="29">
        <v>0</v>
      </c>
      <c r="N579" t="s">
        <v>32</v>
      </c>
      <c r="O579" t="s">
        <v>33</v>
      </c>
      <c r="P579" t="s">
        <v>34</v>
      </c>
      <c r="Q579" t="s">
        <v>34</v>
      </c>
      <c r="R579" t="s">
        <v>34</v>
      </c>
      <c r="S579" t="s">
        <v>34</v>
      </c>
      <c r="T579" s="117">
        <v>0</v>
      </c>
    </row>
    <row r="580" spans="1:21" ht="14.5" customHeight="1" x14ac:dyDescent="0.35">
      <c r="A580" t="s">
        <v>19</v>
      </c>
      <c r="B580" t="s">
        <v>27</v>
      </c>
      <c r="C580" s="1">
        <v>45397</v>
      </c>
      <c r="D580">
        <f t="shared" si="40"/>
        <v>15</v>
      </c>
      <c r="E580">
        <f t="shared" si="41"/>
        <v>4</v>
      </c>
      <c r="F580">
        <f t="shared" si="42"/>
        <v>2024</v>
      </c>
      <c r="G580" t="s">
        <v>100</v>
      </c>
      <c r="H580" s="98">
        <v>10008</v>
      </c>
      <c r="I580" s="29">
        <v>11193.96</v>
      </c>
      <c r="J580" s="12" t="s">
        <v>31</v>
      </c>
      <c r="K580" s="29">
        <f t="shared" si="39"/>
        <v>11193.96</v>
      </c>
      <c r="L580">
        <v>1</v>
      </c>
      <c r="M580" s="29">
        <v>0</v>
      </c>
      <c r="N580" t="s">
        <v>32</v>
      </c>
      <c r="O580" t="s">
        <v>33</v>
      </c>
      <c r="P580" t="s">
        <v>34</v>
      </c>
      <c r="Q580" t="s">
        <v>34</v>
      </c>
      <c r="R580" t="s">
        <v>34</v>
      </c>
      <c r="S580" t="s">
        <v>34</v>
      </c>
      <c r="T580" s="117">
        <v>0</v>
      </c>
      <c r="U580" s="209" t="s">
        <v>501</v>
      </c>
    </row>
    <row r="581" spans="1:21" ht="14.5" customHeight="1" x14ac:dyDescent="0.35">
      <c r="A581" t="s">
        <v>19</v>
      </c>
      <c r="B581" t="s">
        <v>22</v>
      </c>
      <c r="C581" s="1">
        <v>45399</v>
      </c>
      <c r="D581">
        <f t="shared" si="40"/>
        <v>17</v>
      </c>
      <c r="E581">
        <f t="shared" si="41"/>
        <v>4</v>
      </c>
      <c r="F581">
        <f t="shared" si="42"/>
        <v>2024</v>
      </c>
      <c r="G581" t="s">
        <v>98</v>
      </c>
      <c r="H581" s="171">
        <v>9748</v>
      </c>
      <c r="I581" s="90">
        <v>32178.46</v>
      </c>
      <c r="J581" s="12" t="s">
        <v>31</v>
      </c>
      <c r="K581" s="29">
        <f t="shared" si="39"/>
        <v>32178.46</v>
      </c>
      <c r="L581">
        <v>1</v>
      </c>
      <c r="M581" s="29">
        <v>0</v>
      </c>
      <c r="N581" t="s">
        <v>32</v>
      </c>
      <c r="O581" t="s">
        <v>33</v>
      </c>
      <c r="P581" t="s">
        <v>34</v>
      </c>
      <c r="Q581" t="s">
        <v>34</v>
      </c>
      <c r="R581" t="s">
        <v>34</v>
      </c>
      <c r="S581" t="s">
        <v>34</v>
      </c>
      <c r="T581" s="117">
        <v>0</v>
      </c>
    </row>
    <row r="582" spans="1:21" ht="14.5" customHeight="1" x14ac:dyDescent="0.35">
      <c r="A582" t="s">
        <v>19</v>
      </c>
      <c r="B582" t="s">
        <v>22</v>
      </c>
      <c r="C582" s="1">
        <v>45399</v>
      </c>
      <c r="D582">
        <f t="shared" si="40"/>
        <v>17</v>
      </c>
      <c r="E582">
        <f t="shared" si="41"/>
        <v>4</v>
      </c>
      <c r="F582">
        <f t="shared" si="42"/>
        <v>2024</v>
      </c>
      <c r="G582" t="s">
        <v>98</v>
      </c>
      <c r="H582" s="171">
        <v>10380</v>
      </c>
      <c r="I582" s="90">
        <v>29739</v>
      </c>
      <c r="J582" s="12" t="s">
        <v>31</v>
      </c>
      <c r="K582" s="29">
        <f t="shared" si="39"/>
        <v>29739</v>
      </c>
      <c r="L582">
        <v>1</v>
      </c>
      <c r="M582" s="29">
        <v>0</v>
      </c>
      <c r="N582" t="s">
        <v>42</v>
      </c>
      <c r="O582" t="s">
        <v>33</v>
      </c>
      <c r="P582" t="s">
        <v>34</v>
      </c>
      <c r="Q582" t="s">
        <v>34</v>
      </c>
      <c r="R582" t="s">
        <v>34</v>
      </c>
      <c r="S582" t="s">
        <v>34</v>
      </c>
      <c r="T582" s="117">
        <v>0</v>
      </c>
    </row>
    <row r="583" spans="1:21" ht="14.5" customHeight="1" x14ac:dyDescent="0.35">
      <c r="A583" t="s">
        <v>19</v>
      </c>
      <c r="B583" t="s">
        <v>23</v>
      </c>
      <c r="C583" s="1">
        <v>45399</v>
      </c>
      <c r="D583">
        <f t="shared" si="40"/>
        <v>17</v>
      </c>
      <c r="E583">
        <f t="shared" si="41"/>
        <v>4</v>
      </c>
      <c r="F583">
        <f t="shared" si="42"/>
        <v>2024</v>
      </c>
      <c r="G583" t="s">
        <v>76</v>
      </c>
      <c r="H583" s="98">
        <v>10316</v>
      </c>
      <c r="I583" s="29">
        <v>216.2</v>
      </c>
      <c r="J583" s="12" t="s">
        <v>31</v>
      </c>
      <c r="K583" s="29">
        <f t="shared" si="39"/>
        <v>216.2</v>
      </c>
      <c r="L583">
        <v>1</v>
      </c>
      <c r="M583" s="29">
        <v>0</v>
      </c>
      <c r="N583" t="s">
        <v>32</v>
      </c>
      <c r="O583" t="s">
        <v>33</v>
      </c>
      <c r="P583" t="s">
        <v>34</v>
      </c>
      <c r="Q583" t="s">
        <v>34</v>
      </c>
      <c r="R583" t="s">
        <v>34</v>
      </c>
      <c r="S583" t="s">
        <v>34</v>
      </c>
      <c r="T583" s="117">
        <v>0</v>
      </c>
    </row>
    <row r="584" spans="1:21" ht="14.5" customHeight="1" x14ac:dyDescent="0.35">
      <c r="A584" t="s">
        <v>19</v>
      </c>
      <c r="B584" t="s">
        <v>23</v>
      </c>
      <c r="C584" s="1">
        <v>45399</v>
      </c>
      <c r="D584">
        <f t="shared" si="40"/>
        <v>17</v>
      </c>
      <c r="E584">
        <f t="shared" si="41"/>
        <v>4</v>
      </c>
      <c r="F584">
        <f t="shared" si="42"/>
        <v>2024</v>
      </c>
      <c r="G584" t="s">
        <v>76</v>
      </c>
      <c r="H584" s="98">
        <v>9959</v>
      </c>
      <c r="I584" s="29">
        <v>24664.3</v>
      </c>
      <c r="J584" s="12" t="s">
        <v>31</v>
      </c>
      <c r="K584" s="29">
        <f t="shared" si="39"/>
        <v>24664.3</v>
      </c>
      <c r="L584">
        <v>1</v>
      </c>
      <c r="M584" s="29">
        <v>0</v>
      </c>
      <c r="N584" t="s">
        <v>32</v>
      </c>
      <c r="O584" t="s">
        <v>33</v>
      </c>
      <c r="P584" t="s">
        <v>34</v>
      </c>
      <c r="Q584" t="s">
        <v>34</v>
      </c>
      <c r="R584" t="s">
        <v>34</v>
      </c>
      <c r="S584" t="s">
        <v>34</v>
      </c>
      <c r="T584" s="117">
        <v>0</v>
      </c>
    </row>
    <row r="585" spans="1:21" ht="14.5" customHeight="1" x14ac:dyDescent="0.35">
      <c r="A585" t="s">
        <v>19</v>
      </c>
      <c r="B585" t="s">
        <v>23</v>
      </c>
      <c r="C585" s="1">
        <v>45399</v>
      </c>
      <c r="D585">
        <f t="shared" si="40"/>
        <v>17</v>
      </c>
      <c r="E585">
        <f t="shared" si="41"/>
        <v>4</v>
      </c>
      <c r="F585">
        <f t="shared" si="42"/>
        <v>2024</v>
      </c>
      <c r="G585" t="s">
        <v>74</v>
      </c>
      <c r="H585" s="98">
        <v>9961</v>
      </c>
      <c r="I585" s="29">
        <v>89575.15</v>
      </c>
      <c r="J585" s="12" t="s">
        <v>31</v>
      </c>
      <c r="K585" s="29">
        <f t="shared" si="39"/>
        <v>89575.15</v>
      </c>
      <c r="L585">
        <v>1</v>
      </c>
      <c r="M585" s="29">
        <v>0</v>
      </c>
      <c r="N585" t="s">
        <v>32</v>
      </c>
      <c r="O585" t="s">
        <v>33</v>
      </c>
      <c r="P585" t="s">
        <v>34</v>
      </c>
      <c r="Q585" t="s">
        <v>34</v>
      </c>
      <c r="R585" t="s">
        <v>34</v>
      </c>
      <c r="S585" t="s">
        <v>34</v>
      </c>
      <c r="T585" s="117">
        <v>0</v>
      </c>
    </row>
    <row r="586" spans="1:21" ht="14.5" customHeight="1" x14ac:dyDescent="0.35">
      <c r="A586" t="s">
        <v>19</v>
      </c>
      <c r="B586" t="s">
        <v>23</v>
      </c>
      <c r="C586" s="1">
        <v>45399</v>
      </c>
      <c r="D586">
        <f t="shared" si="40"/>
        <v>17</v>
      </c>
      <c r="E586">
        <f t="shared" si="41"/>
        <v>4</v>
      </c>
      <c r="F586">
        <f t="shared" si="42"/>
        <v>2024</v>
      </c>
      <c r="G586" t="s">
        <v>74</v>
      </c>
      <c r="H586" s="98">
        <v>9962</v>
      </c>
      <c r="I586" s="29">
        <v>57364.95</v>
      </c>
      <c r="J586" s="12" t="s">
        <v>31</v>
      </c>
      <c r="K586" s="29">
        <f t="shared" si="39"/>
        <v>57364.95</v>
      </c>
      <c r="L586">
        <v>1</v>
      </c>
      <c r="M586" s="29">
        <v>0</v>
      </c>
      <c r="N586" t="s">
        <v>32</v>
      </c>
      <c r="O586" t="s">
        <v>33</v>
      </c>
      <c r="P586" t="s">
        <v>34</v>
      </c>
      <c r="Q586" t="s">
        <v>34</v>
      </c>
      <c r="R586" t="s">
        <v>34</v>
      </c>
      <c r="S586" t="s">
        <v>34</v>
      </c>
      <c r="T586" s="117">
        <v>0</v>
      </c>
    </row>
    <row r="587" spans="1:21" ht="14.5" customHeight="1" x14ac:dyDescent="0.35">
      <c r="A587" t="s">
        <v>19</v>
      </c>
      <c r="B587" t="s">
        <v>21</v>
      </c>
      <c r="C587" s="1">
        <v>45399</v>
      </c>
      <c r="D587">
        <f t="shared" si="40"/>
        <v>17</v>
      </c>
      <c r="E587">
        <f t="shared" si="41"/>
        <v>4</v>
      </c>
      <c r="F587">
        <f t="shared" si="42"/>
        <v>2024</v>
      </c>
      <c r="G587" t="s">
        <v>36</v>
      </c>
      <c r="H587" s="98">
        <v>9571</v>
      </c>
      <c r="I587" s="29">
        <v>14291</v>
      </c>
      <c r="J587" s="12" t="s">
        <v>31</v>
      </c>
      <c r="K587" s="29">
        <f t="shared" si="39"/>
        <v>14291</v>
      </c>
      <c r="L587">
        <v>1</v>
      </c>
      <c r="M587" s="29">
        <v>0</v>
      </c>
      <c r="N587" t="s">
        <v>32</v>
      </c>
      <c r="O587" t="s">
        <v>33</v>
      </c>
      <c r="P587" t="s">
        <v>34</v>
      </c>
      <c r="Q587" t="s">
        <v>34</v>
      </c>
      <c r="R587" t="s">
        <v>34</v>
      </c>
      <c r="S587" t="s">
        <v>34</v>
      </c>
      <c r="T587" s="117">
        <v>0</v>
      </c>
    </row>
    <row r="588" spans="1:21" ht="14.5" customHeight="1" x14ac:dyDescent="0.35">
      <c r="A588" t="s">
        <v>19</v>
      </c>
      <c r="B588" t="s">
        <v>24</v>
      </c>
      <c r="C588" s="1">
        <v>45399</v>
      </c>
      <c r="D588">
        <f t="shared" si="40"/>
        <v>17</v>
      </c>
      <c r="E588">
        <f t="shared" si="41"/>
        <v>4</v>
      </c>
      <c r="F588">
        <f t="shared" si="42"/>
        <v>2024</v>
      </c>
      <c r="G588" t="s">
        <v>29</v>
      </c>
      <c r="H588" s="98">
        <v>9664</v>
      </c>
      <c r="I588" s="29">
        <v>21855.82</v>
      </c>
      <c r="J588" s="12" t="s">
        <v>31</v>
      </c>
      <c r="K588" s="29">
        <f t="shared" si="39"/>
        <v>21855.82</v>
      </c>
      <c r="L588">
        <v>1</v>
      </c>
      <c r="M588" s="29">
        <v>0</v>
      </c>
      <c r="N588" t="s">
        <v>32</v>
      </c>
      <c r="O588" t="s">
        <v>33</v>
      </c>
      <c r="P588" t="s">
        <v>34</v>
      </c>
      <c r="Q588" t="s">
        <v>34</v>
      </c>
      <c r="R588" t="s">
        <v>34</v>
      </c>
      <c r="S588" t="s">
        <v>34</v>
      </c>
      <c r="T588" s="117">
        <v>0</v>
      </c>
    </row>
    <row r="589" spans="1:21" ht="14.5" customHeight="1" x14ac:dyDescent="0.35">
      <c r="A589" t="s">
        <v>19</v>
      </c>
      <c r="B589" t="s">
        <v>24</v>
      </c>
      <c r="C589" s="1">
        <v>45399</v>
      </c>
      <c r="D589">
        <f t="shared" si="40"/>
        <v>17</v>
      </c>
      <c r="E589">
        <f t="shared" si="41"/>
        <v>4</v>
      </c>
      <c r="F589">
        <f t="shared" si="42"/>
        <v>2024</v>
      </c>
      <c r="G589" t="s">
        <v>39</v>
      </c>
      <c r="H589" s="98">
        <v>9867</v>
      </c>
      <c r="I589" s="29">
        <v>19269.900000000001</v>
      </c>
      <c r="J589" s="12" t="s">
        <v>31</v>
      </c>
      <c r="K589" s="29">
        <f t="shared" si="39"/>
        <v>19269.900000000001</v>
      </c>
      <c r="L589">
        <v>1</v>
      </c>
      <c r="M589" s="29">
        <v>0</v>
      </c>
      <c r="N589" t="s">
        <v>32</v>
      </c>
      <c r="O589" t="s">
        <v>33</v>
      </c>
      <c r="P589" t="s">
        <v>34</v>
      </c>
      <c r="Q589" t="s">
        <v>34</v>
      </c>
      <c r="R589" t="s">
        <v>34</v>
      </c>
      <c r="S589" t="s">
        <v>34</v>
      </c>
      <c r="T589" s="117">
        <v>0</v>
      </c>
    </row>
    <row r="590" spans="1:21" ht="14.5" customHeight="1" x14ac:dyDescent="0.35">
      <c r="A590" t="s">
        <v>19</v>
      </c>
      <c r="B590" t="s">
        <v>25</v>
      </c>
      <c r="C590" s="1">
        <v>45399</v>
      </c>
      <c r="D590">
        <f t="shared" si="40"/>
        <v>17</v>
      </c>
      <c r="E590">
        <f t="shared" si="41"/>
        <v>4</v>
      </c>
      <c r="F590">
        <f t="shared" si="42"/>
        <v>2024</v>
      </c>
      <c r="G590" t="s">
        <v>93</v>
      </c>
      <c r="H590" s="98">
        <v>9672</v>
      </c>
      <c r="I590" s="29">
        <v>5772.69</v>
      </c>
      <c r="J590" s="12" t="s">
        <v>31</v>
      </c>
      <c r="K590" s="29">
        <f t="shared" si="39"/>
        <v>5772.69</v>
      </c>
      <c r="L590">
        <v>1</v>
      </c>
      <c r="M590" s="29">
        <v>0</v>
      </c>
      <c r="N590" t="s">
        <v>32</v>
      </c>
      <c r="O590" t="s">
        <v>33</v>
      </c>
      <c r="P590" t="s">
        <v>34</v>
      </c>
      <c r="Q590" t="s">
        <v>34</v>
      </c>
      <c r="R590" t="s">
        <v>34</v>
      </c>
      <c r="S590" t="s">
        <v>34</v>
      </c>
      <c r="T590" s="117">
        <v>0</v>
      </c>
    </row>
    <row r="591" spans="1:21" ht="14.5" customHeight="1" x14ac:dyDescent="0.35">
      <c r="A591" t="s">
        <v>19</v>
      </c>
      <c r="B591" t="s">
        <v>25</v>
      </c>
      <c r="C591" s="1">
        <v>45399</v>
      </c>
      <c r="D591">
        <f t="shared" si="40"/>
        <v>17</v>
      </c>
      <c r="E591">
        <f t="shared" si="41"/>
        <v>4</v>
      </c>
      <c r="F591">
        <f t="shared" si="42"/>
        <v>2024</v>
      </c>
      <c r="G591" t="s">
        <v>93</v>
      </c>
      <c r="H591" s="98">
        <v>9890</v>
      </c>
      <c r="I591" s="29">
        <v>27310.85</v>
      </c>
      <c r="J591" s="12" t="s">
        <v>31</v>
      </c>
      <c r="K591" s="29">
        <f t="shared" si="39"/>
        <v>27310.85</v>
      </c>
      <c r="L591">
        <v>1</v>
      </c>
      <c r="M591" s="29">
        <v>0</v>
      </c>
      <c r="N591" t="s">
        <v>32</v>
      </c>
      <c r="O591" t="s">
        <v>33</v>
      </c>
      <c r="P591" t="s">
        <v>34</v>
      </c>
      <c r="Q591" t="s">
        <v>34</v>
      </c>
      <c r="R591" t="s">
        <v>34</v>
      </c>
      <c r="S591" t="s">
        <v>34</v>
      </c>
      <c r="T591" s="117">
        <v>0</v>
      </c>
    </row>
    <row r="592" spans="1:21" ht="14.5" customHeight="1" x14ac:dyDescent="0.35">
      <c r="A592" t="s">
        <v>19</v>
      </c>
      <c r="B592" t="s">
        <v>25</v>
      </c>
      <c r="C592" s="1">
        <v>45399</v>
      </c>
      <c r="D592">
        <f t="shared" si="40"/>
        <v>17</v>
      </c>
      <c r="E592">
        <f t="shared" si="41"/>
        <v>4</v>
      </c>
      <c r="F592">
        <f t="shared" si="42"/>
        <v>2024</v>
      </c>
      <c r="G592" t="s">
        <v>93</v>
      </c>
      <c r="H592" s="171">
        <v>10196</v>
      </c>
      <c r="I592" s="90">
        <v>112.2</v>
      </c>
      <c r="J592" s="12" t="s">
        <v>31</v>
      </c>
      <c r="K592" s="29">
        <f t="shared" si="39"/>
        <v>112.2</v>
      </c>
      <c r="L592">
        <v>1</v>
      </c>
      <c r="M592" s="29">
        <v>0</v>
      </c>
      <c r="N592" t="s">
        <v>32</v>
      </c>
      <c r="O592" t="s">
        <v>33</v>
      </c>
      <c r="P592" t="s">
        <v>34</v>
      </c>
      <c r="Q592" t="s">
        <v>34</v>
      </c>
      <c r="R592" t="s">
        <v>34</v>
      </c>
      <c r="S592" t="s">
        <v>34</v>
      </c>
      <c r="T592" s="117">
        <v>0</v>
      </c>
    </row>
    <row r="593" spans="1:20" ht="14.5" customHeight="1" x14ac:dyDescent="0.35">
      <c r="A593" t="s">
        <v>19</v>
      </c>
      <c r="B593" t="s">
        <v>25</v>
      </c>
      <c r="C593" s="1">
        <v>45399</v>
      </c>
      <c r="D593">
        <f t="shared" si="40"/>
        <v>17</v>
      </c>
      <c r="E593">
        <f t="shared" si="41"/>
        <v>4</v>
      </c>
      <c r="F593">
        <f t="shared" si="42"/>
        <v>2024</v>
      </c>
      <c r="G593" t="s">
        <v>80</v>
      </c>
      <c r="H593" s="98">
        <v>9325</v>
      </c>
      <c r="I593" s="90">
        <v>20015</v>
      </c>
      <c r="J593" s="12" t="s">
        <v>31</v>
      </c>
      <c r="K593" s="29">
        <f t="shared" si="39"/>
        <v>20015</v>
      </c>
      <c r="L593">
        <v>1</v>
      </c>
      <c r="M593" s="29">
        <v>0</v>
      </c>
      <c r="N593" t="s">
        <v>32</v>
      </c>
      <c r="O593" t="s">
        <v>33</v>
      </c>
      <c r="P593" t="s">
        <v>34</v>
      </c>
      <c r="Q593" t="s">
        <v>34</v>
      </c>
      <c r="R593" t="s">
        <v>34</v>
      </c>
      <c r="S593" t="s">
        <v>34</v>
      </c>
      <c r="T593" s="117">
        <v>0</v>
      </c>
    </row>
    <row r="594" spans="1:20" ht="14.5" customHeight="1" x14ac:dyDescent="0.35">
      <c r="A594" t="s">
        <v>20</v>
      </c>
      <c r="B594" t="s">
        <v>24</v>
      </c>
      <c r="C594" s="1">
        <v>45399</v>
      </c>
      <c r="D594">
        <f t="shared" si="40"/>
        <v>17</v>
      </c>
      <c r="E594">
        <f t="shared" si="41"/>
        <v>4</v>
      </c>
      <c r="F594">
        <f t="shared" si="42"/>
        <v>2024</v>
      </c>
      <c r="G594" t="s">
        <v>209</v>
      </c>
      <c r="H594" s="98">
        <v>8888</v>
      </c>
      <c r="I594" s="29">
        <v>0.2</v>
      </c>
      <c r="J594" s="12" t="s">
        <v>31</v>
      </c>
      <c r="K594" s="29">
        <f t="shared" si="39"/>
        <v>0.2</v>
      </c>
      <c r="L594">
        <v>1</v>
      </c>
      <c r="M594" s="29">
        <v>0</v>
      </c>
      <c r="N594" t="s">
        <v>32</v>
      </c>
      <c r="O594" t="s">
        <v>33</v>
      </c>
      <c r="P594" t="s">
        <v>34</v>
      </c>
      <c r="Q594" t="s">
        <v>34</v>
      </c>
      <c r="R594" t="s">
        <v>34</v>
      </c>
      <c r="S594" t="s">
        <v>34</v>
      </c>
      <c r="T594" s="117">
        <v>0</v>
      </c>
    </row>
    <row r="595" spans="1:20" ht="14.5" customHeight="1" x14ac:dyDescent="0.35">
      <c r="A595" t="s">
        <v>20</v>
      </c>
      <c r="B595" t="s">
        <v>24</v>
      </c>
      <c r="C595" s="1">
        <v>45399</v>
      </c>
      <c r="D595">
        <f t="shared" si="40"/>
        <v>17</v>
      </c>
      <c r="E595">
        <f t="shared" si="41"/>
        <v>4</v>
      </c>
      <c r="F595">
        <f t="shared" si="42"/>
        <v>2024</v>
      </c>
      <c r="G595" t="s">
        <v>209</v>
      </c>
      <c r="H595" s="98">
        <v>9341</v>
      </c>
      <c r="I595" s="90">
        <v>491.3</v>
      </c>
      <c r="J595" s="12" t="s">
        <v>31</v>
      </c>
      <c r="K595" s="29">
        <f t="shared" si="39"/>
        <v>491.3</v>
      </c>
      <c r="L595">
        <v>1</v>
      </c>
      <c r="M595" s="29">
        <v>0</v>
      </c>
      <c r="N595" t="s">
        <v>32</v>
      </c>
      <c r="O595" t="s">
        <v>33</v>
      </c>
      <c r="P595" t="s">
        <v>34</v>
      </c>
      <c r="Q595" t="s">
        <v>34</v>
      </c>
      <c r="R595" t="s">
        <v>34</v>
      </c>
      <c r="S595" t="s">
        <v>34</v>
      </c>
      <c r="T595" s="117">
        <v>0</v>
      </c>
    </row>
    <row r="596" spans="1:20" ht="14.5" customHeight="1" x14ac:dyDescent="0.35">
      <c r="A596" t="s">
        <v>20</v>
      </c>
      <c r="B596" t="s">
        <v>24</v>
      </c>
      <c r="C596" s="1">
        <v>45399</v>
      </c>
      <c r="D596">
        <f t="shared" si="40"/>
        <v>17</v>
      </c>
      <c r="E596">
        <f t="shared" si="41"/>
        <v>4</v>
      </c>
      <c r="F596">
        <f t="shared" si="42"/>
        <v>2024</v>
      </c>
      <c r="G596" t="s">
        <v>209</v>
      </c>
      <c r="H596" s="98">
        <v>9342</v>
      </c>
      <c r="I596" s="90">
        <v>19964.63</v>
      </c>
      <c r="J596" s="12" t="s">
        <v>31</v>
      </c>
      <c r="K596" s="29">
        <f t="shared" si="39"/>
        <v>19964.63</v>
      </c>
      <c r="L596">
        <v>1</v>
      </c>
      <c r="M596" s="29">
        <v>0</v>
      </c>
      <c r="N596" t="s">
        <v>32</v>
      </c>
      <c r="O596" t="s">
        <v>33</v>
      </c>
      <c r="P596" t="s">
        <v>34</v>
      </c>
      <c r="Q596" t="s">
        <v>34</v>
      </c>
      <c r="R596" t="s">
        <v>34</v>
      </c>
      <c r="S596" t="s">
        <v>34</v>
      </c>
      <c r="T596" s="117">
        <v>0</v>
      </c>
    </row>
    <row r="597" spans="1:20" ht="14.5" customHeight="1" x14ac:dyDescent="0.35">
      <c r="A597" t="s">
        <v>20</v>
      </c>
      <c r="B597" t="s">
        <v>25</v>
      </c>
      <c r="C597" s="1">
        <v>45399</v>
      </c>
      <c r="D597">
        <f t="shared" si="40"/>
        <v>17</v>
      </c>
      <c r="E597">
        <f t="shared" si="41"/>
        <v>4</v>
      </c>
      <c r="F597">
        <f t="shared" si="42"/>
        <v>2024</v>
      </c>
      <c r="G597" t="s">
        <v>209</v>
      </c>
      <c r="H597" s="98">
        <v>9342</v>
      </c>
      <c r="I597" s="90">
        <v>25868.93</v>
      </c>
      <c r="J597" s="12" t="s">
        <v>31</v>
      </c>
      <c r="K597" s="29">
        <f t="shared" si="39"/>
        <v>25868.93</v>
      </c>
      <c r="L597">
        <v>1</v>
      </c>
      <c r="M597" s="29">
        <v>0</v>
      </c>
      <c r="N597" t="s">
        <v>32</v>
      </c>
      <c r="O597" t="s">
        <v>33</v>
      </c>
      <c r="P597" t="s">
        <v>34</v>
      </c>
      <c r="Q597" t="s">
        <v>34</v>
      </c>
      <c r="R597" t="s">
        <v>34</v>
      </c>
      <c r="S597" t="s">
        <v>34</v>
      </c>
      <c r="T597" s="117">
        <v>0</v>
      </c>
    </row>
    <row r="598" spans="1:20" ht="14.5" customHeight="1" x14ac:dyDescent="0.35">
      <c r="A598" t="s">
        <v>20</v>
      </c>
      <c r="B598" t="s">
        <v>24</v>
      </c>
      <c r="C598" s="1">
        <v>45399</v>
      </c>
      <c r="D598">
        <f t="shared" si="40"/>
        <v>17</v>
      </c>
      <c r="E598">
        <f t="shared" si="41"/>
        <v>4</v>
      </c>
      <c r="F598">
        <f t="shared" si="42"/>
        <v>2024</v>
      </c>
      <c r="G598" t="s">
        <v>209</v>
      </c>
      <c r="H598" s="98">
        <v>9342</v>
      </c>
      <c r="I598" s="90">
        <v>38618.6</v>
      </c>
      <c r="J598" s="12" t="s">
        <v>31</v>
      </c>
      <c r="K598" s="29">
        <f t="shared" si="39"/>
        <v>38618.6</v>
      </c>
      <c r="L598">
        <v>1</v>
      </c>
      <c r="M598" s="29">
        <v>0</v>
      </c>
      <c r="N598" t="s">
        <v>32</v>
      </c>
      <c r="O598" t="s">
        <v>33</v>
      </c>
      <c r="P598" t="s">
        <v>34</v>
      </c>
      <c r="Q598" t="s">
        <v>34</v>
      </c>
      <c r="R598" t="s">
        <v>34</v>
      </c>
      <c r="S598" t="s">
        <v>34</v>
      </c>
      <c r="T598" s="117">
        <v>0</v>
      </c>
    </row>
    <row r="599" spans="1:20" ht="14.5" customHeight="1" x14ac:dyDescent="0.35">
      <c r="A599" t="s">
        <v>20</v>
      </c>
      <c r="B599" t="s">
        <v>23</v>
      </c>
      <c r="C599" s="1">
        <v>45399</v>
      </c>
      <c r="D599">
        <f t="shared" si="40"/>
        <v>17</v>
      </c>
      <c r="E599">
        <f t="shared" si="41"/>
        <v>4</v>
      </c>
      <c r="F599">
        <f t="shared" si="42"/>
        <v>2024</v>
      </c>
      <c r="G599" t="s">
        <v>210</v>
      </c>
      <c r="H599" s="98">
        <v>10244</v>
      </c>
      <c r="I599" s="29">
        <v>41.5</v>
      </c>
      <c r="J599" s="12" t="s">
        <v>31</v>
      </c>
      <c r="K599" s="29">
        <f t="shared" si="39"/>
        <v>41.5</v>
      </c>
      <c r="L599">
        <v>1</v>
      </c>
      <c r="M599" s="29">
        <v>0</v>
      </c>
      <c r="N599" t="s">
        <v>42</v>
      </c>
      <c r="O599" t="s">
        <v>33</v>
      </c>
      <c r="P599" t="s">
        <v>34</v>
      </c>
      <c r="Q599" t="s">
        <v>34</v>
      </c>
      <c r="R599" t="s">
        <v>34</v>
      </c>
      <c r="S599" t="s">
        <v>34</v>
      </c>
      <c r="T599" s="117">
        <v>0</v>
      </c>
    </row>
    <row r="600" spans="1:20" ht="14.5" customHeight="1" x14ac:dyDescent="0.35">
      <c r="A600" t="s">
        <v>20</v>
      </c>
      <c r="B600" t="s">
        <v>23</v>
      </c>
      <c r="C600" s="1">
        <v>45399</v>
      </c>
      <c r="D600">
        <f t="shared" si="40"/>
        <v>17</v>
      </c>
      <c r="E600">
        <f t="shared" si="41"/>
        <v>4</v>
      </c>
      <c r="F600">
        <f t="shared" si="42"/>
        <v>2024</v>
      </c>
      <c r="G600" t="s">
        <v>210</v>
      </c>
      <c r="H600" s="98">
        <v>10245</v>
      </c>
      <c r="I600" s="29">
        <v>12450</v>
      </c>
      <c r="J600" s="12" t="s">
        <v>31</v>
      </c>
      <c r="K600" s="29">
        <f t="shared" si="39"/>
        <v>12450</v>
      </c>
      <c r="L600">
        <v>1</v>
      </c>
      <c r="M600" s="29">
        <v>0</v>
      </c>
      <c r="N600" t="s">
        <v>42</v>
      </c>
      <c r="O600" t="s">
        <v>33</v>
      </c>
      <c r="P600" t="s">
        <v>34</v>
      </c>
      <c r="Q600" t="s">
        <v>34</v>
      </c>
      <c r="R600" t="s">
        <v>34</v>
      </c>
      <c r="S600" t="s">
        <v>34</v>
      </c>
      <c r="T600" s="117">
        <v>0</v>
      </c>
    </row>
    <row r="601" spans="1:20" ht="14.5" customHeight="1" x14ac:dyDescent="0.35">
      <c r="A601" t="s">
        <v>20</v>
      </c>
      <c r="B601" t="s">
        <v>21</v>
      </c>
      <c r="C601" s="1">
        <v>45399</v>
      </c>
      <c r="D601">
        <f t="shared" si="40"/>
        <v>17</v>
      </c>
      <c r="E601">
        <f t="shared" si="41"/>
        <v>4</v>
      </c>
      <c r="F601">
        <f t="shared" si="42"/>
        <v>2024</v>
      </c>
      <c r="G601" t="s">
        <v>47</v>
      </c>
      <c r="H601" s="98">
        <v>10069</v>
      </c>
      <c r="I601" s="29">
        <v>4422.24</v>
      </c>
      <c r="J601" s="12" t="s">
        <v>31</v>
      </c>
      <c r="K601" s="29">
        <f t="shared" si="39"/>
        <v>4422.24</v>
      </c>
      <c r="L601">
        <v>1</v>
      </c>
      <c r="M601" s="29">
        <v>0</v>
      </c>
      <c r="N601" t="s">
        <v>42</v>
      </c>
      <c r="O601" t="s">
        <v>33</v>
      </c>
      <c r="P601" t="s">
        <v>34</v>
      </c>
      <c r="Q601" t="s">
        <v>34</v>
      </c>
      <c r="R601" t="s">
        <v>34</v>
      </c>
      <c r="S601" t="s">
        <v>34</v>
      </c>
      <c r="T601" s="117">
        <v>0</v>
      </c>
    </row>
    <row r="602" spans="1:20" ht="14.5" customHeight="1" x14ac:dyDescent="0.35">
      <c r="A602" t="s">
        <v>20</v>
      </c>
      <c r="B602" t="s">
        <v>23</v>
      </c>
      <c r="C602" s="1">
        <v>45399</v>
      </c>
      <c r="D602">
        <f t="shared" si="40"/>
        <v>17</v>
      </c>
      <c r="E602">
        <f t="shared" si="41"/>
        <v>4</v>
      </c>
      <c r="F602">
        <f t="shared" si="42"/>
        <v>2024</v>
      </c>
      <c r="G602" t="s">
        <v>47</v>
      </c>
      <c r="H602" s="98">
        <v>10142</v>
      </c>
      <c r="I602" s="29">
        <v>81.599999999999994</v>
      </c>
      <c r="J602" s="12" t="s">
        <v>31</v>
      </c>
      <c r="K602" s="29">
        <f t="shared" si="39"/>
        <v>81.599999999999994</v>
      </c>
      <c r="L602">
        <v>1</v>
      </c>
      <c r="M602" s="29">
        <v>0</v>
      </c>
      <c r="N602" t="s">
        <v>32</v>
      </c>
      <c r="O602" t="s">
        <v>33</v>
      </c>
      <c r="P602" t="s">
        <v>34</v>
      </c>
      <c r="Q602" t="s">
        <v>34</v>
      </c>
      <c r="R602" t="s">
        <v>34</v>
      </c>
      <c r="S602" t="s">
        <v>34</v>
      </c>
      <c r="T602" s="117">
        <v>0</v>
      </c>
    </row>
    <row r="603" spans="1:20" ht="14.5" customHeight="1" x14ac:dyDescent="0.35">
      <c r="A603" t="s">
        <v>20</v>
      </c>
      <c r="B603" t="s">
        <v>23</v>
      </c>
      <c r="C603" s="1">
        <v>45399</v>
      </c>
      <c r="D603">
        <f t="shared" si="40"/>
        <v>17</v>
      </c>
      <c r="E603">
        <f t="shared" si="41"/>
        <v>4</v>
      </c>
      <c r="F603">
        <f t="shared" si="42"/>
        <v>2024</v>
      </c>
      <c r="G603" t="s">
        <v>47</v>
      </c>
      <c r="H603" s="98">
        <v>10141</v>
      </c>
      <c r="I603" s="29">
        <v>3437.76</v>
      </c>
      <c r="J603" s="12" t="s">
        <v>31</v>
      </c>
      <c r="K603" s="29">
        <f t="shared" si="39"/>
        <v>3437.76</v>
      </c>
      <c r="L603">
        <v>1</v>
      </c>
      <c r="M603" s="29">
        <v>0</v>
      </c>
      <c r="N603" t="s">
        <v>42</v>
      </c>
      <c r="O603" t="s">
        <v>33</v>
      </c>
      <c r="P603" t="s">
        <v>34</v>
      </c>
      <c r="Q603" t="s">
        <v>34</v>
      </c>
      <c r="R603" t="s">
        <v>34</v>
      </c>
      <c r="S603" t="s">
        <v>34</v>
      </c>
      <c r="T603" s="117">
        <v>0</v>
      </c>
    </row>
    <row r="604" spans="1:20" ht="14.5" customHeight="1" x14ac:dyDescent="0.35">
      <c r="A604" t="s">
        <v>20</v>
      </c>
      <c r="B604" t="s">
        <v>23</v>
      </c>
      <c r="C604" s="1">
        <v>45399</v>
      </c>
      <c r="D604">
        <f t="shared" si="40"/>
        <v>17</v>
      </c>
      <c r="E604">
        <f t="shared" si="41"/>
        <v>4</v>
      </c>
      <c r="F604">
        <f t="shared" si="42"/>
        <v>2024</v>
      </c>
      <c r="G604" t="s">
        <v>47</v>
      </c>
      <c r="H604" s="98">
        <v>10236</v>
      </c>
      <c r="I604" s="29">
        <v>5135.13</v>
      </c>
      <c r="J604" s="12" t="s">
        <v>31</v>
      </c>
      <c r="K604" s="29">
        <f t="shared" si="39"/>
        <v>5135.13</v>
      </c>
      <c r="L604">
        <v>1</v>
      </c>
      <c r="M604" s="29">
        <v>0</v>
      </c>
      <c r="N604" t="s">
        <v>42</v>
      </c>
      <c r="O604" t="s">
        <v>33</v>
      </c>
      <c r="P604" t="s">
        <v>34</v>
      </c>
      <c r="Q604" t="s">
        <v>34</v>
      </c>
      <c r="R604" t="s">
        <v>34</v>
      </c>
      <c r="S604" t="s">
        <v>34</v>
      </c>
      <c r="T604" s="117">
        <v>0</v>
      </c>
    </row>
    <row r="605" spans="1:20" ht="14.5" customHeight="1" x14ac:dyDescent="0.35">
      <c r="A605" t="s">
        <v>20</v>
      </c>
      <c r="B605" t="s">
        <v>25</v>
      </c>
      <c r="C605" s="1">
        <v>45399</v>
      </c>
      <c r="D605">
        <f t="shared" si="40"/>
        <v>17</v>
      </c>
      <c r="E605">
        <f t="shared" si="41"/>
        <v>4</v>
      </c>
      <c r="F605">
        <f t="shared" si="42"/>
        <v>2024</v>
      </c>
      <c r="G605" t="s">
        <v>97</v>
      </c>
      <c r="H605" s="98">
        <v>10213</v>
      </c>
      <c r="I605" s="29">
        <v>33845.4</v>
      </c>
      <c r="J605" s="12" t="s">
        <v>31</v>
      </c>
      <c r="K605" s="29">
        <f t="shared" si="39"/>
        <v>33845.4</v>
      </c>
      <c r="L605">
        <v>1</v>
      </c>
      <c r="M605" s="29">
        <v>1046.76</v>
      </c>
      <c r="N605" t="s">
        <v>32</v>
      </c>
      <c r="O605" t="s">
        <v>33</v>
      </c>
      <c r="P605" t="s">
        <v>34</v>
      </c>
      <c r="Q605" t="s">
        <v>34</v>
      </c>
      <c r="R605" t="s">
        <v>34</v>
      </c>
      <c r="S605" t="s">
        <v>34</v>
      </c>
      <c r="T605" s="117">
        <v>0</v>
      </c>
    </row>
    <row r="606" spans="1:20" ht="14.5" customHeight="1" x14ac:dyDescent="0.35">
      <c r="A606" t="s">
        <v>20</v>
      </c>
      <c r="B606" t="s">
        <v>25</v>
      </c>
      <c r="C606" s="1">
        <v>45399</v>
      </c>
      <c r="D606">
        <f t="shared" si="40"/>
        <v>17</v>
      </c>
      <c r="E606">
        <f t="shared" si="41"/>
        <v>4</v>
      </c>
      <c r="F606">
        <f t="shared" si="42"/>
        <v>2024</v>
      </c>
      <c r="G606" t="s">
        <v>97</v>
      </c>
      <c r="H606" s="98">
        <v>10301</v>
      </c>
      <c r="I606" s="29">
        <v>211.5</v>
      </c>
      <c r="J606" s="12" t="s">
        <v>31</v>
      </c>
      <c r="K606" s="29">
        <f t="shared" si="39"/>
        <v>211.5</v>
      </c>
      <c r="L606">
        <v>1</v>
      </c>
      <c r="M606" s="29">
        <v>0</v>
      </c>
      <c r="N606" t="s">
        <v>32</v>
      </c>
      <c r="O606" t="s">
        <v>33</v>
      </c>
      <c r="P606" t="s">
        <v>34</v>
      </c>
      <c r="Q606" t="s">
        <v>34</v>
      </c>
      <c r="R606" t="s">
        <v>34</v>
      </c>
      <c r="S606" t="s">
        <v>34</v>
      </c>
      <c r="T606" s="117">
        <v>0</v>
      </c>
    </row>
    <row r="607" spans="1:20" ht="14.5" customHeight="1" x14ac:dyDescent="0.35">
      <c r="A607" t="s">
        <v>20</v>
      </c>
      <c r="B607" t="s">
        <v>25</v>
      </c>
      <c r="C607" s="1">
        <v>45399</v>
      </c>
      <c r="D607">
        <f t="shared" si="40"/>
        <v>17</v>
      </c>
      <c r="E607">
        <f t="shared" si="41"/>
        <v>4</v>
      </c>
      <c r="F607">
        <f t="shared" si="42"/>
        <v>2024</v>
      </c>
      <c r="G607" t="s">
        <v>565</v>
      </c>
      <c r="H607" s="98">
        <v>9852</v>
      </c>
      <c r="I607" s="29">
        <v>107.8</v>
      </c>
      <c r="J607" s="12" t="s">
        <v>31</v>
      </c>
      <c r="K607" s="29">
        <f t="shared" si="39"/>
        <v>107.8</v>
      </c>
      <c r="L607">
        <v>1</v>
      </c>
      <c r="M607" s="29">
        <v>0</v>
      </c>
      <c r="N607" t="s">
        <v>32</v>
      </c>
      <c r="O607" t="s">
        <v>33</v>
      </c>
      <c r="P607" t="s">
        <v>34</v>
      </c>
      <c r="Q607" t="s">
        <v>34</v>
      </c>
      <c r="R607" t="s">
        <v>34</v>
      </c>
      <c r="S607" t="s">
        <v>34</v>
      </c>
      <c r="T607" s="117">
        <v>0</v>
      </c>
    </row>
    <row r="608" spans="1:20" ht="14.5" customHeight="1" x14ac:dyDescent="0.35">
      <c r="A608" t="s">
        <v>20</v>
      </c>
      <c r="B608" t="s">
        <v>25</v>
      </c>
      <c r="C608" s="1">
        <v>45399</v>
      </c>
      <c r="D608">
        <f t="shared" si="40"/>
        <v>17</v>
      </c>
      <c r="E608">
        <f t="shared" si="41"/>
        <v>4</v>
      </c>
      <c r="F608">
        <f t="shared" si="42"/>
        <v>2024</v>
      </c>
      <c r="G608" t="s">
        <v>83</v>
      </c>
      <c r="H608" s="98">
        <v>9850</v>
      </c>
      <c r="I608" s="29">
        <v>140.25</v>
      </c>
      <c r="J608" s="12" t="s">
        <v>31</v>
      </c>
      <c r="K608" s="29">
        <f t="shared" si="39"/>
        <v>140.25</v>
      </c>
      <c r="L608">
        <v>1</v>
      </c>
      <c r="M608" s="29">
        <v>0</v>
      </c>
      <c r="N608" t="s">
        <v>32</v>
      </c>
      <c r="O608" t="s">
        <v>33</v>
      </c>
      <c r="P608" t="s">
        <v>34</v>
      </c>
      <c r="Q608" t="s">
        <v>34</v>
      </c>
      <c r="R608" t="s">
        <v>34</v>
      </c>
      <c r="S608" t="s">
        <v>34</v>
      </c>
      <c r="T608" s="117">
        <v>0</v>
      </c>
    </row>
    <row r="609" spans="1:20" ht="14.5" customHeight="1" x14ac:dyDescent="0.35">
      <c r="A609" t="s">
        <v>20</v>
      </c>
      <c r="B609" t="s">
        <v>25</v>
      </c>
      <c r="C609" s="1">
        <v>45399</v>
      </c>
      <c r="D609">
        <f t="shared" si="40"/>
        <v>17</v>
      </c>
      <c r="E609">
        <f t="shared" si="41"/>
        <v>4</v>
      </c>
      <c r="F609">
        <f t="shared" si="42"/>
        <v>2024</v>
      </c>
      <c r="G609" t="s">
        <v>83</v>
      </c>
      <c r="H609" s="98">
        <v>9851</v>
      </c>
      <c r="I609" s="29">
        <v>4785.93</v>
      </c>
      <c r="J609" s="12" t="s">
        <v>31</v>
      </c>
      <c r="K609" s="29">
        <f t="shared" si="39"/>
        <v>4785.93</v>
      </c>
      <c r="L609">
        <v>1</v>
      </c>
      <c r="M609" s="29">
        <v>0</v>
      </c>
      <c r="N609" t="s">
        <v>42</v>
      </c>
      <c r="O609" t="s">
        <v>33</v>
      </c>
      <c r="P609" t="s">
        <v>34</v>
      </c>
      <c r="Q609" t="s">
        <v>34</v>
      </c>
      <c r="R609" t="s">
        <v>34</v>
      </c>
      <c r="S609" t="s">
        <v>34</v>
      </c>
      <c r="T609" s="117">
        <v>0</v>
      </c>
    </row>
    <row r="610" spans="1:20" ht="14.5" customHeight="1" x14ac:dyDescent="0.35">
      <c r="A610" t="s">
        <v>20</v>
      </c>
      <c r="B610" t="s">
        <v>21</v>
      </c>
      <c r="C610" s="1">
        <v>45399</v>
      </c>
      <c r="D610">
        <f t="shared" si="40"/>
        <v>17</v>
      </c>
      <c r="E610">
        <f t="shared" si="41"/>
        <v>4</v>
      </c>
      <c r="F610">
        <f t="shared" si="42"/>
        <v>2024</v>
      </c>
      <c r="G610" t="s">
        <v>53</v>
      </c>
      <c r="H610" s="171">
        <v>10131</v>
      </c>
      <c r="I610" s="90">
        <v>21298.37</v>
      </c>
      <c r="J610" s="12" t="s">
        <v>31</v>
      </c>
      <c r="K610" s="29">
        <f t="shared" si="39"/>
        <v>21298.37</v>
      </c>
      <c r="L610">
        <v>1</v>
      </c>
      <c r="M610" s="29">
        <v>0</v>
      </c>
      <c r="N610" t="s">
        <v>32</v>
      </c>
      <c r="O610" t="s">
        <v>33</v>
      </c>
      <c r="P610" t="s">
        <v>34</v>
      </c>
      <c r="Q610" t="s">
        <v>34</v>
      </c>
      <c r="R610" t="s">
        <v>34</v>
      </c>
      <c r="S610" t="s">
        <v>34</v>
      </c>
      <c r="T610" s="117">
        <v>0</v>
      </c>
    </row>
    <row r="611" spans="1:20" ht="14.5" customHeight="1" x14ac:dyDescent="0.35">
      <c r="A611" t="s">
        <v>20</v>
      </c>
      <c r="B611" t="s">
        <v>25</v>
      </c>
      <c r="C611" s="1">
        <v>45399</v>
      </c>
      <c r="D611">
        <f t="shared" si="40"/>
        <v>17</v>
      </c>
      <c r="E611">
        <f t="shared" si="41"/>
        <v>4</v>
      </c>
      <c r="F611">
        <f t="shared" si="42"/>
        <v>2024</v>
      </c>
      <c r="G611" t="s">
        <v>211</v>
      </c>
      <c r="H611" s="98">
        <v>9792</v>
      </c>
      <c r="I611" s="29">
        <v>28621.599999999999</v>
      </c>
      <c r="J611" s="12" t="s">
        <v>31</v>
      </c>
      <c r="K611" s="29">
        <f t="shared" si="39"/>
        <v>28621.599999999999</v>
      </c>
      <c r="L611">
        <v>1</v>
      </c>
      <c r="M611" s="29">
        <v>0</v>
      </c>
      <c r="N611" t="s">
        <v>32</v>
      </c>
      <c r="O611" t="s">
        <v>33</v>
      </c>
      <c r="P611" t="s">
        <v>34</v>
      </c>
      <c r="Q611" t="s">
        <v>34</v>
      </c>
      <c r="R611" t="s">
        <v>34</v>
      </c>
      <c r="S611" t="s">
        <v>34</v>
      </c>
      <c r="T611" s="117">
        <v>0</v>
      </c>
    </row>
    <row r="612" spans="1:20" ht="14.5" customHeight="1" x14ac:dyDescent="0.35">
      <c r="A612" t="s">
        <v>20</v>
      </c>
      <c r="B612" t="s">
        <v>23</v>
      </c>
      <c r="C612" s="1">
        <v>45399</v>
      </c>
      <c r="D612">
        <f t="shared" si="40"/>
        <v>17</v>
      </c>
      <c r="E612">
        <f t="shared" si="41"/>
        <v>4</v>
      </c>
      <c r="F612">
        <f t="shared" si="42"/>
        <v>2024</v>
      </c>
      <c r="G612" t="s">
        <v>82</v>
      </c>
      <c r="H612" s="98">
        <v>10037</v>
      </c>
      <c r="I612" s="29">
        <v>6139.5</v>
      </c>
      <c r="J612" s="12" t="s">
        <v>31</v>
      </c>
      <c r="K612" s="29">
        <f t="shared" si="39"/>
        <v>6139.5</v>
      </c>
      <c r="L612">
        <v>1</v>
      </c>
      <c r="M612" s="29">
        <v>0</v>
      </c>
      <c r="N612" t="s">
        <v>32</v>
      </c>
      <c r="O612" t="s">
        <v>33</v>
      </c>
      <c r="P612" t="s">
        <v>34</v>
      </c>
      <c r="Q612" t="s">
        <v>34</v>
      </c>
      <c r="R612" t="s">
        <v>34</v>
      </c>
      <c r="S612" t="s">
        <v>34</v>
      </c>
      <c r="T612" s="117">
        <v>0</v>
      </c>
    </row>
    <row r="613" spans="1:20" ht="14.5" customHeight="1" x14ac:dyDescent="0.35">
      <c r="A613" t="s">
        <v>20</v>
      </c>
      <c r="B613" t="s">
        <v>23</v>
      </c>
      <c r="C613" s="1">
        <v>45399</v>
      </c>
      <c r="D613">
        <f t="shared" si="40"/>
        <v>17</v>
      </c>
      <c r="E613">
        <f t="shared" si="41"/>
        <v>4</v>
      </c>
      <c r="F613">
        <f t="shared" si="42"/>
        <v>2024</v>
      </c>
      <c r="G613" t="s">
        <v>82</v>
      </c>
      <c r="H613" s="98">
        <v>10063</v>
      </c>
      <c r="I613" s="29">
        <v>77.3</v>
      </c>
      <c r="J613" s="12" t="s">
        <v>31</v>
      </c>
      <c r="K613" s="29">
        <f t="shared" si="39"/>
        <v>77.3</v>
      </c>
      <c r="L613">
        <v>1</v>
      </c>
      <c r="M613" s="29">
        <v>0</v>
      </c>
      <c r="N613" t="s">
        <v>32</v>
      </c>
      <c r="O613" t="s">
        <v>33</v>
      </c>
      <c r="P613" t="s">
        <v>34</v>
      </c>
      <c r="Q613" t="s">
        <v>34</v>
      </c>
      <c r="R613" t="s">
        <v>34</v>
      </c>
      <c r="S613" t="s">
        <v>34</v>
      </c>
      <c r="T613" s="117">
        <v>0</v>
      </c>
    </row>
    <row r="614" spans="1:20" ht="14.5" customHeight="1" x14ac:dyDescent="0.35">
      <c r="A614" t="s">
        <v>20</v>
      </c>
      <c r="B614" t="s">
        <v>23</v>
      </c>
      <c r="C614" s="1">
        <v>45399</v>
      </c>
      <c r="D614">
        <f t="shared" si="40"/>
        <v>17</v>
      </c>
      <c r="E614">
        <f t="shared" si="41"/>
        <v>4</v>
      </c>
      <c r="F614">
        <f t="shared" si="42"/>
        <v>2024</v>
      </c>
      <c r="G614" t="s">
        <v>45</v>
      </c>
      <c r="H614" s="98">
        <v>10176</v>
      </c>
      <c r="I614" s="29">
        <v>64.7</v>
      </c>
      <c r="J614" s="12" t="s">
        <v>31</v>
      </c>
      <c r="K614" s="29">
        <f t="shared" si="39"/>
        <v>64.7</v>
      </c>
      <c r="L614">
        <v>1</v>
      </c>
      <c r="M614" s="29">
        <v>0</v>
      </c>
      <c r="N614" t="s">
        <v>32</v>
      </c>
      <c r="O614" t="s">
        <v>33</v>
      </c>
      <c r="P614" t="s">
        <v>34</v>
      </c>
      <c r="Q614" t="s">
        <v>34</v>
      </c>
      <c r="R614" t="s">
        <v>34</v>
      </c>
      <c r="S614" t="s">
        <v>34</v>
      </c>
      <c r="T614" s="117">
        <v>0</v>
      </c>
    </row>
    <row r="615" spans="1:20" ht="14.5" customHeight="1" x14ac:dyDescent="0.35">
      <c r="A615" t="s">
        <v>20</v>
      </c>
      <c r="B615" t="s">
        <v>23</v>
      </c>
      <c r="C615" s="1">
        <v>45399</v>
      </c>
      <c r="D615">
        <f t="shared" si="40"/>
        <v>17</v>
      </c>
      <c r="E615">
        <f t="shared" si="41"/>
        <v>4</v>
      </c>
      <c r="F615">
        <f t="shared" si="42"/>
        <v>2024</v>
      </c>
      <c r="G615" t="s">
        <v>45</v>
      </c>
      <c r="H615" s="98">
        <v>10177</v>
      </c>
      <c r="I615" s="29">
        <v>26649.56</v>
      </c>
      <c r="J615" s="12" t="s">
        <v>31</v>
      </c>
      <c r="K615" s="29">
        <f t="shared" si="39"/>
        <v>26649.56</v>
      </c>
      <c r="L615">
        <v>1</v>
      </c>
      <c r="M615" s="29">
        <v>0</v>
      </c>
      <c r="N615" t="s">
        <v>42</v>
      </c>
      <c r="O615" t="s">
        <v>33</v>
      </c>
      <c r="P615" t="s">
        <v>34</v>
      </c>
      <c r="Q615" t="s">
        <v>34</v>
      </c>
      <c r="R615" t="s">
        <v>34</v>
      </c>
      <c r="S615" t="s">
        <v>34</v>
      </c>
      <c r="T615" s="117">
        <v>0</v>
      </c>
    </row>
    <row r="616" spans="1:20" ht="14.5" customHeight="1" x14ac:dyDescent="0.35">
      <c r="A616" t="s">
        <v>20</v>
      </c>
      <c r="B616" t="s">
        <v>23</v>
      </c>
      <c r="C616" s="1">
        <v>45399</v>
      </c>
      <c r="D616">
        <f t="shared" si="40"/>
        <v>17</v>
      </c>
      <c r="E616">
        <f t="shared" si="41"/>
        <v>4</v>
      </c>
      <c r="F616">
        <f t="shared" si="42"/>
        <v>2024</v>
      </c>
      <c r="G616" t="s">
        <v>45</v>
      </c>
      <c r="H616" s="98">
        <v>10280</v>
      </c>
      <c r="I616" s="29">
        <v>38.5</v>
      </c>
      <c r="J616" s="12" t="s">
        <v>31</v>
      </c>
      <c r="K616" s="29">
        <f t="shared" si="39"/>
        <v>38.5</v>
      </c>
      <c r="L616">
        <v>1</v>
      </c>
      <c r="M616" s="29">
        <v>0</v>
      </c>
      <c r="N616" t="s">
        <v>32</v>
      </c>
      <c r="O616" t="s">
        <v>33</v>
      </c>
      <c r="P616" t="s">
        <v>34</v>
      </c>
      <c r="Q616" t="s">
        <v>34</v>
      </c>
      <c r="R616" t="s">
        <v>34</v>
      </c>
      <c r="S616" t="s">
        <v>34</v>
      </c>
      <c r="T616" s="117">
        <v>0</v>
      </c>
    </row>
    <row r="617" spans="1:20" ht="14.5" customHeight="1" x14ac:dyDescent="0.35">
      <c r="A617" t="s">
        <v>20</v>
      </c>
      <c r="B617" t="s">
        <v>24</v>
      </c>
      <c r="C617" s="1">
        <v>45399</v>
      </c>
      <c r="D617">
        <f t="shared" si="40"/>
        <v>17</v>
      </c>
      <c r="E617">
        <f t="shared" si="41"/>
        <v>4</v>
      </c>
      <c r="F617">
        <f t="shared" si="42"/>
        <v>2024</v>
      </c>
      <c r="G617" t="s">
        <v>85</v>
      </c>
      <c r="H617" s="98">
        <v>9942</v>
      </c>
      <c r="I617" s="29">
        <v>29844.47</v>
      </c>
      <c r="J617" s="12" t="s">
        <v>31</v>
      </c>
      <c r="K617" s="29">
        <f t="shared" si="39"/>
        <v>29844.47</v>
      </c>
      <c r="L617">
        <v>1</v>
      </c>
      <c r="M617" s="29">
        <v>0</v>
      </c>
      <c r="N617" t="s">
        <v>32</v>
      </c>
      <c r="O617" t="s">
        <v>33</v>
      </c>
      <c r="P617" t="s">
        <v>34</v>
      </c>
      <c r="Q617" t="s">
        <v>34</v>
      </c>
      <c r="R617" t="s">
        <v>34</v>
      </c>
      <c r="S617" t="s">
        <v>34</v>
      </c>
      <c r="T617" s="117">
        <v>0</v>
      </c>
    </row>
    <row r="618" spans="1:20" ht="14.5" customHeight="1" x14ac:dyDescent="0.35">
      <c r="A618" t="s">
        <v>20</v>
      </c>
      <c r="B618" t="s">
        <v>24</v>
      </c>
      <c r="C618" s="1">
        <v>45399</v>
      </c>
      <c r="D618">
        <f t="shared" si="40"/>
        <v>17</v>
      </c>
      <c r="E618">
        <f t="shared" si="41"/>
        <v>4</v>
      </c>
      <c r="F618">
        <f t="shared" si="42"/>
        <v>2024</v>
      </c>
      <c r="G618" t="s">
        <v>86</v>
      </c>
      <c r="H618" s="98">
        <v>9782</v>
      </c>
      <c r="I618" s="29">
        <v>4287.3999999999996</v>
      </c>
      <c r="J618" s="12" t="s">
        <v>31</v>
      </c>
      <c r="K618" s="29">
        <f t="shared" si="39"/>
        <v>4287.3999999999996</v>
      </c>
      <c r="L618">
        <v>1</v>
      </c>
      <c r="M618" s="29">
        <v>0</v>
      </c>
      <c r="N618" t="s">
        <v>32</v>
      </c>
      <c r="O618" t="s">
        <v>33</v>
      </c>
      <c r="P618" t="s">
        <v>34</v>
      </c>
      <c r="Q618" t="s">
        <v>34</v>
      </c>
      <c r="R618" t="s">
        <v>34</v>
      </c>
      <c r="S618" t="s">
        <v>34</v>
      </c>
      <c r="T618" s="117">
        <v>0</v>
      </c>
    </row>
    <row r="619" spans="1:20" ht="14.5" customHeight="1" x14ac:dyDescent="0.35">
      <c r="A619" t="s">
        <v>20</v>
      </c>
      <c r="B619" t="s">
        <v>25</v>
      </c>
      <c r="C619" s="1">
        <v>45399</v>
      </c>
      <c r="D619">
        <f t="shared" si="40"/>
        <v>17</v>
      </c>
      <c r="E619">
        <f t="shared" si="41"/>
        <v>4</v>
      </c>
      <c r="F619">
        <f t="shared" si="42"/>
        <v>2024</v>
      </c>
      <c r="G619" t="s">
        <v>44</v>
      </c>
      <c r="H619" s="98">
        <v>9724</v>
      </c>
      <c r="I619" s="29">
        <v>11568.09</v>
      </c>
      <c r="J619" s="12" t="s">
        <v>31</v>
      </c>
      <c r="K619" s="29">
        <f t="shared" si="39"/>
        <v>11568.09</v>
      </c>
      <c r="L619">
        <v>1</v>
      </c>
      <c r="M619" s="29">
        <v>0</v>
      </c>
      <c r="N619" t="s">
        <v>32</v>
      </c>
      <c r="O619" t="s">
        <v>33</v>
      </c>
      <c r="P619" t="s">
        <v>34</v>
      </c>
      <c r="Q619" t="s">
        <v>34</v>
      </c>
      <c r="R619" t="s">
        <v>34</v>
      </c>
      <c r="S619" t="s">
        <v>34</v>
      </c>
      <c r="T619" s="117">
        <v>0</v>
      </c>
    </row>
    <row r="620" spans="1:20" ht="14.5" customHeight="1" x14ac:dyDescent="0.35">
      <c r="A620" t="s">
        <v>20</v>
      </c>
      <c r="B620" t="s">
        <v>25</v>
      </c>
      <c r="C620" s="1">
        <v>45399</v>
      </c>
      <c r="D620">
        <f t="shared" si="40"/>
        <v>17</v>
      </c>
      <c r="E620">
        <f t="shared" si="41"/>
        <v>4</v>
      </c>
      <c r="F620">
        <f t="shared" si="42"/>
        <v>2024</v>
      </c>
      <c r="G620" t="s">
        <v>174</v>
      </c>
      <c r="H620" s="98">
        <v>9786</v>
      </c>
      <c r="I620" s="29">
        <v>5690.34</v>
      </c>
      <c r="J620" s="12" t="s">
        <v>31</v>
      </c>
      <c r="K620" s="29">
        <f t="shared" si="39"/>
        <v>5690.34</v>
      </c>
      <c r="L620">
        <v>1</v>
      </c>
      <c r="M620" s="29">
        <v>0</v>
      </c>
      <c r="N620" t="s">
        <v>42</v>
      </c>
      <c r="O620" t="s">
        <v>33</v>
      </c>
      <c r="P620" t="s">
        <v>34</v>
      </c>
      <c r="Q620" t="s">
        <v>34</v>
      </c>
      <c r="R620" t="s">
        <v>34</v>
      </c>
      <c r="S620" t="s">
        <v>34</v>
      </c>
      <c r="T620" s="117">
        <v>0</v>
      </c>
    </row>
    <row r="621" spans="1:20" ht="14.5" customHeight="1" x14ac:dyDescent="0.35">
      <c r="A621" t="s">
        <v>19</v>
      </c>
      <c r="B621" t="s">
        <v>19</v>
      </c>
      <c r="C621" s="1">
        <v>45399</v>
      </c>
      <c r="D621">
        <f t="shared" si="40"/>
        <v>17</v>
      </c>
      <c r="E621">
        <f t="shared" si="41"/>
        <v>4</v>
      </c>
      <c r="F621">
        <f t="shared" si="42"/>
        <v>2024</v>
      </c>
      <c r="G621" t="s">
        <v>213</v>
      </c>
      <c r="H621" s="98">
        <v>9561</v>
      </c>
      <c r="I621" s="29">
        <v>124987.88</v>
      </c>
      <c r="J621" s="12" t="s">
        <v>31</v>
      </c>
      <c r="K621" s="29">
        <f t="shared" si="39"/>
        <v>124987.88</v>
      </c>
      <c r="L621">
        <v>1</v>
      </c>
      <c r="M621" s="29">
        <v>0</v>
      </c>
      <c r="N621" t="s">
        <v>32</v>
      </c>
      <c r="O621" t="s">
        <v>33</v>
      </c>
      <c r="P621" t="s">
        <v>34</v>
      </c>
      <c r="Q621" t="s">
        <v>34</v>
      </c>
      <c r="R621" t="s">
        <v>34</v>
      </c>
      <c r="S621" t="s">
        <v>34</v>
      </c>
      <c r="T621" s="117">
        <v>0</v>
      </c>
    </row>
    <row r="622" spans="1:20" ht="14.5" customHeight="1" x14ac:dyDescent="0.35">
      <c r="A622" t="s">
        <v>19</v>
      </c>
      <c r="B622" t="s">
        <v>19</v>
      </c>
      <c r="C622" s="1">
        <v>45399</v>
      </c>
      <c r="D622">
        <f t="shared" si="40"/>
        <v>17</v>
      </c>
      <c r="E622">
        <f t="shared" si="41"/>
        <v>4</v>
      </c>
      <c r="F622">
        <f t="shared" si="42"/>
        <v>2024</v>
      </c>
      <c r="G622" t="s">
        <v>106</v>
      </c>
      <c r="H622" s="98">
        <v>9516</v>
      </c>
      <c r="I622" s="29">
        <v>111835.85</v>
      </c>
      <c r="J622" s="12" t="s">
        <v>31</v>
      </c>
      <c r="K622" s="29">
        <f t="shared" si="39"/>
        <v>111835.85</v>
      </c>
      <c r="L622">
        <v>1</v>
      </c>
      <c r="M622" s="29">
        <v>0</v>
      </c>
      <c r="N622" t="s">
        <v>32</v>
      </c>
      <c r="O622" t="s">
        <v>33</v>
      </c>
      <c r="P622" t="s">
        <v>34</v>
      </c>
      <c r="Q622" t="s">
        <v>34</v>
      </c>
      <c r="R622" t="s">
        <v>34</v>
      </c>
      <c r="S622" t="s">
        <v>34</v>
      </c>
      <c r="T622" s="117">
        <v>0</v>
      </c>
    </row>
    <row r="623" spans="1:20" ht="14.5" customHeight="1" x14ac:dyDescent="0.35">
      <c r="A623" t="s">
        <v>19</v>
      </c>
      <c r="B623" t="s">
        <v>19</v>
      </c>
      <c r="C623" s="1">
        <v>45399</v>
      </c>
      <c r="D623">
        <f t="shared" si="40"/>
        <v>17</v>
      </c>
      <c r="E623">
        <f t="shared" si="41"/>
        <v>4</v>
      </c>
      <c r="F623">
        <f t="shared" si="42"/>
        <v>2024</v>
      </c>
      <c r="G623" t="s">
        <v>101</v>
      </c>
      <c r="H623" s="98" t="s">
        <v>214</v>
      </c>
      <c r="I623" s="29">
        <v>23598.6</v>
      </c>
      <c r="J623" s="12" t="s">
        <v>31</v>
      </c>
      <c r="K623" s="29">
        <f t="shared" si="39"/>
        <v>23598.6</v>
      </c>
      <c r="L623">
        <v>1</v>
      </c>
      <c r="M623" s="29">
        <v>0</v>
      </c>
      <c r="N623" t="s">
        <v>32</v>
      </c>
      <c r="O623" t="s">
        <v>33</v>
      </c>
      <c r="P623" t="s">
        <v>34</v>
      </c>
      <c r="Q623" t="s">
        <v>34</v>
      </c>
      <c r="R623" t="s">
        <v>34</v>
      </c>
      <c r="S623" t="s">
        <v>34</v>
      </c>
      <c r="T623" s="117">
        <v>0</v>
      </c>
    </row>
    <row r="624" spans="1:20" ht="14.5" customHeight="1" x14ac:dyDescent="0.35">
      <c r="A624" t="s">
        <v>19</v>
      </c>
      <c r="B624" t="s">
        <v>19</v>
      </c>
      <c r="C624" s="1">
        <v>45399</v>
      </c>
      <c r="D624">
        <f t="shared" si="40"/>
        <v>17</v>
      </c>
      <c r="E624">
        <f t="shared" si="41"/>
        <v>4</v>
      </c>
      <c r="F624">
        <f t="shared" si="42"/>
        <v>2024</v>
      </c>
      <c r="G624" t="s">
        <v>124</v>
      </c>
      <c r="H624" s="98" t="s">
        <v>215</v>
      </c>
      <c r="I624" s="29">
        <v>46527.7</v>
      </c>
      <c r="J624" s="12" t="s">
        <v>31</v>
      </c>
      <c r="K624" s="29">
        <f t="shared" si="39"/>
        <v>46527.7</v>
      </c>
      <c r="L624">
        <v>1</v>
      </c>
      <c r="M624" s="29">
        <v>0</v>
      </c>
      <c r="N624" t="s">
        <v>32</v>
      </c>
      <c r="O624" t="s">
        <v>33</v>
      </c>
      <c r="P624" t="s">
        <v>34</v>
      </c>
      <c r="Q624" t="s">
        <v>34</v>
      </c>
      <c r="R624" t="s">
        <v>34</v>
      </c>
      <c r="S624" t="s">
        <v>34</v>
      </c>
      <c r="T624" s="117">
        <v>0</v>
      </c>
    </row>
    <row r="625" spans="1:21" ht="14.5" customHeight="1" x14ac:dyDescent="0.35">
      <c r="A625" t="s">
        <v>19</v>
      </c>
      <c r="B625" t="s">
        <v>19</v>
      </c>
      <c r="C625" s="1">
        <v>45399</v>
      </c>
      <c r="D625">
        <f t="shared" si="40"/>
        <v>17</v>
      </c>
      <c r="E625">
        <f t="shared" si="41"/>
        <v>4</v>
      </c>
      <c r="F625">
        <f t="shared" si="42"/>
        <v>2024</v>
      </c>
      <c r="G625" t="s">
        <v>54</v>
      </c>
      <c r="H625" s="171">
        <v>9287</v>
      </c>
      <c r="I625" s="90">
        <v>58259.6</v>
      </c>
      <c r="J625" s="12" t="s">
        <v>31</v>
      </c>
      <c r="K625" s="29">
        <f t="shared" si="39"/>
        <v>58259.6</v>
      </c>
      <c r="L625">
        <v>1</v>
      </c>
      <c r="M625" s="29">
        <v>0</v>
      </c>
      <c r="N625" t="s">
        <v>32</v>
      </c>
      <c r="O625" t="s">
        <v>33</v>
      </c>
      <c r="P625" t="s">
        <v>34</v>
      </c>
      <c r="Q625" t="s">
        <v>34</v>
      </c>
      <c r="R625" t="s">
        <v>34</v>
      </c>
      <c r="S625" t="s">
        <v>34</v>
      </c>
      <c r="T625" s="117">
        <v>0</v>
      </c>
    </row>
    <row r="626" spans="1:21" ht="14.5" customHeight="1" x14ac:dyDescent="0.35">
      <c r="A626" t="s">
        <v>19</v>
      </c>
      <c r="B626" t="s">
        <v>19</v>
      </c>
      <c r="C626" s="1">
        <v>45399</v>
      </c>
      <c r="D626">
        <f t="shared" si="40"/>
        <v>17</v>
      </c>
      <c r="E626">
        <f t="shared" si="41"/>
        <v>4</v>
      </c>
      <c r="F626">
        <f t="shared" si="42"/>
        <v>2024</v>
      </c>
      <c r="G626" t="s">
        <v>56</v>
      </c>
      <c r="H626" s="98">
        <v>9895</v>
      </c>
      <c r="I626" s="29">
        <v>188713.88</v>
      </c>
      <c r="J626" s="12" t="s">
        <v>31</v>
      </c>
      <c r="K626" s="29">
        <f t="shared" si="39"/>
        <v>188713.88</v>
      </c>
      <c r="L626">
        <v>1</v>
      </c>
      <c r="M626" s="29">
        <v>0</v>
      </c>
      <c r="N626" t="s">
        <v>32</v>
      </c>
      <c r="O626" t="s">
        <v>33</v>
      </c>
      <c r="P626" t="s">
        <v>34</v>
      </c>
      <c r="Q626" t="s">
        <v>34</v>
      </c>
      <c r="R626" t="s">
        <v>34</v>
      </c>
      <c r="S626" t="s">
        <v>34</v>
      </c>
      <c r="T626" s="117">
        <v>0</v>
      </c>
    </row>
    <row r="627" spans="1:21" ht="14.5" customHeight="1" x14ac:dyDescent="0.35">
      <c r="A627" t="s">
        <v>19</v>
      </c>
      <c r="B627" t="s">
        <v>19</v>
      </c>
      <c r="C627" s="1">
        <v>45399</v>
      </c>
      <c r="D627">
        <f t="shared" si="40"/>
        <v>17</v>
      </c>
      <c r="E627">
        <f t="shared" si="41"/>
        <v>4</v>
      </c>
      <c r="F627">
        <f t="shared" si="42"/>
        <v>2024</v>
      </c>
      <c r="G627" t="s">
        <v>88</v>
      </c>
      <c r="H627" s="98">
        <v>9842</v>
      </c>
      <c r="I627" s="29">
        <v>33270.769999999997</v>
      </c>
      <c r="J627" s="12" t="s">
        <v>31</v>
      </c>
      <c r="K627" s="29">
        <f t="shared" si="39"/>
        <v>33270.769999999997</v>
      </c>
      <c r="L627">
        <v>1</v>
      </c>
      <c r="M627" s="29">
        <v>0</v>
      </c>
      <c r="N627" t="s">
        <v>32</v>
      </c>
      <c r="O627" t="s">
        <v>33</v>
      </c>
      <c r="P627" t="s">
        <v>34</v>
      </c>
      <c r="Q627" t="s">
        <v>34</v>
      </c>
      <c r="R627" t="s">
        <v>34</v>
      </c>
      <c r="S627" t="s">
        <v>34</v>
      </c>
      <c r="T627" s="117">
        <v>0</v>
      </c>
    </row>
    <row r="628" spans="1:21" ht="14.5" customHeight="1" x14ac:dyDescent="0.35">
      <c r="A628" t="s">
        <v>19</v>
      </c>
      <c r="B628" t="s">
        <v>19</v>
      </c>
      <c r="C628" s="1">
        <v>45399</v>
      </c>
      <c r="D628">
        <f t="shared" si="40"/>
        <v>17</v>
      </c>
      <c r="E628">
        <f t="shared" si="41"/>
        <v>4</v>
      </c>
      <c r="F628">
        <f t="shared" si="42"/>
        <v>2024</v>
      </c>
      <c r="G628" t="s">
        <v>58</v>
      </c>
      <c r="H628" s="171">
        <v>9519</v>
      </c>
      <c r="I628" s="90">
        <v>17974.89</v>
      </c>
      <c r="J628" s="12" t="s">
        <v>31</v>
      </c>
      <c r="K628" s="29">
        <f t="shared" si="39"/>
        <v>17974.89</v>
      </c>
      <c r="L628">
        <v>1</v>
      </c>
      <c r="M628" s="29">
        <v>0</v>
      </c>
      <c r="N628" t="s">
        <v>32</v>
      </c>
      <c r="O628" t="s">
        <v>33</v>
      </c>
      <c r="P628" t="s">
        <v>34</v>
      </c>
      <c r="Q628" t="s">
        <v>34</v>
      </c>
      <c r="R628" t="s">
        <v>34</v>
      </c>
      <c r="S628" t="s">
        <v>34</v>
      </c>
      <c r="T628" s="117">
        <v>2025.11</v>
      </c>
    </row>
    <row r="629" spans="1:21" ht="14.5" customHeight="1" x14ac:dyDescent="0.35">
      <c r="A629" t="s">
        <v>19</v>
      </c>
      <c r="B629" t="s">
        <v>26</v>
      </c>
      <c r="C629" s="1">
        <v>45400</v>
      </c>
      <c r="D629">
        <f t="shared" si="40"/>
        <v>18</v>
      </c>
      <c r="E629">
        <f t="shared" si="41"/>
        <v>4</v>
      </c>
      <c r="F629">
        <f t="shared" si="42"/>
        <v>2024</v>
      </c>
      <c r="G629" t="s">
        <v>73</v>
      </c>
      <c r="H629" s="98">
        <v>10182</v>
      </c>
      <c r="I629" s="15">
        <v>32834.01</v>
      </c>
      <c r="J629" s="12" t="s">
        <v>51</v>
      </c>
      <c r="K629" s="29">
        <f t="shared" si="39"/>
        <v>35056.872477000004</v>
      </c>
      <c r="L629">
        <v>1.0677000000000001</v>
      </c>
      <c r="M629" s="29">
        <v>0</v>
      </c>
      <c r="N629" t="s">
        <v>32</v>
      </c>
      <c r="O629" t="s">
        <v>33</v>
      </c>
      <c r="P629" t="s">
        <v>34</v>
      </c>
      <c r="Q629" t="s">
        <v>34</v>
      </c>
      <c r="R629" t="s">
        <v>34</v>
      </c>
      <c r="S629" t="s">
        <v>34</v>
      </c>
      <c r="T629" s="117">
        <v>0</v>
      </c>
      <c r="U629" s="209" t="s">
        <v>94</v>
      </c>
    </row>
    <row r="630" spans="1:21" ht="14.5" customHeight="1" x14ac:dyDescent="0.35">
      <c r="A630" t="s">
        <v>19</v>
      </c>
      <c r="B630" t="s">
        <v>26</v>
      </c>
      <c r="C630" s="1">
        <v>45400</v>
      </c>
      <c r="D630">
        <f t="shared" si="40"/>
        <v>18</v>
      </c>
      <c r="E630">
        <f t="shared" si="41"/>
        <v>4</v>
      </c>
      <c r="F630">
        <f t="shared" si="42"/>
        <v>2024</v>
      </c>
      <c r="G630" t="s">
        <v>73</v>
      </c>
      <c r="H630" s="98">
        <v>10202</v>
      </c>
      <c r="I630" s="15">
        <v>103268.78</v>
      </c>
      <c r="J630" s="12" t="s">
        <v>51</v>
      </c>
      <c r="K630" s="29">
        <f t="shared" si="39"/>
        <v>110260.07640600001</v>
      </c>
      <c r="L630">
        <v>1.0677000000000001</v>
      </c>
      <c r="M630" s="29">
        <v>0</v>
      </c>
      <c r="N630" t="s">
        <v>32</v>
      </c>
      <c r="O630" t="s">
        <v>33</v>
      </c>
      <c r="P630" t="s">
        <v>34</v>
      </c>
      <c r="Q630" t="s">
        <v>34</v>
      </c>
      <c r="R630" t="s">
        <v>34</v>
      </c>
      <c r="S630" t="s">
        <v>34</v>
      </c>
      <c r="T630" s="117">
        <v>0</v>
      </c>
      <c r="U630" s="209" t="s">
        <v>94</v>
      </c>
    </row>
    <row r="631" spans="1:21" ht="14.5" customHeight="1" x14ac:dyDescent="0.35">
      <c r="A631" t="s">
        <v>19</v>
      </c>
      <c r="B631" t="s">
        <v>26</v>
      </c>
      <c r="C631" s="1">
        <v>45400</v>
      </c>
      <c r="D631">
        <f t="shared" si="40"/>
        <v>18</v>
      </c>
      <c r="E631">
        <f t="shared" si="41"/>
        <v>4</v>
      </c>
      <c r="F631">
        <f t="shared" si="42"/>
        <v>2024</v>
      </c>
      <c r="G631" t="s">
        <v>73</v>
      </c>
      <c r="H631" s="98">
        <v>10204</v>
      </c>
      <c r="I631" s="15">
        <v>53191.4</v>
      </c>
      <c r="J631" s="12" t="s">
        <v>51</v>
      </c>
      <c r="K631" s="29">
        <f t="shared" si="39"/>
        <v>56792.457780000004</v>
      </c>
      <c r="L631">
        <v>1.0677000000000001</v>
      </c>
      <c r="M631" s="29">
        <v>0</v>
      </c>
      <c r="N631" t="s">
        <v>32</v>
      </c>
      <c r="O631" t="s">
        <v>33</v>
      </c>
      <c r="P631" t="s">
        <v>34</v>
      </c>
      <c r="Q631" t="s">
        <v>34</v>
      </c>
      <c r="R631" t="s">
        <v>34</v>
      </c>
      <c r="S631" t="s">
        <v>34</v>
      </c>
      <c r="T631" s="117">
        <v>0</v>
      </c>
      <c r="U631" s="209" t="s">
        <v>94</v>
      </c>
    </row>
    <row r="632" spans="1:21" ht="14.5" customHeight="1" x14ac:dyDescent="0.35">
      <c r="A632" t="s">
        <v>19</v>
      </c>
      <c r="B632" t="s">
        <v>26</v>
      </c>
      <c r="C632" s="1">
        <v>45400</v>
      </c>
      <c r="D632">
        <f t="shared" si="40"/>
        <v>18</v>
      </c>
      <c r="E632">
        <f t="shared" si="41"/>
        <v>4</v>
      </c>
      <c r="F632">
        <f t="shared" si="42"/>
        <v>2024</v>
      </c>
      <c r="G632" t="s">
        <v>73</v>
      </c>
      <c r="H632" s="98">
        <v>10214</v>
      </c>
      <c r="I632" s="15">
        <v>74480.58</v>
      </c>
      <c r="J632" s="12" t="s">
        <v>51</v>
      </c>
      <c r="K632" s="29">
        <f t="shared" si="39"/>
        <v>79522.915266000011</v>
      </c>
      <c r="L632">
        <v>1.0677000000000001</v>
      </c>
      <c r="M632" s="29">
        <v>0</v>
      </c>
      <c r="N632" t="s">
        <v>32</v>
      </c>
      <c r="O632" t="s">
        <v>33</v>
      </c>
      <c r="P632" t="s">
        <v>34</v>
      </c>
      <c r="Q632" t="s">
        <v>34</v>
      </c>
      <c r="R632" t="s">
        <v>34</v>
      </c>
      <c r="S632" t="s">
        <v>34</v>
      </c>
      <c r="T632" s="117">
        <v>0</v>
      </c>
      <c r="U632" s="209" t="s">
        <v>94</v>
      </c>
    </row>
    <row r="633" spans="1:21" ht="14.5" customHeight="1" x14ac:dyDescent="0.35">
      <c r="A633" t="s">
        <v>19</v>
      </c>
      <c r="B633" t="s">
        <v>26</v>
      </c>
      <c r="C633" s="1">
        <v>45400</v>
      </c>
      <c r="D633">
        <f t="shared" si="40"/>
        <v>18</v>
      </c>
      <c r="E633">
        <f t="shared" si="41"/>
        <v>4</v>
      </c>
      <c r="F633">
        <f t="shared" si="42"/>
        <v>2024</v>
      </c>
      <c r="G633" t="s">
        <v>73</v>
      </c>
      <c r="H633" s="98">
        <v>10238</v>
      </c>
      <c r="I633" s="15">
        <v>68811.48</v>
      </c>
      <c r="J633" s="12" t="s">
        <v>51</v>
      </c>
      <c r="K633" s="29">
        <f t="shared" si="39"/>
        <v>73470.017196000001</v>
      </c>
      <c r="L633">
        <v>1.0677000000000001</v>
      </c>
      <c r="M633" s="29">
        <v>0</v>
      </c>
      <c r="N633" t="s">
        <v>32</v>
      </c>
      <c r="O633" t="s">
        <v>33</v>
      </c>
      <c r="P633" t="s">
        <v>34</v>
      </c>
      <c r="Q633" t="s">
        <v>34</v>
      </c>
      <c r="R633" t="s">
        <v>34</v>
      </c>
      <c r="S633" t="s">
        <v>34</v>
      </c>
      <c r="T633" s="117">
        <v>0</v>
      </c>
      <c r="U633" s="209" t="s">
        <v>94</v>
      </c>
    </row>
    <row r="634" spans="1:21" ht="14.5" customHeight="1" x14ac:dyDescent="0.35">
      <c r="A634" t="s">
        <v>19</v>
      </c>
      <c r="B634" t="s">
        <v>26</v>
      </c>
      <c r="C634" s="1">
        <v>45400</v>
      </c>
      <c r="D634">
        <f t="shared" si="40"/>
        <v>18</v>
      </c>
      <c r="E634">
        <f t="shared" si="41"/>
        <v>4</v>
      </c>
      <c r="F634">
        <f t="shared" si="42"/>
        <v>2024</v>
      </c>
      <c r="G634" t="s">
        <v>73</v>
      </c>
      <c r="H634" s="98">
        <v>10272</v>
      </c>
      <c r="I634" s="15">
        <v>81693.02</v>
      </c>
      <c r="J634" s="12" t="s">
        <v>51</v>
      </c>
      <c r="K634" s="29">
        <f t="shared" si="39"/>
        <v>87223.637454000011</v>
      </c>
      <c r="L634">
        <v>1.0677000000000001</v>
      </c>
      <c r="M634" s="29">
        <v>0</v>
      </c>
      <c r="N634" t="s">
        <v>32</v>
      </c>
      <c r="O634" t="s">
        <v>33</v>
      </c>
      <c r="P634" t="s">
        <v>34</v>
      </c>
      <c r="Q634" t="s">
        <v>34</v>
      </c>
      <c r="R634" t="s">
        <v>34</v>
      </c>
      <c r="S634" t="s">
        <v>34</v>
      </c>
      <c r="T634" s="117">
        <v>0</v>
      </c>
      <c r="U634" s="209" t="s">
        <v>94</v>
      </c>
    </row>
    <row r="635" spans="1:21" ht="14.5" customHeight="1" x14ac:dyDescent="0.35">
      <c r="A635" t="s">
        <v>19</v>
      </c>
      <c r="B635" t="s">
        <v>26</v>
      </c>
      <c r="C635" s="1">
        <v>45400</v>
      </c>
      <c r="D635">
        <f t="shared" si="40"/>
        <v>18</v>
      </c>
      <c r="E635">
        <f t="shared" si="41"/>
        <v>4</v>
      </c>
      <c r="F635">
        <f t="shared" si="42"/>
        <v>2024</v>
      </c>
      <c r="G635" t="s">
        <v>73</v>
      </c>
      <c r="H635" s="98">
        <v>10285</v>
      </c>
      <c r="I635" s="15">
        <v>84483.89</v>
      </c>
      <c r="J635" s="12" t="s">
        <v>51</v>
      </c>
      <c r="K635" s="29">
        <f t="shared" si="39"/>
        <v>90203.449353000004</v>
      </c>
      <c r="L635">
        <v>1.0677000000000001</v>
      </c>
      <c r="M635" s="29">
        <v>0</v>
      </c>
      <c r="N635" t="s">
        <v>32</v>
      </c>
      <c r="O635" t="s">
        <v>33</v>
      </c>
      <c r="P635" t="s">
        <v>34</v>
      </c>
      <c r="Q635" t="s">
        <v>34</v>
      </c>
      <c r="R635" t="s">
        <v>34</v>
      </c>
      <c r="S635" t="s">
        <v>34</v>
      </c>
      <c r="T635" s="117">
        <v>0</v>
      </c>
      <c r="U635" s="209" t="s">
        <v>94</v>
      </c>
    </row>
    <row r="636" spans="1:21" ht="14.5" customHeight="1" x14ac:dyDescent="0.35">
      <c r="A636" t="s">
        <v>19</v>
      </c>
      <c r="B636" t="s">
        <v>21</v>
      </c>
      <c r="C636" s="1">
        <v>45406</v>
      </c>
      <c r="D636">
        <f t="shared" si="40"/>
        <v>24</v>
      </c>
      <c r="E636">
        <f t="shared" si="41"/>
        <v>4</v>
      </c>
      <c r="F636">
        <f t="shared" si="42"/>
        <v>2024</v>
      </c>
      <c r="G636" t="s">
        <v>28</v>
      </c>
      <c r="H636" s="98">
        <v>9607</v>
      </c>
      <c r="I636" s="29">
        <v>236.6</v>
      </c>
      <c r="J636" s="12" t="s">
        <v>31</v>
      </c>
      <c r="K636" s="29">
        <f t="shared" si="39"/>
        <v>236.6</v>
      </c>
      <c r="L636">
        <v>1</v>
      </c>
      <c r="M636" s="29">
        <v>0</v>
      </c>
      <c r="N636" t="s">
        <v>32</v>
      </c>
      <c r="O636" t="s">
        <v>33</v>
      </c>
      <c r="P636" t="s">
        <v>34</v>
      </c>
      <c r="Q636" t="s">
        <v>34</v>
      </c>
      <c r="R636" t="s">
        <v>34</v>
      </c>
      <c r="S636" t="s">
        <v>34</v>
      </c>
      <c r="T636" s="117">
        <v>0</v>
      </c>
    </row>
    <row r="637" spans="1:21" ht="14.5" customHeight="1" x14ac:dyDescent="0.35">
      <c r="A637" t="s">
        <v>19</v>
      </c>
      <c r="B637" t="s">
        <v>21</v>
      </c>
      <c r="C637" s="1">
        <v>45406</v>
      </c>
      <c r="D637">
        <f t="shared" si="40"/>
        <v>24</v>
      </c>
      <c r="E637">
        <f t="shared" si="41"/>
        <v>4</v>
      </c>
      <c r="F637">
        <f t="shared" si="42"/>
        <v>2024</v>
      </c>
      <c r="G637" t="s">
        <v>28</v>
      </c>
      <c r="H637" s="98">
        <v>9948</v>
      </c>
      <c r="I637" s="29">
        <v>6016.2</v>
      </c>
      <c r="J637" s="12" t="s">
        <v>31</v>
      </c>
      <c r="K637" s="29">
        <f t="shared" si="39"/>
        <v>6016.2</v>
      </c>
      <c r="L637">
        <v>1</v>
      </c>
      <c r="M637" s="29">
        <v>0</v>
      </c>
      <c r="N637" t="s">
        <v>32</v>
      </c>
      <c r="O637" t="s">
        <v>33</v>
      </c>
      <c r="P637" t="s">
        <v>34</v>
      </c>
      <c r="Q637" t="s">
        <v>34</v>
      </c>
      <c r="R637" t="s">
        <v>34</v>
      </c>
      <c r="S637" t="s">
        <v>34</v>
      </c>
      <c r="T637" s="117">
        <v>0</v>
      </c>
    </row>
    <row r="638" spans="1:21" ht="14.5" customHeight="1" x14ac:dyDescent="0.35">
      <c r="A638" t="s">
        <v>19</v>
      </c>
      <c r="B638" t="s">
        <v>23</v>
      </c>
      <c r="C638" s="1">
        <v>45406</v>
      </c>
      <c r="D638">
        <f t="shared" si="40"/>
        <v>24</v>
      </c>
      <c r="E638">
        <f t="shared" si="41"/>
        <v>4</v>
      </c>
      <c r="F638">
        <f t="shared" si="42"/>
        <v>2024</v>
      </c>
      <c r="G638" t="s">
        <v>77</v>
      </c>
      <c r="H638" s="98">
        <v>10426</v>
      </c>
      <c r="I638" s="29">
        <v>3375</v>
      </c>
      <c r="J638" s="12" t="s">
        <v>31</v>
      </c>
      <c r="K638" s="29">
        <f t="shared" si="39"/>
        <v>3375</v>
      </c>
      <c r="L638">
        <v>1</v>
      </c>
      <c r="M638" s="29">
        <v>0</v>
      </c>
      <c r="N638" t="s">
        <v>42</v>
      </c>
      <c r="O638" t="s">
        <v>33</v>
      </c>
      <c r="P638" t="s">
        <v>34</v>
      </c>
      <c r="Q638" t="s">
        <v>34</v>
      </c>
      <c r="R638" t="s">
        <v>34</v>
      </c>
      <c r="S638" t="s">
        <v>34</v>
      </c>
      <c r="T638" s="117">
        <v>0</v>
      </c>
    </row>
    <row r="639" spans="1:21" ht="14.5" customHeight="1" x14ac:dyDescent="0.35">
      <c r="A639" t="s">
        <v>19</v>
      </c>
      <c r="B639" t="s">
        <v>25</v>
      </c>
      <c r="C639" s="1">
        <v>45406</v>
      </c>
      <c r="D639">
        <f t="shared" si="40"/>
        <v>24</v>
      </c>
      <c r="E639">
        <f t="shared" si="41"/>
        <v>4</v>
      </c>
      <c r="F639">
        <f t="shared" si="42"/>
        <v>2024</v>
      </c>
      <c r="G639" t="s">
        <v>36</v>
      </c>
      <c r="H639" s="98">
        <v>9753</v>
      </c>
      <c r="I639" s="29">
        <v>86173.25</v>
      </c>
      <c r="J639" s="12" t="s">
        <v>31</v>
      </c>
      <c r="K639" s="29">
        <f t="shared" si="39"/>
        <v>86173.25</v>
      </c>
      <c r="L639">
        <v>1</v>
      </c>
      <c r="M639" s="29">
        <v>0</v>
      </c>
      <c r="N639" t="s">
        <v>32</v>
      </c>
      <c r="O639" t="s">
        <v>33</v>
      </c>
      <c r="P639" t="s">
        <v>34</v>
      </c>
      <c r="Q639" t="s">
        <v>34</v>
      </c>
      <c r="R639" t="s">
        <v>34</v>
      </c>
      <c r="S639" t="s">
        <v>34</v>
      </c>
      <c r="T639" s="117">
        <v>0</v>
      </c>
    </row>
    <row r="640" spans="1:21" ht="14.5" customHeight="1" x14ac:dyDescent="0.35">
      <c r="A640" t="s">
        <v>19</v>
      </c>
      <c r="B640" t="s">
        <v>25</v>
      </c>
      <c r="C640" s="1">
        <v>45406</v>
      </c>
      <c r="D640">
        <f t="shared" si="40"/>
        <v>24</v>
      </c>
      <c r="E640">
        <f t="shared" si="41"/>
        <v>4</v>
      </c>
      <c r="F640">
        <f t="shared" si="42"/>
        <v>2024</v>
      </c>
      <c r="G640" t="s">
        <v>36</v>
      </c>
      <c r="H640" s="98">
        <v>10205</v>
      </c>
      <c r="I640" s="29">
        <v>18212.04</v>
      </c>
      <c r="J640" s="12" t="s">
        <v>31</v>
      </c>
      <c r="K640" s="29">
        <f t="shared" si="39"/>
        <v>18212.04</v>
      </c>
      <c r="L640">
        <v>1</v>
      </c>
      <c r="M640" s="29">
        <v>0</v>
      </c>
      <c r="N640" t="s">
        <v>32</v>
      </c>
      <c r="O640" t="s">
        <v>33</v>
      </c>
      <c r="P640" t="s">
        <v>34</v>
      </c>
      <c r="Q640" t="s">
        <v>34</v>
      </c>
      <c r="R640" t="s">
        <v>34</v>
      </c>
      <c r="S640" t="s">
        <v>34</v>
      </c>
      <c r="T640" s="117">
        <v>0</v>
      </c>
    </row>
    <row r="641" spans="1:21" ht="14.5" customHeight="1" x14ac:dyDescent="0.35">
      <c r="A641" t="s">
        <v>19</v>
      </c>
      <c r="B641" t="s">
        <v>25</v>
      </c>
      <c r="C641" s="1">
        <v>45406</v>
      </c>
      <c r="D641">
        <f t="shared" si="40"/>
        <v>24</v>
      </c>
      <c r="E641">
        <f t="shared" si="41"/>
        <v>4</v>
      </c>
      <c r="F641">
        <f t="shared" si="42"/>
        <v>2024</v>
      </c>
      <c r="G641" t="s">
        <v>29</v>
      </c>
      <c r="H641" s="98">
        <v>9546</v>
      </c>
      <c r="I641" s="29">
        <v>6936.02</v>
      </c>
      <c r="J641" s="12" t="s">
        <v>31</v>
      </c>
      <c r="K641" s="29">
        <f t="shared" ref="K641:K704" si="43">IF(J641="USD",I641,I641*L641)</f>
        <v>6936.02</v>
      </c>
      <c r="L641">
        <v>1</v>
      </c>
      <c r="M641" s="29">
        <v>0</v>
      </c>
      <c r="N641" t="s">
        <v>32</v>
      </c>
      <c r="O641" t="s">
        <v>33</v>
      </c>
      <c r="P641" t="s">
        <v>34</v>
      </c>
      <c r="Q641" t="s">
        <v>34</v>
      </c>
      <c r="R641" t="s">
        <v>34</v>
      </c>
      <c r="S641" t="s">
        <v>34</v>
      </c>
      <c r="T641" s="117">
        <v>0</v>
      </c>
    </row>
    <row r="642" spans="1:21" ht="14.5" customHeight="1" x14ac:dyDescent="0.35">
      <c r="A642" t="s">
        <v>19</v>
      </c>
      <c r="B642" t="s">
        <v>25</v>
      </c>
      <c r="C642" s="1">
        <v>45406</v>
      </c>
      <c r="D642">
        <f t="shared" ref="D642:D705" si="44">DAY(C642)</f>
        <v>24</v>
      </c>
      <c r="E642">
        <f t="shared" ref="E642:E705" si="45">MONTH(C642)</f>
        <v>4</v>
      </c>
      <c r="F642">
        <f t="shared" ref="F642:F705" si="46">YEAR(C642)</f>
        <v>2024</v>
      </c>
      <c r="G642" t="s">
        <v>79</v>
      </c>
      <c r="H642" s="98">
        <v>9903</v>
      </c>
      <c r="I642" s="29">
        <v>11115</v>
      </c>
      <c r="J642" s="12" t="s">
        <v>51</v>
      </c>
      <c r="K642" s="29">
        <f t="shared" si="43"/>
        <v>11906.387999999999</v>
      </c>
      <c r="L642">
        <v>1.0711999999999999</v>
      </c>
      <c r="M642" s="29">
        <v>0</v>
      </c>
      <c r="N642" t="s">
        <v>32</v>
      </c>
      <c r="O642" t="s">
        <v>33</v>
      </c>
      <c r="P642" t="s">
        <v>34</v>
      </c>
      <c r="Q642" t="s">
        <v>34</v>
      </c>
      <c r="R642" t="s">
        <v>34</v>
      </c>
      <c r="S642" t="s">
        <v>34</v>
      </c>
      <c r="T642" s="117">
        <v>0</v>
      </c>
      <c r="U642" s="209" t="s">
        <v>94</v>
      </c>
    </row>
    <row r="643" spans="1:21" ht="14.5" customHeight="1" x14ac:dyDescent="0.35">
      <c r="A643" t="s">
        <v>19</v>
      </c>
      <c r="B643" t="s">
        <v>25</v>
      </c>
      <c r="C643" s="1">
        <v>45406</v>
      </c>
      <c r="D643">
        <f t="shared" si="44"/>
        <v>24</v>
      </c>
      <c r="E643">
        <f t="shared" si="45"/>
        <v>4</v>
      </c>
      <c r="F643">
        <f t="shared" si="46"/>
        <v>2024</v>
      </c>
      <c r="G643" t="s">
        <v>39</v>
      </c>
      <c r="H643" s="98">
        <v>9773</v>
      </c>
      <c r="I643" s="29">
        <v>59736.5</v>
      </c>
      <c r="J643" s="12" t="s">
        <v>31</v>
      </c>
      <c r="K643" s="29">
        <f t="shared" si="43"/>
        <v>59736.5</v>
      </c>
      <c r="L643">
        <v>1</v>
      </c>
      <c r="M643" s="29">
        <v>0</v>
      </c>
      <c r="N643" t="s">
        <v>32</v>
      </c>
      <c r="O643" t="s">
        <v>33</v>
      </c>
      <c r="P643" t="s">
        <v>34</v>
      </c>
      <c r="Q643" t="s">
        <v>34</v>
      </c>
      <c r="R643" t="s">
        <v>34</v>
      </c>
      <c r="S643" t="s">
        <v>34</v>
      </c>
      <c r="T643" s="117">
        <v>0</v>
      </c>
    </row>
    <row r="644" spans="1:21" ht="14.5" customHeight="1" x14ac:dyDescent="0.35">
      <c r="A644" t="s">
        <v>19</v>
      </c>
      <c r="B644" t="s">
        <v>25</v>
      </c>
      <c r="C644" s="1">
        <v>45406</v>
      </c>
      <c r="D644">
        <f t="shared" si="44"/>
        <v>24</v>
      </c>
      <c r="E644">
        <f t="shared" si="45"/>
        <v>4</v>
      </c>
      <c r="F644">
        <f t="shared" si="46"/>
        <v>2024</v>
      </c>
      <c r="G644" t="s">
        <v>39</v>
      </c>
      <c r="H644" s="98">
        <v>10249</v>
      </c>
      <c r="I644" s="29">
        <v>130.13999999999999</v>
      </c>
      <c r="J644" s="12" t="s">
        <v>31</v>
      </c>
      <c r="K644" s="29">
        <f t="shared" si="43"/>
        <v>130.13999999999999</v>
      </c>
      <c r="L644">
        <v>1</v>
      </c>
      <c r="M644" s="29">
        <v>0</v>
      </c>
      <c r="N644" t="s">
        <v>32</v>
      </c>
      <c r="O644" t="s">
        <v>33</v>
      </c>
      <c r="P644" t="s">
        <v>34</v>
      </c>
      <c r="Q644" t="s">
        <v>34</v>
      </c>
      <c r="R644" t="s">
        <v>34</v>
      </c>
      <c r="S644" t="s">
        <v>34</v>
      </c>
      <c r="T644" s="117">
        <v>0</v>
      </c>
    </row>
    <row r="645" spans="1:21" ht="14.5" customHeight="1" x14ac:dyDescent="0.35">
      <c r="A645" t="s">
        <v>19</v>
      </c>
      <c r="B645" t="s">
        <v>25</v>
      </c>
      <c r="C645" s="1">
        <v>45406</v>
      </c>
      <c r="D645">
        <f t="shared" si="44"/>
        <v>24</v>
      </c>
      <c r="E645">
        <f t="shared" si="45"/>
        <v>4</v>
      </c>
      <c r="F645">
        <f t="shared" si="46"/>
        <v>2024</v>
      </c>
      <c r="G645" t="s">
        <v>93</v>
      </c>
      <c r="H645" s="171">
        <v>10311</v>
      </c>
      <c r="I645" s="90">
        <v>340.2</v>
      </c>
      <c r="J645" s="12" t="s">
        <v>31</v>
      </c>
      <c r="K645" s="29">
        <f t="shared" si="43"/>
        <v>340.2</v>
      </c>
      <c r="L645">
        <v>1</v>
      </c>
      <c r="M645" s="29">
        <v>0</v>
      </c>
      <c r="N645" t="s">
        <v>32</v>
      </c>
      <c r="O645" t="s">
        <v>33</v>
      </c>
      <c r="P645" t="s">
        <v>34</v>
      </c>
      <c r="Q645" t="s">
        <v>34</v>
      </c>
      <c r="R645" t="s">
        <v>34</v>
      </c>
      <c r="S645" t="s">
        <v>34</v>
      </c>
      <c r="T645" s="117">
        <v>0</v>
      </c>
    </row>
    <row r="646" spans="1:21" ht="14.5" customHeight="1" x14ac:dyDescent="0.35">
      <c r="A646" t="s">
        <v>19</v>
      </c>
      <c r="B646" t="s">
        <v>25</v>
      </c>
      <c r="C646" s="1">
        <v>45406</v>
      </c>
      <c r="D646">
        <f t="shared" si="44"/>
        <v>24</v>
      </c>
      <c r="E646">
        <f t="shared" si="45"/>
        <v>4</v>
      </c>
      <c r="F646">
        <f t="shared" si="46"/>
        <v>2024</v>
      </c>
      <c r="G646" t="s">
        <v>35</v>
      </c>
      <c r="H646" s="98">
        <v>9771</v>
      </c>
      <c r="I646" s="29">
        <v>9585.1200000000008</v>
      </c>
      <c r="J646" s="12" t="s">
        <v>31</v>
      </c>
      <c r="K646" s="29">
        <f t="shared" si="43"/>
        <v>9585.1200000000008</v>
      </c>
      <c r="L646">
        <v>1</v>
      </c>
      <c r="M646" s="29">
        <v>0</v>
      </c>
      <c r="N646" t="s">
        <v>32</v>
      </c>
      <c r="O646" t="s">
        <v>33</v>
      </c>
      <c r="P646" t="s">
        <v>34</v>
      </c>
      <c r="Q646" t="s">
        <v>34</v>
      </c>
      <c r="R646" t="s">
        <v>34</v>
      </c>
      <c r="S646" t="s">
        <v>34</v>
      </c>
      <c r="T646" s="117">
        <v>0</v>
      </c>
    </row>
    <row r="647" spans="1:21" ht="14.5" customHeight="1" x14ac:dyDescent="0.35">
      <c r="A647" t="s">
        <v>20</v>
      </c>
      <c r="B647" t="s">
        <v>23</v>
      </c>
      <c r="C647" s="1">
        <v>45406</v>
      </c>
      <c r="D647">
        <f t="shared" si="44"/>
        <v>24</v>
      </c>
      <c r="E647">
        <f t="shared" si="45"/>
        <v>4</v>
      </c>
      <c r="F647">
        <f t="shared" si="46"/>
        <v>2024</v>
      </c>
      <c r="G647" t="s">
        <v>109</v>
      </c>
      <c r="H647" s="98">
        <v>10138</v>
      </c>
      <c r="I647" s="29">
        <v>36</v>
      </c>
      <c r="J647" s="12" t="s">
        <v>31</v>
      </c>
      <c r="K647" s="29">
        <f t="shared" si="43"/>
        <v>36</v>
      </c>
      <c r="L647">
        <v>1</v>
      </c>
      <c r="M647" s="29">
        <v>0</v>
      </c>
      <c r="N647" t="s">
        <v>32</v>
      </c>
      <c r="O647" t="s">
        <v>33</v>
      </c>
      <c r="P647" t="s">
        <v>34</v>
      </c>
      <c r="Q647" t="s">
        <v>34</v>
      </c>
      <c r="R647" t="s">
        <v>34</v>
      </c>
      <c r="S647" t="s">
        <v>34</v>
      </c>
      <c r="T647" s="117">
        <v>0</v>
      </c>
    </row>
    <row r="648" spans="1:21" ht="14.5" customHeight="1" x14ac:dyDescent="0.35">
      <c r="A648" t="s">
        <v>20</v>
      </c>
      <c r="B648" t="s">
        <v>23</v>
      </c>
      <c r="C648" s="1">
        <v>45406</v>
      </c>
      <c r="D648">
        <f t="shared" si="44"/>
        <v>24</v>
      </c>
      <c r="E648">
        <f t="shared" si="45"/>
        <v>4</v>
      </c>
      <c r="F648">
        <f t="shared" si="46"/>
        <v>2024</v>
      </c>
      <c r="G648" t="s">
        <v>109</v>
      </c>
      <c r="H648" s="98">
        <v>10139</v>
      </c>
      <c r="I648" s="29">
        <v>2328.7600000000002</v>
      </c>
      <c r="J648" s="12" t="s">
        <v>31</v>
      </c>
      <c r="K648" s="29">
        <f t="shared" si="43"/>
        <v>2328.7600000000002</v>
      </c>
      <c r="L648">
        <v>1</v>
      </c>
      <c r="M648" s="29">
        <v>0</v>
      </c>
      <c r="N648" t="s">
        <v>42</v>
      </c>
      <c r="O648" t="s">
        <v>33</v>
      </c>
      <c r="P648" t="s">
        <v>34</v>
      </c>
      <c r="Q648" t="s">
        <v>34</v>
      </c>
      <c r="R648" t="s">
        <v>34</v>
      </c>
      <c r="S648" t="s">
        <v>34</v>
      </c>
      <c r="T648" s="117">
        <v>0</v>
      </c>
    </row>
    <row r="649" spans="1:21" ht="14.5" customHeight="1" x14ac:dyDescent="0.35">
      <c r="A649" t="s">
        <v>20</v>
      </c>
      <c r="B649" t="s">
        <v>23</v>
      </c>
      <c r="C649" s="1">
        <v>45406</v>
      </c>
      <c r="D649">
        <f t="shared" si="44"/>
        <v>24</v>
      </c>
      <c r="E649">
        <f t="shared" si="45"/>
        <v>4</v>
      </c>
      <c r="F649">
        <f t="shared" si="46"/>
        <v>2024</v>
      </c>
      <c r="G649" t="s">
        <v>108</v>
      </c>
      <c r="H649" s="98">
        <v>10162</v>
      </c>
      <c r="I649" s="29">
        <v>21.6</v>
      </c>
      <c r="J649" s="12" t="s">
        <v>31</v>
      </c>
      <c r="K649" s="29">
        <f t="shared" si="43"/>
        <v>21.6</v>
      </c>
      <c r="L649">
        <v>1</v>
      </c>
      <c r="M649" s="29">
        <v>0</v>
      </c>
      <c r="N649" t="s">
        <v>32</v>
      </c>
      <c r="O649" t="s">
        <v>33</v>
      </c>
      <c r="P649" t="s">
        <v>34</v>
      </c>
      <c r="Q649" t="s">
        <v>34</v>
      </c>
      <c r="R649" t="s">
        <v>34</v>
      </c>
      <c r="S649" t="s">
        <v>34</v>
      </c>
      <c r="T649" s="117">
        <v>0</v>
      </c>
    </row>
    <row r="650" spans="1:21" ht="14.5" customHeight="1" x14ac:dyDescent="0.35">
      <c r="A650" t="s">
        <v>20</v>
      </c>
      <c r="B650" t="s">
        <v>23</v>
      </c>
      <c r="C650" s="1">
        <v>45406</v>
      </c>
      <c r="D650">
        <f t="shared" si="44"/>
        <v>24</v>
      </c>
      <c r="E650">
        <f t="shared" si="45"/>
        <v>4</v>
      </c>
      <c r="F650">
        <f t="shared" si="46"/>
        <v>2024</v>
      </c>
      <c r="G650" t="s">
        <v>108</v>
      </c>
      <c r="H650" s="98">
        <v>10163</v>
      </c>
      <c r="I650" s="29">
        <v>2550.42</v>
      </c>
      <c r="J650" s="12" t="s">
        <v>31</v>
      </c>
      <c r="K650" s="29">
        <f t="shared" si="43"/>
        <v>2550.42</v>
      </c>
      <c r="L650">
        <v>1</v>
      </c>
      <c r="M650" s="29">
        <v>0</v>
      </c>
      <c r="N650" t="s">
        <v>32</v>
      </c>
      <c r="O650" t="s">
        <v>33</v>
      </c>
      <c r="P650" t="s">
        <v>34</v>
      </c>
      <c r="Q650" t="s">
        <v>34</v>
      </c>
      <c r="R650" t="s">
        <v>34</v>
      </c>
      <c r="S650" t="s">
        <v>34</v>
      </c>
      <c r="T650" s="117">
        <v>0</v>
      </c>
    </row>
    <row r="651" spans="1:21" ht="14.5" customHeight="1" x14ac:dyDescent="0.35">
      <c r="A651" t="s">
        <v>20</v>
      </c>
      <c r="B651" t="s">
        <v>25</v>
      </c>
      <c r="C651" s="1">
        <v>45406</v>
      </c>
      <c r="D651">
        <f t="shared" si="44"/>
        <v>24</v>
      </c>
      <c r="E651">
        <f t="shared" si="45"/>
        <v>4</v>
      </c>
      <c r="F651">
        <f t="shared" si="46"/>
        <v>2024</v>
      </c>
      <c r="G651" t="s">
        <v>81</v>
      </c>
      <c r="H651" s="98">
        <v>10240</v>
      </c>
      <c r="I651" s="29">
        <v>54.9</v>
      </c>
      <c r="J651" s="12" t="s">
        <v>31</v>
      </c>
      <c r="K651" s="29">
        <f t="shared" si="43"/>
        <v>54.9</v>
      </c>
      <c r="L651">
        <v>1</v>
      </c>
      <c r="M651" s="29">
        <v>0</v>
      </c>
      <c r="N651" t="s">
        <v>32</v>
      </c>
      <c r="O651" t="s">
        <v>33</v>
      </c>
      <c r="P651" t="s">
        <v>34</v>
      </c>
      <c r="Q651" t="s">
        <v>34</v>
      </c>
      <c r="R651" t="s">
        <v>34</v>
      </c>
      <c r="S651" t="s">
        <v>34</v>
      </c>
      <c r="T651" s="117">
        <v>0</v>
      </c>
    </row>
    <row r="652" spans="1:21" ht="14.5" customHeight="1" x14ac:dyDescent="0.35">
      <c r="A652" t="s">
        <v>20</v>
      </c>
      <c r="B652" t="s">
        <v>25</v>
      </c>
      <c r="C652" s="1">
        <v>45406</v>
      </c>
      <c r="D652">
        <f t="shared" si="44"/>
        <v>24</v>
      </c>
      <c r="E652">
        <f t="shared" si="45"/>
        <v>4</v>
      </c>
      <c r="F652">
        <f t="shared" si="46"/>
        <v>2024</v>
      </c>
      <c r="G652" t="s">
        <v>81</v>
      </c>
      <c r="H652" s="98">
        <v>10413</v>
      </c>
      <c r="I652" s="29">
        <v>4080</v>
      </c>
      <c r="J652" s="12" t="s">
        <v>31</v>
      </c>
      <c r="K652" s="29">
        <f t="shared" si="43"/>
        <v>4080</v>
      </c>
      <c r="L652">
        <v>1</v>
      </c>
      <c r="M652" s="29">
        <v>0</v>
      </c>
      <c r="N652" t="s">
        <v>42</v>
      </c>
      <c r="O652" t="s">
        <v>33</v>
      </c>
      <c r="P652" t="s">
        <v>34</v>
      </c>
      <c r="Q652" t="s">
        <v>34</v>
      </c>
      <c r="R652" t="s">
        <v>34</v>
      </c>
      <c r="S652" t="s">
        <v>34</v>
      </c>
      <c r="T652" s="117">
        <v>0</v>
      </c>
    </row>
    <row r="653" spans="1:21" ht="14.5" customHeight="1" x14ac:dyDescent="0.35">
      <c r="A653" t="s">
        <v>20</v>
      </c>
      <c r="B653" t="s">
        <v>21</v>
      </c>
      <c r="C653" s="1">
        <v>45406</v>
      </c>
      <c r="D653">
        <f t="shared" si="44"/>
        <v>24</v>
      </c>
      <c r="E653">
        <f t="shared" si="45"/>
        <v>4</v>
      </c>
      <c r="F653">
        <f t="shared" si="46"/>
        <v>2024</v>
      </c>
      <c r="G653" t="s">
        <v>97</v>
      </c>
      <c r="H653" s="98">
        <v>10305</v>
      </c>
      <c r="I653" s="29">
        <v>65</v>
      </c>
      <c r="J653" s="12" t="s">
        <v>31</v>
      </c>
      <c r="K653" s="29">
        <f t="shared" si="43"/>
        <v>65</v>
      </c>
      <c r="L653">
        <v>1</v>
      </c>
      <c r="M653" s="29">
        <v>0</v>
      </c>
      <c r="N653" t="s">
        <v>32</v>
      </c>
      <c r="O653" t="s">
        <v>33</v>
      </c>
      <c r="P653" t="s">
        <v>34</v>
      </c>
      <c r="Q653" t="s">
        <v>34</v>
      </c>
      <c r="R653" t="s">
        <v>34</v>
      </c>
      <c r="S653" t="s">
        <v>34</v>
      </c>
      <c r="T653" s="117">
        <v>0</v>
      </c>
    </row>
    <row r="654" spans="1:21" ht="14.5" customHeight="1" x14ac:dyDescent="0.35">
      <c r="A654" t="s">
        <v>20</v>
      </c>
      <c r="B654" t="s">
        <v>23</v>
      </c>
      <c r="C654" s="1">
        <v>45406</v>
      </c>
      <c r="D654">
        <f t="shared" si="44"/>
        <v>24</v>
      </c>
      <c r="E654">
        <f t="shared" si="45"/>
        <v>4</v>
      </c>
      <c r="F654">
        <f t="shared" si="46"/>
        <v>2024</v>
      </c>
      <c r="G654" t="s">
        <v>97</v>
      </c>
      <c r="H654" s="98">
        <v>10305</v>
      </c>
      <c r="I654" s="29">
        <v>335.5</v>
      </c>
      <c r="J654" s="12" t="s">
        <v>31</v>
      </c>
      <c r="K654" s="29">
        <f t="shared" si="43"/>
        <v>335.5</v>
      </c>
      <c r="L654">
        <v>1</v>
      </c>
      <c r="M654" s="29">
        <v>0</v>
      </c>
      <c r="N654" t="s">
        <v>32</v>
      </c>
      <c r="O654" t="s">
        <v>33</v>
      </c>
      <c r="P654" t="s">
        <v>34</v>
      </c>
      <c r="Q654" t="s">
        <v>34</v>
      </c>
      <c r="R654" t="s">
        <v>34</v>
      </c>
      <c r="S654" t="s">
        <v>34</v>
      </c>
      <c r="T654" s="117">
        <v>0</v>
      </c>
    </row>
    <row r="655" spans="1:21" ht="14.5" customHeight="1" x14ac:dyDescent="0.35">
      <c r="A655" t="s">
        <v>20</v>
      </c>
      <c r="B655" t="s">
        <v>23</v>
      </c>
      <c r="C655" s="1">
        <v>45406</v>
      </c>
      <c r="D655">
        <f t="shared" si="44"/>
        <v>24</v>
      </c>
      <c r="E655">
        <f t="shared" si="45"/>
        <v>4</v>
      </c>
      <c r="F655">
        <f t="shared" si="46"/>
        <v>2024</v>
      </c>
      <c r="G655" t="s">
        <v>53</v>
      </c>
      <c r="H655" s="171">
        <v>10190</v>
      </c>
      <c r="I655" s="90">
        <v>135</v>
      </c>
      <c r="J655" s="12" t="s">
        <v>31</v>
      </c>
      <c r="K655" s="29">
        <f t="shared" si="43"/>
        <v>135</v>
      </c>
      <c r="L655">
        <v>1</v>
      </c>
      <c r="M655" s="29">
        <v>0</v>
      </c>
      <c r="N655" t="s">
        <v>32</v>
      </c>
      <c r="O655" t="s">
        <v>33</v>
      </c>
      <c r="P655" t="s">
        <v>34</v>
      </c>
      <c r="Q655" t="s">
        <v>34</v>
      </c>
      <c r="R655" t="s">
        <v>34</v>
      </c>
      <c r="S655" t="s">
        <v>34</v>
      </c>
      <c r="T655" s="117">
        <v>0</v>
      </c>
    </row>
    <row r="656" spans="1:21" ht="14.5" customHeight="1" x14ac:dyDescent="0.35">
      <c r="A656" t="s">
        <v>20</v>
      </c>
      <c r="B656" t="s">
        <v>25</v>
      </c>
      <c r="C656" s="1">
        <v>45406</v>
      </c>
      <c r="D656">
        <f t="shared" si="44"/>
        <v>24</v>
      </c>
      <c r="E656">
        <f t="shared" si="45"/>
        <v>4</v>
      </c>
      <c r="F656">
        <f t="shared" si="46"/>
        <v>2024</v>
      </c>
      <c r="G656" t="s">
        <v>50</v>
      </c>
      <c r="H656" s="98">
        <v>9874</v>
      </c>
      <c r="I656" s="29">
        <v>24033.62</v>
      </c>
      <c r="J656" s="12" t="s">
        <v>31</v>
      </c>
      <c r="K656" s="29">
        <f t="shared" si="43"/>
        <v>24033.62</v>
      </c>
      <c r="L656">
        <v>1</v>
      </c>
      <c r="M656" s="29">
        <v>0</v>
      </c>
      <c r="N656" t="s">
        <v>32</v>
      </c>
      <c r="O656" t="s">
        <v>33</v>
      </c>
      <c r="P656" t="s">
        <v>34</v>
      </c>
      <c r="Q656" t="s">
        <v>34</v>
      </c>
      <c r="R656" t="s">
        <v>34</v>
      </c>
      <c r="S656" t="s">
        <v>34</v>
      </c>
      <c r="T656" s="117">
        <v>0</v>
      </c>
    </row>
    <row r="657" spans="1:20" ht="14.5" customHeight="1" x14ac:dyDescent="0.35">
      <c r="A657" t="s">
        <v>20</v>
      </c>
      <c r="B657" t="s">
        <v>21</v>
      </c>
      <c r="C657" s="1">
        <v>45406</v>
      </c>
      <c r="D657">
        <f t="shared" si="44"/>
        <v>24</v>
      </c>
      <c r="E657">
        <f t="shared" si="45"/>
        <v>4</v>
      </c>
      <c r="F657">
        <f t="shared" si="46"/>
        <v>2024</v>
      </c>
      <c r="G657" t="s">
        <v>43</v>
      </c>
      <c r="H657" s="98">
        <v>10219</v>
      </c>
      <c r="I657" s="29">
        <v>104</v>
      </c>
      <c r="J657" s="12" t="s">
        <v>31</v>
      </c>
      <c r="K657" s="29">
        <f t="shared" si="43"/>
        <v>104</v>
      </c>
      <c r="L657">
        <v>1</v>
      </c>
      <c r="M657" s="29">
        <v>0</v>
      </c>
      <c r="N657" t="s">
        <v>32</v>
      </c>
      <c r="O657" t="s">
        <v>33</v>
      </c>
      <c r="P657" t="s">
        <v>34</v>
      </c>
      <c r="Q657" t="s">
        <v>34</v>
      </c>
      <c r="R657" t="s">
        <v>34</v>
      </c>
      <c r="S657" t="s">
        <v>34</v>
      </c>
      <c r="T657" s="117">
        <v>0</v>
      </c>
    </row>
    <row r="658" spans="1:20" ht="14.5" customHeight="1" x14ac:dyDescent="0.35">
      <c r="A658" t="s">
        <v>20</v>
      </c>
      <c r="B658" t="s">
        <v>21</v>
      </c>
      <c r="C658" s="1">
        <v>45407</v>
      </c>
      <c r="D658">
        <f t="shared" si="44"/>
        <v>25</v>
      </c>
      <c r="E658">
        <f t="shared" si="45"/>
        <v>4</v>
      </c>
      <c r="F658">
        <f t="shared" si="46"/>
        <v>2024</v>
      </c>
      <c r="G658" t="s">
        <v>43</v>
      </c>
      <c r="H658" s="98">
        <v>10225</v>
      </c>
      <c r="I658" s="29">
        <v>15851.67</v>
      </c>
      <c r="J658" s="12" t="s">
        <v>31</v>
      </c>
      <c r="K658" s="29">
        <f t="shared" si="43"/>
        <v>15851.67</v>
      </c>
      <c r="L658">
        <v>1</v>
      </c>
      <c r="M658" s="29">
        <v>0</v>
      </c>
      <c r="N658" t="s">
        <v>32</v>
      </c>
      <c r="O658" t="s">
        <v>33</v>
      </c>
      <c r="P658" t="s">
        <v>34</v>
      </c>
      <c r="Q658" t="s">
        <v>34</v>
      </c>
      <c r="R658" t="s">
        <v>34</v>
      </c>
      <c r="S658" t="s">
        <v>34</v>
      </c>
      <c r="T658" s="117">
        <v>0</v>
      </c>
    </row>
    <row r="659" spans="1:20" ht="14.5" customHeight="1" x14ac:dyDescent="0.35">
      <c r="A659" t="s">
        <v>20</v>
      </c>
      <c r="B659" t="s">
        <v>25</v>
      </c>
      <c r="C659" s="1">
        <v>45408</v>
      </c>
      <c r="D659">
        <f t="shared" si="44"/>
        <v>26</v>
      </c>
      <c r="E659">
        <f t="shared" si="45"/>
        <v>4</v>
      </c>
      <c r="F659">
        <f t="shared" si="46"/>
        <v>2024</v>
      </c>
      <c r="G659" t="s">
        <v>43</v>
      </c>
      <c r="H659" s="98">
        <v>10225</v>
      </c>
      <c r="I659" s="29">
        <v>6257.4</v>
      </c>
      <c r="J659" s="12" t="s">
        <v>31</v>
      </c>
      <c r="K659" s="29">
        <f t="shared" si="43"/>
        <v>6257.4</v>
      </c>
      <c r="L659">
        <v>1</v>
      </c>
      <c r="M659" s="29">
        <v>0</v>
      </c>
      <c r="N659" t="s">
        <v>32</v>
      </c>
      <c r="O659" t="s">
        <v>33</v>
      </c>
      <c r="P659" t="s">
        <v>34</v>
      </c>
      <c r="Q659" t="s">
        <v>34</v>
      </c>
      <c r="R659" t="s">
        <v>34</v>
      </c>
      <c r="S659" t="s">
        <v>34</v>
      </c>
      <c r="T659" s="117">
        <v>0</v>
      </c>
    </row>
    <row r="660" spans="1:20" ht="14.5" customHeight="1" x14ac:dyDescent="0.35">
      <c r="A660" t="s">
        <v>20</v>
      </c>
      <c r="B660" t="s">
        <v>24</v>
      </c>
      <c r="C660" s="1">
        <v>45409</v>
      </c>
      <c r="D660">
        <f t="shared" si="44"/>
        <v>27</v>
      </c>
      <c r="E660">
        <f t="shared" si="45"/>
        <v>4</v>
      </c>
      <c r="F660">
        <f t="shared" si="46"/>
        <v>2024</v>
      </c>
      <c r="G660" t="s">
        <v>43</v>
      </c>
      <c r="H660" s="98">
        <v>10225</v>
      </c>
      <c r="I660" s="29">
        <v>19971.900000000001</v>
      </c>
      <c r="J660" s="12" t="s">
        <v>31</v>
      </c>
      <c r="K660" s="29">
        <f t="shared" si="43"/>
        <v>19971.900000000001</v>
      </c>
      <c r="L660">
        <v>1</v>
      </c>
      <c r="M660" s="29">
        <v>0</v>
      </c>
      <c r="N660" t="s">
        <v>32</v>
      </c>
      <c r="O660" t="s">
        <v>33</v>
      </c>
      <c r="P660" t="s">
        <v>34</v>
      </c>
      <c r="Q660" t="s">
        <v>34</v>
      </c>
      <c r="R660" t="s">
        <v>34</v>
      </c>
      <c r="S660" t="s">
        <v>34</v>
      </c>
      <c r="T660" s="117">
        <v>0</v>
      </c>
    </row>
    <row r="661" spans="1:20" ht="14.5" customHeight="1" x14ac:dyDescent="0.35">
      <c r="A661" t="s">
        <v>20</v>
      </c>
      <c r="B661" t="s">
        <v>21</v>
      </c>
      <c r="C661" s="1">
        <v>45410</v>
      </c>
      <c r="D661">
        <f t="shared" si="44"/>
        <v>28</v>
      </c>
      <c r="E661">
        <f t="shared" si="45"/>
        <v>4</v>
      </c>
      <c r="F661">
        <f t="shared" si="46"/>
        <v>2024</v>
      </c>
      <c r="G661" t="s">
        <v>43</v>
      </c>
      <c r="H661" s="98">
        <v>10222</v>
      </c>
      <c r="I661" s="29">
        <v>250.2</v>
      </c>
      <c r="J661" s="12" t="s">
        <v>31</v>
      </c>
      <c r="K661" s="29">
        <f t="shared" si="43"/>
        <v>250.2</v>
      </c>
      <c r="L661">
        <v>1</v>
      </c>
      <c r="M661" s="29">
        <v>0</v>
      </c>
      <c r="N661" t="s">
        <v>32</v>
      </c>
      <c r="O661" t="s">
        <v>33</v>
      </c>
      <c r="P661" t="s">
        <v>34</v>
      </c>
      <c r="Q661" t="s">
        <v>34</v>
      </c>
      <c r="R661" t="s">
        <v>34</v>
      </c>
      <c r="S661" t="s">
        <v>34</v>
      </c>
      <c r="T661" s="117">
        <v>0</v>
      </c>
    </row>
    <row r="662" spans="1:20" ht="14.5" customHeight="1" x14ac:dyDescent="0.35">
      <c r="A662" t="s">
        <v>20</v>
      </c>
      <c r="B662" t="s">
        <v>25</v>
      </c>
      <c r="C662" s="1">
        <v>45411</v>
      </c>
      <c r="D662">
        <f t="shared" si="44"/>
        <v>29</v>
      </c>
      <c r="E662">
        <f t="shared" si="45"/>
        <v>4</v>
      </c>
      <c r="F662">
        <f t="shared" si="46"/>
        <v>2024</v>
      </c>
      <c r="G662" t="s">
        <v>222</v>
      </c>
      <c r="H662" s="98">
        <v>10390</v>
      </c>
      <c r="I662" s="29">
        <v>6937.6</v>
      </c>
      <c r="J662" s="12" t="s">
        <v>31</v>
      </c>
      <c r="K662" s="29">
        <f t="shared" si="43"/>
        <v>6937.6</v>
      </c>
      <c r="L662">
        <v>1</v>
      </c>
      <c r="M662" s="29">
        <v>0</v>
      </c>
      <c r="N662" t="s">
        <v>42</v>
      </c>
      <c r="O662" t="s">
        <v>33</v>
      </c>
      <c r="P662" t="s">
        <v>34</v>
      </c>
      <c r="Q662" t="s">
        <v>34</v>
      </c>
      <c r="R662" t="s">
        <v>34</v>
      </c>
      <c r="S662" t="s">
        <v>34</v>
      </c>
      <c r="T662" s="117">
        <v>0</v>
      </c>
    </row>
    <row r="663" spans="1:20" ht="14.5" customHeight="1" x14ac:dyDescent="0.35">
      <c r="A663" t="s">
        <v>20</v>
      </c>
      <c r="B663" t="s">
        <v>223</v>
      </c>
      <c r="C663" s="1">
        <v>45406</v>
      </c>
      <c r="D663">
        <f t="shared" si="44"/>
        <v>24</v>
      </c>
      <c r="E663">
        <f t="shared" si="45"/>
        <v>4</v>
      </c>
      <c r="F663">
        <f t="shared" si="46"/>
        <v>2024</v>
      </c>
      <c r="G663" t="s">
        <v>223</v>
      </c>
      <c r="H663" s="98">
        <v>10047</v>
      </c>
      <c r="I663" s="29">
        <v>17511.3</v>
      </c>
      <c r="J663" s="12" t="s">
        <v>51</v>
      </c>
      <c r="K663" s="29">
        <f t="shared" si="43"/>
        <v>18758.10456</v>
      </c>
      <c r="L663">
        <v>1.0711999999999999</v>
      </c>
      <c r="M663" s="29">
        <v>0</v>
      </c>
      <c r="N663" t="s">
        <v>32</v>
      </c>
      <c r="O663" t="s">
        <v>186</v>
      </c>
      <c r="P663" s="13">
        <v>45406</v>
      </c>
      <c r="Q663" t="s">
        <v>34</v>
      </c>
      <c r="R663">
        <v>10010014384</v>
      </c>
      <c r="S663" t="s">
        <v>34</v>
      </c>
      <c r="T663" s="117">
        <v>0</v>
      </c>
    </row>
    <row r="664" spans="1:20" ht="14.5" customHeight="1" x14ac:dyDescent="0.35">
      <c r="A664" t="s">
        <v>19</v>
      </c>
      <c r="B664" t="s">
        <v>19</v>
      </c>
      <c r="C664" s="1">
        <v>45406</v>
      </c>
      <c r="D664">
        <f t="shared" si="44"/>
        <v>24</v>
      </c>
      <c r="E664">
        <f t="shared" si="45"/>
        <v>4</v>
      </c>
      <c r="F664">
        <f t="shared" si="46"/>
        <v>2024</v>
      </c>
      <c r="G664" t="s">
        <v>90</v>
      </c>
      <c r="H664" s="98">
        <v>9733</v>
      </c>
      <c r="I664" s="29">
        <v>111084.73</v>
      </c>
      <c r="J664" s="12" t="s">
        <v>31</v>
      </c>
      <c r="K664" s="29">
        <f t="shared" si="43"/>
        <v>111084.73</v>
      </c>
      <c r="L664">
        <v>1</v>
      </c>
      <c r="M664" s="29">
        <v>0</v>
      </c>
      <c r="N664" t="s">
        <v>32</v>
      </c>
      <c r="O664" t="s">
        <v>33</v>
      </c>
      <c r="P664" t="s">
        <v>34</v>
      </c>
      <c r="Q664" t="s">
        <v>34</v>
      </c>
      <c r="R664" t="s">
        <v>34</v>
      </c>
      <c r="S664" t="s">
        <v>34</v>
      </c>
      <c r="T664" s="117">
        <v>0</v>
      </c>
    </row>
    <row r="665" spans="1:20" ht="14.5" customHeight="1" x14ac:dyDescent="0.35">
      <c r="A665" t="s">
        <v>19</v>
      </c>
      <c r="B665" t="s">
        <v>19</v>
      </c>
      <c r="C665" s="1">
        <v>45406</v>
      </c>
      <c r="D665">
        <f t="shared" si="44"/>
        <v>24</v>
      </c>
      <c r="E665">
        <f t="shared" si="45"/>
        <v>4</v>
      </c>
      <c r="F665">
        <f t="shared" si="46"/>
        <v>2024</v>
      </c>
      <c r="G665" t="s">
        <v>125</v>
      </c>
      <c r="H665" s="98">
        <v>9513</v>
      </c>
      <c r="I665" s="29">
        <v>119512.95</v>
      </c>
      <c r="J665" s="12" t="s">
        <v>31</v>
      </c>
      <c r="K665" s="29">
        <f t="shared" si="43"/>
        <v>119512.95</v>
      </c>
      <c r="L665">
        <v>1</v>
      </c>
      <c r="M665" s="29">
        <v>0</v>
      </c>
      <c r="N665" t="s">
        <v>32</v>
      </c>
      <c r="O665" t="s">
        <v>33</v>
      </c>
      <c r="P665" t="s">
        <v>34</v>
      </c>
      <c r="Q665" t="s">
        <v>34</v>
      </c>
      <c r="R665" t="s">
        <v>34</v>
      </c>
      <c r="S665" t="s">
        <v>34</v>
      </c>
      <c r="T665" s="117">
        <v>0</v>
      </c>
    </row>
    <row r="666" spans="1:20" ht="14.5" customHeight="1" x14ac:dyDescent="0.35">
      <c r="A666" t="s">
        <v>19</v>
      </c>
      <c r="B666" t="s">
        <v>19</v>
      </c>
      <c r="C666" s="1">
        <v>45406</v>
      </c>
      <c r="D666">
        <f t="shared" si="44"/>
        <v>24</v>
      </c>
      <c r="E666">
        <f t="shared" si="45"/>
        <v>4</v>
      </c>
      <c r="F666">
        <f t="shared" si="46"/>
        <v>2024</v>
      </c>
      <c r="G666" t="s">
        <v>57</v>
      </c>
      <c r="H666" s="98">
        <v>9921</v>
      </c>
      <c r="I666" s="29">
        <v>47829.55</v>
      </c>
      <c r="J666" s="12" t="s">
        <v>31</v>
      </c>
      <c r="K666" s="29">
        <f t="shared" si="43"/>
        <v>47829.55</v>
      </c>
      <c r="L666">
        <v>1</v>
      </c>
      <c r="M666" s="29">
        <v>0</v>
      </c>
      <c r="N666" t="s">
        <v>32</v>
      </c>
      <c r="O666" t="s">
        <v>33</v>
      </c>
      <c r="P666" t="s">
        <v>34</v>
      </c>
      <c r="Q666" t="s">
        <v>34</v>
      </c>
      <c r="R666" t="s">
        <v>34</v>
      </c>
      <c r="S666" t="s">
        <v>34</v>
      </c>
      <c r="T666" s="117">
        <v>0</v>
      </c>
    </row>
    <row r="667" spans="1:20" ht="14.5" customHeight="1" x14ac:dyDescent="0.35">
      <c r="A667" t="s">
        <v>19</v>
      </c>
      <c r="B667" t="s">
        <v>19</v>
      </c>
      <c r="C667" s="1">
        <v>45406</v>
      </c>
      <c r="D667">
        <f t="shared" si="44"/>
        <v>24</v>
      </c>
      <c r="E667">
        <f t="shared" si="45"/>
        <v>4</v>
      </c>
      <c r="F667">
        <f t="shared" si="46"/>
        <v>2024</v>
      </c>
      <c r="G667" t="s">
        <v>88</v>
      </c>
      <c r="H667" s="98">
        <v>9915</v>
      </c>
      <c r="I667" s="29">
        <v>50335.63</v>
      </c>
      <c r="J667" s="12" t="s">
        <v>31</v>
      </c>
      <c r="K667" s="29">
        <f t="shared" si="43"/>
        <v>50335.63</v>
      </c>
      <c r="L667">
        <v>1</v>
      </c>
      <c r="M667" s="29">
        <v>0</v>
      </c>
      <c r="N667" t="s">
        <v>32</v>
      </c>
      <c r="O667" t="s">
        <v>33</v>
      </c>
      <c r="P667" t="s">
        <v>34</v>
      </c>
      <c r="Q667" t="s">
        <v>34</v>
      </c>
      <c r="R667" t="s">
        <v>34</v>
      </c>
      <c r="S667" t="s">
        <v>34</v>
      </c>
      <c r="T667" s="117">
        <v>0</v>
      </c>
    </row>
    <row r="668" spans="1:20" ht="14.5" customHeight="1" x14ac:dyDescent="0.35">
      <c r="A668" t="s">
        <v>19</v>
      </c>
      <c r="B668" t="s">
        <v>19</v>
      </c>
      <c r="C668" s="1">
        <v>45406</v>
      </c>
      <c r="D668">
        <f t="shared" si="44"/>
        <v>24</v>
      </c>
      <c r="E668">
        <f t="shared" si="45"/>
        <v>4</v>
      </c>
      <c r="F668">
        <f t="shared" si="46"/>
        <v>2024</v>
      </c>
      <c r="G668" t="s">
        <v>111</v>
      </c>
      <c r="H668" s="98" t="s">
        <v>224</v>
      </c>
      <c r="I668" s="29">
        <v>77342.320000000007</v>
      </c>
      <c r="J668" s="12" t="s">
        <v>31</v>
      </c>
      <c r="K668" s="29">
        <f t="shared" si="43"/>
        <v>77342.320000000007</v>
      </c>
      <c r="L668">
        <v>1</v>
      </c>
      <c r="M668" s="29">
        <v>0</v>
      </c>
      <c r="N668" t="s">
        <v>32</v>
      </c>
      <c r="O668" t="s">
        <v>33</v>
      </c>
      <c r="P668" t="s">
        <v>34</v>
      </c>
      <c r="Q668" t="s">
        <v>34</v>
      </c>
      <c r="R668" t="s">
        <v>34</v>
      </c>
      <c r="S668" t="s">
        <v>34</v>
      </c>
      <c r="T668" s="117">
        <v>0</v>
      </c>
    </row>
    <row r="669" spans="1:20" ht="14.5" customHeight="1" x14ac:dyDescent="0.35">
      <c r="A669" t="s">
        <v>19</v>
      </c>
      <c r="B669" t="s">
        <v>19</v>
      </c>
      <c r="C669" s="1">
        <v>45406</v>
      </c>
      <c r="D669">
        <f t="shared" si="44"/>
        <v>24</v>
      </c>
      <c r="E669">
        <f t="shared" si="45"/>
        <v>4</v>
      </c>
      <c r="F669">
        <f t="shared" si="46"/>
        <v>2024</v>
      </c>
      <c r="G669" t="s">
        <v>54</v>
      </c>
      <c r="H669" s="98">
        <v>9287</v>
      </c>
      <c r="I669" s="90">
        <v>53797.33</v>
      </c>
      <c r="J669" s="12" t="s">
        <v>31</v>
      </c>
      <c r="K669" s="29">
        <f t="shared" si="43"/>
        <v>53797.33</v>
      </c>
      <c r="L669">
        <v>1</v>
      </c>
      <c r="M669" s="29">
        <v>0</v>
      </c>
      <c r="N669" t="s">
        <v>32</v>
      </c>
      <c r="O669" t="s">
        <v>33</v>
      </c>
      <c r="P669" t="s">
        <v>34</v>
      </c>
      <c r="Q669" t="s">
        <v>34</v>
      </c>
      <c r="R669" t="s">
        <v>34</v>
      </c>
      <c r="S669" t="s">
        <v>34</v>
      </c>
      <c r="T669" s="117">
        <v>0</v>
      </c>
    </row>
    <row r="670" spans="1:20" ht="14.5" customHeight="1" x14ac:dyDescent="0.35">
      <c r="A670" t="s">
        <v>19</v>
      </c>
      <c r="B670" t="s">
        <v>19</v>
      </c>
      <c r="C670" s="1">
        <v>45407</v>
      </c>
      <c r="D670">
        <f t="shared" si="44"/>
        <v>25</v>
      </c>
      <c r="E670">
        <f t="shared" si="45"/>
        <v>4</v>
      </c>
      <c r="F670">
        <f t="shared" si="46"/>
        <v>2024</v>
      </c>
      <c r="G670" t="s">
        <v>225</v>
      </c>
      <c r="H670" s="98" t="s">
        <v>226</v>
      </c>
      <c r="I670" s="29">
        <v>10000</v>
      </c>
      <c r="J670" s="12" t="s">
        <v>31</v>
      </c>
      <c r="K670" s="29">
        <f t="shared" si="43"/>
        <v>10000</v>
      </c>
      <c r="L670">
        <v>1</v>
      </c>
      <c r="M670" s="29">
        <v>0</v>
      </c>
      <c r="N670" t="s">
        <v>42</v>
      </c>
      <c r="O670" t="s">
        <v>33</v>
      </c>
      <c r="P670" t="s">
        <v>34</v>
      </c>
      <c r="Q670" t="s">
        <v>34</v>
      </c>
      <c r="R670" t="s">
        <v>34</v>
      </c>
      <c r="S670" t="s">
        <v>34</v>
      </c>
      <c r="T670" s="117">
        <v>0</v>
      </c>
    </row>
    <row r="671" spans="1:20" ht="14.5" customHeight="1" x14ac:dyDescent="0.35">
      <c r="A671" t="s">
        <v>19</v>
      </c>
      <c r="B671" t="s">
        <v>19</v>
      </c>
      <c r="C671" s="1">
        <v>45407</v>
      </c>
      <c r="D671">
        <f t="shared" si="44"/>
        <v>25</v>
      </c>
      <c r="E671">
        <f t="shared" si="45"/>
        <v>4</v>
      </c>
      <c r="F671">
        <f t="shared" si="46"/>
        <v>2024</v>
      </c>
      <c r="G671" t="s">
        <v>225</v>
      </c>
      <c r="H671" s="98" t="s">
        <v>227</v>
      </c>
      <c r="I671" s="29">
        <v>10000</v>
      </c>
      <c r="J671" s="12" t="s">
        <v>31</v>
      </c>
      <c r="K671" s="29">
        <f t="shared" si="43"/>
        <v>10000</v>
      </c>
      <c r="L671">
        <v>1</v>
      </c>
      <c r="M671" s="29">
        <v>0</v>
      </c>
      <c r="N671" t="s">
        <v>42</v>
      </c>
      <c r="O671" t="s">
        <v>33</v>
      </c>
      <c r="P671" t="s">
        <v>34</v>
      </c>
      <c r="Q671" t="s">
        <v>34</v>
      </c>
      <c r="R671" t="s">
        <v>34</v>
      </c>
      <c r="S671" t="s">
        <v>34</v>
      </c>
      <c r="T671" s="117">
        <v>0</v>
      </c>
    </row>
    <row r="672" spans="1:20" ht="14.5" customHeight="1" x14ac:dyDescent="0.35">
      <c r="A672" t="s">
        <v>19</v>
      </c>
      <c r="B672" t="s">
        <v>19</v>
      </c>
      <c r="C672" s="1">
        <v>45406</v>
      </c>
      <c r="D672">
        <f t="shared" si="44"/>
        <v>24</v>
      </c>
      <c r="E672">
        <f t="shared" si="45"/>
        <v>4</v>
      </c>
      <c r="F672">
        <f t="shared" si="46"/>
        <v>2024</v>
      </c>
      <c r="G672" t="s">
        <v>228</v>
      </c>
      <c r="H672" s="98" t="s">
        <v>229</v>
      </c>
      <c r="I672" s="29">
        <v>79993.05</v>
      </c>
      <c r="J672" s="12" t="s">
        <v>31</v>
      </c>
      <c r="K672" s="29">
        <f t="shared" si="43"/>
        <v>79993.05</v>
      </c>
      <c r="L672">
        <v>1</v>
      </c>
      <c r="M672" s="29">
        <v>0</v>
      </c>
      <c r="N672" t="s">
        <v>32</v>
      </c>
      <c r="O672" t="s">
        <v>33</v>
      </c>
      <c r="P672" t="s">
        <v>34</v>
      </c>
      <c r="Q672" t="s">
        <v>34</v>
      </c>
      <c r="R672" t="s">
        <v>34</v>
      </c>
      <c r="S672" t="s">
        <v>34</v>
      </c>
      <c r="T672" s="117">
        <v>0</v>
      </c>
    </row>
    <row r="673" spans="1:21" ht="14.5" customHeight="1" x14ac:dyDescent="0.35">
      <c r="A673" t="s">
        <v>19</v>
      </c>
      <c r="B673" t="s">
        <v>26</v>
      </c>
      <c r="C673" s="1">
        <v>45407</v>
      </c>
      <c r="D673">
        <f t="shared" si="44"/>
        <v>25</v>
      </c>
      <c r="E673">
        <f t="shared" si="45"/>
        <v>4</v>
      </c>
      <c r="F673">
        <f t="shared" si="46"/>
        <v>2024</v>
      </c>
      <c r="G673" t="s">
        <v>73</v>
      </c>
      <c r="H673" s="98">
        <v>10285</v>
      </c>
      <c r="I673" s="15">
        <v>24657.279999999999</v>
      </c>
      <c r="J673" s="12" t="s">
        <v>51</v>
      </c>
      <c r="K673" s="29">
        <f t="shared" si="43"/>
        <v>26435.069888000002</v>
      </c>
      <c r="L673">
        <v>1.0721000000000001</v>
      </c>
      <c r="M673" s="29">
        <v>0</v>
      </c>
      <c r="N673" t="s">
        <v>32</v>
      </c>
      <c r="O673" t="s">
        <v>33</v>
      </c>
      <c r="P673" t="s">
        <v>34</v>
      </c>
      <c r="Q673" t="s">
        <v>34</v>
      </c>
      <c r="R673" t="s">
        <v>34</v>
      </c>
      <c r="S673" t="s">
        <v>34</v>
      </c>
      <c r="T673" s="117">
        <v>0</v>
      </c>
      <c r="U673" s="209" t="s">
        <v>94</v>
      </c>
    </row>
    <row r="674" spans="1:21" ht="14.5" customHeight="1" x14ac:dyDescent="0.35">
      <c r="A674" t="s">
        <v>19</v>
      </c>
      <c r="B674" t="s">
        <v>26</v>
      </c>
      <c r="C674" s="1">
        <v>45407</v>
      </c>
      <c r="D674">
        <f t="shared" si="44"/>
        <v>25</v>
      </c>
      <c r="E674">
        <f t="shared" si="45"/>
        <v>4</v>
      </c>
      <c r="F674">
        <f t="shared" si="46"/>
        <v>2024</v>
      </c>
      <c r="G674" t="s">
        <v>73</v>
      </c>
      <c r="H674" s="98">
        <v>10286</v>
      </c>
      <c r="I674" s="15">
        <v>45903.47</v>
      </c>
      <c r="J674" s="12" t="s">
        <v>51</v>
      </c>
      <c r="K674" s="29">
        <f t="shared" si="43"/>
        <v>49213.110187000006</v>
      </c>
      <c r="L674">
        <v>1.0721000000000001</v>
      </c>
      <c r="M674" s="29">
        <v>0</v>
      </c>
      <c r="N674" t="s">
        <v>32</v>
      </c>
      <c r="O674" t="s">
        <v>33</v>
      </c>
      <c r="P674" t="s">
        <v>34</v>
      </c>
      <c r="Q674" t="s">
        <v>34</v>
      </c>
      <c r="R674" t="s">
        <v>34</v>
      </c>
      <c r="S674" t="s">
        <v>34</v>
      </c>
      <c r="T674" s="117">
        <v>0</v>
      </c>
      <c r="U674" s="209" t="s">
        <v>94</v>
      </c>
    </row>
    <row r="675" spans="1:21" ht="14.5" customHeight="1" x14ac:dyDescent="0.35">
      <c r="A675" t="s">
        <v>19</v>
      </c>
      <c r="B675" t="s">
        <v>26</v>
      </c>
      <c r="C675" s="1">
        <v>45407</v>
      </c>
      <c r="D675">
        <f t="shared" si="44"/>
        <v>25</v>
      </c>
      <c r="E675">
        <f t="shared" si="45"/>
        <v>4</v>
      </c>
      <c r="F675">
        <f t="shared" si="46"/>
        <v>2024</v>
      </c>
      <c r="G675" t="s">
        <v>73</v>
      </c>
      <c r="H675" s="98">
        <v>10347</v>
      </c>
      <c r="I675" s="15">
        <v>129600.52</v>
      </c>
      <c r="J675" s="12" t="s">
        <v>51</v>
      </c>
      <c r="K675" s="29">
        <f t="shared" si="43"/>
        <v>138944.71749200003</v>
      </c>
      <c r="L675">
        <v>1.0721000000000001</v>
      </c>
      <c r="M675" s="29">
        <v>0</v>
      </c>
      <c r="N675" t="s">
        <v>32</v>
      </c>
      <c r="O675" t="s">
        <v>33</v>
      </c>
      <c r="P675" t="s">
        <v>34</v>
      </c>
      <c r="Q675" t="s">
        <v>34</v>
      </c>
      <c r="R675" t="s">
        <v>34</v>
      </c>
      <c r="S675" t="s">
        <v>34</v>
      </c>
      <c r="T675" s="117">
        <v>0</v>
      </c>
      <c r="U675" s="209" t="s">
        <v>94</v>
      </c>
    </row>
    <row r="676" spans="1:21" ht="14.5" customHeight="1" x14ac:dyDescent="0.35">
      <c r="A676" t="s">
        <v>19</v>
      </c>
      <c r="B676" t="s">
        <v>26</v>
      </c>
      <c r="C676" s="1">
        <v>45407</v>
      </c>
      <c r="D676">
        <f t="shared" si="44"/>
        <v>25</v>
      </c>
      <c r="E676">
        <f t="shared" si="45"/>
        <v>4</v>
      </c>
      <c r="F676">
        <f t="shared" si="46"/>
        <v>2024</v>
      </c>
      <c r="G676" t="s">
        <v>73</v>
      </c>
      <c r="H676" s="98">
        <v>10348</v>
      </c>
      <c r="I676" s="15">
        <v>113572.18</v>
      </c>
      <c r="J676" s="12" t="s">
        <v>51</v>
      </c>
      <c r="K676" s="29">
        <f t="shared" si="43"/>
        <v>121760.734178</v>
      </c>
      <c r="L676">
        <v>1.0721000000000001</v>
      </c>
      <c r="M676" s="29">
        <v>0</v>
      </c>
      <c r="N676" t="s">
        <v>32</v>
      </c>
      <c r="O676" t="s">
        <v>33</v>
      </c>
      <c r="P676" t="s">
        <v>34</v>
      </c>
      <c r="Q676" t="s">
        <v>34</v>
      </c>
      <c r="R676" t="s">
        <v>34</v>
      </c>
      <c r="S676" t="s">
        <v>34</v>
      </c>
      <c r="T676" s="117">
        <v>0</v>
      </c>
      <c r="U676" s="209" t="s">
        <v>94</v>
      </c>
    </row>
    <row r="677" spans="1:21" ht="14.5" customHeight="1" x14ac:dyDescent="0.35">
      <c r="A677" t="s">
        <v>19</v>
      </c>
      <c r="B677" t="s">
        <v>26</v>
      </c>
      <c r="C677" s="1">
        <v>45407</v>
      </c>
      <c r="D677">
        <f t="shared" si="44"/>
        <v>25</v>
      </c>
      <c r="E677">
        <f t="shared" si="45"/>
        <v>4</v>
      </c>
      <c r="F677">
        <f t="shared" si="46"/>
        <v>2024</v>
      </c>
      <c r="G677" t="s">
        <v>73</v>
      </c>
      <c r="H677" s="98">
        <v>10367</v>
      </c>
      <c r="I677" s="15">
        <v>87947.16</v>
      </c>
      <c r="J677" s="12" t="s">
        <v>51</v>
      </c>
      <c r="K677" s="29">
        <f t="shared" si="43"/>
        <v>94288.150236000001</v>
      </c>
      <c r="L677">
        <v>1.0721000000000001</v>
      </c>
      <c r="M677" s="29">
        <v>0</v>
      </c>
      <c r="N677" t="s">
        <v>32</v>
      </c>
      <c r="O677" t="s">
        <v>33</v>
      </c>
      <c r="P677" t="s">
        <v>34</v>
      </c>
      <c r="Q677" t="s">
        <v>34</v>
      </c>
      <c r="R677" t="s">
        <v>34</v>
      </c>
      <c r="S677" t="s">
        <v>34</v>
      </c>
      <c r="T677" s="117">
        <v>0</v>
      </c>
      <c r="U677" s="209" t="s">
        <v>94</v>
      </c>
    </row>
    <row r="678" spans="1:21" ht="14.5" customHeight="1" x14ac:dyDescent="0.35">
      <c r="A678" t="s">
        <v>19</v>
      </c>
      <c r="B678" t="s">
        <v>26</v>
      </c>
      <c r="C678" s="1">
        <v>45407</v>
      </c>
      <c r="D678">
        <f t="shared" si="44"/>
        <v>25</v>
      </c>
      <c r="E678">
        <f t="shared" si="45"/>
        <v>4</v>
      </c>
      <c r="F678">
        <f t="shared" si="46"/>
        <v>2024</v>
      </c>
      <c r="G678" t="s">
        <v>73</v>
      </c>
      <c r="H678" s="98">
        <v>10384</v>
      </c>
      <c r="I678" s="15">
        <v>88653.98</v>
      </c>
      <c r="J678" s="12" t="s">
        <v>51</v>
      </c>
      <c r="K678" s="29">
        <f t="shared" si="43"/>
        <v>95045.931958000001</v>
      </c>
      <c r="L678">
        <v>1.0721000000000001</v>
      </c>
      <c r="M678" s="29">
        <v>0</v>
      </c>
      <c r="N678" t="s">
        <v>32</v>
      </c>
      <c r="O678" t="s">
        <v>33</v>
      </c>
      <c r="P678" t="s">
        <v>34</v>
      </c>
      <c r="Q678" t="s">
        <v>34</v>
      </c>
      <c r="R678" t="s">
        <v>34</v>
      </c>
      <c r="S678" t="s">
        <v>34</v>
      </c>
      <c r="T678" s="117">
        <v>0</v>
      </c>
      <c r="U678" s="209" t="s">
        <v>94</v>
      </c>
    </row>
    <row r="679" spans="1:21" ht="14.5" customHeight="1" x14ac:dyDescent="0.35">
      <c r="A679" t="s">
        <v>19</v>
      </c>
      <c r="B679" t="s">
        <v>26</v>
      </c>
      <c r="C679" s="1">
        <v>45407</v>
      </c>
      <c r="D679">
        <f t="shared" si="44"/>
        <v>25</v>
      </c>
      <c r="E679">
        <f t="shared" si="45"/>
        <v>4</v>
      </c>
      <c r="F679">
        <f t="shared" si="46"/>
        <v>2024</v>
      </c>
      <c r="G679" t="s">
        <v>73</v>
      </c>
      <c r="H679" s="98">
        <v>10422</v>
      </c>
      <c r="I679" s="15">
        <v>10493.97</v>
      </c>
      <c r="J679" s="12" t="s">
        <v>51</v>
      </c>
      <c r="K679" s="29">
        <f t="shared" si="43"/>
        <v>11250.585236999999</v>
      </c>
      <c r="L679">
        <v>1.0721000000000001</v>
      </c>
      <c r="M679" s="29">
        <v>0</v>
      </c>
      <c r="N679" t="s">
        <v>32</v>
      </c>
      <c r="O679" t="s">
        <v>33</v>
      </c>
      <c r="P679" t="s">
        <v>34</v>
      </c>
      <c r="Q679" t="s">
        <v>34</v>
      </c>
      <c r="R679" t="s">
        <v>34</v>
      </c>
      <c r="S679" t="s">
        <v>34</v>
      </c>
      <c r="T679" s="117">
        <v>0</v>
      </c>
      <c r="U679" s="209" t="s">
        <v>94</v>
      </c>
    </row>
    <row r="680" spans="1:21" ht="14.5" customHeight="1" x14ac:dyDescent="0.35">
      <c r="A680" t="s">
        <v>20</v>
      </c>
      <c r="B680" t="s">
        <v>223</v>
      </c>
      <c r="C680" s="1">
        <v>45411</v>
      </c>
      <c r="D680">
        <f t="shared" si="44"/>
        <v>29</v>
      </c>
      <c r="E680">
        <f t="shared" si="45"/>
        <v>4</v>
      </c>
      <c r="F680">
        <f t="shared" si="46"/>
        <v>2024</v>
      </c>
      <c r="G680" t="s">
        <v>223</v>
      </c>
      <c r="H680" s="98">
        <v>10018</v>
      </c>
      <c r="I680" s="29">
        <v>29206.6</v>
      </c>
      <c r="J680" s="12" t="s">
        <v>51</v>
      </c>
      <c r="K680" s="29">
        <f t="shared" si="43"/>
        <v>31300.713220000001</v>
      </c>
      <c r="L680">
        <v>1.0717000000000001</v>
      </c>
      <c r="M680" s="29">
        <v>0</v>
      </c>
      <c r="N680" t="s">
        <v>32</v>
      </c>
      <c r="O680" t="s">
        <v>186</v>
      </c>
      <c r="P680" s="1">
        <v>45407</v>
      </c>
      <c r="Q680" t="s">
        <v>34</v>
      </c>
      <c r="R680">
        <v>10010014384</v>
      </c>
      <c r="S680" t="s">
        <v>34</v>
      </c>
      <c r="T680" s="117">
        <v>0</v>
      </c>
    </row>
    <row r="681" spans="1:21" ht="14.5" customHeight="1" x14ac:dyDescent="0.35">
      <c r="A681" t="s">
        <v>20</v>
      </c>
      <c r="B681" t="s">
        <v>25</v>
      </c>
      <c r="C681" s="1">
        <v>45414</v>
      </c>
      <c r="D681">
        <f t="shared" si="44"/>
        <v>2</v>
      </c>
      <c r="E681">
        <f t="shared" si="45"/>
        <v>5</v>
      </c>
      <c r="F681">
        <f t="shared" si="46"/>
        <v>2024</v>
      </c>
      <c r="G681" t="s">
        <v>81</v>
      </c>
      <c r="H681" s="98">
        <v>9859</v>
      </c>
      <c r="I681" s="29">
        <v>101596.18</v>
      </c>
      <c r="J681" s="12" t="s">
        <v>31</v>
      </c>
      <c r="K681" s="29">
        <f t="shared" si="43"/>
        <v>101596.18</v>
      </c>
      <c r="L681">
        <v>1</v>
      </c>
      <c r="M681" s="29">
        <v>0</v>
      </c>
      <c r="N681" t="s">
        <v>32</v>
      </c>
      <c r="O681" t="s">
        <v>33</v>
      </c>
      <c r="P681" t="s">
        <v>34</v>
      </c>
      <c r="Q681" t="s">
        <v>34</v>
      </c>
      <c r="R681" t="s">
        <v>34</v>
      </c>
      <c r="S681" t="s">
        <v>34</v>
      </c>
      <c r="T681" s="117">
        <v>0</v>
      </c>
    </row>
    <row r="682" spans="1:21" ht="14.5" customHeight="1" x14ac:dyDescent="0.35">
      <c r="A682" t="s">
        <v>20</v>
      </c>
      <c r="B682" t="s">
        <v>25</v>
      </c>
      <c r="C682" s="1">
        <v>45414</v>
      </c>
      <c r="D682">
        <f t="shared" si="44"/>
        <v>2</v>
      </c>
      <c r="E682">
        <f t="shared" si="45"/>
        <v>5</v>
      </c>
      <c r="F682">
        <f t="shared" si="46"/>
        <v>2024</v>
      </c>
      <c r="G682" t="s">
        <v>81</v>
      </c>
      <c r="H682" s="98">
        <v>10184</v>
      </c>
      <c r="I682" s="29">
        <v>14400</v>
      </c>
      <c r="J682" s="12" t="s">
        <v>31</v>
      </c>
      <c r="K682" s="29">
        <f t="shared" si="43"/>
        <v>14400</v>
      </c>
      <c r="L682">
        <v>1</v>
      </c>
      <c r="M682" s="29">
        <v>0</v>
      </c>
      <c r="N682" t="s">
        <v>32</v>
      </c>
      <c r="O682" t="s">
        <v>33</v>
      </c>
      <c r="P682" t="s">
        <v>34</v>
      </c>
      <c r="Q682" t="s">
        <v>34</v>
      </c>
      <c r="R682" t="s">
        <v>34</v>
      </c>
      <c r="S682" t="s">
        <v>34</v>
      </c>
      <c r="T682" s="117">
        <v>0</v>
      </c>
    </row>
    <row r="683" spans="1:21" ht="14.5" customHeight="1" x14ac:dyDescent="0.35">
      <c r="A683" t="s">
        <v>20</v>
      </c>
      <c r="B683" t="s">
        <v>25</v>
      </c>
      <c r="C683" s="1">
        <v>45414</v>
      </c>
      <c r="D683">
        <f t="shared" si="44"/>
        <v>2</v>
      </c>
      <c r="E683">
        <f t="shared" si="45"/>
        <v>5</v>
      </c>
      <c r="F683">
        <f t="shared" si="46"/>
        <v>2024</v>
      </c>
      <c r="G683" t="s">
        <v>81</v>
      </c>
      <c r="H683" s="98">
        <v>10241</v>
      </c>
      <c r="I683" s="29">
        <v>8235</v>
      </c>
      <c r="J683" s="12" t="s">
        <v>31</v>
      </c>
      <c r="K683" s="29">
        <f t="shared" si="43"/>
        <v>8235</v>
      </c>
      <c r="L683">
        <v>1</v>
      </c>
      <c r="M683" s="29">
        <v>0</v>
      </c>
      <c r="N683" t="s">
        <v>32</v>
      </c>
      <c r="O683" t="s">
        <v>33</v>
      </c>
      <c r="P683" t="s">
        <v>34</v>
      </c>
      <c r="Q683" t="s">
        <v>34</v>
      </c>
      <c r="R683" t="s">
        <v>34</v>
      </c>
      <c r="S683" t="s">
        <v>34</v>
      </c>
      <c r="T683" s="117">
        <v>0</v>
      </c>
    </row>
    <row r="684" spans="1:21" ht="14.5" customHeight="1" x14ac:dyDescent="0.35">
      <c r="A684" t="s">
        <v>20</v>
      </c>
      <c r="B684" t="s">
        <v>24</v>
      </c>
      <c r="C684" s="1">
        <v>45414</v>
      </c>
      <c r="D684">
        <f t="shared" si="44"/>
        <v>2</v>
      </c>
      <c r="E684">
        <f t="shared" si="45"/>
        <v>5</v>
      </c>
      <c r="F684">
        <f t="shared" si="46"/>
        <v>2024</v>
      </c>
      <c r="G684" t="s">
        <v>81</v>
      </c>
      <c r="H684" s="98">
        <v>10453</v>
      </c>
      <c r="I684" s="29">
        <v>46.75</v>
      </c>
      <c r="J684" s="12" t="s">
        <v>31</v>
      </c>
      <c r="K684" s="29">
        <f t="shared" si="43"/>
        <v>46.75</v>
      </c>
      <c r="L684">
        <v>1</v>
      </c>
      <c r="M684" s="29">
        <v>0</v>
      </c>
      <c r="N684" t="s">
        <v>42</v>
      </c>
      <c r="O684" t="s">
        <v>33</v>
      </c>
      <c r="P684" t="s">
        <v>34</v>
      </c>
      <c r="Q684" t="s">
        <v>34</v>
      </c>
      <c r="R684" t="s">
        <v>34</v>
      </c>
      <c r="S684" t="s">
        <v>34</v>
      </c>
      <c r="T684" s="117">
        <v>0</v>
      </c>
    </row>
    <row r="685" spans="1:21" ht="14.5" customHeight="1" x14ac:dyDescent="0.35">
      <c r="A685" t="s">
        <v>20</v>
      </c>
      <c r="B685" t="s">
        <v>24</v>
      </c>
      <c r="C685" s="1">
        <v>45414</v>
      </c>
      <c r="D685">
        <f t="shared" si="44"/>
        <v>2</v>
      </c>
      <c r="E685">
        <f t="shared" si="45"/>
        <v>5</v>
      </c>
      <c r="F685">
        <f t="shared" si="46"/>
        <v>2024</v>
      </c>
      <c r="G685" t="s">
        <v>81</v>
      </c>
      <c r="H685" s="98">
        <v>10737</v>
      </c>
      <c r="I685" s="29">
        <v>3749.75</v>
      </c>
      <c r="J685" s="12" t="s">
        <v>31</v>
      </c>
      <c r="K685" s="29">
        <f t="shared" si="43"/>
        <v>3749.75</v>
      </c>
      <c r="L685">
        <v>1</v>
      </c>
      <c r="M685" s="29">
        <v>0</v>
      </c>
      <c r="N685" t="s">
        <v>42</v>
      </c>
      <c r="O685" t="s">
        <v>33</v>
      </c>
      <c r="P685" t="s">
        <v>34</v>
      </c>
      <c r="Q685" t="s">
        <v>34</v>
      </c>
      <c r="R685" t="s">
        <v>34</v>
      </c>
      <c r="S685" t="s">
        <v>34</v>
      </c>
      <c r="T685" s="117">
        <v>0</v>
      </c>
      <c r="U685" s="209" t="s">
        <v>433</v>
      </c>
    </row>
    <row r="686" spans="1:21" ht="14.5" customHeight="1" x14ac:dyDescent="0.35">
      <c r="A686" t="s">
        <v>20</v>
      </c>
      <c r="B686" t="s">
        <v>24</v>
      </c>
      <c r="C686" s="1">
        <v>45414</v>
      </c>
      <c r="D686">
        <f t="shared" si="44"/>
        <v>2</v>
      </c>
      <c r="E686">
        <f t="shared" si="45"/>
        <v>5</v>
      </c>
      <c r="F686">
        <f t="shared" si="46"/>
        <v>2024</v>
      </c>
      <c r="G686" t="s">
        <v>81</v>
      </c>
      <c r="H686" s="98">
        <v>10455</v>
      </c>
      <c r="I686" s="29">
        <v>1664</v>
      </c>
      <c r="J686" s="12" t="s">
        <v>31</v>
      </c>
      <c r="K686" s="29">
        <f t="shared" si="43"/>
        <v>1664</v>
      </c>
      <c r="L686">
        <v>1</v>
      </c>
      <c r="M686" s="29">
        <v>0</v>
      </c>
      <c r="N686" t="s">
        <v>42</v>
      </c>
      <c r="O686" t="s">
        <v>33</v>
      </c>
      <c r="P686" t="s">
        <v>34</v>
      </c>
      <c r="Q686" t="s">
        <v>34</v>
      </c>
      <c r="R686" t="s">
        <v>34</v>
      </c>
      <c r="S686" t="s">
        <v>34</v>
      </c>
      <c r="T686" s="117">
        <v>0</v>
      </c>
    </row>
    <row r="687" spans="1:21" ht="14.5" customHeight="1" x14ac:dyDescent="0.35">
      <c r="A687" t="s">
        <v>20</v>
      </c>
      <c r="B687" t="s">
        <v>24</v>
      </c>
      <c r="C687" s="1">
        <v>45414</v>
      </c>
      <c r="D687">
        <f t="shared" si="44"/>
        <v>2</v>
      </c>
      <c r="E687">
        <f t="shared" si="45"/>
        <v>5</v>
      </c>
      <c r="F687">
        <f t="shared" si="46"/>
        <v>2024</v>
      </c>
      <c r="G687" t="s">
        <v>202</v>
      </c>
      <c r="H687" s="98">
        <v>9984</v>
      </c>
      <c r="I687" s="29">
        <v>62232.7</v>
      </c>
      <c r="J687" s="12" t="s">
        <v>31</v>
      </c>
      <c r="K687" s="29">
        <f t="shared" si="43"/>
        <v>62232.7</v>
      </c>
      <c r="L687">
        <v>1</v>
      </c>
      <c r="M687" s="29">
        <v>0</v>
      </c>
      <c r="N687" t="s">
        <v>32</v>
      </c>
      <c r="O687" t="s">
        <v>33</v>
      </c>
      <c r="P687" t="s">
        <v>34</v>
      </c>
      <c r="Q687" t="s">
        <v>34</v>
      </c>
      <c r="R687" t="s">
        <v>34</v>
      </c>
      <c r="S687" t="s">
        <v>34</v>
      </c>
      <c r="T687" s="117">
        <v>0</v>
      </c>
    </row>
    <row r="688" spans="1:21" ht="14.5" customHeight="1" x14ac:dyDescent="0.35">
      <c r="A688" t="s">
        <v>20</v>
      </c>
      <c r="B688" t="s">
        <v>23</v>
      </c>
      <c r="C688" s="1">
        <v>45414</v>
      </c>
      <c r="D688">
        <f t="shared" si="44"/>
        <v>2</v>
      </c>
      <c r="E688">
        <f t="shared" si="45"/>
        <v>5</v>
      </c>
      <c r="F688">
        <f t="shared" si="46"/>
        <v>2024</v>
      </c>
      <c r="G688" t="s">
        <v>177</v>
      </c>
      <c r="H688" s="98">
        <v>10315</v>
      </c>
      <c r="I688" s="29">
        <v>21311.59</v>
      </c>
      <c r="J688" s="12" t="s">
        <v>31</v>
      </c>
      <c r="K688" s="29">
        <f t="shared" si="43"/>
        <v>21311.59</v>
      </c>
      <c r="L688">
        <v>1</v>
      </c>
      <c r="M688" s="29">
        <v>0</v>
      </c>
      <c r="N688" t="s">
        <v>42</v>
      </c>
      <c r="O688" t="s">
        <v>33</v>
      </c>
      <c r="P688" t="s">
        <v>34</v>
      </c>
      <c r="Q688" t="s">
        <v>34</v>
      </c>
      <c r="R688" t="s">
        <v>34</v>
      </c>
      <c r="S688" t="s">
        <v>34</v>
      </c>
      <c r="T688" s="117">
        <v>0</v>
      </c>
    </row>
    <row r="689" spans="1:20" ht="14.5" customHeight="1" x14ac:dyDescent="0.35">
      <c r="A689" t="s">
        <v>20</v>
      </c>
      <c r="B689" t="s">
        <v>23</v>
      </c>
      <c r="C689" s="1">
        <v>45414</v>
      </c>
      <c r="D689">
        <f t="shared" si="44"/>
        <v>2</v>
      </c>
      <c r="E689">
        <f t="shared" si="45"/>
        <v>5</v>
      </c>
      <c r="F689">
        <f t="shared" si="46"/>
        <v>2024</v>
      </c>
      <c r="G689" t="s">
        <v>97</v>
      </c>
      <c r="H689" s="98">
        <v>10306</v>
      </c>
      <c r="I689" s="29">
        <v>124</v>
      </c>
      <c r="J689" s="12" t="s">
        <v>31</v>
      </c>
      <c r="K689" s="29">
        <f t="shared" si="43"/>
        <v>124</v>
      </c>
      <c r="L689">
        <v>1</v>
      </c>
      <c r="M689" s="29">
        <v>0</v>
      </c>
      <c r="N689" t="s">
        <v>32</v>
      </c>
      <c r="O689" t="s">
        <v>33</v>
      </c>
      <c r="P689" t="s">
        <v>34</v>
      </c>
      <c r="Q689" t="s">
        <v>34</v>
      </c>
      <c r="R689" t="s">
        <v>34</v>
      </c>
      <c r="S689" t="s">
        <v>34</v>
      </c>
      <c r="T689" s="117">
        <v>0</v>
      </c>
    </row>
    <row r="690" spans="1:20" ht="14.5" customHeight="1" x14ac:dyDescent="0.35">
      <c r="A690" t="s">
        <v>20</v>
      </c>
      <c r="B690" t="s">
        <v>25</v>
      </c>
      <c r="C690" s="1">
        <v>45414</v>
      </c>
      <c r="D690">
        <f t="shared" si="44"/>
        <v>2</v>
      </c>
      <c r="E690">
        <f t="shared" si="45"/>
        <v>5</v>
      </c>
      <c r="F690">
        <f t="shared" si="46"/>
        <v>2024</v>
      </c>
      <c r="G690" t="s">
        <v>565</v>
      </c>
      <c r="H690" s="98">
        <v>9853</v>
      </c>
      <c r="I690" s="29">
        <v>9663.1200000000008</v>
      </c>
      <c r="J690" s="12" t="s">
        <v>31</v>
      </c>
      <c r="K690" s="29">
        <f t="shared" si="43"/>
        <v>9663.1200000000008</v>
      </c>
      <c r="L690">
        <v>1</v>
      </c>
      <c r="M690" s="29">
        <v>0</v>
      </c>
      <c r="N690" t="s">
        <v>42</v>
      </c>
      <c r="O690" t="s">
        <v>33</v>
      </c>
      <c r="P690" t="s">
        <v>34</v>
      </c>
      <c r="Q690" t="s">
        <v>34</v>
      </c>
      <c r="R690" t="s">
        <v>34</v>
      </c>
      <c r="S690" t="s">
        <v>34</v>
      </c>
      <c r="T690" s="117">
        <v>0</v>
      </c>
    </row>
    <row r="691" spans="1:20" ht="14.5" customHeight="1" x14ac:dyDescent="0.35">
      <c r="A691" t="s">
        <v>20</v>
      </c>
      <c r="B691" t="s">
        <v>25</v>
      </c>
      <c r="C691" s="1">
        <v>45414</v>
      </c>
      <c r="D691">
        <f t="shared" si="44"/>
        <v>2</v>
      </c>
      <c r="E691">
        <f t="shared" si="45"/>
        <v>5</v>
      </c>
      <c r="F691">
        <f t="shared" si="46"/>
        <v>2024</v>
      </c>
      <c r="G691" t="s">
        <v>50</v>
      </c>
      <c r="H691" s="98">
        <v>9875</v>
      </c>
      <c r="I691" s="29">
        <v>12647.7</v>
      </c>
      <c r="J691" s="12" t="s">
        <v>31</v>
      </c>
      <c r="K691" s="29">
        <f t="shared" si="43"/>
        <v>12647.7</v>
      </c>
      <c r="L691">
        <v>1</v>
      </c>
      <c r="M691" s="29">
        <v>0</v>
      </c>
      <c r="N691" t="s">
        <v>32</v>
      </c>
      <c r="O691" t="s">
        <v>33</v>
      </c>
      <c r="P691" t="s">
        <v>34</v>
      </c>
      <c r="Q691" t="s">
        <v>34</v>
      </c>
      <c r="R691" t="s">
        <v>34</v>
      </c>
      <c r="S691" t="s">
        <v>34</v>
      </c>
      <c r="T691" s="117">
        <v>0</v>
      </c>
    </row>
    <row r="692" spans="1:20" ht="14.5" customHeight="1" x14ac:dyDescent="0.35">
      <c r="A692" t="s">
        <v>20</v>
      </c>
      <c r="B692" t="s">
        <v>23</v>
      </c>
      <c r="C692" s="1">
        <v>45414</v>
      </c>
      <c r="D692">
        <f t="shared" si="44"/>
        <v>2</v>
      </c>
      <c r="E692">
        <f t="shared" si="45"/>
        <v>5</v>
      </c>
      <c r="F692">
        <f t="shared" si="46"/>
        <v>2024</v>
      </c>
      <c r="G692" t="s">
        <v>50</v>
      </c>
      <c r="H692" s="98">
        <v>10431</v>
      </c>
      <c r="I692" s="29">
        <v>35</v>
      </c>
      <c r="J692" s="12" t="s">
        <v>31</v>
      </c>
      <c r="K692" s="29">
        <f t="shared" si="43"/>
        <v>35</v>
      </c>
      <c r="L692">
        <v>1</v>
      </c>
      <c r="M692" s="29">
        <v>0</v>
      </c>
      <c r="N692" t="s">
        <v>42</v>
      </c>
      <c r="O692" t="s">
        <v>33</v>
      </c>
      <c r="P692" t="s">
        <v>34</v>
      </c>
      <c r="Q692" t="s">
        <v>34</v>
      </c>
      <c r="R692" t="s">
        <v>34</v>
      </c>
      <c r="S692" t="s">
        <v>34</v>
      </c>
      <c r="T692" s="117">
        <v>0</v>
      </c>
    </row>
    <row r="693" spans="1:20" ht="14.5" customHeight="1" x14ac:dyDescent="0.35">
      <c r="A693" t="s">
        <v>20</v>
      </c>
      <c r="B693" t="s">
        <v>23</v>
      </c>
      <c r="C693" s="1">
        <v>45414</v>
      </c>
      <c r="D693">
        <f t="shared" si="44"/>
        <v>2</v>
      </c>
      <c r="E693">
        <f t="shared" si="45"/>
        <v>5</v>
      </c>
      <c r="F693">
        <f t="shared" si="46"/>
        <v>2024</v>
      </c>
      <c r="G693" t="s">
        <v>50</v>
      </c>
      <c r="H693" s="98">
        <v>10080</v>
      </c>
      <c r="I693" s="29">
        <v>1050</v>
      </c>
      <c r="J693" s="12" t="s">
        <v>31</v>
      </c>
      <c r="K693" s="29">
        <f t="shared" si="43"/>
        <v>1050</v>
      </c>
      <c r="L693">
        <v>1</v>
      </c>
      <c r="M693" s="29">
        <v>0</v>
      </c>
      <c r="N693" t="s">
        <v>42</v>
      </c>
      <c r="O693" t="s">
        <v>33</v>
      </c>
      <c r="P693" t="s">
        <v>34</v>
      </c>
      <c r="Q693" t="s">
        <v>34</v>
      </c>
      <c r="R693" t="s">
        <v>34</v>
      </c>
      <c r="S693" t="s">
        <v>34</v>
      </c>
      <c r="T693" s="117">
        <v>0</v>
      </c>
    </row>
    <row r="694" spans="1:20" ht="14.5" customHeight="1" x14ac:dyDescent="0.35">
      <c r="A694" t="s">
        <v>20</v>
      </c>
      <c r="B694" t="s">
        <v>25</v>
      </c>
      <c r="C694" s="1">
        <v>45414</v>
      </c>
      <c r="D694">
        <f t="shared" si="44"/>
        <v>2</v>
      </c>
      <c r="E694">
        <f t="shared" si="45"/>
        <v>5</v>
      </c>
      <c r="F694">
        <f t="shared" si="46"/>
        <v>2024</v>
      </c>
      <c r="G694" t="s">
        <v>45</v>
      </c>
      <c r="H694" s="98">
        <v>9819</v>
      </c>
      <c r="I694" s="29">
        <v>24560.18</v>
      </c>
      <c r="J694" s="12" t="s">
        <v>31</v>
      </c>
      <c r="K694" s="29">
        <f t="shared" si="43"/>
        <v>24560.18</v>
      </c>
      <c r="L694">
        <v>1</v>
      </c>
      <c r="M694" s="29">
        <v>0</v>
      </c>
      <c r="N694" t="s">
        <v>42</v>
      </c>
      <c r="O694" t="s">
        <v>33</v>
      </c>
      <c r="P694" t="s">
        <v>34</v>
      </c>
      <c r="Q694" t="s">
        <v>34</v>
      </c>
      <c r="R694" t="s">
        <v>34</v>
      </c>
      <c r="S694" t="s">
        <v>34</v>
      </c>
      <c r="T694" s="117">
        <v>0</v>
      </c>
    </row>
    <row r="695" spans="1:20" ht="14.5" customHeight="1" x14ac:dyDescent="0.35">
      <c r="A695" t="s">
        <v>20</v>
      </c>
      <c r="B695" t="s">
        <v>23</v>
      </c>
      <c r="C695" s="1">
        <v>45414</v>
      </c>
      <c r="D695">
        <f t="shared" si="44"/>
        <v>2</v>
      </c>
      <c r="E695">
        <f t="shared" si="45"/>
        <v>5</v>
      </c>
      <c r="F695">
        <f t="shared" si="46"/>
        <v>2024</v>
      </c>
      <c r="G695" t="s">
        <v>82</v>
      </c>
      <c r="H695" s="98">
        <v>10025</v>
      </c>
      <c r="I695" s="29">
        <v>4346.75</v>
      </c>
      <c r="J695" s="12" t="s">
        <v>31</v>
      </c>
      <c r="K695" s="29">
        <f t="shared" si="43"/>
        <v>4346.75</v>
      </c>
      <c r="L695">
        <v>1</v>
      </c>
      <c r="M695" s="29">
        <v>0</v>
      </c>
      <c r="N695" t="s">
        <v>32</v>
      </c>
      <c r="O695" t="s">
        <v>33</v>
      </c>
      <c r="P695" t="s">
        <v>34</v>
      </c>
      <c r="Q695" t="s">
        <v>34</v>
      </c>
      <c r="R695" t="s">
        <v>34</v>
      </c>
      <c r="S695" t="s">
        <v>34</v>
      </c>
      <c r="T695" s="117">
        <v>0</v>
      </c>
    </row>
    <row r="696" spans="1:20" ht="14.5" customHeight="1" x14ac:dyDescent="0.35">
      <c r="A696" t="s">
        <v>20</v>
      </c>
      <c r="B696" t="s">
        <v>21</v>
      </c>
      <c r="C696" s="1">
        <v>45414</v>
      </c>
      <c r="D696">
        <f t="shared" si="44"/>
        <v>2</v>
      </c>
      <c r="E696">
        <f t="shared" si="45"/>
        <v>5</v>
      </c>
      <c r="F696">
        <f t="shared" si="46"/>
        <v>2024</v>
      </c>
      <c r="G696" t="s">
        <v>82</v>
      </c>
      <c r="H696" s="98">
        <v>10076</v>
      </c>
      <c r="I696" s="29">
        <v>152</v>
      </c>
      <c r="J696" s="12" t="s">
        <v>31</v>
      </c>
      <c r="K696" s="29">
        <f t="shared" si="43"/>
        <v>152</v>
      </c>
      <c r="L696">
        <v>1</v>
      </c>
      <c r="M696" s="29">
        <v>0</v>
      </c>
      <c r="N696" t="s">
        <v>32</v>
      </c>
      <c r="O696" t="s">
        <v>33</v>
      </c>
      <c r="P696" t="s">
        <v>34</v>
      </c>
      <c r="Q696" t="s">
        <v>34</v>
      </c>
      <c r="R696" t="s">
        <v>34</v>
      </c>
      <c r="S696" t="s">
        <v>34</v>
      </c>
      <c r="T696" s="117">
        <v>0</v>
      </c>
    </row>
    <row r="697" spans="1:20" ht="14.5" customHeight="1" x14ac:dyDescent="0.35">
      <c r="A697" t="s">
        <v>20</v>
      </c>
      <c r="B697" t="s">
        <v>23</v>
      </c>
      <c r="C697" s="1">
        <v>45414</v>
      </c>
      <c r="D697">
        <f t="shared" si="44"/>
        <v>2</v>
      </c>
      <c r="E697">
        <f t="shared" si="45"/>
        <v>5</v>
      </c>
      <c r="F697">
        <f t="shared" si="46"/>
        <v>2024</v>
      </c>
      <c r="G697" t="s">
        <v>82</v>
      </c>
      <c r="H697" s="98">
        <v>10169</v>
      </c>
      <c r="I697" s="29">
        <v>217.8</v>
      </c>
      <c r="J697" s="12" t="s">
        <v>31</v>
      </c>
      <c r="K697" s="29">
        <f t="shared" si="43"/>
        <v>217.8</v>
      </c>
      <c r="L697">
        <v>1</v>
      </c>
      <c r="M697" s="29">
        <v>0</v>
      </c>
      <c r="N697" t="s">
        <v>32</v>
      </c>
      <c r="O697" t="s">
        <v>33</v>
      </c>
      <c r="P697" t="s">
        <v>34</v>
      </c>
      <c r="Q697" t="s">
        <v>34</v>
      </c>
      <c r="R697" t="s">
        <v>34</v>
      </c>
      <c r="S697" t="s">
        <v>34</v>
      </c>
      <c r="T697" s="117">
        <v>0</v>
      </c>
    </row>
    <row r="698" spans="1:20" ht="14.5" customHeight="1" x14ac:dyDescent="0.35">
      <c r="A698" t="s">
        <v>20</v>
      </c>
      <c r="B698" t="s">
        <v>25</v>
      </c>
      <c r="C698" s="1">
        <v>45414</v>
      </c>
      <c r="D698">
        <f t="shared" si="44"/>
        <v>2</v>
      </c>
      <c r="E698">
        <f t="shared" si="45"/>
        <v>5</v>
      </c>
      <c r="F698">
        <f t="shared" si="46"/>
        <v>2024</v>
      </c>
      <c r="G698" t="s">
        <v>43</v>
      </c>
      <c r="H698" s="98">
        <v>9721</v>
      </c>
      <c r="I698" s="29">
        <v>23620.71</v>
      </c>
      <c r="J698" s="12" t="s">
        <v>31</v>
      </c>
      <c r="K698" s="29">
        <f t="shared" si="43"/>
        <v>23620.71</v>
      </c>
      <c r="L698">
        <v>1</v>
      </c>
      <c r="M698" s="29">
        <v>0</v>
      </c>
      <c r="N698" t="s">
        <v>32</v>
      </c>
      <c r="O698" t="s">
        <v>33</v>
      </c>
      <c r="P698" t="s">
        <v>34</v>
      </c>
      <c r="Q698" t="s">
        <v>34</v>
      </c>
      <c r="R698" t="s">
        <v>34</v>
      </c>
      <c r="S698" t="s">
        <v>34</v>
      </c>
      <c r="T698" s="117">
        <v>0</v>
      </c>
    </row>
    <row r="699" spans="1:20" ht="14.5" customHeight="1" x14ac:dyDescent="0.35">
      <c r="A699" t="s">
        <v>20</v>
      </c>
      <c r="B699" t="s">
        <v>21</v>
      </c>
      <c r="C699" s="1">
        <v>45414</v>
      </c>
      <c r="D699">
        <f t="shared" si="44"/>
        <v>2</v>
      </c>
      <c r="E699">
        <f t="shared" si="45"/>
        <v>5</v>
      </c>
      <c r="F699">
        <f t="shared" si="46"/>
        <v>2024</v>
      </c>
      <c r="G699" t="s">
        <v>43</v>
      </c>
      <c r="H699" s="98">
        <v>9721</v>
      </c>
      <c r="I699" s="29">
        <v>1661.41</v>
      </c>
      <c r="J699" s="12" t="s">
        <v>31</v>
      </c>
      <c r="K699" s="29">
        <f t="shared" si="43"/>
        <v>1661.41</v>
      </c>
      <c r="L699">
        <v>1</v>
      </c>
      <c r="M699" s="29">
        <v>0</v>
      </c>
      <c r="N699" t="s">
        <v>32</v>
      </c>
      <c r="O699" t="s">
        <v>33</v>
      </c>
      <c r="P699" t="s">
        <v>34</v>
      </c>
      <c r="Q699" t="s">
        <v>34</v>
      </c>
      <c r="R699" t="s">
        <v>34</v>
      </c>
      <c r="S699" t="s">
        <v>34</v>
      </c>
      <c r="T699" s="117">
        <v>0</v>
      </c>
    </row>
    <row r="700" spans="1:20" ht="14.5" customHeight="1" x14ac:dyDescent="0.35">
      <c r="A700" t="s">
        <v>20</v>
      </c>
      <c r="B700" t="s">
        <v>21</v>
      </c>
      <c r="C700" s="1">
        <v>45414</v>
      </c>
      <c r="D700">
        <f t="shared" si="44"/>
        <v>2</v>
      </c>
      <c r="E700">
        <f t="shared" si="45"/>
        <v>5</v>
      </c>
      <c r="F700">
        <f t="shared" si="46"/>
        <v>2024</v>
      </c>
      <c r="G700" t="s">
        <v>43</v>
      </c>
      <c r="H700" s="98">
        <v>10220</v>
      </c>
      <c r="I700" s="29">
        <v>105.8</v>
      </c>
      <c r="J700" s="12" t="s">
        <v>31</v>
      </c>
      <c r="K700" s="29">
        <f t="shared" si="43"/>
        <v>105.8</v>
      </c>
      <c r="L700">
        <v>1</v>
      </c>
      <c r="M700" s="29">
        <v>0</v>
      </c>
      <c r="N700" t="s">
        <v>32</v>
      </c>
      <c r="O700" t="s">
        <v>33</v>
      </c>
      <c r="P700" t="s">
        <v>34</v>
      </c>
      <c r="Q700" t="s">
        <v>34</v>
      </c>
      <c r="R700" t="s">
        <v>34</v>
      </c>
      <c r="S700" t="s">
        <v>34</v>
      </c>
      <c r="T700" s="117">
        <v>0</v>
      </c>
    </row>
    <row r="701" spans="1:20" ht="14.5" customHeight="1" x14ac:dyDescent="0.35">
      <c r="A701" t="s">
        <v>20</v>
      </c>
      <c r="B701" t="s">
        <v>23</v>
      </c>
      <c r="C701" s="1">
        <v>45414</v>
      </c>
      <c r="D701">
        <f t="shared" si="44"/>
        <v>2</v>
      </c>
      <c r="E701">
        <f t="shared" si="45"/>
        <v>5</v>
      </c>
      <c r="F701">
        <f t="shared" si="46"/>
        <v>2024</v>
      </c>
      <c r="G701" t="s">
        <v>91</v>
      </c>
      <c r="H701" s="98">
        <v>10278</v>
      </c>
      <c r="I701" s="29">
        <v>43.4</v>
      </c>
      <c r="J701" s="12" t="s">
        <v>31</v>
      </c>
      <c r="K701" s="29">
        <f t="shared" si="43"/>
        <v>43.4</v>
      </c>
      <c r="L701">
        <v>1</v>
      </c>
      <c r="M701" s="29">
        <v>0</v>
      </c>
      <c r="N701" t="s">
        <v>32</v>
      </c>
      <c r="O701" t="s">
        <v>33</v>
      </c>
      <c r="P701" t="s">
        <v>34</v>
      </c>
      <c r="Q701" t="s">
        <v>34</v>
      </c>
      <c r="R701" t="s">
        <v>34</v>
      </c>
      <c r="S701" t="s">
        <v>34</v>
      </c>
      <c r="T701" s="117">
        <v>0</v>
      </c>
    </row>
    <row r="702" spans="1:20" ht="14.5" customHeight="1" x14ac:dyDescent="0.35">
      <c r="A702" t="s">
        <v>20</v>
      </c>
      <c r="B702" t="s">
        <v>23</v>
      </c>
      <c r="C702" s="1">
        <v>45414</v>
      </c>
      <c r="D702">
        <f t="shared" si="44"/>
        <v>2</v>
      </c>
      <c r="E702">
        <f t="shared" si="45"/>
        <v>5</v>
      </c>
      <c r="F702">
        <f t="shared" si="46"/>
        <v>2024</v>
      </c>
      <c r="G702" t="s">
        <v>91</v>
      </c>
      <c r="H702" s="98">
        <v>10279</v>
      </c>
      <c r="I702" s="29">
        <v>13636.28</v>
      </c>
      <c r="J702" s="12" t="s">
        <v>31</v>
      </c>
      <c r="K702" s="29">
        <f t="shared" si="43"/>
        <v>13636.28</v>
      </c>
      <c r="L702">
        <v>1</v>
      </c>
      <c r="M702" s="29">
        <v>0</v>
      </c>
      <c r="N702" t="s">
        <v>32</v>
      </c>
      <c r="O702" t="s">
        <v>33</v>
      </c>
      <c r="P702" t="s">
        <v>34</v>
      </c>
      <c r="Q702" t="s">
        <v>34</v>
      </c>
      <c r="R702" t="s">
        <v>34</v>
      </c>
      <c r="S702" t="s">
        <v>34</v>
      </c>
      <c r="T702" s="117">
        <v>0</v>
      </c>
    </row>
    <row r="703" spans="1:20" ht="14.5" customHeight="1" x14ac:dyDescent="0.35">
      <c r="A703" t="s">
        <v>20</v>
      </c>
      <c r="B703" t="s">
        <v>23</v>
      </c>
      <c r="C703" s="1">
        <v>45414</v>
      </c>
      <c r="D703">
        <f t="shared" si="44"/>
        <v>2</v>
      </c>
      <c r="E703">
        <f t="shared" si="45"/>
        <v>5</v>
      </c>
      <c r="F703">
        <f t="shared" si="46"/>
        <v>2024</v>
      </c>
      <c r="G703" t="s">
        <v>46</v>
      </c>
      <c r="H703" s="98">
        <v>10475</v>
      </c>
      <c r="I703" s="29">
        <v>42.8</v>
      </c>
      <c r="J703" s="12" t="s">
        <v>31</v>
      </c>
      <c r="K703" s="29">
        <f t="shared" si="43"/>
        <v>42.8</v>
      </c>
      <c r="L703">
        <v>1</v>
      </c>
      <c r="M703" s="29">
        <v>0</v>
      </c>
      <c r="N703" t="s">
        <v>42</v>
      </c>
      <c r="O703" t="s">
        <v>33</v>
      </c>
      <c r="P703" t="s">
        <v>34</v>
      </c>
      <c r="Q703" t="s">
        <v>34</v>
      </c>
      <c r="R703" t="s">
        <v>34</v>
      </c>
      <c r="S703" t="s">
        <v>34</v>
      </c>
      <c r="T703" s="117">
        <v>0</v>
      </c>
    </row>
    <row r="704" spans="1:20" ht="14.5" customHeight="1" x14ac:dyDescent="0.35">
      <c r="A704" t="s">
        <v>20</v>
      </c>
      <c r="B704" t="s">
        <v>23</v>
      </c>
      <c r="C704" s="1">
        <v>45414</v>
      </c>
      <c r="D704">
        <f t="shared" si="44"/>
        <v>2</v>
      </c>
      <c r="E704">
        <f t="shared" si="45"/>
        <v>5</v>
      </c>
      <c r="F704">
        <f t="shared" si="46"/>
        <v>2024</v>
      </c>
      <c r="G704" t="s">
        <v>46</v>
      </c>
      <c r="H704" s="98">
        <v>10476</v>
      </c>
      <c r="I704" s="29">
        <v>1027.2</v>
      </c>
      <c r="J704" s="12" t="s">
        <v>31</v>
      </c>
      <c r="K704" s="29">
        <f t="shared" si="43"/>
        <v>1027.2</v>
      </c>
      <c r="L704">
        <v>1</v>
      </c>
      <c r="M704" s="29">
        <v>0</v>
      </c>
      <c r="N704" t="s">
        <v>42</v>
      </c>
      <c r="O704" t="s">
        <v>33</v>
      </c>
      <c r="P704" t="s">
        <v>34</v>
      </c>
      <c r="Q704" t="s">
        <v>34</v>
      </c>
      <c r="R704" t="s">
        <v>34</v>
      </c>
      <c r="S704" t="s">
        <v>34</v>
      </c>
      <c r="T704" s="117">
        <v>0</v>
      </c>
    </row>
    <row r="705" spans="1:20" ht="14.5" customHeight="1" x14ac:dyDescent="0.35">
      <c r="A705" t="s">
        <v>19</v>
      </c>
      <c r="B705" t="s">
        <v>22</v>
      </c>
      <c r="C705" s="1">
        <v>45414</v>
      </c>
      <c r="D705">
        <f t="shared" si="44"/>
        <v>2</v>
      </c>
      <c r="E705">
        <f t="shared" si="45"/>
        <v>5</v>
      </c>
      <c r="F705">
        <f t="shared" si="46"/>
        <v>2024</v>
      </c>
      <c r="G705" t="s">
        <v>77</v>
      </c>
      <c r="H705" s="98">
        <v>9892</v>
      </c>
      <c r="I705" s="29">
        <v>27406.7</v>
      </c>
      <c r="J705" s="12" t="s">
        <v>31</v>
      </c>
      <c r="K705" s="29">
        <f t="shared" ref="K705:K768" si="47">IF(J705="USD",I705,I705*L705)</f>
        <v>27406.7</v>
      </c>
      <c r="L705">
        <v>1</v>
      </c>
      <c r="M705" s="29">
        <v>0</v>
      </c>
      <c r="N705" t="s">
        <v>32</v>
      </c>
      <c r="O705" t="s">
        <v>33</v>
      </c>
      <c r="P705" t="s">
        <v>34</v>
      </c>
      <c r="Q705" t="s">
        <v>34</v>
      </c>
      <c r="R705" t="s">
        <v>34</v>
      </c>
      <c r="S705" t="s">
        <v>34</v>
      </c>
      <c r="T705" s="117">
        <v>0</v>
      </c>
    </row>
    <row r="706" spans="1:20" ht="14.5" customHeight="1" x14ac:dyDescent="0.35">
      <c r="A706" t="s">
        <v>19</v>
      </c>
      <c r="B706" t="s">
        <v>24</v>
      </c>
      <c r="C706" s="1">
        <v>45414</v>
      </c>
      <c r="D706">
        <f t="shared" ref="D706:D769" si="48">DAY(C706)</f>
        <v>2</v>
      </c>
      <c r="E706">
        <f t="shared" ref="E706:E769" si="49">MONTH(C706)</f>
        <v>5</v>
      </c>
      <c r="F706">
        <f t="shared" ref="F706:F769" si="50">YEAR(C706)</f>
        <v>2024</v>
      </c>
      <c r="G706" t="s">
        <v>77</v>
      </c>
      <c r="H706" s="98">
        <v>10474</v>
      </c>
      <c r="I706" s="29">
        <v>3547.08</v>
      </c>
      <c r="J706" s="12" t="s">
        <v>31</v>
      </c>
      <c r="K706" s="29">
        <f t="shared" si="47"/>
        <v>3547.08</v>
      </c>
      <c r="L706">
        <v>1</v>
      </c>
      <c r="M706" s="29">
        <v>0</v>
      </c>
      <c r="N706" t="s">
        <v>42</v>
      </c>
      <c r="O706" t="s">
        <v>33</v>
      </c>
      <c r="P706" t="s">
        <v>34</v>
      </c>
      <c r="Q706" t="s">
        <v>34</v>
      </c>
      <c r="R706" t="s">
        <v>34</v>
      </c>
      <c r="S706" t="s">
        <v>34</v>
      </c>
      <c r="T706" s="117">
        <v>0</v>
      </c>
    </row>
    <row r="707" spans="1:20" ht="14.5" customHeight="1" x14ac:dyDescent="0.35">
      <c r="A707" t="s">
        <v>19</v>
      </c>
      <c r="B707" t="s">
        <v>24</v>
      </c>
      <c r="C707" s="1">
        <v>45414</v>
      </c>
      <c r="D707">
        <f t="shared" si="48"/>
        <v>2</v>
      </c>
      <c r="E707">
        <f t="shared" si="49"/>
        <v>5</v>
      </c>
      <c r="F707">
        <f t="shared" si="50"/>
        <v>2024</v>
      </c>
      <c r="G707" t="s">
        <v>77</v>
      </c>
      <c r="H707" s="98">
        <v>10477</v>
      </c>
      <c r="I707" s="29">
        <v>47.2</v>
      </c>
      <c r="J707" s="12" t="s">
        <v>31</v>
      </c>
      <c r="K707" s="29">
        <f t="shared" si="47"/>
        <v>47.2</v>
      </c>
      <c r="L707">
        <v>1</v>
      </c>
      <c r="M707" s="29">
        <v>0</v>
      </c>
      <c r="N707" t="s">
        <v>42</v>
      </c>
      <c r="O707" t="s">
        <v>33</v>
      </c>
      <c r="P707" t="s">
        <v>34</v>
      </c>
      <c r="Q707" t="s">
        <v>34</v>
      </c>
      <c r="R707" t="s">
        <v>34</v>
      </c>
      <c r="S707" t="s">
        <v>34</v>
      </c>
      <c r="T707" s="117">
        <v>0</v>
      </c>
    </row>
    <row r="708" spans="1:20" ht="14.5" customHeight="1" x14ac:dyDescent="0.35">
      <c r="A708" t="s">
        <v>19</v>
      </c>
      <c r="B708" t="s">
        <v>24</v>
      </c>
      <c r="C708" s="1">
        <v>45414</v>
      </c>
      <c r="D708">
        <f t="shared" si="48"/>
        <v>2</v>
      </c>
      <c r="E708">
        <f t="shared" si="49"/>
        <v>5</v>
      </c>
      <c r="F708">
        <f t="shared" si="50"/>
        <v>2024</v>
      </c>
      <c r="G708" t="s">
        <v>77</v>
      </c>
      <c r="H708" s="98">
        <v>10344</v>
      </c>
      <c r="I708" s="29">
        <v>81</v>
      </c>
      <c r="J708" s="12" t="s">
        <v>31</v>
      </c>
      <c r="K708" s="29">
        <f t="shared" si="47"/>
        <v>81</v>
      </c>
      <c r="L708">
        <v>1</v>
      </c>
      <c r="M708" s="29">
        <v>0</v>
      </c>
      <c r="N708" t="s">
        <v>32</v>
      </c>
      <c r="O708" t="s">
        <v>33</v>
      </c>
      <c r="P708" t="s">
        <v>34</v>
      </c>
      <c r="Q708" t="s">
        <v>34</v>
      </c>
      <c r="R708" t="s">
        <v>34</v>
      </c>
      <c r="S708" t="s">
        <v>34</v>
      </c>
      <c r="T708" s="117">
        <v>0</v>
      </c>
    </row>
    <row r="709" spans="1:20" ht="14.5" customHeight="1" x14ac:dyDescent="0.35">
      <c r="A709" t="s">
        <v>19</v>
      </c>
      <c r="B709" t="s">
        <v>25</v>
      </c>
      <c r="C709" s="1">
        <v>45414</v>
      </c>
      <c r="D709">
        <f t="shared" si="48"/>
        <v>2</v>
      </c>
      <c r="E709">
        <f t="shared" si="49"/>
        <v>5</v>
      </c>
      <c r="F709">
        <f t="shared" si="50"/>
        <v>2024</v>
      </c>
      <c r="G709" t="s">
        <v>39</v>
      </c>
      <c r="H709" s="98">
        <v>10252</v>
      </c>
      <c r="I709" s="29">
        <v>11177.64</v>
      </c>
      <c r="J709" s="12" t="s">
        <v>31</v>
      </c>
      <c r="K709" s="29">
        <f t="shared" si="47"/>
        <v>11177.64</v>
      </c>
      <c r="L709">
        <v>1</v>
      </c>
      <c r="M709" s="29">
        <v>0</v>
      </c>
      <c r="N709" t="s">
        <v>32</v>
      </c>
      <c r="O709" t="s">
        <v>33</v>
      </c>
      <c r="P709" t="s">
        <v>34</v>
      </c>
      <c r="Q709" t="s">
        <v>34</v>
      </c>
      <c r="R709" t="s">
        <v>34</v>
      </c>
      <c r="S709" t="s">
        <v>34</v>
      </c>
      <c r="T709" s="117">
        <v>0</v>
      </c>
    </row>
    <row r="710" spans="1:20" ht="14.5" customHeight="1" x14ac:dyDescent="0.35">
      <c r="A710" t="s">
        <v>19</v>
      </c>
      <c r="B710" t="s">
        <v>25</v>
      </c>
      <c r="C710" s="1">
        <v>45414</v>
      </c>
      <c r="D710">
        <f t="shared" si="48"/>
        <v>2</v>
      </c>
      <c r="E710">
        <f t="shared" si="49"/>
        <v>5</v>
      </c>
      <c r="F710">
        <f t="shared" si="50"/>
        <v>2024</v>
      </c>
      <c r="G710" t="s">
        <v>39</v>
      </c>
      <c r="H710" s="98">
        <v>9773</v>
      </c>
      <c r="I710" s="29">
        <v>431.5</v>
      </c>
      <c r="J710" s="12" t="s">
        <v>31</v>
      </c>
      <c r="K710" s="29">
        <f t="shared" si="47"/>
        <v>431.5</v>
      </c>
      <c r="L710">
        <v>1</v>
      </c>
      <c r="M710" s="29">
        <v>0</v>
      </c>
      <c r="N710" t="s">
        <v>32</v>
      </c>
      <c r="O710" t="s">
        <v>33</v>
      </c>
      <c r="P710" t="s">
        <v>34</v>
      </c>
      <c r="Q710" t="s">
        <v>34</v>
      </c>
      <c r="R710" t="s">
        <v>34</v>
      </c>
      <c r="S710" t="s">
        <v>34</v>
      </c>
      <c r="T710" s="117">
        <v>0</v>
      </c>
    </row>
    <row r="711" spans="1:20" ht="14.5" customHeight="1" x14ac:dyDescent="0.35">
      <c r="A711" t="s">
        <v>19</v>
      </c>
      <c r="B711" t="s">
        <v>25</v>
      </c>
      <c r="C711" s="1">
        <v>45414</v>
      </c>
      <c r="D711">
        <f t="shared" si="48"/>
        <v>2</v>
      </c>
      <c r="E711">
        <f t="shared" si="49"/>
        <v>5</v>
      </c>
      <c r="F711">
        <f t="shared" si="50"/>
        <v>2024</v>
      </c>
      <c r="G711" t="s">
        <v>93</v>
      </c>
      <c r="H711" s="98">
        <v>10326</v>
      </c>
      <c r="I711" s="29">
        <v>13456.52</v>
      </c>
      <c r="J711" s="12" t="s">
        <v>31</v>
      </c>
      <c r="K711" s="29">
        <f t="shared" si="47"/>
        <v>13456.52</v>
      </c>
      <c r="L711">
        <v>1</v>
      </c>
      <c r="M711" s="29">
        <v>0</v>
      </c>
      <c r="N711" t="s">
        <v>32</v>
      </c>
      <c r="O711" t="s">
        <v>33</v>
      </c>
      <c r="P711" t="s">
        <v>34</v>
      </c>
      <c r="Q711" t="s">
        <v>34</v>
      </c>
      <c r="R711" t="s">
        <v>34</v>
      </c>
      <c r="S711" t="s">
        <v>34</v>
      </c>
      <c r="T711" s="117">
        <v>0</v>
      </c>
    </row>
    <row r="712" spans="1:20" ht="14.5" customHeight="1" x14ac:dyDescent="0.35">
      <c r="A712" t="s">
        <v>19</v>
      </c>
      <c r="B712" t="s">
        <v>25</v>
      </c>
      <c r="C712" s="1">
        <v>45414</v>
      </c>
      <c r="D712">
        <f t="shared" si="48"/>
        <v>2</v>
      </c>
      <c r="E712">
        <f t="shared" si="49"/>
        <v>5</v>
      </c>
      <c r="F712">
        <f t="shared" si="50"/>
        <v>2024</v>
      </c>
      <c r="G712" t="s">
        <v>78</v>
      </c>
      <c r="H712" s="98">
        <v>10334</v>
      </c>
      <c r="I712" s="29">
        <v>720</v>
      </c>
      <c r="J712" s="12" t="s">
        <v>51</v>
      </c>
      <c r="K712" s="29">
        <f t="shared" si="47"/>
        <v>773.71199999999999</v>
      </c>
      <c r="L712">
        <v>1.0746</v>
      </c>
      <c r="M712" s="29">
        <v>0</v>
      </c>
      <c r="N712" t="s">
        <v>32</v>
      </c>
      <c r="O712" t="s">
        <v>33</v>
      </c>
      <c r="P712" t="s">
        <v>34</v>
      </c>
      <c r="Q712" t="s">
        <v>34</v>
      </c>
      <c r="R712" t="s">
        <v>34</v>
      </c>
      <c r="S712" t="s">
        <v>34</v>
      </c>
      <c r="T712" s="117">
        <v>0</v>
      </c>
    </row>
    <row r="713" spans="1:20" ht="14.5" customHeight="1" x14ac:dyDescent="0.35">
      <c r="A713" t="s">
        <v>19</v>
      </c>
      <c r="B713" t="s">
        <v>25</v>
      </c>
      <c r="C713" s="1">
        <v>45414</v>
      </c>
      <c r="D713">
        <f t="shared" si="48"/>
        <v>2</v>
      </c>
      <c r="E713">
        <f t="shared" si="49"/>
        <v>5</v>
      </c>
      <c r="F713">
        <f t="shared" si="50"/>
        <v>2024</v>
      </c>
      <c r="G713" t="s">
        <v>1146</v>
      </c>
      <c r="H713" s="98">
        <v>10337</v>
      </c>
      <c r="I713" s="29">
        <v>461.1</v>
      </c>
      <c r="J713" s="12" t="s">
        <v>51</v>
      </c>
      <c r="K713" s="29">
        <f t="shared" si="47"/>
        <v>495.49806000000001</v>
      </c>
      <c r="L713">
        <v>1.0746</v>
      </c>
      <c r="M713" s="29">
        <v>0</v>
      </c>
      <c r="N713" t="s">
        <v>32</v>
      </c>
      <c r="O713" t="s">
        <v>33</v>
      </c>
      <c r="P713" t="s">
        <v>34</v>
      </c>
      <c r="Q713" t="s">
        <v>34</v>
      </c>
      <c r="R713" t="s">
        <v>34</v>
      </c>
      <c r="S713" t="s">
        <v>34</v>
      </c>
      <c r="T713" s="117">
        <v>0</v>
      </c>
    </row>
    <row r="714" spans="1:20" ht="14.5" customHeight="1" x14ac:dyDescent="0.35">
      <c r="A714" t="s">
        <v>19</v>
      </c>
      <c r="B714" t="s">
        <v>25</v>
      </c>
      <c r="C714" s="1">
        <v>45414</v>
      </c>
      <c r="D714">
        <f t="shared" si="48"/>
        <v>2</v>
      </c>
      <c r="E714">
        <f t="shared" si="49"/>
        <v>5</v>
      </c>
      <c r="F714">
        <f t="shared" si="50"/>
        <v>2024</v>
      </c>
      <c r="G714" t="s">
        <v>80</v>
      </c>
      <c r="H714" s="98">
        <v>10430</v>
      </c>
      <c r="I714" s="29">
        <v>17271</v>
      </c>
      <c r="J714" s="12" t="s">
        <v>31</v>
      </c>
      <c r="K714" s="29">
        <f t="shared" si="47"/>
        <v>17271</v>
      </c>
      <c r="L714">
        <v>1</v>
      </c>
      <c r="M714" s="29">
        <v>0</v>
      </c>
      <c r="N714" t="s">
        <v>42</v>
      </c>
      <c r="O714" t="s">
        <v>33</v>
      </c>
      <c r="P714" t="s">
        <v>34</v>
      </c>
      <c r="Q714" t="s">
        <v>34</v>
      </c>
      <c r="R714" t="s">
        <v>34</v>
      </c>
      <c r="S714" t="s">
        <v>34</v>
      </c>
      <c r="T714" s="117">
        <v>0</v>
      </c>
    </row>
    <row r="715" spans="1:20" ht="14.5" customHeight="1" x14ac:dyDescent="0.35">
      <c r="A715" t="s">
        <v>19</v>
      </c>
      <c r="B715" t="s">
        <v>21</v>
      </c>
      <c r="C715" s="1">
        <v>45414</v>
      </c>
      <c r="D715">
        <f t="shared" si="48"/>
        <v>2</v>
      </c>
      <c r="E715">
        <f t="shared" si="49"/>
        <v>5</v>
      </c>
      <c r="F715">
        <f t="shared" si="50"/>
        <v>2024</v>
      </c>
      <c r="G715" t="s">
        <v>28</v>
      </c>
      <c r="H715" s="98">
        <v>9292</v>
      </c>
      <c r="I715" s="90">
        <v>73292.149999999994</v>
      </c>
      <c r="J715" s="12" t="s">
        <v>31</v>
      </c>
      <c r="K715" s="29">
        <f t="shared" si="47"/>
        <v>73292.149999999994</v>
      </c>
      <c r="L715">
        <v>1</v>
      </c>
      <c r="M715" s="29">
        <v>0</v>
      </c>
      <c r="N715" t="s">
        <v>32</v>
      </c>
      <c r="O715" t="s">
        <v>33</v>
      </c>
      <c r="P715" t="s">
        <v>34</v>
      </c>
      <c r="Q715" t="s">
        <v>34</v>
      </c>
      <c r="R715" t="s">
        <v>34</v>
      </c>
      <c r="S715" t="s">
        <v>34</v>
      </c>
      <c r="T715" s="117">
        <v>0</v>
      </c>
    </row>
    <row r="716" spans="1:20" ht="14.5" customHeight="1" x14ac:dyDescent="0.35">
      <c r="A716" t="s">
        <v>19</v>
      </c>
      <c r="B716" t="s">
        <v>27</v>
      </c>
      <c r="C716" s="1">
        <v>45414</v>
      </c>
      <c r="D716">
        <f t="shared" si="48"/>
        <v>2</v>
      </c>
      <c r="E716">
        <f t="shared" si="49"/>
        <v>5</v>
      </c>
      <c r="F716">
        <f t="shared" si="50"/>
        <v>2024</v>
      </c>
      <c r="G716" t="s">
        <v>100</v>
      </c>
      <c r="H716" s="98">
        <v>10044</v>
      </c>
      <c r="I716" s="29">
        <v>7812.98</v>
      </c>
      <c r="J716" s="12" t="s">
        <v>31</v>
      </c>
      <c r="K716" s="29">
        <f t="shared" si="47"/>
        <v>7812.98</v>
      </c>
      <c r="L716">
        <v>1</v>
      </c>
      <c r="M716" s="29">
        <v>0</v>
      </c>
      <c r="N716" t="s">
        <v>32</v>
      </c>
      <c r="O716" t="s">
        <v>33</v>
      </c>
      <c r="P716" t="s">
        <v>34</v>
      </c>
      <c r="Q716" t="s">
        <v>34</v>
      </c>
      <c r="R716" t="s">
        <v>34</v>
      </c>
      <c r="S716" t="s">
        <v>34</v>
      </c>
      <c r="T716" s="117">
        <v>0</v>
      </c>
    </row>
    <row r="717" spans="1:20" ht="14.5" customHeight="1" x14ac:dyDescent="0.35">
      <c r="A717" t="s">
        <v>19</v>
      </c>
      <c r="B717" t="s">
        <v>27</v>
      </c>
      <c r="C717" s="1">
        <v>45414</v>
      </c>
      <c r="D717">
        <f t="shared" si="48"/>
        <v>2</v>
      </c>
      <c r="E717">
        <f t="shared" si="49"/>
        <v>5</v>
      </c>
      <c r="F717">
        <f t="shared" si="50"/>
        <v>2024</v>
      </c>
      <c r="G717" t="s">
        <v>100</v>
      </c>
      <c r="H717" s="98">
        <v>10195</v>
      </c>
      <c r="I717" s="29">
        <v>1294.79</v>
      </c>
      <c r="J717" s="12" t="s">
        <v>31</v>
      </c>
      <c r="K717" s="29">
        <f t="shared" si="47"/>
        <v>1294.79</v>
      </c>
      <c r="L717">
        <v>1</v>
      </c>
      <c r="M717" s="29">
        <v>0</v>
      </c>
      <c r="N717" t="s">
        <v>32</v>
      </c>
      <c r="O717" t="s">
        <v>33</v>
      </c>
      <c r="P717" t="s">
        <v>34</v>
      </c>
      <c r="Q717" t="s">
        <v>34</v>
      </c>
      <c r="R717" t="s">
        <v>34</v>
      </c>
      <c r="S717" t="s">
        <v>34</v>
      </c>
      <c r="T717" s="117">
        <v>0</v>
      </c>
    </row>
    <row r="718" spans="1:20" ht="14.5" customHeight="1" x14ac:dyDescent="0.35">
      <c r="A718" t="s">
        <v>19</v>
      </c>
      <c r="B718" t="s">
        <v>27</v>
      </c>
      <c r="C718" s="1">
        <v>45414</v>
      </c>
      <c r="D718">
        <f t="shared" si="48"/>
        <v>2</v>
      </c>
      <c r="E718">
        <f t="shared" si="49"/>
        <v>5</v>
      </c>
      <c r="F718">
        <f t="shared" si="50"/>
        <v>2024</v>
      </c>
      <c r="G718" t="s">
        <v>100</v>
      </c>
      <c r="H718" s="98">
        <v>10215</v>
      </c>
      <c r="I718" s="29">
        <v>1649.84</v>
      </c>
      <c r="J718" s="12" t="s">
        <v>31</v>
      </c>
      <c r="K718" s="29">
        <f t="shared" si="47"/>
        <v>1649.84</v>
      </c>
      <c r="L718">
        <v>1</v>
      </c>
      <c r="M718" s="29">
        <v>0</v>
      </c>
      <c r="N718" t="s">
        <v>32</v>
      </c>
      <c r="O718" t="s">
        <v>33</v>
      </c>
      <c r="P718" t="s">
        <v>34</v>
      </c>
      <c r="Q718" t="s">
        <v>34</v>
      </c>
      <c r="R718" t="s">
        <v>34</v>
      </c>
      <c r="S718" t="s">
        <v>34</v>
      </c>
      <c r="T718" s="117">
        <v>0</v>
      </c>
    </row>
    <row r="719" spans="1:20" ht="14.5" customHeight="1" x14ac:dyDescent="0.35">
      <c r="A719" t="s">
        <v>19</v>
      </c>
      <c r="B719" t="s">
        <v>27</v>
      </c>
      <c r="C719" s="1">
        <v>45414</v>
      </c>
      <c r="D719">
        <f t="shared" si="48"/>
        <v>2</v>
      </c>
      <c r="E719">
        <f t="shared" si="49"/>
        <v>5</v>
      </c>
      <c r="F719">
        <f t="shared" si="50"/>
        <v>2024</v>
      </c>
      <c r="G719" t="s">
        <v>100</v>
      </c>
      <c r="H719" s="98">
        <v>10199</v>
      </c>
      <c r="I719" s="29">
        <v>3563</v>
      </c>
      <c r="J719" s="12" t="s">
        <v>31</v>
      </c>
      <c r="K719" s="29">
        <f t="shared" si="47"/>
        <v>3563</v>
      </c>
      <c r="L719">
        <v>1</v>
      </c>
      <c r="M719" s="29">
        <v>0</v>
      </c>
      <c r="N719" t="s">
        <v>32</v>
      </c>
      <c r="O719" t="s">
        <v>33</v>
      </c>
      <c r="P719" t="s">
        <v>34</v>
      </c>
      <c r="Q719" t="s">
        <v>34</v>
      </c>
      <c r="R719" t="s">
        <v>34</v>
      </c>
      <c r="S719" t="s">
        <v>34</v>
      </c>
      <c r="T719" s="117">
        <v>0</v>
      </c>
    </row>
    <row r="720" spans="1:20" ht="14.5" customHeight="1" x14ac:dyDescent="0.35">
      <c r="A720" t="s">
        <v>19</v>
      </c>
      <c r="B720" t="s">
        <v>19</v>
      </c>
      <c r="C720" s="1">
        <v>45414</v>
      </c>
      <c r="D720">
        <f t="shared" si="48"/>
        <v>2</v>
      </c>
      <c r="E720">
        <f t="shared" si="49"/>
        <v>5</v>
      </c>
      <c r="F720">
        <f t="shared" si="50"/>
        <v>2024</v>
      </c>
      <c r="G720" t="s">
        <v>125</v>
      </c>
      <c r="H720" s="98">
        <v>9512</v>
      </c>
      <c r="I720" s="29">
        <v>64306.6</v>
      </c>
      <c r="J720" s="12" t="s">
        <v>31</v>
      </c>
      <c r="K720" s="29">
        <f t="shared" si="47"/>
        <v>64306.6</v>
      </c>
      <c r="L720">
        <v>1</v>
      </c>
      <c r="M720" s="29">
        <v>0</v>
      </c>
      <c r="N720" t="s">
        <v>32</v>
      </c>
      <c r="O720" t="s">
        <v>33</v>
      </c>
      <c r="P720" t="s">
        <v>34</v>
      </c>
      <c r="Q720" t="s">
        <v>34</v>
      </c>
      <c r="R720" t="s">
        <v>34</v>
      </c>
      <c r="S720" t="s">
        <v>34</v>
      </c>
      <c r="T720" s="117">
        <v>0</v>
      </c>
    </row>
    <row r="721" spans="1:21" ht="14.5" customHeight="1" x14ac:dyDescent="0.35">
      <c r="A721" t="s">
        <v>19</v>
      </c>
      <c r="B721" t="s">
        <v>19</v>
      </c>
      <c r="C721" s="1">
        <v>45414</v>
      </c>
      <c r="D721">
        <f t="shared" si="48"/>
        <v>2</v>
      </c>
      <c r="E721">
        <f t="shared" si="49"/>
        <v>5</v>
      </c>
      <c r="F721">
        <f t="shared" si="50"/>
        <v>2024</v>
      </c>
      <c r="G721" t="s">
        <v>125</v>
      </c>
      <c r="H721" s="98" t="s">
        <v>237</v>
      </c>
      <c r="I721" s="29">
        <v>109140</v>
      </c>
      <c r="J721" s="12" t="s">
        <v>31</v>
      </c>
      <c r="K721" s="29">
        <f t="shared" si="47"/>
        <v>109140</v>
      </c>
      <c r="L721">
        <v>1</v>
      </c>
      <c r="M721" s="29">
        <v>0</v>
      </c>
      <c r="N721" t="s">
        <v>32</v>
      </c>
      <c r="O721" t="s">
        <v>33</v>
      </c>
      <c r="P721" t="s">
        <v>34</v>
      </c>
      <c r="Q721" t="s">
        <v>34</v>
      </c>
      <c r="R721" t="s">
        <v>34</v>
      </c>
      <c r="S721" t="s">
        <v>34</v>
      </c>
      <c r="T721" s="117">
        <v>0</v>
      </c>
    </row>
    <row r="722" spans="1:21" ht="14.5" customHeight="1" x14ac:dyDescent="0.35">
      <c r="A722" t="s">
        <v>19</v>
      </c>
      <c r="B722" t="s">
        <v>19</v>
      </c>
      <c r="C722" s="1">
        <v>45414</v>
      </c>
      <c r="D722">
        <f t="shared" si="48"/>
        <v>2</v>
      </c>
      <c r="E722">
        <f t="shared" si="49"/>
        <v>5</v>
      </c>
      <c r="F722">
        <f t="shared" si="50"/>
        <v>2024</v>
      </c>
      <c r="G722" t="s">
        <v>57</v>
      </c>
      <c r="H722" s="171">
        <v>9481</v>
      </c>
      <c r="I722" s="90">
        <v>44960.959999999999</v>
      </c>
      <c r="J722" s="12" t="s">
        <v>31</v>
      </c>
      <c r="K722" s="29">
        <f t="shared" si="47"/>
        <v>44960.959999999999</v>
      </c>
      <c r="L722">
        <v>1</v>
      </c>
      <c r="M722" s="29">
        <v>0</v>
      </c>
      <c r="N722" t="s">
        <v>32</v>
      </c>
      <c r="O722" t="s">
        <v>33</v>
      </c>
      <c r="P722" t="s">
        <v>34</v>
      </c>
      <c r="Q722" t="s">
        <v>34</v>
      </c>
      <c r="R722" t="s">
        <v>34</v>
      </c>
      <c r="S722" t="s">
        <v>34</v>
      </c>
      <c r="T722" s="117">
        <v>0</v>
      </c>
    </row>
    <row r="723" spans="1:21" ht="14.5" customHeight="1" x14ac:dyDescent="0.35">
      <c r="A723" t="s">
        <v>19</v>
      </c>
      <c r="B723" t="s">
        <v>19</v>
      </c>
      <c r="C723" s="1">
        <v>45414</v>
      </c>
      <c r="D723">
        <f t="shared" si="48"/>
        <v>2</v>
      </c>
      <c r="E723">
        <f t="shared" si="49"/>
        <v>5</v>
      </c>
      <c r="F723">
        <f t="shared" si="50"/>
        <v>2024</v>
      </c>
      <c r="G723" t="s">
        <v>55</v>
      </c>
      <c r="H723" s="98" t="s">
        <v>238</v>
      </c>
      <c r="I723" s="29">
        <v>35443.589999999997</v>
      </c>
      <c r="J723" s="12" t="s">
        <v>31</v>
      </c>
      <c r="K723" s="29">
        <f t="shared" si="47"/>
        <v>35443.589999999997</v>
      </c>
      <c r="L723">
        <v>1</v>
      </c>
      <c r="M723" s="29">
        <v>0</v>
      </c>
      <c r="N723" t="s">
        <v>32</v>
      </c>
      <c r="O723" t="s">
        <v>33</v>
      </c>
      <c r="P723" t="s">
        <v>34</v>
      </c>
      <c r="Q723" t="s">
        <v>34</v>
      </c>
      <c r="R723" t="s">
        <v>34</v>
      </c>
      <c r="S723" t="s">
        <v>34</v>
      </c>
      <c r="T723" s="117">
        <v>2404.19</v>
      </c>
    </row>
    <row r="724" spans="1:21" ht="14.5" customHeight="1" x14ac:dyDescent="0.35">
      <c r="A724" t="s">
        <v>19</v>
      </c>
      <c r="B724" t="s">
        <v>19</v>
      </c>
      <c r="C724" s="1">
        <v>45414</v>
      </c>
      <c r="D724">
        <f t="shared" si="48"/>
        <v>2</v>
      </c>
      <c r="E724">
        <f t="shared" si="49"/>
        <v>5</v>
      </c>
      <c r="F724">
        <f t="shared" si="50"/>
        <v>2024</v>
      </c>
      <c r="G724" t="s">
        <v>54</v>
      </c>
      <c r="H724" s="98">
        <v>9287</v>
      </c>
      <c r="I724" s="90">
        <v>114423.6</v>
      </c>
      <c r="J724" s="12" t="s">
        <v>31</v>
      </c>
      <c r="K724" s="29">
        <f t="shared" si="47"/>
        <v>114423.6</v>
      </c>
      <c r="L724">
        <v>1</v>
      </c>
      <c r="M724" s="29">
        <v>0</v>
      </c>
      <c r="N724" t="s">
        <v>32</v>
      </c>
      <c r="O724" t="s">
        <v>33</v>
      </c>
      <c r="P724" t="s">
        <v>34</v>
      </c>
      <c r="Q724" t="s">
        <v>34</v>
      </c>
      <c r="R724" t="s">
        <v>34</v>
      </c>
      <c r="S724" t="s">
        <v>34</v>
      </c>
      <c r="T724" s="117">
        <v>0</v>
      </c>
    </row>
    <row r="725" spans="1:21" ht="14.5" customHeight="1" x14ac:dyDescent="0.35">
      <c r="A725" t="s">
        <v>19</v>
      </c>
      <c r="B725" t="s">
        <v>19</v>
      </c>
      <c r="C725" s="1">
        <v>45414</v>
      </c>
      <c r="D725">
        <f t="shared" si="48"/>
        <v>2</v>
      </c>
      <c r="E725">
        <f t="shared" si="49"/>
        <v>5</v>
      </c>
      <c r="F725">
        <f t="shared" si="50"/>
        <v>2024</v>
      </c>
      <c r="G725" t="s">
        <v>213</v>
      </c>
      <c r="H725" s="98">
        <v>9913</v>
      </c>
      <c r="I725" s="29">
        <v>118472.06</v>
      </c>
      <c r="J725" s="12" t="s">
        <v>31</v>
      </c>
      <c r="K725" s="29">
        <f t="shared" si="47"/>
        <v>118472.06</v>
      </c>
      <c r="L725">
        <v>1</v>
      </c>
      <c r="M725" s="29">
        <v>0</v>
      </c>
      <c r="N725" t="s">
        <v>32</v>
      </c>
      <c r="O725" t="s">
        <v>33</v>
      </c>
      <c r="P725" t="s">
        <v>34</v>
      </c>
      <c r="Q725" t="s">
        <v>34</v>
      </c>
      <c r="R725" t="s">
        <v>34</v>
      </c>
      <c r="S725" t="s">
        <v>34</v>
      </c>
      <c r="T725" s="117">
        <v>0</v>
      </c>
    </row>
    <row r="726" spans="1:21" ht="14.5" customHeight="1" x14ac:dyDescent="0.35">
      <c r="A726" t="s">
        <v>19</v>
      </c>
      <c r="B726" t="s">
        <v>19</v>
      </c>
      <c r="C726" s="1">
        <v>45414</v>
      </c>
      <c r="D726">
        <f t="shared" si="48"/>
        <v>2</v>
      </c>
      <c r="E726">
        <f t="shared" si="49"/>
        <v>5</v>
      </c>
      <c r="F726">
        <f t="shared" si="50"/>
        <v>2024</v>
      </c>
      <c r="G726" t="s">
        <v>56</v>
      </c>
      <c r="H726" s="98">
        <v>9898</v>
      </c>
      <c r="I726" s="29">
        <v>210532.75</v>
      </c>
      <c r="J726" s="12" t="s">
        <v>31</v>
      </c>
      <c r="K726" s="29">
        <f t="shared" si="47"/>
        <v>210532.75</v>
      </c>
      <c r="L726">
        <v>1</v>
      </c>
      <c r="M726" s="29">
        <v>0</v>
      </c>
      <c r="N726" t="s">
        <v>32</v>
      </c>
      <c r="O726" t="s">
        <v>33</v>
      </c>
      <c r="P726" t="s">
        <v>34</v>
      </c>
      <c r="Q726" t="s">
        <v>34</v>
      </c>
      <c r="R726" t="s">
        <v>34</v>
      </c>
      <c r="S726" t="s">
        <v>34</v>
      </c>
      <c r="T726" s="117">
        <v>0</v>
      </c>
    </row>
    <row r="727" spans="1:21" ht="14.5" customHeight="1" x14ac:dyDescent="0.35">
      <c r="A727" t="s">
        <v>19</v>
      </c>
      <c r="B727" t="s">
        <v>19</v>
      </c>
      <c r="C727" s="1">
        <v>45414</v>
      </c>
      <c r="D727">
        <f t="shared" si="48"/>
        <v>2</v>
      </c>
      <c r="E727">
        <f t="shared" si="49"/>
        <v>5</v>
      </c>
      <c r="F727">
        <f t="shared" si="50"/>
        <v>2024</v>
      </c>
      <c r="G727" t="s">
        <v>56</v>
      </c>
      <c r="H727" s="98">
        <v>9896</v>
      </c>
      <c r="I727" s="29">
        <v>206870.86</v>
      </c>
      <c r="J727" s="12" t="s">
        <v>31</v>
      </c>
      <c r="K727" s="29">
        <f t="shared" si="47"/>
        <v>206870.86</v>
      </c>
      <c r="L727">
        <v>1</v>
      </c>
      <c r="M727" s="29">
        <v>0</v>
      </c>
      <c r="N727" t="s">
        <v>32</v>
      </c>
      <c r="O727" t="s">
        <v>33</v>
      </c>
      <c r="P727" t="s">
        <v>34</v>
      </c>
      <c r="Q727" t="s">
        <v>34</v>
      </c>
      <c r="R727" t="s">
        <v>34</v>
      </c>
      <c r="S727" t="s">
        <v>34</v>
      </c>
      <c r="T727" s="117">
        <v>0</v>
      </c>
    </row>
    <row r="728" spans="1:21" ht="14.5" customHeight="1" x14ac:dyDescent="0.35">
      <c r="A728" t="s">
        <v>19</v>
      </c>
      <c r="B728" t="s">
        <v>19</v>
      </c>
      <c r="C728" s="1">
        <v>45414</v>
      </c>
      <c r="D728">
        <f t="shared" si="48"/>
        <v>2</v>
      </c>
      <c r="E728">
        <f t="shared" si="49"/>
        <v>5</v>
      </c>
      <c r="F728">
        <f t="shared" si="50"/>
        <v>2024</v>
      </c>
      <c r="G728" t="s">
        <v>56</v>
      </c>
      <c r="H728" s="98">
        <v>9897</v>
      </c>
      <c r="I728" s="29">
        <v>191916.27</v>
      </c>
      <c r="J728" s="12" t="s">
        <v>31</v>
      </c>
      <c r="K728" s="29">
        <f t="shared" si="47"/>
        <v>191916.27</v>
      </c>
      <c r="L728">
        <v>1</v>
      </c>
      <c r="M728" s="29">
        <v>0</v>
      </c>
      <c r="N728" t="s">
        <v>32</v>
      </c>
      <c r="O728" t="s">
        <v>33</v>
      </c>
      <c r="P728" t="s">
        <v>34</v>
      </c>
      <c r="Q728" t="s">
        <v>34</v>
      </c>
      <c r="R728" t="s">
        <v>34</v>
      </c>
      <c r="S728" t="s">
        <v>34</v>
      </c>
      <c r="T728" s="117">
        <v>0</v>
      </c>
    </row>
    <row r="729" spans="1:21" ht="14.5" customHeight="1" x14ac:dyDescent="0.35">
      <c r="A729" t="s">
        <v>19</v>
      </c>
      <c r="B729" t="s">
        <v>19</v>
      </c>
      <c r="C729" s="1">
        <v>45414</v>
      </c>
      <c r="D729">
        <f t="shared" si="48"/>
        <v>2</v>
      </c>
      <c r="E729">
        <f t="shared" si="49"/>
        <v>5</v>
      </c>
      <c r="F729">
        <f t="shared" si="50"/>
        <v>2024</v>
      </c>
      <c r="G729" t="s">
        <v>129</v>
      </c>
      <c r="H729" s="98" t="s">
        <v>239</v>
      </c>
      <c r="I729" s="29">
        <v>107679.89</v>
      </c>
      <c r="J729" s="12" t="s">
        <v>31</v>
      </c>
      <c r="K729" s="29">
        <f t="shared" si="47"/>
        <v>107679.89</v>
      </c>
      <c r="L729">
        <v>1</v>
      </c>
      <c r="M729" s="29">
        <v>0</v>
      </c>
      <c r="N729" t="s">
        <v>32</v>
      </c>
      <c r="O729" t="s">
        <v>33</v>
      </c>
      <c r="P729" t="s">
        <v>34</v>
      </c>
      <c r="Q729" t="s">
        <v>34</v>
      </c>
      <c r="R729" t="s">
        <v>34</v>
      </c>
      <c r="S729" t="s">
        <v>34</v>
      </c>
      <c r="T729" s="117">
        <v>0</v>
      </c>
    </row>
    <row r="730" spans="1:21" ht="14.5" customHeight="1" x14ac:dyDescent="0.35">
      <c r="A730" t="s">
        <v>19</v>
      </c>
      <c r="B730" t="s">
        <v>19</v>
      </c>
      <c r="C730" s="1">
        <v>45414</v>
      </c>
      <c r="D730">
        <f t="shared" si="48"/>
        <v>2</v>
      </c>
      <c r="E730">
        <f t="shared" si="49"/>
        <v>5</v>
      </c>
      <c r="F730">
        <f t="shared" si="50"/>
        <v>2024</v>
      </c>
      <c r="G730" t="s">
        <v>240</v>
      </c>
      <c r="H730" s="98" t="s">
        <v>241</v>
      </c>
      <c r="I730" s="29">
        <v>27781.74</v>
      </c>
      <c r="J730" s="12" t="s">
        <v>31</v>
      </c>
      <c r="K730" s="29">
        <f t="shared" si="47"/>
        <v>27781.74</v>
      </c>
      <c r="L730">
        <v>1</v>
      </c>
      <c r="M730" s="29">
        <v>0</v>
      </c>
      <c r="N730" t="s">
        <v>32</v>
      </c>
      <c r="O730" t="s">
        <v>33</v>
      </c>
      <c r="P730" t="s">
        <v>34</v>
      </c>
      <c r="Q730" t="s">
        <v>34</v>
      </c>
      <c r="R730" t="s">
        <v>34</v>
      </c>
      <c r="S730" t="s">
        <v>34</v>
      </c>
      <c r="T730" s="117">
        <v>0</v>
      </c>
    </row>
    <row r="731" spans="1:21" ht="14.5" customHeight="1" x14ac:dyDescent="0.35">
      <c r="A731" t="s">
        <v>19</v>
      </c>
      <c r="B731" t="s">
        <v>19</v>
      </c>
      <c r="C731" s="1">
        <v>45414</v>
      </c>
      <c r="D731">
        <f t="shared" si="48"/>
        <v>2</v>
      </c>
      <c r="E731">
        <f t="shared" si="49"/>
        <v>5</v>
      </c>
      <c r="F731">
        <f t="shared" si="50"/>
        <v>2024</v>
      </c>
      <c r="G731" t="s">
        <v>91</v>
      </c>
      <c r="H731" s="98" t="s">
        <v>242</v>
      </c>
      <c r="I731" s="29">
        <v>13716.05</v>
      </c>
      <c r="J731" s="12" t="s">
        <v>31</v>
      </c>
      <c r="K731" s="29">
        <f t="shared" si="47"/>
        <v>13716.05</v>
      </c>
      <c r="L731">
        <v>1</v>
      </c>
      <c r="M731" s="29">
        <v>0</v>
      </c>
      <c r="N731" t="s">
        <v>32</v>
      </c>
      <c r="O731" t="s">
        <v>33</v>
      </c>
      <c r="P731" t="s">
        <v>34</v>
      </c>
      <c r="Q731" t="s">
        <v>34</v>
      </c>
      <c r="R731" t="s">
        <v>34</v>
      </c>
      <c r="S731" t="s">
        <v>34</v>
      </c>
      <c r="T731" s="117">
        <v>0</v>
      </c>
    </row>
    <row r="732" spans="1:21" ht="14.5" customHeight="1" x14ac:dyDescent="0.35">
      <c r="A732" t="s">
        <v>19</v>
      </c>
      <c r="B732" t="s">
        <v>25</v>
      </c>
      <c r="C732" s="1">
        <v>45414</v>
      </c>
      <c r="D732">
        <f t="shared" si="48"/>
        <v>2</v>
      </c>
      <c r="E732">
        <f t="shared" si="49"/>
        <v>5</v>
      </c>
      <c r="F732">
        <f t="shared" si="50"/>
        <v>2024</v>
      </c>
      <c r="G732" t="s">
        <v>38</v>
      </c>
      <c r="H732" s="98">
        <v>10300</v>
      </c>
      <c r="I732" s="29">
        <v>324027.15000000002</v>
      </c>
      <c r="J732" s="12" t="s">
        <v>31</v>
      </c>
      <c r="K732" s="29">
        <f t="shared" si="47"/>
        <v>324027.15000000002</v>
      </c>
      <c r="L732">
        <v>1</v>
      </c>
      <c r="M732" s="29">
        <v>0</v>
      </c>
      <c r="N732" t="s">
        <v>32</v>
      </c>
      <c r="O732" t="s">
        <v>114</v>
      </c>
      <c r="P732" s="1">
        <v>45414</v>
      </c>
      <c r="Q732" s="1">
        <v>45497</v>
      </c>
      <c r="R732" s="174" t="s">
        <v>243</v>
      </c>
      <c r="S732" t="s">
        <v>34</v>
      </c>
      <c r="T732" s="117">
        <v>0</v>
      </c>
      <c r="U732" s="209" t="s">
        <v>160</v>
      </c>
    </row>
    <row r="733" spans="1:21" ht="14.5" customHeight="1" x14ac:dyDescent="0.35">
      <c r="A733" t="s">
        <v>19</v>
      </c>
      <c r="B733" t="s">
        <v>27</v>
      </c>
      <c r="C733" s="1">
        <v>45414</v>
      </c>
      <c r="D733">
        <f t="shared" si="48"/>
        <v>2</v>
      </c>
      <c r="E733">
        <f t="shared" si="49"/>
        <v>5</v>
      </c>
      <c r="F733">
        <f t="shared" si="50"/>
        <v>2024</v>
      </c>
      <c r="G733" t="s">
        <v>100</v>
      </c>
      <c r="H733" s="98">
        <v>10108</v>
      </c>
      <c r="I733" s="29">
        <v>329760.21999999997</v>
      </c>
      <c r="J733" s="12" t="s">
        <v>31</v>
      </c>
      <c r="K733" s="29">
        <f t="shared" si="47"/>
        <v>329760.21999999997</v>
      </c>
      <c r="L733">
        <v>1</v>
      </c>
      <c r="M733" s="29">
        <v>0</v>
      </c>
      <c r="N733" t="s">
        <v>32</v>
      </c>
      <c r="O733" t="s">
        <v>114</v>
      </c>
      <c r="P733" s="1">
        <v>45414</v>
      </c>
      <c r="Q733" s="1">
        <v>45574</v>
      </c>
      <c r="R733" s="174" t="s">
        <v>244</v>
      </c>
      <c r="S733" t="s">
        <v>34</v>
      </c>
      <c r="T733" s="117">
        <v>0</v>
      </c>
      <c r="U733" s="209" t="s">
        <v>160</v>
      </c>
    </row>
    <row r="734" spans="1:21" ht="14.5" customHeight="1" x14ac:dyDescent="0.35">
      <c r="A734" t="s">
        <v>19</v>
      </c>
      <c r="B734" t="s">
        <v>26</v>
      </c>
      <c r="C734" s="1">
        <v>45415</v>
      </c>
      <c r="D734">
        <f t="shared" si="48"/>
        <v>3</v>
      </c>
      <c r="E734">
        <f t="shared" si="49"/>
        <v>5</v>
      </c>
      <c r="F734">
        <f t="shared" si="50"/>
        <v>2024</v>
      </c>
      <c r="G734" t="s">
        <v>73</v>
      </c>
      <c r="H734" s="98">
        <v>10285</v>
      </c>
      <c r="I734" s="29">
        <v>87589.24</v>
      </c>
      <c r="J734" s="12" t="s">
        <v>51</v>
      </c>
      <c r="K734" s="29">
        <f t="shared" si="47"/>
        <v>94508.789960000009</v>
      </c>
      <c r="L734">
        <v>1.079</v>
      </c>
      <c r="M734" s="29">
        <v>0</v>
      </c>
      <c r="N734" t="s">
        <v>32</v>
      </c>
      <c r="O734" t="s">
        <v>33</v>
      </c>
      <c r="P734" t="s">
        <v>34</v>
      </c>
      <c r="Q734" t="s">
        <v>34</v>
      </c>
      <c r="R734" t="s">
        <v>34</v>
      </c>
      <c r="S734" t="s">
        <v>34</v>
      </c>
      <c r="T734" s="117">
        <v>0</v>
      </c>
      <c r="U734" s="209" t="s">
        <v>94</v>
      </c>
    </row>
    <row r="735" spans="1:21" ht="14.5" customHeight="1" x14ac:dyDescent="0.35">
      <c r="A735" t="s">
        <v>19</v>
      </c>
      <c r="B735" t="s">
        <v>26</v>
      </c>
      <c r="C735" s="1">
        <v>45415</v>
      </c>
      <c r="D735">
        <f t="shared" si="48"/>
        <v>3</v>
      </c>
      <c r="E735">
        <f t="shared" si="49"/>
        <v>5</v>
      </c>
      <c r="F735">
        <f t="shared" si="50"/>
        <v>2024</v>
      </c>
      <c r="G735" t="s">
        <v>73</v>
      </c>
      <c r="H735" s="98">
        <v>10286</v>
      </c>
      <c r="I735" s="29">
        <v>72799.39</v>
      </c>
      <c r="J735" s="12" t="s">
        <v>51</v>
      </c>
      <c r="K735" s="29">
        <f t="shared" si="47"/>
        <v>78550.541809999995</v>
      </c>
      <c r="L735">
        <v>1.079</v>
      </c>
      <c r="M735" s="29">
        <v>0</v>
      </c>
      <c r="N735" t="s">
        <v>32</v>
      </c>
      <c r="O735" t="s">
        <v>33</v>
      </c>
      <c r="P735" t="s">
        <v>34</v>
      </c>
      <c r="Q735" t="s">
        <v>34</v>
      </c>
      <c r="R735" t="s">
        <v>34</v>
      </c>
      <c r="S735" t="s">
        <v>34</v>
      </c>
      <c r="T735" s="117">
        <v>0</v>
      </c>
      <c r="U735" s="209" t="s">
        <v>94</v>
      </c>
    </row>
    <row r="736" spans="1:21" ht="14.5" customHeight="1" x14ac:dyDescent="0.35">
      <c r="A736" t="s">
        <v>19</v>
      </c>
      <c r="B736" t="s">
        <v>23</v>
      </c>
      <c r="C736" s="1">
        <v>45420</v>
      </c>
      <c r="D736">
        <f t="shared" si="48"/>
        <v>8</v>
      </c>
      <c r="E736">
        <f t="shared" si="49"/>
        <v>5</v>
      </c>
      <c r="F736">
        <f t="shared" si="50"/>
        <v>2024</v>
      </c>
      <c r="G736" t="s">
        <v>74</v>
      </c>
      <c r="H736" s="98">
        <v>9964</v>
      </c>
      <c r="I736" s="29">
        <v>26317.200000000001</v>
      </c>
      <c r="J736" s="12" t="s">
        <v>31</v>
      </c>
      <c r="K736" s="29">
        <f t="shared" si="47"/>
        <v>26317.200000000001</v>
      </c>
      <c r="L736">
        <v>1</v>
      </c>
      <c r="M736" s="29">
        <v>0</v>
      </c>
      <c r="N736" t="s">
        <v>32</v>
      </c>
      <c r="O736" t="s">
        <v>33</v>
      </c>
      <c r="P736" t="s">
        <v>34</v>
      </c>
      <c r="Q736" t="s">
        <v>34</v>
      </c>
      <c r="R736" t="s">
        <v>34</v>
      </c>
      <c r="S736" t="s">
        <v>34</v>
      </c>
      <c r="T736" s="117">
        <v>0</v>
      </c>
    </row>
    <row r="737" spans="1:21" ht="14.5" customHeight="1" x14ac:dyDescent="0.35">
      <c r="A737" t="s">
        <v>19</v>
      </c>
      <c r="B737" t="s">
        <v>23</v>
      </c>
      <c r="C737" s="1">
        <v>45420</v>
      </c>
      <c r="D737">
        <f t="shared" si="48"/>
        <v>8</v>
      </c>
      <c r="E737">
        <f t="shared" si="49"/>
        <v>5</v>
      </c>
      <c r="F737">
        <f t="shared" si="50"/>
        <v>2024</v>
      </c>
      <c r="G737" t="s">
        <v>74</v>
      </c>
      <c r="H737" s="98">
        <v>9965</v>
      </c>
      <c r="I737" s="29">
        <v>25718.05</v>
      </c>
      <c r="J737" s="12" t="s">
        <v>31</v>
      </c>
      <c r="K737" s="29">
        <f t="shared" si="47"/>
        <v>25718.05</v>
      </c>
      <c r="L737">
        <v>1</v>
      </c>
      <c r="M737" s="29">
        <v>0</v>
      </c>
      <c r="N737" t="s">
        <v>32</v>
      </c>
      <c r="O737" t="s">
        <v>33</v>
      </c>
      <c r="P737" t="s">
        <v>34</v>
      </c>
      <c r="Q737" t="s">
        <v>34</v>
      </c>
      <c r="R737" t="s">
        <v>34</v>
      </c>
      <c r="S737" t="s">
        <v>34</v>
      </c>
      <c r="T737" s="117">
        <v>0</v>
      </c>
    </row>
    <row r="738" spans="1:21" ht="14.5" customHeight="1" x14ac:dyDescent="0.35">
      <c r="A738" t="s">
        <v>19</v>
      </c>
      <c r="B738" t="s">
        <v>25</v>
      </c>
      <c r="C738" s="1">
        <v>45420</v>
      </c>
      <c r="D738">
        <f t="shared" si="48"/>
        <v>8</v>
      </c>
      <c r="E738">
        <f t="shared" si="49"/>
        <v>5</v>
      </c>
      <c r="F738">
        <f t="shared" si="50"/>
        <v>2024</v>
      </c>
      <c r="G738" t="s">
        <v>36</v>
      </c>
      <c r="H738" s="98">
        <v>9753</v>
      </c>
      <c r="I738" s="29">
        <v>86173.25</v>
      </c>
      <c r="J738" s="12" t="s">
        <v>31</v>
      </c>
      <c r="K738" s="29">
        <f t="shared" si="47"/>
        <v>86173.25</v>
      </c>
      <c r="L738">
        <v>1</v>
      </c>
      <c r="M738" s="29">
        <v>0</v>
      </c>
      <c r="N738" t="s">
        <v>32</v>
      </c>
      <c r="O738" t="s">
        <v>33</v>
      </c>
      <c r="P738" t="s">
        <v>34</v>
      </c>
      <c r="Q738" t="s">
        <v>34</v>
      </c>
      <c r="R738" t="s">
        <v>34</v>
      </c>
      <c r="S738" t="s">
        <v>34</v>
      </c>
      <c r="T738" s="117">
        <v>0</v>
      </c>
    </row>
    <row r="739" spans="1:21" ht="14.5" customHeight="1" x14ac:dyDescent="0.35">
      <c r="A739" t="s">
        <v>19</v>
      </c>
      <c r="B739" t="s">
        <v>24</v>
      </c>
      <c r="C739" s="1">
        <v>45420</v>
      </c>
      <c r="D739">
        <f t="shared" si="48"/>
        <v>8</v>
      </c>
      <c r="E739">
        <f t="shared" si="49"/>
        <v>5</v>
      </c>
      <c r="F739">
        <f t="shared" si="50"/>
        <v>2024</v>
      </c>
      <c r="G739" t="s">
        <v>39</v>
      </c>
      <c r="H739" s="98">
        <v>9868</v>
      </c>
      <c r="I739" s="29">
        <v>34887.599999999999</v>
      </c>
      <c r="J739" s="12" t="s">
        <v>31</v>
      </c>
      <c r="K739" s="29">
        <f t="shared" si="47"/>
        <v>34887.599999999999</v>
      </c>
      <c r="L739">
        <v>1</v>
      </c>
      <c r="M739" s="29">
        <v>0</v>
      </c>
      <c r="N739" t="s">
        <v>32</v>
      </c>
      <c r="O739" t="s">
        <v>33</v>
      </c>
      <c r="P739" t="s">
        <v>34</v>
      </c>
      <c r="Q739" t="s">
        <v>34</v>
      </c>
      <c r="R739" t="s">
        <v>34</v>
      </c>
      <c r="S739" t="s">
        <v>34</v>
      </c>
      <c r="T739" s="117">
        <v>0</v>
      </c>
    </row>
    <row r="740" spans="1:21" ht="14.5" customHeight="1" x14ac:dyDescent="0.35">
      <c r="A740" t="s">
        <v>19</v>
      </c>
      <c r="B740" t="s">
        <v>24</v>
      </c>
      <c r="C740" s="1">
        <v>45420</v>
      </c>
      <c r="D740">
        <f t="shared" si="48"/>
        <v>8</v>
      </c>
      <c r="E740">
        <f t="shared" si="49"/>
        <v>5</v>
      </c>
      <c r="F740">
        <f t="shared" si="50"/>
        <v>2024</v>
      </c>
      <c r="G740" t="s">
        <v>39</v>
      </c>
      <c r="H740" s="98">
        <v>10094</v>
      </c>
      <c r="I740" s="29">
        <v>118.8</v>
      </c>
      <c r="J740" s="12" t="s">
        <v>31</v>
      </c>
      <c r="K740" s="29">
        <f t="shared" si="47"/>
        <v>118.8</v>
      </c>
      <c r="L740">
        <v>1</v>
      </c>
      <c r="M740" s="29">
        <v>0</v>
      </c>
      <c r="N740" t="s">
        <v>42</v>
      </c>
      <c r="O740" t="s">
        <v>33</v>
      </c>
      <c r="P740" t="s">
        <v>34</v>
      </c>
      <c r="Q740" t="s">
        <v>34</v>
      </c>
      <c r="R740" t="s">
        <v>34</v>
      </c>
      <c r="S740" t="s">
        <v>34</v>
      </c>
      <c r="T740" s="117">
        <v>0</v>
      </c>
      <c r="U740" s="209" t="s">
        <v>296</v>
      </c>
    </row>
    <row r="741" spans="1:21" ht="14.5" customHeight="1" x14ac:dyDescent="0.35">
      <c r="A741" t="s">
        <v>19</v>
      </c>
      <c r="B741" t="s">
        <v>25</v>
      </c>
      <c r="C741" s="1">
        <v>45420</v>
      </c>
      <c r="D741">
        <f t="shared" si="48"/>
        <v>8</v>
      </c>
      <c r="E741">
        <f t="shared" si="49"/>
        <v>5</v>
      </c>
      <c r="F741">
        <f t="shared" si="50"/>
        <v>2024</v>
      </c>
      <c r="G741" t="s">
        <v>1146</v>
      </c>
      <c r="H741" s="98">
        <v>10510</v>
      </c>
      <c r="I741" s="29">
        <v>89836.65</v>
      </c>
      <c r="J741" s="12" t="s">
        <v>51</v>
      </c>
      <c r="K741" s="29">
        <f t="shared" si="47"/>
        <v>96888.827024999991</v>
      </c>
      <c r="L741">
        <v>1.0785</v>
      </c>
      <c r="M741" s="29">
        <v>0</v>
      </c>
      <c r="N741" t="s">
        <v>42</v>
      </c>
      <c r="O741" t="s">
        <v>33</v>
      </c>
      <c r="P741" t="s">
        <v>34</v>
      </c>
      <c r="Q741" t="s">
        <v>34</v>
      </c>
      <c r="R741" t="s">
        <v>34</v>
      </c>
      <c r="S741" t="s">
        <v>34</v>
      </c>
      <c r="T741" s="117">
        <v>0</v>
      </c>
      <c r="U741" s="209" t="s">
        <v>94</v>
      </c>
    </row>
    <row r="742" spans="1:21" ht="14.5" customHeight="1" x14ac:dyDescent="0.35">
      <c r="A742" t="s">
        <v>19</v>
      </c>
      <c r="B742" t="s">
        <v>25</v>
      </c>
      <c r="C742" s="1">
        <v>45420</v>
      </c>
      <c r="D742">
        <f t="shared" si="48"/>
        <v>8</v>
      </c>
      <c r="E742">
        <f t="shared" si="49"/>
        <v>5</v>
      </c>
      <c r="F742">
        <f t="shared" si="50"/>
        <v>2024</v>
      </c>
      <c r="G742" t="s">
        <v>93</v>
      </c>
      <c r="H742" s="98">
        <v>9890</v>
      </c>
      <c r="I742" s="29">
        <v>11704.65</v>
      </c>
      <c r="J742" s="12" t="s">
        <v>31</v>
      </c>
      <c r="K742" s="29">
        <f t="shared" si="47"/>
        <v>11704.65</v>
      </c>
      <c r="L742">
        <v>1</v>
      </c>
      <c r="M742" s="29">
        <v>0</v>
      </c>
      <c r="N742" t="s">
        <v>32</v>
      </c>
      <c r="O742" t="s">
        <v>33</v>
      </c>
      <c r="P742" t="s">
        <v>34</v>
      </c>
      <c r="Q742" t="s">
        <v>34</v>
      </c>
      <c r="R742" t="s">
        <v>34</v>
      </c>
      <c r="S742" t="s">
        <v>34</v>
      </c>
      <c r="T742" s="117">
        <v>0</v>
      </c>
    </row>
    <row r="743" spans="1:21" ht="14.5" customHeight="1" x14ac:dyDescent="0.35">
      <c r="A743" t="s">
        <v>19</v>
      </c>
      <c r="B743" t="s">
        <v>21</v>
      </c>
      <c r="C743" s="1">
        <v>45420</v>
      </c>
      <c r="D743">
        <f t="shared" si="48"/>
        <v>8</v>
      </c>
      <c r="E743">
        <f t="shared" si="49"/>
        <v>5</v>
      </c>
      <c r="F743">
        <f t="shared" si="50"/>
        <v>2024</v>
      </c>
      <c r="G743" t="s">
        <v>92</v>
      </c>
      <c r="H743" s="98">
        <v>10499</v>
      </c>
      <c r="I743" s="29">
        <v>12.9</v>
      </c>
      <c r="J743" s="12" t="s">
        <v>31</v>
      </c>
      <c r="K743" s="29">
        <f t="shared" si="47"/>
        <v>12.9</v>
      </c>
      <c r="L743">
        <v>1</v>
      </c>
      <c r="M743" s="29">
        <v>0</v>
      </c>
      <c r="N743" t="s">
        <v>42</v>
      </c>
      <c r="O743" t="s">
        <v>33</v>
      </c>
      <c r="P743" t="s">
        <v>34</v>
      </c>
      <c r="Q743" t="s">
        <v>34</v>
      </c>
      <c r="R743" t="s">
        <v>34</v>
      </c>
      <c r="S743" t="s">
        <v>34</v>
      </c>
      <c r="T743" s="117">
        <v>0</v>
      </c>
    </row>
    <row r="744" spans="1:21" ht="14.5" customHeight="1" x14ac:dyDescent="0.35">
      <c r="A744" t="s">
        <v>19</v>
      </c>
      <c r="B744" t="s">
        <v>21</v>
      </c>
      <c r="C744" s="1">
        <v>45420</v>
      </c>
      <c r="D744">
        <f t="shared" si="48"/>
        <v>8</v>
      </c>
      <c r="E744">
        <f t="shared" si="49"/>
        <v>5</v>
      </c>
      <c r="F744">
        <f t="shared" si="50"/>
        <v>2024</v>
      </c>
      <c r="G744" t="s">
        <v>92</v>
      </c>
      <c r="H744" s="98">
        <v>10500</v>
      </c>
      <c r="I744" s="29">
        <v>2541.3000000000002</v>
      </c>
      <c r="J744" s="12" t="s">
        <v>31</v>
      </c>
      <c r="K744" s="29">
        <f t="shared" si="47"/>
        <v>2541.3000000000002</v>
      </c>
      <c r="L744">
        <v>1</v>
      </c>
      <c r="M744" s="29">
        <v>0</v>
      </c>
      <c r="N744" t="s">
        <v>42</v>
      </c>
      <c r="O744" t="s">
        <v>33</v>
      </c>
      <c r="P744" t="s">
        <v>34</v>
      </c>
      <c r="Q744" t="s">
        <v>34</v>
      </c>
      <c r="R744" t="s">
        <v>34</v>
      </c>
      <c r="S744" t="s">
        <v>34</v>
      </c>
      <c r="T744" s="117">
        <v>0</v>
      </c>
    </row>
    <row r="745" spans="1:21" ht="14.5" customHeight="1" x14ac:dyDescent="0.35">
      <c r="A745" t="s">
        <v>19</v>
      </c>
      <c r="B745" t="s">
        <v>21</v>
      </c>
      <c r="C745" s="1">
        <v>45420</v>
      </c>
      <c r="D745">
        <f t="shared" si="48"/>
        <v>8</v>
      </c>
      <c r="E745">
        <f t="shared" si="49"/>
        <v>5</v>
      </c>
      <c r="F745">
        <f t="shared" si="50"/>
        <v>2024</v>
      </c>
      <c r="G745" t="s">
        <v>92</v>
      </c>
      <c r="H745" s="98">
        <v>10095</v>
      </c>
      <c r="I745" s="29">
        <v>34.299999999999997</v>
      </c>
      <c r="J745" s="12" t="s">
        <v>31</v>
      </c>
      <c r="K745" s="29">
        <f t="shared" si="47"/>
        <v>34.299999999999997</v>
      </c>
      <c r="L745">
        <v>1</v>
      </c>
      <c r="M745" s="29">
        <v>0</v>
      </c>
      <c r="N745" t="s">
        <v>32</v>
      </c>
      <c r="O745" t="s">
        <v>33</v>
      </c>
      <c r="P745" t="s">
        <v>34</v>
      </c>
      <c r="Q745" t="s">
        <v>34</v>
      </c>
      <c r="R745" t="s">
        <v>34</v>
      </c>
      <c r="S745" t="s">
        <v>34</v>
      </c>
      <c r="T745" s="117">
        <v>0</v>
      </c>
    </row>
    <row r="746" spans="1:21" ht="14.5" customHeight="1" x14ac:dyDescent="0.35">
      <c r="A746" t="s">
        <v>19</v>
      </c>
      <c r="B746" t="s">
        <v>27</v>
      </c>
      <c r="C746" s="1">
        <v>45420</v>
      </c>
      <c r="D746">
        <f t="shared" si="48"/>
        <v>8</v>
      </c>
      <c r="E746">
        <f t="shared" si="49"/>
        <v>5</v>
      </c>
      <c r="F746">
        <f t="shared" si="50"/>
        <v>2024</v>
      </c>
      <c r="G746" t="s">
        <v>100</v>
      </c>
      <c r="H746" s="98">
        <v>10006</v>
      </c>
      <c r="I746" s="29">
        <v>42642.79</v>
      </c>
      <c r="J746" s="12" t="s">
        <v>31</v>
      </c>
      <c r="K746" s="29">
        <f t="shared" si="47"/>
        <v>42642.79</v>
      </c>
      <c r="L746">
        <v>1</v>
      </c>
      <c r="M746" s="29">
        <v>0</v>
      </c>
      <c r="N746" t="s">
        <v>32</v>
      </c>
      <c r="O746" t="s">
        <v>33</v>
      </c>
      <c r="P746" t="s">
        <v>34</v>
      </c>
      <c r="Q746" t="s">
        <v>34</v>
      </c>
      <c r="R746" t="s">
        <v>34</v>
      </c>
      <c r="S746" t="s">
        <v>34</v>
      </c>
      <c r="T746" s="117">
        <v>0</v>
      </c>
      <c r="U746" s="209" t="s">
        <v>501</v>
      </c>
    </row>
    <row r="747" spans="1:21" ht="14.5" customHeight="1" x14ac:dyDescent="0.35">
      <c r="A747" t="s">
        <v>19</v>
      </c>
      <c r="B747" t="s">
        <v>27</v>
      </c>
      <c r="C747" s="1">
        <v>45420</v>
      </c>
      <c r="D747">
        <f t="shared" si="48"/>
        <v>8</v>
      </c>
      <c r="E747">
        <f t="shared" si="49"/>
        <v>5</v>
      </c>
      <c r="F747">
        <f t="shared" si="50"/>
        <v>2024</v>
      </c>
      <c r="G747" t="s">
        <v>100</v>
      </c>
      <c r="H747" s="98">
        <v>10167</v>
      </c>
      <c r="I747" s="29">
        <v>51607.99</v>
      </c>
      <c r="J747" s="12" t="s">
        <v>31</v>
      </c>
      <c r="K747" s="29">
        <f t="shared" si="47"/>
        <v>51607.99</v>
      </c>
      <c r="L747">
        <v>1</v>
      </c>
      <c r="M747" s="29">
        <v>0</v>
      </c>
      <c r="N747" t="s">
        <v>32</v>
      </c>
      <c r="O747" t="s">
        <v>33</v>
      </c>
      <c r="P747" t="s">
        <v>34</v>
      </c>
      <c r="Q747" t="s">
        <v>34</v>
      </c>
      <c r="R747" t="s">
        <v>34</v>
      </c>
      <c r="S747" t="s">
        <v>34</v>
      </c>
      <c r="T747" s="117">
        <v>0</v>
      </c>
      <c r="U747" s="209" t="s">
        <v>501</v>
      </c>
    </row>
    <row r="748" spans="1:21" ht="14.5" customHeight="1" x14ac:dyDescent="0.35">
      <c r="A748" t="s">
        <v>19</v>
      </c>
      <c r="B748" t="s">
        <v>27</v>
      </c>
      <c r="C748" s="1">
        <v>45420</v>
      </c>
      <c r="D748">
        <f t="shared" si="48"/>
        <v>8</v>
      </c>
      <c r="E748">
        <f t="shared" si="49"/>
        <v>5</v>
      </c>
      <c r="F748">
        <f t="shared" si="50"/>
        <v>2024</v>
      </c>
      <c r="G748" t="s">
        <v>100</v>
      </c>
      <c r="H748" s="98">
        <v>10165</v>
      </c>
      <c r="I748" s="29">
        <v>22726.57</v>
      </c>
      <c r="J748" s="12" t="s">
        <v>31</v>
      </c>
      <c r="K748" s="29">
        <f t="shared" si="47"/>
        <v>22726.57</v>
      </c>
      <c r="L748">
        <v>1</v>
      </c>
      <c r="M748" s="29">
        <v>0</v>
      </c>
      <c r="N748" t="s">
        <v>32</v>
      </c>
      <c r="O748" t="s">
        <v>33</v>
      </c>
      <c r="P748" t="s">
        <v>34</v>
      </c>
      <c r="Q748" t="s">
        <v>34</v>
      </c>
      <c r="R748" t="s">
        <v>34</v>
      </c>
      <c r="S748" t="s">
        <v>34</v>
      </c>
      <c r="T748" s="117">
        <v>0</v>
      </c>
      <c r="U748" s="209" t="s">
        <v>501</v>
      </c>
    </row>
    <row r="749" spans="1:21" ht="14.5" customHeight="1" x14ac:dyDescent="0.35">
      <c r="A749" t="s">
        <v>19</v>
      </c>
      <c r="B749" t="s">
        <v>27</v>
      </c>
      <c r="C749" s="1">
        <v>45420</v>
      </c>
      <c r="D749">
        <f t="shared" si="48"/>
        <v>8</v>
      </c>
      <c r="E749">
        <f t="shared" si="49"/>
        <v>5</v>
      </c>
      <c r="F749">
        <f t="shared" si="50"/>
        <v>2024</v>
      </c>
      <c r="G749" t="s">
        <v>100</v>
      </c>
      <c r="H749" s="98">
        <v>10200</v>
      </c>
      <c r="I749" s="29">
        <v>290.39999999999998</v>
      </c>
      <c r="J749" s="12" t="s">
        <v>31</v>
      </c>
      <c r="K749" s="29">
        <f t="shared" si="47"/>
        <v>290.39999999999998</v>
      </c>
      <c r="L749">
        <v>1</v>
      </c>
      <c r="M749" s="29">
        <v>0</v>
      </c>
      <c r="N749" t="s">
        <v>32</v>
      </c>
      <c r="O749" t="s">
        <v>33</v>
      </c>
      <c r="P749" t="s">
        <v>34</v>
      </c>
      <c r="Q749" t="s">
        <v>34</v>
      </c>
      <c r="R749" t="s">
        <v>34</v>
      </c>
      <c r="S749" t="s">
        <v>34</v>
      </c>
      <c r="T749" s="117">
        <v>0</v>
      </c>
      <c r="U749" s="209" t="s">
        <v>501</v>
      </c>
    </row>
    <row r="750" spans="1:21" ht="14.5" customHeight="1" x14ac:dyDescent="0.35">
      <c r="A750" t="s">
        <v>19</v>
      </c>
      <c r="B750" t="s">
        <v>27</v>
      </c>
      <c r="C750" s="1">
        <v>45420</v>
      </c>
      <c r="D750">
        <f t="shared" si="48"/>
        <v>8</v>
      </c>
      <c r="E750">
        <f t="shared" si="49"/>
        <v>5</v>
      </c>
      <c r="F750">
        <f t="shared" si="50"/>
        <v>2024</v>
      </c>
      <c r="G750" t="s">
        <v>100</v>
      </c>
      <c r="H750" s="98">
        <v>10216</v>
      </c>
      <c r="I750" s="29">
        <v>307.83999999999997</v>
      </c>
      <c r="J750" s="12" t="s">
        <v>31</v>
      </c>
      <c r="K750" s="29">
        <f t="shared" si="47"/>
        <v>307.83999999999997</v>
      </c>
      <c r="L750">
        <v>1</v>
      </c>
      <c r="M750" s="29">
        <v>0</v>
      </c>
      <c r="N750" t="s">
        <v>32</v>
      </c>
      <c r="O750" t="s">
        <v>33</v>
      </c>
      <c r="P750" t="s">
        <v>34</v>
      </c>
      <c r="Q750" t="s">
        <v>34</v>
      </c>
      <c r="R750" t="s">
        <v>34</v>
      </c>
      <c r="S750" t="s">
        <v>34</v>
      </c>
      <c r="T750" s="117">
        <v>0</v>
      </c>
      <c r="U750" s="209" t="s">
        <v>501</v>
      </c>
    </row>
    <row r="751" spans="1:21" ht="14.5" customHeight="1" x14ac:dyDescent="0.35">
      <c r="A751" t="s">
        <v>19</v>
      </c>
      <c r="B751" t="s">
        <v>19</v>
      </c>
      <c r="C751" s="1">
        <v>45420</v>
      </c>
      <c r="D751">
        <f t="shared" si="48"/>
        <v>8</v>
      </c>
      <c r="E751">
        <f t="shared" si="49"/>
        <v>5</v>
      </c>
      <c r="F751">
        <f t="shared" si="50"/>
        <v>2024</v>
      </c>
      <c r="G751" t="s">
        <v>57</v>
      </c>
      <c r="H751" s="171">
        <v>9482</v>
      </c>
      <c r="I751" s="90">
        <v>229425.32</v>
      </c>
      <c r="J751" s="12" t="s">
        <v>31</v>
      </c>
      <c r="K751" s="29">
        <f t="shared" si="47"/>
        <v>229425.32</v>
      </c>
      <c r="L751">
        <v>1</v>
      </c>
      <c r="M751" s="29">
        <v>0</v>
      </c>
      <c r="N751" t="s">
        <v>32</v>
      </c>
      <c r="O751" t="s">
        <v>33</v>
      </c>
      <c r="P751" t="s">
        <v>34</v>
      </c>
      <c r="Q751" t="s">
        <v>34</v>
      </c>
      <c r="R751" t="s">
        <v>34</v>
      </c>
      <c r="S751" t="s">
        <v>34</v>
      </c>
      <c r="T751" s="117">
        <v>0</v>
      </c>
    </row>
    <row r="752" spans="1:21" ht="14.5" customHeight="1" x14ac:dyDescent="0.35">
      <c r="A752" t="s">
        <v>19</v>
      </c>
      <c r="B752" t="s">
        <v>19</v>
      </c>
      <c r="C752" s="1">
        <v>45420</v>
      </c>
      <c r="D752">
        <f t="shared" si="48"/>
        <v>8</v>
      </c>
      <c r="E752">
        <f t="shared" si="49"/>
        <v>5</v>
      </c>
      <c r="F752">
        <f t="shared" si="50"/>
        <v>2024</v>
      </c>
      <c r="G752" t="s">
        <v>228</v>
      </c>
      <c r="H752" s="98" t="s">
        <v>250</v>
      </c>
      <c r="I752" s="29">
        <v>79841.350000000006</v>
      </c>
      <c r="J752" s="12" t="s">
        <v>31</v>
      </c>
      <c r="K752" s="29">
        <f t="shared" si="47"/>
        <v>79841.350000000006</v>
      </c>
      <c r="L752">
        <v>1</v>
      </c>
      <c r="M752" s="29">
        <v>0</v>
      </c>
      <c r="N752" t="s">
        <v>32</v>
      </c>
      <c r="O752" t="s">
        <v>33</v>
      </c>
      <c r="P752" t="s">
        <v>34</v>
      </c>
      <c r="Q752" t="s">
        <v>34</v>
      </c>
      <c r="R752" t="s">
        <v>34</v>
      </c>
      <c r="S752" t="s">
        <v>34</v>
      </c>
      <c r="T752" s="117">
        <v>0</v>
      </c>
    </row>
    <row r="753" spans="1:20" ht="14.5" customHeight="1" x14ac:dyDescent="0.35">
      <c r="A753" t="s">
        <v>19</v>
      </c>
      <c r="B753" t="s">
        <v>19</v>
      </c>
      <c r="C753" s="1">
        <v>45420</v>
      </c>
      <c r="D753">
        <f t="shared" si="48"/>
        <v>8</v>
      </c>
      <c r="E753">
        <f t="shared" si="49"/>
        <v>5</v>
      </c>
      <c r="F753">
        <f t="shared" si="50"/>
        <v>2024</v>
      </c>
      <c r="G753" t="s">
        <v>56</v>
      </c>
      <c r="H753" s="98">
        <v>10034</v>
      </c>
      <c r="I753" s="29">
        <v>716.07</v>
      </c>
      <c r="J753" s="12" t="s">
        <v>31</v>
      </c>
      <c r="K753" s="29">
        <f t="shared" si="47"/>
        <v>716.07</v>
      </c>
      <c r="L753">
        <v>1</v>
      </c>
      <c r="M753" s="29">
        <v>0</v>
      </c>
      <c r="N753" t="s">
        <v>32</v>
      </c>
      <c r="O753" t="s">
        <v>33</v>
      </c>
      <c r="P753" t="s">
        <v>34</v>
      </c>
      <c r="Q753" t="s">
        <v>34</v>
      </c>
      <c r="R753" t="s">
        <v>34</v>
      </c>
      <c r="S753" t="s">
        <v>34</v>
      </c>
      <c r="T753" s="117">
        <v>0</v>
      </c>
    </row>
    <row r="754" spans="1:20" ht="14.5" customHeight="1" x14ac:dyDescent="0.35">
      <c r="A754" t="s">
        <v>19</v>
      </c>
      <c r="B754" t="s">
        <v>19</v>
      </c>
      <c r="C754" s="1">
        <v>45420</v>
      </c>
      <c r="D754">
        <f t="shared" si="48"/>
        <v>8</v>
      </c>
      <c r="E754">
        <f t="shared" si="49"/>
        <v>5</v>
      </c>
      <c r="F754">
        <f t="shared" si="50"/>
        <v>2024</v>
      </c>
      <c r="G754" t="s">
        <v>56</v>
      </c>
      <c r="H754" s="98">
        <v>10083</v>
      </c>
      <c r="I754" s="29">
        <v>4022.94</v>
      </c>
      <c r="J754" s="12" t="s">
        <v>31</v>
      </c>
      <c r="K754" s="29">
        <f t="shared" si="47"/>
        <v>4022.94</v>
      </c>
      <c r="L754">
        <v>1</v>
      </c>
      <c r="M754" s="29">
        <v>0</v>
      </c>
      <c r="N754" t="s">
        <v>32</v>
      </c>
      <c r="O754" t="s">
        <v>33</v>
      </c>
      <c r="P754" t="s">
        <v>34</v>
      </c>
      <c r="Q754" t="s">
        <v>34</v>
      </c>
      <c r="R754" t="s">
        <v>34</v>
      </c>
      <c r="S754" t="s">
        <v>34</v>
      </c>
      <c r="T754" s="117">
        <v>0</v>
      </c>
    </row>
    <row r="755" spans="1:20" ht="14.5" customHeight="1" x14ac:dyDescent="0.35">
      <c r="A755" t="s">
        <v>19</v>
      </c>
      <c r="B755" t="s">
        <v>19</v>
      </c>
      <c r="C755" s="1">
        <v>45420</v>
      </c>
      <c r="D755">
        <f t="shared" si="48"/>
        <v>8</v>
      </c>
      <c r="E755">
        <f t="shared" si="49"/>
        <v>5</v>
      </c>
      <c r="F755">
        <f t="shared" si="50"/>
        <v>2024</v>
      </c>
      <c r="G755" t="s">
        <v>56</v>
      </c>
      <c r="H755" s="98">
        <v>10084</v>
      </c>
      <c r="I755" s="29">
        <v>2070.0500000000002</v>
      </c>
      <c r="J755" s="12" t="s">
        <v>31</v>
      </c>
      <c r="K755" s="29">
        <f t="shared" si="47"/>
        <v>2070.0500000000002</v>
      </c>
      <c r="L755">
        <v>1</v>
      </c>
      <c r="M755" s="29">
        <v>0</v>
      </c>
      <c r="N755" t="s">
        <v>32</v>
      </c>
      <c r="O755" t="s">
        <v>33</v>
      </c>
      <c r="P755" t="s">
        <v>34</v>
      </c>
      <c r="Q755" t="s">
        <v>34</v>
      </c>
      <c r="R755" t="s">
        <v>34</v>
      </c>
      <c r="S755" t="s">
        <v>34</v>
      </c>
      <c r="T755" s="117">
        <v>0</v>
      </c>
    </row>
    <row r="756" spans="1:20" ht="14.5" customHeight="1" x14ac:dyDescent="0.35">
      <c r="A756" t="s">
        <v>19</v>
      </c>
      <c r="B756" t="s">
        <v>19</v>
      </c>
      <c r="C756" s="1">
        <v>45420</v>
      </c>
      <c r="D756">
        <f t="shared" si="48"/>
        <v>8</v>
      </c>
      <c r="E756">
        <f t="shared" si="49"/>
        <v>5</v>
      </c>
      <c r="F756">
        <f t="shared" si="50"/>
        <v>2024</v>
      </c>
      <c r="G756" t="s">
        <v>421</v>
      </c>
      <c r="H756" s="171" t="s">
        <v>251</v>
      </c>
      <c r="I756" s="90">
        <v>106505.85</v>
      </c>
      <c r="J756" s="12" t="s">
        <v>31</v>
      </c>
      <c r="K756" s="29">
        <f t="shared" si="47"/>
        <v>106505.85</v>
      </c>
      <c r="L756">
        <v>1</v>
      </c>
      <c r="M756" s="29">
        <v>0</v>
      </c>
      <c r="N756" t="s">
        <v>32</v>
      </c>
      <c r="O756" t="s">
        <v>33</v>
      </c>
      <c r="P756" t="s">
        <v>34</v>
      </c>
      <c r="Q756" t="s">
        <v>34</v>
      </c>
      <c r="R756" t="s">
        <v>34</v>
      </c>
      <c r="S756" t="s">
        <v>34</v>
      </c>
      <c r="T756" s="117">
        <v>0</v>
      </c>
    </row>
    <row r="757" spans="1:20" ht="14.5" customHeight="1" x14ac:dyDescent="0.35">
      <c r="A757" t="s">
        <v>19</v>
      </c>
      <c r="B757" t="s">
        <v>19</v>
      </c>
      <c r="C757" s="1">
        <v>45420</v>
      </c>
      <c r="D757">
        <f t="shared" si="48"/>
        <v>8</v>
      </c>
      <c r="E757">
        <f t="shared" si="49"/>
        <v>5</v>
      </c>
      <c r="F757">
        <f t="shared" si="50"/>
        <v>2024</v>
      </c>
      <c r="G757" t="s">
        <v>102</v>
      </c>
      <c r="H757" s="98" t="s">
        <v>252</v>
      </c>
      <c r="I757" s="29">
        <v>29845.360000000001</v>
      </c>
      <c r="J757" s="12" t="s">
        <v>31</v>
      </c>
      <c r="K757" s="29">
        <f t="shared" si="47"/>
        <v>29845.360000000001</v>
      </c>
      <c r="L757">
        <v>1</v>
      </c>
      <c r="M757" s="29">
        <v>0</v>
      </c>
      <c r="N757" t="s">
        <v>32</v>
      </c>
      <c r="O757" t="s">
        <v>33</v>
      </c>
      <c r="P757" t="s">
        <v>34</v>
      </c>
      <c r="Q757" t="s">
        <v>34</v>
      </c>
      <c r="R757" t="s">
        <v>34</v>
      </c>
      <c r="S757" t="s">
        <v>34</v>
      </c>
      <c r="T757" s="117">
        <v>0</v>
      </c>
    </row>
    <row r="758" spans="1:20" ht="14.5" customHeight="1" x14ac:dyDescent="0.35">
      <c r="A758" t="s">
        <v>19</v>
      </c>
      <c r="B758" t="s">
        <v>19</v>
      </c>
      <c r="C758" s="1">
        <v>45420</v>
      </c>
      <c r="D758">
        <f t="shared" si="48"/>
        <v>8</v>
      </c>
      <c r="E758">
        <f t="shared" si="49"/>
        <v>5</v>
      </c>
      <c r="F758">
        <f t="shared" si="50"/>
        <v>2024</v>
      </c>
      <c r="G758" t="s">
        <v>102</v>
      </c>
      <c r="H758" s="98" t="s">
        <v>269</v>
      </c>
      <c r="I758" s="29">
        <v>12720</v>
      </c>
      <c r="J758" s="12" t="s">
        <v>31</v>
      </c>
      <c r="K758" s="29">
        <f t="shared" si="47"/>
        <v>12720</v>
      </c>
      <c r="L758">
        <v>1</v>
      </c>
      <c r="M758" s="29">
        <v>0</v>
      </c>
      <c r="N758" t="s">
        <v>42</v>
      </c>
      <c r="O758" t="s">
        <v>33</v>
      </c>
      <c r="P758" t="s">
        <v>34</v>
      </c>
      <c r="Q758" t="s">
        <v>34</v>
      </c>
      <c r="R758" t="s">
        <v>34</v>
      </c>
      <c r="S758" t="s">
        <v>34</v>
      </c>
      <c r="T758" s="117">
        <v>0</v>
      </c>
    </row>
    <row r="759" spans="1:20" ht="14.5" customHeight="1" x14ac:dyDescent="0.35">
      <c r="A759" t="s">
        <v>19</v>
      </c>
      <c r="B759" t="s">
        <v>19</v>
      </c>
      <c r="C759" s="1">
        <v>45420</v>
      </c>
      <c r="D759">
        <f t="shared" si="48"/>
        <v>8</v>
      </c>
      <c r="E759">
        <f t="shared" si="49"/>
        <v>5</v>
      </c>
      <c r="F759">
        <f t="shared" si="50"/>
        <v>2024</v>
      </c>
      <c r="G759" t="s">
        <v>110</v>
      </c>
      <c r="H759" s="98" t="s">
        <v>253</v>
      </c>
      <c r="I759" s="29">
        <v>81704.22</v>
      </c>
      <c r="J759" s="12" t="s">
        <v>31</v>
      </c>
      <c r="K759" s="29">
        <f t="shared" si="47"/>
        <v>81704.22</v>
      </c>
      <c r="L759">
        <v>1</v>
      </c>
      <c r="M759" s="29">
        <v>0</v>
      </c>
      <c r="N759" t="s">
        <v>32</v>
      </c>
      <c r="O759" t="s">
        <v>33</v>
      </c>
      <c r="P759" t="s">
        <v>34</v>
      </c>
      <c r="Q759" t="s">
        <v>34</v>
      </c>
      <c r="R759" t="s">
        <v>34</v>
      </c>
      <c r="S759" t="s">
        <v>34</v>
      </c>
      <c r="T759" s="117">
        <v>0</v>
      </c>
    </row>
    <row r="760" spans="1:20" ht="14.5" customHeight="1" x14ac:dyDescent="0.35">
      <c r="A760" t="s">
        <v>19</v>
      </c>
      <c r="B760" t="s">
        <v>19</v>
      </c>
      <c r="C760" s="1">
        <v>45420</v>
      </c>
      <c r="D760">
        <f t="shared" si="48"/>
        <v>8</v>
      </c>
      <c r="E760">
        <f t="shared" si="49"/>
        <v>5</v>
      </c>
      <c r="F760">
        <f t="shared" si="50"/>
        <v>2024</v>
      </c>
      <c r="G760" t="s">
        <v>43</v>
      </c>
      <c r="H760" s="98" t="s">
        <v>254</v>
      </c>
      <c r="I760" s="29">
        <v>19532.150000000001</v>
      </c>
      <c r="J760" s="12" t="s">
        <v>31</v>
      </c>
      <c r="K760" s="29">
        <f t="shared" si="47"/>
        <v>19532.150000000001</v>
      </c>
      <c r="L760">
        <v>1</v>
      </c>
      <c r="M760" s="29">
        <v>0</v>
      </c>
      <c r="N760" t="s">
        <v>32</v>
      </c>
      <c r="O760" t="s">
        <v>33</v>
      </c>
      <c r="P760" t="s">
        <v>34</v>
      </c>
      <c r="Q760" t="s">
        <v>34</v>
      </c>
      <c r="R760" t="s">
        <v>34</v>
      </c>
      <c r="S760" t="s">
        <v>34</v>
      </c>
      <c r="T760" s="117">
        <v>0</v>
      </c>
    </row>
    <row r="761" spans="1:20" ht="14.5" customHeight="1" x14ac:dyDescent="0.35">
      <c r="A761" t="s">
        <v>20</v>
      </c>
      <c r="B761" t="s">
        <v>24</v>
      </c>
      <c r="C761" s="1">
        <v>45420</v>
      </c>
      <c r="D761">
        <f t="shared" si="48"/>
        <v>8</v>
      </c>
      <c r="E761">
        <f t="shared" si="49"/>
        <v>5</v>
      </c>
      <c r="F761">
        <f t="shared" si="50"/>
        <v>2024</v>
      </c>
      <c r="G761" t="s">
        <v>81</v>
      </c>
      <c r="H761" s="98">
        <v>9831</v>
      </c>
      <c r="I761" s="29">
        <v>40237.599999999999</v>
      </c>
      <c r="J761" s="12" t="s">
        <v>31</v>
      </c>
      <c r="K761" s="29">
        <f t="shared" si="47"/>
        <v>40237.599999999999</v>
      </c>
      <c r="L761">
        <v>1</v>
      </c>
      <c r="M761" s="29">
        <v>0</v>
      </c>
      <c r="N761" t="s">
        <v>32</v>
      </c>
      <c r="O761" t="s">
        <v>33</v>
      </c>
      <c r="P761" t="s">
        <v>34</v>
      </c>
      <c r="Q761" t="s">
        <v>34</v>
      </c>
      <c r="R761" t="s">
        <v>34</v>
      </c>
      <c r="S761" t="s">
        <v>34</v>
      </c>
      <c r="T761" s="117">
        <v>0</v>
      </c>
    </row>
    <row r="762" spans="1:20" ht="14.5" customHeight="1" x14ac:dyDescent="0.35">
      <c r="A762" t="s">
        <v>20</v>
      </c>
      <c r="B762" t="s">
        <v>25</v>
      </c>
      <c r="C762" s="1">
        <v>45420</v>
      </c>
      <c r="D762">
        <f t="shared" si="48"/>
        <v>8</v>
      </c>
      <c r="E762">
        <f t="shared" si="49"/>
        <v>5</v>
      </c>
      <c r="F762">
        <f t="shared" si="50"/>
        <v>2024</v>
      </c>
      <c r="G762" t="s">
        <v>81</v>
      </c>
      <c r="H762" s="98">
        <v>9831</v>
      </c>
      <c r="I762" s="29">
        <v>24120</v>
      </c>
      <c r="J762" s="12" t="s">
        <v>31</v>
      </c>
      <c r="K762" s="29">
        <f t="shared" si="47"/>
        <v>24120</v>
      </c>
      <c r="L762">
        <v>1</v>
      </c>
      <c r="M762" s="29">
        <v>0</v>
      </c>
      <c r="N762" t="s">
        <v>32</v>
      </c>
      <c r="O762" t="s">
        <v>33</v>
      </c>
      <c r="P762" t="s">
        <v>34</v>
      </c>
      <c r="Q762" t="s">
        <v>34</v>
      </c>
      <c r="R762" t="s">
        <v>34</v>
      </c>
      <c r="S762" t="s">
        <v>34</v>
      </c>
      <c r="T762" s="117">
        <v>0</v>
      </c>
    </row>
    <row r="763" spans="1:20" ht="14.5" customHeight="1" x14ac:dyDescent="0.35">
      <c r="A763" t="s">
        <v>20</v>
      </c>
      <c r="B763" t="s">
        <v>23</v>
      </c>
      <c r="C763" s="1">
        <v>45420</v>
      </c>
      <c r="D763">
        <f t="shared" si="48"/>
        <v>8</v>
      </c>
      <c r="E763">
        <f t="shared" si="49"/>
        <v>5</v>
      </c>
      <c r="F763">
        <f t="shared" si="50"/>
        <v>2024</v>
      </c>
      <c r="G763" t="s">
        <v>165</v>
      </c>
      <c r="H763" s="98">
        <v>10211</v>
      </c>
      <c r="I763" s="29">
        <v>5282.81</v>
      </c>
      <c r="J763" s="12" t="s">
        <v>31</v>
      </c>
      <c r="K763" s="29">
        <f t="shared" si="47"/>
        <v>5282.81</v>
      </c>
      <c r="L763">
        <v>1</v>
      </c>
      <c r="M763" s="29">
        <v>0</v>
      </c>
      <c r="N763" t="s">
        <v>42</v>
      </c>
      <c r="O763" t="s">
        <v>33</v>
      </c>
      <c r="P763" t="s">
        <v>34</v>
      </c>
      <c r="Q763" t="s">
        <v>34</v>
      </c>
      <c r="R763" t="s">
        <v>34</v>
      </c>
      <c r="S763" t="s">
        <v>34</v>
      </c>
      <c r="T763" s="117">
        <v>178.9</v>
      </c>
    </row>
    <row r="764" spans="1:20" ht="14.5" customHeight="1" x14ac:dyDescent="0.35">
      <c r="A764" t="s">
        <v>20</v>
      </c>
      <c r="B764" t="s">
        <v>21</v>
      </c>
      <c r="C764" s="1">
        <v>45420</v>
      </c>
      <c r="D764">
        <f t="shared" si="48"/>
        <v>8</v>
      </c>
      <c r="E764">
        <f t="shared" si="49"/>
        <v>5</v>
      </c>
      <c r="F764">
        <f t="shared" si="50"/>
        <v>2024</v>
      </c>
      <c r="G764" t="s">
        <v>97</v>
      </c>
      <c r="H764" s="98">
        <v>10304</v>
      </c>
      <c r="I764" s="29">
        <v>2874.74</v>
      </c>
      <c r="J764" s="12" t="s">
        <v>31</v>
      </c>
      <c r="K764" s="29">
        <f t="shared" si="47"/>
        <v>2874.74</v>
      </c>
      <c r="L764">
        <v>1</v>
      </c>
      <c r="M764" s="29">
        <v>108.69</v>
      </c>
      <c r="N764" t="s">
        <v>32</v>
      </c>
      <c r="O764" t="s">
        <v>33</v>
      </c>
      <c r="P764" t="s">
        <v>34</v>
      </c>
      <c r="Q764" t="s">
        <v>34</v>
      </c>
      <c r="R764" t="s">
        <v>34</v>
      </c>
      <c r="S764" t="s">
        <v>34</v>
      </c>
      <c r="T764" s="117">
        <v>1000</v>
      </c>
    </row>
    <row r="765" spans="1:20" ht="14.5" customHeight="1" x14ac:dyDescent="0.35">
      <c r="A765" t="s">
        <v>20</v>
      </c>
      <c r="B765" t="s">
        <v>23</v>
      </c>
      <c r="C765" s="1">
        <v>45420</v>
      </c>
      <c r="D765">
        <f t="shared" si="48"/>
        <v>8</v>
      </c>
      <c r="E765">
        <f t="shared" si="49"/>
        <v>5</v>
      </c>
      <c r="F765">
        <f t="shared" si="50"/>
        <v>2024</v>
      </c>
      <c r="G765" t="s">
        <v>97</v>
      </c>
      <c r="H765" s="98">
        <v>10304</v>
      </c>
      <c r="I765" s="29">
        <v>43927.14</v>
      </c>
      <c r="J765" s="12" t="s">
        <v>31</v>
      </c>
      <c r="K765" s="29">
        <f t="shared" si="47"/>
        <v>43927.14</v>
      </c>
      <c r="L765">
        <v>1</v>
      </c>
      <c r="M765" s="29">
        <v>1358.58</v>
      </c>
      <c r="N765" t="s">
        <v>32</v>
      </c>
      <c r="O765" t="s">
        <v>33</v>
      </c>
      <c r="P765" t="s">
        <v>34</v>
      </c>
      <c r="Q765" t="s">
        <v>34</v>
      </c>
      <c r="R765" t="s">
        <v>34</v>
      </c>
      <c r="S765" t="s">
        <v>34</v>
      </c>
      <c r="T765" s="117">
        <v>125</v>
      </c>
    </row>
    <row r="766" spans="1:20" ht="14.5" customHeight="1" x14ac:dyDescent="0.35">
      <c r="A766" t="s">
        <v>20</v>
      </c>
      <c r="B766" t="s">
        <v>25</v>
      </c>
      <c r="C766" s="1">
        <v>45420</v>
      </c>
      <c r="D766">
        <f t="shared" si="48"/>
        <v>8</v>
      </c>
      <c r="E766">
        <f t="shared" si="49"/>
        <v>5</v>
      </c>
      <c r="F766">
        <f t="shared" si="50"/>
        <v>2024</v>
      </c>
      <c r="G766" t="s">
        <v>97</v>
      </c>
      <c r="H766" s="98">
        <v>10304</v>
      </c>
      <c r="I766" s="29">
        <v>127783.11</v>
      </c>
      <c r="J766" s="12" t="s">
        <v>31</v>
      </c>
      <c r="K766" s="29">
        <f t="shared" si="47"/>
        <v>127783.11</v>
      </c>
      <c r="L766">
        <v>1</v>
      </c>
      <c r="M766" s="29">
        <v>3967.06</v>
      </c>
      <c r="N766" t="s">
        <v>32</v>
      </c>
      <c r="O766" t="s">
        <v>33</v>
      </c>
      <c r="P766" t="s">
        <v>34</v>
      </c>
      <c r="Q766" t="s">
        <v>34</v>
      </c>
      <c r="R766" t="s">
        <v>34</v>
      </c>
      <c r="S766" t="s">
        <v>34</v>
      </c>
      <c r="T766" s="117">
        <v>0</v>
      </c>
    </row>
    <row r="767" spans="1:20" ht="14.5" customHeight="1" x14ac:dyDescent="0.35">
      <c r="A767" t="s">
        <v>20</v>
      </c>
      <c r="B767" t="s">
        <v>25</v>
      </c>
      <c r="C767" s="1">
        <v>45420</v>
      </c>
      <c r="D767">
        <f t="shared" si="48"/>
        <v>8</v>
      </c>
      <c r="E767">
        <f t="shared" si="49"/>
        <v>5</v>
      </c>
      <c r="F767">
        <f t="shared" si="50"/>
        <v>2024</v>
      </c>
      <c r="G767" t="s">
        <v>54</v>
      </c>
      <c r="H767" s="98">
        <v>9648</v>
      </c>
      <c r="I767" s="29">
        <v>4762.76</v>
      </c>
      <c r="J767" s="12" t="s">
        <v>31</v>
      </c>
      <c r="K767" s="29">
        <f t="shared" si="47"/>
        <v>4762.76</v>
      </c>
      <c r="L767">
        <v>1</v>
      </c>
      <c r="M767" s="29">
        <v>0</v>
      </c>
      <c r="N767" t="s">
        <v>32</v>
      </c>
      <c r="O767" t="s">
        <v>33</v>
      </c>
      <c r="P767" t="s">
        <v>34</v>
      </c>
      <c r="Q767" t="s">
        <v>34</v>
      </c>
      <c r="R767" t="s">
        <v>34</v>
      </c>
      <c r="S767" t="s">
        <v>34</v>
      </c>
      <c r="T767" s="117">
        <v>0</v>
      </c>
    </row>
    <row r="768" spans="1:20" ht="14.5" customHeight="1" x14ac:dyDescent="0.35">
      <c r="A768" t="s">
        <v>20</v>
      </c>
      <c r="B768" t="s">
        <v>23</v>
      </c>
      <c r="C768" s="1">
        <v>45420</v>
      </c>
      <c r="D768">
        <f t="shared" si="48"/>
        <v>8</v>
      </c>
      <c r="E768">
        <f t="shared" si="49"/>
        <v>5</v>
      </c>
      <c r="F768">
        <f t="shared" si="50"/>
        <v>2024</v>
      </c>
      <c r="G768" t="s">
        <v>53</v>
      </c>
      <c r="H768" s="98">
        <v>10191</v>
      </c>
      <c r="I768" s="29">
        <v>10107.49</v>
      </c>
      <c r="J768" s="12" t="s">
        <v>31</v>
      </c>
      <c r="K768" s="29">
        <f t="shared" si="47"/>
        <v>10107.49</v>
      </c>
      <c r="L768">
        <v>1</v>
      </c>
      <c r="M768" s="29">
        <v>0</v>
      </c>
      <c r="N768" t="s">
        <v>32</v>
      </c>
      <c r="O768" t="s">
        <v>33</v>
      </c>
      <c r="P768" t="s">
        <v>34</v>
      </c>
      <c r="Q768" t="s">
        <v>34</v>
      </c>
      <c r="R768" t="s">
        <v>34</v>
      </c>
      <c r="S768" t="s">
        <v>34</v>
      </c>
      <c r="T768" s="117">
        <v>173.6</v>
      </c>
    </row>
    <row r="769" spans="1:21" ht="14.5" customHeight="1" x14ac:dyDescent="0.35">
      <c r="A769" t="s">
        <v>20</v>
      </c>
      <c r="B769" t="s">
        <v>24</v>
      </c>
      <c r="C769" s="1">
        <v>45420</v>
      </c>
      <c r="D769">
        <f t="shared" si="48"/>
        <v>8</v>
      </c>
      <c r="E769">
        <f t="shared" si="49"/>
        <v>5</v>
      </c>
      <c r="F769">
        <f t="shared" si="50"/>
        <v>2024</v>
      </c>
      <c r="G769" t="s">
        <v>89</v>
      </c>
      <c r="H769" s="98">
        <v>9726</v>
      </c>
      <c r="I769" s="29">
        <v>3654.84</v>
      </c>
      <c r="J769" s="12" t="s">
        <v>31</v>
      </c>
      <c r="K769" s="29">
        <f t="shared" ref="K769:K832" si="51">IF(J769="USD",I769,I769*L769)</f>
        <v>3654.84</v>
      </c>
      <c r="L769">
        <v>1</v>
      </c>
      <c r="M769" s="29">
        <v>0</v>
      </c>
      <c r="N769" t="s">
        <v>42</v>
      </c>
      <c r="O769" t="s">
        <v>33</v>
      </c>
      <c r="P769" t="s">
        <v>34</v>
      </c>
      <c r="Q769" t="s">
        <v>34</v>
      </c>
      <c r="R769" t="s">
        <v>34</v>
      </c>
      <c r="S769" t="s">
        <v>34</v>
      </c>
      <c r="T769" s="117">
        <v>0</v>
      </c>
    </row>
    <row r="770" spans="1:21" ht="14.5" customHeight="1" x14ac:dyDescent="0.35">
      <c r="A770" t="s">
        <v>20</v>
      </c>
      <c r="B770" t="s">
        <v>23</v>
      </c>
      <c r="C770" s="1">
        <v>45420</v>
      </c>
      <c r="D770">
        <f t="shared" ref="D770:D833" si="52">DAY(C770)</f>
        <v>8</v>
      </c>
      <c r="E770">
        <f t="shared" ref="E770:E833" si="53">MONTH(C770)</f>
        <v>5</v>
      </c>
      <c r="F770">
        <f t="shared" ref="F770:F833" si="54">YEAR(C770)</f>
        <v>2024</v>
      </c>
      <c r="G770" t="s">
        <v>104</v>
      </c>
      <c r="H770" s="98">
        <v>10518</v>
      </c>
      <c r="I770" s="29">
        <v>64</v>
      </c>
      <c r="J770" s="12" t="s">
        <v>31</v>
      </c>
      <c r="K770" s="29">
        <f t="shared" si="51"/>
        <v>64</v>
      </c>
      <c r="L770">
        <v>1</v>
      </c>
      <c r="M770" s="29">
        <v>0</v>
      </c>
      <c r="N770" t="s">
        <v>42</v>
      </c>
      <c r="O770" t="s">
        <v>33</v>
      </c>
      <c r="P770" t="s">
        <v>34</v>
      </c>
      <c r="Q770" t="s">
        <v>34</v>
      </c>
      <c r="R770" t="s">
        <v>34</v>
      </c>
      <c r="S770" t="s">
        <v>34</v>
      </c>
      <c r="T770" s="117">
        <v>0</v>
      </c>
    </row>
    <row r="771" spans="1:21" ht="14.5" customHeight="1" x14ac:dyDescent="0.35">
      <c r="A771" t="s">
        <v>20</v>
      </c>
      <c r="B771" t="s">
        <v>23</v>
      </c>
      <c r="C771" s="1">
        <v>45420</v>
      </c>
      <c r="D771">
        <f t="shared" si="52"/>
        <v>8</v>
      </c>
      <c r="E771">
        <f t="shared" si="53"/>
        <v>5</v>
      </c>
      <c r="F771">
        <f t="shared" si="54"/>
        <v>2024</v>
      </c>
      <c r="G771" t="s">
        <v>104</v>
      </c>
      <c r="H771" s="98">
        <v>10584</v>
      </c>
      <c r="I771" s="29">
        <v>2</v>
      </c>
      <c r="J771" s="12" t="s">
        <v>31</v>
      </c>
      <c r="K771" s="29">
        <f t="shared" si="51"/>
        <v>2</v>
      </c>
      <c r="L771">
        <v>1</v>
      </c>
      <c r="M771" s="29">
        <v>0</v>
      </c>
      <c r="N771" t="s">
        <v>42</v>
      </c>
      <c r="O771" t="s">
        <v>33</v>
      </c>
      <c r="P771" t="s">
        <v>34</v>
      </c>
      <c r="Q771" t="s">
        <v>34</v>
      </c>
      <c r="R771" t="s">
        <v>34</v>
      </c>
      <c r="S771" t="s">
        <v>34</v>
      </c>
      <c r="T771" s="117">
        <v>0</v>
      </c>
      <c r="U771" s="209" t="s">
        <v>434</v>
      </c>
    </row>
    <row r="772" spans="1:21" ht="14.5" customHeight="1" x14ac:dyDescent="0.35">
      <c r="A772" t="s">
        <v>20</v>
      </c>
      <c r="B772" t="s">
        <v>23</v>
      </c>
      <c r="C772" s="1">
        <v>45420</v>
      </c>
      <c r="D772">
        <f t="shared" si="52"/>
        <v>8</v>
      </c>
      <c r="E772">
        <f t="shared" si="53"/>
        <v>5</v>
      </c>
      <c r="F772">
        <f t="shared" si="54"/>
        <v>2024</v>
      </c>
      <c r="G772" t="s">
        <v>104</v>
      </c>
      <c r="H772" s="98">
        <v>10519</v>
      </c>
      <c r="I772" s="29">
        <v>2178</v>
      </c>
      <c r="J772" s="12" t="s">
        <v>31</v>
      </c>
      <c r="K772" s="29">
        <f t="shared" si="51"/>
        <v>2178</v>
      </c>
      <c r="L772">
        <v>1</v>
      </c>
      <c r="M772" s="29">
        <v>0</v>
      </c>
      <c r="N772" t="s">
        <v>42</v>
      </c>
      <c r="O772" t="s">
        <v>33</v>
      </c>
      <c r="P772" t="s">
        <v>34</v>
      </c>
      <c r="Q772" t="s">
        <v>34</v>
      </c>
      <c r="R772" t="s">
        <v>34</v>
      </c>
      <c r="S772" t="s">
        <v>34</v>
      </c>
      <c r="T772" s="117">
        <v>0</v>
      </c>
    </row>
    <row r="773" spans="1:21" ht="14.5" customHeight="1" x14ac:dyDescent="0.35">
      <c r="A773" t="s">
        <v>20</v>
      </c>
      <c r="B773" t="s">
        <v>23</v>
      </c>
      <c r="C773" s="1">
        <v>45420</v>
      </c>
      <c r="D773">
        <f t="shared" si="52"/>
        <v>8</v>
      </c>
      <c r="E773">
        <f t="shared" si="53"/>
        <v>5</v>
      </c>
      <c r="F773">
        <f t="shared" si="54"/>
        <v>2024</v>
      </c>
      <c r="G773" t="s">
        <v>104</v>
      </c>
      <c r="H773" s="98">
        <v>10516</v>
      </c>
      <c r="I773" s="29">
        <v>34</v>
      </c>
      <c r="J773" s="12" t="s">
        <v>31</v>
      </c>
      <c r="K773" s="29">
        <f t="shared" si="51"/>
        <v>34</v>
      </c>
      <c r="L773">
        <v>1</v>
      </c>
      <c r="M773" s="29">
        <v>0</v>
      </c>
      <c r="N773" t="s">
        <v>42</v>
      </c>
      <c r="O773" t="s">
        <v>33</v>
      </c>
      <c r="P773" t="s">
        <v>34</v>
      </c>
      <c r="Q773" t="s">
        <v>34</v>
      </c>
      <c r="R773" t="s">
        <v>34</v>
      </c>
      <c r="S773" t="s">
        <v>34</v>
      </c>
      <c r="T773" s="117">
        <v>0</v>
      </c>
    </row>
    <row r="774" spans="1:21" ht="14.5" customHeight="1" x14ac:dyDescent="0.35">
      <c r="A774" t="s">
        <v>20</v>
      </c>
      <c r="B774" t="s">
        <v>23</v>
      </c>
      <c r="C774" s="1">
        <v>45420</v>
      </c>
      <c r="D774">
        <f t="shared" si="52"/>
        <v>8</v>
      </c>
      <c r="E774">
        <f t="shared" si="53"/>
        <v>5</v>
      </c>
      <c r="F774">
        <f t="shared" si="54"/>
        <v>2024</v>
      </c>
      <c r="G774" t="s">
        <v>104</v>
      </c>
      <c r="H774" s="98">
        <v>10517</v>
      </c>
      <c r="I774" s="29">
        <v>1020</v>
      </c>
      <c r="J774" s="12" t="s">
        <v>31</v>
      </c>
      <c r="K774" s="29">
        <f t="shared" si="51"/>
        <v>1020</v>
      </c>
      <c r="L774">
        <v>1</v>
      </c>
      <c r="M774" s="29">
        <v>0</v>
      </c>
      <c r="N774" t="s">
        <v>42</v>
      </c>
      <c r="O774" t="s">
        <v>33</v>
      </c>
      <c r="P774" t="s">
        <v>34</v>
      </c>
      <c r="Q774" t="s">
        <v>34</v>
      </c>
      <c r="R774" t="s">
        <v>34</v>
      </c>
      <c r="S774" t="s">
        <v>34</v>
      </c>
      <c r="T774" s="117">
        <v>0</v>
      </c>
    </row>
    <row r="775" spans="1:21" ht="14.5" customHeight="1" x14ac:dyDescent="0.35">
      <c r="A775" t="s">
        <v>20</v>
      </c>
      <c r="B775" t="s">
        <v>23</v>
      </c>
      <c r="C775" s="1">
        <v>45420</v>
      </c>
      <c r="D775">
        <f t="shared" si="52"/>
        <v>8</v>
      </c>
      <c r="E775">
        <f t="shared" si="53"/>
        <v>5</v>
      </c>
      <c r="F775">
        <f t="shared" si="54"/>
        <v>2024</v>
      </c>
      <c r="G775" t="s">
        <v>104</v>
      </c>
      <c r="H775" s="98">
        <v>10520</v>
      </c>
      <c r="I775" s="29">
        <v>26</v>
      </c>
      <c r="J775" s="12" t="s">
        <v>31</v>
      </c>
      <c r="K775" s="29">
        <f t="shared" si="51"/>
        <v>26</v>
      </c>
      <c r="L775">
        <v>1</v>
      </c>
      <c r="M775" s="29">
        <v>0</v>
      </c>
      <c r="N775" t="s">
        <v>42</v>
      </c>
      <c r="O775" t="s">
        <v>33</v>
      </c>
      <c r="P775" t="s">
        <v>34</v>
      </c>
      <c r="Q775" t="s">
        <v>34</v>
      </c>
      <c r="R775" t="s">
        <v>34</v>
      </c>
      <c r="S775" t="s">
        <v>34</v>
      </c>
      <c r="T775" s="117">
        <v>0</v>
      </c>
    </row>
    <row r="776" spans="1:21" ht="14.5" customHeight="1" x14ac:dyDescent="0.35">
      <c r="A776" t="s">
        <v>20</v>
      </c>
      <c r="B776" t="s">
        <v>23</v>
      </c>
      <c r="C776" s="1">
        <v>45420</v>
      </c>
      <c r="D776">
        <f t="shared" si="52"/>
        <v>8</v>
      </c>
      <c r="E776">
        <f t="shared" si="53"/>
        <v>5</v>
      </c>
      <c r="F776">
        <f t="shared" si="54"/>
        <v>2024</v>
      </c>
      <c r="G776" t="s">
        <v>104</v>
      </c>
      <c r="H776" s="98">
        <v>10521</v>
      </c>
      <c r="I776" s="29">
        <v>1560</v>
      </c>
      <c r="J776" s="12" t="s">
        <v>31</v>
      </c>
      <c r="K776" s="29">
        <f t="shared" si="51"/>
        <v>1560</v>
      </c>
      <c r="L776">
        <v>1</v>
      </c>
      <c r="M776" s="29">
        <v>0</v>
      </c>
      <c r="N776" t="s">
        <v>42</v>
      </c>
      <c r="O776" t="s">
        <v>33</v>
      </c>
      <c r="P776" t="s">
        <v>34</v>
      </c>
      <c r="Q776" t="s">
        <v>34</v>
      </c>
      <c r="R776" t="s">
        <v>34</v>
      </c>
      <c r="S776" t="s">
        <v>34</v>
      </c>
      <c r="T776" s="117">
        <v>0</v>
      </c>
    </row>
    <row r="777" spans="1:21" ht="14.5" customHeight="1" x14ac:dyDescent="0.35">
      <c r="A777" t="s">
        <v>20</v>
      </c>
      <c r="B777" t="s">
        <v>23</v>
      </c>
      <c r="C777" s="1">
        <v>45420</v>
      </c>
      <c r="D777">
        <f t="shared" si="52"/>
        <v>8</v>
      </c>
      <c r="E777">
        <f t="shared" si="53"/>
        <v>5</v>
      </c>
      <c r="F777">
        <f t="shared" si="54"/>
        <v>2024</v>
      </c>
      <c r="G777" t="s">
        <v>50</v>
      </c>
      <c r="H777" s="98">
        <v>10525</v>
      </c>
      <c r="I777" s="29">
        <v>34</v>
      </c>
      <c r="J777" s="12" t="s">
        <v>31</v>
      </c>
      <c r="K777" s="29">
        <f t="shared" si="51"/>
        <v>34</v>
      </c>
      <c r="L777">
        <v>1</v>
      </c>
      <c r="M777" s="29">
        <v>0</v>
      </c>
      <c r="N777" t="s">
        <v>42</v>
      </c>
      <c r="O777" t="s">
        <v>33</v>
      </c>
      <c r="P777" t="s">
        <v>34</v>
      </c>
      <c r="Q777" t="s">
        <v>34</v>
      </c>
      <c r="R777" t="s">
        <v>34</v>
      </c>
      <c r="S777" t="s">
        <v>34</v>
      </c>
      <c r="T777" s="117">
        <v>0</v>
      </c>
    </row>
    <row r="778" spans="1:21" ht="14.5" customHeight="1" x14ac:dyDescent="0.35">
      <c r="A778" t="s">
        <v>20</v>
      </c>
      <c r="B778" t="s">
        <v>23</v>
      </c>
      <c r="C778" s="1">
        <v>45420</v>
      </c>
      <c r="D778">
        <f t="shared" si="52"/>
        <v>8</v>
      </c>
      <c r="E778">
        <f t="shared" si="53"/>
        <v>5</v>
      </c>
      <c r="F778">
        <f t="shared" si="54"/>
        <v>2024</v>
      </c>
      <c r="G778" t="s">
        <v>50</v>
      </c>
      <c r="H778" s="98">
        <v>10579</v>
      </c>
      <c r="I778" s="29">
        <v>1700</v>
      </c>
      <c r="J778" s="12" t="s">
        <v>31</v>
      </c>
      <c r="K778" s="29">
        <f t="shared" si="51"/>
        <v>1700</v>
      </c>
      <c r="L778">
        <v>1</v>
      </c>
      <c r="M778" s="29">
        <v>0</v>
      </c>
      <c r="N778" t="s">
        <v>42</v>
      </c>
      <c r="O778" t="s">
        <v>33</v>
      </c>
      <c r="P778" t="s">
        <v>34</v>
      </c>
      <c r="Q778" t="s">
        <v>34</v>
      </c>
      <c r="R778" t="s">
        <v>34</v>
      </c>
      <c r="S778" t="s">
        <v>34</v>
      </c>
      <c r="T778" s="117">
        <v>0</v>
      </c>
      <c r="U778" s="209" t="s">
        <v>346</v>
      </c>
    </row>
    <row r="779" spans="1:21" ht="14.5" customHeight="1" x14ac:dyDescent="0.35">
      <c r="A779" t="s">
        <v>20</v>
      </c>
      <c r="B779" t="s">
        <v>24</v>
      </c>
      <c r="C779" s="1">
        <v>45420</v>
      </c>
      <c r="D779">
        <f t="shared" si="52"/>
        <v>8</v>
      </c>
      <c r="E779">
        <f t="shared" si="53"/>
        <v>5</v>
      </c>
      <c r="F779">
        <f t="shared" si="54"/>
        <v>2024</v>
      </c>
      <c r="G779" t="s">
        <v>50</v>
      </c>
      <c r="H779" s="98">
        <v>10578</v>
      </c>
      <c r="I779" s="29">
        <v>521</v>
      </c>
      <c r="J779" s="12" t="s">
        <v>31</v>
      </c>
      <c r="K779" s="29">
        <f t="shared" si="51"/>
        <v>521</v>
      </c>
      <c r="L779">
        <v>1</v>
      </c>
      <c r="M779" s="29">
        <v>0</v>
      </c>
      <c r="N779" t="s">
        <v>42</v>
      </c>
      <c r="O779" t="s">
        <v>33</v>
      </c>
      <c r="P779" t="s">
        <v>34</v>
      </c>
      <c r="Q779" t="s">
        <v>34</v>
      </c>
      <c r="R779" t="s">
        <v>34</v>
      </c>
      <c r="S779" t="s">
        <v>34</v>
      </c>
      <c r="T779" s="117">
        <v>0</v>
      </c>
      <c r="U779" s="209" t="s">
        <v>348</v>
      </c>
    </row>
    <row r="780" spans="1:21" ht="14.5" customHeight="1" x14ac:dyDescent="0.35">
      <c r="A780" t="s">
        <v>20</v>
      </c>
      <c r="B780" t="s">
        <v>24</v>
      </c>
      <c r="C780" s="1">
        <v>45420</v>
      </c>
      <c r="D780">
        <f t="shared" si="52"/>
        <v>8</v>
      </c>
      <c r="E780">
        <f t="shared" si="53"/>
        <v>5</v>
      </c>
      <c r="F780">
        <f t="shared" si="54"/>
        <v>2024</v>
      </c>
      <c r="G780" t="s">
        <v>50</v>
      </c>
      <c r="H780" s="98">
        <v>10595</v>
      </c>
      <c r="I780" s="29">
        <v>99</v>
      </c>
      <c r="J780" s="12" t="s">
        <v>31</v>
      </c>
      <c r="K780" s="29">
        <f t="shared" si="51"/>
        <v>99</v>
      </c>
      <c r="L780">
        <v>1</v>
      </c>
      <c r="M780" s="29">
        <v>0</v>
      </c>
      <c r="N780" t="s">
        <v>42</v>
      </c>
      <c r="O780" t="s">
        <v>33</v>
      </c>
      <c r="P780" t="s">
        <v>34</v>
      </c>
      <c r="Q780" t="s">
        <v>34</v>
      </c>
      <c r="R780" t="s">
        <v>34</v>
      </c>
      <c r="S780" t="s">
        <v>34</v>
      </c>
      <c r="T780" s="117">
        <v>0</v>
      </c>
      <c r="U780" s="209" t="s">
        <v>272</v>
      </c>
    </row>
    <row r="781" spans="1:21" ht="14.5" customHeight="1" x14ac:dyDescent="0.35">
      <c r="A781" t="s">
        <v>20</v>
      </c>
      <c r="B781" t="s">
        <v>24</v>
      </c>
      <c r="C781" s="1">
        <v>45420</v>
      </c>
      <c r="D781">
        <f t="shared" si="52"/>
        <v>8</v>
      </c>
      <c r="E781">
        <f t="shared" si="53"/>
        <v>5</v>
      </c>
      <c r="F781">
        <f t="shared" si="54"/>
        <v>2024</v>
      </c>
      <c r="G781" t="s">
        <v>50</v>
      </c>
      <c r="H781" s="98">
        <v>10579</v>
      </c>
      <c r="I781" s="29">
        <v>4251</v>
      </c>
      <c r="J781" s="12" t="s">
        <v>31</v>
      </c>
      <c r="K781" s="29">
        <f t="shared" si="51"/>
        <v>4251</v>
      </c>
      <c r="L781">
        <v>1</v>
      </c>
      <c r="M781" s="29">
        <v>0</v>
      </c>
      <c r="N781" t="s">
        <v>42</v>
      </c>
      <c r="O781" t="s">
        <v>33</v>
      </c>
      <c r="P781" t="s">
        <v>34</v>
      </c>
      <c r="Q781" t="s">
        <v>34</v>
      </c>
      <c r="R781" t="s">
        <v>34</v>
      </c>
      <c r="S781" t="s">
        <v>34</v>
      </c>
      <c r="T781" s="117">
        <v>0</v>
      </c>
      <c r="U781" s="209" t="s">
        <v>347</v>
      </c>
    </row>
    <row r="782" spans="1:21" ht="14.5" customHeight="1" x14ac:dyDescent="0.35">
      <c r="A782" t="s">
        <v>20</v>
      </c>
      <c r="B782" t="s">
        <v>24</v>
      </c>
      <c r="C782" s="1">
        <v>45420</v>
      </c>
      <c r="D782">
        <f t="shared" si="52"/>
        <v>8</v>
      </c>
      <c r="E782">
        <f t="shared" si="53"/>
        <v>5</v>
      </c>
      <c r="F782">
        <f t="shared" si="54"/>
        <v>2024</v>
      </c>
      <c r="G782" t="s">
        <v>50</v>
      </c>
      <c r="H782" s="98">
        <v>10865</v>
      </c>
      <c r="I782" s="29">
        <v>3223.6</v>
      </c>
      <c r="J782" s="12" t="s">
        <v>31</v>
      </c>
      <c r="K782" s="29">
        <f t="shared" si="51"/>
        <v>3223.6</v>
      </c>
      <c r="L782">
        <v>1</v>
      </c>
      <c r="M782" s="29">
        <v>0</v>
      </c>
      <c r="N782" t="s">
        <v>42</v>
      </c>
      <c r="O782" t="s">
        <v>33</v>
      </c>
      <c r="P782" t="s">
        <v>34</v>
      </c>
      <c r="Q782" t="s">
        <v>34</v>
      </c>
      <c r="R782" t="s">
        <v>34</v>
      </c>
      <c r="S782" t="s">
        <v>34</v>
      </c>
      <c r="T782" s="117">
        <v>0</v>
      </c>
      <c r="U782" s="209" t="s">
        <v>469</v>
      </c>
    </row>
    <row r="783" spans="1:21" ht="14.5" customHeight="1" x14ac:dyDescent="0.35">
      <c r="A783" t="s">
        <v>20</v>
      </c>
      <c r="B783" t="s">
        <v>223</v>
      </c>
      <c r="C783" s="1">
        <v>45420</v>
      </c>
      <c r="D783">
        <f t="shared" si="52"/>
        <v>8</v>
      </c>
      <c r="E783">
        <f t="shared" si="53"/>
        <v>5</v>
      </c>
      <c r="F783">
        <f t="shared" si="54"/>
        <v>2024</v>
      </c>
      <c r="G783" t="s">
        <v>223</v>
      </c>
      <c r="H783" s="98">
        <v>10198</v>
      </c>
      <c r="I783" s="29">
        <v>23174.400000000001</v>
      </c>
      <c r="J783" s="12" t="s">
        <v>51</v>
      </c>
      <c r="K783" s="29">
        <f t="shared" si="51"/>
        <v>24956.51136</v>
      </c>
      <c r="L783">
        <v>1.0769</v>
      </c>
      <c r="M783" s="29">
        <v>0</v>
      </c>
      <c r="N783" t="s">
        <v>32</v>
      </c>
      <c r="O783" t="s">
        <v>186</v>
      </c>
      <c r="P783" s="1">
        <v>45418</v>
      </c>
      <c r="Q783" t="s">
        <v>34</v>
      </c>
      <c r="R783">
        <v>10010014384</v>
      </c>
      <c r="S783" t="s">
        <v>34</v>
      </c>
      <c r="T783" s="117">
        <v>0</v>
      </c>
    </row>
    <row r="784" spans="1:21" ht="14.5" customHeight="1" x14ac:dyDescent="0.35">
      <c r="A784" t="s">
        <v>20</v>
      </c>
      <c r="B784" t="s">
        <v>21</v>
      </c>
      <c r="C784" s="1">
        <v>45420</v>
      </c>
      <c r="D784">
        <f t="shared" si="52"/>
        <v>8</v>
      </c>
      <c r="E784">
        <f t="shared" si="53"/>
        <v>5</v>
      </c>
      <c r="F784">
        <f t="shared" si="54"/>
        <v>2024</v>
      </c>
      <c r="G784" t="s">
        <v>82</v>
      </c>
      <c r="H784" s="98">
        <v>9978</v>
      </c>
      <c r="I784" s="29">
        <v>3020.01</v>
      </c>
      <c r="J784" s="12" t="s">
        <v>31</v>
      </c>
      <c r="K784" s="29">
        <f t="shared" si="51"/>
        <v>3020.01</v>
      </c>
      <c r="L784">
        <v>1</v>
      </c>
      <c r="M784" s="29">
        <v>0</v>
      </c>
      <c r="N784" t="s">
        <v>32</v>
      </c>
      <c r="O784" t="s">
        <v>33</v>
      </c>
      <c r="P784" t="s">
        <v>34</v>
      </c>
      <c r="Q784" t="s">
        <v>34</v>
      </c>
      <c r="R784" t="s">
        <v>34</v>
      </c>
      <c r="S784" t="s">
        <v>34</v>
      </c>
      <c r="T784" s="117">
        <v>0</v>
      </c>
    </row>
    <row r="785" spans="1:21" ht="14.5" customHeight="1" x14ac:dyDescent="0.35">
      <c r="A785" t="s">
        <v>19</v>
      </c>
      <c r="B785" t="s">
        <v>26</v>
      </c>
      <c r="C785" s="1">
        <v>45421</v>
      </c>
      <c r="D785">
        <f t="shared" si="52"/>
        <v>9</v>
      </c>
      <c r="E785">
        <f t="shared" si="53"/>
        <v>5</v>
      </c>
      <c r="F785">
        <f t="shared" si="54"/>
        <v>2024</v>
      </c>
      <c r="G785" t="s">
        <v>73</v>
      </c>
      <c r="H785" s="98">
        <v>10498</v>
      </c>
      <c r="I785" s="15">
        <v>39672.35</v>
      </c>
      <c r="J785" s="12" t="s">
        <v>51</v>
      </c>
      <c r="K785" s="29">
        <f t="shared" si="51"/>
        <v>42790.596709999998</v>
      </c>
      <c r="L785">
        <v>1.0786</v>
      </c>
      <c r="M785" s="29">
        <v>0</v>
      </c>
      <c r="N785" t="s">
        <v>32</v>
      </c>
      <c r="O785" t="s">
        <v>33</v>
      </c>
      <c r="P785" t="s">
        <v>34</v>
      </c>
      <c r="Q785" t="s">
        <v>34</v>
      </c>
      <c r="R785" t="s">
        <v>34</v>
      </c>
      <c r="S785" t="s">
        <v>34</v>
      </c>
      <c r="T785" s="117">
        <v>0</v>
      </c>
      <c r="U785" s="209" t="s">
        <v>94</v>
      </c>
    </row>
    <row r="786" spans="1:21" ht="14.5" customHeight="1" x14ac:dyDescent="0.35">
      <c r="A786" t="s">
        <v>19</v>
      </c>
      <c r="B786" t="s">
        <v>26</v>
      </c>
      <c r="C786" s="1">
        <v>45421</v>
      </c>
      <c r="D786">
        <f t="shared" si="52"/>
        <v>9</v>
      </c>
      <c r="E786">
        <f t="shared" si="53"/>
        <v>5</v>
      </c>
      <c r="F786">
        <f t="shared" si="54"/>
        <v>2024</v>
      </c>
      <c r="G786" t="s">
        <v>73</v>
      </c>
      <c r="H786" s="98">
        <v>10423</v>
      </c>
      <c r="I786" s="15">
        <v>54485.21</v>
      </c>
      <c r="J786" s="12" t="s">
        <v>51</v>
      </c>
      <c r="K786" s="29">
        <f t="shared" si="51"/>
        <v>58767.747506</v>
      </c>
      <c r="L786">
        <v>1.0786</v>
      </c>
      <c r="M786" s="29">
        <v>0</v>
      </c>
      <c r="N786" t="s">
        <v>32</v>
      </c>
      <c r="O786" t="s">
        <v>33</v>
      </c>
      <c r="P786" t="s">
        <v>34</v>
      </c>
      <c r="Q786" t="s">
        <v>34</v>
      </c>
      <c r="R786" t="s">
        <v>34</v>
      </c>
      <c r="S786" t="s">
        <v>34</v>
      </c>
      <c r="T786" s="117">
        <v>0</v>
      </c>
      <c r="U786" s="209" t="s">
        <v>94</v>
      </c>
    </row>
    <row r="787" spans="1:21" ht="14.5" customHeight="1" x14ac:dyDescent="0.35">
      <c r="A787" t="s">
        <v>19</v>
      </c>
      <c r="B787" t="s">
        <v>26</v>
      </c>
      <c r="C787" s="1">
        <v>45421</v>
      </c>
      <c r="D787">
        <f t="shared" si="52"/>
        <v>9</v>
      </c>
      <c r="E787">
        <f t="shared" si="53"/>
        <v>5</v>
      </c>
      <c r="F787">
        <f t="shared" si="54"/>
        <v>2024</v>
      </c>
      <c r="G787" t="s">
        <v>73</v>
      </c>
      <c r="H787" s="98">
        <v>10427</v>
      </c>
      <c r="I787" s="15">
        <v>67314.990000000005</v>
      </c>
      <c r="J787" s="12" t="s">
        <v>51</v>
      </c>
      <c r="K787" s="29">
        <f t="shared" si="51"/>
        <v>72605.948214000004</v>
      </c>
      <c r="L787">
        <v>1.0786</v>
      </c>
      <c r="M787" s="29">
        <v>0</v>
      </c>
      <c r="N787" t="s">
        <v>32</v>
      </c>
      <c r="O787" t="s">
        <v>33</v>
      </c>
      <c r="P787" t="s">
        <v>34</v>
      </c>
      <c r="Q787" t="s">
        <v>34</v>
      </c>
      <c r="R787" t="s">
        <v>34</v>
      </c>
      <c r="S787" t="s">
        <v>34</v>
      </c>
      <c r="T787" s="117">
        <v>0</v>
      </c>
      <c r="U787" s="209" t="s">
        <v>94</v>
      </c>
    </row>
    <row r="788" spans="1:21" ht="14.5" customHeight="1" x14ac:dyDescent="0.35">
      <c r="A788" t="s">
        <v>19</v>
      </c>
      <c r="B788" t="s">
        <v>26</v>
      </c>
      <c r="C788" s="1">
        <v>45421</v>
      </c>
      <c r="D788">
        <f t="shared" si="52"/>
        <v>9</v>
      </c>
      <c r="E788">
        <f t="shared" si="53"/>
        <v>5</v>
      </c>
      <c r="F788">
        <f t="shared" si="54"/>
        <v>2024</v>
      </c>
      <c r="G788" t="s">
        <v>73</v>
      </c>
      <c r="H788" s="98">
        <v>10478</v>
      </c>
      <c r="I788" s="15">
        <v>8129.79</v>
      </c>
      <c r="J788" s="12" t="s">
        <v>51</v>
      </c>
      <c r="K788" s="29">
        <f t="shared" si="51"/>
        <v>8768.7914939999991</v>
      </c>
      <c r="L788">
        <v>1.0786</v>
      </c>
      <c r="M788" s="29">
        <v>0</v>
      </c>
      <c r="N788" t="s">
        <v>32</v>
      </c>
      <c r="O788" t="s">
        <v>33</v>
      </c>
      <c r="P788" t="s">
        <v>34</v>
      </c>
      <c r="Q788" t="s">
        <v>34</v>
      </c>
      <c r="R788" t="s">
        <v>34</v>
      </c>
      <c r="S788" t="s">
        <v>34</v>
      </c>
      <c r="T788" s="117">
        <v>0</v>
      </c>
      <c r="U788" s="209" t="s">
        <v>94</v>
      </c>
    </row>
    <row r="789" spans="1:21" ht="14.5" customHeight="1" x14ac:dyDescent="0.35">
      <c r="A789" t="s">
        <v>19</v>
      </c>
      <c r="B789" t="s">
        <v>26</v>
      </c>
      <c r="C789" s="1">
        <v>45421</v>
      </c>
      <c r="D789">
        <f t="shared" si="52"/>
        <v>9</v>
      </c>
      <c r="E789">
        <f t="shared" si="53"/>
        <v>5</v>
      </c>
      <c r="F789">
        <f t="shared" si="54"/>
        <v>2024</v>
      </c>
      <c r="G789" t="s">
        <v>187</v>
      </c>
      <c r="H789" s="98">
        <v>0</v>
      </c>
      <c r="I789" s="15">
        <v>20591.330000000002</v>
      </c>
      <c r="J789" s="12" t="s">
        <v>51</v>
      </c>
      <c r="K789" s="29">
        <f t="shared" si="51"/>
        <v>22209.808538000001</v>
      </c>
      <c r="L789">
        <v>1.0786</v>
      </c>
      <c r="M789" s="29">
        <v>0</v>
      </c>
      <c r="N789" t="s">
        <v>32</v>
      </c>
      <c r="O789" t="s">
        <v>33</v>
      </c>
      <c r="P789" t="s">
        <v>34</v>
      </c>
      <c r="Q789" t="s">
        <v>34</v>
      </c>
      <c r="R789" t="s">
        <v>34</v>
      </c>
      <c r="S789" t="s">
        <v>34</v>
      </c>
      <c r="T789" s="117">
        <v>0</v>
      </c>
      <c r="U789" s="209" t="s">
        <v>94</v>
      </c>
    </row>
    <row r="790" spans="1:21" ht="14.5" customHeight="1" x14ac:dyDescent="0.35">
      <c r="A790" t="s">
        <v>19</v>
      </c>
      <c r="B790" t="s">
        <v>23</v>
      </c>
      <c r="C790" s="1">
        <v>45427</v>
      </c>
      <c r="D790">
        <f t="shared" si="52"/>
        <v>15</v>
      </c>
      <c r="E790">
        <f t="shared" si="53"/>
        <v>5</v>
      </c>
      <c r="F790">
        <f t="shared" si="54"/>
        <v>2024</v>
      </c>
      <c r="G790" t="s">
        <v>75</v>
      </c>
      <c r="H790" s="171">
        <v>9572</v>
      </c>
      <c r="I790" s="90">
        <v>3713.22</v>
      </c>
      <c r="J790" s="12" t="s">
        <v>31</v>
      </c>
      <c r="K790" s="29">
        <f t="shared" si="51"/>
        <v>3713.22</v>
      </c>
      <c r="L790">
        <v>1</v>
      </c>
      <c r="M790" s="29">
        <v>0</v>
      </c>
      <c r="N790" t="s">
        <v>42</v>
      </c>
      <c r="O790" t="s">
        <v>33</v>
      </c>
      <c r="P790" t="s">
        <v>34</v>
      </c>
      <c r="Q790" t="s">
        <v>34</v>
      </c>
      <c r="R790" t="s">
        <v>34</v>
      </c>
      <c r="S790" t="s">
        <v>34</v>
      </c>
      <c r="T790" s="117">
        <v>0</v>
      </c>
    </row>
    <row r="791" spans="1:21" ht="14.5" customHeight="1" x14ac:dyDescent="0.35">
      <c r="A791" t="s">
        <v>19</v>
      </c>
      <c r="B791" t="s">
        <v>23</v>
      </c>
      <c r="C791" s="1">
        <v>45427</v>
      </c>
      <c r="D791">
        <f t="shared" si="52"/>
        <v>15</v>
      </c>
      <c r="E791">
        <f t="shared" si="53"/>
        <v>5</v>
      </c>
      <c r="F791">
        <f t="shared" si="54"/>
        <v>2024</v>
      </c>
      <c r="G791" t="s">
        <v>75</v>
      </c>
      <c r="H791" s="171">
        <v>10246</v>
      </c>
      <c r="I791" s="90">
        <v>13129.26</v>
      </c>
      <c r="J791" s="12" t="s">
        <v>31</v>
      </c>
      <c r="K791" s="29">
        <f t="shared" si="51"/>
        <v>13129.26</v>
      </c>
      <c r="L791">
        <v>1</v>
      </c>
      <c r="M791" s="29">
        <v>0</v>
      </c>
      <c r="N791" t="s">
        <v>42</v>
      </c>
      <c r="O791" t="s">
        <v>33</v>
      </c>
      <c r="P791" t="s">
        <v>34</v>
      </c>
      <c r="Q791" t="s">
        <v>34</v>
      </c>
      <c r="R791" t="s">
        <v>34</v>
      </c>
      <c r="S791" t="s">
        <v>34</v>
      </c>
      <c r="T791" s="117">
        <v>0</v>
      </c>
    </row>
    <row r="792" spans="1:21" ht="14.5" customHeight="1" x14ac:dyDescent="0.35">
      <c r="A792" t="s">
        <v>19</v>
      </c>
      <c r="B792" t="s">
        <v>23</v>
      </c>
      <c r="C792" s="1">
        <v>45427</v>
      </c>
      <c r="D792">
        <f t="shared" si="52"/>
        <v>15</v>
      </c>
      <c r="E792">
        <f t="shared" si="53"/>
        <v>5</v>
      </c>
      <c r="F792">
        <f t="shared" si="54"/>
        <v>2024</v>
      </c>
      <c r="G792" t="s">
        <v>74</v>
      </c>
      <c r="H792" s="98">
        <v>9444</v>
      </c>
      <c r="I792" s="90">
        <v>25731.9</v>
      </c>
      <c r="J792" s="12" t="s">
        <v>31</v>
      </c>
      <c r="K792" s="29">
        <f t="shared" si="51"/>
        <v>25731.9</v>
      </c>
      <c r="L792">
        <v>1</v>
      </c>
      <c r="M792" s="29">
        <v>0</v>
      </c>
      <c r="N792" t="s">
        <v>32</v>
      </c>
      <c r="O792" t="s">
        <v>33</v>
      </c>
      <c r="P792" t="s">
        <v>34</v>
      </c>
      <c r="Q792" t="s">
        <v>34</v>
      </c>
      <c r="R792" t="s">
        <v>34</v>
      </c>
      <c r="S792" t="s">
        <v>34</v>
      </c>
      <c r="T792" s="117">
        <v>0</v>
      </c>
    </row>
    <row r="793" spans="1:21" ht="14.5" customHeight="1" x14ac:dyDescent="0.35">
      <c r="A793" t="s">
        <v>19</v>
      </c>
      <c r="B793" t="s">
        <v>21</v>
      </c>
      <c r="C793" s="1">
        <v>45427</v>
      </c>
      <c r="D793">
        <f t="shared" si="52"/>
        <v>15</v>
      </c>
      <c r="E793">
        <f t="shared" si="53"/>
        <v>5</v>
      </c>
      <c r="F793">
        <f t="shared" si="54"/>
        <v>2024</v>
      </c>
      <c r="G793" t="s">
        <v>77</v>
      </c>
      <c r="H793" s="98">
        <v>10560</v>
      </c>
      <c r="I793" s="29">
        <v>50</v>
      </c>
      <c r="J793" s="12" t="s">
        <v>31</v>
      </c>
      <c r="K793" s="29">
        <f t="shared" si="51"/>
        <v>50</v>
      </c>
      <c r="L793">
        <v>1</v>
      </c>
      <c r="M793" s="29">
        <v>0</v>
      </c>
      <c r="N793" t="s">
        <v>42</v>
      </c>
      <c r="O793" t="s">
        <v>33</v>
      </c>
      <c r="P793" t="s">
        <v>34</v>
      </c>
      <c r="Q793" t="s">
        <v>34</v>
      </c>
      <c r="R793" t="s">
        <v>34</v>
      </c>
      <c r="S793" t="s">
        <v>34</v>
      </c>
      <c r="T793" s="117">
        <v>0</v>
      </c>
    </row>
    <row r="794" spans="1:21" ht="14.5" customHeight="1" x14ac:dyDescent="0.35">
      <c r="A794" t="s">
        <v>19</v>
      </c>
      <c r="B794" t="s">
        <v>21</v>
      </c>
      <c r="C794" s="1">
        <v>45427</v>
      </c>
      <c r="D794">
        <f t="shared" si="52"/>
        <v>15</v>
      </c>
      <c r="E794">
        <f t="shared" si="53"/>
        <v>5</v>
      </c>
      <c r="F794">
        <f t="shared" si="54"/>
        <v>2024</v>
      </c>
      <c r="G794" t="s">
        <v>77</v>
      </c>
      <c r="H794" s="98">
        <v>10559</v>
      </c>
      <c r="I794" s="29">
        <v>2955</v>
      </c>
      <c r="J794" s="12" t="s">
        <v>31</v>
      </c>
      <c r="K794" s="29">
        <f t="shared" si="51"/>
        <v>2955</v>
      </c>
      <c r="L794">
        <v>1</v>
      </c>
      <c r="M794" s="29">
        <v>0</v>
      </c>
      <c r="N794" t="s">
        <v>42</v>
      </c>
      <c r="O794" t="s">
        <v>33</v>
      </c>
      <c r="P794" t="s">
        <v>34</v>
      </c>
      <c r="Q794" t="s">
        <v>34</v>
      </c>
      <c r="R794" t="s">
        <v>34</v>
      </c>
      <c r="S794" t="s">
        <v>34</v>
      </c>
      <c r="T794" s="117">
        <v>0</v>
      </c>
    </row>
    <row r="795" spans="1:21" ht="14.5" customHeight="1" x14ac:dyDescent="0.35">
      <c r="A795" t="s">
        <v>19</v>
      </c>
      <c r="B795" t="s">
        <v>21</v>
      </c>
      <c r="C795" s="1">
        <v>45427</v>
      </c>
      <c r="D795">
        <f t="shared" si="52"/>
        <v>15</v>
      </c>
      <c r="E795">
        <f t="shared" si="53"/>
        <v>5</v>
      </c>
      <c r="F795">
        <f t="shared" si="54"/>
        <v>2024</v>
      </c>
      <c r="G795" t="s">
        <v>39</v>
      </c>
      <c r="H795" s="98">
        <v>10093</v>
      </c>
      <c r="I795" s="29">
        <v>76</v>
      </c>
      <c r="J795" s="12" t="s">
        <v>31</v>
      </c>
      <c r="K795" s="29">
        <f t="shared" si="51"/>
        <v>76</v>
      </c>
      <c r="L795">
        <v>1</v>
      </c>
      <c r="M795" s="29">
        <v>0</v>
      </c>
      <c r="N795" t="s">
        <v>32</v>
      </c>
      <c r="O795" t="s">
        <v>33</v>
      </c>
      <c r="P795" t="s">
        <v>34</v>
      </c>
      <c r="Q795" t="s">
        <v>34</v>
      </c>
      <c r="R795" t="s">
        <v>34</v>
      </c>
      <c r="S795" t="s">
        <v>34</v>
      </c>
      <c r="T795" s="117">
        <v>0</v>
      </c>
    </row>
    <row r="796" spans="1:21" ht="14.5" customHeight="1" x14ac:dyDescent="0.35">
      <c r="A796" t="s">
        <v>19</v>
      </c>
      <c r="B796" t="s">
        <v>25</v>
      </c>
      <c r="C796" s="1">
        <v>45427</v>
      </c>
      <c r="D796">
        <f t="shared" si="52"/>
        <v>15</v>
      </c>
      <c r="E796">
        <f t="shared" si="53"/>
        <v>5</v>
      </c>
      <c r="F796">
        <f t="shared" si="54"/>
        <v>2024</v>
      </c>
      <c r="G796" t="s">
        <v>39</v>
      </c>
      <c r="H796" s="98">
        <v>10254</v>
      </c>
      <c r="I796" s="29">
        <v>4156.5</v>
      </c>
      <c r="J796" s="12" t="s">
        <v>31</v>
      </c>
      <c r="K796" s="29">
        <f t="shared" si="51"/>
        <v>4156.5</v>
      </c>
      <c r="L796">
        <v>1</v>
      </c>
      <c r="M796" s="29">
        <v>0</v>
      </c>
      <c r="N796" t="s">
        <v>32</v>
      </c>
      <c r="O796" t="s">
        <v>33</v>
      </c>
      <c r="P796" t="s">
        <v>34</v>
      </c>
      <c r="Q796" t="s">
        <v>34</v>
      </c>
      <c r="R796" t="s">
        <v>34</v>
      </c>
      <c r="S796" t="s">
        <v>34</v>
      </c>
      <c r="T796" s="117">
        <v>0</v>
      </c>
    </row>
    <row r="797" spans="1:21" ht="14.5" customHeight="1" x14ac:dyDescent="0.35">
      <c r="A797" t="s">
        <v>19</v>
      </c>
      <c r="B797" t="s">
        <v>25</v>
      </c>
      <c r="C797" s="1">
        <v>45427</v>
      </c>
      <c r="D797">
        <f t="shared" si="52"/>
        <v>15</v>
      </c>
      <c r="E797">
        <f t="shared" si="53"/>
        <v>5</v>
      </c>
      <c r="F797">
        <f t="shared" si="54"/>
        <v>2024</v>
      </c>
      <c r="G797" t="s">
        <v>1146</v>
      </c>
      <c r="H797" s="98">
        <v>10206</v>
      </c>
      <c r="I797" s="29">
        <v>75420.59</v>
      </c>
      <c r="J797" s="12" t="s">
        <v>51</v>
      </c>
      <c r="K797" s="29">
        <f t="shared" si="51"/>
        <v>82050.059861000002</v>
      </c>
      <c r="L797">
        <v>1.0879000000000001</v>
      </c>
      <c r="M797" s="29">
        <v>0</v>
      </c>
      <c r="N797" t="s">
        <v>42</v>
      </c>
      <c r="O797" t="s">
        <v>33</v>
      </c>
      <c r="P797" t="s">
        <v>34</v>
      </c>
      <c r="Q797" t="s">
        <v>34</v>
      </c>
      <c r="R797" t="s">
        <v>34</v>
      </c>
      <c r="S797" t="s">
        <v>34</v>
      </c>
      <c r="T797" s="117">
        <v>0</v>
      </c>
      <c r="U797" s="209" t="s">
        <v>94</v>
      </c>
    </row>
    <row r="798" spans="1:21" ht="14.5" customHeight="1" x14ac:dyDescent="0.35">
      <c r="A798" t="s">
        <v>19</v>
      </c>
      <c r="B798" t="s">
        <v>21</v>
      </c>
      <c r="C798" s="1">
        <v>45427</v>
      </c>
      <c r="D798">
        <f t="shared" si="52"/>
        <v>15</v>
      </c>
      <c r="E798">
        <f t="shared" si="53"/>
        <v>5</v>
      </c>
      <c r="F798">
        <f t="shared" si="54"/>
        <v>2024</v>
      </c>
      <c r="G798" t="s">
        <v>35</v>
      </c>
      <c r="H798" s="98">
        <v>9682</v>
      </c>
      <c r="I798" s="29">
        <v>13225.5</v>
      </c>
      <c r="J798" s="12" t="s">
        <v>31</v>
      </c>
      <c r="K798" s="29">
        <f t="shared" si="51"/>
        <v>13225.5</v>
      </c>
      <c r="L798">
        <v>1</v>
      </c>
      <c r="M798" s="29">
        <v>0</v>
      </c>
      <c r="N798" t="s">
        <v>32</v>
      </c>
      <c r="O798" t="s">
        <v>33</v>
      </c>
      <c r="P798" t="s">
        <v>34</v>
      </c>
      <c r="Q798" t="s">
        <v>34</v>
      </c>
      <c r="R798" t="s">
        <v>34</v>
      </c>
      <c r="S798" t="s">
        <v>34</v>
      </c>
      <c r="T798" s="117">
        <v>0</v>
      </c>
    </row>
    <row r="799" spans="1:21" ht="14.5" customHeight="1" x14ac:dyDescent="0.35">
      <c r="A799" t="s">
        <v>19</v>
      </c>
      <c r="B799" t="s">
        <v>21</v>
      </c>
      <c r="C799" s="1">
        <v>45427</v>
      </c>
      <c r="D799">
        <f t="shared" si="52"/>
        <v>15</v>
      </c>
      <c r="E799">
        <f t="shared" si="53"/>
        <v>5</v>
      </c>
      <c r="F799">
        <f t="shared" si="54"/>
        <v>2024</v>
      </c>
      <c r="G799" t="s">
        <v>92</v>
      </c>
      <c r="H799" s="98">
        <v>10096</v>
      </c>
      <c r="I799" s="29">
        <v>8018.32</v>
      </c>
      <c r="J799" s="12" t="s">
        <v>31</v>
      </c>
      <c r="K799" s="29">
        <f t="shared" si="51"/>
        <v>8018.32</v>
      </c>
      <c r="L799">
        <v>1</v>
      </c>
      <c r="M799" s="29">
        <v>0</v>
      </c>
      <c r="N799" t="s">
        <v>32</v>
      </c>
      <c r="O799" t="s">
        <v>33</v>
      </c>
      <c r="P799" t="s">
        <v>34</v>
      </c>
      <c r="Q799" t="s">
        <v>34</v>
      </c>
      <c r="R799" t="s">
        <v>34</v>
      </c>
      <c r="S799" t="s">
        <v>34</v>
      </c>
      <c r="T799" s="117">
        <v>0</v>
      </c>
    </row>
    <row r="800" spans="1:21" ht="14.5" customHeight="1" x14ac:dyDescent="0.35">
      <c r="A800" t="s">
        <v>19</v>
      </c>
      <c r="B800" t="s">
        <v>19</v>
      </c>
      <c r="C800" s="1">
        <v>45427</v>
      </c>
      <c r="D800">
        <f t="shared" si="52"/>
        <v>15</v>
      </c>
      <c r="E800">
        <f t="shared" si="53"/>
        <v>5</v>
      </c>
      <c r="F800">
        <f t="shared" si="54"/>
        <v>2024</v>
      </c>
      <c r="G800" t="s">
        <v>106</v>
      </c>
      <c r="H800" s="98" t="s">
        <v>260</v>
      </c>
      <c r="I800" s="29">
        <v>92794.82</v>
      </c>
      <c r="J800" s="12" t="s">
        <v>31</v>
      </c>
      <c r="K800" s="29">
        <f t="shared" si="51"/>
        <v>92794.82</v>
      </c>
      <c r="L800">
        <v>1</v>
      </c>
      <c r="M800" s="29">
        <v>0</v>
      </c>
      <c r="N800" t="s">
        <v>32</v>
      </c>
      <c r="O800" t="s">
        <v>33</v>
      </c>
      <c r="P800" t="s">
        <v>34</v>
      </c>
      <c r="Q800" t="s">
        <v>34</v>
      </c>
      <c r="R800" t="s">
        <v>34</v>
      </c>
      <c r="S800" t="s">
        <v>34</v>
      </c>
      <c r="T800" s="117">
        <v>0</v>
      </c>
    </row>
    <row r="801" spans="1:21" ht="14.5" customHeight="1" x14ac:dyDescent="0.35">
      <c r="A801" t="s">
        <v>19</v>
      </c>
      <c r="B801" t="s">
        <v>19</v>
      </c>
      <c r="C801" s="1">
        <v>45427</v>
      </c>
      <c r="D801">
        <f t="shared" si="52"/>
        <v>15</v>
      </c>
      <c r="E801">
        <f t="shared" si="53"/>
        <v>5</v>
      </c>
      <c r="F801">
        <f t="shared" si="54"/>
        <v>2024</v>
      </c>
      <c r="G801" t="s">
        <v>125</v>
      </c>
      <c r="H801" s="98" t="s">
        <v>261</v>
      </c>
      <c r="I801" s="29">
        <v>96453.63</v>
      </c>
      <c r="J801" s="12" t="s">
        <v>31</v>
      </c>
      <c r="K801" s="29">
        <f t="shared" si="51"/>
        <v>96453.63</v>
      </c>
      <c r="L801">
        <v>1</v>
      </c>
      <c r="M801" s="29">
        <v>0</v>
      </c>
      <c r="N801" t="s">
        <v>32</v>
      </c>
      <c r="O801" t="s">
        <v>33</v>
      </c>
      <c r="P801" t="s">
        <v>34</v>
      </c>
      <c r="Q801" t="s">
        <v>34</v>
      </c>
      <c r="R801" t="s">
        <v>34</v>
      </c>
      <c r="S801" t="s">
        <v>34</v>
      </c>
      <c r="T801" s="117">
        <v>0</v>
      </c>
    </row>
    <row r="802" spans="1:21" ht="14.5" customHeight="1" x14ac:dyDescent="0.35">
      <c r="A802" t="s">
        <v>19</v>
      </c>
      <c r="B802" t="s">
        <v>19</v>
      </c>
      <c r="C802" s="1">
        <v>45427</v>
      </c>
      <c r="D802">
        <f t="shared" si="52"/>
        <v>15</v>
      </c>
      <c r="E802">
        <f t="shared" si="53"/>
        <v>5</v>
      </c>
      <c r="F802">
        <f t="shared" si="54"/>
        <v>2024</v>
      </c>
      <c r="G802" t="s">
        <v>122</v>
      </c>
      <c r="H802" s="98" t="s">
        <v>180</v>
      </c>
      <c r="I802" s="29">
        <v>132698.82999999999</v>
      </c>
      <c r="J802" s="12" t="s">
        <v>31</v>
      </c>
      <c r="K802" s="29">
        <f t="shared" si="51"/>
        <v>132698.82999999999</v>
      </c>
      <c r="L802">
        <v>1</v>
      </c>
      <c r="M802" s="29">
        <v>0</v>
      </c>
      <c r="N802" t="s">
        <v>32</v>
      </c>
      <c r="O802" t="s">
        <v>33</v>
      </c>
      <c r="P802" t="s">
        <v>34</v>
      </c>
      <c r="Q802" t="s">
        <v>34</v>
      </c>
      <c r="R802" t="s">
        <v>34</v>
      </c>
      <c r="S802" t="s">
        <v>34</v>
      </c>
      <c r="T802" s="117">
        <v>0</v>
      </c>
    </row>
    <row r="803" spans="1:21" ht="14.5" customHeight="1" x14ac:dyDescent="0.35">
      <c r="A803" t="s">
        <v>19</v>
      </c>
      <c r="B803" t="s">
        <v>19</v>
      </c>
      <c r="C803" s="1">
        <v>45427</v>
      </c>
      <c r="D803">
        <f t="shared" si="52"/>
        <v>15</v>
      </c>
      <c r="E803">
        <f t="shared" si="53"/>
        <v>5</v>
      </c>
      <c r="F803">
        <f t="shared" si="54"/>
        <v>2024</v>
      </c>
      <c r="G803" t="s">
        <v>111</v>
      </c>
      <c r="H803" s="98" t="s">
        <v>224</v>
      </c>
      <c r="I803" s="29">
        <v>31467.77</v>
      </c>
      <c r="J803" s="12" t="s">
        <v>31</v>
      </c>
      <c r="K803" s="29">
        <f t="shared" si="51"/>
        <v>31467.77</v>
      </c>
      <c r="L803">
        <v>1</v>
      </c>
      <c r="M803" s="29">
        <v>0</v>
      </c>
      <c r="N803" t="s">
        <v>32</v>
      </c>
      <c r="O803" t="s">
        <v>33</v>
      </c>
      <c r="P803" t="s">
        <v>34</v>
      </c>
      <c r="Q803" t="s">
        <v>34</v>
      </c>
      <c r="R803" t="s">
        <v>34</v>
      </c>
      <c r="S803" t="s">
        <v>34</v>
      </c>
      <c r="T803" s="117">
        <v>0</v>
      </c>
    </row>
    <row r="804" spans="1:21" ht="14.5" customHeight="1" x14ac:dyDescent="0.35">
      <c r="A804" t="s">
        <v>19</v>
      </c>
      <c r="B804" t="s">
        <v>19</v>
      </c>
      <c r="C804" s="1">
        <v>45427</v>
      </c>
      <c r="D804">
        <f t="shared" si="52"/>
        <v>15</v>
      </c>
      <c r="E804">
        <f t="shared" si="53"/>
        <v>5</v>
      </c>
      <c r="F804">
        <f t="shared" si="54"/>
        <v>2024</v>
      </c>
      <c r="G804" t="s">
        <v>601</v>
      </c>
      <c r="H804" s="98" t="s">
        <v>262</v>
      </c>
      <c r="I804" s="29">
        <v>186764.28</v>
      </c>
      <c r="J804" s="12" t="s">
        <v>31</v>
      </c>
      <c r="K804" s="29">
        <f t="shared" si="51"/>
        <v>186764.28</v>
      </c>
      <c r="L804">
        <v>1</v>
      </c>
      <c r="M804" s="29">
        <v>0</v>
      </c>
      <c r="N804" t="s">
        <v>32</v>
      </c>
      <c r="O804" t="s">
        <v>33</v>
      </c>
      <c r="P804" t="s">
        <v>34</v>
      </c>
      <c r="Q804" t="s">
        <v>34</v>
      </c>
      <c r="R804" t="s">
        <v>34</v>
      </c>
      <c r="S804" t="s">
        <v>34</v>
      </c>
      <c r="T804" s="117">
        <v>0</v>
      </c>
    </row>
    <row r="805" spans="1:21" ht="14.5" customHeight="1" x14ac:dyDescent="0.35">
      <c r="A805" t="s">
        <v>19</v>
      </c>
      <c r="B805" t="s">
        <v>19</v>
      </c>
      <c r="C805" s="1">
        <v>45427</v>
      </c>
      <c r="D805">
        <f t="shared" si="52"/>
        <v>15</v>
      </c>
      <c r="E805">
        <f t="shared" si="53"/>
        <v>5</v>
      </c>
      <c r="F805">
        <f t="shared" si="54"/>
        <v>2024</v>
      </c>
      <c r="G805" t="s">
        <v>119</v>
      </c>
      <c r="H805" s="98" t="s">
        <v>266</v>
      </c>
      <c r="I805" s="29">
        <v>9965.67</v>
      </c>
      <c r="J805" s="12" t="s">
        <v>31</v>
      </c>
      <c r="K805" s="29">
        <f t="shared" si="51"/>
        <v>9965.67</v>
      </c>
      <c r="L805">
        <v>1</v>
      </c>
      <c r="M805" s="29">
        <v>0</v>
      </c>
      <c r="N805" t="s">
        <v>32</v>
      </c>
      <c r="O805" t="s">
        <v>33</v>
      </c>
      <c r="P805" t="s">
        <v>34</v>
      </c>
      <c r="Q805" t="s">
        <v>34</v>
      </c>
      <c r="R805" t="s">
        <v>34</v>
      </c>
      <c r="S805" t="s">
        <v>34</v>
      </c>
      <c r="T805" s="117">
        <v>0</v>
      </c>
    </row>
    <row r="806" spans="1:21" ht="14.5" customHeight="1" x14ac:dyDescent="0.35">
      <c r="A806" t="s">
        <v>19</v>
      </c>
      <c r="B806" t="s">
        <v>19</v>
      </c>
      <c r="C806" s="1">
        <v>45427</v>
      </c>
      <c r="D806">
        <f t="shared" si="52"/>
        <v>15</v>
      </c>
      <c r="E806">
        <f t="shared" si="53"/>
        <v>5</v>
      </c>
      <c r="F806">
        <f t="shared" si="54"/>
        <v>2024</v>
      </c>
      <c r="G806" t="s">
        <v>263</v>
      </c>
      <c r="H806" s="98" t="s">
        <v>457</v>
      </c>
      <c r="I806" s="29">
        <v>14301.6</v>
      </c>
      <c r="J806" s="12" t="s">
        <v>31</v>
      </c>
      <c r="K806" s="29">
        <f t="shared" si="51"/>
        <v>14301.6</v>
      </c>
      <c r="L806">
        <v>1</v>
      </c>
      <c r="M806" s="29">
        <v>0</v>
      </c>
      <c r="N806" t="s">
        <v>42</v>
      </c>
      <c r="O806" t="s">
        <v>33</v>
      </c>
      <c r="P806" t="s">
        <v>34</v>
      </c>
      <c r="Q806" t="s">
        <v>34</v>
      </c>
      <c r="R806" t="s">
        <v>34</v>
      </c>
      <c r="S806" t="s">
        <v>34</v>
      </c>
      <c r="T806" s="117">
        <v>0</v>
      </c>
      <c r="U806" s="209" t="s">
        <v>94</v>
      </c>
    </row>
    <row r="807" spans="1:21" ht="14.5" customHeight="1" x14ac:dyDescent="0.35">
      <c r="A807" t="s">
        <v>19</v>
      </c>
      <c r="B807" t="s">
        <v>19</v>
      </c>
      <c r="C807" s="1">
        <v>45427</v>
      </c>
      <c r="D807">
        <f t="shared" si="52"/>
        <v>15</v>
      </c>
      <c r="E807">
        <f t="shared" si="53"/>
        <v>5</v>
      </c>
      <c r="F807">
        <f t="shared" si="54"/>
        <v>2024</v>
      </c>
      <c r="G807" t="s">
        <v>264</v>
      </c>
      <c r="H807" s="98" t="s">
        <v>375</v>
      </c>
      <c r="I807" s="90">
        <v>6749.2</v>
      </c>
      <c r="J807" s="12" t="s">
        <v>31</v>
      </c>
      <c r="K807" s="29">
        <f t="shared" si="51"/>
        <v>6749.2</v>
      </c>
      <c r="L807">
        <v>1</v>
      </c>
      <c r="M807" s="29">
        <v>0</v>
      </c>
      <c r="N807" t="s">
        <v>42</v>
      </c>
      <c r="O807" t="s">
        <v>33</v>
      </c>
      <c r="P807" t="s">
        <v>34</v>
      </c>
      <c r="Q807" t="s">
        <v>34</v>
      </c>
      <c r="R807" t="s">
        <v>34</v>
      </c>
      <c r="S807" t="s">
        <v>34</v>
      </c>
      <c r="T807" s="117">
        <v>0</v>
      </c>
      <c r="U807" s="209" t="s">
        <v>94</v>
      </c>
    </row>
    <row r="808" spans="1:21" ht="14.5" customHeight="1" x14ac:dyDescent="0.35">
      <c r="A808" t="s">
        <v>19</v>
      </c>
      <c r="B808" t="s">
        <v>19</v>
      </c>
      <c r="C808" s="1">
        <v>45427</v>
      </c>
      <c r="D808">
        <f t="shared" si="52"/>
        <v>15</v>
      </c>
      <c r="E808">
        <f t="shared" si="53"/>
        <v>5</v>
      </c>
      <c r="F808">
        <f t="shared" si="54"/>
        <v>2024</v>
      </c>
      <c r="G808" t="s">
        <v>265</v>
      </c>
      <c r="H808" s="98" t="s">
        <v>331</v>
      </c>
      <c r="I808" s="90">
        <v>4450</v>
      </c>
      <c r="J808" s="12" t="s">
        <v>31</v>
      </c>
      <c r="K808" s="29">
        <f t="shared" si="51"/>
        <v>4450</v>
      </c>
      <c r="L808">
        <v>1</v>
      </c>
      <c r="M808" s="29">
        <v>0</v>
      </c>
      <c r="N808" t="s">
        <v>42</v>
      </c>
      <c r="O808" t="s">
        <v>33</v>
      </c>
      <c r="P808" t="s">
        <v>34</v>
      </c>
      <c r="Q808" t="s">
        <v>34</v>
      </c>
      <c r="R808" t="s">
        <v>34</v>
      </c>
      <c r="S808" t="s">
        <v>34</v>
      </c>
      <c r="T808" s="117">
        <v>0</v>
      </c>
      <c r="U808" s="209" t="s">
        <v>94</v>
      </c>
    </row>
    <row r="809" spans="1:21" ht="14.5" customHeight="1" x14ac:dyDescent="0.35">
      <c r="A809" t="s">
        <v>20</v>
      </c>
      <c r="B809" t="s">
        <v>24</v>
      </c>
      <c r="C809" s="1">
        <v>45427</v>
      </c>
      <c r="D809">
        <f t="shared" si="52"/>
        <v>15</v>
      </c>
      <c r="E809">
        <f t="shared" si="53"/>
        <v>5</v>
      </c>
      <c r="F809">
        <f t="shared" si="54"/>
        <v>2024</v>
      </c>
      <c r="G809" t="s">
        <v>81</v>
      </c>
      <c r="H809" s="98">
        <v>9832</v>
      </c>
      <c r="I809" s="29">
        <v>13091.2</v>
      </c>
      <c r="J809" s="12" t="s">
        <v>31</v>
      </c>
      <c r="K809" s="29">
        <f t="shared" si="51"/>
        <v>13091.2</v>
      </c>
      <c r="L809">
        <v>1</v>
      </c>
      <c r="M809" s="29">
        <v>0</v>
      </c>
      <c r="N809" t="s">
        <v>32</v>
      </c>
      <c r="O809" t="s">
        <v>33</v>
      </c>
      <c r="P809" t="s">
        <v>34</v>
      </c>
      <c r="Q809" t="s">
        <v>34</v>
      </c>
      <c r="R809" t="s">
        <v>34</v>
      </c>
      <c r="S809" t="s">
        <v>34</v>
      </c>
      <c r="T809" s="117">
        <v>0</v>
      </c>
    </row>
    <row r="810" spans="1:21" ht="14.5" customHeight="1" x14ac:dyDescent="0.35">
      <c r="A810" t="s">
        <v>20</v>
      </c>
      <c r="B810" t="s">
        <v>25</v>
      </c>
      <c r="C810" s="1">
        <v>45427</v>
      </c>
      <c r="D810">
        <f t="shared" si="52"/>
        <v>15</v>
      </c>
      <c r="E810">
        <f t="shared" si="53"/>
        <v>5</v>
      </c>
      <c r="F810">
        <f t="shared" si="54"/>
        <v>2024</v>
      </c>
      <c r="G810" t="s">
        <v>81</v>
      </c>
      <c r="H810" s="98">
        <v>10548</v>
      </c>
      <c r="I810" s="29">
        <v>3520</v>
      </c>
      <c r="J810" s="12" t="s">
        <v>31</v>
      </c>
      <c r="K810" s="29">
        <f t="shared" si="51"/>
        <v>3520</v>
      </c>
      <c r="L810">
        <v>1</v>
      </c>
      <c r="M810" s="29">
        <v>0</v>
      </c>
      <c r="N810" t="s">
        <v>42</v>
      </c>
      <c r="O810" t="s">
        <v>33</v>
      </c>
      <c r="P810" t="s">
        <v>34</v>
      </c>
      <c r="Q810" t="s">
        <v>34</v>
      </c>
      <c r="R810" t="s">
        <v>34</v>
      </c>
      <c r="S810" t="s">
        <v>34</v>
      </c>
      <c r="T810" s="117">
        <v>0</v>
      </c>
    </row>
    <row r="811" spans="1:21" ht="14.5" customHeight="1" x14ac:dyDescent="0.35">
      <c r="A811" t="s">
        <v>20</v>
      </c>
      <c r="B811" t="s">
        <v>25</v>
      </c>
      <c r="C811" s="1">
        <v>45427</v>
      </c>
      <c r="D811">
        <f t="shared" si="52"/>
        <v>15</v>
      </c>
      <c r="E811">
        <f t="shared" si="53"/>
        <v>5</v>
      </c>
      <c r="F811">
        <f t="shared" si="54"/>
        <v>2024</v>
      </c>
      <c r="G811" s="4" t="s">
        <v>96</v>
      </c>
      <c r="H811" s="98">
        <v>9791</v>
      </c>
      <c r="I811" s="29">
        <v>36854.730000000003</v>
      </c>
      <c r="J811" s="12" t="s">
        <v>31</v>
      </c>
      <c r="K811" s="29">
        <f t="shared" si="51"/>
        <v>36854.730000000003</v>
      </c>
      <c r="L811">
        <v>1</v>
      </c>
      <c r="M811" s="29">
        <v>0</v>
      </c>
      <c r="N811" t="s">
        <v>32</v>
      </c>
      <c r="O811" t="s">
        <v>33</v>
      </c>
      <c r="P811" t="s">
        <v>34</v>
      </c>
      <c r="Q811" t="s">
        <v>34</v>
      </c>
      <c r="R811" t="s">
        <v>34</v>
      </c>
      <c r="S811" t="s">
        <v>34</v>
      </c>
      <c r="T811" s="117">
        <v>0</v>
      </c>
    </row>
    <row r="812" spans="1:21" ht="14.5" customHeight="1" x14ac:dyDescent="0.35">
      <c r="A812" t="s">
        <v>20</v>
      </c>
      <c r="B812" t="s">
        <v>24</v>
      </c>
      <c r="C812" s="1">
        <v>45427</v>
      </c>
      <c r="D812">
        <f t="shared" si="52"/>
        <v>15</v>
      </c>
      <c r="E812">
        <f t="shared" si="53"/>
        <v>5</v>
      </c>
      <c r="F812">
        <f t="shared" si="54"/>
        <v>2024</v>
      </c>
      <c r="G812" t="s">
        <v>164</v>
      </c>
      <c r="H812" s="98">
        <v>9905</v>
      </c>
      <c r="I812" s="29">
        <v>152.96</v>
      </c>
      <c r="J812" s="12" t="s">
        <v>31</v>
      </c>
      <c r="K812" s="29">
        <f t="shared" si="51"/>
        <v>152.96</v>
      </c>
      <c r="L812">
        <v>1</v>
      </c>
      <c r="M812" s="29">
        <v>0</v>
      </c>
      <c r="N812" t="s">
        <v>32</v>
      </c>
      <c r="O812" t="s">
        <v>33</v>
      </c>
      <c r="P812" t="s">
        <v>34</v>
      </c>
      <c r="Q812" t="s">
        <v>34</v>
      </c>
      <c r="R812" t="s">
        <v>34</v>
      </c>
      <c r="S812" t="s">
        <v>34</v>
      </c>
      <c r="T812" s="117">
        <v>0</v>
      </c>
    </row>
    <row r="813" spans="1:21" ht="14.5" customHeight="1" x14ac:dyDescent="0.35">
      <c r="A813" t="s">
        <v>20</v>
      </c>
      <c r="B813" t="s">
        <v>24</v>
      </c>
      <c r="C813" s="1">
        <v>45427</v>
      </c>
      <c r="D813">
        <f t="shared" si="52"/>
        <v>15</v>
      </c>
      <c r="E813">
        <f t="shared" si="53"/>
        <v>5</v>
      </c>
      <c r="F813">
        <f t="shared" si="54"/>
        <v>2024</v>
      </c>
      <c r="G813" t="s">
        <v>164</v>
      </c>
      <c r="H813" s="98">
        <v>9906</v>
      </c>
      <c r="I813" s="29">
        <v>10464.61</v>
      </c>
      <c r="J813" s="12" t="s">
        <v>31</v>
      </c>
      <c r="K813" s="29">
        <f t="shared" si="51"/>
        <v>10464.61</v>
      </c>
      <c r="L813">
        <v>1</v>
      </c>
      <c r="M813" s="29">
        <v>0</v>
      </c>
      <c r="N813" t="s">
        <v>32</v>
      </c>
      <c r="O813" t="s">
        <v>33</v>
      </c>
      <c r="P813" t="s">
        <v>34</v>
      </c>
      <c r="Q813" t="s">
        <v>34</v>
      </c>
      <c r="R813" t="s">
        <v>34</v>
      </c>
      <c r="S813" t="s">
        <v>34</v>
      </c>
      <c r="T813" s="117">
        <v>0</v>
      </c>
    </row>
    <row r="814" spans="1:21" ht="14.5" customHeight="1" x14ac:dyDescent="0.35">
      <c r="A814" t="s">
        <v>20</v>
      </c>
      <c r="B814" t="s">
        <v>23</v>
      </c>
      <c r="C814" s="1">
        <v>45427</v>
      </c>
      <c r="D814">
        <f t="shared" si="52"/>
        <v>15</v>
      </c>
      <c r="E814">
        <f t="shared" si="53"/>
        <v>5</v>
      </c>
      <c r="F814">
        <f t="shared" si="54"/>
        <v>2024</v>
      </c>
      <c r="G814" t="s">
        <v>97</v>
      </c>
      <c r="H814" s="98">
        <v>10342</v>
      </c>
      <c r="I814" s="29">
        <v>46010.39</v>
      </c>
      <c r="J814" s="12" t="s">
        <v>31</v>
      </c>
      <c r="K814" s="29">
        <f t="shared" si="51"/>
        <v>46010.39</v>
      </c>
      <c r="L814">
        <v>1</v>
      </c>
      <c r="M814" s="29">
        <v>1423</v>
      </c>
      <c r="N814" t="s">
        <v>32</v>
      </c>
      <c r="O814" t="s">
        <v>33</v>
      </c>
      <c r="P814" t="s">
        <v>34</v>
      </c>
      <c r="Q814" t="s">
        <v>34</v>
      </c>
      <c r="R814" t="s">
        <v>34</v>
      </c>
      <c r="S814" t="s">
        <v>34</v>
      </c>
      <c r="T814" s="117">
        <v>0</v>
      </c>
    </row>
    <row r="815" spans="1:21" ht="14.5" customHeight="1" x14ac:dyDescent="0.35">
      <c r="A815" t="s">
        <v>20</v>
      </c>
      <c r="B815" t="s">
        <v>23</v>
      </c>
      <c r="C815" s="1">
        <v>45427</v>
      </c>
      <c r="D815">
        <f t="shared" si="52"/>
        <v>15</v>
      </c>
      <c r="E815">
        <f t="shared" si="53"/>
        <v>5</v>
      </c>
      <c r="F815">
        <f t="shared" si="54"/>
        <v>2024</v>
      </c>
      <c r="G815" t="s">
        <v>97</v>
      </c>
      <c r="H815" s="98">
        <v>10424</v>
      </c>
      <c r="I815" s="29">
        <v>201.5</v>
      </c>
      <c r="J815" s="12" t="s">
        <v>31</v>
      </c>
      <c r="K815" s="29">
        <f t="shared" si="51"/>
        <v>201.5</v>
      </c>
      <c r="L815">
        <v>1</v>
      </c>
      <c r="M815" s="29">
        <v>0</v>
      </c>
      <c r="N815" t="s">
        <v>32</v>
      </c>
      <c r="O815" t="s">
        <v>33</v>
      </c>
      <c r="P815" t="s">
        <v>34</v>
      </c>
      <c r="Q815" t="s">
        <v>34</v>
      </c>
      <c r="R815" t="s">
        <v>34</v>
      </c>
      <c r="S815" t="s">
        <v>34</v>
      </c>
      <c r="T815" s="117">
        <v>0</v>
      </c>
    </row>
    <row r="816" spans="1:21" ht="14.5" customHeight="1" x14ac:dyDescent="0.35">
      <c r="A816" t="s">
        <v>20</v>
      </c>
      <c r="B816" t="s">
        <v>23</v>
      </c>
      <c r="C816" s="1">
        <v>45427</v>
      </c>
      <c r="D816">
        <f t="shared" si="52"/>
        <v>15</v>
      </c>
      <c r="E816">
        <f t="shared" si="53"/>
        <v>5</v>
      </c>
      <c r="F816">
        <f t="shared" si="54"/>
        <v>2024</v>
      </c>
      <c r="G816" t="s">
        <v>53</v>
      </c>
      <c r="H816" s="98">
        <v>10135</v>
      </c>
      <c r="I816" s="29">
        <v>164</v>
      </c>
      <c r="J816" s="12" t="s">
        <v>31</v>
      </c>
      <c r="K816" s="29">
        <f t="shared" si="51"/>
        <v>164</v>
      </c>
      <c r="L816">
        <v>1</v>
      </c>
      <c r="M816" s="29">
        <v>0</v>
      </c>
      <c r="N816" t="s">
        <v>32</v>
      </c>
      <c r="O816" t="s">
        <v>33</v>
      </c>
      <c r="P816" t="s">
        <v>34</v>
      </c>
      <c r="Q816" t="s">
        <v>34</v>
      </c>
      <c r="R816" t="s">
        <v>34</v>
      </c>
      <c r="S816" t="s">
        <v>34</v>
      </c>
      <c r="T816" s="117">
        <v>0</v>
      </c>
    </row>
    <row r="817" spans="1:20" ht="14.5" customHeight="1" x14ac:dyDescent="0.35">
      <c r="A817" t="s">
        <v>20</v>
      </c>
      <c r="B817" t="s">
        <v>23</v>
      </c>
      <c r="C817" s="1">
        <v>45427</v>
      </c>
      <c r="D817">
        <f t="shared" si="52"/>
        <v>15</v>
      </c>
      <c r="E817">
        <f t="shared" si="53"/>
        <v>5</v>
      </c>
      <c r="F817">
        <f t="shared" si="54"/>
        <v>2024</v>
      </c>
      <c r="G817" t="s">
        <v>53</v>
      </c>
      <c r="H817" s="98">
        <v>10386</v>
      </c>
      <c r="I817" s="29">
        <v>142</v>
      </c>
      <c r="J817" s="12" t="s">
        <v>31</v>
      </c>
      <c r="K817" s="29">
        <f t="shared" si="51"/>
        <v>142</v>
      </c>
      <c r="L817">
        <v>1</v>
      </c>
      <c r="M817" s="29">
        <v>0</v>
      </c>
      <c r="N817" t="s">
        <v>32</v>
      </c>
      <c r="O817" t="s">
        <v>33</v>
      </c>
      <c r="P817" t="s">
        <v>34</v>
      </c>
      <c r="Q817" t="s">
        <v>34</v>
      </c>
      <c r="R817" t="s">
        <v>34</v>
      </c>
      <c r="S817" t="s">
        <v>34</v>
      </c>
      <c r="T817" s="117">
        <v>0</v>
      </c>
    </row>
    <row r="818" spans="1:20" ht="14.5" customHeight="1" x14ac:dyDescent="0.35">
      <c r="A818" t="s">
        <v>20</v>
      </c>
      <c r="B818" t="s">
        <v>23</v>
      </c>
      <c r="C818" s="1">
        <v>45427</v>
      </c>
      <c r="D818">
        <f t="shared" si="52"/>
        <v>15</v>
      </c>
      <c r="E818">
        <f t="shared" si="53"/>
        <v>5</v>
      </c>
      <c r="F818">
        <f t="shared" si="54"/>
        <v>2024</v>
      </c>
      <c r="G818" t="s">
        <v>89</v>
      </c>
      <c r="H818" s="98">
        <v>10016</v>
      </c>
      <c r="I818" s="29">
        <v>3386.9</v>
      </c>
      <c r="J818" s="12" t="s">
        <v>31</v>
      </c>
      <c r="K818" s="29">
        <f t="shared" si="51"/>
        <v>3386.9</v>
      </c>
      <c r="L818">
        <v>1</v>
      </c>
      <c r="M818" s="29">
        <v>0</v>
      </c>
      <c r="N818" t="s">
        <v>42</v>
      </c>
      <c r="O818" t="s">
        <v>33</v>
      </c>
      <c r="P818" t="s">
        <v>34</v>
      </c>
      <c r="Q818" t="s">
        <v>34</v>
      </c>
      <c r="R818" t="s">
        <v>34</v>
      </c>
      <c r="S818" t="s">
        <v>34</v>
      </c>
      <c r="T818" s="117">
        <v>0</v>
      </c>
    </row>
    <row r="819" spans="1:20" ht="14.5" customHeight="1" x14ac:dyDescent="0.35">
      <c r="A819" t="s">
        <v>20</v>
      </c>
      <c r="B819" t="s">
        <v>23</v>
      </c>
      <c r="C819" s="1">
        <v>45427</v>
      </c>
      <c r="D819">
        <f t="shared" si="52"/>
        <v>15</v>
      </c>
      <c r="E819">
        <f t="shared" si="53"/>
        <v>5</v>
      </c>
      <c r="F819">
        <f t="shared" si="54"/>
        <v>2024</v>
      </c>
      <c r="G819" t="s">
        <v>89</v>
      </c>
      <c r="H819" s="98">
        <v>10268</v>
      </c>
      <c r="I819" s="29">
        <v>12409.68</v>
      </c>
      <c r="J819" s="12" t="s">
        <v>31</v>
      </c>
      <c r="K819" s="29">
        <f t="shared" si="51"/>
        <v>12409.68</v>
      </c>
      <c r="L819">
        <v>1</v>
      </c>
      <c r="M819" s="29">
        <v>0</v>
      </c>
      <c r="N819" t="s">
        <v>32</v>
      </c>
      <c r="O819" t="s">
        <v>33</v>
      </c>
      <c r="P819" t="s">
        <v>34</v>
      </c>
      <c r="Q819" t="s">
        <v>34</v>
      </c>
      <c r="R819" t="s">
        <v>34</v>
      </c>
      <c r="S819" t="s">
        <v>34</v>
      </c>
      <c r="T819" s="117">
        <v>7663.8</v>
      </c>
    </row>
    <row r="820" spans="1:20" ht="14.5" customHeight="1" x14ac:dyDescent="0.35">
      <c r="A820" t="s">
        <v>20</v>
      </c>
      <c r="B820" t="s">
        <v>23</v>
      </c>
      <c r="C820" s="1">
        <v>45427</v>
      </c>
      <c r="D820">
        <f t="shared" si="52"/>
        <v>15</v>
      </c>
      <c r="E820">
        <f t="shared" si="53"/>
        <v>5</v>
      </c>
      <c r="F820">
        <f t="shared" si="54"/>
        <v>2024</v>
      </c>
      <c r="G820" t="s">
        <v>46</v>
      </c>
      <c r="H820" s="98">
        <v>10118</v>
      </c>
      <c r="I820" s="29">
        <v>16415.25</v>
      </c>
      <c r="J820" s="12" t="s">
        <v>31</v>
      </c>
      <c r="K820" s="29">
        <f t="shared" si="51"/>
        <v>16415.25</v>
      </c>
      <c r="L820">
        <v>1</v>
      </c>
      <c r="M820" s="29">
        <v>0</v>
      </c>
      <c r="N820" t="s">
        <v>32</v>
      </c>
      <c r="O820" t="s">
        <v>33</v>
      </c>
      <c r="P820" t="s">
        <v>34</v>
      </c>
      <c r="Q820" t="s">
        <v>34</v>
      </c>
      <c r="R820" t="s">
        <v>34</v>
      </c>
      <c r="S820" t="s">
        <v>34</v>
      </c>
      <c r="T820" s="117">
        <v>0</v>
      </c>
    </row>
    <row r="821" spans="1:20" ht="14.5" customHeight="1" x14ac:dyDescent="0.35">
      <c r="A821" t="s">
        <v>20</v>
      </c>
      <c r="B821" t="s">
        <v>25</v>
      </c>
      <c r="C821" s="1">
        <v>45427</v>
      </c>
      <c r="D821">
        <f t="shared" si="52"/>
        <v>15</v>
      </c>
      <c r="E821">
        <f t="shared" si="53"/>
        <v>5</v>
      </c>
      <c r="F821">
        <f t="shared" si="54"/>
        <v>2024</v>
      </c>
      <c r="G821" t="s">
        <v>46</v>
      </c>
      <c r="H821" s="98">
        <v>10118</v>
      </c>
      <c r="I821" s="29">
        <v>9513.9599999999991</v>
      </c>
      <c r="J821" s="12" t="s">
        <v>31</v>
      </c>
      <c r="K821" s="29">
        <f t="shared" si="51"/>
        <v>9513.9599999999991</v>
      </c>
      <c r="L821">
        <v>1</v>
      </c>
      <c r="M821" s="29">
        <v>0</v>
      </c>
      <c r="N821" t="s">
        <v>32</v>
      </c>
      <c r="O821" t="s">
        <v>33</v>
      </c>
      <c r="P821" t="s">
        <v>34</v>
      </c>
      <c r="Q821" t="s">
        <v>34</v>
      </c>
      <c r="R821" t="s">
        <v>34</v>
      </c>
      <c r="S821" t="s">
        <v>34</v>
      </c>
      <c r="T821" s="117">
        <v>0</v>
      </c>
    </row>
    <row r="822" spans="1:20" ht="14.5" customHeight="1" x14ac:dyDescent="0.35">
      <c r="A822" t="s">
        <v>20</v>
      </c>
      <c r="B822" t="s">
        <v>25</v>
      </c>
      <c r="C822" s="1">
        <v>45427</v>
      </c>
      <c r="D822">
        <f t="shared" si="52"/>
        <v>15</v>
      </c>
      <c r="E822">
        <f t="shared" si="53"/>
        <v>5</v>
      </c>
      <c r="F822">
        <f t="shared" si="54"/>
        <v>2024</v>
      </c>
      <c r="G822" t="s">
        <v>90</v>
      </c>
      <c r="H822" s="98">
        <v>9542</v>
      </c>
      <c r="I822" s="29">
        <v>5613.39</v>
      </c>
      <c r="J822" s="12" t="s">
        <v>31</v>
      </c>
      <c r="K822" s="29">
        <f t="shared" si="51"/>
        <v>5613.39</v>
      </c>
      <c r="L822">
        <v>1</v>
      </c>
      <c r="M822" s="29">
        <v>0</v>
      </c>
      <c r="N822" t="s">
        <v>32</v>
      </c>
      <c r="O822" t="s">
        <v>33</v>
      </c>
      <c r="P822" t="s">
        <v>34</v>
      </c>
      <c r="Q822" t="s">
        <v>34</v>
      </c>
      <c r="R822" t="s">
        <v>34</v>
      </c>
      <c r="S822" t="s">
        <v>34</v>
      </c>
      <c r="T822" s="117">
        <v>0</v>
      </c>
    </row>
    <row r="823" spans="1:20" ht="14.5" customHeight="1" x14ac:dyDescent="0.35">
      <c r="A823" t="s">
        <v>20</v>
      </c>
      <c r="B823" t="s">
        <v>25</v>
      </c>
      <c r="C823" s="1">
        <v>45427</v>
      </c>
      <c r="D823">
        <f t="shared" si="52"/>
        <v>15</v>
      </c>
      <c r="E823">
        <f t="shared" si="53"/>
        <v>5</v>
      </c>
      <c r="F823">
        <f t="shared" si="54"/>
        <v>2024</v>
      </c>
      <c r="G823" t="s">
        <v>90</v>
      </c>
      <c r="H823" s="98">
        <v>9816</v>
      </c>
      <c r="I823" s="29">
        <v>139.6</v>
      </c>
      <c r="J823" s="12" t="s">
        <v>31</v>
      </c>
      <c r="K823" s="29">
        <f t="shared" si="51"/>
        <v>139.6</v>
      </c>
      <c r="L823">
        <v>1</v>
      </c>
      <c r="M823" s="29">
        <v>0</v>
      </c>
      <c r="N823" t="s">
        <v>32</v>
      </c>
      <c r="O823" t="s">
        <v>33</v>
      </c>
      <c r="P823" t="s">
        <v>34</v>
      </c>
      <c r="Q823" t="s">
        <v>34</v>
      </c>
      <c r="R823" t="s">
        <v>34</v>
      </c>
      <c r="S823" t="s">
        <v>34</v>
      </c>
      <c r="T823" s="117">
        <v>0</v>
      </c>
    </row>
    <row r="824" spans="1:20" ht="14.5" customHeight="1" x14ac:dyDescent="0.35">
      <c r="A824" t="s">
        <v>20</v>
      </c>
      <c r="B824" t="s">
        <v>21</v>
      </c>
      <c r="C824" s="1">
        <v>45427</v>
      </c>
      <c r="D824">
        <f t="shared" si="52"/>
        <v>15</v>
      </c>
      <c r="E824">
        <f t="shared" si="53"/>
        <v>5</v>
      </c>
      <c r="F824">
        <f t="shared" si="54"/>
        <v>2024</v>
      </c>
      <c r="G824" t="s">
        <v>88</v>
      </c>
      <c r="H824" s="98">
        <v>10189</v>
      </c>
      <c r="I824" s="29">
        <v>9651.68</v>
      </c>
      <c r="J824" s="12" t="s">
        <v>31</v>
      </c>
      <c r="K824" s="29">
        <f t="shared" si="51"/>
        <v>9651.68</v>
      </c>
      <c r="L824">
        <v>1</v>
      </c>
      <c r="M824" s="29">
        <v>0</v>
      </c>
      <c r="N824" t="s">
        <v>32</v>
      </c>
      <c r="O824" t="s">
        <v>33</v>
      </c>
      <c r="P824" t="s">
        <v>34</v>
      </c>
      <c r="Q824" t="s">
        <v>34</v>
      </c>
      <c r="R824" t="s">
        <v>34</v>
      </c>
      <c r="S824" t="s">
        <v>34</v>
      </c>
      <c r="T824" s="117">
        <v>0</v>
      </c>
    </row>
    <row r="825" spans="1:20" ht="14.5" customHeight="1" x14ac:dyDescent="0.35">
      <c r="A825" t="s">
        <v>20</v>
      </c>
      <c r="B825" t="s">
        <v>25</v>
      </c>
      <c r="C825" s="1">
        <v>45427</v>
      </c>
      <c r="D825">
        <f t="shared" si="52"/>
        <v>15</v>
      </c>
      <c r="E825">
        <f t="shared" si="53"/>
        <v>5</v>
      </c>
      <c r="F825">
        <f t="shared" si="54"/>
        <v>2024</v>
      </c>
      <c r="G825" t="s">
        <v>45</v>
      </c>
      <c r="H825" s="98">
        <v>9826</v>
      </c>
      <c r="I825" s="29">
        <v>4494.6000000000004</v>
      </c>
      <c r="J825" s="12" t="s">
        <v>31</v>
      </c>
      <c r="K825" s="29">
        <f t="shared" si="51"/>
        <v>4494.6000000000004</v>
      </c>
      <c r="L825">
        <v>1</v>
      </c>
      <c r="M825" s="29">
        <v>0</v>
      </c>
      <c r="N825" t="s">
        <v>32</v>
      </c>
      <c r="O825" t="s">
        <v>33</v>
      </c>
      <c r="P825" t="s">
        <v>34</v>
      </c>
      <c r="Q825" t="s">
        <v>34</v>
      </c>
      <c r="R825" t="s">
        <v>34</v>
      </c>
      <c r="S825" t="s">
        <v>34</v>
      </c>
      <c r="T825" s="117">
        <v>0</v>
      </c>
    </row>
    <row r="826" spans="1:20" ht="14.5" customHeight="1" x14ac:dyDescent="0.35">
      <c r="A826" t="s">
        <v>20</v>
      </c>
      <c r="B826" t="s">
        <v>23</v>
      </c>
      <c r="C826" s="1">
        <v>45427</v>
      </c>
      <c r="D826">
        <f t="shared" si="52"/>
        <v>15</v>
      </c>
      <c r="E826">
        <f t="shared" si="53"/>
        <v>5</v>
      </c>
      <c r="F826">
        <f t="shared" si="54"/>
        <v>2024</v>
      </c>
      <c r="G826" t="s">
        <v>45</v>
      </c>
      <c r="H826" s="98">
        <v>9826</v>
      </c>
      <c r="I826" s="29">
        <v>5964.3</v>
      </c>
      <c r="J826" s="12" t="s">
        <v>31</v>
      </c>
      <c r="K826" s="29">
        <f t="shared" si="51"/>
        <v>5964.3</v>
      </c>
      <c r="L826">
        <v>1</v>
      </c>
      <c r="M826" s="29">
        <v>0</v>
      </c>
      <c r="N826" t="s">
        <v>32</v>
      </c>
      <c r="O826" t="s">
        <v>33</v>
      </c>
      <c r="P826" t="s">
        <v>34</v>
      </c>
      <c r="Q826" t="s">
        <v>34</v>
      </c>
      <c r="R826" t="s">
        <v>34</v>
      </c>
      <c r="S826" t="s">
        <v>34</v>
      </c>
      <c r="T826" s="117">
        <v>0</v>
      </c>
    </row>
    <row r="827" spans="1:20" ht="14.5" customHeight="1" x14ac:dyDescent="0.35">
      <c r="A827" t="s">
        <v>20</v>
      </c>
      <c r="B827" t="s">
        <v>21</v>
      </c>
      <c r="C827" s="1">
        <v>45427</v>
      </c>
      <c r="D827">
        <f t="shared" si="52"/>
        <v>15</v>
      </c>
      <c r="E827">
        <f t="shared" si="53"/>
        <v>5</v>
      </c>
      <c r="F827">
        <f t="shared" si="54"/>
        <v>2024</v>
      </c>
      <c r="G827" t="s">
        <v>45</v>
      </c>
      <c r="H827" s="98">
        <v>9826</v>
      </c>
      <c r="I827" s="29">
        <v>6676.7</v>
      </c>
      <c r="J827" s="12" t="s">
        <v>31</v>
      </c>
      <c r="K827" s="29">
        <f t="shared" si="51"/>
        <v>6676.7</v>
      </c>
      <c r="L827">
        <v>1</v>
      </c>
      <c r="M827" s="29">
        <v>0</v>
      </c>
      <c r="N827" t="s">
        <v>32</v>
      </c>
      <c r="O827" t="s">
        <v>33</v>
      </c>
      <c r="P827" t="s">
        <v>34</v>
      </c>
      <c r="Q827" t="s">
        <v>34</v>
      </c>
      <c r="R827" t="s">
        <v>34</v>
      </c>
      <c r="S827" t="s">
        <v>34</v>
      </c>
      <c r="T827" s="117">
        <v>0</v>
      </c>
    </row>
    <row r="828" spans="1:20" ht="14.5" customHeight="1" x14ac:dyDescent="0.35">
      <c r="A828" t="s">
        <v>20</v>
      </c>
      <c r="B828" t="s">
        <v>25</v>
      </c>
      <c r="C828" s="1">
        <v>45427</v>
      </c>
      <c r="D828">
        <f t="shared" si="52"/>
        <v>15</v>
      </c>
      <c r="E828">
        <f t="shared" si="53"/>
        <v>5</v>
      </c>
      <c r="F828">
        <f t="shared" si="54"/>
        <v>2024</v>
      </c>
      <c r="G828" t="s">
        <v>45</v>
      </c>
      <c r="H828" s="98">
        <v>10447</v>
      </c>
      <c r="I828" s="29">
        <v>79.2</v>
      </c>
      <c r="J828" s="12" t="s">
        <v>31</v>
      </c>
      <c r="K828" s="29">
        <f t="shared" si="51"/>
        <v>79.2</v>
      </c>
      <c r="L828">
        <v>1</v>
      </c>
      <c r="M828" s="29">
        <v>0</v>
      </c>
      <c r="N828" t="s">
        <v>32</v>
      </c>
      <c r="O828" t="s">
        <v>33</v>
      </c>
      <c r="P828" t="s">
        <v>34</v>
      </c>
      <c r="Q828" t="s">
        <v>34</v>
      </c>
      <c r="R828" t="s">
        <v>34</v>
      </c>
      <c r="S828" t="s">
        <v>34</v>
      </c>
      <c r="T828" s="117">
        <v>0</v>
      </c>
    </row>
    <row r="829" spans="1:20" ht="14.5" customHeight="1" x14ac:dyDescent="0.35">
      <c r="A829" t="s">
        <v>20</v>
      </c>
      <c r="B829" t="s">
        <v>24</v>
      </c>
      <c r="C829" s="1">
        <v>45427</v>
      </c>
      <c r="D829">
        <f t="shared" si="52"/>
        <v>15</v>
      </c>
      <c r="E829">
        <f t="shared" si="53"/>
        <v>5</v>
      </c>
      <c r="F829">
        <f t="shared" si="54"/>
        <v>2024</v>
      </c>
      <c r="G829" t="s">
        <v>85</v>
      </c>
      <c r="H829" s="98">
        <v>9943</v>
      </c>
      <c r="I829" s="29">
        <v>34769.550000000003</v>
      </c>
      <c r="J829" s="12" t="s">
        <v>31</v>
      </c>
      <c r="K829" s="29">
        <f t="shared" si="51"/>
        <v>34769.550000000003</v>
      </c>
      <c r="L829">
        <v>1</v>
      </c>
      <c r="M829" s="29">
        <v>0</v>
      </c>
      <c r="N829" t="s">
        <v>42</v>
      </c>
      <c r="O829" t="s">
        <v>33</v>
      </c>
      <c r="P829" t="s">
        <v>34</v>
      </c>
      <c r="Q829" t="s">
        <v>34</v>
      </c>
      <c r="R829" t="s">
        <v>34</v>
      </c>
      <c r="S829" t="s">
        <v>34</v>
      </c>
      <c r="T829" s="117">
        <v>0</v>
      </c>
    </row>
    <row r="830" spans="1:20" ht="14.5" customHeight="1" x14ac:dyDescent="0.35">
      <c r="A830" t="s">
        <v>20</v>
      </c>
      <c r="B830" t="s">
        <v>21</v>
      </c>
      <c r="C830" s="1">
        <v>45427</v>
      </c>
      <c r="D830">
        <f t="shared" si="52"/>
        <v>15</v>
      </c>
      <c r="E830">
        <f t="shared" si="53"/>
        <v>5</v>
      </c>
      <c r="F830">
        <f t="shared" si="54"/>
        <v>2024</v>
      </c>
      <c r="G830" t="s">
        <v>43</v>
      </c>
      <c r="H830" s="98">
        <v>10223</v>
      </c>
      <c r="I830" s="29">
        <v>185.4</v>
      </c>
      <c r="J830" s="12" t="s">
        <v>31</v>
      </c>
      <c r="K830" s="29">
        <f t="shared" si="51"/>
        <v>185.4</v>
      </c>
      <c r="L830">
        <v>1</v>
      </c>
      <c r="M830" s="29">
        <v>0</v>
      </c>
      <c r="N830" t="s">
        <v>32</v>
      </c>
      <c r="O830" t="s">
        <v>33</v>
      </c>
      <c r="P830" t="s">
        <v>34</v>
      </c>
      <c r="Q830" t="s">
        <v>34</v>
      </c>
      <c r="R830" t="s">
        <v>34</v>
      </c>
      <c r="S830" t="s">
        <v>34</v>
      </c>
      <c r="T830" s="117">
        <v>0</v>
      </c>
    </row>
    <row r="831" spans="1:20" ht="14.5" customHeight="1" x14ac:dyDescent="0.35">
      <c r="A831" t="s">
        <v>20</v>
      </c>
      <c r="B831" t="s">
        <v>25</v>
      </c>
      <c r="C831" s="1">
        <v>45427</v>
      </c>
      <c r="D831">
        <f t="shared" si="52"/>
        <v>15</v>
      </c>
      <c r="E831">
        <f t="shared" si="53"/>
        <v>5</v>
      </c>
      <c r="F831">
        <f t="shared" si="54"/>
        <v>2024</v>
      </c>
      <c r="G831" t="s">
        <v>174</v>
      </c>
      <c r="H831" s="98">
        <v>9788</v>
      </c>
      <c r="I831" s="29">
        <v>6155.7</v>
      </c>
      <c r="J831" s="12" t="s">
        <v>31</v>
      </c>
      <c r="K831" s="29">
        <f t="shared" si="51"/>
        <v>6155.7</v>
      </c>
      <c r="L831">
        <v>1</v>
      </c>
      <c r="M831" s="29">
        <v>0</v>
      </c>
      <c r="N831" t="s">
        <v>42</v>
      </c>
      <c r="O831" t="s">
        <v>33</v>
      </c>
      <c r="P831" t="s">
        <v>34</v>
      </c>
      <c r="Q831" t="s">
        <v>34</v>
      </c>
      <c r="R831" t="s">
        <v>34</v>
      </c>
      <c r="S831" t="s">
        <v>34</v>
      </c>
      <c r="T831" s="117">
        <v>0</v>
      </c>
    </row>
    <row r="832" spans="1:20" ht="14.5" customHeight="1" x14ac:dyDescent="0.35">
      <c r="A832" t="s">
        <v>20</v>
      </c>
      <c r="B832" t="s">
        <v>25</v>
      </c>
      <c r="C832" s="1">
        <v>45427</v>
      </c>
      <c r="D832">
        <f t="shared" si="52"/>
        <v>15</v>
      </c>
      <c r="E832">
        <f t="shared" si="53"/>
        <v>5</v>
      </c>
      <c r="F832">
        <f t="shared" si="54"/>
        <v>2024</v>
      </c>
      <c r="G832" t="s">
        <v>174</v>
      </c>
      <c r="H832" s="98">
        <v>10555</v>
      </c>
      <c r="I832" s="29">
        <v>92</v>
      </c>
      <c r="J832" s="12" t="s">
        <v>31</v>
      </c>
      <c r="K832" s="29">
        <f t="shared" si="51"/>
        <v>92</v>
      </c>
      <c r="L832">
        <v>1</v>
      </c>
      <c r="M832" s="29">
        <v>0</v>
      </c>
      <c r="N832" t="s">
        <v>42</v>
      </c>
      <c r="O832" t="s">
        <v>33</v>
      </c>
      <c r="P832" t="s">
        <v>34</v>
      </c>
      <c r="Q832" t="s">
        <v>34</v>
      </c>
      <c r="R832" t="s">
        <v>34</v>
      </c>
      <c r="S832" t="s">
        <v>34</v>
      </c>
      <c r="T832" s="117">
        <v>0</v>
      </c>
    </row>
    <row r="833" spans="1:21" ht="14.5" customHeight="1" x14ac:dyDescent="0.35">
      <c r="A833" t="s">
        <v>20</v>
      </c>
      <c r="B833" t="s">
        <v>25</v>
      </c>
      <c r="C833" s="1">
        <v>45427</v>
      </c>
      <c r="D833">
        <f t="shared" si="52"/>
        <v>15</v>
      </c>
      <c r="E833">
        <f t="shared" si="53"/>
        <v>5</v>
      </c>
      <c r="F833">
        <f t="shared" si="54"/>
        <v>2024</v>
      </c>
      <c r="G833" t="s">
        <v>174</v>
      </c>
      <c r="H833" s="98">
        <v>10558</v>
      </c>
      <c r="I833" s="29">
        <v>1380</v>
      </c>
      <c r="J833" s="12" t="s">
        <v>31</v>
      </c>
      <c r="K833" s="29">
        <f t="shared" ref="K833:K836" si="55">IF(J833="USD",I833,I833*L833)</f>
        <v>1380</v>
      </c>
      <c r="L833">
        <v>1</v>
      </c>
      <c r="M833" s="29">
        <v>0</v>
      </c>
      <c r="N833" t="s">
        <v>42</v>
      </c>
      <c r="O833" t="s">
        <v>33</v>
      </c>
      <c r="P833" t="s">
        <v>34</v>
      </c>
      <c r="Q833" t="s">
        <v>34</v>
      </c>
      <c r="R833" t="s">
        <v>34</v>
      </c>
      <c r="S833" t="s">
        <v>34</v>
      </c>
      <c r="T833" s="117">
        <v>0</v>
      </c>
      <c r="U833" s="209" t="s">
        <v>466</v>
      </c>
    </row>
    <row r="834" spans="1:21" ht="14.5" customHeight="1" x14ac:dyDescent="0.35">
      <c r="A834" t="s">
        <v>20</v>
      </c>
      <c r="B834" t="s">
        <v>25</v>
      </c>
      <c r="C834" s="1">
        <v>45427</v>
      </c>
      <c r="D834">
        <f t="shared" ref="D834:D897" si="56">DAY(C834)</f>
        <v>15</v>
      </c>
      <c r="E834">
        <f t="shared" ref="E834:E897" si="57">MONTH(C834)</f>
        <v>5</v>
      </c>
      <c r="F834">
        <f t="shared" ref="F834:F897" si="58">YEAR(C834)</f>
        <v>2024</v>
      </c>
      <c r="G834" t="s">
        <v>174</v>
      </c>
      <c r="H834" s="98">
        <v>10557</v>
      </c>
      <c r="I834" s="29">
        <v>124</v>
      </c>
      <c r="J834" s="12" t="s">
        <v>31</v>
      </c>
      <c r="K834" s="29">
        <f t="shared" si="55"/>
        <v>124</v>
      </c>
      <c r="L834">
        <v>1</v>
      </c>
      <c r="M834" s="29">
        <v>0</v>
      </c>
      <c r="N834" t="s">
        <v>42</v>
      </c>
      <c r="O834" t="s">
        <v>33</v>
      </c>
      <c r="P834" t="s">
        <v>34</v>
      </c>
      <c r="Q834" t="s">
        <v>34</v>
      </c>
      <c r="R834" t="s">
        <v>34</v>
      </c>
      <c r="S834" t="s">
        <v>34</v>
      </c>
      <c r="T834" s="117">
        <v>0</v>
      </c>
    </row>
    <row r="835" spans="1:21" ht="14.5" customHeight="1" x14ac:dyDescent="0.35">
      <c r="A835" t="s">
        <v>20</v>
      </c>
      <c r="B835" t="s">
        <v>25</v>
      </c>
      <c r="C835" s="1">
        <v>45427</v>
      </c>
      <c r="D835">
        <f t="shared" si="56"/>
        <v>15</v>
      </c>
      <c r="E835">
        <f t="shared" si="57"/>
        <v>5</v>
      </c>
      <c r="F835">
        <f t="shared" si="58"/>
        <v>2024</v>
      </c>
      <c r="G835" t="s">
        <v>174</v>
      </c>
      <c r="H835" s="98">
        <v>10558</v>
      </c>
      <c r="I835" s="29">
        <v>2055.3000000000002</v>
      </c>
      <c r="J835" s="12" t="s">
        <v>31</v>
      </c>
      <c r="K835" s="29">
        <f t="shared" si="55"/>
        <v>2055.3000000000002</v>
      </c>
      <c r="L835">
        <v>1</v>
      </c>
      <c r="M835" s="29">
        <v>0</v>
      </c>
      <c r="N835" t="s">
        <v>42</v>
      </c>
      <c r="O835" t="s">
        <v>33</v>
      </c>
      <c r="P835" t="s">
        <v>34</v>
      </c>
      <c r="Q835" t="s">
        <v>34</v>
      </c>
      <c r="R835" t="s">
        <v>34</v>
      </c>
      <c r="S835" t="s">
        <v>34</v>
      </c>
      <c r="T835" s="117">
        <v>0</v>
      </c>
    </row>
    <row r="836" spans="1:21" ht="14.5" customHeight="1" x14ac:dyDescent="0.35">
      <c r="A836" t="s">
        <v>20</v>
      </c>
      <c r="B836" t="s">
        <v>25</v>
      </c>
      <c r="C836" s="1">
        <v>45427</v>
      </c>
      <c r="D836">
        <f t="shared" si="56"/>
        <v>15</v>
      </c>
      <c r="E836">
        <f t="shared" si="57"/>
        <v>5</v>
      </c>
      <c r="F836">
        <f t="shared" si="58"/>
        <v>2024</v>
      </c>
      <c r="G836" t="s">
        <v>174</v>
      </c>
      <c r="H836" s="98">
        <v>9789</v>
      </c>
      <c r="I836" s="29">
        <v>4746.9399999999996</v>
      </c>
      <c r="J836" s="12" t="s">
        <v>31</v>
      </c>
      <c r="K836" s="29">
        <f t="shared" si="55"/>
        <v>4746.9399999999996</v>
      </c>
      <c r="L836">
        <v>1</v>
      </c>
      <c r="M836" s="29">
        <v>0</v>
      </c>
      <c r="N836" t="s">
        <v>32</v>
      </c>
      <c r="O836" t="s">
        <v>33</v>
      </c>
      <c r="P836" t="s">
        <v>34</v>
      </c>
      <c r="Q836" t="s">
        <v>34</v>
      </c>
      <c r="R836" t="s">
        <v>34</v>
      </c>
      <c r="S836" t="s">
        <v>34</v>
      </c>
      <c r="T836" s="117">
        <v>0</v>
      </c>
    </row>
    <row r="837" spans="1:21" ht="14.5" customHeight="1" x14ac:dyDescent="0.35">
      <c r="A837" t="s">
        <v>20</v>
      </c>
      <c r="B837" t="s">
        <v>25</v>
      </c>
      <c r="C837" s="1">
        <v>45427</v>
      </c>
      <c r="D837">
        <f t="shared" si="56"/>
        <v>15</v>
      </c>
      <c r="E837">
        <f t="shared" si="57"/>
        <v>5</v>
      </c>
      <c r="F837">
        <f t="shared" si="58"/>
        <v>2024</v>
      </c>
      <c r="G837" t="s">
        <v>49</v>
      </c>
      <c r="H837" s="98">
        <v>10123</v>
      </c>
      <c r="I837" s="29">
        <v>128930.83</v>
      </c>
      <c r="J837" s="12" t="s">
        <v>51</v>
      </c>
      <c r="K837" s="29">
        <v>140599.20000000001</v>
      </c>
      <c r="L837">
        <v>1.0905</v>
      </c>
      <c r="M837" s="29">
        <v>0</v>
      </c>
      <c r="N837" t="s">
        <v>32</v>
      </c>
      <c r="O837" t="s">
        <v>33</v>
      </c>
      <c r="P837" t="s">
        <v>34</v>
      </c>
      <c r="Q837" t="s">
        <v>34</v>
      </c>
      <c r="R837" t="s">
        <v>34</v>
      </c>
      <c r="S837" t="s">
        <v>34</v>
      </c>
      <c r="T837" s="117">
        <v>0</v>
      </c>
    </row>
    <row r="838" spans="1:21" ht="14.5" customHeight="1" x14ac:dyDescent="0.35">
      <c r="A838" t="s">
        <v>20</v>
      </c>
      <c r="B838" t="s">
        <v>25</v>
      </c>
      <c r="C838" s="1">
        <v>45427</v>
      </c>
      <c r="D838">
        <f t="shared" si="56"/>
        <v>15</v>
      </c>
      <c r="E838">
        <f t="shared" si="57"/>
        <v>5</v>
      </c>
      <c r="F838">
        <f t="shared" si="58"/>
        <v>2024</v>
      </c>
      <c r="G838" t="s">
        <v>49</v>
      </c>
      <c r="H838" s="98">
        <v>10123</v>
      </c>
      <c r="I838" s="29">
        <v>6667.57</v>
      </c>
      <c r="J838" s="12" t="s">
        <v>31</v>
      </c>
      <c r="K838" s="29">
        <f t="shared" ref="K838:K869" si="59">IF(J838="USD",I838,I838*L838)</f>
        <v>6667.57</v>
      </c>
      <c r="L838">
        <v>1</v>
      </c>
      <c r="M838" s="29">
        <v>0</v>
      </c>
      <c r="N838" t="s">
        <v>32</v>
      </c>
      <c r="O838" t="s">
        <v>33</v>
      </c>
      <c r="P838" t="s">
        <v>34</v>
      </c>
      <c r="Q838" t="s">
        <v>34</v>
      </c>
      <c r="R838" t="s">
        <v>34</v>
      </c>
      <c r="S838" t="s">
        <v>34</v>
      </c>
      <c r="T838" s="117">
        <v>0</v>
      </c>
    </row>
    <row r="839" spans="1:21" ht="14.5" customHeight="1" x14ac:dyDescent="0.35">
      <c r="A839" t="s">
        <v>19</v>
      </c>
      <c r="B839" t="s">
        <v>26</v>
      </c>
      <c r="C839" s="1">
        <v>45428</v>
      </c>
      <c r="D839">
        <f t="shared" si="56"/>
        <v>16</v>
      </c>
      <c r="E839">
        <f t="shared" si="57"/>
        <v>5</v>
      </c>
      <c r="F839">
        <f t="shared" si="58"/>
        <v>2024</v>
      </c>
      <c r="G839" t="s">
        <v>112</v>
      </c>
      <c r="H839" s="98">
        <v>10478</v>
      </c>
      <c r="I839" s="15">
        <v>74851.06</v>
      </c>
      <c r="J839" s="12" t="s">
        <v>51</v>
      </c>
      <c r="K839" s="29">
        <f t="shared" si="59"/>
        <v>81467.893704000002</v>
      </c>
      <c r="L839">
        <v>1.0884</v>
      </c>
      <c r="M839" s="29">
        <v>0</v>
      </c>
      <c r="N839" t="s">
        <v>32</v>
      </c>
      <c r="O839" t="s">
        <v>33</v>
      </c>
      <c r="P839" t="s">
        <v>34</v>
      </c>
      <c r="Q839" t="s">
        <v>34</v>
      </c>
      <c r="R839" t="s">
        <v>34</v>
      </c>
      <c r="S839" t="s">
        <v>34</v>
      </c>
      <c r="T839" s="117">
        <v>0</v>
      </c>
      <c r="U839" s="209" t="s">
        <v>94</v>
      </c>
    </row>
    <row r="840" spans="1:21" ht="14.5" customHeight="1" x14ac:dyDescent="0.35">
      <c r="A840" t="s">
        <v>19</v>
      </c>
      <c r="B840" t="s">
        <v>26</v>
      </c>
      <c r="C840" s="1">
        <v>45428</v>
      </c>
      <c r="D840">
        <f t="shared" si="56"/>
        <v>16</v>
      </c>
      <c r="E840">
        <f t="shared" si="57"/>
        <v>5</v>
      </c>
      <c r="F840">
        <f t="shared" si="58"/>
        <v>2024</v>
      </c>
      <c r="G840" t="s">
        <v>112</v>
      </c>
      <c r="H840" s="98">
        <v>10511</v>
      </c>
      <c r="I840" s="15">
        <v>88636.26</v>
      </c>
      <c r="J840" s="12" t="s">
        <v>51</v>
      </c>
      <c r="K840" s="29">
        <f t="shared" si="59"/>
        <v>96471.705384000001</v>
      </c>
      <c r="L840">
        <v>1.0884</v>
      </c>
      <c r="M840" s="29">
        <v>0</v>
      </c>
      <c r="N840" t="s">
        <v>32</v>
      </c>
      <c r="O840" t="s">
        <v>33</v>
      </c>
      <c r="P840" t="s">
        <v>34</v>
      </c>
      <c r="Q840" t="s">
        <v>34</v>
      </c>
      <c r="R840" t="s">
        <v>34</v>
      </c>
      <c r="S840" t="s">
        <v>34</v>
      </c>
      <c r="T840" s="117">
        <v>0</v>
      </c>
      <c r="U840" s="209" t="s">
        <v>94</v>
      </c>
    </row>
    <row r="841" spans="1:21" ht="14.5" customHeight="1" x14ac:dyDescent="0.35">
      <c r="A841" t="s">
        <v>19</v>
      </c>
      <c r="B841" t="s">
        <v>26</v>
      </c>
      <c r="C841" s="1">
        <v>45428</v>
      </c>
      <c r="D841">
        <f t="shared" si="56"/>
        <v>16</v>
      </c>
      <c r="E841">
        <f t="shared" si="57"/>
        <v>5</v>
      </c>
      <c r="F841">
        <f t="shared" si="58"/>
        <v>2024</v>
      </c>
      <c r="G841" t="s">
        <v>112</v>
      </c>
      <c r="H841" s="98">
        <v>10534</v>
      </c>
      <c r="I841" s="15">
        <v>22992.93</v>
      </c>
      <c r="J841" s="12" t="s">
        <v>51</v>
      </c>
      <c r="K841" s="29">
        <f t="shared" si="59"/>
        <v>25025.505012000001</v>
      </c>
      <c r="L841">
        <v>1.0884</v>
      </c>
      <c r="M841" s="29">
        <v>0</v>
      </c>
      <c r="N841" t="s">
        <v>32</v>
      </c>
      <c r="O841" t="s">
        <v>33</v>
      </c>
      <c r="P841" t="s">
        <v>34</v>
      </c>
      <c r="Q841" t="s">
        <v>34</v>
      </c>
      <c r="R841" t="s">
        <v>34</v>
      </c>
      <c r="S841" t="s">
        <v>34</v>
      </c>
      <c r="T841" s="117">
        <v>0</v>
      </c>
      <c r="U841" s="209" t="s">
        <v>94</v>
      </c>
    </row>
    <row r="842" spans="1:21" ht="14.5" customHeight="1" x14ac:dyDescent="0.35">
      <c r="A842" t="s">
        <v>19</v>
      </c>
      <c r="B842" t="s">
        <v>23</v>
      </c>
      <c r="C842" s="1">
        <v>45434</v>
      </c>
      <c r="D842">
        <f t="shared" si="56"/>
        <v>22</v>
      </c>
      <c r="E842">
        <f t="shared" si="57"/>
        <v>5</v>
      </c>
      <c r="F842">
        <f t="shared" si="58"/>
        <v>2024</v>
      </c>
      <c r="G842" t="s">
        <v>77</v>
      </c>
      <c r="H842" s="98">
        <v>10332</v>
      </c>
      <c r="I842" s="29">
        <v>5304.4</v>
      </c>
      <c r="J842" s="12" t="s">
        <v>31</v>
      </c>
      <c r="K842" s="29">
        <f t="shared" si="59"/>
        <v>5304.4</v>
      </c>
      <c r="L842">
        <v>1</v>
      </c>
      <c r="M842" s="29">
        <v>0</v>
      </c>
      <c r="N842" t="s">
        <v>32</v>
      </c>
      <c r="O842" t="s">
        <v>33</v>
      </c>
      <c r="P842" t="s">
        <v>34</v>
      </c>
      <c r="Q842" t="s">
        <v>34</v>
      </c>
      <c r="R842" t="s">
        <v>34</v>
      </c>
      <c r="S842" t="s">
        <v>34</v>
      </c>
      <c r="T842" s="117">
        <v>0</v>
      </c>
    </row>
    <row r="843" spans="1:21" ht="14.5" customHeight="1" x14ac:dyDescent="0.35">
      <c r="A843" t="s">
        <v>19</v>
      </c>
      <c r="B843" t="s">
        <v>24</v>
      </c>
      <c r="C843" s="1">
        <v>45434</v>
      </c>
      <c r="D843">
        <f t="shared" si="56"/>
        <v>22</v>
      </c>
      <c r="E843">
        <f t="shared" si="57"/>
        <v>5</v>
      </c>
      <c r="F843">
        <f t="shared" si="58"/>
        <v>2024</v>
      </c>
      <c r="G843" t="s">
        <v>77</v>
      </c>
      <c r="H843" s="98">
        <v>9593</v>
      </c>
      <c r="I843" s="29">
        <v>26608.5</v>
      </c>
      <c r="J843" s="12" t="s">
        <v>31</v>
      </c>
      <c r="K843" s="29">
        <f t="shared" si="59"/>
        <v>26608.5</v>
      </c>
      <c r="L843">
        <v>1</v>
      </c>
      <c r="M843" s="29">
        <v>0</v>
      </c>
      <c r="N843" t="s">
        <v>32</v>
      </c>
      <c r="O843" t="s">
        <v>33</v>
      </c>
      <c r="P843" t="s">
        <v>34</v>
      </c>
      <c r="Q843" t="s">
        <v>34</v>
      </c>
      <c r="R843" t="s">
        <v>34</v>
      </c>
      <c r="S843" t="s">
        <v>34</v>
      </c>
      <c r="T843" s="117">
        <v>0</v>
      </c>
    </row>
    <row r="844" spans="1:21" ht="14.5" customHeight="1" x14ac:dyDescent="0.35">
      <c r="A844" t="s">
        <v>19</v>
      </c>
      <c r="B844" t="s">
        <v>25</v>
      </c>
      <c r="C844" s="1">
        <v>45434</v>
      </c>
      <c r="D844">
        <f t="shared" si="56"/>
        <v>22</v>
      </c>
      <c r="E844">
        <f t="shared" si="57"/>
        <v>5</v>
      </c>
      <c r="F844">
        <f t="shared" si="58"/>
        <v>2024</v>
      </c>
      <c r="G844" t="s">
        <v>93</v>
      </c>
      <c r="H844" s="98">
        <v>10326</v>
      </c>
      <c r="I844" s="29">
        <v>5767.08</v>
      </c>
      <c r="J844" s="12" t="s">
        <v>31</v>
      </c>
      <c r="K844" s="29">
        <f t="shared" si="59"/>
        <v>5767.08</v>
      </c>
      <c r="L844">
        <v>1</v>
      </c>
      <c r="M844" s="29">
        <v>0</v>
      </c>
      <c r="N844" t="s">
        <v>32</v>
      </c>
      <c r="O844" t="s">
        <v>33</v>
      </c>
      <c r="P844" t="s">
        <v>34</v>
      </c>
      <c r="Q844" t="s">
        <v>34</v>
      </c>
      <c r="R844" t="s">
        <v>34</v>
      </c>
      <c r="S844" t="s">
        <v>34</v>
      </c>
      <c r="T844" s="117">
        <v>0</v>
      </c>
    </row>
    <row r="845" spans="1:21" ht="14.5" customHeight="1" x14ac:dyDescent="0.35">
      <c r="A845" t="s">
        <v>19</v>
      </c>
      <c r="B845" t="s">
        <v>25</v>
      </c>
      <c r="C845" s="1">
        <v>45434</v>
      </c>
      <c r="D845">
        <f t="shared" si="56"/>
        <v>22</v>
      </c>
      <c r="E845">
        <f t="shared" si="57"/>
        <v>5</v>
      </c>
      <c r="F845">
        <f t="shared" si="58"/>
        <v>2024</v>
      </c>
      <c r="G845" t="s">
        <v>78</v>
      </c>
      <c r="H845" s="98">
        <v>10532</v>
      </c>
      <c r="I845" s="29">
        <v>22497.599999999999</v>
      </c>
      <c r="J845" s="12" t="s">
        <v>51</v>
      </c>
      <c r="K845" s="29">
        <f t="shared" si="59"/>
        <v>24427.894080000002</v>
      </c>
      <c r="L845">
        <v>1.0858000000000001</v>
      </c>
      <c r="M845" s="29">
        <v>0</v>
      </c>
      <c r="N845" t="s">
        <v>42</v>
      </c>
      <c r="O845" t="s">
        <v>33</v>
      </c>
      <c r="P845" t="s">
        <v>34</v>
      </c>
      <c r="Q845" t="s">
        <v>34</v>
      </c>
      <c r="R845" t="s">
        <v>34</v>
      </c>
      <c r="S845" t="s">
        <v>34</v>
      </c>
      <c r="T845" s="117">
        <v>0</v>
      </c>
      <c r="U845" s="209" t="s">
        <v>94</v>
      </c>
    </row>
    <row r="846" spans="1:21" ht="14.5" customHeight="1" x14ac:dyDescent="0.35">
      <c r="A846" t="s">
        <v>20</v>
      </c>
      <c r="B846" t="s">
        <v>23</v>
      </c>
      <c r="C846" s="1">
        <v>45434</v>
      </c>
      <c r="D846">
        <f t="shared" si="56"/>
        <v>22</v>
      </c>
      <c r="E846">
        <f t="shared" si="57"/>
        <v>5</v>
      </c>
      <c r="F846">
        <f t="shared" si="58"/>
        <v>2024</v>
      </c>
      <c r="G846" t="s">
        <v>108</v>
      </c>
      <c r="H846" s="98">
        <v>10364</v>
      </c>
      <c r="I846" s="29">
        <v>20</v>
      </c>
      <c r="J846" s="12" t="s">
        <v>31</v>
      </c>
      <c r="K846" s="29">
        <f t="shared" si="59"/>
        <v>20</v>
      </c>
      <c r="L846">
        <v>1</v>
      </c>
      <c r="M846" s="29">
        <v>0</v>
      </c>
      <c r="N846" t="s">
        <v>32</v>
      </c>
      <c r="O846" t="s">
        <v>33</v>
      </c>
      <c r="P846" t="s">
        <v>34</v>
      </c>
      <c r="Q846" t="s">
        <v>34</v>
      </c>
      <c r="R846" t="s">
        <v>34</v>
      </c>
      <c r="S846" t="s">
        <v>34</v>
      </c>
      <c r="T846" s="117">
        <v>0</v>
      </c>
    </row>
    <row r="847" spans="1:21" ht="14.5" customHeight="1" x14ac:dyDescent="0.35">
      <c r="A847" t="s">
        <v>20</v>
      </c>
      <c r="B847" t="s">
        <v>23</v>
      </c>
      <c r="C847" s="1">
        <v>45434</v>
      </c>
      <c r="D847">
        <f t="shared" si="56"/>
        <v>22</v>
      </c>
      <c r="E847">
        <f t="shared" si="57"/>
        <v>5</v>
      </c>
      <c r="F847">
        <f t="shared" si="58"/>
        <v>2024</v>
      </c>
      <c r="G847" t="s">
        <v>108</v>
      </c>
      <c r="H847" s="98">
        <v>10365</v>
      </c>
      <c r="I847" s="29">
        <v>3866.25</v>
      </c>
      <c r="J847" s="12" t="s">
        <v>31</v>
      </c>
      <c r="K847" s="29">
        <f t="shared" si="59"/>
        <v>3866.25</v>
      </c>
      <c r="L847">
        <v>1</v>
      </c>
      <c r="M847" s="29">
        <v>0</v>
      </c>
      <c r="N847" t="s">
        <v>32</v>
      </c>
      <c r="O847" t="s">
        <v>33</v>
      </c>
      <c r="P847" t="s">
        <v>34</v>
      </c>
      <c r="Q847" t="s">
        <v>34</v>
      </c>
      <c r="R847" t="s">
        <v>34</v>
      </c>
      <c r="S847" t="s">
        <v>34</v>
      </c>
      <c r="T847" s="117">
        <v>0</v>
      </c>
    </row>
    <row r="848" spans="1:21" ht="14.5" customHeight="1" x14ac:dyDescent="0.35">
      <c r="A848" t="s">
        <v>20</v>
      </c>
      <c r="B848" t="s">
        <v>21</v>
      </c>
      <c r="C848" s="1">
        <v>45434</v>
      </c>
      <c r="D848">
        <f t="shared" si="56"/>
        <v>22</v>
      </c>
      <c r="E848">
        <f t="shared" si="57"/>
        <v>5</v>
      </c>
      <c r="F848">
        <f t="shared" si="58"/>
        <v>2024</v>
      </c>
      <c r="G848" t="s">
        <v>88</v>
      </c>
      <c r="H848" s="98">
        <v>10188</v>
      </c>
      <c r="I848" s="29">
        <v>253.58</v>
      </c>
      <c r="J848" s="12" t="s">
        <v>31</v>
      </c>
      <c r="K848" s="29">
        <f t="shared" si="59"/>
        <v>253.58</v>
      </c>
      <c r="L848">
        <v>1</v>
      </c>
      <c r="M848" s="29">
        <v>0</v>
      </c>
      <c r="N848" t="s">
        <v>32</v>
      </c>
      <c r="O848" t="s">
        <v>33</v>
      </c>
      <c r="P848" t="s">
        <v>34</v>
      </c>
      <c r="Q848" t="s">
        <v>34</v>
      </c>
      <c r="R848" t="s">
        <v>34</v>
      </c>
      <c r="S848" t="s">
        <v>34</v>
      </c>
      <c r="T848" s="117">
        <v>0</v>
      </c>
    </row>
    <row r="849" spans="1:21" ht="14.5" customHeight="1" x14ac:dyDescent="0.35">
      <c r="A849" t="s">
        <v>20</v>
      </c>
      <c r="B849" t="s">
        <v>21</v>
      </c>
      <c r="C849" s="1">
        <v>45434</v>
      </c>
      <c r="D849">
        <f t="shared" si="56"/>
        <v>22</v>
      </c>
      <c r="E849">
        <f t="shared" si="57"/>
        <v>5</v>
      </c>
      <c r="F849">
        <f t="shared" si="58"/>
        <v>2024</v>
      </c>
      <c r="G849" t="s">
        <v>43</v>
      </c>
      <c r="H849" s="98">
        <v>10226</v>
      </c>
      <c r="I849" s="29">
        <v>20192.53</v>
      </c>
      <c r="J849" s="12" t="s">
        <v>31</v>
      </c>
      <c r="K849" s="29">
        <f t="shared" si="59"/>
        <v>20192.53</v>
      </c>
      <c r="L849">
        <v>1</v>
      </c>
      <c r="M849" s="29">
        <v>0</v>
      </c>
      <c r="N849" t="s">
        <v>32</v>
      </c>
      <c r="O849" t="s">
        <v>33</v>
      </c>
      <c r="P849" t="s">
        <v>34</v>
      </c>
      <c r="Q849" t="s">
        <v>34</v>
      </c>
      <c r="R849" t="s">
        <v>34</v>
      </c>
      <c r="S849" t="s">
        <v>34</v>
      </c>
      <c r="T849" s="117">
        <v>0</v>
      </c>
    </row>
    <row r="850" spans="1:21" ht="14.5" customHeight="1" x14ac:dyDescent="0.35">
      <c r="A850" t="s">
        <v>20</v>
      </c>
      <c r="B850" t="s">
        <v>21</v>
      </c>
      <c r="C850" s="1">
        <v>45434</v>
      </c>
      <c r="D850">
        <f t="shared" si="56"/>
        <v>22</v>
      </c>
      <c r="E850">
        <f t="shared" si="57"/>
        <v>5</v>
      </c>
      <c r="F850">
        <f t="shared" si="58"/>
        <v>2024</v>
      </c>
      <c r="G850" t="s">
        <v>43</v>
      </c>
      <c r="H850" s="98">
        <v>10227</v>
      </c>
      <c r="I850" s="29">
        <v>10212.86</v>
      </c>
      <c r="J850" s="12" t="s">
        <v>31</v>
      </c>
      <c r="K850" s="29">
        <f t="shared" si="59"/>
        <v>10212.86</v>
      </c>
      <c r="L850">
        <v>1</v>
      </c>
      <c r="M850" s="29">
        <v>0</v>
      </c>
      <c r="N850" t="s">
        <v>32</v>
      </c>
      <c r="O850" t="s">
        <v>33</v>
      </c>
      <c r="P850" t="s">
        <v>34</v>
      </c>
      <c r="Q850" t="s">
        <v>34</v>
      </c>
      <c r="R850" t="s">
        <v>34</v>
      </c>
      <c r="S850" t="s">
        <v>34</v>
      </c>
      <c r="T850" s="117">
        <v>0</v>
      </c>
    </row>
    <row r="851" spans="1:21" ht="14.5" customHeight="1" x14ac:dyDescent="0.35">
      <c r="A851" t="s">
        <v>20</v>
      </c>
      <c r="B851" t="s">
        <v>25</v>
      </c>
      <c r="C851" s="1">
        <v>45434</v>
      </c>
      <c r="D851">
        <f t="shared" si="56"/>
        <v>22</v>
      </c>
      <c r="E851">
        <f t="shared" si="57"/>
        <v>5</v>
      </c>
      <c r="F851">
        <f t="shared" si="58"/>
        <v>2024</v>
      </c>
      <c r="G851" t="s">
        <v>50</v>
      </c>
      <c r="H851" s="98">
        <v>10576</v>
      </c>
      <c r="I851" s="29">
        <v>159.6</v>
      </c>
      <c r="J851" s="12" t="s">
        <v>31</v>
      </c>
      <c r="K851" s="29">
        <f t="shared" si="59"/>
        <v>159.6</v>
      </c>
      <c r="L851">
        <v>1</v>
      </c>
      <c r="M851" s="29">
        <v>0</v>
      </c>
      <c r="N851" t="s">
        <v>42</v>
      </c>
      <c r="O851" t="s">
        <v>33</v>
      </c>
      <c r="P851" t="s">
        <v>34</v>
      </c>
      <c r="Q851" t="s">
        <v>34</v>
      </c>
      <c r="R851" t="s">
        <v>34</v>
      </c>
      <c r="S851" t="s">
        <v>34</v>
      </c>
      <c r="T851" s="117">
        <v>0</v>
      </c>
    </row>
    <row r="852" spans="1:21" ht="14.5" customHeight="1" x14ac:dyDescent="0.35">
      <c r="A852" t="s">
        <v>20</v>
      </c>
      <c r="B852" t="s">
        <v>25</v>
      </c>
      <c r="C852" s="1">
        <v>45434</v>
      </c>
      <c r="D852">
        <f t="shared" si="56"/>
        <v>22</v>
      </c>
      <c r="E852">
        <f t="shared" si="57"/>
        <v>5</v>
      </c>
      <c r="F852">
        <f t="shared" si="58"/>
        <v>2024</v>
      </c>
      <c r="G852" t="s">
        <v>50</v>
      </c>
      <c r="H852" s="98">
        <v>10579</v>
      </c>
      <c r="I852" s="29">
        <v>2593.5</v>
      </c>
      <c r="J852" s="12" t="s">
        <v>31</v>
      </c>
      <c r="K852" s="29">
        <f t="shared" si="59"/>
        <v>2593.5</v>
      </c>
      <c r="L852">
        <v>1</v>
      </c>
      <c r="M852" s="29">
        <v>0</v>
      </c>
      <c r="N852" t="s">
        <v>42</v>
      </c>
      <c r="O852" t="s">
        <v>33</v>
      </c>
      <c r="P852" t="s">
        <v>34</v>
      </c>
      <c r="Q852" t="s">
        <v>34</v>
      </c>
      <c r="R852" t="s">
        <v>34</v>
      </c>
      <c r="S852" t="s">
        <v>34</v>
      </c>
      <c r="T852" s="117">
        <v>0</v>
      </c>
      <c r="U852" s="209" t="s">
        <v>345</v>
      </c>
    </row>
    <row r="853" spans="1:21" ht="14.5" customHeight="1" x14ac:dyDescent="0.35">
      <c r="A853" t="s">
        <v>20</v>
      </c>
      <c r="B853" t="s">
        <v>25</v>
      </c>
      <c r="C853" s="1">
        <v>45434</v>
      </c>
      <c r="D853">
        <f t="shared" si="56"/>
        <v>22</v>
      </c>
      <c r="E853">
        <f t="shared" si="57"/>
        <v>5</v>
      </c>
      <c r="F853">
        <f t="shared" si="58"/>
        <v>2024</v>
      </c>
      <c r="G853" t="s">
        <v>50</v>
      </c>
      <c r="H853" s="98">
        <v>10578</v>
      </c>
      <c r="I853" s="29">
        <v>299</v>
      </c>
      <c r="J853" s="12" t="s">
        <v>31</v>
      </c>
      <c r="K853" s="29">
        <f t="shared" si="59"/>
        <v>299</v>
      </c>
      <c r="L853">
        <v>1</v>
      </c>
      <c r="M853" s="29">
        <v>0</v>
      </c>
      <c r="N853" t="s">
        <v>42</v>
      </c>
      <c r="O853" t="s">
        <v>33</v>
      </c>
      <c r="P853" t="s">
        <v>34</v>
      </c>
      <c r="Q853" t="s">
        <v>34</v>
      </c>
      <c r="R853" t="s">
        <v>34</v>
      </c>
      <c r="S853" t="s">
        <v>34</v>
      </c>
      <c r="T853" s="117">
        <v>0</v>
      </c>
    </row>
    <row r="854" spans="1:21" ht="14.5" customHeight="1" x14ac:dyDescent="0.35">
      <c r="A854" t="s">
        <v>20</v>
      </c>
      <c r="B854" t="s">
        <v>25</v>
      </c>
      <c r="C854" s="1">
        <v>45434</v>
      </c>
      <c r="D854">
        <f t="shared" si="56"/>
        <v>22</v>
      </c>
      <c r="E854">
        <f t="shared" si="57"/>
        <v>5</v>
      </c>
      <c r="F854">
        <f t="shared" si="58"/>
        <v>2024</v>
      </c>
      <c r="G854" t="s">
        <v>50</v>
      </c>
      <c r="H854" s="98">
        <v>10579</v>
      </c>
      <c r="I854" s="29">
        <v>1330.55</v>
      </c>
      <c r="J854" s="12" t="s">
        <v>31</v>
      </c>
      <c r="K854" s="29">
        <f t="shared" si="59"/>
        <v>1330.55</v>
      </c>
      <c r="L854">
        <v>1</v>
      </c>
      <c r="M854" s="29">
        <v>0</v>
      </c>
      <c r="N854" t="s">
        <v>42</v>
      </c>
      <c r="O854" t="s">
        <v>33</v>
      </c>
      <c r="P854" t="s">
        <v>34</v>
      </c>
      <c r="Q854" t="s">
        <v>34</v>
      </c>
      <c r="R854" t="s">
        <v>34</v>
      </c>
      <c r="S854" t="s">
        <v>34</v>
      </c>
      <c r="T854" s="117">
        <v>0</v>
      </c>
    </row>
    <row r="855" spans="1:21" ht="14.5" customHeight="1" x14ac:dyDescent="0.35">
      <c r="A855" t="s">
        <v>20</v>
      </c>
      <c r="B855" t="s">
        <v>25</v>
      </c>
      <c r="C855" s="1">
        <v>45434</v>
      </c>
      <c r="D855">
        <f t="shared" si="56"/>
        <v>22</v>
      </c>
      <c r="E855">
        <f t="shared" si="57"/>
        <v>5</v>
      </c>
      <c r="F855">
        <f t="shared" si="58"/>
        <v>2024</v>
      </c>
      <c r="G855" t="s">
        <v>50</v>
      </c>
      <c r="H855" s="98">
        <v>10865</v>
      </c>
      <c r="I855" s="29">
        <v>2601.3000000000002</v>
      </c>
      <c r="J855" s="12" t="s">
        <v>31</v>
      </c>
      <c r="K855" s="29">
        <f t="shared" si="59"/>
        <v>2601.3000000000002</v>
      </c>
      <c r="L855">
        <v>1</v>
      </c>
      <c r="M855" s="29">
        <v>0</v>
      </c>
      <c r="N855" t="s">
        <v>42</v>
      </c>
      <c r="O855" t="s">
        <v>33</v>
      </c>
      <c r="P855" t="s">
        <v>34</v>
      </c>
      <c r="Q855" t="s">
        <v>34</v>
      </c>
      <c r="R855" t="s">
        <v>34</v>
      </c>
      <c r="S855" t="s">
        <v>34</v>
      </c>
      <c r="T855" s="117">
        <v>0</v>
      </c>
      <c r="U855" s="209" t="s">
        <v>468</v>
      </c>
    </row>
    <row r="856" spans="1:21" ht="14.5" customHeight="1" x14ac:dyDescent="0.35">
      <c r="A856" t="s">
        <v>20</v>
      </c>
      <c r="B856" t="s">
        <v>25</v>
      </c>
      <c r="C856" s="1">
        <v>45434</v>
      </c>
      <c r="D856">
        <f t="shared" si="56"/>
        <v>22</v>
      </c>
      <c r="E856">
        <f t="shared" si="57"/>
        <v>5</v>
      </c>
      <c r="F856">
        <f t="shared" si="58"/>
        <v>2024</v>
      </c>
      <c r="G856" t="s">
        <v>104</v>
      </c>
      <c r="H856" s="98">
        <v>10581</v>
      </c>
      <c r="I856" s="29">
        <v>60</v>
      </c>
      <c r="J856" s="12" t="s">
        <v>31</v>
      </c>
      <c r="K856" s="29">
        <f t="shared" si="59"/>
        <v>60</v>
      </c>
      <c r="L856">
        <v>1</v>
      </c>
      <c r="M856" s="29">
        <v>0</v>
      </c>
      <c r="N856" t="s">
        <v>42</v>
      </c>
      <c r="O856" t="s">
        <v>33</v>
      </c>
      <c r="P856" t="s">
        <v>34</v>
      </c>
      <c r="Q856" t="s">
        <v>34</v>
      </c>
      <c r="R856" t="s">
        <v>34</v>
      </c>
      <c r="S856" t="s">
        <v>34</v>
      </c>
      <c r="T856" s="117">
        <v>0</v>
      </c>
    </row>
    <row r="857" spans="1:21" ht="14.5" customHeight="1" x14ac:dyDescent="0.35">
      <c r="A857" t="s">
        <v>20</v>
      </c>
      <c r="B857" t="s">
        <v>25</v>
      </c>
      <c r="C857" s="1">
        <v>45434</v>
      </c>
      <c r="D857">
        <f t="shared" si="56"/>
        <v>22</v>
      </c>
      <c r="E857">
        <f t="shared" si="57"/>
        <v>5</v>
      </c>
      <c r="F857">
        <f t="shared" si="58"/>
        <v>2024</v>
      </c>
      <c r="G857" t="s">
        <v>104</v>
      </c>
      <c r="H857" s="98">
        <v>10582</v>
      </c>
      <c r="I857" s="29">
        <v>1098</v>
      </c>
      <c r="J857" s="12" t="s">
        <v>31</v>
      </c>
      <c r="K857" s="29">
        <f t="shared" si="59"/>
        <v>1098</v>
      </c>
      <c r="L857">
        <v>1</v>
      </c>
      <c r="M857" s="29">
        <v>0</v>
      </c>
      <c r="N857" t="s">
        <v>42</v>
      </c>
      <c r="O857" t="s">
        <v>33</v>
      </c>
      <c r="P857" t="s">
        <v>34</v>
      </c>
      <c r="Q857" t="s">
        <v>34</v>
      </c>
      <c r="R857" t="s">
        <v>34</v>
      </c>
      <c r="S857" t="s">
        <v>34</v>
      </c>
      <c r="T857" s="117">
        <v>0</v>
      </c>
    </row>
    <row r="858" spans="1:21" ht="14.5" customHeight="1" x14ac:dyDescent="0.35">
      <c r="A858" t="s">
        <v>20</v>
      </c>
      <c r="B858" t="s">
        <v>21</v>
      </c>
      <c r="C858" s="1">
        <v>45434</v>
      </c>
      <c r="D858">
        <f t="shared" si="56"/>
        <v>22</v>
      </c>
      <c r="E858">
        <f t="shared" si="57"/>
        <v>5</v>
      </c>
      <c r="F858">
        <f t="shared" si="58"/>
        <v>2024</v>
      </c>
      <c r="G858" t="s">
        <v>104</v>
      </c>
      <c r="H858" s="98">
        <v>10583</v>
      </c>
      <c r="I858" s="29">
        <v>60</v>
      </c>
      <c r="J858" s="12" t="s">
        <v>31</v>
      </c>
      <c r="K858" s="29">
        <f t="shared" si="59"/>
        <v>60</v>
      </c>
      <c r="L858">
        <v>1</v>
      </c>
      <c r="M858" s="29">
        <v>0</v>
      </c>
      <c r="N858" t="s">
        <v>42</v>
      </c>
      <c r="O858" t="s">
        <v>33</v>
      </c>
      <c r="P858" t="s">
        <v>34</v>
      </c>
      <c r="Q858" t="s">
        <v>34</v>
      </c>
      <c r="R858" t="s">
        <v>34</v>
      </c>
      <c r="S858" t="s">
        <v>34</v>
      </c>
      <c r="T858" s="117">
        <v>0</v>
      </c>
    </row>
    <row r="859" spans="1:21" ht="14.5" customHeight="1" x14ac:dyDescent="0.35">
      <c r="A859" t="s">
        <v>20</v>
      </c>
      <c r="B859" t="s">
        <v>21</v>
      </c>
      <c r="C859" s="1">
        <v>45434</v>
      </c>
      <c r="D859">
        <f t="shared" si="56"/>
        <v>22</v>
      </c>
      <c r="E859">
        <f t="shared" si="57"/>
        <v>5</v>
      </c>
      <c r="F859">
        <f t="shared" si="58"/>
        <v>2024</v>
      </c>
      <c r="G859" t="s">
        <v>104</v>
      </c>
      <c r="H859" s="98">
        <v>10584</v>
      </c>
      <c r="I859" s="29">
        <v>4239</v>
      </c>
      <c r="J859" s="12" t="s">
        <v>31</v>
      </c>
      <c r="K859" s="29">
        <f t="shared" si="59"/>
        <v>4239</v>
      </c>
      <c r="L859">
        <v>1</v>
      </c>
      <c r="M859" s="29">
        <v>0</v>
      </c>
      <c r="N859" t="s">
        <v>42</v>
      </c>
      <c r="O859" t="s">
        <v>33</v>
      </c>
      <c r="P859" t="s">
        <v>34</v>
      </c>
      <c r="Q859" t="s">
        <v>34</v>
      </c>
      <c r="R859" t="s">
        <v>34</v>
      </c>
      <c r="S859" t="s">
        <v>34</v>
      </c>
      <c r="T859" s="117">
        <v>0</v>
      </c>
    </row>
    <row r="860" spans="1:21" ht="14.5" customHeight="1" x14ac:dyDescent="0.35">
      <c r="A860" t="s">
        <v>20</v>
      </c>
      <c r="B860" t="s">
        <v>23</v>
      </c>
      <c r="C860" s="1">
        <v>45434</v>
      </c>
      <c r="D860">
        <f t="shared" si="56"/>
        <v>22</v>
      </c>
      <c r="E860">
        <f t="shared" si="57"/>
        <v>5</v>
      </c>
      <c r="F860">
        <f t="shared" si="58"/>
        <v>2024</v>
      </c>
      <c r="G860" t="s">
        <v>121</v>
      </c>
      <c r="H860" s="98">
        <v>9704</v>
      </c>
      <c r="I860" s="29">
        <v>3049.59</v>
      </c>
      <c r="J860" s="12" t="s">
        <v>31</v>
      </c>
      <c r="K860" s="29">
        <f t="shared" si="59"/>
        <v>3049.59</v>
      </c>
      <c r="L860">
        <v>1</v>
      </c>
      <c r="M860" s="29">
        <v>0</v>
      </c>
      <c r="N860" t="s">
        <v>32</v>
      </c>
      <c r="O860" t="s">
        <v>33</v>
      </c>
      <c r="P860" t="s">
        <v>34</v>
      </c>
      <c r="Q860" t="s">
        <v>34</v>
      </c>
      <c r="R860" t="s">
        <v>34</v>
      </c>
      <c r="S860" t="s">
        <v>34</v>
      </c>
      <c r="T860" s="117">
        <v>0</v>
      </c>
    </row>
    <row r="861" spans="1:21" ht="14.5" customHeight="1" x14ac:dyDescent="0.35">
      <c r="A861" t="s">
        <v>19</v>
      </c>
      <c r="B861" t="s">
        <v>26</v>
      </c>
      <c r="C861" s="1">
        <v>45435</v>
      </c>
      <c r="D861">
        <f t="shared" si="56"/>
        <v>23</v>
      </c>
      <c r="E861">
        <f t="shared" si="57"/>
        <v>5</v>
      </c>
      <c r="F861">
        <f t="shared" si="58"/>
        <v>2024</v>
      </c>
      <c r="G861" t="s">
        <v>73</v>
      </c>
      <c r="H861" s="98">
        <v>10534</v>
      </c>
      <c r="I861" s="29">
        <v>101500.45</v>
      </c>
      <c r="J861" s="12" t="s">
        <v>51</v>
      </c>
      <c r="K861" s="29">
        <f t="shared" si="59"/>
        <v>110077.238025</v>
      </c>
      <c r="L861">
        <v>1.0845</v>
      </c>
      <c r="M861" s="29">
        <v>0</v>
      </c>
      <c r="N861" t="s">
        <v>32</v>
      </c>
      <c r="O861" t="s">
        <v>33</v>
      </c>
      <c r="P861" t="s">
        <v>34</v>
      </c>
      <c r="Q861" t="s">
        <v>34</v>
      </c>
      <c r="R861" t="s">
        <v>34</v>
      </c>
      <c r="S861" t="s">
        <v>34</v>
      </c>
      <c r="T861" s="117">
        <v>0</v>
      </c>
      <c r="U861" s="209" t="s">
        <v>94</v>
      </c>
    </row>
    <row r="862" spans="1:21" ht="14.5" customHeight="1" x14ac:dyDescent="0.35">
      <c r="A862" t="s">
        <v>19</v>
      </c>
      <c r="B862" t="s">
        <v>26</v>
      </c>
      <c r="C862" s="1">
        <v>45435</v>
      </c>
      <c r="D862">
        <f t="shared" si="56"/>
        <v>23</v>
      </c>
      <c r="E862">
        <f t="shared" si="57"/>
        <v>5</v>
      </c>
      <c r="F862">
        <f t="shared" si="58"/>
        <v>2024</v>
      </c>
      <c r="G862" t="s">
        <v>73</v>
      </c>
      <c r="H862" s="98">
        <v>10511</v>
      </c>
      <c r="I862" s="29">
        <v>25467.69</v>
      </c>
      <c r="J862" s="12" t="s">
        <v>51</v>
      </c>
      <c r="K862" s="29">
        <f t="shared" si="59"/>
        <v>27619.709804999999</v>
      </c>
      <c r="L862">
        <v>1.0845</v>
      </c>
      <c r="M862" s="29">
        <v>0</v>
      </c>
      <c r="N862" t="s">
        <v>32</v>
      </c>
      <c r="O862" t="s">
        <v>33</v>
      </c>
      <c r="P862" t="s">
        <v>34</v>
      </c>
      <c r="Q862" t="s">
        <v>34</v>
      </c>
      <c r="R862" t="s">
        <v>34</v>
      </c>
      <c r="S862" t="s">
        <v>34</v>
      </c>
      <c r="T862" s="117">
        <v>0</v>
      </c>
      <c r="U862" s="209" t="s">
        <v>94</v>
      </c>
    </row>
    <row r="863" spans="1:21" ht="14.5" customHeight="1" x14ac:dyDescent="0.35">
      <c r="A863" t="s">
        <v>19</v>
      </c>
      <c r="B863" t="s">
        <v>27</v>
      </c>
      <c r="C863" s="1">
        <v>45436</v>
      </c>
      <c r="D863">
        <f t="shared" si="56"/>
        <v>24</v>
      </c>
      <c r="E863">
        <f t="shared" si="57"/>
        <v>5</v>
      </c>
      <c r="F863">
        <f t="shared" si="58"/>
        <v>2024</v>
      </c>
      <c r="G863" t="s">
        <v>100</v>
      </c>
      <c r="H863" s="98">
        <v>10283</v>
      </c>
      <c r="I863" s="29">
        <v>92383.32</v>
      </c>
      <c r="J863" s="12" t="s">
        <v>31</v>
      </c>
      <c r="K863" s="29">
        <f t="shared" si="59"/>
        <v>92383.32</v>
      </c>
      <c r="L863">
        <v>1</v>
      </c>
      <c r="M863" s="29">
        <v>0</v>
      </c>
      <c r="N863" t="s">
        <v>32</v>
      </c>
      <c r="O863" t="s">
        <v>33</v>
      </c>
      <c r="P863" t="s">
        <v>34</v>
      </c>
      <c r="Q863" t="s">
        <v>34</v>
      </c>
      <c r="R863" t="s">
        <v>34</v>
      </c>
      <c r="S863" t="s">
        <v>34</v>
      </c>
      <c r="T863" s="117">
        <v>0</v>
      </c>
      <c r="U863" s="209" t="s">
        <v>501</v>
      </c>
    </row>
    <row r="864" spans="1:21" x14ac:dyDescent="0.35">
      <c r="A864" t="s">
        <v>19</v>
      </c>
      <c r="B864" t="s">
        <v>21</v>
      </c>
      <c r="C864" s="1">
        <v>45441</v>
      </c>
      <c r="D864">
        <f t="shared" si="56"/>
        <v>29</v>
      </c>
      <c r="E864">
        <f t="shared" si="57"/>
        <v>5</v>
      </c>
      <c r="F864">
        <f t="shared" si="58"/>
        <v>2024</v>
      </c>
      <c r="G864" t="s">
        <v>92</v>
      </c>
      <c r="H864" s="98">
        <v>10097</v>
      </c>
      <c r="I864" s="29">
        <v>40.08</v>
      </c>
      <c r="J864" s="12" t="s">
        <v>31</v>
      </c>
      <c r="K864" s="29">
        <f t="shared" si="59"/>
        <v>40.08</v>
      </c>
      <c r="L864">
        <v>1</v>
      </c>
      <c r="M864" s="29">
        <v>0</v>
      </c>
      <c r="N864" t="s">
        <v>32</v>
      </c>
      <c r="O864" t="s">
        <v>33</v>
      </c>
      <c r="P864" t="s">
        <v>34</v>
      </c>
      <c r="Q864" t="s">
        <v>34</v>
      </c>
      <c r="R864" t="s">
        <v>34</v>
      </c>
      <c r="S864" t="s">
        <v>34</v>
      </c>
      <c r="T864" s="117">
        <v>0</v>
      </c>
    </row>
    <row r="865" spans="1:20" ht="14.5" customHeight="1" x14ac:dyDescent="0.35">
      <c r="A865" t="s">
        <v>19</v>
      </c>
      <c r="B865" t="s">
        <v>21</v>
      </c>
      <c r="C865" s="1">
        <v>45441</v>
      </c>
      <c r="D865">
        <f t="shared" si="56"/>
        <v>29</v>
      </c>
      <c r="E865">
        <f t="shared" si="57"/>
        <v>5</v>
      </c>
      <c r="F865">
        <f t="shared" si="58"/>
        <v>2024</v>
      </c>
      <c r="G865" t="s">
        <v>92</v>
      </c>
      <c r="H865" s="98">
        <v>10563</v>
      </c>
      <c r="I865" s="29">
        <v>118.6</v>
      </c>
      <c r="J865" s="12" t="s">
        <v>31</v>
      </c>
      <c r="K865" s="29">
        <f t="shared" si="59"/>
        <v>118.6</v>
      </c>
      <c r="L865">
        <v>1</v>
      </c>
      <c r="M865" s="29">
        <v>0</v>
      </c>
      <c r="N865" t="s">
        <v>32</v>
      </c>
      <c r="O865" t="s">
        <v>33</v>
      </c>
      <c r="P865" t="s">
        <v>34</v>
      </c>
      <c r="Q865" t="s">
        <v>34</v>
      </c>
      <c r="R865" t="s">
        <v>34</v>
      </c>
      <c r="S865" t="s">
        <v>34</v>
      </c>
      <c r="T865" s="117">
        <v>0</v>
      </c>
    </row>
    <row r="866" spans="1:20" ht="14.5" customHeight="1" x14ac:dyDescent="0.35">
      <c r="A866" t="s">
        <v>19</v>
      </c>
      <c r="B866" t="s">
        <v>21</v>
      </c>
      <c r="C866" s="1">
        <v>45441</v>
      </c>
      <c r="D866">
        <f t="shared" si="56"/>
        <v>29</v>
      </c>
      <c r="E866">
        <f t="shared" si="57"/>
        <v>5</v>
      </c>
      <c r="F866">
        <f t="shared" si="58"/>
        <v>2024</v>
      </c>
      <c r="G866" t="s">
        <v>92</v>
      </c>
      <c r="H866" s="98">
        <v>10596</v>
      </c>
      <c r="I866" s="29">
        <v>23.88</v>
      </c>
      <c r="J866" s="12" t="s">
        <v>31</v>
      </c>
      <c r="K866" s="29">
        <f t="shared" si="59"/>
        <v>23.88</v>
      </c>
      <c r="L866">
        <v>1</v>
      </c>
      <c r="M866" s="29">
        <v>0</v>
      </c>
      <c r="N866" t="s">
        <v>42</v>
      </c>
      <c r="O866" t="s">
        <v>33</v>
      </c>
      <c r="P866" t="s">
        <v>34</v>
      </c>
      <c r="Q866" t="s">
        <v>34</v>
      </c>
      <c r="R866" t="s">
        <v>34</v>
      </c>
      <c r="S866" t="s">
        <v>34</v>
      </c>
      <c r="T866" s="117">
        <v>0</v>
      </c>
    </row>
    <row r="867" spans="1:20" ht="14.5" customHeight="1" x14ac:dyDescent="0.35">
      <c r="A867" t="s">
        <v>19</v>
      </c>
      <c r="B867" t="s">
        <v>21</v>
      </c>
      <c r="C867" s="1">
        <v>45441</v>
      </c>
      <c r="D867">
        <f t="shared" si="56"/>
        <v>29</v>
      </c>
      <c r="E867">
        <f t="shared" si="57"/>
        <v>5</v>
      </c>
      <c r="F867">
        <f t="shared" si="58"/>
        <v>2024</v>
      </c>
      <c r="G867" t="s">
        <v>92</v>
      </c>
      <c r="H867" s="98">
        <v>10597</v>
      </c>
      <c r="I867" s="29">
        <v>5910.3</v>
      </c>
      <c r="J867" s="12" t="s">
        <v>31</v>
      </c>
      <c r="K867" s="29">
        <f t="shared" si="59"/>
        <v>5910.3</v>
      </c>
      <c r="L867">
        <v>1</v>
      </c>
      <c r="M867" s="29">
        <v>0</v>
      </c>
      <c r="N867" t="s">
        <v>42</v>
      </c>
      <c r="O867" t="s">
        <v>33</v>
      </c>
      <c r="P867" t="s">
        <v>34</v>
      </c>
      <c r="Q867" t="s">
        <v>34</v>
      </c>
      <c r="R867" t="s">
        <v>34</v>
      </c>
      <c r="S867" t="s">
        <v>34</v>
      </c>
      <c r="T867" s="117">
        <v>0</v>
      </c>
    </row>
    <row r="868" spans="1:20" ht="14.5" customHeight="1" x14ac:dyDescent="0.35">
      <c r="A868" t="s">
        <v>19</v>
      </c>
      <c r="B868" t="s">
        <v>21</v>
      </c>
      <c r="C868" s="1">
        <v>45441</v>
      </c>
      <c r="D868">
        <f t="shared" si="56"/>
        <v>29</v>
      </c>
      <c r="E868">
        <f t="shared" si="57"/>
        <v>5</v>
      </c>
      <c r="F868">
        <f t="shared" si="58"/>
        <v>2024</v>
      </c>
      <c r="G868" t="s">
        <v>92</v>
      </c>
      <c r="H868" s="98">
        <v>10604</v>
      </c>
      <c r="I868" s="29">
        <v>9.42</v>
      </c>
      <c r="J868" s="12" t="s">
        <v>31</v>
      </c>
      <c r="K868" s="29">
        <f t="shared" si="59"/>
        <v>9.42</v>
      </c>
      <c r="L868">
        <v>1</v>
      </c>
      <c r="M868" s="29">
        <v>0</v>
      </c>
      <c r="N868" t="s">
        <v>42</v>
      </c>
      <c r="O868" t="s">
        <v>33</v>
      </c>
      <c r="P868" t="s">
        <v>34</v>
      </c>
      <c r="Q868" t="s">
        <v>34</v>
      </c>
      <c r="R868" t="s">
        <v>34</v>
      </c>
      <c r="S868" t="s">
        <v>34</v>
      </c>
      <c r="T868" s="117">
        <v>0</v>
      </c>
    </row>
    <row r="869" spans="1:20" ht="14.5" customHeight="1" x14ac:dyDescent="0.35">
      <c r="A869" t="s">
        <v>19</v>
      </c>
      <c r="B869" t="s">
        <v>21</v>
      </c>
      <c r="C869" s="1">
        <v>45441</v>
      </c>
      <c r="D869">
        <f t="shared" si="56"/>
        <v>29</v>
      </c>
      <c r="E869">
        <f t="shared" si="57"/>
        <v>5</v>
      </c>
      <c r="F869">
        <f t="shared" si="58"/>
        <v>2024</v>
      </c>
      <c r="G869" t="s">
        <v>92</v>
      </c>
      <c r="H869" s="98">
        <v>10605</v>
      </c>
      <c r="I869" s="29">
        <v>1942.88</v>
      </c>
      <c r="J869" s="12" t="s">
        <v>31</v>
      </c>
      <c r="K869" s="29">
        <f t="shared" si="59"/>
        <v>1942.88</v>
      </c>
      <c r="L869">
        <v>1</v>
      </c>
      <c r="M869" s="29">
        <v>0</v>
      </c>
      <c r="N869" t="s">
        <v>42</v>
      </c>
      <c r="O869" t="s">
        <v>33</v>
      </c>
      <c r="P869" t="s">
        <v>34</v>
      </c>
      <c r="Q869" t="s">
        <v>34</v>
      </c>
      <c r="R869" t="s">
        <v>34</v>
      </c>
      <c r="S869" t="s">
        <v>34</v>
      </c>
      <c r="T869" s="117">
        <v>0</v>
      </c>
    </row>
    <row r="870" spans="1:20" ht="14.5" customHeight="1" x14ac:dyDescent="0.35">
      <c r="A870" t="s">
        <v>19</v>
      </c>
      <c r="B870" t="s">
        <v>27</v>
      </c>
      <c r="C870" s="1">
        <v>45441</v>
      </c>
      <c r="D870">
        <f t="shared" si="56"/>
        <v>29</v>
      </c>
      <c r="E870">
        <f t="shared" si="57"/>
        <v>5</v>
      </c>
      <c r="F870">
        <f t="shared" si="58"/>
        <v>2024</v>
      </c>
      <c r="G870" t="s">
        <v>100</v>
      </c>
      <c r="H870" s="98">
        <v>10345</v>
      </c>
      <c r="I870" s="29">
        <v>6232.35</v>
      </c>
      <c r="J870" s="12" t="s">
        <v>31</v>
      </c>
      <c r="K870" s="29">
        <f t="shared" ref="K870:K901" si="60">IF(J870="USD",I870,I870*L870)</f>
        <v>6232.35</v>
      </c>
      <c r="L870">
        <v>1</v>
      </c>
      <c r="M870" s="29">
        <v>0</v>
      </c>
      <c r="N870" t="s">
        <v>32</v>
      </c>
      <c r="O870" t="s">
        <v>33</v>
      </c>
      <c r="P870" t="s">
        <v>34</v>
      </c>
      <c r="Q870" t="s">
        <v>34</v>
      </c>
      <c r="R870" t="s">
        <v>34</v>
      </c>
      <c r="S870" t="s">
        <v>34</v>
      </c>
      <c r="T870" s="117">
        <v>0</v>
      </c>
    </row>
    <row r="871" spans="1:20" ht="14.5" customHeight="1" x14ac:dyDescent="0.35">
      <c r="A871" t="s">
        <v>20</v>
      </c>
      <c r="B871" t="s">
        <v>23</v>
      </c>
      <c r="C871" s="1">
        <v>45441</v>
      </c>
      <c r="D871">
        <f t="shared" si="56"/>
        <v>29</v>
      </c>
      <c r="E871">
        <f t="shared" si="57"/>
        <v>5</v>
      </c>
      <c r="F871">
        <f t="shared" si="58"/>
        <v>2024</v>
      </c>
      <c r="G871" t="s">
        <v>97</v>
      </c>
      <c r="H871" s="98">
        <v>10418</v>
      </c>
      <c r="I871" s="29">
        <v>97187.36</v>
      </c>
      <c r="J871" s="12" t="s">
        <v>31</v>
      </c>
      <c r="K871" s="29">
        <f t="shared" si="60"/>
        <v>97187.36</v>
      </c>
      <c r="L871">
        <v>1</v>
      </c>
      <c r="M871" s="29">
        <v>2995.57</v>
      </c>
      <c r="N871" t="s">
        <v>32</v>
      </c>
      <c r="O871" t="s">
        <v>33</v>
      </c>
      <c r="P871" t="s">
        <v>34</v>
      </c>
      <c r="Q871" t="s">
        <v>34</v>
      </c>
      <c r="R871" t="s">
        <v>34</v>
      </c>
      <c r="S871" t="s">
        <v>34</v>
      </c>
      <c r="T871" s="117">
        <v>0</v>
      </c>
    </row>
    <row r="872" spans="1:20" ht="14.5" customHeight="1" x14ac:dyDescent="0.35">
      <c r="A872" t="s">
        <v>20</v>
      </c>
      <c r="B872" t="s">
        <v>25</v>
      </c>
      <c r="C872" s="1">
        <v>45441</v>
      </c>
      <c r="D872">
        <f t="shared" si="56"/>
        <v>29</v>
      </c>
      <c r="E872">
        <f t="shared" si="57"/>
        <v>5</v>
      </c>
      <c r="F872">
        <f t="shared" si="58"/>
        <v>2024</v>
      </c>
      <c r="G872" t="s">
        <v>97</v>
      </c>
      <c r="H872" s="98">
        <v>10418</v>
      </c>
      <c r="I872" s="29">
        <v>1645.81</v>
      </c>
      <c r="J872" s="12" t="s">
        <v>31</v>
      </c>
      <c r="K872" s="29">
        <f t="shared" si="60"/>
        <v>1645.81</v>
      </c>
      <c r="L872">
        <v>1</v>
      </c>
      <c r="M872" s="29">
        <v>61.13</v>
      </c>
      <c r="N872" t="s">
        <v>32</v>
      </c>
      <c r="O872" t="s">
        <v>33</v>
      </c>
      <c r="P872" t="s">
        <v>34</v>
      </c>
      <c r="Q872" t="s">
        <v>34</v>
      </c>
      <c r="R872" t="s">
        <v>34</v>
      </c>
      <c r="S872" t="s">
        <v>34</v>
      </c>
      <c r="T872" s="117">
        <v>0</v>
      </c>
    </row>
    <row r="873" spans="1:20" ht="14.5" customHeight="1" x14ac:dyDescent="0.35">
      <c r="A873" t="s">
        <v>20</v>
      </c>
      <c r="B873" t="s">
        <v>23</v>
      </c>
      <c r="C873" s="1">
        <v>45441</v>
      </c>
      <c r="D873">
        <f t="shared" si="56"/>
        <v>29</v>
      </c>
      <c r="E873">
        <f t="shared" si="57"/>
        <v>5</v>
      </c>
      <c r="F873">
        <f t="shared" si="58"/>
        <v>2024</v>
      </c>
      <c r="G873" t="s">
        <v>97</v>
      </c>
      <c r="H873" s="98">
        <v>10421</v>
      </c>
      <c r="I873" s="29">
        <v>640</v>
      </c>
      <c r="J873" s="12" t="s">
        <v>31</v>
      </c>
      <c r="K873" s="29">
        <f t="shared" si="60"/>
        <v>640</v>
      </c>
      <c r="L873">
        <v>1</v>
      </c>
      <c r="M873" s="29">
        <v>0</v>
      </c>
      <c r="N873" t="s">
        <v>32</v>
      </c>
      <c r="O873" t="s">
        <v>33</v>
      </c>
      <c r="P873" t="s">
        <v>34</v>
      </c>
      <c r="Q873" t="s">
        <v>34</v>
      </c>
      <c r="R873" t="s">
        <v>34</v>
      </c>
      <c r="S873" t="s">
        <v>34</v>
      </c>
      <c r="T873" s="117">
        <v>0</v>
      </c>
    </row>
    <row r="874" spans="1:20" ht="14.5" customHeight="1" x14ac:dyDescent="0.35">
      <c r="A874" t="s">
        <v>20</v>
      </c>
      <c r="B874" t="s">
        <v>23</v>
      </c>
      <c r="C874" s="1">
        <v>45441</v>
      </c>
      <c r="D874">
        <f t="shared" si="56"/>
        <v>29</v>
      </c>
      <c r="E874">
        <f t="shared" si="57"/>
        <v>5</v>
      </c>
      <c r="F874">
        <f t="shared" si="58"/>
        <v>2024</v>
      </c>
      <c r="G874" t="s">
        <v>97</v>
      </c>
      <c r="H874" s="98">
        <v>10538</v>
      </c>
      <c r="I874" s="29">
        <v>161</v>
      </c>
      <c r="J874" s="12" t="s">
        <v>31</v>
      </c>
      <c r="K874" s="29">
        <f t="shared" si="60"/>
        <v>161</v>
      </c>
      <c r="L874">
        <v>1</v>
      </c>
      <c r="M874" s="29">
        <v>0</v>
      </c>
      <c r="N874" t="s">
        <v>32</v>
      </c>
      <c r="O874" t="s">
        <v>33</v>
      </c>
      <c r="P874" t="s">
        <v>34</v>
      </c>
      <c r="Q874" t="s">
        <v>34</v>
      </c>
      <c r="R874" t="s">
        <v>34</v>
      </c>
      <c r="S874" t="s">
        <v>34</v>
      </c>
      <c r="T874" s="117">
        <v>0</v>
      </c>
    </row>
    <row r="875" spans="1:20" ht="14.5" customHeight="1" x14ac:dyDescent="0.35">
      <c r="A875" t="s">
        <v>20</v>
      </c>
      <c r="B875" t="s">
        <v>21</v>
      </c>
      <c r="C875" s="1">
        <v>45441</v>
      </c>
      <c r="D875">
        <f t="shared" si="56"/>
        <v>29</v>
      </c>
      <c r="E875">
        <f t="shared" si="57"/>
        <v>5</v>
      </c>
      <c r="F875">
        <f t="shared" si="58"/>
        <v>2024</v>
      </c>
      <c r="G875" t="s">
        <v>273</v>
      </c>
      <c r="H875" s="98">
        <v>10574</v>
      </c>
      <c r="I875" s="29">
        <v>18</v>
      </c>
      <c r="J875" s="12" t="s">
        <v>31</v>
      </c>
      <c r="K875" s="29">
        <f t="shared" si="60"/>
        <v>18</v>
      </c>
      <c r="L875">
        <v>1</v>
      </c>
      <c r="M875" s="29">
        <v>0</v>
      </c>
      <c r="N875" t="s">
        <v>42</v>
      </c>
      <c r="O875" t="s">
        <v>33</v>
      </c>
      <c r="P875" t="s">
        <v>34</v>
      </c>
      <c r="Q875" t="s">
        <v>34</v>
      </c>
      <c r="R875" t="s">
        <v>34</v>
      </c>
      <c r="S875" t="s">
        <v>34</v>
      </c>
      <c r="T875" s="117">
        <v>0</v>
      </c>
    </row>
    <row r="876" spans="1:20" ht="14.5" customHeight="1" x14ac:dyDescent="0.35">
      <c r="A876" t="s">
        <v>20</v>
      </c>
      <c r="B876" t="s">
        <v>21</v>
      </c>
      <c r="C876" s="1">
        <v>45441</v>
      </c>
      <c r="D876">
        <f t="shared" si="56"/>
        <v>29</v>
      </c>
      <c r="E876">
        <f t="shared" si="57"/>
        <v>5</v>
      </c>
      <c r="F876">
        <f t="shared" si="58"/>
        <v>2024</v>
      </c>
      <c r="G876" t="s">
        <v>273</v>
      </c>
      <c r="H876" s="98">
        <v>10575</v>
      </c>
      <c r="I876" s="29">
        <v>2274.84</v>
      </c>
      <c r="J876" s="12" t="s">
        <v>31</v>
      </c>
      <c r="K876" s="29">
        <f t="shared" si="60"/>
        <v>2274.84</v>
      </c>
      <c r="L876">
        <v>1</v>
      </c>
      <c r="M876" s="29">
        <v>0</v>
      </c>
      <c r="N876" t="s">
        <v>42</v>
      </c>
      <c r="O876" t="s">
        <v>33</v>
      </c>
      <c r="P876" t="s">
        <v>34</v>
      </c>
      <c r="Q876" t="s">
        <v>34</v>
      </c>
      <c r="R876" t="s">
        <v>34</v>
      </c>
      <c r="S876" t="s">
        <v>34</v>
      </c>
      <c r="T876" s="117">
        <v>0</v>
      </c>
    </row>
    <row r="877" spans="1:20" ht="14.5" customHeight="1" x14ac:dyDescent="0.35">
      <c r="A877" t="s">
        <v>20</v>
      </c>
      <c r="B877" t="s">
        <v>25</v>
      </c>
      <c r="C877" s="1">
        <v>45441</v>
      </c>
      <c r="D877">
        <f t="shared" si="56"/>
        <v>29</v>
      </c>
      <c r="E877">
        <f t="shared" si="57"/>
        <v>5</v>
      </c>
      <c r="F877">
        <f t="shared" si="58"/>
        <v>2024</v>
      </c>
      <c r="G877" t="s">
        <v>81</v>
      </c>
      <c r="H877" s="98">
        <v>10630</v>
      </c>
      <c r="I877" s="29">
        <v>169.55</v>
      </c>
      <c r="J877" s="12" t="s">
        <v>31</v>
      </c>
      <c r="K877" s="29">
        <f t="shared" si="60"/>
        <v>169.55</v>
      </c>
      <c r="L877">
        <v>1</v>
      </c>
      <c r="M877" s="29">
        <v>0</v>
      </c>
      <c r="N877" t="s">
        <v>42</v>
      </c>
      <c r="O877" t="s">
        <v>33</v>
      </c>
      <c r="P877" t="s">
        <v>34</v>
      </c>
      <c r="Q877" t="s">
        <v>34</v>
      </c>
      <c r="R877" t="s">
        <v>34</v>
      </c>
      <c r="S877" t="s">
        <v>34</v>
      </c>
      <c r="T877" s="117">
        <v>0</v>
      </c>
    </row>
    <row r="878" spans="1:20" ht="14.5" customHeight="1" x14ac:dyDescent="0.35">
      <c r="A878" t="s">
        <v>20</v>
      </c>
      <c r="B878" t="s">
        <v>25</v>
      </c>
      <c r="C878" s="1">
        <v>45441</v>
      </c>
      <c r="D878">
        <f t="shared" si="56"/>
        <v>29</v>
      </c>
      <c r="E878">
        <f t="shared" si="57"/>
        <v>5</v>
      </c>
      <c r="F878">
        <f t="shared" si="58"/>
        <v>2024</v>
      </c>
      <c r="G878" t="s">
        <v>81</v>
      </c>
      <c r="H878" s="98">
        <v>10631</v>
      </c>
      <c r="I878" s="29">
        <v>8652.86</v>
      </c>
      <c r="J878" s="12" t="s">
        <v>31</v>
      </c>
      <c r="K878" s="29">
        <f t="shared" si="60"/>
        <v>8652.86</v>
      </c>
      <c r="L878">
        <v>1</v>
      </c>
      <c r="M878" s="29">
        <v>0</v>
      </c>
      <c r="N878" t="s">
        <v>42</v>
      </c>
      <c r="O878" t="s">
        <v>33</v>
      </c>
      <c r="P878" t="s">
        <v>34</v>
      </c>
      <c r="Q878" t="s">
        <v>34</v>
      </c>
      <c r="R878" t="s">
        <v>34</v>
      </c>
      <c r="S878" t="s">
        <v>34</v>
      </c>
      <c r="T878" s="117">
        <v>0</v>
      </c>
    </row>
    <row r="879" spans="1:20" ht="14.5" customHeight="1" x14ac:dyDescent="0.35">
      <c r="A879" t="s">
        <v>20</v>
      </c>
      <c r="B879" t="s">
        <v>25</v>
      </c>
      <c r="C879" s="1">
        <v>45441</v>
      </c>
      <c r="D879">
        <f t="shared" si="56"/>
        <v>29</v>
      </c>
      <c r="E879">
        <f t="shared" si="57"/>
        <v>5</v>
      </c>
      <c r="F879">
        <f t="shared" si="58"/>
        <v>2024</v>
      </c>
      <c r="G879" t="s">
        <v>81</v>
      </c>
      <c r="H879" s="98">
        <v>10632</v>
      </c>
      <c r="I879" s="29">
        <v>2890.5</v>
      </c>
      <c r="J879" s="12" t="s">
        <v>31</v>
      </c>
      <c r="K879" s="29">
        <f t="shared" si="60"/>
        <v>2890.5</v>
      </c>
      <c r="L879">
        <v>1</v>
      </c>
      <c r="M879" s="29">
        <v>0</v>
      </c>
      <c r="N879" t="s">
        <v>42</v>
      </c>
      <c r="O879" t="s">
        <v>33</v>
      </c>
      <c r="P879" t="s">
        <v>34</v>
      </c>
      <c r="Q879" t="s">
        <v>34</v>
      </c>
      <c r="R879" t="s">
        <v>34</v>
      </c>
      <c r="S879" t="s">
        <v>34</v>
      </c>
      <c r="T879" s="117">
        <v>0</v>
      </c>
    </row>
    <row r="880" spans="1:20" ht="14.5" customHeight="1" x14ac:dyDescent="0.35">
      <c r="A880" t="s">
        <v>20</v>
      </c>
      <c r="B880" t="s">
        <v>25</v>
      </c>
      <c r="C880" s="1">
        <v>45441</v>
      </c>
      <c r="D880">
        <f t="shared" si="56"/>
        <v>29</v>
      </c>
      <c r="E880">
        <f t="shared" si="57"/>
        <v>5</v>
      </c>
      <c r="F880">
        <f t="shared" si="58"/>
        <v>2024</v>
      </c>
      <c r="G880" t="s">
        <v>81</v>
      </c>
      <c r="H880" s="98">
        <v>10633</v>
      </c>
      <c r="I880" s="29">
        <v>9303.0499999999993</v>
      </c>
      <c r="J880" s="12" t="s">
        <v>31</v>
      </c>
      <c r="K880" s="29">
        <f t="shared" si="60"/>
        <v>9303.0499999999993</v>
      </c>
      <c r="L880">
        <v>1</v>
      </c>
      <c r="M880" s="29">
        <v>0</v>
      </c>
      <c r="N880" t="s">
        <v>42</v>
      </c>
      <c r="O880" t="s">
        <v>33</v>
      </c>
      <c r="P880" t="s">
        <v>34</v>
      </c>
      <c r="Q880" t="s">
        <v>34</v>
      </c>
      <c r="R880" t="s">
        <v>34</v>
      </c>
      <c r="S880" t="s">
        <v>34</v>
      </c>
      <c r="T880" s="117">
        <v>0</v>
      </c>
    </row>
    <row r="881" spans="1:21" ht="14.5" customHeight="1" x14ac:dyDescent="0.35">
      <c r="A881" t="s">
        <v>20</v>
      </c>
      <c r="B881" t="s">
        <v>25</v>
      </c>
      <c r="C881" s="1">
        <v>45441</v>
      </c>
      <c r="D881">
        <f t="shared" si="56"/>
        <v>29</v>
      </c>
      <c r="E881">
        <f t="shared" si="57"/>
        <v>5</v>
      </c>
      <c r="F881">
        <f t="shared" si="58"/>
        <v>2024</v>
      </c>
      <c r="G881" t="s">
        <v>81</v>
      </c>
      <c r="H881" s="98">
        <v>10634</v>
      </c>
      <c r="I881" s="29">
        <v>5309</v>
      </c>
      <c r="J881" s="12" t="s">
        <v>31</v>
      </c>
      <c r="K881" s="29">
        <f t="shared" si="60"/>
        <v>5309</v>
      </c>
      <c r="L881">
        <v>1</v>
      </c>
      <c r="M881" s="29">
        <v>0</v>
      </c>
      <c r="N881" t="s">
        <v>42</v>
      </c>
      <c r="O881" t="s">
        <v>33</v>
      </c>
      <c r="P881" t="s">
        <v>34</v>
      </c>
      <c r="Q881" t="s">
        <v>34</v>
      </c>
      <c r="R881" t="s">
        <v>34</v>
      </c>
      <c r="S881" t="s">
        <v>34</v>
      </c>
      <c r="T881" s="117">
        <v>0</v>
      </c>
    </row>
    <row r="882" spans="1:21" ht="14.5" customHeight="1" x14ac:dyDescent="0.35">
      <c r="A882" t="s">
        <v>20</v>
      </c>
      <c r="B882" t="s">
        <v>25</v>
      </c>
      <c r="C882" s="1">
        <v>45441</v>
      </c>
      <c r="D882">
        <f t="shared" si="56"/>
        <v>29</v>
      </c>
      <c r="E882">
        <f t="shared" si="57"/>
        <v>5</v>
      </c>
      <c r="F882">
        <f t="shared" si="58"/>
        <v>2024</v>
      </c>
      <c r="G882" t="s">
        <v>274</v>
      </c>
      <c r="H882" s="98">
        <v>10551</v>
      </c>
      <c r="I882" s="29">
        <v>126</v>
      </c>
      <c r="J882" s="12" t="s">
        <v>31</v>
      </c>
      <c r="K882" s="29">
        <f t="shared" si="60"/>
        <v>126</v>
      </c>
      <c r="L882">
        <v>1</v>
      </c>
      <c r="M882" s="29">
        <v>0</v>
      </c>
      <c r="N882" t="s">
        <v>42</v>
      </c>
      <c r="O882" t="s">
        <v>33</v>
      </c>
      <c r="P882" t="s">
        <v>34</v>
      </c>
      <c r="Q882" t="s">
        <v>34</v>
      </c>
      <c r="R882" t="s">
        <v>34</v>
      </c>
      <c r="S882" t="s">
        <v>34</v>
      </c>
      <c r="T882" s="117">
        <v>0</v>
      </c>
    </row>
    <row r="883" spans="1:21" ht="14.5" customHeight="1" x14ac:dyDescent="0.35">
      <c r="A883" t="s">
        <v>20</v>
      </c>
      <c r="B883" t="s">
        <v>25</v>
      </c>
      <c r="C883" s="1">
        <v>45441</v>
      </c>
      <c r="D883">
        <f t="shared" si="56"/>
        <v>29</v>
      </c>
      <c r="E883">
        <f t="shared" si="57"/>
        <v>5</v>
      </c>
      <c r="F883">
        <f t="shared" si="58"/>
        <v>2024</v>
      </c>
      <c r="G883" t="s">
        <v>274</v>
      </c>
      <c r="H883" s="98">
        <v>10551</v>
      </c>
      <c r="I883" s="29">
        <v>143</v>
      </c>
      <c r="J883" s="12" t="s">
        <v>31</v>
      </c>
      <c r="K883" s="29">
        <f t="shared" si="60"/>
        <v>143</v>
      </c>
      <c r="L883">
        <v>1</v>
      </c>
      <c r="M883" s="29">
        <v>0</v>
      </c>
      <c r="N883" t="s">
        <v>42</v>
      </c>
      <c r="O883" t="s">
        <v>33</v>
      </c>
      <c r="P883" t="s">
        <v>34</v>
      </c>
      <c r="Q883" t="s">
        <v>34</v>
      </c>
      <c r="R883" t="s">
        <v>34</v>
      </c>
      <c r="S883" t="s">
        <v>34</v>
      </c>
      <c r="T883" s="117">
        <v>0</v>
      </c>
      <c r="U883" s="209" t="s">
        <v>456</v>
      </c>
    </row>
    <row r="884" spans="1:21" ht="14.5" customHeight="1" x14ac:dyDescent="0.35">
      <c r="A884" t="s">
        <v>20</v>
      </c>
      <c r="B884" t="s">
        <v>25</v>
      </c>
      <c r="C884" s="1">
        <v>45441</v>
      </c>
      <c r="D884">
        <f t="shared" si="56"/>
        <v>29</v>
      </c>
      <c r="E884">
        <f t="shared" si="57"/>
        <v>5</v>
      </c>
      <c r="F884">
        <f t="shared" si="58"/>
        <v>2024</v>
      </c>
      <c r="G884" t="s">
        <v>274</v>
      </c>
      <c r="H884" s="98">
        <v>10553</v>
      </c>
      <c r="I884" s="29">
        <v>3033.6</v>
      </c>
      <c r="J884" s="12" t="s">
        <v>31</v>
      </c>
      <c r="K884" s="29">
        <f t="shared" si="60"/>
        <v>3033.6</v>
      </c>
      <c r="L884">
        <v>1</v>
      </c>
      <c r="M884" s="29">
        <v>0</v>
      </c>
      <c r="N884" t="s">
        <v>42</v>
      </c>
      <c r="O884" t="s">
        <v>33</v>
      </c>
      <c r="P884" t="s">
        <v>34</v>
      </c>
      <c r="Q884" t="s">
        <v>34</v>
      </c>
      <c r="R884" t="s">
        <v>34</v>
      </c>
      <c r="S884" t="s">
        <v>34</v>
      </c>
      <c r="T884" s="117">
        <v>0</v>
      </c>
    </row>
    <row r="885" spans="1:21" ht="14.5" customHeight="1" x14ac:dyDescent="0.35">
      <c r="A885" t="s">
        <v>20</v>
      </c>
      <c r="B885" t="s">
        <v>25</v>
      </c>
      <c r="C885" s="1">
        <v>45441</v>
      </c>
      <c r="D885">
        <f t="shared" si="56"/>
        <v>29</v>
      </c>
      <c r="E885">
        <f t="shared" si="57"/>
        <v>5</v>
      </c>
      <c r="F885">
        <f t="shared" si="58"/>
        <v>2024</v>
      </c>
      <c r="G885" t="s">
        <v>274</v>
      </c>
      <c r="H885" s="98">
        <v>10553</v>
      </c>
      <c r="I885" s="29">
        <v>4284</v>
      </c>
      <c r="J885" s="12" t="s">
        <v>31</v>
      </c>
      <c r="K885" s="29">
        <f t="shared" si="60"/>
        <v>4284</v>
      </c>
      <c r="L885">
        <v>1</v>
      </c>
      <c r="M885" s="29">
        <v>0</v>
      </c>
      <c r="N885" t="s">
        <v>42</v>
      </c>
      <c r="O885" t="s">
        <v>33</v>
      </c>
      <c r="P885" t="s">
        <v>34</v>
      </c>
      <c r="Q885" t="s">
        <v>34</v>
      </c>
      <c r="R885" t="s">
        <v>34</v>
      </c>
      <c r="S885" t="s">
        <v>34</v>
      </c>
      <c r="T885" s="117">
        <v>0</v>
      </c>
      <c r="U885" s="209" t="s">
        <v>412</v>
      </c>
    </row>
    <row r="886" spans="1:21" ht="14.5" customHeight="1" x14ac:dyDescent="0.35">
      <c r="A886" t="s">
        <v>20</v>
      </c>
      <c r="B886" t="s">
        <v>24</v>
      </c>
      <c r="C886" s="1">
        <v>45441</v>
      </c>
      <c r="D886">
        <f t="shared" si="56"/>
        <v>29</v>
      </c>
      <c r="E886">
        <f t="shared" si="57"/>
        <v>5</v>
      </c>
      <c r="F886">
        <f t="shared" si="58"/>
        <v>2024</v>
      </c>
      <c r="G886" t="s">
        <v>50</v>
      </c>
      <c r="H886" s="98">
        <v>10080</v>
      </c>
      <c r="I886" s="29">
        <v>35640</v>
      </c>
      <c r="J886" s="12" t="s">
        <v>31</v>
      </c>
      <c r="K886" s="29">
        <f t="shared" si="60"/>
        <v>35640</v>
      </c>
      <c r="L886">
        <v>1</v>
      </c>
      <c r="M886" s="29">
        <v>0</v>
      </c>
      <c r="N886" t="s">
        <v>32</v>
      </c>
      <c r="O886" t="s">
        <v>33</v>
      </c>
      <c r="P886" t="s">
        <v>34</v>
      </c>
      <c r="Q886" t="s">
        <v>34</v>
      </c>
      <c r="R886" t="s">
        <v>34</v>
      </c>
      <c r="S886" t="s">
        <v>34</v>
      </c>
      <c r="T886" s="117">
        <v>0</v>
      </c>
    </row>
    <row r="887" spans="1:21" ht="14.5" customHeight="1" x14ac:dyDescent="0.35">
      <c r="A887" t="s">
        <v>20</v>
      </c>
      <c r="B887" t="s">
        <v>23</v>
      </c>
      <c r="C887" s="1">
        <v>45441</v>
      </c>
      <c r="D887">
        <f t="shared" si="56"/>
        <v>29</v>
      </c>
      <c r="E887">
        <f t="shared" si="57"/>
        <v>5</v>
      </c>
      <c r="F887">
        <f t="shared" si="58"/>
        <v>2024</v>
      </c>
      <c r="G887" t="s">
        <v>50</v>
      </c>
      <c r="H887" s="98">
        <v>10080</v>
      </c>
      <c r="I887" s="29">
        <v>9450</v>
      </c>
      <c r="J887" s="12" t="s">
        <v>31</v>
      </c>
      <c r="K887" s="29">
        <f t="shared" si="60"/>
        <v>9450</v>
      </c>
      <c r="L887">
        <v>1</v>
      </c>
      <c r="M887" s="29">
        <v>0</v>
      </c>
      <c r="N887" t="s">
        <v>32</v>
      </c>
      <c r="O887" t="s">
        <v>33</v>
      </c>
      <c r="P887" t="s">
        <v>34</v>
      </c>
      <c r="Q887" t="s">
        <v>34</v>
      </c>
      <c r="R887" t="s">
        <v>34</v>
      </c>
      <c r="S887" t="s">
        <v>34</v>
      </c>
      <c r="T887" s="117">
        <v>0</v>
      </c>
    </row>
    <row r="888" spans="1:21" ht="14.5" customHeight="1" x14ac:dyDescent="0.35">
      <c r="A888" t="s">
        <v>20</v>
      </c>
      <c r="B888" t="s">
        <v>23</v>
      </c>
      <c r="C888" s="1">
        <v>45441</v>
      </c>
      <c r="D888">
        <f t="shared" si="56"/>
        <v>29</v>
      </c>
      <c r="E888">
        <f t="shared" si="57"/>
        <v>5</v>
      </c>
      <c r="F888">
        <f t="shared" si="58"/>
        <v>2024</v>
      </c>
      <c r="G888" t="s">
        <v>82</v>
      </c>
      <c r="H888" s="98">
        <v>10171</v>
      </c>
      <c r="I888" s="29">
        <v>100</v>
      </c>
      <c r="J888" s="12" t="s">
        <v>31</v>
      </c>
      <c r="K888" s="29">
        <f t="shared" si="60"/>
        <v>100</v>
      </c>
      <c r="L888">
        <v>1</v>
      </c>
      <c r="M888" s="29">
        <v>0</v>
      </c>
      <c r="N888" t="s">
        <v>32</v>
      </c>
      <c r="O888" t="s">
        <v>33</v>
      </c>
      <c r="P888" t="s">
        <v>34</v>
      </c>
      <c r="Q888" t="s">
        <v>34</v>
      </c>
      <c r="R888" t="s">
        <v>34</v>
      </c>
      <c r="S888" t="s">
        <v>34</v>
      </c>
      <c r="T888" s="117">
        <v>0</v>
      </c>
    </row>
    <row r="889" spans="1:21" ht="14.5" customHeight="1" x14ac:dyDescent="0.35">
      <c r="A889" t="s">
        <v>20</v>
      </c>
      <c r="B889" t="s">
        <v>23</v>
      </c>
      <c r="C889" s="1">
        <v>45441</v>
      </c>
      <c r="D889">
        <f t="shared" si="56"/>
        <v>29</v>
      </c>
      <c r="E889">
        <f t="shared" si="57"/>
        <v>5</v>
      </c>
      <c r="F889">
        <f t="shared" si="58"/>
        <v>2024</v>
      </c>
      <c r="G889" t="s">
        <v>121</v>
      </c>
      <c r="H889" s="98">
        <v>10014</v>
      </c>
      <c r="I889" s="29">
        <v>7681.39</v>
      </c>
      <c r="J889" s="12" t="s">
        <v>31</v>
      </c>
      <c r="K889" s="29">
        <f t="shared" si="60"/>
        <v>7681.39</v>
      </c>
      <c r="L889">
        <v>1</v>
      </c>
      <c r="M889" s="29">
        <v>0</v>
      </c>
      <c r="N889" t="s">
        <v>32</v>
      </c>
      <c r="O889" t="s">
        <v>33</v>
      </c>
      <c r="P889" t="s">
        <v>34</v>
      </c>
      <c r="Q889" t="s">
        <v>34</v>
      </c>
      <c r="R889" t="s">
        <v>34</v>
      </c>
      <c r="S889" t="s">
        <v>34</v>
      </c>
      <c r="T889" s="117">
        <v>0</v>
      </c>
    </row>
    <row r="890" spans="1:21" ht="14.5" customHeight="1" x14ac:dyDescent="0.35">
      <c r="A890" t="s">
        <v>20</v>
      </c>
      <c r="B890" t="s">
        <v>24</v>
      </c>
      <c r="C890" s="1">
        <v>45441</v>
      </c>
      <c r="D890">
        <f t="shared" si="56"/>
        <v>29</v>
      </c>
      <c r="E890">
        <f t="shared" si="57"/>
        <v>5</v>
      </c>
      <c r="F890">
        <f t="shared" si="58"/>
        <v>2024</v>
      </c>
      <c r="G890" t="s">
        <v>99</v>
      </c>
      <c r="H890" s="98">
        <v>9796</v>
      </c>
      <c r="I890" s="29">
        <v>12594.7</v>
      </c>
      <c r="J890" s="12" t="s">
        <v>31</v>
      </c>
      <c r="K890" s="29">
        <f t="shared" si="60"/>
        <v>12594.7</v>
      </c>
      <c r="L890">
        <v>1</v>
      </c>
      <c r="M890" s="29">
        <v>0</v>
      </c>
      <c r="N890" t="s">
        <v>32</v>
      </c>
      <c r="O890" t="s">
        <v>33</v>
      </c>
      <c r="P890" t="s">
        <v>34</v>
      </c>
      <c r="Q890" t="s">
        <v>34</v>
      </c>
      <c r="R890" t="s">
        <v>34</v>
      </c>
      <c r="S890" t="s">
        <v>34</v>
      </c>
      <c r="T890" s="117">
        <v>0</v>
      </c>
    </row>
    <row r="891" spans="1:21" ht="14.5" customHeight="1" x14ac:dyDescent="0.35">
      <c r="A891" t="s">
        <v>20</v>
      </c>
      <c r="B891" t="s">
        <v>21</v>
      </c>
      <c r="C891" s="1">
        <v>45441</v>
      </c>
      <c r="D891">
        <f t="shared" si="56"/>
        <v>29</v>
      </c>
      <c r="E891">
        <f t="shared" si="57"/>
        <v>5</v>
      </c>
      <c r="F891">
        <f t="shared" si="58"/>
        <v>2024</v>
      </c>
      <c r="G891" t="s">
        <v>46</v>
      </c>
      <c r="H891" s="98">
        <v>10071</v>
      </c>
      <c r="I891" s="29">
        <v>2332.92</v>
      </c>
      <c r="J891" s="12" t="s">
        <v>31</v>
      </c>
      <c r="K891" s="29">
        <f t="shared" si="60"/>
        <v>2332.92</v>
      </c>
      <c r="L891">
        <v>1</v>
      </c>
      <c r="M891" s="29">
        <v>0</v>
      </c>
      <c r="N891" t="s">
        <v>32</v>
      </c>
      <c r="O891" t="s">
        <v>33</v>
      </c>
      <c r="P891" t="s">
        <v>34</v>
      </c>
      <c r="Q891" t="s">
        <v>34</v>
      </c>
      <c r="R891" t="s">
        <v>34</v>
      </c>
      <c r="S891" t="s">
        <v>34</v>
      </c>
      <c r="T891" s="117">
        <v>0</v>
      </c>
    </row>
    <row r="892" spans="1:21" ht="14.5" customHeight="1" x14ac:dyDescent="0.35">
      <c r="A892" t="s">
        <v>20</v>
      </c>
      <c r="B892" t="s">
        <v>24</v>
      </c>
      <c r="C892" s="1">
        <v>45441</v>
      </c>
      <c r="D892">
        <f t="shared" si="56"/>
        <v>29</v>
      </c>
      <c r="E892">
        <f t="shared" si="57"/>
        <v>5</v>
      </c>
      <c r="F892">
        <f t="shared" si="58"/>
        <v>2024</v>
      </c>
      <c r="G892" t="s">
        <v>46</v>
      </c>
      <c r="H892" s="98">
        <v>10639</v>
      </c>
      <c r="I892" s="29">
        <v>352.8</v>
      </c>
      <c r="J892" s="12" t="s">
        <v>31</v>
      </c>
      <c r="K892" s="29">
        <f t="shared" si="60"/>
        <v>352.8</v>
      </c>
      <c r="L892">
        <v>1</v>
      </c>
      <c r="M892" s="29">
        <v>0</v>
      </c>
      <c r="N892" t="s">
        <v>42</v>
      </c>
      <c r="O892" t="s">
        <v>33</v>
      </c>
      <c r="P892" t="s">
        <v>34</v>
      </c>
      <c r="Q892" t="s">
        <v>34</v>
      </c>
      <c r="R892" t="s">
        <v>34</v>
      </c>
      <c r="S892" t="s">
        <v>34</v>
      </c>
      <c r="T892" s="117">
        <v>0</v>
      </c>
    </row>
    <row r="893" spans="1:21" ht="14.5" customHeight="1" x14ac:dyDescent="0.35">
      <c r="A893" t="s">
        <v>20</v>
      </c>
      <c r="B893" t="s">
        <v>24</v>
      </c>
      <c r="C893" s="1">
        <v>45441</v>
      </c>
      <c r="D893">
        <f t="shared" si="56"/>
        <v>29</v>
      </c>
      <c r="E893">
        <f t="shared" si="57"/>
        <v>5</v>
      </c>
      <c r="F893">
        <f t="shared" si="58"/>
        <v>2024</v>
      </c>
      <c r="G893" t="s">
        <v>46</v>
      </c>
      <c r="H893" s="98">
        <v>10640</v>
      </c>
      <c r="I893" s="29">
        <v>4018.38</v>
      </c>
      <c r="J893" s="12" t="s">
        <v>31</v>
      </c>
      <c r="K893" s="29">
        <f t="shared" si="60"/>
        <v>4018.38</v>
      </c>
      <c r="L893">
        <v>1</v>
      </c>
      <c r="M893" s="29">
        <v>0</v>
      </c>
      <c r="N893" t="s">
        <v>42</v>
      </c>
      <c r="O893" t="s">
        <v>33</v>
      </c>
      <c r="P893" t="s">
        <v>34</v>
      </c>
      <c r="Q893" t="s">
        <v>34</v>
      </c>
      <c r="R893" t="s">
        <v>34</v>
      </c>
      <c r="S893" t="s">
        <v>34</v>
      </c>
      <c r="T893" s="117">
        <v>0</v>
      </c>
    </row>
    <row r="894" spans="1:21" ht="14.5" customHeight="1" x14ac:dyDescent="0.35">
      <c r="A894" t="s">
        <v>20</v>
      </c>
      <c r="B894" t="s">
        <v>23</v>
      </c>
      <c r="C894" s="1">
        <v>45441</v>
      </c>
      <c r="D894">
        <f t="shared" si="56"/>
        <v>29</v>
      </c>
      <c r="E894">
        <f t="shared" si="57"/>
        <v>5</v>
      </c>
      <c r="F894">
        <f t="shared" si="58"/>
        <v>2024</v>
      </c>
      <c r="G894" t="s">
        <v>46</v>
      </c>
      <c r="H894" s="98">
        <v>10637</v>
      </c>
      <c r="I894" s="29">
        <v>24</v>
      </c>
      <c r="J894" s="12" t="s">
        <v>31</v>
      </c>
      <c r="K894" s="29">
        <f t="shared" si="60"/>
        <v>24</v>
      </c>
      <c r="L894">
        <v>1</v>
      </c>
      <c r="M894" s="29">
        <v>0</v>
      </c>
      <c r="N894" t="s">
        <v>42</v>
      </c>
      <c r="O894" t="s">
        <v>33</v>
      </c>
      <c r="P894" t="s">
        <v>34</v>
      </c>
      <c r="Q894" t="s">
        <v>34</v>
      </c>
      <c r="R894" t="s">
        <v>34</v>
      </c>
      <c r="S894" t="s">
        <v>34</v>
      </c>
      <c r="T894" s="117">
        <v>0</v>
      </c>
    </row>
    <row r="895" spans="1:21" ht="14.5" customHeight="1" x14ac:dyDescent="0.35">
      <c r="A895" t="s">
        <v>20</v>
      </c>
      <c r="B895" t="s">
        <v>23</v>
      </c>
      <c r="C895" s="1">
        <v>45441</v>
      </c>
      <c r="D895">
        <f t="shared" si="56"/>
        <v>29</v>
      </c>
      <c r="E895">
        <f t="shared" si="57"/>
        <v>5</v>
      </c>
      <c r="F895">
        <f t="shared" si="58"/>
        <v>2024</v>
      </c>
      <c r="G895" t="s">
        <v>46</v>
      </c>
      <c r="H895" s="98">
        <v>10640</v>
      </c>
      <c r="I895" s="29">
        <v>624</v>
      </c>
      <c r="J895" s="12" t="s">
        <v>31</v>
      </c>
      <c r="K895" s="29">
        <f t="shared" si="60"/>
        <v>624</v>
      </c>
      <c r="L895">
        <v>1</v>
      </c>
      <c r="M895" s="29">
        <v>0</v>
      </c>
      <c r="N895" t="s">
        <v>42</v>
      </c>
      <c r="O895" t="s">
        <v>33</v>
      </c>
      <c r="P895" t="s">
        <v>34</v>
      </c>
      <c r="Q895" t="s">
        <v>34</v>
      </c>
      <c r="R895" t="s">
        <v>34</v>
      </c>
      <c r="S895" t="s">
        <v>34</v>
      </c>
      <c r="T895" s="117">
        <v>0</v>
      </c>
      <c r="U895" s="209" t="s">
        <v>432</v>
      </c>
    </row>
    <row r="896" spans="1:21" ht="14.5" customHeight="1" x14ac:dyDescent="0.35">
      <c r="A896" t="s">
        <v>19</v>
      </c>
      <c r="B896" t="s">
        <v>19</v>
      </c>
      <c r="C896" s="1">
        <v>45441</v>
      </c>
      <c r="D896">
        <f t="shared" si="56"/>
        <v>29</v>
      </c>
      <c r="E896">
        <f t="shared" si="57"/>
        <v>5</v>
      </c>
      <c r="F896">
        <f t="shared" si="58"/>
        <v>2024</v>
      </c>
      <c r="G896" t="s">
        <v>90</v>
      </c>
      <c r="H896" s="98" t="s">
        <v>277</v>
      </c>
      <c r="I896" s="29">
        <v>37812.04</v>
      </c>
      <c r="J896" s="12" t="s">
        <v>31</v>
      </c>
      <c r="K896" s="29">
        <f t="shared" si="60"/>
        <v>37812.04</v>
      </c>
      <c r="L896">
        <v>1</v>
      </c>
      <c r="M896" s="29">
        <v>0</v>
      </c>
      <c r="N896" t="s">
        <v>32</v>
      </c>
      <c r="O896" t="s">
        <v>33</v>
      </c>
      <c r="P896" t="s">
        <v>34</v>
      </c>
      <c r="Q896" t="s">
        <v>34</v>
      </c>
      <c r="R896" t="s">
        <v>34</v>
      </c>
      <c r="S896" t="s">
        <v>34</v>
      </c>
      <c r="T896" s="117">
        <v>0</v>
      </c>
    </row>
    <row r="897" spans="1:21" ht="14.5" customHeight="1" x14ac:dyDescent="0.35">
      <c r="A897" t="s">
        <v>19</v>
      </c>
      <c r="B897" t="s">
        <v>19</v>
      </c>
      <c r="C897" s="1">
        <v>45441</v>
      </c>
      <c r="D897">
        <f t="shared" si="56"/>
        <v>29</v>
      </c>
      <c r="E897">
        <f t="shared" si="57"/>
        <v>5</v>
      </c>
      <c r="F897">
        <f t="shared" si="58"/>
        <v>2024</v>
      </c>
      <c r="G897" t="s">
        <v>106</v>
      </c>
      <c r="H897" s="98" t="s">
        <v>278</v>
      </c>
      <c r="I897" s="29">
        <v>95249.8</v>
      </c>
      <c r="J897" s="12" t="s">
        <v>31</v>
      </c>
      <c r="K897" s="29">
        <f t="shared" si="60"/>
        <v>95249.8</v>
      </c>
      <c r="L897">
        <v>1</v>
      </c>
      <c r="M897" s="29">
        <v>0</v>
      </c>
      <c r="N897" t="s">
        <v>32</v>
      </c>
      <c r="O897" t="s">
        <v>33</v>
      </c>
      <c r="P897" t="s">
        <v>34</v>
      </c>
      <c r="Q897" t="s">
        <v>34</v>
      </c>
      <c r="R897" t="s">
        <v>34</v>
      </c>
      <c r="S897" t="s">
        <v>34</v>
      </c>
      <c r="T897" s="117">
        <v>0</v>
      </c>
    </row>
    <row r="898" spans="1:21" ht="14.5" customHeight="1" x14ac:dyDescent="0.35">
      <c r="A898" t="s">
        <v>19</v>
      </c>
      <c r="B898" t="s">
        <v>19</v>
      </c>
      <c r="C898" s="1">
        <v>45441</v>
      </c>
      <c r="D898">
        <f t="shared" ref="D898:D961" si="61">DAY(C898)</f>
        <v>29</v>
      </c>
      <c r="E898">
        <f t="shared" ref="E898:E961" si="62">MONTH(C898)</f>
        <v>5</v>
      </c>
      <c r="F898">
        <f t="shared" ref="F898:F961" si="63">YEAR(C898)</f>
        <v>2024</v>
      </c>
      <c r="G898" t="s">
        <v>106</v>
      </c>
      <c r="H898" s="98" t="s">
        <v>260</v>
      </c>
      <c r="I898" s="29">
        <v>47350.65</v>
      </c>
      <c r="J898" s="12" t="s">
        <v>31</v>
      </c>
      <c r="K898" s="29">
        <f t="shared" si="60"/>
        <v>47350.65</v>
      </c>
      <c r="L898">
        <v>1</v>
      </c>
      <c r="M898" s="29">
        <v>0</v>
      </c>
      <c r="N898" t="s">
        <v>32</v>
      </c>
      <c r="O898" t="s">
        <v>33</v>
      </c>
      <c r="P898" t="s">
        <v>34</v>
      </c>
      <c r="Q898" t="s">
        <v>34</v>
      </c>
      <c r="R898" t="s">
        <v>34</v>
      </c>
      <c r="S898" t="s">
        <v>34</v>
      </c>
      <c r="T898" s="117">
        <v>0</v>
      </c>
    </row>
    <row r="899" spans="1:21" ht="14.5" customHeight="1" x14ac:dyDescent="0.35">
      <c r="A899" t="s">
        <v>19</v>
      </c>
      <c r="B899" t="s">
        <v>19</v>
      </c>
      <c r="C899" s="1">
        <v>45441</v>
      </c>
      <c r="D899">
        <f t="shared" si="61"/>
        <v>29</v>
      </c>
      <c r="E899">
        <f t="shared" si="62"/>
        <v>5</v>
      </c>
      <c r="F899">
        <f t="shared" si="63"/>
        <v>2024</v>
      </c>
      <c r="G899" t="s">
        <v>102</v>
      </c>
      <c r="H899" s="98" t="s">
        <v>269</v>
      </c>
      <c r="I899" s="90">
        <v>8000</v>
      </c>
      <c r="J899" s="12" t="s">
        <v>31</v>
      </c>
      <c r="K899" s="29">
        <f t="shared" si="60"/>
        <v>8000</v>
      </c>
      <c r="L899">
        <v>1</v>
      </c>
      <c r="M899" s="29">
        <v>0</v>
      </c>
      <c r="N899" t="s">
        <v>42</v>
      </c>
      <c r="O899" t="s">
        <v>33</v>
      </c>
      <c r="P899" t="s">
        <v>34</v>
      </c>
      <c r="Q899" t="s">
        <v>34</v>
      </c>
      <c r="R899" t="s">
        <v>34</v>
      </c>
      <c r="S899" t="s">
        <v>34</v>
      </c>
      <c r="T899" s="117">
        <v>0</v>
      </c>
    </row>
    <row r="900" spans="1:21" ht="14.5" customHeight="1" x14ac:dyDescent="0.35">
      <c r="A900" t="s">
        <v>19</v>
      </c>
      <c r="B900" t="s">
        <v>19</v>
      </c>
      <c r="C900" s="1">
        <v>45441</v>
      </c>
      <c r="D900">
        <f t="shared" si="61"/>
        <v>29</v>
      </c>
      <c r="E900">
        <f t="shared" si="62"/>
        <v>5</v>
      </c>
      <c r="F900">
        <f t="shared" si="63"/>
        <v>2024</v>
      </c>
      <c r="G900" t="s">
        <v>228</v>
      </c>
      <c r="H900" s="98" t="s">
        <v>279</v>
      </c>
      <c r="I900" s="29">
        <v>77250.149999999994</v>
      </c>
      <c r="J900" s="12" t="s">
        <v>31</v>
      </c>
      <c r="K900" s="29">
        <f t="shared" si="60"/>
        <v>77250.149999999994</v>
      </c>
      <c r="L900">
        <v>1</v>
      </c>
      <c r="M900" s="29">
        <v>0</v>
      </c>
      <c r="N900" t="s">
        <v>32</v>
      </c>
      <c r="O900" t="s">
        <v>33</v>
      </c>
      <c r="P900" t="s">
        <v>34</v>
      </c>
      <c r="Q900" t="s">
        <v>34</v>
      </c>
      <c r="R900" t="s">
        <v>34</v>
      </c>
      <c r="S900" t="s">
        <v>34</v>
      </c>
      <c r="T900" s="117">
        <v>0</v>
      </c>
    </row>
    <row r="901" spans="1:21" ht="14.5" customHeight="1" x14ac:dyDescent="0.35">
      <c r="A901" t="s">
        <v>19</v>
      </c>
      <c r="B901" t="s">
        <v>19</v>
      </c>
      <c r="C901" s="1">
        <v>45441</v>
      </c>
      <c r="D901">
        <f t="shared" si="61"/>
        <v>29</v>
      </c>
      <c r="E901">
        <f t="shared" si="62"/>
        <v>5</v>
      </c>
      <c r="F901">
        <f t="shared" si="63"/>
        <v>2024</v>
      </c>
      <c r="G901" t="s">
        <v>56</v>
      </c>
      <c r="H901" s="98">
        <v>10140</v>
      </c>
      <c r="I901" s="29">
        <v>3803.83</v>
      </c>
      <c r="J901" s="12" t="s">
        <v>31</v>
      </c>
      <c r="K901" s="29">
        <f t="shared" si="60"/>
        <v>3803.83</v>
      </c>
      <c r="L901">
        <v>1</v>
      </c>
      <c r="M901" s="29">
        <v>0</v>
      </c>
      <c r="N901" t="s">
        <v>32</v>
      </c>
      <c r="O901" t="s">
        <v>33</v>
      </c>
      <c r="P901" t="s">
        <v>34</v>
      </c>
      <c r="Q901" t="s">
        <v>34</v>
      </c>
      <c r="R901" t="s">
        <v>34</v>
      </c>
      <c r="S901" t="s">
        <v>34</v>
      </c>
      <c r="T901" s="117">
        <v>0</v>
      </c>
    </row>
    <row r="902" spans="1:21" ht="14.5" customHeight="1" x14ac:dyDescent="0.35">
      <c r="A902" t="s">
        <v>19</v>
      </c>
      <c r="B902" t="s">
        <v>19</v>
      </c>
      <c r="C902" s="1">
        <v>45441</v>
      </c>
      <c r="D902">
        <f t="shared" si="61"/>
        <v>29</v>
      </c>
      <c r="E902">
        <f t="shared" si="62"/>
        <v>5</v>
      </c>
      <c r="F902">
        <f t="shared" si="63"/>
        <v>2024</v>
      </c>
      <c r="G902" t="s">
        <v>56</v>
      </c>
      <c r="H902" s="98" t="s">
        <v>280</v>
      </c>
      <c r="I902" s="29">
        <v>186565</v>
      </c>
      <c r="J902" s="12" t="s">
        <v>31</v>
      </c>
      <c r="K902" s="29">
        <f t="shared" ref="K902:K917" si="64">IF(J902="USD",I902,I902*L902)</f>
        <v>186565</v>
      </c>
      <c r="L902">
        <v>1</v>
      </c>
      <c r="M902" s="29">
        <v>0</v>
      </c>
      <c r="N902" t="s">
        <v>32</v>
      </c>
      <c r="O902" t="s">
        <v>33</v>
      </c>
      <c r="P902" t="s">
        <v>34</v>
      </c>
      <c r="Q902" t="s">
        <v>34</v>
      </c>
      <c r="R902" t="s">
        <v>34</v>
      </c>
      <c r="S902" t="s">
        <v>34</v>
      </c>
      <c r="T902" s="117">
        <v>0</v>
      </c>
    </row>
    <row r="903" spans="1:21" ht="14.5" customHeight="1" x14ac:dyDescent="0.35">
      <c r="A903" t="s">
        <v>19</v>
      </c>
      <c r="B903" t="s">
        <v>19</v>
      </c>
      <c r="C903" s="1">
        <v>45441</v>
      </c>
      <c r="D903">
        <f t="shared" si="61"/>
        <v>29</v>
      </c>
      <c r="E903">
        <f t="shared" si="62"/>
        <v>5</v>
      </c>
      <c r="F903">
        <f t="shared" si="63"/>
        <v>2024</v>
      </c>
      <c r="G903" t="s">
        <v>123</v>
      </c>
      <c r="H903" s="98" t="s">
        <v>182</v>
      </c>
      <c r="I903" s="29">
        <v>7050.64</v>
      </c>
      <c r="J903" s="12" t="s">
        <v>31</v>
      </c>
      <c r="K903" s="29">
        <f t="shared" si="64"/>
        <v>7050.64</v>
      </c>
      <c r="L903">
        <v>1</v>
      </c>
      <c r="M903" s="29">
        <v>0</v>
      </c>
      <c r="N903" t="s">
        <v>32</v>
      </c>
      <c r="O903" t="s">
        <v>33</v>
      </c>
      <c r="P903" t="s">
        <v>34</v>
      </c>
      <c r="Q903" t="s">
        <v>34</v>
      </c>
      <c r="R903" t="s">
        <v>34</v>
      </c>
      <c r="S903" t="s">
        <v>34</v>
      </c>
      <c r="T903" s="117">
        <v>0</v>
      </c>
    </row>
    <row r="904" spans="1:21" ht="14.5" customHeight="1" x14ac:dyDescent="0.35">
      <c r="A904" t="s">
        <v>19</v>
      </c>
      <c r="B904" t="s">
        <v>19</v>
      </c>
      <c r="C904" s="1">
        <v>45442</v>
      </c>
      <c r="D904">
        <f t="shared" si="61"/>
        <v>30</v>
      </c>
      <c r="E904">
        <f t="shared" si="62"/>
        <v>5</v>
      </c>
      <c r="F904">
        <f t="shared" si="63"/>
        <v>2024</v>
      </c>
      <c r="G904" t="s">
        <v>129</v>
      </c>
      <c r="H904" s="98" t="s">
        <v>282</v>
      </c>
      <c r="I904" s="29">
        <v>57006.75</v>
      </c>
      <c r="J904" s="12" t="s">
        <v>31</v>
      </c>
      <c r="K904" s="29">
        <f t="shared" si="64"/>
        <v>57006.75</v>
      </c>
      <c r="L904">
        <v>1</v>
      </c>
      <c r="M904" s="29">
        <v>0</v>
      </c>
      <c r="N904" t="s">
        <v>32</v>
      </c>
      <c r="O904" t="s">
        <v>33</v>
      </c>
      <c r="P904" t="s">
        <v>34</v>
      </c>
      <c r="Q904" t="s">
        <v>34</v>
      </c>
      <c r="R904" t="s">
        <v>34</v>
      </c>
      <c r="S904" t="s">
        <v>34</v>
      </c>
      <c r="T904" s="117">
        <v>0</v>
      </c>
    </row>
    <row r="905" spans="1:21" ht="14.5" customHeight="1" x14ac:dyDescent="0.35">
      <c r="A905" t="s">
        <v>19</v>
      </c>
      <c r="B905" t="s">
        <v>19</v>
      </c>
      <c r="C905" s="1">
        <v>45442</v>
      </c>
      <c r="D905">
        <f t="shared" si="61"/>
        <v>30</v>
      </c>
      <c r="E905">
        <f t="shared" si="62"/>
        <v>5</v>
      </c>
      <c r="F905">
        <f t="shared" si="63"/>
        <v>2024</v>
      </c>
      <c r="G905" t="s">
        <v>120</v>
      </c>
      <c r="H905" s="98" t="s">
        <v>181</v>
      </c>
      <c r="I905" s="29">
        <v>90440.19</v>
      </c>
      <c r="J905" s="12" t="s">
        <v>31</v>
      </c>
      <c r="K905" s="29">
        <f t="shared" si="64"/>
        <v>90440.19</v>
      </c>
      <c r="L905">
        <v>1</v>
      </c>
      <c r="M905" s="29">
        <v>0</v>
      </c>
      <c r="N905" t="s">
        <v>32</v>
      </c>
      <c r="O905" t="s">
        <v>33</v>
      </c>
      <c r="P905" t="s">
        <v>34</v>
      </c>
      <c r="Q905" t="s">
        <v>34</v>
      </c>
      <c r="R905" t="s">
        <v>34</v>
      </c>
      <c r="S905" t="s">
        <v>34</v>
      </c>
      <c r="T905" s="117">
        <v>0</v>
      </c>
    </row>
    <row r="906" spans="1:21" ht="14.5" customHeight="1" x14ac:dyDescent="0.35">
      <c r="A906" t="s">
        <v>19</v>
      </c>
      <c r="B906" t="s">
        <v>26</v>
      </c>
      <c r="C906" s="1">
        <v>45442</v>
      </c>
      <c r="D906">
        <f t="shared" si="61"/>
        <v>30</v>
      </c>
      <c r="E906">
        <f t="shared" si="62"/>
        <v>5</v>
      </c>
      <c r="F906">
        <f t="shared" si="63"/>
        <v>2024</v>
      </c>
      <c r="G906" t="s">
        <v>73</v>
      </c>
      <c r="H906" s="98">
        <v>10539</v>
      </c>
      <c r="I906" s="29">
        <v>39541.96</v>
      </c>
      <c r="J906" s="12" t="s">
        <v>51</v>
      </c>
      <c r="K906" s="29">
        <f t="shared" si="64"/>
        <v>42926.751775999997</v>
      </c>
      <c r="L906">
        <v>1.0855999999999999</v>
      </c>
      <c r="M906" s="29">
        <v>0</v>
      </c>
      <c r="N906" t="s">
        <v>32</v>
      </c>
      <c r="O906" t="s">
        <v>33</v>
      </c>
      <c r="P906" t="s">
        <v>34</v>
      </c>
      <c r="Q906" t="s">
        <v>34</v>
      </c>
      <c r="R906" t="s">
        <v>34</v>
      </c>
      <c r="S906" t="s">
        <v>34</v>
      </c>
      <c r="T906" s="117">
        <v>0</v>
      </c>
      <c r="U906" s="209" t="s">
        <v>94</v>
      </c>
    </row>
    <row r="907" spans="1:21" ht="14.5" customHeight="1" x14ac:dyDescent="0.35">
      <c r="A907" t="s">
        <v>19</v>
      </c>
      <c r="B907" t="s">
        <v>26</v>
      </c>
      <c r="C907" s="1">
        <v>45442</v>
      </c>
      <c r="D907">
        <f t="shared" si="61"/>
        <v>30</v>
      </c>
      <c r="E907">
        <f t="shared" si="62"/>
        <v>5</v>
      </c>
      <c r="F907">
        <f t="shared" si="63"/>
        <v>2024</v>
      </c>
      <c r="G907" t="s">
        <v>73</v>
      </c>
      <c r="H907" s="98">
        <v>10428</v>
      </c>
      <c r="I907" s="29">
        <v>54531.87</v>
      </c>
      <c r="J907" s="12" t="s">
        <v>51</v>
      </c>
      <c r="K907" s="29">
        <f t="shared" si="64"/>
        <v>59199.798071999998</v>
      </c>
      <c r="L907">
        <v>1.0855999999999999</v>
      </c>
      <c r="M907" s="29">
        <v>0</v>
      </c>
      <c r="N907" t="s">
        <v>32</v>
      </c>
      <c r="O907" t="s">
        <v>33</v>
      </c>
      <c r="P907" t="s">
        <v>34</v>
      </c>
      <c r="Q907" t="s">
        <v>34</v>
      </c>
      <c r="R907" t="s">
        <v>34</v>
      </c>
      <c r="S907" t="s">
        <v>34</v>
      </c>
      <c r="T907" s="117">
        <v>0</v>
      </c>
      <c r="U907" s="209" t="s">
        <v>94</v>
      </c>
    </row>
    <row r="908" spans="1:21" ht="14.5" customHeight="1" x14ac:dyDescent="0.35">
      <c r="A908" t="s">
        <v>19</v>
      </c>
      <c r="B908" t="s">
        <v>26</v>
      </c>
      <c r="C908" s="1">
        <v>45442</v>
      </c>
      <c r="D908">
        <f t="shared" si="61"/>
        <v>30</v>
      </c>
      <c r="E908">
        <f t="shared" si="62"/>
        <v>5</v>
      </c>
      <c r="F908">
        <f t="shared" si="63"/>
        <v>2024</v>
      </c>
      <c r="G908" t="s">
        <v>73</v>
      </c>
      <c r="H908" s="98">
        <v>10568</v>
      </c>
      <c r="I908" s="29">
        <v>93179.81</v>
      </c>
      <c r="J908" s="12" t="s">
        <v>51</v>
      </c>
      <c r="K908" s="29">
        <f t="shared" si="64"/>
        <v>101156.00173599999</v>
      </c>
      <c r="L908">
        <v>1.0855999999999999</v>
      </c>
      <c r="M908" s="29">
        <v>0</v>
      </c>
      <c r="N908" t="s">
        <v>32</v>
      </c>
      <c r="O908" t="s">
        <v>33</v>
      </c>
      <c r="P908" t="s">
        <v>34</v>
      </c>
      <c r="Q908" t="s">
        <v>34</v>
      </c>
      <c r="R908" t="s">
        <v>34</v>
      </c>
      <c r="S908" t="s">
        <v>34</v>
      </c>
      <c r="T908" s="117">
        <v>0</v>
      </c>
      <c r="U908" s="209" t="s">
        <v>94</v>
      </c>
    </row>
    <row r="909" spans="1:21" ht="14.5" customHeight="1" x14ac:dyDescent="0.35">
      <c r="A909" t="s">
        <v>19</v>
      </c>
      <c r="B909" t="s">
        <v>27</v>
      </c>
      <c r="C909" s="1">
        <v>45447</v>
      </c>
      <c r="D909">
        <f t="shared" si="61"/>
        <v>4</v>
      </c>
      <c r="E909">
        <f t="shared" si="62"/>
        <v>6</v>
      </c>
      <c r="F909">
        <f t="shared" si="63"/>
        <v>2024</v>
      </c>
      <c r="G909" t="s">
        <v>100</v>
      </c>
      <c r="H909" s="98">
        <v>10507</v>
      </c>
      <c r="I909" s="29">
        <v>37951.74</v>
      </c>
      <c r="J909" s="12" t="s">
        <v>31</v>
      </c>
      <c r="K909" s="29">
        <f t="shared" si="64"/>
        <v>37951.74</v>
      </c>
      <c r="L909">
        <v>1</v>
      </c>
      <c r="M909" s="29">
        <v>0</v>
      </c>
      <c r="N909" t="s">
        <v>32</v>
      </c>
      <c r="O909" t="s">
        <v>33</v>
      </c>
      <c r="P909" t="s">
        <v>34</v>
      </c>
      <c r="Q909" t="s">
        <v>34</v>
      </c>
      <c r="R909" t="s">
        <v>34</v>
      </c>
      <c r="S909" t="s">
        <v>34</v>
      </c>
      <c r="T909" s="117">
        <v>0</v>
      </c>
      <c r="U909" s="209" t="s">
        <v>501</v>
      </c>
    </row>
    <row r="910" spans="1:21" ht="14.5" customHeight="1" x14ac:dyDescent="0.35">
      <c r="A910" t="s">
        <v>19</v>
      </c>
      <c r="B910" t="s">
        <v>27</v>
      </c>
      <c r="C910" s="1">
        <v>45447</v>
      </c>
      <c r="D910">
        <f t="shared" si="61"/>
        <v>4</v>
      </c>
      <c r="E910">
        <f t="shared" si="62"/>
        <v>6</v>
      </c>
      <c r="F910">
        <f t="shared" si="63"/>
        <v>2024</v>
      </c>
      <c r="G910" t="s">
        <v>100</v>
      </c>
      <c r="H910" s="98">
        <v>10349</v>
      </c>
      <c r="I910" s="29">
        <v>2876.58</v>
      </c>
      <c r="J910" s="12" t="s">
        <v>31</v>
      </c>
      <c r="K910" s="29">
        <f t="shared" si="64"/>
        <v>2876.58</v>
      </c>
      <c r="L910">
        <v>1</v>
      </c>
      <c r="M910" s="29">
        <v>0</v>
      </c>
      <c r="N910" t="s">
        <v>32</v>
      </c>
      <c r="O910" t="s">
        <v>33</v>
      </c>
      <c r="P910" t="s">
        <v>34</v>
      </c>
      <c r="Q910" t="s">
        <v>34</v>
      </c>
      <c r="R910" t="s">
        <v>34</v>
      </c>
      <c r="S910" t="s">
        <v>34</v>
      </c>
      <c r="T910" s="117">
        <v>0</v>
      </c>
      <c r="U910" s="209" t="s">
        <v>501</v>
      </c>
    </row>
    <row r="911" spans="1:21" ht="14.5" customHeight="1" x14ac:dyDescent="0.35">
      <c r="A911" t="s">
        <v>19</v>
      </c>
      <c r="B911" t="s">
        <v>24</v>
      </c>
      <c r="C911" s="1">
        <v>45448</v>
      </c>
      <c r="D911">
        <f t="shared" si="61"/>
        <v>5</v>
      </c>
      <c r="E911">
        <f t="shared" si="62"/>
        <v>6</v>
      </c>
      <c r="F911">
        <f t="shared" si="63"/>
        <v>2024</v>
      </c>
      <c r="G911" t="s">
        <v>76</v>
      </c>
      <c r="H911" s="98">
        <v>10485</v>
      </c>
      <c r="I911" s="29">
        <v>38.4</v>
      </c>
      <c r="J911" s="12" t="s">
        <v>31</v>
      </c>
      <c r="K911" s="29">
        <f t="shared" si="64"/>
        <v>38.4</v>
      </c>
      <c r="L911">
        <v>1</v>
      </c>
      <c r="M911" s="29">
        <v>0</v>
      </c>
      <c r="N911" t="s">
        <v>42</v>
      </c>
      <c r="O911" t="s">
        <v>33</v>
      </c>
      <c r="P911" t="s">
        <v>34</v>
      </c>
      <c r="Q911" t="s">
        <v>34</v>
      </c>
      <c r="R911" t="s">
        <v>34</v>
      </c>
      <c r="S911" t="s">
        <v>34</v>
      </c>
      <c r="T911" s="117">
        <v>0</v>
      </c>
    </row>
    <row r="912" spans="1:21" ht="14.5" customHeight="1" x14ac:dyDescent="0.35">
      <c r="A912" t="s">
        <v>19</v>
      </c>
      <c r="B912" t="s">
        <v>24</v>
      </c>
      <c r="C912" s="1">
        <v>45448</v>
      </c>
      <c r="D912">
        <f t="shared" si="61"/>
        <v>5</v>
      </c>
      <c r="E912">
        <f t="shared" si="62"/>
        <v>6</v>
      </c>
      <c r="F912">
        <f t="shared" si="63"/>
        <v>2024</v>
      </c>
      <c r="G912" t="s">
        <v>76</v>
      </c>
      <c r="H912" s="98">
        <v>10322</v>
      </c>
      <c r="I912" s="29">
        <v>2874.24</v>
      </c>
      <c r="J912" s="12" t="s">
        <v>31</v>
      </c>
      <c r="K912" s="29">
        <f t="shared" si="64"/>
        <v>2874.24</v>
      </c>
      <c r="L912">
        <v>1</v>
      </c>
      <c r="M912" s="29">
        <v>0</v>
      </c>
      <c r="N912" t="s">
        <v>42</v>
      </c>
      <c r="O912" t="s">
        <v>33</v>
      </c>
      <c r="P912" t="s">
        <v>34</v>
      </c>
      <c r="Q912" t="s">
        <v>34</v>
      </c>
      <c r="R912" t="s">
        <v>34</v>
      </c>
      <c r="S912" t="s">
        <v>34</v>
      </c>
      <c r="T912" s="117">
        <v>0</v>
      </c>
      <c r="U912" s="209" t="s">
        <v>489</v>
      </c>
    </row>
    <row r="913" spans="1:20" ht="14.5" customHeight="1" x14ac:dyDescent="0.35">
      <c r="A913" t="s">
        <v>19</v>
      </c>
      <c r="B913" t="s">
        <v>21</v>
      </c>
      <c r="C913" s="1">
        <v>45448</v>
      </c>
      <c r="D913">
        <f t="shared" si="61"/>
        <v>5</v>
      </c>
      <c r="E913">
        <f t="shared" si="62"/>
        <v>6</v>
      </c>
      <c r="F913">
        <f t="shared" si="63"/>
        <v>2024</v>
      </c>
      <c r="G913" t="s">
        <v>36</v>
      </c>
      <c r="H913" s="98">
        <v>10255</v>
      </c>
      <c r="I913" s="29">
        <v>146</v>
      </c>
      <c r="J913" s="12" t="s">
        <v>31</v>
      </c>
      <c r="K913" s="29">
        <f t="shared" si="64"/>
        <v>146</v>
      </c>
      <c r="L913">
        <v>1</v>
      </c>
      <c r="M913" s="29">
        <v>0</v>
      </c>
      <c r="N913" t="s">
        <v>32</v>
      </c>
      <c r="O913" t="s">
        <v>33</v>
      </c>
      <c r="P913" t="s">
        <v>34</v>
      </c>
      <c r="Q913" t="s">
        <v>34</v>
      </c>
      <c r="R913" t="s">
        <v>34</v>
      </c>
      <c r="S913" t="s">
        <v>34</v>
      </c>
      <c r="T913" s="117">
        <v>0</v>
      </c>
    </row>
    <row r="914" spans="1:20" ht="14.5" customHeight="1" x14ac:dyDescent="0.35">
      <c r="A914" t="s">
        <v>19</v>
      </c>
      <c r="B914" t="s">
        <v>21</v>
      </c>
      <c r="C914" s="1">
        <v>45448</v>
      </c>
      <c r="D914">
        <f t="shared" si="61"/>
        <v>5</v>
      </c>
      <c r="E914">
        <f t="shared" si="62"/>
        <v>6</v>
      </c>
      <c r="F914">
        <f t="shared" si="63"/>
        <v>2024</v>
      </c>
      <c r="G914" t="s">
        <v>39</v>
      </c>
      <c r="H914" s="98">
        <v>10094</v>
      </c>
      <c r="I914" s="29">
        <v>16639.2</v>
      </c>
      <c r="J914" s="12" t="s">
        <v>31</v>
      </c>
      <c r="K914" s="29">
        <f t="shared" si="64"/>
        <v>16639.2</v>
      </c>
      <c r="L914">
        <v>1</v>
      </c>
      <c r="M914" s="29">
        <v>0</v>
      </c>
      <c r="N914" t="s">
        <v>32</v>
      </c>
      <c r="O914" t="s">
        <v>33</v>
      </c>
      <c r="P914" t="s">
        <v>34</v>
      </c>
      <c r="Q914" t="s">
        <v>34</v>
      </c>
      <c r="R914" t="s">
        <v>34</v>
      </c>
      <c r="S914" t="s">
        <v>34</v>
      </c>
      <c r="T914" s="117">
        <v>0</v>
      </c>
    </row>
    <row r="915" spans="1:20" ht="14.5" customHeight="1" x14ac:dyDescent="0.35">
      <c r="A915" t="s">
        <v>19</v>
      </c>
      <c r="B915" t="s">
        <v>25</v>
      </c>
      <c r="C915" s="1">
        <v>45448</v>
      </c>
      <c r="D915">
        <f t="shared" si="61"/>
        <v>5</v>
      </c>
      <c r="E915">
        <f t="shared" si="62"/>
        <v>6</v>
      </c>
      <c r="F915">
        <f t="shared" si="63"/>
        <v>2024</v>
      </c>
      <c r="G915" t="s">
        <v>93</v>
      </c>
      <c r="H915" s="98">
        <v>10262</v>
      </c>
      <c r="I915" s="29">
        <v>4057.9</v>
      </c>
      <c r="J915" s="12" t="s">
        <v>31</v>
      </c>
      <c r="K915" s="29">
        <f t="shared" si="64"/>
        <v>4057.9</v>
      </c>
      <c r="L915">
        <v>1</v>
      </c>
      <c r="M915" s="29">
        <v>0</v>
      </c>
      <c r="N915" t="s">
        <v>32</v>
      </c>
      <c r="O915" t="s">
        <v>33</v>
      </c>
      <c r="P915" t="s">
        <v>34</v>
      </c>
      <c r="Q915" t="s">
        <v>34</v>
      </c>
      <c r="R915" t="s">
        <v>34</v>
      </c>
      <c r="S915" t="s">
        <v>34</v>
      </c>
      <c r="T915" s="117">
        <v>0</v>
      </c>
    </row>
    <row r="916" spans="1:20" ht="14.5" customHeight="1" x14ac:dyDescent="0.35">
      <c r="A916" t="s">
        <v>19</v>
      </c>
      <c r="B916" t="s">
        <v>21</v>
      </c>
      <c r="C916" s="1">
        <v>45448</v>
      </c>
      <c r="D916">
        <f t="shared" si="61"/>
        <v>5</v>
      </c>
      <c r="E916">
        <f t="shared" si="62"/>
        <v>6</v>
      </c>
      <c r="F916">
        <f t="shared" si="63"/>
        <v>2024</v>
      </c>
      <c r="G916" t="s">
        <v>285</v>
      </c>
      <c r="H916" s="98">
        <v>10659</v>
      </c>
      <c r="I916" s="29">
        <v>12</v>
      </c>
      <c r="J916" s="12" t="s">
        <v>31</v>
      </c>
      <c r="K916" s="29">
        <f t="shared" si="64"/>
        <v>12</v>
      </c>
      <c r="L916">
        <v>1</v>
      </c>
      <c r="M916" s="29">
        <v>0</v>
      </c>
      <c r="N916" t="s">
        <v>42</v>
      </c>
      <c r="O916" t="s">
        <v>33</v>
      </c>
      <c r="P916" t="s">
        <v>34</v>
      </c>
      <c r="Q916" t="s">
        <v>34</v>
      </c>
      <c r="R916" t="s">
        <v>34</v>
      </c>
      <c r="S916" t="s">
        <v>34</v>
      </c>
      <c r="T916" s="117">
        <v>0</v>
      </c>
    </row>
    <row r="917" spans="1:20" ht="14.5" customHeight="1" x14ac:dyDescent="0.35">
      <c r="A917" t="s">
        <v>19</v>
      </c>
      <c r="B917" t="s">
        <v>21</v>
      </c>
      <c r="C917" s="1">
        <v>45448</v>
      </c>
      <c r="D917">
        <f t="shared" si="61"/>
        <v>5</v>
      </c>
      <c r="E917">
        <f t="shared" si="62"/>
        <v>6</v>
      </c>
      <c r="F917">
        <f t="shared" si="63"/>
        <v>2024</v>
      </c>
      <c r="G917" t="s">
        <v>285</v>
      </c>
      <c r="H917" s="98">
        <v>10660</v>
      </c>
      <c r="I917" s="29">
        <v>4953</v>
      </c>
      <c r="J917" s="12" t="s">
        <v>31</v>
      </c>
      <c r="K917" s="29">
        <f t="shared" si="64"/>
        <v>4953</v>
      </c>
      <c r="L917">
        <v>1</v>
      </c>
      <c r="M917" s="29">
        <v>0</v>
      </c>
      <c r="N917" t="s">
        <v>42</v>
      </c>
      <c r="O917" t="s">
        <v>33</v>
      </c>
      <c r="P917" t="s">
        <v>34</v>
      </c>
      <c r="Q917" t="s">
        <v>34</v>
      </c>
      <c r="R917" t="s">
        <v>34</v>
      </c>
      <c r="S917" t="s">
        <v>34</v>
      </c>
      <c r="T917" s="117">
        <v>0</v>
      </c>
    </row>
    <row r="918" spans="1:20" ht="14.5" customHeight="1" x14ac:dyDescent="0.35">
      <c r="A918" t="s">
        <v>19</v>
      </c>
      <c r="B918" t="s">
        <v>27</v>
      </c>
      <c r="C918" s="1">
        <v>45448</v>
      </c>
      <c r="D918">
        <f t="shared" si="61"/>
        <v>5</v>
      </c>
      <c r="E918">
        <f t="shared" si="62"/>
        <v>6</v>
      </c>
      <c r="F918">
        <f t="shared" si="63"/>
        <v>2024</v>
      </c>
      <c r="G918" t="s">
        <v>100</v>
      </c>
      <c r="H918" s="98">
        <v>10276</v>
      </c>
      <c r="I918" s="29">
        <v>400000</v>
      </c>
      <c r="J918" s="12" t="s">
        <v>31</v>
      </c>
      <c r="K918" s="29">
        <v>400000</v>
      </c>
      <c r="L918">
        <v>1</v>
      </c>
      <c r="M918" s="29">
        <v>0</v>
      </c>
      <c r="N918" t="s">
        <v>32</v>
      </c>
      <c r="O918" t="s">
        <v>33</v>
      </c>
      <c r="P918" t="s">
        <v>34</v>
      </c>
      <c r="Q918" t="s">
        <v>34</v>
      </c>
      <c r="R918" t="s">
        <v>34</v>
      </c>
      <c r="S918" t="s">
        <v>34</v>
      </c>
      <c r="T918" s="117">
        <v>0</v>
      </c>
    </row>
    <row r="919" spans="1:20" ht="14.5" customHeight="1" x14ac:dyDescent="0.35">
      <c r="A919" t="s">
        <v>20</v>
      </c>
      <c r="B919" t="s">
        <v>25</v>
      </c>
      <c r="C919" s="1">
        <v>45448</v>
      </c>
      <c r="D919">
        <f t="shared" si="61"/>
        <v>5</v>
      </c>
      <c r="E919">
        <f t="shared" si="62"/>
        <v>6</v>
      </c>
      <c r="F919">
        <f t="shared" si="63"/>
        <v>2024</v>
      </c>
      <c r="G919" t="s">
        <v>81</v>
      </c>
      <c r="H919" s="98">
        <v>10413</v>
      </c>
      <c r="I919" s="29">
        <v>36707.199999999997</v>
      </c>
      <c r="J919" s="12" t="s">
        <v>31</v>
      </c>
      <c r="K919" s="29">
        <f t="shared" ref="K919:K982" si="65">IF(J919="USD",I919,I919*L919)</f>
        <v>36707.199999999997</v>
      </c>
      <c r="L919">
        <v>1</v>
      </c>
      <c r="M919" s="29">
        <v>0</v>
      </c>
      <c r="N919" t="s">
        <v>32</v>
      </c>
      <c r="O919" t="s">
        <v>33</v>
      </c>
      <c r="P919" t="s">
        <v>34</v>
      </c>
      <c r="Q919" t="s">
        <v>34</v>
      </c>
      <c r="R919" t="s">
        <v>34</v>
      </c>
      <c r="S919" t="s">
        <v>34</v>
      </c>
      <c r="T919" s="117">
        <v>0</v>
      </c>
    </row>
    <row r="920" spans="1:20" ht="14.5" customHeight="1" x14ac:dyDescent="0.35">
      <c r="A920" t="s">
        <v>20</v>
      </c>
      <c r="B920" t="s">
        <v>23</v>
      </c>
      <c r="C920" s="1">
        <v>45448</v>
      </c>
      <c r="D920">
        <f t="shared" si="61"/>
        <v>5</v>
      </c>
      <c r="E920">
        <f t="shared" si="62"/>
        <v>6</v>
      </c>
      <c r="F920">
        <f t="shared" si="63"/>
        <v>2024</v>
      </c>
      <c r="G920" t="s">
        <v>97</v>
      </c>
      <c r="H920" s="98">
        <v>10506</v>
      </c>
      <c r="I920" s="29">
        <v>63469.33</v>
      </c>
      <c r="J920" s="12" t="s">
        <v>31</v>
      </c>
      <c r="K920" s="29">
        <f t="shared" si="65"/>
        <v>63469.33</v>
      </c>
      <c r="L920">
        <v>1</v>
      </c>
      <c r="M920" s="29">
        <v>1956.4</v>
      </c>
      <c r="N920" t="s">
        <v>32</v>
      </c>
      <c r="O920" t="s">
        <v>33</v>
      </c>
      <c r="P920" t="s">
        <v>34</v>
      </c>
      <c r="Q920" t="s">
        <v>34</v>
      </c>
      <c r="R920" t="s">
        <v>34</v>
      </c>
      <c r="S920" t="s">
        <v>34</v>
      </c>
      <c r="T920" s="117">
        <v>0</v>
      </c>
    </row>
    <row r="921" spans="1:20" ht="14.5" customHeight="1" x14ac:dyDescent="0.35">
      <c r="A921" t="s">
        <v>20</v>
      </c>
      <c r="B921" t="s">
        <v>24</v>
      </c>
      <c r="C921" s="1">
        <v>45448</v>
      </c>
      <c r="D921">
        <f t="shared" si="61"/>
        <v>5</v>
      </c>
      <c r="E921">
        <f t="shared" si="62"/>
        <v>6</v>
      </c>
      <c r="F921">
        <f t="shared" si="63"/>
        <v>2024</v>
      </c>
      <c r="G921" t="s">
        <v>97</v>
      </c>
      <c r="H921" s="98">
        <v>10506</v>
      </c>
      <c r="I921" s="29">
        <v>4006.89</v>
      </c>
      <c r="J921" s="12" t="s">
        <v>31</v>
      </c>
      <c r="K921" s="29">
        <f t="shared" si="65"/>
        <v>4006.89</v>
      </c>
      <c r="L921">
        <v>1</v>
      </c>
      <c r="M921" s="29">
        <v>128.71</v>
      </c>
      <c r="N921" t="s">
        <v>32</v>
      </c>
      <c r="O921" t="s">
        <v>33</v>
      </c>
      <c r="P921" t="s">
        <v>34</v>
      </c>
      <c r="Q921" t="s">
        <v>34</v>
      </c>
      <c r="R921" t="s">
        <v>34</v>
      </c>
      <c r="S921" t="s">
        <v>34</v>
      </c>
      <c r="T921" s="117">
        <v>125</v>
      </c>
    </row>
    <row r="922" spans="1:20" ht="14.5" customHeight="1" x14ac:dyDescent="0.35">
      <c r="A922" t="s">
        <v>20</v>
      </c>
      <c r="B922" t="s">
        <v>25</v>
      </c>
      <c r="C922" s="1">
        <v>45448</v>
      </c>
      <c r="D922">
        <f t="shared" si="61"/>
        <v>5</v>
      </c>
      <c r="E922">
        <f t="shared" si="62"/>
        <v>6</v>
      </c>
      <c r="F922">
        <f t="shared" si="63"/>
        <v>2024</v>
      </c>
      <c r="G922" t="s">
        <v>97</v>
      </c>
      <c r="H922" s="98">
        <v>10506</v>
      </c>
      <c r="I922" s="29">
        <v>15631.46</v>
      </c>
      <c r="J922" s="12" t="s">
        <v>31</v>
      </c>
      <c r="K922" s="29">
        <f t="shared" si="65"/>
        <v>15631.46</v>
      </c>
      <c r="L922">
        <v>1</v>
      </c>
      <c r="M922" s="29">
        <v>489.1</v>
      </c>
      <c r="N922" t="s">
        <v>32</v>
      </c>
      <c r="O922" t="s">
        <v>33</v>
      </c>
      <c r="P922" t="s">
        <v>34</v>
      </c>
      <c r="Q922" t="s">
        <v>34</v>
      </c>
      <c r="R922" t="s">
        <v>34</v>
      </c>
      <c r="S922" t="s">
        <v>34</v>
      </c>
      <c r="T922" s="117">
        <v>0</v>
      </c>
    </row>
    <row r="923" spans="1:20" ht="14.5" customHeight="1" x14ac:dyDescent="0.35">
      <c r="A923" t="s">
        <v>20</v>
      </c>
      <c r="B923" t="s">
        <v>23</v>
      </c>
      <c r="C923" s="1">
        <v>45448</v>
      </c>
      <c r="D923">
        <f t="shared" si="61"/>
        <v>5</v>
      </c>
      <c r="E923">
        <f t="shared" si="62"/>
        <v>6</v>
      </c>
      <c r="F923">
        <f t="shared" si="63"/>
        <v>2024</v>
      </c>
      <c r="G923" t="s">
        <v>177</v>
      </c>
      <c r="H923" s="98">
        <v>10681</v>
      </c>
      <c r="I923" s="29">
        <v>22.35</v>
      </c>
      <c r="J923" s="12" t="s">
        <v>31</v>
      </c>
      <c r="K923" s="29">
        <f t="shared" si="65"/>
        <v>22.35</v>
      </c>
      <c r="L923">
        <v>1</v>
      </c>
      <c r="M923" s="29">
        <v>0</v>
      </c>
      <c r="N923" t="s">
        <v>42</v>
      </c>
      <c r="O923" t="s">
        <v>33</v>
      </c>
      <c r="P923" t="s">
        <v>34</v>
      </c>
      <c r="Q923" t="s">
        <v>34</v>
      </c>
      <c r="R923" t="s">
        <v>34</v>
      </c>
      <c r="S923" t="s">
        <v>34</v>
      </c>
      <c r="T923" s="117">
        <v>0</v>
      </c>
    </row>
    <row r="924" spans="1:20" ht="14.5" customHeight="1" x14ac:dyDescent="0.35">
      <c r="A924" t="s">
        <v>20</v>
      </c>
      <c r="B924" t="s">
        <v>23</v>
      </c>
      <c r="C924" s="1">
        <v>45448</v>
      </c>
      <c r="D924">
        <f t="shared" si="61"/>
        <v>5</v>
      </c>
      <c r="E924">
        <f t="shared" si="62"/>
        <v>6</v>
      </c>
      <c r="F924">
        <f t="shared" si="63"/>
        <v>2024</v>
      </c>
      <c r="G924" t="s">
        <v>177</v>
      </c>
      <c r="H924" s="98">
        <v>10682</v>
      </c>
      <c r="I924" s="29">
        <v>5613.47</v>
      </c>
      <c r="J924" s="12" t="s">
        <v>31</v>
      </c>
      <c r="K924" s="29">
        <f t="shared" si="65"/>
        <v>5613.47</v>
      </c>
      <c r="L924">
        <v>1</v>
      </c>
      <c r="M924" s="29">
        <v>0</v>
      </c>
      <c r="N924" t="s">
        <v>42</v>
      </c>
      <c r="O924" t="s">
        <v>33</v>
      </c>
      <c r="P924" t="s">
        <v>34</v>
      </c>
      <c r="Q924" t="s">
        <v>34</v>
      </c>
      <c r="R924" t="s">
        <v>34</v>
      </c>
      <c r="S924" t="s">
        <v>34</v>
      </c>
      <c r="T924" s="117">
        <v>0</v>
      </c>
    </row>
    <row r="925" spans="1:20" ht="14.5" customHeight="1" x14ac:dyDescent="0.35">
      <c r="A925" t="s">
        <v>20</v>
      </c>
      <c r="B925" t="s">
        <v>21</v>
      </c>
      <c r="C925" s="1">
        <v>45448</v>
      </c>
      <c r="D925">
        <f t="shared" si="61"/>
        <v>5</v>
      </c>
      <c r="E925">
        <f t="shared" si="62"/>
        <v>6</v>
      </c>
      <c r="F925">
        <f t="shared" si="63"/>
        <v>2024</v>
      </c>
      <c r="G925" t="s">
        <v>46</v>
      </c>
      <c r="H925" s="98">
        <v>10082</v>
      </c>
      <c r="I925" s="29">
        <v>6829.97</v>
      </c>
      <c r="J925" s="12" t="s">
        <v>31</v>
      </c>
      <c r="K925" s="29">
        <f t="shared" si="65"/>
        <v>6829.97</v>
      </c>
      <c r="L925">
        <v>1</v>
      </c>
      <c r="M925" s="29">
        <v>0</v>
      </c>
      <c r="N925" t="s">
        <v>42</v>
      </c>
      <c r="O925" t="s">
        <v>33</v>
      </c>
      <c r="P925" t="s">
        <v>34</v>
      </c>
      <c r="Q925" t="s">
        <v>34</v>
      </c>
      <c r="R925" t="s">
        <v>34</v>
      </c>
      <c r="S925" t="s">
        <v>34</v>
      </c>
      <c r="T925" s="117">
        <v>0</v>
      </c>
    </row>
    <row r="926" spans="1:20" ht="14.5" customHeight="1" x14ac:dyDescent="0.35">
      <c r="A926" t="s">
        <v>20</v>
      </c>
      <c r="B926" t="s">
        <v>23</v>
      </c>
      <c r="C926" s="1">
        <v>45448</v>
      </c>
      <c r="D926">
        <f t="shared" si="61"/>
        <v>5</v>
      </c>
      <c r="E926">
        <f t="shared" si="62"/>
        <v>6</v>
      </c>
      <c r="F926">
        <f t="shared" si="63"/>
        <v>2024</v>
      </c>
      <c r="G926" t="s">
        <v>46</v>
      </c>
      <c r="H926" s="98">
        <v>10264</v>
      </c>
      <c r="I926" s="29">
        <v>5576.94</v>
      </c>
      <c r="J926" s="12" t="s">
        <v>31</v>
      </c>
      <c r="K926" s="29">
        <f t="shared" si="65"/>
        <v>5576.94</v>
      </c>
      <c r="L926">
        <v>1</v>
      </c>
      <c r="M926" s="29">
        <v>0</v>
      </c>
      <c r="N926" t="s">
        <v>32</v>
      </c>
      <c r="O926" t="s">
        <v>33</v>
      </c>
      <c r="P926" t="s">
        <v>34</v>
      </c>
      <c r="Q926" t="s">
        <v>34</v>
      </c>
      <c r="R926" t="s">
        <v>34</v>
      </c>
      <c r="S926" t="s">
        <v>34</v>
      </c>
      <c r="T926" s="117">
        <v>0</v>
      </c>
    </row>
    <row r="927" spans="1:20" ht="14.5" customHeight="1" x14ac:dyDescent="0.35">
      <c r="A927" t="s">
        <v>20</v>
      </c>
      <c r="B927" t="s">
        <v>23</v>
      </c>
      <c r="C927" s="1">
        <v>45448</v>
      </c>
      <c r="D927">
        <f t="shared" si="61"/>
        <v>5</v>
      </c>
      <c r="E927">
        <f t="shared" si="62"/>
        <v>6</v>
      </c>
      <c r="F927">
        <f t="shared" si="63"/>
        <v>2024</v>
      </c>
      <c r="G927" t="s">
        <v>46</v>
      </c>
      <c r="H927" s="98">
        <v>10266</v>
      </c>
      <c r="I927" s="29">
        <v>30172.66</v>
      </c>
      <c r="J927" s="12" t="s">
        <v>31</v>
      </c>
      <c r="K927" s="29">
        <f t="shared" si="65"/>
        <v>30172.66</v>
      </c>
      <c r="L927">
        <v>1</v>
      </c>
      <c r="M927" s="29">
        <v>0</v>
      </c>
      <c r="N927" t="s">
        <v>42</v>
      </c>
      <c r="O927" t="s">
        <v>33</v>
      </c>
      <c r="P927" t="s">
        <v>34</v>
      </c>
      <c r="Q927" t="s">
        <v>34</v>
      </c>
      <c r="R927" t="s">
        <v>34</v>
      </c>
      <c r="S927" t="s">
        <v>34</v>
      </c>
      <c r="T927" s="117">
        <v>0</v>
      </c>
    </row>
    <row r="928" spans="1:20" ht="14.5" customHeight="1" x14ac:dyDescent="0.35">
      <c r="A928" t="s">
        <v>20</v>
      </c>
      <c r="B928" t="s">
        <v>23</v>
      </c>
      <c r="C928" s="1">
        <v>45448</v>
      </c>
      <c r="D928">
        <f t="shared" si="61"/>
        <v>5</v>
      </c>
      <c r="E928">
        <f t="shared" si="62"/>
        <v>6</v>
      </c>
      <c r="F928">
        <f t="shared" si="63"/>
        <v>2024</v>
      </c>
      <c r="G928" t="s">
        <v>50</v>
      </c>
      <c r="H928" s="98">
        <v>10358</v>
      </c>
      <c r="I928" s="29">
        <v>9041.65</v>
      </c>
      <c r="J928" s="12" t="s">
        <v>31</v>
      </c>
      <c r="K928" s="29">
        <f t="shared" si="65"/>
        <v>9041.65</v>
      </c>
      <c r="L928">
        <v>1</v>
      </c>
      <c r="M928" s="29">
        <v>0</v>
      </c>
      <c r="N928" t="s">
        <v>42</v>
      </c>
      <c r="O928" t="s">
        <v>33</v>
      </c>
      <c r="P928" t="s">
        <v>34</v>
      </c>
      <c r="Q928" t="s">
        <v>34</v>
      </c>
      <c r="R928" t="s">
        <v>34</v>
      </c>
      <c r="S928" t="s">
        <v>34</v>
      </c>
      <c r="T928" s="117">
        <v>0</v>
      </c>
    </row>
    <row r="929" spans="1:20" ht="14.5" customHeight="1" x14ac:dyDescent="0.35">
      <c r="A929" t="s">
        <v>20</v>
      </c>
      <c r="B929" t="s">
        <v>24</v>
      </c>
      <c r="C929" s="1">
        <v>45448</v>
      </c>
      <c r="D929">
        <f t="shared" si="61"/>
        <v>5</v>
      </c>
      <c r="E929">
        <f t="shared" si="62"/>
        <v>6</v>
      </c>
      <c r="F929">
        <f t="shared" si="63"/>
        <v>2024</v>
      </c>
      <c r="G929" t="s">
        <v>50</v>
      </c>
      <c r="H929" s="98">
        <v>10358</v>
      </c>
      <c r="I929" s="29">
        <v>59400</v>
      </c>
      <c r="J929" s="12" t="s">
        <v>31</v>
      </c>
      <c r="K929" s="29">
        <f t="shared" si="65"/>
        <v>59400</v>
      </c>
      <c r="L929">
        <v>1</v>
      </c>
      <c r="M929" s="29">
        <v>0</v>
      </c>
      <c r="N929" t="s">
        <v>42</v>
      </c>
      <c r="O929" t="s">
        <v>33</v>
      </c>
      <c r="P929" t="s">
        <v>34</v>
      </c>
      <c r="Q929" t="s">
        <v>34</v>
      </c>
      <c r="R929" t="s">
        <v>34</v>
      </c>
      <c r="S929" t="s">
        <v>34</v>
      </c>
      <c r="T929" s="117">
        <v>0</v>
      </c>
    </row>
    <row r="930" spans="1:20" ht="14.5" customHeight="1" x14ac:dyDescent="0.35">
      <c r="A930" t="s">
        <v>20</v>
      </c>
      <c r="B930" t="s">
        <v>23</v>
      </c>
      <c r="C930" s="1">
        <v>45448</v>
      </c>
      <c r="D930">
        <f t="shared" si="61"/>
        <v>5</v>
      </c>
      <c r="E930">
        <f t="shared" si="62"/>
        <v>6</v>
      </c>
      <c r="F930">
        <f t="shared" si="63"/>
        <v>2024</v>
      </c>
      <c r="G930" t="s">
        <v>43</v>
      </c>
      <c r="H930" s="98">
        <v>10298</v>
      </c>
      <c r="I930" s="29">
        <v>19.8</v>
      </c>
      <c r="J930" s="12" t="s">
        <v>31</v>
      </c>
      <c r="K930" s="29">
        <f t="shared" si="65"/>
        <v>19.8</v>
      </c>
      <c r="L930">
        <v>1</v>
      </c>
      <c r="M930" s="29">
        <v>0</v>
      </c>
      <c r="N930" t="s">
        <v>32</v>
      </c>
      <c r="O930" t="s">
        <v>33</v>
      </c>
      <c r="P930" t="s">
        <v>34</v>
      </c>
      <c r="Q930" t="s">
        <v>34</v>
      </c>
      <c r="R930" t="s">
        <v>34</v>
      </c>
      <c r="S930" t="s">
        <v>34</v>
      </c>
      <c r="T930" s="117">
        <v>0</v>
      </c>
    </row>
    <row r="931" spans="1:20" ht="14.5" customHeight="1" x14ac:dyDescent="0.35">
      <c r="A931" t="s">
        <v>20</v>
      </c>
      <c r="B931" t="s">
        <v>23</v>
      </c>
      <c r="C931" s="1">
        <v>45448</v>
      </c>
      <c r="D931">
        <f t="shared" si="61"/>
        <v>5</v>
      </c>
      <c r="E931">
        <f t="shared" si="62"/>
        <v>6</v>
      </c>
      <c r="F931">
        <f t="shared" si="63"/>
        <v>2024</v>
      </c>
      <c r="G931" t="s">
        <v>43</v>
      </c>
      <c r="H931" s="98">
        <v>10299</v>
      </c>
      <c r="I931" s="29">
        <v>6162.95</v>
      </c>
      <c r="J931" s="12" t="s">
        <v>31</v>
      </c>
      <c r="K931" s="29">
        <f t="shared" si="65"/>
        <v>6162.95</v>
      </c>
      <c r="L931">
        <v>1</v>
      </c>
      <c r="M931" s="29">
        <v>0</v>
      </c>
      <c r="N931" t="s">
        <v>32</v>
      </c>
      <c r="O931" t="s">
        <v>33</v>
      </c>
      <c r="P931" t="s">
        <v>34</v>
      </c>
      <c r="Q931" t="s">
        <v>34</v>
      </c>
      <c r="R931" t="s">
        <v>34</v>
      </c>
      <c r="S931" t="s">
        <v>34</v>
      </c>
      <c r="T931" s="117">
        <v>0</v>
      </c>
    </row>
    <row r="932" spans="1:20" ht="14.5" customHeight="1" x14ac:dyDescent="0.35">
      <c r="A932" t="s">
        <v>20</v>
      </c>
      <c r="B932" t="s">
        <v>25</v>
      </c>
      <c r="C932" s="1">
        <v>45448</v>
      </c>
      <c r="D932">
        <f t="shared" si="61"/>
        <v>5</v>
      </c>
      <c r="E932">
        <f t="shared" si="62"/>
        <v>6</v>
      </c>
      <c r="F932">
        <f t="shared" si="63"/>
        <v>2024</v>
      </c>
      <c r="G932" t="s">
        <v>43</v>
      </c>
      <c r="H932" s="98">
        <v>10299</v>
      </c>
      <c r="I932" s="29">
        <v>8195</v>
      </c>
      <c r="J932" s="12" t="s">
        <v>31</v>
      </c>
      <c r="K932" s="29">
        <f t="shared" si="65"/>
        <v>8195</v>
      </c>
      <c r="L932">
        <v>1</v>
      </c>
      <c r="M932" s="29">
        <v>0</v>
      </c>
      <c r="N932" t="s">
        <v>32</v>
      </c>
      <c r="O932" t="s">
        <v>33</v>
      </c>
      <c r="P932" t="s">
        <v>34</v>
      </c>
      <c r="Q932" t="s">
        <v>34</v>
      </c>
      <c r="R932" t="s">
        <v>34</v>
      </c>
      <c r="S932" t="s">
        <v>34</v>
      </c>
      <c r="T932" s="117">
        <v>0</v>
      </c>
    </row>
    <row r="933" spans="1:20" ht="14.5" customHeight="1" x14ac:dyDescent="0.35">
      <c r="A933" t="s">
        <v>20</v>
      </c>
      <c r="B933" t="s">
        <v>21</v>
      </c>
      <c r="C933" s="1">
        <v>45448</v>
      </c>
      <c r="D933">
        <f t="shared" si="61"/>
        <v>5</v>
      </c>
      <c r="E933">
        <f t="shared" si="62"/>
        <v>6</v>
      </c>
      <c r="F933">
        <f t="shared" si="63"/>
        <v>2024</v>
      </c>
      <c r="G933" t="s">
        <v>43</v>
      </c>
      <c r="H933" s="98">
        <v>10221</v>
      </c>
      <c r="I933" s="29">
        <v>46</v>
      </c>
      <c r="J933" s="12" t="s">
        <v>31</v>
      </c>
      <c r="K933" s="29">
        <f t="shared" si="65"/>
        <v>46</v>
      </c>
      <c r="L933">
        <v>1</v>
      </c>
      <c r="M933" s="29">
        <v>0</v>
      </c>
      <c r="N933" t="s">
        <v>32</v>
      </c>
      <c r="O933" t="s">
        <v>33</v>
      </c>
      <c r="P933" t="s">
        <v>34</v>
      </c>
      <c r="Q933" t="s">
        <v>34</v>
      </c>
      <c r="R933" t="s">
        <v>34</v>
      </c>
      <c r="S933" t="s">
        <v>34</v>
      </c>
      <c r="T933" s="117">
        <v>0</v>
      </c>
    </row>
    <row r="934" spans="1:20" ht="14.5" customHeight="1" x14ac:dyDescent="0.35">
      <c r="A934" t="s">
        <v>20</v>
      </c>
      <c r="B934" t="s">
        <v>23</v>
      </c>
      <c r="C934" s="1">
        <v>45448</v>
      </c>
      <c r="D934">
        <f t="shared" si="61"/>
        <v>5</v>
      </c>
      <c r="E934">
        <f t="shared" si="62"/>
        <v>6</v>
      </c>
      <c r="F934">
        <f t="shared" si="63"/>
        <v>2024</v>
      </c>
      <c r="G934" t="s">
        <v>43</v>
      </c>
      <c r="H934" s="98">
        <v>10396</v>
      </c>
      <c r="I934" s="29">
        <v>28.9</v>
      </c>
      <c r="J934" s="12" t="s">
        <v>31</v>
      </c>
      <c r="K934" s="29">
        <f t="shared" si="65"/>
        <v>28.9</v>
      </c>
      <c r="L934">
        <v>1</v>
      </c>
      <c r="M934" s="29">
        <v>0</v>
      </c>
      <c r="N934" t="s">
        <v>32</v>
      </c>
      <c r="O934" t="s">
        <v>33</v>
      </c>
      <c r="P934" t="s">
        <v>34</v>
      </c>
      <c r="Q934" t="s">
        <v>34</v>
      </c>
      <c r="R934" t="s">
        <v>34</v>
      </c>
      <c r="S934" t="s">
        <v>34</v>
      </c>
      <c r="T934" s="117">
        <v>0</v>
      </c>
    </row>
    <row r="935" spans="1:20" ht="14.5" customHeight="1" x14ac:dyDescent="0.35">
      <c r="A935" t="s">
        <v>20</v>
      </c>
      <c r="B935" t="s">
        <v>24</v>
      </c>
      <c r="C935" s="1">
        <v>45448</v>
      </c>
      <c r="D935">
        <f t="shared" si="61"/>
        <v>5</v>
      </c>
      <c r="E935">
        <f t="shared" si="62"/>
        <v>6</v>
      </c>
      <c r="F935">
        <f t="shared" si="63"/>
        <v>2024</v>
      </c>
      <c r="G935" t="s">
        <v>43</v>
      </c>
      <c r="H935" s="98">
        <v>9780</v>
      </c>
      <c r="I935" s="29">
        <v>10714.77</v>
      </c>
      <c r="J935" s="12" t="s">
        <v>31</v>
      </c>
      <c r="K935" s="29">
        <f t="shared" si="65"/>
        <v>10714.77</v>
      </c>
      <c r="L935">
        <v>1</v>
      </c>
      <c r="M935" s="29">
        <v>0</v>
      </c>
      <c r="N935" t="s">
        <v>42</v>
      </c>
      <c r="O935" t="s">
        <v>33</v>
      </c>
      <c r="P935" t="s">
        <v>34</v>
      </c>
      <c r="Q935" t="s">
        <v>34</v>
      </c>
      <c r="R935" t="s">
        <v>34</v>
      </c>
      <c r="S935" t="s">
        <v>34</v>
      </c>
      <c r="T935" s="117">
        <v>0</v>
      </c>
    </row>
    <row r="936" spans="1:20" ht="14.5" customHeight="1" x14ac:dyDescent="0.35">
      <c r="A936" t="s">
        <v>20</v>
      </c>
      <c r="B936" t="s">
        <v>21</v>
      </c>
      <c r="C936" s="1">
        <v>45448</v>
      </c>
      <c r="D936">
        <f t="shared" si="61"/>
        <v>5</v>
      </c>
      <c r="E936">
        <f t="shared" si="62"/>
        <v>6</v>
      </c>
      <c r="F936">
        <f t="shared" si="63"/>
        <v>2024</v>
      </c>
      <c r="G936" t="s">
        <v>89</v>
      </c>
      <c r="H936" s="98">
        <v>10709</v>
      </c>
      <c r="I936" s="29">
        <v>170</v>
      </c>
      <c r="J936" s="12" t="s">
        <v>31</v>
      </c>
      <c r="K936" s="29">
        <f t="shared" si="65"/>
        <v>170</v>
      </c>
      <c r="L936">
        <v>1</v>
      </c>
      <c r="M936" s="29">
        <v>0</v>
      </c>
      <c r="N936" t="s">
        <v>42</v>
      </c>
      <c r="O936" t="s">
        <v>33</v>
      </c>
      <c r="P936" t="s">
        <v>34</v>
      </c>
      <c r="Q936" t="s">
        <v>34</v>
      </c>
      <c r="R936" t="s">
        <v>34</v>
      </c>
      <c r="S936" t="s">
        <v>34</v>
      </c>
      <c r="T936" s="117">
        <v>0</v>
      </c>
    </row>
    <row r="937" spans="1:20" ht="14.5" customHeight="1" x14ac:dyDescent="0.35">
      <c r="A937" t="s">
        <v>20</v>
      </c>
      <c r="B937" t="s">
        <v>21</v>
      </c>
      <c r="C937" s="1">
        <v>45448</v>
      </c>
      <c r="D937">
        <f t="shared" si="61"/>
        <v>5</v>
      </c>
      <c r="E937">
        <f t="shared" si="62"/>
        <v>6</v>
      </c>
      <c r="F937">
        <f t="shared" si="63"/>
        <v>2024</v>
      </c>
      <c r="G937" t="s">
        <v>89</v>
      </c>
      <c r="H937" s="98">
        <v>10710</v>
      </c>
      <c r="I937" s="29">
        <v>3899.18</v>
      </c>
      <c r="J937" s="12" t="s">
        <v>31</v>
      </c>
      <c r="K937" s="29">
        <f t="shared" si="65"/>
        <v>3899.18</v>
      </c>
      <c r="L937">
        <v>1</v>
      </c>
      <c r="M937" s="29">
        <v>0</v>
      </c>
      <c r="N937" t="s">
        <v>42</v>
      </c>
      <c r="O937" t="s">
        <v>33</v>
      </c>
      <c r="P937" t="s">
        <v>34</v>
      </c>
      <c r="Q937" t="s">
        <v>34</v>
      </c>
      <c r="R937" t="s">
        <v>34</v>
      </c>
      <c r="S937" t="s">
        <v>34</v>
      </c>
      <c r="T937" s="117">
        <v>0</v>
      </c>
    </row>
    <row r="938" spans="1:20" ht="14.5" customHeight="1" x14ac:dyDescent="0.35">
      <c r="A938" t="s">
        <v>20</v>
      </c>
      <c r="B938" t="s">
        <v>24</v>
      </c>
      <c r="C938" s="1">
        <v>45448</v>
      </c>
      <c r="D938">
        <f t="shared" si="61"/>
        <v>5</v>
      </c>
      <c r="E938">
        <f t="shared" si="62"/>
        <v>6</v>
      </c>
      <c r="F938">
        <f t="shared" si="63"/>
        <v>2024</v>
      </c>
      <c r="G938" t="s">
        <v>90</v>
      </c>
      <c r="H938" s="98">
        <v>10154</v>
      </c>
      <c r="I938" s="29">
        <v>483.83</v>
      </c>
      <c r="J938" s="12" t="s">
        <v>31</v>
      </c>
      <c r="K938" s="29">
        <f t="shared" si="65"/>
        <v>483.83</v>
      </c>
      <c r="L938">
        <v>1</v>
      </c>
      <c r="M938" s="29">
        <v>0</v>
      </c>
      <c r="N938" t="s">
        <v>32</v>
      </c>
      <c r="O938" t="s">
        <v>33</v>
      </c>
      <c r="P938" t="s">
        <v>34</v>
      </c>
      <c r="Q938" t="s">
        <v>34</v>
      </c>
      <c r="R938" t="s">
        <v>34</v>
      </c>
      <c r="S938" t="s">
        <v>34</v>
      </c>
      <c r="T938" s="117">
        <v>0</v>
      </c>
    </row>
    <row r="939" spans="1:20" ht="14.5" customHeight="1" x14ac:dyDescent="0.35">
      <c r="A939" t="s">
        <v>20</v>
      </c>
      <c r="B939" t="s">
        <v>21</v>
      </c>
      <c r="C939" s="1">
        <v>45448</v>
      </c>
      <c r="D939">
        <f t="shared" si="61"/>
        <v>5</v>
      </c>
      <c r="E939">
        <f t="shared" si="62"/>
        <v>6</v>
      </c>
      <c r="F939">
        <f t="shared" si="63"/>
        <v>2024</v>
      </c>
      <c r="G939" t="s">
        <v>90</v>
      </c>
      <c r="H939" s="98">
        <v>10153</v>
      </c>
      <c r="I939" s="29">
        <v>3365.06</v>
      </c>
      <c r="J939" s="12" t="s">
        <v>31</v>
      </c>
      <c r="K939" s="29">
        <f t="shared" si="65"/>
        <v>3365.06</v>
      </c>
      <c r="L939">
        <v>1</v>
      </c>
      <c r="M939" s="29">
        <v>0</v>
      </c>
      <c r="N939" t="s">
        <v>32</v>
      </c>
      <c r="O939" t="s">
        <v>33</v>
      </c>
      <c r="P939" t="s">
        <v>34</v>
      </c>
      <c r="Q939" t="s">
        <v>34</v>
      </c>
      <c r="R939" t="s">
        <v>34</v>
      </c>
      <c r="S939" t="s">
        <v>34</v>
      </c>
      <c r="T939" s="117">
        <v>0</v>
      </c>
    </row>
    <row r="940" spans="1:20" ht="14.5" customHeight="1" x14ac:dyDescent="0.35">
      <c r="A940" t="s">
        <v>20</v>
      </c>
      <c r="B940" t="s">
        <v>24</v>
      </c>
      <c r="C940" s="1">
        <v>45448</v>
      </c>
      <c r="D940">
        <f t="shared" si="61"/>
        <v>5</v>
      </c>
      <c r="E940">
        <f t="shared" si="62"/>
        <v>6</v>
      </c>
      <c r="F940">
        <f t="shared" si="63"/>
        <v>2024</v>
      </c>
      <c r="G940" t="s">
        <v>90</v>
      </c>
      <c r="H940" s="98">
        <v>10153</v>
      </c>
      <c r="I940" s="29">
        <v>9307.1299999999992</v>
      </c>
      <c r="J940" s="12" t="s">
        <v>31</v>
      </c>
      <c r="K940" s="29">
        <f t="shared" si="65"/>
        <v>9307.1299999999992</v>
      </c>
      <c r="L940">
        <v>1</v>
      </c>
      <c r="M940" s="29">
        <v>0</v>
      </c>
      <c r="N940" t="s">
        <v>32</v>
      </c>
      <c r="O940" t="s">
        <v>33</v>
      </c>
      <c r="P940" t="s">
        <v>34</v>
      </c>
      <c r="Q940" t="s">
        <v>34</v>
      </c>
      <c r="R940" t="s">
        <v>34</v>
      </c>
      <c r="S940" t="s">
        <v>34</v>
      </c>
      <c r="T940" s="117">
        <v>0</v>
      </c>
    </row>
    <row r="941" spans="1:20" ht="14.5" customHeight="1" x14ac:dyDescent="0.35">
      <c r="A941" t="s">
        <v>20</v>
      </c>
      <c r="B941" t="s">
        <v>23</v>
      </c>
      <c r="C941" s="1">
        <v>45448</v>
      </c>
      <c r="D941">
        <f t="shared" si="61"/>
        <v>5</v>
      </c>
      <c r="E941">
        <f t="shared" si="62"/>
        <v>6</v>
      </c>
      <c r="F941">
        <f t="shared" si="63"/>
        <v>2024</v>
      </c>
      <c r="G941" t="s">
        <v>90</v>
      </c>
      <c r="H941" s="98">
        <v>10153</v>
      </c>
      <c r="I941" s="29">
        <v>2248.2600000000002</v>
      </c>
      <c r="J941" s="12" t="s">
        <v>31</v>
      </c>
      <c r="K941" s="29">
        <f t="shared" si="65"/>
        <v>2248.2600000000002</v>
      </c>
      <c r="L941">
        <v>1</v>
      </c>
      <c r="M941" s="29">
        <v>0</v>
      </c>
      <c r="N941" t="s">
        <v>32</v>
      </c>
      <c r="O941" t="s">
        <v>33</v>
      </c>
      <c r="P941" t="s">
        <v>34</v>
      </c>
      <c r="Q941" t="s">
        <v>34</v>
      </c>
      <c r="R941" t="s">
        <v>34</v>
      </c>
      <c r="S941" t="s">
        <v>34</v>
      </c>
      <c r="T941" s="117">
        <v>0</v>
      </c>
    </row>
    <row r="942" spans="1:20" ht="14.5" customHeight="1" x14ac:dyDescent="0.35">
      <c r="A942" t="s">
        <v>20</v>
      </c>
      <c r="B942" t="s">
        <v>25</v>
      </c>
      <c r="C942" s="1">
        <v>45448</v>
      </c>
      <c r="D942">
        <f t="shared" si="61"/>
        <v>5</v>
      </c>
      <c r="E942">
        <f t="shared" si="62"/>
        <v>6</v>
      </c>
      <c r="F942">
        <f t="shared" si="63"/>
        <v>2024</v>
      </c>
      <c r="G942" t="s">
        <v>174</v>
      </c>
      <c r="H942" s="98">
        <v>10711</v>
      </c>
      <c r="I942" s="29">
        <v>49</v>
      </c>
      <c r="J942" s="12" t="s">
        <v>31</v>
      </c>
      <c r="K942" s="29">
        <f t="shared" si="65"/>
        <v>49</v>
      </c>
      <c r="L942">
        <v>1</v>
      </c>
      <c r="M942" s="29">
        <v>0</v>
      </c>
      <c r="N942" t="s">
        <v>42</v>
      </c>
      <c r="O942" t="s">
        <v>33</v>
      </c>
      <c r="P942" t="s">
        <v>34</v>
      </c>
      <c r="Q942" t="s">
        <v>34</v>
      </c>
      <c r="R942" t="s">
        <v>34</v>
      </c>
      <c r="S942" t="s">
        <v>34</v>
      </c>
      <c r="T942" s="117">
        <v>0</v>
      </c>
    </row>
    <row r="943" spans="1:20" ht="14.5" customHeight="1" x14ac:dyDescent="0.35">
      <c r="A943" t="s">
        <v>20</v>
      </c>
      <c r="B943" t="s">
        <v>25</v>
      </c>
      <c r="C943" s="1">
        <v>45448</v>
      </c>
      <c r="D943">
        <f t="shared" si="61"/>
        <v>5</v>
      </c>
      <c r="E943">
        <f t="shared" si="62"/>
        <v>6</v>
      </c>
      <c r="F943">
        <f t="shared" si="63"/>
        <v>2024</v>
      </c>
      <c r="G943" t="s">
        <v>174</v>
      </c>
      <c r="H943" s="98">
        <v>10712</v>
      </c>
      <c r="I943" s="29">
        <v>1212.75</v>
      </c>
      <c r="J943" s="12" t="s">
        <v>31</v>
      </c>
      <c r="K943" s="29">
        <f t="shared" si="65"/>
        <v>1212.75</v>
      </c>
      <c r="L943">
        <v>1</v>
      </c>
      <c r="M943" s="29">
        <v>0</v>
      </c>
      <c r="N943" t="s">
        <v>42</v>
      </c>
      <c r="O943" t="s">
        <v>33</v>
      </c>
      <c r="P943" t="s">
        <v>34</v>
      </c>
      <c r="Q943" t="s">
        <v>34</v>
      </c>
      <c r="R943" t="s">
        <v>34</v>
      </c>
      <c r="S943" t="s">
        <v>34</v>
      </c>
      <c r="T943" s="117">
        <v>0</v>
      </c>
    </row>
    <row r="944" spans="1:20" ht="14.5" customHeight="1" x14ac:dyDescent="0.35">
      <c r="A944" t="s">
        <v>19</v>
      </c>
      <c r="B944" t="s">
        <v>19</v>
      </c>
      <c r="C944" s="1">
        <v>45448</v>
      </c>
      <c r="D944">
        <f t="shared" si="61"/>
        <v>5</v>
      </c>
      <c r="E944">
        <f t="shared" si="62"/>
        <v>6</v>
      </c>
      <c r="F944">
        <f t="shared" si="63"/>
        <v>2024</v>
      </c>
      <c r="G944" t="s">
        <v>58</v>
      </c>
      <c r="H944" s="98" t="s">
        <v>286</v>
      </c>
      <c r="I944" s="29">
        <v>80182.509999999995</v>
      </c>
      <c r="J944" s="12" t="s">
        <v>31</v>
      </c>
      <c r="K944" s="29">
        <f t="shared" si="65"/>
        <v>80182.509999999995</v>
      </c>
      <c r="L944">
        <v>1</v>
      </c>
      <c r="M944" s="29">
        <v>0</v>
      </c>
      <c r="N944" t="s">
        <v>32</v>
      </c>
      <c r="O944" t="s">
        <v>33</v>
      </c>
      <c r="P944" t="s">
        <v>34</v>
      </c>
      <c r="Q944" t="s">
        <v>34</v>
      </c>
      <c r="R944" t="s">
        <v>34</v>
      </c>
      <c r="S944" t="s">
        <v>34</v>
      </c>
      <c r="T944" s="117">
        <v>0</v>
      </c>
    </row>
    <row r="945" spans="1:21" ht="14.5" customHeight="1" x14ac:dyDescent="0.35">
      <c r="A945" t="s">
        <v>19</v>
      </c>
      <c r="B945" t="s">
        <v>19</v>
      </c>
      <c r="C945" s="1">
        <v>45448</v>
      </c>
      <c r="D945">
        <f t="shared" si="61"/>
        <v>5</v>
      </c>
      <c r="E945">
        <f t="shared" si="62"/>
        <v>6</v>
      </c>
      <c r="F945">
        <f t="shared" si="63"/>
        <v>2024</v>
      </c>
      <c r="G945" t="s">
        <v>57</v>
      </c>
      <c r="H945" s="171">
        <v>9483</v>
      </c>
      <c r="I945" s="90">
        <v>100000</v>
      </c>
      <c r="J945" s="12" t="s">
        <v>31</v>
      </c>
      <c r="K945" s="29">
        <f t="shared" si="65"/>
        <v>100000</v>
      </c>
      <c r="L945">
        <v>1</v>
      </c>
      <c r="M945" s="29">
        <v>0</v>
      </c>
      <c r="N945" t="s">
        <v>32</v>
      </c>
      <c r="O945" t="s">
        <v>33</v>
      </c>
      <c r="P945" t="s">
        <v>34</v>
      </c>
      <c r="Q945" t="s">
        <v>34</v>
      </c>
      <c r="R945" t="s">
        <v>34</v>
      </c>
      <c r="S945" t="s">
        <v>34</v>
      </c>
      <c r="T945" s="117">
        <v>0</v>
      </c>
    </row>
    <row r="946" spans="1:21" ht="14.5" customHeight="1" x14ac:dyDescent="0.35">
      <c r="A946" t="s">
        <v>19</v>
      </c>
      <c r="B946" t="s">
        <v>19</v>
      </c>
      <c r="C946" s="1">
        <v>45448</v>
      </c>
      <c r="D946">
        <f t="shared" si="61"/>
        <v>5</v>
      </c>
      <c r="E946">
        <f t="shared" si="62"/>
        <v>6</v>
      </c>
      <c r="F946">
        <f t="shared" si="63"/>
        <v>2024</v>
      </c>
      <c r="G946" t="s">
        <v>119</v>
      </c>
      <c r="H946" s="98" t="s">
        <v>287</v>
      </c>
      <c r="I946" s="29">
        <v>101897.44</v>
      </c>
      <c r="J946" s="12" t="s">
        <v>31</v>
      </c>
      <c r="K946" s="29">
        <f t="shared" si="65"/>
        <v>101897.44</v>
      </c>
      <c r="L946">
        <v>1</v>
      </c>
      <c r="M946" s="29">
        <v>0</v>
      </c>
      <c r="N946" t="s">
        <v>32</v>
      </c>
      <c r="O946" t="s">
        <v>33</v>
      </c>
      <c r="P946" t="s">
        <v>34</v>
      </c>
      <c r="Q946" t="s">
        <v>34</v>
      </c>
      <c r="R946" t="s">
        <v>34</v>
      </c>
      <c r="S946" t="s">
        <v>34</v>
      </c>
      <c r="T946" s="117">
        <v>0</v>
      </c>
    </row>
    <row r="947" spans="1:21" ht="14.5" customHeight="1" x14ac:dyDescent="0.35">
      <c r="A947" t="s">
        <v>19</v>
      </c>
      <c r="B947" t="s">
        <v>19</v>
      </c>
      <c r="C947" s="1">
        <v>45448</v>
      </c>
      <c r="D947">
        <f t="shared" si="61"/>
        <v>5</v>
      </c>
      <c r="E947">
        <f t="shared" si="62"/>
        <v>6</v>
      </c>
      <c r="F947">
        <f t="shared" si="63"/>
        <v>2024</v>
      </c>
      <c r="G947" t="s">
        <v>88</v>
      </c>
      <c r="H947" s="98" t="s">
        <v>288</v>
      </c>
      <c r="I947" s="29">
        <v>65006.68</v>
      </c>
      <c r="J947" s="12" t="s">
        <v>31</v>
      </c>
      <c r="K947" s="29">
        <f t="shared" si="65"/>
        <v>65006.68</v>
      </c>
      <c r="L947">
        <v>1</v>
      </c>
      <c r="M947" s="29">
        <v>0</v>
      </c>
      <c r="N947" t="s">
        <v>32</v>
      </c>
      <c r="O947" t="s">
        <v>33</v>
      </c>
      <c r="P947" t="s">
        <v>34</v>
      </c>
      <c r="Q947" t="s">
        <v>34</v>
      </c>
      <c r="R947" t="s">
        <v>34</v>
      </c>
      <c r="S947" t="s">
        <v>34</v>
      </c>
      <c r="T947" s="117">
        <v>0</v>
      </c>
    </row>
    <row r="948" spans="1:21" ht="14.5" customHeight="1" x14ac:dyDescent="0.35">
      <c r="A948" t="s">
        <v>19</v>
      </c>
      <c r="B948" t="s">
        <v>19</v>
      </c>
      <c r="C948" s="1">
        <v>45448</v>
      </c>
      <c r="D948">
        <f t="shared" si="61"/>
        <v>5</v>
      </c>
      <c r="E948">
        <f t="shared" si="62"/>
        <v>6</v>
      </c>
      <c r="F948">
        <f t="shared" si="63"/>
        <v>2024</v>
      </c>
      <c r="G948" t="s">
        <v>421</v>
      </c>
      <c r="H948" s="171" t="s">
        <v>289</v>
      </c>
      <c r="I948" s="90">
        <v>189846.81</v>
      </c>
      <c r="J948" s="12" t="s">
        <v>31</v>
      </c>
      <c r="K948" s="29">
        <f t="shared" si="65"/>
        <v>189846.81</v>
      </c>
      <c r="L948">
        <v>1</v>
      </c>
      <c r="M948" s="29">
        <v>0</v>
      </c>
      <c r="N948" t="s">
        <v>32</v>
      </c>
      <c r="O948" t="s">
        <v>33</v>
      </c>
      <c r="P948" t="s">
        <v>34</v>
      </c>
      <c r="Q948" t="s">
        <v>34</v>
      </c>
      <c r="R948" t="s">
        <v>34</v>
      </c>
      <c r="S948" t="s">
        <v>34</v>
      </c>
      <c r="T948" s="117">
        <v>0</v>
      </c>
    </row>
    <row r="949" spans="1:21" ht="14.5" customHeight="1" x14ac:dyDescent="0.35">
      <c r="A949" t="s">
        <v>19</v>
      </c>
      <c r="B949" t="s">
        <v>19</v>
      </c>
      <c r="C949" s="1">
        <v>45448</v>
      </c>
      <c r="D949">
        <f t="shared" si="61"/>
        <v>5</v>
      </c>
      <c r="E949">
        <f t="shared" si="62"/>
        <v>6</v>
      </c>
      <c r="F949">
        <f t="shared" si="63"/>
        <v>2024</v>
      </c>
      <c r="G949" t="s">
        <v>111</v>
      </c>
      <c r="H949" s="98" t="s">
        <v>290</v>
      </c>
      <c r="I949" s="29">
        <v>133018.41</v>
      </c>
      <c r="J949" s="12" t="s">
        <v>31</v>
      </c>
      <c r="K949" s="29">
        <f t="shared" si="65"/>
        <v>133018.41</v>
      </c>
      <c r="L949">
        <v>1</v>
      </c>
      <c r="M949" s="29">
        <v>0</v>
      </c>
      <c r="N949" t="s">
        <v>32</v>
      </c>
      <c r="O949" t="s">
        <v>33</v>
      </c>
      <c r="P949" t="s">
        <v>34</v>
      </c>
      <c r="Q949" t="s">
        <v>34</v>
      </c>
      <c r="R949" t="s">
        <v>34</v>
      </c>
      <c r="S949" t="s">
        <v>34</v>
      </c>
      <c r="T949" s="117">
        <v>2979.31</v>
      </c>
    </row>
    <row r="950" spans="1:21" ht="14.5" customHeight="1" x14ac:dyDescent="0.35">
      <c r="A950" t="s">
        <v>19</v>
      </c>
      <c r="B950" t="s">
        <v>19</v>
      </c>
      <c r="C950" s="1">
        <v>45448</v>
      </c>
      <c r="D950">
        <f t="shared" si="61"/>
        <v>5</v>
      </c>
      <c r="E950">
        <f t="shared" si="62"/>
        <v>6</v>
      </c>
      <c r="F950">
        <f t="shared" si="63"/>
        <v>2024</v>
      </c>
      <c r="G950" t="s">
        <v>106</v>
      </c>
      <c r="H950" s="98" t="s">
        <v>291</v>
      </c>
      <c r="I950" s="29">
        <v>98009.45</v>
      </c>
      <c r="J950" s="12" t="s">
        <v>31</v>
      </c>
      <c r="K950" s="29">
        <f t="shared" si="65"/>
        <v>98009.45</v>
      </c>
      <c r="L950">
        <v>1</v>
      </c>
      <c r="M950" s="29">
        <v>0</v>
      </c>
      <c r="N950" t="s">
        <v>32</v>
      </c>
      <c r="O950" t="s">
        <v>33</v>
      </c>
      <c r="P950" t="s">
        <v>34</v>
      </c>
      <c r="Q950" t="s">
        <v>34</v>
      </c>
      <c r="R950" t="s">
        <v>34</v>
      </c>
      <c r="S950" t="s">
        <v>34</v>
      </c>
      <c r="T950" s="117">
        <v>1704</v>
      </c>
    </row>
    <row r="951" spans="1:21" ht="14.5" customHeight="1" x14ac:dyDescent="0.35">
      <c r="A951" t="s">
        <v>19</v>
      </c>
      <c r="B951" t="s">
        <v>19</v>
      </c>
      <c r="C951" s="1">
        <v>45448</v>
      </c>
      <c r="D951">
        <f t="shared" si="61"/>
        <v>5</v>
      </c>
      <c r="E951">
        <f t="shared" si="62"/>
        <v>6</v>
      </c>
      <c r="F951">
        <f t="shared" si="63"/>
        <v>2024</v>
      </c>
      <c r="G951" t="s">
        <v>125</v>
      </c>
      <c r="H951" s="98" t="s">
        <v>292</v>
      </c>
      <c r="I951" s="29">
        <v>116562.9</v>
      </c>
      <c r="J951" s="12" t="s">
        <v>31</v>
      </c>
      <c r="K951" s="29">
        <f t="shared" si="65"/>
        <v>116562.9</v>
      </c>
      <c r="L951">
        <v>1</v>
      </c>
      <c r="M951" s="29">
        <v>0</v>
      </c>
      <c r="N951" t="s">
        <v>32</v>
      </c>
      <c r="O951" t="s">
        <v>33</v>
      </c>
      <c r="P951" t="s">
        <v>34</v>
      </c>
      <c r="Q951" t="s">
        <v>34</v>
      </c>
      <c r="R951" t="s">
        <v>34</v>
      </c>
      <c r="S951" t="s">
        <v>34</v>
      </c>
      <c r="T951" s="117">
        <v>0</v>
      </c>
    </row>
    <row r="952" spans="1:21" ht="14.5" customHeight="1" x14ac:dyDescent="0.35">
      <c r="A952" t="s">
        <v>19</v>
      </c>
      <c r="B952" t="s">
        <v>19</v>
      </c>
      <c r="C952" s="1">
        <v>45448</v>
      </c>
      <c r="D952">
        <f t="shared" si="61"/>
        <v>5</v>
      </c>
      <c r="E952">
        <f t="shared" si="62"/>
        <v>6</v>
      </c>
      <c r="F952">
        <f t="shared" si="63"/>
        <v>2024</v>
      </c>
      <c r="G952" t="s">
        <v>120</v>
      </c>
      <c r="H952" s="98" t="s">
        <v>293</v>
      </c>
      <c r="I952" s="29">
        <v>125342</v>
      </c>
      <c r="J952" s="12" t="s">
        <v>31</v>
      </c>
      <c r="K952" s="29">
        <f t="shared" si="65"/>
        <v>125342</v>
      </c>
      <c r="L952">
        <v>1</v>
      </c>
      <c r="M952" s="29">
        <v>0</v>
      </c>
      <c r="N952" t="s">
        <v>32</v>
      </c>
      <c r="O952" t="s">
        <v>33</v>
      </c>
      <c r="P952" t="s">
        <v>34</v>
      </c>
      <c r="Q952" t="s">
        <v>34</v>
      </c>
      <c r="R952" t="s">
        <v>34</v>
      </c>
      <c r="S952" t="s">
        <v>34</v>
      </c>
      <c r="T952" s="117">
        <v>0</v>
      </c>
    </row>
    <row r="953" spans="1:21" ht="14.5" customHeight="1" x14ac:dyDescent="0.35">
      <c r="A953" t="s">
        <v>19</v>
      </c>
      <c r="B953" t="s">
        <v>19</v>
      </c>
      <c r="C953" s="1">
        <v>45448</v>
      </c>
      <c r="D953">
        <f t="shared" si="61"/>
        <v>5</v>
      </c>
      <c r="E953">
        <f t="shared" si="62"/>
        <v>6</v>
      </c>
      <c r="F953">
        <f t="shared" si="63"/>
        <v>2024</v>
      </c>
      <c r="G953" t="s">
        <v>91</v>
      </c>
      <c r="H953" s="98" t="s">
        <v>294</v>
      </c>
      <c r="I953" s="29">
        <v>81757.16</v>
      </c>
      <c r="J953" s="12" t="s">
        <v>31</v>
      </c>
      <c r="K953" s="29">
        <f t="shared" si="65"/>
        <v>81757.16</v>
      </c>
      <c r="L953">
        <v>1</v>
      </c>
      <c r="M953" s="29">
        <v>0</v>
      </c>
      <c r="N953" t="s">
        <v>32</v>
      </c>
      <c r="O953" t="s">
        <v>33</v>
      </c>
      <c r="P953" t="s">
        <v>34</v>
      </c>
      <c r="Q953" t="s">
        <v>34</v>
      </c>
      <c r="R953" t="s">
        <v>34</v>
      </c>
      <c r="S953" t="s">
        <v>34</v>
      </c>
      <c r="T953" s="117">
        <v>0</v>
      </c>
    </row>
    <row r="954" spans="1:21" ht="14.5" customHeight="1" x14ac:dyDescent="0.35">
      <c r="A954" t="s">
        <v>19</v>
      </c>
      <c r="B954" t="s">
        <v>26</v>
      </c>
      <c r="C954" s="1">
        <v>45449</v>
      </c>
      <c r="D954">
        <f t="shared" si="61"/>
        <v>6</v>
      </c>
      <c r="E954">
        <f t="shared" si="62"/>
        <v>6</v>
      </c>
      <c r="F954">
        <f t="shared" si="63"/>
        <v>2024</v>
      </c>
      <c r="G954" t="s">
        <v>73</v>
      </c>
      <c r="H954" s="98">
        <v>10568</v>
      </c>
      <c r="I954" s="29">
        <v>1694.49</v>
      </c>
      <c r="J954" s="12" t="s">
        <v>51</v>
      </c>
      <c r="K954" s="29">
        <f t="shared" si="65"/>
        <v>1846.6552020000001</v>
      </c>
      <c r="L954">
        <v>1.0898000000000001</v>
      </c>
      <c r="M954" s="29">
        <v>0</v>
      </c>
      <c r="N954" t="s">
        <v>32</v>
      </c>
      <c r="O954" t="s">
        <v>33</v>
      </c>
      <c r="P954" t="s">
        <v>34</v>
      </c>
      <c r="Q954" t="s">
        <v>34</v>
      </c>
      <c r="R954" t="s">
        <v>34</v>
      </c>
      <c r="S954" t="s">
        <v>34</v>
      </c>
      <c r="T954" s="117">
        <v>0</v>
      </c>
      <c r="U954" s="209" t="s">
        <v>94</v>
      </c>
    </row>
    <row r="955" spans="1:21" ht="14.5" customHeight="1" x14ac:dyDescent="0.35">
      <c r="A955" t="s">
        <v>19</v>
      </c>
      <c r="B955" t="s">
        <v>26</v>
      </c>
      <c r="C955" s="1">
        <v>45449</v>
      </c>
      <c r="D955">
        <f t="shared" si="61"/>
        <v>6</v>
      </c>
      <c r="E955">
        <f t="shared" si="62"/>
        <v>6</v>
      </c>
      <c r="F955">
        <f t="shared" si="63"/>
        <v>2024</v>
      </c>
      <c r="G955" t="s">
        <v>73</v>
      </c>
      <c r="H955" s="98">
        <v>10585</v>
      </c>
      <c r="I955" s="29">
        <v>94596.35</v>
      </c>
      <c r="J955" s="12" t="s">
        <v>51</v>
      </c>
      <c r="K955" s="29">
        <f t="shared" si="65"/>
        <v>103091.10223000002</v>
      </c>
      <c r="L955">
        <v>1.0898000000000001</v>
      </c>
      <c r="M955" s="29">
        <v>0</v>
      </c>
      <c r="N955" t="s">
        <v>32</v>
      </c>
      <c r="O955" t="s">
        <v>33</v>
      </c>
      <c r="P955" t="s">
        <v>34</v>
      </c>
      <c r="Q955" t="s">
        <v>34</v>
      </c>
      <c r="R955" t="s">
        <v>34</v>
      </c>
      <c r="S955" t="s">
        <v>34</v>
      </c>
      <c r="T955" s="117">
        <v>0</v>
      </c>
      <c r="U955" s="209" t="s">
        <v>94</v>
      </c>
    </row>
    <row r="956" spans="1:21" ht="14.5" customHeight="1" x14ac:dyDescent="0.35">
      <c r="A956" t="s">
        <v>19</v>
      </c>
      <c r="B956" t="s">
        <v>26</v>
      </c>
      <c r="C956" s="1">
        <v>45449</v>
      </c>
      <c r="D956">
        <f t="shared" si="61"/>
        <v>6</v>
      </c>
      <c r="E956">
        <f t="shared" si="62"/>
        <v>6</v>
      </c>
      <c r="F956">
        <f t="shared" si="63"/>
        <v>2024</v>
      </c>
      <c r="G956" t="s">
        <v>73</v>
      </c>
      <c r="H956" s="98">
        <v>10603</v>
      </c>
      <c r="I956" s="29">
        <v>28205.81</v>
      </c>
      <c r="J956" s="12" t="s">
        <v>51</v>
      </c>
      <c r="K956" s="29">
        <f t="shared" si="65"/>
        <v>30738.691738000005</v>
      </c>
      <c r="L956">
        <v>1.0898000000000001</v>
      </c>
      <c r="M956" s="29">
        <v>0</v>
      </c>
      <c r="N956" t="s">
        <v>32</v>
      </c>
      <c r="O956" t="s">
        <v>33</v>
      </c>
      <c r="P956" t="s">
        <v>34</v>
      </c>
      <c r="Q956" t="s">
        <v>34</v>
      </c>
      <c r="R956" t="s">
        <v>34</v>
      </c>
      <c r="S956" t="s">
        <v>34</v>
      </c>
      <c r="T956" s="117">
        <v>0</v>
      </c>
      <c r="U956" s="209" t="s">
        <v>94</v>
      </c>
    </row>
    <row r="957" spans="1:21" ht="14.5" customHeight="1" x14ac:dyDescent="0.35">
      <c r="A957" t="s">
        <v>19</v>
      </c>
      <c r="B957" t="s">
        <v>26</v>
      </c>
      <c r="C957" s="1">
        <v>45449</v>
      </c>
      <c r="D957">
        <f t="shared" si="61"/>
        <v>6</v>
      </c>
      <c r="E957">
        <f t="shared" si="62"/>
        <v>6</v>
      </c>
      <c r="F957">
        <f t="shared" si="63"/>
        <v>2024</v>
      </c>
      <c r="G957" t="s">
        <v>187</v>
      </c>
      <c r="H957" s="98">
        <v>0</v>
      </c>
      <c r="I957" s="90">
        <v>20591.330000000002</v>
      </c>
      <c r="J957" s="12" t="s">
        <v>51</v>
      </c>
      <c r="K957" s="29">
        <f t="shared" si="65"/>
        <v>22440.431434000006</v>
      </c>
      <c r="L957">
        <v>1.0898000000000001</v>
      </c>
      <c r="M957" s="29">
        <v>0</v>
      </c>
      <c r="N957" t="s">
        <v>32</v>
      </c>
      <c r="O957" t="s">
        <v>33</v>
      </c>
      <c r="P957" t="s">
        <v>34</v>
      </c>
      <c r="Q957" t="s">
        <v>34</v>
      </c>
      <c r="R957" t="s">
        <v>34</v>
      </c>
      <c r="S957" t="s">
        <v>34</v>
      </c>
      <c r="T957" s="117">
        <v>0</v>
      </c>
      <c r="U957" s="209" t="s">
        <v>94</v>
      </c>
    </row>
    <row r="958" spans="1:21" ht="14.5" customHeight="1" x14ac:dyDescent="0.35">
      <c r="A958" t="s">
        <v>20</v>
      </c>
      <c r="B958" t="s">
        <v>25</v>
      </c>
      <c r="C958" s="1">
        <v>45450</v>
      </c>
      <c r="D958">
        <f t="shared" si="61"/>
        <v>7</v>
      </c>
      <c r="E958">
        <f t="shared" si="62"/>
        <v>6</v>
      </c>
      <c r="F958">
        <f t="shared" si="63"/>
        <v>2024</v>
      </c>
      <c r="G958" t="s">
        <v>49</v>
      </c>
      <c r="H958" s="98">
        <v>10137</v>
      </c>
      <c r="I958" s="29">
        <v>40331.46</v>
      </c>
      <c r="J958" s="12" t="s">
        <v>51</v>
      </c>
      <c r="K958" s="29">
        <f t="shared" si="65"/>
        <v>43880.628479999999</v>
      </c>
      <c r="L958" s="2">
        <v>1.0880000000000001</v>
      </c>
      <c r="M958" s="29">
        <v>0</v>
      </c>
      <c r="N958" t="s">
        <v>32</v>
      </c>
      <c r="O958" t="s">
        <v>33</v>
      </c>
      <c r="P958" t="s">
        <v>34</v>
      </c>
      <c r="Q958" t="s">
        <v>34</v>
      </c>
      <c r="R958" t="s">
        <v>34</v>
      </c>
      <c r="S958" t="s">
        <v>34</v>
      </c>
      <c r="T958" s="117">
        <v>0</v>
      </c>
    </row>
    <row r="959" spans="1:21" ht="14.5" customHeight="1" x14ac:dyDescent="0.35">
      <c r="A959" t="s">
        <v>20</v>
      </c>
      <c r="B959" t="s">
        <v>223</v>
      </c>
      <c r="C959" s="1">
        <v>45450</v>
      </c>
      <c r="D959">
        <f t="shared" si="61"/>
        <v>7</v>
      </c>
      <c r="E959">
        <f t="shared" si="62"/>
        <v>6</v>
      </c>
      <c r="F959">
        <f t="shared" si="63"/>
        <v>2024</v>
      </c>
      <c r="G959" t="s">
        <v>223</v>
      </c>
      <c r="H959" s="98">
        <v>10442</v>
      </c>
      <c r="I959" s="29">
        <v>10296.5</v>
      </c>
      <c r="J959" s="12" t="s">
        <v>51</v>
      </c>
      <c r="K959" s="29">
        <f t="shared" si="65"/>
        <v>11154.19845</v>
      </c>
      <c r="L959">
        <v>1.0832999999999999</v>
      </c>
      <c r="M959" s="29">
        <v>0</v>
      </c>
      <c r="N959" t="s">
        <v>32</v>
      </c>
      <c r="O959" t="s">
        <v>186</v>
      </c>
      <c r="P959" s="1">
        <v>45448</v>
      </c>
      <c r="Q959" t="s">
        <v>34</v>
      </c>
      <c r="R959">
        <v>10010014384</v>
      </c>
      <c r="S959" t="s">
        <v>34</v>
      </c>
      <c r="T959" s="117">
        <v>0</v>
      </c>
    </row>
    <row r="960" spans="1:21" ht="14.5" customHeight="1" x14ac:dyDescent="0.35">
      <c r="A960" t="s">
        <v>19</v>
      </c>
      <c r="B960" t="s">
        <v>23</v>
      </c>
      <c r="C960" s="1">
        <v>45455</v>
      </c>
      <c r="D960">
        <f t="shared" si="61"/>
        <v>12</v>
      </c>
      <c r="E960">
        <f t="shared" si="62"/>
        <v>6</v>
      </c>
      <c r="F960">
        <f t="shared" si="63"/>
        <v>2024</v>
      </c>
      <c r="G960" t="s">
        <v>74</v>
      </c>
      <c r="H960" s="98">
        <v>10366</v>
      </c>
      <c r="I960" s="76">
        <v>15667.15</v>
      </c>
      <c r="J960" s="12" t="s">
        <v>31</v>
      </c>
      <c r="K960" s="76">
        <f t="shared" si="65"/>
        <v>15667.15</v>
      </c>
      <c r="L960">
        <v>1</v>
      </c>
      <c r="M960" s="29">
        <v>0</v>
      </c>
      <c r="N960" t="s">
        <v>32</v>
      </c>
      <c r="O960" t="s">
        <v>33</v>
      </c>
      <c r="P960" t="s">
        <v>34</v>
      </c>
      <c r="Q960" t="s">
        <v>34</v>
      </c>
      <c r="R960" t="s">
        <v>34</v>
      </c>
      <c r="S960" t="s">
        <v>34</v>
      </c>
      <c r="T960" s="117">
        <v>0</v>
      </c>
    </row>
    <row r="961" spans="1:20" ht="14.5" customHeight="1" x14ac:dyDescent="0.35">
      <c r="A961" t="s">
        <v>19</v>
      </c>
      <c r="B961" t="s">
        <v>25</v>
      </c>
      <c r="C961" s="1">
        <v>45455</v>
      </c>
      <c r="D961">
        <f t="shared" si="61"/>
        <v>12</v>
      </c>
      <c r="E961">
        <f t="shared" si="62"/>
        <v>6</v>
      </c>
      <c r="F961">
        <f t="shared" si="63"/>
        <v>2024</v>
      </c>
      <c r="G961" t="s">
        <v>78</v>
      </c>
      <c r="H961" s="98">
        <v>0</v>
      </c>
      <c r="I961" s="76">
        <v>90</v>
      </c>
      <c r="J961" s="12" t="s">
        <v>51</v>
      </c>
      <c r="K961" s="76">
        <f t="shared" si="65"/>
        <v>97.892999999999986</v>
      </c>
      <c r="L961">
        <v>1.0876999999999999</v>
      </c>
      <c r="M961" s="29">
        <v>0</v>
      </c>
      <c r="N961" t="s">
        <v>32</v>
      </c>
      <c r="O961" t="s">
        <v>33</v>
      </c>
      <c r="P961" t="s">
        <v>34</v>
      </c>
      <c r="Q961" t="s">
        <v>34</v>
      </c>
      <c r="R961" t="s">
        <v>34</v>
      </c>
      <c r="S961" t="s">
        <v>34</v>
      </c>
      <c r="T961" s="117">
        <v>0</v>
      </c>
    </row>
    <row r="962" spans="1:20" ht="14.5" customHeight="1" x14ac:dyDescent="0.35">
      <c r="A962" t="s">
        <v>19</v>
      </c>
      <c r="B962" t="s">
        <v>25</v>
      </c>
      <c r="C962" s="1">
        <v>45455</v>
      </c>
      <c r="D962">
        <f t="shared" ref="D962:D1025" si="66">DAY(C962)</f>
        <v>12</v>
      </c>
      <c r="E962">
        <f t="shared" ref="E962:E1025" si="67">MONTH(C962)</f>
        <v>6</v>
      </c>
      <c r="F962">
        <f t="shared" ref="F962:F1025" si="68">YEAR(C962)</f>
        <v>2024</v>
      </c>
      <c r="G962" t="s">
        <v>36</v>
      </c>
      <c r="H962" s="98">
        <v>10258</v>
      </c>
      <c r="I962" s="76">
        <v>98853</v>
      </c>
      <c r="J962" s="12" t="s">
        <v>31</v>
      </c>
      <c r="K962" s="76">
        <f t="shared" si="65"/>
        <v>98853</v>
      </c>
      <c r="L962">
        <v>1</v>
      </c>
      <c r="M962" s="29">
        <v>0</v>
      </c>
      <c r="N962" t="s">
        <v>32</v>
      </c>
      <c r="O962" t="s">
        <v>33</v>
      </c>
      <c r="P962" t="s">
        <v>34</v>
      </c>
      <c r="Q962" t="s">
        <v>34</v>
      </c>
      <c r="R962" t="s">
        <v>34</v>
      </c>
      <c r="S962" t="s">
        <v>34</v>
      </c>
      <c r="T962" s="117">
        <v>0</v>
      </c>
    </row>
    <row r="963" spans="1:20" ht="14.5" customHeight="1" x14ac:dyDescent="0.35">
      <c r="A963" t="s">
        <v>19</v>
      </c>
      <c r="B963" t="s">
        <v>25</v>
      </c>
      <c r="C963" s="1">
        <v>45455</v>
      </c>
      <c r="D963">
        <f t="shared" si="66"/>
        <v>12</v>
      </c>
      <c r="E963">
        <f t="shared" si="67"/>
        <v>6</v>
      </c>
      <c r="F963">
        <f t="shared" si="68"/>
        <v>2024</v>
      </c>
      <c r="G963" t="s">
        <v>29</v>
      </c>
      <c r="H963" s="98">
        <v>9546</v>
      </c>
      <c r="I963" s="76">
        <v>3734.78</v>
      </c>
      <c r="J963" s="12" t="s">
        <v>31</v>
      </c>
      <c r="K963" s="76">
        <f t="shared" si="65"/>
        <v>3734.78</v>
      </c>
      <c r="L963">
        <v>1</v>
      </c>
      <c r="M963" s="29">
        <v>0</v>
      </c>
      <c r="N963" t="s">
        <v>32</v>
      </c>
      <c r="O963" t="s">
        <v>33</v>
      </c>
      <c r="P963" t="s">
        <v>34</v>
      </c>
      <c r="Q963" t="s">
        <v>34</v>
      </c>
      <c r="R963" t="s">
        <v>34</v>
      </c>
      <c r="S963" t="s">
        <v>34</v>
      </c>
      <c r="T963" s="117">
        <v>0</v>
      </c>
    </row>
    <row r="964" spans="1:20" ht="14.5" customHeight="1" x14ac:dyDescent="0.35">
      <c r="A964" t="s">
        <v>19</v>
      </c>
      <c r="B964" t="s">
        <v>23</v>
      </c>
      <c r="C964" s="1">
        <v>45455</v>
      </c>
      <c r="D964">
        <f t="shared" si="66"/>
        <v>12</v>
      </c>
      <c r="E964">
        <f t="shared" si="67"/>
        <v>6</v>
      </c>
      <c r="F964">
        <f t="shared" si="68"/>
        <v>2024</v>
      </c>
      <c r="G964" t="s">
        <v>39</v>
      </c>
      <c r="H964" s="98">
        <v>10052</v>
      </c>
      <c r="I964" s="76">
        <v>8857</v>
      </c>
      <c r="J964" s="12" t="s">
        <v>31</v>
      </c>
      <c r="K964" s="76">
        <f t="shared" si="65"/>
        <v>8857</v>
      </c>
      <c r="L964">
        <v>1</v>
      </c>
      <c r="M964" s="29">
        <v>0</v>
      </c>
      <c r="N964" t="s">
        <v>32</v>
      </c>
      <c r="O964" t="s">
        <v>33</v>
      </c>
      <c r="P964" t="s">
        <v>34</v>
      </c>
      <c r="Q964" t="s">
        <v>34</v>
      </c>
      <c r="R964" t="s">
        <v>34</v>
      </c>
      <c r="S964" t="s">
        <v>34</v>
      </c>
      <c r="T964" s="117">
        <v>0</v>
      </c>
    </row>
    <row r="965" spans="1:20" ht="14.5" customHeight="1" x14ac:dyDescent="0.35">
      <c r="A965" t="s">
        <v>19</v>
      </c>
      <c r="B965" t="s">
        <v>25</v>
      </c>
      <c r="C965" s="1">
        <v>45455</v>
      </c>
      <c r="D965">
        <f t="shared" si="66"/>
        <v>12</v>
      </c>
      <c r="E965">
        <f t="shared" si="67"/>
        <v>6</v>
      </c>
      <c r="F965">
        <f t="shared" si="68"/>
        <v>2024</v>
      </c>
      <c r="G965" t="s">
        <v>38</v>
      </c>
      <c r="H965" s="98">
        <v>10406</v>
      </c>
      <c r="I965" s="76">
        <v>47000.49</v>
      </c>
      <c r="J965" s="12" t="s">
        <v>31</v>
      </c>
      <c r="K965" s="76">
        <f t="shared" si="65"/>
        <v>47000.49</v>
      </c>
      <c r="L965">
        <v>1</v>
      </c>
      <c r="M965" s="29">
        <v>0</v>
      </c>
      <c r="N965" t="s">
        <v>32</v>
      </c>
      <c r="O965" t="s">
        <v>33</v>
      </c>
      <c r="P965" t="s">
        <v>34</v>
      </c>
      <c r="Q965" t="s">
        <v>34</v>
      </c>
      <c r="R965" t="s">
        <v>34</v>
      </c>
      <c r="S965" t="s">
        <v>34</v>
      </c>
      <c r="T965" s="117">
        <v>0</v>
      </c>
    </row>
    <row r="966" spans="1:20" ht="14.5" customHeight="1" x14ac:dyDescent="0.35">
      <c r="A966" t="s">
        <v>19</v>
      </c>
      <c r="B966" t="s">
        <v>25</v>
      </c>
      <c r="C966" s="1">
        <v>45455</v>
      </c>
      <c r="D966">
        <f t="shared" si="66"/>
        <v>12</v>
      </c>
      <c r="E966">
        <f t="shared" si="67"/>
        <v>6</v>
      </c>
      <c r="F966">
        <f t="shared" si="68"/>
        <v>2024</v>
      </c>
      <c r="G966" t="s">
        <v>38</v>
      </c>
      <c r="H966" s="98">
        <v>10417</v>
      </c>
      <c r="I966" s="76">
        <v>28940.9</v>
      </c>
      <c r="J966" s="12" t="s">
        <v>31</v>
      </c>
      <c r="K966" s="76">
        <f t="shared" si="65"/>
        <v>28940.9</v>
      </c>
      <c r="L966">
        <v>1</v>
      </c>
      <c r="M966" s="29">
        <v>0</v>
      </c>
      <c r="N966" t="s">
        <v>32</v>
      </c>
      <c r="O966" t="s">
        <v>33</v>
      </c>
      <c r="P966" t="s">
        <v>34</v>
      </c>
      <c r="Q966" t="s">
        <v>34</v>
      </c>
      <c r="R966" t="s">
        <v>34</v>
      </c>
      <c r="S966" t="s">
        <v>34</v>
      </c>
      <c r="T966" s="117">
        <v>0</v>
      </c>
    </row>
    <row r="967" spans="1:20" ht="14.5" customHeight="1" x14ac:dyDescent="0.35">
      <c r="A967" t="s">
        <v>20</v>
      </c>
      <c r="B967" t="s">
        <v>25</v>
      </c>
      <c r="C967" s="1">
        <v>45455</v>
      </c>
      <c r="D967">
        <f t="shared" si="66"/>
        <v>12</v>
      </c>
      <c r="E967">
        <f t="shared" si="67"/>
        <v>6</v>
      </c>
      <c r="F967">
        <f t="shared" si="68"/>
        <v>2024</v>
      </c>
      <c r="G967" t="s">
        <v>299</v>
      </c>
      <c r="H967" s="98">
        <v>10740</v>
      </c>
      <c r="I967" s="29">
        <v>96</v>
      </c>
      <c r="J967" s="12" t="s">
        <v>31</v>
      </c>
      <c r="K967" s="29">
        <f t="shared" si="65"/>
        <v>96</v>
      </c>
      <c r="L967">
        <v>1</v>
      </c>
      <c r="M967" s="29">
        <v>0</v>
      </c>
      <c r="N967" t="s">
        <v>42</v>
      </c>
      <c r="O967" t="s">
        <v>33</v>
      </c>
      <c r="P967" t="s">
        <v>34</v>
      </c>
      <c r="Q967" t="s">
        <v>34</v>
      </c>
      <c r="R967" t="s">
        <v>34</v>
      </c>
      <c r="S967" t="s">
        <v>34</v>
      </c>
      <c r="T967" s="117">
        <v>0</v>
      </c>
    </row>
    <row r="968" spans="1:20" ht="14.5" customHeight="1" x14ac:dyDescent="0.35">
      <c r="A968" t="s">
        <v>20</v>
      </c>
      <c r="B968" t="s">
        <v>25</v>
      </c>
      <c r="C968" s="1">
        <v>45455</v>
      </c>
      <c r="D968">
        <f t="shared" si="66"/>
        <v>12</v>
      </c>
      <c r="E968">
        <f t="shared" si="67"/>
        <v>6</v>
      </c>
      <c r="F968">
        <f t="shared" si="68"/>
        <v>2024</v>
      </c>
      <c r="G968" t="s">
        <v>299</v>
      </c>
      <c r="H968" s="98">
        <v>10741</v>
      </c>
      <c r="I968" s="29">
        <v>2088</v>
      </c>
      <c r="J968" s="12" t="s">
        <v>31</v>
      </c>
      <c r="K968" s="29">
        <f t="shared" si="65"/>
        <v>2088</v>
      </c>
      <c r="L968">
        <v>1</v>
      </c>
      <c r="M968" s="29">
        <v>0</v>
      </c>
      <c r="N968" t="s">
        <v>42</v>
      </c>
      <c r="O968" t="s">
        <v>33</v>
      </c>
      <c r="P968" t="s">
        <v>34</v>
      </c>
      <c r="Q968" t="s">
        <v>34</v>
      </c>
      <c r="R968" t="s">
        <v>34</v>
      </c>
      <c r="S968" t="s">
        <v>34</v>
      </c>
      <c r="T968" s="117">
        <v>0</v>
      </c>
    </row>
    <row r="969" spans="1:20" ht="14.5" customHeight="1" x14ac:dyDescent="0.35">
      <c r="A969" t="s">
        <v>20</v>
      </c>
      <c r="B969" t="s">
        <v>25</v>
      </c>
      <c r="C969" s="1">
        <v>45455</v>
      </c>
      <c r="D969">
        <f t="shared" si="66"/>
        <v>12</v>
      </c>
      <c r="E969">
        <f t="shared" si="67"/>
        <v>6</v>
      </c>
      <c r="F969">
        <f t="shared" si="68"/>
        <v>2024</v>
      </c>
      <c r="G969" t="s">
        <v>81</v>
      </c>
      <c r="H969" s="98">
        <v>10737</v>
      </c>
      <c r="I969" s="29">
        <v>6350</v>
      </c>
      <c r="J969" s="12" t="s">
        <v>31</v>
      </c>
      <c r="K969" s="29">
        <f t="shared" si="65"/>
        <v>6350</v>
      </c>
      <c r="L969">
        <v>1</v>
      </c>
      <c r="M969" s="29">
        <v>0</v>
      </c>
      <c r="N969" t="s">
        <v>42</v>
      </c>
      <c r="O969" t="s">
        <v>33</v>
      </c>
      <c r="P969" t="s">
        <v>34</v>
      </c>
      <c r="Q969" t="s">
        <v>34</v>
      </c>
      <c r="R969" t="s">
        <v>34</v>
      </c>
      <c r="S969" t="s">
        <v>34</v>
      </c>
      <c r="T969" s="117">
        <v>0</v>
      </c>
    </row>
    <row r="970" spans="1:20" ht="14.5" customHeight="1" x14ac:dyDescent="0.35">
      <c r="A970" t="s">
        <v>20</v>
      </c>
      <c r="B970" t="s">
        <v>25</v>
      </c>
      <c r="C970" s="1">
        <v>45455</v>
      </c>
      <c r="D970">
        <f t="shared" si="66"/>
        <v>12</v>
      </c>
      <c r="E970">
        <f t="shared" si="67"/>
        <v>6</v>
      </c>
      <c r="F970">
        <f t="shared" si="68"/>
        <v>2024</v>
      </c>
      <c r="G970" t="s">
        <v>81</v>
      </c>
      <c r="H970" s="98">
        <v>10739</v>
      </c>
      <c r="I970" s="29">
        <v>2900</v>
      </c>
      <c r="J970" s="12" t="s">
        <v>31</v>
      </c>
      <c r="K970" s="29">
        <f t="shared" si="65"/>
        <v>2900</v>
      </c>
      <c r="L970">
        <v>1</v>
      </c>
      <c r="M970" s="29">
        <v>0</v>
      </c>
      <c r="N970" t="s">
        <v>42</v>
      </c>
      <c r="O970" t="s">
        <v>33</v>
      </c>
      <c r="P970" t="s">
        <v>34</v>
      </c>
      <c r="Q970" t="s">
        <v>34</v>
      </c>
      <c r="R970" t="s">
        <v>34</v>
      </c>
      <c r="S970" t="s">
        <v>34</v>
      </c>
      <c r="T970" s="117">
        <v>0</v>
      </c>
    </row>
    <row r="971" spans="1:20" ht="14.5" customHeight="1" x14ac:dyDescent="0.35">
      <c r="A971" t="s">
        <v>20</v>
      </c>
      <c r="B971" t="s">
        <v>25</v>
      </c>
      <c r="C971" s="1">
        <v>45455</v>
      </c>
      <c r="D971">
        <f t="shared" si="66"/>
        <v>12</v>
      </c>
      <c r="E971">
        <f t="shared" si="67"/>
        <v>6</v>
      </c>
      <c r="F971">
        <f t="shared" si="68"/>
        <v>2024</v>
      </c>
      <c r="G971" t="s">
        <v>300</v>
      </c>
      <c r="H971" s="98">
        <v>10728</v>
      </c>
      <c r="I971" s="29">
        <v>30.96</v>
      </c>
      <c r="J971" s="12" t="s">
        <v>31</v>
      </c>
      <c r="K971" s="29">
        <f t="shared" si="65"/>
        <v>30.96</v>
      </c>
      <c r="L971">
        <v>1</v>
      </c>
      <c r="M971" s="29">
        <v>0</v>
      </c>
      <c r="N971" t="s">
        <v>42</v>
      </c>
      <c r="O971" t="s">
        <v>33</v>
      </c>
      <c r="P971" t="s">
        <v>34</v>
      </c>
      <c r="Q971" t="s">
        <v>34</v>
      </c>
      <c r="R971" t="s">
        <v>34</v>
      </c>
      <c r="S971" t="s">
        <v>34</v>
      </c>
      <c r="T971" s="117">
        <v>0</v>
      </c>
    </row>
    <row r="972" spans="1:20" ht="14.5" customHeight="1" x14ac:dyDescent="0.35">
      <c r="A972" t="s">
        <v>20</v>
      </c>
      <c r="B972" t="s">
        <v>25</v>
      </c>
      <c r="C972" s="1">
        <v>45455</v>
      </c>
      <c r="D972">
        <f t="shared" si="66"/>
        <v>12</v>
      </c>
      <c r="E972">
        <f t="shared" si="67"/>
        <v>6</v>
      </c>
      <c r="F972">
        <f t="shared" si="68"/>
        <v>2024</v>
      </c>
      <c r="G972" t="s">
        <v>300</v>
      </c>
      <c r="H972" s="98">
        <v>10729</v>
      </c>
      <c r="I972" s="29">
        <v>1984</v>
      </c>
      <c r="J972" s="12" t="s">
        <v>31</v>
      </c>
      <c r="K972" s="29">
        <f t="shared" si="65"/>
        <v>1984</v>
      </c>
      <c r="L972">
        <v>1</v>
      </c>
      <c r="M972" s="29">
        <v>0</v>
      </c>
      <c r="N972" t="s">
        <v>42</v>
      </c>
      <c r="O972" t="s">
        <v>33</v>
      </c>
      <c r="P972" t="s">
        <v>34</v>
      </c>
      <c r="Q972" t="s">
        <v>34</v>
      </c>
      <c r="R972" t="s">
        <v>34</v>
      </c>
      <c r="S972" t="s">
        <v>34</v>
      </c>
      <c r="T972" s="117">
        <v>0</v>
      </c>
    </row>
    <row r="973" spans="1:20" ht="14.5" customHeight="1" x14ac:dyDescent="0.35">
      <c r="A973" t="s">
        <v>20</v>
      </c>
      <c r="B973" t="s">
        <v>23</v>
      </c>
      <c r="C973" s="1">
        <v>45455</v>
      </c>
      <c r="D973">
        <f t="shared" si="66"/>
        <v>12</v>
      </c>
      <c r="E973">
        <f t="shared" si="67"/>
        <v>6</v>
      </c>
      <c r="F973">
        <f t="shared" si="68"/>
        <v>2024</v>
      </c>
      <c r="G973" t="s">
        <v>82</v>
      </c>
      <c r="H973" s="98">
        <v>10064</v>
      </c>
      <c r="I973" s="29">
        <v>14131.05</v>
      </c>
      <c r="J973" s="12" t="s">
        <v>31</v>
      </c>
      <c r="K973" s="29">
        <f t="shared" si="65"/>
        <v>14131.05</v>
      </c>
      <c r="L973">
        <v>1</v>
      </c>
      <c r="M973" s="29">
        <v>0</v>
      </c>
      <c r="N973" t="s">
        <v>32</v>
      </c>
      <c r="O973" t="s">
        <v>33</v>
      </c>
      <c r="P973" t="s">
        <v>34</v>
      </c>
      <c r="Q973" t="s">
        <v>34</v>
      </c>
      <c r="R973" t="s">
        <v>34</v>
      </c>
      <c r="S973" t="s">
        <v>34</v>
      </c>
      <c r="T973" s="117">
        <v>0</v>
      </c>
    </row>
    <row r="974" spans="1:20" ht="14.5" customHeight="1" x14ac:dyDescent="0.35">
      <c r="A974" t="s">
        <v>20</v>
      </c>
      <c r="B974" t="s">
        <v>23</v>
      </c>
      <c r="C974" s="1">
        <v>45455</v>
      </c>
      <c r="D974">
        <f t="shared" si="66"/>
        <v>12</v>
      </c>
      <c r="E974">
        <f t="shared" si="67"/>
        <v>6</v>
      </c>
      <c r="F974">
        <f t="shared" si="68"/>
        <v>2024</v>
      </c>
      <c r="G974" t="s">
        <v>43</v>
      </c>
      <c r="H974" s="98">
        <v>10397</v>
      </c>
      <c r="I974" s="29">
        <v>10927.09</v>
      </c>
      <c r="J974" s="12" t="s">
        <v>31</v>
      </c>
      <c r="K974" s="29">
        <f t="shared" si="65"/>
        <v>10927.09</v>
      </c>
      <c r="L974">
        <v>1</v>
      </c>
      <c r="M974" s="29">
        <v>0</v>
      </c>
      <c r="N974" t="s">
        <v>42</v>
      </c>
      <c r="O974" t="s">
        <v>33</v>
      </c>
      <c r="P974" t="s">
        <v>34</v>
      </c>
      <c r="Q974" t="s">
        <v>34</v>
      </c>
      <c r="R974" t="s">
        <v>34</v>
      </c>
      <c r="S974" t="s">
        <v>34</v>
      </c>
      <c r="T974" s="117">
        <v>0</v>
      </c>
    </row>
    <row r="975" spans="1:20" ht="14.5" customHeight="1" x14ac:dyDescent="0.35">
      <c r="A975" t="s">
        <v>20</v>
      </c>
      <c r="B975" t="s">
        <v>21</v>
      </c>
      <c r="C975" s="1">
        <v>45455</v>
      </c>
      <c r="D975">
        <f t="shared" si="66"/>
        <v>12</v>
      </c>
      <c r="E975">
        <f t="shared" si="67"/>
        <v>6</v>
      </c>
      <c r="F975">
        <f t="shared" si="68"/>
        <v>2024</v>
      </c>
      <c r="G975" t="s">
        <v>43</v>
      </c>
      <c r="H975" s="98">
        <v>10228</v>
      </c>
      <c r="I975" s="29">
        <v>23822.68</v>
      </c>
      <c r="J975" s="12" t="s">
        <v>31</v>
      </c>
      <c r="K975" s="29">
        <f t="shared" si="65"/>
        <v>23822.68</v>
      </c>
      <c r="L975">
        <v>1</v>
      </c>
      <c r="M975" s="29">
        <v>0</v>
      </c>
      <c r="N975" t="s">
        <v>32</v>
      </c>
      <c r="O975" t="s">
        <v>33</v>
      </c>
      <c r="P975" t="s">
        <v>34</v>
      </c>
      <c r="Q975" t="s">
        <v>34</v>
      </c>
      <c r="R975" t="s">
        <v>34</v>
      </c>
      <c r="S975" t="s">
        <v>34</v>
      </c>
      <c r="T975" s="117">
        <v>0</v>
      </c>
    </row>
    <row r="976" spans="1:20" ht="14.5" customHeight="1" x14ac:dyDescent="0.35">
      <c r="A976" t="s">
        <v>20</v>
      </c>
      <c r="B976" t="s">
        <v>25</v>
      </c>
      <c r="C976" s="1">
        <v>45455</v>
      </c>
      <c r="D976">
        <f t="shared" si="66"/>
        <v>12</v>
      </c>
      <c r="E976">
        <f t="shared" si="67"/>
        <v>6</v>
      </c>
      <c r="F976">
        <f t="shared" si="68"/>
        <v>2024</v>
      </c>
      <c r="G976" t="s">
        <v>99</v>
      </c>
      <c r="H976" s="98">
        <v>10295</v>
      </c>
      <c r="I976" s="29">
        <v>5193.79</v>
      </c>
      <c r="J976" s="12" t="s">
        <v>31</v>
      </c>
      <c r="K976" s="29">
        <f t="shared" si="65"/>
        <v>5193.79</v>
      </c>
      <c r="L976">
        <v>1</v>
      </c>
      <c r="M976" s="29">
        <v>0</v>
      </c>
      <c r="N976" t="s">
        <v>32</v>
      </c>
      <c r="O976" t="s">
        <v>33</v>
      </c>
      <c r="P976" t="s">
        <v>34</v>
      </c>
      <c r="Q976" t="s">
        <v>34</v>
      </c>
      <c r="R976" t="s">
        <v>34</v>
      </c>
      <c r="S976" t="s">
        <v>34</v>
      </c>
      <c r="T976" s="117">
        <v>0</v>
      </c>
    </row>
    <row r="977" spans="1:21" ht="14.5" customHeight="1" x14ac:dyDescent="0.35">
      <c r="A977" t="s">
        <v>20</v>
      </c>
      <c r="B977" t="s">
        <v>23</v>
      </c>
      <c r="C977" s="1">
        <v>45455</v>
      </c>
      <c r="D977">
        <f t="shared" si="66"/>
        <v>12</v>
      </c>
      <c r="E977">
        <f t="shared" si="67"/>
        <v>6</v>
      </c>
      <c r="F977">
        <f t="shared" si="68"/>
        <v>2024</v>
      </c>
      <c r="G977" t="s">
        <v>99</v>
      </c>
      <c r="H977" s="98">
        <v>10273</v>
      </c>
      <c r="I977" s="29">
        <v>40.4</v>
      </c>
      <c r="J977" s="12" t="s">
        <v>31</v>
      </c>
      <c r="K977" s="29">
        <f t="shared" si="65"/>
        <v>40.4</v>
      </c>
      <c r="L977">
        <v>1</v>
      </c>
      <c r="M977" s="29">
        <v>0</v>
      </c>
      <c r="N977" t="s">
        <v>32</v>
      </c>
      <c r="O977" t="s">
        <v>33</v>
      </c>
      <c r="P977" t="s">
        <v>34</v>
      </c>
      <c r="Q977" t="s">
        <v>34</v>
      </c>
      <c r="R977" t="s">
        <v>34</v>
      </c>
      <c r="S977" t="s">
        <v>34</v>
      </c>
      <c r="T977" s="117">
        <v>0</v>
      </c>
    </row>
    <row r="978" spans="1:21" ht="14.5" customHeight="1" x14ac:dyDescent="0.35">
      <c r="A978" t="s">
        <v>20</v>
      </c>
      <c r="B978" t="s">
        <v>23</v>
      </c>
      <c r="C978" s="1">
        <v>45455</v>
      </c>
      <c r="D978">
        <f t="shared" si="66"/>
        <v>12</v>
      </c>
      <c r="E978">
        <f t="shared" si="67"/>
        <v>6</v>
      </c>
      <c r="F978">
        <f t="shared" si="68"/>
        <v>2024</v>
      </c>
      <c r="G978" t="s">
        <v>99</v>
      </c>
      <c r="H978" s="98">
        <v>10274</v>
      </c>
      <c r="I978" s="29">
        <v>11753.01</v>
      </c>
      <c r="J978" s="12" t="s">
        <v>31</v>
      </c>
      <c r="K978" s="29">
        <f t="shared" si="65"/>
        <v>11753.01</v>
      </c>
      <c r="L978">
        <v>1</v>
      </c>
      <c r="M978" s="29">
        <v>0</v>
      </c>
      <c r="N978" t="s">
        <v>32</v>
      </c>
      <c r="O978" t="s">
        <v>33</v>
      </c>
      <c r="P978" t="s">
        <v>34</v>
      </c>
      <c r="Q978" t="s">
        <v>34</v>
      </c>
      <c r="R978" t="s">
        <v>34</v>
      </c>
      <c r="S978" t="s">
        <v>34</v>
      </c>
      <c r="T978" s="117">
        <v>0</v>
      </c>
    </row>
    <row r="979" spans="1:21" ht="14.5" customHeight="1" x14ac:dyDescent="0.35">
      <c r="A979" t="s">
        <v>20</v>
      </c>
      <c r="B979" t="s">
        <v>24</v>
      </c>
      <c r="C979" s="1">
        <v>45455</v>
      </c>
      <c r="D979">
        <f t="shared" si="66"/>
        <v>12</v>
      </c>
      <c r="E979">
        <f t="shared" si="67"/>
        <v>6</v>
      </c>
      <c r="F979">
        <f t="shared" si="68"/>
        <v>2024</v>
      </c>
      <c r="G979" t="s">
        <v>99</v>
      </c>
      <c r="H979" s="98">
        <v>10274</v>
      </c>
      <c r="I979" s="29">
        <v>18440.7</v>
      </c>
      <c r="J979" s="12" t="s">
        <v>31</v>
      </c>
      <c r="K979" s="29">
        <f t="shared" si="65"/>
        <v>18440.7</v>
      </c>
      <c r="L979">
        <v>1</v>
      </c>
      <c r="M979" s="29">
        <v>0</v>
      </c>
      <c r="N979" t="s">
        <v>32</v>
      </c>
      <c r="O979" t="s">
        <v>33</v>
      </c>
      <c r="P979" t="s">
        <v>34</v>
      </c>
      <c r="Q979" t="s">
        <v>34</v>
      </c>
      <c r="R979" t="s">
        <v>34</v>
      </c>
      <c r="S979" t="s">
        <v>34</v>
      </c>
      <c r="T979" s="117">
        <v>0</v>
      </c>
    </row>
    <row r="980" spans="1:21" ht="14.5" customHeight="1" x14ac:dyDescent="0.35">
      <c r="A980" t="s">
        <v>20</v>
      </c>
      <c r="B980" t="s">
        <v>23</v>
      </c>
      <c r="C980" s="1">
        <v>45455</v>
      </c>
      <c r="D980">
        <f t="shared" si="66"/>
        <v>12</v>
      </c>
      <c r="E980">
        <f t="shared" si="67"/>
        <v>6</v>
      </c>
      <c r="F980">
        <f t="shared" si="68"/>
        <v>2024</v>
      </c>
      <c r="G980" t="s">
        <v>90</v>
      </c>
      <c r="H980" s="98">
        <v>10152</v>
      </c>
      <c r="I980" s="29">
        <v>13020.99</v>
      </c>
      <c r="J980" s="12" t="s">
        <v>31</v>
      </c>
      <c r="K980" s="29">
        <f t="shared" si="65"/>
        <v>13020.99</v>
      </c>
      <c r="L980">
        <v>1</v>
      </c>
      <c r="M980" s="29">
        <v>0</v>
      </c>
      <c r="N980" t="s">
        <v>32</v>
      </c>
      <c r="O980" t="s">
        <v>33</v>
      </c>
      <c r="P980" t="s">
        <v>34</v>
      </c>
      <c r="Q980" t="s">
        <v>34</v>
      </c>
      <c r="R980" t="s">
        <v>34</v>
      </c>
      <c r="S980" t="s">
        <v>34</v>
      </c>
      <c r="T980" s="117">
        <v>0</v>
      </c>
    </row>
    <row r="981" spans="1:21" ht="14.5" customHeight="1" x14ac:dyDescent="0.35">
      <c r="A981" t="s">
        <v>20</v>
      </c>
      <c r="B981" t="s">
        <v>24</v>
      </c>
      <c r="C981" s="1">
        <v>45455</v>
      </c>
      <c r="D981">
        <f t="shared" si="66"/>
        <v>12</v>
      </c>
      <c r="E981">
        <f t="shared" si="67"/>
        <v>6</v>
      </c>
      <c r="F981">
        <f t="shared" si="68"/>
        <v>2024</v>
      </c>
      <c r="G981" t="s">
        <v>90</v>
      </c>
      <c r="H981" s="98">
        <v>10152</v>
      </c>
      <c r="I981" s="29">
        <v>14364.34</v>
      </c>
      <c r="J981" s="12" t="s">
        <v>31</v>
      </c>
      <c r="K981" s="29">
        <f t="shared" si="65"/>
        <v>14364.34</v>
      </c>
      <c r="L981">
        <v>1</v>
      </c>
      <c r="M981" s="29">
        <v>0</v>
      </c>
      <c r="N981" t="s">
        <v>32</v>
      </c>
      <c r="O981" t="s">
        <v>33</v>
      </c>
      <c r="P981" t="s">
        <v>34</v>
      </c>
      <c r="Q981" t="s">
        <v>34</v>
      </c>
      <c r="R981" t="s">
        <v>34</v>
      </c>
      <c r="S981" t="s">
        <v>34</v>
      </c>
      <c r="T981" s="117">
        <v>0</v>
      </c>
    </row>
    <row r="982" spans="1:21" ht="14.5" customHeight="1" x14ac:dyDescent="0.35">
      <c r="A982" t="s">
        <v>20</v>
      </c>
      <c r="B982" t="s">
        <v>25</v>
      </c>
      <c r="C982" s="1">
        <v>45455</v>
      </c>
      <c r="D982">
        <f t="shared" si="66"/>
        <v>12</v>
      </c>
      <c r="E982">
        <f t="shared" si="67"/>
        <v>6</v>
      </c>
      <c r="F982">
        <f t="shared" si="68"/>
        <v>2024</v>
      </c>
      <c r="G982" t="s">
        <v>84</v>
      </c>
      <c r="H982" s="98">
        <v>10718</v>
      </c>
      <c r="I982" s="29">
        <v>154</v>
      </c>
      <c r="J982" s="12" t="s">
        <v>31</v>
      </c>
      <c r="K982" s="29">
        <f t="shared" si="65"/>
        <v>154</v>
      </c>
      <c r="L982">
        <v>1</v>
      </c>
      <c r="M982" s="29">
        <v>0</v>
      </c>
      <c r="N982" t="s">
        <v>42</v>
      </c>
      <c r="O982" t="s">
        <v>33</v>
      </c>
      <c r="P982" t="s">
        <v>34</v>
      </c>
      <c r="Q982" t="s">
        <v>34</v>
      </c>
      <c r="R982" t="s">
        <v>34</v>
      </c>
      <c r="S982" t="s">
        <v>34</v>
      </c>
      <c r="T982" s="117">
        <v>0</v>
      </c>
    </row>
    <row r="983" spans="1:21" ht="14.5" customHeight="1" x14ac:dyDescent="0.35">
      <c r="A983" t="s">
        <v>20</v>
      </c>
      <c r="B983" t="s">
        <v>25</v>
      </c>
      <c r="C983" s="1">
        <v>45455</v>
      </c>
      <c r="D983">
        <f t="shared" si="66"/>
        <v>12</v>
      </c>
      <c r="E983">
        <f t="shared" si="67"/>
        <v>6</v>
      </c>
      <c r="F983">
        <f t="shared" si="68"/>
        <v>2024</v>
      </c>
      <c r="G983" t="s">
        <v>84</v>
      </c>
      <c r="H983" s="98">
        <v>10719</v>
      </c>
      <c r="I983" s="29">
        <v>660</v>
      </c>
      <c r="J983" s="12" t="s">
        <v>31</v>
      </c>
      <c r="K983" s="29">
        <f t="shared" ref="K983:K1046" si="69">IF(J983="USD",I983,I983*L983)</f>
        <v>660</v>
      </c>
      <c r="L983">
        <v>1</v>
      </c>
      <c r="M983" s="29">
        <v>0</v>
      </c>
      <c r="N983" t="s">
        <v>42</v>
      </c>
      <c r="O983" t="s">
        <v>33</v>
      </c>
      <c r="P983" t="s">
        <v>34</v>
      </c>
      <c r="Q983" t="s">
        <v>34</v>
      </c>
      <c r="R983" t="s">
        <v>34</v>
      </c>
      <c r="S983" t="s">
        <v>34</v>
      </c>
      <c r="T983" s="117">
        <v>0</v>
      </c>
    </row>
    <row r="984" spans="1:21" ht="14.5" customHeight="1" x14ac:dyDescent="0.35">
      <c r="A984" t="s">
        <v>20</v>
      </c>
      <c r="B984" t="s">
        <v>25</v>
      </c>
      <c r="C984" s="1">
        <v>45455</v>
      </c>
      <c r="D984">
        <f t="shared" si="66"/>
        <v>12</v>
      </c>
      <c r="E984">
        <f t="shared" si="67"/>
        <v>6</v>
      </c>
      <c r="F984">
        <f t="shared" si="68"/>
        <v>2024</v>
      </c>
      <c r="G984" t="s">
        <v>84</v>
      </c>
      <c r="H984" s="98">
        <v>10718</v>
      </c>
      <c r="I984" s="29">
        <v>237</v>
      </c>
      <c r="J984" s="12" t="s">
        <v>31</v>
      </c>
      <c r="K984" s="29">
        <f t="shared" si="69"/>
        <v>237</v>
      </c>
      <c r="L984">
        <v>1</v>
      </c>
      <c r="M984" s="29">
        <v>0</v>
      </c>
      <c r="N984" t="s">
        <v>42</v>
      </c>
      <c r="O984" t="s">
        <v>33</v>
      </c>
      <c r="P984" t="s">
        <v>34</v>
      </c>
      <c r="Q984" t="s">
        <v>34</v>
      </c>
      <c r="R984" t="s">
        <v>34</v>
      </c>
      <c r="S984" t="s">
        <v>34</v>
      </c>
      <c r="T984" s="117">
        <v>0</v>
      </c>
      <c r="U984" s="209" t="s">
        <v>364</v>
      </c>
    </row>
    <row r="985" spans="1:21" ht="14.5" customHeight="1" x14ac:dyDescent="0.35">
      <c r="A985" t="s">
        <v>20</v>
      </c>
      <c r="B985" t="s">
        <v>25</v>
      </c>
      <c r="C985" s="1">
        <v>45455</v>
      </c>
      <c r="D985">
        <f t="shared" si="66"/>
        <v>12</v>
      </c>
      <c r="E985">
        <f t="shared" si="67"/>
        <v>6</v>
      </c>
      <c r="F985">
        <f t="shared" si="68"/>
        <v>2024</v>
      </c>
      <c r="G985" t="s">
        <v>84</v>
      </c>
      <c r="H985" s="98">
        <v>10720</v>
      </c>
      <c r="I985" s="29">
        <v>9431.2000000000007</v>
      </c>
      <c r="J985" s="12" t="s">
        <v>31</v>
      </c>
      <c r="K985" s="29">
        <f t="shared" si="69"/>
        <v>9431.2000000000007</v>
      </c>
      <c r="L985">
        <v>1</v>
      </c>
      <c r="M985" s="29">
        <v>0</v>
      </c>
      <c r="N985" t="s">
        <v>42</v>
      </c>
      <c r="O985" t="s">
        <v>33</v>
      </c>
      <c r="P985" t="s">
        <v>34</v>
      </c>
      <c r="Q985" t="s">
        <v>34</v>
      </c>
      <c r="R985" t="s">
        <v>34</v>
      </c>
      <c r="S985" t="s">
        <v>34</v>
      </c>
      <c r="T985" s="117">
        <v>0</v>
      </c>
    </row>
    <row r="986" spans="1:21" ht="14.5" customHeight="1" x14ac:dyDescent="0.35">
      <c r="A986" t="s">
        <v>20</v>
      </c>
      <c r="B986" t="s">
        <v>25</v>
      </c>
      <c r="C986" s="1">
        <v>45455</v>
      </c>
      <c r="D986">
        <f t="shared" si="66"/>
        <v>12</v>
      </c>
      <c r="E986">
        <f t="shared" si="67"/>
        <v>6</v>
      </c>
      <c r="F986">
        <f t="shared" si="68"/>
        <v>2024</v>
      </c>
      <c r="G986" t="s">
        <v>84</v>
      </c>
      <c r="H986" s="98">
        <v>10721</v>
      </c>
      <c r="I986" s="29">
        <v>8288.2000000000007</v>
      </c>
      <c r="J986" s="12" t="s">
        <v>31</v>
      </c>
      <c r="K986" s="29">
        <f t="shared" si="69"/>
        <v>8288.2000000000007</v>
      </c>
      <c r="L986">
        <v>1</v>
      </c>
      <c r="M986" s="29">
        <v>0</v>
      </c>
      <c r="N986" t="s">
        <v>42</v>
      </c>
      <c r="O986" t="s">
        <v>33</v>
      </c>
      <c r="P986" t="s">
        <v>34</v>
      </c>
      <c r="Q986" t="s">
        <v>34</v>
      </c>
      <c r="R986" t="s">
        <v>34</v>
      </c>
      <c r="S986" t="s">
        <v>34</v>
      </c>
      <c r="T986" s="117">
        <v>0</v>
      </c>
    </row>
    <row r="987" spans="1:21" ht="14.5" customHeight="1" x14ac:dyDescent="0.35">
      <c r="A987" t="s">
        <v>19</v>
      </c>
      <c r="B987" t="s">
        <v>19</v>
      </c>
      <c r="C987" s="1">
        <v>45455</v>
      </c>
      <c r="D987">
        <f t="shared" si="66"/>
        <v>12</v>
      </c>
      <c r="E987">
        <f t="shared" si="67"/>
        <v>6</v>
      </c>
      <c r="F987">
        <f t="shared" si="68"/>
        <v>2024</v>
      </c>
      <c r="G987" t="s">
        <v>57</v>
      </c>
      <c r="H987" s="171">
        <v>9483</v>
      </c>
      <c r="I987" s="94">
        <v>131787.22</v>
      </c>
      <c r="J987" s="12" t="s">
        <v>31</v>
      </c>
      <c r="K987" s="76">
        <f t="shared" si="69"/>
        <v>131787.22</v>
      </c>
      <c r="L987">
        <v>1</v>
      </c>
      <c r="M987" s="29">
        <v>0</v>
      </c>
      <c r="N987" t="s">
        <v>32</v>
      </c>
      <c r="O987" t="s">
        <v>33</v>
      </c>
      <c r="P987" t="s">
        <v>34</v>
      </c>
      <c r="Q987" t="s">
        <v>34</v>
      </c>
      <c r="R987" t="s">
        <v>34</v>
      </c>
      <c r="S987" t="s">
        <v>34</v>
      </c>
      <c r="T987" s="117">
        <v>0</v>
      </c>
    </row>
    <row r="988" spans="1:21" ht="14.5" customHeight="1" x14ac:dyDescent="0.35">
      <c r="A988" t="s">
        <v>19</v>
      </c>
      <c r="B988" t="s">
        <v>19</v>
      </c>
      <c r="C988" s="1">
        <v>45455</v>
      </c>
      <c r="D988">
        <f t="shared" si="66"/>
        <v>12</v>
      </c>
      <c r="E988">
        <f t="shared" si="67"/>
        <v>6</v>
      </c>
      <c r="F988">
        <f t="shared" si="68"/>
        <v>2024</v>
      </c>
      <c r="G988" t="s">
        <v>59</v>
      </c>
      <c r="H988" s="98" t="s">
        <v>320</v>
      </c>
      <c r="I988" s="76">
        <v>130246.55</v>
      </c>
      <c r="J988" s="12" t="s">
        <v>31</v>
      </c>
      <c r="K988" s="76">
        <f t="shared" si="69"/>
        <v>130246.55</v>
      </c>
      <c r="L988">
        <v>1</v>
      </c>
      <c r="M988" s="29">
        <v>0</v>
      </c>
      <c r="N988" t="s">
        <v>32</v>
      </c>
      <c r="O988" t="s">
        <v>33</v>
      </c>
      <c r="P988" t="s">
        <v>34</v>
      </c>
      <c r="Q988" t="s">
        <v>34</v>
      </c>
      <c r="R988" t="s">
        <v>34</v>
      </c>
      <c r="S988" t="s">
        <v>34</v>
      </c>
      <c r="T988" s="117">
        <v>0</v>
      </c>
    </row>
    <row r="989" spans="1:21" ht="14.5" customHeight="1" x14ac:dyDescent="0.35">
      <c r="A989" t="s">
        <v>19</v>
      </c>
      <c r="B989" t="s">
        <v>19</v>
      </c>
      <c r="C989" s="1">
        <v>45455</v>
      </c>
      <c r="D989">
        <f t="shared" si="66"/>
        <v>12</v>
      </c>
      <c r="E989">
        <f t="shared" si="67"/>
        <v>6</v>
      </c>
      <c r="F989">
        <f t="shared" si="68"/>
        <v>2024</v>
      </c>
      <c r="G989" t="s">
        <v>118</v>
      </c>
      <c r="H989" s="98" t="s">
        <v>301</v>
      </c>
      <c r="I989" s="76">
        <v>15623.95</v>
      </c>
      <c r="J989" s="12" t="s">
        <v>31</v>
      </c>
      <c r="K989" s="76">
        <f t="shared" si="69"/>
        <v>15623.95</v>
      </c>
      <c r="L989">
        <v>1</v>
      </c>
      <c r="M989" s="29">
        <v>0</v>
      </c>
      <c r="N989" t="s">
        <v>42</v>
      </c>
      <c r="O989" t="s">
        <v>33</v>
      </c>
      <c r="P989" t="s">
        <v>34</v>
      </c>
      <c r="Q989" t="s">
        <v>34</v>
      </c>
      <c r="R989" t="s">
        <v>34</v>
      </c>
      <c r="S989" t="s">
        <v>34</v>
      </c>
      <c r="T989" s="117">
        <v>0</v>
      </c>
    </row>
    <row r="990" spans="1:21" ht="14.5" customHeight="1" x14ac:dyDescent="0.35">
      <c r="A990" t="s">
        <v>19</v>
      </c>
      <c r="B990" t="s">
        <v>19</v>
      </c>
      <c r="C990" s="1">
        <v>45455</v>
      </c>
      <c r="D990">
        <f t="shared" si="66"/>
        <v>12</v>
      </c>
      <c r="E990">
        <f t="shared" si="67"/>
        <v>6</v>
      </c>
      <c r="F990">
        <f t="shared" si="68"/>
        <v>2024</v>
      </c>
      <c r="G990" t="s">
        <v>118</v>
      </c>
      <c r="H990" s="98" t="s">
        <v>328</v>
      </c>
      <c r="I990" s="94">
        <v>1795.4</v>
      </c>
      <c r="J990" s="12" t="s">
        <v>31</v>
      </c>
      <c r="K990" s="76">
        <f t="shared" si="69"/>
        <v>1795.4</v>
      </c>
      <c r="L990">
        <v>1</v>
      </c>
      <c r="M990" s="29">
        <v>0</v>
      </c>
      <c r="N990" t="s">
        <v>42</v>
      </c>
      <c r="O990" t="s">
        <v>33</v>
      </c>
      <c r="P990" t="s">
        <v>34</v>
      </c>
      <c r="Q990" t="s">
        <v>34</v>
      </c>
      <c r="R990" t="s">
        <v>34</v>
      </c>
      <c r="S990" t="s">
        <v>34</v>
      </c>
      <c r="T990" s="117">
        <v>0</v>
      </c>
    </row>
    <row r="991" spans="1:21" ht="14.5" customHeight="1" x14ac:dyDescent="0.35">
      <c r="A991" t="s">
        <v>19</v>
      </c>
      <c r="B991" t="s">
        <v>19</v>
      </c>
      <c r="C991" s="1">
        <v>45455</v>
      </c>
      <c r="D991">
        <f t="shared" si="66"/>
        <v>12</v>
      </c>
      <c r="E991">
        <f t="shared" si="67"/>
        <v>6</v>
      </c>
      <c r="F991">
        <f t="shared" si="68"/>
        <v>2024</v>
      </c>
      <c r="G991" t="s">
        <v>118</v>
      </c>
      <c r="H991" s="98">
        <v>10586</v>
      </c>
      <c r="I991" s="76">
        <v>78.400000000000006</v>
      </c>
      <c r="J991" s="12" t="s">
        <v>31</v>
      </c>
      <c r="K991" s="76">
        <f t="shared" si="69"/>
        <v>78.400000000000006</v>
      </c>
      <c r="L991">
        <v>1</v>
      </c>
      <c r="M991" s="29">
        <v>0</v>
      </c>
      <c r="N991" t="s">
        <v>32</v>
      </c>
      <c r="O991" t="s">
        <v>33</v>
      </c>
      <c r="P991" t="s">
        <v>34</v>
      </c>
      <c r="Q991" t="s">
        <v>34</v>
      </c>
      <c r="R991" t="s">
        <v>34</v>
      </c>
      <c r="S991" t="s">
        <v>34</v>
      </c>
      <c r="T991" s="117">
        <v>0</v>
      </c>
    </row>
    <row r="992" spans="1:21" ht="14.5" customHeight="1" x14ac:dyDescent="0.35">
      <c r="A992" t="s">
        <v>19</v>
      </c>
      <c r="B992" t="s">
        <v>19</v>
      </c>
      <c r="C992" s="1">
        <v>45455</v>
      </c>
      <c r="D992">
        <f t="shared" si="66"/>
        <v>12</v>
      </c>
      <c r="E992">
        <f t="shared" si="67"/>
        <v>6</v>
      </c>
      <c r="F992">
        <f t="shared" si="68"/>
        <v>2024</v>
      </c>
      <c r="G992" t="s">
        <v>118</v>
      </c>
      <c r="H992" s="98" t="s">
        <v>178</v>
      </c>
      <c r="I992" s="76">
        <v>23433.759999999998</v>
      </c>
      <c r="J992" s="12" t="s">
        <v>31</v>
      </c>
      <c r="K992" s="76">
        <f t="shared" si="69"/>
        <v>23433.759999999998</v>
      </c>
      <c r="L992">
        <v>1</v>
      </c>
      <c r="M992" s="29">
        <v>0</v>
      </c>
      <c r="N992" t="s">
        <v>32</v>
      </c>
      <c r="O992" t="s">
        <v>33</v>
      </c>
      <c r="P992" t="s">
        <v>34</v>
      </c>
      <c r="Q992" t="s">
        <v>34</v>
      </c>
      <c r="R992" t="s">
        <v>34</v>
      </c>
      <c r="S992" t="s">
        <v>34</v>
      </c>
      <c r="T992" s="117">
        <v>0</v>
      </c>
    </row>
    <row r="993" spans="1:21" ht="14.5" customHeight="1" x14ac:dyDescent="0.35">
      <c r="A993" t="s">
        <v>19</v>
      </c>
      <c r="B993" t="s">
        <v>19</v>
      </c>
      <c r="C993" s="1">
        <v>45455</v>
      </c>
      <c r="D993">
        <f t="shared" si="66"/>
        <v>12</v>
      </c>
      <c r="E993">
        <f t="shared" si="67"/>
        <v>6</v>
      </c>
      <c r="F993">
        <f t="shared" si="68"/>
        <v>2024</v>
      </c>
      <c r="G993" t="s">
        <v>56</v>
      </c>
      <c r="H993" s="98">
        <v>10085</v>
      </c>
      <c r="I993" s="76">
        <v>170402.62</v>
      </c>
      <c r="J993" s="12" t="s">
        <v>31</v>
      </c>
      <c r="K993" s="76">
        <f t="shared" si="69"/>
        <v>170402.62</v>
      </c>
      <c r="L993">
        <v>1</v>
      </c>
      <c r="M993" s="29">
        <v>0</v>
      </c>
      <c r="N993" t="s">
        <v>32</v>
      </c>
      <c r="O993" t="s">
        <v>33</v>
      </c>
      <c r="P993" t="s">
        <v>34</v>
      </c>
      <c r="Q993" t="s">
        <v>34</v>
      </c>
      <c r="R993" t="s">
        <v>34</v>
      </c>
      <c r="S993" t="s">
        <v>34</v>
      </c>
      <c r="T993" s="117">
        <v>0</v>
      </c>
    </row>
    <row r="994" spans="1:21" ht="14.5" customHeight="1" x14ac:dyDescent="0.35">
      <c r="A994" t="s">
        <v>19</v>
      </c>
      <c r="B994" t="s">
        <v>19</v>
      </c>
      <c r="C994" s="1">
        <v>45455</v>
      </c>
      <c r="D994">
        <f t="shared" si="66"/>
        <v>12</v>
      </c>
      <c r="E994">
        <f t="shared" si="67"/>
        <v>6</v>
      </c>
      <c r="F994">
        <f t="shared" si="68"/>
        <v>2024</v>
      </c>
      <c r="G994" t="s">
        <v>56</v>
      </c>
      <c r="H994" s="98" t="s">
        <v>319</v>
      </c>
      <c r="I994" s="76">
        <v>175998.61</v>
      </c>
      <c r="J994" s="12" t="s">
        <v>31</v>
      </c>
      <c r="K994" s="76">
        <f t="shared" si="69"/>
        <v>175998.61</v>
      </c>
      <c r="L994">
        <v>1</v>
      </c>
      <c r="M994" s="29">
        <v>0</v>
      </c>
      <c r="N994" t="s">
        <v>32</v>
      </c>
      <c r="O994" t="s">
        <v>33</v>
      </c>
      <c r="P994" t="s">
        <v>34</v>
      </c>
      <c r="Q994" t="s">
        <v>34</v>
      </c>
      <c r="R994" t="s">
        <v>34</v>
      </c>
      <c r="S994" t="s">
        <v>34</v>
      </c>
      <c r="T994" s="117">
        <v>0</v>
      </c>
    </row>
    <row r="995" spans="1:21" ht="14.5" customHeight="1" x14ac:dyDescent="0.35">
      <c r="A995" t="s">
        <v>19</v>
      </c>
      <c r="B995" t="s">
        <v>19</v>
      </c>
      <c r="C995" s="1">
        <v>45455</v>
      </c>
      <c r="D995">
        <f t="shared" si="66"/>
        <v>12</v>
      </c>
      <c r="E995">
        <f t="shared" si="67"/>
        <v>6</v>
      </c>
      <c r="F995">
        <f t="shared" si="68"/>
        <v>2024</v>
      </c>
      <c r="G995" t="s">
        <v>56</v>
      </c>
      <c r="H995" s="98">
        <v>10147</v>
      </c>
      <c r="I995" s="76">
        <v>2231.16</v>
      </c>
      <c r="J995" s="12" t="s">
        <v>31</v>
      </c>
      <c r="K995" s="76">
        <f t="shared" si="69"/>
        <v>2231.16</v>
      </c>
      <c r="L995">
        <v>1</v>
      </c>
      <c r="M995" s="29">
        <v>0</v>
      </c>
      <c r="N995" t="s">
        <v>32</v>
      </c>
      <c r="O995" t="s">
        <v>33</v>
      </c>
      <c r="P995" t="s">
        <v>34</v>
      </c>
      <c r="Q995" t="s">
        <v>34</v>
      </c>
      <c r="R995" t="s">
        <v>34</v>
      </c>
      <c r="S995" t="s">
        <v>34</v>
      </c>
      <c r="T995" s="117">
        <v>0</v>
      </c>
    </row>
    <row r="996" spans="1:21" ht="14.5" customHeight="1" x14ac:dyDescent="0.35">
      <c r="A996" t="s">
        <v>19</v>
      </c>
      <c r="B996" t="s">
        <v>19</v>
      </c>
      <c r="C996" s="1">
        <v>45455</v>
      </c>
      <c r="D996">
        <f t="shared" si="66"/>
        <v>12</v>
      </c>
      <c r="E996">
        <f t="shared" si="67"/>
        <v>6</v>
      </c>
      <c r="F996">
        <f t="shared" si="68"/>
        <v>2024</v>
      </c>
      <c r="G996" t="s">
        <v>56</v>
      </c>
      <c r="H996" s="98">
        <v>10178</v>
      </c>
      <c r="I996" s="76">
        <v>2837.7</v>
      </c>
      <c r="J996" s="12" t="s">
        <v>31</v>
      </c>
      <c r="K996" s="76">
        <f t="shared" si="69"/>
        <v>2837.7</v>
      </c>
      <c r="L996">
        <v>1</v>
      </c>
      <c r="M996" s="29">
        <v>0</v>
      </c>
      <c r="N996" t="s">
        <v>32</v>
      </c>
      <c r="O996" t="s">
        <v>33</v>
      </c>
      <c r="P996" t="s">
        <v>34</v>
      </c>
      <c r="Q996" t="s">
        <v>34</v>
      </c>
      <c r="R996" t="s">
        <v>34</v>
      </c>
      <c r="S996" t="s">
        <v>34</v>
      </c>
      <c r="T996" s="117">
        <v>0</v>
      </c>
    </row>
    <row r="997" spans="1:21" ht="14.5" customHeight="1" x14ac:dyDescent="0.35">
      <c r="A997" t="s">
        <v>19</v>
      </c>
      <c r="B997" t="s">
        <v>19</v>
      </c>
      <c r="C997" s="1">
        <v>45455</v>
      </c>
      <c r="D997">
        <f t="shared" si="66"/>
        <v>12</v>
      </c>
      <c r="E997">
        <f t="shared" si="67"/>
        <v>6</v>
      </c>
      <c r="F997">
        <f t="shared" si="68"/>
        <v>2024</v>
      </c>
      <c r="G997" t="s">
        <v>56</v>
      </c>
      <c r="H997" s="98" t="s">
        <v>318</v>
      </c>
      <c r="I997" s="76">
        <v>21767.03</v>
      </c>
      <c r="J997" s="12" t="s">
        <v>31</v>
      </c>
      <c r="K997" s="76">
        <f t="shared" si="69"/>
        <v>21767.03</v>
      </c>
      <c r="L997">
        <v>1</v>
      </c>
      <c r="M997" s="29">
        <v>0</v>
      </c>
      <c r="N997" t="s">
        <v>32</v>
      </c>
      <c r="O997" t="s">
        <v>33</v>
      </c>
      <c r="P997" t="s">
        <v>34</v>
      </c>
      <c r="Q997" t="s">
        <v>34</v>
      </c>
      <c r="R997" t="s">
        <v>34</v>
      </c>
      <c r="S997" t="s">
        <v>34</v>
      </c>
      <c r="T997" s="117">
        <v>0</v>
      </c>
    </row>
    <row r="998" spans="1:21" ht="14.5" customHeight="1" x14ac:dyDescent="0.35">
      <c r="A998" t="s">
        <v>19</v>
      </c>
      <c r="B998" t="s">
        <v>19</v>
      </c>
      <c r="C998" s="1">
        <v>45455</v>
      </c>
      <c r="D998">
        <f t="shared" si="66"/>
        <v>12</v>
      </c>
      <c r="E998">
        <f t="shared" si="67"/>
        <v>6</v>
      </c>
      <c r="F998">
        <f t="shared" si="68"/>
        <v>2024</v>
      </c>
      <c r="G998" t="s">
        <v>56</v>
      </c>
      <c r="H998" s="98" t="s">
        <v>306</v>
      </c>
      <c r="I998" s="76">
        <v>2837.7</v>
      </c>
      <c r="J998" s="12" t="s">
        <v>31</v>
      </c>
      <c r="K998" s="76">
        <f t="shared" si="69"/>
        <v>2837.7</v>
      </c>
      <c r="L998">
        <v>1</v>
      </c>
      <c r="M998" s="29">
        <v>0</v>
      </c>
      <c r="N998" t="s">
        <v>32</v>
      </c>
      <c r="O998" t="s">
        <v>33</v>
      </c>
      <c r="P998" t="s">
        <v>34</v>
      </c>
      <c r="Q998" t="s">
        <v>34</v>
      </c>
      <c r="R998" t="s">
        <v>34</v>
      </c>
      <c r="S998" t="s">
        <v>34</v>
      </c>
      <c r="T998" s="117">
        <v>0</v>
      </c>
    </row>
    <row r="999" spans="1:21" ht="14.5" customHeight="1" x14ac:dyDescent="0.35">
      <c r="A999" t="s">
        <v>19</v>
      </c>
      <c r="B999" t="s">
        <v>19</v>
      </c>
      <c r="C999" s="1">
        <v>45455</v>
      </c>
      <c r="D999">
        <f t="shared" si="66"/>
        <v>12</v>
      </c>
      <c r="E999">
        <f t="shared" si="67"/>
        <v>6</v>
      </c>
      <c r="F999">
        <f t="shared" si="68"/>
        <v>2024</v>
      </c>
      <c r="G999" t="s">
        <v>106</v>
      </c>
      <c r="H999" s="98" t="s">
        <v>302</v>
      </c>
      <c r="I999" s="76">
        <v>90266.3</v>
      </c>
      <c r="J999" s="12" t="s">
        <v>31</v>
      </c>
      <c r="K999" s="76">
        <f t="shared" si="69"/>
        <v>90266.3</v>
      </c>
      <c r="L999">
        <v>1</v>
      </c>
      <c r="M999" s="29">
        <v>0</v>
      </c>
      <c r="N999" t="s">
        <v>32</v>
      </c>
      <c r="O999" t="s">
        <v>33</v>
      </c>
      <c r="P999" t="s">
        <v>34</v>
      </c>
      <c r="Q999" t="s">
        <v>34</v>
      </c>
      <c r="R999" t="s">
        <v>34</v>
      </c>
      <c r="S999" t="s">
        <v>34</v>
      </c>
      <c r="T999" s="117">
        <v>0</v>
      </c>
    </row>
    <row r="1000" spans="1:21" ht="14.5" customHeight="1" x14ac:dyDescent="0.35">
      <c r="A1000" t="s">
        <v>19</v>
      </c>
      <c r="B1000" t="s">
        <v>19</v>
      </c>
      <c r="C1000" s="1">
        <v>45455</v>
      </c>
      <c r="D1000">
        <f t="shared" si="66"/>
        <v>12</v>
      </c>
      <c r="E1000">
        <f t="shared" si="67"/>
        <v>6</v>
      </c>
      <c r="F1000">
        <f t="shared" si="68"/>
        <v>2024</v>
      </c>
      <c r="G1000" t="s">
        <v>56</v>
      </c>
      <c r="H1000" s="98" t="s">
        <v>306</v>
      </c>
      <c r="I1000" s="76">
        <v>5562.95</v>
      </c>
      <c r="J1000" s="12" t="s">
        <v>31</v>
      </c>
      <c r="K1000" s="76">
        <f t="shared" si="69"/>
        <v>5562.95</v>
      </c>
      <c r="L1000">
        <v>1</v>
      </c>
      <c r="M1000" s="29">
        <v>0</v>
      </c>
      <c r="N1000" t="s">
        <v>32</v>
      </c>
      <c r="O1000" t="s">
        <v>33</v>
      </c>
      <c r="P1000" t="s">
        <v>34</v>
      </c>
      <c r="Q1000" t="s">
        <v>34</v>
      </c>
      <c r="R1000" t="s">
        <v>34</v>
      </c>
      <c r="S1000" t="s">
        <v>34</v>
      </c>
      <c r="T1000" s="117">
        <v>0</v>
      </c>
    </row>
    <row r="1001" spans="1:21" ht="14.5" customHeight="1" x14ac:dyDescent="0.35">
      <c r="A1001" t="s">
        <v>19</v>
      </c>
      <c r="B1001" t="s">
        <v>19</v>
      </c>
      <c r="C1001" s="1">
        <v>45455</v>
      </c>
      <c r="D1001">
        <f t="shared" si="66"/>
        <v>12</v>
      </c>
      <c r="E1001">
        <f t="shared" si="67"/>
        <v>6</v>
      </c>
      <c r="F1001">
        <f t="shared" si="68"/>
        <v>2024</v>
      </c>
      <c r="G1001" t="s">
        <v>56</v>
      </c>
      <c r="H1001" s="98">
        <v>10229</v>
      </c>
      <c r="I1001" s="76">
        <v>2383.21</v>
      </c>
      <c r="J1001" s="12" t="s">
        <v>31</v>
      </c>
      <c r="K1001" s="76">
        <f t="shared" si="69"/>
        <v>2383.21</v>
      </c>
      <c r="L1001">
        <v>1</v>
      </c>
      <c r="M1001" s="29">
        <v>0</v>
      </c>
      <c r="N1001" t="s">
        <v>32</v>
      </c>
      <c r="O1001" t="s">
        <v>33</v>
      </c>
      <c r="P1001" t="s">
        <v>34</v>
      </c>
      <c r="Q1001" t="s">
        <v>34</v>
      </c>
      <c r="R1001" t="s">
        <v>34</v>
      </c>
      <c r="S1001" t="s">
        <v>34</v>
      </c>
      <c r="T1001" s="117">
        <v>200.64</v>
      </c>
    </row>
    <row r="1002" spans="1:21" ht="14.5" customHeight="1" x14ac:dyDescent="0.35">
      <c r="A1002" t="s">
        <v>19</v>
      </c>
      <c r="B1002" t="s">
        <v>19</v>
      </c>
      <c r="C1002" s="1">
        <v>45455</v>
      </c>
      <c r="D1002">
        <f t="shared" si="66"/>
        <v>12</v>
      </c>
      <c r="E1002">
        <f t="shared" si="67"/>
        <v>6</v>
      </c>
      <c r="F1002">
        <f t="shared" si="68"/>
        <v>2024</v>
      </c>
      <c r="G1002" t="s">
        <v>56</v>
      </c>
      <c r="H1002" s="98">
        <v>10212</v>
      </c>
      <c r="I1002" s="76">
        <v>316.57</v>
      </c>
      <c r="J1002" s="12" t="s">
        <v>31</v>
      </c>
      <c r="K1002" s="76">
        <f t="shared" si="69"/>
        <v>316.57</v>
      </c>
      <c r="L1002">
        <v>1</v>
      </c>
      <c r="M1002" s="29">
        <v>0</v>
      </c>
      <c r="N1002" t="s">
        <v>32</v>
      </c>
      <c r="O1002" t="s">
        <v>33</v>
      </c>
      <c r="P1002" t="s">
        <v>34</v>
      </c>
      <c r="Q1002" t="s">
        <v>34</v>
      </c>
      <c r="R1002" t="s">
        <v>34</v>
      </c>
      <c r="S1002" t="s">
        <v>34</v>
      </c>
      <c r="T1002" s="117">
        <v>0</v>
      </c>
    </row>
    <row r="1003" spans="1:21" ht="14.5" customHeight="1" x14ac:dyDescent="0.35">
      <c r="A1003" t="s">
        <v>20</v>
      </c>
      <c r="B1003" t="s">
        <v>21</v>
      </c>
      <c r="C1003" s="1">
        <v>45456</v>
      </c>
      <c r="D1003">
        <f t="shared" si="66"/>
        <v>13</v>
      </c>
      <c r="E1003">
        <f t="shared" si="67"/>
        <v>6</v>
      </c>
      <c r="F1003">
        <f t="shared" si="68"/>
        <v>2024</v>
      </c>
      <c r="G1003" t="s">
        <v>303</v>
      </c>
      <c r="H1003" s="98">
        <v>10755</v>
      </c>
      <c r="I1003" s="29">
        <v>4019.52</v>
      </c>
      <c r="J1003" s="12" t="s">
        <v>31</v>
      </c>
      <c r="K1003" s="29">
        <f t="shared" si="69"/>
        <v>4019.52</v>
      </c>
      <c r="L1003">
        <v>1</v>
      </c>
      <c r="M1003" s="29">
        <v>0</v>
      </c>
      <c r="N1003" t="s">
        <v>42</v>
      </c>
      <c r="O1003" t="s">
        <v>33</v>
      </c>
      <c r="P1003" t="s">
        <v>34</v>
      </c>
      <c r="Q1003" t="s">
        <v>34</v>
      </c>
      <c r="R1003" t="s">
        <v>34</v>
      </c>
      <c r="S1003" t="s">
        <v>34</v>
      </c>
      <c r="T1003" s="117">
        <v>0</v>
      </c>
    </row>
    <row r="1004" spans="1:21" ht="14.5" customHeight="1" x14ac:dyDescent="0.35">
      <c r="A1004" t="s">
        <v>20</v>
      </c>
      <c r="B1004" t="s">
        <v>21</v>
      </c>
      <c r="C1004" s="1">
        <v>45456</v>
      </c>
      <c r="D1004">
        <f t="shared" si="66"/>
        <v>13</v>
      </c>
      <c r="E1004">
        <f t="shared" si="67"/>
        <v>6</v>
      </c>
      <c r="F1004">
        <f t="shared" si="68"/>
        <v>2024</v>
      </c>
      <c r="G1004" t="s">
        <v>303</v>
      </c>
      <c r="H1004" s="98">
        <v>10756</v>
      </c>
      <c r="I1004" s="29">
        <v>128</v>
      </c>
      <c r="J1004" s="12" t="s">
        <v>31</v>
      </c>
      <c r="K1004" s="29">
        <f t="shared" si="69"/>
        <v>128</v>
      </c>
      <c r="L1004">
        <v>1</v>
      </c>
      <c r="M1004" s="29">
        <v>0</v>
      </c>
      <c r="N1004" t="s">
        <v>42</v>
      </c>
      <c r="O1004" t="s">
        <v>33</v>
      </c>
      <c r="P1004" t="s">
        <v>34</v>
      </c>
      <c r="Q1004" t="s">
        <v>34</v>
      </c>
      <c r="R1004" t="s">
        <v>34</v>
      </c>
      <c r="S1004" t="s">
        <v>34</v>
      </c>
      <c r="T1004" s="117">
        <v>0</v>
      </c>
    </row>
    <row r="1005" spans="1:21" ht="14.5" customHeight="1" x14ac:dyDescent="0.35">
      <c r="A1005" t="s">
        <v>19</v>
      </c>
      <c r="B1005" t="s">
        <v>26</v>
      </c>
      <c r="C1005" s="1">
        <v>45456</v>
      </c>
      <c r="D1005">
        <f t="shared" si="66"/>
        <v>13</v>
      </c>
      <c r="E1005">
        <f t="shared" si="67"/>
        <v>6</v>
      </c>
      <c r="F1005">
        <f t="shared" si="68"/>
        <v>2024</v>
      </c>
      <c r="G1005" t="s">
        <v>73</v>
      </c>
      <c r="H1005" s="98">
        <v>10603</v>
      </c>
      <c r="I1005" s="76">
        <v>61718.05</v>
      </c>
      <c r="J1005" s="12" t="s">
        <v>51</v>
      </c>
      <c r="K1005" s="76">
        <f t="shared" si="69"/>
        <v>66593.775949999996</v>
      </c>
      <c r="L1005">
        <v>1.079</v>
      </c>
      <c r="M1005" s="29">
        <v>0</v>
      </c>
      <c r="N1005" t="s">
        <v>32</v>
      </c>
      <c r="O1005" t="s">
        <v>33</v>
      </c>
      <c r="P1005" t="s">
        <v>34</v>
      </c>
      <c r="Q1005" t="s">
        <v>34</v>
      </c>
      <c r="R1005" t="s">
        <v>34</v>
      </c>
      <c r="S1005" t="s">
        <v>34</v>
      </c>
      <c r="T1005" s="117">
        <v>0</v>
      </c>
      <c r="U1005" s="209" t="s">
        <v>94</v>
      </c>
    </row>
    <row r="1006" spans="1:21" ht="14.5" customHeight="1" x14ac:dyDescent="0.35">
      <c r="A1006" t="s">
        <v>19</v>
      </c>
      <c r="B1006" t="s">
        <v>26</v>
      </c>
      <c r="C1006" s="1">
        <v>45456</v>
      </c>
      <c r="D1006">
        <f t="shared" si="66"/>
        <v>13</v>
      </c>
      <c r="E1006">
        <f t="shared" si="67"/>
        <v>6</v>
      </c>
      <c r="F1006">
        <f t="shared" si="68"/>
        <v>2024</v>
      </c>
      <c r="G1006" t="s">
        <v>73</v>
      </c>
      <c r="H1006" s="98">
        <v>10687</v>
      </c>
      <c r="I1006" s="76">
        <v>71287.199999999997</v>
      </c>
      <c r="J1006" s="12" t="s">
        <v>51</v>
      </c>
      <c r="K1006" s="76">
        <f t="shared" si="69"/>
        <v>76918.888800000001</v>
      </c>
      <c r="L1006">
        <v>1.079</v>
      </c>
      <c r="M1006" s="29">
        <v>0</v>
      </c>
      <c r="N1006" t="s">
        <v>32</v>
      </c>
      <c r="O1006" t="s">
        <v>33</v>
      </c>
      <c r="P1006" t="s">
        <v>34</v>
      </c>
      <c r="Q1006" t="s">
        <v>34</v>
      </c>
      <c r="R1006" t="s">
        <v>34</v>
      </c>
      <c r="S1006" t="s">
        <v>34</v>
      </c>
      <c r="T1006" s="117">
        <v>0</v>
      </c>
      <c r="U1006" s="209" t="s">
        <v>94</v>
      </c>
    </row>
    <row r="1007" spans="1:21" ht="14.5" customHeight="1" x14ac:dyDescent="0.35">
      <c r="A1007" t="s">
        <v>19</v>
      </c>
      <c r="B1007" t="s">
        <v>26</v>
      </c>
      <c r="C1007" s="1">
        <v>45456</v>
      </c>
      <c r="D1007">
        <f t="shared" si="66"/>
        <v>13</v>
      </c>
      <c r="E1007">
        <f t="shared" si="67"/>
        <v>6</v>
      </c>
      <c r="F1007">
        <f t="shared" si="68"/>
        <v>2024</v>
      </c>
      <c r="G1007" t="s">
        <v>73</v>
      </c>
      <c r="H1007" s="98">
        <v>10690</v>
      </c>
      <c r="I1007" s="76">
        <v>47978.67</v>
      </c>
      <c r="J1007" s="12" t="s">
        <v>51</v>
      </c>
      <c r="K1007" s="76">
        <f t="shared" si="69"/>
        <v>51768.984929999999</v>
      </c>
      <c r="L1007">
        <v>1.079</v>
      </c>
      <c r="M1007" s="29">
        <v>0</v>
      </c>
      <c r="N1007" t="s">
        <v>32</v>
      </c>
      <c r="O1007" t="s">
        <v>33</v>
      </c>
      <c r="P1007" t="s">
        <v>34</v>
      </c>
      <c r="Q1007" t="s">
        <v>34</v>
      </c>
      <c r="R1007" t="s">
        <v>34</v>
      </c>
      <c r="S1007" t="s">
        <v>34</v>
      </c>
      <c r="T1007" s="117">
        <v>0</v>
      </c>
      <c r="U1007" s="209" t="s">
        <v>94</v>
      </c>
    </row>
    <row r="1008" spans="1:21" ht="14.5" customHeight="1" x14ac:dyDescent="0.35">
      <c r="A1008" t="s">
        <v>19</v>
      </c>
      <c r="B1008" t="s">
        <v>27</v>
      </c>
      <c r="C1008" s="1">
        <v>45456</v>
      </c>
      <c r="D1008">
        <f t="shared" si="66"/>
        <v>13</v>
      </c>
      <c r="E1008">
        <f t="shared" si="67"/>
        <v>6</v>
      </c>
      <c r="F1008">
        <f t="shared" si="68"/>
        <v>2024</v>
      </c>
      <c r="G1008" t="s">
        <v>100</v>
      </c>
      <c r="H1008" s="98">
        <v>10607</v>
      </c>
      <c r="I1008" s="76">
        <v>37361.480000000003</v>
      </c>
      <c r="J1008" s="12" t="s">
        <v>31</v>
      </c>
      <c r="K1008" s="76">
        <f t="shared" si="69"/>
        <v>37361.480000000003</v>
      </c>
      <c r="L1008">
        <v>1</v>
      </c>
      <c r="M1008" s="29">
        <v>0</v>
      </c>
      <c r="N1008" t="s">
        <v>32</v>
      </c>
      <c r="O1008" t="s">
        <v>33</v>
      </c>
      <c r="P1008" t="s">
        <v>34</v>
      </c>
      <c r="Q1008" t="s">
        <v>34</v>
      </c>
      <c r="R1008" t="s">
        <v>34</v>
      </c>
      <c r="S1008" t="s">
        <v>34</v>
      </c>
      <c r="T1008" s="117">
        <v>0</v>
      </c>
      <c r="U1008" s="209" t="s">
        <v>501</v>
      </c>
    </row>
    <row r="1009" spans="1:21" ht="14.5" customHeight="1" x14ac:dyDescent="0.35">
      <c r="A1009" t="s">
        <v>20</v>
      </c>
      <c r="B1009" t="s">
        <v>21</v>
      </c>
      <c r="C1009" s="1">
        <v>45460</v>
      </c>
      <c r="D1009">
        <f t="shared" si="66"/>
        <v>17</v>
      </c>
      <c r="E1009">
        <f t="shared" si="67"/>
        <v>6</v>
      </c>
      <c r="F1009">
        <f t="shared" si="68"/>
        <v>2024</v>
      </c>
      <c r="G1009" t="s">
        <v>53</v>
      </c>
      <c r="H1009" s="98">
        <v>10209</v>
      </c>
      <c r="I1009" s="29">
        <v>9932.7199999999993</v>
      </c>
      <c r="J1009" s="12" t="s">
        <v>31</v>
      </c>
      <c r="K1009" s="29">
        <f t="shared" si="69"/>
        <v>9932.7199999999993</v>
      </c>
      <c r="L1009">
        <v>1</v>
      </c>
      <c r="M1009" s="29">
        <v>0</v>
      </c>
      <c r="N1009" t="s">
        <v>32</v>
      </c>
      <c r="O1009" t="s">
        <v>33</v>
      </c>
      <c r="P1009" t="s">
        <v>34</v>
      </c>
      <c r="Q1009" t="s">
        <v>34</v>
      </c>
      <c r="R1009" t="s">
        <v>34</v>
      </c>
      <c r="S1009" t="s">
        <v>34</v>
      </c>
      <c r="T1009" s="117">
        <v>0</v>
      </c>
    </row>
    <row r="1010" spans="1:21" ht="14.5" customHeight="1" x14ac:dyDescent="0.35">
      <c r="A1010" t="s">
        <v>20</v>
      </c>
      <c r="B1010" t="s">
        <v>25</v>
      </c>
      <c r="C1010" s="1">
        <v>45460</v>
      </c>
      <c r="D1010">
        <f t="shared" si="66"/>
        <v>17</v>
      </c>
      <c r="E1010">
        <f t="shared" si="67"/>
        <v>6</v>
      </c>
      <c r="F1010">
        <f t="shared" si="68"/>
        <v>2024</v>
      </c>
      <c r="G1010" t="s">
        <v>53</v>
      </c>
      <c r="H1010" s="98">
        <v>10209</v>
      </c>
      <c r="I1010" s="29">
        <v>8604.16</v>
      </c>
      <c r="J1010" s="12" t="s">
        <v>31</v>
      </c>
      <c r="K1010" s="29">
        <f t="shared" si="69"/>
        <v>8604.16</v>
      </c>
      <c r="L1010">
        <v>1</v>
      </c>
      <c r="M1010" s="29">
        <v>0</v>
      </c>
      <c r="N1010" t="s">
        <v>32</v>
      </c>
      <c r="O1010" t="s">
        <v>33</v>
      </c>
      <c r="P1010" t="s">
        <v>34</v>
      </c>
      <c r="Q1010" t="s">
        <v>34</v>
      </c>
      <c r="R1010" t="s">
        <v>34</v>
      </c>
      <c r="S1010" t="s">
        <v>34</v>
      </c>
      <c r="T1010" s="117">
        <v>0</v>
      </c>
    </row>
    <row r="1011" spans="1:21" ht="14.5" customHeight="1" x14ac:dyDescent="0.35">
      <c r="A1011" t="s">
        <v>20</v>
      </c>
      <c r="B1011" t="s">
        <v>23</v>
      </c>
      <c r="C1011" s="1">
        <v>45460</v>
      </c>
      <c r="D1011">
        <f t="shared" si="66"/>
        <v>17</v>
      </c>
      <c r="E1011">
        <f t="shared" si="67"/>
        <v>6</v>
      </c>
      <c r="F1011">
        <f t="shared" si="68"/>
        <v>2024</v>
      </c>
      <c r="G1011" t="s">
        <v>53</v>
      </c>
      <c r="H1011" s="171">
        <v>10209</v>
      </c>
      <c r="I1011" s="29">
        <v>27361.48</v>
      </c>
      <c r="J1011" s="12" t="s">
        <v>31</v>
      </c>
      <c r="K1011" s="29">
        <f t="shared" si="69"/>
        <v>27361.48</v>
      </c>
      <c r="L1011">
        <v>1</v>
      </c>
      <c r="M1011" s="29">
        <v>0</v>
      </c>
      <c r="N1011" t="s">
        <v>32</v>
      </c>
      <c r="O1011" t="s">
        <v>33</v>
      </c>
      <c r="P1011" t="s">
        <v>34</v>
      </c>
      <c r="Q1011" t="s">
        <v>34</v>
      </c>
      <c r="R1011" t="s">
        <v>34</v>
      </c>
      <c r="S1011" t="s">
        <v>34</v>
      </c>
      <c r="T1011" s="117">
        <v>0</v>
      </c>
    </row>
    <row r="1012" spans="1:21" ht="14.5" customHeight="1" x14ac:dyDescent="0.35">
      <c r="A1012" t="s">
        <v>19</v>
      </c>
      <c r="B1012" t="s">
        <v>27</v>
      </c>
      <c r="C1012" s="1">
        <v>45460</v>
      </c>
      <c r="D1012">
        <f t="shared" si="66"/>
        <v>17</v>
      </c>
      <c r="E1012">
        <f t="shared" si="67"/>
        <v>6</v>
      </c>
      <c r="F1012">
        <f t="shared" si="68"/>
        <v>2024</v>
      </c>
      <c r="G1012" t="s">
        <v>100</v>
      </c>
      <c r="H1012" s="98">
        <v>10355</v>
      </c>
      <c r="I1012" s="76">
        <v>71608.94</v>
      </c>
      <c r="J1012" s="12" t="s">
        <v>31</v>
      </c>
      <c r="K1012" s="76">
        <f t="shared" si="69"/>
        <v>71608.94</v>
      </c>
      <c r="L1012">
        <v>1</v>
      </c>
      <c r="M1012" s="29">
        <v>0</v>
      </c>
      <c r="N1012" t="s">
        <v>32</v>
      </c>
      <c r="O1012" t="s">
        <v>33</v>
      </c>
      <c r="T1012" s="117">
        <v>0</v>
      </c>
      <c r="U1012" s="209" t="s">
        <v>501</v>
      </c>
    </row>
    <row r="1013" spans="1:21" ht="14.5" customHeight="1" x14ac:dyDescent="0.35">
      <c r="A1013" t="s">
        <v>19</v>
      </c>
      <c r="B1013" t="s">
        <v>23</v>
      </c>
      <c r="C1013" s="1">
        <v>45461</v>
      </c>
      <c r="D1013">
        <f t="shared" si="66"/>
        <v>18</v>
      </c>
      <c r="E1013">
        <f t="shared" si="67"/>
        <v>6</v>
      </c>
      <c r="F1013">
        <f t="shared" si="68"/>
        <v>2024</v>
      </c>
      <c r="G1013" t="s">
        <v>74</v>
      </c>
      <c r="H1013" s="98">
        <v>9967</v>
      </c>
      <c r="I1013" s="76">
        <v>84031.06</v>
      </c>
      <c r="J1013" s="12" t="s">
        <v>31</v>
      </c>
      <c r="K1013" s="76">
        <f t="shared" si="69"/>
        <v>84031.06</v>
      </c>
      <c r="L1013">
        <v>1</v>
      </c>
      <c r="M1013" s="29">
        <v>0</v>
      </c>
      <c r="N1013" t="s">
        <v>32</v>
      </c>
      <c r="O1013" t="s">
        <v>33</v>
      </c>
      <c r="P1013" t="s">
        <v>34</v>
      </c>
      <c r="Q1013" t="s">
        <v>34</v>
      </c>
      <c r="R1013" t="s">
        <v>34</v>
      </c>
      <c r="S1013" t="s">
        <v>34</v>
      </c>
      <c r="T1013" s="117">
        <v>0</v>
      </c>
    </row>
    <row r="1014" spans="1:21" ht="14.5" customHeight="1" x14ac:dyDescent="0.35">
      <c r="A1014" t="s">
        <v>19</v>
      </c>
      <c r="B1014" t="s">
        <v>23</v>
      </c>
      <c r="C1014" s="1">
        <v>45461</v>
      </c>
      <c r="D1014">
        <f t="shared" si="66"/>
        <v>18</v>
      </c>
      <c r="E1014">
        <f t="shared" si="67"/>
        <v>6</v>
      </c>
      <c r="F1014">
        <f t="shared" si="68"/>
        <v>2024</v>
      </c>
      <c r="G1014" t="s">
        <v>75</v>
      </c>
      <c r="H1014" s="171">
        <v>10246</v>
      </c>
      <c r="I1014" s="94">
        <v>31664.99</v>
      </c>
      <c r="J1014" s="12" t="s">
        <v>31</v>
      </c>
      <c r="K1014" s="76">
        <f t="shared" si="69"/>
        <v>31664.99</v>
      </c>
      <c r="L1014">
        <v>1</v>
      </c>
      <c r="M1014" s="29">
        <v>0</v>
      </c>
      <c r="N1014" t="s">
        <v>42</v>
      </c>
      <c r="O1014" t="s">
        <v>33</v>
      </c>
      <c r="P1014" t="s">
        <v>34</v>
      </c>
      <c r="Q1014" t="s">
        <v>34</v>
      </c>
      <c r="R1014" t="s">
        <v>34</v>
      </c>
      <c r="S1014" t="s">
        <v>34</v>
      </c>
      <c r="T1014" s="117">
        <v>0</v>
      </c>
    </row>
    <row r="1015" spans="1:21" ht="14.5" customHeight="1" x14ac:dyDescent="0.35">
      <c r="A1015" t="s">
        <v>19</v>
      </c>
      <c r="B1015" t="s">
        <v>21</v>
      </c>
      <c r="C1015" s="1">
        <v>45461</v>
      </c>
      <c r="D1015">
        <f t="shared" si="66"/>
        <v>18</v>
      </c>
      <c r="E1015">
        <f t="shared" si="67"/>
        <v>6</v>
      </c>
      <c r="F1015">
        <f t="shared" si="68"/>
        <v>2024</v>
      </c>
      <c r="G1015" t="s">
        <v>40</v>
      </c>
      <c r="H1015" s="98">
        <v>10302</v>
      </c>
      <c r="I1015" s="76">
        <v>50658.65</v>
      </c>
      <c r="J1015" s="12" t="s">
        <v>31</v>
      </c>
      <c r="K1015" s="76">
        <f t="shared" si="69"/>
        <v>50658.65</v>
      </c>
      <c r="L1015">
        <v>1</v>
      </c>
      <c r="M1015" s="29">
        <v>0</v>
      </c>
      <c r="N1015" t="s">
        <v>42</v>
      </c>
      <c r="O1015" t="s">
        <v>33</v>
      </c>
      <c r="P1015" t="s">
        <v>34</v>
      </c>
      <c r="Q1015" t="s">
        <v>34</v>
      </c>
      <c r="R1015" t="s">
        <v>34</v>
      </c>
      <c r="S1015" t="s">
        <v>34</v>
      </c>
      <c r="T1015" s="117">
        <v>0</v>
      </c>
    </row>
    <row r="1016" spans="1:21" ht="14.5" customHeight="1" x14ac:dyDescent="0.35">
      <c r="A1016" t="s">
        <v>19</v>
      </c>
      <c r="B1016" t="s">
        <v>23</v>
      </c>
      <c r="C1016" s="1">
        <v>45461</v>
      </c>
      <c r="D1016">
        <f t="shared" si="66"/>
        <v>18</v>
      </c>
      <c r="E1016">
        <f t="shared" si="67"/>
        <v>6</v>
      </c>
      <c r="F1016">
        <f t="shared" si="68"/>
        <v>2024</v>
      </c>
      <c r="G1016" t="s">
        <v>77</v>
      </c>
      <c r="H1016" s="98">
        <v>10760</v>
      </c>
      <c r="I1016" s="76">
        <v>4023</v>
      </c>
      <c r="J1016" s="12" t="s">
        <v>31</v>
      </c>
      <c r="K1016" s="76">
        <f t="shared" si="69"/>
        <v>4023</v>
      </c>
      <c r="L1016">
        <v>1</v>
      </c>
      <c r="M1016" s="29">
        <v>0</v>
      </c>
      <c r="N1016" t="s">
        <v>42</v>
      </c>
      <c r="O1016" t="s">
        <v>33</v>
      </c>
      <c r="P1016" t="s">
        <v>34</v>
      </c>
      <c r="Q1016" t="s">
        <v>34</v>
      </c>
      <c r="R1016" t="s">
        <v>34</v>
      </c>
      <c r="S1016" t="s">
        <v>34</v>
      </c>
      <c r="T1016" s="117">
        <v>0</v>
      </c>
    </row>
    <row r="1017" spans="1:21" ht="14.5" customHeight="1" x14ac:dyDescent="0.35">
      <c r="A1017" t="s">
        <v>19</v>
      </c>
      <c r="B1017" t="s">
        <v>23</v>
      </c>
      <c r="C1017" s="1">
        <v>45461</v>
      </c>
      <c r="D1017">
        <f t="shared" si="66"/>
        <v>18</v>
      </c>
      <c r="E1017">
        <f t="shared" si="67"/>
        <v>6</v>
      </c>
      <c r="F1017">
        <f t="shared" si="68"/>
        <v>2024</v>
      </c>
      <c r="G1017" t="s">
        <v>77</v>
      </c>
      <c r="H1017" s="98">
        <v>10761</v>
      </c>
      <c r="I1017" s="76">
        <v>4800</v>
      </c>
      <c r="J1017" s="12" t="s">
        <v>31</v>
      </c>
      <c r="K1017" s="76">
        <f t="shared" si="69"/>
        <v>4800</v>
      </c>
      <c r="L1017">
        <v>1</v>
      </c>
      <c r="M1017" s="29">
        <v>0</v>
      </c>
      <c r="N1017" t="s">
        <v>42</v>
      </c>
      <c r="O1017" t="s">
        <v>33</v>
      </c>
      <c r="P1017" t="s">
        <v>34</v>
      </c>
      <c r="Q1017" t="s">
        <v>34</v>
      </c>
      <c r="R1017" t="s">
        <v>34</v>
      </c>
      <c r="S1017" t="s">
        <v>34</v>
      </c>
      <c r="T1017" s="117">
        <v>0</v>
      </c>
    </row>
    <row r="1018" spans="1:21" ht="14.5" customHeight="1" x14ac:dyDescent="0.35">
      <c r="A1018" t="s">
        <v>19</v>
      </c>
      <c r="B1018" t="s">
        <v>23</v>
      </c>
      <c r="C1018" s="1">
        <v>45461</v>
      </c>
      <c r="D1018">
        <f t="shared" si="66"/>
        <v>18</v>
      </c>
      <c r="E1018">
        <f t="shared" si="67"/>
        <v>6</v>
      </c>
      <c r="F1018">
        <f t="shared" si="68"/>
        <v>2024</v>
      </c>
      <c r="G1018" t="s">
        <v>76</v>
      </c>
      <c r="H1018" s="98">
        <v>11004</v>
      </c>
      <c r="I1018" s="76">
        <v>16230</v>
      </c>
      <c r="J1018" s="12" t="s">
        <v>31</v>
      </c>
      <c r="K1018" s="76">
        <f t="shared" si="69"/>
        <v>16230</v>
      </c>
      <c r="L1018">
        <v>1</v>
      </c>
      <c r="M1018" s="29">
        <v>0</v>
      </c>
      <c r="N1018" t="s">
        <v>42</v>
      </c>
      <c r="O1018" t="s">
        <v>33</v>
      </c>
      <c r="P1018" t="s">
        <v>34</v>
      </c>
      <c r="Q1018" t="s">
        <v>34</v>
      </c>
      <c r="R1018" t="s">
        <v>34</v>
      </c>
      <c r="S1018" t="s">
        <v>34</v>
      </c>
      <c r="T1018" s="117">
        <v>0</v>
      </c>
      <c r="U1018" s="209" t="s">
        <v>507</v>
      </c>
    </row>
    <row r="1019" spans="1:21" ht="14.5" customHeight="1" x14ac:dyDescent="0.35">
      <c r="A1019" t="s">
        <v>19</v>
      </c>
      <c r="B1019" t="s">
        <v>23</v>
      </c>
      <c r="C1019" s="1">
        <v>45461</v>
      </c>
      <c r="D1019">
        <f t="shared" si="66"/>
        <v>18</v>
      </c>
      <c r="E1019">
        <f t="shared" si="67"/>
        <v>6</v>
      </c>
      <c r="F1019">
        <f t="shared" si="68"/>
        <v>2024</v>
      </c>
      <c r="G1019" t="s">
        <v>76</v>
      </c>
      <c r="H1019" s="98">
        <v>10321</v>
      </c>
      <c r="I1019" s="76">
        <v>3765</v>
      </c>
      <c r="J1019" s="12" t="s">
        <v>31</v>
      </c>
      <c r="K1019" s="76">
        <f t="shared" si="69"/>
        <v>3765</v>
      </c>
      <c r="L1019">
        <v>1</v>
      </c>
      <c r="M1019" s="29">
        <v>0</v>
      </c>
      <c r="N1019" t="s">
        <v>42</v>
      </c>
      <c r="O1019" t="s">
        <v>33</v>
      </c>
      <c r="P1019" t="s">
        <v>34</v>
      </c>
      <c r="Q1019" t="s">
        <v>34</v>
      </c>
      <c r="R1019" t="s">
        <v>34</v>
      </c>
      <c r="S1019" t="s">
        <v>34</v>
      </c>
      <c r="T1019" s="117">
        <v>0</v>
      </c>
      <c r="U1019" s="209" t="s">
        <v>486</v>
      </c>
    </row>
    <row r="1020" spans="1:21" ht="14.5" customHeight="1" x14ac:dyDescent="0.35">
      <c r="A1020" t="s">
        <v>19</v>
      </c>
      <c r="B1020" t="s">
        <v>23</v>
      </c>
      <c r="C1020" s="1">
        <v>45461</v>
      </c>
      <c r="D1020">
        <f t="shared" si="66"/>
        <v>18</v>
      </c>
      <c r="E1020">
        <f t="shared" si="67"/>
        <v>6</v>
      </c>
      <c r="F1020">
        <f t="shared" si="68"/>
        <v>2024</v>
      </c>
      <c r="G1020" t="s">
        <v>76</v>
      </c>
      <c r="H1020" s="98">
        <v>10770</v>
      </c>
      <c r="I1020" s="76">
        <v>29199.3</v>
      </c>
      <c r="J1020" s="12" t="s">
        <v>31</v>
      </c>
      <c r="K1020" s="76">
        <f t="shared" si="69"/>
        <v>29199.3</v>
      </c>
      <c r="L1020">
        <v>1</v>
      </c>
      <c r="M1020" s="29">
        <v>0</v>
      </c>
      <c r="N1020" t="s">
        <v>42</v>
      </c>
      <c r="O1020" t="s">
        <v>33</v>
      </c>
      <c r="P1020" t="s">
        <v>34</v>
      </c>
      <c r="Q1020" t="s">
        <v>34</v>
      </c>
      <c r="R1020" t="s">
        <v>34</v>
      </c>
      <c r="S1020" t="s">
        <v>34</v>
      </c>
      <c r="T1020" s="117">
        <v>0</v>
      </c>
    </row>
    <row r="1021" spans="1:21" ht="14.5" customHeight="1" x14ac:dyDescent="0.35">
      <c r="A1021" t="s">
        <v>19</v>
      </c>
      <c r="B1021" t="s">
        <v>23</v>
      </c>
      <c r="C1021" s="1">
        <v>45461</v>
      </c>
      <c r="D1021">
        <f t="shared" si="66"/>
        <v>18</v>
      </c>
      <c r="E1021">
        <f t="shared" si="67"/>
        <v>6</v>
      </c>
      <c r="F1021">
        <f t="shared" si="68"/>
        <v>2024</v>
      </c>
      <c r="G1021" t="s">
        <v>76</v>
      </c>
      <c r="H1021" s="98">
        <v>11659</v>
      </c>
      <c r="I1021" s="76">
        <v>8210.7000000000007</v>
      </c>
      <c r="J1021" s="12" t="s">
        <v>31</v>
      </c>
      <c r="K1021" s="76">
        <f t="shared" si="69"/>
        <v>8210.7000000000007</v>
      </c>
      <c r="L1021">
        <v>1</v>
      </c>
      <c r="M1021" s="29">
        <v>0</v>
      </c>
      <c r="N1021" t="s">
        <v>42</v>
      </c>
      <c r="O1021" t="s">
        <v>33</v>
      </c>
      <c r="P1021" t="s">
        <v>34</v>
      </c>
      <c r="Q1021" t="s">
        <v>34</v>
      </c>
      <c r="R1021" t="s">
        <v>34</v>
      </c>
      <c r="S1021" t="s">
        <v>34</v>
      </c>
      <c r="T1021" s="117">
        <v>0</v>
      </c>
      <c r="U1021" s="209" t="s">
        <v>744</v>
      </c>
    </row>
    <row r="1022" spans="1:21" ht="14.5" customHeight="1" x14ac:dyDescent="0.35">
      <c r="A1022" t="s">
        <v>19</v>
      </c>
      <c r="B1022" t="s">
        <v>21</v>
      </c>
      <c r="C1022" s="1">
        <v>45461</v>
      </c>
      <c r="D1022">
        <f t="shared" si="66"/>
        <v>18</v>
      </c>
      <c r="E1022">
        <f t="shared" si="67"/>
        <v>6</v>
      </c>
      <c r="F1022">
        <f t="shared" si="68"/>
        <v>2024</v>
      </c>
      <c r="G1022" t="s">
        <v>76</v>
      </c>
      <c r="H1022" s="98">
        <v>10766</v>
      </c>
      <c r="I1022" s="76">
        <v>182.4</v>
      </c>
      <c r="J1022" s="12" t="s">
        <v>31</v>
      </c>
      <c r="K1022" s="76">
        <f t="shared" si="69"/>
        <v>182.4</v>
      </c>
      <c r="L1022">
        <v>1</v>
      </c>
      <c r="M1022" s="29">
        <v>0</v>
      </c>
      <c r="N1022" t="s">
        <v>42</v>
      </c>
      <c r="O1022" t="s">
        <v>33</v>
      </c>
      <c r="P1022" t="s">
        <v>34</v>
      </c>
      <c r="Q1022" t="s">
        <v>34</v>
      </c>
      <c r="R1022" t="s">
        <v>34</v>
      </c>
      <c r="S1022" t="s">
        <v>34</v>
      </c>
      <c r="T1022" s="117">
        <v>0</v>
      </c>
    </row>
    <row r="1023" spans="1:21" ht="14.5" customHeight="1" x14ac:dyDescent="0.35">
      <c r="A1023" t="s">
        <v>19</v>
      </c>
      <c r="B1023" t="s">
        <v>21</v>
      </c>
      <c r="C1023" s="1">
        <v>45461</v>
      </c>
      <c r="D1023">
        <f t="shared" si="66"/>
        <v>18</v>
      </c>
      <c r="E1023">
        <f t="shared" si="67"/>
        <v>6</v>
      </c>
      <c r="F1023">
        <f t="shared" si="68"/>
        <v>2024</v>
      </c>
      <c r="G1023" t="s">
        <v>76</v>
      </c>
      <c r="H1023" s="98">
        <v>11004</v>
      </c>
      <c r="I1023" s="76">
        <v>13219.11</v>
      </c>
      <c r="J1023" s="12" t="s">
        <v>31</v>
      </c>
      <c r="K1023" s="76">
        <f t="shared" si="69"/>
        <v>13219.11</v>
      </c>
      <c r="L1023">
        <v>1</v>
      </c>
      <c r="M1023" s="29">
        <v>0</v>
      </c>
      <c r="N1023" t="s">
        <v>42</v>
      </c>
      <c r="O1023" t="s">
        <v>33</v>
      </c>
      <c r="P1023" t="s">
        <v>34</v>
      </c>
      <c r="Q1023" t="s">
        <v>34</v>
      </c>
      <c r="R1023" t="s">
        <v>34</v>
      </c>
      <c r="S1023" t="s">
        <v>34</v>
      </c>
      <c r="T1023" s="117">
        <v>0</v>
      </c>
      <c r="U1023" s="209" t="s">
        <v>508</v>
      </c>
    </row>
    <row r="1024" spans="1:21" ht="14.5" customHeight="1" x14ac:dyDescent="0.35">
      <c r="A1024" t="s">
        <v>19</v>
      </c>
      <c r="B1024" t="s">
        <v>25</v>
      </c>
      <c r="C1024" s="1">
        <v>45461</v>
      </c>
      <c r="D1024">
        <f t="shared" si="66"/>
        <v>18</v>
      </c>
      <c r="E1024">
        <f t="shared" si="67"/>
        <v>6</v>
      </c>
      <c r="F1024">
        <f t="shared" si="68"/>
        <v>2024</v>
      </c>
      <c r="G1024" t="s">
        <v>80</v>
      </c>
      <c r="H1024" s="98">
        <v>10429</v>
      </c>
      <c r="I1024" s="76">
        <v>570</v>
      </c>
      <c r="J1024" s="12" t="s">
        <v>31</v>
      </c>
      <c r="K1024" s="76">
        <f t="shared" si="69"/>
        <v>570</v>
      </c>
      <c r="L1024">
        <v>1</v>
      </c>
      <c r="M1024" s="29">
        <v>0</v>
      </c>
      <c r="N1024" t="s">
        <v>32</v>
      </c>
      <c r="O1024" t="s">
        <v>33</v>
      </c>
      <c r="P1024" t="s">
        <v>34</v>
      </c>
      <c r="Q1024" t="s">
        <v>34</v>
      </c>
      <c r="R1024" t="s">
        <v>34</v>
      </c>
      <c r="S1024" t="s">
        <v>34</v>
      </c>
      <c r="T1024" s="117">
        <v>0</v>
      </c>
    </row>
    <row r="1025" spans="1:21" ht="14.5" customHeight="1" x14ac:dyDescent="0.35">
      <c r="A1025" t="s">
        <v>19</v>
      </c>
      <c r="B1025" t="s">
        <v>25</v>
      </c>
      <c r="C1025" s="1">
        <v>45461</v>
      </c>
      <c r="D1025">
        <f t="shared" si="66"/>
        <v>18</v>
      </c>
      <c r="E1025">
        <f t="shared" si="67"/>
        <v>6</v>
      </c>
      <c r="F1025">
        <f t="shared" si="68"/>
        <v>2024</v>
      </c>
      <c r="G1025" t="s">
        <v>35</v>
      </c>
      <c r="H1025" s="98">
        <v>9771</v>
      </c>
      <c r="I1025" s="76">
        <v>9585.1200000000008</v>
      </c>
      <c r="J1025" s="12" t="s">
        <v>31</v>
      </c>
      <c r="K1025" s="76">
        <f t="shared" si="69"/>
        <v>9585.1200000000008</v>
      </c>
      <c r="L1025">
        <v>1</v>
      </c>
      <c r="M1025" s="29">
        <v>0</v>
      </c>
      <c r="N1025" t="s">
        <v>32</v>
      </c>
      <c r="O1025" t="s">
        <v>33</v>
      </c>
      <c r="P1025" t="s">
        <v>34</v>
      </c>
      <c r="Q1025" t="s">
        <v>34</v>
      </c>
      <c r="R1025" t="s">
        <v>34</v>
      </c>
      <c r="S1025" t="s">
        <v>34</v>
      </c>
      <c r="T1025" s="117">
        <v>0</v>
      </c>
    </row>
    <row r="1026" spans="1:21" ht="14.5" customHeight="1" x14ac:dyDescent="0.35">
      <c r="A1026" t="s">
        <v>19</v>
      </c>
      <c r="B1026" t="s">
        <v>25</v>
      </c>
      <c r="C1026" s="1">
        <v>45461</v>
      </c>
      <c r="D1026">
        <f t="shared" ref="D1026:D1089" si="70">DAY(C1026)</f>
        <v>18</v>
      </c>
      <c r="E1026">
        <f t="shared" ref="E1026:E1089" si="71">MONTH(C1026)</f>
        <v>6</v>
      </c>
      <c r="F1026">
        <f t="shared" ref="F1026:F1089" si="72">YEAR(C1026)</f>
        <v>2024</v>
      </c>
      <c r="G1026" t="s">
        <v>30</v>
      </c>
      <c r="H1026" s="98">
        <v>10725</v>
      </c>
      <c r="I1026" s="76">
        <v>18674.78</v>
      </c>
      <c r="J1026" s="12" t="s">
        <v>31</v>
      </c>
      <c r="K1026" s="76">
        <f t="shared" si="69"/>
        <v>18674.78</v>
      </c>
      <c r="L1026">
        <v>1</v>
      </c>
      <c r="M1026" s="29">
        <v>0</v>
      </c>
      <c r="N1026" t="s">
        <v>32</v>
      </c>
      <c r="O1026" t="s">
        <v>33</v>
      </c>
      <c r="P1026" t="s">
        <v>34</v>
      </c>
      <c r="Q1026" t="s">
        <v>34</v>
      </c>
      <c r="R1026" t="s">
        <v>34</v>
      </c>
      <c r="S1026" t="s">
        <v>34</v>
      </c>
      <c r="T1026" s="117">
        <v>0</v>
      </c>
    </row>
    <row r="1027" spans="1:21" ht="14.5" customHeight="1" x14ac:dyDescent="0.35">
      <c r="A1027" t="s">
        <v>20</v>
      </c>
      <c r="B1027" t="s">
        <v>24</v>
      </c>
      <c r="C1027" s="1">
        <v>45461</v>
      </c>
      <c r="D1027">
        <f t="shared" si="70"/>
        <v>18</v>
      </c>
      <c r="E1027">
        <f t="shared" si="71"/>
        <v>6</v>
      </c>
      <c r="F1027">
        <f t="shared" si="72"/>
        <v>2024</v>
      </c>
      <c r="G1027" t="s">
        <v>81</v>
      </c>
      <c r="H1027" s="98">
        <v>10453</v>
      </c>
      <c r="I1027" s="29">
        <v>420.75</v>
      </c>
      <c r="J1027" s="12" t="s">
        <v>31</v>
      </c>
      <c r="K1027" s="29">
        <f t="shared" si="69"/>
        <v>420.75</v>
      </c>
      <c r="L1027">
        <v>1</v>
      </c>
      <c r="M1027" s="29">
        <v>0</v>
      </c>
      <c r="N1027" t="s">
        <v>32</v>
      </c>
      <c r="O1027" t="s">
        <v>33</v>
      </c>
      <c r="P1027" t="s">
        <v>34</v>
      </c>
      <c r="Q1027" t="s">
        <v>34</v>
      </c>
      <c r="R1027" t="s">
        <v>34</v>
      </c>
      <c r="S1027" t="s">
        <v>34</v>
      </c>
      <c r="T1027" s="117">
        <v>0</v>
      </c>
    </row>
    <row r="1028" spans="1:21" ht="14.5" customHeight="1" x14ac:dyDescent="0.35">
      <c r="A1028" t="s">
        <v>20</v>
      </c>
      <c r="B1028" t="s">
        <v>23</v>
      </c>
      <c r="C1028" s="1">
        <v>45461</v>
      </c>
      <c r="D1028">
        <f t="shared" si="70"/>
        <v>18</v>
      </c>
      <c r="E1028">
        <f t="shared" si="71"/>
        <v>6</v>
      </c>
      <c r="F1028">
        <f t="shared" si="72"/>
        <v>2024</v>
      </c>
      <c r="G1028" t="s">
        <v>177</v>
      </c>
      <c r="H1028" s="98">
        <v>10681</v>
      </c>
      <c r="I1028" s="29">
        <v>52.15</v>
      </c>
      <c r="J1028" s="12" t="s">
        <v>31</v>
      </c>
      <c r="K1028" s="29">
        <f t="shared" si="69"/>
        <v>52.15</v>
      </c>
      <c r="L1028">
        <v>1</v>
      </c>
      <c r="M1028" s="29">
        <v>0</v>
      </c>
      <c r="N1028" t="s">
        <v>32</v>
      </c>
      <c r="O1028" t="s">
        <v>33</v>
      </c>
      <c r="P1028" t="s">
        <v>34</v>
      </c>
      <c r="Q1028" t="s">
        <v>34</v>
      </c>
      <c r="R1028" t="s">
        <v>34</v>
      </c>
      <c r="S1028" t="s">
        <v>34</v>
      </c>
      <c r="T1028" s="117">
        <v>0</v>
      </c>
    </row>
    <row r="1029" spans="1:21" ht="14.5" customHeight="1" x14ac:dyDescent="0.35">
      <c r="A1029" t="s">
        <v>20</v>
      </c>
      <c r="B1029" t="s">
        <v>23</v>
      </c>
      <c r="C1029" s="1">
        <v>45461</v>
      </c>
      <c r="D1029">
        <f t="shared" si="70"/>
        <v>18</v>
      </c>
      <c r="E1029">
        <f t="shared" si="71"/>
        <v>6</v>
      </c>
      <c r="F1029">
        <f t="shared" si="72"/>
        <v>2024</v>
      </c>
      <c r="G1029" t="s">
        <v>177</v>
      </c>
      <c r="H1029" s="98">
        <v>10682</v>
      </c>
      <c r="I1029" s="29">
        <v>12132.61</v>
      </c>
      <c r="J1029" s="12" t="s">
        <v>31</v>
      </c>
      <c r="K1029" s="29">
        <f t="shared" si="69"/>
        <v>12132.61</v>
      </c>
      <c r="L1029">
        <v>1</v>
      </c>
      <c r="M1029" s="29">
        <v>0</v>
      </c>
      <c r="N1029" t="s">
        <v>42</v>
      </c>
      <c r="O1029" t="s">
        <v>33</v>
      </c>
      <c r="P1029" t="s">
        <v>34</v>
      </c>
      <c r="Q1029" t="s">
        <v>34</v>
      </c>
      <c r="R1029" t="s">
        <v>34</v>
      </c>
      <c r="S1029" t="s">
        <v>34</v>
      </c>
      <c r="T1029" s="117">
        <v>0</v>
      </c>
    </row>
    <row r="1030" spans="1:21" ht="14.5" customHeight="1" x14ac:dyDescent="0.35">
      <c r="A1030" t="s">
        <v>20</v>
      </c>
      <c r="B1030" t="s">
        <v>23</v>
      </c>
      <c r="C1030" s="1">
        <v>45461</v>
      </c>
      <c r="D1030">
        <f t="shared" si="70"/>
        <v>18</v>
      </c>
      <c r="E1030">
        <f t="shared" si="71"/>
        <v>6</v>
      </c>
      <c r="F1030">
        <f t="shared" si="72"/>
        <v>2024</v>
      </c>
      <c r="G1030" t="s">
        <v>97</v>
      </c>
      <c r="H1030" s="98">
        <v>10569</v>
      </c>
      <c r="I1030" s="29">
        <v>31944.799999999999</v>
      </c>
      <c r="J1030" s="12" t="s">
        <v>31</v>
      </c>
      <c r="K1030" s="29">
        <f t="shared" si="69"/>
        <v>31944.799999999999</v>
      </c>
      <c r="L1030">
        <v>1</v>
      </c>
      <c r="M1030" s="29">
        <v>1059.1199999999999</v>
      </c>
      <c r="N1030" t="s">
        <v>32</v>
      </c>
      <c r="O1030" t="s">
        <v>33</v>
      </c>
      <c r="P1030" t="s">
        <v>34</v>
      </c>
      <c r="Q1030" t="s">
        <v>34</v>
      </c>
      <c r="R1030" t="s">
        <v>34</v>
      </c>
      <c r="S1030" t="s">
        <v>34</v>
      </c>
      <c r="T1030" s="117">
        <v>2300</v>
      </c>
    </row>
    <row r="1031" spans="1:21" ht="14.5" customHeight="1" x14ac:dyDescent="0.35">
      <c r="A1031" t="s">
        <v>20</v>
      </c>
      <c r="B1031" t="s">
        <v>23</v>
      </c>
      <c r="C1031" s="1">
        <v>45461</v>
      </c>
      <c r="D1031">
        <f t="shared" si="70"/>
        <v>18</v>
      </c>
      <c r="E1031">
        <f t="shared" si="71"/>
        <v>6</v>
      </c>
      <c r="F1031">
        <f t="shared" si="72"/>
        <v>2024</v>
      </c>
      <c r="G1031" t="s">
        <v>97</v>
      </c>
      <c r="H1031" s="98">
        <v>10701</v>
      </c>
      <c r="I1031" s="29">
        <v>164.5</v>
      </c>
      <c r="J1031" s="12" t="s">
        <v>31</v>
      </c>
      <c r="K1031" s="29">
        <f t="shared" si="69"/>
        <v>164.5</v>
      </c>
      <c r="L1031">
        <v>1</v>
      </c>
      <c r="M1031" s="29">
        <v>0</v>
      </c>
      <c r="N1031" t="s">
        <v>32</v>
      </c>
      <c r="O1031" t="s">
        <v>33</v>
      </c>
      <c r="P1031" t="s">
        <v>34</v>
      </c>
      <c r="Q1031" t="s">
        <v>34</v>
      </c>
      <c r="R1031" t="s">
        <v>34</v>
      </c>
      <c r="S1031" t="s">
        <v>34</v>
      </c>
      <c r="T1031" s="117">
        <v>32.5</v>
      </c>
    </row>
    <row r="1032" spans="1:21" ht="14.5" customHeight="1" x14ac:dyDescent="0.35">
      <c r="A1032" t="s">
        <v>20</v>
      </c>
      <c r="B1032" t="s">
        <v>21</v>
      </c>
      <c r="C1032" s="1">
        <v>45461</v>
      </c>
      <c r="D1032">
        <f t="shared" si="70"/>
        <v>18</v>
      </c>
      <c r="E1032">
        <f t="shared" si="71"/>
        <v>6</v>
      </c>
      <c r="F1032">
        <f t="shared" si="72"/>
        <v>2024</v>
      </c>
      <c r="G1032" t="s">
        <v>164</v>
      </c>
      <c r="H1032" s="98">
        <v>10242</v>
      </c>
      <c r="I1032" s="29">
        <v>165.58</v>
      </c>
      <c r="J1032" s="12" t="s">
        <v>31</v>
      </c>
      <c r="K1032" s="29">
        <f t="shared" si="69"/>
        <v>165.58</v>
      </c>
      <c r="L1032">
        <v>1</v>
      </c>
      <c r="M1032" s="29">
        <v>0</v>
      </c>
      <c r="N1032" t="s">
        <v>32</v>
      </c>
      <c r="O1032" t="s">
        <v>33</v>
      </c>
      <c r="P1032" t="s">
        <v>34</v>
      </c>
      <c r="Q1032" t="s">
        <v>34</v>
      </c>
      <c r="R1032" t="s">
        <v>34</v>
      </c>
      <c r="S1032" t="s">
        <v>34</v>
      </c>
      <c r="T1032" s="117">
        <v>0</v>
      </c>
    </row>
    <row r="1033" spans="1:21" ht="14.5" customHeight="1" x14ac:dyDescent="0.35">
      <c r="A1033" t="s">
        <v>20</v>
      </c>
      <c r="B1033" t="s">
        <v>21</v>
      </c>
      <c r="C1033" s="1">
        <v>45461</v>
      </c>
      <c r="D1033">
        <f t="shared" si="70"/>
        <v>18</v>
      </c>
      <c r="E1033">
        <f t="shared" si="71"/>
        <v>6</v>
      </c>
      <c r="F1033">
        <f t="shared" si="72"/>
        <v>2024</v>
      </c>
      <c r="G1033" t="s">
        <v>164</v>
      </c>
      <c r="H1033" s="98">
        <v>10243</v>
      </c>
      <c r="I1033" s="29">
        <v>1095.67</v>
      </c>
      <c r="J1033" s="12" t="s">
        <v>31</v>
      </c>
      <c r="K1033" s="29">
        <f t="shared" si="69"/>
        <v>1095.67</v>
      </c>
      <c r="L1033">
        <v>1</v>
      </c>
      <c r="M1033" s="29">
        <v>0</v>
      </c>
      <c r="N1033" t="s">
        <v>32</v>
      </c>
      <c r="O1033" t="s">
        <v>33</v>
      </c>
      <c r="P1033" t="s">
        <v>34</v>
      </c>
      <c r="Q1033" t="s">
        <v>34</v>
      </c>
      <c r="R1033" t="s">
        <v>34</v>
      </c>
      <c r="S1033" t="s">
        <v>34</v>
      </c>
      <c r="T1033" s="117">
        <v>493.86</v>
      </c>
    </row>
    <row r="1034" spans="1:21" ht="14.5" customHeight="1" x14ac:dyDescent="0.35">
      <c r="A1034" t="s">
        <v>20</v>
      </c>
      <c r="B1034" t="s">
        <v>21</v>
      </c>
      <c r="C1034" s="1">
        <v>45461</v>
      </c>
      <c r="D1034">
        <f t="shared" si="70"/>
        <v>18</v>
      </c>
      <c r="E1034">
        <f t="shared" si="71"/>
        <v>6</v>
      </c>
      <c r="F1034">
        <f t="shared" si="72"/>
        <v>2024</v>
      </c>
      <c r="G1034" t="s">
        <v>273</v>
      </c>
      <c r="H1034" s="98">
        <v>10450</v>
      </c>
      <c r="I1034" s="29">
        <v>104.1</v>
      </c>
      <c r="J1034" s="12" t="s">
        <v>31</v>
      </c>
      <c r="K1034" s="29">
        <f t="shared" si="69"/>
        <v>104.1</v>
      </c>
      <c r="L1034">
        <v>1</v>
      </c>
      <c r="M1034" s="29">
        <v>0</v>
      </c>
      <c r="N1034" t="s">
        <v>32</v>
      </c>
      <c r="O1034" t="s">
        <v>33</v>
      </c>
      <c r="P1034" t="s">
        <v>34</v>
      </c>
      <c r="Q1034" t="s">
        <v>34</v>
      </c>
      <c r="R1034" t="s">
        <v>34</v>
      </c>
      <c r="S1034" t="s">
        <v>34</v>
      </c>
      <c r="T1034" s="117">
        <v>0</v>
      </c>
    </row>
    <row r="1035" spans="1:21" ht="14.5" customHeight="1" x14ac:dyDescent="0.35">
      <c r="A1035" t="s">
        <v>20</v>
      </c>
      <c r="B1035" t="s">
        <v>21</v>
      </c>
      <c r="C1035" s="1">
        <v>45461</v>
      </c>
      <c r="D1035">
        <f t="shared" si="70"/>
        <v>18</v>
      </c>
      <c r="E1035">
        <f t="shared" si="71"/>
        <v>6</v>
      </c>
      <c r="F1035">
        <f t="shared" si="72"/>
        <v>2024</v>
      </c>
      <c r="G1035" t="s">
        <v>273</v>
      </c>
      <c r="H1035" s="98">
        <v>10451</v>
      </c>
      <c r="I1035" s="29">
        <v>5355.9</v>
      </c>
      <c r="J1035" s="12" t="s">
        <v>31</v>
      </c>
      <c r="K1035" s="29">
        <f t="shared" si="69"/>
        <v>5355.9</v>
      </c>
      <c r="L1035">
        <v>1</v>
      </c>
      <c r="M1035" s="29">
        <v>0</v>
      </c>
      <c r="N1035" t="s">
        <v>32</v>
      </c>
      <c r="O1035" t="s">
        <v>33</v>
      </c>
      <c r="P1035" t="s">
        <v>34</v>
      </c>
      <c r="Q1035" t="s">
        <v>34</v>
      </c>
      <c r="R1035" t="s">
        <v>34</v>
      </c>
      <c r="S1035" t="s">
        <v>34</v>
      </c>
      <c r="T1035" s="117">
        <v>0</v>
      </c>
    </row>
    <row r="1036" spans="1:21" ht="14.5" customHeight="1" x14ac:dyDescent="0.35">
      <c r="A1036" t="s">
        <v>20</v>
      </c>
      <c r="B1036" t="s">
        <v>23</v>
      </c>
      <c r="C1036" s="1">
        <v>45461</v>
      </c>
      <c r="D1036">
        <f t="shared" si="70"/>
        <v>18</v>
      </c>
      <c r="E1036">
        <f t="shared" si="71"/>
        <v>6</v>
      </c>
      <c r="F1036">
        <f t="shared" si="72"/>
        <v>2024</v>
      </c>
      <c r="G1036" t="s">
        <v>46</v>
      </c>
      <c r="H1036" s="98">
        <v>10476</v>
      </c>
      <c r="I1036" s="29">
        <v>4343.7700000000004</v>
      </c>
      <c r="J1036" s="12" t="s">
        <v>31</v>
      </c>
      <c r="K1036" s="29">
        <f t="shared" si="69"/>
        <v>4343.7700000000004</v>
      </c>
      <c r="L1036">
        <v>1</v>
      </c>
      <c r="M1036" s="29">
        <v>0</v>
      </c>
      <c r="N1036" t="s">
        <v>32</v>
      </c>
      <c r="O1036" t="s">
        <v>33</v>
      </c>
      <c r="P1036" t="s">
        <v>34</v>
      </c>
      <c r="Q1036" t="s">
        <v>34</v>
      </c>
      <c r="R1036" t="s">
        <v>34</v>
      </c>
      <c r="S1036" t="s">
        <v>34</v>
      </c>
      <c r="T1036" s="117">
        <v>0</v>
      </c>
    </row>
    <row r="1037" spans="1:21" ht="14.5" customHeight="1" x14ac:dyDescent="0.35">
      <c r="A1037" t="s">
        <v>20</v>
      </c>
      <c r="B1037" t="s">
        <v>24</v>
      </c>
      <c r="C1037" s="1">
        <v>45461</v>
      </c>
      <c r="D1037">
        <f t="shared" si="70"/>
        <v>18</v>
      </c>
      <c r="E1037">
        <f t="shared" si="71"/>
        <v>6</v>
      </c>
      <c r="F1037">
        <f t="shared" si="72"/>
        <v>2024</v>
      </c>
      <c r="G1037" t="s">
        <v>85</v>
      </c>
      <c r="H1037" s="98">
        <v>10405</v>
      </c>
      <c r="I1037" s="29">
        <v>68903.66</v>
      </c>
      <c r="J1037" s="12" t="s">
        <v>31</v>
      </c>
      <c r="K1037" s="29">
        <f t="shared" si="69"/>
        <v>68903.66</v>
      </c>
      <c r="L1037">
        <v>1</v>
      </c>
      <c r="M1037" s="29">
        <v>0</v>
      </c>
      <c r="N1037" t="s">
        <v>42</v>
      </c>
      <c r="O1037" t="s">
        <v>33</v>
      </c>
      <c r="P1037" t="s">
        <v>34</v>
      </c>
      <c r="Q1037" t="s">
        <v>34</v>
      </c>
      <c r="R1037" t="s">
        <v>34</v>
      </c>
      <c r="S1037" t="s">
        <v>34</v>
      </c>
      <c r="T1037" s="117">
        <v>0</v>
      </c>
    </row>
    <row r="1038" spans="1:21" ht="14.5" customHeight="1" x14ac:dyDescent="0.35">
      <c r="A1038" t="s">
        <v>20</v>
      </c>
      <c r="B1038" t="s">
        <v>25</v>
      </c>
      <c r="C1038" s="1">
        <v>45461</v>
      </c>
      <c r="D1038">
        <f t="shared" si="70"/>
        <v>18</v>
      </c>
      <c r="E1038">
        <f t="shared" si="71"/>
        <v>6</v>
      </c>
      <c r="F1038">
        <f t="shared" si="72"/>
        <v>2024</v>
      </c>
      <c r="G1038" t="s">
        <v>121</v>
      </c>
      <c r="H1038" s="98">
        <v>9839</v>
      </c>
      <c r="I1038" s="29">
        <v>258</v>
      </c>
      <c r="J1038" s="12" t="s">
        <v>31</v>
      </c>
      <c r="K1038" s="29">
        <f t="shared" si="69"/>
        <v>258</v>
      </c>
      <c r="L1038">
        <v>1</v>
      </c>
      <c r="M1038" s="29">
        <v>0</v>
      </c>
      <c r="N1038" t="s">
        <v>32</v>
      </c>
      <c r="O1038" t="s">
        <v>33</v>
      </c>
      <c r="P1038" t="s">
        <v>34</v>
      </c>
      <c r="Q1038" t="s">
        <v>34</v>
      </c>
      <c r="R1038" t="s">
        <v>34</v>
      </c>
      <c r="S1038" t="s">
        <v>34</v>
      </c>
      <c r="T1038" s="117">
        <v>0</v>
      </c>
    </row>
    <row r="1039" spans="1:21" ht="14.5" customHeight="1" x14ac:dyDescent="0.35">
      <c r="A1039" t="s">
        <v>20</v>
      </c>
      <c r="B1039" t="s">
        <v>21</v>
      </c>
      <c r="C1039" s="1">
        <v>45461</v>
      </c>
      <c r="D1039">
        <f t="shared" si="70"/>
        <v>18</v>
      </c>
      <c r="E1039">
        <f t="shared" si="71"/>
        <v>6</v>
      </c>
      <c r="F1039">
        <f t="shared" si="72"/>
        <v>2024</v>
      </c>
      <c r="G1039" t="s">
        <v>118</v>
      </c>
      <c r="H1039" s="98">
        <v>10762</v>
      </c>
      <c r="I1039" s="29">
        <v>141.6</v>
      </c>
      <c r="J1039" s="12" t="s">
        <v>31</v>
      </c>
      <c r="K1039" s="29">
        <f t="shared" si="69"/>
        <v>141.6</v>
      </c>
      <c r="L1039">
        <v>1</v>
      </c>
      <c r="M1039" s="29">
        <v>0</v>
      </c>
      <c r="N1039" t="s">
        <v>42</v>
      </c>
      <c r="O1039" t="s">
        <v>33</v>
      </c>
      <c r="P1039" t="s">
        <v>34</v>
      </c>
      <c r="Q1039" t="s">
        <v>34</v>
      </c>
      <c r="R1039" t="s">
        <v>34</v>
      </c>
      <c r="S1039" t="s">
        <v>34</v>
      </c>
      <c r="T1039" s="117">
        <v>0</v>
      </c>
    </row>
    <row r="1040" spans="1:21" ht="14.5" customHeight="1" x14ac:dyDescent="0.35">
      <c r="A1040" t="s">
        <v>20</v>
      </c>
      <c r="B1040" t="s">
        <v>21</v>
      </c>
      <c r="C1040" s="1">
        <v>45461</v>
      </c>
      <c r="D1040">
        <f t="shared" si="70"/>
        <v>18</v>
      </c>
      <c r="E1040">
        <f t="shared" si="71"/>
        <v>6</v>
      </c>
      <c r="F1040">
        <f t="shared" si="72"/>
        <v>2024</v>
      </c>
      <c r="G1040" t="s">
        <v>118</v>
      </c>
      <c r="H1040" s="98">
        <v>10765</v>
      </c>
      <c r="I1040" s="29">
        <v>3174.1</v>
      </c>
      <c r="J1040" s="12" t="s">
        <v>31</v>
      </c>
      <c r="K1040" s="29">
        <f t="shared" si="69"/>
        <v>3174.1</v>
      </c>
      <c r="L1040">
        <v>1</v>
      </c>
      <c r="M1040" s="29">
        <v>0</v>
      </c>
      <c r="N1040" t="s">
        <v>42</v>
      </c>
      <c r="O1040" t="s">
        <v>33</v>
      </c>
      <c r="P1040" t="s">
        <v>34</v>
      </c>
      <c r="Q1040" t="s">
        <v>34</v>
      </c>
      <c r="R1040" t="s">
        <v>34</v>
      </c>
      <c r="S1040" t="s">
        <v>34</v>
      </c>
      <c r="T1040" s="117">
        <v>0</v>
      </c>
      <c r="U1040" s="209" t="s">
        <v>454</v>
      </c>
    </row>
    <row r="1041" spans="1:20" ht="14.5" customHeight="1" x14ac:dyDescent="0.35">
      <c r="A1041" t="s">
        <v>20</v>
      </c>
      <c r="B1041" t="s">
        <v>21</v>
      </c>
      <c r="C1041" s="1">
        <v>45461</v>
      </c>
      <c r="D1041">
        <f t="shared" si="70"/>
        <v>18</v>
      </c>
      <c r="E1041">
        <f t="shared" si="71"/>
        <v>6</v>
      </c>
      <c r="F1041">
        <f t="shared" si="72"/>
        <v>2024</v>
      </c>
      <c r="G1041" t="s">
        <v>118</v>
      </c>
      <c r="H1041" s="98">
        <v>10764</v>
      </c>
      <c r="I1041" s="29">
        <v>89.6</v>
      </c>
      <c r="J1041" s="12" t="s">
        <v>31</v>
      </c>
      <c r="K1041" s="29">
        <f t="shared" si="69"/>
        <v>89.6</v>
      </c>
      <c r="L1041">
        <v>1</v>
      </c>
      <c r="M1041" s="29">
        <v>0</v>
      </c>
      <c r="N1041" t="s">
        <v>42</v>
      </c>
      <c r="O1041" t="s">
        <v>33</v>
      </c>
      <c r="P1041" t="s">
        <v>34</v>
      </c>
      <c r="Q1041" t="s">
        <v>34</v>
      </c>
      <c r="R1041" t="s">
        <v>34</v>
      </c>
      <c r="S1041" t="s">
        <v>34</v>
      </c>
      <c r="T1041" s="117">
        <v>0</v>
      </c>
    </row>
    <row r="1042" spans="1:20" ht="14.5" customHeight="1" x14ac:dyDescent="0.35">
      <c r="A1042" t="s">
        <v>20</v>
      </c>
      <c r="B1042" t="s">
        <v>21</v>
      </c>
      <c r="C1042" s="1">
        <v>45461</v>
      </c>
      <c r="D1042">
        <f t="shared" si="70"/>
        <v>18</v>
      </c>
      <c r="E1042">
        <f t="shared" si="71"/>
        <v>6</v>
      </c>
      <c r="F1042">
        <f t="shared" si="72"/>
        <v>2024</v>
      </c>
      <c r="G1042" t="s">
        <v>118</v>
      </c>
      <c r="H1042" s="98">
        <v>10765</v>
      </c>
      <c r="I1042" s="29">
        <v>1639.68</v>
      </c>
      <c r="J1042" s="12" t="s">
        <v>31</v>
      </c>
      <c r="K1042" s="29">
        <f t="shared" si="69"/>
        <v>1639.68</v>
      </c>
      <c r="L1042">
        <v>1</v>
      </c>
      <c r="M1042" s="29">
        <v>0</v>
      </c>
      <c r="N1042" t="s">
        <v>42</v>
      </c>
      <c r="O1042" t="s">
        <v>33</v>
      </c>
      <c r="P1042" t="s">
        <v>34</v>
      </c>
      <c r="Q1042" t="s">
        <v>34</v>
      </c>
      <c r="R1042" t="s">
        <v>34</v>
      </c>
      <c r="S1042" t="s">
        <v>34</v>
      </c>
      <c r="T1042" s="117">
        <v>0</v>
      </c>
    </row>
    <row r="1043" spans="1:20" ht="14.5" customHeight="1" x14ac:dyDescent="0.35">
      <c r="A1043" t="s">
        <v>19</v>
      </c>
      <c r="B1043" t="s">
        <v>19</v>
      </c>
      <c r="C1043" s="1">
        <v>45461</v>
      </c>
      <c r="D1043">
        <f t="shared" si="70"/>
        <v>18</v>
      </c>
      <c r="E1043">
        <f t="shared" si="71"/>
        <v>6</v>
      </c>
      <c r="F1043">
        <f t="shared" si="72"/>
        <v>2024</v>
      </c>
      <c r="G1043" t="s">
        <v>56</v>
      </c>
      <c r="H1043" s="98" t="s">
        <v>305</v>
      </c>
      <c r="I1043" s="76">
        <v>166267.79999999999</v>
      </c>
      <c r="J1043" s="12" t="s">
        <v>31</v>
      </c>
      <c r="K1043" s="76">
        <f t="shared" si="69"/>
        <v>166267.79999999999</v>
      </c>
      <c r="L1043">
        <v>1</v>
      </c>
      <c r="M1043" s="29">
        <v>0</v>
      </c>
      <c r="N1043" t="s">
        <v>32</v>
      </c>
      <c r="O1043" t="s">
        <v>33</v>
      </c>
      <c r="P1043" t="s">
        <v>34</v>
      </c>
      <c r="Q1043" t="s">
        <v>34</v>
      </c>
      <c r="R1043" t="s">
        <v>34</v>
      </c>
      <c r="S1043" t="s">
        <v>34</v>
      </c>
      <c r="T1043" s="117">
        <v>0</v>
      </c>
    </row>
    <row r="1044" spans="1:20" ht="14.5" customHeight="1" x14ac:dyDescent="0.35">
      <c r="A1044" t="s">
        <v>19</v>
      </c>
      <c r="B1044" t="s">
        <v>19</v>
      </c>
      <c r="C1044" s="1">
        <v>45461</v>
      </c>
      <c r="D1044">
        <f t="shared" si="70"/>
        <v>18</v>
      </c>
      <c r="E1044">
        <f t="shared" si="71"/>
        <v>6</v>
      </c>
      <c r="F1044">
        <f t="shared" si="72"/>
        <v>2024</v>
      </c>
      <c r="G1044" t="s">
        <v>56</v>
      </c>
      <c r="H1044" s="98" t="s">
        <v>306</v>
      </c>
      <c r="I1044" s="76">
        <v>100000</v>
      </c>
      <c r="J1044" s="12" t="s">
        <v>31</v>
      </c>
      <c r="K1044" s="76">
        <f t="shared" si="69"/>
        <v>100000</v>
      </c>
      <c r="L1044">
        <v>1</v>
      </c>
      <c r="M1044" s="29">
        <v>0</v>
      </c>
      <c r="N1044" t="s">
        <v>32</v>
      </c>
      <c r="O1044" t="s">
        <v>33</v>
      </c>
      <c r="P1044" t="s">
        <v>34</v>
      </c>
      <c r="Q1044" t="s">
        <v>34</v>
      </c>
      <c r="R1044" t="s">
        <v>34</v>
      </c>
      <c r="S1044" t="s">
        <v>34</v>
      </c>
      <c r="T1044" s="117">
        <v>0</v>
      </c>
    </row>
    <row r="1045" spans="1:20" ht="14.5" customHeight="1" x14ac:dyDescent="0.35">
      <c r="A1045" t="s">
        <v>19</v>
      </c>
      <c r="B1045" t="s">
        <v>19</v>
      </c>
      <c r="C1045" s="1">
        <v>45461</v>
      </c>
      <c r="D1045">
        <f t="shared" si="70"/>
        <v>18</v>
      </c>
      <c r="E1045">
        <f t="shared" si="71"/>
        <v>6</v>
      </c>
      <c r="F1045">
        <f t="shared" si="72"/>
        <v>2024</v>
      </c>
      <c r="G1045" t="s">
        <v>45</v>
      </c>
      <c r="H1045" s="98" t="s">
        <v>307</v>
      </c>
      <c r="I1045" s="76">
        <v>32756.81</v>
      </c>
      <c r="J1045" s="12" t="s">
        <v>31</v>
      </c>
      <c r="K1045" s="76">
        <f t="shared" si="69"/>
        <v>32756.81</v>
      </c>
      <c r="L1045">
        <v>1</v>
      </c>
      <c r="M1045" s="29">
        <v>0</v>
      </c>
      <c r="N1045" t="s">
        <v>32</v>
      </c>
      <c r="O1045" t="s">
        <v>33</v>
      </c>
      <c r="P1045" t="s">
        <v>34</v>
      </c>
      <c r="Q1045" t="s">
        <v>34</v>
      </c>
      <c r="R1045" t="s">
        <v>34</v>
      </c>
      <c r="S1045" t="s">
        <v>34</v>
      </c>
      <c r="T1045" s="117">
        <v>0</v>
      </c>
    </row>
    <row r="1046" spans="1:20" ht="14.5" customHeight="1" x14ac:dyDescent="0.35">
      <c r="A1046" t="s">
        <v>19</v>
      </c>
      <c r="B1046" t="s">
        <v>27</v>
      </c>
      <c r="C1046" s="1">
        <v>45463</v>
      </c>
      <c r="D1046">
        <f t="shared" si="70"/>
        <v>20</v>
      </c>
      <c r="E1046">
        <f t="shared" si="71"/>
        <v>6</v>
      </c>
      <c r="F1046">
        <f t="shared" si="72"/>
        <v>2024</v>
      </c>
      <c r="G1046" t="s">
        <v>100</v>
      </c>
      <c r="H1046" s="98">
        <v>10350</v>
      </c>
      <c r="I1046" s="76">
        <v>150000</v>
      </c>
      <c r="J1046" s="12" t="s">
        <v>31</v>
      </c>
      <c r="K1046" s="76">
        <f t="shared" si="69"/>
        <v>150000</v>
      </c>
      <c r="L1046">
        <v>1</v>
      </c>
      <c r="M1046" s="29">
        <v>0</v>
      </c>
      <c r="N1046" t="s">
        <v>32</v>
      </c>
      <c r="O1046" t="s">
        <v>33</v>
      </c>
      <c r="P1046" t="s">
        <v>34</v>
      </c>
      <c r="Q1046" t="s">
        <v>34</v>
      </c>
      <c r="R1046" t="s">
        <v>34</v>
      </c>
      <c r="S1046" t="s">
        <v>34</v>
      </c>
      <c r="T1046" s="117">
        <v>0</v>
      </c>
    </row>
    <row r="1047" spans="1:20" ht="14.5" customHeight="1" x14ac:dyDescent="0.35">
      <c r="A1047" t="s">
        <v>19</v>
      </c>
      <c r="B1047" t="s">
        <v>19</v>
      </c>
      <c r="C1047" s="1">
        <v>45463</v>
      </c>
      <c r="D1047">
        <f t="shared" si="70"/>
        <v>20</v>
      </c>
      <c r="E1047">
        <f t="shared" si="71"/>
        <v>6</v>
      </c>
      <c r="F1047">
        <f t="shared" si="72"/>
        <v>2024</v>
      </c>
      <c r="G1047" t="s">
        <v>86</v>
      </c>
      <c r="H1047" s="98" t="s">
        <v>309</v>
      </c>
      <c r="I1047" s="76">
        <v>76712.69</v>
      </c>
      <c r="J1047" s="12" t="s">
        <v>31</v>
      </c>
      <c r="K1047" s="76">
        <f t="shared" ref="K1047:K1110" si="73">IF(J1047="USD",I1047,I1047*L1047)</f>
        <v>76712.69</v>
      </c>
      <c r="L1047">
        <v>1</v>
      </c>
      <c r="M1047" s="29">
        <v>0</v>
      </c>
      <c r="N1047" t="s">
        <v>32</v>
      </c>
      <c r="O1047" t="s">
        <v>33</v>
      </c>
      <c r="P1047" t="s">
        <v>34</v>
      </c>
      <c r="Q1047" t="s">
        <v>34</v>
      </c>
      <c r="R1047" t="s">
        <v>34</v>
      </c>
      <c r="S1047" t="s">
        <v>34</v>
      </c>
      <c r="T1047" s="117">
        <v>0</v>
      </c>
    </row>
    <row r="1048" spans="1:20" ht="14.5" customHeight="1" x14ac:dyDescent="0.35">
      <c r="A1048" t="s">
        <v>19</v>
      </c>
      <c r="B1048" t="s">
        <v>19</v>
      </c>
      <c r="C1048" s="1">
        <v>45463</v>
      </c>
      <c r="D1048">
        <f t="shared" si="70"/>
        <v>20</v>
      </c>
      <c r="E1048">
        <f t="shared" si="71"/>
        <v>6</v>
      </c>
      <c r="F1048">
        <f t="shared" si="72"/>
        <v>2024</v>
      </c>
      <c r="G1048" t="s">
        <v>111</v>
      </c>
      <c r="H1048" s="98" t="s">
        <v>310</v>
      </c>
      <c r="I1048" s="76">
        <v>50180.09</v>
      </c>
      <c r="J1048" s="12" t="s">
        <v>31</v>
      </c>
      <c r="K1048" s="76">
        <f t="shared" si="73"/>
        <v>50180.09</v>
      </c>
      <c r="L1048">
        <v>1</v>
      </c>
      <c r="M1048" s="29">
        <v>0</v>
      </c>
      <c r="N1048" t="s">
        <v>32</v>
      </c>
      <c r="O1048" t="s">
        <v>33</v>
      </c>
      <c r="P1048" t="s">
        <v>34</v>
      </c>
      <c r="Q1048" t="s">
        <v>34</v>
      </c>
      <c r="R1048" t="s">
        <v>34</v>
      </c>
      <c r="S1048" t="s">
        <v>34</v>
      </c>
      <c r="T1048" s="117">
        <v>5675.13</v>
      </c>
    </row>
    <row r="1049" spans="1:20" ht="14.5" customHeight="1" x14ac:dyDescent="0.35">
      <c r="A1049" t="s">
        <v>19</v>
      </c>
      <c r="B1049" t="s">
        <v>19</v>
      </c>
      <c r="C1049" s="1">
        <v>45463</v>
      </c>
      <c r="D1049">
        <f t="shared" si="70"/>
        <v>20</v>
      </c>
      <c r="E1049">
        <f t="shared" si="71"/>
        <v>6</v>
      </c>
      <c r="F1049">
        <f t="shared" si="72"/>
        <v>2024</v>
      </c>
      <c r="G1049" t="s">
        <v>111</v>
      </c>
      <c r="H1049" s="98" t="s">
        <v>311</v>
      </c>
      <c r="I1049" s="76">
        <v>74878.97</v>
      </c>
      <c r="J1049" s="12" t="s">
        <v>31</v>
      </c>
      <c r="K1049" s="76">
        <f t="shared" si="73"/>
        <v>74878.97</v>
      </c>
      <c r="L1049">
        <v>1</v>
      </c>
      <c r="M1049" s="29">
        <v>0</v>
      </c>
      <c r="N1049" t="s">
        <v>32</v>
      </c>
      <c r="O1049" t="s">
        <v>33</v>
      </c>
      <c r="P1049" t="s">
        <v>34</v>
      </c>
      <c r="Q1049" t="s">
        <v>34</v>
      </c>
      <c r="R1049" t="s">
        <v>34</v>
      </c>
      <c r="S1049" t="s">
        <v>34</v>
      </c>
      <c r="T1049" s="117">
        <v>2981.99</v>
      </c>
    </row>
    <row r="1050" spans="1:20" ht="14.5" customHeight="1" x14ac:dyDescent="0.35">
      <c r="A1050" t="s">
        <v>19</v>
      </c>
      <c r="B1050" t="s">
        <v>19</v>
      </c>
      <c r="C1050" s="1">
        <v>45463</v>
      </c>
      <c r="D1050">
        <f t="shared" si="70"/>
        <v>20</v>
      </c>
      <c r="E1050">
        <f t="shared" si="71"/>
        <v>6</v>
      </c>
      <c r="F1050">
        <f t="shared" si="72"/>
        <v>2024</v>
      </c>
      <c r="G1050" t="s">
        <v>125</v>
      </c>
      <c r="H1050" s="98" t="s">
        <v>292</v>
      </c>
      <c r="I1050" s="76">
        <v>105171.6</v>
      </c>
      <c r="J1050" s="12" t="s">
        <v>31</v>
      </c>
      <c r="K1050" s="76">
        <f t="shared" si="73"/>
        <v>105171.6</v>
      </c>
      <c r="L1050">
        <v>1</v>
      </c>
      <c r="M1050" s="29">
        <v>0</v>
      </c>
      <c r="N1050" t="s">
        <v>32</v>
      </c>
      <c r="O1050" t="s">
        <v>33</v>
      </c>
      <c r="P1050" t="s">
        <v>34</v>
      </c>
      <c r="Q1050" t="s">
        <v>34</v>
      </c>
      <c r="R1050" t="s">
        <v>34</v>
      </c>
      <c r="S1050" t="s">
        <v>34</v>
      </c>
      <c r="T1050" s="117">
        <v>0</v>
      </c>
    </row>
    <row r="1051" spans="1:20" ht="14.5" customHeight="1" x14ac:dyDescent="0.35">
      <c r="A1051" t="s">
        <v>19</v>
      </c>
      <c r="B1051" t="s">
        <v>19</v>
      </c>
      <c r="C1051" s="1">
        <v>45463</v>
      </c>
      <c r="D1051">
        <f t="shared" si="70"/>
        <v>20</v>
      </c>
      <c r="E1051">
        <f t="shared" si="71"/>
        <v>6</v>
      </c>
      <c r="F1051">
        <f t="shared" si="72"/>
        <v>2024</v>
      </c>
      <c r="G1051" t="s">
        <v>106</v>
      </c>
      <c r="H1051" s="98" t="s">
        <v>312</v>
      </c>
      <c r="I1051" s="76">
        <v>98190.7</v>
      </c>
      <c r="J1051" s="12" t="s">
        <v>31</v>
      </c>
      <c r="K1051" s="76">
        <f t="shared" si="73"/>
        <v>98190.7</v>
      </c>
      <c r="L1051">
        <v>1</v>
      </c>
      <c r="M1051" s="29">
        <v>0</v>
      </c>
      <c r="N1051" t="s">
        <v>32</v>
      </c>
      <c r="O1051" t="s">
        <v>33</v>
      </c>
      <c r="P1051" t="s">
        <v>34</v>
      </c>
      <c r="Q1051" t="s">
        <v>34</v>
      </c>
      <c r="R1051" t="s">
        <v>34</v>
      </c>
      <c r="S1051" t="s">
        <v>34</v>
      </c>
      <c r="T1051" s="117">
        <v>0</v>
      </c>
    </row>
    <row r="1052" spans="1:20" ht="14.5" customHeight="1" x14ac:dyDescent="0.35">
      <c r="A1052" t="s">
        <v>19</v>
      </c>
      <c r="B1052" t="s">
        <v>19</v>
      </c>
      <c r="C1052" s="1">
        <v>45463</v>
      </c>
      <c r="D1052">
        <f t="shared" si="70"/>
        <v>20</v>
      </c>
      <c r="E1052">
        <f t="shared" si="71"/>
        <v>6</v>
      </c>
      <c r="F1052">
        <f t="shared" si="72"/>
        <v>2024</v>
      </c>
      <c r="G1052" t="s">
        <v>54</v>
      </c>
      <c r="H1052" s="98" t="s">
        <v>313</v>
      </c>
      <c r="I1052" s="76">
        <v>95141.91</v>
      </c>
      <c r="J1052" s="12" t="s">
        <v>31</v>
      </c>
      <c r="K1052" s="76">
        <f t="shared" si="73"/>
        <v>95141.91</v>
      </c>
      <c r="L1052">
        <v>1</v>
      </c>
      <c r="M1052" s="29">
        <v>0</v>
      </c>
      <c r="N1052" t="s">
        <v>32</v>
      </c>
      <c r="O1052" t="s">
        <v>33</v>
      </c>
      <c r="P1052" t="s">
        <v>34</v>
      </c>
      <c r="Q1052" t="s">
        <v>34</v>
      </c>
      <c r="R1052" t="s">
        <v>34</v>
      </c>
      <c r="S1052" t="s">
        <v>34</v>
      </c>
      <c r="T1052" s="117">
        <v>0</v>
      </c>
    </row>
    <row r="1053" spans="1:20" ht="14.5" customHeight="1" x14ac:dyDescent="0.35">
      <c r="A1053" t="s">
        <v>19</v>
      </c>
      <c r="B1053" t="s">
        <v>19</v>
      </c>
      <c r="C1053" s="1">
        <v>45463</v>
      </c>
      <c r="D1053">
        <f t="shared" si="70"/>
        <v>20</v>
      </c>
      <c r="E1053">
        <f t="shared" si="71"/>
        <v>6</v>
      </c>
      <c r="F1053">
        <f t="shared" si="72"/>
        <v>2024</v>
      </c>
      <c r="G1053" t="s">
        <v>58</v>
      </c>
      <c r="H1053" s="98" t="s">
        <v>314</v>
      </c>
      <c r="I1053" s="76">
        <v>50000</v>
      </c>
      <c r="J1053" s="12" t="s">
        <v>31</v>
      </c>
      <c r="K1053" s="76">
        <f t="shared" si="73"/>
        <v>50000</v>
      </c>
      <c r="L1053">
        <v>1</v>
      </c>
      <c r="M1053" s="29">
        <v>0</v>
      </c>
      <c r="N1053" t="s">
        <v>32</v>
      </c>
      <c r="O1053" t="s">
        <v>33</v>
      </c>
      <c r="P1053" t="s">
        <v>34</v>
      </c>
      <c r="Q1053" t="s">
        <v>34</v>
      </c>
      <c r="R1053" t="s">
        <v>34</v>
      </c>
      <c r="S1053" t="s">
        <v>34</v>
      </c>
      <c r="T1053" s="117">
        <v>0</v>
      </c>
    </row>
    <row r="1054" spans="1:20" ht="14.5" customHeight="1" x14ac:dyDescent="0.35">
      <c r="A1054" t="s">
        <v>19</v>
      </c>
      <c r="B1054" t="s">
        <v>19</v>
      </c>
      <c r="C1054" s="1">
        <v>45463</v>
      </c>
      <c r="D1054">
        <f t="shared" si="70"/>
        <v>20</v>
      </c>
      <c r="E1054">
        <f t="shared" si="71"/>
        <v>6</v>
      </c>
      <c r="F1054">
        <f t="shared" si="72"/>
        <v>2024</v>
      </c>
      <c r="G1054" t="s">
        <v>127</v>
      </c>
      <c r="H1054" s="98" t="s">
        <v>179</v>
      </c>
      <c r="I1054" s="76">
        <v>44219.31</v>
      </c>
      <c r="J1054" s="12" t="s">
        <v>31</v>
      </c>
      <c r="K1054" s="76">
        <f t="shared" si="73"/>
        <v>44219.31</v>
      </c>
      <c r="L1054">
        <v>1</v>
      </c>
      <c r="M1054" s="29">
        <v>0</v>
      </c>
      <c r="N1054" t="s">
        <v>32</v>
      </c>
      <c r="O1054" t="s">
        <v>33</v>
      </c>
      <c r="P1054" t="s">
        <v>34</v>
      </c>
      <c r="Q1054" t="s">
        <v>34</v>
      </c>
      <c r="R1054" t="s">
        <v>34</v>
      </c>
      <c r="S1054" t="s">
        <v>34</v>
      </c>
      <c r="T1054" s="117">
        <v>0</v>
      </c>
    </row>
    <row r="1055" spans="1:20" ht="14.5" customHeight="1" x14ac:dyDescent="0.35">
      <c r="A1055" t="s">
        <v>19</v>
      </c>
      <c r="B1055" t="s">
        <v>19</v>
      </c>
      <c r="C1055" s="1">
        <v>45463</v>
      </c>
      <c r="D1055">
        <f t="shared" si="70"/>
        <v>20</v>
      </c>
      <c r="E1055">
        <f t="shared" si="71"/>
        <v>6</v>
      </c>
      <c r="F1055">
        <f t="shared" si="72"/>
        <v>2024</v>
      </c>
      <c r="G1055" t="s">
        <v>117</v>
      </c>
      <c r="H1055" s="98" t="s">
        <v>376</v>
      </c>
      <c r="I1055" s="76">
        <v>87177</v>
      </c>
      <c r="J1055" s="12" t="s">
        <v>31</v>
      </c>
      <c r="K1055" s="76">
        <f t="shared" si="73"/>
        <v>87177</v>
      </c>
      <c r="L1055">
        <v>1</v>
      </c>
      <c r="M1055" s="29">
        <v>0</v>
      </c>
      <c r="N1055" t="s">
        <v>42</v>
      </c>
      <c r="O1055" t="s">
        <v>33</v>
      </c>
      <c r="P1055" t="s">
        <v>34</v>
      </c>
      <c r="Q1055" t="s">
        <v>34</v>
      </c>
      <c r="R1055" t="s">
        <v>34</v>
      </c>
      <c r="S1055" t="s">
        <v>34</v>
      </c>
      <c r="T1055" s="117">
        <v>0</v>
      </c>
    </row>
    <row r="1056" spans="1:20" ht="14.5" customHeight="1" x14ac:dyDescent="0.35">
      <c r="A1056" t="s">
        <v>19</v>
      </c>
      <c r="B1056" t="s">
        <v>19</v>
      </c>
      <c r="C1056" s="1">
        <v>45463</v>
      </c>
      <c r="D1056">
        <f t="shared" si="70"/>
        <v>20</v>
      </c>
      <c r="E1056">
        <f t="shared" si="71"/>
        <v>6</v>
      </c>
      <c r="F1056">
        <f t="shared" si="72"/>
        <v>2024</v>
      </c>
      <c r="G1056" t="s">
        <v>56</v>
      </c>
      <c r="H1056" s="98" t="s">
        <v>306</v>
      </c>
      <c r="I1056" s="76">
        <v>66020.75</v>
      </c>
      <c r="J1056" s="12" t="s">
        <v>31</v>
      </c>
      <c r="K1056" s="76">
        <f t="shared" si="73"/>
        <v>66020.75</v>
      </c>
      <c r="L1056">
        <v>1</v>
      </c>
      <c r="M1056" s="29">
        <v>0</v>
      </c>
      <c r="N1056" t="s">
        <v>32</v>
      </c>
      <c r="O1056" t="s">
        <v>33</v>
      </c>
      <c r="P1056" t="s">
        <v>34</v>
      </c>
      <c r="Q1056" t="s">
        <v>34</v>
      </c>
      <c r="R1056" t="s">
        <v>34</v>
      </c>
      <c r="S1056" t="s">
        <v>34</v>
      </c>
      <c r="T1056" s="117">
        <v>0</v>
      </c>
    </row>
    <row r="1057" spans="1:21" ht="14.5" customHeight="1" x14ac:dyDescent="0.35">
      <c r="A1057" t="s">
        <v>19</v>
      </c>
      <c r="B1057" t="s">
        <v>19</v>
      </c>
      <c r="C1057" s="1">
        <v>45463</v>
      </c>
      <c r="D1057">
        <f t="shared" si="70"/>
        <v>20</v>
      </c>
      <c r="E1057">
        <f t="shared" si="71"/>
        <v>6</v>
      </c>
      <c r="F1057">
        <f t="shared" si="72"/>
        <v>2024</v>
      </c>
      <c r="G1057" t="s">
        <v>56</v>
      </c>
      <c r="H1057" s="98" t="s">
        <v>315</v>
      </c>
      <c r="I1057" s="76">
        <v>172496.86</v>
      </c>
      <c r="J1057" s="12" t="s">
        <v>31</v>
      </c>
      <c r="K1057" s="76">
        <f t="shared" si="73"/>
        <v>172496.86</v>
      </c>
      <c r="L1057">
        <v>1</v>
      </c>
      <c r="M1057" s="29">
        <v>0</v>
      </c>
      <c r="N1057" t="s">
        <v>32</v>
      </c>
      <c r="O1057" t="s">
        <v>33</v>
      </c>
      <c r="P1057" t="s">
        <v>34</v>
      </c>
      <c r="Q1057" t="s">
        <v>34</v>
      </c>
      <c r="R1057" t="s">
        <v>34</v>
      </c>
      <c r="S1057" t="s">
        <v>34</v>
      </c>
      <c r="T1057" s="117">
        <v>0</v>
      </c>
    </row>
    <row r="1058" spans="1:21" ht="14.5" customHeight="1" x14ac:dyDescent="0.35">
      <c r="A1058" t="s">
        <v>19</v>
      </c>
      <c r="B1058" t="s">
        <v>19</v>
      </c>
      <c r="C1058" s="1">
        <v>45463</v>
      </c>
      <c r="D1058">
        <f t="shared" si="70"/>
        <v>20</v>
      </c>
      <c r="E1058">
        <f t="shared" si="71"/>
        <v>6</v>
      </c>
      <c r="F1058">
        <f t="shared" si="72"/>
        <v>2024</v>
      </c>
      <c r="G1058" t="s">
        <v>56</v>
      </c>
      <c r="H1058" s="98" t="s">
        <v>316</v>
      </c>
      <c r="I1058" s="76">
        <v>157537.35</v>
      </c>
      <c r="J1058" s="12" t="s">
        <v>31</v>
      </c>
      <c r="K1058" s="76">
        <f t="shared" si="73"/>
        <v>157537.35</v>
      </c>
      <c r="L1058">
        <v>1</v>
      </c>
      <c r="M1058" s="29">
        <v>0</v>
      </c>
      <c r="N1058" t="s">
        <v>32</v>
      </c>
      <c r="O1058" t="s">
        <v>33</v>
      </c>
      <c r="P1058" t="s">
        <v>34</v>
      </c>
      <c r="Q1058" t="s">
        <v>34</v>
      </c>
      <c r="R1058" t="s">
        <v>34</v>
      </c>
      <c r="S1058" t="s">
        <v>34</v>
      </c>
      <c r="T1058" s="117">
        <v>0</v>
      </c>
    </row>
    <row r="1059" spans="1:21" ht="14.5" customHeight="1" x14ac:dyDescent="0.35">
      <c r="A1059" t="s">
        <v>20</v>
      </c>
      <c r="B1059" t="s">
        <v>21</v>
      </c>
      <c r="C1059" s="1">
        <v>45463</v>
      </c>
      <c r="D1059">
        <f t="shared" si="70"/>
        <v>20</v>
      </c>
      <c r="E1059">
        <f t="shared" si="71"/>
        <v>6</v>
      </c>
      <c r="F1059">
        <f t="shared" si="72"/>
        <v>2024</v>
      </c>
      <c r="G1059" t="s">
        <v>299</v>
      </c>
      <c r="H1059" s="98">
        <v>10789</v>
      </c>
      <c r="I1059" s="29">
        <v>102</v>
      </c>
      <c r="J1059" s="12" t="s">
        <v>31</v>
      </c>
      <c r="K1059" s="29">
        <f t="shared" si="73"/>
        <v>102</v>
      </c>
      <c r="L1059">
        <v>1</v>
      </c>
      <c r="M1059" s="29">
        <v>0</v>
      </c>
      <c r="N1059" t="s">
        <v>42</v>
      </c>
      <c r="O1059" t="s">
        <v>33</v>
      </c>
      <c r="P1059" t="s">
        <v>34</v>
      </c>
      <c r="Q1059" t="s">
        <v>34</v>
      </c>
      <c r="R1059" t="s">
        <v>34</v>
      </c>
      <c r="S1059" t="s">
        <v>34</v>
      </c>
      <c r="T1059" s="117">
        <v>0</v>
      </c>
    </row>
    <row r="1060" spans="1:21" ht="14.5" customHeight="1" x14ac:dyDescent="0.35">
      <c r="A1060" t="s">
        <v>20</v>
      </c>
      <c r="B1060" t="s">
        <v>21</v>
      </c>
      <c r="C1060" s="1">
        <v>45463</v>
      </c>
      <c r="D1060">
        <f t="shared" si="70"/>
        <v>20</v>
      </c>
      <c r="E1060">
        <f t="shared" si="71"/>
        <v>6</v>
      </c>
      <c r="F1060">
        <f t="shared" si="72"/>
        <v>2024</v>
      </c>
      <c r="G1060" t="s">
        <v>299</v>
      </c>
      <c r="H1060" s="98">
        <v>10741</v>
      </c>
      <c r="I1060" s="29">
        <v>1779.39</v>
      </c>
      <c r="J1060" s="12" t="s">
        <v>31</v>
      </c>
      <c r="K1060" s="29">
        <f t="shared" si="73"/>
        <v>1779.39</v>
      </c>
      <c r="L1060">
        <v>1</v>
      </c>
      <c r="M1060" s="29">
        <v>0</v>
      </c>
      <c r="N1060" t="s">
        <v>42</v>
      </c>
      <c r="O1060" t="s">
        <v>33</v>
      </c>
      <c r="P1060" t="s">
        <v>34</v>
      </c>
      <c r="Q1060" t="s">
        <v>34</v>
      </c>
      <c r="R1060" t="s">
        <v>34</v>
      </c>
      <c r="S1060" t="s">
        <v>34</v>
      </c>
      <c r="T1060" s="117">
        <v>0</v>
      </c>
      <c r="U1060" s="209" t="s">
        <v>482</v>
      </c>
    </row>
    <row r="1061" spans="1:21" ht="14.5" customHeight="1" x14ac:dyDescent="0.35">
      <c r="A1061" t="s">
        <v>19</v>
      </c>
      <c r="B1061" t="s">
        <v>26</v>
      </c>
      <c r="C1061" s="1">
        <v>45464</v>
      </c>
      <c r="D1061">
        <f t="shared" si="70"/>
        <v>21</v>
      </c>
      <c r="E1061">
        <f t="shared" si="71"/>
        <v>6</v>
      </c>
      <c r="F1061">
        <f t="shared" si="72"/>
        <v>2024</v>
      </c>
      <c r="G1061" t="s">
        <v>73</v>
      </c>
      <c r="H1061" s="98">
        <v>10690</v>
      </c>
      <c r="I1061" s="76">
        <v>32685.43</v>
      </c>
      <c r="J1061" s="12" t="s">
        <v>51</v>
      </c>
      <c r="K1061" s="76">
        <f t="shared" si="73"/>
        <v>35012.632615999995</v>
      </c>
      <c r="L1061">
        <v>1.0711999999999999</v>
      </c>
      <c r="M1061" s="29">
        <v>0</v>
      </c>
      <c r="N1061" t="s">
        <v>32</v>
      </c>
      <c r="O1061" t="s">
        <v>33</v>
      </c>
      <c r="P1061" t="s">
        <v>34</v>
      </c>
      <c r="Q1061" t="s">
        <v>34</v>
      </c>
      <c r="R1061" t="s">
        <v>34</v>
      </c>
      <c r="S1061" t="s">
        <v>34</v>
      </c>
      <c r="T1061" s="117">
        <v>0</v>
      </c>
      <c r="U1061" s="209" t="s">
        <v>94</v>
      </c>
    </row>
    <row r="1062" spans="1:21" ht="14.5" customHeight="1" x14ac:dyDescent="0.35">
      <c r="A1062" t="s">
        <v>19</v>
      </c>
      <c r="B1062" t="s">
        <v>26</v>
      </c>
      <c r="C1062" s="1">
        <v>45464</v>
      </c>
      <c r="D1062">
        <f t="shared" si="70"/>
        <v>21</v>
      </c>
      <c r="E1062">
        <f t="shared" si="71"/>
        <v>6</v>
      </c>
      <c r="F1062">
        <f t="shared" si="72"/>
        <v>2024</v>
      </c>
      <c r="G1062" t="s">
        <v>73</v>
      </c>
      <c r="H1062" s="98">
        <v>10722</v>
      </c>
      <c r="I1062" s="76">
        <v>76983.09</v>
      </c>
      <c r="J1062" s="12" t="s">
        <v>51</v>
      </c>
      <c r="K1062" s="76">
        <f t="shared" si="73"/>
        <v>82464.286007999995</v>
      </c>
      <c r="L1062">
        <v>1.0711999999999999</v>
      </c>
      <c r="M1062" s="29">
        <v>0</v>
      </c>
      <c r="N1062" t="s">
        <v>32</v>
      </c>
      <c r="O1062" t="s">
        <v>33</v>
      </c>
      <c r="P1062" t="s">
        <v>34</v>
      </c>
      <c r="Q1062" t="s">
        <v>34</v>
      </c>
      <c r="R1062" t="s">
        <v>34</v>
      </c>
      <c r="S1062" t="s">
        <v>34</v>
      </c>
      <c r="T1062" s="117">
        <v>0</v>
      </c>
      <c r="U1062" s="209" t="s">
        <v>94</v>
      </c>
    </row>
    <row r="1063" spans="1:21" ht="14.5" customHeight="1" x14ac:dyDescent="0.35">
      <c r="A1063" t="s">
        <v>19</v>
      </c>
      <c r="B1063" t="s">
        <v>26</v>
      </c>
      <c r="C1063" s="1">
        <v>45464</v>
      </c>
      <c r="D1063">
        <f t="shared" si="70"/>
        <v>21</v>
      </c>
      <c r="E1063">
        <f t="shared" si="71"/>
        <v>6</v>
      </c>
      <c r="F1063">
        <f t="shared" si="72"/>
        <v>2024</v>
      </c>
      <c r="G1063" t="s">
        <v>73</v>
      </c>
      <c r="H1063" s="98">
        <v>10723</v>
      </c>
      <c r="I1063" s="76">
        <v>61175.44</v>
      </c>
      <c r="J1063" s="12" t="s">
        <v>51</v>
      </c>
      <c r="K1063" s="76">
        <f t="shared" si="73"/>
        <v>65531.131327999996</v>
      </c>
      <c r="L1063">
        <v>1.0711999999999999</v>
      </c>
      <c r="M1063" s="29">
        <v>0</v>
      </c>
      <c r="N1063" t="s">
        <v>32</v>
      </c>
      <c r="O1063" t="s">
        <v>33</v>
      </c>
      <c r="P1063" t="s">
        <v>34</v>
      </c>
      <c r="Q1063" t="s">
        <v>34</v>
      </c>
      <c r="R1063" t="s">
        <v>34</v>
      </c>
      <c r="S1063" t="s">
        <v>34</v>
      </c>
      <c r="T1063" s="117">
        <v>0</v>
      </c>
      <c r="U1063" s="209" t="s">
        <v>94</v>
      </c>
    </row>
    <row r="1064" spans="1:21" ht="14.5" customHeight="1" x14ac:dyDescent="0.35">
      <c r="A1064" t="s">
        <v>19</v>
      </c>
      <c r="B1064" t="s">
        <v>26</v>
      </c>
      <c r="C1064" s="1">
        <v>45464</v>
      </c>
      <c r="D1064">
        <f t="shared" si="70"/>
        <v>21</v>
      </c>
      <c r="E1064">
        <f t="shared" si="71"/>
        <v>6</v>
      </c>
      <c r="F1064">
        <f t="shared" si="72"/>
        <v>2024</v>
      </c>
      <c r="G1064" t="s">
        <v>73</v>
      </c>
      <c r="H1064" s="98">
        <v>10743</v>
      </c>
      <c r="I1064" s="76">
        <v>62122.73</v>
      </c>
      <c r="J1064" s="12" t="s">
        <v>51</v>
      </c>
      <c r="K1064" s="76">
        <f t="shared" si="73"/>
        <v>66545.868375999999</v>
      </c>
      <c r="L1064">
        <v>1.0711999999999999</v>
      </c>
      <c r="M1064" s="29">
        <v>0</v>
      </c>
      <c r="N1064" t="s">
        <v>32</v>
      </c>
      <c r="O1064" t="s">
        <v>33</v>
      </c>
      <c r="P1064" t="s">
        <v>34</v>
      </c>
      <c r="Q1064" t="s">
        <v>34</v>
      </c>
      <c r="R1064" t="s">
        <v>34</v>
      </c>
      <c r="S1064" t="s">
        <v>34</v>
      </c>
      <c r="T1064" s="117">
        <v>0</v>
      </c>
      <c r="U1064" s="209" t="s">
        <v>94</v>
      </c>
    </row>
    <row r="1065" spans="1:21" ht="14.5" customHeight="1" x14ac:dyDescent="0.35">
      <c r="A1065" t="s">
        <v>19</v>
      </c>
      <c r="B1065" t="s">
        <v>27</v>
      </c>
      <c r="C1065" s="1">
        <v>45464</v>
      </c>
      <c r="D1065">
        <f t="shared" si="70"/>
        <v>21</v>
      </c>
      <c r="E1065">
        <f t="shared" si="71"/>
        <v>6</v>
      </c>
      <c r="F1065">
        <f t="shared" si="72"/>
        <v>2024</v>
      </c>
      <c r="G1065" t="s">
        <v>100</v>
      </c>
      <c r="H1065" s="98">
        <v>10282</v>
      </c>
      <c r="I1065" s="29">
        <v>209527.06</v>
      </c>
      <c r="J1065" s="12" t="s">
        <v>31</v>
      </c>
      <c r="K1065" s="76">
        <f t="shared" si="73"/>
        <v>209527.06</v>
      </c>
      <c r="L1065">
        <v>1</v>
      </c>
      <c r="M1065" s="29">
        <v>0</v>
      </c>
      <c r="N1065" t="s">
        <v>32</v>
      </c>
      <c r="O1065" t="s">
        <v>33</v>
      </c>
      <c r="P1065" t="s">
        <v>34</v>
      </c>
      <c r="Q1065" t="s">
        <v>34</v>
      </c>
      <c r="R1065" t="s">
        <v>34</v>
      </c>
      <c r="S1065" t="s">
        <v>34</v>
      </c>
      <c r="T1065" s="117">
        <v>0</v>
      </c>
      <c r="U1065" s="209" t="s">
        <v>501</v>
      </c>
    </row>
    <row r="1066" spans="1:21" ht="14.5" customHeight="1" x14ac:dyDescent="0.35">
      <c r="A1066" t="s">
        <v>19</v>
      </c>
      <c r="B1066" t="s">
        <v>27</v>
      </c>
      <c r="C1066" s="1">
        <v>45464</v>
      </c>
      <c r="D1066">
        <f t="shared" si="70"/>
        <v>21</v>
      </c>
      <c r="E1066">
        <f t="shared" si="71"/>
        <v>6</v>
      </c>
      <c r="F1066">
        <f t="shared" si="72"/>
        <v>2024</v>
      </c>
      <c r="G1066" t="s">
        <v>100</v>
      </c>
      <c r="H1066" s="98">
        <v>10352</v>
      </c>
      <c r="I1066" s="29">
        <v>155110.10999999999</v>
      </c>
      <c r="J1066" s="12" t="s">
        <v>31</v>
      </c>
      <c r="K1066" s="76">
        <f t="shared" si="73"/>
        <v>155110.10999999999</v>
      </c>
      <c r="L1066">
        <v>1</v>
      </c>
      <c r="M1066" s="29">
        <v>0</v>
      </c>
      <c r="N1066" t="s">
        <v>32</v>
      </c>
      <c r="O1066" t="s">
        <v>33</v>
      </c>
      <c r="P1066" t="s">
        <v>34</v>
      </c>
      <c r="Q1066" t="s">
        <v>34</v>
      </c>
      <c r="R1066" t="s">
        <v>34</v>
      </c>
      <c r="S1066" t="s">
        <v>34</v>
      </c>
      <c r="T1066" s="117">
        <v>0</v>
      </c>
      <c r="U1066" s="209" t="s">
        <v>501</v>
      </c>
    </row>
    <row r="1067" spans="1:21" ht="14.5" customHeight="1" x14ac:dyDescent="0.35">
      <c r="A1067" t="s">
        <v>19</v>
      </c>
      <c r="B1067" t="s">
        <v>23</v>
      </c>
      <c r="C1067" s="1">
        <v>45469</v>
      </c>
      <c r="D1067">
        <f t="shared" si="70"/>
        <v>26</v>
      </c>
      <c r="E1067">
        <f t="shared" si="71"/>
        <v>6</v>
      </c>
      <c r="F1067">
        <f t="shared" si="72"/>
        <v>2024</v>
      </c>
      <c r="G1067" t="s">
        <v>76</v>
      </c>
      <c r="H1067" s="98">
        <v>10320</v>
      </c>
      <c r="I1067" s="29">
        <v>25914.3</v>
      </c>
      <c r="J1067" s="12" t="s">
        <v>31</v>
      </c>
      <c r="K1067" s="76">
        <f t="shared" si="73"/>
        <v>25914.3</v>
      </c>
      <c r="L1067">
        <v>1</v>
      </c>
      <c r="M1067" s="29">
        <v>0</v>
      </c>
      <c r="N1067" t="s">
        <v>42</v>
      </c>
      <c r="O1067" t="s">
        <v>33</v>
      </c>
      <c r="P1067" t="s">
        <v>34</v>
      </c>
      <c r="Q1067" t="s">
        <v>34</v>
      </c>
      <c r="R1067" t="s">
        <v>34</v>
      </c>
      <c r="S1067" t="s">
        <v>34</v>
      </c>
      <c r="T1067" s="117">
        <v>0</v>
      </c>
    </row>
    <row r="1068" spans="1:21" ht="14.5" customHeight="1" x14ac:dyDescent="0.35">
      <c r="A1068" t="s">
        <v>19</v>
      </c>
      <c r="B1068" t="s">
        <v>23</v>
      </c>
      <c r="C1068" s="1">
        <v>45469</v>
      </c>
      <c r="D1068">
        <f t="shared" si="70"/>
        <v>26</v>
      </c>
      <c r="E1068">
        <f t="shared" si="71"/>
        <v>6</v>
      </c>
      <c r="F1068">
        <f t="shared" si="72"/>
        <v>2024</v>
      </c>
      <c r="G1068" t="s">
        <v>75</v>
      </c>
      <c r="H1068" s="171">
        <v>10802</v>
      </c>
      <c r="I1068" s="90">
        <v>19425</v>
      </c>
      <c r="J1068" s="12" t="s">
        <v>31</v>
      </c>
      <c r="K1068" s="76">
        <f t="shared" si="73"/>
        <v>19425</v>
      </c>
      <c r="L1068">
        <v>1</v>
      </c>
      <c r="M1068" s="29">
        <v>0</v>
      </c>
      <c r="N1068" t="s">
        <v>42</v>
      </c>
      <c r="O1068" t="s">
        <v>33</v>
      </c>
      <c r="P1068" t="s">
        <v>34</v>
      </c>
      <c r="Q1068" t="s">
        <v>34</v>
      </c>
      <c r="R1068" t="s">
        <v>34</v>
      </c>
      <c r="S1068" t="s">
        <v>34</v>
      </c>
      <c r="T1068" s="117">
        <v>0</v>
      </c>
    </row>
    <row r="1069" spans="1:21" ht="14.5" customHeight="1" x14ac:dyDescent="0.35">
      <c r="A1069" t="s">
        <v>19</v>
      </c>
      <c r="B1069" t="s">
        <v>25</v>
      </c>
      <c r="C1069" s="1">
        <v>45469</v>
      </c>
      <c r="D1069">
        <f t="shared" si="70"/>
        <v>26</v>
      </c>
      <c r="E1069">
        <f t="shared" si="71"/>
        <v>6</v>
      </c>
      <c r="F1069">
        <f t="shared" si="72"/>
        <v>2024</v>
      </c>
      <c r="G1069" t="s">
        <v>36</v>
      </c>
      <c r="H1069" s="98">
        <v>10258</v>
      </c>
      <c r="I1069" s="29">
        <v>98853</v>
      </c>
      <c r="J1069" s="12" t="s">
        <v>31</v>
      </c>
      <c r="K1069" s="76">
        <f t="shared" si="73"/>
        <v>98853</v>
      </c>
      <c r="L1069">
        <v>1</v>
      </c>
      <c r="M1069" s="29">
        <v>0</v>
      </c>
      <c r="N1069" t="s">
        <v>32</v>
      </c>
      <c r="O1069" t="s">
        <v>33</v>
      </c>
      <c r="P1069" t="s">
        <v>34</v>
      </c>
      <c r="Q1069" t="s">
        <v>34</v>
      </c>
      <c r="R1069" t="s">
        <v>34</v>
      </c>
      <c r="S1069" t="s">
        <v>34</v>
      </c>
      <c r="T1069" s="117">
        <v>0</v>
      </c>
    </row>
    <row r="1070" spans="1:21" ht="14.5" customHeight="1" x14ac:dyDescent="0.35">
      <c r="A1070" t="s">
        <v>19</v>
      </c>
      <c r="B1070" t="s">
        <v>27</v>
      </c>
      <c r="C1070" s="1">
        <v>45469</v>
      </c>
      <c r="D1070">
        <f t="shared" si="70"/>
        <v>26</v>
      </c>
      <c r="E1070">
        <f t="shared" si="71"/>
        <v>6</v>
      </c>
      <c r="F1070">
        <f t="shared" si="72"/>
        <v>2024</v>
      </c>
      <c r="G1070" t="s">
        <v>100</v>
      </c>
      <c r="H1070" s="98">
        <v>10425</v>
      </c>
      <c r="I1070" s="29">
        <v>80000</v>
      </c>
      <c r="J1070" s="12" t="s">
        <v>31</v>
      </c>
      <c r="K1070" s="76">
        <f t="shared" si="73"/>
        <v>80000</v>
      </c>
      <c r="L1070">
        <v>1</v>
      </c>
      <c r="M1070" s="29">
        <v>0</v>
      </c>
      <c r="N1070" t="s">
        <v>32</v>
      </c>
      <c r="O1070" t="s">
        <v>33</v>
      </c>
      <c r="P1070" t="s">
        <v>34</v>
      </c>
      <c r="Q1070" t="s">
        <v>34</v>
      </c>
      <c r="R1070" t="s">
        <v>34</v>
      </c>
      <c r="S1070" t="s">
        <v>34</v>
      </c>
      <c r="T1070" s="117">
        <v>0</v>
      </c>
    </row>
    <row r="1071" spans="1:21" ht="14.5" customHeight="1" x14ac:dyDescent="0.35">
      <c r="A1071" t="s">
        <v>20</v>
      </c>
      <c r="B1071" t="s">
        <v>25</v>
      </c>
      <c r="C1071" s="1">
        <v>45469</v>
      </c>
      <c r="D1071">
        <f t="shared" si="70"/>
        <v>26</v>
      </c>
      <c r="E1071">
        <f t="shared" si="71"/>
        <v>6</v>
      </c>
      <c r="F1071">
        <f t="shared" si="72"/>
        <v>2024</v>
      </c>
      <c r="G1071" t="s">
        <v>81</v>
      </c>
      <c r="H1071" s="98">
        <v>10548</v>
      </c>
      <c r="I1071" s="29">
        <v>31680</v>
      </c>
      <c r="J1071" s="12" t="s">
        <v>31</v>
      </c>
      <c r="K1071" s="76">
        <f t="shared" si="73"/>
        <v>31680</v>
      </c>
      <c r="L1071">
        <v>1</v>
      </c>
      <c r="M1071" s="29">
        <v>0</v>
      </c>
      <c r="N1071" t="s">
        <v>32</v>
      </c>
      <c r="O1071" t="s">
        <v>33</v>
      </c>
      <c r="P1071" t="s">
        <v>34</v>
      </c>
      <c r="Q1071" t="s">
        <v>34</v>
      </c>
      <c r="R1071" t="s">
        <v>34</v>
      </c>
      <c r="S1071" t="s">
        <v>34</v>
      </c>
      <c r="T1071" s="117">
        <v>0</v>
      </c>
    </row>
    <row r="1072" spans="1:21" ht="14.5" customHeight="1" x14ac:dyDescent="0.35">
      <c r="A1072" t="s">
        <v>20</v>
      </c>
      <c r="B1072" t="s">
        <v>25</v>
      </c>
      <c r="C1072" s="1">
        <v>45469</v>
      </c>
      <c r="D1072">
        <f t="shared" si="70"/>
        <v>26</v>
      </c>
      <c r="E1072">
        <f t="shared" si="71"/>
        <v>6</v>
      </c>
      <c r="F1072">
        <f t="shared" si="72"/>
        <v>2024</v>
      </c>
      <c r="G1072" t="s">
        <v>81</v>
      </c>
      <c r="H1072" s="98">
        <v>10630</v>
      </c>
      <c r="I1072" s="29">
        <v>1525.95</v>
      </c>
      <c r="J1072" s="12" t="s">
        <v>31</v>
      </c>
      <c r="K1072" s="76">
        <f t="shared" si="73"/>
        <v>1525.95</v>
      </c>
      <c r="L1072">
        <v>1</v>
      </c>
      <c r="M1072" s="29">
        <v>0</v>
      </c>
      <c r="N1072" t="s">
        <v>32</v>
      </c>
      <c r="O1072" t="s">
        <v>33</v>
      </c>
      <c r="P1072" t="s">
        <v>34</v>
      </c>
      <c r="Q1072" t="s">
        <v>34</v>
      </c>
      <c r="R1072" t="s">
        <v>34</v>
      </c>
      <c r="S1072" t="s">
        <v>34</v>
      </c>
      <c r="T1072" s="117">
        <v>0</v>
      </c>
    </row>
    <row r="1073" spans="1:20" ht="14.5" customHeight="1" x14ac:dyDescent="0.35">
      <c r="A1073" t="s">
        <v>20</v>
      </c>
      <c r="B1073" t="s">
        <v>25</v>
      </c>
      <c r="C1073" s="1">
        <v>45469</v>
      </c>
      <c r="D1073">
        <f t="shared" si="70"/>
        <v>26</v>
      </c>
      <c r="E1073">
        <f t="shared" si="71"/>
        <v>6</v>
      </c>
      <c r="F1073">
        <f t="shared" si="72"/>
        <v>2024</v>
      </c>
      <c r="G1073" t="s">
        <v>54</v>
      </c>
      <c r="H1073" s="98">
        <v>10297</v>
      </c>
      <c r="I1073" s="29">
        <v>241.42</v>
      </c>
      <c r="J1073" s="12" t="s">
        <v>31</v>
      </c>
      <c r="K1073" s="76">
        <f t="shared" si="73"/>
        <v>241.42</v>
      </c>
      <c r="L1073">
        <v>1</v>
      </c>
      <c r="M1073" s="29">
        <v>0</v>
      </c>
      <c r="N1073" t="s">
        <v>32</v>
      </c>
      <c r="O1073" t="s">
        <v>33</v>
      </c>
      <c r="P1073" t="s">
        <v>34</v>
      </c>
      <c r="Q1073" t="s">
        <v>34</v>
      </c>
      <c r="R1073" t="s">
        <v>34</v>
      </c>
      <c r="S1073" t="s">
        <v>34</v>
      </c>
      <c r="T1073" s="117">
        <v>0</v>
      </c>
    </row>
    <row r="1074" spans="1:20" ht="14.5" customHeight="1" x14ac:dyDescent="0.35">
      <c r="A1074" t="s">
        <v>20</v>
      </c>
      <c r="B1074" t="s">
        <v>21</v>
      </c>
      <c r="C1074" s="1">
        <v>45469</v>
      </c>
      <c r="D1074">
        <f t="shared" si="70"/>
        <v>26</v>
      </c>
      <c r="E1074">
        <f t="shared" si="71"/>
        <v>6</v>
      </c>
      <c r="F1074">
        <f t="shared" si="72"/>
        <v>2024</v>
      </c>
      <c r="G1074" t="s">
        <v>273</v>
      </c>
      <c r="H1074" s="98">
        <v>10788</v>
      </c>
      <c r="I1074" s="29">
        <v>3782.52</v>
      </c>
      <c r="J1074" s="12" t="s">
        <v>31</v>
      </c>
      <c r="K1074" s="76">
        <f t="shared" si="73"/>
        <v>3782.52</v>
      </c>
      <c r="L1074">
        <v>1</v>
      </c>
      <c r="M1074" s="29">
        <v>0</v>
      </c>
      <c r="N1074" t="s">
        <v>42</v>
      </c>
      <c r="O1074" t="s">
        <v>33</v>
      </c>
      <c r="P1074" t="s">
        <v>34</v>
      </c>
      <c r="Q1074" t="s">
        <v>34</v>
      </c>
      <c r="R1074" t="s">
        <v>34</v>
      </c>
      <c r="S1074" t="s">
        <v>34</v>
      </c>
      <c r="T1074" s="117">
        <v>0</v>
      </c>
    </row>
    <row r="1075" spans="1:20" ht="14.5" customHeight="1" x14ac:dyDescent="0.35">
      <c r="A1075" t="s">
        <v>20</v>
      </c>
      <c r="B1075" t="s">
        <v>21</v>
      </c>
      <c r="C1075" s="1">
        <v>45469</v>
      </c>
      <c r="D1075">
        <f t="shared" si="70"/>
        <v>26</v>
      </c>
      <c r="E1075">
        <f t="shared" si="71"/>
        <v>6</v>
      </c>
      <c r="F1075">
        <f t="shared" si="72"/>
        <v>2024</v>
      </c>
      <c r="G1075" t="s">
        <v>273</v>
      </c>
      <c r="H1075" s="98">
        <v>10787</v>
      </c>
      <c r="I1075" s="29">
        <v>33.6</v>
      </c>
      <c r="J1075" s="12" t="s">
        <v>31</v>
      </c>
      <c r="K1075" s="76">
        <f t="shared" si="73"/>
        <v>33.6</v>
      </c>
      <c r="L1075">
        <v>1</v>
      </c>
      <c r="M1075" s="29">
        <v>0</v>
      </c>
      <c r="N1075" t="s">
        <v>42</v>
      </c>
      <c r="O1075" t="s">
        <v>33</v>
      </c>
      <c r="P1075" t="s">
        <v>34</v>
      </c>
      <c r="Q1075" t="s">
        <v>34</v>
      </c>
      <c r="R1075" t="s">
        <v>34</v>
      </c>
      <c r="S1075" t="s">
        <v>34</v>
      </c>
      <c r="T1075" s="117">
        <v>0</v>
      </c>
    </row>
    <row r="1076" spans="1:20" ht="14.5" customHeight="1" x14ac:dyDescent="0.35">
      <c r="A1076" t="s">
        <v>20</v>
      </c>
      <c r="B1076" t="s">
        <v>25</v>
      </c>
      <c r="C1076" s="1">
        <v>45469</v>
      </c>
      <c r="D1076">
        <f t="shared" si="70"/>
        <v>26</v>
      </c>
      <c r="E1076">
        <f t="shared" si="71"/>
        <v>6</v>
      </c>
      <c r="F1076">
        <f t="shared" si="72"/>
        <v>2024</v>
      </c>
      <c r="G1076" t="s">
        <v>49</v>
      </c>
      <c r="H1076" s="98">
        <v>10419</v>
      </c>
      <c r="I1076" s="29">
        <v>89214.97</v>
      </c>
      <c r="J1076" s="12" t="s">
        <v>51</v>
      </c>
      <c r="K1076" s="76">
        <f t="shared" si="73"/>
        <v>95683.149892868198</v>
      </c>
      <c r="L1076">
        <v>1.07250106</v>
      </c>
      <c r="M1076" s="29">
        <v>0</v>
      </c>
      <c r="N1076" t="s">
        <v>32</v>
      </c>
      <c r="O1076" t="s">
        <v>33</v>
      </c>
      <c r="P1076" t="s">
        <v>34</v>
      </c>
      <c r="Q1076" t="s">
        <v>34</v>
      </c>
      <c r="R1076" t="s">
        <v>34</v>
      </c>
      <c r="S1076" t="s">
        <v>34</v>
      </c>
      <c r="T1076" s="117">
        <v>0</v>
      </c>
    </row>
    <row r="1077" spans="1:20" ht="14.5" customHeight="1" x14ac:dyDescent="0.35">
      <c r="A1077" t="s">
        <v>20</v>
      </c>
      <c r="B1077" t="s">
        <v>23</v>
      </c>
      <c r="C1077" s="1">
        <v>45469</v>
      </c>
      <c r="D1077">
        <f t="shared" si="70"/>
        <v>26</v>
      </c>
      <c r="E1077">
        <f t="shared" si="71"/>
        <v>6</v>
      </c>
      <c r="F1077">
        <f t="shared" si="72"/>
        <v>2024</v>
      </c>
      <c r="G1077" t="s">
        <v>52</v>
      </c>
      <c r="H1077" s="98">
        <v>10448</v>
      </c>
      <c r="I1077" s="29">
        <v>170.47</v>
      </c>
      <c r="J1077" s="12" t="s">
        <v>31</v>
      </c>
      <c r="K1077" s="76">
        <f t="shared" si="73"/>
        <v>170.47</v>
      </c>
      <c r="L1077">
        <v>1</v>
      </c>
      <c r="M1077" s="29">
        <v>0</v>
      </c>
      <c r="N1077" t="s">
        <v>32</v>
      </c>
      <c r="O1077" t="s">
        <v>33</v>
      </c>
      <c r="P1077" t="s">
        <v>34</v>
      </c>
      <c r="Q1077" t="s">
        <v>34</v>
      </c>
      <c r="R1077" t="s">
        <v>34</v>
      </c>
      <c r="S1077" t="s">
        <v>34</v>
      </c>
      <c r="T1077" s="117">
        <v>0</v>
      </c>
    </row>
    <row r="1078" spans="1:20" ht="14.5" customHeight="1" x14ac:dyDescent="0.35">
      <c r="A1078" t="s">
        <v>20</v>
      </c>
      <c r="B1078" t="s">
        <v>25</v>
      </c>
      <c r="C1078" s="1">
        <v>45469</v>
      </c>
      <c r="D1078">
        <f t="shared" si="70"/>
        <v>26</v>
      </c>
      <c r="E1078">
        <f t="shared" si="71"/>
        <v>6</v>
      </c>
      <c r="F1078">
        <f t="shared" si="72"/>
        <v>2024</v>
      </c>
      <c r="G1078" t="s">
        <v>211</v>
      </c>
      <c r="H1078" s="98">
        <v>10657</v>
      </c>
      <c r="I1078" s="29">
        <v>450</v>
      </c>
      <c r="J1078" s="12" t="s">
        <v>31</v>
      </c>
      <c r="K1078" s="76">
        <f t="shared" si="73"/>
        <v>450</v>
      </c>
      <c r="L1078">
        <v>1</v>
      </c>
      <c r="M1078" s="29">
        <v>0</v>
      </c>
      <c r="N1078" t="s">
        <v>42</v>
      </c>
      <c r="O1078" t="s">
        <v>33</v>
      </c>
      <c r="P1078" t="s">
        <v>34</v>
      </c>
      <c r="Q1078" t="s">
        <v>34</v>
      </c>
      <c r="R1078" t="s">
        <v>34</v>
      </c>
      <c r="S1078" t="s">
        <v>34</v>
      </c>
      <c r="T1078" s="117">
        <v>0</v>
      </c>
    </row>
    <row r="1079" spans="1:20" ht="14.5" customHeight="1" x14ac:dyDescent="0.35">
      <c r="A1079" t="s">
        <v>20</v>
      </c>
      <c r="B1079" t="s">
        <v>24</v>
      </c>
      <c r="C1079" s="1">
        <v>45469</v>
      </c>
      <c r="D1079">
        <f t="shared" si="70"/>
        <v>26</v>
      </c>
      <c r="E1079">
        <f t="shared" si="71"/>
        <v>6</v>
      </c>
      <c r="F1079">
        <f t="shared" si="72"/>
        <v>2024</v>
      </c>
      <c r="G1079" t="s">
        <v>85</v>
      </c>
      <c r="H1079" s="98">
        <v>10699</v>
      </c>
      <c r="I1079" s="29">
        <v>519</v>
      </c>
      <c r="J1079" s="12" t="s">
        <v>31</v>
      </c>
      <c r="K1079" s="76">
        <f t="shared" si="73"/>
        <v>519</v>
      </c>
      <c r="L1079">
        <v>1</v>
      </c>
      <c r="M1079" s="29">
        <v>0</v>
      </c>
      <c r="N1079" t="s">
        <v>42</v>
      </c>
      <c r="O1079" t="s">
        <v>33</v>
      </c>
      <c r="P1079" t="s">
        <v>34</v>
      </c>
      <c r="Q1079" t="s">
        <v>34</v>
      </c>
      <c r="R1079" t="s">
        <v>34</v>
      </c>
      <c r="S1079" t="s">
        <v>34</v>
      </c>
      <c r="T1079" s="117">
        <v>0</v>
      </c>
    </row>
    <row r="1080" spans="1:20" ht="14.5" customHeight="1" x14ac:dyDescent="0.35">
      <c r="A1080" t="s">
        <v>20</v>
      </c>
      <c r="B1080" t="s">
        <v>23</v>
      </c>
      <c r="C1080" s="1">
        <v>45469</v>
      </c>
      <c r="D1080">
        <f t="shared" si="70"/>
        <v>26</v>
      </c>
      <c r="E1080">
        <f t="shared" si="71"/>
        <v>6</v>
      </c>
      <c r="F1080">
        <f t="shared" si="72"/>
        <v>2024</v>
      </c>
      <c r="G1080" t="s">
        <v>82</v>
      </c>
      <c r="H1080" s="98">
        <v>10394</v>
      </c>
      <c r="I1080" s="29">
        <v>57.8</v>
      </c>
      <c r="J1080" s="12" t="s">
        <v>31</v>
      </c>
      <c r="K1080" s="76">
        <f t="shared" si="73"/>
        <v>57.8</v>
      </c>
      <c r="L1080">
        <v>1</v>
      </c>
      <c r="M1080" s="29">
        <v>0</v>
      </c>
      <c r="N1080" t="s">
        <v>32</v>
      </c>
      <c r="O1080" t="s">
        <v>33</v>
      </c>
      <c r="P1080" t="s">
        <v>34</v>
      </c>
      <c r="Q1080" t="s">
        <v>34</v>
      </c>
      <c r="R1080" t="s">
        <v>34</v>
      </c>
      <c r="S1080" t="s">
        <v>34</v>
      </c>
      <c r="T1080" s="117">
        <v>0</v>
      </c>
    </row>
    <row r="1081" spans="1:20" ht="14.5" customHeight="1" x14ac:dyDescent="0.35">
      <c r="A1081" t="s">
        <v>20</v>
      </c>
      <c r="B1081" t="s">
        <v>23</v>
      </c>
      <c r="C1081" s="1">
        <v>45469</v>
      </c>
      <c r="D1081">
        <f t="shared" si="70"/>
        <v>26</v>
      </c>
      <c r="E1081">
        <f t="shared" si="71"/>
        <v>6</v>
      </c>
      <c r="F1081">
        <f t="shared" si="72"/>
        <v>2024</v>
      </c>
      <c r="G1081" t="s">
        <v>82</v>
      </c>
      <c r="H1081" s="98">
        <v>10486</v>
      </c>
      <c r="I1081" s="29">
        <v>54.8</v>
      </c>
      <c r="J1081" s="12" t="s">
        <v>31</v>
      </c>
      <c r="K1081" s="76">
        <f t="shared" si="73"/>
        <v>54.8</v>
      </c>
      <c r="L1081">
        <v>1</v>
      </c>
      <c r="M1081" s="29">
        <v>0</v>
      </c>
      <c r="N1081" t="s">
        <v>32</v>
      </c>
      <c r="O1081" t="s">
        <v>33</v>
      </c>
      <c r="P1081" t="s">
        <v>34</v>
      </c>
      <c r="Q1081" t="s">
        <v>34</v>
      </c>
      <c r="R1081" t="s">
        <v>34</v>
      </c>
      <c r="S1081" t="s">
        <v>34</v>
      </c>
      <c r="T1081" s="117">
        <v>0</v>
      </c>
    </row>
    <row r="1082" spans="1:20" ht="14.5" customHeight="1" x14ac:dyDescent="0.35">
      <c r="A1082" t="s">
        <v>20</v>
      </c>
      <c r="B1082" t="s">
        <v>23</v>
      </c>
      <c r="C1082" s="1">
        <v>45469</v>
      </c>
      <c r="D1082">
        <f t="shared" si="70"/>
        <v>26</v>
      </c>
      <c r="E1082">
        <f t="shared" si="71"/>
        <v>6</v>
      </c>
      <c r="F1082">
        <f t="shared" si="72"/>
        <v>2024</v>
      </c>
      <c r="G1082" t="s">
        <v>82</v>
      </c>
      <c r="H1082" s="98">
        <v>10489</v>
      </c>
      <c r="I1082" s="29">
        <v>39.799999999999997</v>
      </c>
      <c r="J1082" s="12" t="s">
        <v>31</v>
      </c>
      <c r="K1082" s="76">
        <f t="shared" si="73"/>
        <v>39.799999999999997</v>
      </c>
      <c r="L1082">
        <v>1</v>
      </c>
      <c r="M1082" s="29">
        <v>0</v>
      </c>
      <c r="N1082" t="s">
        <v>32</v>
      </c>
      <c r="O1082" t="s">
        <v>33</v>
      </c>
      <c r="P1082" t="s">
        <v>34</v>
      </c>
      <c r="Q1082" t="s">
        <v>34</v>
      </c>
      <c r="R1082" t="s">
        <v>34</v>
      </c>
      <c r="S1082" t="s">
        <v>34</v>
      </c>
      <c r="T1082" s="117">
        <v>0</v>
      </c>
    </row>
    <row r="1083" spans="1:20" ht="14.5" customHeight="1" x14ac:dyDescent="0.35">
      <c r="A1083" t="s">
        <v>20</v>
      </c>
      <c r="B1083" t="s">
        <v>23</v>
      </c>
      <c r="C1083" s="1">
        <v>45469</v>
      </c>
      <c r="D1083">
        <f t="shared" si="70"/>
        <v>26</v>
      </c>
      <c r="E1083">
        <f t="shared" si="71"/>
        <v>6</v>
      </c>
      <c r="F1083">
        <f t="shared" si="72"/>
        <v>2024</v>
      </c>
      <c r="G1083" t="s">
        <v>45</v>
      </c>
      <c r="H1083" s="98">
        <v>10482</v>
      </c>
      <c r="I1083" s="29">
        <v>42.3</v>
      </c>
      <c r="J1083" s="12" t="s">
        <v>31</v>
      </c>
      <c r="K1083" s="76">
        <f t="shared" si="73"/>
        <v>42.3</v>
      </c>
      <c r="L1083">
        <v>1</v>
      </c>
      <c r="M1083" s="29">
        <v>0</v>
      </c>
      <c r="N1083" t="s">
        <v>32</v>
      </c>
      <c r="O1083" t="s">
        <v>33</v>
      </c>
      <c r="P1083" t="s">
        <v>34</v>
      </c>
      <c r="Q1083" t="s">
        <v>34</v>
      </c>
      <c r="R1083" t="s">
        <v>34</v>
      </c>
      <c r="S1083" t="s">
        <v>34</v>
      </c>
      <c r="T1083" s="117">
        <v>0</v>
      </c>
    </row>
    <row r="1084" spans="1:20" ht="14.5" customHeight="1" x14ac:dyDescent="0.35">
      <c r="A1084" t="s">
        <v>20</v>
      </c>
      <c r="B1084" t="s">
        <v>25</v>
      </c>
      <c r="C1084" s="1">
        <v>45469</v>
      </c>
      <c r="D1084">
        <f t="shared" si="70"/>
        <v>26</v>
      </c>
      <c r="E1084">
        <f t="shared" si="71"/>
        <v>6</v>
      </c>
      <c r="F1084">
        <f t="shared" si="72"/>
        <v>2024</v>
      </c>
      <c r="G1084" t="s">
        <v>45</v>
      </c>
      <c r="H1084" s="98">
        <v>10651</v>
      </c>
      <c r="I1084" s="29">
        <v>68.599999999999994</v>
      </c>
      <c r="J1084" s="12" t="s">
        <v>31</v>
      </c>
      <c r="K1084" s="76">
        <f t="shared" si="73"/>
        <v>68.599999999999994</v>
      </c>
      <c r="L1084">
        <v>1</v>
      </c>
      <c r="M1084" s="29">
        <v>0</v>
      </c>
      <c r="N1084" t="s">
        <v>32</v>
      </c>
      <c r="O1084" t="s">
        <v>33</v>
      </c>
      <c r="P1084" t="s">
        <v>34</v>
      </c>
      <c r="Q1084" t="s">
        <v>34</v>
      </c>
      <c r="R1084" t="s">
        <v>34</v>
      </c>
      <c r="S1084" t="s">
        <v>34</v>
      </c>
      <c r="T1084" s="117">
        <v>0</v>
      </c>
    </row>
    <row r="1085" spans="1:20" ht="14.5" customHeight="1" x14ac:dyDescent="0.35">
      <c r="A1085" t="s">
        <v>20</v>
      </c>
      <c r="B1085" t="s">
        <v>25</v>
      </c>
      <c r="C1085" s="1">
        <v>45469</v>
      </c>
      <c r="D1085">
        <f t="shared" si="70"/>
        <v>26</v>
      </c>
      <c r="E1085">
        <f t="shared" si="71"/>
        <v>6</v>
      </c>
      <c r="F1085">
        <f t="shared" si="72"/>
        <v>2024</v>
      </c>
      <c r="G1085" t="s">
        <v>45</v>
      </c>
      <c r="H1085" s="98">
        <v>10653</v>
      </c>
      <c r="I1085" s="29">
        <v>68</v>
      </c>
      <c r="J1085" s="12" t="s">
        <v>31</v>
      </c>
      <c r="K1085" s="76">
        <f t="shared" si="73"/>
        <v>68</v>
      </c>
      <c r="L1085">
        <v>1</v>
      </c>
      <c r="M1085" s="29">
        <v>0</v>
      </c>
      <c r="N1085" t="s">
        <v>32</v>
      </c>
      <c r="O1085" t="s">
        <v>33</v>
      </c>
      <c r="P1085" t="s">
        <v>34</v>
      </c>
      <c r="Q1085" t="s">
        <v>34</v>
      </c>
      <c r="R1085" t="s">
        <v>34</v>
      </c>
      <c r="S1085" t="s">
        <v>34</v>
      </c>
      <c r="T1085" s="117">
        <v>0</v>
      </c>
    </row>
    <row r="1086" spans="1:20" ht="14.5" customHeight="1" x14ac:dyDescent="0.35">
      <c r="A1086" t="s">
        <v>20</v>
      </c>
      <c r="B1086" t="s">
        <v>25</v>
      </c>
      <c r="C1086" s="1">
        <v>45469</v>
      </c>
      <c r="D1086">
        <f t="shared" si="70"/>
        <v>26</v>
      </c>
      <c r="E1086">
        <f t="shared" si="71"/>
        <v>6</v>
      </c>
      <c r="F1086">
        <f t="shared" si="72"/>
        <v>2024</v>
      </c>
      <c r="G1086" t="s">
        <v>45</v>
      </c>
      <c r="H1086" s="98">
        <v>10654</v>
      </c>
      <c r="I1086" s="29">
        <v>511.65</v>
      </c>
      <c r="J1086" s="12" t="s">
        <v>31</v>
      </c>
      <c r="K1086" s="76">
        <f t="shared" si="73"/>
        <v>511.65</v>
      </c>
      <c r="L1086">
        <v>1</v>
      </c>
      <c r="M1086" s="29">
        <v>0</v>
      </c>
      <c r="N1086" t="s">
        <v>32</v>
      </c>
      <c r="O1086" t="s">
        <v>33</v>
      </c>
      <c r="P1086" t="s">
        <v>34</v>
      </c>
      <c r="Q1086" t="s">
        <v>34</v>
      </c>
      <c r="R1086" t="s">
        <v>34</v>
      </c>
      <c r="S1086" t="s">
        <v>34</v>
      </c>
      <c r="T1086" s="117">
        <v>0</v>
      </c>
    </row>
    <row r="1087" spans="1:20" ht="14.5" customHeight="1" x14ac:dyDescent="0.35">
      <c r="A1087" t="s">
        <v>20</v>
      </c>
      <c r="B1087" t="s">
        <v>24</v>
      </c>
      <c r="C1087" s="1">
        <v>45469</v>
      </c>
      <c r="D1087">
        <f t="shared" si="70"/>
        <v>26</v>
      </c>
      <c r="E1087">
        <f t="shared" si="71"/>
        <v>6</v>
      </c>
      <c r="F1087">
        <f t="shared" si="72"/>
        <v>2024</v>
      </c>
      <c r="G1087" t="s">
        <v>45</v>
      </c>
      <c r="H1087" s="98">
        <v>10697</v>
      </c>
      <c r="I1087" s="29">
        <v>94.6</v>
      </c>
      <c r="J1087" s="12" t="s">
        <v>31</v>
      </c>
      <c r="K1087" s="76">
        <f t="shared" si="73"/>
        <v>94.6</v>
      </c>
      <c r="L1087">
        <v>1</v>
      </c>
      <c r="M1087" s="29">
        <v>0</v>
      </c>
      <c r="N1087" t="s">
        <v>32</v>
      </c>
      <c r="O1087" t="s">
        <v>33</v>
      </c>
      <c r="P1087" t="s">
        <v>34</v>
      </c>
      <c r="Q1087" t="s">
        <v>34</v>
      </c>
      <c r="R1087" t="s">
        <v>34</v>
      </c>
      <c r="S1087" t="s">
        <v>34</v>
      </c>
      <c r="T1087" s="117">
        <v>0</v>
      </c>
    </row>
    <row r="1088" spans="1:20" ht="14.5" customHeight="1" x14ac:dyDescent="0.35">
      <c r="A1088" t="s">
        <v>20</v>
      </c>
      <c r="B1088" t="s">
        <v>25</v>
      </c>
      <c r="C1088" s="1">
        <v>45469</v>
      </c>
      <c r="D1088">
        <f t="shared" si="70"/>
        <v>26</v>
      </c>
      <c r="E1088">
        <f t="shared" si="71"/>
        <v>6</v>
      </c>
      <c r="F1088">
        <f t="shared" si="72"/>
        <v>2024</v>
      </c>
      <c r="G1088" t="s">
        <v>321</v>
      </c>
      <c r="H1088" s="98">
        <v>10650</v>
      </c>
      <c r="I1088" s="76">
        <v>24699</v>
      </c>
      <c r="J1088" s="12" t="s">
        <v>31</v>
      </c>
      <c r="K1088" s="76">
        <f t="shared" si="73"/>
        <v>24699</v>
      </c>
      <c r="L1088">
        <v>1</v>
      </c>
      <c r="M1088" s="29">
        <v>0</v>
      </c>
      <c r="N1088" t="s">
        <v>32</v>
      </c>
      <c r="O1088" t="s">
        <v>33</v>
      </c>
      <c r="P1088" t="s">
        <v>34</v>
      </c>
      <c r="Q1088" t="s">
        <v>34</v>
      </c>
      <c r="R1088" t="s">
        <v>34</v>
      </c>
      <c r="S1088" t="s">
        <v>34</v>
      </c>
      <c r="T1088" s="117">
        <v>0</v>
      </c>
    </row>
    <row r="1089" spans="1:20" ht="14.5" customHeight="1" x14ac:dyDescent="0.35">
      <c r="A1089" t="s">
        <v>20</v>
      </c>
      <c r="B1089" t="s">
        <v>25</v>
      </c>
      <c r="C1089" s="1">
        <v>45469</v>
      </c>
      <c r="D1089">
        <f t="shared" si="70"/>
        <v>26</v>
      </c>
      <c r="E1089">
        <f t="shared" si="71"/>
        <v>6</v>
      </c>
      <c r="F1089">
        <f t="shared" si="72"/>
        <v>2024</v>
      </c>
      <c r="G1089" t="s">
        <v>321</v>
      </c>
      <c r="H1089" s="98">
        <v>10649</v>
      </c>
      <c r="I1089" s="29">
        <v>363</v>
      </c>
      <c r="J1089" s="12" t="s">
        <v>31</v>
      </c>
      <c r="K1089" s="76">
        <f t="shared" si="73"/>
        <v>363</v>
      </c>
      <c r="L1089">
        <v>1</v>
      </c>
      <c r="M1089" s="29">
        <v>0</v>
      </c>
      <c r="N1089" t="s">
        <v>32</v>
      </c>
      <c r="O1089" t="s">
        <v>33</v>
      </c>
      <c r="P1089" t="s">
        <v>34</v>
      </c>
      <c r="Q1089" t="s">
        <v>34</v>
      </c>
      <c r="R1089" t="s">
        <v>34</v>
      </c>
      <c r="S1089" t="s">
        <v>34</v>
      </c>
      <c r="T1089" s="117">
        <v>0</v>
      </c>
    </row>
    <row r="1090" spans="1:20" ht="14.5" customHeight="1" x14ac:dyDescent="0.35">
      <c r="A1090" t="s">
        <v>20</v>
      </c>
      <c r="B1090" t="s">
        <v>23</v>
      </c>
      <c r="C1090" s="1">
        <v>45469</v>
      </c>
      <c r="D1090">
        <f t="shared" ref="D1090:D1153" si="74">DAY(C1090)</f>
        <v>26</v>
      </c>
      <c r="E1090">
        <f t="shared" ref="E1090:E1153" si="75">MONTH(C1090)</f>
        <v>6</v>
      </c>
      <c r="F1090">
        <f t="shared" ref="F1090:F1153" si="76">YEAR(C1090)</f>
        <v>2024</v>
      </c>
      <c r="G1090" t="s">
        <v>86</v>
      </c>
      <c r="H1090" s="98">
        <v>10186</v>
      </c>
      <c r="I1090" s="29">
        <v>13.7</v>
      </c>
      <c r="J1090" s="12" t="s">
        <v>31</v>
      </c>
      <c r="K1090" s="76">
        <f t="shared" si="73"/>
        <v>13.7</v>
      </c>
      <c r="L1090">
        <v>1</v>
      </c>
      <c r="M1090" s="29">
        <v>0</v>
      </c>
      <c r="N1090" t="s">
        <v>32</v>
      </c>
      <c r="O1090" t="s">
        <v>33</v>
      </c>
      <c r="P1090" t="s">
        <v>34</v>
      </c>
      <c r="Q1090" t="s">
        <v>34</v>
      </c>
      <c r="R1090" t="s">
        <v>34</v>
      </c>
      <c r="S1090" t="s">
        <v>34</v>
      </c>
      <c r="T1090" s="117">
        <v>0</v>
      </c>
    </row>
    <row r="1091" spans="1:20" ht="14.5" customHeight="1" x14ac:dyDescent="0.35">
      <c r="A1091" t="s">
        <v>20</v>
      </c>
      <c r="B1091" t="s">
        <v>23</v>
      </c>
      <c r="C1091" s="1">
        <v>45469</v>
      </c>
      <c r="D1091">
        <f t="shared" si="74"/>
        <v>26</v>
      </c>
      <c r="E1091">
        <f t="shared" si="75"/>
        <v>6</v>
      </c>
      <c r="F1091">
        <f t="shared" si="76"/>
        <v>2024</v>
      </c>
      <c r="G1091" t="s">
        <v>86</v>
      </c>
      <c r="H1091" s="98">
        <v>10187</v>
      </c>
      <c r="I1091" s="29">
        <v>2579.44</v>
      </c>
      <c r="J1091" s="12" t="s">
        <v>31</v>
      </c>
      <c r="K1091" s="76">
        <f t="shared" si="73"/>
        <v>2579.44</v>
      </c>
      <c r="L1091">
        <v>1</v>
      </c>
      <c r="M1091" s="29">
        <v>0</v>
      </c>
      <c r="N1091" t="s">
        <v>32</v>
      </c>
      <c r="O1091" t="s">
        <v>33</v>
      </c>
      <c r="P1091" t="s">
        <v>34</v>
      </c>
      <c r="Q1091" t="s">
        <v>34</v>
      </c>
      <c r="R1091" t="s">
        <v>34</v>
      </c>
      <c r="S1091" t="s">
        <v>34</v>
      </c>
      <c r="T1091" s="117">
        <v>0</v>
      </c>
    </row>
    <row r="1092" spans="1:20" ht="14.5" customHeight="1" x14ac:dyDescent="0.35">
      <c r="A1092" t="s">
        <v>20</v>
      </c>
      <c r="B1092" t="s">
        <v>21</v>
      </c>
      <c r="C1092" s="1">
        <v>45469</v>
      </c>
      <c r="D1092">
        <f t="shared" si="74"/>
        <v>26</v>
      </c>
      <c r="E1092">
        <f t="shared" si="75"/>
        <v>6</v>
      </c>
      <c r="F1092">
        <f t="shared" si="76"/>
        <v>2024</v>
      </c>
      <c r="G1092" t="s">
        <v>46</v>
      </c>
      <c r="H1092" s="98">
        <v>10793</v>
      </c>
      <c r="I1092" s="29">
        <v>1043.58</v>
      </c>
      <c r="J1092" s="12" t="s">
        <v>31</v>
      </c>
      <c r="K1092" s="76">
        <f t="shared" si="73"/>
        <v>1043.58</v>
      </c>
      <c r="L1092">
        <v>1</v>
      </c>
      <c r="M1092" s="29">
        <v>0</v>
      </c>
      <c r="N1092" t="s">
        <v>42</v>
      </c>
      <c r="O1092" t="s">
        <v>33</v>
      </c>
      <c r="P1092" t="s">
        <v>34</v>
      </c>
      <c r="Q1092" t="s">
        <v>34</v>
      </c>
      <c r="R1092" t="s">
        <v>34</v>
      </c>
      <c r="S1092" t="s">
        <v>34</v>
      </c>
      <c r="T1092" s="117">
        <v>0</v>
      </c>
    </row>
    <row r="1093" spans="1:20" ht="14.5" customHeight="1" x14ac:dyDescent="0.35">
      <c r="A1093" t="s">
        <v>20</v>
      </c>
      <c r="B1093" t="s">
        <v>21</v>
      </c>
      <c r="C1093" s="1">
        <v>45469</v>
      </c>
      <c r="D1093">
        <f t="shared" si="74"/>
        <v>26</v>
      </c>
      <c r="E1093">
        <f t="shared" si="75"/>
        <v>6</v>
      </c>
      <c r="F1093">
        <f t="shared" si="76"/>
        <v>2024</v>
      </c>
      <c r="G1093" t="s">
        <v>46</v>
      </c>
      <c r="H1093" s="98">
        <v>10796</v>
      </c>
      <c r="I1093" s="29">
        <v>68.8</v>
      </c>
      <c r="J1093" s="12" t="s">
        <v>31</v>
      </c>
      <c r="K1093" s="76">
        <f t="shared" si="73"/>
        <v>68.8</v>
      </c>
      <c r="L1093">
        <v>1</v>
      </c>
      <c r="M1093" s="29">
        <v>0</v>
      </c>
      <c r="N1093" t="s">
        <v>42</v>
      </c>
      <c r="O1093" t="s">
        <v>33</v>
      </c>
      <c r="P1093" t="s">
        <v>34</v>
      </c>
      <c r="Q1093" t="s">
        <v>34</v>
      </c>
      <c r="R1093" t="s">
        <v>34</v>
      </c>
      <c r="S1093" t="s">
        <v>34</v>
      </c>
      <c r="T1093" s="117">
        <v>0</v>
      </c>
    </row>
    <row r="1094" spans="1:20" ht="14.5" customHeight="1" x14ac:dyDescent="0.35">
      <c r="A1094" t="s">
        <v>20</v>
      </c>
      <c r="B1094" t="s">
        <v>21</v>
      </c>
      <c r="C1094" s="1">
        <v>45469</v>
      </c>
      <c r="D1094">
        <f t="shared" si="74"/>
        <v>26</v>
      </c>
      <c r="E1094">
        <f t="shared" si="75"/>
        <v>6</v>
      </c>
      <c r="F1094">
        <f t="shared" si="76"/>
        <v>2024</v>
      </c>
      <c r="G1094" t="s">
        <v>46</v>
      </c>
      <c r="H1094" s="98">
        <v>10797</v>
      </c>
      <c r="I1094" s="29">
        <v>1779.86</v>
      </c>
      <c r="J1094" s="12" t="s">
        <v>31</v>
      </c>
      <c r="K1094" s="76">
        <f t="shared" si="73"/>
        <v>1779.86</v>
      </c>
      <c r="L1094">
        <v>1</v>
      </c>
      <c r="M1094" s="29">
        <v>0</v>
      </c>
      <c r="N1094" t="s">
        <v>42</v>
      </c>
      <c r="O1094" t="s">
        <v>33</v>
      </c>
      <c r="P1094" t="s">
        <v>34</v>
      </c>
      <c r="Q1094" t="s">
        <v>34</v>
      </c>
      <c r="R1094" t="s">
        <v>34</v>
      </c>
      <c r="S1094" t="s">
        <v>34</v>
      </c>
      <c r="T1094" s="117">
        <v>0</v>
      </c>
    </row>
    <row r="1095" spans="1:20" x14ac:dyDescent="0.35">
      <c r="A1095" t="s">
        <v>19</v>
      </c>
      <c r="B1095" t="s">
        <v>19</v>
      </c>
      <c r="C1095" s="1">
        <v>45469</v>
      </c>
      <c r="D1095">
        <f t="shared" si="74"/>
        <v>26</v>
      </c>
      <c r="E1095">
        <f t="shared" si="75"/>
        <v>6</v>
      </c>
      <c r="F1095">
        <f t="shared" si="76"/>
        <v>2024</v>
      </c>
      <c r="G1095" t="s">
        <v>55</v>
      </c>
      <c r="H1095" s="98" t="s">
        <v>322</v>
      </c>
      <c r="I1095" s="29">
        <v>70000</v>
      </c>
      <c r="J1095" s="12" t="s">
        <v>31</v>
      </c>
      <c r="K1095" s="76">
        <f t="shared" si="73"/>
        <v>70000</v>
      </c>
      <c r="L1095">
        <v>1</v>
      </c>
      <c r="M1095" s="29">
        <v>0</v>
      </c>
      <c r="N1095" t="s">
        <v>32</v>
      </c>
      <c r="O1095" t="s">
        <v>33</v>
      </c>
      <c r="P1095" t="s">
        <v>34</v>
      </c>
      <c r="Q1095" t="s">
        <v>34</v>
      </c>
      <c r="R1095" t="s">
        <v>34</v>
      </c>
      <c r="S1095" t="s">
        <v>34</v>
      </c>
      <c r="T1095" s="117">
        <v>0</v>
      </c>
    </row>
    <row r="1096" spans="1:20" ht="14.5" customHeight="1" x14ac:dyDescent="0.35">
      <c r="A1096" t="s">
        <v>19</v>
      </c>
      <c r="B1096" t="s">
        <v>19</v>
      </c>
      <c r="C1096" s="1">
        <v>45469</v>
      </c>
      <c r="D1096">
        <f t="shared" si="74"/>
        <v>26</v>
      </c>
      <c r="E1096">
        <f t="shared" si="75"/>
        <v>6</v>
      </c>
      <c r="F1096">
        <f t="shared" si="76"/>
        <v>2024</v>
      </c>
      <c r="G1096" t="s">
        <v>125</v>
      </c>
      <c r="H1096" s="98" t="s">
        <v>323</v>
      </c>
      <c r="I1096" s="29">
        <v>60000</v>
      </c>
      <c r="J1096" s="12" t="s">
        <v>31</v>
      </c>
      <c r="K1096" s="76">
        <f t="shared" si="73"/>
        <v>60000</v>
      </c>
      <c r="L1096">
        <v>1</v>
      </c>
      <c r="M1096" s="29">
        <v>0</v>
      </c>
      <c r="N1096" t="s">
        <v>32</v>
      </c>
      <c r="O1096" t="s">
        <v>33</v>
      </c>
      <c r="P1096" t="s">
        <v>34</v>
      </c>
      <c r="Q1096" t="s">
        <v>34</v>
      </c>
      <c r="R1096" t="s">
        <v>34</v>
      </c>
      <c r="S1096" t="s">
        <v>34</v>
      </c>
      <c r="T1096" s="117">
        <v>0</v>
      </c>
    </row>
    <row r="1097" spans="1:20" ht="14.5" customHeight="1" x14ac:dyDescent="0.35">
      <c r="A1097" t="s">
        <v>19</v>
      </c>
      <c r="B1097" t="s">
        <v>19</v>
      </c>
      <c r="C1097" s="1">
        <v>45469</v>
      </c>
      <c r="D1097">
        <f t="shared" si="74"/>
        <v>26</v>
      </c>
      <c r="E1097">
        <f t="shared" si="75"/>
        <v>6</v>
      </c>
      <c r="F1097">
        <f t="shared" si="76"/>
        <v>2024</v>
      </c>
      <c r="G1097" t="s">
        <v>111</v>
      </c>
      <c r="H1097" s="98" t="s">
        <v>324</v>
      </c>
      <c r="I1097" s="29">
        <v>61864.49</v>
      </c>
      <c r="J1097" s="12" t="s">
        <v>31</v>
      </c>
      <c r="K1097" s="76">
        <f t="shared" si="73"/>
        <v>61864.49</v>
      </c>
      <c r="L1097">
        <v>1</v>
      </c>
      <c r="M1097" s="29">
        <v>0</v>
      </c>
      <c r="N1097" t="s">
        <v>32</v>
      </c>
      <c r="O1097" t="s">
        <v>33</v>
      </c>
      <c r="P1097" t="s">
        <v>34</v>
      </c>
      <c r="Q1097" t="s">
        <v>34</v>
      </c>
      <c r="R1097" t="s">
        <v>34</v>
      </c>
      <c r="S1097" t="s">
        <v>34</v>
      </c>
      <c r="T1097" s="117">
        <v>2979.31</v>
      </c>
    </row>
    <row r="1098" spans="1:20" ht="14.5" customHeight="1" x14ac:dyDescent="0.35">
      <c r="A1098" t="s">
        <v>19</v>
      </c>
      <c r="B1098" t="s">
        <v>19</v>
      </c>
      <c r="C1098" s="1">
        <v>45469</v>
      </c>
      <c r="D1098">
        <f t="shared" si="74"/>
        <v>26</v>
      </c>
      <c r="E1098">
        <f t="shared" si="75"/>
        <v>6</v>
      </c>
      <c r="F1098">
        <f t="shared" si="76"/>
        <v>2024</v>
      </c>
      <c r="G1098" t="s">
        <v>58</v>
      </c>
      <c r="H1098" s="171" t="s">
        <v>314</v>
      </c>
      <c r="I1098" s="90">
        <v>42342.95</v>
      </c>
      <c r="J1098" s="12" t="s">
        <v>31</v>
      </c>
      <c r="K1098" s="76">
        <f t="shared" si="73"/>
        <v>42342.95</v>
      </c>
      <c r="L1098">
        <v>1</v>
      </c>
      <c r="M1098" s="29">
        <v>0</v>
      </c>
      <c r="N1098" t="s">
        <v>32</v>
      </c>
      <c r="O1098" t="s">
        <v>33</v>
      </c>
      <c r="P1098" t="s">
        <v>34</v>
      </c>
      <c r="Q1098" t="s">
        <v>34</v>
      </c>
      <c r="R1098" t="s">
        <v>34</v>
      </c>
      <c r="S1098" t="s">
        <v>34</v>
      </c>
      <c r="T1098" s="117">
        <v>0</v>
      </c>
    </row>
    <row r="1099" spans="1:20" ht="14.5" customHeight="1" x14ac:dyDescent="0.35">
      <c r="A1099" t="s">
        <v>19</v>
      </c>
      <c r="B1099" t="s">
        <v>19</v>
      </c>
      <c r="C1099" s="1">
        <v>45469</v>
      </c>
      <c r="D1099">
        <f t="shared" si="74"/>
        <v>26</v>
      </c>
      <c r="E1099">
        <f t="shared" si="75"/>
        <v>6</v>
      </c>
      <c r="F1099">
        <f t="shared" si="76"/>
        <v>2024</v>
      </c>
      <c r="G1099" t="s">
        <v>601</v>
      </c>
      <c r="H1099" s="98" t="s">
        <v>325</v>
      </c>
      <c r="I1099" s="29">
        <v>38348.82</v>
      </c>
      <c r="J1099" s="12" t="s">
        <v>31</v>
      </c>
      <c r="K1099" s="76">
        <f t="shared" si="73"/>
        <v>38348.82</v>
      </c>
      <c r="L1099">
        <v>1</v>
      </c>
      <c r="M1099" s="29">
        <v>0</v>
      </c>
      <c r="N1099" t="s">
        <v>32</v>
      </c>
      <c r="O1099" t="s">
        <v>33</v>
      </c>
      <c r="P1099" t="s">
        <v>34</v>
      </c>
      <c r="Q1099" t="s">
        <v>34</v>
      </c>
      <c r="R1099" t="s">
        <v>34</v>
      </c>
      <c r="S1099" t="s">
        <v>34</v>
      </c>
      <c r="T1099" s="117">
        <v>0</v>
      </c>
    </row>
    <row r="1100" spans="1:20" ht="14.5" customHeight="1" x14ac:dyDescent="0.35">
      <c r="A1100" t="s">
        <v>19</v>
      </c>
      <c r="B1100" t="s">
        <v>19</v>
      </c>
      <c r="C1100" s="1">
        <v>45469</v>
      </c>
      <c r="D1100">
        <f t="shared" si="74"/>
        <v>26</v>
      </c>
      <c r="E1100">
        <f t="shared" si="75"/>
        <v>6</v>
      </c>
      <c r="F1100">
        <f t="shared" si="76"/>
        <v>2024</v>
      </c>
      <c r="G1100" t="s">
        <v>110</v>
      </c>
      <c r="H1100" s="98" t="s">
        <v>344</v>
      </c>
      <c r="I1100" s="29">
        <v>81326.64</v>
      </c>
      <c r="J1100" s="12" t="s">
        <v>31</v>
      </c>
      <c r="K1100" s="76">
        <f t="shared" si="73"/>
        <v>81326.64</v>
      </c>
      <c r="L1100">
        <v>1</v>
      </c>
      <c r="M1100" s="29">
        <v>0</v>
      </c>
      <c r="N1100" t="s">
        <v>32</v>
      </c>
      <c r="O1100" t="s">
        <v>33</v>
      </c>
      <c r="P1100" t="s">
        <v>34</v>
      </c>
      <c r="Q1100" t="s">
        <v>34</v>
      </c>
      <c r="R1100" t="s">
        <v>34</v>
      </c>
      <c r="S1100" t="s">
        <v>34</v>
      </c>
      <c r="T1100" s="117">
        <v>0</v>
      </c>
    </row>
    <row r="1101" spans="1:20" ht="14.5" customHeight="1" x14ac:dyDescent="0.35">
      <c r="A1101" t="s">
        <v>19</v>
      </c>
      <c r="B1101" t="s">
        <v>19</v>
      </c>
      <c r="C1101" s="1">
        <v>45469</v>
      </c>
      <c r="D1101">
        <f t="shared" si="74"/>
        <v>26</v>
      </c>
      <c r="E1101">
        <f t="shared" si="75"/>
        <v>6</v>
      </c>
      <c r="F1101">
        <f t="shared" si="76"/>
        <v>2024</v>
      </c>
      <c r="G1101" t="s">
        <v>56</v>
      </c>
      <c r="H1101" s="98">
        <v>10237</v>
      </c>
      <c r="I1101" s="29">
        <v>5825.35</v>
      </c>
      <c r="J1101" s="12" t="s">
        <v>31</v>
      </c>
      <c r="K1101" s="76">
        <f t="shared" si="73"/>
        <v>5825.35</v>
      </c>
      <c r="L1101">
        <v>1</v>
      </c>
      <c r="M1101" s="29">
        <v>0</v>
      </c>
      <c r="N1101" t="s">
        <v>32</v>
      </c>
      <c r="O1101" t="s">
        <v>33</v>
      </c>
      <c r="P1101" t="s">
        <v>34</v>
      </c>
      <c r="Q1101" t="s">
        <v>34</v>
      </c>
      <c r="R1101" t="s">
        <v>34</v>
      </c>
      <c r="S1101" t="s">
        <v>34</v>
      </c>
      <c r="T1101" s="117">
        <v>0</v>
      </c>
    </row>
    <row r="1102" spans="1:20" ht="14.5" customHeight="1" x14ac:dyDescent="0.35">
      <c r="A1102" t="s">
        <v>19</v>
      </c>
      <c r="B1102" t="s">
        <v>19</v>
      </c>
      <c r="C1102" s="1">
        <v>45469</v>
      </c>
      <c r="D1102">
        <f t="shared" si="74"/>
        <v>26</v>
      </c>
      <c r="E1102">
        <f t="shared" si="75"/>
        <v>6</v>
      </c>
      <c r="F1102">
        <f t="shared" si="76"/>
        <v>2024</v>
      </c>
      <c r="G1102" t="s">
        <v>56</v>
      </c>
      <c r="H1102" s="98" t="s">
        <v>318</v>
      </c>
      <c r="I1102" s="29">
        <v>154760.44</v>
      </c>
      <c r="J1102" s="12" t="s">
        <v>31</v>
      </c>
      <c r="K1102" s="76">
        <f t="shared" si="73"/>
        <v>154760.44</v>
      </c>
      <c r="L1102">
        <v>1</v>
      </c>
      <c r="M1102" s="29">
        <v>0</v>
      </c>
      <c r="N1102" t="s">
        <v>32</v>
      </c>
      <c r="O1102" t="s">
        <v>33</v>
      </c>
      <c r="P1102" t="s">
        <v>34</v>
      </c>
      <c r="Q1102" t="s">
        <v>34</v>
      </c>
      <c r="R1102" t="s">
        <v>34</v>
      </c>
      <c r="S1102" t="s">
        <v>34</v>
      </c>
      <c r="T1102" s="117">
        <v>0</v>
      </c>
    </row>
    <row r="1103" spans="1:20" ht="14.5" customHeight="1" x14ac:dyDescent="0.35">
      <c r="A1103" t="s">
        <v>19</v>
      </c>
      <c r="B1103" t="s">
        <v>19</v>
      </c>
      <c r="C1103" s="1">
        <v>45469</v>
      </c>
      <c r="D1103">
        <f t="shared" si="74"/>
        <v>26</v>
      </c>
      <c r="E1103">
        <f t="shared" si="75"/>
        <v>6</v>
      </c>
      <c r="F1103">
        <f t="shared" si="76"/>
        <v>2024</v>
      </c>
      <c r="G1103" t="s">
        <v>56</v>
      </c>
      <c r="H1103" s="98" t="s">
        <v>329</v>
      </c>
      <c r="I1103" s="29">
        <v>179563.78</v>
      </c>
      <c r="J1103" s="12" t="s">
        <v>31</v>
      </c>
      <c r="K1103" s="76">
        <f t="shared" si="73"/>
        <v>179563.78</v>
      </c>
      <c r="L1103">
        <v>1</v>
      </c>
      <c r="M1103" s="29">
        <v>0</v>
      </c>
      <c r="N1103" t="s">
        <v>32</v>
      </c>
      <c r="O1103" t="s">
        <v>33</v>
      </c>
      <c r="P1103" t="s">
        <v>34</v>
      </c>
      <c r="Q1103" t="s">
        <v>34</v>
      </c>
      <c r="R1103" t="s">
        <v>34</v>
      </c>
      <c r="S1103" t="s">
        <v>34</v>
      </c>
      <c r="T1103" s="117">
        <v>0</v>
      </c>
    </row>
    <row r="1104" spans="1:20" ht="14.5" customHeight="1" x14ac:dyDescent="0.35">
      <c r="A1104" t="s">
        <v>19</v>
      </c>
      <c r="B1104" t="s">
        <v>19</v>
      </c>
      <c r="C1104" s="1">
        <v>45469</v>
      </c>
      <c r="D1104">
        <f t="shared" si="74"/>
        <v>26</v>
      </c>
      <c r="E1104">
        <f t="shared" si="75"/>
        <v>6</v>
      </c>
      <c r="F1104">
        <f t="shared" si="76"/>
        <v>2024</v>
      </c>
      <c r="G1104" t="s">
        <v>126</v>
      </c>
      <c r="H1104" s="98" t="s">
        <v>326</v>
      </c>
      <c r="I1104" s="29">
        <v>13385.9</v>
      </c>
      <c r="J1104" s="12" t="s">
        <v>31</v>
      </c>
      <c r="K1104" s="76">
        <f t="shared" si="73"/>
        <v>13385.9</v>
      </c>
      <c r="L1104">
        <v>1</v>
      </c>
      <c r="M1104" s="29">
        <v>0</v>
      </c>
      <c r="N1104" t="s">
        <v>32</v>
      </c>
      <c r="O1104" t="s">
        <v>33</v>
      </c>
      <c r="P1104" t="s">
        <v>34</v>
      </c>
      <c r="Q1104" t="s">
        <v>34</v>
      </c>
      <c r="R1104" t="s">
        <v>34</v>
      </c>
      <c r="S1104" t="s">
        <v>34</v>
      </c>
      <c r="T1104" s="117">
        <v>0</v>
      </c>
    </row>
    <row r="1105" spans="1:21" ht="14.5" customHeight="1" x14ac:dyDescent="0.35">
      <c r="A1105" t="s">
        <v>19</v>
      </c>
      <c r="B1105" t="s">
        <v>19</v>
      </c>
      <c r="C1105" s="1">
        <v>45469</v>
      </c>
      <c r="D1105">
        <f t="shared" si="74"/>
        <v>26</v>
      </c>
      <c r="E1105">
        <f t="shared" si="75"/>
        <v>6</v>
      </c>
      <c r="F1105">
        <f t="shared" si="76"/>
        <v>2024</v>
      </c>
      <c r="G1105" t="s">
        <v>120</v>
      </c>
      <c r="H1105" s="98" t="s">
        <v>327</v>
      </c>
      <c r="I1105" s="29">
        <v>127665.33</v>
      </c>
      <c r="J1105" s="12" t="s">
        <v>31</v>
      </c>
      <c r="K1105" s="76">
        <f t="shared" si="73"/>
        <v>127665.33</v>
      </c>
      <c r="L1105">
        <v>1</v>
      </c>
      <c r="M1105" s="29">
        <v>0</v>
      </c>
      <c r="N1105" t="s">
        <v>32</v>
      </c>
      <c r="O1105" t="s">
        <v>33</v>
      </c>
      <c r="P1105" t="s">
        <v>34</v>
      </c>
      <c r="Q1105" t="s">
        <v>34</v>
      </c>
      <c r="R1105" t="s">
        <v>34</v>
      </c>
      <c r="S1105" t="s">
        <v>34</v>
      </c>
      <c r="T1105" s="117">
        <v>0</v>
      </c>
    </row>
    <row r="1106" spans="1:21" ht="14.5" customHeight="1" x14ac:dyDescent="0.35">
      <c r="A1106" t="s">
        <v>19</v>
      </c>
      <c r="B1106" t="s">
        <v>19</v>
      </c>
      <c r="C1106" s="1">
        <v>45469</v>
      </c>
      <c r="D1106">
        <f t="shared" si="74"/>
        <v>26</v>
      </c>
      <c r="E1106">
        <f t="shared" si="75"/>
        <v>6</v>
      </c>
      <c r="F1106">
        <f t="shared" si="76"/>
        <v>2024</v>
      </c>
      <c r="G1106" t="s">
        <v>183</v>
      </c>
      <c r="H1106" s="98" t="s">
        <v>184</v>
      </c>
      <c r="I1106" s="29">
        <v>33468.339999999997</v>
      </c>
      <c r="J1106" s="12" t="s">
        <v>31</v>
      </c>
      <c r="K1106" s="76">
        <f t="shared" si="73"/>
        <v>33468.339999999997</v>
      </c>
      <c r="L1106">
        <v>1</v>
      </c>
      <c r="M1106" s="29">
        <v>0</v>
      </c>
      <c r="N1106" t="s">
        <v>32</v>
      </c>
      <c r="O1106" t="s">
        <v>33</v>
      </c>
      <c r="P1106" t="s">
        <v>34</v>
      </c>
      <c r="Q1106" t="s">
        <v>34</v>
      </c>
      <c r="R1106" t="s">
        <v>34</v>
      </c>
      <c r="S1106" t="s">
        <v>34</v>
      </c>
      <c r="T1106" s="117">
        <v>0</v>
      </c>
    </row>
    <row r="1107" spans="1:21" ht="14.5" customHeight="1" x14ac:dyDescent="0.35">
      <c r="A1107" t="s">
        <v>19</v>
      </c>
      <c r="B1107" t="s">
        <v>19</v>
      </c>
      <c r="C1107" s="1">
        <v>45469</v>
      </c>
      <c r="D1107">
        <f t="shared" si="74"/>
        <v>26</v>
      </c>
      <c r="E1107">
        <f t="shared" si="75"/>
        <v>6</v>
      </c>
      <c r="F1107">
        <f t="shared" si="76"/>
        <v>2024</v>
      </c>
      <c r="G1107" t="s">
        <v>118</v>
      </c>
      <c r="H1107" s="98" t="s">
        <v>328</v>
      </c>
      <c r="I1107" s="29">
        <v>1795.4</v>
      </c>
      <c r="J1107" s="12" t="s">
        <v>31</v>
      </c>
      <c r="K1107" s="76">
        <f t="shared" si="73"/>
        <v>1795.4</v>
      </c>
      <c r="L1107">
        <v>1</v>
      </c>
      <c r="M1107" s="29">
        <v>0</v>
      </c>
      <c r="N1107" t="s">
        <v>42</v>
      </c>
      <c r="O1107" t="s">
        <v>33</v>
      </c>
      <c r="P1107" t="s">
        <v>34</v>
      </c>
      <c r="Q1107" t="s">
        <v>34</v>
      </c>
      <c r="R1107" t="s">
        <v>34</v>
      </c>
      <c r="S1107" t="s">
        <v>34</v>
      </c>
      <c r="T1107" s="117">
        <v>0</v>
      </c>
    </row>
    <row r="1108" spans="1:21" ht="14.5" customHeight="1" x14ac:dyDescent="0.35">
      <c r="A1108" t="s">
        <v>19</v>
      </c>
      <c r="B1108" t="s">
        <v>19</v>
      </c>
      <c r="C1108" s="1">
        <v>45469</v>
      </c>
      <c r="D1108">
        <f t="shared" si="74"/>
        <v>26</v>
      </c>
      <c r="E1108">
        <f t="shared" si="75"/>
        <v>6</v>
      </c>
      <c r="F1108">
        <f t="shared" si="76"/>
        <v>2024</v>
      </c>
      <c r="G1108" t="s">
        <v>117</v>
      </c>
      <c r="H1108" s="98" t="s">
        <v>330</v>
      </c>
      <c r="I1108" s="29">
        <v>152259.47</v>
      </c>
      <c r="J1108" s="12" t="s">
        <v>31</v>
      </c>
      <c r="K1108" s="76">
        <f t="shared" si="73"/>
        <v>152259.47</v>
      </c>
      <c r="L1108">
        <v>1</v>
      </c>
      <c r="M1108" s="29">
        <v>0</v>
      </c>
      <c r="N1108" t="s">
        <v>32</v>
      </c>
      <c r="O1108" t="s">
        <v>33</v>
      </c>
      <c r="P1108" t="s">
        <v>34</v>
      </c>
      <c r="Q1108" t="s">
        <v>34</v>
      </c>
      <c r="R1108" t="s">
        <v>34</v>
      </c>
      <c r="S1108" t="s">
        <v>34</v>
      </c>
      <c r="T1108" s="117">
        <v>0</v>
      </c>
    </row>
    <row r="1109" spans="1:21" ht="14.5" customHeight="1" x14ac:dyDescent="0.35">
      <c r="A1109" t="s">
        <v>19</v>
      </c>
      <c r="B1109" t="s">
        <v>26</v>
      </c>
      <c r="C1109" s="1">
        <v>45470</v>
      </c>
      <c r="D1109">
        <f t="shared" si="74"/>
        <v>27</v>
      </c>
      <c r="E1109">
        <f t="shared" si="75"/>
        <v>6</v>
      </c>
      <c r="F1109">
        <f t="shared" si="76"/>
        <v>2024</v>
      </c>
      <c r="G1109" t="s">
        <v>73</v>
      </c>
      <c r="H1109" s="98">
        <v>10743</v>
      </c>
      <c r="I1109" s="95">
        <v>422.47</v>
      </c>
      <c r="J1109" s="12" t="s">
        <v>51</v>
      </c>
      <c r="K1109" s="76">
        <f t="shared" si="73"/>
        <v>453.56379200000009</v>
      </c>
      <c r="L1109">
        <v>1.0736000000000001</v>
      </c>
      <c r="M1109" s="29">
        <v>0</v>
      </c>
      <c r="N1109" t="s">
        <v>32</v>
      </c>
      <c r="O1109" t="s">
        <v>33</v>
      </c>
      <c r="P1109" t="s">
        <v>34</v>
      </c>
      <c r="Q1109" t="s">
        <v>34</v>
      </c>
      <c r="R1109" t="s">
        <v>34</v>
      </c>
      <c r="S1109" t="s">
        <v>34</v>
      </c>
      <c r="T1109" s="117">
        <v>0</v>
      </c>
      <c r="U1109" s="209" t="s">
        <v>94</v>
      </c>
    </row>
    <row r="1110" spans="1:21" ht="14.5" customHeight="1" x14ac:dyDescent="0.35">
      <c r="A1110" t="s">
        <v>19</v>
      </c>
      <c r="B1110" t="s">
        <v>26</v>
      </c>
      <c r="C1110" s="1">
        <v>45470</v>
      </c>
      <c r="D1110">
        <f t="shared" si="74"/>
        <v>27</v>
      </c>
      <c r="E1110">
        <f t="shared" si="75"/>
        <v>6</v>
      </c>
      <c r="F1110">
        <f t="shared" si="76"/>
        <v>2024</v>
      </c>
      <c r="G1110" t="s">
        <v>73</v>
      </c>
      <c r="H1110" s="98">
        <v>10759</v>
      </c>
      <c r="I1110" s="95">
        <v>101716.58</v>
      </c>
      <c r="J1110" s="12" t="s">
        <v>51</v>
      </c>
      <c r="K1110" s="76">
        <f t="shared" si="73"/>
        <v>109202.92028800001</v>
      </c>
      <c r="L1110">
        <v>1.0736000000000001</v>
      </c>
      <c r="M1110" s="29">
        <v>0</v>
      </c>
      <c r="N1110" t="s">
        <v>32</v>
      </c>
      <c r="O1110" t="s">
        <v>33</v>
      </c>
      <c r="P1110" t="s">
        <v>34</v>
      </c>
      <c r="Q1110" t="s">
        <v>34</v>
      </c>
      <c r="R1110" t="s">
        <v>34</v>
      </c>
      <c r="S1110" t="s">
        <v>34</v>
      </c>
      <c r="T1110" s="117">
        <v>0</v>
      </c>
      <c r="U1110" s="209" t="s">
        <v>94</v>
      </c>
    </row>
    <row r="1111" spans="1:21" ht="14.5" customHeight="1" x14ac:dyDescent="0.35">
      <c r="A1111" t="s">
        <v>19</v>
      </c>
      <c r="B1111" t="s">
        <v>26</v>
      </c>
      <c r="C1111" s="1">
        <v>45470</v>
      </c>
      <c r="D1111">
        <f t="shared" si="74"/>
        <v>27</v>
      </c>
      <c r="E1111">
        <f t="shared" si="75"/>
        <v>6</v>
      </c>
      <c r="F1111">
        <f t="shared" si="76"/>
        <v>2024</v>
      </c>
      <c r="G1111" t="s">
        <v>73</v>
      </c>
      <c r="H1111" s="98">
        <v>10785</v>
      </c>
      <c r="I1111" s="15">
        <v>107624.36</v>
      </c>
      <c r="J1111" s="12" t="s">
        <v>51</v>
      </c>
      <c r="K1111" s="76">
        <f t="shared" ref="K1111:K1167" si="77">IF(J1111="USD",I1111,I1111*L1111)</f>
        <v>115545.51289600001</v>
      </c>
      <c r="L1111">
        <v>1.0736000000000001</v>
      </c>
      <c r="M1111" s="29">
        <v>0</v>
      </c>
      <c r="N1111" t="s">
        <v>32</v>
      </c>
      <c r="O1111" t="s">
        <v>33</v>
      </c>
      <c r="P1111" t="s">
        <v>34</v>
      </c>
      <c r="Q1111" t="s">
        <v>34</v>
      </c>
      <c r="R1111" t="s">
        <v>34</v>
      </c>
      <c r="S1111" t="s">
        <v>34</v>
      </c>
      <c r="T1111" s="117">
        <v>0</v>
      </c>
      <c r="U1111" s="209" t="s">
        <v>94</v>
      </c>
    </row>
    <row r="1112" spans="1:21" ht="14.5" customHeight="1" x14ac:dyDescent="0.35">
      <c r="A1112" t="s">
        <v>19</v>
      </c>
      <c r="B1112" t="s">
        <v>26</v>
      </c>
      <c r="C1112" s="1">
        <v>45470</v>
      </c>
      <c r="D1112">
        <f t="shared" si="74"/>
        <v>27</v>
      </c>
      <c r="E1112">
        <f t="shared" si="75"/>
        <v>6</v>
      </c>
      <c r="F1112">
        <f t="shared" si="76"/>
        <v>2024</v>
      </c>
      <c r="G1112" t="s">
        <v>73</v>
      </c>
      <c r="H1112" s="98" t="s">
        <v>343</v>
      </c>
      <c r="I1112" s="15">
        <v>3621.96</v>
      </c>
      <c r="J1112" s="12" t="s">
        <v>51</v>
      </c>
      <c r="K1112" s="76">
        <f t="shared" si="77"/>
        <v>3888.5362560000003</v>
      </c>
      <c r="L1112">
        <v>1.0736000000000001</v>
      </c>
      <c r="M1112" s="29">
        <v>0</v>
      </c>
      <c r="N1112" t="s">
        <v>32</v>
      </c>
      <c r="O1112" t="s">
        <v>33</v>
      </c>
      <c r="P1112" t="s">
        <v>34</v>
      </c>
      <c r="Q1112" t="s">
        <v>34</v>
      </c>
      <c r="R1112" t="s">
        <v>34</v>
      </c>
      <c r="S1112" t="s">
        <v>34</v>
      </c>
      <c r="T1112" s="117">
        <v>0</v>
      </c>
      <c r="U1112" s="209" t="s">
        <v>94</v>
      </c>
    </row>
    <row r="1113" spans="1:21" ht="14.5" customHeight="1" x14ac:dyDescent="0.35">
      <c r="A1113" t="s">
        <v>19</v>
      </c>
      <c r="B1113" t="s">
        <v>26</v>
      </c>
      <c r="C1113" s="1">
        <v>45470</v>
      </c>
      <c r="D1113">
        <f t="shared" si="74"/>
        <v>27</v>
      </c>
      <c r="E1113">
        <f t="shared" si="75"/>
        <v>6</v>
      </c>
      <c r="F1113">
        <f t="shared" si="76"/>
        <v>2024</v>
      </c>
      <c r="G1113" t="s">
        <v>73</v>
      </c>
      <c r="H1113" s="98">
        <v>10811</v>
      </c>
      <c r="I1113" s="15">
        <v>77544.800000000003</v>
      </c>
      <c r="J1113" s="12" t="s">
        <v>51</v>
      </c>
      <c r="K1113" s="76">
        <f t="shared" si="77"/>
        <v>83252.097280000016</v>
      </c>
      <c r="L1113">
        <v>1.0736000000000001</v>
      </c>
      <c r="M1113" s="29">
        <v>0</v>
      </c>
      <c r="N1113" t="s">
        <v>32</v>
      </c>
      <c r="O1113" t="s">
        <v>33</v>
      </c>
      <c r="P1113" t="s">
        <v>34</v>
      </c>
      <c r="Q1113" t="s">
        <v>34</v>
      </c>
      <c r="R1113" t="s">
        <v>34</v>
      </c>
      <c r="S1113" t="s">
        <v>34</v>
      </c>
      <c r="T1113" s="117">
        <v>0</v>
      </c>
      <c r="U1113" s="209" t="s">
        <v>94</v>
      </c>
    </row>
    <row r="1114" spans="1:21" x14ac:dyDescent="0.35">
      <c r="A1114" t="s">
        <v>19</v>
      </c>
      <c r="B1114" t="s">
        <v>23</v>
      </c>
      <c r="C1114" s="1">
        <v>45476</v>
      </c>
      <c r="D1114">
        <f t="shared" si="74"/>
        <v>3</v>
      </c>
      <c r="E1114">
        <f t="shared" si="75"/>
        <v>7</v>
      </c>
      <c r="F1114">
        <f t="shared" si="76"/>
        <v>2024</v>
      </c>
      <c r="G1114" t="s">
        <v>77</v>
      </c>
      <c r="H1114" s="98">
        <v>10753</v>
      </c>
      <c r="I1114" s="29">
        <v>6874.7</v>
      </c>
      <c r="J1114" s="12" t="s">
        <v>31</v>
      </c>
      <c r="K1114" s="76">
        <f t="shared" si="77"/>
        <v>6874.7</v>
      </c>
      <c r="L1114">
        <v>1</v>
      </c>
      <c r="M1114" s="29">
        <v>0</v>
      </c>
      <c r="N1114" t="s">
        <v>32</v>
      </c>
      <c r="O1114" t="s">
        <v>33</v>
      </c>
      <c r="P1114" t="s">
        <v>34</v>
      </c>
      <c r="Q1114" t="s">
        <v>34</v>
      </c>
      <c r="R1114" t="s">
        <v>34</v>
      </c>
      <c r="S1114" t="s">
        <v>34</v>
      </c>
      <c r="T1114" s="117">
        <v>0</v>
      </c>
    </row>
    <row r="1115" spans="1:21" x14ac:dyDescent="0.35">
      <c r="A1115" t="s">
        <v>19</v>
      </c>
      <c r="B1115" t="s">
        <v>21</v>
      </c>
      <c r="C1115" s="1">
        <v>45476</v>
      </c>
      <c r="D1115">
        <f t="shared" si="74"/>
        <v>3</v>
      </c>
      <c r="E1115">
        <f t="shared" si="75"/>
        <v>7</v>
      </c>
      <c r="F1115">
        <f t="shared" si="76"/>
        <v>2024</v>
      </c>
      <c r="G1115" t="s">
        <v>40</v>
      </c>
      <c r="H1115" s="98">
        <v>10303</v>
      </c>
      <c r="I1115" s="29">
        <v>137.4</v>
      </c>
      <c r="J1115" s="12" t="s">
        <v>31</v>
      </c>
      <c r="K1115" s="76">
        <f t="shared" si="77"/>
        <v>137.4</v>
      </c>
      <c r="L1115">
        <v>1</v>
      </c>
      <c r="M1115" s="29">
        <v>0</v>
      </c>
      <c r="N1115" t="s">
        <v>32</v>
      </c>
      <c r="O1115" t="s">
        <v>33</v>
      </c>
      <c r="P1115" t="s">
        <v>34</v>
      </c>
      <c r="Q1115" t="s">
        <v>34</v>
      </c>
      <c r="R1115" t="s">
        <v>34</v>
      </c>
      <c r="S1115" t="s">
        <v>34</v>
      </c>
      <c r="T1115" s="117">
        <v>0</v>
      </c>
    </row>
    <row r="1116" spans="1:21" x14ac:dyDescent="0.35">
      <c r="A1116" t="s">
        <v>19</v>
      </c>
      <c r="B1116" t="s">
        <v>21</v>
      </c>
      <c r="C1116" s="1">
        <v>45476</v>
      </c>
      <c r="D1116">
        <f t="shared" si="74"/>
        <v>3</v>
      </c>
      <c r="E1116">
        <f t="shared" si="75"/>
        <v>7</v>
      </c>
      <c r="F1116">
        <f t="shared" si="76"/>
        <v>2024</v>
      </c>
      <c r="G1116" t="s">
        <v>40</v>
      </c>
      <c r="H1116" s="98">
        <v>10480</v>
      </c>
      <c r="I1116" s="29">
        <v>34</v>
      </c>
      <c r="J1116" s="12" t="s">
        <v>31</v>
      </c>
      <c r="K1116" s="76">
        <f t="shared" si="77"/>
        <v>34</v>
      </c>
      <c r="L1116">
        <v>1</v>
      </c>
      <c r="M1116" s="29">
        <v>0</v>
      </c>
      <c r="N1116" t="s">
        <v>32</v>
      </c>
      <c r="O1116" t="s">
        <v>33</v>
      </c>
      <c r="P1116" t="s">
        <v>34</v>
      </c>
      <c r="Q1116" t="s">
        <v>34</v>
      </c>
      <c r="R1116" t="s">
        <v>34</v>
      </c>
      <c r="S1116" t="s">
        <v>34</v>
      </c>
      <c r="T1116" s="117">
        <v>0</v>
      </c>
    </row>
    <row r="1117" spans="1:21" x14ac:dyDescent="0.35">
      <c r="A1117" t="s">
        <v>19</v>
      </c>
      <c r="B1117" t="s">
        <v>25</v>
      </c>
      <c r="C1117" s="1">
        <v>45476</v>
      </c>
      <c r="D1117">
        <f t="shared" si="74"/>
        <v>3</v>
      </c>
      <c r="E1117">
        <f t="shared" si="75"/>
        <v>7</v>
      </c>
      <c r="F1117">
        <f t="shared" si="76"/>
        <v>2024</v>
      </c>
      <c r="G1117" t="s">
        <v>36</v>
      </c>
      <c r="H1117" s="98">
        <v>10256</v>
      </c>
      <c r="I1117" s="29">
        <v>57294.14</v>
      </c>
      <c r="J1117" s="12" t="s">
        <v>31</v>
      </c>
      <c r="K1117" s="76">
        <f t="shared" si="77"/>
        <v>57294.14</v>
      </c>
      <c r="L1117">
        <v>1</v>
      </c>
      <c r="M1117" s="29">
        <v>0</v>
      </c>
      <c r="N1117" t="s">
        <v>32</v>
      </c>
      <c r="O1117" t="s">
        <v>33</v>
      </c>
      <c r="P1117" t="s">
        <v>34</v>
      </c>
      <c r="Q1117" t="s">
        <v>34</v>
      </c>
      <c r="R1117" t="s">
        <v>34</v>
      </c>
      <c r="S1117" t="s">
        <v>34</v>
      </c>
      <c r="T1117" s="117">
        <v>0</v>
      </c>
    </row>
    <row r="1118" spans="1:21" x14ac:dyDescent="0.35">
      <c r="A1118" t="s">
        <v>19</v>
      </c>
      <c r="B1118" t="s">
        <v>21</v>
      </c>
      <c r="C1118" s="1">
        <v>45476</v>
      </c>
      <c r="D1118">
        <f t="shared" si="74"/>
        <v>3</v>
      </c>
      <c r="E1118">
        <f t="shared" si="75"/>
        <v>7</v>
      </c>
      <c r="F1118">
        <f t="shared" si="76"/>
        <v>2024</v>
      </c>
      <c r="G1118" t="s">
        <v>36</v>
      </c>
      <c r="H1118" s="98">
        <v>10256</v>
      </c>
      <c r="I1118" s="29">
        <v>26961.95</v>
      </c>
      <c r="J1118" s="12" t="s">
        <v>31</v>
      </c>
      <c r="K1118" s="76">
        <f t="shared" si="77"/>
        <v>26961.95</v>
      </c>
      <c r="L1118">
        <v>1</v>
      </c>
      <c r="M1118" s="29">
        <v>0</v>
      </c>
      <c r="N1118" t="s">
        <v>32</v>
      </c>
      <c r="O1118" t="s">
        <v>33</v>
      </c>
      <c r="P1118" t="s">
        <v>34</v>
      </c>
      <c r="Q1118" t="s">
        <v>34</v>
      </c>
      <c r="R1118" t="s">
        <v>34</v>
      </c>
      <c r="S1118" t="s">
        <v>34</v>
      </c>
      <c r="T1118" s="117">
        <v>0</v>
      </c>
    </row>
    <row r="1119" spans="1:21" x14ac:dyDescent="0.35">
      <c r="A1119" t="s">
        <v>19</v>
      </c>
      <c r="B1119" t="s">
        <v>25</v>
      </c>
      <c r="C1119" s="1">
        <v>45476</v>
      </c>
      <c r="D1119">
        <f t="shared" si="74"/>
        <v>3</v>
      </c>
      <c r="E1119">
        <f t="shared" si="75"/>
        <v>7</v>
      </c>
      <c r="F1119">
        <f t="shared" si="76"/>
        <v>2024</v>
      </c>
      <c r="G1119" t="s">
        <v>39</v>
      </c>
      <c r="H1119" s="98">
        <v>10247</v>
      </c>
      <c r="I1119" s="29">
        <v>171.3</v>
      </c>
      <c r="J1119" s="12" t="s">
        <v>31</v>
      </c>
      <c r="K1119" s="76">
        <f t="shared" si="77"/>
        <v>171.3</v>
      </c>
      <c r="L1119">
        <v>1</v>
      </c>
      <c r="M1119" s="29">
        <v>0</v>
      </c>
      <c r="N1119" t="s">
        <v>32</v>
      </c>
      <c r="O1119" t="s">
        <v>33</v>
      </c>
      <c r="P1119" t="s">
        <v>34</v>
      </c>
      <c r="Q1119" t="s">
        <v>34</v>
      </c>
      <c r="R1119" t="s">
        <v>34</v>
      </c>
      <c r="S1119" t="s">
        <v>34</v>
      </c>
      <c r="T1119" s="117">
        <v>0</v>
      </c>
    </row>
    <row r="1120" spans="1:21" x14ac:dyDescent="0.35">
      <c r="A1120" t="s">
        <v>19</v>
      </c>
      <c r="B1120" t="s">
        <v>25</v>
      </c>
      <c r="C1120" s="1">
        <v>45476</v>
      </c>
      <c r="D1120">
        <f t="shared" si="74"/>
        <v>3</v>
      </c>
      <c r="E1120">
        <f t="shared" si="75"/>
        <v>7</v>
      </c>
      <c r="F1120">
        <f t="shared" si="76"/>
        <v>2024</v>
      </c>
      <c r="G1120" t="s">
        <v>39</v>
      </c>
      <c r="H1120" s="98">
        <v>10253</v>
      </c>
      <c r="I1120" s="29">
        <v>17369.900000000001</v>
      </c>
      <c r="J1120" s="12" t="s">
        <v>31</v>
      </c>
      <c r="K1120" s="76">
        <f t="shared" si="77"/>
        <v>17369.900000000001</v>
      </c>
      <c r="L1120">
        <v>1</v>
      </c>
      <c r="M1120" s="29">
        <v>0</v>
      </c>
      <c r="N1120" t="s">
        <v>32</v>
      </c>
      <c r="O1120" t="s">
        <v>33</v>
      </c>
      <c r="P1120" t="s">
        <v>34</v>
      </c>
      <c r="Q1120" t="s">
        <v>34</v>
      </c>
      <c r="R1120" t="s">
        <v>34</v>
      </c>
      <c r="S1120" t="s">
        <v>34</v>
      </c>
      <c r="T1120" s="117">
        <v>0</v>
      </c>
    </row>
    <row r="1121" spans="1:20" x14ac:dyDescent="0.35">
      <c r="A1121" t="s">
        <v>19</v>
      </c>
      <c r="B1121" t="s">
        <v>21</v>
      </c>
      <c r="C1121" s="1">
        <v>45476</v>
      </c>
      <c r="D1121">
        <f t="shared" si="74"/>
        <v>3</v>
      </c>
      <c r="E1121">
        <f t="shared" si="75"/>
        <v>7</v>
      </c>
      <c r="F1121">
        <f t="shared" si="76"/>
        <v>2024</v>
      </c>
      <c r="G1121" t="s">
        <v>39</v>
      </c>
      <c r="H1121" s="98">
        <v>10432</v>
      </c>
      <c r="I1121" s="29">
        <v>78</v>
      </c>
      <c r="J1121" s="12" t="s">
        <v>31</v>
      </c>
      <c r="K1121" s="76">
        <f t="shared" si="77"/>
        <v>78</v>
      </c>
      <c r="L1121">
        <v>1</v>
      </c>
      <c r="M1121" s="29">
        <v>0</v>
      </c>
      <c r="N1121" t="s">
        <v>32</v>
      </c>
      <c r="O1121" t="s">
        <v>33</v>
      </c>
      <c r="P1121" t="s">
        <v>34</v>
      </c>
      <c r="Q1121" t="s">
        <v>34</v>
      </c>
      <c r="R1121" t="s">
        <v>34</v>
      </c>
      <c r="S1121" t="s">
        <v>34</v>
      </c>
      <c r="T1121" s="117">
        <v>0</v>
      </c>
    </row>
    <row r="1122" spans="1:20" x14ac:dyDescent="0.35">
      <c r="A1122" t="s">
        <v>19</v>
      </c>
      <c r="B1122" t="s">
        <v>24</v>
      </c>
      <c r="C1122" s="1">
        <v>45476</v>
      </c>
      <c r="D1122">
        <f t="shared" si="74"/>
        <v>3</v>
      </c>
      <c r="E1122">
        <f t="shared" si="75"/>
        <v>7</v>
      </c>
      <c r="F1122">
        <f t="shared" si="76"/>
        <v>2024</v>
      </c>
      <c r="G1122" t="s">
        <v>39</v>
      </c>
      <c r="H1122" s="98">
        <v>10503</v>
      </c>
      <c r="I1122" s="29">
        <v>44</v>
      </c>
      <c r="J1122" s="12" t="s">
        <v>31</v>
      </c>
      <c r="K1122" s="76">
        <f t="shared" si="77"/>
        <v>44</v>
      </c>
      <c r="L1122">
        <v>1</v>
      </c>
      <c r="M1122" s="29">
        <v>0</v>
      </c>
      <c r="N1122" t="s">
        <v>32</v>
      </c>
      <c r="O1122" t="s">
        <v>33</v>
      </c>
      <c r="P1122" t="s">
        <v>34</v>
      </c>
      <c r="Q1122" t="s">
        <v>34</v>
      </c>
      <c r="R1122" t="s">
        <v>34</v>
      </c>
      <c r="S1122" t="s">
        <v>34</v>
      </c>
      <c r="T1122" s="117">
        <v>0</v>
      </c>
    </row>
    <row r="1123" spans="1:20" x14ac:dyDescent="0.35">
      <c r="A1123" t="s">
        <v>19</v>
      </c>
      <c r="B1123" t="s">
        <v>25</v>
      </c>
      <c r="C1123" s="1">
        <v>45476</v>
      </c>
      <c r="D1123">
        <f t="shared" si="74"/>
        <v>3</v>
      </c>
      <c r="E1123">
        <f t="shared" si="75"/>
        <v>7</v>
      </c>
      <c r="F1123">
        <f t="shared" si="76"/>
        <v>2024</v>
      </c>
      <c r="G1123" t="s">
        <v>80</v>
      </c>
      <c r="H1123" s="98">
        <v>10430</v>
      </c>
      <c r="I1123" s="29">
        <v>28905</v>
      </c>
      <c r="J1123" s="12" t="s">
        <v>31</v>
      </c>
      <c r="K1123" s="76">
        <f t="shared" si="77"/>
        <v>28905</v>
      </c>
      <c r="L1123">
        <v>1</v>
      </c>
      <c r="M1123" s="29">
        <v>0</v>
      </c>
      <c r="N1123" t="s">
        <v>32</v>
      </c>
      <c r="O1123" t="s">
        <v>33</v>
      </c>
      <c r="P1123" t="s">
        <v>34</v>
      </c>
      <c r="Q1123" t="s">
        <v>34</v>
      </c>
      <c r="R1123" t="s">
        <v>34</v>
      </c>
      <c r="S1123" t="s">
        <v>34</v>
      </c>
      <c r="T1123" s="117">
        <v>0</v>
      </c>
    </row>
    <row r="1124" spans="1:20" x14ac:dyDescent="0.35">
      <c r="A1124" t="s">
        <v>19</v>
      </c>
      <c r="B1124" t="s">
        <v>21</v>
      </c>
      <c r="C1124" s="1">
        <v>45476</v>
      </c>
      <c r="D1124">
        <f t="shared" si="74"/>
        <v>3</v>
      </c>
      <c r="E1124">
        <f t="shared" si="75"/>
        <v>7</v>
      </c>
      <c r="F1124">
        <f t="shared" si="76"/>
        <v>2024</v>
      </c>
      <c r="G1124" t="s">
        <v>35</v>
      </c>
      <c r="H1124" s="98">
        <v>9682</v>
      </c>
      <c r="I1124" s="29">
        <v>13225.5</v>
      </c>
      <c r="J1124" s="12" t="s">
        <v>31</v>
      </c>
      <c r="K1124" s="76">
        <f t="shared" si="77"/>
        <v>13225.5</v>
      </c>
      <c r="L1124">
        <v>1</v>
      </c>
      <c r="M1124" s="29">
        <v>0</v>
      </c>
      <c r="N1124" t="s">
        <v>32</v>
      </c>
      <c r="O1124" t="s">
        <v>33</v>
      </c>
      <c r="P1124" t="s">
        <v>34</v>
      </c>
      <c r="Q1124" t="s">
        <v>34</v>
      </c>
      <c r="R1124" t="s">
        <v>34</v>
      </c>
      <c r="S1124" t="s">
        <v>34</v>
      </c>
      <c r="T1124" s="117">
        <v>0</v>
      </c>
    </row>
    <row r="1125" spans="1:20" x14ac:dyDescent="0.35">
      <c r="A1125" t="s">
        <v>19</v>
      </c>
      <c r="B1125" t="s">
        <v>21</v>
      </c>
      <c r="C1125" s="1">
        <v>45476</v>
      </c>
      <c r="D1125">
        <f t="shared" si="74"/>
        <v>3</v>
      </c>
      <c r="E1125">
        <f t="shared" si="75"/>
        <v>7</v>
      </c>
      <c r="F1125">
        <f t="shared" si="76"/>
        <v>2024</v>
      </c>
      <c r="G1125" t="s">
        <v>92</v>
      </c>
      <c r="H1125" s="98">
        <v>10289</v>
      </c>
      <c r="I1125" s="29">
        <v>69.38</v>
      </c>
      <c r="J1125" s="12" t="s">
        <v>31</v>
      </c>
      <c r="K1125" s="76">
        <f t="shared" si="77"/>
        <v>69.38</v>
      </c>
      <c r="L1125">
        <v>1</v>
      </c>
      <c r="M1125" s="29">
        <v>0</v>
      </c>
      <c r="N1125" t="s">
        <v>32</v>
      </c>
      <c r="O1125" t="s">
        <v>33</v>
      </c>
      <c r="P1125" t="s">
        <v>34</v>
      </c>
      <c r="Q1125" t="s">
        <v>34</v>
      </c>
      <c r="R1125" t="s">
        <v>34</v>
      </c>
      <c r="S1125" t="s">
        <v>34</v>
      </c>
      <c r="T1125" s="117">
        <v>0</v>
      </c>
    </row>
    <row r="1126" spans="1:20" x14ac:dyDescent="0.35">
      <c r="A1126" t="s">
        <v>19</v>
      </c>
      <c r="B1126" t="s">
        <v>21</v>
      </c>
      <c r="C1126" s="1">
        <v>45476</v>
      </c>
      <c r="D1126">
        <f t="shared" si="74"/>
        <v>3</v>
      </c>
      <c r="E1126">
        <f t="shared" si="75"/>
        <v>7</v>
      </c>
      <c r="F1126">
        <f t="shared" si="76"/>
        <v>2024</v>
      </c>
      <c r="G1126" t="s">
        <v>92</v>
      </c>
      <c r="H1126" s="98">
        <v>10499</v>
      </c>
      <c r="I1126" s="29">
        <v>30.1</v>
      </c>
      <c r="J1126" s="12" t="s">
        <v>31</v>
      </c>
      <c r="K1126" s="76">
        <f t="shared" si="77"/>
        <v>30.1</v>
      </c>
      <c r="L1126">
        <v>1</v>
      </c>
      <c r="M1126" s="29">
        <v>0</v>
      </c>
      <c r="N1126" t="s">
        <v>32</v>
      </c>
      <c r="O1126" t="s">
        <v>33</v>
      </c>
      <c r="P1126" t="s">
        <v>34</v>
      </c>
      <c r="Q1126" t="s">
        <v>34</v>
      </c>
      <c r="R1126" t="s">
        <v>34</v>
      </c>
      <c r="S1126" t="s">
        <v>34</v>
      </c>
      <c r="T1126" s="117">
        <v>0</v>
      </c>
    </row>
    <row r="1127" spans="1:20" x14ac:dyDescent="0.35">
      <c r="A1127" t="s">
        <v>19</v>
      </c>
      <c r="B1127" t="s">
        <v>23</v>
      </c>
      <c r="C1127" s="1">
        <v>45476</v>
      </c>
      <c r="D1127">
        <f t="shared" si="74"/>
        <v>3</v>
      </c>
      <c r="E1127">
        <f t="shared" si="75"/>
        <v>7</v>
      </c>
      <c r="F1127">
        <f t="shared" si="76"/>
        <v>2024</v>
      </c>
      <c r="G1127" t="s">
        <v>333</v>
      </c>
      <c r="H1127" s="171">
        <v>10341</v>
      </c>
      <c r="I1127" s="29">
        <v>5281.2</v>
      </c>
      <c r="J1127" s="12" t="s">
        <v>31</v>
      </c>
      <c r="K1127" s="76">
        <f t="shared" si="77"/>
        <v>5281.2</v>
      </c>
      <c r="L1127">
        <v>1</v>
      </c>
      <c r="M1127" s="29">
        <v>0</v>
      </c>
      <c r="N1127" t="s">
        <v>42</v>
      </c>
      <c r="O1127" t="s">
        <v>33</v>
      </c>
      <c r="P1127" t="s">
        <v>34</v>
      </c>
      <c r="Q1127" t="s">
        <v>34</v>
      </c>
      <c r="R1127" t="s">
        <v>34</v>
      </c>
      <c r="S1127" t="s">
        <v>34</v>
      </c>
      <c r="T1127" s="117">
        <v>0</v>
      </c>
    </row>
    <row r="1128" spans="1:20" x14ac:dyDescent="0.35">
      <c r="A1128" t="s">
        <v>19</v>
      </c>
      <c r="B1128" t="s">
        <v>27</v>
      </c>
      <c r="C1128" s="1">
        <v>45476</v>
      </c>
      <c r="D1128">
        <f t="shared" si="74"/>
        <v>3</v>
      </c>
      <c r="E1128">
        <f t="shared" si="75"/>
        <v>7</v>
      </c>
      <c r="F1128">
        <f t="shared" si="76"/>
        <v>2024</v>
      </c>
      <c r="G1128" t="s">
        <v>100</v>
      </c>
      <c r="H1128" s="98">
        <v>10590</v>
      </c>
      <c r="I1128" s="29">
        <v>240000</v>
      </c>
      <c r="J1128" s="12" t="s">
        <v>31</v>
      </c>
      <c r="K1128" s="76">
        <f t="shared" si="77"/>
        <v>240000</v>
      </c>
      <c r="L1128">
        <v>1</v>
      </c>
      <c r="M1128" s="29">
        <v>0</v>
      </c>
      <c r="N1128" t="s">
        <v>32</v>
      </c>
      <c r="O1128" t="s">
        <v>33</v>
      </c>
      <c r="P1128" t="s">
        <v>34</v>
      </c>
      <c r="Q1128" t="s">
        <v>34</v>
      </c>
      <c r="R1128" t="s">
        <v>34</v>
      </c>
      <c r="S1128" t="s">
        <v>34</v>
      </c>
      <c r="T1128" s="117">
        <v>0</v>
      </c>
    </row>
    <row r="1129" spans="1:20" x14ac:dyDescent="0.35">
      <c r="A1129" t="s">
        <v>19</v>
      </c>
      <c r="B1129" t="s">
        <v>27</v>
      </c>
      <c r="C1129" s="1">
        <v>45476</v>
      </c>
      <c r="D1129">
        <f t="shared" si="74"/>
        <v>3</v>
      </c>
      <c r="E1129">
        <f t="shared" si="75"/>
        <v>7</v>
      </c>
      <c r="F1129">
        <f t="shared" si="76"/>
        <v>2024</v>
      </c>
      <c r="G1129" t="s">
        <v>100</v>
      </c>
      <c r="H1129" s="98">
        <v>10276</v>
      </c>
      <c r="I1129" s="29">
        <v>250000</v>
      </c>
      <c r="J1129" s="12" t="s">
        <v>31</v>
      </c>
      <c r="K1129" s="76">
        <f t="shared" si="77"/>
        <v>250000</v>
      </c>
      <c r="L1129">
        <v>1</v>
      </c>
      <c r="M1129" s="29">
        <v>0</v>
      </c>
      <c r="N1129" t="s">
        <v>32</v>
      </c>
      <c r="O1129" t="s">
        <v>33</v>
      </c>
      <c r="P1129" t="s">
        <v>34</v>
      </c>
      <c r="Q1129" t="s">
        <v>34</v>
      </c>
      <c r="R1129" t="s">
        <v>34</v>
      </c>
      <c r="S1129" t="s">
        <v>34</v>
      </c>
      <c r="T1129" s="117">
        <v>0</v>
      </c>
    </row>
    <row r="1130" spans="1:20" x14ac:dyDescent="0.35">
      <c r="A1130" t="s">
        <v>20</v>
      </c>
      <c r="B1130" t="s">
        <v>23</v>
      </c>
      <c r="C1130" s="1">
        <v>45476</v>
      </c>
      <c r="D1130">
        <f t="shared" si="74"/>
        <v>3</v>
      </c>
      <c r="E1130">
        <f t="shared" si="75"/>
        <v>7</v>
      </c>
      <c r="F1130">
        <f t="shared" si="76"/>
        <v>2024</v>
      </c>
      <c r="G1130" t="s">
        <v>97</v>
      </c>
      <c r="H1130" s="98">
        <v>10702</v>
      </c>
      <c r="I1130" s="29">
        <v>30869.21</v>
      </c>
      <c r="J1130" s="12" t="s">
        <v>31</v>
      </c>
      <c r="K1130" s="76">
        <f t="shared" si="77"/>
        <v>30869.21</v>
      </c>
      <c r="L1130">
        <v>1</v>
      </c>
      <c r="M1130" s="29">
        <v>954.72</v>
      </c>
      <c r="N1130" t="s">
        <v>32</v>
      </c>
      <c r="O1130" t="s">
        <v>33</v>
      </c>
      <c r="P1130" t="s">
        <v>34</v>
      </c>
      <c r="Q1130" t="s">
        <v>34</v>
      </c>
      <c r="R1130" t="s">
        <v>34</v>
      </c>
      <c r="S1130" t="s">
        <v>34</v>
      </c>
      <c r="T1130" s="117">
        <v>0</v>
      </c>
    </row>
    <row r="1131" spans="1:20" x14ac:dyDescent="0.35">
      <c r="A1131" t="s">
        <v>20</v>
      </c>
      <c r="B1131" t="s">
        <v>25</v>
      </c>
      <c r="C1131" s="1">
        <v>45476</v>
      </c>
      <c r="D1131">
        <f t="shared" si="74"/>
        <v>3</v>
      </c>
      <c r="E1131">
        <f t="shared" si="75"/>
        <v>7</v>
      </c>
      <c r="F1131">
        <f t="shared" si="76"/>
        <v>2024</v>
      </c>
      <c r="G1131" t="s">
        <v>81</v>
      </c>
      <c r="H1131" s="98">
        <v>10814</v>
      </c>
      <c r="I1131" s="29">
        <v>870</v>
      </c>
      <c r="J1131" s="12" t="s">
        <v>31</v>
      </c>
      <c r="K1131" s="76">
        <f t="shared" si="77"/>
        <v>870</v>
      </c>
      <c r="L1131">
        <v>1</v>
      </c>
      <c r="M1131" s="29">
        <v>0</v>
      </c>
      <c r="N1131" t="s">
        <v>42</v>
      </c>
      <c r="O1131" t="s">
        <v>33</v>
      </c>
      <c r="P1131" t="s">
        <v>34</v>
      </c>
      <c r="Q1131" t="s">
        <v>34</v>
      </c>
      <c r="R1131" t="s">
        <v>34</v>
      </c>
      <c r="S1131" t="s">
        <v>34</v>
      </c>
      <c r="T1131" s="117">
        <v>0</v>
      </c>
    </row>
    <row r="1132" spans="1:20" x14ac:dyDescent="0.35">
      <c r="A1132" t="s">
        <v>20</v>
      </c>
      <c r="B1132" t="s">
        <v>25</v>
      </c>
      <c r="C1132" s="1">
        <v>45476</v>
      </c>
      <c r="D1132">
        <f t="shared" si="74"/>
        <v>3</v>
      </c>
      <c r="E1132">
        <f t="shared" si="75"/>
        <v>7</v>
      </c>
      <c r="F1132">
        <f t="shared" si="76"/>
        <v>2024</v>
      </c>
      <c r="G1132" t="s">
        <v>211</v>
      </c>
      <c r="H1132" s="98">
        <v>10657</v>
      </c>
      <c r="I1132" s="29">
        <v>22.5</v>
      </c>
      <c r="J1132" s="12" t="s">
        <v>31</v>
      </c>
      <c r="K1132" s="76">
        <f t="shared" si="77"/>
        <v>22.5</v>
      </c>
      <c r="L1132">
        <v>1</v>
      </c>
      <c r="M1132" s="29">
        <v>0</v>
      </c>
      <c r="N1132" t="s">
        <v>42</v>
      </c>
      <c r="O1132" t="s">
        <v>33</v>
      </c>
      <c r="P1132" t="s">
        <v>34</v>
      </c>
      <c r="Q1132" t="s">
        <v>34</v>
      </c>
      <c r="R1132" t="s">
        <v>34</v>
      </c>
      <c r="S1132" t="s">
        <v>34</v>
      </c>
      <c r="T1132" s="117">
        <v>0</v>
      </c>
    </row>
    <row r="1133" spans="1:20" x14ac:dyDescent="0.35">
      <c r="A1133" t="s">
        <v>20</v>
      </c>
      <c r="B1133" t="s">
        <v>25</v>
      </c>
      <c r="C1133" s="1">
        <v>45476</v>
      </c>
      <c r="D1133">
        <f t="shared" si="74"/>
        <v>3</v>
      </c>
      <c r="E1133">
        <f t="shared" si="75"/>
        <v>7</v>
      </c>
      <c r="F1133">
        <f t="shared" si="76"/>
        <v>2024</v>
      </c>
      <c r="G1133" t="s">
        <v>211</v>
      </c>
      <c r="H1133" s="98">
        <v>10658</v>
      </c>
      <c r="I1133" s="29">
        <v>25860.6</v>
      </c>
      <c r="J1133" s="12" t="s">
        <v>31</v>
      </c>
      <c r="K1133" s="76">
        <f t="shared" si="77"/>
        <v>25860.6</v>
      </c>
      <c r="L1133">
        <v>1</v>
      </c>
      <c r="M1133" s="29">
        <v>0</v>
      </c>
      <c r="N1133" t="s">
        <v>42</v>
      </c>
      <c r="O1133" t="s">
        <v>33</v>
      </c>
      <c r="P1133" t="s">
        <v>34</v>
      </c>
      <c r="Q1133" t="s">
        <v>34</v>
      </c>
      <c r="R1133" t="s">
        <v>34</v>
      </c>
      <c r="S1133" t="s">
        <v>34</v>
      </c>
      <c r="T1133" s="117">
        <v>0</v>
      </c>
    </row>
    <row r="1134" spans="1:20" x14ac:dyDescent="0.35">
      <c r="A1134" t="s">
        <v>20</v>
      </c>
      <c r="B1134" t="s">
        <v>23</v>
      </c>
      <c r="C1134" s="1">
        <v>45476</v>
      </c>
      <c r="D1134">
        <f t="shared" si="74"/>
        <v>3</v>
      </c>
      <c r="E1134">
        <f t="shared" si="75"/>
        <v>7</v>
      </c>
      <c r="F1134">
        <f t="shared" si="76"/>
        <v>2024</v>
      </c>
      <c r="G1134" t="s">
        <v>53</v>
      </c>
      <c r="H1134" s="171">
        <v>10587</v>
      </c>
      <c r="I1134" s="29">
        <v>106.5</v>
      </c>
      <c r="J1134" s="12" t="s">
        <v>31</v>
      </c>
      <c r="K1134" s="76">
        <f t="shared" si="77"/>
        <v>106.5</v>
      </c>
      <c r="L1134">
        <v>1</v>
      </c>
      <c r="M1134" s="29">
        <v>0</v>
      </c>
      <c r="N1134" t="s">
        <v>32</v>
      </c>
      <c r="O1134" t="s">
        <v>33</v>
      </c>
      <c r="P1134" t="s">
        <v>34</v>
      </c>
      <c r="Q1134" t="s">
        <v>34</v>
      </c>
      <c r="R1134" t="s">
        <v>34</v>
      </c>
      <c r="S1134" t="s">
        <v>34</v>
      </c>
      <c r="T1134" s="117">
        <v>0</v>
      </c>
    </row>
    <row r="1135" spans="1:20" x14ac:dyDescent="0.35">
      <c r="A1135" t="s">
        <v>20</v>
      </c>
      <c r="B1135" t="s">
        <v>24</v>
      </c>
      <c r="C1135" s="1">
        <v>45476</v>
      </c>
      <c r="D1135">
        <f t="shared" si="74"/>
        <v>3</v>
      </c>
      <c r="E1135">
        <f t="shared" si="75"/>
        <v>7</v>
      </c>
      <c r="F1135">
        <f t="shared" si="76"/>
        <v>2024</v>
      </c>
      <c r="G1135" t="s">
        <v>50</v>
      </c>
      <c r="H1135" s="98">
        <v>10359</v>
      </c>
      <c r="I1135" s="29">
        <v>56674.2</v>
      </c>
      <c r="J1135" s="12" t="s">
        <v>31</v>
      </c>
      <c r="K1135" s="76">
        <f t="shared" si="77"/>
        <v>56674.2</v>
      </c>
      <c r="L1135">
        <v>1</v>
      </c>
      <c r="M1135" s="29">
        <v>0</v>
      </c>
      <c r="N1135" t="s">
        <v>32</v>
      </c>
      <c r="O1135" t="s">
        <v>33</v>
      </c>
      <c r="P1135" t="s">
        <v>34</v>
      </c>
      <c r="Q1135" t="s">
        <v>34</v>
      </c>
      <c r="R1135" t="s">
        <v>34</v>
      </c>
      <c r="S1135" t="s">
        <v>34</v>
      </c>
      <c r="T1135" s="117">
        <v>0</v>
      </c>
    </row>
    <row r="1136" spans="1:20" x14ac:dyDescent="0.35">
      <c r="A1136" t="s">
        <v>20</v>
      </c>
      <c r="B1136" t="s">
        <v>23</v>
      </c>
      <c r="C1136" s="1">
        <v>45476</v>
      </c>
      <c r="D1136">
        <f t="shared" si="74"/>
        <v>3</v>
      </c>
      <c r="E1136">
        <f t="shared" si="75"/>
        <v>7</v>
      </c>
      <c r="F1136">
        <f t="shared" si="76"/>
        <v>2024</v>
      </c>
      <c r="G1136" t="s">
        <v>104</v>
      </c>
      <c r="H1136" s="98">
        <v>10519</v>
      </c>
      <c r="I1136" s="29">
        <v>4862</v>
      </c>
      <c r="J1136" s="12" t="s">
        <v>31</v>
      </c>
      <c r="K1136" s="76">
        <f t="shared" si="77"/>
        <v>4862</v>
      </c>
      <c r="L1136">
        <v>1</v>
      </c>
      <c r="M1136" s="29">
        <v>0</v>
      </c>
      <c r="N1136" t="s">
        <v>42</v>
      </c>
      <c r="O1136" t="s">
        <v>33</v>
      </c>
      <c r="P1136" t="s">
        <v>34</v>
      </c>
      <c r="Q1136" t="s">
        <v>34</v>
      </c>
      <c r="R1136" t="s">
        <v>34</v>
      </c>
      <c r="S1136" t="s">
        <v>34</v>
      </c>
      <c r="T1136" s="117">
        <v>0</v>
      </c>
    </row>
    <row r="1137" spans="1:20" x14ac:dyDescent="0.35">
      <c r="A1137" t="s">
        <v>20</v>
      </c>
      <c r="B1137" t="s">
        <v>23</v>
      </c>
      <c r="C1137" s="1">
        <v>45476</v>
      </c>
      <c r="D1137">
        <f t="shared" si="74"/>
        <v>3</v>
      </c>
      <c r="E1137">
        <f t="shared" si="75"/>
        <v>7</v>
      </c>
      <c r="F1137">
        <f t="shared" si="76"/>
        <v>2024</v>
      </c>
      <c r="G1137" t="s">
        <v>104</v>
      </c>
      <c r="H1137" s="98">
        <v>10517</v>
      </c>
      <c r="I1137" s="29">
        <v>2346</v>
      </c>
      <c r="J1137" s="12" t="s">
        <v>31</v>
      </c>
      <c r="K1137" s="76">
        <f t="shared" si="77"/>
        <v>2346</v>
      </c>
      <c r="L1137">
        <v>1</v>
      </c>
      <c r="M1137" s="29">
        <v>0</v>
      </c>
      <c r="N1137" t="s">
        <v>42</v>
      </c>
      <c r="O1137" t="s">
        <v>33</v>
      </c>
      <c r="P1137" t="s">
        <v>34</v>
      </c>
      <c r="Q1137" t="s">
        <v>34</v>
      </c>
      <c r="R1137" t="s">
        <v>34</v>
      </c>
      <c r="S1137" t="s">
        <v>34</v>
      </c>
      <c r="T1137" s="117">
        <v>0</v>
      </c>
    </row>
    <row r="1138" spans="1:20" x14ac:dyDescent="0.35">
      <c r="A1138" t="s">
        <v>20</v>
      </c>
      <c r="B1138" t="s">
        <v>23</v>
      </c>
      <c r="C1138" s="1">
        <v>45476</v>
      </c>
      <c r="D1138">
        <f t="shared" si="74"/>
        <v>3</v>
      </c>
      <c r="E1138">
        <f t="shared" si="75"/>
        <v>7</v>
      </c>
      <c r="F1138">
        <f t="shared" si="76"/>
        <v>2024</v>
      </c>
      <c r="G1138" t="s">
        <v>104</v>
      </c>
      <c r="H1138" s="98">
        <v>10521</v>
      </c>
      <c r="I1138" s="29">
        <v>3829.8</v>
      </c>
      <c r="J1138" s="12" t="s">
        <v>31</v>
      </c>
      <c r="K1138" s="76">
        <f t="shared" si="77"/>
        <v>3829.8</v>
      </c>
      <c r="L1138">
        <v>1</v>
      </c>
      <c r="M1138" s="29">
        <v>0</v>
      </c>
      <c r="N1138" t="s">
        <v>42</v>
      </c>
      <c r="O1138" t="s">
        <v>33</v>
      </c>
      <c r="P1138" t="s">
        <v>34</v>
      </c>
      <c r="Q1138" t="s">
        <v>34</v>
      </c>
      <c r="R1138" t="s">
        <v>34</v>
      </c>
      <c r="S1138" t="s">
        <v>34</v>
      </c>
      <c r="T1138" s="117">
        <v>0</v>
      </c>
    </row>
    <row r="1139" spans="1:20" x14ac:dyDescent="0.35">
      <c r="A1139" t="s">
        <v>20</v>
      </c>
      <c r="B1139" t="s">
        <v>23</v>
      </c>
      <c r="C1139" s="1">
        <v>45476</v>
      </c>
      <c r="D1139">
        <f t="shared" si="74"/>
        <v>3</v>
      </c>
      <c r="E1139">
        <f t="shared" si="75"/>
        <v>7</v>
      </c>
      <c r="F1139">
        <f t="shared" si="76"/>
        <v>2024</v>
      </c>
      <c r="G1139" t="s">
        <v>121</v>
      </c>
      <c r="H1139" s="98">
        <v>10173</v>
      </c>
      <c r="I1139" s="29">
        <v>18497.43</v>
      </c>
      <c r="J1139" s="12" t="s">
        <v>31</v>
      </c>
      <c r="K1139" s="76">
        <f t="shared" si="77"/>
        <v>18497.43</v>
      </c>
      <c r="L1139">
        <v>1</v>
      </c>
      <c r="M1139" s="29">
        <v>0</v>
      </c>
      <c r="N1139" t="s">
        <v>32</v>
      </c>
      <c r="O1139" t="s">
        <v>33</v>
      </c>
      <c r="P1139" t="s">
        <v>34</v>
      </c>
      <c r="Q1139" t="s">
        <v>34</v>
      </c>
      <c r="R1139" t="s">
        <v>34</v>
      </c>
      <c r="S1139" t="s">
        <v>34</v>
      </c>
      <c r="T1139" s="117">
        <v>0</v>
      </c>
    </row>
    <row r="1140" spans="1:20" x14ac:dyDescent="0.35">
      <c r="A1140" t="s">
        <v>20</v>
      </c>
      <c r="B1140" t="s">
        <v>23</v>
      </c>
      <c r="C1140" s="1">
        <v>45476</v>
      </c>
      <c r="D1140">
        <f t="shared" si="74"/>
        <v>3</v>
      </c>
      <c r="E1140">
        <f t="shared" si="75"/>
        <v>7</v>
      </c>
      <c r="F1140">
        <f t="shared" si="76"/>
        <v>2024</v>
      </c>
      <c r="G1140" t="s">
        <v>99</v>
      </c>
      <c r="H1140" s="98">
        <v>10399</v>
      </c>
      <c r="I1140" s="29">
        <v>37.6</v>
      </c>
      <c r="J1140" s="12" t="s">
        <v>31</v>
      </c>
      <c r="K1140" s="76">
        <f t="shared" si="77"/>
        <v>37.6</v>
      </c>
      <c r="L1140">
        <v>1</v>
      </c>
      <c r="M1140" s="29">
        <v>0</v>
      </c>
      <c r="N1140" t="s">
        <v>32</v>
      </c>
      <c r="O1140" t="s">
        <v>33</v>
      </c>
      <c r="P1140" t="s">
        <v>34</v>
      </c>
      <c r="Q1140" t="s">
        <v>34</v>
      </c>
      <c r="R1140" t="s">
        <v>34</v>
      </c>
      <c r="S1140" t="s">
        <v>34</v>
      </c>
      <c r="T1140" s="117">
        <v>0</v>
      </c>
    </row>
    <row r="1141" spans="1:20" x14ac:dyDescent="0.35">
      <c r="A1141" t="s">
        <v>20</v>
      </c>
      <c r="B1141" t="s">
        <v>23</v>
      </c>
      <c r="C1141" s="1">
        <v>45476</v>
      </c>
      <c r="D1141">
        <f t="shared" si="74"/>
        <v>3</v>
      </c>
      <c r="E1141">
        <f t="shared" si="75"/>
        <v>7</v>
      </c>
      <c r="F1141">
        <f t="shared" si="76"/>
        <v>2024</v>
      </c>
      <c r="G1141" t="s">
        <v>99</v>
      </c>
      <c r="H1141" s="98">
        <v>10400</v>
      </c>
      <c r="I1141" s="29">
        <v>12905.07</v>
      </c>
      <c r="J1141" s="12" t="s">
        <v>31</v>
      </c>
      <c r="K1141" s="76">
        <f t="shared" si="77"/>
        <v>12905.07</v>
      </c>
      <c r="L1141">
        <v>1</v>
      </c>
      <c r="M1141" s="29">
        <v>0</v>
      </c>
      <c r="N1141" t="s">
        <v>32</v>
      </c>
      <c r="O1141" t="s">
        <v>33</v>
      </c>
      <c r="P1141" t="s">
        <v>34</v>
      </c>
      <c r="Q1141" t="s">
        <v>34</v>
      </c>
      <c r="R1141" t="s">
        <v>34</v>
      </c>
      <c r="S1141" t="s">
        <v>34</v>
      </c>
      <c r="T1141" s="117">
        <v>0</v>
      </c>
    </row>
    <row r="1142" spans="1:20" x14ac:dyDescent="0.35">
      <c r="A1142" t="s">
        <v>20</v>
      </c>
      <c r="B1142" t="s">
        <v>23</v>
      </c>
      <c r="C1142" s="1">
        <v>45476</v>
      </c>
      <c r="D1142">
        <f t="shared" si="74"/>
        <v>3</v>
      </c>
      <c r="E1142">
        <f t="shared" si="75"/>
        <v>7</v>
      </c>
      <c r="F1142">
        <f t="shared" si="76"/>
        <v>2024</v>
      </c>
      <c r="G1142" t="s">
        <v>99</v>
      </c>
      <c r="H1142" s="98">
        <v>10401</v>
      </c>
      <c r="I1142" s="29">
        <v>193.2</v>
      </c>
      <c r="J1142" s="12" t="s">
        <v>31</v>
      </c>
      <c r="K1142" s="76">
        <f t="shared" si="77"/>
        <v>193.2</v>
      </c>
      <c r="L1142">
        <v>1</v>
      </c>
      <c r="M1142" s="29">
        <v>0</v>
      </c>
      <c r="N1142" t="s">
        <v>32</v>
      </c>
      <c r="O1142" t="s">
        <v>33</v>
      </c>
      <c r="P1142" t="s">
        <v>34</v>
      </c>
      <c r="Q1142" t="s">
        <v>34</v>
      </c>
      <c r="R1142" t="s">
        <v>34</v>
      </c>
      <c r="S1142" t="s">
        <v>34</v>
      </c>
      <c r="T1142" s="117">
        <v>0</v>
      </c>
    </row>
    <row r="1143" spans="1:20" x14ac:dyDescent="0.35">
      <c r="A1143" t="s">
        <v>20</v>
      </c>
      <c r="B1143" t="s">
        <v>25</v>
      </c>
      <c r="C1143" s="1">
        <v>45476</v>
      </c>
      <c r="D1143">
        <f t="shared" si="74"/>
        <v>3</v>
      </c>
      <c r="E1143">
        <f t="shared" si="75"/>
        <v>7</v>
      </c>
      <c r="F1143">
        <f t="shared" si="76"/>
        <v>2024</v>
      </c>
      <c r="G1143" t="s">
        <v>90</v>
      </c>
      <c r="H1143" s="98">
        <v>9817</v>
      </c>
      <c r="I1143" s="29">
        <v>10699.29</v>
      </c>
      <c r="J1143" s="12" t="s">
        <v>31</v>
      </c>
      <c r="K1143" s="76">
        <f t="shared" si="77"/>
        <v>10699.29</v>
      </c>
      <c r="L1143">
        <v>1</v>
      </c>
      <c r="M1143" s="29">
        <v>0</v>
      </c>
      <c r="N1143" t="s">
        <v>32</v>
      </c>
      <c r="O1143" t="s">
        <v>33</v>
      </c>
      <c r="P1143" t="s">
        <v>34</v>
      </c>
      <c r="Q1143" t="s">
        <v>34</v>
      </c>
      <c r="R1143" t="s">
        <v>34</v>
      </c>
      <c r="S1143" t="s">
        <v>34</v>
      </c>
      <c r="T1143" s="117">
        <v>0</v>
      </c>
    </row>
    <row r="1144" spans="1:20" x14ac:dyDescent="0.35">
      <c r="A1144" t="s">
        <v>19</v>
      </c>
      <c r="B1144" t="s">
        <v>19</v>
      </c>
      <c r="C1144" s="1">
        <v>45476</v>
      </c>
      <c r="D1144">
        <f t="shared" si="74"/>
        <v>3</v>
      </c>
      <c r="E1144">
        <f t="shared" si="75"/>
        <v>7</v>
      </c>
      <c r="F1144">
        <f t="shared" si="76"/>
        <v>2024</v>
      </c>
      <c r="G1144" t="s">
        <v>213</v>
      </c>
      <c r="H1144" s="98" t="s">
        <v>334</v>
      </c>
      <c r="I1144" s="29">
        <v>221698.08</v>
      </c>
      <c r="J1144" s="12" t="s">
        <v>31</v>
      </c>
      <c r="K1144" s="76">
        <f t="shared" si="77"/>
        <v>221698.08</v>
      </c>
      <c r="L1144">
        <v>1</v>
      </c>
      <c r="M1144" s="29">
        <v>0</v>
      </c>
      <c r="N1144" t="s">
        <v>32</v>
      </c>
      <c r="O1144" t="s">
        <v>33</v>
      </c>
      <c r="P1144" t="s">
        <v>34</v>
      </c>
      <c r="Q1144" t="s">
        <v>34</v>
      </c>
      <c r="R1144" t="s">
        <v>34</v>
      </c>
      <c r="S1144" t="s">
        <v>34</v>
      </c>
      <c r="T1144" s="117">
        <v>0</v>
      </c>
    </row>
    <row r="1145" spans="1:20" x14ac:dyDescent="0.35">
      <c r="A1145" t="s">
        <v>19</v>
      </c>
      <c r="B1145" t="s">
        <v>19</v>
      </c>
      <c r="C1145" s="1">
        <v>45476</v>
      </c>
      <c r="D1145">
        <f t="shared" si="74"/>
        <v>3</v>
      </c>
      <c r="E1145">
        <f t="shared" si="75"/>
        <v>7</v>
      </c>
      <c r="F1145">
        <f t="shared" si="76"/>
        <v>2024</v>
      </c>
      <c r="G1145" t="s">
        <v>421</v>
      </c>
      <c r="H1145" s="171" t="s">
        <v>335</v>
      </c>
      <c r="I1145" s="90">
        <v>107013.26</v>
      </c>
      <c r="J1145" s="12" t="s">
        <v>31</v>
      </c>
      <c r="K1145" s="76">
        <f t="shared" si="77"/>
        <v>107013.26</v>
      </c>
      <c r="L1145">
        <v>1</v>
      </c>
      <c r="M1145" s="29">
        <v>0</v>
      </c>
      <c r="N1145" t="s">
        <v>32</v>
      </c>
      <c r="O1145" t="s">
        <v>33</v>
      </c>
      <c r="P1145" t="s">
        <v>34</v>
      </c>
      <c r="Q1145" t="s">
        <v>34</v>
      </c>
      <c r="R1145" t="s">
        <v>34</v>
      </c>
      <c r="S1145" t="s">
        <v>34</v>
      </c>
      <c r="T1145" s="117">
        <v>0</v>
      </c>
    </row>
    <row r="1146" spans="1:20" x14ac:dyDescent="0.35">
      <c r="A1146" t="s">
        <v>19</v>
      </c>
      <c r="B1146" t="s">
        <v>19</v>
      </c>
      <c r="C1146" s="1">
        <v>45476</v>
      </c>
      <c r="D1146">
        <f t="shared" si="74"/>
        <v>3</v>
      </c>
      <c r="E1146">
        <f t="shared" si="75"/>
        <v>7</v>
      </c>
      <c r="F1146">
        <f t="shared" si="76"/>
        <v>2024</v>
      </c>
      <c r="G1146" t="s">
        <v>421</v>
      </c>
      <c r="H1146" s="171" t="s">
        <v>336</v>
      </c>
      <c r="I1146" s="90">
        <v>14602.15</v>
      </c>
      <c r="J1146" s="12" t="s">
        <v>31</v>
      </c>
      <c r="K1146" s="76">
        <f t="shared" si="77"/>
        <v>14602.15</v>
      </c>
      <c r="L1146">
        <v>1</v>
      </c>
      <c r="M1146" s="29">
        <v>0</v>
      </c>
      <c r="N1146" t="s">
        <v>32</v>
      </c>
      <c r="O1146" t="s">
        <v>33</v>
      </c>
      <c r="P1146" t="s">
        <v>34</v>
      </c>
      <c r="Q1146" t="s">
        <v>34</v>
      </c>
      <c r="R1146" t="s">
        <v>34</v>
      </c>
      <c r="S1146" t="s">
        <v>34</v>
      </c>
      <c r="T1146" s="117">
        <v>0</v>
      </c>
    </row>
    <row r="1147" spans="1:20" x14ac:dyDescent="0.35">
      <c r="A1147" t="s">
        <v>19</v>
      </c>
      <c r="B1147" t="s">
        <v>19</v>
      </c>
      <c r="C1147" s="1">
        <v>45476</v>
      </c>
      <c r="D1147">
        <f t="shared" si="74"/>
        <v>3</v>
      </c>
      <c r="E1147">
        <f t="shared" si="75"/>
        <v>7</v>
      </c>
      <c r="F1147">
        <f t="shared" si="76"/>
        <v>2024</v>
      </c>
      <c r="G1147" t="s">
        <v>111</v>
      </c>
      <c r="H1147" s="98" t="s">
        <v>337</v>
      </c>
      <c r="I1147" s="29">
        <v>61920.08</v>
      </c>
      <c r="J1147" s="12" t="s">
        <v>31</v>
      </c>
      <c r="K1147" s="76">
        <f t="shared" si="77"/>
        <v>61920.08</v>
      </c>
      <c r="L1147">
        <v>1</v>
      </c>
      <c r="M1147" s="29">
        <v>0</v>
      </c>
      <c r="N1147" t="s">
        <v>32</v>
      </c>
      <c r="O1147" t="s">
        <v>33</v>
      </c>
      <c r="P1147" t="s">
        <v>34</v>
      </c>
      <c r="Q1147" t="s">
        <v>34</v>
      </c>
      <c r="R1147" t="s">
        <v>34</v>
      </c>
      <c r="S1147" t="s">
        <v>34</v>
      </c>
      <c r="T1147" s="117">
        <v>2981.99</v>
      </c>
    </row>
    <row r="1148" spans="1:20" x14ac:dyDescent="0.35">
      <c r="A1148" t="s">
        <v>19</v>
      </c>
      <c r="B1148" t="s">
        <v>19</v>
      </c>
      <c r="C1148" s="1">
        <v>45476</v>
      </c>
      <c r="D1148">
        <f t="shared" si="74"/>
        <v>3</v>
      </c>
      <c r="E1148">
        <f t="shared" si="75"/>
        <v>7</v>
      </c>
      <c r="F1148">
        <f t="shared" si="76"/>
        <v>2024</v>
      </c>
      <c r="G1148" t="s">
        <v>111</v>
      </c>
      <c r="H1148" s="98" t="s">
        <v>338</v>
      </c>
      <c r="I1148" s="29">
        <v>61884.34</v>
      </c>
      <c r="J1148" s="12" t="s">
        <v>31</v>
      </c>
      <c r="K1148" s="76">
        <f t="shared" si="77"/>
        <v>61884.34</v>
      </c>
      <c r="L1148">
        <v>1</v>
      </c>
      <c r="M1148" s="29">
        <v>0</v>
      </c>
      <c r="N1148" t="s">
        <v>32</v>
      </c>
      <c r="O1148" t="s">
        <v>33</v>
      </c>
      <c r="P1148" t="s">
        <v>34</v>
      </c>
      <c r="Q1148" t="s">
        <v>34</v>
      </c>
      <c r="R1148" t="s">
        <v>34</v>
      </c>
      <c r="S1148" t="s">
        <v>34</v>
      </c>
      <c r="T1148" s="117">
        <v>5080.26</v>
      </c>
    </row>
    <row r="1149" spans="1:20" x14ac:dyDescent="0.35">
      <c r="A1149" t="s">
        <v>19</v>
      </c>
      <c r="B1149" t="s">
        <v>19</v>
      </c>
      <c r="C1149" s="1">
        <v>45476</v>
      </c>
      <c r="D1149">
        <f t="shared" si="74"/>
        <v>3</v>
      </c>
      <c r="E1149">
        <f t="shared" si="75"/>
        <v>7</v>
      </c>
      <c r="F1149">
        <f t="shared" si="76"/>
        <v>2024</v>
      </c>
      <c r="G1149" t="s">
        <v>240</v>
      </c>
      <c r="H1149" s="98" t="s">
        <v>339</v>
      </c>
      <c r="I1149" s="29">
        <v>14291.76</v>
      </c>
      <c r="J1149" s="12" t="s">
        <v>31</v>
      </c>
      <c r="K1149" s="76">
        <f t="shared" si="77"/>
        <v>14291.76</v>
      </c>
      <c r="L1149">
        <v>1</v>
      </c>
      <c r="M1149" s="29">
        <v>0</v>
      </c>
      <c r="N1149" t="s">
        <v>32</v>
      </c>
      <c r="O1149" t="s">
        <v>33</v>
      </c>
      <c r="P1149" t="s">
        <v>34</v>
      </c>
      <c r="Q1149" t="s">
        <v>34</v>
      </c>
      <c r="R1149" t="s">
        <v>34</v>
      </c>
      <c r="S1149" t="s">
        <v>34</v>
      </c>
      <c r="T1149" s="117">
        <v>0</v>
      </c>
    </row>
    <row r="1150" spans="1:20" x14ac:dyDescent="0.35">
      <c r="A1150" t="s">
        <v>19</v>
      </c>
      <c r="B1150" t="s">
        <v>19</v>
      </c>
      <c r="C1150" s="1">
        <v>45476</v>
      </c>
      <c r="D1150">
        <f t="shared" si="74"/>
        <v>3</v>
      </c>
      <c r="E1150">
        <f t="shared" si="75"/>
        <v>7</v>
      </c>
      <c r="F1150">
        <f t="shared" si="76"/>
        <v>2024</v>
      </c>
      <c r="G1150" t="s">
        <v>120</v>
      </c>
      <c r="H1150" s="171" t="s">
        <v>340</v>
      </c>
      <c r="I1150" s="90">
        <v>106715.06</v>
      </c>
      <c r="J1150" s="12" t="s">
        <v>31</v>
      </c>
      <c r="K1150" s="76">
        <f t="shared" si="77"/>
        <v>106715.06</v>
      </c>
      <c r="L1150">
        <v>1</v>
      </c>
      <c r="M1150" s="29">
        <v>0</v>
      </c>
      <c r="N1150" t="s">
        <v>32</v>
      </c>
      <c r="O1150" t="s">
        <v>33</v>
      </c>
      <c r="P1150" t="s">
        <v>34</v>
      </c>
      <c r="Q1150" t="s">
        <v>34</v>
      </c>
      <c r="R1150" t="s">
        <v>34</v>
      </c>
      <c r="S1150" t="s">
        <v>34</v>
      </c>
      <c r="T1150" s="117">
        <v>0</v>
      </c>
    </row>
    <row r="1151" spans="1:20" x14ac:dyDescent="0.35">
      <c r="A1151" t="s">
        <v>19</v>
      </c>
      <c r="B1151" t="s">
        <v>19</v>
      </c>
      <c r="C1151" s="1">
        <v>45476</v>
      </c>
      <c r="D1151">
        <f t="shared" si="74"/>
        <v>3</v>
      </c>
      <c r="E1151">
        <f t="shared" si="75"/>
        <v>7</v>
      </c>
      <c r="F1151">
        <f t="shared" si="76"/>
        <v>2024</v>
      </c>
      <c r="G1151" t="s">
        <v>56</v>
      </c>
      <c r="H1151" s="98" t="s">
        <v>341</v>
      </c>
      <c r="I1151" s="29">
        <v>185250.32</v>
      </c>
      <c r="J1151" s="12" t="s">
        <v>31</v>
      </c>
      <c r="K1151" s="76">
        <f t="shared" si="77"/>
        <v>185250.32</v>
      </c>
      <c r="L1151">
        <v>1</v>
      </c>
      <c r="M1151" s="29">
        <v>0</v>
      </c>
      <c r="N1151" t="s">
        <v>32</v>
      </c>
      <c r="O1151" t="s">
        <v>33</v>
      </c>
      <c r="P1151" t="s">
        <v>34</v>
      </c>
      <c r="Q1151" t="s">
        <v>34</v>
      </c>
      <c r="R1151" t="s">
        <v>34</v>
      </c>
      <c r="S1151" t="s">
        <v>34</v>
      </c>
      <c r="T1151" s="117">
        <v>0</v>
      </c>
    </row>
    <row r="1152" spans="1:20" x14ac:dyDescent="0.35">
      <c r="A1152" t="s">
        <v>19</v>
      </c>
      <c r="B1152" t="s">
        <v>19</v>
      </c>
      <c r="C1152" s="1">
        <v>45476</v>
      </c>
      <c r="D1152">
        <f t="shared" si="74"/>
        <v>3</v>
      </c>
      <c r="E1152">
        <f t="shared" si="75"/>
        <v>7</v>
      </c>
      <c r="F1152">
        <f t="shared" si="76"/>
        <v>2024</v>
      </c>
      <c r="G1152" t="s">
        <v>118</v>
      </c>
      <c r="H1152" s="98" t="s">
        <v>378</v>
      </c>
      <c r="I1152" s="29">
        <v>6494</v>
      </c>
      <c r="J1152" s="12" t="s">
        <v>31</v>
      </c>
      <c r="K1152" s="76">
        <f t="shared" si="77"/>
        <v>6494</v>
      </c>
      <c r="L1152">
        <v>1</v>
      </c>
      <c r="M1152" s="29">
        <v>0</v>
      </c>
      <c r="N1152" t="s">
        <v>42</v>
      </c>
      <c r="O1152" t="s">
        <v>33</v>
      </c>
      <c r="P1152" t="s">
        <v>34</v>
      </c>
      <c r="Q1152" t="s">
        <v>34</v>
      </c>
      <c r="R1152" t="s">
        <v>34</v>
      </c>
      <c r="S1152" t="s">
        <v>34</v>
      </c>
      <c r="T1152" s="117">
        <v>0</v>
      </c>
    </row>
    <row r="1153" spans="1:21" x14ac:dyDescent="0.35">
      <c r="A1153" t="s">
        <v>19</v>
      </c>
      <c r="B1153" t="s">
        <v>19</v>
      </c>
      <c r="C1153" s="1">
        <v>45476</v>
      </c>
      <c r="D1153">
        <f t="shared" si="74"/>
        <v>3</v>
      </c>
      <c r="E1153">
        <f t="shared" si="75"/>
        <v>7</v>
      </c>
      <c r="F1153">
        <f t="shared" si="76"/>
        <v>2024</v>
      </c>
      <c r="G1153" t="s">
        <v>127</v>
      </c>
      <c r="H1153" s="98" t="s">
        <v>377</v>
      </c>
      <c r="I1153" s="29">
        <v>3792</v>
      </c>
      <c r="J1153" s="12" t="s">
        <v>31</v>
      </c>
      <c r="K1153" s="76">
        <f t="shared" si="77"/>
        <v>3792</v>
      </c>
      <c r="L1153">
        <v>1</v>
      </c>
      <c r="M1153" s="29">
        <v>0</v>
      </c>
      <c r="N1153" t="s">
        <v>42</v>
      </c>
      <c r="O1153" t="s">
        <v>33</v>
      </c>
      <c r="P1153" t="s">
        <v>34</v>
      </c>
      <c r="Q1153" t="s">
        <v>34</v>
      </c>
      <c r="R1153" t="s">
        <v>34</v>
      </c>
      <c r="S1153" t="s">
        <v>34</v>
      </c>
      <c r="T1153" s="117">
        <v>0</v>
      </c>
    </row>
    <row r="1154" spans="1:21" x14ac:dyDescent="0.35">
      <c r="A1154" t="s">
        <v>19</v>
      </c>
      <c r="B1154" t="s">
        <v>19</v>
      </c>
      <c r="C1154" s="1">
        <v>45476</v>
      </c>
      <c r="D1154">
        <f t="shared" ref="D1154:D1217" si="78">DAY(C1154)</f>
        <v>3</v>
      </c>
      <c r="E1154">
        <f t="shared" ref="E1154:E1217" si="79">MONTH(C1154)</f>
        <v>7</v>
      </c>
      <c r="F1154">
        <f t="shared" ref="F1154:F1217" si="80">YEAR(C1154)</f>
        <v>2024</v>
      </c>
      <c r="G1154" t="s">
        <v>183</v>
      </c>
      <c r="H1154" s="98" t="s">
        <v>342</v>
      </c>
      <c r="I1154" s="29">
        <v>25864.16</v>
      </c>
      <c r="J1154" s="12" t="s">
        <v>31</v>
      </c>
      <c r="K1154" s="76">
        <f t="shared" si="77"/>
        <v>25864.16</v>
      </c>
      <c r="L1154">
        <v>1</v>
      </c>
      <c r="M1154" s="29">
        <v>0</v>
      </c>
      <c r="N1154" t="s">
        <v>32</v>
      </c>
      <c r="O1154" t="s">
        <v>33</v>
      </c>
      <c r="P1154" t="s">
        <v>34</v>
      </c>
      <c r="Q1154" t="s">
        <v>34</v>
      </c>
      <c r="R1154" t="s">
        <v>34</v>
      </c>
      <c r="S1154" t="s">
        <v>34</v>
      </c>
      <c r="T1154" s="117">
        <v>0</v>
      </c>
    </row>
    <row r="1155" spans="1:21" x14ac:dyDescent="0.35">
      <c r="A1155" t="s">
        <v>19</v>
      </c>
      <c r="B1155" t="s">
        <v>19</v>
      </c>
      <c r="C1155" s="1">
        <v>45476</v>
      </c>
      <c r="D1155">
        <f t="shared" si="78"/>
        <v>3</v>
      </c>
      <c r="E1155">
        <f t="shared" si="79"/>
        <v>7</v>
      </c>
      <c r="F1155">
        <f t="shared" si="80"/>
        <v>2024</v>
      </c>
      <c r="G1155" t="s">
        <v>183</v>
      </c>
      <c r="H1155" s="98" t="s">
        <v>379</v>
      </c>
      <c r="I1155" s="29">
        <v>896</v>
      </c>
      <c r="J1155" s="12" t="s">
        <v>31</v>
      </c>
      <c r="K1155" s="76">
        <f t="shared" si="77"/>
        <v>896</v>
      </c>
      <c r="L1155">
        <v>1</v>
      </c>
      <c r="M1155" s="29">
        <v>0</v>
      </c>
      <c r="N1155" t="s">
        <v>42</v>
      </c>
      <c r="O1155" t="s">
        <v>33</v>
      </c>
      <c r="P1155" t="s">
        <v>34</v>
      </c>
      <c r="Q1155" t="s">
        <v>34</v>
      </c>
      <c r="R1155" t="s">
        <v>34</v>
      </c>
      <c r="S1155" t="s">
        <v>34</v>
      </c>
      <c r="T1155" s="117">
        <v>0</v>
      </c>
    </row>
    <row r="1156" spans="1:21" x14ac:dyDescent="0.35">
      <c r="A1156" t="s">
        <v>19</v>
      </c>
      <c r="B1156" t="s">
        <v>27</v>
      </c>
      <c r="C1156" s="1">
        <v>45478</v>
      </c>
      <c r="D1156">
        <f t="shared" si="78"/>
        <v>5</v>
      </c>
      <c r="E1156">
        <f t="shared" si="79"/>
        <v>7</v>
      </c>
      <c r="F1156">
        <f t="shared" si="80"/>
        <v>2024</v>
      </c>
      <c r="G1156" t="s">
        <v>100</v>
      </c>
      <c r="H1156" s="98">
        <v>10276</v>
      </c>
      <c r="I1156" s="29">
        <v>100000</v>
      </c>
      <c r="J1156" s="12" t="s">
        <v>31</v>
      </c>
      <c r="K1156" s="76">
        <f t="shared" si="77"/>
        <v>100000</v>
      </c>
      <c r="L1156">
        <v>1</v>
      </c>
      <c r="M1156" s="29">
        <v>0</v>
      </c>
      <c r="N1156" t="s">
        <v>32</v>
      </c>
      <c r="O1156" t="s">
        <v>33</v>
      </c>
      <c r="P1156" t="s">
        <v>34</v>
      </c>
      <c r="Q1156" t="s">
        <v>34</v>
      </c>
      <c r="R1156" t="s">
        <v>34</v>
      </c>
      <c r="S1156" t="s">
        <v>34</v>
      </c>
      <c r="T1156" s="117">
        <v>0</v>
      </c>
    </row>
    <row r="1157" spans="1:21" x14ac:dyDescent="0.35">
      <c r="A1157" t="s">
        <v>19</v>
      </c>
      <c r="B1157" t="s">
        <v>27</v>
      </c>
      <c r="C1157" s="1">
        <v>45481</v>
      </c>
      <c r="D1157">
        <f t="shared" si="78"/>
        <v>8</v>
      </c>
      <c r="E1157">
        <f t="shared" si="79"/>
        <v>7</v>
      </c>
      <c r="F1157">
        <f t="shared" si="80"/>
        <v>2024</v>
      </c>
      <c r="G1157" t="s">
        <v>100</v>
      </c>
      <c r="H1157" s="98">
        <v>10276</v>
      </c>
      <c r="I1157" s="29">
        <v>100000</v>
      </c>
      <c r="J1157" s="12" t="s">
        <v>31</v>
      </c>
      <c r="K1157" s="76">
        <f t="shared" si="77"/>
        <v>100000</v>
      </c>
      <c r="L1157">
        <v>1</v>
      </c>
      <c r="M1157" s="29">
        <v>0</v>
      </c>
      <c r="N1157" t="s">
        <v>32</v>
      </c>
      <c r="O1157" t="s">
        <v>33</v>
      </c>
      <c r="P1157" t="s">
        <v>34</v>
      </c>
      <c r="Q1157" t="s">
        <v>34</v>
      </c>
      <c r="R1157" t="s">
        <v>34</v>
      </c>
      <c r="S1157" t="s">
        <v>34</v>
      </c>
      <c r="T1157" s="117">
        <v>0</v>
      </c>
    </row>
    <row r="1158" spans="1:21" x14ac:dyDescent="0.35">
      <c r="A1158" t="s">
        <v>19</v>
      </c>
      <c r="B1158" t="s">
        <v>27</v>
      </c>
      <c r="C1158" s="1">
        <v>45482</v>
      </c>
      <c r="D1158">
        <f t="shared" si="78"/>
        <v>9</v>
      </c>
      <c r="E1158">
        <f t="shared" si="79"/>
        <v>7</v>
      </c>
      <c r="F1158">
        <f t="shared" si="80"/>
        <v>2024</v>
      </c>
      <c r="G1158" t="s">
        <v>100</v>
      </c>
      <c r="H1158" s="98">
        <v>10276</v>
      </c>
      <c r="I1158" s="29">
        <v>19890.3</v>
      </c>
      <c r="J1158" s="12" t="s">
        <v>31</v>
      </c>
      <c r="K1158" s="76">
        <f t="shared" si="77"/>
        <v>19890.3</v>
      </c>
      <c r="L1158">
        <v>1</v>
      </c>
      <c r="M1158" s="29">
        <v>0</v>
      </c>
      <c r="N1158" t="s">
        <v>32</v>
      </c>
      <c r="O1158" t="s">
        <v>33</v>
      </c>
      <c r="P1158" t="s">
        <v>34</v>
      </c>
      <c r="Q1158" t="s">
        <v>34</v>
      </c>
      <c r="R1158" t="s">
        <v>34</v>
      </c>
      <c r="S1158" t="s">
        <v>34</v>
      </c>
      <c r="T1158" s="117">
        <v>4540.6000000000004</v>
      </c>
    </row>
    <row r="1159" spans="1:21" x14ac:dyDescent="0.35">
      <c r="A1159" t="s">
        <v>19</v>
      </c>
      <c r="B1159" t="s">
        <v>27</v>
      </c>
      <c r="C1159" s="1">
        <v>45482</v>
      </c>
      <c r="D1159">
        <f t="shared" si="78"/>
        <v>9</v>
      </c>
      <c r="E1159">
        <f t="shared" si="79"/>
        <v>7</v>
      </c>
      <c r="F1159">
        <f t="shared" si="80"/>
        <v>2024</v>
      </c>
      <c r="G1159" t="s">
        <v>100</v>
      </c>
      <c r="H1159" s="98">
        <v>10425</v>
      </c>
      <c r="I1159" s="29">
        <v>83358.63</v>
      </c>
      <c r="J1159" s="12" t="s">
        <v>31</v>
      </c>
      <c r="K1159" s="76">
        <f t="shared" si="77"/>
        <v>83358.63</v>
      </c>
      <c r="L1159">
        <v>1</v>
      </c>
      <c r="M1159" s="29">
        <v>0</v>
      </c>
      <c r="N1159" t="s">
        <v>32</v>
      </c>
      <c r="O1159" t="s">
        <v>33</v>
      </c>
      <c r="P1159" t="s">
        <v>34</v>
      </c>
      <c r="Q1159" t="s">
        <v>34</v>
      </c>
      <c r="R1159" t="s">
        <v>34</v>
      </c>
      <c r="S1159" t="s">
        <v>34</v>
      </c>
      <c r="T1159" s="117">
        <v>0</v>
      </c>
    </row>
    <row r="1160" spans="1:21" x14ac:dyDescent="0.35">
      <c r="A1160" t="s">
        <v>19</v>
      </c>
      <c r="B1160" t="s">
        <v>21</v>
      </c>
      <c r="C1160" s="1">
        <v>45483</v>
      </c>
      <c r="D1160">
        <f t="shared" si="78"/>
        <v>10</v>
      </c>
      <c r="E1160">
        <f t="shared" si="79"/>
        <v>7</v>
      </c>
      <c r="F1160">
        <f t="shared" si="80"/>
        <v>2024</v>
      </c>
      <c r="G1160" t="s">
        <v>75</v>
      </c>
      <c r="H1160" s="171">
        <v>12590</v>
      </c>
      <c r="I1160" s="94">
        <v>5226.75</v>
      </c>
      <c r="J1160" s="12" t="s">
        <v>31</v>
      </c>
      <c r="K1160" s="76">
        <f t="shared" si="77"/>
        <v>5226.75</v>
      </c>
      <c r="L1160">
        <v>1</v>
      </c>
      <c r="M1160" s="29">
        <v>0</v>
      </c>
      <c r="N1160" t="s">
        <v>42</v>
      </c>
      <c r="O1160" t="s">
        <v>33</v>
      </c>
      <c r="P1160" t="s">
        <v>34</v>
      </c>
      <c r="Q1160" t="s">
        <v>34</v>
      </c>
      <c r="R1160" t="s">
        <v>34</v>
      </c>
      <c r="S1160" t="s">
        <v>34</v>
      </c>
      <c r="T1160" s="117">
        <v>0</v>
      </c>
      <c r="U1160" s="209" t="s">
        <v>1396</v>
      </c>
    </row>
    <row r="1161" spans="1:21" x14ac:dyDescent="0.35">
      <c r="A1161" t="s">
        <v>19</v>
      </c>
      <c r="B1161" t="s">
        <v>21</v>
      </c>
      <c r="C1161" s="1">
        <v>45483</v>
      </c>
      <c r="D1161">
        <f t="shared" si="78"/>
        <v>10</v>
      </c>
      <c r="E1161">
        <f t="shared" si="79"/>
        <v>7</v>
      </c>
      <c r="F1161">
        <f t="shared" si="80"/>
        <v>2024</v>
      </c>
      <c r="G1161" t="s">
        <v>75</v>
      </c>
      <c r="H1161" s="171">
        <v>10835</v>
      </c>
      <c r="I1161" s="94">
        <v>30</v>
      </c>
      <c r="J1161" s="12" t="s">
        <v>31</v>
      </c>
      <c r="K1161" s="76">
        <f t="shared" si="77"/>
        <v>30</v>
      </c>
      <c r="L1161">
        <v>1</v>
      </c>
      <c r="M1161" s="29">
        <v>0</v>
      </c>
      <c r="N1161" t="s">
        <v>42</v>
      </c>
      <c r="O1161" t="s">
        <v>33</v>
      </c>
      <c r="P1161" t="s">
        <v>34</v>
      </c>
      <c r="Q1161" t="s">
        <v>34</v>
      </c>
      <c r="R1161" t="s">
        <v>34</v>
      </c>
      <c r="S1161" t="s">
        <v>34</v>
      </c>
      <c r="T1161" s="117">
        <v>0</v>
      </c>
    </row>
    <row r="1162" spans="1:21" x14ac:dyDescent="0.35">
      <c r="A1162" t="s">
        <v>19</v>
      </c>
      <c r="B1162" t="s">
        <v>21</v>
      </c>
      <c r="C1162" s="1">
        <v>45483</v>
      </c>
      <c r="D1162">
        <f t="shared" si="78"/>
        <v>10</v>
      </c>
      <c r="E1162">
        <f t="shared" si="79"/>
        <v>7</v>
      </c>
      <c r="F1162">
        <f t="shared" si="80"/>
        <v>2024</v>
      </c>
      <c r="G1162" t="s">
        <v>76</v>
      </c>
      <c r="H1162" s="98">
        <v>10322</v>
      </c>
      <c r="I1162" s="76">
        <v>4435.6499999999996</v>
      </c>
      <c r="J1162" s="12" t="s">
        <v>31</v>
      </c>
      <c r="K1162" s="76">
        <f t="shared" si="77"/>
        <v>4435.6499999999996</v>
      </c>
      <c r="L1162">
        <v>1</v>
      </c>
      <c r="M1162" s="29">
        <v>0</v>
      </c>
      <c r="N1162" t="s">
        <v>42</v>
      </c>
      <c r="O1162" t="s">
        <v>33</v>
      </c>
      <c r="P1162" t="s">
        <v>34</v>
      </c>
      <c r="Q1162" t="s">
        <v>34</v>
      </c>
      <c r="R1162" t="s">
        <v>34</v>
      </c>
      <c r="S1162" t="s">
        <v>34</v>
      </c>
      <c r="T1162" s="117">
        <v>0</v>
      </c>
      <c r="U1162" s="209" t="s">
        <v>490</v>
      </c>
    </row>
    <row r="1163" spans="1:21" x14ac:dyDescent="0.35">
      <c r="A1163" t="s">
        <v>19</v>
      </c>
      <c r="B1163" t="s">
        <v>21</v>
      </c>
      <c r="C1163" s="1">
        <v>45483</v>
      </c>
      <c r="D1163">
        <f t="shared" si="78"/>
        <v>10</v>
      </c>
      <c r="E1163">
        <f t="shared" si="79"/>
        <v>7</v>
      </c>
      <c r="F1163">
        <f t="shared" si="80"/>
        <v>2024</v>
      </c>
      <c r="G1163" t="s">
        <v>76</v>
      </c>
      <c r="H1163" s="98">
        <v>10570</v>
      </c>
      <c r="I1163" s="76">
        <v>80.8</v>
      </c>
      <c r="J1163" s="12" t="s">
        <v>31</v>
      </c>
      <c r="K1163" s="76">
        <f t="shared" si="77"/>
        <v>80.8</v>
      </c>
      <c r="L1163">
        <v>1</v>
      </c>
      <c r="M1163" s="29">
        <v>0</v>
      </c>
      <c r="N1163" t="s">
        <v>42</v>
      </c>
      <c r="O1163" t="s">
        <v>33</v>
      </c>
      <c r="P1163" t="s">
        <v>34</v>
      </c>
      <c r="Q1163" t="s">
        <v>34</v>
      </c>
      <c r="R1163" t="s">
        <v>34</v>
      </c>
      <c r="S1163" t="s">
        <v>34</v>
      </c>
      <c r="T1163" s="117">
        <v>0</v>
      </c>
    </row>
    <row r="1164" spans="1:21" x14ac:dyDescent="0.35">
      <c r="A1164" t="s">
        <v>19</v>
      </c>
      <c r="B1164" t="s">
        <v>21</v>
      </c>
      <c r="C1164" s="1">
        <v>45483</v>
      </c>
      <c r="D1164">
        <f t="shared" si="78"/>
        <v>10</v>
      </c>
      <c r="E1164">
        <f t="shared" si="79"/>
        <v>7</v>
      </c>
      <c r="F1164">
        <f t="shared" si="80"/>
        <v>2024</v>
      </c>
      <c r="G1164" t="s">
        <v>76</v>
      </c>
      <c r="H1164" s="98">
        <v>10321</v>
      </c>
      <c r="I1164" s="76">
        <v>2096.1</v>
      </c>
      <c r="J1164" s="12" t="s">
        <v>31</v>
      </c>
      <c r="K1164" s="76">
        <f t="shared" si="77"/>
        <v>2096.1</v>
      </c>
      <c r="L1164">
        <v>1</v>
      </c>
      <c r="M1164" s="29">
        <v>0</v>
      </c>
      <c r="N1164" t="s">
        <v>42</v>
      </c>
      <c r="O1164" t="s">
        <v>33</v>
      </c>
      <c r="P1164" t="s">
        <v>34</v>
      </c>
      <c r="Q1164" t="s">
        <v>34</v>
      </c>
      <c r="R1164" t="s">
        <v>34</v>
      </c>
      <c r="S1164" t="s">
        <v>34</v>
      </c>
      <c r="T1164" s="117">
        <v>0</v>
      </c>
      <c r="U1164" s="209" t="s">
        <v>487</v>
      </c>
    </row>
    <row r="1165" spans="1:21" x14ac:dyDescent="0.35">
      <c r="A1165" t="s">
        <v>19</v>
      </c>
      <c r="B1165" t="s">
        <v>21</v>
      </c>
      <c r="C1165" s="1">
        <v>45483</v>
      </c>
      <c r="D1165">
        <f t="shared" si="78"/>
        <v>10</v>
      </c>
      <c r="E1165">
        <f t="shared" si="79"/>
        <v>7</v>
      </c>
      <c r="F1165">
        <f t="shared" si="80"/>
        <v>2024</v>
      </c>
      <c r="G1165" t="s">
        <v>76</v>
      </c>
      <c r="H1165" s="98">
        <v>10766</v>
      </c>
      <c r="I1165" s="76">
        <v>34</v>
      </c>
      <c r="J1165" s="12" t="s">
        <v>31</v>
      </c>
      <c r="K1165" s="76">
        <f t="shared" si="77"/>
        <v>34</v>
      </c>
      <c r="L1165">
        <v>1</v>
      </c>
      <c r="M1165" s="29">
        <v>0</v>
      </c>
      <c r="N1165" t="s">
        <v>42</v>
      </c>
      <c r="O1165" t="s">
        <v>33</v>
      </c>
      <c r="P1165" t="s">
        <v>34</v>
      </c>
      <c r="Q1165" t="s">
        <v>34</v>
      </c>
      <c r="R1165" t="s">
        <v>34</v>
      </c>
      <c r="S1165" t="s">
        <v>34</v>
      </c>
      <c r="T1165" s="117">
        <v>0</v>
      </c>
      <c r="U1165" s="209" t="s">
        <v>488</v>
      </c>
    </row>
    <row r="1166" spans="1:21" x14ac:dyDescent="0.35">
      <c r="A1166" t="s">
        <v>19</v>
      </c>
      <c r="B1166" t="s">
        <v>25</v>
      </c>
      <c r="C1166" s="1">
        <v>45483</v>
      </c>
      <c r="D1166">
        <f t="shared" si="78"/>
        <v>10</v>
      </c>
      <c r="E1166">
        <f t="shared" si="79"/>
        <v>7</v>
      </c>
      <c r="F1166">
        <f t="shared" si="80"/>
        <v>2024</v>
      </c>
      <c r="G1166" t="s">
        <v>351</v>
      </c>
      <c r="H1166" s="98">
        <v>10437</v>
      </c>
      <c r="I1166" s="29">
        <v>282</v>
      </c>
      <c r="J1166" s="12" t="s">
        <v>31</v>
      </c>
      <c r="K1166" s="76">
        <f t="shared" si="77"/>
        <v>282</v>
      </c>
      <c r="L1166">
        <v>1</v>
      </c>
      <c r="M1166" s="29">
        <v>0</v>
      </c>
      <c r="N1166" t="s">
        <v>32</v>
      </c>
      <c r="O1166" t="s">
        <v>33</v>
      </c>
      <c r="P1166" t="s">
        <v>34</v>
      </c>
      <c r="Q1166" t="s">
        <v>34</v>
      </c>
      <c r="R1166" t="s">
        <v>34</v>
      </c>
      <c r="S1166" t="s">
        <v>34</v>
      </c>
      <c r="T1166" s="117">
        <v>0</v>
      </c>
    </row>
    <row r="1167" spans="1:21" x14ac:dyDescent="0.35">
      <c r="A1167" t="s">
        <v>19</v>
      </c>
      <c r="B1167" t="s">
        <v>24</v>
      </c>
      <c r="C1167" s="1">
        <v>45483</v>
      </c>
      <c r="D1167">
        <f t="shared" si="78"/>
        <v>10</v>
      </c>
      <c r="E1167">
        <f t="shared" si="79"/>
        <v>7</v>
      </c>
      <c r="F1167">
        <f t="shared" si="80"/>
        <v>2024</v>
      </c>
      <c r="G1167" t="s">
        <v>29</v>
      </c>
      <c r="H1167" s="98">
        <v>10445</v>
      </c>
      <c r="I1167" s="29">
        <v>84.8</v>
      </c>
      <c r="J1167" s="12" t="s">
        <v>31</v>
      </c>
      <c r="K1167" s="76">
        <f t="shared" si="77"/>
        <v>84.8</v>
      </c>
      <c r="L1167">
        <v>1</v>
      </c>
      <c r="M1167" s="29">
        <v>0</v>
      </c>
      <c r="N1167" t="s">
        <v>32</v>
      </c>
      <c r="O1167" t="s">
        <v>33</v>
      </c>
      <c r="P1167" t="s">
        <v>34</v>
      </c>
      <c r="Q1167" t="s">
        <v>34</v>
      </c>
      <c r="R1167" t="s">
        <v>34</v>
      </c>
      <c r="S1167" t="s">
        <v>34</v>
      </c>
      <c r="T1167" s="117">
        <v>0</v>
      </c>
    </row>
    <row r="1168" spans="1:21" x14ac:dyDescent="0.35">
      <c r="A1168" t="s">
        <v>19</v>
      </c>
      <c r="B1168" t="s">
        <v>25</v>
      </c>
      <c r="C1168" s="1">
        <v>45483</v>
      </c>
      <c r="D1168">
        <f t="shared" si="78"/>
        <v>10</v>
      </c>
      <c r="E1168">
        <f t="shared" si="79"/>
        <v>7</v>
      </c>
      <c r="F1168">
        <f t="shared" si="80"/>
        <v>2024</v>
      </c>
      <c r="G1168" t="s">
        <v>79</v>
      </c>
      <c r="H1168" s="98">
        <v>10841</v>
      </c>
      <c r="I1168" s="29">
        <v>13230</v>
      </c>
      <c r="J1168" s="12" t="s">
        <v>51</v>
      </c>
      <c r="K1168" s="76">
        <f>IF(J1168="USD",I1168,I1168*L1168)-0.01</f>
        <v>14334.694999999998</v>
      </c>
      <c r="L1168">
        <v>1.0834999999999999</v>
      </c>
      <c r="M1168" s="29">
        <v>0</v>
      </c>
      <c r="N1168" t="s">
        <v>42</v>
      </c>
      <c r="O1168" t="s">
        <v>33</v>
      </c>
      <c r="P1168" t="s">
        <v>34</v>
      </c>
      <c r="Q1168" t="s">
        <v>34</v>
      </c>
      <c r="R1168" t="s">
        <v>34</v>
      </c>
      <c r="S1168" t="s">
        <v>34</v>
      </c>
      <c r="T1168" s="117">
        <v>0</v>
      </c>
      <c r="U1168" s="209" t="s">
        <v>94</v>
      </c>
    </row>
    <row r="1169" spans="1:21" x14ac:dyDescent="0.35">
      <c r="A1169" t="s">
        <v>19</v>
      </c>
      <c r="B1169" t="s">
        <v>21</v>
      </c>
      <c r="C1169" s="1">
        <v>45483</v>
      </c>
      <c r="D1169">
        <f t="shared" si="78"/>
        <v>10</v>
      </c>
      <c r="E1169">
        <f t="shared" si="79"/>
        <v>7</v>
      </c>
      <c r="F1169">
        <f t="shared" si="80"/>
        <v>2024</v>
      </c>
      <c r="G1169" t="s">
        <v>39</v>
      </c>
      <c r="H1169" s="98">
        <v>10433</v>
      </c>
      <c r="I1169" s="29">
        <v>14137</v>
      </c>
      <c r="J1169" s="12" t="s">
        <v>31</v>
      </c>
      <c r="K1169" s="76">
        <f t="shared" ref="K1169:K1214" si="81">IF(J1169="USD",I1169,I1169*L1169)</f>
        <v>14137</v>
      </c>
      <c r="L1169">
        <v>1</v>
      </c>
      <c r="M1169" s="29">
        <v>0</v>
      </c>
      <c r="N1169" t="s">
        <v>32</v>
      </c>
      <c r="O1169" t="s">
        <v>33</v>
      </c>
      <c r="P1169" t="s">
        <v>34</v>
      </c>
      <c r="Q1169" t="s">
        <v>34</v>
      </c>
      <c r="R1169" t="s">
        <v>34</v>
      </c>
      <c r="S1169" t="s">
        <v>34</v>
      </c>
      <c r="T1169" s="117">
        <v>0</v>
      </c>
    </row>
    <row r="1170" spans="1:21" x14ac:dyDescent="0.35">
      <c r="A1170" t="s">
        <v>19</v>
      </c>
      <c r="B1170" t="s">
        <v>24</v>
      </c>
      <c r="C1170" s="1">
        <v>45483</v>
      </c>
      <c r="D1170">
        <f t="shared" si="78"/>
        <v>10</v>
      </c>
      <c r="E1170">
        <f t="shared" si="79"/>
        <v>7</v>
      </c>
      <c r="F1170">
        <f t="shared" si="80"/>
        <v>2024</v>
      </c>
      <c r="G1170" t="s">
        <v>352</v>
      </c>
      <c r="H1170" s="98">
        <v>10838</v>
      </c>
      <c r="I1170" s="29">
        <v>5032.8</v>
      </c>
      <c r="J1170" s="12" t="s">
        <v>31</v>
      </c>
      <c r="K1170" s="76">
        <f t="shared" si="81"/>
        <v>5032.8</v>
      </c>
      <c r="L1170">
        <v>1</v>
      </c>
      <c r="M1170" s="29">
        <v>0</v>
      </c>
      <c r="N1170" t="s">
        <v>42</v>
      </c>
      <c r="O1170" t="s">
        <v>33</v>
      </c>
      <c r="P1170" t="s">
        <v>34</v>
      </c>
      <c r="Q1170" t="s">
        <v>34</v>
      </c>
      <c r="R1170" t="s">
        <v>34</v>
      </c>
      <c r="S1170" t="s">
        <v>34</v>
      </c>
      <c r="T1170" s="117">
        <v>0</v>
      </c>
    </row>
    <row r="1171" spans="1:21" x14ac:dyDescent="0.35">
      <c r="A1171" t="s">
        <v>19</v>
      </c>
      <c r="B1171" t="s">
        <v>24</v>
      </c>
      <c r="C1171" s="1">
        <v>45483</v>
      </c>
      <c r="D1171">
        <f t="shared" si="78"/>
        <v>10</v>
      </c>
      <c r="E1171">
        <f t="shared" si="79"/>
        <v>7</v>
      </c>
      <c r="F1171">
        <f t="shared" si="80"/>
        <v>2024</v>
      </c>
      <c r="G1171" t="s">
        <v>352</v>
      </c>
      <c r="H1171" s="98">
        <v>10838</v>
      </c>
      <c r="I1171" s="29">
        <v>6120</v>
      </c>
      <c r="J1171" s="12" t="s">
        <v>31</v>
      </c>
      <c r="K1171" s="76">
        <f t="shared" si="81"/>
        <v>6120</v>
      </c>
      <c r="L1171">
        <v>1</v>
      </c>
      <c r="M1171" s="29">
        <v>0</v>
      </c>
      <c r="N1171" t="s">
        <v>42</v>
      </c>
      <c r="O1171" t="s">
        <v>33</v>
      </c>
      <c r="P1171" t="s">
        <v>34</v>
      </c>
      <c r="Q1171" t="s">
        <v>34</v>
      </c>
      <c r="R1171" t="s">
        <v>34</v>
      </c>
      <c r="S1171" t="s">
        <v>34</v>
      </c>
      <c r="T1171" s="117">
        <v>0</v>
      </c>
      <c r="U1171" s="209" t="s">
        <v>514</v>
      </c>
    </row>
    <row r="1172" spans="1:21" x14ac:dyDescent="0.35">
      <c r="A1172" t="s">
        <v>19</v>
      </c>
      <c r="B1172" t="s">
        <v>25</v>
      </c>
      <c r="C1172" s="1">
        <v>45483</v>
      </c>
      <c r="D1172">
        <f t="shared" si="78"/>
        <v>10</v>
      </c>
      <c r="E1172">
        <f t="shared" si="79"/>
        <v>7</v>
      </c>
      <c r="F1172">
        <f t="shared" si="80"/>
        <v>2024</v>
      </c>
      <c r="G1172" t="s">
        <v>38</v>
      </c>
      <c r="H1172" s="98">
        <v>10372</v>
      </c>
      <c r="I1172" s="29">
        <v>228.57</v>
      </c>
      <c r="J1172" s="12" t="s">
        <v>31</v>
      </c>
      <c r="K1172" s="76">
        <f t="shared" si="81"/>
        <v>228.57</v>
      </c>
      <c r="L1172">
        <v>1</v>
      </c>
      <c r="M1172" s="29">
        <v>0</v>
      </c>
      <c r="N1172" t="s">
        <v>32</v>
      </c>
      <c r="O1172" t="s">
        <v>33</v>
      </c>
      <c r="P1172" t="s">
        <v>34</v>
      </c>
      <c r="Q1172" t="s">
        <v>34</v>
      </c>
      <c r="R1172" t="s">
        <v>34</v>
      </c>
      <c r="S1172" t="s">
        <v>34</v>
      </c>
      <c r="T1172" s="117">
        <v>0</v>
      </c>
    </row>
    <row r="1173" spans="1:21" x14ac:dyDescent="0.35">
      <c r="A1173" t="s">
        <v>20</v>
      </c>
      <c r="B1173" t="s">
        <v>24</v>
      </c>
      <c r="C1173" s="1">
        <v>45483</v>
      </c>
      <c r="D1173">
        <f t="shared" si="78"/>
        <v>10</v>
      </c>
      <c r="E1173">
        <f t="shared" si="79"/>
        <v>7</v>
      </c>
      <c r="F1173">
        <f t="shared" si="80"/>
        <v>2024</v>
      </c>
      <c r="G1173" t="s">
        <v>202</v>
      </c>
      <c r="H1173" s="98">
        <v>10368</v>
      </c>
      <c r="I1173" s="29">
        <v>38539.730000000003</v>
      </c>
      <c r="J1173" s="12" t="s">
        <v>31</v>
      </c>
      <c r="K1173" s="76">
        <f t="shared" si="81"/>
        <v>38539.730000000003</v>
      </c>
      <c r="L1173">
        <v>1</v>
      </c>
      <c r="M1173" s="29">
        <v>0</v>
      </c>
      <c r="N1173" t="s">
        <v>32</v>
      </c>
      <c r="O1173" t="s">
        <v>33</v>
      </c>
      <c r="P1173" t="s">
        <v>34</v>
      </c>
      <c r="Q1173" t="s">
        <v>34</v>
      </c>
      <c r="R1173" t="s">
        <v>34</v>
      </c>
      <c r="S1173" t="s">
        <v>34</v>
      </c>
      <c r="T1173" s="117">
        <v>0</v>
      </c>
    </row>
    <row r="1174" spans="1:21" x14ac:dyDescent="0.35">
      <c r="A1174" t="s">
        <v>20</v>
      </c>
      <c r="B1174" t="s">
        <v>21</v>
      </c>
      <c r="C1174" s="1">
        <v>45483</v>
      </c>
      <c r="D1174">
        <f t="shared" si="78"/>
        <v>10</v>
      </c>
      <c r="E1174">
        <f t="shared" si="79"/>
        <v>7</v>
      </c>
      <c r="F1174">
        <f t="shared" si="80"/>
        <v>2024</v>
      </c>
      <c r="G1174" t="s">
        <v>273</v>
      </c>
      <c r="H1174" s="98">
        <v>10574</v>
      </c>
      <c r="I1174" s="29">
        <v>72</v>
      </c>
      <c r="J1174" s="12" t="s">
        <v>31</v>
      </c>
      <c r="K1174" s="76">
        <f t="shared" si="81"/>
        <v>72</v>
      </c>
      <c r="L1174">
        <v>1</v>
      </c>
      <c r="M1174" s="29">
        <v>0</v>
      </c>
      <c r="N1174" t="s">
        <v>32</v>
      </c>
      <c r="O1174" t="s">
        <v>33</v>
      </c>
      <c r="P1174" t="s">
        <v>34</v>
      </c>
      <c r="Q1174" t="s">
        <v>34</v>
      </c>
      <c r="R1174" t="s">
        <v>34</v>
      </c>
      <c r="S1174" t="s">
        <v>34</v>
      </c>
      <c r="T1174" s="117">
        <v>0</v>
      </c>
    </row>
    <row r="1175" spans="1:21" x14ac:dyDescent="0.35">
      <c r="A1175" t="s">
        <v>20</v>
      </c>
      <c r="B1175" t="s">
        <v>21</v>
      </c>
      <c r="C1175" s="1">
        <v>45483</v>
      </c>
      <c r="D1175">
        <f t="shared" si="78"/>
        <v>10</v>
      </c>
      <c r="E1175">
        <f t="shared" si="79"/>
        <v>7</v>
      </c>
      <c r="F1175">
        <f t="shared" si="80"/>
        <v>2024</v>
      </c>
      <c r="G1175" t="s">
        <v>273</v>
      </c>
      <c r="H1175" s="98">
        <v>10575</v>
      </c>
      <c r="I1175" s="29">
        <v>10103.76</v>
      </c>
      <c r="J1175" s="12" t="s">
        <v>31</v>
      </c>
      <c r="K1175" s="76">
        <f t="shared" si="81"/>
        <v>10103.76</v>
      </c>
      <c r="L1175">
        <v>1</v>
      </c>
      <c r="M1175" s="29">
        <v>0</v>
      </c>
      <c r="N1175" t="s">
        <v>32</v>
      </c>
      <c r="O1175" t="s">
        <v>33</v>
      </c>
      <c r="P1175" t="s">
        <v>34</v>
      </c>
      <c r="Q1175" t="s">
        <v>34</v>
      </c>
      <c r="R1175" t="s">
        <v>34</v>
      </c>
      <c r="S1175" t="s">
        <v>34</v>
      </c>
      <c r="T1175" s="117">
        <v>0</v>
      </c>
    </row>
    <row r="1176" spans="1:21" x14ac:dyDescent="0.35">
      <c r="A1176" t="s">
        <v>20</v>
      </c>
      <c r="B1176" t="s">
        <v>25</v>
      </c>
      <c r="C1176" s="1">
        <v>45483</v>
      </c>
      <c r="D1176">
        <f t="shared" si="78"/>
        <v>10</v>
      </c>
      <c r="E1176">
        <f t="shared" si="79"/>
        <v>7</v>
      </c>
      <c r="F1176">
        <f t="shared" si="80"/>
        <v>2024</v>
      </c>
      <c r="G1176" t="s">
        <v>81</v>
      </c>
      <c r="H1176" s="98">
        <v>10631</v>
      </c>
      <c r="I1176" s="29">
        <v>76570.13</v>
      </c>
      <c r="J1176" s="12" t="s">
        <v>31</v>
      </c>
      <c r="K1176" s="76">
        <f t="shared" si="81"/>
        <v>76570.13</v>
      </c>
      <c r="L1176">
        <v>1</v>
      </c>
      <c r="M1176" s="29">
        <v>0</v>
      </c>
      <c r="N1176" t="s">
        <v>32</v>
      </c>
      <c r="O1176" t="s">
        <v>33</v>
      </c>
      <c r="P1176" t="s">
        <v>34</v>
      </c>
      <c r="Q1176" t="s">
        <v>34</v>
      </c>
      <c r="R1176" t="s">
        <v>34</v>
      </c>
      <c r="S1176" t="s">
        <v>34</v>
      </c>
      <c r="T1176" s="117">
        <v>0</v>
      </c>
    </row>
    <row r="1177" spans="1:21" x14ac:dyDescent="0.35">
      <c r="A1177" t="s">
        <v>20</v>
      </c>
      <c r="B1177" t="s">
        <v>25</v>
      </c>
      <c r="C1177" s="1">
        <v>45483</v>
      </c>
      <c r="D1177">
        <f t="shared" si="78"/>
        <v>10</v>
      </c>
      <c r="E1177">
        <f t="shared" si="79"/>
        <v>7</v>
      </c>
      <c r="F1177">
        <f t="shared" si="80"/>
        <v>2024</v>
      </c>
      <c r="G1177" t="s">
        <v>81</v>
      </c>
      <c r="H1177" s="98">
        <v>10842</v>
      </c>
      <c r="I1177" s="29">
        <v>3324</v>
      </c>
      <c r="J1177" s="12" t="s">
        <v>31</v>
      </c>
      <c r="K1177" s="76">
        <f t="shared" si="81"/>
        <v>3324</v>
      </c>
      <c r="L1177">
        <v>1</v>
      </c>
      <c r="M1177" s="29">
        <v>0</v>
      </c>
      <c r="N1177" t="s">
        <v>42</v>
      </c>
      <c r="O1177" t="s">
        <v>33</v>
      </c>
      <c r="P1177" t="s">
        <v>34</v>
      </c>
      <c r="Q1177" t="s">
        <v>34</v>
      </c>
      <c r="R1177" t="s">
        <v>34</v>
      </c>
      <c r="S1177" t="s">
        <v>34</v>
      </c>
      <c r="T1177" s="117">
        <v>0</v>
      </c>
    </row>
    <row r="1178" spans="1:21" x14ac:dyDescent="0.35">
      <c r="A1178" t="s">
        <v>20</v>
      </c>
      <c r="B1178" t="s">
        <v>21</v>
      </c>
      <c r="C1178" s="1">
        <v>45483</v>
      </c>
      <c r="D1178">
        <f t="shared" si="78"/>
        <v>10</v>
      </c>
      <c r="E1178">
        <f t="shared" si="79"/>
        <v>7</v>
      </c>
      <c r="F1178">
        <f t="shared" si="80"/>
        <v>2024</v>
      </c>
      <c r="G1178" t="s">
        <v>164</v>
      </c>
      <c r="H1178" s="98">
        <v>10370</v>
      </c>
      <c r="I1178" s="29">
        <v>282.86</v>
      </c>
      <c r="J1178" s="12" t="s">
        <v>31</v>
      </c>
      <c r="K1178" s="76">
        <f t="shared" si="81"/>
        <v>282.86</v>
      </c>
      <c r="L1178">
        <v>1</v>
      </c>
      <c r="M1178" s="29">
        <v>0</v>
      </c>
      <c r="N1178" t="s">
        <v>32</v>
      </c>
      <c r="O1178" t="s">
        <v>33</v>
      </c>
      <c r="P1178" t="s">
        <v>34</v>
      </c>
      <c r="Q1178" t="s">
        <v>34</v>
      </c>
      <c r="R1178" t="s">
        <v>34</v>
      </c>
      <c r="S1178" t="s">
        <v>34</v>
      </c>
      <c r="T1178" s="117">
        <v>0</v>
      </c>
    </row>
    <row r="1179" spans="1:21" x14ac:dyDescent="0.35">
      <c r="A1179" t="s">
        <v>20</v>
      </c>
      <c r="B1179" t="s">
        <v>21</v>
      </c>
      <c r="C1179" s="1">
        <v>45483</v>
      </c>
      <c r="D1179">
        <f t="shared" si="78"/>
        <v>10</v>
      </c>
      <c r="E1179">
        <f t="shared" si="79"/>
        <v>7</v>
      </c>
      <c r="F1179">
        <f t="shared" si="80"/>
        <v>2024</v>
      </c>
      <c r="G1179" t="s">
        <v>164</v>
      </c>
      <c r="H1179" s="98">
        <v>10371</v>
      </c>
      <c r="I1179" s="29">
        <v>4360.38</v>
      </c>
      <c r="J1179" s="12" t="s">
        <v>31</v>
      </c>
      <c r="K1179" s="76">
        <f t="shared" si="81"/>
        <v>4360.38</v>
      </c>
      <c r="L1179">
        <v>1</v>
      </c>
      <c r="M1179" s="29">
        <v>0</v>
      </c>
      <c r="N1179" t="s">
        <v>32</v>
      </c>
      <c r="O1179" t="s">
        <v>33</v>
      </c>
      <c r="P1179" t="s">
        <v>34</v>
      </c>
      <c r="Q1179" t="s">
        <v>34</v>
      </c>
      <c r="R1179" t="s">
        <v>34</v>
      </c>
      <c r="S1179" t="s">
        <v>34</v>
      </c>
      <c r="T1179" s="117">
        <v>396.82</v>
      </c>
    </row>
    <row r="1180" spans="1:21" x14ac:dyDescent="0.35">
      <c r="A1180" t="s">
        <v>20</v>
      </c>
      <c r="B1180" t="s">
        <v>25</v>
      </c>
      <c r="C1180" s="1">
        <v>45483</v>
      </c>
      <c r="D1180">
        <f t="shared" si="78"/>
        <v>10</v>
      </c>
      <c r="E1180">
        <f t="shared" si="79"/>
        <v>7</v>
      </c>
      <c r="F1180">
        <f t="shared" si="80"/>
        <v>2024</v>
      </c>
      <c r="G1180" t="s">
        <v>97</v>
      </c>
      <c r="H1180" s="98">
        <v>10742</v>
      </c>
      <c r="I1180" s="29">
        <v>1843</v>
      </c>
      <c r="J1180" s="12" t="s">
        <v>31</v>
      </c>
      <c r="K1180" s="76">
        <f t="shared" si="81"/>
        <v>1843</v>
      </c>
      <c r="L1180">
        <v>1</v>
      </c>
      <c r="M1180" s="29">
        <v>0</v>
      </c>
      <c r="N1180" t="s">
        <v>32</v>
      </c>
      <c r="O1180" t="s">
        <v>33</v>
      </c>
      <c r="P1180" t="s">
        <v>34</v>
      </c>
      <c r="Q1180" t="s">
        <v>34</v>
      </c>
      <c r="R1180" t="s">
        <v>34</v>
      </c>
      <c r="S1180" t="s">
        <v>34</v>
      </c>
      <c r="T1180" s="117">
        <v>0</v>
      </c>
    </row>
    <row r="1181" spans="1:21" x14ac:dyDescent="0.35">
      <c r="A1181" t="s">
        <v>20</v>
      </c>
      <c r="B1181" t="s">
        <v>23</v>
      </c>
      <c r="C1181" s="1">
        <v>45483</v>
      </c>
      <c r="D1181">
        <f t="shared" si="78"/>
        <v>10</v>
      </c>
      <c r="E1181">
        <f t="shared" si="79"/>
        <v>7</v>
      </c>
      <c r="F1181">
        <f t="shared" si="80"/>
        <v>2024</v>
      </c>
      <c r="G1181" t="s">
        <v>97</v>
      </c>
      <c r="H1181" s="98">
        <v>10742</v>
      </c>
      <c r="I1181" s="29">
        <v>109.5</v>
      </c>
      <c r="J1181" s="12" t="s">
        <v>31</v>
      </c>
      <c r="K1181" s="76">
        <f t="shared" si="81"/>
        <v>109.5</v>
      </c>
      <c r="L1181">
        <v>1</v>
      </c>
      <c r="M1181" s="29">
        <v>0</v>
      </c>
      <c r="N1181" t="s">
        <v>32</v>
      </c>
      <c r="O1181" t="s">
        <v>33</v>
      </c>
      <c r="P1181" t="s">
        <v>34</v>
      </c>
      <c r="Q1181" t="s">
        <v>34</v>
      </c>
      <c r="R1181" t="s">
        <v>34</v>
      </c>
      <c r="S1181" t="s">
        <v>34</v>
      </c>
      <c r="T1181" s="117">
        <v>0</v>
      </c>
    </row>
    <row r="1182" spans="1:21" x14ac:dyDescent="0.35">
      <c r="A1182" t="s">
        <v>20</v>
      </c>
      <c r="B1182" t="s">
        <v>25</v>
      </c>
      <c r="C1182" s="1">
        <v>45483</v>
      </c>
      <c r="D1182">
        <f t="shared" si="78"/>
        <v>10</v>
      </c>
      <c r="E1182">
        <f t="shared" si="79"/>
        <v>7</v>
      </c>
      <c r="F1182">
        <f t="shared" si="80"/>
        <v>2024</v>
      </c>
      <c r="G1182" t="s">
        <v>104</v>
      </c>
      <c r="H1182" s="98">
        <v>10582</v>
      </c>
      <c r="I1182" s="29">
        <v>2454</v>
      </c>
      <c r="J1182" s="12" t="s">
        <v>31</v>
      </c>
      <c r="K1182" s="76">
        <f t="shared" si="81"/>
        <v>2454</v>
      </c>
      <c r="L1182">
        <v>1</v>
      </c>
      <c r="M1182" s="29">
        <v>0</v>
      </c>
      <c r="N1182" t="s">
        <v>42</v>
      </c>
      <c r="O1182" t="s">
        <v>33</v>
      </c>
      <c r="P1182" t="s">
        <v>34</v>
      </c>
      <c r="Q1182" t="s">
        <v>34</v>
      </c>
      <c r="R1182" t="s">
        <v>34</v>
      </c>
      <c r="S1182" t="s">
        <v>34</v>
      </c>
      <c r="T1182" s="117">
        <v>0</v>
      </c>
    </row>
    <row r="1183" spans="1:21" x14ac:dyDescent="0.35">
      <c r="A1183" t="s">
        <v>20</v>
      </c>
      <c r="B1183" t="s">
        <v>25</v>
      </c>
      <c r="C1183" s="1">
        <v>45483</v>
      </c>
      <c r="D1183">
        <f t="shared" si="78"/>
        <v>10</v>
      </c>
      <c r="E1183">
        <f t="shared" si="79"/>
        <v>7</v>
      </c>
      <c r="F1183">
        <f t="shared" si="80"/>
        <v>2024</v>
      </c>
      <c r="G1183" t="s">
        <v>174</v>
      </c>
      <c r="H1183" s="98">
        <v>10712</v>
      </c>
      <c r="I1183" s="29">
        <v>2710.2</v>
      </c>
      <c r="J1183" s="12" t="s">
        <v>31</v>
      </c>
      <c r="K1183" s="76">
        <f t="shared" si="81"/>
        <v>2710.2</v>
      </c>
      <c r="L1183">
        <v>1</v>
      </c>
      <c r="M1183" s="29">
        <v>0</v>
      </c>
      <c r="N1183" t="s">
        <v>42</v>
      </c>
      <c r="O1183" t="s">
        <v>33</v>
      </c>
      <c r="P1183" t="s">
        <v>34</v>
      </c>
      <c r="Q1183" t="s">
        <v>34</v>
      </c>
      <c r="R1183" t="s">
        <v>34</v>
      </c>
      <c r="S1183" t="s">
        <v>34</v>
      </c>
      <c r="T1183" s="117">
        <v>82.8</v>
      </c>
    </row>
    <row r="1184" spans="1:21" x14ac:dyDescent="0.35">
      <c r="A1184" t="s">
        <v>20</v>
      </c>
      <c r="B1184" t="s">
        <v>24</v>
      </c>
      <c r="C1184" s="1">
        <v>45483</v>
      </c>
      <c r="D1184">
        <f t="shared" si="78"/>
        <v>10</v>
      </c>
      <c r="E1184">
        <f t="shared" si="79"/>
        <v>7</v>
      </c>
      <c r="F1184">
        <f t="shared" si="80"/>
        <v>2024</v>
      </c>
      <c r="G1184" t="s">
        <v>50</v>
      </c>
      <c r="H1184" s="98">
        <v>10578</v>
      </c>
      <c r="I1184" s="29">
        <v>99</v>
      </c>
      <c r="J1184" s="12" t="s">
        <v>31</v>
      </c>
      <c r="K1184" s="76">
        <f t="shared" si="81"/>
        <v>99</v>
      </c>
      <c r="L1184">
        <v>1</v>
      </c>
      <c r="M1184" s="29">
        <v>0</v>
      </c>
      <c r="N1184" t="s">
        <v>32</v>
      </c>
      <c r="O1184" t="s">
        <v>33</v>
      </c>
      <c r="P1184" t="s">
        <v>34</v>
      </c>
      <c r="Q1184" t="s">
        <v>34</v>
      </c>
      <c r="R1184" t="s">
        <v>34</v>
      </c>
      <c r="S1184" t="s">
        <v>34</v>
      </c>
      <c r="T1184" s="117">
        <v>0</v>
      </c>
    </row>
    <row r="1185" spans="1:20" x14ac:dyDescent="0.35">
      <c r="A1185" t="s">
        <v>20</v>
      </c>
      <c r="B1185" t="s">
        <v>23</v>
      </c>
      <c r="C1185" s="1">
        <v>45483</v>
      </c>
      <c r="D1185">
        <f t="shared" si="78"/>
        <v>10</v>
      </c>
      <c r="E1185">
        <f t="shared" si="79"/>
        <v>7</v>
      </c>
      <c r="F1185">
        <f t="shared" si="80"/>
        <v>2024</v>
      </c>
      <c r="G1185" t="s">
        <v>82</v>
      </c>
      <c r="H1185" s="98">
        <v>10277</v>
      </c>
      <c r="I1185" s="29">
        <v>83738.17</v>
      </c>
      <c r="J1185" s="12" t="s">
        <v>31</v>
      </c>
      <c r="K1185" s="76">
        <f t="shared" si="81"/>
        <v>83738.17</v>
      </c>
      <c r="L1185">
        <v>1</v>
      </c>
      <c r="M1185" s="29">
        <v>0</v>
      </c>
      <c r="N1185" t="s">
        <v>32</v>
      </c>
      <c r="O1185" t="s">
        <v>33</v>
      </c>
      <c r="P1185" t="s">
        <v>34</v>
      </c>
      <c r="Q1185" t="s">
        <v>34</v>
      </c>
      <c r="R1185" t="s">
        <v>34</v>
      </c>
      <c r="S1185" t="s">
        <v>34</v>
      </c>
      <c r="T1185" s="117">
        <v>0</v>
      </c>
    </row>
    <row r="1186" spans="1:20" x14ac:dyDescent="0.35">
      <c r="A1186" t="s">
        <v>20</v>
      </c>
      <c r="B1186" t="s">
        <v>21</v>
      </c>
      <c r="C1186" s="1">
        <v>45483</v>
      </c>
      <c r="D1186">
        <f t="shared" si="78"/>
        <v>10</v>
      </c>
      <c r="E1186">
        <f t="shared" si="79"/>
        <v>7</v>
      </c>
      <c r="F1186">
        <f t="shared" si="80"/>
        <v>2024</v>
      </c>
      <c r="G1186" t="s">
        <v>82</v>
      </c>
      <c r="H1186" s="98">
        <v>10277</v>
      </c>
      <c r="I1186" s="29">
        <v>12108.1</v>
      </c>
      <c r="J1186" s="12" t="s">
        <v>31</v>
      </c>
      <c r="K1186" s="76">
        <f t="shared" si="81"/>
        <v>12108.1</v>
      </c>
      <c r="L1186">
        <v>1</v>
      </c>
      <c r="M1186" s="29">
        <v>0</v>
      </c>
      <c r="N1186" t="s">
        <v>32</v>
      </c>
      <c r="O1186" t="s">
        <v>33</v>
      </c>
      <c r="P1186" t="s">
        <v>34</v>
      </c>
      <c r="Q1186" t="s">
        <v>34</v>
      </c>
      <c r="R1186" t="s">
        <v>34</v>
      </c>
      <c r="S1186" t="s">
        <v>34</v>
      </c>
      <c r="T1186" s="117">
        <v>0</v>
      </c>
    </row>
    <row r="1187" spans="1:20" x14ac:dyDescent="0.35">
      <c r="A1187" t="s">
        <v>20</v>
      </c>
      <c r="B1187" t="s">
        <v>24</v>
      </c>
      <c r="C1187" s="1">
        <v>45483</v>
      </c>
      <c r="D1187">
        <f t="shared" si="78"/>
        <v>10</v>
      </c>
      <c r="E1187">
        <f t="shared" si="79"/>
        <v>7</v>
      </c>
      <c r="F1187">
        <f t="shared" si="80"/>
        <v>2024</v>
      </c>
      <c r="G1187" t="s">
        <v>82</v>
      </c>
      <c r="H1187" s="98">
        <v>10706</v>
      </c>
      <c r="I1187" s="29">
        <v>26</v>
      </c>
      <c r="J1187" s="12" t="s">
        <v>31</v>
      </c>
      <c r="K1187" s="76">
        <f t="shared" si="81"/>
        <v>26</v>
      </c>
      <c r="L1187">
        <v>1</v>
      </c>
      <c r="M1187" s="29">
        <v>0</v>
      </c>
      <c r="N1187" t="s">
        <v>32</v>
      </c>
      <c r="O1187" t="s">
        <v>33</v>
      </c>
      <c r="P1187" t="s">
        <v>34</v>
      </c>
      <c r="Q1187" t="s">
        <v>34</v>
      </c>
      <c r="R1187" t="s">
        <v>34</v>
      </c>
      <c r="S1187" t="s">
        <v>34</v>
      </c>
      <c r="T1187" s="117">
        <v>0</v>
      </c>
    </row>
    <row r="1188" spans="1:20" x14ac:dyDescent="0.35">
      <c r="A1188" t="s">
        <v>20</v>
      </c>
      <c r="B1188" t="s">
        <v>21</v>
      </c>
      <c r="C1188" s="1">
        <v>45483</v>
      </c>
      <c r="D1188">
        <f t="shared" si="78"/>
        <v>10</v>
      </c>
      <c r="E1188">
        <f t="shared" si="79"/>
        <v>7</v>
      </c>
      <c r="F1188">
        <f t="shared" si="80"/>
        <v>2024</v>
      </c>
      <c r="G1188" t="s">
        <v>82</v>
      </c>
      <c r="H1188" s="98">
        <v>10691</v>
      </c>
      <c r="I1188" s="29">
        <v>59.6</v>
      </c>
      <c r="J1188" s="12" t="s">
        <v>31</v>
      </c>
      <c r="K1188" s="76">
        <f t="shared" si="81"/>
        <v>59.6</v>
      </c>
      <c r="L1188">
        <v>1</v>
      </c>
      <c r="M1188" s="29">
        <v>0</v>
      </c>
      <c r="N1188" t="s">
        <v>32</v>
      </c>
      <c r="O1188" t="s">
        <v>33</v>
      </c>
      <c r="P1188" t="s">
        <v>34</v>
      </c>
      <c r="Q1188" t="s">
        <v>34</v>
      </c>
      <c r="R1188" t="s">
        <v>34</v>
      </c>
      <c r="S1188" t="s">
        <v>34</v>
      </c>
      <c r="T1188" s="117">
        <v>0</v>
      </c>
    </row>
    <row r="1189" spans="1:20" x14ac:dyDescent="0.35">
      <c r="A1189" t="s">
        <v>20</v>
      </c>
      <c r="B1189" t="s">
        <v>23</v>
      </c>
      <c r="C1189" s="1">
        <v>45483</v>
      </c>
      <c r="D1189">
        <f t="shared" si="78"/>
        <v>10</v>
      </c>
      <c r="E1189">
        <f t="shared" si="79"/>
        <v>7</v>
      </c>
      <c r="F1189">
        <f t="shared" si="80"/>
        <v>2024</v>
      </c>
      <c r="G1189" t="s">
        <v>82</v>
      </c>
      <c r="H1189" s="98">
        <v>10627</v>
      </c>
      <c r="I1189" s="29">
        <v>99.2</v>
      </c>
      <c r="J1189" s="12" t="s">
        <v>31</v>
      </c>
      <c r="K1189" s="76">
        <f t="shared" si="81"/>
        <v>99.2</v>
      </c>
      <c r="L1189">
        <v>1</v>
      </c>
      <c r="M1189" s="29">
        <v>0</v>
      </c>
      <c r="N1189" t="s">
        <v>32</v>
      </c>
      <c r="O1189" t="s">
        <v>33</v>
      </c>
      <c r="P1189" t="s">
        <v>34</v>
      </c>
      <c r="Q1189" t="s">
        <v>34</v>
      </c>
      <c r="R1189" t="s">
        <v>34</v>
      </c>
      <c r="S1189" t="s">
        <v>34</v>
      </c>
      <c r="T1189" s="117">
        <v>0</v>
      </c>
    </row>
    <row r="1190" spans="1:20" x14ac:dyDescent="0.35">
      <c r="A1190" t="s">
        <v>20</v>
      </c>
      <c r="B1190" t="s">
        <v>24</v>
      </c>
      <c r="C1190" s="1">
        <v>45483</v>
      </c>
      <c r="D1190">
        <f t="shared" si="78"/>
        <v>10</v>
      </c>
      <c r="E1190">
        <f t="shared" si="79"/>
        <v>7</v>
      </c>
      <c r="F1190">
        <f t="shared" si="80"/>
        <v>2024</v>
      </c>
      <c r="G1190" t="s">
        <v>85</v>
      </c>
      <c r="H1190" s="98">
        <v>10700</v>
      </c>
      <c r="I1190" s="29">
        <v>37719.19</v>
      </c>
      <c r="J1190" s="12" t="s">
        <v>31</v>
      </c>
      <c r="K1190" s="76">
        <f t="shared" si="81"/>
        <v>37719.19</v>
      </c>
      <c r="L1190">
        <v>1</v>
      </c>
      <c r="M1190" s="29">
        <v>0</v>
      </c>
      <c r="N1190" t="s">
        <v>42</v>
      </c>
      <c r="O1190" t="s">
        <v>33</v>
      </c>
      <c r="P1190" t="s">
        <v>34</v>
      </c>
      <c r="Q1190" t="s">
        <v>34</v>
      </c>
      <c r="R1190" t="s">
        <v>34</v>
      </c>
      <c r="S1190" t="s">
        <v>34</v>
      </c>
      <c r="T1190" s="117">
        <v>0</v>
      </c>
    </row>
    <row r="1191" spans="1:20" x14ac:dyDescent="0.35">
      <c r="A1191" t="s">
        <v>20</v>
      </c>
      <c r="B1191" t="s">
        <v>25</v>
      </c>
      <c r="C1191" s="1">
        <v>45483</v>
      </c>
      <c r="D1191">
        <f t="shared" si="78"/>
        <v>10</v>
      </c>
      <c r="E1191">
        <f t="shared" si="79"/>
        <v>7</v>
      </c>
      <c r="F1191">
        <f t="shared" si="80"/>
        <v>2024</v>
      </c>
      <c r="G1191" t="s">
        <v>121</v>
      </c>
      <c r="H1191" s="98">
        <v>9840</v>
      </c>
      <c r="I1191" s="29">
        <v>16358.06</v>
      </c>
      <c r="J1191" s="12" t="s">
        <v>31</v>
      </c>
      <c r="K1191" s="76">
        <f t="shared" si="81"/>
        <v>16358.06</v>
      </c>
      <c r="L1191">
        <v>1</v>
      </c>
      <c r="M1191" s="29">
        <v>0</v>
      </c>
      <c r="N1191" t="s">
        <v>32</v>
      </c>
      <c r="O1191" t="s">
        <v>33</v>
      </c>
      <c r="P1191" t="s">
        <v>34</v>
      </c>
      <c r="Q1191" t="s">
        <v>34</v>
      </c>
      <c r="R1191" t="s">
        <v>34</v>
      </c>
      <c r="S1191" t="s">
        <v>34</v>
      </c>
      <c r="T1191" s="117">
        <v>0</v>
      </c>
    </row>
    <row r="1192" spans="1:20" x14ac:dyDescent="0.35">
      <c r="A1192" t="s">
        <v>20</v>
      </c>
      <c r="B1192" t="s">
        <v>25</v>
      </c>
      <c r="C1192" s="1">
        <v>45483</v>
      </c>
      <c r="D1192">
        <f t="shared" si="78"/>
        <v>10</v>
      </c>
      <c r="E1192">
        <f t="shared" si="79"/>
        <v>7</v>
      </c>
      <c r="F1192">
        <f t="shared" si="80"/>
        <v>2024</v>
      </c>
      <c r="G1192" t="s">
        <v>43</v>
      </c>
      <c r="H1192" s="98">
        <v>10612</v>
      </c>
      <c r="I1192" s="29">
        <v>105.2</v>
      </c>
      <c r="J1192" s="12" t="s">
        <v>31</v>
      </c>
      <c r="K1192" s="76">
        <f t="shared" si="81"/>
        <v>105.2</v>
      </c>
      <c r="L1192">
        <v>1</v>
      </c>
      <c r="M1192" s="29">
        <v>0</v>
      </c>
      <c r="N1192" t="s">
        <v>32</v>
      </c>
      <c r="O1192" t="s">
        <v>33</v>
      </c>
      <c r="P1192" t="s">
        <v>34</v>
      </c>
      <c r="Q1192" t="s">
        <v>34</v>
      </c>
      <c r="R1192" t="s">
        <v>34</v>
      </c>
      <c r="S1192" t="s">
        <v>34</v>
      </c>
      <c r="T1192" s="117">
        <v>0</v>
      </c>
    </row>
    <row r="1193" spans="1:20" x14ac:dyDescent="0.35">
      <c r="A1193" t="s">
        <v>20</v>
      </c>
      <c r="B1193" t="s">
        <v>23</v>
      </c>
      <c r="C1193" s="1">
        <v>45483</v>
      </c>
      <c r="D1193">
        <f t="shared" si="78"/>
        <v>10</v>
      </c>
      <c r="E1193">
        <f t="shared" si="79"/>
        <v>7</v>
      </c>
      <c r="F1193">
        <f t="shared" si="80"/>
        <v>2024</v>
      </c>
      <c r="G1193" t="s">
        <v>43</v>
      </c>
      <c r="H1193" s="98">
        <v>10491</v>
      </c>
      <c r="I1193" s="29">
        <v>29.6</v>
      </c>
      <c r="J1193" s="12" t="s">
        <v>31</v>
      </c>
      <c r="K1193" s="76">
        <f t="shared" si="81"/>
        <v>29.6</v>
      </c>
      <c r="L1193">
        <v>1</v>
      </c>
      <c r="M1193" s="29">
        <v>0</v>
      </c>
      <c r="N1193" t="s">
        <v>32</v>
      </c>
      <c r="O1193" t="s">
        <v>33</v>
      </c>
      <c r="P1193" t="s">
        <v>34</v>
      </c>
      <c r="Q1193" t="s">
        <v>34</v>
      </c>
      <c r="R1193" t="s">
        <v>34</v>
      </c>
      <c r="S1193" t="s">
        <v>34</v>
      </c>
      <c r="T1193" s="117">
        <v>0</v>
      </c>
    </row>
    <row r="1194" spans="1:20" x14ac:dyDescent="0.35">
      <c r="A1194" t="s">
        <v>20</v>
      </c>
      <c r="B1194" t="s">
        <v>23</v>
      </c>
      <c r="C1194" s="1">
        <v>45483</v>
      </c>
      <c r="D1194">
        <f t="shared" si="78"/>
        <v>10</v>
      </c>
      <c r="E1194">
        <f t="shared" si="79"/>
        <v>7</v>
      </c>
      <c r="F1194">
        <f t="shared" si="80"/>
        <v>2024</v>
      </c>
      <c r="G1194" t="s">
        <v>43</v>
      </c>
      <c r="H1194" s="98">
        <v>10492</v>
      </c>
      <c r="I1194" s="29">
        <v>6912.19</v>
      </c>
      <c r="J1194" s="12" t="s">
        <v>31</v>
      </c>
      <c r="K1194" s="76">
        <f t="shared" si="81"/>
        <v>6912.19</v>
      </c>
      <c r="L1194">
        <v>1</v>
      </c>
      <c r="M1194" s="29">
        <v>0</v>
      </c>
      <c r="N1194" t="s">
        <v>32</v>
      </c>
      <c r="O1194" t="s">
        <v>33</v>
      </c>
      <c r="P1194" t="s">
        <v>34</v>
      </c>
      <c r="Q1194" t="s">
        <v>34</v>
      </c>
      <c r="R1194" t="s">
        <v>34</v>
      </c>
      <c r="S1194" t="s">
        <v>34</v>
      </c>
      <c r="T1194" s="117">
        <v>0</v>
      </c>
    </row>
    <row r="1195" spans="1:20" x14ac:dyDescent="0.35">
      <c r="A1195" t="s">
        <v>20</v>
      </c>
      <c r="B1195" t="s">
        <v>25</v>
      </c>
      <c r="C1195" s="1">
        <v>45483</v>
      </c>
      <c r="D1195">
        <f t="shared" si="78"/>
        <v>10</v>
      </c>
      <c r="E1195">
        <f t="shared" si="79"/>
        <v>7</v>
      </c>
      <c r="F1195">
        <f t="shared" si="80"/>
        <v>2024</v>
      </c>
      <c r="G1195" t="s">
        <v>43</v>
      </c>
      <c r="H1195" s="98">
        <v>10492</v>
      </c>
      <c r="I1195" s="29">
        <v>15168.14</v>
      </c>
      <c r="J1195" s="12" t="s">
        <v>31</v>
      </c>
      <c r="K1195" s="76">
        <f t="shared" si="81"/>
        <v>15168.14</v>
      </c>
      <c r="L1195">
        <v>1</v>
      </c>
      <c r="M1195" s="29">
        <v>0</v>
      </c>
      <c r="N1195" t="s">
        <v>32</v>
      </c>
      <c r="O1195" t="s">
        <v>33</v>
      </c>
      <c r="P1195" t="s">
        <v>34</v>
      </c>
      <c r="Q1195" t="s">
        <v>34</v>
      </c>
      <c r="R1195" t="s">
        <v>34</v>
      </c>
      <c r="S1195" t="s">
        <v>34</v>
      </c>
      <c r="T1195" s="117">
        <v>0</v>
      </c>
    </row>
    <row r="1196" spans="1:20" x14ac:dyDescent="0.35">
      <c r="A1196" t="s">
        <v>20</v>
      </c>
      <c r="B1196" t="s">
        <v>21</v>
      </c>
      <c r="C1196" s="1">
        <v>45483</v>
      </c>
      <c r="D1196">
        <f t="shared" si="78"/>
        <v>10</v>
      </c>
      <c r="E1196">
        <f t="shared" si="79"/>
        <v>7</v>
      </c>
      <c r="F1196">
        <f t="shared" si="80"/>
        <v>2024</v>
      </c>
      <c r="G1196" t="s">
        <v>43</v>
      </c>
      <c r="H1196" s="98">
        <v>10685</v>
      </c>
      <c r="I1196" s="29">
        <v>119.8</v>
      </c>
      <c r="J1196" s="12" t="s">
        <v>31</v>
      </c>
      <c r="K1196" s="76">
        <f t="shared" si="81"/>
        <v>119.8</v>
      </c>
      <c r="L1196">
        <v>1</v>
      </c>
      <c r="M1196" s="29">
        <v>0</v>
      </c>
      <c r="N1196" t="s">
        <v>32</v>
      </c>
      <c r="O1196" t="s">
        <v>33</v>
      </c>
      <c r="P1196" t="s">
        <v>34</v>
      </c>
      <c r="Q1196" t="s">
        <v>34</v>
      </c>
      <c r="R1196" t="s">
        <v>34</v>
      </c>
      <c r="S1196" t="s">
        <v>34</v>
      </c>
      <c r="T1196" s="117">
        <v>0</v>
      </c>
    </row>
    <row r="1197" spans="1:20" x14ac:dyDescent="0.35">
      <c r="A1197" t="s">
        <v>19</v>
      </c>
      <c r="B1197" t="s">
        <v>19</v>
      </c>
      <c r="C1197" s="1">
        <v>45483</v>
      </c>
      <c r="D1197">
        <f t="shared" si="78"/>
        <v>10</v>
      </c>
      <c r="E1197">
        <f t="shared" si="79"/>
        <v>7</v>
      </c>
      <c r="F1197">
        <f t="shared" si="80"/>
        <v>2024</v>
      </c>
      <c r="G1197" t="s">
        <v>125</v>
      </c>
      <c r="H1197" s="98" t="s">
        <v>323</v>
      </c>
      <c r="I1197" s="29">
        <v>51794.13</v>
      </c>
      <c r="J1197" s="12" t="s">
        <v>31</v>
      </c>
      <c r="K1197" s="76">
        <f t="shared" si="81"/>
        <v>51794.13</v>
      </c>
      <c r="L1197">
        <v>1</v>
      </c>
      <c r="M1197" s="29">
        <v>0</v>
      </c>
      <c r="N1197" t="s">
        <v>32</v>
      </c>
      <c r="O1197" t="s">
        <v>33</v>
      </c>
      <c r="P1197" t="s">
        <v>34</v>
      </c>
      <c r="Q1197" t="s">
        <v>34</v>
      </c>
      <c r="R1197" t="s">
        <v>34</v>
      </c>
      <c r="S1197" t="s">
        <v>34</v>
      </c>
      <c r="T1197" s="117">
        <v>0</v>
      </c>
    </row>
    <row r="1198" spans="1:20" x14ac:dyDescent="0.35">
      <c r="A1198" t="s">
        <v>19</v>
      </c>
      <c r="B1198" t="s">
        <v>19</v>
      </c>
      <c r="C1198" s="1">
        <v>45483</v>
      </c>
      <c r="D1198">
        <f t="shared" si="78"/>
        <v>10</v>
      </c>
      <c r="E1198">
        <f t="shared" si="79"/>
        <v>7</v>
      </c>
      <c r="F1198">
        <f t="shared" si="80"/>
        <v>2024</v>
      </c>
      <c r="G1198" t="s">
        <v>58</v>
      </c>
      <c r="H1198" s="171" t="s">
        <v>314</v>
      </c>
      <c r="I1198" s="90">
        <v>29188.78</v>
      </c>
      <c r="J1198" s="12" t="s">
        <v>31</v>
      </c>
      <c r="K1198" s="76">
        <f t="shared" si="81"/>
        <v>29188.78</v>
      </c>
      <c r="L1198">
        <v>1</v>
      </c>
      <c r="M1198" s="29">
        <v>0</v>
      </c>
      <c r="N1198" t="s">
        <v>32</v>
      </c>
      <c r="O1198" t="s">
        <v>33</v>
      </c>
      <c r="P1198" t="s">
        <v>34</v>
      </c>
      <c r="Q1198" t="s">
        <v>34</v>
      </c>
      <c r="R1198" t="s">
        <v>34</v>
      </c>
      <c r="S1198" t="s">
        <v>34</v>
      </c>
      <c r="T1198" s="117">
        <v>0</v>
      </c>
    </row>
    <row r="1199" spans="1:20" x14ac:dyDescent="0.35">
      <c r="A1199" t="s">
        <v>19</v>
      </c>
      <c r="B1199" t="s">
        <v>19</v>
      </c>
      <c r="C1199" s="1">
        <v>45483</v>
      </c>
      <c r="D1199">
        <f t="shared" si="78"/>
        <v>10</v>
      </c>
      <c r="E1199">
        <f t="shared" si="79"/>
        <v>7</v>
      </c>
      <c r="F1199">
        <f t="shared" si="80"/>
        <v>2024</v>
      </c>
      <c r="G1199" t="s">
        <v>106</v>
      </c>
      <c r="H1199" s="98" t="s">
        <v>353</v>
      </c>
      <c r="I1199" s="29">
        <v>78763.05</v>
      </c>
      <c r="J1199" s="12" t="s">
        <v>31</v>
      </c>
      <c r="K1199" s="76">
        <f t="shared" si="81"/>
        <v>78763.05</v>
      </c>
      <c r="L1199">
        <v>1</v>
      </c>
      <c r="M1199" s="29">
        <v>0</v>
      </c>
      <c r="N1199" t="s">
        <v>32</v>
      </c>
      <c r="O1199" t="s">
        <v>33</v>
      </c>
      <c r="P1199" t="s">
        <v>34</v>
      </c>
      <c r="Q1199" t="s">
        <v>34</v>
      </c>
      <c r="R1199" t="s">
        <v>34</v>
      </c>
      <c r="S1199" t="s">
        <v>34</v>
      </c>
      <c r="T1199" s="117">
        <v>0</v>
      </c>
    </row>
    <row r="1200" spans="1:20" x14ac:dyDescent="0.35">
      <c r="A1200" t="s">
        <v>19</v>
      </c>
      <c r="B1200" t="s">
        <v>19</v>
      </c>
      <c r="C1200" s="1">
        <v>45483</v>
      </c>
      <c r="D1200">
        <f t="shared" si="78"/>
        <v>10</v>
      </c>
      <c r="E1200">
        <f t="shared" si="79"/>
        <v>7</v>
      </c>
      <c r="F1200">
        <f t="shared" si="80"/>
        <v>2024</v>
      </c>
      <c r="G1200" t="s">
        <v>111</v>
      </c>
      <c r="H1200" s="98" t="s">
        <v>354</v>
      </c>
      <c r="I1200" s="29">
        <v>98966.34</v>
      </c>
      <c r="J1200" s="12" t="s">
        <v>31</v>
      </c>
      <c r="K1200" s="76">
        <f t="shared" si="81"/>
        <v>98966.34</v>
      </c>
      <c r="L1200">
        <v>1</v>
      </c>
      <c r="M1200" s="29">
        <v>0</v>
      </c>
      <c r="N1200" t="s">
        <v>32</v>
      </c>
      <c r="O1200" t="s">
        <v>33</v>
      </c>
      <c r="P1200" t="s">
        <v>34</v>
      </c>
      <c r="Q1200" t="s">
        <v>34</v>
      </c>
      <c r="R1200" t="s">
        <v>34</v>
      </c>
      <c r="S1200" t="s">
        <v>34</v>
      </c>
      <c r="T1200" s="117">
        <v>0</v>
      </c>
    </row>
    <row r="1201" spans="1:21" x14ac:dyDescent="0.35">
      <c r="A1201" t="s">
        <v>19</v>
      </c>
      <c r="B1201" t="s">
        <v>19</v>
      </c>
      <c r="C1201" s="1">
        <v>45483</v>
      </c>
      <c r="D1201">
        <f t="shared" si="78"/>
        <v>10</v>
      </c>
      <c r="E1201">
        <f t="shared" si="79"/>
        <v>7</v>
      </c>
      <c r="F1201">
        <f t="shared" si="80"/>
        <v>2024</v>
      </c>
      <c r="G1201" t="s">
        <v>56</v>
      </c>
      <c r="H1201" s="98" t="s">
        <v>355</v>
      </c>
      <c r="I1201" s="29">
        <v>188172.32</v>
      </c>
      <c r="J1201" s="12" t="s">
        <v>31</v>
      </c>
      <c r="K1201" s="76">
        <f t="shared" si="81"/>
        <v>188172.32</v>
      </c>
      <c r="L1201">
        <v>1</v>
      </c>
      <c r="M1201" s="29">
        <v>0</v>
      </c>
      <c r="N1201" t="s">
        <v>32</v>
      </c>
      <c r="O1201" t="s">
        <v>33</v>
      </c>
      <c r="P1201" t="s">
        <v>34</v>
      </c>
      <c r="Q1201" t="s">
        <v>34</v>
      </c>
      <c r="R1201" t="s">
        <v>34</v>
      </c>
      <c r="S1201" t="s">
        <v>34</v>
      </c>
      <c r="T1201" s="117">
        <v>0</v>
      </c>
    </row>
    <row r="1202" spans="1:21" x14ac:dyDescent="0.35">
      <c r="A1202" t="s">
        <v>19</v>
      </c>
      <c r="B1202" t="s">
        <v>19</v>
      </c>
      <c r="C1202" s="1">
        <v>45483</v>
      </c>
      <c r="D1202">
        <f t="shared" si="78"/>
        <v>10</v>
      </c>
      <c r="E1202">
        <f t="shared" si="79"/>
        <v>7</v>
      </c>
      <c r="F1202">
        <f t="shared" si="80"/>
        <v>2024</v>
      </c>
      <c r="G1202" t="s">
        <v>56</v>
      </c>
      <c r="H1202" s="98" t="s">
        <v>356</v>
      </c>
      <c r="I1202" s="29">
        <v>187032.09</v>
      </c>
      <c r="J1202" s="12" t="s">
        <v>31</v>
      </c>
      <c r="K1202" s="76">
        <f t="shared" si="81"/>
        <v>187032.09</v>
      </c>
      <c r="L1202">
        <v>1</v>
      </c>
      <c r="M1202" s="29">
        <v>0</v>
      </c>
      <c r="N1202" t="s">
        <v>32</v>
      </c>
      <c r="O1202" t="s">
        <v>33</v>
      </c>
      <c r="P1202" t="s">
        <v>34</v>
      </c>
      <c r="Q1202" t="s">
        <v>34</v>
      </c>
      <c r="R1202" t="s">
        <v>34</v>
      </c>
      <c r="S1202" t="s">
        <v>34</v>
      </c>
      <c r="T1202" s="117">
        <v>0</v>
      </c>
    </row>
    <row r="1203" spans="1:21" x14ac:dyDescent="0.35">
      <c r="A1203" t="s">
        <v>19</v>
      </c>
      <c r="B1203" t="s">
        <v>19</v>
      </c>
      <c r="C1203" s="1">
        <v>45483</v>
      </c>
      <c r="D1203">
        <f t="shared" si="78"/>
        <v>10</v>
      </c>
      <c r="E1203">
        <f t="shared" si="79"/>
        <v>7</v>
      </c>
      <c r="F1203">
        <f t="shared" si="80"/>
        <v>2024</v>
      </c>
      <c r="G1203" t="s">
        <v>56</v>
      </c>
      <c r="H1203" s="98" t="s">
        <v>357</v>
      </c>
      <c r="I1203" s="29">
        <v>170135.82</v>
      </c>
      <c r="J1203" s="12" t="s">
        <v>31</v>
      </c>
      <c r="K1203" s="76">
        <f t="shared" si="81"/>
        <v>170135.82</v>
      </c>
      <c r="L1203">
        <v>1</v>
      </c>
      <c r="M1203" s="29">
        <v>0</v>
      </c>
      <c r="N1203" t="s">
        <v>32</v>
      </c>
      <c r="O1203" t="s">
        <v>33</v>
      </c>
      <c r="P1203" t="s">
        <v>34</v>
      </c>
      <c r="Q1203" t="s">
        <v>34</v>
      </c>
      <c r="R1203" t="s">
        <v>34</v>
      </c>
      <c r="S1203" t="s">
        <v>34</v>
      </c>
      <c r="T1203" s="117">
        <v>0</v>
      </c>
    </row>
    <row r="1204" spans="1:21" x14ac:dyDescent="0.35">
      <c r="A1204" t="s">
        <v>19</v>
      </c>
      <c r="B1204" t="s">
        <v>19</v>
      </c>
      <c r="C1204" s="1">
        <v>45483</v>
      </c>
      <c r="D1204">
        <f t="shared" si="78"/>
        <v>10</v>
      </c>
      <c r="E1204">
        <f t="shared" si="79"/>
        <v>7</v>
      </c>
      <c r="F1204">
        <f t="shared" si="80"/>
        <v>2024</v>
      </c>
      <c r="G1204" t="s">
        <v>56</v>
      </c>
      <c r="H1204" s="98" t="s">
        <v>358</v>
      </c>
      <c r="I1204" s="29">
        <v>178352.16</v>
      </c>
      <c r="J1204" s="12" t="s">
        <v>31</v>
      </c>
      <c r="K1204" s="76">
        <f t="shared" si="81"/>
        <v>178352.16</v>
      </c>
      <c r="L1204">
        <v>1</v>
      </c>
      <c r="M1204" s="29">
        <v>0</v>
      </c>
      <c r="N1204" t="s">
        <v>32</v>
      </c>
      <c r="O1204" t="s">
        <v>33</v>
      </c>
      <c r="P1204" t="s">
        <v>34</v>
      </c>
      <c r="Q1204" t="s">
        <v>34</v>
      </c>
      <c r="R1204" t="s">
        <v>34</v>
      </c>
      <c r="S1204" t="s">
        <v>34</v>
      </c>
      <c r="T1204" s="117">
        <v>0</v>
      </c>
    </row>
    <row r="1205" spans="1:21" x14ac:dyDescent="0.35">
      <c r="A1205" t="s">
        <v>19</v>
      </c>
      <c r="B1205" t="s">
        <v>19</v>
      </c>
      <c r="C1205" s="1">
        <v>45483</v>
      </c>
      <c r="D1205">
        <f t="shared" si="78"/>
        <v>10</v>
      </c>
      <c r="E1205">
        <f t="shared" si="79"/>
        <v>7</v>
      </c>
      <c r="F1205">
        <f t="shared" si="80"/>
        <v>2024</v>
      </c>
      <c r="G1205" t="s">
        <v>128</v>
      </c>
      <c r="H1205" s="171" t="s">
        <v>359</v>
      </c>
      <c r="I1205" s="90">
        <v>19800</v>
      </c>
      <c r="J1205" s="12" t="s">
        <v>31</v>
      </c>
      <c r="K1205" s="76">
        <f t="shared" si="81"/>
        <v>19800</v>
      </c>
      <c r="L1205">
        <v>1</v>
      </c>
      <c r="M1205" s="29">
        <v>0</v>
      </c>
      <c r="N1205" t="s">
        <v>42</v>
      </c>
      <c r="O1205" t="s">
        <v>33</v>
      </c>
      <c r="P1205" t="s">
        <v>34</v>
      </c>
      <c r="Q1205" t="s">
        <v>34</v>
      </c>
      <c r="R1205" t="s">
        <v>34</v>
      </c>
      <c r="S1205" t="s">
        <v>34</v>
      </c>
      <c r="T1205" s="117">
        <v>0</v>
      </c>
    </row>
    <row r="1206" spans="1:21" x14ac:dyDescent="0.35">
      <c r="A1206" t="s">
        <v>19</v>
      </c>
      <c r="B1206" t="s">
        <v>19</v>
      </c>
      <c r="C1206" s="1">
        <v>45483</v>
      </c>
      <c r="D1206">
        <f t="shared" si="78"/>
        <v>10</v>
      </c>
      <c r="E1206">
        <f t="shared" si="79"/>
        <v>7</v>
      </c>
      <c r="F1206">
        <f t="shared" si="80"/>
        <v>2024</v>
      </c>
      <c r="G1206" t="s">
        <v>45</v>
      </c>
      <c r="H1206" s="98" t="s">
        <v>360</v>
      </c>
      <c r="I1206" s="29">
        <v>45262.239999999998</v>
      </c>
      <c r="J1206" s="12" t="s">
        <v>31</v>
      </c>
      <c r="K1206" s="76">
        <f t="shared" si="81"/>
        <v>45262.239999999998</v>
      </c>
      <c r="L1206">
        <v>1</v>
      </c>
      <c r="M1206" s="29">
        <v>0</v>
      </c>
      <c r="N1206" t="s">
        <v>32</v>
      </c>
      <c r="O1206" t="s">
        <v>33</v>
      </c>
      <c r="P1206" t="s">
        <v>34</v>
      </c>
      <c r="Q1206" t="s">
        <v>34</v>
      </c>
      <c r="R1206" t="s">
        <v>34</v>
      </c>
      <c r="S1206" t="s">
        <v>34</v>
      </c>
      <c r="T1206" s="117">
        <v>0</v>
      </c>
    </row>
    <row r="1207" spans="1:21" x14ac:dyDescent="0.35">
      <c r="A1207" t="s">
        <v>19</v>
      </c>
      <c r="B1207" t="s">
        <v>19</v>
      </c>
      <c r="C1207" s="1">
        <v>45483</v>
      </c>
      <c r="D1207">
        <f t="shared" si="78"/>
        <v>10</v>
      </c>
      <c r="E1207">
        <f t="shared" si="79"/>
        <v>7</v>
      </c>
      <c r="F1207">
        <f t="shared" si="80"/>
        <v>2024</v>
      </c>
      <c r="G1207" t="s">
        <v>122</v>
      </c>
      <c r="H1207" s="98" t="s">
        <v>361</v>
      </c>
      <c r="I1207" s="29">
        <v>57935.46</v>
      </c>
      <c r="J1207" s="12" t="s">
        <v>31</v>
      </c>
      <c r="K1207" s="76">
        <f t="shared" si="81"/>
        <v>57935.46</v>
      </c>
      <c r="L1207">
        <v>1</v>
      </c>
      <c r="M1207" s="29">
        <v>0</v>
      </c>
      <c r="N1207" t="s">
        <v>32</v>
      </c>
      <c r="O1207" t="s">
        <v>33</v>
      </c>
      <c r="P1207" t="s">
        <v>34</v>
      </c>
      <c r="Q1207" t="s">
        <v>34</v>
      </c>
      <c r="R1207" t="s">
        <v>34</v>
      </c>
      <c r="S1207" t="s">
        <v>34</v>
      </c>
      <c r="T1207" s="117">
        <v>0</v>
      </c>
    </row>
    <row r="1208" spans="1:21" x14ac:dyDescent="0.35">
      <c r="A1208" t="s">
        <v>19</v>
      </c>
      <c r="B1208" t="s">
        <v>19</v>
      </c>
      <c r="C1208" s="1">
        <v>45483</v>
      </c>
      <c r="D1208">
        <f t="shared" si="78"/>
        <v>10</v>
      </c>
      <c r="E1208">
        <f t="shared" si="79"/>
        <v>7</v>
      </c>
      <c r="F1208">
        <f t="shared" si="80"/>
        <v>2024</v>
      </c>
      <c r="G1208" t="s">
        <v>120</v>
      </c>
      <c r="H1208" s="171" t="s">
        <v>380</v>
      </c>
      <c r="I1208" s="90">
        <v>7760</v>
      </c>
      <c r="J1208" s="12" t="s">
        <v>31</v>
      </c>
      <c r="K1208" s="76">
        <f t="shared" si="81"/>
        <v>7760</v>
      </c>
      <c r="L1208">
        <v>1</v>
      </c>
      <c r="M1208" s="29">
        <v>0</v>
      </c>
      <c r="N1208" t="s">
        <v>42</v>
      </c>
      <c r="O1208" t="s">
        <v>33</v>
      </c>
      <c r="P1208" t="s">
        <v>34</v>
      </c>
      <c r="Q1208" t="s">
        <v>34</v>
      </c>
      <c r="R1208" t="s">
        <v>34</v>
      </c>
      <c r="S1208" t="s">
        <v>34</v>
      </c>
      <c r="T1208" s="117">
        <v>0</v>
      </c>
    </row>
    <row r="1209" spans="1:21" x14ac:dyDescent="0.35">
      <c r="A1209" t="s">
        <v>19</v>
      </c>
      <c r="B1209" t="s">
        <v>19</v>
      </c>
      <c r="C1209" s="1">
        <v>45483</v>
      </c>
      <c r="D1209">
        <f t="shared" si="78"/>
        <v>10</v>
      </c>
      <c r="E1209">
        <f t="shared" si="79"/>
        <v>7</v>
      </c>
      <c r="F1209">
        <f t="shared" si="80"/>
        <v>2024</v>
      </c>
      <c r="G1209" t="s">
        <v>127</v>
      </c>
      <c r="H1209" s="98" t="s">
        <v>362</v>
      </c>
      <c r="I1209" s="29">
        <v>19037.5</v>
      </c>
      <c r="J1209" s="12" t="s">
        <v>31</v>
      </c>
      <c r="K1209" s="76">
        <f t="shared" si="81"/>
        <v>19037.5</v>
      </c>
      <c r="L1209">
        <v>1</v>
      </c>
      <c r="M1209" s="29">
        <v>0</v>
      </c>
      <c r="N1209" t="s">
        <v>32</v>
      </c>
      <c r="O1209" t="s">
        <v>33</v>
      </c>
      <c r="P1209" t="s">
        <v>34</v>
      </c>
      <c r="Q1209" t="s">
        <v>34</v>
      </c>
      <c r="R1209" t="s">
        <v>34</v>
      </c>
      <c r="S1209" t="s">
        <v>34</v>
      </c>
      <c r="T1209" s="117">
        <v>0</v>
      </c>
    </row>
    <row r="1210" spans="1:21" x14ac:dyDescent="0.35">
      <c r="A1210" t="s">
        <v>19</v>
      </c>
      <c r="B1210" t="s">
        <v>19</v>
      </c>
      <c r="C1210" s="1">
        <v>45483</v>
      </c>
      <c r="D1210">
        <f t="shared" si="78"/>
        <v>10</v>
      </c>
      <c r="E1210">
        <f t="shared" si="79"/>
        <v>7</v>
      </c>
      <c r="F1210">
        <f t="shared" si="80"/>
        <v>2024</v>
      </c>
      <c r="G1210" t="s">
        <v>183</v>
      </c>
      <c r="H1210" s="98" t="s">
        <v>363</v>
      </c>
      <c r="I1210" s="29">
        <v>14268.54</v>
      </c>
      <c r="J1210" s="12" t="s">
        <v>31</v>
      </c>
      <c r="K1210" s="76">
        <f t="shared" si="81"/>
        <v>14268.54</v>
      </c>
      <c r="L1210">
        <v>1</v>
      </c>
      <c r="M1210" s="29">
        <v>0</v>
      </c>
      <c r="N1210" t="s">
        <v>32</v>
      </c>
      <c r="O1210" t="s">
        <v>33</v>
      </c>
      <c r="P1210" t="s">
        <v>34</v>
      </c>
      <c r="Q1210" t="s">
        <v>34</v>
      </c>
      <c r="R1210" t="s">
        <v>34</v>
      </c>
      <c r="S1210" t="s">
        <v>34</v>
      </c>
      <c r="T1210" s="117">
        <v>0</v>
      </c>
    </row>
    <row r="1211" spans="1:21" x14ac:dyDescent="0.35">
      <c r="A1211" t="s">
        <v>19</v>
      </c>
      <c r="B1211" t="s">
        <v>26</v>
      </c>
      <c r="C1211" s="1">
        <v>45484</v>
      </c>
      <c r="D1211">
        <f t="shared" si="78"/>
        <v>11</v>
      </c>
      <c r="E1211">
        <f t="shared" si="79"/>
        <v>7</v>
      </c>
      <c r="F1211">
        <f t="shared" si="80"/>
        <v>2024</v>
      </c>
      <c r="G1211" t="s">
        <v>73</v>
      </c>
      <c r="H1211" s="98">
        <v>10811</v>
      </c>
      <c r="I1211" s="29">
        <v>5253.39</v>
      </c>
      <c r="J1211" s="12" t="s">
        <v>51</v>
      </c>
      <c r="K1211" s="76">
        <f t="shared" si="81"/>
        <v>5723.568405</v>
      </c>
      <c r="L1211">
        <v>1.0894999999999999</v>
      </c>
      <c r="M1211" s="29">
        <v>0</v>
      </c>
      <c r="N1211" t="s">
        <v>32</v>
      </c>
      <c r="O1211" t="s">
        <v>33</v>
      </c>
      <c r="P1211" t="s">
        <v>34</v>
      </c>
      <c r="Q1211" t="s">
        <v>34</v>
      </c>
      <c r="R1211" t="s">
        <v>34</v>
      </c>
      <c r="S1211" t="s">
        <v>34</v>
      </c>
      <c r="T1211" s="117">
        <v>0</v>
      </c>
      <c r="U1211" s="209" t="s">
        <v>94</v>
      </c>
    </row>
    <row r="1212" spans="1:21" x14ac:dyDescent="0.35">
      <c r="A1212" t="s">
        <v>19</v>
      </c>
      <c r="B1212" t="s">
        <v>26</v>
      </c>
      <c r="C1212" s="1">
        <v>45484</v>
      </c>
      <c r="D1212">
        <f t="shared" si="78"/>
        <v>11</v>
      </c>
      <c r="E1212">
        <f t="shared" si="79"/>
        <v>7</v>
      </c>
      <c r="F1212">
        <f t="shared" si="80"/>
        <v>2024</v>
      </c>
      <c r="G1212" t="s">
        <v>73</v>
      </c>
      <c r="H1212" s="98">
        <v>10843</v>
      </c>
      <c r="I1212" s="29">
        <v>88713.53</v>
      </c>
      <c r="J1212" s="12" t="s">
        <v>51</v>
      </c>
      <c r="K1212" s="76">
        <f t="shared" si="81"/>
        <v>96653.390934999989</v>
      </c>
      <c r="L1212">
        <v>1.0894999999999999</v>
      </c>
      <c r="M1212" s="29">
        <v>0</v>
      </c>
      <c r="N1212" t="s">
        <v>32</v>
      </c>
      <c r="O1212" t="s">
        <v>33</v>
      </c>
      <c r="P1212" t="s">
        <v>34</v>
      </c>
      <c r="Q1212" t="s">
        <v>34</v>
      </c>
      <c r="R1212" t="s">
        <v>34</v>
      </c>
      <c r="S1212" t="s">
        <v>34</v>
      </c>
      <c r="T1212" s="117">
        <v>0</v>
      </c>
      <c r="U1212" s="209" t="s">
        <v>94</v>
      </c>
    </row>
    <row r="1213" spans="1:21" x14ac:dyDescent="0.35">
      <c r="A1213" t="s">
        <v>19</v>
      </c>
      <c r="B1213" t="s">
        <v>26</v>
      </c>
      <c r="C1213" s="1">
        <v>45484</v>
      </c>
      <c r="D1213">
        <f t="shared" si="78"/>
        <v>11</v>
      </c>
      <c r="E1213">
        <f t="shared" si="79"/>
        <v>7</v>
      </c>
      <c r="F1213">
        <f t="shared" si="80"/>
        <v>2024</v>
      </c>
      <c r="G1213" t="s">
        <v>73</v>
      </c>
      <c r="H1213" s="98">
        <v>10856</v>
      </c>
      <c r="I1213" s="29">
        <v>77500.02</v>
      </c>
      <c r="J1213" s="12" t="s">
        <v>51</v>
      </c>
      <c r="K1213" s="76">
        <f t="shared" si="81"/>
        <v>84436.271789999999</v>
      </c>
      <c r="L1213">
        <v>1.0894999999999999</v>
      </c>
      <c r="M1213" s="29">
        <v>0</v>
      </c>
      <c r="N1213" t="s">
        <v>32</v>
      </c>
      <c r="O1213" t="s">
        <v>33</v>
      </c>
      <c r="P1213" t="s">
        <v>34</v>
      </c>
      <c r="Q1213" t="s">
        <v>34</v>
      </c>
      <c r="R1213" t="s">
        <v>34</v>
      </c>
      <c r="S1213" t="s">
        <v>34</v>
      </c>
      <c r="T1213" s="117">
        <v>0</v>
      </c>
      <c r="U1213" s="209" t="s">
        <v>94</v>
      </c>
    </row>
    <row r="1214" spans="1:21" x14ac:dyDescent="0.35">
      <c r="A1214" t="s">
        <v>19</v>
      </c>
      <c r="B1214" t="s">
        <v>26</v>
      </c>
      <c r="C1214" s="1">
        <v>45484</v>
      </c>
      <c r="D1214">
        <f t="shared" si="78"/>
        <v>11</v>
      </c>
      <c r="E1214">
        <f t="shared" si="79"/>
        <v>7</v>
      </c>
      <c r="F1214">
        <f t="shared" si="80"/>
        <v>2024</v>
      </c>
      <c r="G1214" t="s">
        <v>73</v>
      </c>
      <c r="H1214" s="98">
        <v>10784</v>
      </c>
      <c r="I1214" s="29">
        <v>16600.689999999999</v>
      </c>
      <c r="J1214" s="12" t="s">
        <v>51</v>
      </c>
      <c r="K1214" s="76">
        <f t="shared" si="81"/>
        <v>18086.451754999998</v>
      </c>
      <c r="L1214">
        <v>1.0894999999999999</v>
      </c>
      <c r="M1214" s="29">
        <v>0</v>
      </c>
      <c r="N1214" t="s">
        <v>32</v>
      </c>
      <c r="O1214" t="s">
        <v>33</v>
      </c>
      <c r="P1214" t="s">
        <v>34</v>
      </c>
      <c r="Q1214" t="s">
        <v>34</v>
      </c>
      <c r="R1214" t="s">
        <v>34</v>
      </c>
      <c r="S1214" t="s">
        <v>34</v>
      </c>
      <c r="T1214" s="117">
        <v>0</v>
      </c>
      <c r="U1214" s="209" t="s">
        <v>94</v>
      </c>
    </row>
    <row r="1215" spans="1:21" x14ac:dyDescent="0.35">
      <c r="A1215" t="s">
        <v>19</v>
      </c>
      <c r="B1215" t="s">
        <v>26</v>
      </c>
      <c r="C1215" s="1">
        <v>45484</v>
      </c>
      <c r="D1215">
        <f t="shared" si="78"/>
        <v>11</v>
      </c>
      <c r="E1215">
        <f t="shared" si="79"/>
        <v>7</v>
      </c>
      <c r="F1215">
        <f t="shared" si="80"/>
        <v>2024</v>
      </c>
      <c r="G1215" t="s">
        <v>73</v>
      </c>
      <c r="H1215" s="98">
        <v>10833</v>
      </c>
      <c r="I1215" s="29">
        <v>18416.830000000002</v>
      </c>
      <c r="J1215" s="12" t="s">
        <v>51</v>
      </c>
      <c r="K1215" s="76">
        <f>IF(J1215="USD",I1215,I1215*L1215)-0.01</f>
        <v>20065.126285000002</v>
      </c>
      <c r="L1215">
        <v>1.0894999999999999</v>
      </c>
      <c r="M1215" s="29">
        <v>0</v>
      </c>
      <c r="N1215" t="s">
        <v>42</v>
      </c>
      <c r="O1215" t="s">
        <v>33</v>
      </c>
      <c r="P1215" t="s">
        <v>34</v>
      </c>
      <c r="Q1215" t="s">
        <v>34</v>
      </c>
      <c r="R1215" t="s">
        <v>34</v>
      </c>
      <c r="S1215" t="s">
        <v>34</v>
      </c>
      <c r="T1215" s="117">
        <v>0</v>
      </c>
      <c r="U1215" s="209" t="s">
        <v>94</v>
      </c>
    </row>
    <row r="1216" spans="1:21" x14ac:dyDescent="0.35">
      <c r="A1216" t="s">
        <v>19</v>
      </c>
      <c r="B1216" t="s">
        <v>26</v>
      </c>
      <c r="C1216" s="1">
        <v>45484</v>
      </c>
      <c r="D1216">
        <f t="shared" si="78"/>
        <v>11</v>
      </c>
      <c r="E1216">
        <f t="shared" si="79"/>
        <v>7</v>
      </c>
      <c r="F1216">
        <f t="shared" si="80"/>
        <v>2024</v>
      </c>
      <c r="G1216" t="s">
        <v>73</v>
      </c>
      <c r="H1216" s="98">
        <v>10875</v>
      </c>
      <c r="I1216" s="29">
        <v>79590.929999999993</v>
      </c>
      <c r="J1216" s="12" t="s">
        <v>51</v>
      </c>
      <c r="K1216" s="76">
        <f>IF(J1216="USD",I1216,I1216*L1216)+0.04</f>
        <v>86714.358234999978</v>
      </c>
      <c r="L1216">
        <v>1.0894999999999999</v>
      </c>
      <c r="M1216" s="29">
        <v>0</v>
      </c>
      <c r="N1216" t="s">
        <v>42</v>
      </c>
      <c r="O1216" t="s">
        <v>33</v>
      </c>
      <c r="P1216" t="s">
        <v>34</v>
      </c>
      <c r="Q1216" t="s">
        <v>34</v>
      </c>
      <c r="R1216" t="s">
        <v>34</v>
      </c>
      <c r="S1216" t="s">
        <v>34</v>
      </c>
      <c r="T1216" s="117">
        <v>0</v>
      </c>
      <c r="U1216" s="209" t="s">
        <v>94</v>
      </c>
    </row>
    <row r="1217" spans="1:21" x14ac:dyDescent="0.35">
      <c r="A1217" t="s">
        <v>19</v>
      </c>
      <c r="B1217" t="s">
        <v>26</v>
      </c>
      <c r="C1217" s="1">
        <v>45484</v>
      </c>
      <c r="D1217">
        <f t="shared" si="78"/>
        <v>11</v>
      </c>
      <c r="E1217">
        <f t="shared" si="79"/>
        <v>7</v>
      </c>
      <c r="F1217">
        <f t="shared" si="80"/>
        <v>2024</v>
      </c>
      <c r="G1217" t="s">
        <v>73</v>
      </c>
      <c r="H1217" s="98">
        <v>10866</v>
      </c>
      <c r="I1217" s="29">
        <v>13617.13</v>
      </c>
      <c r="J1217" s="12" t="s">
        <v>51</v>
      </c>
      <c r="K1217" s="76">
        <f>IF(J1217="USD",I1217,I1217*L1217)+0.04</f>
        <v>14835.903134999999</v>
      </c>
      <c r="L1217">
        <v>1.0894999999999999</v>
      </c>
      <c r="M1217" s="29">
        <v>0</v>
      </c>
      <c r="N1217" t="s">
        <v>42</v>
      </c>
      <c r="O1217" t="s">
        <v>33</v>
      </c>
      <c r="P1217" t="s">
        <v>34</v>
      </c>
      <c r="Q1217" t="s">
        <v>34</v>
      </c>
      <c r="R1217" t="s">
        <v>34</v>
      </c>
      <c r="S1217" t="s">
        <v>34</v>
      </c>
      <c r="T1217" s="117">
        <v>0</v>
      </c>
      <c r="U1217" s="209" t="s">
        <v>94</v>
      </c>
    </row>
    <row r="1218" spans="1:21" x14ac:dyDescent="0.35">
      <c r="A1218" t="s">
        <v>19</v>
      </c>
      <c r="B1218" t="s">
        <v>26</v>
      </c>
      <c r="C1218" s="1">
        <v>45484</v>
      </c>
      <c r="D1218">
        <f t="shared" ref="D1218:D1281" si="82">DAY(C1218)</f>
        <v>11</v>
      </c>
      <c r="E1218">
        <f t="shared" ref="E1218:E1281" si="83">MONTH(C1218)</f>
        <v>7</v>
      </c>
      <c r="F1218">
        <f t="shared" ref="F1218:F1281" si="84">YEAR(C1218)</f>
        <v>2024</v>
      </c>
      <c r="G1218" t="s">
        <v>73</v>
      </c>
      <c r="H1218" s="98">
        <v>10910</v>
      </c>
      <c r="I1218" s="29">
        <v>125227.58</v>
      </c>
      <c r="J1218" s="12" t="s">
        <v>51</v>
      </c>
      <c r="K1218" s="76">
        <f>IF(J1218="USD",I1218,I1218*L1218)+0.04</f>
        <v>136435.48840999999</v>
      </c>
      <c r="L1218">
        <v>1.0894999999999999</v>
      </c>
      <c r="M1218" s="29">
        <v>0</v>
      </c>
      <c r="N1218" t="s">
        <v>42</v>
      </c>
      <c r="O1218" t="s">
        <v>33</v>
      </c>
      <c r="P1218" t="s">
        <v>34</v>
      </c>
      <c r="Q1218" t="s">
        <v>34</v>
      </c>
      <c r="R1218" t="s">
        <v>34</v>
      </c>
      <c r="S1218" t="s">
        <v>34</v>
      </c>
      <c r="T1218" s="117">
        <v>0</v>
      </c>
      <c r="U1218" s="209" t="s">
        <v>94</v>
      </c>
    </row>
    <row r="1219" spans="1:21" x14ac:dyDescent="0.35">
      <c r="A1219" t="s">
        <v>19</v>
      </c>
      <c r="B1219" t="s">
        <v>26</v>
      </c>
      <c r="C1219" s="1">
        <v>45484</v>
      </c>
      <c r="D1219">
        <f t="shared" si="82"/>
        <v>11</v>
      </c>
      <c r="E1219">
        <f t="shared" si="83"/>
        <v>7</v>
      </c>
      <c r="F1219">
        <f t="shared" si="84"/>
        <v>2024</v>
      </c>
      <c r="G1219" t="s">
        <v>73</v>
      </c>
      <c r="H1219" s="98">
        <v>10919</v>
      </c>
      <c r="I1219" s="29">
        <v>10370.69</v>
      </c>
      <c r="J1219" s="12" t="s">
        <v>51</v>
      </c>
      <c r="K1219" s="76">
        <f>IF(J1219="USD",I1219,I1219*L1219)+0.04</f>
        <v>11298.906755</v>
      </c>
      <c r="L1219">
        <v>1.0894999999999999</v>
      </c>
      <c r="M1219" s="29">
        <v>0</v>
      </c>
      <c r="N1219" t="s">
        <v>42</v>
      </c>
      <c r="O1219" t="s">
        <v>33</v>
      </c>
      <c r="P1219" t="s">
        <v>34</v>
      </c>
      <c r="Q1219" t="s">
        <v>34</v>
      </c>
      <c r="R1219" t="s">
        <v>34</v>
      </c>
      <c r="S1219" t="s">
        <v>34</v>
      </c>
      <c r="T1219" s="117">
        <v>0</v>
      </c>
      <c r="U1219" s="209" t="s">
        <v>94</v>
      </c>
    </row>
    <row r="1220" spans="1:21" x14ac:dyDescent="0.35">
      <c r="A1220" t="s">
        <v>19</v>
      </c>
      <c r="B1220" t="s">
        <v>26</v>
      </c>
      <c r="C1220" s="1">
        <v>45484</v>
      </c>
      <c r="D1220">
        <f t="shared" si="82"/>
        <v>11</v>
      </c>
      <c r="E1220">
        <f t="shared" si="83"/>
        <v>7</v>
      </c>
      <c r="F1220">
        <f t="shared" si="84"/>
        <v>2024</v>
      </c>
      <c r="G1220" t="s">
        <v>73</v>
      </c>
      <c r="H1220" s="98">
        <v>0</v>
      </c>
      <c r="I1220" s="29">
        <v>15000</v>
      </c>
      <c r="J1220" s="12" t="s">
        <v>51</v>
      </c>
      <c r="K1220" s="76">
        <f>IF(J1220="USD",I1220,I1220*L1220)+0.04</f>
        <v>16342.539999999999</v>
      </c>
      <c r="L1220">
        <v>1.0894999999999999</v>
      </c>
      <c r="M1220" s="29">
        <v>0</v>
      </c>
      <c r="N1220" t="s">
        <v>42</v>
      </c>
      <c r="O1220" t="s">
        <v>33</v>
      </c>
      <c r="P1220" t="s">
        <v>34</v>
      </c>
      <c r="Q1220" t="s">
        <v>34</v>
      </c>
      <c r="R1220" t="s">
        <v>34</v>
      </c>
      <c r="S1220" t="s">
        <v>34</v>
      </c>
      <c r="T1220" s="117">
        <v>0</v>
      </c>
      <c r="U1220" s="209" t="s">
        <v>470</v>
      </c>
    </row>
    <row r="1221" spans="1:21" x14ac:dyDescent="0.35">
      <c r="A1221" t="s">
        <v>20</v>
      </c>
      <c r="B1221" t="s">
        <v>23</v>
      </c>
      <c r="C1221" s="1">
        <v>45490</v>
      </c>
      <c r="D1221">
        <f t="shared" si="82"/>
        <v>17</v>
      </c>
      <c r="E1221">
        <f t="shared" si="83"/>
        <v>7</v>
      </c>
      <c r="F1221">
        <f t="shared" si="84"/>
        <v>2024</v>
      </c>
      <c r="G1221" t="s">
        <v>177</v>
      </c>
      <c r="H1221" s="98">
        <v>10813</v>
      </c>
      <c r="I1221" s="29">
        <v>6025.73</v>
      </c>
      <c r="J1221" s="12" t="s">
        <v>31</v>
      </c>
      <c r="K1221" s="76">
        <f t="shared" ref="K1221:K1252" si="85">IF(J1221="USD",I1221,I1221*L1221)</f>
        <v>6025.73</v>
      </c>
      <c r="L1221">
        <v>1</v>
      </c>
      <c r="M1221" s="29">
        <v>0</v>
      </c>
      <c r="N1221" t="s">
        <v>42</v>
      </c>
      <c r="O1221" t="s">
        <v>33</v>
      </c>
      <c r="P1221" t="s">
        <v>34</v>
      </c>
      <c r="Q1221" t="s">
        <v>34</v>
      </c>
      <c r="R1221" t="s">
        <v>34</v>
      </c>
      <c r="S1221" t="s">
        <v>34</v>
      </c>
      <c r="T1221" s="117">
        <v>0</v>
      </c>
    </row>
    <row r="1222" spans="1:21" x14ac:dyDescent="0.35">
      <c r="A1222" t="s">
        <v>19</v>
      </c>
      <c r="B1222" t="s">
        <v>22</v>
      </c>
      <c r="C1222" s="1">
        <v>45490</v>
      </c>
      <c r="D1222">
        <f t="shared" si="82"/>
        <v>17</v>
      </c>
      <c r="E1222">
        <f t="shared" si="83"/>
        <v>7</v>
      </c>
      <c r="F1222">
        <f t="shared" si="84"/>
        <v>2024</v>
      </c>
      <c r="G1222" t="s">
        <v>98</v>
      </c>
      <c r="H1222" s="171">
        <v>10849</v>
      </c>
      <c r="I1222" s="90">
        <v>36204</v>
      </c>
      <c r="J1222" s="12" t="s">
        <v>31</v>
      </c>
      <c r="K1222" s="76">
        <f t="shared" si="85"/>
        <v>36204</v>
      </c>
      <c r="L1222">
        <v>1</v>
      </c>
      <c r="M1222" s="29">
        <v>0</v>
      </c>
      <c r="N1222" t="s">
        <v>42</v>
      </c>
      <c r="O1222" t="s">
        <v>33</v>
      </c>
      <c r="P1222" t="s">
        <v>34</v>
      </c>
      <c r="Q1222" t="s">
        <v>34</v>
      </c>
      <c r="R1222" t="s">
        <v>34</v>
      </c>
      <c r="S1222" t="s">
        <v>34</v>
      </c>
      <c r="T1222" s="117">
        <v>0</v>
      </c>
    </row>
    <row r="1223" spans="1:21" x14ac:dyDescent="0.35">
      <c r="A1223" t="s">
        <v>19</v>
      </c>
      <c r="B1223" t="s">
        <v>23</v>
      </c>
      <c r="C1223" s="1">
        <v>45490</v>
      </c>
      <c r="D1223">
        <f t="shared" si="82"/>
        <v>17</v>
      </c>
      <c r="E1223">
        <f t="shared" si="83"/>
        <v>7</v>
      </c>
      <c r="F1223">
        <f t="shared" si="84"/>
        <v>2024</v>
      </c>
      <c r="G1223" t="s">
        <v>77</v>
      </c>
      <c r="H1223" s="98">
        <v>10823</v>
      </c>
      <c r="I1223" s="29">
        <v>5250</v>
      </c>
      <c r="J1223" s="12" t="s">
        <v>31</v>
      </c>
      <c r="K1223" s="76">
        <f t="shared" si="85"/>
        <v>5250</v>
      </c>
      <c r="L1223">
        <v>1</v>
      </c>
      <c r="M1223" s="29">
        <v>0</v>
      </c>
      <c r="N1223" t="s">
        <v>42</v>
      </c>
      <c r="O1223" t="s">
        <v>33</v>
      </c>
      <c r="P1223" t="s">
        <v>34</v>
      </c>
      <c r="Q1223" t="s">
        <v>34</v>
      </c>
      <c r="R1223" t="s">
        <v>34</v>
      </c>
      <c r="S1223" t="s">
        <v>34</v>
      </c>
      <c r="T1223" s="117">
        <v>0</v>
      </c>
    </row>
    <row r="1224" spans="1:21" x14ac:dyDescent="0.35">
      <c r="A1224" t="s">
        <v>19</v>
      </c>
      <c r="B1224" t="s">
        <v>25</v>
      </c>
      <c r="C1224" s="1">
        <v>45490</v>
      </c>
      <c r="D1224">
        <f t="shared" si="82"/>
        <v>17</v>
      </c>
      <c r="E1224">
        <f t="shared" si="83"/>
        <v>7</v>
      </c>
      <c r="F1224">
        <f t="shared" si="84"/>
        <v>2024</v>
      </c>
      <c r="G1224" t="s">
        <v>78</v>
      </c>
      <c r="H1224" s="98">
        <v>10531</v>
      </c>
      <c r="I1224" s="29">
        <v>357</v>
      </c>
      <c r="J1224" s="12" t="s">
        <v>51</v>
      </c>
      <c r="K1224" s="76">
        <f t="shared" si="85"/>
        <v>391.20060000000007</v>
      </c>
      <c r="L1224">
        <v>1.0958000000000001</v>
      </c>
      <c r="M1224" s="29">
        <v>0</v>
      </c>
      <c r="N1224" t="s">
        <v>32</v>
      </c>
      <c r="O1224" t="s">
        <v>33</v>
      </c>
      <c r="P1224" t="s">
        <v>34</v>
      </c>
      <c r="Q1224" t="s">
        <v>34</v>
      </c>
      <c r="R1224" t="s">
        <v>34</v>
      </c>
      <c r="S1224" t="s">
        <v>34</v>
      </c>
      <c r="T1224" s="117">
        <v>0</v>
      </c>
      <c r="U1224" s="209" t="s">
        <v>94</v>
      </c>
    </row>
    <row r="1225" spans="1:21" x14ac:dyDescent="0.35">
      <c r="A1225" t="s">
        <v>19</v>
      </c>
      <c r="B1225" t="s">
        <v>25</v>
      </c>
      <c r="C1225" s="1">
        <v>45490</v>
      </c>
      <c r="D1225">
        <f t="shared" si="82"/>
        <v>17</v>
      </c>
      <c r="E1225">
        <f t="shared" si="83"/>
        <v>7</v>
      </c>
      <c r="F1225">
        <f t="shared" si="84"/>
        <v>2024</v>
      </c>
      <c r="G1225" t="s">
        <v>78</v>
      </c>
      <c r="H1225" s="98">
        <v>10532</v>
      </c>
      <c r="I1225" s="29">
        <v>69759.899999999994</v>
      </c>
      <c r="J1225" s="12" t="s">
        <v>51</v>
      </c>
      <c r="K1225" s="76">
        <f t="shared" si="85"/>
        <v>76442.898419999998</v>
      </c>
      <c r="L1225">
        <v>1.0958000000000001</v>
      </c>
      <c r="M1225" s="29">
        <v>0</v>
      </c>
      <c r="N1225" t="s">
        <v>32</v>
      </c>
      <c r="O1225" t="s">
        <v>33</v>
      </c>
      <c r="P1225" t="s">
        <v>34</v>
      </c>
      <c r="Q1225" t="s">
        <v>34</v>
      </c>
      <c r="R1225" t="s">
        <v>34</v>
      </c>
      <c r="S1225" t="s">
        <v>34</v>
      </c>
      <c r="T1225" s="117">
        <v>0</v>
      </c>
      <c r="U1225" s="209" t="s">
        <v>94</v>
      </c>
    </row>
    <row r="1226" spans="1:21" x14ac:dyDescent="0.35">
      <c r="A1226" t="s">
        <v>19</v>
      </c>
      <c r="B1226" t="s">
        <v>25</v>
      </c>
      <c r="C1226" s="1">
        <v>45490</v>
      </c>
      <c r="D1226">
        <f t="shared" si="82"/>
        <v>17</v>
      </c>
      <c r="E1226">
        <f t="shared" si="83"/>
        <v>7</v>
      </c>
      <c r="F1226">
        <f t="shared" si="84"/>
        <v>2024</v>
      </c>
      <c r="G1226" t="s">
        <v>351</v>
      </c>
      <c r="H1226" s="98">
        <v>10436</v>
      </c>
      <c r="I1226" s="29">
        <v>4700</v>
      </c>
      <c r="J1226" s="12" t="s">
        <v>31</v>
      </c>
      <c r="K1226" s="76">
        <f t="shared" si="85"/>
        <v>4700</v>
      </c>
      <c r="L1226">
        <v>1</v>
      </c>
      <c r="M1226" s="29">
        <v>0</v>
      </c>
      <c r="N1226" t="s">
        <v>32</v>
      </c>
      <c r="O1226" t="s">
        <v>33</v>
      </c>
      <c r="P1226" t="s">
        <v>34</v>
      </c>
      <c r="Q1226" t="s">
        <v>34</v>
      </c>
      <c r="R1226" t="s">
        <v>34</v>
      </c>
      <c r="S1226" t="s">
        <v>34</v>
      </c>
      <c r="T1226" s="117">
        <v>0</v>
      </c>
    </row>
    <row r="1227" spans="1:21" x14ac:dyDescent="0.35">
      <c r="A1227" t="s">
        <v>19</v>
      </c>
      <c r="B1227" t="s">
        <v>21</v>
      </c>
      <c r="C1227" s="1">
        <v>45490</v>
      </c>
      <c r="D1227">
        <f t="shared" si="82"/>
        <v>17</v>
      </c>
      <c r="E1227">
        <f t="shared" si="83"/>
        <v>7</v>
      </c>
      <c r="F1227">
        <f t="shared" si="84"/>
        <v>2024</v>
      </c>
      <c r="G1227" t="s">
        <v>36</v>
      </c>
      <c r="H1227" s="98">
        <v>10459</v>
      </c>
      <c r="I1227" s="29">
        <v>184.56</v>
      </c>
      <c r="J1227" s="12" t="s">
        <v>31</v>
      </c>
      <c r="K1227" s="76">
        <f t="shared" si="85"/>
        <v>184.56</v>
      </c>
      <c r="L1227">
        <v>1</v>
      </c>
      <c r="M1227" s="29">
        <v>0</v>
      </c>
      <c r="N1227" t="s">
        <v>32</v>
      </c>
      <c r="O1227" t="s">
        <v>33</v>
      </c>
      <c r="P1227" t="s">
        <v>34</v>
      </c>
      <c r="Q1227" t="s">
        <v>34</v>
      </c>
      <c r="R1227" t="s">
        <v>34</v>
      </c>
      <c r="S1227" t="s">
        <v>34</v>
      </c>
      <c r="T1227" s="117">
        <v>0</v>
      </c>
    </row>
    <row r="1228" spans="1:21" x14ac:dyDescent="0.35">
      <c r="A1228" t="s">
        <v>19</v>
      </c>
      <c r="B1228" t="s">
        <v>25</v>
      </c>
      <c r="C1228" s="1">
        <v>45490</v>
      </c>
      <c r="D1228">
        <f t="shared" si="82"/>
        <v>17</v>
      </c>
      <c r="E1228">
        <f t="shared" si="83"/>
        <v>7</v>
      </c>
      <c r="F1228">
        <f t="shared" si="84"/>
        <v>2024</v>
      </c>
      <c r="G1228" t="s">
        <v>36</v>
      </c>
      <c r="H1228" s="98">
        <v>10496</v>
      </c>
      <c r="I1228" s="29">
        <v>187.5</v>
      </c>
      <c r="J1228" s="12" t="s">
        <v>31</v>
      </c>
      <c r="K1228" s="76">
        <f t="shared" si="85"/>
        <v>187.5</v>
      </c>
      <c r="L1228">
        <v>1</v>
      </c>
      <c r="M1228" s="29">
        <v>0</v>
      </c>
      <c r="N1228" t="s">
        <v>32</v>
      </c>
      <c r="O1228" t="s">
        <v>33</v>
      </c>
      <c r="P1228" t="s">
        <v>34</v>
      </c>
      <c r="Q1228" t="s">
        <v>34</v>
      </c>
      <c r="R1228" t="s">
        <v>34</v>
      </c>
      <c r="S1228" t="s">
        <v>34</v>
      </c>
      <c r="T1228" s="117">
        <v>0</v>
      </c>
    </row>
    <row r="1229" spans="1:21" x14ac:dyDescent="0.35">
      <c r="A1229" t="s">
        <v>19</v>
      </c>
      <c r="B1229" t="s">
        <v>25</v>
      </c>
      <c r="C1229" s="1">
        <v>45490</v>
      </c>
      <c r="D1229">
        <f t="shared" si="82"/>
        <v>17</v>
      </c>
      <c r="E1229">
        <f t="shared" si="83"/>
        <v>7</v>
      </c>
      <c r="F1229">
        <f t="shared" si="84"/>
        <v>2024</v>
      </c>
      <c r="G1229" t="s">
        <v>79</v>
      </c>
      <c r="H1229" s="98">
        <v>10858</v>
      </c>
      <c r="I1229" s="29">
        <v>26460</v>
      </c>
      <c r="J1229" s="12" t="s">
        <v>51</v>
      </c>
      <c r="K1229" s="76">
        <f t="shared" si="85"/>
        <v>28994.868000000002</v>
      </c>
      <c r="L1229">
        <v>1.0958000000000001</v>
      </c>
      <c r="M1229" s="29">
        <v>0</v>
      </c>
      <c r="N1229" t="s">
        <v>42</v>
      </c>
      <c r="O1229" t="s">
        <v>33</v>
      </c>
      <c r="P1229" t="s">
        <v>34</v>
      </c>
      <c r="Q1229" t="s">
        <v>34</v>
      </c>
      <c r="R1229" t="s">
        <v>34</v>
      </c>
      <c r="S1229" t="s">
        <v>34</v>
      </c>
      <c r="T1229" s="117">
        <v>0</v>
      </c>
      <c r="U1229" s="209" t="s">
        <v>94</v>
      </c>
    </row>
    <row r="1230" spans="1:21" x14ac:dyDescent="0.35">
      <c r="A1230" t="s">
        <v>19</v>
      </c>
      <c r="B1230" t="s">
        <v>21</v>
      </c>
      <c r="C1230" s="1">
        <v>45490</v>
      </c>
      <c r="D1230">
        <f t="shared" si="82"/>
        <v>17</v>
      </c>
      <c r="E1230">
        <f t="shared" si="83"/>
        <v>7</v>
      </c>
      <c r="F1230">
        <f t="shared" si="84"/>
        <v>2024</v>
      </c>
      <c r="G1230" t="s">
        <v>35</v>
      </c>
      <c r="H1230" s="98">
        <v>10546</v>
      </c>
      <c r="I1230" s="29">
        <v>48</v>
      </c>
      <c r="J1230" s="12" t="s">
        <v>31</v>
      </c>
      <c r="K1230" s="76">
        <f t="shared" si="85"/>
        <v>48</v>
      </c>
      <c r="L1230">
        <v>1</v>
      </c>
      <c r="M1230" s="29">
        <v>0</v>
      </c>
      <c r="N1230" t="s">
        <v>32</v>
      </c>
      <c r="O1230" t="s">
        <v>33</v>
      </c>
      <c r="P1230" t="s">
        <v>34</v>
      </c>
      <c r="Q1230" t="s">
        <v>34</v>
      </c>
      <c r="R1230" t="s">
        <v>34</v>
      </c>
      <c r="S1230" t="s">
        <v>34</v>
      </c>
      <c r="T1230" s="117">
        <v>0</v>
      </c>
    </row>
    <row r="1231" spans="1:21" x14ac:dyDescent="0.35">
      <c r="A1231" t="s">
        <v>19</v>
      </c>
      <c r="B1231" t="s">
        <v>24</v>
      </c>
      <c r="C1231" s="1">
        <v>45490</v>
      </c>
      <c r="D1231">
        <f t="shared" si="82"/>
        <v>17</v>
      </c>
      <c r="E1231">
        <f t="shared" si="83"/>
        <v>7</v>
      </c>
      <c r="F1231">
        <f t="shared" si="84"/>
        <v>2024</v>
      </c>
      <c r="G1231" t="s">
        <v>35</v>
      </c>
      <c r="H1231" s="98">
        <v>10561</v>
      </c>
      <c r="I1231" s="29">
        <v>63.6</v>
      </c>
      <c r="J1231" s="12" t="s">
        <v>31</v>
      </c>
      <c r="K1231" s="76">
        <f t="shared" si="85"/>
        <v>63.6</v>
      </c>
      <c r="L1231">
        <v>1</v>
      </c>
      <c r="M1231" s="29">
        <v>0</v>
      </c>
      <c r="N1231" t="s">
        <v>32</v>
      </c>
      <c r="O1231" t="s">
        <v>33</v>
      </c>
      <c r="P1231" t="s">
        <v>34</v>
      </c>
      <c r="Q1231" t="s">
        <v>34</v>
      </c>
      <c r="R1231" t="s">
        <v>34</v>
      </c>
      <c r="S1231" t="s">
        <v>34</v>
      </c>
      <c r="T1231" s="117">
        <v>0</v>
      </c>
    </row>
    <row r="1232" spans="1:21" x14ac:dyDescent="0.35">
      <c r="A1232" t="s">
        <v>20</v>
      </c>
      <c r="B1232" t="s">
        <v>24</v>
      </c>
      <c r="C1232" s="1">
        <v>45490</v>
      </c>
      <c r="D1232">
        <f t="shared" si="82"/>
        <v>17</v>
      </c>
      <c r="E1232">
        <f t="shared" si="83"/>
        <v>7</v>
      </c>
      <c r="F1232">
        <f t="shared" si="84"/>
        <v>2024</v>
      </c>
      <c r="G1232" t="s">
        <v>209</v>
      </c>
      <c r="H1232" s="98">
        <v>9952</v>
      </c>
      <c r="I1232" s="29">
        <v>908.13</v>
      </c>
      <c r="J1232" s="12" t="s">
        <v>31</v>
      </c>
      <c r="K1232" s="76">
        <f t="shared" si="85"/>
        <v>908.13</v>
      </c>
      <c r="L1232">
        <v>1</v>
      </c>
      <c r="M1232" s="29">
        <v>0</v>
      </c>
      <c r="N1232" t="s">
        <v>32</v>
      </c>
      <c r="O1232" t="s">
        <v>33</v>
      </c>
      <c r="P1232" t="s">
        <v>34</v>
      </c>
      <c r="Q1232" t="s">
        <v>34</v>
      </c>
      <c r="R1232" t="s">
        <v>34</v>
      </c>
      <c r="S1232" t="s">
        <v>34</v>
      </c>
      <c r="T1232" s="117">
        <v>0</v>
      </c>
    </row>
    <row r="1233" spans="1:21" x14ac:dyDescent="0.35">
      <c r="A1233" t="s">
        <v>20</v>
      </c>
      <c r="B1233" t="s">
        <v>25</v>
      </c>
      <c r="C1233" s="1">
        <v>45490</v>
      </c>
      <c r="D1233">
        <f t="shared" si="82"/>
        <v>17</v>
      </c>
      <c r="E1233">
        <f t="shared" si="83"/>
        <v>7</v>
      </c>
      <c r="F1233">
        <f t="shared" si="84"/>
        <v>2024</v>
      </c>
      <c r="G1233" t="s">
        <v>209</v>
      </c>
      <c r="H1233" s="98">
        <v>9952</v>
      </c>
      <c r="I1233" s="29">
        <v>181.13</v>
      </c>
      <c r="J1233" s="12" t="s">
        <v>31</v>
      </c>
      <c r="K1233" s="76">
        <f t="shared" si="85"/>
        <v>181.13</v>
      </c>
      <c r="L1233">
        <v>1</v>
      </c>
      <c r="M1233" s="29">
        <v>0</v>
      </c>
      <c r="N1233" t="s">
        <v>32</v>
      </c>
      <c r="O1233" t="s">
        <v>33</v>
      </c>
      <c r="P1233" t="s">
        <v>34</v>
      </c>
      <c r="Q1233" t="s">
        <v>34</v>
      </c>
      <c r="R1233" t="s">
        <v>34</v>
      </c>
      <c r="S1233" t="s">
        <v>34</v>
      </c>
      <c r="T1233" s="117">
        <v>0</v>
      </c>
    </row>
    <row r="1234" spans="1:21" x14ac:dyDescent="0.35">
      <c r="A1234" t="s">
        <v>20</v>
      </c>
      <c r="B1234" t="s">
        <v>24</v>
      </c>
      <c r="C1234" s="1">
        <v>45490</v>
      </c>
      <c r="D1234">
        <f t="shared" si="82"/>
        <v>17</v>
      </c>
      <c r="E1234">
        <f t="shared" si="83"/>
        <v>7</v>
      </c>
      <c r="F1234">
        <f t="shared" si="84"/>
        <v>2024</v>
      </c>
      <c r="G1234" t="s">
        <v>209</v>
      </c>
      <c r="H1234" s="98">
        <v>9953</v>
      </c>
      <c r="I1234" s="29">
        <v>38967</v>
      </c>
      <c r="J1234" s="12" t="s">
        <v>31</v>
      </c>
      <c r="K1234" s="76">
        <f t="shared" si="85"/>
        <v>38967</v>
      </c>
      <c r="L1234">
        <v>1</v>
      </c>
      <c r="M1234" s="29">
        <v>0</v>
      </c>
      <c r="N1234" t="s">
        <v>32</v>
      </c>
      <c r="O1234" t="s">
        <v>33</v>
      </c>
      <c r="P1234" t="s">
        <v>34</v>
      </c>
      <c r="Q1234" t="s">
        <v>34</v>
      </c>
      <c r="R1234" t="s">
        <v>34</v>
      </c>
      <c r="S1234" t="s">
        <v>34</v>
      </c>
      <c r="T1234" s="117">
        <v>0</v>
      </c>
    </row>
    <row r="1235" spans="1:21" x14ac:dyDescent="0.35">
      <c r="A1235" t="s">
        <v>20</v>
      </c>
      <c r="B1235" t="s">
        <v>25</v>
      </c>
      <c r="C1235" s="1">
        <v>45490</v>
      </c>
      <c r="D1235">
        <f t="shared" si="82"/>
        <v>17</v>
      </c>
      <c r="E1235">
        <f t="shared" si="83"/>
        <v>7</v>
      </c>
      <c r="F1235">
        <f t="shared" si="84"/>
        <v>2024</v>
      </c>
      <c r="G1235" t="s">
        <v>209</v>
      </c>
      <c r="H1235" s="98">
        <v>9953</v>
      </c>
      <c r="I1235" s="29">
        <v>3990</v>
      </c>
      <c r="J1235" s="12" t="s">
        <v>31</v>
      </c>
      <c r="K1235" s="76">
        <f t="shared" si="85"/>
        <v>3990</v>
      </c>
      <c r="L1235">
        <v>1</v>
      </c>
      <c r="M1235" s="29">
        <v>0</v>
      </c>
      <c r="N1235" t="s">
        <v>32</v>
      </c>
      <c r="O1235" t="s">
        <v>33</v>
      </c>
      <c r="P1235" t="s">
        <v>34</v>
      </c>
      <c r="Q1235" t="s">
        <v>34</v>
      </c>
      <c r="R1235" t="s">
        <v>34</v>
      </c>
      <c r="S1235" t="s">
        <v>34</v>
      </c>
      <c r="T1235" s="117">
        <v>0</v>
      </c>
    </row>
    <row r="1236" spans="1:21" x14ac:dyDescent="0.35">
      <c r="A1236" t="s">
        <v>71</v>
      </c>
      <c r="B1236" t="s">
        <v>25</v>
      </c>
      <c r="C1236" s="1">
        <v>45490</v>
      </c>
      <c r="D1236">
        <f t="shared" si="82"/>
        <v>17</v>
      </c>
      <c r="E1236">
        <f t="shared" si="83"/>
        <v>7</v>
      </c>
      <c r="F1236">
        <f t="shared" si="84"/>
        <v>2024</v>
      </c>
      <c r="G1236" t="s">
        <v>209</v>
      </c>
      <c r="H1236" s="98">
        <v>9343</v>
      </c>
      <c r="I1236" s="29">
        <v>482.86</v>
      </c>
      <c r="J1236" s="12" t="s">
        <v>31</v>
      </c>
      <c r="K1236" s="76">
        <f t="shared" si="85"/>
        <v>482.86</v>
      </c>
      <c r="L1236">
        <v>1</v>
      </c>
      <c r="M1236" s="29">
        <v>0</v>
      </c>
      <c r="N1236" t="s">
        <v>32</v>
      </c>
      <c r="O1236" t="s">
        <v>33</v>
      </c>
      <c r="P1236" t="s">
        <v>34</v>
      </c>
      <c r="Q1236" t="s">
        <v>34</v>
      </c>
      <c r="R1236" t="s">
        <v>34</v>
      </c>
      <c r="S1236" t="s">
        <v>34</v>
      </c>
      <c r="T1236" s="117">
        <v>0</v>
      </c>
    </row>
    <row r="1237" spans="1:21" x14ac:dyDescent="0.35">
      <c r="A1237" t="s">
        <v>20</v>
      </c>
      <c r="B1237" t="s">
        <v>24</v>
      </c>
      <c r="C1237" s="1">
        <v>45490</v>
      </c>
      <c r="D1237">
        <f t="shared" si="82"/>
        <v>17</v>
      </c>
      <c r="E1237">
        <f t="shared" si="83"/>
        <v>7</v>
      </c>
      <c r="F1237">
        <f t="shared" si="84"/>
        <v>2024</v>
      </c>
      <c r="G1237" t="s">
        <v>202</v>
      </c>
      <c r="H1237" s="98">
        <v>10369</v>
      </c>
      <c r="I1237" s="29">
        <v>39047.01</v>
      </c>
      <c r="J1237" s="12" t="s">
        <v>31</v>
      </c>
      <c r="K1237" s="76">
        <f t="shared" si="85"/>
        <v>39047.01</v>
      </c>
      <c r="L1237">
        <v>1</v>
      </c>
      <c r="M1237" s="29">
        <v>0</v>
      </c>
      <c r="N1237" t="s">
        <v>32</v>
      </c>
      <c r="O1237" t="s">
        <v>33</v>
      </c>
      <c r="P1237" t="s">
        <v>34</v>
      </c>
      <c r="Q1237" t="s">
        <v>34</v>
      </c>
      <c r="R1237" t="s">
        <v>34</v>
      </c>
      <c r="S1237" t="s">
        <v>34</v>
      </c>
      <c r="T1237" s="117">
        <v>0</v>
      </c>
    </row>
    <row r="1238" spans="1:21" x14ac:dyDescent="0.35">
      <c r="A1238" t="s">
        <v>20</v>
      </c>
      <c r="B1238" t="s">
        <v>23</v>
      </c>
      <c r="C1238" s="1">
        <v>45490</v>
      </c>
      <c r="D1238">
        <f t="shared" si="82"/>
        <v>17</v>
      </c>
      <c r="E1238">
        <f t="shared" si="83"/>
        <v>7</v>
      </c>
      <c r="F1238">
        <f t="shared" si="84"/>
        <v>2024</v>
      </c>
      <c r="G1238" t="s">
        <v>47</v>
      </c>
      <c r="H1238" s="98">
        <v>10855</v>
      </c>
      <c r="I1238" s="29">
        <v>2898</v>
      </c>
      <c r="J1238" s="12" t="s">
        <v>31</v>
      </c>
      <c r="K1238" s="76">
        <f t="shared" si="85"/>
        <v>2898</v>
      </c>
      <c r="L1238">
        <v>1</v>
      </c>
      <c r="M1238" s="29">
        <v>0</v>
      </c>
      <c r="N1238" t="s">
        <v>42</v>
      </c>
      <c r="O1238" t="s">
        <v>33</v>
      </c>
      <c r="P1238" t="s">
        <v>34</v>
      </c>
      <c r="Q1238" t="s">
        <v>34</v>
      </c>
      <c r="R1238" t="s">
        <v>34</v>
      </c>
      <c r="S1238" t="s">
        <v>34</v>
      </c>
      <c r="T1238" s="117">
        <v>0</v>
      </c>
    </row>
    <row r="1239" spans="1:21" x14ac:dyDescent="0.35">
      <c r="A1239" t="s">
        <v>20</v>
      </c>
      <c r="B1239" t="s">
        <v>23</v>
      </c>
      <c r="C1239" s="1">
        <v>45490</v>
      </c>
      <c r="D1239">
        <f t="shared" si="82"/>
        <v>17</v>
      </c>
      <c r="E1239">
        <f t="shared" si="83"/>
        <v>7</v>
      </c>
      <c r="F1239">
        <f t="shared" si="84"/>
        <v>2024</v>
      </c>
      <c r="G1239" t="s">
        <v>565</v>
      </c>
      <c r="H1239" s="98">
        <v>10862</v>
      </c>
      <c r="I1239" s="29">
        <v>3420</v>
      </c>
      <c r="J1239" s="12" t="s">
        <v>31</v>
      </c>
      <c r="K1239" s="76">
        <f t="shared" si="85"/>
        <v>3420</v>
      </c>
      <c r="L1239">
        <v>1</v>
      </c>
      <c r="M1239" s="29">
        <v>0</v>
      </c>
      <c r="N1239" t="s">
        <v>42</v>
      </c>
      <c r="O1239" t="s">
        <v>33</v>
      </c>
      <c r="P1239" t="s">
        <v>34</v>
      </c>
      <c r="Q1239" t="s">
        <v>34</v>
      </c>
      <c r="R1239" t="s">
        <v>34</v>
      </c>
      <c r="S1239" t="s">
        <v>34</v>
      </c>
      <c r="T1239" s="117">
        <v>0</v>
      </c>
    </row>
    <row r="1240" spans="1:21" x14ac:dyDescent="0.35">
      <c r="A1240" t="s">
        <v>20</v>
      </c>
      <c r="B1240" t="s">
        <v>23</v>
      </c>
      <c r="C1240" s="1">
        <v>45490</v>
      </c>
      <c r="D1240">
        <f t="shared" si="82"/>
        <v>17</v>
      </c>
      <c r="E1240">
        <f t="shared" si="83"/>
        <v>7</v>
      </c>
      <c r="F1240">
        <f t="shared" si="84"/>
        <v>2024</v>
      </c>
      <c r="G1240" t="s">
        <v>50</v>
      </c>
      <c r="H1240" s="98">
        <v>10579</v>
      </c>
      <c r="I1240" s="29">
        <v>15300</v>
      </c>
      <c r="J1240" s="12" t="s">
        <v>31</v>
      </c>
      <c r="K1240" s="76">
        <f t="shared" si="85"/>
        <v>15300</v>
      </c>
      <c r="L1240">
        <v>1</v>
      </c>
      <c r="M1240" s="29">
        <v>0</v>
      </c>
      <c r="N1240" t="s">
        <v>42</v>
      </c>
      <c r="O1240" t="s">
        <v>33</v>
      </c>
      <c r="P1240" t="s">
        <v>34</v>
      </c>
      <c r="Q1240" t="s">
        <v>34</v>
      </c>
      <c r="R1240" t="s">
        <v>34</v>
      </c>
      <c r="S1240" t="s">
        <v>34</v>
      </c>
      <c r="T1240" s="117">
        <v>0</v>
      </c>
    </row>
    <row r="1241" spans="1:21" x14ac:dyDescent="0.35">
      <c r="A1241" t="s">
        <v>20</v>
      </c>
      <c r="B1241" t="s">
        <v>24</v>
      </c>
      <c r="C1241" s="1">
        <v>45490</v>
      </c>
      <c r="D1241">
        <f t="shared" si="82"/>
        <v>17</v>
      </c>
      <c r="E1241">
        <f t="shared" si="83"/>
        <v>7</v>
      </c>
      <c r="F1241">
        <f t="shared" si="84"/>
        <v>2024</v>
      </c>
      <c r="G1241" t="s">
        <v>50</v>
      </c>
      <c r="H1241" s="98">
        <v>10579</v>
      </c>
      <c r="I1241" s="29">
        <v>37969</v>
      </c>
      <c r="J1241" s="12" t="s">
        <v>31</v>
      </c>
      <c r="K1241" s="76">
        <f t="shared" si="85"/>
        <v>37969</v>
      </c>
      <c r="L1241">
        <v>1</v>
      </c>
      <c r="M1241" s="29">
        <v>0</v>
      </c>
      <c r="N1241" t="s">
        <v>42</v>
      </c>
      <c r="O1241" t="s">
        <v>33</v>
      </c>
      <c r="P1241" t="s">
        <v>34</v>
      </c>
      <c r="Q1241" t="s">
        <v>34</v>
      </c>
      <c r="R1241" t="s">
        <v>34</v>
      </c>
      <c r="S1241" t="s">
        <v>34</v>
      </c>
      <c r="T1241" s="117">
        <v>0</v>
      </c>
    </row>
    <row r="1242" spans="1:21" x14ac:dyDescent="0.35">
      <c r="A1242" t="s">
        <v>20</v>
      </c>
      <c r="B1242" t="s">
        <v>25</v>
      </c>
      <c r="C1242" s="1">
        <v>45490</v>
      </c>
      <c r="D1242">
        <f t="shared" si="82"/>
        <v>17</v>
      </c>
      <c r="E1242">
        <f t="shared" si="83"/>
        <v>7</v>
      </c>
      <c r="F1242">
        <f t="shared" si="84"/>
        <v>2024</v>
      </c>
      <c r="G1242" t="s">
        <v>50</v>
      </c>
      <c r="H1242" s="98">
        <v>10579</v>
      </c>
      <c r="I1242" s="29">
        <v>34155.360000000001</v>
      </c>
      <c r="J1242" s="12" t="s">
        <v>31</v>
      </c>
      <c r="K1242" s="76">
        <f t="shared" si="85"/>
        <v>34155.360000000001</v>
      </c>
      <c r="L1242">
        <v>1</v>
      </c>
      <c r="M1242" s="29">
        <v>0</v>
      </c>
      <c r="N1242" t="s">
        <v>42</v>
      </c>
      <c r="O1242" t="s">
        <v>33</v>
      </c>
      <c r="P1242" t="s">
        <v>34</v>
      </c>
      <c r="Q1242" t="s">
        <v>34</v>
      </c>
      <c r="R1242" t="s">
        <v>34</v>
      </c>
      <c r="S1242" t="s">
        <v>34</v>
      </c>
      <c r="T1242" s="117">
        <v>0</v>
      </c>
    </row>
    <row r="1243" spans="1:21" x14ac:dyDescent="0.35">
      <c r="A1243" t="s">
        <v>20</v>
      </c>
      <c r="B1243" t="s">
        <v>21</v>
      </c>
      <c r="C1243" s="1">
        <v>45490</v>
      </c>
      <c r="D1243">
        <f t="shared" si="82"/>
        <v>17</v>
      </c>
      <c r="E1243">
        <f t="shared" si="83"/>
        <v>7</v>
      </c>
      <c r="F1243">
        <f t="shared" si="84"/>
        <v>2024</v>
      </c>
      <c r="G1243" t="s">
        <v>50</v>
      </c>
      <c r="H1243" s="98">
        <v>10869</v>
      </c>
      <c r="I1243" s="29">
        <v>29.9</v>
      </c>
      <c r="J1243" s="12" t="s">
        <v>31</v>
      </c>
      <c r="K1243" s="76">
        <f t="shared" si="85"/>
        <v>29.9</v>
      </c>
      <c r="L1243">
        <v>1</v>
      </c>
      <c r="M1243" s="29">
        <v>0</v>
      </c>
      <c r="N1243" t="s">
        <v>42</v>
      </c>
      <c r="O1243" t="s">
        <v>33</v>
      </c>
      <c r="P1243" t="s">
        <v>34</v>
      </c>
      <c r="Q1243" t="s">
        <v>34</v>
      </c>
      <c r="R1243" t="s">
        <v>34</v>
      </c>
      <c r="S1243" t="s">
        <v>34</v>
      </c>
      <c r="T1243" s="117">
        <v>0</v>
      </c>
    </row>
    <row r="1244" spans="1:21" x14ac:dyDescent="0.35">
      <c r="A1244" t="s">
        <v>20</v>
      </c>
      <c r="B1244" t="s">
        <v>21</v>
      </c>
      <c r="C1244" s="1">
        <v>45490</v>
      </c>
      <c r="D1244">
        <f t="shared" si="82"/>
        <v>17</v>
      </c>
      <c r="E1244">
        <f t="shared" si="83"/>
        <v>7</v>
      </c>
      <c r="F1244">
        <f t="shared" si="84"/>
        <v>2024</v>
      </c>
      <c r="G1244" t="s">
        <v>50</v>
      </c>
      <c r="H1244" s="98">
        <v>10864</v>
      </c>
      <c r="I1244" s="29">
        <v>179.4</v>
      </c>
      <c r="J1244" s="12" t="s">
        <v>31</v>
      </c>
      <c r="K1244" s="76">
        <f t="shared" si="85"/>
        <v>179.4</v>
      </c>
      <c r="L1244">
        <v>1</v>
      </c>
      <c r="M1244" s="29">
        <v>0</v>
      </c>
      <c r="N1244" t="s">
        <v>42</v>
      </c>
      <c r="O1244" t="s">
        <v>33</v>
      </c>
      <c r="P1244" t="s">
        <v>34</v>
      </c>
      <c r="Q1244" t="s">
        <v>34</v>
      </c>
      <c r="R1244" t="s">
        <v>34</v>
      </c>
      <c r="S1244" t="s">
        <v>34</v>
      </c>
      <c r="T1244" s="117">
        <v>0</v>
      </c>
    </row>
    <row r="1245" spans="1:21" x14ac:dyDescent="0.35">
      <c r="A1245" t="s">
        <v>20</v>
      </c>
      <c r="B1245" t="s">
        <v>21</v>
      </c>
      <c r="C1245" s="1">
        <v>45490</v>
      </c>
      <c r="D1245">
        <f t="shared" si="82"/>
        <v>17</v>
      </c>
      <c r="E1245">
        <f t="shared" si="83"/>
        <v>7</v>
      </c>
      <c r="F1245">
        <f t="shared" si="84"/>
        <v>2024</v>
      </c>
      <c r="G1245" t="s">
        <v>50</v>
      </c>
      <c r="H1245" s="98">
        <v>10865</v>
      </c>
      <c r="I1245" s="29">
        <v>1679.48</v>
      </c>
      <c r="J1245" s="12" t="s">
        <v>31</v>
      </c>
      <c r="K1245" s="76">
        <f t="shared" si="85"/>
        <v>1679.48</v>
      </c>
      <c r="L1245">
        <v>1</v>
      </c>
      <c r="M1245" s="29">
        <v>0</v>
      </c>
      <c r="N1245" t="s">
        <v>42</v>
      </c>
      <c r="O1245" t="s">
        <v>33</v>
      </c>
      <c r="P1245" t="s">
        <v>34</v>
      </c>
      <c r="Q1245" t="s">
        <v>34</v>
      </c>
      <c r="R1245" t="s">
        <v>34</v>
      </c>
      <c r="S1245" t="s">
        <v>34</v>
      </c>
      <c r="T1245" s="117">
        <v>0</v>
      </c>
    </row>
    <row r="1246" spans="1:21" x14ac:dyDescent="0.35">
      <c r="A1246" t="s">
        <v>20</v>
      </c>
      <c r="B1246" t="s">
        <v>21</v>
      </c>
      <c r="C1246" s="1">
        <v>45490</v>
      </c>
      <c r="D1246">
        <f t="shared" si="82"/>
        <v>17</v>
      </c>
      <c r="E1246">
        <f t="shared" si="83"/>
        <v>7</v>
      </c>
      <c r="F1246">
        <f t="shared" si="84"/>
        <v>2024</v>
      </c>
      <c r="G1246" t="s">
        <v>50</v>
      </c>
      <c r="H1246" s="98">
        <v>10863</v>
      </c>
      <c r="I1246" s="29">
        <v>59.8</v>
      </c>
      <c r="J1246" s="12" t="s">
        <v>31</v>
      </c>
      <c r="K1246" s="76">
        <f t="shared" si="85"/>
        <v>59.8</v>
      </c>
      <c r="L1246">
        <v>1</v>
      </c>
      <c r="M1246" s="29">
        <v>0</v>
      </c>
      <c r="N1246" t="s">
        <v>42</v>
      </c>
      <c r="O1246" t="s">
        <v>33</v>
      </c>
      <c r="P1246" t="s">
        <v>34</v>
      </c>
      <c r="Q1246" t="s">
        <v>34</v>
      </c>
      <c r="R1246" t="s">
        <v>34</v>
      </c>
      <c r="S1246" t="s">
        <v>34</v>
      </c>
      <c r="T1246" s="117">
        <v>0</v>
      </c>
    </row>
    <row r="1247" spans="1:21" x14ac:dyDescent="0.35">
      <c r="A1247" t="s">
        <v>20</v>
      </c>
      <c r="B1247" t="s">
        <v>21</v>
      </c>
      <c r="C1247" s="1">
        <v>45490</v>
      </c>
      <c r="D1247">
        <f t="shared" si="82"/>
        <v>17</v>
      </c>
      <c r="E1247">
        <f t="shared" si="83"/>
        <v>7</v>
      </c>
      <c r="F1247">
        <f t="shared" si="84"/>
        <v>2024</v>
      </c>
      <c r="G1247" t="s">
        <v>50</v>
      </c>
      <c r="H1247" s="98">
        <v>10865</v>
      </c>
      <c r="I1247" s="29">
        <v>790.26</v>
      </c>
      <c r="J1247" s="12" t="s">
        <v>31</v>
      </c>
      <c r="K1247" s="76">
        <f t="shared" si="85"/>
        <v>790.26</v>
      </c>
      <c r="L1247">
        <v>1</v>
      </c>
      <c r="M1247" s="29">
        <v>0</v>
      </c>
      <c r="N1247" t="s">
        <v>42</v>
      </c>
      <c r="O1247" t="s">
        <v>33</v>
      </c>
      <c r="P1247" t="s">
        <v>34</v>
      </c>
      <c r="Q1247" t="s">
        <v>34</v>
      </c>
      <c r="R1247" t="s">
        <v>34</v>
      </c>
      <c r="S1247" t="s">
        <v>34</v>
      </c>
      <c r="T1247" s="117">
        <v>0</v>
      </c>
      <c r="U1247" s="209" t="s">
        <v>467</v>
      </c>
    </row>
    <row r="1248" spans="1:21" x14ac:dyDescent="0.35">
      <c r="A1248" t="s">
        <v>20</v>
      </c>
      <c r="B1248" t="s">
        <v>23</v>
      </c>
      <c r="C1248" s="1">
        <v>45490</v>
      </c>
      <c r="D1248">
        <f t="shared" si="82"/>
        <v>17</v>
      </c>
      <c r="E1248">
        <f t="shared" si="83"/>
        <v>7</v>
      </c>
      <c r="F1248">
        <f t="shared" si="84"/>
        <v>2024</v>
      </c>
      <c r="G1248" t="s">
        <v>82</v>
      </c>
      <c r="H1248" s="98">
        <v>10488</v>
      </c>
      <c r="I1248" s="29">
        <v>21170.77</v>
      </c>
      <c r="J1248" s="12" t="s">
        <v>31</v>
      </c>
      <c r="K1248" s="76">
        <f t="shared" si="85"/>
        <v>21170.77</v>
      </c>
      <c r="L1248">
        <v>1</v>
      </c>
      <c r="M1248" s="29">
        <v>0</v>
      </c>
      <c r="N1248" t="s">
        <v>32</v>
      </c>
      <c r="O1248" t="s">
        <v>33</v>
      </c>
      <c r="P1248" t="s">
        <v>34</v>
      </c>
      <c r="Q1248" t="s">
        <v>34</v>
      </c>
      <c r="R1248" t="s">
        <v>34</v>
      </c>
      <c r="S1248" t="s">
        <v>34</v>
      </c>
      <c r="T1248" s="117">
        <v>0</v>
      </c>
    </row>
    <row r="1249" spans="1:20" x14ac:dyDescent="0.35">
      <c r="A1249" t="s">
        <v>20</v>
      </c>
      <c r="B1249" t="s">
        <v>23</v>
      </c>
      <c r="C1249" s="1">
        <v>45490</v>
      </c>
      <c r="D1249">
        <f t="shared" si="82"/>
        <v>17</v>
      </c>
      <c r="E1249">
        <f t="shared" si="83"/>
        <v>7</v>
      </c>
      <c r="F1249">
        <f t="shared" si="84"/>
        <v>2024</v>
      </c>
      <c r="G1249" t="s">
        <v>82</v>
      </c>
      <c r="H1249" s="98">
        <v>10673</v>
      </c>
      <c r="I1249" s="29">
        <v>36.200000000000003</v>
      </c>
      <c r="J1249" s="12" t="s">
        <v>31</v>
      </c>
      <c r="K1249" s="76">
        <f t="shared" si="85"/>
        <v>36.200000000000003</v>
      </c>
      <c r="L1249">
        <v>1</v>
      </c>
      <c r="M1249" s="29">
        <v>0</v>
      </c>
      <c r="N1249" t="s">
        <v>32</v>
      </c>
      <c r="O1249" t="s">
        <v>33</v>
      </c>
      <c r="P1249" t="s">
        <v>34</v>
      </c>
      <c r="Q1249" t="s">
        <v>34</v>
      </c>
      <c r="R1249" t="s">
        <v>34</v>
      </c>
      <c r="S1249" t="s">
        <v>34</v>
      </c>
      <c r="T1249" s="117">
        <v>0</v>
      </c>
    </row>
    <row r="1250" spans="1:20" x14ac:dyDescent="0.35">
      <c r="A1250" t="s">
        <v>20</v>
      </c>
      <c r="B1250" t="s">
        <v>23</v>
      </c>
      <c r="C1250" s="1">
        <v>45490</v>
      </c>
      <c r="D1250">
        <f t="shared" si="82"/>
        <v>17</v>
      </c>
      <c r="E1250">
        <f t="shared" si="83"/>
        <v>7</v>
      </c>
      <c r="F1250">
        <f t="shared" si="84"/>
        <v>2024</v>
      </c>
      <c r="G1250" t="s">
        <v>45</v>
      </c>
      <c r="H1250" s="98">
        <v>10771</v>
      </c>
      <c r="I1250" s="29">
        <v>25.7</v>
      </c>
      <c r="J1250" s="12" t="s">
        <v>31</v>
      </c>
      <c r="K1250" s="76">
        <f t="shared" si="85"/>
        <v>25.7</v>
      </c>
      <c r="L1250">
        <v>1</v>
      </c>
      <c r="M1250" s="29">
        <v>0</v>
      </c>
      <c r="N1250" t="s">
        <v>32</v>
      </c>
      <c r="O1250" t="s">
        <v>33</v>
      </c>
      <c r="P1250" t="s">
        <v>34</v>
      </c>
      <c r="Q1250" t="s">
        <v>34</v>
      </c>
      <c r="R1250" t="s">
        <v>34</v>
      </c>
      <c r="S1250" t="s">
        <v>34</v>
      </c>
      <c r="T1250" s="117">
        <v>0</v>
      </c>
    </row>
    <row r="1251" spans="1:20" x14ac:dyDescent="0.35">
      <c r="A1251" t="s">
        <v>20</v>
      </c>
      <c r="B1251" t="s">
        <v>25</v>
      </c>
      <c r="C1251" s="1">
        <v>45490</v>
      </c>
      <c r="D1251">
        <f t="shared" si="82"/>
        <v>17</v>
      </c>
      <c r="E1251">
        <f t="shared" si="83"/>
        <v>7</v>
      </c>
      <c r="F1251">
        <f t="shared" si="84"/>
        <v>2024</v>
      </c>
      <c r="G1251" t="s">
        <v>45</v>
      </c>
      <c r="H1251" s="98">
        <v>10669</v>
      </c>
      <c r="I1251" s="29">
        <v>47323.69</v>
      </c>
      <c r="J1251" s="12" t="s">
        <v>31</v>
      </c>
      <c r="K1251" s="76">
        <f t="shared" si="85"/>
        <v>47323.69</v>
      </c>
      <c r="L1251">
        <v>1</v>
      </c>
      <c r="M1251" s="29">
        <v>0</v>
      </c>
      <c r="N1251" t="s">
        <v>32</v>
      </c>
      <c r="O1251" t="s">
        <v>33</v>
      </c>
      <c r="P1251" t="s">
        <v>34</v>
      </c>
      <c r="Q1251" t="s">
        <v>34</v>
      </c>
      <c r="R1251" t="s">
        <v>34</v>
      </c>
      <c r="S1251" t="s">
        <v>34</v>
      </c>
      <c r="T1251" s="117">
        <v>0</v>
      </c>
    </row>
    <row r="1252" spans="1:20" x14ac:dyDescent="0.35">
      <c r="A1252" t="s">
        <v>20</v>
      </c>
      <c r="B1252" t="s">
        <v>21</v>
      </c>
      <c r="C1252" s="1">
        <v>45490</v>
      </c>
      <c r="D1252">
        <f t="shared" si="82"/>
        <v>17</v>
      </c>
      <c r="E1252">
        <f t="shared" si="83"/>
        <v>7</v>
      </c>
      <c r="F1252">
        <f t="shared" si="84"/>
        <v>2024</v>
      </c>
      <c r="G1252" t="s">
        <v>45</v>
      </c>
      <c r="H1252" s="98">
        <v>10669</v>
      </c>
      <c r="I1252" s="29">
        <v>14831.7</v>
      </c>
      <c r="J1252" s="12" t="s">
        <v>31</v>
      </c>
      <c r="K1252" s="76">
        <f t="shared" si="85"/>
        <v>14831.7</v>
      </c>
      <c r="L1252">
        <v>1</v>
      </c>
      <c r="M1252" s="29">
        <v>0</v>
      </c>
      <c r="N1252" t="s">
        <v>32</v>
      </c>
      <c r="O1252" t="s">
        <v>33</v>
      </c>
      <c r="P1252" t="s">
        <v>34</v>
      </c>
      <c r="Q1252" t="s">
        <v>34</v>
      </c>
      <c r="R1252" t="s">
        <v>34</v>
      </c>
      <c r="S1252" t="s">
        <v>34</v>
      </c>
      <c r="T1252" s="117">
        <v>0</v>
      </c>
    </row>
    <row r="1253" spans="1:20" x14ac:dyDescent="0.35">
      <c r="A1253" t="s">
        <v>20</v>
      </c>
      <c r="B1253" t="s">
        <v>21</v>
      </c>
      <c r="C1253" s="1">
        <v>45490</v>
      </c>
      <c r="D1253">
        <f t="shared" si="82"/>
        <v>17</v>
      </c>
      <c r="E1253">
        <f t="shared" si="83"/>
        <v>7</v>
      </c>
      <c r="F1253">
        <f t="shared" si="84"/>
        <v>2024</v>
      </c>
      <c r="G1253" t="s">
        <v>45</v>
      </c>
      <c r="H1253" s="98">
        <v>10688</v>
      </c>
      <c r="I1253" s="29">
        <v>78</v>
      </c>
      <c r="J1253" s="12" t="s">
        <v>31</v>
      </c>
      <c r="K1253" s="76">
        <f t="shared" ref="K1253:K1284" si="86">IF(J1253="USD",I1253,I1253*L1253)</f>
        <v>78</v>
      </c>
      <c r="L1253">
        <v>1</v>
      </c>
      <c r="M1253" s="29">
        <v>0</v>
      </c>
      <c r="N1253" t="s">
        <v>32</v>
      </c>
      <c r="O1253" t="s">
        <v>33</v>
      </c>
      <c r="P1253" t="s">
        <v>34</v>
      </c>
      <c r="Q1253" t="s">
        <v>34</v>
      </c>
      <c r="R1253" t="s">
        <v>34</v>
      </c>
      <c r="S1253" t="s">
        <v>34</v>
      </c>
      <c r="T1253" s="117">
        <v>0</v>
      </c>
    </row>
    <row r="1254" spans="1:20" x14ac:dyDescent="0.35">
      <c r="A1254" t="s">
        <v>20</v>
      </c>
      <c r="B1254" t="s">
        <v>21</v>
      </c>
      <c r="C1254" s="1">
        <v>45490</v>
      </c>
      <c r="D1254">
        <f t="shared" si="82"/>
        <v>17</v>
      </c>
      <c r="E1254">
        <f t="shared" si="83"/>
        <v>7</v>
      </c>
      <c r="F1254">
        <f t="shared" si="84"/>
        <v>2024</v>
      </c>
      <c r="G1254" t="s">
        <v>45</v>
      </c>
      <c r="H1254" s="98">
        <v>10777</v>
      </c>
      <c r="I1254" s="29">
        <v>203.6</v>
      </c>
      <c r="J1254" s="12" t="s">
        <v>31</v>
      </c>
      <c r="K1254" s="76">
        <f t="shared" si="86"/>
        <v>203.6</v>
      </c>
      <c r="L1254">
        <v>1</v>
      </c>
      <c r="M1254" s="29">
        <v>0</v>
      </c>
      <c r="N1254" t="s">
        <v>32</v>
      </c>
      <c r="O1254" t="s">
        <v>33</v>
      </c>
      <c r="P1254" t="s">
        <v>34</v>
      </c>
      <c r="Q1254" t="s">
        <v>34</v>
      </c>
      <c r="R1254" t="s">
        <v>34</v>
      </c>
      <c r="S1254" t="s">
        <v>34</v>
      </c>
      <c r="T1254" s="117">
        <v>0</v>
      </c>
    </row>
    <row r="1255" spans="1:20" x14ac:dyDescent="0.35">
      <c r="A1255" t="s">
        <v>20</v>
      </c>
      <c r="B1255" t="s">
        <v>23</v>
      </c>
      <c r="C1255" s="1">
        <v>45490</v>
      </c>
      <c r="D1255">
        <f t="shared" si="82"/>
        <v>17</v>
      </c>
      <c r="E1255">
        <f t="shared" si="83"/>
        <v>7</v>
      </c>
      <c r="F1255">
        <f t="shared" si="84"/>
        <v>2024</v>
      </c>
      <c r="G1255" t="s">
        <v>104</v>
      </c>
      <c r="H1255" s="98">
        <v>10872</v>
      </c>
      <c r="I1255" s="29">
        <v>34</v>
      </c>
      <c r="J1255" s="12" t="s">
        <v>31</v>
      </c>
      <c r="K1255" s="76">
        <f t="shared" si="86"/>
        <v>34</v>
      </c>
      <c r="L1255">
        <v>1</v>
      </c>
      <c r="M1255" s="29">
        <v>0</v>
      </c>
      <c r="N1255" t="s">
        <v>42</v>
      </c>
      <c r="O1255" t="s">
        <v>33</v>
      </c>
      <c r="P1255" t="s">
        <v>34</v>
      </c>
      <c r="Q1255" t="s">
        <v>34</v>
      </c>
      <c r="R1255" t="s">
        <v>34</v>
      </c>
      <c r="S1255" t="s">
        <v>34</v>
      </c>
      <c r="T1255" s="117">
        <v>0</v>
      </c>
    </row>
    <row r="1256" spans="1:20" x14ac:dyDescent="0.35">
      <c r="A1256" t="s">
        <v>20</v>
      </c>
      <c r="B1256" t="s">
        <v>23</v>
      </c>
      <c r="C1256" s="1">
        <v>45490</v>
      </c>
      <c r="D1256">
        <f t="shared" si="82"/>
        <v>17</v>
      </c>
      <c r="E1256">
        <f t="shared" si="83"/>
        <v>7</v>
      </c>
      <c r="F1256">
        <f t="shared" si="84"/>
        <v>2024</v>
      </c>
      <c r="G1256" t="s">
        <v>104</v>
      </c>
      <c r="H1256" s="98">
        <v>10873</v>
      </c>
      <c r="I1256" s="29">
        <v>2142</v>
      </c>
      <c r="J1256" s="12" t="s">
        <v>31</v>
      </c>
      <c r="K1256" s="76">
        <f t="shared" si="86"/>
        <v>2142</v>
      </c>
      <c r="L1256">
        <v>1</v>
      </c>
      <c r="M1256" s="29">
        <v>0</v>
      </c>
      <c r="N1256" t="s">
        <v>42</v>
      </c>
      <c r="O1256" t="s">
        <v>33</v>
      </c>
      <c r="P1256" t="s">
        <v>34</v>
      </c>
      <c r="Q1256" t="s">
        <v>34</v>
      </c>
      <c r="R1256" t="s">
        <v>34</v>
      </c>
      <c r="S1256" t="s">
        <v>34</v>
      </c>
      <c r="T1256" s="117">
        <v>0</v>
      </c>
    </row>
    <row r="1257" spans="1:20" x14ac:dyDescent="0.35">
      <c r="A1257" t="s">
        <v>20</v>
      </c>
      <c r="B1257" t="s">
        <v>25</v>
      </c>
      <c r="C1257" s="1">
        <v>45490</v>
      </c>
      <c r="D1257">
        <f t="shared" si="82"/>
        <v>17</v>
      </c>
      <c r="E1257">
        <f t="shared" si="83"/>
        <v>7</v>
      </c>
      <c r="F1257">
        <f t="shared" si="84"/>
        <v>2024</v>
      </c>
      <c r="G1257" t="s">
        <v>321</v>
      </c>
      <c r="H1257" s="98">
        <v>10867</v>
      </c>
      <c r="I1257" s="29">
        <v>7206</v>
      </c>
      <c r="J1257" s="12" t="s">
        <v>31</v>
      </c>
      <c r="K1257" s="76">
        <f t="shared" si="86"/>
        <v>7206</v>
      </c>
      <c r="L1257">
        <v>1</v>
      </c>
      <c r="M1257" s="29">
        <v>0</v>
      </c>
      <c r="N1257" t="s">
        <v>42</v>
      </c>
      <c r="O1257" t="s">
        <v>33</v>
      </c>
      <c r="P1257" t="s">
        <v>34</v>
      </c>
      <c r="Q1257" t="s">
        <v>34</v>
      </c>
      <c r="R1257" t="s">
        <v>34</v>
      </c>
      <c r="S1257" t="s">
        <v>34</v>
      </c>
      <c r="T1257" s="117">
        <v>0</v>
      </c>
    </row>
    <row r="1258" spans="1:20" x14ac:dyDescent="0.35">
      <c r="A1258" t="s">
        <v>20</v>
      </c>
      <c r="B1258" t="s">
        <v>25</v>
      </c>
      <c r="C1258" s="1">
        <v>45490</v>
      </c>
      <c r="D1258">
        <f t="shared" si="82"/>
        <v>17</v>
      </c>
      <c r="E1258">
        <f t="shared" si="83"/>
        <v>7</v>
      </c>
      <c r="F1258">
        <f t="shared" si="84"/>
        <v>2024</v>
      </c>
      <c r="G1258" t="s">
        <v>99</v>
      </c>
      <c r="H1258" s="98">
        <v>10329</v>
      </c>
      <c r="I1258" s="29">
        <v>3572.74</v>
      </c>
      <c r="J1258" s="12" t="s">
        <v>31</v>
      </c>
      <c r="K1258" s="76">
        <f t="shared" si="86"/>
        <v>3572.74</v>
      </c>
      <c r="L1258">
        <v>1</v>
      </c>
      <c r="M1258" s="29">
        <v>0</v>
      </c>
      <c r="N1258" t="s">
        <v>32</v>
      </c>
      <c r="O1258" t="s">
        <v>33</v>
      </c>
      <c r="P1258" t="s">
        <v>34</v>
      </c>
      <c r="Q1258" t="s">
        <v>34</v>
      </c>
      <c r="R1258" t="s">
        <v>34</v>
      </c>
      <c r="S1258" t="s">
        <v>34</v>
      </c>
      <c r="T1258" s="117">
        <v>0</v>
      </c>
    </row>
    <row r="1259" spans="1:20" x14ac:dyDescent="0.35">
      <c r="A1259" t="s">
        <v>20</v>
      </c>
      <c r="B1259" t="s">
        <v>24</v>
      </c>
      <c r="C1259" s="1">
        <v>45490</v>
      </c>
      <c r="D1259">
        <f t="shared" si="82"/>
        <v>17</v>
      </c>
      <c r="E1259">
        <f t="shared" si="83"/>
        <v>7</v>
      </c>
      <c r="F1259">
        <f t="shared" si="84"/>
        <v>2024</v>
      </c>
      <c r="G1259" t="s">
        <v>90</v>
      </c>
      <c r="H1259" s="98">
        <v>10403</v>
      </c>
      <c r="I1259" s="29">
        <v>4732.1499999999996</v>
      </c>
      <c r="J1259" s="12" t="s">
        <v>31</v>
      </c>
      <c r="K1259" s="76">
        <f t="shared" si="86"/>
        <v>4732.1499999999996</v>
      </c>
      <c r="L1259">
        <v>1</v>
      </c>
      <c r="M1259" s="29">
        <v>0</v>
      </c>
      <c r="N1259" t="s">
        <v>32</v>
      </c>
      <c r="O1259" t="s">
        <v>33</v>
      </c>
      <c r="P1259" t="s">
        <v>34</v>
      </c>
      <c r="Q1259" t="s">
        <v>34</v>
      </c>
      <c r="R1259" t="s">
        <v>34</v>
      </c>
      <c r="S1259" t="s">
        <v>34</v>
      </c>
      <c r="T1259" s="117">
        <v>0</v>
      </c>
    </row>
    <row r="1260" spans="1:20" x14ac:dyDescent="0.35">
      <c r="A1260" t="s">
        <v>20</v>
      </c>
      <c r="B1260" t="s">
        <v>23</v>
      </c>
      <c r="C1260" s="1">
        <v>45490</v>
      </c>
      <c r="D1260">
        <f t="shared" si="82"/>
        <v>17</v>
      </c>
      <c r="E1260">
        <f t="shared" si="83"/>
        <v>7</v>
      </c>
      <c r="F1260">
        <f t="shared" si="84"/>
        <v>2024</v>
      </c>
      <c r="G1260" t="s">
        <v>90</v>
      </c>
      <c r="H1260" s="98">
        <v>10403</v>
      </c>
      <c r="I1260" s="29">
        <v>7480.84</v>
      </c>
      <c r="J1260" s="12" t="s">
        <v>31</v>
      </c>
      <c r="K1260" s="76">
        <f t="shared" si="86"/>
        <v>7480.84</v>
      </c>
      <c r="L1260">
        <v>1</v>
      </c>
      <c r="M1260" s="29">
        <v>0</v>
      </c>
      <c r="N1260" t="s">
        <v>32</v>
      </c>
      <c r="O1260" t="s">
        <v>33</v>
      </c>
      <c r="P1260" t="s">
        <v>34</v>
      </c>
      <c r="Q1260" t="s">
        <v>34</v>
      </c>
      <c r="R1260" t="s">
        <v>34</v>
      </c>
      <c r="S1260" t="s">
        <v>34</v>
      </c>
      <c r="T1260" s="117">
        <v>0</v>
      </c>
    </row>
    <row r="1261" spans="1:20" x14ac:dyDescent="0.35">
      <c r="A1261" t="s">
        <v>20</v>
      </c>
      <c r="B1261" t="s">
        <v>21</v>
      </c>
      <c r="C1261" s="1">
        <v>45490</v>
      </c>
      <c r="D1261">
        <f t="shared" si="82"/>
        <v>17</v>
      </c>
      <c r="E1261">
        <f t="shared" si="83"/>
        <v>7</v>
      </c>
      <c r="F1261">
        <f t="shared" si="84"/>
        <v>2024</v>
      </c>
      <c r="G1261" t="s">
        <v>46</v>
      </c>
      <c r="H1261" s="98">
        <v>10870</v>
      </c>
      <c r="I1261" s="29">
        <v>104.8</v>
      </c>
      <c r="J1261" s="12" t="s">
        <v>31</v>
      </c>
      <c r="K1261" s="76">
        <f t="shared" si="86"/>
        <v>104.8</v>
      </c>
      <c r="L1261">
        <v>1</v>
      </c>
      <c r="M1261" s="29">
        <v>0</v>
      </c>
      <c r="N1261" t="s">
        <v>42</v>
      </c>
      <c r="O1261" t="s">
        <v>33</v>
      </c>
      <c r="P1261" t="s">
        <v>34</v>
      </c>
      <c r="Q1261" t="s">
        <v>34</v>
      </c>
      <c r="R1261" t="s">
        <v>34</v>
      </c>
      <c r="S1261" t="s">
        <v>34</v>
      </c>
      <c r="T1261" s="117">
        <v>0</v>
      </c>
    </row>
    <row r="1262" spans="1:20" x14ac:dyDescent="0.35">
      <c r="A1262" t="s">
        <v>20</v>
      </c>
      <c r="B1262" t="s">
        <v>21</v>
      </c>
      <c r="C1262" s="1">
        <v>45490</v>
      </c>
      <c r="D1262">
        <f t="shared" si="82"/>
        <v>17</v>
      </c>
      <c r="E1262">
        <f t="shared" si="83"/>
        <v>7</v>
      </c>
      <c r="F1262">
        <f t="shared" si="84"/>
        <v>2024</v>
      </c>
      <c r="G1262" t="s">
        <v>46</v>
      </c>
      <c r="H1262" s="98">
        <v>10871</v>
      </c>
      <c r="I1262" s="29">
        <v>2350.66</v>
      </c>
      <c r="J1262" s="12" t="s">
        <v>31</v>
      </c>
      <c r="K1262" s="76">
        <f t="shared" si="86"/>
        <v>2350.66</v>
      </c>
      <c r="L1262">
        <v>1</v>
      </c>
      <c r="M1262" s="29">
        <v>0</v>
      </c>
      <c r="N1262" t="s">
        <v>42</v>
      </c>
      <c r="O1262" t="s">
        <v>33</v>
      </c>
      <c r="P1262" t="s">
        <v>34</v>
      </c>
      <c r="Q1262" t="s">
        <v>34</v>
      </c>
      <c r="R1262" t="s">
        <v>34</v>
      </c>
      <c r="S1262" t="s">
        <v>34</v>
      </c>
      <c r="T1262" s="117">
        <v>0</v>
      </c>
    </row>
    <row r="1263" spans="1:20" x14ac:dyDescent="0.35">
      <c r="A1263" t="s">
        <v>19</v>
      </c>
      <c r="B1263" t="s">
        <v>19</v>
      </c>
      <c r="C1263" s="1">
        <v>45490</v>
      </c>
      <c r="D1263">
        <f t="shared" si="82"/>
        <v>17</v>
      </c>
      <c r="E1263">
        <f t="shared" si="83"/>
        <v>7</v>
      </c>
      <c r="F1263">
        <f t="shared" si="84"/>
        <v>2024</v>
      </c>
      <c r="G1263" t="s">
        <v>111</v>
      </c>
      <c r="H1263" s="98" t="s">
        <v>365</v>
      </c>
      <c r="I1263" s="29">
        <v>79551.64</v>
      </c>
      <c r="J1263" s="12" t="s">
        <v>31</v>
      </c>
      <c r="K1263" s="76">
        <f t="shared" si="86"/>
        <v>79551.64</v>
      </c>
      <c r="L1263">
        <v>1</v>
      </c>
      <c r="M1263" s="29">
        <v>0</v>
      </c>
      <c r="N1263" t="s">
        <v>32</v>
      </c>
      <c r="O1263" t="s">
        <v>33</v>
      </c>
      <c r="P1263" t="s">
        <v>34</v>
      </c>
      <c r="Q1263" t="s">
        <v>34</v>
      </c>
      <c r="R1263" t="s">
        <v>34</v>
      </c>
      <c r="S1263" t="s">
        <v>34</v>
      </c>
      <c r="T1263" s="117">
        <v>0</v>
      </c>
    </row>
    <row r="1264" spans="1:20" x14ac:dyDescent="0.35">
      <c r="A1264" t="s">
        <v>19</v>
      </c>
      <c r="B1264" t="s">
        <v>19</v>
      </c>
      <c r="C1264" s="1">
        <v>45490</v>
      </c>
      <c r="D1264">
        <f t="shared" si="82"/>
        <v>17</v>
      </c>
      <c r="E1264">
        <f t="shared" si="83"/>
        <v>7</v>
      </c>
      <c r="F1264">
        <f t="shared" si="84"/>
        <v>2024</v>
      </c>
      <c r="G1264" t="s">
        <v>57</v>
      </c>
      <c r="H1264" s="171" t="s">
        <v>366</v>
      </c>
      <c r="I1264" s="90">
        <v>75000</v>
      </c>
      <c r="J1264" s="12" t="s">
        <v>31</v>
      </c>
      <c r="K1264" s="76">
        <f t="shared" si="86"/>
        <v>75000</v>
      </c>
      <c r="L1264">
        <v>1</v>
      </c>
      <c r="M1264" s="29">
        <v>0</v>
      </c>
      <c r="N1264" t="s">
        <v>32</v>
      </c>
      <c r="O1264" t="s">
        <v>33</v>
      </c>
      <c r="P1264" t="s">
        <v>34</v>
      </c>
      <c r="Q1264" t="s">
        <v>34</v>
      </c>
      <c r="R1264" t="s">
        <v>34</v>
      </c>
      <c r="S1264" t="s">
        <v>34</v>
      </c>
      <c r="T1264" s="117">
        <v>0</v>
      </c>
    </row>
    <row r="1265" spans="1:21" x14ac:dyDescent="0.35">
      <c r="A1265" t="s">
        <v>19</v>
      </c>
      <c r="B1265" t="s">
        <v>19</v>
      </c>
      <c r="C1265" s="1">
        <v>45490</v>
      </c>
      <c r="D1265">
        <f t="shared" si="82"/>
        <v>17</v>
      </c>
      <c r="E1265">
        <f t="shared" si="83"/>
        <v>7</v>
      </c>
      <c r="F1265">
        <f t="shared" si="84"/>
        <v>2024</v>
      </c>
      <c r="G1265" t="s">
        <v>59</v>
      </c>
      <c r="H1265" s="98" t="s">
        <v>367</v>
      </c>
      <c r="I1265" s="29">
        <v>75000</v>
      </c>
      <c r="J1265" s="12" t="s">
        <v>31</v>
      </c>
      <c r="K1265" s="76">
        <f t="shared" si="86"/>
        <v>75000</v>
      </c>
      <c r="L1265">
        <v>1</v>
      </c>
      <c r="M1265" s="29">
        <v>0</v>
      </c>
      <c r="N1265" t="s">
        <v>32</v>
      </c>
      <c r="O1265" t="s">
        <v>33</v>
      </c>
      <c r="P1265" t="s">
        <v>34</v>
      </c>
      <c r="Q1265" t="s">
        <v>34</v>
      </c>
      <c r="R1265" t="s">
        <v>34</v>
      </c>
      <c r="S1265" t="s">
        <v>34</v>
      </c>
      <c r="T1265" s="117">
        <v>0</v>
      </c>
    </row>
    <row r="1266" spans="1:21" x14ac:dyDescent="0.35">
      <c r="A1266" t="s">
        <v>19</v>
      </c>
      <c r="B1266" t="s">
        <v>19</v>
      </c>
      <c r="C1266" s="1">
        <v>45490</v>
      </c>
      <c r="D1266">
        <f t="shared" si="82"/>
        <v>17</v>
      </c>
      <c r="E1266">
        <f t="shared" si="83"/>
        <v>7</v>
      </c>
      <c r="F1266">
        <f t="shared" si="84"/>
        <v>2024</v>
      </c>
      <c r="G1266" t="s">
        <v>106</v>
      </c>
      <c r="H1266" s="98" t="s">
        <v>353</v>
      </c>
      <c r="I1266" s="29">
        <v>101647.4</v>
      </c>
      <c r="J1266" s="12" t="s">
        <v>31</v>
      </c>
      <c r="K1266" s="76">
        <f t="shared" si="86"/>
        <v>101647.4</v>
      </c>
      <c r="L1266">
        <v>1</v>
      </c>
      <c r="M1266" s="29">
        <v>0</v>
      </c>
      <c r="N1266" t="s">
        <v>32</v>
      </c>
      <c r="O1266" t="s">
        <v>33</v>
      </c>
      <c r="P1266" t="s">
        <v>34</v>
      </c>
      <c r="Q1266" t="s">
        <v>34</v>
      </c>
      <c r="R1266" t="s">
        <v>34</v>
      </c>
      <c r="S1266" t="s">
        <v>34</v>
      </c>
      <c r="T1266" s="117">
        <v>0</v>
      </c>
    </row>
    <row r="1267" spans="1:21" x14ac:dyDescent="0.35">
      <c r="A1267" t="s">
        <v>19</v>
      </c>
      <c r="B1267" t="s">
        <v>19</v>
      </c>
      <c r="C1267" s="1">
        <v>45490</v>
      </c>
      <c r="D1267">
        <f t="shared" si="82"/>
        <v>17</v>
      </c>
      <c r="E1267">
        <f t="shared" si="83"/>
        <v>7</v>
      </c>
      <c r="F1267">
        <f t="shared" si="84"/>
        <v>2024</v>
      </c>
      <c r="G1267" t="s">
        <v>55</v>
      </c>
      <c r="H1267" s="98" t="s">
        <v>368</v>
      </c>
      <c r="I1267" s="29">
        <v>12438.68</v>
      </c>
      <c r="J1267" s="12" t="s">
        <v>31</v>
      </c>
      <c r="K1267" s="76">
        <f t="shared" si="86"/>
        <v>12438.68</v>
      </c>
      <c r="L1267">
        <v>1</v>
      </c>
      <c r="M1267" s="29">
        <v>0</v>
      </c>
      <c r="N1267" t="s">
        <v>32</v>
      </c>
      <c r="O1267" t="s">
        <v>33</v>
      </c>
      <c r="P1267" t="s">
        <v>34</v>
      </c>
      <c r="Q1267" t="s">
        <v>34</v>
      </c>
      <c r="R1267" t="s">
        <v>34</v>
      </c>
      <c r="S1267" t="s">
        <v>34</v>
      </c>
      <c r="T1267" s="117">
        <v>0</v>
      </c>
    </row>
    <row r="1268" spans="1:21" x14ac:dyDescent="0.35">
      <c r="A1268" t="s">
        <v>19</v>
      </c>
      <c r="B1268" t="s">
        <v>19</v>
      </c>
      <c r="C1268" s="1">
        <v>45490</v>
      </c>
      <c r="D1268">
        <f t="shared" si="82"/>
        <v>17</v>
      </c>
      <c r="E1268">
        <f t="shared" si="83"/>
        <v>7</v>
      </c>
      <c r="F1268">
        <f t="shared" si="84"/>
        <v>2024</v>
      </c>
      <c r="G1268" t="s">
        <v>58</v>
      </c>
      <c r="H1268" s="98" t="s">
        <v>369</v>
      </c>
      <c r="I1268" s="29">
        <v>29352.93</v>
      </c>
      <c r="J1268" s="12" t="s">
        <v>31</v>
      </c>
      <c r="K1268" s="76">
        <f t="shared" si="86"/>
        <v>29352.93</v>
      </c>
      <c r="L1268">
        <v>1</v>
      </c>
      <c r="M1268" s="29">
        <v>0</v>
      </c>
      <c r="N1268" t="s">
        <v>32</v>
      </c>
      <c r="O1268" t="s">
        <v>33</v>
      </c>
      <c r="P1268" t="s">
        <v>34</v>
      </c>
      <c r="Q1268" t="s">
        <v>34</v>
      </c>
      <c r="R1268" t="s">
        <v>34</v>
      </c>
      <c r="S1268" t="s">
        <v>34</v>
      </c>
      <c r="T1268" s="117">
        <v>0</v>
      </c>
    </row>
    <row r="1269" spans="1:21" x14ac:dyDescent="0.35">
      <c r="A1269" t="s">
        <v>19</v>
      </c>
      <c r="B1269" t="s">
        <v>19</v>
      </c>
      <c r="C1269" s="1">
        <v>45490</v>
      </c>
      <c r="D1269">
        <f t="shared" si="82"/>
        <v>17</v>
      </c>
      <c r="E1269">
        <f t="shared" si="83"/>
        <v>7</v>
      </c>
      <c r="F1269">
        <f t="shared" si="84"/>
        <v>2024</v>
      </c>
      <c r="G1269" t="s">
        <v>213</v>
      </c>
      <c r="H1269" s="98" t="s">
        <v>430</v>
      </c>
      <c r="I1269" s="29">
        <v>100000</v>
      </c>
      <c r="J1269" s="12" t="s">
        <v>31</v>
      </c>
      <c r="K1269" s="76">
        <f t="shared" si="86"/>
        <v>100000</v>
      </c>
      <c r="L1269">
        <v>1</v>
      </c>
      <c r="M1269" s="29">
        <v>0</v>
      </c>
      <c r="N1269" t="s">
        <v>32</v>
      </c>
      <c r="O1269" t="s">
        <v>33</v>
      </c>
      <c r="P1269" t="s">
        <v>34</v>
      </c>
      <c r="Q1269" t="s">
        <v>34</v>
      </c>
      <c r="R1269" t="s">
        <v>34</v>
      </c>
      <c r="S1269" t="s">
        <v>34</v>
      </c>
      <c r="T1269" s="117">
        <v>0</v>
      </c>
    </row>
    <row r="1270" spans="1:21" x14ac:dyDescent="0.35">
      <c r="A1270" t="s">
        <v>19</v>
      </c>
      <c r="B1270" t="s">
        <v>19</v>
      </c>
      <c r="C1270" s="1">
        <v>45490</v>
      </c>
      <c r="D1270">
        <f t="shared" si="82"/>
        <v>17</v>
      </c>
      <c r="E1270">
        <f t="shared" si="83"/>
        <v>7</v>
      </c>
      <c r="F1270">
        <f t="shared" si="84"/>
        <v>2024</v>
      </c>
      <c r="G1270" t="s">
        <v>110</v>
      </c>
      <c r="H1270" s="98" t="s">
        <v>370</v>
      </c>
      <c r="I1270" s="29">
        <v>81589.600000000006</v>
      </c>
      <c r="J1270" s="12" t="s">
        <v>31</v>
      </c>
      <c r="K1270" s="76">
        <f t="shared" si="86"/>
        <v>81589.600000000006</v>
      </c>
      <c r="L1270">
        <v>1</v>
      </c>
      <c r="M1270" s="29">
        <v>0</v>
      </c>
      <c r="N1270" t="s">
        <v>32</v>
      </c>
      <c r="O1270" t="s">
        <v>33</v>
      </c>
      <c r="P1270" t="s">
        <v>34</v>
      </c>
      <c r="Q1270" t="s">
        <v>34</v>
      </c>
      <c r="R1270" t="s">
        <v>34</v>
      </c>
      <c r="S1270" t="s">
        <v>34</v>
      </c>
      <c r="T1270" s="117">
        <v>0</v>
      </c>
    </row>
    <row r="1271" spans="1:21" x14ac:dyDescent="0.35">
      <c r="A1271" t="s">
        <v>19</v>
      </c>
      <c r="B1271" t="s">
        <v>19</v>
      </c>
      <c r="C1271" s="1">
        <v>45490</v>
      </c>
      <c r="D1271">
        <f t="shared" si="82"/>
        <v>17</v>
      </c>
      <c r="E1271">
        <f t="shared" si="83"/>
        <v>7</v>
      </c>
      <c r="F1271">
        <f t="shared" si="84"/>
        <v>2024</v>
      </c>
      <c r="G1271" t="s">
        <v>56</v>
      </c>
      <c r="H1271" s="98" t="s">
        <v>371</v>
      </c>
      <c r="I1271" s="29">
        <v>173634.95</v>
      </c>
      <c r="J1271" s="12" t="s">
        <v>31</v>
      </c>
      <c r="K1271" s="76">
        <f t="shared" si="86"/>
        <v>173634.95</v>
      </c>
      <c r="L1271">
        <v>1</v>
      </c>
      <c r="M1271" s="29">
        <v>0</v>
      </c>
      <c r="N1271" t="s">
        <v>32</v>
      </c>
      <c r="O1271" t="s">
        <v>33</v>
      </c>
      <c r="P1271" t="s">
        <v>34</v>
      </c>
      <c r="Q1271" t="s">
        <v>34</v>
      </c>
      <c r="R1271" t="s">
        <v>34</v>
      </c>
      <c r="S1271" t="s">
        <v>34</v>
      </c>
      <c r="T1271" s="117">
        <v>0</v>
      </c>
    </row>
    <row r="1272" spans="1:21" x14ac:dyDescent="0.35">
      <c r="A1272" t="s">
        <v>19</v>
      </c>
      <c r="B1272" t="s">
        <v>19</v>
      </c>
      <c r="C1272" s="1">
        <v>45490</v>
      </c>
      <c r="D1272">
        <f t="shared" si="82"/>
        <v>17</v>
      </c>
      <c r="E1272">
        <f t="shared" si="83"/>
        <v>7</v>
      </c>
      <c r="F1272">
        <f t="shared" si="84"/>
        <v>2024</v>
      </c>
      <c r="G1272" t="s">
        <v>56</v>
      </c>
      <c r="H1272" s="98" t="s">
        <v>372</v>
      </c>
      <c r="I1272" s="29">
        <v>170521.16</v>
      </c>
      <c r="J1272" s="12" t="s">
        <v>31</v>
      </c>
      <c r="K1272" s="76">
        <f t="shared" si="86"/>
        <v>170521.16</v>
      </c>
      <c r="L1272">
        <v>1</v>
      </c>
      <c r="M1272" s="29">
        <v>0</v>
      </c>
      <c r="N1272" t="s">
        <v>32</v>
      </c>
      <c r="O1272" t="s">
        <v>33</v>
      </c>
      <c r="P1272" t="s">
        <v>34</v>
      </c>
      <c r="Q1272" t="s">
        <v>34</v>
      </c>
      <c r="R1272" t="s">
        <v>34</v>
      </c>
      <c r="S1272" t="s">
        <v>34</v>
      </c>
      <c r="T1272" s="117">
        <v>0</v>
      </c>
    </row>
    <row r="1273" spans="1:21" x14ac:dyDescent="0.35">
      <c r="A1273" t="s">
        <v>19</v>
      </c>
      <c r="B1273" t="s">
        <v>19</v>
      </c>
      <c r="C1273" s="1">
        <v>45490</v>
      </c>
      <c r="D1273">
        <f t="shared" si="82"/>
        <v>17</v>
      </c>
      <c r="E1273">
        <f t="shared" si="83"/>
        <v>7</v>
      </c>
      <c r="F1273">
        <f t="shared" si="84"/>
        <v>2024</v>
      </c>
      <c r="G1273" t="s">
        <v>56</v>
      </c>
      <c r="H1273" s="98" t="s">
        <v>373</v>
      </c>
      <c r="I1273" s="29">
        <v>70000</v>
      </c>
      <c r="J1273" s="12" t="s">
        <v>31</v>
      </c>
      <c r="K1273" s="76">
        <f t="shared" si="86"/>
        <v>70000</v>
      </c>
      <c r="L1273">
        <v>1</v>
      </c>
      <c r="M1273" s="29">
        <v>0</v>
      </c>
      <c r="N1273" t="s">
        <v>32</v>
      </c>
      <c r="O1273" t="s">
        <v>33</v>
      </c>
      <c r="P1273" t="s">
        <v>34</v>
      </c>
      <c r="Q1273" t="s">
        <v>34</v>
      </c>
      <c r="R1273" t="s">
        <v>34</v>
      </c>
      <c r="S1273" t="s">
        <v>34</v>
      </c>
      <c r="T1273" s="117">
        <v>0</v>
      </c>
    </row>
    <row r="1274" spans="1:21" x14ac:dyDescent="0.35">
      <c r="A1274" t="s">
        <v>19</v>
      </c>
      <c r="B1274" t="s">
        <v>19</v>
      </c>
      <c r="C1274" s="1">
        <v>45490</v>
      </c>
      <c r="D1274">
        <f t="shared" si="82"/>
        <v>17</v>
      </c>
      <c r="E1274">
        <f t="shared" si="83"/>
        <v>7</v>
      </c>
      <c r="F1274">
        <f t="shared" si="84"/>
        <v>2024</v>
      </c>
      <c r="G1274" t="s">
        <v>56</v>
      </c>
      <c r="H1274" s="98" t="s">
        <v>374</v>
      </c>
      <c r="I1274" s="29">
        <v>3682.75</v>
      </c>
      <c r="J1274" s="12" t="s">
        <v>31</v>
      </c>
      <c r="K1274" s="76">
        <f t="shared" si="86"/>
        <v>3682.75</v>
      </c>
      <c r="L1274">
        <v>1</v>
      </c>
      <c r="M1274" s="29">
        <v>0</v>
      </c>
      <c r="N1274" t="s">
        <v>32</v>
      </c>
      <c r="O1274" t="s">
        <v>33</v>
      </c>
      <c r="P1274" t="s">
        <v>34</v>
      </c>
      <c r="Q1274" t="s">
        <v>34</v>
      </c>
      <c r="R1274" t="s">
        <v>34</v>
      </c>
      <c r="S1274" t="s">
        <v>34</v>
      </c>
      <c r="T1274" s="117">
        <v>0</v>
      </c>
    </row>
    <row r="1275" spans="1:21" x14ac:dyDescent="0.35">
      <c r="A1275" t="s">
        <v>19</v>
      </c>
      <c r="B1275" t="s">
        <v>26</v>
      </c>
      <c r="C1275" s="1">
        <v>45491</v>
      </c>
      <c r="D1275">
        <f t="shared" si="82"/>
        <v>18</v>
      </c>
      <c r="E1275">
        <f t="shared" si="83"/>
        <v>7</v>
      </c>
      <c r="F1275">
        <f t="shared" si="84"/>
        <v>2024</v>
      </c>
      <c r="G1275" t="s">
        <v>73</v>
      </c>
      <c r="H1275" s="98">
        <v>10919</v>
      </c>
      <c r="I1275" s="29">
        <v>69258.2</v>
      </c>
      <c r="J1275" s="12" t="s">
        <v>51</v>
      </c>
      <c r="K1275" s="76">
        <f t="shared" si="86"/>
        <v>75629.954400000002</v>
      </c>
      <c r="L1275">
        <v>1.0920000000000001</v>
      </c>
      <c r="M1275" s="29">
        <v>0</v>
      </c>
      <c r="N1275" t="s">
        <v>42</v>
      </c>
      <c r="O1275" t="s">
        <v>33</v>
      </c>
      <c r="P1275" t="s">
        <v>34</v>
      </c>
      <c r="Q1275" t="s">
        <v>34</v>
      </c>
      <c r="R1275" t="s">
        <v>34</v>
      </c>
      <c r="S1275" t="s">
        <v>34</v>
      </c>
      <c r="T1275" s="117">
        <v>0</v>
      </c>
      <c r="U1275" s="209" t="s">
        <v>94</v>
      </c>
    </row>
    <row r="1276" spans="1:21" x14ac:dyDescent="0.35">
      <c r="A1276" t="s">
        <v>19</v>
      </c>
      <c r="B1276" t="s">
        <v>26</v>
      </c>
      <c r="C1276" s="1">
        <v>45491</v>
      </c>
      <c r="D1276">
        <f t="shared" si="82"/>
        <v>18</v>
      </c>
      <c r="E1276">
        <f t="shared" si="83"/>
        <v>7</v>
      </c>
      <c r="F1276">
        <f t="shared" si="84"/>
        <v>2024</v>
      </c>
      <c r="G1276" t="s">
        <v>73</v>
      </c>
      <c r="H1276" s="98">
        <v>10926</v>
      </c>
      <c r="I1276" s="29">
        <v>91031.84</v>
      </c>
      <c r="J1276" s="12" t="s">
        <v>51</v>
      </c>
      <c r="K1276" s="76">
        <f t="shared" si="86"/>
        <v>99406.769280000008</v>
      </c>
      <c r="L1276">
        <v>1.0920000000000001</v>
      </c>
      <c r="M1276" s="29">
        <v>0</v>
      </c>
      <c r="N1276" t="s">
        <v>42</v>
      </c>
      <c r="O1276" t="s">
        <v>33</v>
      </c>
      <c r="P1276" t="s">
        <v>34</v>
      </c>
      <c r="Q1276" t="s">
        <v>34</v>
      </c>
      <c r="R1276" t="s">
        <v>34</v>
      </c>
      <c r="S1276" t="s">
        <v>34</v>
      </c>
      <c r="T1276" s="117">
        <v>0</v>
      </c>
      <c r="U1276" s="209" t="s">
        <v>94</v>
      </c>
    </row>
    <row r="1277" spans="1:21" x14ac:dyDescent="0.35">
      <c r="A1277" t="s">
        <v>19</v>
      </c>
      <c r="B1277" t="s">
        <v>26</v>
      </c>
      <c r="C1277" s="1">
        <v>45491</v>
      </c>
      <c r="D1277">
        <f t="shared" si="82"/>
        <v>18</v>
      </c>
      <c r="E1277">
        <f t="shared" si="83"/>
        <v>7</v>
      </c>
      <c r="F1277">
        <f t="shared" si="84"/>
        <v>2024</v>
      </c>
      <c r="G1277" t="s">
        <v>73</v>
      </c>
      <c r="H1277" s="98">
        <v>10951</v>
      </c>
      <c r="I1277" s="29">
        <v>48808.75</v>
      </c>
      <c r="J1277" s="12" t="s">
        <v>51</v>
      </c>
      <c r="K1277" s="76">
        <f t="shared" si="86"/>
        <v>53299.155000000006</v>
      </c>
      <c r="L1277">
        <v>1.0920000000000001</v>
      </c>
      <c r="M1277" s="29">
        <v>0</v>
      </c>
      <c r="N1277" t="s">
        <v>42</v>
      </c>
      <c r="O1277" t="s">
        <v>33</v>
      </c>
      <c r="P1277" t="s">
        <v>34</v>
      </c>
      <c r="Q1277" t="s">
        <v>34</v>
      </c>
      <c r="R1277" t="s">
        <v>34</v>
      </c>
      <c r="S1277" t="s">
        <v>34</v>
      </c>
      <c r="T1277" s="117">
        <v>0</v>
      </c>
      <c r="U1277" s="209" t="s">
        <v>94</v>
      </c>
    </row>
    <row r="1278" spans="1:21" x14ac:dyDescent="0.35">
      <c r="A1278" t="s">
        <v>19</v>
      </c>
      <c r="B1278" t="s">
        <v>26</v>
      </c>
      <c r="C1278" s="1">
        <v>45491</v>
      </c>
      <c r="D1278">
        <f t="shared" si="82"/>
        <v>18</v>
      </c>
      <c r="E1278">
        <f t="shared" si="83"/>
        <v>7</v>
      </c>
      <c r="F1278">
        <f t="shared" si="84"/>
        <v>2024</v>
      </c>
      <c r="G1278" t="s">
        <v>73</v>
      </c>
      <c r="H1278" s="98">
        <v>10980</v>
      </c>
      <c r="I1278" s="29">
        <v>24671.67</v>
      </c>
      <c r="J1278" s="12" t="s">
        <v>51</v>
      </c>
      <c r="K1278" s="76">
        <f t="shared" si="86"/>
        <v>26941.463640000002</v>
      </c>
      <c r="L1278">
        <v>1.0920000000000001</v>
      </c>
      <c r="M1278" s="29">
        <v>0</v>
      </c>
      <c r="N1278" t="s">
        <v>42</v>
      </c>
      <c r="O1278" t="s">
        <v>33</v>
      </c>
      <c r="P1278" t="s">
        <v>34</v>
      </c>
      <c r="Q1278" t="s">
        <v>34</v>
      </c>
      <c r="R1278" t="s">
        <v>34</v>
      </c>
      <c r="S1278" t="s">
        <v>34</v>
      </c>
      <c r="T1278" s="117">
        <v>0</v>
      </c>
      <c r="U1278" s="209" t="s">
        <v>94</v>
      </c>
    </row>
    <row r="1279" spans="1:21" x14ac:dyDescent="0.35">
      <c r="A1279" t="s">
        <v>19</v>
      </c>
      <c r="B1279" t="s">
        <v>27</v>
      </c>
      <c r="C1279" s="1">
        <v>45492</v>
      </c>
      <c r="D1279">
        <f t="shared" si="82"/>
        <v>19</v>
      </c>
      <c r="E1279">
        <f t="shared" si="83"/>
        <v>7</v>
      </c>
      <c r="F1279">
        <f t="shared" si="84"/>
        <v>2024</v>
      </c>
      <c r="G1279" t="s">
        <v>100</v>
      </c>
      <c r="H1279" s="98">
        <v>10679</v>
      </c>
      <c r="I1279" s="29">
        <v>46217.48</v>
      </c>
      <c r="J1279" s="12" t="s">
        <v>31</v>
      </c>
      <c r="K1279" s="76">
        <f t="shared" si="86"/>
        <v>46217.48</v>
      </c>
      <c r="L1279">
        <v>1</v>
      </c>
      <c r="M1279" s="29">
        <v>0</v>
      </c>
      <c r="N1279" t="s">
        <v>32</v>
      </c>
      <c r="O1279" t="s">
        <v>33</v>
      </c>
      <c r="P1279" t="s">
        <v>34</v>
      </c>
      <c r="Q1279" t="s">
        <v>34</v>
      </c>
      <c r="R1279" t="s">
        <v>34</v>
      </c>
      <c r="S1279" t="s">
        <v>34</v>
      </c>
      <c r="T1279" s="117">
        <v>0</v>
      </c>
      <c r="U1279" s="209" t="s">
        <v>501</v>
      </c>
    </row>
    <row r="1280" spans="1:21" x14ac:dyDescent="0.35">
      <c r="A1280" t="s">
        <v>19</v>
      </c>
      <c r="B1280" t="s">
        <v>27</v>
      </c>
      <c r="C1280" s="1">
        <v>45496</v>
      </c>
      <c r="D1280">
        <f t="shared" si="82"/>
        <v>23</v>
      </c>
      <c r="E1280">
        <f t="shared" si="83"/>
        <v>7</v>
      </c>
      <c r="F1280">
        <f t="shared" si="84"/>
        <v>2024</v>
      </c>
      <c r="G1280" t="s">
        <v>100</v>
      </c>
      <c r="H1280" s="98">
        <v>10443</v>
      </c>
      <c r="I1280" s="29">
        <v>42285.01</v>
      </c>
      <c r="J1280" s="12" t="s">
        <v>31</v>
      </c>
      <c r="K1280" s="76">
        <f t="shared" si="86"/>
        <v>42285.01</v>
      </c>
      <c r="L1280">
        <v>1</v>
      </c>
      <c r="M1280" s="29">
        <v>0</v>
      </c>
      <c r="N1280" t="s">
        <v>32</v>
      </c>
      <c r="O1280" t="s">
        <v>33</v>
      </c>
      <c r="P1280" t="s">
        <v>34</v>
      </c>
      <c r="Q1280" t="s">
        <v>34</v>
      </c>
      <c r="R1280" t="s">
        <v>34</v>
      </c>
      <c r="S1280" t="s">
        <v>34</v>
      </c>
      <c r="T1280" s="117">
        <v>0</v>
      </c>
      <c r="U1280" s="209" t="s">
        <v>501</v>
      </c>
    </row>
    <row r="1281" spans="1:20" x14ac:dyDescent="0.35">
      <c r="A1281" t="s">
        <v>19</v>
      </c>
      <c r="B1281" t="s">
        <v>21</v>
      </c>
      <c r="C1281" s="1">
        <v>45497</v>
      </c>
      <c r="D1281">
        <f t="shared" si="82"/>
        <v>24</v>
      </c>
      <c r="E1281">
        <f t="shared" si="83"/>
        <v>7</v>
      </c>
      <c r="F1281">
        <f t="shared" si="84"/>
        <v>2024</v>
      </c>
      <c r="G1281" t="s">
        <v>40</v>
      </c>
      <c r="H1281" s="98">
        <v>10635</v>
      </c>
      <c r="I1281" s="29">
        <v>36.799999999999997</v>
      </c>
      <c r="J1281" s="12" t="s">
        <v>31</v>
      </c>
      <c r="K1281" s="76">
        <f t="shared" si="86"/>
        <v>36.799999999999997</v>
      </c>
      <c r="L1281">
        <v>1</v>
      </c>
      <c r="M1281" s="29">
        <v>0</v>
      </c>
      <c r="N1281" t="s">
        <v>32</v>
      </c>
      <c r="O1281" t="s">
        <v>33</v>
      </c>
      <c r="P1281" t="s">
        <v>34</v>
      </c>
      <c r="Q1281" t="s">
        <v>34</v>
      </c>
      <c r="R1281" t="s">
        <v>34</v>
      </c>
      <c r="S1281" t="s">
        <v>34</v>
      </c>
      <c r="T1281" s="117">
        <v>0</v>
      </c>
    </row>
    <row r="1282" spans="1:20" x14ac:dyDescent="0.35">
      <c r="A1282" t="s">
        <v>19</v>
      </c>
      <c r="B1282" t="s">
        <v>21</v>
      </c>
      <c r="C1282" s="1">
        <v>45497</v>
      </c>
      <c r="D1282">
        <f t="shared" ref="D1282:D1345" si="87">DAY(C1282)</f>
        <v>24</v>
      </c>
      <c r="E1282">
        <f t="shared" ref="E1282:E1345" si="88">MONTH(C1282)</f>
        <v>7</v>
      </c>
      <c r="F1282">
        <f t="shared" ref="F1282:F1345" si="89">YEAR(C1282)</f>
        <v>2024</v>
      </c>
      <c r="G1282" t="s">
        <v>40</v>
      </c>
      <c r="H1282" s="98">
        <v>10636</v>
      </c>
      <c r="I1282" s="29">
        <v>9770.4</v>
      </c>
      <c r="J1282" s="12" t="s">
        <v>31</v>
      </c>
      <c r="K1282" s="76">
        <f t="shared" si="86"/>
        <v>9770.4</v>
      </c>
      <c r="L1282">
        <v>1</v>
      </c>
      <c r="M1282" s="29">
        <v>0</v>
      </c>
      <c r="N1282" t="s">
        <v>42</v>
      </c>
      <c r="O1282" t="s">
        <v>33</v>
      </c>
      <c r="P1282" t="s">
        <v>34</v>
      </c>
      <c r="Q1282" t="s">
        <v>34</v>
      </c>
      <c r="R1282" t="s">
        <v>34</v>
      </c>
      <c r="S1282" t="s">
        <v>34</v>
      </c>
      <c r="T1282" s="117">
        <v>0</v>
      </c>
    </row>
    <row r="1283" spans="1:20" x14ac:dyDescent="0.35">
      <c r="A1283" t="s">
        <v>19</v>
      </c>
      <c r="B1283" t="s">
        <v>25</v>
      </c>
      <c r="C1283" s="1">
        <v>45497</v>
      </c>
      <c r="D1283">
        <f t="shared" si="87"/>
        <v>24</v>
      </c>
      <c r="E1283">
        <f t="shared" si="88"/>
        <v>7</v>
      </c>
      <c r="F1283">
        <f t="shared" si="89"/>
        <v>2024</v>
      </c>
      <c r="G1283" t="s">
        <v>36</v>
      </c>
      <c r="H1283" s="98">
        <v>10256</v>
      </c>
      <c r="I1283" s="29">
        <v>57294.14</v>
      </c>
      <c r="J1283" s="12" t="s">
        <v>31</v>
      </c>
      <c r="K1283" s="76">
        <f t="shared" si="86"/>
        <v>57294.14</v>
      </c>
      <c r="L1283">
        <v>1</v>
      </c>
      <c r="M1283" s="29">
        <v>0</v>
      </c>
      <c r="N1283" t="s">
        <v>32</v>
      </c>
      <c r="O1283" t="s">
        <v>33</v>
      </c>
      <c r="P1283" t="s">
        <v>34</v>
      </c>
      <c r="Q1283" t="s">
        <v>34</v>
      </c>
      <c r="R1283" t="s">
        <v>34</v>
      </c>
      <c r="S1283" t="s">
        <v>34</v>
      </c>
      <c r="T1283" s="117">
        <v>0</v>
      </c>
    </row>
    <row r="1284" spans="1:20" x14ac:dyDescent="0.35">
      <c r="A1284" t="s">
        <v>19</v>
      </c>
      <c r="B1284" t="s">
        <v>21</v>
      </c>
      <c r="C1284" s="1">
        <v>45497</v>
      </c>
      <c r="D1284">
        <f t="shared" si="87"/>
        <v>24</v>
      </c>
      <c r="E1284">
        <f t="shared" si="88"/>
        <v>7</v>
      </c>
      <c r="F1284">
        <f t="shared" si="89"/>
        <v>2024</v>
      </c>
      <c r="G1284" t="s">
        <v>36</v>
      </c>
      <c r="H1284" s="98">
        <v>10256</v>
      </c>
      <c r="I1284" s="29">
        <v>26961.95</v>
      </c>
      <c r="J1284" s="12" t="s">
        <v>31</v>
      </c>
      <c r="K1284" s="76">
        <f t="shared" si="86"/>
        <v>26961.95</v>
      </c>
      <c r="L1284">
        <v>1</v>
      </c>
      <c r="M1284" s="29">
        <v>0</v>
      </c>
      <c r="N1284" t="s">
        <v>32</v>
      </c>
      <c r="O1284" t="s">
        <v>33</v>
      </c>
      <c r="P1284" t="s">
        <v>34</v>
      </c>
      <c r="Q1284" t="s">
        <v>34</v>
      </c>
      <c r="R1284" t="s">
        <v>34</v>
      </c>
      <c r="S1284" t="s">
        <v>34</v>
      </c>
      <c r="T1284" s="117">
        <v>0</v>
      </c>
    </row>
    <row r="1285" spans="1:20" x14ac:dyDescent="0.35">
      <c r="A1285" t="s">
        <v>19</v>
      </c>
      <c r="B1285" t="s">
        <v>24</v>
      </c>
      <c r="C1285" s="1">
        <v>45497</v>
      </c>
      <c r="D1285">
        <f t="shared" si="87"/>
        <v>24</v>
      </c>
      <c r="E1285">
        <f t="shared" si="88"/>
        <v>7</v>
      </c>
      <c r="F1285">
        <f t="shared" si="89"/>
        <v>2024</v>
      </c>
      <c r="G1285" t="s">
        <v>36</v>
      </c>
      <c r="H1285" s="98">
        <v>10504</v>
      </c>
      <c r="I1285" s="29">
        <v>86</v>
      </c>
      <c r="J1285" s="12" t="s">
        <v>31</v>
      </c>
      <c r="K1285" s="76">
        <f t="shared" ref="K1285:K1316" si="90">IF(J1285="USD",I1285,I1285*L1285)</f>
        <v>86</v>
      </c>
      <c r="L1285">
        <v>1</v>
      </c>
      <c r="M1285" s="29">
        <v>0</v>
      </c>
      <c r="N1285" t="s">
        <v>32</v>
      </c>
      <c r="O1285" t="s">
        <v>33</v>
      </c>
      <c r="P1285" t="s">
        <v>34</v>
      </c>
      <c r="Q1285" t="s">
        <v>34</v>
      </c>
      <c r="R1285" t="s">
        <v>34</v>
      </c>
      <c r="S1285" t="s">
        <v>34</v>
      </c>
      <c r="T1285" s="117">
        <v>0</v>
      </c>
    </row>
    <row r="1286" spans="1:20" x14ac:dyDescent="0.35">
      <c r="A1286" t="s">
        <v>19</v>
      </c>
      <c r="B1286" t="s">
        <v>25</v>
      </c>
      <c r="C1286" s="1">
        <v>45497</v>
      </c>
      <c r="D1286">
        <f t="shared" si="87"/>
        <v>24</v>
      </c>
      <c r="E1286">
        <f t="shared" si="88"/>
        <v>7</v>
      </c>
      <c r="F1286">
        <f t="shared" si="89"/>
        <v>2024</v>
      </c>
      <c r="G1286" t="s">
        <v>29</v>
      </c>
      <c r="H1286" s="98">
        <v>10407</v>
      </c>
      <c r="I1286" s="29">
        <v>397.2</v>
      </c>
      <c r="J1286" s="12" t="s">
        <v>31</v>
      </c>
      <c r="K1286" s="76">
        <f t="shared" si="90"/>
        <v>397.2</v>
      </c>
      <c r="L1286">
        <v>1</v>
      </c>
      <c r="M1286" s="29">
        <v>0</v>
      </c>
      <c r="N1286" t="s">
        <v>32</v>
      </c>
      <c r="O1286" t="s">
        <v>33</v>
      </c>
      <c r="P1286" t="s">
        <v>34</v>
      </c>
      <c r="Q1286" t="s">
        <v>34</v>
      </c>
      <c r="R1286" t="s">
        <v>34</v>
      </c>
      <c r="S1286" t="s">
        <v>34</v>
      </c>
      <c r="T1286" s="117">
        <v>0</v>
      </c>
    </row>
    <row r="1287" spans="1:20" x14ac:dyDescent="0.35">
      <c r="A1287" t="s">
        <v>19</v>
      </c>
      <c r="B1287" t="s">
        <v>21</v>
      </c>
      <c r="C1287" s="1">
        <v>45497</v>
      </c>
      <c r="D1287">
        <f t="shared" si="87"/>
        <v>24</v>
      </c>
      <c r="E1287">
        <f t="shared" si="88"/>
        <v>7</v>
      </c>
      <c r="F1287">
        <f t="shared" si="89"/>
        <v>2024</v>
      </c>
      <c r="G1287" t="s">
        <v>92</v>
      </c>
      <c r="H1287" s="98">
        <v>10098</v>
      </c>
      <c r="I1287" s="29">
        <v>18273.32</v>
      </c>
      <c r="J1287" s="12" t="s">
        <v>31</v>
      </c>
      <c r="K1287" s="76">
        <f t="shared" si="90"/>
        <v>18273.32</v>
      </c>
      <c r="L1287">
        <v>1</v>
      </c>
      <c r="M1287" s="29">
        <v>0</v>
      </c>
      <c r="N1287" t="s">
        <v>32</v>
      </c>
      <c r="O1287" t="s">
        <v>33</v>
      </c>
      <c r="P1287" t="s">
        <v>34</v>
      </c>
      <c r="Q1287" t="s">
        <v>34</v>
      </c>
      <c r="R1287" t="s">
        <v>34</v>
      </c>
      <c r="S1287" t="s">
        <v>34</v>
      </c>
      <c r="T1287" s="117">
        <v>0</v>
      </c>
    </row>
    <row r="1288" spans="1:20" x14ac:dyDescent="0.35">
      <c r="A1288" t="s">
        <v>20</v>
      </c>
      <c r="B1288" t="s">
        <v>25</v>
      </c>
      <c r="C1288" s="1">
        <v>45497</v>
      </c>
      <c r="D1288">
        <f t="shared" si="87"/>
        <v>24</v>
      </c>
      <c r="E1288">
        <f t="shared" si="88"/>
        <v>7</v>
      </c>
      <c r="F1288">
        <f t="shared" si="89"/>
        <v>2024</v>
      </c>
      <c r="G1288" t="s">
        <v>274</v>
      </c>
      <c r="H1288" s="98">
        <v>10553</v>
      </c>
      <c r="I1288" s="29">
        <v>18803.23</v>
      </c>
      <c r="J1288" s="12" t="s">
        <v>31</v>
      </c>
      <c r="K1288" s="76">
        <f t="shared" si="90"/>
        <v>18803.23</v>
      </c>
      <c r="L1288">
        <v>1</v>
      </c>
      <c r="M1288" s="29">
        <v>0</v>
      </c>
      <c r="N1288" t="s">
        <v>42</v>
      </c>
      <c r="O1288" t="s">
        <v>33</v>
      </c>
      <c r="P1288" t="s">
        <v>34</v>
      </c>
      <c r="Q1288" t="s">
        <v>34</v>
      </c>
      <c r="R1288" t="s">
        <v>34</v>
      </c>
      <c r="S1288" t="s">
        <v>34</v>
      </c>
      <c r="T1288" s="117">
        <v>0</v>
      </c>
    </row>
    <row r="1289" spans="1:20" x14ac:dyDescent="0.35">
      <c r="A1289" t="s">
        <v>20</v>
      </c>
      <c r="B1289" t="s">
        <v>23</v>
      </c>
      <c r="C1289" s="1">
        <v>45497</v>
      </c>
      <c r="D1289">
        <f t="shared" si="87"/>
        <v>24</v>
      </c>
      <c r="E1289">
        <f t="shared" si="88"/>
        <v>7</v>
      </c>
      <c r="F1289">
        <f t="shared" si="89"/>
        <v>2024</v>
      </c>
      <c r="G1289" t="s">
        <v>97</v>
      </c>
      <c r="H1289" s="98">
        <v>10747</v>
      </c>
      <c r="I1289" s="29">
        <v>12780.9</v>
      </c>
      <c r="J1289" s="12" t="s">
        <v>31</v>
      </c>
      <c r="K1289" s="76">
        <f t="shared" si="90"/>
        <v>12780.9</v>
      </c>
      <c r="L1289">
        <v>1</v>
      </c>
      <c r="M1289" s="29">
        <v>406.59</v>
      </c>
      <c r="N1289" t="s">
        <v>32</v>
      </c>
      <c r="O1289" t="s">
        <v>33</v>
      </c>
      <c r="P1289" t="s">
        <v>34</v>
      </c>
      <c r="Q1289" t="s">
        <v>34</v>
      </c>
      <c r="R1289" t="s">
        <v>34</v>
      </c>
      <c r="S1289" t="s">
        <v>34</v>
      </c>
      <c r="T1289" s="117">
        <v>0</v>
      </c>
    </row>
    <row r="1290" spans="1:20" x14ac:dyDescent="0.35">
      <c r="A1290" t="s">
        <v>20</v>
      </c>
      <c r="B1290" t="s">
        <v>25</v>
      </c>
      <c r="C1290" s="1">
        <v>45497</v>
      </c>
      <c r="D1290">
        <f t="shared" si="87"/>
        <v>24</v>
      </c>
      <c r="E1290">
        <f t="shared" si="88"/>
        <v>7</v>
      </c>
      <c r="F1290">
        <f t="shared" si="89"/>
        <v>2024</v>
      </c>
      <c r="G1290" t="s">
        <v>97</v>
      </c>
      <c r="H1290" s="98">
        <v>10747</v>
      </c>
      <c r="I1290" s="29">
        <v>118682.45</v>
      </c>
      <c r="J1290" s="12" t="s">
        <v>31</v>
      </c>
      <c r="K1290" s="76">
        <f t="shared" si="90"/>
        <v>118682.45</v>
      </c>
      <c r="L1290">
        <v>1</v>
      </c>
      <c r="M1290" s="29">
        <v>3659.29</v>
      </c>
      <c r="N1290" t="s">
        <v>32</v>
      </c>
      <c r="O1290" t="s">
        <v>33</v>
      </c>
      <c r="P1290" t="s">
        <v>34</v>
      </c>
      <c r="Q1290" t="s">
        <v>34</v>
      </c>
      <c r="R1290" t="s">
        <v>34</v>
      </c>
      <c r="S1290" t="s">
        <v>34</v>
      </c>
      <c r="T1290" s="117">
        <v>0</v>
      </c>
    </row>
    <row r="1291" spans="1:20" x14ac:dyDescent="0.35">
      <c r="A1291" t="s">
        <v>20</v>
      </c>
      <c r="B1291" t="s">
        <v>23</v>
      </c>
      <c r="C1291" s="1">
        <v>45497</v>
      </c>
      <c r="D1291">
        <f t="shared" si="87"/>
        <v>24</v>
      </c>
      <c r="E1291">
        <f t="shared" si="88"/>
        <v>7</v>
      </c>
      <c r="F1291">
        <f t="shared" si="89"/>
        <v>2024</v>
      </c>
      <c r="G1291" t="s">
        <v>97</v>
      </c>
      <c r="H1291" s="98">
        <v>10805</v>
      </c>
      <c r="I1291" s="29">
        <v>28910.62</v>
      </c>
      <c r="J1291" s="12" t="s">
        <v>31</v>
      </c>
      <c r="K1291" s="76">
        <f t="shared" si="90"/>
        <v>28910.62</v>
      </c>
      <c r="L1291">
        <v>1</v>
      </c>
      <c r="M1291" s="29">
        <v>894.14</v>
      </c>
      <c r="N1291" t="s">
        <v>32</v>
      </c>
      <c r="O1291" t="s">
        <v>33</v>
      </c>
      <c r="P1291" t="s">
        <v>34</v>
      </c>
      <c r="Q1291" t="s">
        <v>34</v>
      </c>
      <c r="R1291" t="s">
        <v>34</v>
      </c>
      <c r="S1291" t="s">
        <v>34</v>
      </c>
      <c r="T1291" s="117">
        <v>0</v>
      </c>
    </row>
    <row r="1292" spans="1:20" x14ac:dyDescent="0.35">
      <c r="A1292" t="s">
        <v>20</v>
      </c>
      <c r="B1292" t="s">
        <v>24</v>
      </c>
      <c r="C1292" s="1">
        <v>45497</v>
      </c>
      <c r="D1292">
        <f t="shared" si="87"/>
        <v>24</v>
      </c>
      <c r="E1292">
        <f t="shared" si="88"/>
        <v>7</v>
      </c>
      <c r="F1292">
        <f t="shared" si="89"/>
        <v>2024</v>
      </c>
      <c r="G1292" t="s">
        <v>97</v>
      </c>
      <c r="H1292" s="98">
        <v>10805</v>
      </c>
      <c r="I1292" s="29">
        <v>19222.8</v>
      </c>
      <c r="J1292" s="12" t="s">
        <v>31</v>
      </c>
      <c r="K1292" s="76">
        <f t="shared" si="90"/>
        <v>19222.8</v>
      </c>
      <c r="L1292">
        <v>1</v>
      </c>
      <c r="M1292" s="29">
        <v>594.52</v>
      </c>
      <c r="N1292" t="s">
        <v>32</v>
      </c>
      <c r="O1292" t="s">
        <v>33</v>
      </c>
      <c r="P1292" t="s">
        <v>34</v>
      </c>
      <c r="Q1292" t="s">
        <v>34</v>
      </c>
      <c r="R1292" t="s">
        <v>34</v>
      </c>
      <c r="S1292" t="s">
        <v>34</v>
      </c>
      <c r="T1292" s="117">
        <v>0</v>
      </c>
    </row>
    <row r="1293" spans="1:20" x14ac:dyDescent="0.35">
      <c r="A1293" t="s">
        <v>20</v>
      </c>
      <c r="B1293" t="s">
        <v>25</v>
      </c>
      <c r="C1293" s="1">
        <v>45497</v>
      </c>
      <c r="D1293">
        <f t="shared" si="87"/>
        <v>24</v>
      </c>
      <c r="E1293">
        <f t="shared" si="88"/>
        <v>7</v>
      </c>
      <c r="F1293">
        <f t="shared" si="89"/>
        <v>2024</v>
      </c>
      <c r="G1293" t="s">
        <v>97</v>
      </c>
      <c r="H1293" s="98">
        <v>10805</v>
      </c>
      <c r="I1293" s="29">
        <v>62152.77</v>
      </c>
      <c r="J1293" s="12" t="s">
        <v>31</v>
      </c>
      <c r="K1293" s="76">
        <f t="shared" si="90"/>
        <v>62152.77</v>
      </c>
      <c r="L1293">
        <v>1</v>
      </c>
      <c r="M1293" s="29">
        <v>1922.25</v>
      </c>
      <c r="N1293" t="s">
        <v>32</v>
      </c>
      <c r="O1293" t="s">
        <v>33</v>
      </c>
      <c r="P1293" t="s">
        <v>34</v>
      </c>
      <c r="Q1293" t="s">
        <v>34</v>
      </c>
      <c r="R1293" t="s">
        <v>34</v>
      </c>
      <c r="S1293" t="s">
        <v>34</v>
      </c>
      <c r="T1293" s="117">
        <v>0</v>
      </c>
    </row>
    <row r="1294" spans="1:20" x14ac:dyDescent="0.35">
      <c r="A1294" t="s">
        <v>20</v>
      </c>
      <c r="B1294" t="s">
        <v>23</v>
      </c>
      <c r="C1294" s="1">
        <v>45497</v>
      </c>
      <c r="D1294">
        <f t="shared" si="87"/>
        <v>24</v>
      </c>
      <c r="E1294">
        <f t="shared" si="88"/>
        <v>7</v>
      </c>
      <c r="F1294">
        <f t="shared" si="89"/>
        <v>2024</v>
      </c>
      <c r="G1294" t="s">
        <v>97</v>
      </c>
      <c r="H1294" s="98">
        <v>10808</v>
      </c>
      <c r="I1294" s="29">
        <v>211.5</v>
      </c>
      <c r="J1294" s="12" t="s">
        <v>31</v>
      </c>
      <c r="K1294" s="76">
        <f t="shared" si="90"/>
        <v>211.5</v>
      </c>
      <c r="L1294">
        <v>1</v>
      </c>
      <c r="M1294" s="29">
        <v>0</v>
      </c>
      <c r="N1294" t="s">
        <v>32</v>
      </c>
      <c r="O1294" t="s">
        <v>33</v>
      </c>
      <c r="P1294" t="s">
        <v>34</v>
      </c>
      <c r="Q1294" t="s">
        <v>34</v>
      </c>
      <c r="R1294" t="s">
        <v>34</v>
      </c>
      <c r="S1294" t="s">
        <v>34</v>
      </c>
      <c r="T1294" s="117">
        <v>0</v>
      </c>
    </row>
    <row r="1295" spans="1:20" x14ac:dyDescent="0.35">
      <c r="A1295" t="s">
        <v>20</v>
      </c>
      <c r="B1295" t="s">
        <v>24</v>
      </c>
      <c r="C1295" s="1">
        <v>45497</v>
      </c>
      <c r="D1295">
        <f t="shared" si="87"/>
        <v>24</v>
      </c>
      <c r="E1295">
        <f t="shared" si="88"/>
        <v>7</v>
      </c>
      <c r="F1295">
        <f t="shared" si="89"/>
        <v>2024</v>
      </c>
      <c r="G1295" t="s">
        <v>97</v>
      </c>
      <c r="H1295" s="98">
        <v>10808</v>
      </c>
      <c r="I1295" s="29">
        <v>280.8</v>
      </c>
      <c r="J1295" s="12" t="s">
        <v>31</v>
      </c>
      <c r="K1295" s="76">
        <f t="shared" si="90"/>
        <v>280.8</v>
      </c>
      <c r="L1295">
        <v>1</v>
      </c>
      <c r="M1295" s="29">
        <v>0</v>
      </c>
      <c r="N1295" t="s">
        <v>32</v>
      </c>
      <c r="O1295" t="s">
        <v>33</v>
      </c>
      <c r="P1295" t="s">
        <v>34</v>
      </c>
      <c r="Q1295" t="s">
        <v>34</v>
      </c>
      <c r="R1295" t="s">
        <v>34</v>
      </c>
      <c r="S1295" t="s">
        <v>34</v>
      </c>
      <c r="T1295" s="117">
        <v>0</v>
      </c>
    </row>
    <row r="1296" spans="1:20" x14ac:dyDescent="0.35">
      <c r="A1296" t="s">
        <v>20</v>
      </c>
      <c r="B1296" t="s">
        <v>25</v>
      </c>
      <c r="C1296" s="1">
        <v>45497</v>
      </c>
      <c r="D1296">
        <f t="shared" si="87"/>
        <v>24</v>
      </c>
      <c r="E1296">
        <f t="shared" si="88"/>
        <v>7</v>
      </c>
      <c r="F1296">
        <f t="shared" si="89"/>
        <v>2024</v>
      </c>
      <c r="G1296" t="s">
        <v>97</v>
      </c>
      <c r="H1296" s="98">
        <v>10808</v>
      </c>
      <c r="I1296" s="29">
        <v>626</v>
      </c>
      <c r="J1296" s="12" t="s">
        <v>31</v>
      </c>
      <c r="K1296" s="76">
        <f t="shared" si="90"/>
        <v>626</v>
      </c>
      <c r="L1296">
        <v>1</v>
      </c>
      <c r="M1296" s="29">
        <v>0</v>
      </c>
      <c r="N1296" t="s">
        <v>32</v>
      </c>
      <c r="O1296" t="s">
        <v>33</v>
      </c>
      <c r="P1296" t="s">
        <v>34</v>
      </c>
      <c r="Q1296" t="s">
        <v>34</v>
      </c>
      <c r="R1296" t="s">
        <v>34</v>
      </c>
      <c r="S1296" t="s">
        <v>34</v>
      </c>
      <c r="T1296" s="117">
        <v>0</v>
      </c>
    </row>
    <row r="1297" spans="1:20" x14ac:dyDescent="0.35">
      <c r="A1297" t="s">
        <v>20</v>
      </c>
      <c r="B1297" t="s">
        <v>21</v>
      </c>
      <c r="C1297" s="1">
        <v>45497</v>
      </c>
      <c r="D1297">
        <f t="shared" si="87"/>
        <v>24</v>
      </c>
      <c r="E1297">
        <f t="shared" si="88"/>
        <v>7</v>
      </c>
      <c r="F1297">
        <f t="shared" si="89"/>
        <v>2024</v>
      </c>
      <c r="G1297" t="s">
        <v>97</v>
      </c>
      <c r="H1297" s="98">
        <v>10808</v>
      </c>
      <c r="I1297" s="29">
        <v>145</v>
      </c>
      <c r="J1297" s="12" t="s">
        <v>31</v>
      </c>
      <c r="K1297" s="76">
        <f t="shared" si="90"/>
        <v>145</v>
      </c>
      <c r="L1297">
        <v>1</v>
      </c>
      <c r="M1297" s="29">
        <v>0</v>
      </c>
      <c r="N1297" t="s">
        <v>32</v>
      </c>
      <c r="O1297" t="s">
        <v>33</v>
      </c>
      <c r="P1297" t="s">
        <v>34</v>
      </c>
      <c r="Q1297" t="s">
        <v>34</v>
      </c>
      <c r="R1297" t="s">
        <v>34</v>
      </c>
      <c r="S1297" t="s">
        <v>34</v>
      </c>
      <c r="T1297" s="117">
        <v>200</v>
      </c>
    </row>
    <row r="1298" spans="1:20" x14ac:dyDescent="0.35">
      <c r="A1298" t="s">
        <v>20</v>
      </c>
      <c r="B1298" t="s">
        <v>23</v>
      </c>
      <c r="C1298" s="1">
        <v>45497</v>
      </c>
      <c r="D1298">
        <f t="shared" si="87"/>
        <v>24</v>
      </c>
      <c r="E1298">
        <f t="shared" si="88"/>
        <v>7</v>
      </c>
      <c r="F1298">
        <f t="shared" si="89"/>
        <v>2024</v>
      </c>
      <c r="G1298" t="s">
        <v>97</v>
      </c>
      <c r="H1298" s="98">
        <v>10830</v>
      </c>
      <c r="I1298" s="29">
        <v>76.5</v>
      </c>
      <c r="J1298" s="12" t="s">
        <v>31</v>
      </c>
      <c r="K1298" s="76">
        <f t="shared" si="90"/>
        <v>76.5</v>
      </c>
      <c r="L1298">
        <v>1</v>
      </c>
      <c r="M1298" s="29">
        <v>0</v>
      </c>
      <c r="N1298" t="s">
        <v>32</v>
      </c>
      <c r="O1298" t="s">
        <v>33</v>
      </c>
      <c r="P1298" t="s">
        <v>34</v>
      </c>
      <c r="Q1298" t="s">
        <v>34</v>
      </c>
      <c r="R1298" t="s">
        <v>34</v>
      </c>
      <c r="S1298" t="s">
        <v>34</v>
      </c>
      <c r="T1298" s="117">
        <v>0</v>
      </c>
    </row>
    <row r="1299" spans="1:20" x14ac:dyDescent="0.35">
      <c r="A1299" t="s">
        <v>20</v>
      </c>
      <c r="B1299" t="s">
        <v>21</v>
      </c>
      <c r="C1299" s="1">
        <v>45497</v>
      </c>
      <c r="D1299">
        <f t="shared" si="87"/>
        <v>24</v>
      </c>
      <c r="E1299">
        <f t="shared" si="88"/>
        <v>7</v>
      </c>
      <c r="F1299">
        <f t="shared" si="89"/>
        <v>2024</v>
      </c>
      <c r="G1299" t="s">
        <v>89</v>
      </c>
      <c r="H1299" s="98">
        <v>10710</v>
      </c>
      <c r="I1299" s="29">
        <v>10136.950000000001</v>
      </c>
      <c r="J1299" s="12" t="s">
        <v>31</v>
      </c>
      <c r="K1299" s="76">
        <f t="shared" si="90"/>
        <v>10136.950000000001</v>
      </c>
      <c r="L1299">
        <v>1</v>
      </c>
      <c r="M1299" s="29">
        <v>0</v>
      </c>
      <c r="N1299" t="s">
        <v>42</v>
      </c>
      <c r="O1299" t="s">
        <v>33</v>
      </c>
      <c r="P1299" t="s">
        <v>34</v>
      </c>
      <c r="Q1299" t="s">
        <v>34</v>
      </c>
      <c r="R1299" t="s">
        <v>34</v>
      </c>
      <c r="S1299" t="s">
        <v>34</v>
      </c>
      <c r="T1299" s="117">
        <v>0</v>
      </c>
    </row>
    <row r="1300" spans="1:20" x14ac:dyDescent="0.35">
      <c r="A1300" t="s">
        <v>20</v>
      </c>
      <c r="B1300" t="s">
        <v>23</v>
      </c>
      <c r="C1300" s="1">
        <v>45497</v>
      </c>
      <c r="D1300">
        <f t="shared" si="87"/>
        <v>24</v>
      </c>
      <c r="E1300">
        <f t="shared" si="88"/>
        <v>7</v>
      </c>
      <c r="F1300">
        <f t="shared" si="89"/>
        <v>2024</v>
      </c>
      <c r="G1300" t="s">
        <v>89</v>
      </c>
      <c r="H1300" s="98">
        <v>10912</v>
      </c>
      <c r="I1300" s="29">
        <v>40.5</v>
      </c>
      <c r="J1300" s="12" t="s">
        <v>31</v>
      </c>
      <c r="K1300" s="76">
        <f t="shared" si="90"/>
        <v>40.5</v>
      </c>
      <c r="L1300">
        <v>1</v>
      </c>
      <c r="M1300" s="29">
        <v>0</v>
      </c>
      <c r="N1300" t="s">
        <v>42</v>
      </c>
      <c r="O1300" t="s">
        <v>33</v>
      </c>
      <c r="P1300" t="s">
        <v>34</v>
      </c>
      <c r="Q1300" t="s">
        <v>34</v>
      </c>
      <c r="R1300" t="s">
        <v>34</v>
      </c>
      <c r="S1300" t="s">
        <v>34</v>
      </c>
      <c r="T1300" s="117">
        <v>0</v>
      </c>
    </row>
    <row r="1301" spans="1:20" x14ac:dyDescent="0.35">
      <c r="A1301" t="s">
        <v>20</v>
      </c>
      <c r="B1301" t="s">
        <v>23</v>
      </c>
      <c r="C1301" s="1">
        <v>45497</v>
      </c>
      <c r="D1301">
        <f t="shared" si="87"/>
        <v>24</v>
      </c>
      <c r="E1301">
        <f t="shared" si="88"/>
        <v>7</v>
      </c>
      <c r="F1301">
        <f t="shared" si="89"/>
        <v>2024</v>
      </c>
      <c r="G1301" t="s">
        <v>89</v>
      </c>
      <c r="H1301" s="98">
        <v>10913</v>
      </c>
      <c r="I1301" s="29">
        <v>972</v>
      </c>
      <c r="J1301" s="12" t="s">
        <v>31</v>
      </c>
      <c r="K1301" s="76">
        <f t="shared" si="90"/>
        <v>972</v>
      </c>
      <c r="L1301">
        <v>1</v>
      </c>
      <c r="M1301" s="29">
        <v>0</v>
      </c>
      <c r="N1301" t="s">
        <v>42</v>
      </c>
      <c r="O1301" t="s">
        <v>33</v>
      </c>
      <c r="P1301" t="s">
        <v>34</v>
      </c>
      <c r="Q1301" t="s">
        <v>34</v>
      </c>
      <c r="R1301" t="s">
        <v>34</v>
      </c>
      <c r="S1301" t="s">
        <v>34</v>
      </c>
      <c r="T1301" s="117">
        <v>0</v>
      </c>
    </row>
    <row r="1302" spans="1:20" x14ac:dyDescent="0.35">
      <c r="A1302" t="s">
        <v>20</v>
      </c>
      <c r="B1302" t="s">
        <v>21</v>
      </c>
      <c r="C1302" s="1">
        <v>45497</v>
      </c>
      <c r="D1302">
        <f t="shared" si="87"/>
        <v>24</v>
      </c>
      <c r="E1302">
        <f t="shared" si="88"/>
        <v>7</v>
      </c>
      <c r="F1302">
        <f t="shared" si="89"/>
        <v>2024</v>
      </c>
      <c r="G1302" t="s">
        <v>43</v>
      </c>
      <c r="H1302" s="98">
        <v>10686</v>
      </c>
      <c r="I1302" s="29">
        <v>14678.24</v>
      </c>
      <c r="J1302" s="12" t="s">
        <v>31</v>
      </c>
      <c r="K1302" s="76">
        <f t="shared" si="90"/>
        <v>14678.24</v>
      </c>
      <c r="L1302">
        <v>1</v>
      </c>
      <c r="M1302" s="29">
        <v>0</v>
      </c>
      <c r="N1302" t="s">
        <v>32</v>
      </c>
      <c r="O1302" t="s">
        <v>33</v>
      </c>
      <c r="P1302" t="s">
        <v>34</v>
      </c>
      <c r="Q1302" t="s">
        <v>34</v>
      </c>
      <c r="R1302" t="s">
        <v>34</v>
      </c>
      <c r="S1302" t="s">
        <v>34</v>
      </c>
      <c r="T1302" s="117">
        <v>0</v>
      </c>
    </row>
    <row r="1303" spans="1:20" x14ac:dyDescent="0.35">
      <c r="A1303" t="s">
        <v>20</v>
      </c>
      <c r="B1303" t="s">
        <v>25</v>
      </c>
      <c r="C1303" s="1">
        <v>45497</v>
      </c>
      <c r="D1303">
        <f t="shared" si="87"/>
        <v>24</v>
      </c>
      <c r="E1303">
        <f t="shared" si="88"/>
        <v>7</v>
      </c>
      <c r="F1303">
        <f t="shared" si="89"/>
        <v>2024</v>
      </c>
      <c r="G1303" t="s">
        <v>43</v>
      </c>
      <c r="H1303" s="98">
        <v>10643</v>
      </c>
      <c r="I1303" s="29">
        <v>91.6</v>
      </c>
      <c r="J1303" s="12" t="s">
        <v>31</v>
      </c>
      <c r="K1303" s="76">
        <f t="shared" si="90"/>
        <v>91.6</v>
      </c>
      <c r="L1303">
        <v>1</v>
      </c>
      <c r="M1303" s="29">
        <v>0</v>
      </c>
      <c r="N1303" t="s">
        <v>32</v>
      </c>
      <c r="O1303" t="s">
        <v>33</v>
      </c>
      <c r="P1303" t="s">
        <v>34</v>
      </c>
      <c r="Q1303" t="s">
        <v>34</v>
      </c>
      <c r="R1303" t="s">
        <v>34</v>
      </c>
      <c r="S1303" t="s">
        <v>34</v>
      </c>
      <c r="T1303" s="117">
        <v>0</v>
      </c>
    </row>
    <row r="1304" spans="1:20" x14ac:dyDescent="0.35">
      <c r="A1304" t="s">
        <v>20</v>
      </c>
      <c r="B1304" t="s">
        <v>23</v>
      </c>
      <c r="C1304" s="1">
        <v>45497</v>
      </c>
      <c r="D1304">
        <f t="shared" si="87"/>
        <v>24</v>
      </c>
      <c r="E1304">
        <f t="shared" si="88"/>
        <v>7</v>
      </c>
      <c r="F1304">
        <f t="shared" si="89"/>
        <v>2024</v>
      </c>
      <c r="G1304" t="s">
        <v>99</v>
      </c>
      <c r="H1304" s="98">
        <v>10402</v>
      </c>
      <c r="I1304" s="29">
        <v>66140.41</v>
      </c>
      <c r="J1304" s="12" t="s">
        <v>31</v>
      </c>
      <c r="K1304" s="76">
        <f t="shared" si="90"/>
        <v>66140.41</v>
      </c>
      <c r="L1304">
        <v>1</v>
      </c>
      <c r="M1304" s="29">
        <v>0</v>
      </c>
      <c r="N1304" t="s">
        <v>32</v>
      </c>
      <c r="O1304" t="s">
        <v>33</v>
      </c>
      <c r="P1304" t="s">
        <v>34</v>
      </c>
      <c r="Q1304" t="s">
        <v>34</v>
      </c>
      <c r="R1304" t="s">
        <v>34</v>
      </c>
      <c r="S1304" t="s">
        <v>34</v>
      </c>
      <c r="T1304" s="117">
        <v>0</v>
      </c>
    </row>
    <row r="1305" spans="1:20" x14ac:dyDescent="0.35">
      <c r="A1305" t="s">
        <v>20</v>
      </c>
      <c r="B1305" t="s">
        <v>24</v>
      </c>
      <c r="C1305" s="1">
        <v>45497</v>
      </c>
      <c r="D1305">
        <f t="shared" si="87"/>
        <v>24</v>
      </c>
      <c r="E1305">
        <f t="shared" si="88"/>
        <v>7</v>
      </c>
      <c r="F1305">
        <f t="shared" si="89"/>
        <v>2024</v>
      </c>
      <c r="G1305" t="s">
        <v>90</v>
      </c>
      <c r="H1305" s="98">
        <v>10156</v>
      </c>
      <c r="I1305" s="29">
        <v>11600.64</v>
      </c>
      <c r="J1305" s="12" t="s">
        <v>31</v>
      </c>
      <c r="K1305" s="76">
        <f t="shared" si="90"/>
        <v>11600.64</v>
      </c>
      <c r="L1305">
        <v>1</v>
      </c>
      <c r="M1305" s="29">
        <v>0</v>
      </c>
      <c r="N1305" t="s">
        <v>32</v>
      </c>
      <c r="O1305" t="s">
        <v>33</v>
      </c>
      <c r="P1305" t="s">
        <v>34</v>
      </c>
      <c r="Q1305" t="s">
        <v>34</v>
      </c>
      <c r="R1305" t="s">
        <v>34</v>
      </c>
      <c r="S1305" t="s">
        <v>34</v>
      </c>
      <c r="T1305" s="117">
        <v>0</v>
      </c>
    </row>
    <row r="1306" spans="1:20" x14ac:dyDescent="0.35">
      <c r="A1306" t="s">
        <v>19</v>
      </c>
      <c r="B1306" t="s">
        <v>27</v>
      </c>
      <c r="C1306" s="1">
        <v>45497</v>
      </c>
      <c r="D1306">
        <f t="shared" si="87"/>
        <v>24</v>
      </c>
      <c r="E1306">
        <f t="shared" si="88"/>
        <v>7</v>
      </c>
      <c r="F1306">
        <f t="shared" si="89"/>
        <v>2024</v>
      </c>
      <c r="G1306" t="s">
        <v>100</v>
      </c>
      <c r="H1306" s="98">
        <v>10670</v>
      </c>
      <c r="I1306" s="29">
        <v>370000</v>
      </c>
      <c r="J1306" s="12" t="s">
        <v>31</v>
      </c>
      <c r="K1306" s="76">
        <f t="shared" si="90"/>
        <v>370000</v>
      </c>
      <c r="L1306">
        <v>1</v>
      </c>
      <c r="M1306" s="29">
        <v>0</v>
      </c>
      <c r="N1306" t="s">
        <v>32</v>
      </c>
      <c r="O1306" t="s">
        <v>33</v>
      </c>
      <c r="P1306" t="s">
        <v>34</v>
      </c>
      <c r="Q1306" t="s">
        <v>34</v>
      </c>
      <c r="R1306" t="s">
        <v>34</v>
      </c>
      <c r="S1306" t="s">
        <v>34</v>
      </c>
      <c r="T1306" s="117">
        <v>0</v>
      </c>
    </row>
    <row r="1307" spans="1:20" x14ac:dyDescent="0.35">
      <c r="A1307" t="s">
        <v>19</v>
      </c>
      <c r="B1307" t="s">
        <v>27</v>
      </c>
      <c r="C1307" s="1">
        <v>45497</v>
      </c>
      <c r="D1307">
        <f t="shared" si="87"/>
        <v>24</v>
      </c>
      <c r="E1307">
        <f t="shared" si="88"/>
        <v>7</v>
      </c>
      <c r="F1307">
        <f t="shared" si="89"/>
        <v>2024</v>
      </c>
      <c r="G1307" t="s">
        <v>100</v>
      </c>
      <c r="H1307" s="98">
        <v>10590</v>
      </c>
      <c r="I1307" s="29">
        <v>270000</v>
      </c>
      <c r="J1307" s="12" t="s">
        <v>31</v>
      </c>
      <c r="K1307" s="76">
        <f t="shared" si="90"/>
        <v>270000</v>
      </c>
      <c r="L1307">
        <v>1</v>
      </c>
      <c r="M1307" s="29">
        <v>0</v>
      </c>
      <c r="N1307" t="s">
        <v>32</v>
      </c>
      <c r="O1307" t="s">
        <v>33</v>
      </c>
      <c r="P1307" t="s">
        <v>34</v>
      </c>
      <c r="Q1307" t="s">
        <v>34</v>
      </c>
      <c r="R1307" t="s">
        <v>34</v>
      </c>
      <c r="S1307" t="s">
        <v>34</v>
      </c>
      <c r="T1307" s="117">
        <v>0</v>
      </c>
    </row>
    <row r="1308" spans="1:20" x14ac:dyDescent="0.35">
      <c r="A1308" t="s">
        <v>19</v>
      </c>
      <c r="B1308" t="s">
        <v>23</v>
      </c>
      <c r="C1308" s="1">
        <v>45497</v>
      </c>
      <c r="D1308">
        <f t="shared" si="87"/>
        <v>24</v>
      </c>
      <c r="E1308">
        <f t="shared" si="88"/>
        <v>7</v>
      </c>
      <c r="F1308">
        <f t="shared" si="89"/>
        <v>2024</v>
      </c>
      <c r="G1308" t="s">
        <v>74</v>
      </c>
      <c r="H1308" s="98">
        <v>10457</v>
      </c>
      <c r="I1308" s="29">
        <v>20000</v>
      </c>
      <c r="J1308" s="12" t="s">
        <v>31</v>
      </c>
      <c r="K1308" s="76">
        <f t="shared" si="90"/>
        <v>20000</v>
      </c>
      <c r="L1308">
        <v>1</v>
      </c>
      <c r="M1308" s="29">
        <v>0</v>
      </c>
      <c r="N1308" t="s">
        <v>32</v>
      </c>
      <c r="O1308" t="s">
        <v>33</v>
      </c>
      <c r="P1308" t="s">
        <v>34</v>
      </c>
      <c r="Q1308" t="s">
        <v>34</v>
      </c>
      <c r="R1308" t="s">
        <v>34</v>
      </c>
      <c r="S1308" t="s">
        <v>34</v>
      </c>
      <c r="T1308" s="117">
        <v>0</v>
      </c>
    </row>
    <row r="1309" spans="1:20" x14ac:dyDescent="0.35">
      <c r="A1309" t="s">
        <v>19</v>
      </c>
      <c r="B1309" t="s">
        <v>19</v>
      </c>
      <c r="C1309" s="1">
        <v>45497</v>
      </c>
      <c r="D1309">
        <f t="shared" si="87"/>
        <v>24</v>
      </c>
      <c r="E1309">
        <f t="shared" si="88"/>
        <v>7</v>
      </c>
      <c r="F1309">
        <f t="shared" si="89"/>
        <v>2024</v>
      </c>
      <c r="G1309" t="s">
        <v>111</v>
      </c>
      <c r="H1309" s="98" t="s">
        <v>365</v>
      </c>
      <c r="I1309" s="29">
        <v>67380.7</v>
      </c>
      <c r="J1309" s="12" t="s">
        <v>31</v>
      </c>
      <c r="K1309" s="76">
        <f t="shared" si="90"/>
        <v>67380.7</v>
      </c>
      <c r="L1309">
        <v>1</v>
      </c>
      <c r="M1309" s="29">
        <v>0</v>
      </c>
      <c r="N1309" t="s">
        <v>32</v>
      </c>
      <c r="O1309" t="s">
        <v>33</v>
      </c>
      <c r="P1309" t="s">
        <v>34</v>
      </c>
      <c r="Q1309" t="s">
        <v>34</v>
      </c>
      <c r="R1309" t="s">
        <v>34</v>
      </c>
      <c r="S1309" t="s">
        <v>34</v>
      </c>
      <c r="T1309" s="117">
        <v>3673.73</v>
      </c>
    </row>
    <row r="1310" spans="1:20" x14ac:dyDescent="0.35">
      <c r="A1310" t="s">
        <v>19</v>
      </c>
      <c r="B1310" t="s">
        <v>19</v>
      </c>
      <c r="C1310" s="1">
        <v>45497</v>
      </c>
      <c r="D1310">
        <f t="shared" si="87"/>
        <v>24</v>
      </c>
      <c r="E1310">
        <f t="shared" si="88"/>
        <v>7</v>
      </c>
      <c r="F1310">
        <f t="shared" si="89"/>
        <v>2024</v>
      </c>
      <c r="G1310" t="s">
        <v>111</v>
      </c>
      <c r="H1310" s="98" t="s">
        <v>415</v>
      </c>
      <c r="I1310" s="29">
        <v>65097.63</v>
      </c>
      <c r="J1310" s="12" t="s">
        <v>31</v>
      </c>
      <c r="K1310" s="76">
        <f t="shared" si="90"/>
        <v>65097.63</v>
      </c>
      <c r="L1310">
        <v>1</v>
      </c>
      <c r="M1310" s="29">
        <v>0</v>
      </c>
      <c r="N1310" t="s">
        <v>32</v>
      </c>
      <c r="O1310" t="s">
        <v>33</v>
      </c>
      <c r="P1310" t="s">
        <v>34</v>
      </c>
      <c r="Q1310" t="s">
        <v>34</v>
      </c>
      <c r="R1310" t="s">
        <v>34</v>
      </c>
      <c r="S1310" t="s">
        <v>34</v>
      </c>
      <c r="T1310" s="117">
        <v>4419.47</v>
      </c>
    </row>
    <row r="1311" spans="1:20" x14ac:dyDescent="0.35">
      <c r="A1311" t="s">
        <v>19</v>
      </c>
      <c r="B1311" t="s">
        <v>19</v>
      </c>
      <c r="C1311" s="1">
        <v>45497</v>
      </c>
      <c r="D1311">
        <f t="shared" si="87"/>
        <v>24</v>
      </c>
      <c r="E1311">
        <f t="shared" si="88"/>
        <v>7</v>
      </c>
      <c r="F1311">
        <f t="shared" si="89"/>
        <v>2024</v>
      </c>
      <c r="G1311" t="s">
        <v>129</v>
      </c>
      <c r="H1311" s="98" t="s">
        <v>416</v>
      </c>
      <c r="I1311" s="29">
        <v>138984.78</v>
      </c>
      <c r="J1311" s="12" t="s">
        <v>31</v>
      </c>
      <c r="K1311" s="76">
        <f t="shared" si="90"/>
        <v>138984.78</v>
      </c>
      <c r="L1311">
        <v>1</v>
      </c>
      <c r="M1311" s="29">
        <v>0</v>
      </c>
      <c r="N1311" t="s">
        <v>32</v>
      </c>
      <c r="O1311" t="s">
        <v>33</v>
      </c>
      <c r="P1311" t="s">
        <v>34</v>
      </c>
      <c r="Q1311" t="s">
        <v>34</v>
      </c>
      <c r="R1311" t="s">
        <v>34</v>
      </c>
      <c r="S1311" t="s">
        <v>34</v>
      </c>
      <c r="T1311" s="117">
        <v>0</v>
      </c>
    </row>
    <row r="1312" spans="1:20" x14ac:dyDescent="0.35">
      <c r="A1312" t="s">
        <v>19</v>
      </c>
      <c r="B1312" t="s">
        <v>19</v>
      </c>
      <c r="C1312" s="1">
        <v>45497</v>
      </c>
      <c r="D1312">
        <f t="shared" si="87"/>
        <v>24</v>
      </c>
      <c r="E1312">
        <f t="shared" si="88"/>
        <v>7</v>
      </c>
      <c r="F1312">
        <f t="shared" si="89"/>
        <v>2024</v>
      </c>
      <c r="G1312" t="s">
        <v>110</v>
      </c>
      <c r="H1312" s="98" t="s">
        <v>417</v>
      </c>
      <c r="I1312" s="29">
        <v>68063.899999999994</v>
      </c>
      <c r="J1312" s="12" t="s">
        <v>31</v>
      </c>
      <c r="K1312" s="76">
        <f t="shared" si="90"/>
        <v>68063.899999999994</v>
      </c>
      <c r="L1312">
        <v>1</v>
      </c>
      <c r="M1312" s="29">
        <v>0</v>
      </c>
      <c r="N1312" t="s">
        <v>32</v>
      </c>
      <c r="O1312" t="s">
        <v>33</v>
      </c>
      <c r="P1312" t="s">
        <v>34</v>
      </c>
      <c r="Q1312" t="s">
        <v>34</v>
      </c>
      <c r="R1312" t="s">
        <v>34</v>
      </c>
      <c r="S1312" t="s">
        <v>34</v>
      </c>
      <c r="T1312" s="117">
        <v>0</v>
      </c>
    </row>
    <row r="1313" spans="1:21" x14ac:dyDescent="0.35">
      <c r="A1313" t="s">
        <v>19</v>
      </c>
      <c r="B1313" t="s">
        <v>19</v>
      </c>
      <c r="C1313" s="1">
        <v>45497</v>
      </c>
      <c r="D1313">
        <f t="shared" si="87"/>
        <v>24</v>
      </c>
      <c r="E1313">
        <f t="shared" si="88"/>
        <v>7</v>
      </c>
      <c r="F1313">
        <f t="shared" si="89"/>
        <v>2024</v>
      </c>
      <c r="G1313" t="s">
        <v>110</v>
      </c>
      <c r="H1313" s="98" t="s">
        <v>418</v>
      </c>
      <c r="I1313" s="29">
        <v>84359.08</v>
      </c>
      <c r="J1313" s="12" t="s">
        <v>31</v>
      </c>
      <c r="K1313" s="76">
        <f t="shared" si="90"/>
        <v>84359.08</v>
      </c>
      <c r="L1313">
        <v>1</v>
      </c>
      <c r="M1313" s="29">
        <v>0</v>
      </c>
      <c r="N1313" t="s">
        <v>32</v>
      </c>
      <c r="O1313" t="s">
        <v>33</v>
      </c>
      <c r="P1313" t="s">
        <v>34</v>
      </c>
      <c r="Q1313" t="s">
        <v>34</v>
      </c>
      <c r="R1313" t="s">
        <v>34</v>
      </c>
      <c r="S1313" t="s">
        <v>34</v>
      </c>
      <c r="T1313" s="117">
        <v>0</v>
      </c>
    </row>
    <row r="1314" spans="1:21" x14ac:dyDescent="0.35">
      <c r="A1314" t="s">
        <v>19</v>
      </c>
      <c r="B1314" t="s">
        <v>19</v>
      </c>
      <c r="C1314" s="1">
        <v>45497</v>
      </c>
      <c r="D1314">
        <f t="shared" si="87"/>
        <v>24</v>
      </c>
      <c r="E1314">
        <f t="shared" si="88"/>
        <v>7</v>
      </c>
      <c r="F1314">
        <f t="shared" si="89"/>
        <v>2024</v>
      </c>
      <c r="G1314" t="s">
        <v>54</v>
      </c>
      <c r="H1314" s="98" t="s">
        <v>419</v>
      </c>
      <c r="I1314" s="29">
        <v>90377.76</v>
      </c>
      <c r="J1314" s="12" t="s">
        <v>31</v>
      </c>
      <c r="K1314" s="76">
        <f t="shared" si="90"/>
        <v>90377.76</v>
      </c>
      <c r="L1314">
        <v>1</v>
      </c>
      <c r="M1314" s="29">
        <v>0</v>
      </c>
      <c r="N1314" t="s">
        <v>32</v>
      </c>
      <c r="O1314" t="s">
        <v>33</v>
      </c>
      <c r="P1314" t="s">
        <v>34</v>
      </c>
      <c r="Q1314" t="s">
        <v>34</v>
      </c>
      <c r="R1314" t="s">
        <v>34</v>
      </c>
      <c r="S1314" t="s">
        <v>34</v>
      </c>
      <c r="T1314" s="117">
        <v>0</v>
      </c>
    </row>
    <row r="1315" spans="1:21" x14ac:dyDescent="0.35">
      <c r="A1315" t="s">
        <v>19</v>
      </c>
      <c r="B1315" t="s">
        <v>19</v>
      </c>
      <c r="C1315" s="1">
        <v>45497</v>
      </c>
      <c r="D1315">
        <f t="shared" si="87"/>
        <v>24</v>
      </c>
      <c r="E1315">
        <f t="shared" si="88"/>
        <v>7</v>
      </c>
      <c r="F1315">
        <f t="shared" si="89"/>
        <v>2024</v>
      </c>
      <c r="G1315" t="s">
        <v>124</v>
      </c>
      <c r="H1315" s="98" t="s">
        <v>420</v>
      </c>
      <c r="I1315" s="29">
        <v>93646.12</v>
      </c>
      <c r="J1315" s="12" t="s">
        <v>31</v>
      </c>
      <c r="K1315" s="76">
        <f t="shared" si="90"/>
        <v>93646.12</v>
      </c>
      <c r="L1315">
        <v>1</v>
      </c>
      <c r="M1315" s="29">
        <v>0</v>
      </c>
      <c r="N1315" t="s">
        <v>32</v>
      </c>
      <c r="O1315" t="s">
        <v>33</v>
      </c>
      <c r="P1315" t="s">
        <v>34</v>
      </c>
      <c r="Q1315" t="s">
        <v>34</v>
      </c>
      <c r="R1315" t="s">
        <v>34</v>
      </c>
      <c r="S1315" t="s">
        <v>34</v>
      </c>
      <c r="T1315" s="117">
        <v>0</v>
      </c>
    </row>
    <row r="1316" spans="1:21" x14ac:dyDescent="0.35">
      <c r="A1316" t="s">
        <v>19</v>
      </c>
      <c r="B1316" t="s">
        <v>19</v>
      </c>
      <c r="C1316" s="1">
        <v>45497</v>
      </c>
      <c r="D1316">
        <f t="shared" si="87"/>
        <v>24</v>
      </c>
      <c r="E1316">
        <f t="shared" si="88"/>
        <v>7</v>
      </c>
      <c r="F1316">
        <f t="shared" si="89"/>
        <v>2024</v>
      </c>
      <c r="G1316" t="s">
        <v>421</v>
      </c>
      <c r="H1316" s="171" t="s">
        <v>422</v>
      </c>
      <c r="I1316" s="90">
        <v>106963.9</v>
      </c>
      <c r="J1316" s="12" t="s">
        <v>31</v>
      </c>
      <c r="K1316" s="76">
        <f t="shared" si="90"/>
        <v>106963.9</v>
      </c>
      <c r="L1316">
        <v>1</v>
      </c>
      <c r="M1316" s="29">
        <v>0</v>
      </c>
      <c r="N1316" t="s">
        <v>32</v>
      </c>
      <c r="O1316" t="s">
        <v>33</v>
      </c>
      <c r="P1316" t="s">
        <v>34</v>
      </c>
      <c r="Q1316" t="s">
        <v>34</v>
      </c>
      <c r="R1316" t="s">
        <v>34</v>
      </c>
      <c r="S1316" t="s">
        <v>34</v>
      </c>
      <c r="T1316" s="117">
        <v>0</v>
      </c>
    </row>
    <row r="1317" spans="1:21" x14ac:dyDescent="0.35">
      <c r="A1317" t="s">
        <v>19</v>
      </c>
      <c r="B1317" t="s">
        <v>19</v>
      </c>
      <c r="C1317" s="1">
        <v>45497</v>
      </c>
      <c r="D1317">
        <f t="shared" si="87"/>
        <v>24</v>
      </c>
      <c r="E1317">
        <f t="shared" si="88"/>
        <v>7</v>
      </c>
      <c r="F1317">
        <f t="shared" si="89"/>
        <v>2024</v>
      </c>
      <c r="G1317" t="s">
        <v>225</v>
      </c>
      <c r="H1317" s="98" t="s">
        <v>226</v>
      </c>
      <c r="I1317" s="29">
        <v>121235.39</v>
      </c>
      <c r="J1317" s="12" t="s">
        <v>31</v>
      </c>
      <c r="K1317" s="76">
        <f t="shared" ref="K1317:K1348" si="91">IF(J1317="USD",I1317,I1317*L1317)</f>
        <v>121235.39</v>
      </c>
      <c r="L1317">
        <v>1</v>
      </c>
      <c r="M1317" s="29">
        <v>0</v>
      </c>
      <c r="N1317" t="s">
        <v>32</v>
      </c>
      <c r="O1317" t="s">
        <v>33</v>
      </c>
      <c r="P1317" t="s">
        <v>34</v>
      </c>
      <c r="Q1317" t="s">
        <v>34</v>
      </c>
      <c r="R1317" t="s">
        <v>34</v>
      </c>
      <c r="S1317" t="s">
        <v>34</v>
      </c>
      <c r="T1317" s="117">
        <v>0</v>
      </c>
    </row>
    <row r="1318" spans="1:21" x14ac:dyDescent="0.35">
      <c r="A1318" t="s">
        <v>19</v>
      </c>
      <c r="B1318" t="s">
        <v>19</v>
      </c>
      <c r="C1318" s="1">
        <v>45497</v>
      </c>
      <c r="D1318">
        <f t="shared" si="87"/>
        <v>24</v>
      </c>
      <c r="E1318">
        <f t="shared" si="88"/>
        <v>7</v>
      </c>
      <c r="F1318">
        <f t="shared" si="89"/>
        <v>2024</v>
      </c>
      <c r="G1318" t="s">
        <v>228</v>
      </c>
      <c r="H1318" s="98" t="s">
        <v>423</v>
      </c>
      <c r="I1318" s="29">
        <v>79950</v>
      </c>
      <c r="J1318" s="12" t="s">
        <v>31</v>
      </c>
      <c r="K1318" s="76">
        <f t="shared" si="91"/>
        <v>79950</v>
      </c>
      <c r="L1318">
        <v>1</v>
      </c>
      <c r="M1318" s="29">
        <v>0</v>
      </c>
      <c r="N1318" t="s">
        <v>32</v>
      </c>
      <c r="O1318" t="s">
        <v>33</v>
      </c>
      <c r="P1318" t="s">
        <v>34</v>
      </c>
      <c r="Q1318" t="s">
        <v>34</v>
      </c>
      <c r="R1318" t="s">
        <v>34</v>
      </c>
      <c r="S1318" t="s">
        <v>34</v>
      </c>
      <c r="T1318" s="117">
        <v>0</v>
      </c>
    </row>
    <row r="1319" spans="1:21" x14ac:dyDescent="0.35">
      <c r="A1319" t="s">
        <v>19</v>
      </c>
      <c r="B1319" t="s">
        <v>19</v>
      </c>
      <c r="C1319" s="1">
        <v>45497</v>
      </c>
      <c r="D1319">
        <f t="shared" si="87"/>
        <v>24</v>
      </c>
      <c r="E1319">
        <f t="shared" si="88"/>
        <v>7</v>
      </c>
      <c r="F1319">
        <f t="shared" si="89"/>
        <v>2024</v>
      </c>
      <c r="G1319" t="s">
        <v>424</v>
      </c>
      <c r="H1319" s="98" t="s">
        <v>425</v>
      </c>
      <c r="I1319" s="29">
        <v>159167.85999999999</v>
      </c>
      <c r="J1319" s="12" t="s">
        <v>31</v>
      </c>
      <c r="K1319" s="76">
        <f t="shared" si="91"/>
        <v>159167.85999999999</v>
      </c>
      <c r="L1319">
        <v>1</v>
      </c>
      <c r="M1319" s="29">
        <v>0</v>
      </c>
      <c r="N1319" t="s">
        <v>32</v>
      </c>
      <c r="O1319" t="s">
        <v>33</v>
      </c>
      <c r="P1319" t="s">
        <v>34</v>
      </c>
      <c r="Q1319" t="s">
        <v>34</v>
      </c>
      <c r="R1319" t="s">
        <v>34</v>
      </c>
      <c r="S1319" t="s">
        <v>34</v>
      </c>
      <c r="T1319" s="117">
        <v>0</v>
      </c>
    </row>
    <row r="1320" spans="1:21" x14ac:dyDescent="0.35">
      <c r="A1320" t="s">
        <v>19</v>
      </c>
      <c r="B1320" t="s">
        <v>19</v>
      </c>
      <c r="C1320" s="1">
        <v>45497</v>
      </c>
      <c r="D1320">
        <f t="shared" si="87"/>
        <v>24</v>
      </c>
      <c r="E1320">
        <f t="shared" si="88"/>
        <v>7</v>
      </c>
      <c r="F1320">
        <f t="shared" si="89"/>
        <v>2024</v>
      </c>
      <c r="G1320" t="s">
        <v>118</v>
      </c>
      <c r="H1320" s="98" t="s">
        <v>301</v>
      </c>
      <c r="I1320" s="96">
        <v>67428.58</v>
      </c>
      <c r="J1320" s="12" t="s">
        <v>31</v>
      </c>
      <c r="K1320" s="76">
        <f t="shared" si="91"/>
        <v>67428.58</v>
      </c>
      <c r="L1320">
        <v>1</v>
      </c>
      <c r="M1320" s="29">
        <v>0</v>
      </c>
      <c r="N1320" t="s">
        <v>32</v>
      </c>
      <c r="O1320" t="s">
        <v>33</v>
      </c>
      <c r="P1320" t="s">
        <v>34</v>
      </c>
      <c r="Q1320" t="s">
        <v>34</v>
      </c>
      <c r="R1320" t="s">
        <v>34</v>
      </c>
      <c r="S1320" t="s">
        <v>34</v>
      </c>
      <c r="T1320" s="117">
        <v>0</v>
      </c>
    </row>
    <row r="1321" spans="1:21" x14ac:dyDescent="0.35">
      <c r="A1321" t="s">
        <v>19</v>
      </c>
      <c r="B1321" t="s">
        <v>19</v>
      </c>
      <c r="C1321" s="1">
        <v>45497</v>
      </c>
      <c r="D1321">
        <f t="shared" si="87"/>
        <v>24</v>
      </c>
      <c r="E1321">
        <f t="shared" si="88"/>
        <v>7</v>
      </c>
      <c r="F1321">
        <f t="shared" si="89"/>
        <v>2024</v>
      </c>
      <c r="G1321" t="s">
        <v>118</v>
      </c>
      <c r="H1321" s="98" t="s">
        <v>328</v>
      </c>
      <c r="I1321" s="96">
        <v>930.17</v>
      </c>
      <c r="J1321" s="12" t="s">
        <v>31</v>
      </c>
      <c r="K1321" s="76">
        <f t="shared" si="91"/>
        <v>930.17</v>
      </c>
      <c r="L1321">
        <v>1</v>
      </c>
      <c r="M1321" s="29">
        <v>0</v>
      </c>
      <c r="N1321" t="s">
        <v>32</v>
      </c>
      <c r="O1321" t="s">
        <v>33</v>
      </c>
      <c r="P1321" t="s">
        <v>34</v>
      </c>
      <c r="Q1321" t="s">
        <v>34</v>
      </c>
      <c r="R1321" t="s">
        <v>34</v>
      </c>
      <c r="S1321" t="s">
        <v>34</v>
      </c>
      <c r="T1321" s="117">
        <v>0</v>
      </c>
      <c r="U1321" s="209" t="s">
        <v>455</v>
      </c>
    </row>
    <row r="1322" spans="1:21" x14ac:dyDescent="0.35">
      <c r="A1322" t="s">
        <v>19</v>
      </c>
      <c r="B1322" t="s">
        <v>19</v>
      </c>
      <c r="C1322" s="1">
        <v>45497</v>
      </c>
      <c r="D1322">
        <f t="shared" si="87"/>
        <v>24</v>
      </c>
      <c r="E1322">
        <f t="shared" si="88"/>
        <v>7</v>
      </c>
      <c r="F1322">
        <f t="shared" si="89"/>
        <v>2024</v>
      </c>
      <c r="G1322" t="s">
        <v>126</v>
      </c>
      <c r="H1322" s="98" t="s">
        <v>426</v>
      </c>
      <c r="I1322" s="29">
        <v>33957</v>
      </c>
      <c r="J1322" s="12" t="s">
        <v>31</v>
      </c>
      <c r="K1322" s="76">
        <f t="shared" si="91"/>
        <v>33957</v>
      </c>
      <c r="L1322">
        <v>1</v>
      </c>
      <c r="M1322" s="29">
        <v>0</v>
      </c>
      <c r="N1322" t="s">
        <v>32</v>
      </c>
      <c r="O1322" t="s">
        <v>33</v>
      </c>
      <c r="P1322" t="s">
        <v>34</v>
      </c>
      <c r="Q1322" t="s">
        <v>34</v>
      </c>
      <c r="R1322" t="s">
        <v>34</v>
      </c>
      <c r="S1322" t="s">
        <v>34</v>
      </c>
      <c r="T1322" s="117">
        <v>0</v>
      </c>
    </row>
    <row r="1323" spans="1:21" x14ac:dyDescent="0.35">
      <c r="A1323" t="s">
        <v>19</v>
      </c>
      <c r="B1323" t="s">
        <v>19</v>
      </c>
      <c r="C1323" s="1">
        <v>45497</v>
      </c>
      <c r="D1323">
        <f t="shared" si="87"/>
        <v>24</v>
      </c>
      <c r="E1323">
        <f t="shared" si="88"/>
        <v>7</v>
      </c>
      <c r="F1323">
        <f t="shared" si="89"/>
        <v>2024</v>
      </c>
      <c r="G1323" t="s">
        <v>86</v>
      </c>
      <c r="H1323" s="98" t="s">
        <v>427</v>
      </c>
      <c r="I1323" s="29">
        <v>12992.87</v>
      </c>
      <c r="J1323" s="12" t="s">
        <v>31</v>
      </c>
      <c r="K1323" s="76">
        <f t="shared" si="91"/>
        <v>12992.87</v>
      </c>
      <c r="L1323">
        <v>1</v>
      </c>
      <c r="M1323" s="29">
        <v>0</v>
      </c>
      <c r="N1323" t="s">
        <v>32</v>
      </c>
      <c r="O1323" t="s">
        <v>33</v>
      </c>
      <c r="P1323" t="s">
        <v>34</v>
      </c>
      <c r="Q1323" t="s">
        <v>34</v>
      </c>
      <c r="R1323" t="s">
        <v>34</v>
      </c>
      <c r="S1323" t="s">
        <v>34</v>
      </c>
      <c r="T1323" s="117">
        <v>0</v>
      </c>
    </row>
    <row r="1324" spans="1:21" x14ac:dyDescent="0.35">
      <c r="A1324" t="s">
        <v>19</v>
      </c>
      <c r="B1324" t="s">
        <v>19</v>
      </c>
      <c r="C1324" s="1">
        <v>45497</v>
      </c>
      <c r="D1324">
        <f t="shared" si="87"/>
        <v>24</v>
      </c>
      <c r="E1324">
        <f t="shared" si="88"/>
        <v>7</v>
      </c>
      <c r="F1324">
        <f t="shared" si="89"/>
        <v>2024</v>
      </c>
      <c r="G1324" t="s">
        <v>265</v>
      </c>
      <c r="H1324" s="98" t="s">
        <v>547</v>
      </c>
      <c r="I1324" s="29">
        <v>1478.7</v>
      </c>
      <c r="J1324" s="12" t="s">
        <v>31</v>
      </c>
      <c r="K1324" s="76">
        <f t="shared" si="91"/>
        <v>1478.7</v>
      </c>
      <c r="L1324">
        <v>1</v>
      </c>
      <c r="M1324" s="29">
        <v>0</v>
      </c>
      <c r="N1324" t="s">
        <v>42</v>
      </c>
      <c r="O1324" t="s">
        <v>33</v>
      </c>
      <c r="P1324" t="s">
        <v>34</v>
      </c>
      <c r="Q1324" t="s">
        <v>34</v>
      </c>
      <c r="R1324" t="s">
        <v>34</v>
      </c>
      <c r="S1324" t="s">
        <v>34</v>
      </c>
      <c r="T1324" s="117">
        <v>0</v>
      </c>
    </row>
    <row r="1325" spans="1:21" x14ac:dyDescent="0.35">
      <c r="A1325" t="s">
        <v>19</v>
      </c>
      <c r="B1325" t="s">
        <v>19</v>
      </c>
      <c r="C1325" s="1">
        <v>45497</v>
      </c>
      <c r="D1325">
        <f t="shared" si="87"/>
        <v>24</v>
      </c>
      <c r="E1325">
        <f t="shared" si="88"/>
        <v>7</v>
      </c>
      <c r="F1325">
        <f t="shared" si="89"/>
        <v>2024</v>
      </c>
      <c r="G1325" t="s">
        <v>265</v>
      </c>
      <c r="H1325" s="98" t="s">
        <v>559</v>
      </c>
      <c r="I1325" s="29">
        <v>2137.3000000000002</v>
      </c>
      <c r="J1325" s="12" t="s">
        <v>31</v>
      </c>
      <c r="K1325" s="76">
        <f t="shared" si="91"/>
        <v>2137.3000000000002</v>
      </c>
      <c r="L1325">
        <v>1</v>
      </c>
      <c r="M1325" s="29">
        <v>0</v>
      </c>
      <c r="N1325" t="s">
        <v>42</v>
      </c>
      <c r="O1325" t="s">
        <v>33</v>
      </c>
      <c r="P1325" t="s">
        <v>34</v>
      </c>
      <c r="Q1325" t="s">
        <v>34</v>
      </c>
      <c r="R1325" t="s">
        <v>34</v>
      </c>
      <c r="S1325" t="s">
        <v>34</v>
      </c>
      <c r="T1325" s="117">
        <v>0</v>
      </c>
    </row>
    <row r="1326" spans="1:21" x14ac:dyDescent="0.35">
      <c r="A1326" t="s">
        <v>19</v>
      </c>
      <c r="B1326" t="s">
        <v>19</v>
      </c>
      <c r="C1326" s="1">
        <v>45497</v>
      </c>
      <c r="D1326">
        <f t="shared" si="87"/>
        <v>24</v>
      </c>
      <c r="E1326">
        <f t="shared" si="88"/>
        <v>7</v>
      </c>
      <c r="F1326">
        <f t="shared" si="89"/>
        <v>2024</v>
      </c>
      <c r="G1326" t="s">
        <v>183</v>
      </c>
      <c r="H1326" s="98" t="s">
        <v>548</v>
      </c>
      <c r="I1326" s="29">
        <v>3492.92</v>
      </c>
      <c r="J1326" s="12" t="s">
        <v>31</v>
      </c>
      <c r="K1326" s="76">
        <f t="shared" si="91"/>
        <v>3492.92</v>
      </c>
      <c r="L1326">
        <v>1</v>
      </c>
      <c r="M1326" s="29">
        <v>0</v>
      </c>
      <c r="N1326" t="s">
        <v>42</v>
      </c>
      <c r="O1326" t="s">
        <v>33</v>
      </c>
      <c r="P1326" t="s">
        <v>34</v>
      </c>
      <c r="Q1326" t="s">
        <v>34</v>
      </c>
      <c r="R1326" t="s">
        <v>34</v>
      </c>
      <c r="S1326" t="s">
        <v>34</v>
      </c>
      <c r="T1326" s="117">
        <v>0</v>
      </c>
    </row>
    <row r="1327" spans="1:21" x14ac:dyDescent="0.35">
      <c r="A1327" t="s">
        <v>19</v>
      </c>
      <c r="B1327" t="s">
        <v>19</v>
      </c>
      <c r="C1327" s="1">
        <v>45497</v>
      </c>
      <c r="D1327">
        <f t="shared" si="87"/>
        <v>24</v>
      </c>
      <c r="E1327">
        <f t="shared" si="88"/>
        <v>7</v>
      </c>
      <c r="F1327">
        <f t="shared" si="89"/>
        <v>2024</v>
      </c>
      <c r="G1327" t="s">
        <v>123</v>
      </c>
      <c r="H1327" s="98" t="s">
        <v>560</v>
      </c>
      <c r="I1327" s="29">
        <v>467.1</v>
      </c>
      <c r="J1327" s="12" t="s">
        <v>31</v>
      </c>
      <c r="K1327" s="76">
        <f t="shared" si="91"/>
        <v>467.1</v>
      </c>
      <c r="L1327">
        <v>1</v>
      </c>
      <c r="M1327" s="29">
        <v>0</v>
      </c>
      <c r="N1327" t="s">
        <v>42</v>
      </c>
      <c r="O1327" t="s">
        <v>33</v>
      </c>
      <c r="P1327" t="s">
        <v>34</v>
      </c>
      <c r="Q1327" t="s">
        <v>34</v>
      </c>
      <c r="R1327" t="s">
        <v>34</v>
      </c>
      <c r="S1327" t="s">
        <v>34</v>
      </c>
      <c r="T1327" s="117">
        <v>0</v>
      </c>
    </row>
    <row r="1328" spans="1:21" x14ac:dyDescent="0.35">
      <c r="A1328" t="s">
        <v>19</v>
      </c>
      <c r="B1328" t="s">
        <v>19</v>
      </c>
      <c r="C1328" s="1">
        <v>45497</v>
      </c>
      <c r="D1328">
        <f t="shared" si="87"/>
        <v>24</v>
      </c>
      <c r="E1328">
        <f t="shared" si="88"/>
        <v>7</v>
      </c>
      <c r="F1328">
        <f t="shared" si="89"/>
        <v>2024</v>
      </c>
      <c r="G1328" t="s">
        <v>56</v>
      </c>
      <c r="H1328" s="98" t="s">
        <v>373</v>
      </c>
      <c r="I1328" s="29">
        <v>99546.44</v>
      </c>
      <c r="J1328" s="12" t="s">
        <v>31</v>
      </c>
      <c r="K1328" s="76">
        <f t="shared" si="91"/>
        <v>99546.44</v>
      </c>
      <c r="L1328">
        <v>1</v>
      </c>
      <c r="M1328" s="29">
        <v>0</v>
      </c>
      <c r="N1328" t="s">
        <v>32</v>
      </c>
      <c r="O1328" t="s">
        <v>33</v>
      </c>
      <c r="P1328" t="s">
        <v>34</v>
      </c>
      <c r="Q1328" t="s">
        <v>34</v>
      </c>
      <c r="R1328" t="s">
        <v>34</v>
      </c>
      <c r="S1328" t="s">
        <v>34</v>
      </c>
      <c r="T1328" s="117">
        <v>0</v>
      </c>
    </row>
    <row r="1329" spans="1:21" x14ac:dyDescent="0.35">
      <c r="A1329" t="s">
        <v>19</v>
      </c>
      <c r="B1329" t="s">
        <v>19</v>
      </c>
      <c r="C1329" s="1">
        <v>45497</v>
      </c>
      <c r="D1329">
        <f t="shared" si="87"/>
        <v>24</v>
      </c>
      <c r="E1329">
        <f t="shared" si="88"/>
        <v>7</v>
      </c>
      <c r="F1329">
        <f t="shared" si="89"/>
        <v>2024</v>
      </c>
      <c r="G1329" t="s">
        <v>56</v>
      </c>
      <c r="H1329" s="98" t="s">
        <v>428</v>
      </c>
      <c r="I1329" s="29">
        <v>376.85</v>
      </c>
      <c r="J1329" s="12" t="s">
        <v>31</v>
      </c>
      <c r="K1329" s="76">
        <f t="shared" si="91"/>
        <v>376.85</v>
      </c>
      <c r="L1329">
        <v>1</v>
      </c>
      <c r="M1329" s="29">
        <v>0</v>
      </c>
      <c r="N1329" t="s">
        <v>32</v>
      </c>
      <c r="O1329" t="s">
        <v>33</v>
      </c>
      <c r="P1329" t="s">
        <v>34</v>
      </c>
      <c r="Q1329" t="s">
        <v>34</v>
      </c>
      <c r="R1329" t="s">
        <v>34</v>
      </c>
      <c r="S1329" t="s">
        <v>34</v>
      </c>
      <c r="T1329" s="117">
        <v>0</v>
      </c>
    </row>
    <row r="1330" spans="1:21" x14ac:dyDescent="0.35">
      <c r="A1330" t="s">
        <v>19</v>
      </c>
      <c r="B1330" t="s">
        <v>19</v>
      </c>
      <c r="C1330" s="1">
        <v>45497</v>
      </c>
      <c r="D1330">
        <f t="shared" si="87"/>
        <v>24</v>
      </c>
      <c r="E1330">
        <f t="shared" si="88"/>
        <v>7</v>
      </c>
      <c r="F1330">
        <f t="shared" si="89"/>
        <v>2024</v>
      </c>
      <c r="G1330" t="s">
        <v>56</v>
      </c>
      <c r="H1330" s="98" t="s">
        <v>429</v>
      </c>
      <c r="I1330" s="29">
        <v>327.07</v>
      </c>
      <c r="J1330" s="12" t="s">
        <v>31</v>
      </c>
      <c r="K1330" s="76">
        <f t="shared" si="91"/>
        <v>327.07</v>
      </c>
      <c r="L1330">
        <v>1</v>
      </c>
      <c r="M1330" s="29">
        <v>0</v>
      </c>
      <c r="N1330" t="s">
        <v>32</v>
      </c>
      <c r="O1330" t="s">
        <v>33</v>
      </c>
      <c r="P1330" t="s">
        <v>34</v>
      </c>
      <c r="Q1330" t="s">
        <v>34</v>
      </c>
      <c r="R1330" t="s">
        <v>34</v>
      </c>
      <c r="S1330" t="s">
        <v>34</v>
      </c>
      <c r="T1330" s="117">
        <v>0</v>
      </c>
    </row>
    <row r="1331" spans="1:21" x14ac:dyDescent="0.35">
      <c r="A1331" t="s">
        <v>19</v>
      </c>
      <c r="B1331" t="s">
        <v>26</v>
      </c>
      <c r="C1331" s="1">
        <v>45498</v>
      </c>
      <c r="D1331">
        <f t="shared" si="87"/>
        <v>25</v>
      </c>
      <c r="E1331">
        <f t="shared" si="88"/>
        <v>7</v>
      </c>
      <c r="F1331">
        <f t="shared" si="89"/>
        <v>2024</v>
      </c>
      <c r="G1331" t="s">
        <v>73</v>
      </c>
      <c r="H1331" s="98">
        <v>10980</v>
      </c>
      <c r="I1331" s="29">
        <v>66291.38</v>
      </c>
      <c r="J1331" s="12" t="s">
        <v>51</v>
      </c>
      <c r="K1331" s="76">
        <f t="shared" si="91"/>
        <v>72098.504887999996</v>
      </c>
      <c r="L1331">
        <v>1.0875999999999999</v>
      </c>
      <c r="M1331" s="29">
        <v>0</v>
      </c>
      <c r="N1331" t="s">
        <v>42</v>
      </c>
      <c r="O1331" t="s">
        <v>33</v>
      </c>
      <c r="P1331" t="s">
        <v>34</v>
      </c>
      <c r="Q1331" t="s">
        <v>34</v>
      </c>
      <c r="R1331" t="s">
        <v>34</v>
      </c>
      <c r="S1331" t="s">
        <v>34</v>
      </c>
      <c r="T1331" s="117">
        <v>0</v>
      </c>
      <c r="U1331" s="209" t="s">
        <v>94</v>
      </c>
    </row>
    <row r="1332" spans="1:21" x14ac:dyDescent="0.35">
      <c r="A1332" t="s">
        <v>19</v>
      </c>
      <c r="B1332" t="s">
        <v>26</v>
      </c>
      <c r="C1332" s="1">
        <v>45498</v>
      </c>
      <c r="D1332">
        <f t="shared" si="87"/>
        <v>25</v>
      </c>
      <c r="E1332">
        <f t="shared" si="88"/>
        <v>7</v>
      </c>
      <c r="F1332">
        <f t="shared" si="89"/>
        <v>2024</v>
      </c>
      <c r="G1332" t="s">
        <v>73</v>
      </c>
      <c r="H1332" s="98">
        <v>10981</v>
      </c>
      <c r="I1332" s="29">
        <v>24634.71</v>
      </c>
      <c r="J1332" s="12" t="s">
        <v>51</v>
      </c>
      <c r="K1332" s="76">
        <f t="shared" si="91"/>
        <v>26792.710595999997</v>
      </c>
      <c r="L1332">
        <v>1.0875999999999999</v>
      </c>
      <c r="M1332" s="29">
        <v>0</v>
      </c>
      <c r="N1332" t="s">
        <v>42</v>
      </c>
      <c r="O1332" t="s">
        <v>33</v>
      </c>
      <c r="P1332" t="s">
        <v>34</v>
      </c>
      <c r="Q1332" t="s">
        <v>34</v>
      </c>
      <c r="R1332" t="s">
        <v>34</v>
      </c>
      <c r="S1332" t="s">
        <v>34</v>
      </c>
      <c r="T1332" s="117">
        <v>0</v>
      </c>
      <c r="U1332" s="209" t="s">
        <v>94</v>
      </c>
    </row>
    <row r="1333" spans="1:21" x14ac:dyDescent="0.35">
      <c r="A1333" t="s">
        <v>19</v>
      </c>
      <c r="B1333" t="s">
        <v>26</v>
      </c>
      <c r="C1333" s="1">
        <v>45498</v>
      </c>
      <c r="D1333">
        <f t="shared" si="87"/>
        <v>25</v>
      </c>
      <c r="E1333">
        <f t="shared" si="88"/>
        <v>7</v>
      </c>
      <c r="F1333">
        <f t="shared" si="89"/>
        <v>2024</v>
      </c>
      <c r="G1333" t="s">
        <v>73</v>
      </c>
      <c r="H1333" s="98">
        <v>11023</v>
      </c>
      <c r="I1333" s="29">
        <v>83109.98</v>
      </c>
      <c r="J1333" s="12" t="s">
        <v>51</v>
      </c>
      <c r="K1333" s="76">
        <f t="shared" si="91"/>
        <v>90390.414247999986</v>
      </c>
      <c r="L1333">
        <v>1.0875999999999999</v>
      </c>
      <c r="M1333" s="29">
        <v>0</v>
      </c>
      <c r="N1333" t="s">
        <v>42</v>
      </c>
      <c r="O1333" t="s">
        <v>33</v>
      </c>
      <c r="P1333" t="s">
        <v>34</v>
      </c>
      <c r="Q1333" t="s">
        <v>34</v>
      </c>
      <c r="R1333" t="s">
        <v>34</v>
      </c>
      <c r="S1333" t="s">
        <v>34</v>
      </c>
      <c r="T1333" s="117">
        <v>0</v>
      </c>
      <c r="U1333" s="209" t="s">
        <v>94</v>
      </c>
    </row>
    <row r="1334" spans="1:21" x14ac:dyDescent="0.35">
      <c r="A1334" t="s">
        <v>19</v>
      </c>
      <c r="B1334" t="s">
        <v>26</v>
      </c>
      <c r="C1334" s="1">
        <v>45498</v>
      </c>
      <c r="D1334">
        <f t="shared" si="87"/>
        <v>25</v>
      </c>
      <c r="E1334">
        <f t="shared" si="88"/>
        <v>7</v>
      </c>
      <c r="F1334">
        <f t="shared" si="89"/>
        <v>2024</v>
      </c>
      <c r="G1334" t="s">
        <v>73</v>
      </c>
      <c r="H1334" s="98">
        <v>11024</v>
      </c>
      <c r="I1334" s="29">
        <v>55005.2</v>
      </c>
      <c r="J1334" s="12" t="s">
        <v>51</v>
      </c>
      <c r="K1334" s="76">
        <f t="shared" si="91"/>
        <v>59823.655519999993</v>
      </c>
      <c r="L1334">
        <v>1.0875999999999999</v>
      </c>
      <c r="M1334" s="29">
        <v>0</v>
      </c>
      <c r="N1334" t="s">
        <v>42</v>
      </c>
      <c r="O1334" t="s">
        <v>33</v>
      </c>
      <c r="P1334" t="s">
        <v>34</v>
      </c>
      <c r="Q1334" t="s">
        <v>34</v>
      </c>
      <c r="R1334" t="s">
        <v>34</v>
      </c>
      <c r="S1334" t="s">
        <v>34</v>
      </c>
      <c r="T1334" s="117">
        <v>0</v>
      </c>
      <c r="U1334" s="209" t="s">
        <v>94</v>
      </c>
    </row>
    <row r="1335" spans="1:21" x14ac:dyDescent="0.35">
      <c r="A1335" t="s">
        <v>19</v>
      </c>
      <c r="B1335" t="s">
        <v>26</v>
      </c>
      <c r="C1335" s="1">
        <v>45498</v>
      </c>
      <c r="D1335">
        <f t="shared" si="87"/>
        <v>25</v>
      </c>
      <c r="E1335">
        <f t="shared" si="88"/>
        <v>7</v>
      </c>
      <c r="F1335">
        <f t="shared" si="89"/>
        <v>2024</v>
      </c>
      <c r="G1335" t="s">
        <v>73</v>
      </c>
      <c r="H1335" s="98">
        <v>11041</v>
      </c>
      <c r="I1335" s="29">
        <v>4729.1899999999996</v>
      </c>
      <c r="J1335" s="12" t="s">
        <v>51</v>
      </c>
      <c r="K1335" s="76">
        <f t="shared" si="91"/>
        <v>5143.4670439999991</v>
      </c>
      <c r="L1335">
        <v>1.0875999999999999</v>
      </c>
      <c r="M1335" s="29">
        <v>0</v>
      </c>
      <c r="N1335" t="s">
        <v>42</v>
      </c>
      <c r="O1335" t="s">
        <v>33</v>
      </c>
      <c r="P1335" t="s">
        <v>34</v>
      </c>
      <c r="Q1335" t="s">
        <v>34</v>
      </c>
      <c r="R1335" t="s">
        <v>34</v>
      </c>
      <c r="S1335" t="s">
        <v>34</v>
      </c>
      <c r="T1335" s="117">
        <v>0</v>
      </c>
      <c r="U1335" s="209" t="s">
        <v>94</v>
      </c>
    </row>
    <row r="1336" spans="1:21" x14ac:dyDescent="0.35">
      <c r="A1336" t="s">
        <v>19</v>
      </c>
      <c r="B1336" t="s">
        <v>26</v>
      </c>
      <c r="C1336" s="1">
        <v>45498</v>
      </c>
      <c r="D1336">
        <f t="shared" si="87"/>
        <v>25</v>
      </c>
      <c r="E1336">
        <f t="shared" si="88"/>
        <v>7</v>
      </c>
      <c r="F1336">
        <f t="shared" si="89"/>
        <v>2024</v>
      </c>
      <c r="G1336" t="s">
        <v>187</v>
      </c>
      <c r="H1336" s="98">
        <v>0</v>
      </c>
      <c r="I1336" s="29">
        <v>35393.5</v>
      </c>
      <c r="J1336" s="12" t="s">
        <v>51</v>
      </c>
      <c r="K1336" s="76">
        <f t="shared" si="91"/>
        <v>38493.970599999993</v>
      </c>
      <c r="L1336">
        <v>1.0875999999999999</v>
      </c>
      <c r="M1336" s="29">
        <v>0</v>
      </c>
      <c r="N1336" t="s">
        <v>32</v>
      </c>
      <c r="O1336" t="s">
        <v>33</v>
      </c>
      <c r="P1336" t="s">
        <v>34</v>
      </c>
      <c r="Q1336" t="s">
        <v>34</v>
      </c>
      <c r="R1336" t="s">
        <v>34</v>
      </c>
      <c r="S1336" t="s">
        <v>34</v>
      </c>
      <c r="T1336" s="117">
        <v>0</v>
      </c>
      <c r="U1336" s="209" t="s">
        <v>94</v>
      </c>
    </row>
    <row r="1337" spans="1:21" x14ac:dyDescent="0.35">
      <c r="A1337" t="s">
        <v>19</v>
      </c>
      <c r="B1337" t="s">
        <v>27</v>
      </c>
      <c r="C1337" s="1">
        <v>45499</v>
      </c>
      <c r="D1337">
        <f t="shared" si="87"/>
        <v>26</v>
      </c>
      <c r="E1337">
        <f t="shared" si="88"/>
        <v>7</v>
      </c>
      <c r="F1337">
        <f t="shared" si="89"/>
        <v>2024</v>
      </c>
      <c r="G1337" t="s">
        <v>100</v>
      </c>
      <c r="H1337" s="98">
        <v>10592</v>
      </c>
      <c r="I1337" s="29">
        <v>52807.42</v>
      </c>
      <c r="J1337" s="12" t="s">
        <v>31</v>
      </c>
      <c r="K1337" s="76">
        <f t="shared" si="91"/>
        <v>52807.42</v>
      </c>
      <c r="L1337">
        <v>1</v>
      </c>
      <c r="M1337" s="29">
        <v>0</v>
      </c>
      <c r="N1337" t="s">
        <v>32</v>
      </c>
      <c r="O1337" t="s">
        <v>33</v>
      </c>
      <c r="P1337" t="s">
        <v>34</v>
      </c>
      <c r="Q1337" t="s">
        <v>34</v>
      </c>
      <c r="R1337" t="s">
        <v>34</v>
      </c>
      <c r="S1337" t="s">
        <v>34</v>
      </c>
      <c r="T1337" s="117">
        <v>0</v>
      </c>
      <c r="U1337" s="209" t="s">
        <v>501</v>
      </c>
    </row>
    <row r="1338" spans="1:21" x14ac:dyDescent="0.35">
      <c r="A1338" t="s">
        <v>20</v>
      </c>
      <c r="B1338" t="s">
        <v>223</v>
      </c>
      <c r="C1338" s="1">
        <v>45499</v>
      </c>
      <c r="D1338">
        <f t="shared" si="87"/>
        <v>26</v>
      </c>
      <c r="E1338">
        <f t="shared" si="88"/>
        <v>7</v>
      </c>
      <c r="F1338">
        <f t="shared" si="89"/>
        <v>2024</v>
      </c>
      <c r="G1338" t="s">
        <v>223</v>
      </c>
      <c r="H1338" s="98">
        <v>10594</v>
      </c>
      <c r="I1338" s="29">
        <v>1804.8</v>
      </c>
      <c r="J1338" s="12" t="s">
        <v>51</v>
      </c>
      <c r="K1338" s="76">
        <f t="shared" si="91"/>
        <v>1965.4271999999999</v>
      </c>
      <c r="L1338" s="2">
        <v>1.089</v>
      </c>
      <c r="M1338" s="29">
        <v>0</v>
      </c>
      <c r="N1338" t="s">
        <v>32</v>
      </c>
      <c r="O1338" t="s">
        <v>186</v>
      </c>
      <c r="P1338" s="1">
        <v>45498</v>
      </c>
      <c r="Q1338" t="s">
        <v>34</v>
      </c>
      <c r="R1338">
        <v>10010014384</v>
      </c>
      <c r="S1338" t="s">
        <v>34</v>
      </c>
      <c r="T1338" s="117">
        <v>0</v>
      </c>
    </row>
    <row r="1339" spans="1:21" x14ac:dyDescent="0.35">
      <c r="A1339" t="s">
        <v>19</v>
      </c>
      <c r="B1339" t="s">
        <v>21</v>
      </c>
      <c r="C1339" s="1">
        <v>45502</v>
      </c>
      <c r="D1339">
        <f t="shared" si="87"/>
        <v>29</v>
      </c>
      <c r="E1339">
        <f t="shared" si="88"/>
        <v>7</v>
      </c>
      <c r="F1339">
        <f t="shared" si="89"/>
        <v>2024</v>
      </c>
      <c r="G1339" t="s">
        <v>92</v>
      </c>
      <c r="H1339" s="98">
        <v>10290</v>
      </c>
      <c r="I1339" s="29">
        <v>40053.94</v>
      </c>
      <c r="J1339" s="12" t="s">
        <v>31</v>
      </c>
      <c r="K1339" s="76">
        <f t="shared" si="91"/>
        <v>40053.94</v>
      </c>
      <c r="L1339">
        <v>1</v>
      </c>
      <c r="M1339" s="29">
        <v>0</v>
      </c>
      <c r="N1339" t="s">
        <v>32</v>
      </c>
      <c r="O1339" t="s">
        <v>33</v>
      </c>
      <c r="P1339" t="s">
        <v>34</v>
      </c>
      <c r="Q1339" t="s">
        <v>34</v>
      </c>
      <c r="R1339" t="s">
        <v>34</v>
      </c>
      <c r="S1339" t="s">
        <v>34</v>
      </c>
      <c r="T1339" s="117">
        <v>0</v>
      </c>
    </row>
    <row r="1340" spans="1:21" x14ac:dyDescent="0.35">
      <c r="A1340" t="s">
        <v>19</v>
      </c>
      <c r="B1340" t="s">
        <v>21</v>
      </c>
      <c r="C1340" s="1">
        <v>45502</v>
      </c>
      <c r="D1340">
        <f t="shared" si="87"/>
        <v>29</v>
      </c>
      <c r="E1340">
        <f t="shared" si="88"/>
        <v>7</v>
      </c>
      <c r="F1340">
        <f t="shared" si="89"/>
        <v>2024</v>
      </c>
      <c r="G1340" t="s">
        <v>92</v>
      </c>
      <c r="H1340" s="98">
        <v>10604</v>
      </c>
      <c r="I1340" s="29">
        <v>21.98</v>
      </c>
      <c r="J1340" s="12" t="s">
        <v>31</v>
      </c>
      <c r="K1340" s="76">
        <f t="shared" si="91"/>
        <v>21.98</v>
      </c>
      <c r="L1340">
        <v>1</v>
      </c>
      <c r="M1340" s="29">
        <v>0</v>
      </c>
      <c r="N1340" t="s">
        <v>32</v>
      </c>
      <c r="O1340" t="s">
        <v>33</v>
      </c>
      <c r="P1340" t="s">
        <v>34</v>
      </c>
      <c r="Q1340" t="s">
        <v>34</v>
      </c>
      <c r="R1340" t="s">
        <v>34</v>
      </c>
      <c r="S1340" t="s">
        <v>34</v>
      </c>
      <c r="T1340" s="117">
        <v>0</v>
      </c>
    </row>
    <row r="1341" spans="1:21" x14ac:dyDescent="0.35">
      <c r="A1341" t="s">
        <v>19</v>
      </c>
      <c r="B1341" t="s">
        <v>21</v>
      </c>
      <c r="C1341" s="1">
        <v>45502</v>
      </c>
      <c r="D1341">
        <f t="shared" si="87"/>
        <v>29</v>
      </c>
      <c r="E1341">
        <f t="shared" si="88"/>
        <v>7</v>
      </c>
      <c r="F1341">
        <f t="shared" si="89"/>
        <v>2024</v>
      </c>
      <c r="G1341" t="s">
        <v>37</v>
      </c>
      <c r="H1341" s="98">
        <v>10387</v>
      </c>
      <c r="I1341" s="29">
        <v>34</v>
      </c>
      <c r="J1341" s="12" t="s">
        <v>31</v>
      </c>
      <c r="K1341" s="76">
        <f t="shared" si="91"/>
        <v>34</v>
      </c>
      <c r="L1341">
        <v>1</v>
      </c>
      <c r="M1341" s="29">
        <v>0</v>
      </c>
      <c r="N1341" t="s">
        <v>32</v>
      </c>
      <c r="O1341" t="s">
        <v>33</v>
      </c>
      <c r="P1341" t="s">
        <v>34</v>
      </c>
      <c r="Q1341" t="s">
        <v>34</v>
      </c>
      <c r="R1341" t="s">
        <v>34</v>
      </c>
      <c r="S1341" t="s">
        <v>34</v>
      </c>
      <c r="T1341" s="117">
        <v>0</v>
      </c>
    </row>
    <row r="1342" spans="1:21" x14ac:dyDescent="0.35">
      <c r="A1342" t="s">
        <v>19</v>
      </c>
      <c r="B1342" t="s">
        <v>21</v>
      </c>
      <c r="C1342" s="1">
        <v>45502</v>
      </c>
      <c r="D1342">
        <f t="shared" si="87"/>
        <v>29</v>
      </c>
      <c r="E1342">
        <f t="shared" si="88"/>
        <v>7</v>
      </c>
      <c r="F1342">
        <f t="shared" si="89"/>
        <v>2024</v>
      </c>
      <c r="G1342" t="s">
        <v>37</v>
      </c>
      <c r="H1342" s="98">
        <v>10438</v>
      </c>
      <c r="I1342" s="29">
        <v>68</v>
      </c>
      <c r="J1342" s="12" t="s">
        <v>31</v>
      </c>
      <c r="K1342" s="76">
        <f t="shared" si="91"/>
        <v>68</v>
      </c>
      <c r="L1342">
        <v>1</v>
      </c>
      <c r="M1342" s="29">
        <v>0</v>
      </c>
      <c r="N1342" t="s">
        <v>32</v>
      </c>
      <c r="O1342" t="s">
        <v>33</v>
      </c>
      <c r="P1342" t="s">
        <v>34</v>
      </c>
      <c r="Q1342" t="s">
        <v>34</v>
      </c>
      <c r="R1342" t="s">
        <v>34</v>
      </c>
      <c r="S1342" t="s">
        <v>34</v>
      </c>
      <c r="T1342" s="117">
        <v>0</v>
      </c>
    </row>
    <row r="1343" spans="1:21" x14ac:dyDescent="0.35">
      <c r="A1343" t="s">
        <v>19</v>
      </c>
      <c r="B1343" t="s">
        <v>25</v>
      </c>
      <c r="C1343" s="1">
        <v>45502</v>
      </c>
      <c r="D1343">
        <f t="shared" si="87"/>
        <v>29</v>
      </c>
      <c r="E1343">
        <f t="shared" si="88"/>
        <v>7</v>
      </c>
      <c r="F1343">
        <f t="shared" si="89"/>
        <v>2024</v>
      </c>
      <c r="G1343" t="s">
        <v>36</v>
      </c>
      <c r="H1343" s="98">
        <v>10544</v>
      </c>
      <c r="I1343" s="29">
        <v>330.6</v>
      </c>
      <c r="J1343" s="12" t="s">
        <v>31</v>
      </c>
      <c r="K1343" s="76">
        <f t="shared" si="91"/>
        <v>330.6</v>
      </c>
      <c r="L1343">
        <v>1</v>
      </c>
      <c r="M1343" s="29">
        <v>0</v>
      </c>
      <c r="N1343" t="s">
        <v>32</v>
      </c>
      <c r="O1343" t="s">
        <v>33</v>
      </c>
      <c r="P1343" t="s">
        <v>34</v>
      </c>
      <c r="Q1343" t="s">
        <v>34</v>
      </c>
      <c r="R1343" t="s">
        <v>34</v>
      </c>
      <c r="S1343" t="s">
        <v>34</v>
      </c>
      <c r="T1343" s="117">
        <v>0</v>
      </c>
    </row>
    <row r="1344" spans="1:21" x14ac:dyDescent="0.35">
      <c r="A1344" t="s">
        <v>19</v>
      </c>
      <c r="B1344" t="s">
        <v>25</v>
      </c>
      <c r="C1344" s="1">
        <v>45502</v>
      </c>
      <c r="D1344">
        <f t="shared" si="87"/>
        <v>29</v>
      </c>
      <c r="E1344">
        <f t="shared" si="88"/>
        <v>7</v>
      </c>
      <c r="F1344">
        <f t="shared" si="89"/>
        <v>2024</v>
      </c>
      <c r="G1344" t="s">
        <v>36</v>
      </c>
      <c r="H1344" s="98">
        <v>10726</v>
      </c>
      <c r="I1344" s="29">
        <v>55055.5</v>
      </c>
      <c r="J1344" s="12" t="s">
        <v>31</v>
      </c>
      <c r="K1344" s="76">
        <f t="shared" si="91"/>
        <v>55055.5</v>
      </c>
      <c r="L1344">
        <v>1</v>
      </c>
      <c r="M1344" s="29">
        <v>0</v>
      </c>
      <c r="N1344" t="s">
        <v>32</v>
      </c>
      <c r="O1344" t="s">
        <v>33</v>
      </c>
      <c r="P1344" t="s">
        <v>34</v>
      </c>
      <c r="Q1344" t="s">
        <v>34</v>
      </c>
      <c r="R1344" t="s">
        <v>34</v>
      </c>
      <c r="S1344" t="s">
        <v>34</v>
      </c>
      <c r="T1344" s="117">
        <v>0</v>
      </c>
    </row>
    <row r="1345" spans="1:20" x14ac:dyDescent="0.35">
      <c r="A1345" t="s">
        <v>19</v>
      </c>
      <c r="B1345" t="s">
        <v>25</v>
      </c>
      <c r="C1345" s="1">
        <v>45502</v>
      </c>
      <c r="D1345">
        <f t="shared" si="87"/>
        <v>29</v>
      </c>
      <c r="E1345">
        <f t="shared" si="88"/>
        <v>7</v>
      </c>
      <c r="F1345">
        <f t="shared" si="89"/>
        <v>2024</v>
      </c>
      <c r="G1345" t="s">
        <v>29</v>
      </c>
      <c r="H1345" s="98">
        <v>10408</v>
      </c>
      <c r="I1345" s="29">
        <v>54091.83</v>
      </c>
      <c r="J1345" s="12" t="s">
        <v>31</v>
      </c>
      <c r="K1345" s="76">
        <f t="shared" si="91"/>
        <v>54091.83</v>
      </c>
      <c r="L1345">
        <v>1</v>
      </c>
      <c r="M1345" s="29">
        <v>0</v>
      </c>
      <c r="N1345" t="s">
        <v>32</v>
      </c>
      <c r="O1345" t="s">
        <v>33</v>
      </c>
      <c r="P1345" t="s">
        <v>34</v>
      </c>
      <c r="Q1345" t="s">
        <v>34</v>
      </c>
      <c r="R1345" t="s">
        <v>34</v>
      </c>
      <c r="S1345" t="s">
        <v>34</v>
      </c>
      <c r="T1345" s="117">
        <v>0</v>
      </c>
    </row>
    <row r="1346" spans="1:20" x14ac:dyDescent="0.35">
      <c r="A1346" t="s">
        <v>19</v>
      </c>
      <c r="B1346" t="s">
        <v>25</v>
      </c>
      <c r="C1346" s="1">
        <v>45502</v>
      </c>
      <c r="D1346">
        <f t="shared" ref="D1346:D1409" si="92">DAY(C1346)</f>
        <v>29</v>
      </c>
      <c r="E1346">
        <f t="shared" ref="E1346:E1409" si="93">MONTH(C1346)</f>
        <v>7</v>
      </c>
      <c r="F1346">
        <f t="shared" ref="F1346:F1409" si="94">YEAR(C1346)</f>
        <v>2024</v>
      </c>
      <c r="G1346" t="s">
        <v>93</v>
      </c>
      <c r="H1346" s="171">
        <v>10262</v>
      </c>
      <c r="I1346" s="90">
        <v>1739.1</v>
      </c>
      <c r="J1346" s="12" t="s">
        <v>31</v>
      </c>
      <c r="K1346" s="76">
        <f t="shared" si="91"/>
        <v>1739.1</v>
      </c>
      <c r="L1346">
        <v>1</v>
      </c>
      <c r="M1346" s="29">
        <v>0</v>
      </c>
      <c r="N1346" t="s">
        <v>32</v>
      </c>
      <c r="O1346" t="s">
        <v>33</v>
      </c>
      <c r="P1346" t="s">
        <v>34</v>
      </c>
      <c r="Q1346" t="s">
        <v>34</v>
      </c>
      <c r="R1346" t="s">
        <v>34</v>
      </c>
      <c r="S1346" t="s">
        <v>34</v>
      </c>
      <c r="T1346" s="117">
        <v>0</v>
      </c>
    </row>
    <row r="1347" spans="1:20" x14ac:dyDescent="0.35">
      <c r="A1347" t="s">
        <v>19</v>
      </c>
      <c r="B1347" t="s">
        <v>24</v>
      </c>
      <c r="C1347" s="1">
        <v>45502</v>
      </c>
      <c r="D1347">
        <f t="shared" si="92"/>
        <v>29</v>
      </c>
      <c r="E1347">
        <f t="shared" si="93"/>
        <v>7</v>
      </c>
      <c r="F1347">
        <f t="shared" si="94"/>
        <v>2024</v>
      </c>
      <c r="G1347" t="s">
        <v>352</v>
      </c>
      <c r="H1347" s="98">
        <v>10837</v>
      </c>
      <c r="I1347" s="29">
        <v>45.6</v>
      </c>
      <c r="J1347" s="12" t="s">
        <v>31</v>
      </c>
      <c r="K1347" s="76">
        <f t="shared" si="91"/>
        <v>45.6</v>
      </c>
      <c r="L1347">
        <v>1</v>
      </c>
      <c r="M1347" s="29">
        <v>0</v>
      </c>
      <c r="N1347" t="s">
        <v>32</v>
      </c>
      <c r="O1347" t="s">
        <v>33</v>
      </c>
      <c r="P1347" t="s">
        <v>34</v>
      </c>
      <c r="Q1347" t="s">
        <v>34</v>
      </c>
      <c r="R1347" t="s">
        <v>34</v>
      </c>
      <c r="S1347" t="s">
        <v>34</v>
      </c>
      <c r="T1347" s="117">
        <v>0</v>
      </c>
    </row>
    <row r="1348" spans="1:20" x14ac:dyDescent="0.35">
      <c r="A1348" t="s">
        <v>19</v>
      </c>
      <c r="B1348" t="s">
        <v>25</v>
      </c>
      <c r="C1348" s="1">
        <v>45502</v>
      </c>
      <c r="D1348">
        <f t="shared" si="92"/>
        <v>29</v>
      </c>
      <c r="E1348">
        <f t="shared" si="93"/>
        <v>7</v>
      </c>
      <c r="F1348">
        <f t="shared" si="94"/>
        <v>2024</v>
      </c>
      <c r="G1348" t="s">
        <v>80</v>
      </c>
      <c r="H1348" s="98">
        <v>10794</v>
      </c>
      <c r="I1348" s="29">
        <v>578.1</v>
      </c>
      <c r="J1348" s="12" t="s">
        <v>31</v>
      </c>
      <c r="K1348" s="76">
        <f t="shared" si="91"/>
        <v>578.1</v>
      </c>
      <c r="L1348">
        <v>1</v>
      </c>
      <c r="M1348" s="29">
        <v>0</v>
      </c>
      <c r="N1348" t="s">
        <v>32</v>
      </c>
      <c r="O1348" t="s">
        <v>33</v>
      </c>
      <c r="P1348" t="s">
        <v>34</v>
      </c>
      <c r="Q1348" t="s">
        <v>34</v>
      </c>
      <c r="R1348" t="s">
        <v>34</v>
      </c>
      <c r="S1348" t="s">
        <v>34</v>
      </c>
      <c r="T1348" s="117">
        <v>0</v>
      </c>
    </row>
    <row r="1349" spans="1:20" x14ac:dyDescent="0.35">
      <c r="A1349" t="s">
        <v>19</v>
      </c>
      <c r="B1349" t="s">
        <v>25</v>
      </c>
      <c r="C1349" s="1">
        <v>45502</v>
      </c>
      <c r="D1349">
        <f t="shared" si="92"/>
        <v>29</v>
      </c>
      <c r="E1349">
        <f t="shared" si="93"/>
        <v>7</v>
      </c>
      <c r="F1349">
        <f t="shared" si="94"/>
        <v>2024</v>
      </c>
      <c r="G1349" t="s">
        <v>38</v>
      </c>
      <c r="H1349" s="98">
        <v>10415</v>
      </c>
      <c r="I1349" s="29">
        <v>50176.9</v>
      </c>
      <c r="J1349" s="12" t="s">
        <v>31</v>
      </c>
      <c r="K1349" s="76">
        <f t="shared" ref="K1349:K1380" si="95">IF(J1349="USD",I1349,I1349*L1349)</f>
        <v>50176.9</v>
      </c>
      <c r="L1349">
        <v>1</v>
      </c>
      <c r="M1349" s="29">
        <v>0</v>
      </c>
      <c r="N1349" t="s">
        <v>32</v>
      </c>
      <c r="O1349" t="s">
        <v>33</v>
      </c>
      <c r="P1349" t="s">
        <v>34</v>
      </c>
      <c r="Q1349" t="s">
        <v>34</v>
      </c>
      <c r="R1349" t="s">
        <v>34</v>
      </c>
      <c r="S1349" t="s">
        <v>34</v>
      </c>
      <c r="T1349" s="117">
        <v>0</v>
      </c>
    </row>
    <row r="1350" spans="1:20" x14ac:dyDescent="0.35">
      <c r="A1350" t="s">
        <v>19</v>
      </c>
      <c r="B1350" t="s">
        <v>27</v>
      </c>
      <c r="C1350" s="1">
        <v>45502</v>
      </c>
      <c r="D1350">
        <f t="shared" si="92"/>
        <v>29</v>
      </c>
      <c r="E1350">
        <f t="shared" si="93"/>
        <v>7</v>
      </c>
      <c r="F1350">
        <f t="shared" si="94"/>
        <v>2024</v>
      </c>
      <c r="G1350" t="s">
        <v>100</v>
      </c>
      <c r="H1350" s="98">
        <v>10441</v>
      </c>
      <c r="I1350" s="29">
        <v>80834.25</v>
      </c>
      <c r="J1350" s="12" t="s">
        <v>31</v>
      </c>
      <c r="K1350" s="76">
        <f t="shared" si="95"/>
        <v>80834.25</v>
      </c>
      <c r="L1350">
        <v>1</v>
      </c>
      <c r="M1350" s="29">
        <v>0</v>
      </c>
      <c r="N1350" t="s">
        <v>32</v>
      </c>
      <c r="O1350" t="s">
        <v>33</v>
      </c>
      <c r="P1350" t="s">
        <v>34</v>
      </c>
      <c r="Q1350" t="s">
        <v>34</v>
      </c>
      <c r="R1350" t="s">
        <v>34</v>
      </c>
      <c r="S1350" t="s">
        <v>34</v>
      </c>
      <c r="T1350" s="117">
        <v>0</v>
      </c>
    </row>
    <row r="1351" spans="1:20" x14ac:dyDescent="0.35">
      <c r="A1351" t="s">
        <v>20</v>
      </c>
      <c r="B1351" t="s">
        <v>25</v>
      </c>
      <c r="C1351" s="1">
        <v>45502</v>
      </c>
      <c r="D1351">
        <f t="shared" si="92"/>
        <v>29</v>
      </c>
      <c r="E1351">
        <f t="shared" si="93"/>
        <v>7</v>
      </c>
      <c r="F1351">
        <f t="shared" si="94"/>
        <v>2024</v>
      </c>
      <c r="G1351" t="s">
        <v>81</v>
      </c>
      <c r="H1351" s="98">
        <v>10632</v>
      </c>
      <c r="I1351" s="29">
        <v>21864.400000000001</v>
      </c>
      <c r="J1351" s="12" t="s">
        <v>31</v>
      </c>
      <c r="K1351" s="76">
        <f t="shared" si="95"/>
        <v>21864.400000000001</v>
      </c>
      <c r="L1351">
        <v>1</v>
      </c>
      <c r="M1351" s="29">
        <v>0</v>
      </c>
      <c r="N1351" t="s">
        <v>32</v>
      </c>
      <c r="O1351" t="s">
        <v>33</v>
      </c>
      <c r="P1351" t="s">
        <v>34</v>
      </c>
      <c r="Q1351" t="s">
        <v>34</v>
      </c>
      <c r="R1351" t="s">
        <v>34</v>
      </c>
      <c r="S1351" t="s">
        <v>34</v>
      </c>
      <c r="T1351" s="117">
        <v>0</v>
      </c>
    </row>
    <row r="1352" spans="1:20" x14ac:dyDescent="0.35">
      <c r="A1352" t="s">
        <v>20</v>
      </c>
      <c r="B1352" t="s">
        <v>25</v>
      </c>
      <c r="C1352" s="1">
        <v>45502</v>
      </c>
      <c r="D1352">
        <f t="shared" si="92"/>
        <v>29</v>
      </c>
      <c r="E1352">
        <f t="shared" si="93"/>
        <v>7</v>
      </c>
      <c r="F1352">
        <f t="shared" si="94"/>
        <v>2024</v>
      </c>
      <c r="G1352" t="s">
        <v>81</v>
      </c>
      <c r="H1352" s="98">
        <v>10633</v>
      </c>
      <c r="I1352" s="29">
        <v>83721.710000000006</v>
      </c>
      <c r="J1352" s="12" t="s">
        <v>31</v>
      </c>
      <c r="K1352" s="76">
        <f t="shared" si="95"/>
        <v>83721.710000000006</v>
      </c>
      <c r="L1352">
        <v>1</v>
      </c>
      <c r="M1352" s="29">
        <v>0</v>
      </c>
      <c r="N1352" t="s">
        <v>42</v>
      </c>
      <c r="O1352" t="s">
        <v>33</v>
      </c>
      <c r="P1352" t="s">
        <v>34</v>
      </c>
      <c r="Q1352" t="s">
        <v>34</v>
      </c>
      <c r="R1352" t="s">
        <v>34</v>
      </c>
      <c r="S1352" t="s">
        <v>34</v>
      </c>
      <c r="T1352" s="117">
        <v>0</v>
      </c>
    </row>
    <row r="1353" spans="1:20" x14ac:dyDescent="0.35">
      <c r="A1353" t="s">
        <v>20</v>
      </c>
      <c r="B1353" t="s">
        <v>25</v>
      </c>
      <c r="C1353" s="1">
        <v>45502</v>
      </c>
      <c r="D1353">
        <f t="shared" si="92"/>
        <v>29</v>
      </c>
      <c r="E1353">
        <f t="shared" si="93"/>
        <v>7</v>
      </c>
      <c r="F1353">
        <f t="shared" si="94"/>
        <v>2024</v>
      </c>
      <c r="G1353" t="s">
        <v>97</v>
      </c>
      <c r="H1353" s="98">
        <v>10844</v>
      </c>
      <c r="I1353" s="29">
        <v>20996.75</v>
      </c>
      <c r="J1353" s="12" t="s">
        <v>31</v>
      </c>
      <c r="K1353" s="76">
        <f t="shared" si="95"/>
        <v>20996.75</v>
      </c>
      <c r="L1353">
        <v>1</v>
      </c>
      <c r="M1353" s="29">
        <v>652.87</v>
      </c>
      <c r="N1353" t="s">
        <v>32</v>
      </c>
      <c r="O1353" t="s">
        <v>33</v>
      </c>
      <c r="P1353" t="s">
        <v>34</v>
      </c>
      <c r="Q1353" t="s">
        <v>34</v>
      </c>
      <c r="R1353" t="s">
        <v>34</v>
      </c>
      <c r="S1353" t="s">
        <v>34</v>
      </c>
      <c r="T1353" s="117">
        <v>0</v>
      </c>
    </row>
    <row r="1354" spans="1:20" x14ac:dyDescent="0.35">
      <c r="A1354" t="s">
        <v>20</v>
      </c>
      <c r="B1354" t="s">
        <v>21</v>
      </c>
      <c r="C1354" s="1">
        <v>45502</v>
      </c>
      <c r="D1354">
        <f t="shared" si="92"/>
        <v>29</v>
      </c>
      <c r="E1354">
        <f t="shared" si="93"/>
        <v>7</v>
      </c>
      <c r="F1354">
        <f t="shared" si="94"/>
        <v>2024</v>
      </c>
      <c r="G1354" t="s">
        <v>97</v>
      </c>
      <c r="H1354" s="98">
        <v>10844</v>
      </c>
      <c r="I1354" s="29">
        <v>17383.759999999998</v>
      </c>
      <c r="J1354" s="12" t="s">
        <v>31</v>
      </c>
      <c r="K1354" s="76">
        <f t="shared" si="95"/>
        <v>17383.759999999998</v>
      </c>
      <c r="L1354">
        <v>1</v>
      </c>
      <c r="M1354" s="29">
        <v>534.16</v>
      </c>
      <c r="N1354" t="s">
        <v>32</v>
      </c>
      <c r="O1354" t="s">
        <v>33</v>
      </c>
      <c r="P1354" t="s">
        <v>34</v>
      </c>
      <c r="Q1354" t="s">
        <v>34</v>
      </c>
      <c r="R1354" t="s">
        <v>34</v>
      </c>
      <c r="S1354" t="s">
        <v>34</v>
      </c>
      <c r="T1354" s="117">
        <v>0</v>
      </c>
    </row>
    <row r="1355" spans="1:20" x14ac:dyDescent="0.35">
      <c r="A1355" t="s">
        <v>19</v>
      </c>
      <c r="B1355" t="s">
        <v>19</v>
      </c>
      <c r="C1355" s="1">
        <v>45502</v>
      </c>
      <c r="D1355">
        <f t="shared" si="92"/>
        <v>29</v>
      </c>
      <c r="E1355">
        <f t="shared" si="93"/>
        <v>7</v>
      </c>
      <c r="F1355">
        <f t="shared" si="94"/>
        <v>2024</v>
      </c>
      <c r="G1355" t="s">
        <v>124</v>
      </c>
      <c r="H1355" s="98" t="s">
        <v>431</v>
      </c>
      <c r="I1355" s="29">
        <v>133886.15</v>
      </c>
      <c r="J1355" s="12" t="s">
        <v>31</v>
      </c>
      <c r="K1355" s="76">
        <f t="shared" si="95"/>
        <v>133886.15</v>
      </c>
      <c r="L1355">
        <v>1</v>
      </c>
      <c r="M1355" s="29">
        <v>0</v>
      </c>
      <c r="N1355" t="s">
        <v>32</v>
      </c>
      <c r="O1355" t="s">
        <v>33</v>
      </c>
      <c r="P1355" t="s">
        <v>34</v>
      </c>
      <c r="Q1355" t="s">
        <v>34</v>
      </c>
      <c r="R1355" t="s">
        <v>34</v>
      </c>
      <c r="S1355" t="s">
        <v>34</v>
      </c>
      <c r="T1355" s="117">
        <v>0</v>
      </c>
    </row>
    <row r="1356" spans="1:20" x14ac:dyDescent="0.35">
      <c r="A1356" t="s">
        <v>19</v>
      </c>
      <c r="B1356" t="s">
        <v>21</v>
      </c>
      <c r="C1356" s="1">
        <v>45505</v>
      </c>
      <c r="D1356">
        <f t="shared" si="92"/>
        <v>1</v>
      </c>
      <c r="E1356">
        <f t="shared" si="93"/>
        <v>8</v>
      </c>
      <c r="F1356">
        <f t="shared" si="94"/>
        <v>2024</v>
      </c>
      <c r="G1356" t="s">
        <v>28</v>
      </c>
      <c r="H1356" s="98">
        <v>10022</v>
      </c>
      <c r="I1356" s="29">
        <v>66.400000000000006</v>
      </c>
      <c r="J1356" s="12" t="s">
        <v>31</v>
      </c>
      <c r="K1356" s="76">
        <f t="shared" si="95"/>
        <v>66.400000000000006</v>
      </c>
      <c r="L1356">
        <v>1</v>
      </c>
      <c r="M1356" s="29">
        <v>0</v>
      </c>
      <c r="N1356" t="s">
        <v>32</v>
      </c>
      <c r="O1356" t="s">
        <v>33</v>
      </c>
      <c r="P1356" t="s">
        <v>34</v>
      </c>
      <c r="Q1356" t="s">
        <v>34</v>
      </c>
      <c r="R1356" t="s">
        <v>34</v>
      </c>
      <c r="S1356" t="s">
        <v>34</v>
      </c>
      <c r="T1356" s="117">
        <v>0</v>
      </c>
    </row>
    <row r="1357" spans="1:20" x14ac:dyDescent="0.35">
      <c r="A1357" t="s">
        <v>19</v>
      </c>
      <c r="B1357" t="s">
        <v>23</v>
      </c>
      <c r="C1357" s="1">
        <v>45505</v>
      </c>
      <c r="D1357">
        <f t="shared" si="92"/>
        <v>1</v>
      </c>
      <c r="E1357">
        <f t="shared" si="93"/>
        <v>8</v>
      </c>
      <c r="F1357">
        <f t="shared" si="94"/>
        <v>2024</v>
      </c>
      <c r="G1357" t="s">
        <v>28</v>
      </c>
      <c r="H1357" s="98">
        <v>10382</v>
      </c>
      <c r="I1357" s="29">
        <v>58</v>
      </c>
      <c r="J1357" s="12" t="s">
        <v>31</v>
      </c>
      <c r="K1357" s="76">
        <f t="shared" si="95"/>
        <v>58</v>
      </c>
      <c r="L1357">
        <v>1</v>
      </c>
      <c r="M1357" s="29">
        <v>0</v>
      </c>
      <c r="N1357" t="s">
        <v>32</v>
      </c>
      <c r="O1357" t="s">
        <v>33</v>
      </c>
      <c r="P1357" t="s">
        <v>34</v>
      </c>
      <c r="Q1357" t="s">
        <v>34</v>
      </c>
      <c r="R1357" t="s">
        <v>34</v>
      </c>
      <c r="S1357" t="s">
        <v>34</v>
      </c>
      <c r="T1357" s="117">
        <v>0</v>
      </c>
    </row>
    <row r="1358" spans="1:20" x14ac:dyDescent="0.35">
      <c r="A1358" t="s">
        <v>19</v>
      </c>
      <c r="B1358" t="s">
        <v>21</v>
      </c>
      <c r="C1358" s="1">
        <v>45505</v>
      </c>
      <c r="D1358">
        <f t="shared" si="92"/>
        <v>1</v>
      </c>
      <c r="E1358">
        <f t="shared" si="93"/>
        <v>8</v>
      </c>
      <c r="F1358">
        <f t="shared" si="94"/>
        <v>2024</v>
      </c>
      <c r="G1358" t="s">
        <v>28</v>
      </c>
      <c r="H1358" s="98">
        <v>10021</v>
      </c>
      <c r="I1358" s="29">
        <v>11072.2</v>
      </c>
      <c r="J1358" s="12" t="s">
        <v>31</v>
      </c>
      <c r="K1358" s="76">
        <f t="shared" si="95"/>
        <v>11072.2</v>
      </c>
      <c r="L1358">
        <v>1</v>
      </c>
      <c r="M1358" s="29">
        <v>0</v>
      </c>
      <c r="N1358" t="s">
        <v>32</v>
      </c>
      <c r="O1358" t="s">
        <v>33</v>
      </c>
      <c r="P1358" t="s">
        <v>34</v>
      </c>
      <c r="Q1358" t="s">
        <v>34</v>
      </c>
      <c r="R1358" t="s">
        <v>34</v>
      </c>
      <c r="S1358" t="s">
        <v>34</v>
      </c>
      <c r="T1358" s="117">
        <v>0</v>
      </c>
    </row>
    <row r="1359" spans="1:20" x14ac:dyDescent="0.35">
      <c r="A1359" t="s">
        <v>19</v>
      </c>
      <c r="B1359" t="s">
        <v>23</v>
      </c>
      <c r="C1359" s="1">
        <v>45505</v>
      </c>
      <c r="D1359">
        <f t="shared" si="92"/>
        <v>1</v>
      </c>
      <c r="E1359">
        <f t="shared" si="93"/>
        <v>8</v>
      </c>
      <c r="F1359">
        <f t="shared" si="94"/>
        <v>2024</v>
      </c>
      <c r="G1359" t="s">
        <v>74</v>
      </c>
      <c r="H1359" s="98">
        <v>10457</v>
      </c>
      <c r="I1359" s="29">
        <v>40766.379999999997</v>
      </c>
      <c r="J1359" s="12" t="s">
        <v>31</v>
      </c>
      <c r="K1359" s="76">
        <f t="shared" si="95"/>
        <v>40766.379999999997</v>
      </c>
      <c r="L1359">
        <v>1</v>
      </c>
      <c r="M1359" s="29">
        <v>0</v>
      </c>
      <c r="N1359" t="s">
        <v>32</v>
      </c>
      <c r="O1359" t="s">
        <v>33</v>
      </c>
      <c r="P1359" t="s">
        <v>34</v>
      </c>
      <c r="Q1359" t="s">
        <v>34</v>
      </c>
      <c r="R1359" t="s">
        <v>34</v>
      </c>
      <c r="S1359" t="s">
        <v>34</v>
      </c>
      <c r="T1359" s="117">
        <v>0</v>
      </c>
    </row>
    <row r="1360" spans="1:20" x14ac:dyDescent="0.35">
      <c r="A1360" t="s">
        <v>19</v>
      </c>
      <c r="B1360" t="s">
        <v>23</v>
      </c>
      <c r="C1360" s="1">
        <v>45505</v>
      </c>
      <c r="D1360">
        <f t="shared" si="92"/>
        <v>1</v>
      </c>
      <c r="E1360">
        <f t="shared" si="93"/>
        <v>8</v>
      </c>
      <c r="F1360">
        <f t="shared" si="94"/>
        <v>2024</v>
      </c>
      <c r="G1360" t="s">
        <v>39</v>
      </c>
      <c r="H1360" s="98">
        <v>10336</v>
      </c>
      <c r="I1360" s="29">
        <v>10737.9</v>
      </c>
      <c r="J1360" s="12" t="s">
        <v>31</v>
      </c>
      <c r="K1360" s="76">
        <f t="shared" si="95"/>
        <v>10737.9</v>
      </c>
      <c r="L1360">
        <v>1</v>
      </c>
      <c r="M1360" s="29">
        <v>0</v>
      </c>
      <c r="N1360" t="s">
        <v>32</v>
      </c>
      <c r="O1360" t="s">
        <v>33</v>
      </c>
      <c r="P1360" t="s">
        <v>34</v>
      </c>
      <c r="Q1360" t="s">
        <v>34</v>
      </c>
      <c r="R1360" t="s">
        <v>34</v>
      </c>
      <c r="S1360" t="s">
        <v>34</v>
      </c>
      <c r="T1360" s="117">
        <v>0</v>
      </c>
    </row>
    <row r="1361" spans="1:20" x14ac:dyDescent="0.35">
      <c r="A1361" t="s">
        <v>19</v>
      </c>
      <c r="B1361" t="s">
        <v>21</v>
      </c>
      <c r="C1361" s="1">
        <v>45505</v>
      </c>
      <c r="D1361">
        <f t="shared" si="92"/>
        <v>1</v>
      </c>
      <c r="E1361">
        <f t="shared" si="93"/>
        <v>8</v>
      </c>
      <c r="F1361">
        <f t="shared" si="94"/>
        <v>2024</v>
      </c>
      <c r="G1361" t="s">
        <v>39</v>
      </c>
      <c r="H1361" s="98">
        <v>10536</v>
      </c>
      <c r="I1361" s="29">
        <v>39.200000000000003</v>
      </c>
      <c r="J1361" s="12" t="s">
        <v>31</v>
      </c>
      <c r="K1361" s="76">
        <f t="shared" si="95"/>
        <v>39.200000000000003</v>
      </c>
      <c r="L1361">
        <v>1</v>
      </c>
      <c r="M1361" s="29">
        <v>0</v>
      </c>
      <c r="N1361" t="s">
        <v>32</v>
      </c>
      <c r="O1361" t="s">
        <v>33</v>
      </c>
      <c r="P1361" t="s">
        <v>34</v>
      </c>
      <c r="Q1361" t="s">
        <v>34</v>
      </c>
      <c r="R1361" t="s">
        <v>34</v>
      </c>
      <c r="S1361" t="s">
        <v>34</v>
      </c>
      <c r="T1361" s="117">
        <v>0</v>
      </c>
    </row>
    <row r="1362" spans="1:20" x14ac:dyDescent="0.35">
      <c r="A1362" t="s">
        <v>19</v>
      </c>
      <c r="B1362" t="s">
        <v>25</v>
      </c>
      <c r="C1362" s="1">
        <v>45505</v>
      </c>
      <c r="D1362">
        <f t="shared" si="92"/>
        <v>1</v>
      </c>
      <c r="E1362">
        <f t="shared" si="93"/>
        <v>8</v>
      </c>
      <c r="F1362">
        <f t="shared" si="94"/>
        <v>2024</v>
      </c>
      <c r="G1362" t="s">
        <v>39</v>
      </c>
      <c r="H1362" s="98">
        <v>10549</v>
      </c>
      <c r="I1362" s="29">
        <v>169.41</v>
      </c>
      <c r="J1362" s="12" t="s">
        <v>31</v>
      </c>
      <c r="K1362" s="76">
        <f t="shared" si="95"/>
        <v>169.41</v>
      </c>
      <c r="L1362">
        <v>1</v>
      </c>
      <c r="M1362" s="29">
        <v>0</v>
      </c>
      <c r="N1362" t="s">
        <v>32</v>
      </c>
      <c r="O1362" t="s">
        <v>33</v>
      </c>
      <c r="P1362" t="s">
        <v>34</v>
      </c>
      <c r="Q1362" t="s">
        <v>34</v>
      </c>
      <c r="R1362" t="s">
        <v>34</v>
      </c>
      <c r="S1362" t="s">
        <v>34</v>
      </c>
      <c r="T1362" s="117">
        <v>0</v>
      </c>
    </row>
    <row r="1363" spans="1:20" x14ac:dyDescent="0.35">
      <c r="A1363" t="s">
        <v>19</v>
      </c>
      <c r="B1363" t="s">
        <v>21</v>
      </c>
      <c r="C1363" s="1">
        <v>45505</v>
      </c>
      <c r="D1363">
        <f t="shared" si="92"/>
        <v>1</v>
      </c>
      <c r="E1363">
        <f t="shared" si="93"/>
        <v>8</v>
      </c>
      <c r="F1363">
        <f t="shared" si="94"/>
        <v>2024</v>
      </c>
      <c r="G1363" t="s">
        <v>39</v>
      </c>
      <c r="H1363" s="98">
        <v>10598</v>
      </c>
      <c r="I1363" s="29">
        <v>35.6</v>
      </c>
      <c r="J1363" s="12" t="s">
        <v>31</v>
      </c>
      <c r="K1363" s="76">
        <f t="shared" si="95"/>
        <v>35.6</v>
      </c>
      <c r="L1363">
        <v>1</v>
      </c>
      <c r="M1363" s="29">
        <v>0</v>
      </c>
      <c r="N1363" t="s">
        <v>32</v>
      </c>
      <c r="O1363" t="s">
        <v>33</v>
      </c>
      <c r="P1363" t="s">
        <v>34</v>
      </c>
      <c r="Q1363" t="s">
        <v>34</v>
      </c>
      <c r="R1363" t="s">
        <v>34</v>
      </c>
      <c r="S1363" t="s">
        <v>34</v>
      </c>
      <c r="T1363" s="117">
        <v>0</v>
      </c>
    </row>
    <row r="1364" spans="1:20" x14ac:dyDescent="0.35">
      <c r="A1364" t="s">
        <v>19</v>
      </c>
      <c r="B1364" t="s">
        <v>21</v>
      </c>
      <c r="C1364" s="1">
        <v>45505</v>
      </c>
      <c r="D1364">
        <f t="shared" si="92"/>
        <v>1</v>
      </c>
      <c r="E1364">
        <f t="shared" si="93"/>
        <v>8</v>
      </c>
      <c r="F1364">
        <f t="shared" si="94"/>
        <v>2024</v>
      </c>
      <c r="G1364" t="s">
        <v>39</v>
      </c>
      <c r="H1364" s="98">
        <v>10599</v>
      </c>
      <c r="I1364" s="29">
        <v>7039.9</v>
      </c>
      <c r="J1364" s="12" t="s">
        <v>31</v>
      </c>
      <c r="K1364" s="76">
        <f t="shared" si="95"/>
        <v>7039.9</v>
      </c>
      <c r="L1364">
        <v>1</v>
      </c>
      <c r="M1364" s="29">
        <v>0</v>
      </c>
      <c r="N1364" t="s">
        <v>32</v>
      </c>
      <c r="O1364" t="s">
        <v>33</v>
      </c>
      <c r="P1364" t="s">
        <v>34</v>
      </c>
      <c r="Q1364" t="s">
        <v>34</v>
      </c>
      <c r="R1364" t="s">
        <v>34</v>
      </c>
      <c r="S1364" t="s">
        <v>34</v>
      </c>
      <c r="T1364" s="117">
        <v>0</v>
      </c>
    </row>
    <row r="1365" spans="1:20" x14ac:dyDescent="0.35">
      <c r="A1365" t="s">
        <v>19</v>
      </c>
      <c r="B1365" t="s">
        <v>27</v>
      </c>
      <c r="C1365" s="1">
        <v>45505</v>
      </c>
      <c r="D1365">
        <f t="shared" si="92"/>
        <v>1</v>
      </c>
      <c r="E1365">
        <f t="shared" si="93"/>
        <v>8</v>
      </c>
      <c r="F1365">
        <f t="shared" si="94"/>
        <v>2024</v>
      </c>
      <c r="G1365" t="s">
        <v>100</v>
      </c>
      <c r="H1365" s="98">
        <v>10590</v>
      </c>
      <c r="I1365" s="29">
        <v>31094.53</v>
      </c>
      <c r="J1365" s="12" t="s">
        <v>31</v>
      </c>
      <c r="K1365" s="76">
        <f t="shared" si="95"/>
        <v>31094.53</v>
      </c>
      <c r="L1365">
        <v>1</v>
      </c>
      <c r="M1365" s="29">
        <v>0</v>
      </c>
      <c r="N1365" t="s">
        <v>32</v>
      </c>
      <c r="O1365" t="s">
        <v>33</v>
      </c>
      <c r="P1365" t="s">
        <v>34</v>
      </c>
      <c r="Q1365" t="s">
        <v>34</v>
      </c>
      <c r="R1365" t="s">
        <v>34</v>
      </c>
      <c r="S1365" t="s">
        <v>34</v>
      </c>
      <c r="T1365" s="117">
        <v>0</v>
      </c>
    </row>
    <row r="1366" spans="1:20" x14ac:dyDescent="0.35">
      <c r="A1366" t="s">
        <v>19</v>
      </c>
      <c r="B1366" t="s">
        <v>27</v>
      </c>
      <c r="C1366" s="1">
        <v>45505</v>
      </c>
      <c r="D1366">
        <f t="shared" si="92"/>
        <v>1</v>
      </c>
      <c r="E1366">
        <f t="shared" si="93"/>
        <v>8</v>
      </c>
      <c r="F1366">
        <f t="shared" si="94"/>
        <v>2024</v>
      </c>
      <c r="G1366" t="s">
        <v>100</v>
      </c>
      <c r="H1366" s="98">
        <v>10670</v>
      </c>
      <c r="I1366" s="29">
        <v>70271.34</v>
      </c>
      <c r="J1366" s="12" t="s">
        <v>31</v>
      </c>
      <c r="K1366" s="76">
        <f t="shared" si="95"/>
        <v>70271.34</v>
      </c>
      <c r="L1366">
        <v>1</v>
      </c>
      <c r="M1366" s="29">
        <v>0</v>
      </c>
      <c r="N1366" t="s">
        <v>32</v>
      </c>
      <c r="O1366" t="s">
        <v>33</v>
      </c>
      <c r="P1366" t="s">
        <v>34</v>
      </c>
      <c r="Q1366" t="s">
        <v>34</v>
      </c>
      <c r="R1366" t="s">
        <v>34</v>
      </c>
      <c r="S1366" t="s">
        <v>34</v>
      </c>
      <c r="T1366" s="117">
        <v>0</v>
      </c>
    </row>
    <row r="1367" spans="1:20" x14ac:dyDescent="0.35">
      <c r="A1367" t="s">
        <v>20</v>
      </c>
      <c r="B1367" t="s">
        <v>23</v>
      </c>
      <c r="C1367" s="1">
        <v>45505</v>
      </c>
      <c r="D1367">
        <f t="shared" si="92"/>
        <v>1</v>
      </c>
      <c r="E1367">
        <f t="shared" si="93"/>
        <v>8</v>
      </c>
      <c r="F1367">
        <f t="shared" si="94"/>
        <v>2024</v>
      </c>
      <c r="G1367" t="s">
        <v>53</v>
      </c>
      <c r="H1367" s="171">
        <v>10515</v>
      </c>
      <c r="I1367" s="29">
        <v>36931.32</v>
      </c>
      <c r="J1367" s="12" t="s">
        <v>31</v>
      </c>
      <c r="K1367" s="76">
        <f t="shared" si="95"/>
        <v>36931.32</v>
      </c>
      <c r="L1367">
        <v>1</v>
      </c>
      <c r="M1367" s="29">
        <v>0</v>
      </c>
      <c r="N1367" t="s">
        <v>32</v>
      </c>
      <c r="O1367" t="s">
        <v>33</v>
      </c>
      <c r="P1367" t="s">
        <v>34</v>
      </c>
      <c r="Q1367" t="s">
        <v>34</v>
      </c>
      <c r="R1367" t="s">
        <v>34</v>
      </c>
      <c r="S1367" t="s">
        <v>34</v>
      </c>
      <c r="T1367" s="117">
        <v>0</v>
      </c>
    </row>
    <row r="1368" spans="1:20" x14ac:dyDescent="0.35">
      <c r="A1368" t="s">
        <v>20</v>
      </c>
      <c r="B1368" t="s">
        <v>21</v>
      </c>
      <c r="C1368" s="1">
        <v>45505</v>
      </c>
      <c r="D1368">
        <f t="shared" si="92"/>
        <v>1</v>
      </c>
      <c r="E1368">
        <f t="shared" si="93"/>
        <v>8</v>
      </c>
      <c r="F1368">
        <f t="shared" si="94"/>
        <v>2024</v>
      </c>
      <c r="G1368" t="s">
        <v>104</v>
      </c>
      <c r="H1368" s="98">
        <v>10584</v>
      </c>
      <c r="I1368" s="29">
        <v>10582</v>
      </c>
      <c r="J1368" s="12" t="s">
        <v>31</v>
      </c>
      <c r="K1368" s="76">
        <f t="shared" si="95"/>
        <v>10582</v>
      </c>
      <c r="L1368">
        <v>1</v>
      </c>
      <c r="M1368" s="29">
        <v>0</v>
      </c>
      <c r="N1368" t="s">
        <v>32</v>
      </c>
      <c r="O1368" t="s">
        <v>33</v>
      </c>
      <c r="P1368" t="s">
        <v>34</v>
      </c>
      <c r="Q1368" t="s">
        <v>34</v>
      </c>
      <c r="R1368" t="s">
        <v>34</v>
      </c>
      <c r="S1368" t="s">
        <v>34</v>
      </c>
      <c r="T1368" s="117">
        <v>0</v>
      </c>
    </row>
    <row r="1369" spans="1:20" x14ac:dyDescent="0.35">
      <c r="A1369" t="s">
        <v>20</v>
      </c>
      <c r="B1369" t="s">
        <v>24</v>
      </c>
      <c r="C1369" s="1">
        <v>45505</v>
      </c>
      <c r="D1369">
        <f t="shared" si="92"/>
        <v>1</v>
      </c>
      <c r="E1369">
        <f t="shared" si="93"/>
        <v>8</v>
      </c>
      <c r="F1369">
        <f t="shared" si="94"/>
        <v>2024</v>
      </c>
      <c r="G1369" t="s">
        <v>46</v>
      </c>
      <c r="H1369" s="98">
        <v>10640</v>
      </c>
      <c r="I1369" s="29">
        <v>16333.95</v>
      </c>
      <c r="J1369" s="12" t="s">
        <v>31</v>
      </c>
      <c r="K1369" s="76">
        <f t="shared" si="95"/>
        <v>16333.95</v>
      </c>
      <c r="L1369">
        <v>1</v>
      </c>
      <c r="M1369" s="29">
        <v>0</v>
      </c>
      <c r="N1369" t="s">
        <v>32</v>
      </c>
      <c r="O1369" t="s">
        <v>33</v>
      </c>
      <c r="P1369" t="s">
        <v>34</v>
      </c>
      <c r="Q1369" t="s">
        <v>34</v>
      </c>
      <c r="R1369" t="s">
        <v>34</v>
      </c>
      <c r="S1369" t="s">
        <v>34</v>
      </c>
      <c r="T1369" s="117">
        <v>0</v>
      </c>
    </row>
    <row r="1370" spans="1:20" x14ac:dyDescent="0.35">
      <c r="A1370" t="s">
        <v>20</v>
      </c>
      <c r="B1370" t="s">
        <v>23</v>
      </c>
      <c r="C1370" s="1">
        <v>45505</v>
      </c>
      <c r="D1370">
        <f t="shared" si="92"/>
        <v>1</v>
      </c>
      <c r="E1370">
        <f t="shared" si="93"/>
        <v>8</v>
      </c>
      <c r="F1370">
        <f t="shared" si="94"/>
        <v>2024</v>
      </c>
      <c r="G1370" t="s">
        <v>46</v>
      </c>
      <c r="H1370" s="98">
        <v>10640</v>
      </c>
      <c r="I1370" s="29">
        <v>2588.88</v>
      </c>
      <c r="J1370" s="12" t="s">
        <v>31</v>
      </c>
      <c r="K1370" s="76">
        <f t="shared" si="95"/>
        <v>2588.88</v>
      </c>
      <c r="L1370">
        <v>1</v>
      </c>
      <c r="M1370" s="29">
        <v>0</v>
      </c>
      <c r="N1370" t="s">
        <v>32</v>
      </c>
      <c r="O1370" t="s">
        <v>33</v>
      </c>
      <c r="P1370" t="s">
        <v>34</v>
      </c>
      <c r="Q1370" t="s">
        <v>34</v>
      </c>
      <c r="R1370" t="s">
        <v>34</v>
      </c>
      <c r="S1370" t="s">
        <v>34</v>
      </c>
      <c r="T1370" s="117">
        <v>0</v>
      </c>
    </row>
    <row r="1371" spans="1:20" x14ac:dyDescent="0.35">
      <c r="A1371" t="s">
        <v>20</v>
      </c>
      <c r="B1371" t="s">
        <v>21</v>
      </c>
      <c r="C1371" s="1">
        <v>45505</v>
      </c>
      <c r="D1371">
        <f t="shared" si="92"/>
        <v>1</v>
      </c>
      <c r="E1371">
        <f t="shared" si="93"/>
        <v>8</v>
      </c>
      <c r="F1371">
        <f t="shared" si="94"/>
        <v>2024</v>
      </c>
      <c r="G1371" t="s">
        <v>46</v>
      </c>
      <c r="H1371" s="98">
        <v>10797</v>
      </c>
      <c r="I1371" s="29">
        <v>7649.87</v>
      </c>
      <c r="J1371" s="12" t="s">
        <v>31</v>
      </c>
      <c r="K1371" s="76">
        <f t="shared" si="95"/>
        <v>7649.87</v>
      </c>
      <c r="L1371">
        <v>1</v>
      </c>
      <c r="M1371" s="29">
        <v>0</v>
      </c>
      <c r="N1371" t="s">
        <v>32</v>
      </c>
      <c r="O1371" t="s">
        <v>33</v>
      </c>
      <c r="P1371" t="s">
        <v>34</v>
      </c>
      <c r="Q1371" t="s">
        <v>34</v>
      </c>
      <c r="R1371" t="s">
        <v>34</v>
      </c>
      <c r="S1371" t="s">
        <v>34</v>
      </c>
      <c r="T1371" s="117">
        <v>0</v>
      </c>
    </row>
    <row r="1372" spans="1:20" x14ac:dyDescent="0.35">
      <c r="A1372" t="s">
        <v>20</v>
      </c>
      <c r="B1372" t="s">
        <v>25</v>
      </c>
      <c r="C1372" s="1">
        <v>45505</v>
      </c>
      <c r="D1372">
        <f t="shared" si="92"/>
        <v>1</v>
      </c>
      <c r="E1372">
        <f t="shared" si="93"/>
        <v>8</v>
      </c>
      <c r="F1372">
        <f t="shared" si="94"/>
        <v>2024</v>
      </c>
      <c r="G1372" t="s">
        <v>50</v>
      </c>
      <c r="H1372" s="98">
        <v>10859</v>
      </c>
      <c r="I1372" s="29">
        <v>897</v>
      </c>
      <c r="J1372" s="12" t="s">
        <v>31</v>
      </c>
      <c r="K1372" s="76">
        <f t="shared" si="95"/>
        <v>897</v>
      </c>
      <c r="L1372">
        <v>1</v>
      </c>
      <c r="M1372" s="29">
        <v>0</v>
      </c>
      <c r="N1372" t="s">
        <v>42</v>
      </c>
      <c r="O1372" t="s">
        <v>33</v>
      </c>
      <c r="P1372" t="s">
        <v>34</v>
      </c>
      <c r="Q1372" t="s">
        <v>34</v>
      </c>
      <c r="R1372" t="s">
        <v>34</v>
      </c>
      <c r="S1372" t="s">
        <v>34</v>
      </c>
      <c r="T1372" s="117">
        <v>0</v>
      </c>
    </row>
    <row r="1373" spans="1:20" x14ac:dyDescent="0.35">
      <c r="A1373" t="s">
        <v>20</v>
      </c>
      <c r="B1373" t="s">
        <v>24</v>
      </c>
      <c r="C1373" s="1">
        <v>45505</v>
      </c>
      <c r="D1373">
        <f t="shared" si="92"/>
        <v>1</v>
      </c>
      <c r="E1373">
        <f t="shared" si="93"/>
        <v>8</v>
      </c>
      <c r="F1373">
        <f t="shared" si="94"/>
        <v>2024</v>
      </c>
      <c r="G1373" t="s">
        <v>43</v>
      </c>
      <c r="H1373" s="98">
        <v>10695</v>
      </c>
      <c r="I1373" s="29">
        <v>731</v>
      </c>
      <c r="J1373" s="12" t="s">
        <v>31</v>
      </c>
      <c r="K1373" s="76">
        <f t="shared" si="95"/>
        <v>731</v>
      </c>
      <c r="L1373">
        <v>1</v>
      </c>
      <c r="M1373" s="29">
        <v>0</v>
      </c>
      <c r="N1373" t="s">
        <v>32</v>
      </c>
      <c r="O1373" t="s">
        <v>33</v>
      </c>
      <c r="P1373" t="s">
        <v>34</v>
      </c>
      <c r="Q1373" t="s">
        <v>34</v>
      </c>
      <c r="R1373" t="s">
        <v>34</v>
      </c>
      <c r="S1373" t="s">
        <v>34</v>
      </c>
      <c r="T1373" s="117">
        <v>0</v>
      </c>
    </row>
    <row r="1374" spans="1:20" x14ac:dyDescent="0.35">
      <c r="A1374" t="s">
        <v>20</v>
      </c>
      <c r="B1374" t="s">
        <v>25</v>
      </c>
      <c r="C1374" s="1">
        <v>45505</v>
      </c>
      <c r="D1374">
        <f t="shared" si="92"/>
        <v>1</v>
      </c>
      <c r="E1374">
        <f t="shared" si="93"/>
        <v>8</v>
      </c>
      <c r="F1374">
        <f t="shared" si="94"/>
        <v>2024</v>
      </c>
      <c r="G1374" t="s">
        <v>43</v>
      </c>
      <c r="H1374" s="98">
        <v>10695</v>
      </c>
      <c r="I1374" s="29">
        <v>887.2</v>
      </c>
      <c r="J1374" s="12" t="s">
        <v>31</v>
      </c>
      <c r="K1374" s="76">
        <f t="shared" si="95"/>
        <v>887.2</v>
      </c>
      <c r="L1374">
        <v>1</v>
      </c>
      <c r="M1374" s="29">
        <v>0</v>
      </c>
      <c r="N1374" t="s">
        <v>32</v>
      </c>
      <c r="O1374" t="s">
        <v>33</v>
      </c>
      <c r="P1374" t="s">
        <v>34</v>
      </c>
      <c r="Q1374" t="s">
        <v>34</v>
      </c>
      <c r="R1374" t="s">
        <v>34</v>
      </c>
      <c r="S1374" t="s">
        <v>34</v>
      </c>
      <c r="T1374" s="117">
        <v>0</v>
      </c>
    </row>
    <row r="1375" spans="1:20" x14ac:dyDescent="0.35">
      <c r="A1375" t="s">
        <v>20</v>
      </c>
      <c r="B1375" t="s">
        <v>21</v>
      </c>
      <c r="C1375" s="1">
        <v>45505</v>
      </c>
      <c r="D1375">
        <f t="shared" si="92"/>
        <v>1</v>
      </c>
      <c r="E1375">
        <f t="shared" si="93"/>
        <v>8</v>
      </c>
      <c r="F1375">
        <f t="shared" si="94"/>
        <v>2024</v>
      </c>
      <c r="G1375" t="s">
        <v>435</v>
      </c>
      <c r="H1375" s="98">
        <v>10780</v>
      </c>
      <c r="I1375" s="29">
        <v>38</v>
      </c>
      <c r="J1375" s="12" t="s">
        <v>31</v>
      </c>
      <c r="K1375" s="76">
        <f t="shared" si="95"/>
        <v>38</v>
      </c>
      <c r="L1375">
        <v>1</v>
      </c>
      <c r="M1375" s="29">
        <v>0</v>
      </c>
      <c r="N1375" t="s">
        <v>32</v>
      </c>
      <c r="O1375" t="s">
        <v>33</v>
      </c>
      <c r="P1375" t="s">
        <v>34</v>
      </c>
      <c r="Q1375" t="s">
        <v>34</v>
      </c>
      <c r="R1375" t="s">
        <v>34</v>
      </c>
      <c r="S1375" t="s">
        <v>34</v>
      </c>
      <c r="T1375" s="117">
        <v>0</v>
      </c>
    </row>
    <row r="1376" spans="1:20" x14ac:dyDescent="0.35">
      <c r="A1376" t="s">
        <v>20</v>
      </c>
      <c r="B1376" t="s">
        <v>21</v>
      </c>
      <c r="C1376" s="1">
        <v>45505</v>
      </c>
      <c r="D1376">
        <f t="shared" si="92"/>
        <v>1</v>
      </c>
      <c r="E1376">
        <f t="shared" si="93"/>
        <v>8</v>
      </c>
      <c r="F1376">
        <f t="shared" si="94"/>
        <v>2024</v>
      </c>
      <c r="G1376" t="s">
        <v>435</v>
      </c>
      <c r="H1376" s="98">
        <v>10781</v>
      </c>
      <c r="I1376" s="29">
        <v>5691.07</v>
      </c>
      <c r="J1376" s="12" t="s">
        <v>31</v>
      </c>
      <c r="K1376" s="76">
        <f t="shared" si="95"/>
        <v>5691.07</v>
      </c>
      <c r="L1376">
        <v>1</v>
      </c>
      <c r="M1376" s="29">
        <v>0</v>
      </c>
      <c r="N1376" t="s">
        <v>42</v>
      </c>
      <c r="O1376" t="s">
        <v>33</v>
      </c>
      <c r="P1376" t="s">
        <v>34</v>
      </c>
      <c r="Q1376" t="s">
        <v>34</v>
      </c>
      <c r="R1376" t="s">
        <v>34</v>
      </c>
      <c r="S1376" t="s">
        <v>34</v>
      </c>
      <c r="T1376" s="117">
        <v>0</v>
      </c>
    </row>
    <row r="1377" spans="1:21" x14ac:dyDescent="0.35">
      <c r="A1377" t="s">
        <v>20</v>
      </c>
      <c r="B1377" t="s">
        <v>21</v>
      </c>
      <c r="C1377" s="1">
        <v>45505</v>
      </c>
      <c r="D1377">
        <f t="shared" si="92"/>
        <v>1</v>
      </c>
      <c r="E1377">
        <f t="shared" si="93"/>
        <v>8</v>
      </c>
      <c r="F1377">
        <f t="shared" si="94"/>
        <v>2024</v>
      </c>
      <c r="G1377" t="s">
        <v>118</v>
      </c>
      <c r="H1377" s="98">
        <v>10953</v>
      </c>
      <c r="I1377" s="29">
        <v>45</v>
      </c>
      <c r="J1377" s="12" t="s">
        <v>31</v>
      </c>
      <c r="K1377" s="76">
        <f t="shared" si="95"/>
        <v>45</v>
      </c>
      <c r="L1377">
        <v>1</v>
      </c>
      <c r="M1377" s="29">
        <v>0</v>
      </c>
      <c r="N1377" t="s">
        <v>42</v>
      </c>
      <c r="O1377" t="s">
        <v>33</v>
      </c>
      <c r="P1377" t="s">
        <v>34</v>
      </c>
      <c r="Q1377" t="s">
        <v>34</v>
      </c>
      <c r="R1377" t="s">
        <v>34</v>
      </c>
      <c r="S1377" t="s">
        <v>34</v>
      </c>
      <c r="T1377" s="117">
        <v>0</v>
      </c>
    </row>
    <row r="1378" spans="1:21" x14ac:dyDescent="0.35">
      <c r="A1378" t="s">
        <v>20</v>
      </c>
      <c r="B1378" t="s">
        <v>21</v>
      </c>
      <c r="C1378" s="1">
        <v>45505</v>
      </c>
      <c r="D1378">
        <f t="shared" si="92"/>
        <v>1</v>
      </c>
      <c r="E1378">
        <f t="shared" si="93"/>
        <v>8</v>
      </c>
      <c r="F1378">
        <f t="shared" si="94"/>
        <v>2024</v>
      </c>
      <c r="G1378" t="s">
        <v>118</v>
      </c>
      <c r="H1378" s="98">
        <v>10952</v>
      </c>
      <c r="I1378" s="29">
        <v>934</v>
      </c>
      <c r="J1378" s="12" t="s">
        <v>31</v>
      </c>
      <c r="K1378" s="76">
        <f t="shared" si="95"/>
        <v>934</v>
      </c>
      <c r="L1378">
        <v>1</v>
      </c>
      <c r="M1378" s="29">
        <v>0</v>
      </c>
      <c r="N1378" t="s">
        <v>42</v>
      </c>
      <c r="O1378" t="s">
        <v>33</v>
      </c>
      <c r="P1378" t="s">
        <v>34</v>
      </c>
      <c r="Q1378" t="s">
        <v>34</v>
      </c>
      <c r="R1378" t="s">
        <v>34</v>
      </c>
      <c r="S1378" t="s">
        <v>34</v>
      </c>
      <c r="T1378" s="117">
        <v>0</v>
      </c>
    </row>
    <row r="1379" spans="1:21" x14ac:dyDescent="0.35">
      <c r="A1379" t="s">
        <v>20</v>
      </c>
      <c r="B1379" t="s">
        <v>21</v>
      </c>
      <c r="C1379" s="1">
        <v>45505</v>
      </c>
      <c r="D1379">
        <f t="shared" si="92"/>
        <v>1</v>
      </c>
      <c r="E1379">
        <f t="shared" si="93"/>
        <v>8</v>
      </c>
      <c r="F1379">
        <f t="shared" si="94"/>
        <v>2024</v>
      </c>
      <c r="G1379" t="s">
        <v>89</v>
      </c>
      <c r="H1379" s="98">
        <v>10954</v>
      </c>
      <c r="I1379" s="29">
        <v>232</v>
      </c>
      <c r="J1379" s="12" t="s">
        <v>31</v>
      </c>
      <c r="K1379" s="76">
        <f t="shared" si="95"/>
        <v>232</v>
      </c>
      <c r="L1379">
        <v>1</v>
      </c>
      <c r="M1379" s="29">
        <v>0</v>
      </c>
      <c r="N1379" t="s">
        <v>42</v>
      </c>
      <c r="O1379" t="s">
        <v>33</v>
      </c>
      <c r="P1379" t="s">
        <v>34</v>
      </c>
      <c r="Q1379" t="s">
        <v>34</v>
      </c>
      <c r="R1379" t="s">
        <v>34</v>
      </c>
      <c r="S1379" t="s">
        <v>34</v>
      </c>
      <c r="T1379" s="117">
        <v>0</v>
      </c>
    </row>
    <row r="1380" spans="1:21" x14ac:dyDescent="0.35">
      <c r="A1380" t="s">
        <v>20</v>
      </c>
      <c r="B1380" t="s">
        <v>21</v>
      </c>
      <c r="C1380" s="1">
        <v>45505</v>
      </c>
      <c r="D1380">
        <f t="shared" si="92"/>
        <v>1</v>
      </c>
      <c r="E1380">
        <f t="shared" si="93"/>
        <v>8</v>
      </c>
      <c r="F1380">
        <f t="shared" si="94"/>
        <v>2024</v>
      </c>
      <c r="G1380" t="s">
        <v>89</v>
      </c>
      <c r="H1380" s="98">
        <v>10955</v>
      </c>
      <c r="I1380" s="29">
        <v>6365.79</v>
      </c>
      <c r="J1380" s="12" t="s">
        <v>31</v>
      </c>
      <c r="K1380" s="76">
        <f t="shared" si="95"/>
        <v>6365.79</v>
      </c>
      <c r="L1380">
        <v>1</v>
      </c>
      <c r="M1380" s="29">
        <v>0</v>
      </c>
      <c r="N1380" t="s">
        <v>42</v>
      </c>
      <c r="O1380" t="s">
        <v>33</v>
      </c>
      <c r="P1380" t="s">
        <v>34</v>
      </c>
      <c r="Q1380" t="s">
        <v>34</v>
      </c>
      <c r="R1380" t="s">
        <v>34</v>
      </c>
      <c r="S1380" t="s">
        <v>34</v>
      </c>
      <c r="T1380" s="117">
        <v>0</v>
      </c>
    </row>
    <row r="1381" spans="1:21" x14ac:dyDescent="0.35">
      <c r="A1381" t="s">
        <v>19</v>
      </c>
      <c r="B1381" t="s">
        <v>19</v>
      </c>
      <c r="C1381" s="1">
        <v>45505</v>
      </c>
      <c r="D1381">
        <f t="shared" si="92"/>
        <v>1</v>
      </c>
      <c r="E1381">
        <f t="shared" si="93"/>
        <v>8</v>
      </c>
      <c r="F1381">
        <f t="shared" si="94"/>
        <v>2024</v>
      </c>
      <c r="G1381" t="s">
        <v>213</v>
      </c>
      <c r="H1381" s="98" t="s">
        <v>430</v>
      </c>
      <c r="I1381" s="29">
        <v>83027.37</v>
      </c>
      <c r="J1381" s="12" t="s">
        <v>31</v>
      </c>
      <c r="K1381" s="76">
        <f t="shared" ref="K1381:K1401" si="96">IF(J1381="USD",I1381,I1381*L1381)</f>
        <v>83027.37</v>
      </c>
      <c r="L1381">
        <v>1</v>
      </c>
      <c r="M1381" s="29">
        <v>0</v>
      </c>
      <c r="N1381" t="s">
        <v>32</v>
      </c>
      <c r="O1381" t="s">
        <v>33</v>
      </c>
      <c r="P1381" t="s">
        <v>34</v>
      </c>
      <c r="Q1381" t="s">
        <v>34</v>
      </c>
      <c r="R1381" t="s">
        <v>34</v>
      </c>
      <c r="S1381" t="s">
        <v>34</v>
      </c>
      <c r="T1381" s="117">
        <v>0</v>
      </c>
    </row>
    <row r="1382" spans="1:21" x14ac:dyDescent="0.35">
      <c r="A1382" t="s">
        <v>19</v>
      </c>
      <c r="B1382" t="s">
        <v>19</v>
      </c>
      <c r="C1382" s="1">
        <v>45505</v>
      </c>
      <c r="D1382">
        <f t="shared" si="92"/>
        <v>1</v>
      </c>
      <c r="E1382">
        <f t="shared" si="93"/>
        <v>8</v>
      </c>
      <c r="F1382">
        <f t="shared" si="94"/>
        <v>2024</v>
      </c>
      <c r="G1382" t="s">
        <v>55</v>
      </c>
      <c r="H1382" s="98" t="s">
        <v>322</v>
      </c>
      <c r="I1382" s="29">
        <v>58553.63</v>
      </c>
      <c r="J1382" s="12" t="s">
        <v>31</v>
      </c>
      <c r="K1382" s="76">
        <f t="shared" si="96"/>
        <v>58553.63</v>
      </c>
      <c r="L1382">
        <v>1</v>
      </c>
      <c r="M1382" s="29">
        <v>0</v>
      </c>
      <c r="N1382" t="s">
        <v>32</v>
      </c>
      <c r="O1382" t="s">
        <v>33</v>
      </c>
      <c r="P1382" t="s">
        <v>34</v>
      </c>
      <c r="Q1382" t="s">
        <v>34</v>
      </c>
      <c r="R1382" t="s">
        <v>34</v>
      </c>
      <c r="S1382" t="s">
        <v>34</v>
      </c>
      <c r="T1382" s="117">
        <v>1863.86</v>
      </c>
    </row>
    <row r="1383" spans="1:21" x14ac:dyDescent="0.35">
      <c r="A1383" t="s">
        <v>19</v>
      </c>
      <c r="B1383" t="s">
        <v>19</v>
      </c>
      <c r="C1383" s="1">
        <v>45505</v>
      </c>
      <c r="D1383">
        <f t="shared" si="92"/>
        <v>1</v>
      </c>
      <c r="E1383">
        <f t="shared" si="93"/>
        <v>8</v>
      </c>
      <c r="F1383">
        <f t="shared" si="94"/>
        <v>2024</v>
      </c>
      <c r="G1383" t="s">
        <v>111</v>
      </c>
      <c r="H1383" s="98" t="s">
        <v>436</v>
      </c>
      <c r="I1383" s="29">
        <v>98451.73</v>
      </c>
      <c r="J1383" s="12" t="s">
        <v>31</v>
      </c>
      <c r="K1383" s="76">
        <f t="shared" si="96"/>
        <v>98451.73</v>
      </c>
      <c r="L1383">
        <v>1</v>
      </c>
      <c r="M1383" s="29">
        <v>0</v>
      </c>
      <c r="N1383" t="s">
        <v>32</v>
      </c>
      <c r="O1383" t="s">
        <v>33</v>
      </c>
      <c r="P1383" t="s">
        <v>34</v>
      </c>
      <c r="Q1383" t="s">
        <v>34</v>
      </c>
      <c r="R1383" t="s">
        <v>34</v>
      </c>
      <c r="S1383" t="s">
        <v>34</v>
      </c>
      <c r="T1383" s="117">
        <v>431.41</v>
      </c>
    </row>
    <row r="1384" spans="1:21" x14ac:dyDescent="0.35">
      <c r="A1384" t="s">
        <v>19</v>
      </c>
      <c r="B1384" t="s">
        <v>19</v>
      </c>
      <c r="C1384" s="1">
        <v>45505</v>
      </c>
      <c r="D1384">
        <f t="shared" si="92"/>
        <v>1</v>
      </c>
      <c r="E1384">
        <f t="shared" si="93"/>
        <v>8</v>
      </c>
      <c r="F1384">
        <f t="shared" si="94"/>
        <v>2024</v>
      </c>
      <c r="G1384" t="s">
        <v>56</v>
      </c>
      <c r="H1384" s="98" t="s">
        <v>437</v>
      </c>
      <c r="I1384" s="29">
        <v>170790.87</v>
      </c>
      <c r="J1384" s="12" t="s">
        <v>31</v>
      </c>
      <c r="K1384" s="76">
        <f t="shared" si="96"/>
        <v>170790.87</v>
      </c>
      <c r="L1384">
        <v>1</v>
      </c>
      <c r="M1384" s="29">
        <v>0</v>
      </c>
      <c r="N1384" t="s">
        <v>32</v>
      </c>
      <c r="O1384" t="s">
        <v>33</v>
      </c>
      <c r="P1384" t="s">
        <v>34</v>
      </c>
      <c r="Q1384" t="s">
        <v>34</v>
      </c>
      <c r="R1384" t="s">
        <v>34</v>
      </c>
      <c r="S1384" t="s">
        <v>34</v>
      </c>
      <c r="T1384" s="117">
        <v>0</v>
      </c>
    </row>
    <row r="1385" spans="1:21" x14ac:dyDescent="0.35">
      <c r="A1385" t="s">
        <v>19</v>
      </c>
      <c r="B1385" t="s">
        <v>19</v>
      </c>
      <c r="C1385" s="1">
        <v>45505</v>
      </c>
      <c r="D1385">
        <f t="shared" si="92"/>
        <v>1</v>
      </c>
      <c r="E1385">
        <f t="shared" si="93"/>
        <v>8</v>
      </c>
      <c r="F1385">
        <f t="shared" si="94"/>
        <v>2024</v>
      </c>
      <c r="G1385" t="s">
        <v>56</v>
      </c>
      <c r="H1385" s="98" t="s">
        <v>438</v>
      </c>
      <c r="I1385" s="29">
        <v>188822.67</v>
      </c>
      <c r="J1385" s="12" t="s">
        <v>31</v>
      </c>
      <c r="K1385" s="76">
        <f t="shared" si="96"/>
        <v>188822.67</v>
      </c>
      <c r="L1385">
        <v>1</v>
      </c>
      <c r="M1385" s="29">
        <v>0</v>
      </c>
      <c r="N1385" t="s">
        <v>32</v>
      </c>
      <c r="O1385" t="s">
        <v>33</v>
      </c>
      <c r="P1385" t="s">
        <v>34</v>
      </c>
      <c r="Q1385" t="s">
        <v>34</v>
      </c>
      <c r="R1385" t="s">
        <v>34</v>
      </c>
      <c r="S1385" t="s">
        <v>34</v>
      </c>
      <c r="T1385" s="117">
        <v>0</v>
      </c>
    </row>
    <row r="1386" spans="1:21" x14ac:dyDescent="0.35">
      <c r="A1386" t="s">
        <v>19</v>
      </c>
      <c r="B1386" t="s">
        <v>19</v>
      </c>
      <c r="C1386" s="1">
        <v>45505</v>
      </c>
      <c r="D1386">
        <f t="shared" si="92"/>
        <v>1</v>
      </c>
      <c r="E1386">
        <f t="shared" si="93"/>
        <v>8</v>
      </c>
      <c r="F1386">
        <f t="shared" si="94"/>
        <v>2024</v>
      </c>
      <c r="G1386" t="s">
        <v>56</v>
      </c>
      <c r="H1386" s="98" t="s">
        <v>428</v>
      </c>
      <c r="I1386" s="29">
        <v>180097.24</v>
      </c>
      <c r="J1386" s="12" t="s">
        <v>31</v>
      </c>
      <c r="K1386" s="76">
        <f t="shared" si="96"/>
        <v>180097.24</v>
      </c>
      <c r="L1386">
        <v>1</v>
      </c>
      <c r="M1386" s="29">
        <v>0</v>
      </c>
      <c r="N1386" t="s">
        <v>32</v>
      </c>
      <c r="O1386" t="s">
        <v>33</v>
      </c>
      <c r="P1386" t="s">
        <v>34</v>
      </c>
      <c r="Q1386" t="s">
        <v>34</v>
      </c>
      <c r="R1386" t="s">
        <v>34</v>
      </c>
      <c r="S1386" t="s">
        <v>34</v>
      </c>
      <c r="T1386" s="117">
        <v>0</v>
      </c>
    </row>
    <row r="1387" spans="1:21" x14ac:dyDescent="0.35">
      <c r="A1387" t="s">
        <v>19</v>
      </c>
      <c r="B1387" t="s">
        <v>19</v>
      </c>
      <c r="C1387" s="1">
        <v>45505</v>
      </c>
      <c r="D1387">
        <f t="shared" si="92"/>
        <v>1</v>
      </c>
      <c r="E1387">
        <f t="shared" si="93"/>
        <v>8</v>
      </c>
      <c r="F1387">
        <f t="shared" si="94"/>
        <v>2024</v>
      </c>
      <c r="G1387" t="s">
        <v>127</v>
      </c>
      <c r="H1387" s="98" t="s">
        <v>546</v>
      </c>
      <c r="I1387" s="29">
        <v>1943.4</v>
      </c>
      <c r="J1387" s="12" t="s">
        <v>31</v>
      </c>
      <c r="K1387" s="76">
        <f t="shared" si="96"/>
        <v>1943.4</v>
      </c>
      <c r="L1387">
        <v>1</v>
      </c>
      <c r="M1387" s="29">
        <v>0</v>
      </c>
      <c r="N1387" t="s">
        <v>42</v>
      </c>
      <c r="O1387" t="s">
        <v>33</v>
      </c>
      <c r="P1387" t="s">
        <v>34</v>
      </c>
      <c r="Q1387" t="s">
        <v>34</v>
      </c>
      <c r="R1387" t="s">
        <v>34</v>
      </c>
      <c r="S1387" t="s">
        <v>34</v>
      </c>
      <c r="T1387" s="117">
        <v>0</v>
      </c>
    </row>
    <row r="1388" spans="1:21" x14ac:dyDescent="0.35">
      <c r="A1388" t="s">
        <v>19</v>
      </c>
      <c r="B1388" t="s">
        <v>19</v>
      </c>
      <c r="C1388" s="1">
        <v>45505</v>
      </c>
      <c r="D1388">
        <f t="shared" si="92"/>
        <v>1</v>
      </c>
      <c r="E1388">
        <f t="shared" si="93"/>
        <v>8</v>
      </c>
      <c r="F1388">
        <f t="shared" si="94"/>
        <v>2024</v>
      </c>
      <c r="G1388" t="s">
        <v>120</v>
      </c>
      <c r="H1388" s="171" t="s">
        <v>458</v>
      </c>
      <c r="I1388" s="90">
        <v>16692</v>
      </c>
      <c r="J1388" s="12" t="s">
        <v>31</v>
      </c>
      <c r="K1388" s="76">
        <f t="shared" si="96"/>
        <v>16692</v>
      </c>
      <c r="L1388">
        <v>1</v>
      </c>
      <c r="M1388" s="29">
        <v>0</v>
      </c>
      <c r="N1388" t="s">
        <v>42</v>
      </c>
      <c r="O1388" t="s">
        <v>33</v>
      </c>
      <c r="P1388" t="s">
        <v>34</v>
      </c>
      <c r="Q1388" t="s">
        <v>34</v>
      </c>
      <c r="R1388" t="s">
        <v>34</v>
      </c>
      <c r="S1388" t="s">
        <v>34</v>
      </c>
      <c r="T1388" s="117">
        <v>0</v>
      </c>
    </row>
    <row r="1389" spans="1:21" x14ac:dyDescent="0.35">
      <c r="A1389" t="s">
        <v>19</v>
      </c>
      <c r="B1389" t="s">
        <v>19</v>
      </c>
      <c r="C1389" s="1">
        <v>45505</v>
      </c>
      <c r="D1389">
        <f t="shared" si="92"/>
        <v>1</v>
      </c>
      <c r="E1389">
        <f t="shared" si="93"/>
        <v>8</v>
      </c>
      <c r="F1389">
        <f t="shared" si="94"/>
        <v>2024</v>
      </c>
      <c r="G1389" t="s">
        <v>424</v>
      </c>
      <c r="H1389" s="98" t="s">
        <v>439</v>
      </c>
      <c r="I1389" s="29">
        <v>148065.75</v>
      </c>
      <c r="J1389" s="12" t="s">
        <v>31</v>
      </c>
      <c r="K1389" s="76">
        <f t="shared" si="96"/>
        <v>148065.75</v>
      </c>
      <c r="L1389">
        <v>1</v>
      </c>
      <c r="M1389" s="29">
        <v>0</v>
      </c>
      <c r="N1389" t="s">
        <v>32</v>
      </c>
      <c r="O1389" t="s">
        <v>33</v>
      </c>
      <c r="P1389" t="s">
        <v>34</v>
      </c>
      <c r="Q1389" t="s">
        <v>34</v>
      </c>
      <c r="R1389" t="s">
        <v>34</v>
      </c>
      <c r="S1389" t="s">
        <v>34</v>
      </c>
      <c r="T1389" s="117">
        <v>0</v>
      </c>
    </row>
    <row r="1390" spans="1:21" x14ac:dyDescent="0.35">
      <c r="A1390" t="s">
        <v>19</v>
      </c>
      <c r="B1390" t="s">
        <v>19</v>
      </c>
      <c r="C1390" s="1">
        <v>45505</v>
      </c>
      <c r="D1390">
        <f t="shared" si="92"/>
        <v>1</v>
      </c>
      <c r="E1390">
        <f t="shared" si="93"/>
        <v>8</v>
      </c>
      <c r="F1390">
        <f t="shared" si="94"/>
        <v>2024</v>
      </c>
      <c r="G1390" t="s">
        <v>45</v>
      </c>
      <c r="H1390" s="98" t="s">
        <v>440</v>
      </c>
      <c r="I1390" s="29">
        <v>15073.68</v>
      </c>
      <c r="J1390" s="12" t="s">
        <v>31</v>
      </c>
      <c r="K1390" s="76">
        <f t="shared" si="96"/>
        <v>15073.68</v>
      </c>
      <c r="L1390">
        <v>1</v>
      </c>
      <c r="M1390" s="29">
        <v>0</v>
      </c>
      <c r="N1390" t="s">
        <v>32</v>
      </c>
      <c r="O1390" t="s">
        <v>33</v>
      </c>
      <c r="P1390" t="s">
        <v>34</v>
      </c>
      <c r="Q1390" t="s">
        <v>34</v>
      </c>
      <c r="R1390" t="s">
        <v>34</v>
      </c>
      <c r="S1390" t="s">
        <v>34</v>
      </c>
      <c r="T1390" s="117">
        <v>0</v>
      </c>
    </row>
    <row r="1391" spans="1:21" x14ac:dyDescent="0.35">
      <c r="A1391" t="s">
        <v>19</v>
      </c>
      <c r="B1391" t="s">
        <v>26</v>
      </c>
      <c r="C1391" s="1">
        <v>45506</v>
      </c>
      <c r="D1391">
        <f t="shared" si="92"/>
        <v>2</v>
      </c>
      <c r="E1391">
        <f t="shared" si="93"/>
        <v>8</v>
      </c>
      <c r="F1391">
        <f t="shared" si="94"/>
        <v>2024</v>
      </c>
      <c r="G1391" t="s">
        <v>73</v>
      </c>
      <c r="H1391" s="98">
        <v>11041</v>
      </c>
      <c r="I1391" s="29">
        <v>82992.38</v>
      </c>
      <c r="J1391" s="12" t="s">
        <v>51</v>
      </c>
      <c r="K1391" s="76">
        <f t="shared" si="96"/>
        <v>90768.766005999991</v>
      </c>
      <c r="L1391">
        <v>1.0936999999999999</v>
      </c>
      <c r="M1391" s="29">
        <v>0</v>
      </c>
      <c r="N1391" t="s">
        <v>42</v>
      </c>
      <c r="O1391" t="s">
        <v>33</v>
      </c>
      <c r="P1391" t="s">
        <v>34</v>
      </c>
      <c r="Q1391" t="s">
        <v>34</v>
      </c>
      <c r="R1391" t="s">
        <v>34</v>
      </c>
      <c r="S1391" t="s">
        <v>34</v>
      </c>
      <c r="T1391" s="117">
        <v>0</v>
      </c>
      <c r="U1391" s="209" t="s">
        <v>94</v>
      </c>
    </row>
    <row r="1392" spans="1:21" x14ac:dyDescent="0.35">
      <c r="A1392" t="s">
        <v>19</v>
      </c>
      <c r="B1392" t="s">
        <v>26</v>
      </c>
      <c r="C1392" s="1">
        <v>45506</v>
      </c>
      <c r="D1392">
        <f t="shared" si="92"/>
        <v>2</v>
      </c>
      <c r="E1392">
        <f t="shared" si="93"/>
        <v>8</v>
      </c>
      <c r="F1392">
        <f t="shared" si="94"/>
        <v>2024</v>
      </c>
      <c r="G1392" t="s">
        <v>73</v>
      </c>
      <c r="H1392" s="98">
        <v>11052</v>
      </c>
      <c r="I1392" s="29">
        <v>35169.379999999997</v>
      </c>
      <c r="J1392" s="12" t="s">
        <v>51</v>
      </c>
      <c r="K1392" s="76">
        <f t="shared" si="96"/>
        <v>38464.750905999994</v>
      </c>
      <c r="L1392">
        <v>1.0936999999999999</v>
      </c>
      <c r="M1392" s="29">
        <v>0</v>
      </c>
      <c r="N1392" t="s">
        <v>42</v>
      </c>
      <c r="O1392" t="s">
        <v>33</v>
      </c>
      <c r="P1392" t="s">
        <v>34</v>
      </c>
      <c r="Q1392" t="s">
        <v>34</v>
      </c>
      <c r="R1392" t="s">
        <v>34</v>
      </c>
      <c r="S1392" t="s">
        <v>34</v>
      </c>
      <c r="T1392" s="117">
        <v>0</v>
      </c>
      <c r="U1392" s="209" t="s">
        <v>94</v>
      </c>
    </row>
    <row r="1393" spans="1:21" x14ac:dyDescent="0.35">
      <c r="A1393" t="s">
        <v>19</v>
      </c>
      <c r="B1393" t="s">
        <v>24</v>
      </c>
      <c r="C1393" s="1">
        <v>45512</v>
      </c>
      <c r="D1393">
        <f t="shared" si="92"/>
        <v>8</v>
      </c>
      <c r="E1393">
        <f t="shared" si="93"/>
        <v>8</v>
      </c>
      <c r="F1393">
        <f t="shared" si="94"/>
        <v>2024</v>
      </c>
      <c r="G1393" t="s">
        <v>36</v>
      </c>
      <c r="H1393" s="98">
        <v>10876</v>
      </c>
      <c r="I1393" s="29">
        <v>40</v>
      </c>
      <c r="J1393" s="12" t="s">
        <v>31</v>
      </c>
      <c r="K1393" s="76">
        <f t="shared" si="96"/>
        <v>40</v>
      </c>
      <c r="L1393">
        <v>1</v>
      </c>
      <c r="M1393" s="29">
        <v>0</v>
      </c>
      <c r="N1393" t="s">
        <v>32</v>
      </c>
      <c r="O1393" t="s">
        <v>33</v>
      </c>
      <c r="P1393" t="s">
        <v>34</v>
      </c>
      <c r="Q1393" t="s">
        <v>34</v>
      </c>
      <c r="R1393" t="s">
        <v>34</v>
      </c>
      <c r="S1393" t="s">
        <v>34</v>
      </c>
      <c r="T1393" s="117">
        <v>0</v>
      </c>
    </row>
    <row r="1394" spans="1:21" x14ac:dyDescent="0.35">
      <c r="A1394" t="s">
        <v>19</v>
      </c>
      <c r="B1394" t="s">
        <v>25</v>
      </c>
      <c r="C1394" s="1">
        <v>45512</v>
      </c>
      <c r="D1394">
        <f t="shared" si="92"/>
        <v>8</v>
      </c>
      <c r="E1394">
        <f t="shared" si="93"/>
        <v>8</v>
      </c>
      <c r="F1394">
        <f t="shared" si="94"/>
        <v>2024</v>
      </c>
      <c r="G1394" t="s">
        <v>36</v>
      </c>
      <c r="H1394" s="98">
        <v>10877</v>
      </c>
      <c r="I1394" s="29">
        <v>26</v>
      </c>
      <c r="J1394" s="12" t="s">
        <v>31</v>
      </c>
      <c r="K1394" s="76">
        <f t="shared" si="96"/>
        <v>26</v>
      </c>
      <c r="L1394">
        <v>1</v>
      </c>
      <c r="M1394" s="29">
        <v>0</v>
      </c>
      <c r="N1394" t="s">
        <v>32</v>
      </c>
      <c r="O1394" t="s">
        <v>33</v>
      </c>
      <c r="P1394" t="s">
        <v>34</v>
      </c>
      <c r="Q1394" t="s">
        <v>34</v>
      </c>
      <c r="R1394" t="s">
        <v>34</v>
      </c>
      <c r="S1394" t="s">
        <v>34</v>
      </c>
      <c r="T1394" s="117">
        <v>0</v>
      </c>
    </row>
    <row r="1395" spans="1:21" x14ac:dyDescent="0.35">
      <c r="A1395" t="s">
        <v>19</v>
      </c>
      <c r="B1395" t="s">
        <v>25</v>
      </c>
      <c r="C1395" s="1">
        <v>45512</v>
      </c>
      <c r="D1395">
        <f t="shared" si="92"/>
        <v>8</v>
      </c>
      <c r="E1395">
        <f t="shared" si="93"/>
        <v>8</v>
      </c>
      <c r="F1395">
        <f t="shared" si="94"/>
        <v>2024</v>
      </c>
      <c r="G1395" t="s">
        <v>36</v>
      </c>
      <c r="H1395" s="98">
        <v>10903</v>
      </c>
      <c r="I1395" s="29">
        <v>107.1</v>
      </c>
      <c r="J1395" s="12" t="s">
        <v>31</v>
      </c>
      <c r="K1395" s="76">
        <f t="shared" si="96"/>
        <v>107.1</v>
      </c>
      <c r="L1395">
        <v>1</v>
      </c>
      <c r="M1395" s="29">
        <v>0</v>
      </c>
      <c r="N1395" t="s">
        <v>32</v>
      </c>
      <c r="O1395" t="s">
        <v>33</v>
      </c>
      <c r="P1395" t="s">
        <v>34</v>
      </c>
      <c r="Q1395" t="s">
        <v>34</v>
      </c>
      <c r="R1395" t="s">
        <v>34</v>
      </c>
      <c r="S1395" t="s">
        <v>34</v>
      </c>
      <c r="T1395" s="117">
        <v>0</v>
      </c>
    </row>
    <row r="1396" spans="1:21" x14ac:dyDescent="0.35">
      <c r="A1396" t="s">
        <v>19</v>
      </c>
      <c r="B1396" t="s">
        <v>25</v>
      </c>
      <c r="C1396" s="1">
        <v>45512</v>
      </c>
      <c r="D1396">
        <f t="shared" si="92"/>
        <v>8</v>
      </c>
      <c r="E1396">
        <f t="shared" si="93"/>
        <v>8</v>
      </c>
      <c r="F1396">
        <f t="shared" si="94"/>
        <v>2024</v>
      </c>
      <c r="G1396" t="s">
        <v>80</v>
      </c>
      <c r="H1396" s="98">
        <v>10958</v>
      </c>
      <c r="I1396" s="29">
        <v>11475.45</v>
      </c>
      <c r="J1396" s="12" t="s">
        <v>31</v>
      </c>
      <c r="K1396" s="76">
        <f t="shared" si="96"/>
        <v>11475.45</v>
      </c>
      <c r="L1396">
        <v>1</v>
      </c>
      <c r="M1396" s="29">
        <v>0</v>
      </c>
      <c r="N1396" t="s">
        <v>42</v>
      </c>
      <c r="O1396" t="s">
        <v>33</v>
      </c>
      <c r="P1396" t="s">
        <v>34</v>
      </c>
      <c r="Q1396" t="s">
        <v>34</v>
      </c>
      <c r="R1396" t="s">
        <v>34</v>
      </c>
      <c r="S1396" t="s">
        <v>34</v>
      </c>
      <c r="T1396" s="117">
        <v>0</v>
      </c>
    </row>
    <row r="1397" spans="1:21" x14ac:dyDescent="0.35">
      <c r="A1397" t="s">
        <v>19</v>
      </c>
      <c r="B1397" t="s">
        <v>21</v>
      </c>
      <c r="C1397" s="1">
        <v>45512</v>
      </c>
      <c r="D1397">
        <f t="shared" si="92"/>
        <v>8</v>
      </c>
      <c r="E1397">
        <f t="shared" si="93"/>
        <v>8</v>
      </c>
      <c r="F1397">
        <f t="shared" si="94"/>
        <v>2024</v>
      </c>
      <c r="G1397" t="s">
        <v>39</v>
      </c>
      <c r="H1397" s="98">
        <v>10434</v>
      </c>
      <c r="I1397" s="29">
        <v>36.6</v>
      </c>
      <c r="J1397" s="12" t="s">
        <v>31</v>
      </c>
      <c r="K1397" s="76">
        <f t="shared" si="96"/>
        <v>36.6</v>
      </c>
      <c r="L1397">
        <v>1</v>
      </c>
      <c r="M1397" s="29">
        <v>0</v>
      </c>
      <c r="N1397" t="s">
        <v>32</v>
      </c>
      <c r="O1397" t="s">
        <v>33</v>
      </c>
      <c r="P1397" t="s">
        <v>34</v>
      </c>
      <c r="Q1397" t="s">
        <v>34</v>
      </c>
      <c r="R1397" t="s">
        <v>34</v>
      </c>
      <c r="S1397" t="s">
        <v>34</v>
      </c>
      <c r="T1397" s="117">
        <v>0</v>
      </c>
    </row>
    <row r="1398" spans="1:21" x14ac:dyDescent="0.35">
      <c r="A1398" t="s">
        <v>19</v>
      </c>
      <c r="B1398" t="s">
        <v>25</v>
      </c>
      <c r="C1398" s="1">
        <v>45512</v>
      </c>
      <c r="D1398">
        <f t="shared" si="92"/>
        <v>8</v>
      </c>
      <c r="E1398">
        <f t="shared" si="93"/>
        <v>8</v>
      </c>
      <c r="F1398">
        <f t="shared" si="94"/>
        <v>2024</v>
      </c>
      <c r="G1398" t="s">
        <v>39</v>
      </c>
      <c r="H1398" s="98">
        <v>10543</v>
      </c>
      <c r="I1398" s="29">
        <v>58.5</v>
      </c>
      <c r="J1398" s="12" t="s">
        <v>31</v>
      </c>
      <c r="K1398" s="76">
        <f t="shared" si="96"/>
        <v>58.5</v>
      </c>
      <c r="L1398">
        <v>1</v>
      </c>
      <c r="M1398" s="29">
        <v>0</v>
      </c>
      <c r="N1398" t="s">
        <v>32</v>
      </c>
      <c r="O1398" t="s">
        <v>33</v>
      </c>
      <c r="P1398" t="s">
        <v>34</v>
      </c>
      <c r="Q1398" t="s">
        <v>34</v>
      </c>
      <c r="R1398" t="s">
        <v>34</v>
      </c>
      <c r="S1398" t="s">
        <v>34</v>
      </c>
      <c r="T1398" s="117">
        <v>0</v>
      </c>
    </row>
    <row r="1399" spans="1:21" x14ac:dyDescent="0.35">
      <c r="A1399" t="s">
        <v>19</v>
      </c>
      <c r="B1399" t="s">
        <v>25</v>
      </c>
      <c r="C1399" s="1">
        <v>45512</v>
      </c>
      <c r="D1399">
        <f t="shared" si="92"/>
        <v>8</v>
      </c>
      <c r="E1399">
        <f t="shared" si="93"/>
        <v>8</v>
      </c>
      <c r="F1399">
        <f t="shared" si="94"/>
        <v>2024</v>
      </c>
      <c r="G1399" t="s">
        <v>1146</v>
      </c>
      <c r="H1399" s="98">
        <v>10509</v>
      </c>
      <c r="I1399" s="29">
        <v>1198.8</v>
      </c>
      <c r="J1399" s="12" t="s">
        <v>51</v>
      </c>
      <c r="K1399" s="76">
        <f t="shared" si="96"/>
        <v>1308.4902</v>
      </c>
      <c r="L1399">
        <v>1.0914999999999999</v>
      </c>
      <c r="M1399" s="29">
        <v>0</v>
      </c>
      <c r="N1399" t="s">
        <v>32</v>
      </c>
      <c r="O1399" t="s">
        <v>33</v>
      </c>
      <c r="P1399" t="s">
        <v>34</v>
      </c>
      <c r="Q1399" t="s">
        <v>34</v>
      </c>
      <c r="R1399" t="s">
        <v>34</v>
      </c>
      <c r="S1399" t="s">
        <v>34</v>
      </c>
      <c r="T1399" s="117">
        <v>0</v>
      </c>
      <c r="U1399" s="209" t="s">
        <v>94</v>
      </c>
    </row>
    <row r="1400" spans="1:21" x14ac:dyDescent="0.35">
      <c r="A1400" t="s">
        <v>19</v>
      </c>
      <c r="B1400" t="s">
        <v>25</v>
      </c>
      <c r="C1400" s="1">
        <v>45512</v>
      </c>
      <c r="D1400">
        <f t="shared" si="92"/>
        <v>8</v>
      </c>
      <c r="E1400">
        <f t="shared" si="93"/>
        <v>8</v>
      </c>
      <c r="F1400">
        <f t="shared" si="94"/>
        <v>2024</v>
      </c>
      <c r="G1400" t="s">
        <v>1146</v>
      </c>
      <c r="H1400" s="98">
        <v>10510</v>
      </c>
      <c r="I1400" s="29">
        <v>655.15</v>
      </c>
      <c r="J1400" s="12" t="s">
        <v>51</v>
      </c>
      <c r="K1400" s="76">
        <f t="shared" si="96"/>
        <v>715.09622499999989</v>
      </c>
      <c r="L1400">
        <v>1.0914999999999999</v>
      </c>
      <c r="M1400" s="29">
        <v>0</v>
      </c>
      <c r="N1400" t="s">
        <v>42</v>
      </c>
      <c r="O1400" t="s">
        <v>33</v>
      </c>
      <c r="P1400" t="s">
        <v>34</v>
      </c>
      <c r="Q1400" t="s">
        <v>34</v>
      </c>
      <c r="R1400" t="s">
        <v>34</v>
      </c>
      <c r="S1400" t="s">
        <v>34</v>
      </c>
      <c r="T1400" s="117">
        <v>0</v>
      </c>
      <c r="U1400" s="209" t="s">
        <v>94</v>
      </c>
    </row>
    <row r="1401" spans="1:21" x14ac:dyDescent="0.35">
      <c r="A1401" t="s">
        <v>19</v>
      </c>
      <c r="B1401" t="s">
        <v>25</v>
      </c>
      <c r="C1401" s="1">
        <v>45512</v>
      </c>
      <c r="D1401">
        <f t="shared" si="92"/>
        <v>8</v>
      </c>
      <c r="E1401">
        <f t="shared" si="93"/>
        <v>8</v>
      </c>
      <c r="F1401">
        <f t="shared" si="94"/>
        <v>2024</v>
      </c>
      <c r="G1401" t="s">
        <v>1146</v>
      </c>
      <c r="H1401" s="98">
        <v>10983</v>
      </c>
      <c r="I1401" s="29">
        <v>186660.1</v>
      </c>
      <c r="J1401" s="12" t="s">
        <v>51</v>
      </c>
      <c r="K1401" s="76">
        <f t="shared" si="96"/>
        <v>203739.49914999999</v>
      </c>
      <c r="L1401">
        <v>1.0914999999999999</v>
      </c>
      <c r="M1401" s="29">
        <v>0</v>
      </c>
      <c r="N1401" t="s">
        <v>42</v>
      </c>
      <c r="O1401" t="s">
        <v>33</v>
      </c>
      <c r="P1401" t="s">
        <v>34</v>
      </c>
      <c r="Q1401" t="s">
        <v>34</v>
      </c>
      <c r="R1401" t="s">
        <v>34</v>
      </c>
      <c r="S1401" t="s">
        <v>34</v>
      </c>
      <c r="T1401" s="117">
        <v>0</v>
      </c>
      <c r="U1401" s="209" t="s">
        <v>94</v>
      </c>
    </row>
    <row r="1402" spans="1:21" x14ac:dyDescent="0.35">
      <c r="A1402" t="s">
        <v>19</v>
      </c>
      <c r="B1402" t="s">
        <v>25</v>
      </c>
      <c r="C1402" s="1">
        <v>45512</v>
      </c>
      <c r="D1402">
        <f t="shared" si="92"/>
        <v>8</v>
      </c>
      <c r="E1402">
        <f t="shared" si="93"/>
        <v>8</v>
      </c>
      <c r="F1402">
        <f t="shared" si="94"/>
        <v>2024</v>
      </c>
      <c r="G1402" t="s">
        <v>1146</v>
      </c>
      <c r="H1402" s="98">
        <v>11400</v>
      </c>
      <c r="I1402" s="29">
        <v>22303.599999999999</v>
      </c>
      <c r="J1402" s="12" t="s">
        <v>51</v>
      </c>
      <c r="K1402" s="76">
        <f>IF(J1402="USD",I1402,I1402*L1402)-0.01</f>
        <v>24344.3694</v>
      </c>
      <c r="L1402">
        <v>1.0914999999999999</v>
      </c>
      <c r="M1402" s="29">
        <v>0</v>
      </c>
      <c r="N1402" t="s">
        <v>42</v>
      </c>
      <c r="O1402" t="s">
        <v>33</v>
      </c>
      <c r="P1402" t="s">
        <v>34</v>
      </c>
      <c r="Q1402" t="s">
        <v>34</v>
      </c>
      <c r="R1402" t="s">
        <v>34</v>
      </c>
      <c r="S1402" t="s">
        <v>34</v>
      </c>
      <c r="T1402" s="117">
        <v>0</v>
      </c>
      <c r="U1402" s="209" t="s">
        <v>624</v>
      </c>
    </row>
    <row r="1403" spans="1:21" x14ac:dyDescent="0.35">
      <c r="A1403" t="s">
        <v>19</v>
      </c>
      <c r="B1403" t="s">
        <v>21</v>
      </c>
      <c r="C1403" s="1">
        <v>45512</v>
      </c>
      <c r="D1403">
        <f t="shared" si="92"/>
        <v>8</v>
      </c>
      <c r="E1403">
        <f t="shared" si="93"/>
        <v>8</v>
      </c>
      <c r="F1403">
        <f t="shared" si="94"/>
        <v>2024</v>
      </c>
      <c r="G1403" t="s">
        <v>35</v>
      </c>
      <c r="H1403" s="98">
        <v>10547</v>
      </c>
      <c r="I1403" s="29">
        <v>4986</v>
      </c>
      <c r="J1403" s="12" t="s">
        <v>31</v>
      </c>
      <c r="K1403" s="76">
        <f t="shared" ref="K1403:K1434" si="97">IF(J1403="USD",I1403,I1403*L1403)</f>
        <v>4986</v>
      </c>
      <c r="L1403">
        <v>1</v>
      </c>
      <c r="M1403" s="29">
        <v>0</v>
      </c>
      <c r="N1403" t="s">
        <v>32</v>
      </c>
      <c r="O1403" t="s">
        <v>33</v>
      </c>
      <c r="P1403" t="s">
        <v>34</v>
      </c>
      <c r="Q1403" t="s">
        <v>34</v>
      </c>
      <c r="R1403" t="s">
        <v>34</v>
      </c>
      <c r="S1403" t="s">
        <v>34</v>
      </c>
      <c r="T1403" s="117">
        <v>0</v>
      </c>
    </row>
    <row r="1404" spans="1:21" x14ac:dyDescent="0.35">
      <c r="A1404" t="s">
        <v>19</v>
      </c>
      <c r="B1404" t="s">
        <v>25</v>
      </c>
      <c r="C1404" s="1">
        <v>45512</v>
      </c>
      <c r="D1404">
        <f t="shared" si="92"/>
        <v>8</v>
      </c>
      <c r="E1404">
        <f t="shared" si="93"/>
        <v>8</v>
      </c>
      <c r="F1404">
        <f t="shared" si="94"/>
        <v>2024</v>
      </c>
      <c r="G1404" t="s">
        <v>30</v>
      </c>
      <c r="H1404" s="98">
        <v>10725</v>
      </c>
      <c r="I1404" s="29">
        <v>3542.9</v>
      </c>
      <c r="J1404" s="12" t="s">
        <v>31</v>
      </c>
      <c r="K1404" s="76">
        <f t="shared" si="97"/>
        <v>3542.9</v>
      </c>
      <c r="L1404">
        <v>1</v>
      </c>
      <c r="M1404" s="29">
        <v>0</v>
      </c>
      <c r="N1404" t="s">
        <v>42</v>
      </c>
      <c r="O1404" t="s">
        <v>33</v>
      </c>
      <c r="P1404" t="s">
        <v>34</v>
      </c>
      <c r="Q1404" t="s">
        <v>34</v>
      </c>
      <c r="R1404" t="s">
        <v>34</v>
      </c>
      <c r="S1404" t="s">
        <v>34</v>
      </c>
      <c r="T1404" s="117">
        <v>0</v>
      </c>
      <c r="U1404" s="209" t="s">
        <v>513</v>
      </c>
    </row>
    <row r="1405" spans="1:21" x14ac:dyDescent="0.35">
      <c r="A1405" t="s">
        <v>20</v>
      </c>
      <c r="B1405" t="s">
        <v>25</v>
      </c>
      <c r="C1405" s="1">
        <v>45512</v>
      </c>
      <c r="D1405">
        <f t="shared" si="92"/>
        <v>8</v>
      </c>
      <c r="E1405">
        <f t="shared" si="93"/>
        <v>8</v>
      </c>
      <c r="F1405">
        <f t="shared" si="94"/>
        <v>2024</v>
      </c>
      <c r="G1405" t="s">
        <v>81</v>
      </c>
      <c r="H1405" s="98">
        <v>10737</v>
      </c>
      <c r="I1405" s="29">
        <v>57150</v>
      </c>
      <c r="J1405" s="12" t="s">
        <v>31</v>
      </c>
      <c r="K1405" s="76">
        <f t="shared" si="97"/>
        <v>57150</v>
      </c>
      <c r="L1405">
        <v>1</v>
      </c>
      <c r="M1405" s="29">
        <v>0</v>
      </c>
      <c r="N1405" t="s">
        <v>32</v>
      </c>
      <c r="O1405" t="s">
        <v>33</v>
      </c>
      <c r="P1405" t="s">
        <v>34</v>
      </c>
      <c r="Q1405" t="s">
        <v>34</v>
      </c>
      <c r="R1405" t="s">
        <v>34</v>
      </c>
      <c r="S1405" t="s">
        <v>34</v>
      </c>
      <c r="T1405" s="117">
        <v>0</v>
      </c>
    </row>
    <row r="1406" spans="1:21" x14ac:dyDescent="0.35">
      <c r="A1406" t="s">
        <v>20</v>
      </c>
      <c r="B1406" t="s">
        <v>24</v>
      </c>
      <c r="C1406" s="1">
        <v>45512</v>
      </c>
      <c r="D1406">
        <f t="shared" si="92"/>
        <v>8</v>
      </c>
      <c r="E1406">
        <f t="shared" si="93"/>
        <v>8</v>
      </c>
      <c r="F1406">
        <f t="shared" si="94"/>
        <v>2024</v>
      </c>
      <c r="G1406" t="s">
        <v>81</v>
      </c>
      <c r="H1406" s="98">
        <v>10737</v>
      </c>
      <c r="I1406" s="29">
        <v>33747.75</v>
      </c>
      <c r="J1406" s="12" t="s">
        <v>31</v>
      </c>
      <c r="K1406" s="76">
        <f t="shared" si="97"/>
        <v>33747.75</v>
      </c>
      <c r="L1406">
        <v>1</v>
      </c>
      <c r="M1406" s="29">
        <v>0</v>
      </c>
      <c r="N1406" t="s">
        <v>32</v>
      </c>
      <c r="O1406" t="s">
        <v>33</v>
      </c>
      <c r="P1406" t="s">
        <v>34</v>
      </c>
      <c r="Q1406" t="s">
        <v>34</v>
      </c>
      <c r="R1406" t="s">
        <v>34</v>
      </c>
      <c r="S1406" t="s">
        <v>34</v>
      </c>
      <c r="T1406" s="117">
        <v>0</v>
      </c>
    </row>
    <row r="1407" spans="1:21" x14ac:dyDescent="0.35">
      <c r="A1407" t="s">
        <v>20</v>
      </c>
      <c r="B1407" t="s">
        <v>21</v>
      </c>
      <c r="C1407" s="1">
        <v>45512</v>
      </c>
      <c r="D1407">
        <f t="shared" si="92"/>
        <v>8</v>
      </c>
      <c r="E1407">
        <f t="shared" si="93"/>
        <v>8</v>
      </c>
      <c r="F1407">
        <f t="shared" si="94"/>
        <v>2024</v>
      </c>
      <c r="G1407" t="s">
        <v>45</v>
      </c>
      <c r="H1407" s="98">
        <v>10868</v>
      </c>
      <c r="I1407" s="29">
        <v>89.1</v>
      </c>
      <c r="J1407" s="12" t="s">
        <v>31</v>
      </c>
      <c r="K1407" s="76">
        <f t="shared" si="97"/>
        <v>89.1</v>
      </c>
      <c r="L1407">
        <v>1</v>
      </c>
      <c r="M1407" s="29">
        <v>0</v>
      </c>
      <c r="N1407" t="s">
        <v>32</v>
      </c>
      <c r="O1407" t="s">
        <v>33</v>
      </c>
      <c r="P1407" t="s">
        <v>34</v>
      </c>
      <c r="Q1407" t="s">
        <v>34</v>
      </c>
      <c r="R1407" t="s">
        <v>34</v>
      </c>
      <c r="S1407" t="s">
        <v>34</v>
      </c>
      <c r="T1407" s="117">
        <v>0</v>
      </c>
    </row>
    <row r="1408" spans="1:21" x14ac:dyDescent="0.35">
      <c r="A1408" t="s">
        <v>20</v>
      </c>
      <c r="B1408" t="s">
        <v>21</v>
      </c>
      <c r="C1408" s="1">
        <v>45512</v>
      </c>
      <c r="D1408">
        <f t="shared" si="92"/>
        <v>8</v>
      </c>
      <c r="E1408">
        <f t="shared" si="93"/>
        <v>8</v>
      </c>
      <c r="F1408">
        <f t="shared" si="94"/>
        <v>2024</v>
      </c>
      <c r="G1408" t="s">
        <v>45</v>
      </c>
      <c r="H1408" s="98">
        <v>10778</v>
      </c>
      <c r="I1408" s="29">
        <v>32337.360000000001</v>
      </c>
      <c r="J1408" s="12" t="s">
        <v>31</v>
      </c>
      <c r="K1408" s="76">
        <f t="shared" si="97"/>
        <v>32337.360000000001</v>
      </c>
      <c r="L1408">
        <v>1</v>
      </c>
      <c r="M1408" s="29">
        <v>0</v>
      </c>
      <c r="N1408" t="s">
        <v>32</v>
      </c>
      <c r="O1408" t="s">
        <v>33</v>
      </c>
      <c r="P1408" t="s">
        <v>34</v>
      </c>
      <c r="Q1408" t="s">
        <v>34</v>
      </c>
      <c r="R1408" t="s">
        <v>34</v>
      </c>
      <c r="S1408" t="s">
        <v>34</v>
      </c>
      <c r="T1408" s="117">
        <v>0</v>
      </c>
    </row>
    <row r="1409" spans="1:20" x14ac:dyDescent="0.35">
      <c r="A1409" t="s">
        <v>20</v>
      </c>
      <c r="B1409" t="s">
        <v>24</v>
      </c>
      <c r="C1409" s="1">
        <v>45512</v>
      </c>
      <c r="D1409">
        <f t="shared" si="92"/>
        <v>8</v>
      </c>
      <c r="E1409">
        <f t="shared" si="93"/>
        <v>8</v>
      </c>
      <c r="F1409">
        <f t="shared" si="94"/>
        <v>2024</v>
      </c>
      <c r="G1409" t="s">
        <v>45</v>
      </c>
      <c r="H1409" s="98">
        <v>10778</v>
      </c>
      <c r="I1409" s="29">
        <v>24437.19</v>
      </c>
      <c r="J1409" s="12" t="s">
        <v>31</v>
      </c>
      <c r="K1409" s="76">
        <f t="shared" si="97"/>
        <v>24437.19</v>
      </c>
      <c r="L1409">
        <v>1</v>
      </c>
      <c r="M1409" s="29">
        <v>0</v>
      </c>
      <c r="N1409" t="s">
        <v>32</v>
      </c>
      <c r="O1409" t="s">
        <v>33</v>
      </c>
      <c r="P1409" t="s">
        <v>34</v>
      </c>
      <c r="Q1409" t="s">
        <v>34</v>
      </c>
      <c r="R1409" t="s">
        <v>34</v>
      </c>
      <c r="S1409" t="s">
        <v>34</v>
      </c>
      <c r="T1409" s="117">
        <v>0</v>
      </c>
    </row>
    <row r="1410" spans="1:20" x14ac:dyDescent="0.35">
      <c r="A1410" t="s">
        <v>20</v>
      </c>
      <c r="B1410" t="s">
        <v>21</v>
      </c>
      <c r="C1410" s="1">
        <v>45512</v>
      </c>
      <c r="D1410">
        <f t="shared" ref="D1410:D1473" si="98">DAY(C1410)</f>
        <v>8</v>
      </c>
      <c r="E1410">
        <f t="shared" ref="E1410:E1473" si="99">MONTH(C1410)</f>
        <v>8</v>
      </c>
      <c r="F1410">
        <f t="shared" ref="F1410:F1473" si="100">YEAR(C1410)</f>
        <v>2024</v>
      </c>
      <c r="G1410" t="s">
        <v>45</v>
      </c>
      <c r="H1410" s="98">
        <v>10775</v>
      </c>
      <c r="I1410" s="29">
        <v>96</v>
      </c>
      <c r="J1410" s="12" t="s">
        <v>31</v>
      </c>
      <c r="K1410" s="76">
        <f t="shared" si="97"/>
        <v>96</v>
      </c>
      <c r="L1410">
        <v>1</v>
      </c>
      <c r="M1410" s="29">
        <v>0</v>
      </c>
      <c r="N1410" t="s">
        <v>32</v>
      </c>
      <c r="O1410" t="s">
        <v>33</v>
      </c>
      <c r="P1410" t="s">
        <v>34</v>
      </c>
      <c r="Q1410" t="s">
        <v>34</v>
      </c>
      <c r="R1410" t="s">
        <v>34</v>
      </c>
      <c r="S1410" t="s">
        <v>34</v>
      </c>
      <c r="T1410" s="117">
        <v>0</v>
      </c>
    </row>
    <row r="1411" spans="1:20" x14ac:dyDescent="0.35">
      <c r="A1411" t="s">
        <v>20</v>
      </c>
      <c r="B1411" t="s">
        <v>21</v>
      </c>
      <c r="C1411" s="1">
        <v>45512</v>
      </c>
      <c r="D1411">
        <f t="shared" si="98"/>
        <v>8</v>
      </c>
      <c r="E1411">
        <f t="shared" si="99"/>
        <v>8</v>
      </c>
      <c r="F1411">
        <f t="shared" si="100"/>
        <v>2024</v>
      </c>
      <c r="G1411" t="s">
        <v>45</v>
      </c>
      <c r="H1411" s="98">
        <v>10887</v>
      </c>
      <c r="I1411" s="29">
        <v>57.8</v>
      </c>
      <c r="J1411" s="12" t="s">
        <v>31</v>
      </c>
      <c r="K1411" s="76">
        <f t="shared" si="97"/>
        <v>57.8</v>
      </c>
      <c r="L1411">
        <v>1</v>
      </c>
      <c r="M1411" s="29">
        <v>0</v>
      </c>
      <c r="N1411" t="s">
        <v>32</v>
      </c>
      <c r="O1411" t="s">
        <v>33</v>
      </c>
      <c r="P1411" t="s">
        <v>34</v>
      </c>
      <c r="Q1411" t="s">
        <v>34</v>
      </c>
      <c r="R1411" t="s">
        <v>34</v>
      </c>
      <c r="S1411" t="s">
        <v>34</v>
      </c>
      <c r="T1411" s="117">
        <v>0</v>
      </c>
    </row>
    <row r="1412" spans="1:20" x14ac:dyDescent="0.35">
      <c r="A1412" t="s">
        <v>20</v>
      </c>
      <c r="B1412" t="s">
        <v>23</v>
      </c>
      <c r="C1412" s="1">
        <v>45512</v>
      </c>
      <c r="D1412">
        <f t="shared" si="98"/>
        <v>8</v>
      </c>
      <c r="E1412">
        <f t="shared" si="99"/>
        <v>8</v>
      </c>
      <c r="F1412">
        <f t="shared" si="100"/>
        <v>2024</v>
      </c>
      <c r="G1412" t="s">
        <v>177</v>
      </c>
      <c r="H1412" s="98">
        <v>10986</v>
      </c>
      <c r="I1412" s="29">
        <v>23.94</v>
      </c>
      <c r="J1412" s="12" t="s">
        <v>31</v>
      </c>
      <c r="K1412" s="76">
        <f t="shared" si="97"/>
        <v>23.94</v>
      </c>
      <c r="L1412">
        <v>1</v>
      </c>
      <c r="M1412" s="29">
        <v>0</v>
      </c>
      <c r="N1412" t="s">
        <v>42</v>
      </c>
      <c r="O1412" t="s">
        <v>33</v>
      </c>
      <c r="P1412" t="s">
        <v>34</v>
      </c>
      <c r="Q1412" t="s">
        <v>34</v>
      </c>
      <c r="R1412" t="s">
        <v>34</v>
      </c>
      <c r="S1412" t="s">
        <v>34</v>
      </c>
      <c r="T1412" s="117">
        <v>0</v>
      </c>
    </row>
    <row r="1413" spans="1:20" x14ac:dyDescent="0.35">
      <c r="A1413" t="s">
        <v>20</v>
      </c>
      <c r="B1413" t="s">
        <v>23</v>
      </c>
      <c r="C1413" s="1">
        <v>45512</v>
      </c>
      <c r="D1413">
        <f t="shared" si="98"/>
        <v>8</v>
      </c>
      <c r="E1413">
        <f t="shared" si="99"/>
        <v>8</v>
      </c>
      <c r="F1413">
        <f t="shared" si="100"/>
        <v>2024</v>
      </c>
      <c r="G1413" t="s">
        <v>177</v>
      </c>
      <c r="H1413" s="98">
        <v>10987</v>
      </c>
      <c r="I1413" s="29">
        <v>4788</v>
      </c>
      <c r="J1413" s="12" t="s">
        <v>31</v>
      </c>
      <c r="K1413" s="76">
        <f t="shared" si="97"/>
        <v>4788</v>
      </c>
      <c r="L1413">
        <v>1</v>
      </c>
      <c r="M1413" s="29">
        <v>0</v>
      </c>
      <c r="N1413" t="s">
        <v>42</v>
      </c>
      <c r="O1413" t="s">
        <v>33</v>
      </c>
      <c r="P1413" t="s">
        <v>34</v>
      </c>
      <c r="Q1413" t="s">
        <v>34</v>
      </c>
      <c r="R1413" t="s">
        <v>34</v>
      </c>
      <c r="S1413" t="s">
        <v>34</v>
      </c>
      <c r="T1413" s="117">
        <v>0</v>
      </c>
    </row>
    <row r="1414" spans="1:20" x14ac:dyDescent="0.35">
      <c r="A1414" t="s">
        <v>20</v>
      </c>
      <c r="B1414" t="s">
        <v>23</v>
      </c>
      <c r="C1414" s="1">
        <v>45512</v>
      </c>
      <c r="D1414">
        <f t="shared" si="98"/>
        <v>8</v>
      </c>
      <c r="E1414">
        <f t="shared" si="99"/>
        <v>8</v>
      </c>
      <c r="F1414">
        <f t="shared" si="100"/>
        <v>2024</v>
      </c>
      <c r="G1414" t="s">
        <v>177</v>
      </c>
      <c r="H1414" s="98">
        <v>10812</v>
      </c>
      <c r="I1414" s="29">
        <v>79</v>
      </c>
      <c r="J1414" s="12" t="s">
        <v>31</v>
      </c>
      <c r="K1414" s="76">
        <f t="shared" si="97"/>
        <v>79</v>
      </c>
      <c r="L1414">
        <v>1</v>
      </c>
      <c r="M1414" s="29">
        <v>0</v>
      </c>
      <c r="N1414" t="s">
        <v>32</v>
      </c>
      <c r="O1414" t="s">
        <v>33</v>
      </c>
      <c r="P1414" t="s">
        <v>34</v>
      </c>
      <c r="Q1414" t="s">
        <v>34</v>
      </c>
      <c r="R1414" t="s">
        <v>34</v>
      </c>
      <c r="S1414" t="s">
        <v>34</v>
      </c>
      <c r="T1414" s="117">
        <v>0</v>
      </c>
    </row>
    <row r="1415" spans="1:20" x14ac:dyDescent="0.35">
      <c r="A1415" t="s">
        <v>20</v>
      </c>
      <c r="B1415" t="s">
        <v>23</v>
      </c>
      <c r="C1415" s="1">
        <v>45512</v>
      </c>
      <c r="D1415">
        <f t="shared" si="98"/>
        <v>8</v>
      </c>
      <c r="E1415">
        <f t="shared" si="99"/>
        <v>8</v>
      </c>
      <c r="F1415">
        <f t="shared" si="100"/>
        <v>2024</v>
      </c>
      <c r="G1415" t="s">
        <v>53</v>
      </c>
      <c r="H1415" s="171">
        <v>10731</v>
      </c>
      <c r="I1415" s="29">
        <v>5121.2700000000004</v>
      </c>
      <c r="J1415" s="12" t="s">
        <v>31</v>
      </c>
      <c r="K1415" s="76">
        <f t="shared" si="97"/>
        <v>5121.2700000000004</v>
      </c>
      <c r="L1415">
        <v>1</v>
      </c>
      <c r="M1415" s="29">
        <v>0</v>
      </c>
      <c r="N1415" t="s">
        <v>32</v>
      </c>
      <c r="O1415" t="s">
        <v>33</v>
      </c>
      <c r="P1415" t="s">
        <v>34</v>
      </c>
      <c r="Q1415" t="s">
        <v>34</v>
      </c>
      <c r="R1415" t="s">
        <v>34</v>
      </c>
      <c r="S1415" t="s">
        <v>34</v>
      </c>
      <c r="T1415" s="117">
        <v>0</v>
      </c>
    </row>
    <row r="1416" spans="1:20" x14ac:dyDescent="0.35">
      <c r="A1416" t="s">
        <v>20</v>
      </c>
      <c r="B1416" t="s">
        <v>25</v>
      </c>
      <c r="C1416" s="1">
        <v>45512</v>
      </c>
      <c r="D1416">
        <f t="shared" si="98"/>
        <v>8</v>
      </c>
      <c r="E1416">
        <f t="shared" si="99"/>
        <v>8</v>
      </c>
      <c r="F1416">
        <f t="shared" si="100"/>
        <v>2024</v>
      </c>
      <c r="G1416" t="s">
        <v>53</v>
      </c>
      <c r="H1416" s="171">
        <v>10745</v>
      </c>
      <c r="I1416" s="29">
        <v>8518.5400000000009</v>
      </c>
      <c r="J1416" s="12" t="s">
        <v>31</v>
      </c>
      <c r="K1416" s="76">
        <f t="shared" si="97"/>
        <v>8518.5400000000009</v>
      </c>
      <c r="L1416">
        <v>1</v>
      </c>
      <c r="M1416" s="29">
        <v>0</v>
      </c>
      <c r="N1416" t="s">
        <v>32</v>
      </c>
      <c r="O1416" t="s">
        <v>33</v>
      </c>
      <c r="P1416" t="s">
        <v>34</v>
      </c>
      <c r="Q1416" t="s">
        <v>34</v>
      </c>
      <c r="R1416" t="s">
        <v>34</v>
      </c>
      <c r="S1416" t="s">
        <v>34</v>
      </c>
      <c r="T1416" s="117">
        <v>0</v>
      </c>
    </row>
    <row r="1417" spans="1:20" x14ac:dyDescent="0.35">
      <c r="A1417" t="s">
        <v>20</v>
      </c>
      <c r="B1417" t="s">
        <v>25</v>
      </c>
      <c r="C1417" s="1">
        <v>45512</v>
      </c>
      <c r="D1417">
        <f t="shared" si="98"/>
        <v>8</v>
      </c>
      <c r="E1417">
        <f t="shared" si="99"/>
        <v>8</v>
      </c>
      <c r="F1417">
        <f t="shared" si="100"/>
        <v>2024</v>
      </c>
      <c r="G1417" t="s">
        <v>442</v>
      </c>
      <c r="H1417" s="98">
        <v>10791</v>
      </c>
      <c r="I1417" s="76">
        <v>52293.120000000003</v>
      </c>
      <c r="J1417" s="12" t="s">
        <v>51</v>
      </c>
      <c r="K1417" s="76">
        <f t="shared" si="97"/>
        <v>57234.819840000004</v>
      </c>
      <c r="L1417">
        <v>1.0945</v>
      </c>
      <c r="M1417" s="29">
        <v>0</v>
      </c>
      <c r="N1417" t="s">
        <v>32</v>
      </c>
      <c r="O1417" t="s">
        <v>33</v>
      </c>
      <c r="P1417" t="s">
        <v>34</v>
      </c>
      <c r="Q1417" t="s">
        <v>34</v>
      </c>
      <c r="R1417" t="s">
        <v>34</v>
      </c>
      <c r="S1417" t="s">
        <v>34</v>
      </c>
      <c r="T1417" s="117">
        <v>0</v>
      </c>
    </row>
    <row r="1418" spans="1:20" x14ac:dyDescent="0.35">
      <c r="A1418" t="s">
        <v>20</v>
      </c>
      <c r="B1418" t="s">
        <v>25</v>
      </c>
      <c r="C1418" s="1">
        <v>45512</v>
      </c>
      <c r="D1418">
        <f t="shared" si="98"/>
        <v>8</v>
      </c>
      <c r="E1418">
        <f t="shared" si="99"/>
        <v>8</v>
      </c>
      <c r="F1418">
        <f t="shared" si="100"/>
        <v>2024</v>
      </c>
      <c r="G1418" t="s">
        <v>442</v>
      </c>
      <c r="H1418" s="98">
        <v>10420</v>
      </c>
      <c r="I1418" s="76">
        <v>56400.44</v>
      </c>
      <c r="J1418" s="12" t="s">
        <v>51</v>
      </c>
      <c r="K1418" s="76">
        <f t="shared" si="97"/>
        <v>61730.281580000003</v>
      </c>
      <c r="L1418">
        <v>1.0945</v>
      </c>
      <c r="M1418" s="29">
        <v>0</v>
      </c>
      <c r="N1418" t="s">
        <v>32</v>
      </c>
      <c r="O1418" t="s">
        <v>33</v>
      </c>
      <c r="P1418" t="s">
        <v>34</v>
      </c>
      <c r="Q1418" t="s">
        <v>34</v>
      </c>
      <c r="R1418" t="s">
        <v>34</v>
      </c>
      <c r="S1418" t="s">
        <v>34</v>
      </c>
      <c r="T1418" s="117">
        <v>0</v>
      </c>
    </row>
    <row r="1419" spans="1:20" x14ac:dyDescent="0.35">
      <c r="A1419" t="s">
        <v>20</v>
      </c>
      <c r="B1419" t="s">
        <v>23</v>
      </c>
      <c r="C1419" s="1">
        <v>45512</v>
      </c>
      <c r="D1419">
        <f t="shared" si="98"/>
        <v>8</v>
      </c>
      <c r="E1419">
        <f t="shared" si="99"/>
        <v>8</v>
      </c>
      <c r="F1419">
        <f t="shared" si="100"/>
        <v>2024</v>
      </c>
      <c r="G1419" t="s">
        <v>82</v>
      </c>
      <c r="H1419" s="98">
        <v>10672</v>
      </c>
      <c r="I1419" s="29">
        <v>129.19999999999999</v>
      </c>
      <c r="J1419" s="12" t="s">
        <v>31</v>
      </c>
      <c r="K1419" s="76">
        <f t="shared" si="97"/>
        <v>129.19999999999999</v>
      </c>
      <c r="L1419">
        <v>1</v>
      </c>
      <c r="M1419" s="29">
        <v>0</v>
      </c>
      <c r="N1419" t="s">
        <v>32</v>
      </c>
      <c r="O1419" t="s">
        <v>33</v>
      </c>
      <c r="P1419" t="s">
        <v>34</v>
      </c>
      <c r="Q1419" t="s">
        <v>34</v>
      </c>
      <c r="R1419" t="s">
        <v>34</v>
      </c>
      <c r="S1419" t="s">
        <v>34</v>
      </c>
      <c r="T1419" s="117">
        <v>0</v>
      </c>
    </row>
    <row r="1420" spans="1:20" x14ac:dyDescent="0.35">
      <c r="A1420" t="s">
        <v>20</v>
      </c>
      <c r="B1420" t="s">
        <v>23</v>
      </c>
      <c r="C1420" s="1">
        <v>45512</v>
      </c>
      <c r="D1420">
        <f t="shared" si="98"/>
        <v>8</v>
      </c>
      <c r="E1420">
        <f t="shared" si="99"/>
        <v>8</v>
      </c>
      <c r="F1420">
        <f t="shared" si="100"/>
        <v>2024</v>
      </c>
      <c r="G1420" t="s">
        <v>82</v>
      </c>
      <c r="H1420" s="98">
        <v>10705</v>
      </c>
      <c r="I1420" s="29">
        <v>36.200000000000003</v>
      </c>
      <c r="J1420" s="12" t="s">
        <v>31</v>
      </c>
      <c r="K1420" s="76">
        <f t="shared" si="97"/>
        <v>36.200000000000003</v>
      </c>
      <c r="L1420">
        <v>1</v>
      </c>
      <c r="M1420" s="29">
        <v>0</v>
      </c>
      <c r="N1420" t="s">
        <v>32</v>
      </c>
      <c r="O1420" t="s">
        <v>33</v>
      </c>
      <c r="P1420" t="s">
        <v>34</v>
      </c>
      <c r="Q1420" t="s">
        <v>34</v>
      </c>
      <c r="R1420" t="s">
        <v>34</v>
      </c>
      <c r="S1420" t="s">
        <v>34</v>
      </c>
      <c r="T1420" s="117">
        <v>0</v>
      </c>
    </row>
    <row r="1421" spans="1:20" x14ac:dyDescent="0.35">
      <c r="A1421" t="s">
        <v>20</v>
      </c>
      <c r="B1421" t="s">
        <v>23</v>
      </c>
      <c r="C1421" s="1">
        <v>45512</v>
      </c>
      <c r="D1421">
        <f t="shared" si="98"/>
        <v>8</v>
      </c>
      <c r="E1421">
        <f t="shared" si="99"/>
        <v>8</v>
      </c>
      <c r="F1421">
        <f t="shared" si="100"/>
        <v>2024</v>
      </c>
      <c r="G1421" t="s">
        <v>82</v>
      </c>
      <c r="H1421" s="98">
        <v>10773</v>
      </c>
      <c r="I1421" s="29">
        <v>31</v>
      </c>
      <c r="J1421" s="12" t="s">
        <v>31</v>
      </c>
      <c r="K1421" s="76">
        <f t="shared" si="97"/>
        <v>31</v>
      </c>
      <c r="L1421">
        <v>1</v>
      </c>
      <c r="M1421" s="29">
        <v>0</v>
      </c>
      <c r="N1421" t="s">
        <v>32</v>
      </c>
      <c r="O1421" t="s">
        <v>33</v>
      </c>
      <c r="P1421" t="s">
        <v>34</v>
      </c>
      <c r="Q1421" t="s">
        <v>34</v>
      </c>
      <c r="R1421" t="s">
        <v>34</v>
      </c>
      <c r="S1421" t="s">
        <v>34</v>
      </c>
      <c r="T1421" s="117">
        <v>0</v>
      </c>
    </row>
    <row r="1422" spans="1:20" x14ac:dyDescent="0.35">
      <c r="A1422" t="s">
        <v>20</v>
      </c>
      <c r="B1422" t="s">
        <v>24</v>
      </c>
      <c r="C1422" s="1">
        <v>45512</v>
      </c>
      <c r="D1422">
        <f t="shared" si="98"/>
        <v>8</v>
      </c>
      <c r="E1422">
        <f t="shared" si="99"/>
        <v>8</v>
      </c>
      <c r="F1422">
        <f t="shared" si="100"/>
        <v>2024</v>
      </c>
      <c r="G1422" t="s">
        <v>85</v>
      </c>
      <c r="H1422" s="98">
        <v>10748</v>
      </c>
      <c r="I1422" s="29">
        <v>16272.74</v>
      </c>
      <c r="J1422" s="12" t="s">
        <v>31</v>
      </c>
      <c r="K1422" s="76">
        <f t="shared" si="97"/>
        <v>16272.74</v>
      </c>
      <c r="L1422">
        <v>1</v>
      </c>
      <c r="M1422" s="29">
        <v>0</v>
      </c>
      <c r="N1422" t="s">
        <v>42</v>
      </c>
      <c r="O1422" t="s">
        <v>33</v>
      </c>
      <c r="P1422" t="s">
        <v>34</v>
      </c>
      <c r="Q1422" t="s">
        <v>34</v>
      </c>
      <c r="R1422" t="s">
        <v>34</v>
      </c>
      <c r="S1422" t="s">
        <v>34</v>
      </c>
      <c r="T1422" s="117">
        <v>0</v>
      </c>
    </row>
    <row r="1423" spans="1:20" x14ac:dyDescent="0.35">
      <c r="A1423" t="s">
        <v>20</v>
      </c>
      <c r="B1423" t="s">
        <v>23</v>
      </c>
      <c r="C1423" s="1">
        <v>45512</v>
      </c>
      <c r="D1423">
        <f t="shared" si="98"/>
        <v>8</v>
      </c>
      <c r="E1423">
        <f t="shared" si="99"/>
        <v>8</v>
      </c>
      <c r="F1423">
        <f t="shared" si="100"/>
        <v>2024</v>
      </c>
      <c r="G1423" t="s">
        <v>48</v>
      </c>
      <c r="H1423" s="98">
        <v>10995</v>
      </c>
      <c r="I1423" s="29">
        <v>95.4</v>
      </c>
      <c r="J1423" s="12" t="s">
        <v>31</v>
      </c>
      <c r="K1423" s="76">
        <f t="shared" si="97"/>
        <v>95.4</v>
      </c>
      <c r="L1423">
        <v>1</v>
      </c>
      <c r="M1423" s="29">
        <v>0</v>
      </c>
      <c r="N1423" t="s">
        <v>42</v>
      </c>
      <c r="O1423" t="s">
        <v>33</v>
      </c>
      <c r="P1423" t="s">
        <v>34</v>
      </c>
      <c r="Q1423" t="s">
        <v>34</v>
      </c>
      <c r="R1423" t="s">
        <v>34</v>
      </c>
      <c r="S1423" t="s">
        <v>34</v>
      </c>
      <c r="T1423" s="117">
        <v>0</v>
      </c>
    </row>
    <row r="1424" spans="1:20" x14ac:dyDescent="0.35">
      <c r="A1424" t="s">
        <v>20</v>
      </c>
      <c r="B1424" t="s">
        <v>23</v>
      </c>
      <c r="C1424" s="1">
        <v>45512</v>
      </c>
      <c r="D1424">
        <f t="shared" si="98"/>
        <v>8</v>
      </c>
      <c r="E1424">
        <f t="shared" si="99"/>
        <v>8</v>
      </c>
      <c r="F1424">
        <f t="shared" si="100"/>
        <v>2024</v>
      </c>
      <c r="G1424" t="s">
        <v>48</v>
      </c>
      <c r="H1424" s="98">
        <v>10994</v>
      </c>
      <c r="I1424" s="29">
        <v>5008.5</v>
      </c>
      <c r="J1424" s="12" t="s">
        <v>31</v>
      </c>
      <c r="K1424" s="76">
        <f t="shared" si="97"/>
        <v>5008.5</v>
      </c>
      <c r="L1424">
        <v>1</v>
      </c>
      <c r="M1424" s="29">
        <v>0</v>
      </c>
      <c r="N1424" t="s">
        <v>42</v>
      </c>
      <c r="O1424" t="s">
        <v>33</v>
      </c>
      <c r="P1424" t="s">
        <v>34</v>
      </c>
      <c r="Q1424" t="s">
        <v>34</v>
      </c>
      <c r="R1424" t="s">
        <v>34</v>
      </c>
      <c r="S1424" t="s">
        <v>34</v>
      </c>
      <c r="T1424" s="117">
        <v>0</v>
      </c>
    </row>
    <row r="1425" spans="1:21" x14ac:dyDescent="0.35">
      <c r="A1425" t="s">
        <v>20</v>
      </c>
      <c r="B1425" t="s">
        <v>23</v>
      </c>
      <c r="C1425" s="1">
        <v>45512</v>
      </c>
      <c r="D1425">
        <f t="shared" si="98"/>
        <v>8</v>
      </c>
      <c r="E1425">
        <f t="shared" si="99"/>
        <v>8</v>
      </c>
      <c r="F1425">
        <f t="shared" si="100"/>
        <v>2024</v>
      </c>
      <c r="G1425" t="s">
        <v>89</v>
      </c>
      <c r="H1425" s="98">
        <v>10992</v>
      </c>
      <c r="I1425" s="29">
        <v>37</v>
      </c>
      <c r="J1425" s="12" t="s">
        <v>31</v>
      </c>
      <c r="K1425" s="76">
        <f t="shared" si="97"/>
        <v>37</v>
      </c>
      <c r="L1425">
        <v>1</v>
      </c>
      <c r="M1425" s="29">
        <v>0</v>
      </c>
      <c r="N1425" t="s">
        <v>42</v>
      </c>
      <c r="O1425" t="s">
        <v>33</v>
      </c>
      <c r="P1425" t="s">
        <v>34</v>
      </c>
      <c r="Q1425" t="s">
        <v>34</v>
      </c>
      <c r="R1425" t="s">
        <v>34</v>
      </c>
      <c r="S1425" t="s">
        <v>34</v>
      </c>
      <c r="T1425" s="117">
        <v>0</v>
      </c>
    </row>
    <row r="1426" spans="1:21" x14ac:dyDescent="0.35">
      <c r="A1426" t="s">
        <v>20</v>
      </c>
      <c r="B1426" t="s">
        <v>23</v>
      </c>
      <c r="C1426" s="1">
        <v>45512</v>
      </c>
      <c r="D1426">
        <f t="shared" si="98"/>
        <v>8</v>
      </c>
      <c r="E1426">
        <f t="shared" si="99"/>
        <v>8</v>
      </c>
      <c r="F1426">
        <f t="shared" si="100"/>
        <v>2024</v>
      </c>
      <c r="G1426" t="s">
        <v>89</v>
      </c>
      <c r="H1426" s="98">
        <v>11153</v>
      </c>
      <c r="I1426" s="29">
        <f>6277.5+83</f>
        <v>6360.5</v>
      </c>
      <c r="J1426" s="12" t="s">
        <v>31</v>
      </c>
      <c r="K1426" s="76">
        <f t="shared" si="97"/>
        <v>6360.5</v>
      </c>
      <c r="L1426">
        <v>1</v>
      </c>
      <c r="M1426" s="29">
        <v>0</v>
      </c>
      <c r="N1426" t="s">
        <v>42</v>
      </c>
      <c r="O1426" t="s">
        <v>33</v>
      </c>
      <c r="P1426" t="s">
        <v>34</v>
      </c>
      <c r="Q1426" t="s">
        <v>34</v>
      </c>
      <c r="R1426" t="s">
        <v>34</v>
      </c>
      <c r="S1426" t="s">
        <v>34</v>
      </c>
      <c r="T1426" s="117">
        <v>0</v>
      </c>
      <c r="U1426" s="209" t="s">
        <v>742</v>
      </c>
    </row>
    <row r="1427" spans="1:21" x14ac:dyDescent="0.35">
      <c r="A1427" t="s">
        <v>20</v>
      </c>
      <c r="B1427" t="s">
        <v>21</v>
      </c>
      <c r="C1427" s="1">
        <v>45512</v>
      </c>
      <c r="D1427">
        <f t="shared" si="98"/>
        <v>8</v>
      </c>
      <c r="E1427">
        <f t="shared" si="99"/>
        <v>8</v>
      </c>
      <c r="F1427">
        <f t="shared" si="100"/>
        <v>2024</v>
      </c>
      <c r="G1427" t="s">
        <v>46</v>
      </c>
      <c r="H1427" s="98">
        <v>10996</v>
      </c>
      <c r="I1427" s="29">
        <v>69.75</v>
      </c>
      <c r="J1427" s="12" t="s">
        <v>31</v>
      </c>
      <c r="K1427" s="76">
        <f t="shared" si="97"/>
        <v>69.75</v>
      </c>
      <c r="L1427">
        <v>1</v>
      </c>
      <c r="M1427" s="29">
        <v>0</v>
      </c>
      <c r="N1427" t="s">
        <v>42</v>
      </c>
      <c r="O1427" t="s">
        <v>33</v>
      </c>
      <c r="P1427" t="s">
        <v>34</v>
      </c>
      <c r="Q1427" t="s">
        <v>34</v>
      </c>
      <c r="R1427" t="s">
        <v>34</v>
      </c>
      <c r="S1427" t="s">
        <v>34</v>
      </c>
      <c r="T1427" s="117">
        <v>0</v>
      </c>
    </row>
    <row r="1428" spans="1:21" x14ac:dyDescent="0.35">
      <c r="A1428" t="s">
        <v>20</v>
      </c>
      <c r="B1428" t="s">
        <v>21</v>
      </c>
      <c r="C1428" s="1">
        <v>45512</v>
      </c>
      <c r="D1428">
        <f t="shared" si="98"/>
        <v>8</v>
      </c>
      <c r="E1428">
        <f t="shared" si="99"/>
        <v>8</v>
      </c>
      <c r="F1428">
        <f t="shared" si="100"/>
        <v>2024</v>
      </c>
      <c r="G1428" t="s">
        <v>46</v>
      </c>
      <c r="H1428" s="98">
        <v>10997</v>
      </c>
      <c r="I1428" s="29">
        <v>1090.83</v>
      </c>
      <c r="J1428" s="12" t="s">
        <v>31</v>
      </c>
      <c r="K1428" s="76">
        <f t="shared" si="97"/>
        <v>1090.83</v>
      </c>
      <c r="L1428">
        <v>1</v>
      </c>
      <c r="M1428" s="29">
        <v>0</v>
      </c>
      <c r="N1428" t="s">
        <v>42</v>
      </c>
      <c r="O1428" t="s">
        <v>33</v>
      </c>
      <c r="P1428" t="s">
        <v>34</v>
      </c>
      <c r="Q1428" t="s">
        <v>34</v>
      </c>
      <c r="R1428" t="s">
        <v>34</v>
      </c>
      <c r="S1428" t="s">
        <v>34</v>
      </c>
      <c r="T1428" s="117">
        <v>0</v>
      </c>
    </row>
    <row r="1429" spans="1:21" x14ac:dyDescent="0.35">
      <c r="A1429" t="s">
        <v>19</v>
      </c>
      <c r="B1429" t="s">
        <v>19</v>
      </c>
      <c r="C1429" s="1">
        <v>45512</v>
      </c>
      <c r="D1429">
        <f t="shared" si="98"/>
        <v>8</v>
      </c>
      <c r="E1429">
        <f t="shared" si="99"/>
        <v>8</v>
      </c>
      <c r="F1429">
        <f t="shared" si="100"/>
        <v>2024</v>
      </c>
      <c r="G1429" t="s">
        <v>59</v>
      </c>
      <c r="H1429" s="98" t="s">
        <v>367</v>
      </c>
      <c r="I1429" s="29">
        <v>57881.23</v>
      </c>
      <c r="J1429" s="12" t="s">
        <v>31</v>
      </c>
      <c r="K1429" s="76">
        <f t="shared" si="97"/>
        <v>57881.23</v>
      </c>
      <c r="L1429">
        <v>1</v>
      </c>
      <c r="M1429" s="29">
        <v>0</v>
      </c>
      <c r="N1429" t="s">
        <v>32</v>
      </c>
      <c r="O1429" t="s">
        <v>33</v>
      </c>
      <c r="P1429" t="s">
        <v>34</v>
      </c>
      <c r="Q1429" t="s">
        <v>34</v>
      </c>
      <c r="R1429" t="s">
        <v>34</v>
      </c>
      <c r="S1429" t="s">
        <v>34</v>
      </c>
      <c r="T1429" s="117">
        <v>0</v>
      </c>
    </row>
    <row r="1430" spans="1:21" x14ac:dyDescent="0.35">
      <c r="A1430" t="s">
        <v>19</v>
      </c>
      <c r="B1430" t="s">
        <v>19</v>
      </c>
      <c r="C1430" s="1">
        <v>45512</v>
      </c>
      <c r="D1430">
        <f t="shared" si="98"/>
        <v>8</v>
      </c>
      <c r="E1430">
        <f t="shared" si="99"/>
        <v>8</v>
      </c>
      <c r="F1430">
        <f t="shared" si="100"/>
        <v>2024</v>
      </c>
      <c r="G1430" t="s">
        <v>57</v>
      </c>
      <c r="H1430" s="171" t="s">
        <v>443</v>
      </c>
      <c r="I1430" s="90">
        <v>46492.38</v>
      </c>
      <c r="J1430" s="12" t="s">
        <v>31</v>
      </c>
      <c r="K1430" s="76">
        <f t="shared" si="97"/>
        <v>46492.38</v>
      </c>
      <c r="L1430">
        <v>1</v>
      </c>
      <c r="M1430" s="29">
        <v>0</v>
      </c>
      <c r="N1430" t="s">
        <v>32</v>
      </c>
      <c r="O1430" t="s">
        <v>33</v>
      </c>
      <c r="P1430" t="s">
        <v>34</v>
      </c>
      <c r="Q1430" t="s">
        <v>34</v>
      </c>
      <c r="R1430" t="s">
        <v>34</v>
      </c>
      <c r="S1430" t="s">
        <v>34</v>
      </c>
      <c r="T1430" s="117">
        <v>0</v>
      </c>
    </row>
    <row r="1431" spans="1:21" x14ac:dyDescent="0.35">
      <c r="A1431" t="s">
        <v>19</v>
      </c>
      <c r="B1431" t="s">
        <v>19</v>
      </c>
      <c r="C1431" s="1">
        <v>45512</v>
      </c>
      <c r="D1431">
        <f t="shared" si="98"/>
        <v>8</v>
      </c>
      <c r="E1431">
        <f t="shared" si="99"/>
        <v>8</v>
      </c>
      <c r="F1431">
        <f t="shared" si="100"/>
        <v>2024</v>
      </c>
      <c r="G1431" t="s">
        <v>106</v>
      </c>
      <c r="H1431" s="98" t="s">
        <v>444</v>
      </c>
      <c r="I1431" s="29">
        <v>96448</v>
      </c>
      <c r="J1431" s="12" t="s">
        <v>31</v>
      </c>
      <c r="K1431" s="76">
        <f t="shared" si="97"/>
        <v>96448</v>
      </c>
      <c r="L1431">
        <v>1</v>
      </c>
      <c r="M1431" s="29">
        <v>0</v>
      </c>
      <c r="N1431" t="s">
        <v>32</v>
      </c>
      <c r="O1431" t="s">
        <v>33</v>
      </c>
      <c r="P1431" t="s">
        <v>34</v>
      </c>
      <c r="Q1431" t="s">
        <v>34</v>
      </c>
      <c r="R1431" t="s">
        <v>34</v>
      </c>
      <c r="S1431" t="s">
        <v>34</v>
      </c>
      <c r="T1431" s="117">
        <v>0</v>
      </c>
    </row>
    <row r="1432" spans="1:21" x14ac:dyDescent="0.35">
      <c r="A1432" t="s">
        <v>19</v>
      </c>
      <c r="B1432" t="s">
        <v>19</v>
      </c>
      <c r="C1432" s="1">
        <v>45512</v>
      </c>
      <c r="D1432">
        <f t="shared" si="98"/>
        <v>8</v>
      </c>
      <c r="E1432">
        <f t="shared" si="99"/>
        <v>8</v>
      </c>
      <c r="F1432">
        <f t="shared" si="100"/>
        <v>2024</v>
      </c>
      <c r="G1432" t="s">
        <v>88</v>
      </c>
      <c r="H1432" s="98" t="s">
        <v>445</v>
      </c>
      <c r="I1432" s="29">
        <v>62412.76</v>
      </c>
      <c r="J1432" s="12" t="s">
        <v>31</v>
      </c>
      <c r="K1432" s="76">
        <f t="shared" si="97"/>
        <v>62412.76</v>
      </c>
      <c r="L1432">
        <v>1</v>
      </c>
      <c r="M1432" s="29">
        <v>0</v>
      </c>
      <c r="N1432" t="s">
        <v>32</v>
      </c>
      <c r="O1432" t="s">
        <v>33</v>
      </c>
      <c r="P1432" t="s">
        <v>34</v>
      </c>
      <c r="Q1432" t="s">
        <v>34</v>
      </c>
      <c r="R1432" t="s">
        <v>34</v>
      </c>
      <c r="S1432" t="s">
        <v>34</v>
      </c>
      <c r="T1432" s="117">
        <v>0</v>
      </c>
    </row>
    <row r="1433" spans="1:21" x14ac:dyDescent="0.35">
      <c r="A1433" t="s">
        <v>19</v>
      </c>
      <c r="B1433" t="s">
        <v>19</v>
      </c>
      <c r="C1433" s="1">
        <v>45512</v>
      </c>
      <c r="D1433">
        <f t="shared" si="98"/>
        <v>8</v>
      </c>
      <c r="E1433">
        <f t="shared" si="99"/>
        <v>8</v>
      </c>
      <c r="F1433">
        <f t="shared" si="100"/>
        <v>2024</v>
      </c>
      <c r="G1433" t="s">
        <v>125</v>
      </c>
      <c r="H1433" s="98" t="s">
        <v>446</v>
      </c>
      <c r="I1433" s="29">
        <v>115683.15</v>
      </c>
      <c r="J1433" s="12" t="s">
        <v>31</v>
      </c>
      <c r="K1433" s="76">
        <f t="shared" si="97"/>
        <v>115683.15</v>
      </c>
      <c r="L1433">
        <v>1</v>
      </c>
      <c r="M1433" s="29">
        <v>0</v>
      </c>
      <c r="N1433" t="s">
        <v>32</v>
      </c>
      <c r="O1433" t="s">
        <v>33</v>
      </c>
      <c r="P1433" t="s">
        <v>34</v>
      </c>
      <c r="Q1433" t="s">
        <v>34</v>
      </c>
      <c r="R1433" t="s">
        <v>34</v>
      </c>
      <c r="S1433" t="s">
        <v>34</v>
      </c>
      <c r="T1433" s="117">
        <v>0</v>
      </c>
    </row>
    <row r="1434" spans="1:21" x14ac:dyDescent="0.35">
      <c r="A1434" t="s">
        <v>19</v>
      </c>
      <c r="B1434" t="s">
        <v>19</v>
      </c>
      <c r="C1434" s="1">
        <v>45512</v>
      </c>
      <c r="D1434">
        <f t="shared" si="98"/>
        <v>8</v>
      </c>
      <c r="E1434">
        <f t="shared" si="99"/>
        <v>8</v>
      </c>
      <c r="F1434">
        <f t="shared" si="100"/>
        <v>2024</v>
      </c>
      <c r="G1434" t="s">
        <v>58</v>
      </c>
      <c r="H1434" s="98" t="s">
        <v>369</v>
      </c>
      <c r="I1434" s="29">
        <v>89361.89</v>
      </c>
      <c r="J1434" s="12" t="s">
        <v>31</v>
      </c>
      <c r="K1434" s="76">
        <f t="shared" si="97"/>
        <v>89361.89</v>
      </c>
      <c r="L1434">
        <v>1</v>
      </c>
      <c r="M1434" s="29">
        <v>0</v>
      </c>
      <c r="N1434" t="s">
        <v>32</v>
      </c>
      <c r="O1434" t="s">
        <v>33</v>
      </c>
      <c r="P1434" t="s">
        <v>34</v>
      </c>
      <c r="Q1434" t="s">
        <v>34</v>
      </c>
      <c r="R1434" t="s">
        <v>34</v>
      </c>
      <c r="S1434" t="s">
        <v>34</v>
      </c>
      <c r="T1434" s="117">
        <v>1759.3</v>
      </c>
    </row>
    <row r="1435" spans="1:21" x14ac:dyDescent="0.35">
      <c r="A1435" t="s">
        <v>19</v>
      </c>
      <c r="B1435" t="s">
        <v>19</v>
      </c>
      <c r="C1435" s="1">
        <v>45512</v>
      </c>
      <c r="D1435">
        <f t="shared" si="98"/>
        <v>8</v>
      </c>
      <c r="E1435">
        <f t="shared" si="99"/>
        <v>8</v>
      </c>
      <c r="F1435">
        <f t="shared" si="100"/>
        <v>2024</v>
      </c>
      <c r="G1435" t="s">
        <v>124</v>
      </c>
      <c r="H1435" s="98" t="s">
        <v>447</v>
      </c>
      <c r="I1435" s="29">
        <v>75003.44</v>
      </c>
      <c r="J1435" s="12" t="s">
        <v>31</v>
      </c>
      <c r="K1435" s="76">
        <f t="shared" ref="K1435:K1466" si="101">IF(J1435="USD",I1435,I1435*L1435)</f>
        <v>75003.44</v>
      </c>
      <c r="L1435">
        <v>1</v>
      </c>
      <c r="M1435" s="29">
        <v>0</v>
      </c>
      <c r="N1435" t="s">
        <v>32</v>
      </c>
      <c r="O1435" t="s">
        <v>33</v>
      </c>
      <c r="P1435" t="s">
        <v>34</v>
      </c>
      <c r="Q1435" t="s">
        <v>34</v>
      </c>
      <c r="R1435" t="s">
        <v>34</v>
      </c>
      <c r="S1435" t="s">
        <v>34</v>
      </c>
      <c r="T1435" s="117">
        <v>0</v>
      </c>
    </row>
    <row r="1436" spans="1:21" x14ac:dyDescent="0.35">
      <c r="A1436" t="s">
        <v>19</v>
      </c>
      <c r="B1436" t="s">
        <v>19</v>
      </c>
      <c r="C1436" s="1">
        <v>45512</v>
      </c>
      <c r="D1436">
        <f t="shared" si="98"/>
        <v>8</v>
      </c>
      <c r="E1436">
        <f t="shared" si="99"/>
        <v>8</v>
      </c>
      <c r="F1436">
        <f t="shared" si="100"/>
        <v>2024</v>
      </c>
      <c r="G1436" t="s">
        <v>56</v>
      </c>
      <c r="H1436" s="98">
        <v>0</v>
      </c>
      <c r="I1436" s="29">
        <v>88.58</v>
      </c>
      <c r="J1436" s="12" t="s">
        <v>31</v>
      </c>
      <c r="K1436" s="76">
        <f t="shared" si="101"/>
        <v>88.58</v>
      </c>
      <c r="L1436">
        <v>1</v>
      </c>
      <c r="M1436" s="29">
        <v>0</v>
      </c>
      <c r="N1436" t="s">
        <v>32</v>
      </c>
      <c r="O1436" t="s">
        <v>33</v>
      </c>
      <c r="P1436" t="s">
        <v>34</v>
      </c>
      <c r="Q1436" t="s">
        <v>34</v>
      </c>
      <c r="R1436" t="s">
        <v>34</v>
      </c>
      <c r="S1436" t="s">
        <v>34</v>
      </c>
      <c r="T1436" s="117">
        <v>0</v>
      </c>
      <c r="U1436" s="209" t="s">
        <v>449</v>
      </c>
    </row>
    <row r="1437" spans="1:21" x14ac:dyDescent="0.35">
      <c r="A1437" t="s">
        <v>19</v>
      </c>
      <c r="B1437" t="s">
        <v>19</v>
      </c>
      <c r="C1437" s="1">
        <v>45512</v>
      </c>
      <c r="D1437">
        <f t="shared" si="98"/>
        <v>8</v>
      </c>
      <c r="E1437">
        <f t="shared" si="99"/>
        <v>8</v>
      </c>
      <c r="F1437">
        <f t="shared" si="100"/>
        <v>2024</v>
      </c>
      <c r="G1437" t="s">
        <v>56</v>
      </c>
      <c r="H1437" s="98" t="s">
        <v>450</v>
      </c>
      <c r="I1437" s="29">
        <v>175037.43</v>
      </c>
      <c r="J1437" s="12" t="s">
        <v>31</v>
      </c>
      <c r="K1437" s="76">
        <f t="shared" si="101"/>
        <v>175037.43</v>
      </c>
      <c r="L1437">
        <v>1</v>
      </c>
      <c r="M1437" s="29">
        <v>0</v>
      </c>
      <c r="N1437" t="s">
        <v>32</v>
      </c>
      <c r="O1437" t="s">
        <v>33</v>
      </c>
      <c r="P1437" t="s">
        <v>34</v>
      </c>
      <c r="Q1437" t="s">
        <v>34</v>
      </c>
      <c r="R1437" t="s">
        <v>34</v>
      </c>
      <c r="S1437" t="s">
        <v>34</v>
      </c>
      <c r="T1437" s="117">
        <v>0</v>
      </c>
    </row>
    <row r="1438" spans="1:21" x14ac:dyDescent="0.35">
      <c r="A1438" t="s">
        <v>19</v>
      </c>
      <c r="B1438" t="s">
        <v>19</v>
      </c>
      <c r="C1438" s="1">
        <v>45512</v>
      </c>
      <c r="D1438">
        <f t="shared" si="98"/>
        <v>8</v>
      </c>
      <c r="E1438">
        <f t="shared" si="99"/>
        <v>8</v>
      </c>
      <c r="F1438">
        <f t="shared" si="100"/>
        <v>2024</v>
      </c>
      <c r="G1438" t="s">
        <v>56</v>
      </c>
      <c r="H1438" s="98" t="s">
        <v>451</v>
      </c>
      <c r="I1438" s="29">
        <v>164825.28</v>
      </c>
      <c r="J1438" s="12" t="s">
        <v>31</v>
      </c>
      <c r="K1438" s="76">
        <f t="shared" si="101"/>
        <v>164825.28</v>
      </c>
      <c r="L1438">
        <v>1</v>
      </c>
      <c r="M1438" s="29">
        <v>0</v>
      </c>
      <c r="N1438" t="s">
        <v>32</v>
      </c>
      <c r="O1438" t="s">
        <v>33</v>
      </c>
      <c r="P1438" t="s">
        <v>34</v>
      </c>
      <c r="Q1438" t="s">
        <v>34</v>
      </c>
      <c r="R1438" t="s">
        <v>34</v>
      </c>
      <c r="S1438" t="s">
        <v>34</v>
      </c>
      <c r="T1438" s="117">
        <v>0</v>
      </c>
    </row>
    <row r="1439" spans="1:21" x14ac:dyDescent="0.35">
      <c r="A1439" t="s">
        <v>19</v>
      </c>
      <c r="B1439" t="s">
        <v>19</v>
      </c>
      <c r="C1439" s="1">
        <v>45512</v>
      </c>
      <c r="D1439">
        <f t="shared" si="98"/>
        <v>8</v>
      </c>
      <c r="E1439">
        <f t="shared" si="99"/>
        <v>8</v>
      </c>
      <c r="F1439">
        <f t="shared" si="100"/>
        <v>2024</v>
      </c>
      <c r="G1439" t="s">
        <v>111</v>
      </c>
      <c r="H1439" s="98" t="s">
        <v>452</v>
      </c>
      <c r="I1439" s="29">
        <v>86171.63</v>
      </c>
      <c r="J1439" s="12" t="s">
        <v>31</v>
      </c>
      <c r="K1439" s="76">
        <f t="shared" si="101"/>
        <v>86171.63</v>
      </c>
      <c r="L1439">
        <v>1</v>
      </c>
      <c r="M1439" s="29">
        <v>0</v>
      </c>
      <c r="N1439" t="s">
        <v>32</v>
      </c>
      <c r="O1439" t="s">
        <v>33</v>
      </c>
      <c r="P1439" t="s">
        <v>34</v>
      </c>
      <c r="Q1439" t="s">
        <v>34</v>
      </c>
      <c r="R1439" t="s">
        <v>34</v>
      </c>
      <c r="S1439" t="s">
        <v>34</v>
      </c>
      <c r="T1439" s="117">
        <v>0</v>
      </c>
    </row>
    <row r="1440" spans="1:21" x14ac:dyDescent="0.35">
      <c r="A1440" t="s">
        <v>19</v>
      </c>
      <c r="B1440" t="s">
        <v>19</v>
      </c>
      <c r="C1440" s="1">
        <v>45512</v>
      </c>
      <c r="D1440">
        <f t="shared" si="98"/>
        <v>8</v>
      </c>
      <c r="E1440">
        <f t="shared" si="99"/>
        <v>8</v>
      </c>
      <c r="F1440">
        <f t="shared" si="100"/>
        <v>2024</v>
      </c>
      <c r="G1440" t="s">
        <v>111</v>
      </c>
      <c r="H1440" s="98" t="s">
        <v>453</v>
      </c>
      <c r="I1440" s="29">
        <v>36511.96</v>
      </c>
      <c r="J1440" s="12" t="s">
        <v>31</v>
      </c>
      <c r="K1440" s="76">
        <f t="shared" si="101"/>
        <v>36511.96</v>
      </c>
      <c r="L1440">
        <v>1</v>
      </c>
      <c r="M1440" s="29">
        <v>0</v>
      </c>
      <c r="N1440" t="s">
        <v>32</v>
      </c>
      <c r="O1440" t="s">
        <v>33</v>
      </c>
      <c r="P1440" t="s">
        <v>34</v>
      </c>
      <c r="Q1440" t="s">
        <v>34</v>
      </c>
      <c r="R1440" t="s">
        <v>34</v>
      </c>
      <c r="S1440" t="s">
        <v>34</v>
      </c>
      <c r="T1440" s="117">
        <v>0</v>
      </c>
    </row>
    <row r="1441" spans="1:21" x14ac:dyDescent="0.35">
      <c r="A1441" t="s">
        <v>19</v>
      </c>
      <c r="B1441" t="s">
        <v>19</v>
      </c>
      <c r="C1441" s="1">
        <v>45512</v>
      </c>
      <c r="D1441">
        <f t="shared" si="98"/>
        <v>8</v>
      </c>
      <c r="E1441">
        <f t="shared" si="99"/>
        <v>8</v>
      </c>
      <c r="F1441">
        <f t="shared" si="100"/>
        <v>2024</v>
      </c>
      <c r="G1441" t="s">
        <v>128</v>
      </c>
      <c r="H1441" s="171" t="s">
        <v>359</v>
      </c>
      <c r="I1441" s="90">
        <v>51502</v>
      </c>
      <c r="J1441" s="12" t="s">
        <v>31</v>
      </c>
      <c r="K1441" s="76">
        <f t="shared" si="101"/>
        <v>51502</v>
      </c>
      <c r="L1441">
        <v>1</v>
      </c>
      <c r="M1441" s="29">
        <v>0</v>
      </c>
      <c r="N1441" t="s">
        <v>42</v>
      </c>
      <c r="O1441" t="s">
        <v>33</v>
      </c>
      <c r="P1441" t="s">
        <v>34</v>
      </c>
      <c r="Q1441" t="s">
        <v>34</v>
      </c>
      <c r="R1441" t="s">
        <v>34</v>
      </c>
      <c r="S1441" t="s">
        <v>34</v>
      </c>
      <c r="T1441" s="117">
        <v>0</v>
      </c>
    </row>
    <row r="1442" spans="1:21" x14ac:dyDescent="0.35">
      <c r="A1442" t="s">
        <v>19</v>
      </c>
      <c r="B1442" t="s">
        <v>19</v>
      </c>
      <c r="C1442" s="1">
        <v>45512</v>
      </c>
      <c r="D1442">
        <f t="shared" si="98"/>
        <v>8</v>
      </c>
      <c r="E1442">
        <f t="shared" si="99"/>
        <v>8</v>
      </c>
      <c r="F1442">
        <f t="shared" si="100"/>
        <v>2024</v>
      </c>
      <c r="G1442" t="s">
        <v>265</v>
      </c>
      <c r="H1442" s="98" t="s">
        <v>331</v>
      </c>
      <c r="I1442" s="29">
        <v>18621.580000000002</v>
      </c>
      <c r="J1442" s="12" t="s">
        <v>31</v>
      </c>
      <c r="K1442" s="76">
        <f t="shared" si="101"/>
        <v>18621.580000000002</v>
      </c>
      <c r="L1442">
        <v>1</v>
      </c>
      <c r="M1442" s="29">
        <v>0</v>
      </c>
      <c r="N1442" t="s">
        <v>32</v>
      </c>
      <c r="O1442" t="s">
        <v>33</v>
      </c>
      <c r="P1442" t="s">
        <v>34</v>
      </c>
      <c r="Q1442" t="s">
        <v>34</v>
      </c>
      <c r="R1442" t="s">
        <v>34</v>
      </c>
      <c r="S1442" t="s">
        <v>34</v>
      </c>
      <c r="T1442" s="117">
        <v>0</v>
      </c>
    </row>
    <row r="1443" spans="1:21" x14ac:dyDescent="0.35">
      <c r="A1443" t="s">
        <v>19</v>
      </c>
      <c r="B1443" t="s">
        <v>19</v>
      </c>
      <c r="C1443" s="1">
        <v>45513</v>
      </c>
      <c r="D1443">
        <f t="shared" si="98"/>
        <v>9</v>
      </c>
      <c r="E1443">
        <f t="shared" si="99"/>
        <v>8</v>
      </c>
      <c r="F1443">
        <f t="shared" si="100"/>
        <v>2024</v>
      </c>
      <c r="G1443" t="s">
        <v>213</v>
      </c>
      <c r="H1443" s="98" t="s">
        <v>448</v>
      </c>
      <c r="I1443" s="29">
        <v>100000</v>
      </c>
      <c r="J1443" s="12" t="s">
        <v>31</v>
      </c>
      <c r="K1443" s="76">
        <f t="shared" si="101"/>
        <v>100000</v>
      </c>
      <c r="L1443">
        <v>1</v>
      </c>
      <c r="M1443" s="29">
        <v>0</v>
      </c>
      <c r="N1443" t="s">
        <v>32</v>
      </c>
      <c r="O1443" t="s">
        <v>33</v>
      </c>
      <c r="P1443" t="s">
        <v>34</v>
      </c>
      <c r="Q1443" t="s">
        <v>34</v>
      </c>
      <c r="R1443" t="s">
        <v>34</v>
      </c>
      <c r="S1443" t="s">
        <v>34</v>
      </c>
      <c r="T1443" s="117">
        <v>0</v>
      </c>
    </row>
    <row r="1444" spans="1:21" x14ac:dyDescent="0.35">
      <c r="A1444" t="s">
        <v>20</v>
      </c>
      <c r="B1444" t="s">
        <v>23</v>
      </c>
      <c r="C1444" s="1">
        <v>45513</v>
      </c>
      <c r="D1444">
        <f t="shared" si="98"/>
        <v>9</v>
      </c>
      <c r="E1444">
        <f t="shared" si="99"/>
        <v>8</v>
      </c>
      <c r="F1444">
        <f t="shared" si="100"/>
        <v>2024</v>
      </c>
      <c r="G1444" t="s">
        <v>97</v>
      </c>
      <c r="H1444" s="98">
        <v>10922</v>
      </c>
      <c r="I1444" s="29">
        <v>93.6</v>
      </c>
      <c r="J1444" s="12" t="s">
        <v>31</v>
      </c>
      <c r="K1444" s="76">
        <f t="shared" si="101"/>
        <v>93.6</v>
      </c>
      <c r="L1444">
        <v>1</v>
      </c>
      <c r="M1444" s="29">
        <v>0</v>
      </c>
      <c r="N1444" t="s">
        <v>32</v>
      </c>
      <c r="O1444" t="s">
        <v>33</v>
      </c>
      <c r="P1444" t="s">
        <v>34</v>
      </c>
      <c r="Q1444" t="s">
        <v>34</v>
      </c>
      <c r="R1444" t="s">
        <v>34</v>
      </c>
      <c r="S1444" t="s">
        <v>34</v>
      </c>
      <c r="T1444" s="117">
        <v>0</v>
      </c>
    </row>
    <row r="1445" spans="1:21" x14ac:dyDescent="0.35">
      <c r="A1445" t="s">
        <v>20</v>
      </c>
      <c r="B1445" t="s">
        <v>24</v>
      </c>
      <c r="C1445" s="1">
        <v>45513</v>
      </c>
      <c r="D1445">
        <f t="shared" si="98"/>
        <v>9</v>
      </c>
      <c r="E1445">
        <f t="shared" si="99"/>
        <v>8</v>
      </c>
      <c r="F1445">
        <f t="shared" si="100"/>
        <v>2024</v>
      </c>
      <c r="G1445" t="s">
        <v>265</v>
      </c>
      <c r="H1445" s="98">
        <v>11001</v>
      </c>
      <c r="I1445" s="29">
        <v>60</v>
      </c>
      <c r="J1445" s="12" t="s">
        <v>31</v>
      </c>
      <c r="K1445" s="76">
        <f t="shared" si="101"/>
        <v>60</v>
      </c>
      <c r="L1445">
        <v>1</v>
      </c>
      <c r="M1445" s="29">
        <v>0</v>
      </c>
      <c r="N1445" t="s">
        <v>42</v>
      </c>
      <c r="O1445" t="s">
        <v>33</v>
      </c>
      <c r="P1445" t="s">
        <v>34</v>
      </c>
      <c r="Q1445" t="s">
        <v>34</v>
      </c>
      <c r="R1445" t="s">
        <v>34</v>
      </c>
      <c r="S1445" t="s">
        <v>34</v>
      </c>
      <c r="T1445" s="117">
        <v>0</v>
      </c>
    </row>
    <row r="1446" spans="1:21" x14ac:dyDescent="0.35">
      <c r="A1446" t="s">
        <v>20</v>
      </c>
      <c r="B1446" t="s">
        <v>24</v>
      </c>
      <c r="C1446" s="1">
        <v>45513</v>
      </c>
      <c r="D1446">
        <f t="shared" si="98"/>
        <v>9</v>
      </c>
      <c r="E1446">
        <f t="shared" si="99"/>
        <v>8</v>
      </c>
      <c r="F1446">
        <f t="shared" si="100"/>
        <v>2024</v>
      </c>
      <c r="G1446" t="s">
        <v>265</v>
      </c>
      <c r="H1446" s="98">
        <v>11002</v>
      </c>
      <c r="I1446" s="29">
        <v>630</v>
      </c>
      <c r="J1446" s="12" t="s">
        <v>31</v>
      </c>
      <c r="K1446" s="76">
        <f t="shared" si="101"/>
        <v>630</v>
      </c>
      <c r="L1446">
        <v>1</v>
      </c>
      <c r="M1446" s="29">
        <v>0</v>
      </c>
      <c r="N1446" t="s">
        <v>42</v>
      </c>
      <c r="O1446" t="s">
        <v>33</v>
      </c>
      <c r="P1446" t="s">
        <v>34</v>
      </c>
      <c r="Q1446" t="s">
        <v>34</v>
      </c>
      <c r="R1446" t="s">
        <v>34</v>
      </c>
      <c r="S1446" t="s">
        <v>34</v>
      </c>
      <c r="T1446" s="117">
        <v>0</v>
      </c>
    </row>
    <row r="1447" spans="1:21" x14ac:dyDescent="0.35">
      <c r="A1447" t="s">
        <v>19</v>
      </c>
      <c r="B1447" t="s">
        <v>26</v>
      </c>
      <c r="C1447" s="1">
        <v>45513</v>
      </c>
      <c r="D1447">
        <f t="shared" si="98"/>
        <v>9</v>
      </c>
      <c r="E1447">
        <f t="shared" si="99"/>
        <v>8</v>
      </c>
      <c r="F1447">
        <f t="shared" si="100"/>
        <v>2024</v>
      </c>
      <c r="G1447" t="s">
        <v>73</v>
      </c>
      <c r="H1447" s="98">
        <v>11052</v>
      </c>
      <c r="I1447" s="29">
        <v>25291.02</v>
      </c>
      <c r="J1447" s="12" t="s">
        <v>51</v>
      </c>
      <c r="K1447" s="76">
        <f t="shared" si="101"/>
        <v>27668.375880000003</v>
      </c>
      <c r="L1447">
        <v>1.0940000000000001</v>
      </c>
      <c r="M1447" s="29">
        <v>0</v>
      </c>
      <c r="N1447" t="s">
        <v>42</v>
      </c>
      <c r="O1447" t="s">
        <v>33</v>
      </c>
      <c r="P1447" t="s">
        <v>34</v>
      </c>
      <c r="Q1447" t="s">
        <v>34</v>
      </c>
      <c r="R1447" t="s">
        <v>34</v>
      </c>
      <c r="S1447" t="s">
        <v>34</v>
      </c>
      <c r="T1447" s="117">
        <v>0</v>
      </c>
      <c r="U1447" s="209" t="s">
        <v>94</v>
      </c>
    </row>
    <row r="1448" spans="1:21" x14ac:dyDescent="0.35">
      <c r="A1448" t="s">
        <v>19</v>
      </c>
      <c r="B1448" t="s">
        <v>26</v>
      </c>
      <c r="C1448" s="1">
        <v>45513</v>
      </c>
      <c r="D1448">
        <f t="shared" si="98"/>
        <v>9</v>
      </c>
      <c r="E1448">
        <f t="shared" si="99"/>
        <v>8</v>
      </c>
      <c r="F1448">
        <f t="shared" si="100"/>
        <v>2024</v>
      </c>
      <c r="G1448" t="s">
        <v>73</v>
      </c>
      <c r="H1448" s="98">
        <v>11053</v>
      </c>
      <c r="I1448" s="29">
        <v>87838.47</v>
      </c>
      <c r="J1448" s="12" t="s">
        <v>51</v>
      </c>
      <c r="K1448" s="76">
        <f t="shared" si="101"/>
        <v>96095.28618000001</v>
      </c>
      <c r="L1448">
        <v>1.0940000000000001</v>
      </c>
      <c r="M1448" s="29">
        <v>0</v>
      </c>
      <c r="N1448" t="s">
        <v>42</v>
      </c>
      <c r="O1448" t="s">
        <v>33</v>
      </c>
      <c r="P1448" t="s">
        <v>34</v>
      </c>
      <c r="Q1448" t="s">
        <v>34</v>
      </c>
      <c r="R1448" t="s">
        <v>34</v>
      </c>
      <c r="S1448" t="s">
        <v>34</v>
      </c>
      <c r="T1448" s="117">
        <v>0</v>
      </c>
      <c r="U1448" s="209" t="s">
        <v>94</v>
      </c>
    </row>
    <row r="1449" spans="1:21" x14ac:dyDescent="0.35">
      <c r="A1449" t="s">
        <v>19</v>
      </c>
      <c r="B1449" t="s">
        <v>26</v>
      </c>
      <c r="C1449" s="1">
        <v>45513</v>
      </c>
      <c r="D1449">
        <f t="shared" si="98"/>
        <v>9</v>
      </c>
      <c r="E1449">
        <f t="shared" si="99"/>
        <v>8</v>
      </c>
      <c r="F1449">
        <f t="shared" si="100"/>
        <v>2024</v>
      </c>
      <c r="G1449" t="s">
        <v>73</v>
      </c>
      <c r="H1449" s="98">
        <v>11068</v>
      </c>
      <c r="I1449" s="29">
        <v>44536.38</v>
      </c>
      <c r="J1449" s="12" t="s">
        <v>51</v>
      </c>
      <c r="K1449" s="76">
        <f t="shared" si="101"/>
        <v>48722.799720000003</v>
      </c>
      <c r="L1449">
        <v>1.0940000000000001</v>
      </c>
      <c r="M1449" s="29">
        <v>0</v>
      </c>
      <c r="N1449" t="s">
        <v>42</v>
      </c>
      <c r="O1449" t="s">
        <v>33</v>
      </c>
      <c r="P1449" t="s">
        <v>34</v>
      </c>
      <c r="Q1449" t="s">
        <v>34</v>
      </c>
      <c r="R1449" t="s">
        <v>34</v>
      </c>
      <c r="S1449" t="s">
        <v>34</v>
      </c>
      <c r="T1449" s="117">
        <v>0</v>
      </c>
      <c r="U1449" s="209" t="s">
        <v>94</v>
      </c>
    </row>
    <row r="1450" spans="1:21" x14ac:dyDescent="0.35">
      <c r="A1450" t="s">
        <v>20</v>
      </c>
      <c r="B1450" t="s">
        <v>25</v>
      </c>
      <c r="C1450" s="1">
        <v>45518</v>
      </c>
      <c r="D1450">
        <f t="shared" si="98"/>
        <v>14</v>
      </c>
      <c r="E1450">
        <f t="shared" si="99"/>
        <v>8</v>
      </c>
      <c r="F1450">
        <f t="shared" si="100"/>
        <v>2024</v>
      </c>
      <c r="G1450" t="s">
        <v>81</v>
      </c>
      <c r="H1450" s="98">
        <v>10739</v>
      </c>
      <c r="I1450" s="29">
        <v>30207.8</v>
      </c>
      <c r="J1450" s="12" t="s">
        <v>31</v>
      </c>
      <c r="K1450" s="76">
        <f t="shared" si="101"/>
        <v>30207.8</v>
      </c>
      <c r="L1450">
        <v>1</v>
      </c>
      <c r="M1450" s="29">
        <v>0</v>
      </c>
      <c r="N1450" t="s">
        <v>32</v>
      </c>
      <c r="O1450" t="s">
        <v>33</v>
      </c>
      <c r="P1450" t="s">
        <v>34</v>
      </c>
      <c r="Q1450" t="s">
        <v>34</v>
      </c>
      <c r="R1450" t="s">
        <v>34</v>
      </c>
      <c r="S1450" t="s">
        <v>34</v>
      </c>
      <c r="T1450" s="117">
        <v>0</v>
      </c>
    </row>
    <row r="1451" spans="1:21" x14ac:dyDescent="0.35">
      <c r="A1451" t="s">
        <v>20</v>
      </c>
      <c r="B1451" t="s">
        <v>25</v>
      </c>
      <c r="C1451" s="1">
        <v>45518</v>
      </c>
      <c r="D1451">
        <f t="shared" si="98"/>
        <v>14</v>
      </c>
      <c r="E1451">
        <f t="shared" si="99"/>
        <v>8</v>
      </c>
      <c r="F1451">
        <f t="shared" si="100"/>
        <v>2024</v>
      </c>
      <c r="G1451" t="s">
        <v>81</v>
      </c>
      <c r="H1451" s="98">
        <v>11030</v>
      </c>
      <c r="I1451" s="29">
        <v>812.5</v>
      </c>
      <c r="J1451" s="12" t="s">
        <v>31</v>
      </c>
      <c r="K1451" s="76">
        <f t="shared" si="101"/>
        <v>812.5</v>
      </c>
      <c r="L1451">
        <v>1</v>
      </c>
      <c r="M1451" s="29">
        <v>0</v>
      </c>
      <c r="N1451" t="s">
        <v>42</v>
      </c>
      <c r="O1451" t="s">
        <v>33</v>
      </c>
      <c r="P1451" t="s">
        <v>34</v>
      </c>
      <c r="Q1451" t="s">
        <v>34</v>
      </c>
      <c r="R1451" t="s">
        <v>34</v>
      </c>
      <c r="S1451" t="s">
        <v>34</v>
      </c>
      <c r="T1451" s="117">
        <v>0</v>
      </c>
    </row>
    <row r="1452" spans="1:21" x14ac:dyDescent="0.35">
      <c r="A1452" t="s">
        <v>20</v>
      </c>
      <c r="B1452" t="s">
        <v>24</v>
      </c>
      <c r="C1452" s="1">
        <v>45518</v>
      </c>
      <c r="D1452">
        <f t="shared" si="98"/>
        <v>14</v>
      </c>
      <c r="E1452">
        <f t="shared" si="99"/>
        <v>8</v>
      </c>
      <c r="F1452">
        <f t="shared" si="100"/>
        <v>2024</v>
      </c>
      <c r="G1452" t="s">
        <v>81</v>
      </c>
      <c r="H1452" s="98">
        <v>11031</v>
      </c>
      <c r="I1452" s="29">
        <v>2442.75</v>
      </c>
      <c r="J1452" s="12" t="s">
        <v>31</v>
      </c>
      <c r="K1452" s="76">
        <f t="shared" si="101"/>
        <v>2442.75</v>
      </c>
      <c r="L1452">
        <v>1</v>
      </c>
      <c r="M1452" s="29">
        <v>0</v>
      </c>
      <c r="N1452" t="s">
        <v>42</v>
      </c>
      <c r="O1452" t="s">
        <v>33</v>
      </c>
      <c r="P1452" t="s">
        <v>34</v>
      </c>
      <c r="Q1452" t="s">
        <v>34</v>
      </c>
      <c r="R1452" t="s">
        <v>34</v>
      </c>
      <c r="S1452" t="s">
        <v>34</v>
      </c>
      <c r="T1452" s="117">
        <v>0</v>
      </c>
    </row>
    <row r="1453" spans="1:21" x14ac:dyDescent="0.35">
      <c r="A1453" t="s">
        <v>20</v>
      </c>
      <c r="B1453" t="s">
        <v>24</v>
      </c>
      <c r="C1453" s="1">
        <v>45518</v>
      </c>
      <c r="D1453">
        <f t="shared" si="98"/>
        <v>14</v>
      </c>
      <c r="E1453">
        <f t="shared" si="99"/>
        <v>8</v>
      </c>
      <c r="F1453">
        <f t="shared" si="100"/>
        <v>2024</v>
      </c>
      <c r="G1453" t="s">
        <v>81</v>
      </c>
      <c r="H1453" s="98">
        <v>11032</v>
      </c>
      <c r="I1453" s="29">
        <v>2820.5</v>
      </c>
      <c r="J1453" s="12" t="s">
        <v>31</v>
      </c>
      <c r="K1453" s="76">
        <f t="shared" si="101"/>
        <v>2820.5</v>
      </c>
      <c r="L1453">
        <v>1</v>
      </c>
      <c r="M1453" s="29">
        <v>0</v>
      </c>
      <c r="N1453" t="s">
        <v>42</v>
      </c>
      <c r="O1453" t="s">
        <v>33</v>
      </c>
      <c r="P1453" t="s">
        <v>34</v>
      </c>
      <c r="Q1453" t="s">
        <v>34</v>
      </c>
      <c r="R1453" t="s">
        <v>34</v>
      </c>
      <c r="S1453" t="s">
        <v>34</v>
      </c>
      <c r="T1453" s="117">
        <v>0</v>
      </c>
    </row>
    <row r="1454" spans="1:21" x14ac:dyDescent="0.35">
      <c r="A1454" t="s">
        <v>20</v>
      </c>
      <c r="B1454" t="s">
        <v>21</v>
      </c>
      <c r="C1454" s="1">
        <v>45518</v>
      </c>
      <c r="D1454">
        <f t="shared" si="98"/>
        <v>14</v>
      </c>
      <c r="E1454">
        <f t="shared" si="99"/>
        <v>8</v>
      </c>
      <c r="F1454">
        <f t="shared" si="100"/>
        <v>2024</v>
      </c>
      <c r="G1454" t="s">
        <v>273</v>
      </c>
      <c r="H1454" s="98">
        <v>10788</v>
      </c>
      <c r="I1454" s="29">
        <v>21425.48</v>
      </c>
      <c r="J1454" s="12" t="s">
        <v>31</v>
      </c>
      <c r="K1454" s="76">
        <f t="shared" si="101"/>
        <v>21425.48</v>
      </c>
      <c r="L1454">
        <v>1</v>
      </c>
      <c r="M1454" s="29">
        <v>0</v>
      </c>
      <c r="N1454" t="s">
        <v>32</v>
      </c>
      <c r="O1454" t="s">
        <v>33</v>
      </c>
      <c r="P1454" t="s">
        <v>34</v>
      </c>
      <c r="Q1454" t="s">
        <v>34</v>
      </c>
      <c r="R1454" t="s">
        <v>34</v>
      </c>
      <c r="S1454" t="s">
        <v>34</v>
      </c>
      <c r="T1454" s="117">
        <v>0</v>
      </c>
    </row>
    <row r="1455" spans="1:21" x14ac:dyDescent="0.35">
      <c r="A1455" t="s">
        <v>20</v>
      </c>
      <c r="B1455" t="s">
        <v>21</v>
      </c>
      <c r="C1455" s="1">
        <v>45518</v>
      </c>
      <c r="D1455">
        <f t="shared" si="98"/>
        <v>14</v>
      </c>
      <c r="E1455">
        <f t="shared" si="99"/>
        <v>8</v>
      </c>
      <c r="F1455">
        <f t="shared" si="100"/>
        <v>2024</v>
      </c>
      <c r="G1455" t="s">
        <v>273</v>
      </c>
      <c r="H1455" s="98">
        <v>10787</v>
      </c>
      <c r="I1455" s="29">
        <v>134.4</v>
      </c>
      <c r="J1455" s="12" t="s">
        <v>31</v>
      </c>
      <c r="K1455" s="76">
        <f t="shared" si="101"/>
        <v>134.4</v>
      </c>
      <c r="L1455">
        <v>1</v>
      </c>
      <c r="M1455" s="29">
        <v>0</v>
      </c>
      <c r="N1455" t="s">
        <v>32</v>
      </c>
      <c r="O1455" t="s">
        <v>33</v>
      </c>
      <c r="P1455" t="s">
        <v>34</v>
      </c>
      <c r="Q1455" t="s">
        <v>34</v>
      </c>
      <c r="R1455" t="s">
        <v>34</v>
      </c>
      <c r="S1455" t="s">
        <v>34</v>
      </c>
      <c r="T1455" s="117">
        <v>0</v>
      </c>
    </row>
    <row r="1456" spans="1:21" x14ac:dyDescent="0.35">
      <c r="A1456" t="s">
        <v>20</v>
      </c>
      <c r="B1456" t="s">
        <v>21</v>
      </c>
      <c r="C1456" s="1">
        <v>45518</v>
      </c>
      <c r="D1456">
        <f t="shared" si="98"/>
        <v>14</v>
      </c>
      <c r="E1456">
        <f t="shared" si="99"/>
        <v>8</v>
      </c>
      <c r="F1456">
        <f t="shared" si="100"/>
        <v>2024</v>
      </c>
      <c r="G1456" t="s">
        <v>273</v>
      </c>
      <c r="H1456" s="98">
        <v>10988</v>
      </c>
      <c r="I1456" s="29">
        <v>75.2</v>
      </c>
      <c r="J1456" s="12" t="s">
        <v>31</v>
      </c>
      <c r="K1456" s="76">
        <f t="shared" si="101"/>
        <v>75.2</v>
      </c>
      <c r="L1456">
        <v>1</v>
      </c>
      <c r="M1456" s="29">
        <v>0</v>
      </c>
      <c r="N1456" t="s">
        <v>32</v>
      </c>
      <c r="O1456" t="s">
        <v>33</v>
      </c>
      <c r="P1456" t="s">
        <v>34</v>
      </c>
      <c r="Q1456" t="s">
        <v>34</v>
      </c>
      <c r="R1456" t="s">
        <v>34</v>
      </c>
      <c r="S1456" t="s">
        <v>34</v>
      </c>
      <c r="T1456" s="117">
        <v>0</v>
      </c>
    </row>
    <row r="1457" spans="1:20" x14ac:dyDescent="0.35">
      <c r="A1457" t="s">
        <v>20</v>
      </c>
      <c r="B1457" t="s">
        <v>23</v>
      </c>
      <c r="C1457" s="1">
        <v>45518</v>
      </c>
      <c r="D1457">
        <f t="shared" si="98"/>
        <v>14</v>
      </c>
      <c r="E1457">
        <f t="shared" si="99"/>
        <v>8</v>
      </c>
      <c r="F1457">
        <f t="shared" si="100"/>
        <v>2024</v>
      </c>
      <c r="G1457" t="s">
        <v>97</v>
      </c>
      <c r="H1457" s="98">
        <v>10923</v>
      </c>
      <c r="I1457" s="29">
        <v>26778.06</v>
      </c>
      <c r="J1457" s="12" t="s">
        <v>31</v>
      </c>
      <c r="K1457" s="76">
        <f t="shared" si="101"/>
        <v>26778.06</v>
      </c>
      <c r="L1457">
        <v>1</v>
      </c>
      <c r="M1457" s="29">
        <v>831.08079999999995</v>
      </c>
      <c r="N1457" t="s">
        <v>32</v>
      </c>
      <c r="O1457" t="s">
        <v>33</v>
      </c>
      <c r="P1457" t="s">
        <v>34</v>
      </c>
      <c r="Q1457" t="s">
        <v>34</v>
      </c>
      <c r="R1457" t="s">
        <v>34</v>
      </c>
      <c r="S1457" t="s">
        <v>34</v>
      </c>
      <c r="T1457" s="117">
        <v>0</v>
      </c>
    </row>
    <row r="1458" spans="1:20" x14ac:dyDescent="0.35">
      <c r="A1458" t="s">
        <v>20</v>
      </c>
      <c r="B1458" t="s">
        <v>25</v>
      </c>
      <c r="C1458" s="1">
        <v>45518</v>
      </c>
      <c r="D1458">
        <f t="shared" si="98"/>
        <v>14</v>
      </c>
      <c r="E1458">
        <f t="shared" si="99"/>
        <v>8</v>
      </c>
      <c r="F1458">
        <f t="shared" si="100"/>
        <v>2024</v>
      </c>
      <c r="G1458" t="s">
        <v>97</v>
      </c>
      <c r="H1458" s="98">
        <v>10923</v>
      </c>
      <c r="I1458" s="29">
        <v>73243.259999999995</v>
      </c>
      <c r="J1458" s="12" t="s">
        <v>31</v>
      </c>
      <c r="K1458" s="76">
        <f t="shared" si="101"/>
        <v>73243.259999999995</v>
      </c>
      <c r="L1458">
        <v>1</v>
      </c>
      <c r="M1458" s="29">
        <v>2266.58</v>
      </c>
      <c r="N1458" t="s">
        <v>32</v>
      </c>
      <c r="O1458" t="s">
        <v>33</v>
      </c>
      <c r="P1458" t="s">
        <v>34</v>
      </c>
      <c r="Q1458" t="s">
        <v>34</v>
      </c>
      <c r="R1458" t="s">
        <v>34</v>
      </c>
      <c r="S1458" t="s">
        <v>34</v>
      </c>
      <c r="T1458" s="117">
        <v>0</v>
      </c>
    </row>
    <row r="1459" spans="1:20" x14ac:dyDescent="0.35">
      <c r="A1459" t="s">
        <v>20</v>
      </c>
      <c r="B1459" t="s">
        <v>21</v>
      </c>
      <c r="C1459" s="1">
        <v>45518</v>
      </c>
      <c r="D1459">
        <f t="shared" si="98"/>
        <v>14</v>
      </c>
      <c r="E1459">
        <f t="shared" si="99"/>
        <v>8</v>
      </c>
      <c r="F1459">
        <f t="shared" si="100"/>
        <v>2024</v>
      </c>
      <c r="G1459" t="s">
        <v>97</v>
      </c>
      <c r="H1459" s="98">
        <v>10923</v>
      </c>
      <c r="I1459" s="29">
        <v>22122.26</v>
      </c>
      <c r="J1459" s="12" t="s">
        <v>31</v>
      </c>
      <c r="K1459" s="76">
        <f t="shared" si="101"/>
        <v>22122.26</v>
      </c>
      <c r="L1459">
        <v>1</v>
      </c>
      <c r="M1459" s="29">
        <v>679.97519999999997</v>
      </c>
      <c r="N1459" t="s">
        <v>32</v>
      </c>
      <c r="O1459" t="s">
        <v>33</v>
      </c>
      <c r="P1459" t="s">
        <v>34</v>
      </c>
      <c r="Q1459" t="s">
        <v>34</v>
      </c>
      <c r="R1459" t="s">
        <v>34</v>
      </c>
      <c r="S1459" t="s">
        <v>34</v>
      </c>
      <c r="T1459" s="117">
        <v>0</v>
      </c>
    </row>
    <row r="1460" spans="1:20" x14ac:dyDescent="0.35">
      <c r="A1460" t="s">
        <v>20</v>
      </c>
      <c r="B1460" t="s">
        <v>25</v>
      </c>
      <c r="C1460" s="1">
        <v>45518</v>
      </c>
      <c r="D1460">
        <f t="shared" si="98"/>
        <v>14</v>
      </c>
      <c r="E1460">
        <f t="shared" si="99"/>
        <v>8</v>
      </c>
      <c r="F1460">
        <f t="shared" si="100"/>
        <v>2024</v>
      </c>
      <c r="G1460" t="s">
        <v>84</v>
      </c>
      <c r="H1460" s="98">
        <v>11037</v>
      </c>
      <c r="I1460" s="29">
        <v>179.6</v>
      </c>
      <c r="J1460" s="12" t="s">
        <v>31</v>
      </c>
      <c r="K1460" s="76">
        <f t="shared" si="101"/>
        <v>179.6</v>
      </c>
      <c r="L1460">
        <v>1</v>
      </c>
      <c r="M1460" s="29">
        <v>0</v>
      </c>
      <c r="N1460" t="s">
        <v>42</v>
      </c>
      <c r="O1460" t="s">
        <v>33</v>
      </c>
      <c r="P1460" t="s">
        <v>34</v>
      </c>
      <c r="Q1460" t="s">
        <v>34</v>
      </c>
      <c r="R1460" t="s">
        <v>34</v>
      </c>
      <c r="S1460" t="s">
        <v>34</v>
      </c>
      <c r="T1460" s="117">
        <v>0</v>
      </c>
    </row>
    <row r="1461" spans="1:20" x14ac:dyDescent="0.35">
      <c r="A1461" t="s">
        <v>20</v>
      </c>
      <c r="B1461" t="s">
        <v>25</v>
      </c>
      <c r="C1461" s="1">
        <v>45518</v>
      </c>
      <c r="D1461">
        <f t="shared" si="98"/>
        <v>14</v>
      </c>
      <c r="E1461">
        <f t="shared" si="99"/>
        <v>8</v>
      </c>
      <c r="F1461">
        <f t="shared" si="100"/>
        <v>2024</v>
      </c>
      <c r="G1461" t="s">
        <v>84</v>
      </c>
      <c r="H1461" s="98">
        <v>11038</v>
      </c>
      <c r="I1461" s="29">
        <v>4053.5</v>
      </c>
      <c r="J1461" s="12" t="s">
        <v>31</v>
      </c>
      <c r="K1461" s="76">
        <f t="shared" si="101"/>
        <v>4053.5</v>
      </c>
      <c r="L1461">
        <v>1</v>
      </c>
      <c r="M1461" s="29">
        <v>0</v>
      </c>
      <c r="N1461" t="s">
        <v>42</v>
      </c>
      <c r="O1461" t="s">
        <v>33</v>
      </c>
      <c r="P1461" t="s">
        <v>34</v>
      </c>
      <c r="Q1461" t="s">
        <v>34</v>
      </c>
      <c r="R1461" t="s">
        <v>34</v>
      </c>
      <c r="S1461" t="s">
        <v>34</v>
      </c>
      <c r="T1461" s="117">
        <v>0</v>
      </c>
    </row>
    <row r="1462" spans="1:20" x14ac:dyDescent="0.35">
      <c r="A1462" t="s">
        <v>20</v>
      </c>
      <c r="B1462" t="s">
        <v>25</v>
      </c>
      <c r="C1462" s="1">
        <v>45518</v>
      </c>
      <c r="D1462">
        <f t="shared" si="98"/>
        <v>14</v>
      </c>
      <c r="E1462">
        <f t="shared" si="99"/>
        <v>8</v>
      </c>
      <c r="F1462">
        <f t="shared" si="100"/>
        <v>2024</v>
      </c>
      <c r="G1462" t="s">
        <v>84</v>
      </c>
      <c r="H1462" s="98">
        <v>11039</v>
      </c>
      <c r="I1462" s="29">
        <v>5186.3999999999996</v>
      </c>
      <c r="J1462" s="12" t="s">
        <v>31</v>
      </c>
      <c r="K1462" s="76">
        <f t="shared" si="101"/>
        <v>5186.3999999999996</v>
      </c>
      <c r="L1462">
        <v>1</v>
      </c>
      <c r="M1462" s="29">
        <v>0</v>
      </c>
      <c r="N1462" t="s">
        <v>42</v>
      </c>
      <c r="O1462" t="s">
        <v>33</v>
      </c>
      <c r="P1462" t="s">
        <v>34</v>
      </c>
      <c r="Q1462" t="s">
        <v>34</v>
      </c>
      <c r="R1462" t="s">
        <v>34</v>
      </c>
      <c r="S1462" t="s">
        <v>34</v>
      </c>
      <c r="T1462" s="117">
        <v>0</v>
      </c>
    </row>
    <row r="1463" spans="1:20" x14ac:dyDescent="0.35">
      <c r="A1463" t="s">
        <v>20</v>
      </c>
      <c r="B1463" t="s">
        <v>21</v>
      </c>
      <c r="C1463" s="1">
        <v>45518</v>
      </c>
      <c r="D1463">
        <f t="shared" si="98"/>
        <v>14</v>
      </c>
      <c r="E1463">
        <f t="shared" si="99"/>
        <v>8</v>
      </c>
      <c r="F1463">
        <f t="shared" si="100"/>
        <v>2024</v>
      </c>
      <c r="G1463" t="s">
        <v>459</v>
      </c>
      <c r="H1463" s="98">
        <v>11020</v>
      </c>
      <c r="I1463" s="29">
        <v>35.4</v>
      </c>
      <c r="J1463" s="12" t="s">
        <v>31</v>
      </c>
      <c r="K1463" s="76">
        <f t="shared" si="101"/>
        <v>35.4</v>
      </c>
      <c r="L1463">
        <v>1</v>
      </c>
      <c r="M1463" s="29">
        <v>0</v>
      </c>
      <c r="N1463" t="s">
        <v>42</v>
      </c>
      <c r="O1463" t="s">
        <v>33</v>
      </c>
      <c r="P1463" t="s">
        <v>34</v>
      </c>
      <c r="Q1463" t="s">
        <v>34</v>
      </c>
      <c r="R1463" t="s">
        <v>34</v>
      </c>
      <c r="S1463" t="s">
        <v>34</v>
      </c>
      <c r="T1463" s="117">
        <v>0</v>
      </c>
    </row>
    <row r="1464" spans="1:20" x14ac:dyDescent="0.35">
      <c r="A1464" t="s">
        <v>20</v>
      </c>
      <c r="B1464" t="s">
        <v>21</v>
      </c>
      <c r="C1464" s="1">
        <v>45518</v>
      </c>
      <c r="D1464">
        <f t="shared" si="98"/>
        <v>14</v>
      </c>
      <c r="E1464">
        <f t="shared" si="99"/>
        <v>8</v>
      </c>
      <c r="F1464">
        <f t="shared" si="100"/>
        <v>2024</v>
      </c>
      <c r="G1464" t="s">
        <v>459</v>
      </c>
      <c r="H1464" s="98">
        <v>11021</v>
      </c>
      <c r="I1464" s="29">
        <v>5569.6</v>
      </c>
      <c r="J1464" s="12" t="s">
        <v>31</v>
      </c>
      <c r="K1464" s="76">
        <f t="shared" si="101"/>
        <v>5569.6</v>
      </c>
      <c r="L1464">
        <v>1</v>
      </c>
      <c r="M1464" s="29">
        <v>0</v>
      </c>
      <c r="N1464" t="s">
        <v>42</v>
      </c>
      <c r="O1464" t="s">
        <v>33</v>
      </c>
      <c r="P1464" t="s">
        <v>34</v>
      </c>
      <c r="Q1464" t="s">
        <v>34</v>
      </c>
      <c r="R1464" t="s">
        <v>34</v>
      </c>
      <c r="S1464" t="s">
        <v>34</v>
      </c>
      <c r="T1464" s="117">
        <v>0</v>
      </c>
    </row>
    <row r="1465" spans="1:20" x14ac:dyDescent="0.35">
      <c r="A1465" t="s">
        <v>20</v>
      </c>
      <c r="B1465" t="s">
        <v>21</v>
      </c>
      <c r="C1465" s="1">
        <v>45518</v>
      </c>
      <c r="D1465">
        <f t="shared" si="98"/>
        <v>14</v>
      </c>
      <c r="E1465">
        <f t="shared" si="99"/>
        <v>8</v>
      </c>
      <c r="F1465">
        <f t="shared" si="100"/>
        <v>2024</v>
      </c>
      <c r="G1465" t="s">
        <v>118</v>
      </c>
      <c r="H1465" s="98">
        <v>10765</v>
      </c>
      <c r="I1465" s="29">
        <v>18297.82</v>
      </c>
      <c r="J1465" s="12" t="s">
        <v>31</v>
      </c>
      <c r="K1465" s="76">
        <f t="shared" si="101"/>
        <v>18297.82</v>
      </c>
      <c r="L1465">
        <v>1</v>
      </c>
      <c r="M1465" s="29">
        <v>0</v>
      </c>
      <c r="N1465" t="s">
        <v>32</v>
      </c>
      <c r="O1465" t="s">
        <v>33</v>
      </c>
      <c r="P1465" t="s">
        <v>34</v>
      </c>
      <c r="Q1465" t="s">
        <v>34</v>
      </c>
      <c r="R1465" t="s">
        <v>34</v>
      </c>
      <c r="S1465" t="s">
        <v>34</v>
      </c>
      <c r="T1465" s="117">
        <v>0</v>
      </c>
    </row>
    <row r="1466" spans="1:20" x14ac:dyDescent="0.35">
      <c r="A1466" t="s">
        <v>20</v>
      </c>
      <c r="B1466" t="s">
        <v>23</v>
      </c>
      <c r="C1466" s="1">
        <v>45518</v>
      </c>
      <c r="D1466">
        <f t="shared" si="98"/>
        <v>14</v>
      </c>
      <c r="E1466">
        <f t="shared" si="99"/>
        <v>8</v>
      </c>
      <c r="F1466">
        <f t="shared" si="100"/>
        <v>2024</v>
      </c>
      <c r="G1466" t="s">
        <v>50</v>
      </c>
      <c r="H1466" s="98">
        <v>10967</v>
      </c>
      <c r="I1466" s="29">
        <v>59</v>
      </c>
      <c r="J1466" s="12" t="s">
        <v>31</v>
      </c>
      <c r="K1466" s="76">
        <f t="shared" si="101"/>
        <v>59</v>
      </c>
      <c r="L1466">
        <v>1</v>
      </c>
      <c r="M1466" s="29">
        <v>0</v>
      </c>
      <c r="N1466" t="s">
        <v>42</v>
      </c>
      <c r="O1466" t="s">
        <v>33</v>
      </c>
      <c r="P1466" t="s">
        <v>34</v>
      </c>
      <c r="Q1466" t="s">
        <v>34</v>
      </c>
      <c r="R1466" t="s">
        <v>34</v>
      </c>
      <c r="S1466" t="s">
        <v>34</v>
      </c>
      <c r="T1466" s="117">
        <v>0</v>
      </c>
    </row>
    <row r="1467" spans="1:20" x14ac:dyDescent="0.35">
      <c r="A1467" t="s">
        <v>20</v>
      </c>
      <c r="B1467" t="s">
        <v>23</v>
      </c>
      <c r="C1467" s="1">
        <v>45518</v>
      </c>
      <c r="D1467">
        <f t="shared" si="98"/>
        <v>14</v>
      </c>
      <c r="E1467">
        <f t="shared" si="99"/>
        <v>8</v>
      </c>
      <c r="F1467">
        <f t="shared" si="100"/>
        <v>2024</v>
      </c>
      <c r="G1467" t="s">
        <v>50</v>
      </c>
      <c r="H1467" s="98">
        <v>10968</v>
      </c>
      <c r="I1467" s="29">
        <v>1475</v>
      </c>
      <c r="J1467" s="12" t="s">
        <v>31</v>
      </c>
      <c r="K1467" s="76">
        <f t="shared" ref="K1467:K1498" si="102">IF(J1467="USD",I1467,I1467*L1467)</f>
        <v>1475</v>
      </c>
      <c r="L1467">
        <v>1</v>
      </c>
      <c r="M1467" s="29">
        <v>0</v>
      </c>
      <c r="N1467" t="s">
        <v>42</v>
      </c>
      <c r="O1467" t="s">
        <v>33</v>
      </c>
      <c r="P1467" t="s">
        <v>34</v>
      </c>
      <c r="Q1467" t="s">
        <v>34</v>
      </c>
      <c r="R1467" t="s">
        <v>34</v>
      </c>
      <c r="S1467" t="s">
        <v>34</v>
      </c>
      <c r="T1467" s="117">
        <v>0</v>
      </c>
    </row>
    <row r="1468" spans="1:20" x14ac:dyDescent="0.35">
      <c r="A1468" t="s">
        <v>20</v>
      </c>
      <c r="B1468" t="s">
        <v>25</v>
      </c>
      <c r="C1468" s="1">
        <v>45518</v>
      </c>
      <c r="D1468">
        <f t="shared" si="98"/>
        <v>14</v>
      </c>
      <c r="E1468">
        <f t="shared" si="99"/>
        <v>8</v>
      </c>
      <c r="F1468">
        <f t="shared" si="100"/>
        <v>2024</v>
      </c>
      <c r="G1468" t="s">
        <v>43</v>
      </c>
      <c r="H1468" s="98">
        <v>10807</v>
      </c>
      <c r="I1468" s="29">
        <v>58714.31</v>
      </c>
      <c r="J1468" s="12" t="s">
        <v>31</v>
      </c>
      <c r="K1468" s="76">
        <f t="shared" si="102"/>
        <v>58714.31</v>
      </c>
      <c r="L1468">
        <v>1</v>
      </c>
      <c r="M1468" s="29">
        <v>0</v>
      </c>
      <c r="N1468" t="s">
        <v>32</v>
      </c>
      <c r="O1468" t="s">
        <v>33</v>
      </c>
      <c r="P1468" t="s">
        <v>34</v>
      </c>
      <c r="Q1468" t="s">
        <v>34</v>
      </c>
      <c r="R1468" t="s">
        <v>34</v>
      </c>
      <c r="S1468" t="s">
        <v>34</v>
      </c>
      <c r="T1468" s="117">
        <v>0</v>
      </c>
    </row>
    <row r="1469" spans="1:20" x14ac:dyDescent="0.35">
      <c r="A1469" t="s">
        <v>20</v>
      </c>
      <c r="B1469" t="s">
        <v>24</v>
      </c>
      <c r="C1469" s="1">
        <v>45518</v>
      </c>
      <c r="D1469">
        <f t="shared" si="98"/>
        <v>14</v>
      </c>
      <c r="E1469">
        <f t="shared" si="99"/>
        <v>8</v>
      </c>
      <c r="F1469">
        <f t="shared" si="100"/>
        <v>2024</v>
      </c>
      <c r="G1469" t="s">
        <v>43</v>
      </c>
      <c r="H1469" s="98">
        <v>10807</v>
      </c>
      <c r="I1469" s="29">
        <v>53977.69</v>
      </c>
      <c r="J1469" s="12" t="s">
        <v>31</v>
      </c>
      <c r="K1469" s="76">
        <f t="shared" si="102"/>
        <v>53977.69</v>
      </c>
      <c r="L1469">
        <v>1</v>
      </c>
      <c r="M1469" s="29">
        <v>0</v>
      </c>
      <c r="N1469" t="s">
        <v>32</v>
      </c>
      <c r="O1469" t="s">
        <v>33</v>
      </c>
      <c r="P1469" t="s">
        <v>34</v>
      </c>
      <c r="Q1469" t="s">
        <v>34</v>
      </c>
      <c r="R1469" t="s">
        <v>34</v>
      </c>
      <c r="S1469" t="s">
        <v>34</v>
      </c>
      <c r="T1469" s="117">
        <v>0</v>
      </c>
    </row>
    <row r="1470" spans="1:20" x14ac:dyDescent="0.35">
      <c r="A1470" t="s">
        <v>20</v>
      </c>
      <c r="B1470" t="s">
        <v>24</v>
      </c>
      <c r="C1470" s="1">
        <v>45518</v>
      </c>
      <c r="D1470">
        <f t="shared" si="98"/>
        <v>14</v>
      </c>
      <c r="E1470">
        <f t="shared" si="99"/>
        <v>8</v>
      </c>
      <c r="F1470">
        <f t="shared" si="100"/>
        <v>2024</v>
      </c>
      <c r="G1470" t="s">
        <v>46</v>
      </c>
      <c r="H1470" s="98">
        <v>11025</v>
      </c>
      <c r="I1470" s="29">
        <v>285</v>
      </c>
      <c r="J1470" s="12" t="s">
        <v>31</v>
      </c>
      <c r="K1470" s="76">
        <f t="shared" si="102"/>
        <v>285</v>
      </c>
      <c r="L1470">
        <v>1</v>
      </c>
      <c r="M1470" s="29">
        <v>0</v>
      </c>
      <c r="N1470" t="s">
        <v>42</v>
      </c>
      <c r="O1470" t="s">
        <v>33</v>
      </c>
      <c r="P1470" t="s">
        <v>34</v>
      </c>
      <c r="Q1470" t="s">
        <v>34</v>
      </c>
      <c r="R1470" t="s">
        <v>34</v>
      </c>
      <c r="S1470" t="s">
        <v>34</v>
      </c>
      <c r="T1470" s="117">
        <v>0</v>
      </c>
    </row>
    <row r="1471" spans="1:20" x14ac:dyDescent="0.35">
      <c r="A1471" t="s">
        <v>20</v>
      </c>
      <c r="B1471" t="s">
        <v>24</v>
      </c>
      <c r="C1471" s="1">
        <v>45518</v>
      </c>
      <c r="D1471">
        <f t="shared" si="98"/>
        <v>14</v>
      </c>
      <c r="E1471">
        <f t="shared" si="99"/>
        <v>8</v>
      </c>
      <c r="F1471">
        <f t="shared" si="100"/>
        <v>2024</v>
      </c>
      <c r="G1471" t="s">
        <v>46</v>
      </c>
      <c r="H1471" s="98">
        <v>11022</v>
      </c>
      <c r="I1471" s="29">
        <v>2268.6</v>
      </c>
      <c r="J1471" s="12" t="s">
        <v>31</v>
      </c>
      <c r="K1471" s="76">
        <f t="shared" si="102"/>
        <v>2268.6</v>
      </c>
      <c r="L1471">
        <v>1</v>
      </c>
      <c r="M1471" s="29">
        <v>0</v>
      </c>
      <c r="N1471" t="s">
        <v>42</v>
      </c>
      <c r="O1471" t="s">
        <v>33</v>
      </c>
      <c r="P1471" t="s">
        <v>34</v>
      </c>
      <c r="Q1471" t="s">
        <v>34</v>
      </c>
      <c r="R1471" t="s">
        <v>34</v>
      </c>
      <c r="S1471" t="s">
        <v>34</v>
      </c>
      <c r="T1471" s="117">
        <v>0</v>
      </c>
    </row>
    <row r="1472" spans="1:20" x14ac:dyDescent="0.35">
      <c r="A1472" t="s">
        <v>19</v>
      </c>
      <c r="B1472" t="s">
        <v>25</v>
      </c>
      <c r="C1472" s="1">
        <v>45518</v>
      </c>
      <c r="D1472">
        <f t="shared" si="98"/>
        <v>14</v>
      </c>
      <c r="E1472">
        <f t="shared" si="99"/>
        <v>8</v>
      </c>
      <c r="F1472">
        <f t="shared" si="100"/>
        <v>2024</v>
      </c>
      <c r="G1472" t="s">
        <v>351</v>
      </c>
      <c r="H1472" s="98">
        <v>10661</v>
      </c>
      <c r="I1472" s="29">
        <v>504</v>
      </c>
      <c r="J1472" s="12" t="s">
        <v>31</v>
      </c>
      <c r="K1472" s="76">
        <f t="shared" si="102"/>
        <v>504</v>
      </c>
      <c r="L1472">
        <v>1</v>
      </c>
      <c r="M1472" s="29">
        <v>0</v>
      </c>
      <c r="N1472" t="s">
        <v>32</v>
      </c>
      <c r="O1472" t="s">
        <v>33</v>
      </c>
      <c r="P1472" t="s">
        <v>34</v>
      </c>
      <c r="Q1472" t="s">
        <v>34</v>
      </c>
      <c r="R1472" t="s">
        <v>34</v>
      </c>
      <c r="S1472" t="s">
        <v>34</v>
      </c>
      <c r="T1472" s="117">
        <v>0</v>
      </c>
    </row>
    <row r="1473" spans="1:20" x14ac:dyDescent="0.35">
      <c r="A1473" t="s">
        <v>19</v>
      </c>
      <c r="B1473" t="s">
        <v>25</v>
      </c>
      <c r="C1473" s="1">
        <v>45518</v>
      </c>
      <c r="D1473">
        <f t="shared" si="98"/>
        <v>14</v>
      </c>
      <c r="E1473">
        <f t="shared" si="99"/>
        <v>8</v>
      </c>
      <c r="F1473">
        <f t="shared" si="100"/>
        <v>2024</v>
      </c>
      <c r="G1473" t="s">
        <v>36</v>
      </c>
      <c r="H1473" s="98">
        <v>10726</v>
      </c>
      <c r="I1473" s="29">
        <v>55055.5</v>
      </c>
      <c r="J1473" s="12" t="s">
        <v>31</v>
      </c>
      <c r="K1473" s="76">
        <f t="shared" si="102"/>
        <v>55055.5</v>
      </c>
      <c r="L1473">
        <v>1</v>
      </c>
      <c r="M1473" s="29">
        <v>0</v>
      </c>
      <c r="N1473" t="s">
        <v>32</v>
      </c>
      <c r="O1473" t="s">
        <v>33</v>
      </c>
      <c r="P1473" t="s">
        <v>34</v>
      </c>
      <c r="Q1473" t="s">
        <v>34</v>
      </c>
      <c r="R1473" t="s">
        <v>34</v>
      </c>
      <c r="S1473" t="s">
        <v>34</v>
      </c>
      <c r="T1473" s="117">
        <v>0</v>
      </c>
    </row>
    <row r="1474" spans="1:20" x14ac:dyDescent="0.35">
      <c r="A1474" t="s">
        <v>19</v>
      </c>
      <c r="B1474" t="s">
        <v>24</v>
      </c>
      <c r="C1474" s="1">
        <v>45518</v>
      </c>
      <c r="D1474">
        <f t="shared" ref="D1474:D1537" si="103">DAY(C1474)</f>
        <v>14</v>
      </c>
      <c r="E1474">
        <f t="shared" ref="E1474:E1537" si="104">MONTH(C1474)</f>
        <v>8</v>
      </c>
      <c r="F1474">
        <f t="shared" ref="F1474:F1537" si="105">YEAR(C1474)</f>
        <v>2024</v>
      </c>
      <c r="G1474" t="s">
        <v>36</v>
      </c>
      <c r="H1474" s="98">
        <v>10857</v>
      </c>
      <c r="I1474" s="29">
        <v>126</v>
      </c>
      <c r="J1474" s="12" t="s">
        <v>31</v>
      </c>
      <c r="K1474" s="76">
        <f t="shared" si="102"/>
        <v>126</v>
      </c>
      <c r="L1474">
        <v>1</v>
      </c>
      <c r="M1474" s="29">
        <v>0</v>
      </c>
      <c r="N1474" t="s">
        <v>32</v>
      </c>
      <c r="O1474" t="s">
        <v>33</v>
      </c>
      <c r="P1474" t="s">
        <v>34</v>
      </c>
      <c r="Q1474" t="s">
        <v>34</v>
      </c>
      <c r="R1474" t="s">
        <v>34</v>
      </c>
      <c r="S1474" t="s">
        <v>34</v>
      </c>
      <c r="T1474" s="117">
        <v>0</v>
      </c>
    </row>
    <row r="1475" spans="1:20" x14ac:dyDescent="0.35">
      <c r="A1475" t="s">
        <v>19</v>
      </c>
      <c r="B1475" t="s">
        <v>24</v>
      </c>
      <c r="C1475" s="1">
        <v>45518</v>
      </c>
      <c r="D1475">
        <f t="shared" si="103"/>
        <v>14</v>
      </c>
      <c r="E1475">
        <f t="shared" si="104"/>
        <v>8</v>
      </c>
      <c r="F1475">
        <f t="shared" si="105"/>
        <v>2024</v>
      </c>
      <c r="G1475" t="s">
        <v>29</v>
      </c>
      <c r="H1475" s="98">
        <v>10446</v>
      </c>
      <c r="I1475" s="29">
        <v>28565.94</v>
      </c>
      <c r="J1475" s="12" t="s">
        <v>31</v>
      </c>
      <c r="K1475" s="76">
        <f t="shared" si="102"/>
        <v>28565.94</v>
      </c>
      <c r="L1475">
        <v>1</v>
      </c>
      <c r="M1475" s="29">
        <v>0</v>
      </c>
      <c r="N1475" t="s">
        <v>32</v>
      </c>
      <c r="O1475" t="s">
        <v>33</v>
      </c>
      <c r="P1475" t="s">
        <v>34</v>
      </c>
      <c r="Q1475" t="s">
        <v>34</v>
      </c>
      <c r="R1475" t="s">
        <v>34</v>
      </c>
      <c r="S1475" t="s">
        <v>34</v>
      </c>
      <c r="T1475" s="117">
        <v>0</v>
      </c>
    </row>
    <row r="1476" spans="1:20" x14ac:dyDescent="0.35">
      <c r="A1476" t="s">
        <v>19</v>
      </c>
      <c r="B1476" t="s">
        <v>24</v>
      </c>
      <c r="C1476" s="1">
        <v>45518</v>
      </c>
      <c r="D1476">
        <f t="shared" si="103"/>
        <v>14</v>
      </c>
      <c r="E1476">
        <f t="shared" si="104"/>
        <v>8</v>
      </c>
      <c r="F1476">
        <f t="shared" si="105"/>
        <v>2024</v>
      </c>
      <c r="G1476" t="s">
        <v>39</v>
      </c>
      <c r="H1476" s="98">
        <v>10502</v>
      </c>
      <c r="I1476" s="29">
        <v>17996</v>
      </c>
      <c r="J1476" s="12" t="s">
        <v>31</v>
      </c>
      <c r="K1476" s="76">
        <f t="shared" si="102"/>
        <v>17996</v>
      </c>
      <c r="L1476">
        <v>1</v>
      </c>
      <c r="M1476" s="29">
        <v>0</v>
      </c>
      <c r="N1476" t="s">
        <v>32</v>
      </c>
      <c r="O1476" t="s">
        <v>33</v>
      </c>
      <c r="P1476" t="s">
        <v>34</v>
      </c>
      <c r="Q1476" t="s">
        <v>34</v>
      </c>
      <c r="R1476" t="s">
        <v>34</v>
      </c>
      <c r="S1476" t="s">
        <v>34</v>
      </c>
      <c r="T1476" s="117">
        <v>0</v>
      </c>
    </row>
    <row r="1477" spans="1:20" x14ac:dyDescent="0.35">
      <c r="A1477" t="s">
        <v>19</v>
      </c>
      <c r="B1477" t="s">
        <v>25</v>
      </c>
      <c r="C1477" s="1">
        <v>45518</v>
      </c>
      <c r="D1477">
        <f t="shared" si="103"/>
        <v>14</v>
      </c>
      <c r="E1477">
        <f t="shared" si="104"/>
        <v>8</v>
      </c>
      <c r="F1477">
        <f t="shared" si="105"/>
        <v>2024</v>
      </c>
      <c r="G1477" t="s">
        <v>39</v>
      </c>
      <c r="H1477" s="98">
        <v>10550</v>
      </c>
      <c r="I1477" s="29">
        <v>33331.83</v>
      </c>
      <c r="J1477" s="12" t="s">
        <v>31</v>
      </c>
      <c r="K1477" s="76">
        <f t="shared" si="102"/>
        <v>33331.83</v>
      </c>
      <c r="L1477">
        <v>1</v>
      </c>
      <c r="M1477" s="29">
        <v>0</v>
      </c>
      <c r="N1477" t="s">
        <v>32</v>
      </c>
      <c r="O1477" t="s">
        <v>33</v>
      </c>
      <c r="P1477" t="s">
        <v>34</v>
      </c>
      <c r="Q1477" t="s">
        <v>34</v>
      </c>
      <c r="R1477" t="s">
        <v>34</v>
      </c>
      <c r="S1477" t="s">
        <v>34</v>
      </c>
      <c r="T1477" s="117">
        <v>0</v>
      </c>
    </row>
    <row r="1478" spans="1:20" x14ac:dyDescent="0.35">
      <c r="A1478" t="s">
        <v>19</v>
      </c>
      <c r="B1478" t="s">
        <v>25</v>
      </c>
      <c r="C1478" s="1">
        <v>45518</v>
      </c>
      <c r="D1478">
        <f t="shared" si="103"/>
        <v>14</v>
      </c>
      <c r="E1478">
        <f t="shared" si="104"/>
        <v>8</v>
      </c>
      <c r="F1478">
        <f t="shared" si="105"/>
        <v>2024</v>
      </c>
      <c r="G1478" t="s">
        <v>39</v>
      </c>
      <c r="H1478" s="98">
        <v>10825</v>
      </c>
      <c r="I1478" s="29">
        <v>71.400000000000006</v>
      </c>
      <c r="J1478" s="12" t="s">
        <v>31</v>
      </c>
      <c r="K1478" s="76">
        <f t="shared" si="102"/>
        <v>71.400000000000006</v>
      </c>
      <c r="L1478">
        <v>1</v>
      </c>
      <c r="M1478" s="29">
        <v>0</v>
      </c>
      <c r="N1478" t="s">
        <v>32</v>
      </c>
      <c r="O1478" t="s">
        <v>33</v>
      </c>
      <c r="P1478" t="s">
        <v>34</v>
      </c>
      <c r="Q1478" t="s">
        <v>34</v>
      </c>
      <c r="R1478" t="s">
        <v>34</v>
      </c>
      <c r="S1478" t="s">
        <v>34</v>
      </c>
      <c r="T1478" s="117">
        <v>0</v>
      </c>
    </row>
    <row r="1479" spans="1:20" x14ac:dyDescent="0.35">
      <c r="A1479" t="s">
        <v>19</v>
      </c>
      <c r="B1479" t="s">
        <v>21</v>
      </c>
      <c r="C1479" s="1">
        <v>45518</v>
      </c>
      <c r="D1479">
        <f t="shared" si="103"/>
        <v>14</v>
      </c>
      <c r="E1479">
        <f t="shared" si="104"/>
        <v>8</v>
      </c>
      <c r="F1479">
        <f t="shared" si="105"/>
        <v>2024</v>
      </c>
      <c r="G1479" t="s">
        <v>39</v>
      </c>
      <c r="H1479" s="98">
        <v>10894</v>
      </c>
      <c r="I1479" s="29">
        <v>34</v>
      </c>
      <c r="J1479" s="12" t="s">
        <v>31</v>
      </c>
      <c r="K1479" s="76">
        <f t="shared" si="102"/>
        <v>34</v>
      </c>
      <c r="L1479">
        <v>1</v>
      </c>
      <c r="M1479" s="29">
        <v>0</v>
      </c>
      <c r="N1479" t="s">
        <v>32</v>
      </c>
      <c r="O1479" t="s">
        <v>33</v>
      </c>
      <c r="P1479" t="s">
        <v>34</v>
      </c>
      <c r="Q1479" t="s">
        <v>34</v>
      </c>
      <c r="R1479" t="s">
        <v>34</v>
      </c>
      <c r="S1479" t="s">
        <v>34</v>
      </c>
      <c r="T1479" s="117">
        <v>0</v>
      </c>
    </row>
    <row r="1480" spans="1:20" x14ac:dyDescent="0.35">
      <c r="A1480" t="s">
        <v>19</v>
      </c>
      <c r="B1480" t="s">
        <v>25</v>
      </c>
      <c r="C1480" s="1">
        <v>45518</v>
      </c>
      <c r="D1480">
        <f t="shared" si="103"/>
        <v>14</v>
      </c>
      <c r="E1480">
        <f t="shared" si="104"/>
        <v>8</v>
      </c>
      <c r="F1480">
        <f t="shared" si="105"/>
        <v>2024</v>
      </c>
      <c r="G1480" t="s">
        <v>39</v>
      </c>
      <c r="H1480" s="98">
        <v>10944</v>
      </c>
      <c r="I1480" s="29">
        <v>19.5</v>
      </c>
      <c r="J1480" s="12" t="s">
        <v>31</v>
      </c>
      <c r="K1480" s="76">
        <f t="shared" si="102"/>
        <v>19.5</v>
      </c>
      <c r="L1480">
        <v>1</v>
      </c>
      <c r="M1480" s="29">
        <v>0</v>
      </c>
      <c r="N1480" t="s">
        <v>32</v>
      </c>
      <c r="O1480" t="s">
        <v>33</v>
      </c>
      <c r="P1480" t="s">
        <v>34</v>
      </c>
      <c r="Q1480" t="s">
        <v>34</v>
      </c>
      <c r="R1480" t="s">
        <v>34</v>
      </c>
      <c r="S1480" t="s">
        <v>34</v>
      </c>
      <c r="T1480" s="117">
        <v>0</v>
      </c>
    </row>
    <row r="1481" spans="1:20" x14ac:dyDescent="0.35">
      <c r="A1481" t="s">
        <v>19</v>
      </c>
      <c r="B1481" t="s">
        <v>25</v>
      </c>
      <c r="C1481" s="1">
        <v>45518</v>
      </c>
      <c r="D1481">
        <f t="shared" si="103"/>
        <v>14</v>
      </c>
      <c r="E1481">
        <f t="shared" si="104"/>
        <v>8</v>
      </c>
      <c r="F1481">
        <f t="shared" si="105"/>
        <v>2024</v>
      </c>
      <c r="G1481" t="s">
        <v>93</v>
      </c>
      <c r="H1481" s="171">
        <v>10786</v>
      </c>
      <c r="I1481" s="90">
        <v>4293.5200000000004</v>
      </c>
      <c r="J1481" s="12" t="s">
        <v>31</v>
      </c>
      <c r="K1481" s="76">
        <f t="shared" si="102"/>
        <v>4293.5200000000004</v>
      </c>
      <c r="L1481">
        <v>1</v>
      </c>
      <c r="M1481" s="29">
        <v>0</v>
      </c>
      <c r="N1481" t="s">
        <v>32</v>
      </c>
      <c r="O1481" t="s">
        <v>33</v>
      </c>
      <c r="P1481" t="s">
        <v>34</v>
      </c>
      <c r="Q1481" t="s">
        <v>34</v>
      </c>
      <c r="R1481" t="s">
        <v>34</v>
      </c>
      <c r="S1481" t="s">
        <v>34</v>
      </c>
      <c r="T1481" s="117">
        <v>0</v>
      </c>
    </row>
    <row r="1482" spans="1:20" x14ac:dyDescent="0.35">
      <c r="A1482" t="s">
        <v>19</v>
      </c>
      <c r="B1482" t="s">
        <v>25</v>
      </c>
      <c r="C1482" s="1">
        <v>45518</v>
      </c>
      <c r="D1482">
        <f t="shared" si="103"/>
        <v>14</v>
      </c>
      <c r="E1482">
        <f t="shared" si="104"/>
        <v>8</v>
      </c>
      <c r="F1482">
        <f t="shared" si="105"/>
        <v>2024</v>
      </c>
      <c r="G1482" t="s">
        <v>38</v>
      </c>
      <c r="H1482" s="98">
        <v>10589</v>
      </c>
      <c r="I1482" s="29">
        <v>386.37</v>
      </c>
      <c r="J1482" s="12" t="s">
        <v>31</v>
      </c>
      <c r="K1482" s="76">
        <f t="shared" si="102"/>
        <v>386.37</v>
      </c>
      <c r="L1482">
        <v>1</v>
      </c>
      <c r="M1482" s="29">
        <v>0</v>
      </c>
      <c r="N1482" t="s">
        <v>32</v>
      </c>
      <c r="O1482" t="s">
        <v>33</v>
      </c>
      <c r="P1482" t="s">
        <v>34</v>
      </c>
      <c r="Q1482" t="s">
        <v>34</v>
      </c>
      <c r="R1482" t="s">
        <v>34</v>
      </c>
      <c r="S1482" t="s">
        <v>34</v>
      </c>
      <c r="T1482" s="117">
        <v>0</v>
      </c>
    </row>
    <row r="1483" spans="1:20" x14ac:dyDescent="0.35">
      <c r="A1483" t="s">
        <v>19</v>
      </c>
      <c r="B1483" t="s">
        <v>25</v>
      </c>
      <c r="C1483" s="1">
        <v>45518</v>
      </c>
      <c r="D1483">
        <f t="shared" si="103"/>
        <v>14</v>
      </c>
      <c r="E1483">
        <f t="shared" si="104"/>
        <v>8</v>
      </c>
      <c r="F1483">
        <f t="shared" si="105"/>
        <v>2024</v>
      </c>
      <c r="G1483" t="s">
        <v>30</v>
      </c>
      <c r="H1483" s="98">
        <v>10724</v>
      </c>
      <c r="I1483" s="29">
        <v>223.65</v>
      </c>
      <c r="J1483" s="12" t="s">
        <v>31</v>
      </c>
      <c r="K1483" s="76">
        <f t="shared" si="102"/>
        <v>223.65</v>
      </c>
      <c r="L1483">
        <v>1</v>
      </c>
      <c r="M1483" s="29">
        <v>0</v>
      </c>
      <c r="N1483" t="s">
        <v>32</v>
      </c>
      <c r="O1483" t="s">
        <v>33</v>
      </c>
      <c r="P1483" t="s">
        <v>34</v>
      </c>
      <c r="Q1483" t="s">
        <v>34</v>
      </c>
      <c r="R1483" t="s">
        <v>34</v>
      </c>
      <c r="S1483" t="s">
        <v>34</v>
      </c>
      <c r="T1483" s="117">
        <v>0</v>
      </c>
    </row>
    <row r="1484" spans="1:20" x14ac:dyDescent="0.35">
      <c r="A1484" t="s">
        <v>19</v>
      </c>
      <c r="B1484" t="s">
        <v>21</v>
      </c>
      <c r="C1484" s="1">
        <v>45518</v>
      </c>
      <c r="D1484">
        <f t="shared" si="103"/>
        <v>14</v>
      </c>
      <c r="E1484">
        <f t="shared" si="104"/>
        <v>8</v>
      </c>
      <c r="F1484">
        <f t="shared" si="105"/>
        <v>2024</v>
      </c>
      <c r="G1484" t="s">
        <v>92</v>
      </c>
      <c r="H1484" s="98">
        <v>10500</v>
      </c>
      <c r="I1484" s="29">
        <v>5384.04</v>
      </c>
      <c r="J1484" s="12" t="s">
        <v>31</v>
      </c>
      <c r="K1484" s="76">
        <f t="shared" si="102"/>
        <v>5384.04</v>
      </c>
      <c r="L1484">
        <v>1</v>
      </c>
      <c r="M1484" s="29">
        <v>0</v>
      </c>
      <c r="N1484" t="s">
        <v>32</v>
      </c>
      <c r="O1484" t="s">
        <v>33</v>
      </c>
      <c r="P1484" t="s">
        <v>34</v>
      </c>
      <c r="Q1484" t="s">
        <v>34</v>
      </c>
      <c r="R1484" t="s">
        <v>34</v>
      </c>
      <c r="S1484" t="s">
        <v>34</v>
      </c>
      <c r="T1484" s="117">
        <v>287.66000000000003</v>
      </c>
    </row>
    <row r="1485" spans="1:20" x14ac:dyDescent="0.35">
      <c r="A1485" t="s">
        <v>19</v>
      </c>
      <c r="B1485" t="s">
        <v>21</v>
      </c>
      <c r="C1485" s="1">
        <v>45518</v>
      </c>
      <c r="D1485">
        <f t="shared" si="103"/>
        <v>14</v>
      </c>
      <c r="E1485">
        <f t="shared" si="104"/>
        <v>8</v>
      </c>
      <c r="F1485">
        <f t="shared" si="105"/>
        <v>2024</v>
      </c>
      <c r="G1485" t="s">
        <v>92</v>
      </c>
      <c r="H1485" s="98">
        <v>10596</v>
      </c>
      <c r="I1485" s="29">
        <v>55.72</v>
      </c>
      <c r="J1485" s="12" t="s">
        <v>31</v>
      </c>
      <c r="K1485" s="76">
        <f t="shared" si="102"/>
        <v>55.72</v>
      </c>
      <c r="L1485">
        <v>1</v>
      </c>
      <c r="M1485" s="29">
        <v>0</v>
      </c>
      <c r="N1485" t="s">
        <v>32</v>
      </c>
      <c r="O1485" t="s">
        <v>33</v>
      </c>
      <c r="P1485" t="s">
        <v>34</v>
      </c>
      <c r="Q1485" t="s">
        <v>34</v>
      </c>
      <c r="R1485" t="s">
        <v>34</v>
      </c>
      <c r="S1485" t="s">
        <v>34</v>
      </c>
      <c r="T1485" s="117">
        <v>0</v>
      </c>
    </row>
    <row r="1486" spans="1:20" x14ac:dyDescent="0.35">
      <c r="A1486" t="s">
        <v>19</v>
      </c>
      <c r="B1486" t="s">
        <v>21</v>
      </c>
      <c r="C1486" s="1">
        <v>45518</v>
      </c>
      <c r="D1486">
        <f t="shared" si="103"/>
        <v>14</v>
      </c>
      <c r="E1486">
        <f t="shared" si="104"/>
        <v>8</v>
      </c>
      <c r="F1486">
        <f t="shared" si="105"/>
        <v>2024</v>
      </c>
      <c r="G1486" t="s">
        <v>92</v>
      </c>
      <c r="H1486" s="98">
        <v>10605</v>
      </c>
      <c r="I1486" s="29">
        <v>4729.62</v>
      </c>
      <c r="J1486" s="12" t="s">
        <v>31</v>
      </c>
      <c r="K1486" s="76">
        <f t="shared" si="102"/>
        <v>4729.62</v>
      </c>
      <c r="L1486">
        <v>1</v>
      </c>
      <c r="M1486" s="29">
        <v>0</v>
      </c>
      <c r="N1486" t="s">
        <v>32</v>
      </c>
      <c r="O1486" t="s">
        <v>33</v>
      </c>
      <c r="P1486" t="s">
        <v>34</v>
      </c>
      <c r="Q1486" t="s">
        <v>34</v>
      </c>
      <c r="R1486" t="s">
        <v>34</v>
      </c>
      <c r="S1486" t="s">
        <v>34</v>
      </c>
      <c r="T1486" s="117">
        <v>0</v>
      </c>
    </row>
    <row r="1487" spans="1:20" x14ac:dyDescent="0.35">
      <c r="A1487" t="s">
        <v>19</v>
      </c>
      <c r="B1487" t="s">
        <v>21</v>
      </c>
      <c r="C1487" s="1">
        <v>45518</v>
      </c>
      <c r="D1487">
        <f t="shared" si="103"/>
        <v>14</v>
      </c>
      <c r="E1487">
        <f t="shared" si="104"/>
        <v>8</v>
      </c>
      <c r="F1487">
        <f t="shared" si="105"/>
        <v>2024</v>
      </c>
      <c r="G1487" t="s">
        <v>285</v>
      </c>
      <c r="H1487" s="98">
        <v>10659</v>
      </c>
      <c r="I1487" s="29">
        <v>28</v>
      </c>
      <c r="J1487" s="12" t="s">
        <v>31</v>
      </c>
      <c r="K1487" s="76">
        <f t="shared" si="102"/>
        <v>28</v>
      </c>
      <c r="L1487">
        <v>1</v>
      </c>
      <c r="M1487" s="29">
        <v>0</v>
      </c>
      <c r="N1487" t="s">
        <v>32</v>
      </c>
      <c r="O1487" t="s">
        <v>33</v>
      </c>
      <c r="P1487" t="s">
        <v>34</v>
      </c>
      <c r="Q1487" t="s">
        <v>34</v>
      </c>
      <c r="R1487" t="s">
        <v>34</v>
      </c>
      <c r="S1487" t="s">
        <v>34</v>
      </c>
      <c r="T1487" s="117">
        <v>0</v>
      </c>
    </row>
    <row r="1488" spans="1:20" x14ac:dyDescent="0.35">
      <c r="A1488" t="s">
        <v>19</v>
      </c>
      <c r="B1488" t="s">
        <v>21</v>
      </c>
      <c r="C1488" s="1">
        <v>45518</v>
      </c>
      <c r="D1488">
        <f t="shared" si="103"/>
        <v>14</v>
      </c>
      <c r="E1488">
        <f t="shared" si="104"/>
        <v>8</v>
      </c>
      <c r="F1488">
        <f t="shared" si="105"/>
        <v>2024</v>
      </c>
      <c r="G1488" t="s">
        <v>285</v>
      </c>
      <c r="H1488" s="98">
        <v>10660</v>
      </c>
      <c r="I1488" s="29">
        <v>11567</v>
      </c>
      <c r="J1488" s="12" t="s">
        <v>31</v>
      </c>
      <c r="K1488" s="76">
        <f t="shared" si="102"/>
        <v>11567</v>
      </c>
      <c r="L1488">
        <v>1</v>
      </c>
      <c r="M1488" s="29">
        <v>0</v>
      </c>
      <c r="N1488" t="s">
        <v>42</v>
      </c>
      <c r="O1488" t="s">
        <v>33</v>
      </c>
      <c r="P1488" t="s">
        <v>34</v>
      </c>
      <c r="Q1488" t="s">
        <v>34</v>
      </c>
      <c r="R1488" t="s">
        <v>34</v>
      </c>
      <c r="S1488" t="s">
        <v>34</v>
      </c>
      <c r="T1488" s="117">
        <v>0</v>
      </c>
    </row>
    <row r="1489" spans="1:21" x14ac:dyDescent="0.35">
      <c r="A1489" t="s">
        <v>19</v>
      </c>
      <c r="B1489" t="s">
        <v>21</v>
      </c>
      <c r="C1489" s="1">
        <v>45518</v>
      </c>
      <c r="D1489">
        <f t="shared" si="103"/>
        <v>14</v>
      </c>
      <c r="E1489">
        <f t="shared" si="104"/>
        <v>8</v>
      </c>
      <c r="F1489">
        <f t="shared" si="105"/>
        <v>2024</v>
      </c>
      <c r="G1489" t="s">
        <v>37</v>
      </c>
      <c r="H1489" s="98">
        <v>10439</v>
      </c>
      <c r="I1489" s="29">
        <v>14760</v>
      </c>
      <c r="J1489" s="12" t="s">
        <v>31</v>
      </c>
      <c r="K1489" s="76">
        <f t="shared" si="102"/>
        <v>14760</v>
      </c>
      <c r="L1489">
        <v>1</v>
      </c>
      <c r="M1489" s="29">
        <v>0</v>
      </c>
      <c r="N1489" t="s">
        <v>32</v>
      </c>
      <c r="O1489" t="s">
        <v>33</v>
      </c>
      <c r="P1489" t="s">
        <v>34</v>
      </c>
      <c r="Q1489" t="s">
        <v>34</v>
      </c>
      <c r="R1489" t="s">
        <v>34</v>
      </c>
      <c r="S1489" t="s">
        <v>34</v>
      </c>
      <c r="T1489" s="117">
        <v>0</v>
      </c>
    </row>
    <row r="1490" spans="1:21" x14ac:dyDescent="0.35">
      <c r="A1490" t="s">
        <v>19</v>
      </c>
      <c r="B1490" t="s">
        <v>21</v>
      </c>
      <c r="C1490" s="1">
        <v>45518</v>
      </c>
      <c r="D1490">
        <f t="shared" si="103"/>
        <v>14</v>
      </c>
      <c r="E1490">
        <f t="shared" si="104"/>
        <v>8</v>
      </c>
      <c r="F1490">
        <f t="shared" si="105"/>
        <v>2024</v>
      </c>
      <c r="G1490" t="s">
        <v>37</v>
      </c>
      <c r="H1490" s="98">
        <v>10609</v>
      </c>
      <c r="I1490" s="29">
        <v>135.4</v>
      </c>
      <c r="J1490" s="12" t="s">
        <v>31</v>
      </c>
      <c r="K1490" s="76">
        <f t="shared" si="102"/>
        <v>135.4</v>
      </c>
      <c r="L1490">
        <v>1</v>
      </c>
      <c r="M1490" s="29">
        <v>0</v>
      </c>
      <c r="N1490" t="s">
        <v>32</v>
      </c>
      <c r="O1490" t="s">
        <v>33</v>
      </c>
      <c r="P1490" t="s">
        <v>34</v>
      </c>
      <c r="Q1490" t="s">
        <v>34</v>
      </c>
      <c r="R1490" t="s">
        <v>34</v>
      </c>
      <c r="S1490" t="s">
        <v>34</v>
      </c>
      <c r="T1490" s="117">
        <v>0</v>
      </c>
    </row>
    <row r="1491" spans="1:21" x14ac:dyDescent="0.35">
      <c r="A1491" t="s">
        <v>19</v>
      </c>
      <c r="B1491" t="s">
        <v>21</v>
      </c>
      <c r="C1491" s="1">
        <v>45518</v>
      </c>
      <c r="D1491">
        <f t="shared" si="103"/>
        <v>14</v>
      </c>
      <c r="E1491">
        <f t="shared" si="104"/>
        <v>8</v>
      </c>
      <c r="F1491">
        <f t="shared" si="105"/>
        <v>2024</v>
      </c>
      <c r="G1491" t="s">
        <v>37</v>
      </c>
      <c r="H1491" s="98">
        <v>10683</v>
      </c>
      <c r="I1491" s="29">
        <v>66.400000000000006</v>
      </c>
      <c r="J1491" s="12" t="s">
        <v>31</v>
      </c>
      <c r="K1491" s="76">
        <f t="shared" si="102"/>
        <v>66.400000000000006</v>
      </c>
      <c r="L1491">
        <v>1</v>
      </c>
      <c r="M1491" s="29">
        <v>0</v>
      </c>
      <c r="N1491" t="s">
        <v>32</v>
      </c>
      <c r="O1491" t="s">
        <v>33</v>
      </c>
      <c r="P1491" t="s">
        <v>34</v>
      </c>
      <c r="Q1491" t="s">
        <v>34</v>
      </c>
      <c r="R1491" t="s">
        <v>34</v>
      </c>
      <c r="S1491" t="s">
        <v>34</v>
      </c>
      <c r="T1491" s="117">
        <v>0</v>
      </c>
    </row>
    <row r="1492" spans="1:21" x14ac:dyDescent="0.35">
      <c r="A1492" t="s">
        <v>19</v>
      </c>
      <c r="B1492" t="s">
        <v>24</v>
      </c>
      <c r="C1492" s="1">
        <v>45518</v>
      </c>
      <c r="D1492">
        <f t="shared" si="103"/>
        <v>14</v>
      </c>
      <c r="E1492">
        <f t="shared" si="104"/>
        <v>8</v>
      </c>
      <c r="F1492">
        <f t="shared" si="105"/>
        <v>2024</v>
      </c>
      <c r="G1492" t="s">
        <v>37</v>
      </c>
      <c r="H1492" s="98">
        <v>10924</v>
      </c>
      <c r="I1492" s="29">
        <v>120.8</v>
      </c>
      <c r="J1492" s="12" t="s">
        <v>31</v>
      </c>
      <c r="K1492" s="76">
        <f t="shared" si="102"/>
        <v>120.8</v>
      </c>
      <c r="L1492">
        <v>1</v>
      </c>
      <c r="M1492" s="29">
        <v>0</v>
      </c>
      <c r="N1492" t="s">
        <v>32</v>
      </c>
      <c r="O1492" t="s">
        <v>33</v>
      </c>
      <c r="P1492" t="s">
        <v>34</v>
      </c>
      <c r="Q1492" t="s">
        <v>34</v>
      </c>
      <c r="R1492" t="s">
        <v>34</v>
      </c>
      <c r="S1492" t="s">
        <v>34</v>
      </c>
      <c r="T1492" s="117">
        <v>0</v>
      </c>
    </row>
    <row r="1493" spans="1:21" x14ac:dyDescent="0.35">
      <c r="A1493" t="s">
        <v>19</v>
      </c>
      <c r="B1493" t="s">
        <v>19</v>
      </c>
      <c r="C1493" s="1">
        <v>45518</v>
      </c>
      <c r="D1493">
        <f t="shared" si="103"/>
        <v>14</v>
      </c>
      <c r="E1493">
        <f t="shared" si="104"/>
        <v>8</v>
      </c>
      <c r="F1493">
        <f t="shared" si="105"/>
        <v>2024</v>
      </c>
      <c r="G1493" t="s">
        <v>57</v>
      </c>
      <c r="H1493" s="171" t="s">
        <v>460</v>
      </c>
      <c r="I1493" s="90">
        <v>106341.15</v>
      </c>
      <c r="J1493" s="12" t="s">
        <v>31</v>
      </c>
      <c r="K1493" s="76">
        <f t="shared" si="102"/>
        <v>106341.15</v>
      </c>
      <c r="L1493">
        <v>1</v>
      </c>
      <c r="M1493" s="29">
        <v>0</v>
      </c>
      <c r="N1493" t="s">
        <v>32</v>
      </c>
      <c r="O1493" t="s">
        <v>33</v>
      </c>
      <c r="P1493" t="s">
        <v>34</v>
      </c>
      <c r="Q1493" t="s">
        <v>34</v>
      </c>
      <c r="R1493" t="s">
        <v>34</v>
      </c>
      <c r="S1493" t="s">
        <v>34</v>
      </c>
      <c r="T1493" s="117">
        <v>0</v>
      </c>
    </row>
    <row r="1494" spans="1:21" x14ac:dyDescent="0.35">
      <c r="A1494" t="s">
        <v>19</v>
      </c>
      <c r="B1494" t="s">
        <v>19</v>
      </c>
      <c r="C1494" s="1">
        <v>45518</v>
      </c>
      <c r="D1494">
        <f t="shared" si="103"/>
        <v>14</v>
      </c>
      <c r="E1494">
        <f t="shared" si="104"/>
        <v>8</v>
      </c>
      <c r="F1494">
        <f t="shared" si="105"/>
        <v>2024</v>
      </c>
      <c r="G1494" t="s">
        <v>91</v>
      </c>
      <c r="H1494" s="98" t="s">
        <v>461</v>
      </c>
      <c r="I1494" s="29">
        <v>63032.42</v>
      </c>
      <c r="J1494" s="12" t="s">
        <v>31</v>
      </c>
      <c r="K1494" s="76">
        <f t="shared" si="102"/>
        <v>63032.42</v>
      </c>
      <c r="L1494">
        <v>1</v>
      </c>
      <c r="M1494" s="29">
        <v>0</v>
      </c>
      <c r="N1494" t="s">
        <v>32</v>
      </c>
      <c r="O1494" t="s">
        <v>33</v>
      </c>
      <c r="P1494" t="s">
        <v>34</v>
      </c>
      <c r="Q1494" t="s">
        <v>34</v>
      </c>
      <c r="R1494" t="s">
        <v>34</v>
      </c>
      <c r="S1494" t="s">
        <v>34</v>
      </c>
      <c r="T1494" s="117">
        <v>0</v>
      </c>
    </row>
    <row r="1495" spans="1:21" x14ac:dyDescent="0.35">
      <c r="A1495" t="s">
        <v>19</v>
      </c>
      <c r="B1495" t="s">
        <v>19</v>
      </c>
      <c r="C1495" s="1">
        <v>45518</v>
      </c>
      <c r="D1495">
        <f t="shared" si="103"/>
        <v>14</v>
      </c>
      <c r="E1495">
        <f t="shared" si="104"/>
        <v>8</v>
      </c>
      <c r="F1495">
        <f t="shared" si="105"/>
        <v>2024</v>
      </c>
      <c r="G1495" t="s">
        <v>118</v>
      </c>
      <c r="H1495" s="98" t="s">
        <v>328</v>
      </c>
      <c r="I1495" s="29">
        <v>5326.99</v>
      </c>
      <c r="J1495" s="12" t="s">
        <v>31</v>
      </c>
      <c r="K1495" s="76">
        <f t="shared" si="102"/>
        <v>5326.99</v>
      </c>
      <c r="L1495">
        <v>1</v>
      </c>
      <c r="M1495" s="29">
        <v>0</v>
      </c>
      <c r="N1495" t="s">
        <v>32</v>
      </c>
      <c r="O1495" t="s">
        <v>33</v>
      </c>
      <c r="P1495" t="s">
        <v>34</v>
      </c>
      <c r="Q1495" t="s">
        <v>34</v>
      </c>
      <c r="R1495" t="s">
        <v>34</v>
      </c>
      <c r="S1495" t="s">
        <v>34</v>
      </c>
      <c r="T1495" s="117">
        <v>0</v>
      </c>
    </row>
    <row r="1496" spans="1:21" x14ac:dyDescent="0.35">
      <c r="A1496" t="s">
        <v>19</v>
      </c>
      <c r="B1496" t="s">
        <v>19</v>
      </c>
      <c r="C1496" s="1">
        <v>45518</v>
      </c>
      <c r="D1496">
        <f t="shared" si="103"/>
        <v>14</v>
      </c>
      <c r="E1496">
        <f t="shared" si="104"/>
        <v>8</v>
      </c>
      <c r="F1496">
        <f t="shared" si="105"/>
        <v>2024</v>
      </c>
      <c r="G1496" t="s">
        <v>118</v>
      </c>
      <c r="H1496" s="98" t="s">
        <v>378</v>
      </c>
      <c r="I1496" s="29">
        <v>28459</v>
      </c>
      <c r="J1496" s="12" t="s">
        <v>31</v>
      </c>
      <c r="K1496" s="76">
        <f t="shared" si="102"/>
        <v>28459</v>
      </c>
      <c r="L1496">
        <v>1</v>
      </c>
      <c r="M1496" s="29">
        <v>0</v>
      </c>
      <c r="N1496" t="s">
        <v>32</v>
      </c>
      <c r="O1496" t="s">
        <v>33</v>
      </c>
      <c r="P1496" t="s">
        <v>34</v>
      </c>
      <c r="Q1496" t="s">
        <v>34</v>
      </c>
      <c r="R1496" t="s">
        <v>34</v>
      </c>
      <c r="S1496" t="s">
        <v>34</v>
      </c>
      <c r="T1496" s="117">
        <v>0</v>
      </c>
    </row>
    <row r="1497" spans="1:21" x14ac:dyDescent="0.35">
      <c r="A1497" t="s">
        <v>19</v>
      </c>
      <c r="B1497" t="s">
        <v>19</v>
      </c>
      <c r="C1497" s="1">
        <v>45518</v>
      </c>
      <c r="D1497">
        <f t="shared" si="103"/>
        <v>14</v>
      </c>
      <c r="E1497">
        <f t="shared" si="104"/>
        <v>8</v>
      </c>
      <c r="F1497">
        <f t="shared" si="105"/>
        <v>2024</v>
      </c>
      <c r="G1497" t="s">
        <v>213</v>
      </c>
      <c r="H1497" s="98" t="s">
        <v>448</v>
      </c>
      <c r="I1497" s="29">
        <v>97161.65</v>
      </c>
      <c r="J1497" s="12" t="s">
        <v>31</v>
      </c>
      <c r="K1497" s="76">
        <f t="shared" si="102"/>
        <v>97161.65</v>
      </c>
      <c r="L1497">
        <v>1</v>
      </c>
      <c r="M1497" s="29">
        <v>0</v>
      </c>
      <c r="N1497" t="s">
        <v>32</v>
      </c>
      <c r="O1497" t="s">
        <v>33</v>
      </c>
      <c r="P1497" t="s">
        <v>34</v>
      </c>
      <c r="Q1497" t="s">
        <v>34</v>
      </c>
      <c r="R1497" t="s">
        <v>34</v>
      </c>
      <c r="S1497" t="s">
        <v>34</v>
      </c>
      <c r="T1497" s="117">
        <v>0</v>
      </c>
    </row>
    <row r="1498" spans="1:21" x14ac:dyDescent="0.35">
      <c r="A1498" t="s">
        <v>19</v>
      </c>
      <c r="B1498" t="s">
        <v>19</v>
      </c>
      <c r="C1498" s="1">
        <v>45518</v>
      </c>
      <c r="D1498">
        <f t="shared" si="103"/>
        <v>14</v>
      </c>
      <c r="E1498">
        <f t="shared" si="104"/>
        <v>8</v>
      </c>
      <c r="F1498">
        <f t="shared" si="105"/>
        <v>2024</v>
      </c>
      <c r="G1498" t="s">
        <v>120</v>
      </c>
      <c r="H1498" s="171" t="s">
        <v>380</v>
      </c>
      <c r="I1498" s="90">
        <v>111678.54</v>
      </c>
      <c r="J1498" s="12" t="s">
        <v>31</v>
      </c>
      <c r="K1498" s="76">
        <f t="shared" si="102"/>
        <v>111678.54</v>
      </c>
      <c r="L1498">
        <v>1</v>
      </c>
      <c r="M1498" s="29">
        <v>0</v>
      </c>
      <c r="N1498" t="s">
        <v>32</v>
      </c>
      <c r="O1498" t="s">
        <v>33</v>
      </c>
      <c r="P1498" t="s">
        <v>34</v>
      </c>
      <c r="Q1498" t="s">
        <v>34</v>
      </c>
      <c r="R1498" t="s">
        <v>34</v>
      </c>
      <c r="S1498" t="s">
        <v>34</v>
      </c>
      <c r="T1498" s="117">
        <v>0</v>
      </c>
    </row>
    <row r="1499" spans="1:21" x14ac:dyDescent="0.35">
      <c r="A1499" t="s">
        <v>19</v>
      </c>
      <c r="B1499" t="s">
        <v>19</v>
      </c>
      <c r="C1499" s="1">
        <v>45518</v>
      </c>
      <c r="D1499">
        <f t="shared" si="103"/>
        <v>14</v>
      </c>
      <c r="E1499">
        <f t="shared" si="104"/>
        <v>8</v>
      </c>
      <c r="F1499">
        <f t="shared" si="105"/>
        <v>2024</v>
      </c>
      <c r="G1499" t="s">
        <v>120</v>
      </c>
      <c r="H1499" s="171" t="s">
        <v>462</v>
      </c>
      <c r="I1499" s="90">
        <v>4252.18</v>
      </c>
      <c r="J1499" s="12" t="s">
        <v>31</v>
      </c>
      <c r="K1499" s="76">
        <f t="shared" ref="K1499:K1530" si="106">IF(J1499="USD",I1499,I1499*L1499)</f>
        <v>4252.18</v>
      </c>
      <c r="L1499">
        <v>1</v>
      </c>
      <c r="M1499" s="29">
        <v>0</v>
      </c>
      <c r="N1499" t="s">
        <v>42</v>
      </c>
      <c r="O1499" t="s">
        <v>33</v>
      </c>
      <c r="P1499" t="s">
        <v>34</v>
      </c>
      <c r="Q1499" t="s">
        <v>34</v>
      </c>
      <c r="R1499" t="s">
        <v>34</v>
      </c>
      <c r="S1499" t="s">
        <v>34</v>
      </c>
      <c r="T1499" s="117">
        <v>0</v>
      </c>
    </row>
    <row r="1500" spans="1:21" x14ac:dyDescent="0.35">
      <c r="A1500" t="s">
        <v>19</v>
      </c>
      <c r="B1500" t="s">
        <v>19</v>
      </c>
      <c r="C1500" s="1">
        <v>45518</v>
      </c>
      <c r="D1500">
        <f t="shared" si="103"/>
        <v>14</v>
      </c>
      <c r="E1500">
        <f t="shared" si="104"/>
        <v>8</v>
      </c>
      <c r="F1500">
        <f t="shared" si="105"/>
        <v>2024</v>
      </c>
      <c r="G1500" t="s">
        <v>56</v>
      </c>
      <c r="H1500" s="98" t="s">
        <v>463</v>
      </c>
      <c r="I1500" s="29">
        <v>170451.34</v>
      </c>
      <c r="J1500" s="12" t="s">
        <v>31</v>
      </c>
      <c r="K1500" s="76">
        <f t="shared" si="106"/>
        <v>170451.34</v>
      </c>
      <c r="L1500">
        <v>1</v>
      </c>
      <c r="M1500" s="29">
        <v>0</v>
      </c>
      <c r="N1500" t="s">
        <v>32</v>
      </c>
      <c r="O1500" t="s">
        <v>33</v>
      </c>
      <c r="P1500" t="s">
        <v>34</v>
      </c>
      <c r="Q1500" t="s">
        <v>34</v>
      </c>
      <c r="R1500" t="s">
        <v>34</v>
      </c>
      <c r="S1500" t="s">
        <v>34</v>
      </c>
      <c r="T1500" s="117">
        <v>0</v>
      </c>
    </row>
    <row r="1501" spans="1:21" x14ac:dyDescent="0.35">
      <c r="A1501" t="s">
        <v>19</v>
      </c>
      <c r="B1501" t="s">
        <v>19</v>
      </c>
      <c r="C1501" s="1">
        <v>45518</v>
      </c>
      <c r="D1501">
        <f t="shared" si="103"/>
        <v>14</v>
      </c>
      <c r="E1501">
        <f t="shared" si="104"/>
        <v>8</v>
      </c>
      <c r="F1501">
        <f t="shared" si="105"/>
        <v>2024</v>
      </c>
      <c r="G1501" t="s">
        <v>56</v>
      </c>
      <c r="H1501" s="98" t="s">
        <v>464</v>
      </c>
      <c r="I1501" s="29">
        <v>169240.31</v>
      </c>
      <c r="J1501" s="12" t="s">
        <v>31</v>
      </c>
      <c r="K1501" s="76">
        <f t="shared" si="106"/>
        <v>169240.31</v>
      </c>
      <c r="L1501">
        <v>1</v>
      </c>
      <c r="M1501" s="29">
        <v>0</v>
      </c>
      <c r="N1501" t="s">
        <v>32</v>
      </c>
      <c r="O1501" t="s">
        <v>33</v>
      </c>
      <c r="P1501" t="s">
        <v>34</v>
      </c>
      <c r="Q1501" t="s">
        <v>34</v>
      </c>
      <c r="R1501" t="s">
        <v>34</v>
      </c>
      <c r="S1501" t="s">
        <v>34</v>
      </c>
      <c r="T1501" s="117">
        <v>0</v>
      </c>
    </row>
    <row r="1502" spans="1:21" x14ac:dyDescent="0.35">
      <c r="A1502" t="s">
        <v>19</v>
      </c>
      <c r="B1502" t="s">
        <v>19</v>
      </c>
      <c r="C1502" s="1">
        <v>45518</v>
      </c>
      <c r="D1502">
        <f t="shared" si="103"/>
        <v>14</v>
      </c>
      <c r="E1502">
        <f t="shared" si="104"/>
        <v>8</v>
      </c>
      <c r="F1502">
        <f t="shared" si="105"/>
        <v>2024</v>
      </c>
      <c r="G1502" t="s">
        <v>111</v>
      </c>
      <c r="H1502" s="98" t="s">
        <v>465</v>
      </c>
      <c r="I1502" s="29">
        <v>35171.39</v>
      </c>
      <c r="J1502" s="12" t="s">
        <v>31</v>
      </c>
      <c r="K1502" s="76">
        <f t="shared" si="106"/>
        <v>35171.39</v>
      </c>
      <c r="L1502">
        <v>1</v>
      </c>
      <c r="M1502" s="29">
        <v>0</v>
      </c>
      <c r="N1502" t="s">
        <v>32</v>
      </c>
      <c r="O1502" t="s">
        <v>33</v>
      </c>
      <c r="P1502" t="s">
        <v>34</v>
      </c>
      <c r="Q1502" t="s">
        <v>34</v>
      </c>
      <c r="R1502" t="s">
        <v>34</v>
      </c>
      <c r="S1502" t="s">
        <v>34</v>
      </c>
      <c r="T1502" s="117">
        <v>0</v>
      </c>
    </row>
    <row r="1503" spans="1:21" x14ac:dyDescent="0.35">
      <c r="A1503" t="s">
        <v>19</v>
      </c>
      <c r="B1503" t="s">
        <v>27</v>
      </c>
      <c r="C1503" s="1">
        <v>45519</v>
      </c>
      <c r="D1503">
        <f t="shared" si="103"/>
        <v>15</v>
      </c>
      <c r="E1503">
        <f t="shared" si="104"/>
        <v>8</v>
      </c>
      <c r="F1503">
        <f t="shared" si="105"/>
        <v>2024</v>
      </c>
      <c r="G1503" t="s">
        <v>100</v>
      </c>
      <c r="H1503" s="98">
        <v>10350</v>
      </c>
      <c r="I1503" s="29">
        <v>141888.56</v>
      </c>
      <c r="J1503" s="12" t="s">
        <v>31</v>
      </c>
      <c r="K1503" s="76">
        <f t="shared" si="106"/>
        <v>141888.56</v>
      </c>
      <c r="L1503">
        <v>1</v>
      </c>
      <c r="M1503" s="29">
        <v>0</v>
      </c>
      <c r="N1503" t="s">
        <v>32</v>
      </c>
      <c r="O1503" t="s">
        <v>33</v>
      </c>
      <c r="P1503" t="s">
        <v>34</v>
      </c>
      <c r="Q1503" t="s">
        <v>34</v>
      </c>
      <c r="R1503" t="s">
        <v>34</v>
      </c>
      <c r="S1503" t="s">
        <v>34</v>
      </c>
      <c r="T1503" s="117">
        <v>0</v>
      </c>
    </row>
    <row r="1504" spans="1:21" x14ac:dyDescent="0.35">
      <c r="A1504" t="s">
        <v>19</v>
      </c>
      <c r="B1504" t="s">
        <v>26</v>
      </c>
      <c r="C1504" s="1">
        <v>45519</v>
      </c>
      <c r="D1504">
        <f t="shared" si="103"/>
        <v>15</v>
      </c>
      <c r="E1504">
        <f t="shared" si="104"/>
        <v>8</v>
      </c>
      <c r="F1504">
        <f t="shared" si="105"/>
        <v>2024</v>
      </c>
      <c r="G1504" t="s">
        <v>73</v>
      </c>
      <c r="H1504" s="98">
        <v>11068</v>
      </c>
      <c r="I1504" s="29">
        <v>41908.160000000003</v>
      </c>
      <c r="J1504" s="12" t="s">
        <v>51</v>
      </c>
      <c r="K1504" s="76">
        <f t="shared" si="106"/>
        <v>46044.495392000004</v>
      </c>
      <c r="L1504">
        <v>1.0987</v>
      </c>
      <c r="M1504" s="29">
        <v>0</v>
      </c>
      <c r="N1504" t="s">
        <v>42</v>
      </c>
      <c r="O1504" t="s">
        <v>33</v>
      </c>
      <c r="P1504" t="s">
        <v>34</v>
      </c>
      <c r="Q1504" t="s">
        <v>34</v>
      </c>
      <c r="R1504" t="s">
        <v>34</v>
      </c>
      <c r="S1504" t="s">
        <v>34</v>
      </c>
      <c r="T1504" s="117">
        <v>0</v>
      </c>
      <c r="U1504" s="209" t="s">
        <v>94</v>
      </c>
    </row>
    <row r="1505" spans="1:21" x14ac:dyDescent="0.35">
      <c r="A1505" t="s">
        <v>19</v>
      </c>
      <c r="B1505" t="s">
        <v>26</v>
      </c>
      <c r="C1505" s="1">
        <v>45519</v>
      </c>
      <c r="D1505">
        <f t="shared" si="103"/>
        <v>15</v>
      </c>
      <c r="E1505">
        <f t="shared" si="104"/>
        <v>8</v>
      </c>
      <c r="F1505">
        <f t="shared" si="105"/>
        <v>2024</v>
      </c>
      <c r="G1505" t="s">
        <v>73</v>
      </c>
      <c r="H1505" s="98">
        <v>11087</v>
      </c>
      <c r="I1505" s="29">
        <v>58840.71</v>
      </c>
      <c r="J1505" s="12" t="s">
        <v>51</v>
      </c>
      <c r="K1505" s="76">
        <f t="shared" si="106"/>
        <v>64648.288076999997</v>
      </c>
      <c r="L1505">
        <v>1.0987</v>
      </c>
      <c r="M1505" s="29">
        <v>0</v>
      </c>
      <c r="N1505" t="s">
        <v>42</v>
      </c>
      <c r="O1505" t="s">
        <v>33</v>
      </c>
      <c r="P1505" t="s">
        <v>34</v>
      </c>
      <c r="Q1505" t="s">
        <v>34</v>
      </c>
      <c r="R1505" t="s">
        <v>34</v>
      </c>
      <c r="S1505" t="s">
        <v>34</v>
      </c>
      <c r="T1505" s="117">
        <v>0</v>
      </c>
      <c r="U1505" s="209" t="s">
        <v>94</v>
      </c>
    </row>
    <row r="1506" spans="1:21" x14ac:dyDescent="0.35">
      <c r="A1506" t="s">
        <v>19</v>
      </c>
      <c r="B1506" t="s">
        <v>26</v>
      </c>
      <c r="C1506" s="1">
        <v>45519</v>
      </c>
      <c r="D1506">
        <f t="shared" si="103"/>
        <v>15</v>
      </c>
      <c r="E1506">
        <f t="shared" si="104"/>
        <v>8</v>
      </c>
      <c r="F1506">
        <f t="shared" si="105"/>
        <v>2024</v>
      </c>
      <c r="G1506" t="s">
        <v>73</v>
      </c>
      <c r="H1506" s="98">
        <v>11088</v>
      </c>
      <c r="I1506" s="29">
        <v>38335.75</v>
      </c>
      <c r="J1506" s="12" t="s">
        <v>51</v>
      </c>
      <c r="K1506" s="76">
        <f t="shared" si="106"/>
        <v>42119.488525000001</v>
      </c>
      <c r="L1506">
        <v>1.0987</v>
      </c>
      <c r="M1506" s="29">
        <v>0</v>
      </c>
      <c r="N1506" t="s">
        <v>42</v>
      </c>
      <c r="O1506" t="s">
        <v>33</v>
      </c>
      <c r="P1506" t="s">
        <v>34</v>
      </c>
      <c r="Q1506" t="s">
        <v>34</v>
      </c>
      <c r="R1506" t="s">
        <v>34</v>
      </c>
      <c r="S1506" t="s">
        <v>34</v>
      </c>
      <c r="T1506" s="117">
        <v>0</v>
      </c>
      <c r="U1506" s="209" t="s">
        <v>94</v>
      </c>
    </row>
    <row r="1507" spans="1:21" x14ac:dyDescent="0.35">
      <c r="A1507" t="s">
        <v>19</v>
      </c>
      <c r="B1507" t="s">
        <v>23</v>
      </c>
      <c r="C1507" s="1">
        <v>45525</v>
      </c>
      <c r="D1507">
        <f t="shared" si="103"/>
        <v>21</v>
      </c>
      <c r="E1507">
        <f t="shared" si="104"/>
        <v>8</v>
      </c>
      <c r="F1507">
        <f t="shared" si="105"/>
        <v>2024</v>
      </c>
      <c r="G1507" t="s">
        <v>28</v>
      </c>
      <c r="H1507" s="98">
        <v>10383</v>
      </c>
      <c r="I1507" s="29">
        <v>4686.3999999999996</v>
      </c>
      <c r="J1507" s="12" t="s">
        <v>31</v>
      </c>
      <c r="K1507" s="76">
        <f t="shared" si="106"/>
        <v>4686.3999999999996</v>
      </c>
      <c r="L1507">
        <v>1</v>
      </c>
      <c r="M1507" s="29">
        <v>0</v>
      </c>
      <c r="N1507" t="s">
        <v>32</v>
      </c>
      <c r="O1507" t="s">
        <v>33</v>
      </c>
      <c r="P1507" t="s">
        <v>34</v>
      </c>
      <c r="Q1507" t="s">
        <v>34</v>
      </c>
      <c r="R1507" t="s">
        <v>34</v>
      </c>
      <c r="S1507" t="s">
        <v>34</v>
      </c>
      <c r="T1507" s="117">
        <v>0</v>
      </c>
    </row>
    <row r="1508" spans="1:21" x14ac:dyDescent="0.35">
      <c r="A1508" t="s">
        <v>19</v>
      </c>
      <c r="B1508" t="s">
        <v>27</v>
      </c>
      <c r="C1508" s="1">
        <v>45525</v>
      </c>
      <c r="D1508">
        <f t="shared" si="103"/>
        <v>21</v>
      </c>
      <c r="E1508">
        <f t="shared" si="104"/>
        <v>8</v>
      </c>
      <c r="F1508">
        <f t="shared" si="105"/>
        <v>2024</v>
      </c>
      <c r="G1508" t="s">
        <v>100</v>
      </c>
      <c r="H1508" s="98">
        <v>10727</v>
      </c>
      <c r="I1508" s="29">
        <v>815357.21</v>
      </c>
      <c r="J1508" s="12" t="s">
        <v>31</v>
      </c>
      <c r="K1508" s="76">
        <f t="shared" si="106"/>
        <v>815357.21</v>
      </c>
      <c r="L1508">
        <v>1</v>
      </c>
      <c r="M1508" s="29">
        <v>0</v>
      </c>
      <c r="N1508" t="s">
        <v>32</v>
      </c>
      <c r="O1508" t="s">
        <v>33</v>
      </c>
      <c r="P1508" t="s">
        <v>34</v>
      </c>
      <c r="Q1508" t="s">
        <v>34</v>
      </c>
      <c r="R1508" t="s">
        <v>34</v>
      </c>
      <c r="S1508" t="s">
        <v>34</v>
      </c>
      <c r="T1508" s="117">
        <v>0</v>
      </c>
    </row>
    <row r="1509" spans="1:21" x14ac:dyDescent="0.35">
      <c r="A1509" t="s">
        <v>19</v>
      </c>
      <c r="B1509" t="s">
        <v>21</v>
      </c>
      <c r="C1509" s="1">
        <v>45525</v>
      </c>
      <c r="D1509">
        <f t="shared" si="103"/>
        <v>21</v>
      </c>
      <c r="E1509">
        <f t="shared" si="104"/>
        <v>8</v>
      </c>
      <c r="F1509">
        <f t="shared" si="105"/>
        <v>2024</v>
      </c>
      <c r="G1509" t="s">
        <v>92</v>
      </c>
      <c r="H1509" s="98">
        <v>10597</v>
      </c>
      <c r="I1509" s="29">
        <v>14248.4</v>
      </c>
      <c r="J1509" s="12" t="s">
        <v>31</v>
      </c>
      <c r="K1509" s="76">
        <f t="shared" si="106"/>
        <v>14248.4</v>
      </c>
      <c r="L1509">
        <v>1</v>
      </c>
      <c r="M1509" s="29">
        <v>0</v>
      </c>
      <c r="N1509" t="s">
        <v>32</v>
      </c>
      <c r="O1509" t="s">
        <v>33</v>
      </c>
      <c r="P1509" t="s">
        <v>34</v>
      </c>
      <c r="Q1509" t="s">
        <v>34</v>
      </c>
      <c r="R1509" t="s">
        <v>34</v>
      </c>
      <c r="S1509" t="s">
        <v>34</v>
      </c>
      <c r="T1509" s="117">
        <v>0</v>
      </c>
    </row>
    <row r="1510" spans="1:21" x14ac:dyDescent="0.35">
      <c r="A1510" t="s">
        <v>19</v>
      </c>
      <c r="B1510" t="s">
        <v>23</v>
      </c>
      <c r="C1510" s="1">
        <v>45525</v>
      </c>
      <c r="D1510">
        <f t="shared" si="103"/>
        <v>21</v>
      </c>
      <c r="E1510">
        <f t="shared" si="104"/>
        <v>8</v>
      </c>
      <c r="F1510">
        <f t="shared" si="105"/>
        <v>2024</v>
      </c>
      <c r="G1510" t="s">
        <v>333</v>
      </c>
      <c r="H1510" s="171">
        <v>10341</v>
      </c>
      <c r="I1510" s="29">
        <v>12322.8</v>
      </c>
      <c r="J1510" s="12" t="s">
        <v>31</v>
      </c>
      <c r="K1510" s="76">
        <f t="shared" si="106"/>
        <v>12322.8</v>
      </c>
      <c r="L1510">
        <v>1</v>
      </c>
      <c r="M1510" s="29">
        <v>0</v>
      </c>
      <c r="N1510" t="s">
        <v>32</v>
      </c>
      <c r="O1510" t="s">
        <v>33</v>
      </c>
      <c r="P1510" t="s">
        <v>34</v>
      </c>
      <c r="Q1510" t="s">
        <v>34</v>
      </c>
      <c r="R1510" t="s">
        <v>34</v>
      </c>
      <c r="S1510" t="s">
        <v>34</v>
      </c>
      <c r="T1510" s="117">
        <v>0</v>
      </c>
    </row>
    <row r="1511" spans="1:21" x14ac:dyDescent="0.35">
      <c r="A1511" t="s">
        <v>20</v>
      </c>
      <c r="B1511" t="s">
        <v>21</v>
      </c>
      <c r="C1511" s="1">
        <v>45525</v>
      </c>
      <c r="D1511">
        <f t="shared" si="103"/>
        <v>21</v>
      </c>
      <c r="E1511">
        <f t="shared" si="104"/>
        <v>8</v>
      </c>
      <c r="F1511">
        <f t="shared" si="105"/>
        <v>2024</v>
      </c>
      <c r="G1511" t="s">
        <v>303</v>
      </c>
      <c r="H1511" s="98">
        <v>10755</v>
      </c>
      <c r="I1511" s="29">
        <v>9516.48</v>
      </c>
      <c r="J1511" s="12" t="s">
        <v>31</v>
      </c>
      <c r="K1511" s="76">
        <f t="shared" si="106"/>
        <v>9516.48</v>
      </c>
      <c r="L1511">
        <v>1</v>
      </c>
      <c r="M1511" s="29">
        <v>0</v>
      </c>
      <c r="N1511" t="s">
        <v>32</v>
      </c>
      <c r="O1511" t="s">
        <v>33</v>
      </c>
      <c r="P1511" t="s">
        <v>34</v>
      </c>
      <c r="Q1511" t="s">
        <v>34</v>
      </c>
      <c r="R1511" t="s">
        <v>34</v>
      </c>
      <c r="S1511" t="s">
        <v>34</v>
      </c>
      <c r="T1511" s="117">
        <v>0</v>
      </c>
    </row>
    <row r="1512" spans="1:21" x14ac:dyDescent="0.35">
      <c r="A1512" t="s">
        <v>20</v>
      </c>
      <c r="B1512" t="s">
        <v>25</v>
      </c>
      <c r="C1512" s="1">
        <v>45525</v>
      </c>
      <c r="D1512">
        <f t="shared" si="103"/>
        <v>21</v>
      </c>
      <c r="E1512">
        <f t="shared" si="104"/>
        <v>8</v>
      </c>
      <c r="F1512">
        <f t="shared" si="105"/>
        <v>2024</v>
      </c>
      <c r="G1512" t="s">
        <v>299</v>
      </c>
      <c r="H1512" s="98">
        <v>10741</v>
      </c>
      <c r="I1512" s="29">
        <v>9572.76</v>
      </c>
      <c r="J1512" s="12" t="s">
        <v>31</v>
      </c>
      <c r="K1512" s="76">
        <f t="shared" si="106"/>
        <v>9572.76</v>
      </c>
      <c r="L1512">
        <v>1</v>
      </c>
      <c r="M1512" s="29">
        <v>0</v>
      </c>
      <c r="N1512" t="s">
        <v>42</v>
      </c>
      <c r="O1512" t="s">
        <v>33</v>
      </c>
      <c r="P1512" t="s">
        <v>34</v>
      </c>
      <c r="Q1512" t="s">
        <v>34</v>
      </c>
      <c r="R1512" t="s">
        <v>34</v>
      </c>
      <c r="S1512" t="s">
        <v>34</v>
      </c>
      <c r="T1512" s="117">
        <v>0</v>
      </c>
    </row>
    <row r="1513" spans="1:21" x14ac:dyDescent="0.35">
      <c r="A1513" t="s">
        <v>20</v>
      </c>
      <c r="B1513" t="s">
        <v>25</v>
      </c>
      <c r="C1513" s="1">
        <v>45525</v>
      </c>
      <c r="D1513">
        <f t="shared" si="103"/>
        <v>21</v>
      </c>
      <c r="E1513">
        <f t="shared" si="104"/>
        <v>8</v>
      </c>
      <c r="F1513">
        <f t="shared" si="105"/>
        <v>2024</v>
      </c>
      <c r="G1513" t="s">
        <v>299</v>
      </c>
      <c r="H1513" s="98">
        <v>10740</v>
      </c>
      <c r="I1513" s="29">
        <v>43.2</v>
      </c>
      <c r="J1513" s="12" t="s">
        <v>31</v>
      </c>
      <c r="K1513" s="76">
        <f t="shared" si="106"/>
        <v>43.2</v>
      </c>
      <c r="L1513">
        <v>1</v>
      </c>
      <c r="M1513" s="29">
        <v>0</v>
      </c>
      <c r="N1513" t="s">
        <v>32</v>
      </c>
      <c r="O1513" t="s">
        <v>33</v>
      </c>
      <c r="P1513" t="s">
        <v>34</v>
      </c>
      <c r="Q1513" t="s">
        <v>34</v>
      </c>
      <c r="R1513" t="s">
        <v>34</v>
      </c>
      <c r="S1513" t="s">
        <v>34</v>
      </c>
      <c r="T1513" s="117">
        <v>0</v>
      </c>
    </row>
    <row r="1514" spans="1:21" x14ac:dyDescent="0.35">
      <c r="A1514" t="s">
        <v>20</v>
      </c>
      <c r="B1514" t="s">
        <v>25</v>
      </c>
      <c r="C1514" s="1">
        <v>45525</v>
      </c>
      <c r="D1514">
        <f t="shared" si="103"/>
        <v>21</v>
      </c>
      <c r="E1514">
        <f t="shared" si="104"/>
        <v>8</v>
      </c>
      <c r="F1514">
        <f t="shared" si="105"/>
        <v>2024</v>
      </c>
      <c r="G1514" t="s">
        <v>81</v>
      </c>
      <c r="H1514" s="98">
        <v>10634</v>
      </c>
      <c r="I1514" s="29">
        <v>47754.45</v>
      </c>
      <c r="J1514" s="12" t="s">
        <v>31</v>
      </c>
      <c r="K1514" s="76">
        <f t="shared" si="106"/>
        <v>47754.45</v>
      </c>
      <c r="L1514">
        <v>1</v>
      </c>
      <c r="M1514" s="29">
        <v>0</v>
      </c>
      <c r="N1514" t="s">
        <v>32</v>
      </c>
      <c r="O1514" t="s">
        <v>33</v>
      </c>
      <c r="P1514" t="s">
        <v>34</v>
      </c>
      <c r="Q1514" t="s">
        <v>34</v>
      </c>
      <c r="R1514" t="s">
        <v>34</v>
      </c>
      <c r="S1514" t="s">
        <v>34</v>
      </c>
      <c r="T1514" s="117">
        <v>0</v>
      </c>
    </row>
    <row r="1515" spans="1:21" x14ac:dyDescent="0.35">
      <c r="A1515" t="s">
        <v>20</v>
      </c>
      <c r="B1515" t="s">
        <v>25</v>
      </c>
      <c r="C1515" s="1">
        <v>45525</v>
      </c>
      <c r="D1515">
        <f t="shared" si="103"/>
        <v>21</v>
      </c>
      <c r="E1515">
        <f t="shared" si="104"/>
        <v>8</v>
      </c>
      <c r="F1515">
        <f t="shared" si="105"/>
        <v>2024</v>
      </c>
      <c r="G1515" t="s">
        <v>81</v>
      </c>
      <c r="H1515" s="98">
        <v>10814</v>
      </c>
      <c r="I1515" s="29">
        <v>7830</v>
      </c>
      <c r="J1515" s="12" t="s">
        <v>31</v>
      </c>
      <c r="K1515" s="76">
        <f t="shared" si="106"/>
        <v>7830</v>
      </c>
      <c r="L1515">
        <v>1</v>
      </c>
      <c r="M1515" s="29">
        <v>0</v>
      </c>
      <c r="N1515" t="s">
        <v>32</v>
      </c>
      <c r="O1515" t="s">
        <v>33</v>
      </c>
      <c r="P1515" t="s">
        <v>34</v>
      </c>
      <c r="Q1515" t="s">
        <v>34</v>
      </c>
      <c r="R1515" t="s">
        <v>34</v>
      </c>
      <c r="S1515" t="s">
        <v>34</v>
      </c>
      <c r="T1515" s="117">
        <v>0</v>
      </c>
    </row>
    <row r="1516" spans="1:21" x14ac:dyDescent="0.35">
      <c r="A1516" t="s">
        <v>20</v>
      </c>
      <c r="B1516" t="s">
        <v>25</v>
      </c>
      <c r="C1516" s="1">
        <v>45525</v>
      </c>
      <c r="D1516">
        <f t="shared" si="103"/>
        <v>21</v>
      </c>
      <c r="E1516">
        <f t="shared" si="104"/>
        <v>8</v>
      </c>
      <c r="F1516">
        <f t="shared" si="105"/>
        <v>2024</v>
      </c>
      <c r="G1516" t="s">
        <v>81</v>
      </c>
      <c r="H1516" s="98">
        <v>10842</v>
      </c>
      <c r="I1516" s="29">
        <v>29912.65</v>
      </c>
      <c r="J1516" s="12" t="s">
        <v>31</v>
      </c>
      <c r="K1516" s="76">
        <f t="shared" si="106"/>
        <v>29912.65</v>
      </c>
      <c r="L1516">
        <v>1</v>
      </c>
      <c r="M1516" s="29">
        <v>0</v>
      </c>
      <c r="N1516" t="s">
        <v>32</v>
      </c>
      <c r="O1516" t="s">
        <v>33</v>
      </c>
      <c r="P1516" t="s">
        <v>34</v>
      </c>
      <c r="Q1516" t="s">
        <v>34</v>
      </c>
      <c r="R1516" t="s">
        <v>34</v>
      </c>
      <c r="S1516" t="s">
        <v>34</v>
      </c>
      <c r="T1516" s="117">
        <v>0</v>
      </c>
    </row>
    <row r="1517" spans="1:21" x14ac:dyDescent="0.35">
      <c r="A1517" t="s">
        <v>20</v>
      </c>
      <c r="B1517" t="s">
        <v>25</v>
      </c>
      <c r="C1517" s="1">
        <v>45525</v>
      </c>
      <c r="D1517">
        <f t="shared" si="103"/>
        <v>21</v>
      </c>
      <c r="E1517">
        <f t="shared" si="104"/>
        <v>8</v>
      </c>
      <c r="F1517">
        <f t="shared" si="105"/>
        <v>2024</v>
      </c>
      <c r="G1517" t="s">
        <v>300</v>
      </c>
      <c r="H1517" s="98">
        <v>10728</v>
      </c>
      <c r="I1517" s="29">
        <v>123.84</v>
      </c>
      <c r="J1517" s="12" t="s">
        <v>31</v>
      </c>
      <c r="K1517" s="76">
        <f t="shared" si="106"/>
        <v>123.84</v>
      </c>
      <c r="L1517">
        <v>1</v>
      </c>
      <c r="M1517" s="29">
        <v>0</v>
      </c>
      <c r="N1517" t="s">
        <v>32</v>
      </c>
      <c r="O1517" t="s">
        <v>33</v>
      </c>
      <c r="P1517" t="s">
        <v>34</v>
      </c>
      <c r="Q1517" t="s">
        <v>34</v>
      </c>
      <c r="R1517" t="s">
        <v>34</v>
      </c>
      <c r="S1517" t="s">
        <v>34</v>
      </c>
      <c r="T1517" s="117">
        <v>0</v>
      </c>
    </row>
    <row r="1518" spans="1:21" x14ac:dyDescent="0.35">
      <c r="A1518" t="s">
        <v>20</v>
      </c>
      <c r="B1518" t="s">
        <v>25</v>
      </c>
      <c r="C1518" s="1">
        <v>45525</v>
      </c>
      <c r="D1518">
        <f t="shared" si="103"/>
        <v>21</v>
      </c>
      <c r="E1518">
        <f t="shared" si="104"/>
        <v>8</v>
      </c>
      <c r="F1518">
        <f t="shared" si="105"/>
        <v>2024</v>
      </c>
      <c r="G1518" t="s">
        <v>300</v>
      </c>
      <c r="H1518" s="98">
        <v>10729</v>
      </c>
      <c r="I1518" s="29">
        <v>7040.77</v>
      </c>
      <c r="J1518" s="12" t="s">
        <v>31</v>
      </c>
      <c r="K1518" s="76">
        <f t="shared" si="106"/>
        <v>7040.77</v>
      </c>
      <c r="L1518">
        <v>1</v>
      </c>
      <c r="M1518" s="29">
        <v>0</v>
      </c>
      <c r="N1518" t="s">
        <v>32</v>
      </c>
      <c r="O1518" t="s">
        <v>33</v>
      </c>
      <c r="P1518" t="s">
        <v>34</v>
      </c>
      <c r="Q1518" t="s">
        <v>34</v>
      </c>
      <c r="R1518" t="s">
        <v>34</v>
      </c>
      <c r="S1518" t="s">
        <v>34</v>
      </c>
      <c r="T1518" s="117">
        <v>0</v>
      </c>
    </row>
    <row r="1519" spans="1:21" x14ac:dyDescent="0.35">
      <c r="A1519" t="s">
        <v>20</v>
      </c>
      <c r="B1519" t="s">
        <v>23</v>
      </c>
      <c r="C1519" s="1">
        <v>45525</v>
      </c>
      <c r="D1519">
        <f t="shared" si="103"/>
        <v>21</v>
      </c>
      <c r="E1519">
        <f t="shared" si="104"/>
        <v>8</v>
      </c>
      <c r="F1519">
        <f t="shared" si="105"/>
        <v>2024</v>
      </c>
      <c r="G1519" t="s">
        <v>177</v>
      </c>
      <c r="H1519" s="98">
        <v>10986</v>
      </c>
      <c r="I1519" s="29">
        <v>55.86</v>
      </c>
      <c r="J1519" s="12" t="s">
        <v>31</v>
      </c>
      <c r="K1519" s="76">
        <f t="shared" si="106"/>
        <v>55.86</v>
      </c>
      <c r="L1519">
        <v>1</v>
      </c>
      <c r="M1519" s="29">
        <v>0</v>
      </c>
      <c r="N1519" t="s">
        <v>32</v>
      </c>
      <c r="O1519" t="s">
        <v>33</v>
      </c>
      <c r="P1519" t="s">
        <v>34</v>
      </c>
      <c r="Q1519" t="s">
        <v>34</v>
      </c>
      <c r="R1519" t="s">
        <v>34</v>
      </c>
      <c r="S1519" t="s">
        <v>34</v>
      </c>
      <c r="T1519" s="117">
        <v>0</v>
      </c>
    </row>
    <row r="1520" spans="1:21" x14ac:dyDescent="0.35">
      <c r="A1520" t="s">
        <v>20</v>
      </c>
      <c r="B1520" t="s">
        <v>23</v>
      </c>
      <c r="C1520" s="1">
        <v>45525</v>
      </c>
      <c r="D1520">
        <f t="shared" si="103"/>
        <v>21</v>
      </c>
      <c r="E1520">
        <f t="shared" si="104"/>
        <v>8</v>
      </c>
      <c r="F1520">
        <f t="shared" si="105"/>
        <v>2024</v>
      </c>
      <c r="G1520" t="s">
        <v>177</v>
      </c>
      <c r="H1520" s="98">
        <v>10987</v>
      </c>
      <c r="I1520" s="29">
        <v>11640.83</v>
      </c>
      <c r="J1520" s="12" t="s">
        <v>31</v>
      </c>
      <c r="K1520" s="76">
        <f t="shared" si="106"/>
        <v>11640.83</v>
      </c>
      <c r="L1520">
        <v>1</v>
      </c>
      <c r="M1520" s="29">
        <v>0</v>
      </c>
      <c r="N1520" t="s">
        <v>42</v>
      </c>
      <c r="O1520" t="s">
        <v>33</v>
      </c>
      <c r="P1520" t="s">
        <v>34</v>
      </c>
      <c r="Q1520" t="s">
        <v>34</v>
      </c>
      <c r="R1520" t="s">
        <v>34</v>
      </c>
      <c r="S1520" t="s">
        <v>34</v>
      </c>
      <c r="T1520" s="117">
        <v>0</v>
      </c>
    </row>
    <row r="1521" spans="1:20" x14ac:dyDescent="0.35">
      <c r="A1521" t="s">
        <v>20</v>
      </c>
      <c r="B1521" t="s">
        <v>25</v>
      </c>
      <c r="C1521" s="1">
        <v>45525</v>
      </c>
      <c r="D1521">
        <f t="shared" si="103"/>
        <v>21</v>
      </c>
      <c r="E1521">
        <f t="shared" si="104"/>
        <v>8</v>
      </c>
      <c r="F1521">
        <f t="shared" si="105"/>
        <v>2024</v>
      </c>
      <c r="G1521" s="4" t="s">
        <v>96</v>
      </c>
      <c r="H1521" s="98">
        <v>11059</v>
      </c>
      <c r="I1521" s="29">
        <v>75.8</v>
      </c>
      <c r="J1521" s="12" t="s">
        <v>31</v>
      </c>
      <c r="K1521" s="76">
        <f t="shared" si="106"/>
        <v>75.8</v>
      </c>
      <c r="L1521">
        <v>1</v>
      </c>
      <c r="M1521" s="29">
        <v>0</v>
      </c>
      <c r="N1521" t="s">
        <v>42</v>
      </c>
      <c r="O1521" t="s">
        <v>33</v>
      </c>
      <c r="P1521" t="s">
        <v>34</v>
      </c>
      <c r="Q1521" t="s">
        <v>34</v>
      </c>
      <c r="R1521" t="s">
        <v>34</v>
      </c>
      <c r="S1521" t="s">
        <v>34</v>
      </c>
      <c r="T1521" s="117">
        <v>0</v>
      </c>
    </row>
    <row r="1522" spans="1:20" x14ac:dyDescent="0.35">
      <c r="A1522" t="s">
        <v>20</v>
      </c>
      <c r="B1522" t="s">
        <v>25</v>
      </c>
      <c r="C1522" s="1">
        <v>45525</v>
      </c>
      <c r="D1522">
        <f t="shared" si="103"/>
        <v>21</v>
      </c>
      <c r="E1522">
        <f t="shared" si="104"/>
        <v>8</v>
      </c>
      <c r="F1522">
        <f t="shared" si="105"/>
        <v>2024</v>
      </c>
      <c r="G1522" s="4" t="s">
        <v>96</v>
      </c>
      <c r="H1522" s="98">
        <v>11061</v>
      </c>
      <c r="I1522" s="29">
        <v>10965</v>
      </c>
      <c r="J1522" s="12" t="s">
        <v>31</v>
      </c>
      <c r="K1522" s="76">
        <f t="shared" si="106"/>
        <v>10965</v>
      </c>
      <c r="L1522">
        <v>1</v>
      </c>
      <c r="M1522" s="29">
        <v>0</v>
      </c>
      <c r="N1522" t="s">
        <v>42</v>
      </c>
      <c r="O1522" t="s">
        <v>33</v>
      </c>
      <c r="P1522" t="s">
        <v>34</v>
      </c>
      <c r="Q1522" t="s">
        <v>34</v>
      </c>
      <c r="R1522" t="s">
        <v>34</v>
      </c>
      <c r="S1522" t="s">
        <v>34</v>
      </c>
      <c r="T1522" s="117">
        <v>0</v>
      </c>
    </row>
    <row r="1523" spans="1:20" x14ac:dyDescent="0.35">
      <c r="A1523" t="s">
        <v>20</v>
      </c>
      <c r="B1523" t="s">
        <v>25</v>
      </c>
      <c r="C1523" s="1">
        <v>45525</v>
      </c>
      <c r="D1523">
        <f t="shared" si="103"/>
        <v>21</v>
      </c>
      <c r="E1523">
        <f t="shared" si="104"/>
        <v>8</v>
      </c>
      <c r="F1523">
        <f t="shared" si="105"/>
        <v>2024</v>
      </c>
      <c r="G1523" t="s">
        <v>174</v>
      </c>
      <c r="H1523" s="98">
        <v>10558</v>
      </c>
      <c r="I1523" s="29">
        <v>9180.1</v>
      </c>
      <c r="J1523" s="12" t="s">
        <v>31</v>
      </c>
      <c r="K1523" s="76">
        <f t="shared" si="106"/>
        <v>9180.1</v>
      </c>
      <c r="L1523">
        <v>1</v>
      </c>
      <c r="M1523" s="29">
        <v>0</v>
      </c>
      <c r="N1523" t="s">
        <v>42</v>
      </c>
      <c r="O1523" t="s">
        <v>33</v>
      </c>
      <c r="P1523" t="s">
        <v>34</v>
      </c>
      <c r="Q1523" t="s">
        <v>34</v>
      </c>
      <c r="R1523" t="s">
        <v>34</v>
      </c>
      <c r="S1523" t="s">
        <v>34</v>
      </c>
      <c r="T1523" s="117">
        <v>0</v>
      </c>
    </row>
    <row r="1524" spans="1:20" x14ac:dyDescent="0.35">
      <c r="A1524" t="s">
        <v>20</v>
      </c>
      <c r="B1524" t="s">
        <v>23</v>
      </c>
      <c r="C1524" s="1">
        <v>45525</v>
      </c>
      <c r="D1524">
        <f t="shared" si="103"/>
        <v>21</v>
      </c>
      <c r="E1524">
        <f t="shared" si="104"/>
        <v>8</v>
      </c>
      <c r="F1524">
        <f t="shared" si="105"/>
        <v>2024</v>
      </c>
      <c r="G1524" t="s">
        <v>82</v>
      </c>
      <c r="H1524" s="98">
        <v>10487</v>
      </c>
      <c r="I1524" s="29">
        <v>17074.96</v>
      </c>
      <c r="J1524" s="12" t="s">
        <v>31</v>
      </c>
      <c r="K1524" s="76">
        <f t="shared" si="106"/>
        <v>17074.96</v>
      </c>
      <c r="L1524">
        <v>1</v>
      </c>
      <c r="M1524" s="29">
        <v>0</v>
      </c>
      <c r="N1524" t="s">
        <v>32</v>
      </c>
      <c r="O1524" t="s">
        <v>33</v>
      </c>
      <c r="P1524" t="s">
        <v>34</v>
      </c>
      <c r="Q1524" t="s">
        <v>34</v>
      </c>
      <c r="R1524" t="s">
        <v>34</v>
      </c>
      <c r="S1524" t="s">
        <v>34</v>
      </c>
      <c r="T1524" s="117">
        <v>0</v>
      </c>
    </row>
    <row r="1525" spans="1:20" x14ac:dyDescent="0.35">
      <c r="A1525" t="s">
        <v>20</v>
      </c>
      <c r="B1525" t="s">
        <v>23</v>
      </c>
      <c r="C1525" s="1">
        <v>45525</v>
      </c>
      <c r="D1525">
        <f t="shared" si="103"/>
        <v>21</v>
      </c>
      <c r="E1525">
        <f t="shared" si="104"/>
        <v>8</v>
      </c>
      <c r="F1525">
        <f t="shared" si="105"/>
        <v>2024</v>
      </c>
      <c r="G1525" t="s">
        <v>82</v>
      </c>
      <c r="H1525" s="98">
        <v>10540</v>
      </c>
      <c r="I1525" s="29">
        <v>24247.89</v>
      </c>
      <c r="J1525" s="12" t="s">
        <v>31</v>
      </c>
      <c r="K1525" s="76">
        <f t="shared" si="106"/>
        <v>24247.89</v>
      </c>
      <c r="L1525">
        <v>1</v>
      </c>
      <c r="M1525" s="29">
        <v>0</v>
      </c>
      <c r="N1525" t="s">
        <v>32</v>
      </c>
      <c r="O1525" t="s">
        <v>33</v>
      </c>
      <c r="P1525" t="s">
        <v>34</v>
      </c>
      <c r="Q1525" t="s">
        <v>34</v>
      </c>
      <c r="R1525" t="s">
        <v>34</v>
      </c>
      <c r="S1525" t="s">
        <v>34</v>
      </c>
      <c r="T1525" s="117">
        <v>0</v>
      </c>
    </row>
    <row r="1526" spans="1:20" x14ac:dyDescent="0.35">
      <c r="A1526" t="s">
        <v>20</v>
      </c>
      <c r="B1526" t="s">
        <v>23</v>
      </c>
      <c r="C1526" s="1">
        <v>45525</v>
      </c>
      <c r="D1526">
        <f t="shared" si="103"/>
        <v>21</v>
      </c>
      <c r="E1526">
        <f t="shared" si="104"/>
        <v>8</v>
      </c>
      <c r="F1526">
        <f t="shared" si="105"/>
        <v>2024</v>
      </c>
      <c r="G1526" t="s">
        <v>82</v>
      </c>
      <c r="H1526" s="98">
        <v>10936</v>
      </c>
      <c r="I1526" s="29">
        <v>31</v>
      </c>
      <c r="J1526" s="12" t="s">
        <v>31</v>
      </c>
      <c r="K1526" s="76">
        <f t="shared" si="106"/>
        <v>31</v>
      </c>
      <c r="L1526">
        <v>1</v>
      </c>
      <c r="M1526" s="29">
        <v>0</v>
      </c>
      <c r="N1526" t="s">
        <v>32</v>
      </c>
      <c r="O1526" t="s">
        <v>33</v>
      </c>
      <c r="P1526" t="s">
        <v>34</v>
      </c>
      <c r="Q1526" t="s">
        <v>34</v>
      </c>
      <c r="R1526" t="s">
        <v>34</v>
      </c>
      <c r="S1526" t="s">
        <v>34</v>
      </c>
      <c r="T1526" s="117">
        <v>0</v>
      </c>
    </row>
    <row r="1527" spans="1:20" x14ac:dyDescent="0.35">
      <c r="A1527" t="s">
        <v>20</v>
      </c>
      <c r="B1527" t="s">
        <v>23</v>
      </c>
      <c r="C1527" s="1">
        <v>45525</v>
      </c>
      <c r="D1527">
        <f t="shared" si="103"/>
        <v>21</v>
      </c>
      <c r="E1527">
        <f t="shared" si="104"/>
        <v>8</v>
      </c>
      <c r="F1527">
        <f t="shared" si="105"/>
        <v>2024</v>
      </c>
      <c r="G1527" t="s">
        <v>82</v>
      </c>
      <c r="H1527" s="98">
        <v>10938</v>
      </c>
      <c r="I1527" s="29">
        <v>25.3</v>
      </c>
      <c r="J1527" s="12" t="s">
        <v>31</v>
      </c>
      <c r="K1527" s="76">
        <f t="shared" si="106"/>
        <v>25.3</v>
      </c>
      <c r="L1527">
        <v>1</v>
      </c>
      <c r="M1527" s="29">
        <v>0</v>
      </c>
      <c r="N1527" t="s">
        <v>32</v>
      </c>
      <c r="O1527" t="s">
        <v>33</v>
      </c>
      <c r="P1527" t="s">
        <v>34</v>
      </c>
      <c r="Q1527" t="s">
        <v>34</v>
      </c>
      <c r="R1527" t="s">
        <v>34</v>
      </c>
      <c r="S1527" t="s">
        <v>34</v>
      </c>
      <c r="T1527" s="117">
        <v>0</v>
      </c>
    </row>
    <row r="1528" spans="1:20" x14ac:dyDescent="0.35">
      <c r="A1528" t="s">
        <v>20</v>
      </c>
      <c r="B1528" t="s">
        <v>21</v>
      </c>
      <c r="C1528" s="1">
        <v>45525</v>
      </c>
      <c r="D1528">
        <f t="shared" si="103"/>
        <v>21</v>
      </c>
      <c r="E1528">
        <f t="shared" si="104"/>
        <v>8</v>
      </c>
      <c r="F1528">
        <f t="shared" si="105"/>
        <v>2024</v>
      </c>
      <c r="G1528" t="s">
        <v>45</v>
      </c>
      <c r="H1528" s="98">
        <v>10907</v>
      </c>
      <c r="I1528" s="29">
        <v>6910.5</v>
      </c>
      <c r="J1528" s="12" t="s">
        <v>31</v>
      </c>
      <c r="K1528" s="76">
        <f t="shared" si="106"/>
        <v>6910.5</v>
      </c>
      <c r="L1528">
        <v>1</v>
      </c>
      <c r="M1528" s="29">
        <v>0</v>
      </c>
      <c r="N1528" t="s">
        <v>32</v>
      </c>
      <c r="O1528" t="s">
        <v>33</v>
      </c>
      <c r="P1528" t="s">
        <v>34</v>
      </c>
      <c r="Q1528" t="s">
        <v>34</v>
      </c>
      <c r="R1528" t="s">
        <v>34</v>
      </c>
      <c r="S1528" t="s">
        <v>34</v>
      </c>
      <c r="T1528" s="117">
        <v>0</v>
      </c>
    </row>
    <row r="1529" spans="1:20" x14ac:dyDescent="0.35">
      <c r="A1529" t="s">
        <v>20</v>
      </c>
      <c r="B1529" t="s">
        <v>25</v>
      </c>
      <c r="C1529" s="1">
        <v>45525</v>
      </c>
      <c r="D1529">
        <f t="shared" si="103"/>
        <v>21</v>
      </c>
      <c r="E1529">
        <f t="shared" si="104"/>
        <v>8</v>
      </c>
      <c r="F1529">
        <f t="shared" si="105"/>
        <v>2024</v>
      </c>
      <c r="G1529" t="s">
        <v>45</v>
      </c>
      <c r="H1529" s="98">
        <v>10907</v>
      </c>
      <c r="I1529" s="29">
        <v>32910</v>
      </c>
      <c r="J1529" s="12" t="s">
        <v>31</v>
      </c>
      <c r="K1529" s="76">
        <f t="shared" si="106"/>
        <v>32910</v>
      </c>
      <c r="L1529">
        <v>1</v>
      </c>
      <c r="M1529" s="29">
        <v>0</v>
      </c>
      <c r="N1529" t="s">
        <v>32</v>
      </c>
      <c r="O1529" t="s">
        <v>33</v>
      </c>
      <c r="P1529" t="s">
        <v>34</v>
      </c>
      <c r="Q1529" t="s">
        <v>34</v>
      </c>
      <c r="R1529" t="s">
        <v>34</v>
      </c>
      <c r="S1529" t="s">
        <v>34</v>
      </c>
      <c r="T1529" s="117">
        <v>0</v>
      </c>
    </row>
    <row r="1530" spans="1:20" x14ac:dyDescent="0.35">
      <c r="A1530" t="s">
        <v>20</v>
      </c>
      <c r="B1530" t="s">
        <v>23</v>
      </c>
      <c r="C1530" s="1">
        <v>45525</v>
      </c>
      <c r="D1530">
        <f t="shared" si="103"/>
        <v>21</v>
      </c>
      <c r="E1530">
        <f t="shared" si="104"/>
        <v>8</v>
      </c>
      <c r="F1530">
        <f t="shared" si="105"/>
        <v>2024</v>
      </c>
      <c r="G1530" t="s">
        <v>45</v>
      </c>
      <c r="H1530" s="98">
        <v>10907</v>
      </c>
      <c r="I1530" s="29">
        <v>6587.75</v>
      </c>
      <c r="J1530" s="12" t="s">
        <v>31</v>
      </c>
      <c r="K1530" s="76">
        <f t="shared" si="106"/>
        <v>6587.75</v>
      </c>
      <c r="L1530">
        <v>1</v>
      </c>
      <c r="M1530" s="29">
        <v>0</v>
      </c>
      <c r="N1530" t="s">
        <v>32</v>
      </c>
      <c r="O1530" t="s">
        <v>33</v>
      </c>
      <c r="P1530" t="s">
        <v>34</v>
      </c>
      <c r="Q1530" t="s">
        <v>34</v>
      </c>
      <c r="R1530" t="s">
        <v>34</v>
      </c>
      <c r="S1530" t="s">
        <v>34</v>
      </c>
      <c r="T1530" s="117">
        <v>0</v>
      </c>
    </row>
    <row r="1531" spans="1:20" x14ac:dyDescent="0.35">
      <c r="A1531" t="s">
        <v>20</v>
      </c>
      <c r="B1531" t="s">
        <v>21</v>
      </c>
      <c r="C1531" s="1">
        <v>45525</v>
      </c>
      <c r="D1531">
        <f t="shared" si="103"/>
        <v>21</v>
      </c>
      <c r="E1531">
        <f t="shared" si="104"/>
        <v>8</v>
      </c>
      <c r="F1531">
        <f t="shared" si="105"/>
        <v>2024</v>
      </c>
      <c r="G1531" t="s">
        <v>45</v>
      </c>
      <c r="H1531" s="98">
        <v>10941</v>
      </c>
      <c r="I1531" s="29">
        <v>157.80000000000001</v>
      </c>
      <c r="J1531" s="12" t="s">
        <v>31</v>
      </c>
      <c r="K1531" s="76">
        <f t="shared" ref="K1531:K1553" si="107">IF(J1531="USD",I1531,I1531*L1531)</f>
        <v>157.80000000000001</v>
      </c>
      <c r="L1531">
        <v>1</v>
      </c>
      <c r="M1531" s="29">
        <v>0</v>
      </c>
      <c r="N1531" t="s">
        <v>32</v>
      </c>
      <c r="O1531" t="s">
        <v>33</v>
      </c>
      <c r="P1531" t="s">
        <v>34</v>
      </c>
      <c r="Q1531" t="s">
        <v>34</v>
      </c>
      <c r="R1531" t="s">
        <v>34</v>
      </c>
      <c r="S1531" t="s">
        <v>34</v>
      </c>
      <c r="T1531" s="117">
        <v>0</v>
      </c>
    </row>
    <row r="1532" spans="1:20" x14ac:dyDescent="0.35">
      <c r="A1532" t="s">
        <v>20</v>
      </c>
      <c r="B1532" t="s">
        <v>25</v>
      </c>
      <c r="C1532" s="1">
        <v>45525</v>
      </c>
      <c r="D1532">
        <f t="shared" si="103"/>
        <v>21</v>
      </c>
      <c r="E1532">
        <f t="shared" si="104"/>
        <v>8</v>
      </c>
      <c r="F1532">
        <f t="shared" si="105"/>
        <v>2024</v>
      </c>
      <c r="G1532" t="s">
        <v>99</v>
      </c>
      <c r="H1532" s="98">
        <v>10622</v>
      </c>
      <c r="I1532" s="29">
        <v>73.599999999999994</v>
      </c>
      <c r="J1532" s="12" t="s">
        <v>31</v>
      </c>
      <c r="K1532" s="76">
        <f t="shared" si="107"/>
        <v>73.599999999999994</v>
      </c>
      <c r="L1532">
        <v>1</v>
      </c>
      <c r="M1532" s="29">
        <v>0</v>
      </c>
      <c r="N1532" t="s">
        <v>32</v>
      </c>
      <c r="O1532" t="s">
        <v>33</v>
      </c>
      <c r="P1532" t="s">
        <v>34</v>
      </c>
      <c r="Q1532" t="s">
        <v>34</v>
      </c>
      <c r="R1532" t="s">
        <v>34</v>
      </c>
      <c r="S1532" t="s">
        <v>34</v>
      </c>
      <c r="T1532" s="117">
        <v>0</v>
      </c>
    </row>
    <row r="1533" spans="1:20" x14ac:dyDescent="0.35">
      <c r="A1533" t="s">
        <v>20</v>
      </c>
      <c r="B1533" t="s">
        <v>23</v>
      </c>
      <c r="C1533" s="1">
        <v>45525</v>
      </c>
      <c r="D1533">
        <f t="shared" si="103"/>
        <v>21</v>
      </c>
      <c r="E1533">
        <f t="shared" si="104"/>
        <v>8</v>
      </c>
      <c r="F1533">
        <f t="shared" si="105"/>
        <v>2024</v>
      </c>
      <c r="G1533" t="s">
        <v>99</v>
      </c>
      <c r="H1533" s="98">
        <v>10541</v>
      </c>
      <c r="I1533" s="29">
        <v>40.5</v>
      </c>
      <c r="J1533" s="12" t="s">
        <v>31</v>
      </c>
      <c r="K1533" s="76">
        <f t="shared" si="107"/>
        <v>40.5</v>
      </c>
      <c r="L1533">
        <v>1</v>
      </c>
      <c r="M1533" s="29">
        <v>0</v>
      </c>
      <c r="N1533" t="s">
        <v>32</v>
      </c>
      <c r="O1533" t="s">
        <v>33</v>
      </c>
      <c r="P1533" t="s">
        <v>34</v>
      </c>
      <c r="Q1533" t="s">
        <v>34</v>
      </c>
      <c r="R1533" t="s">
        <v>34</v>
      </c>
      <c r="S1533" t="s">
        <v>34</v>
      </c>
      <c r="T1533" s="117">
        <v>0</v>
      </c>
    </row>
    <row r="1534" spans="1:20" x14ac:dyDescent="0.35">
      <c r="A1534" t="s">
        <v>20</v>
      </c>
      <c r="B1534" t="s">
        <v>23</v>
      </c>
      <c r="C1534" s="1">
        <v>45525</v>
      </c>
      <c r="D1534">
        <f t="shared" si="103"/>
        <v>21</v>
      </c>
      <c r="E1534">
        <f t="shared" si="104"/>
        <v>8</v>
      </c>
      <c r="F1534">
        <f t="shared" si="105"/>
        <v>2024</v>
      </c>
      <c r="G1534" t="s">
        <v>99</v>
      </c>
      <c r="H1534" s="98">
        <v>10542</v>
      </c>
      <c r="I1534" s="29">
        <v>12374.65</v>
      </c>
      <c r="J1534" s="12" t="s">
        <v>31</v>
      </c>
      <c r="K1534" s="76">
        <f t="shared" si="107"/>
        <v>12374.65</v>
      </c>
      <c r="L1534">
        <v>1</v>
      </c>
      <c r="M1534" s="29">
        <v>0</v>
      </c>
      <c r="N1534" t="s">
        <v>32</v>
      </c>
      <c r="O1534" t="s">
        <v>33</v>
      </c>
      <c r="P1534" t="s">
        <v>34</v>
      </c>
      <c r="Q1534" t="s">
        <v>34</v>
      </c>
      <c r="R1534" t="s">
        <v>34</v>
      </c>
      <c r="S1534" t="s">
        <v>34</v>
      </c>
      <c r="T1534" s="117">
        <v>0</v>
      </c>
    </row>
    <row r="1535" spans="1:20" x14ac:dyDescent="0.35">
      <c r="A1535" t="s">
        <v>20</v>
      </c>
      <c r="B1535" t="s">
        <v>21</v>
      </c>
      <c r="C1535" s="1">
        <v>45525</v>
      </c>
      <c r="D1535">
        <f t="shared" si="103"/>
        <v>21</v>
      </c>
      <c r="E1535">
        <f t="shared" si="104"/>
        <v>8</v>
      </c>
      <c r="F1535">
        <f t="shared" si="105"/>
        <v>2024</v>
      </c>
      <c r="G1535" t="s">
        <v>86</v>
      </c>
      <c r="H1535" s="98">
        <v>10704</v>
      </c>
      <c r="I1535" s="29">
        <v>3130.67</v>
      </c>
      <c r="J1535" s="12" t="s">
        <v>31</v>
      </c>
      <c r="K1535" s="76">
        <f t="shared" si="107"/>
        <v>3130.67</v>
      </c>
      <c r="L1535">
        <v>1</v>
      </c>
      <c r="M1535" s="29">
        <v>0</v>
      </c>
      <c r="N1535" t="s">
        <v>32</v>
      </c>
      <c r="O1535" t="s">
        <v>33</v>
      </c>
      <c r="P1535" t="s">
        <v>34</v>
      </c>
      <c r="Q1535" t="s">
        <v>34</v>
      </c>
      <c r="R1535" t="s">
        <v>34</v>
      </c>
      <c r="S1535" t="s">
        <v>34</v>
      </c>
      <c r="T1535" s="117">
        <v>0</v>
      </c>
    </row>
    <row r="1536" spans="1:20" x14ac:dyDescent="0.35">
      <c r="A1536" t="s">
        <v>20</v>
      </c>
      <c r="B1536" t="s">
        <v>21</v>
      </c>
      <c r="C1536" s="1">
        <v>45525</v>
      </c>
      <c r="D1536">
        <f t="shared" si="103"/>
        <v>21</v>
      </c>
      <c r="E1536">
        <f t="shared" si="104"/>
        <v>8</v>
      </c>
      <c r="F1536">
        <f t="shared" si="105"/>
        <v>2024</v>
      </c>
      <c r="G1536" t="s">
        <v>86</v>
      </c>
      <c r="H1536" s="98">
        <v>10703</v>
      </c>
      <c r="I1536" s="29">
        <v>55.2</v>
      </c>
      <c r="J1536" s="12" t="s">
        <v>31</v>
      </c>
      <c r="K1536" s="76">
        <f t="shared" si="107"/>
        <v>55.2</v>
      </c>
      <c r="L1536">
        <v>1</v>
      </c>
      <c r="M1536" s="29">
        <v>0</v>
      </c>
      <c r="N1536" t="s">
        <v>32</v>
      </c>
      <c r="O1536" t="s">
        <v>33</v>
      </c>
      <c r="P1536" t="s">
        <v>34</v>
      </c>
      <c r="Q1536" t="s">
        <v>34</v>
      </c>
      <c r="R1536" t="s">
        <v>34</v>
      </c>
      <c r="S1536" t="s">
        <v>34</v>
      </c>
      <c r="T1536" s="117">
        <v>0</v>
      </c>
    </row>
    <row r="1537" spans="1:20" x14ac:dyDescent="0.35">
      <c r="A1537" t="s">
        <v>20</v>
      </c>
      <c r="B1537" t="s">
        <v>25</v>
      </c>
      <c r="C1537" s="1">
        <v>45525</v>
      </c>
      <c r="D1537">
        <f t="shared" si="103"/>
        <v>21</v>
      </c>
      <c r="E1537">
        <f t="shared" si="104"/>
        <v>8</v>
      </c>
      <c r="F1537">
        <f t="shared" si="105"/>
        <v>2024</v>
      </c>
      <c r="G1537" t="s">
        <v>86</v>
      </c>
      <c r="H1537" s="98">
        <v>10645</v>
      </c>
      <c r="I1537" s="29">
        <v>118.6</v>
      </c>
      <c r="J1537" s="12" t="s">
        <v>31</v>
      </c>
      <c r="K1537" s="76">
        <f t="shared" si="107"/>
        <v>118.6</v>
      </c>
      <c r="L1537">
        <v>1</v>
      </c>
      <c r="M1537" s="29">
        <v>0</v>
      </c>
      <c r="N1537" t="s">
        <v>32</v>
      </c>
      <c r="O1537" t="s">
        <v>33</v>
      </c>
      <c r="P1537" t="s">
        <v>34</v>
      </c>
      <c r="Q1537" t="s">
        <v>34</v>
      </c>
      <c r="R1537" t="s">
        <v>34</v>
      </c>
      <c r="S1537" t="s">
        <v>34</v>
      </c>
      <c r="T1537" s="117">
        <v>0</v>
      </c>
    </row>
    <row r="1538" spans="1:20" x14ac:dyDescent="0.35">
      <c r="A1538" t="s">
        <v>20</v>
      </c>
      <c r="B1538" t="s">
        <v>223</v>
      </c>
      <c r="C1538" s="1">
        <v>45525</v>
      </c>
      <c r="D1538">
        <f t="shared" ref="D1538:D1601" si="108">DAY(C1538)</f>
        <v>21</v>
      </c>
      <c r="E1538">
        <f t="shared" ref="E1538:E1601" si="109">MONTH(C1538)</f>
        <v>8</v>
      </c>
      <c r="F1538">
        <f t="shared" ref="F1538:F1601" si="110">YEAR(C1538)</f>
        <v>2024</v>
      </c>
      <c r="G1538" t="s">
        <v>223</v>
      </c>
      <c r="H1538" s="98">
        <v>10817</v>
      </c>
      <c r="I1538" s="29">
        <v>7283.3</v>
      </c>
      <c r="J1538" s="12" t="s">
        <v>51</v>
      </c>
      <c r="K1538" s="76">
        <f t="shared" si="107"/>
        <v>8128.162800000001</v>
      </c>
      <c r="L1538">
        <v>1.1160000000000001</v>
      </c>
      <c r="M1538" s="29">
        <v>0</v>
      </c>
      <c r="N1538" t="s">
        <v>32</v>
      </c>
      <c r="O1538" t="s">
        <v>186</v>
      </c>
      <c r="P1538" s="1">
        <v>45520</v>
      </c>
      <c r="Q1538" t="s">
        <v>34</v>
      </c>
      <c r="R1538">
        <v>10010014384</v>
      </c>
      <c r="S1538" t="s">
        <v>34</v>
      </c>
      <c r="T1538" s="117">
        <v>0</v>
      </c>
    </row>
    <row r="1539" spans="1:20" x14ac:dyDescent="0.35">
      <c r="A1539" t="s">
        <v>19</v>
      </c>
      <c r="B1539" t="s">
        <v>19</v>
      </c>
      <c r="C1539" s="1">
        <v>45525</v>
      </c>
      <c r="D1539">
        <f t="shared" si="108"/>
        <v>21</v>
      </c>
      <c r="E1539">
        <f t="shared" si="109"/>
        <v>8</v>
      </c>
      <c r="F1539">
        <f t="shared" si="110"/>
        <v>2024</v>
      </c>
      <c r="G1539" t="s">
        <v>59</v>
      </c>
      <c r="H1539" s="98" t="s">
        <v>471</v>
      </c>
      <c r="I1539" s="29">
        <v>127831.7</v>
      </c>
      <c r="J1539" s="12" t="s">
        <v>31</v>
      </c>
      <c r="K1539" s="76">
        <f t="shared" si="107"/>
        <v>127831.7</v>
      </c>
      <c r="L1539">
        <v>1</v>
      </c>
      <c r="M1539" s="29">
        <v>0</v>
      </c>
      <c r="N1539" t="s">
        <v>32</v>
      </c>
      <c r="O1539" t="s">
        <v>33</v>
      </c>
      <c r="P1539" t="s">
        <v>34</v>
      </c>
      <c r="Q1539" t="s">
        <v>34</v>
      </c>
      <c r="R1539" t="s">
        <v>34</v>
      </c>
      <c r="S1539" t="s">
        <v>34</v>
      </c>
      <c r="T1539" s="117">
        <v>0</v>
      </c>
    </row>
    <row r="1540" spans="1:20" x14ac:dyDescent="0.35">
      <c r="A1540" t="s">
        <v>19</v>
      </c>
      <c r="B1540" t="s">
        <v>19</v>
      </c>
      <c r="C1540" s="1">
        <v>45525</v>
      </c>
      <c r="D1540">
        <f t="shared" si="108"/>
        <v>21</v>
      </c>
      <c r="E1540">
        <f t="shared" si="109"/>
        <v>8</v>
      </c>
      <c r="F1540">
        <f t="shared" si="110"/>
        <v>2024</v>
      </c>
      <c r="G1540" t="s">
        <v>59</v>
      </c>
      <c r="H1540" s="98" t="s">
        <v>420</v>
      </c>
      <c r="I1540" s="29">
        <v>40255.19</v>
      </c>
      <c r="J1540" s="12" t="s">
        <v>31</v>
      </c>
      <c r="K1540" s="76">
        <f t="shared" si="107"/>
        <v>40255.19</v>
      </c>
      <c r="L1540">
        <v>1</v>
      </c>
      <c r="M1540" s="29">
        <v>0</v>
      </c>
      <c r="N1540" t="s">
        <v>32</v>
      </c>
      <c r="O1540" t="s">
        <v>33</v>
      </c>
      <c r="P1540" t="s">
        <v>34</v>
      </c>
      <c r="Q1540" t="s">
        <v>34</v>
      </c>
      <c r="R1540" t="s">
        <v>34</v>
      </c>
      <c r="S1540" t="s">
        <v>34</v>
      </c>
      <c r="T1540" s="117">
        <v>0</v>
      </c>
    </row>
    <row r="1541" spans="1:20" x14ac:dyDescent="0.35">
      <c r="A1541" t="s">
        <v>19</v>
      </c>
      <c r="B1541" t="s">
        <v>19</v>
      </c>
      <c r="C1541" s="1">
        <v>45525</v>
      </c>
      <c r="D1541">
        <f t="shared" si="108"/>
        <v>21</v>
      </c>
      <c r="E1541">
        <f t="shared" si="109"/>
        <v>8</v>
      </c>
      <c r="F1541">
        <f t="shared" si="110"/>
        <v>2024</v>
      </c>
      <c r="G1541" t="s">
        <v>55</v>
      </c>
      <c r="H1541" s="98" t="s">
        <v>472</v>
      </c>
      <c r="I1541" s="29">
        <v>139246.57999999999</v>
      </c>
      <c r="J1541" s="12" t="s">
        <v>31</v>
      </c>
      <c r="K1541" s="76">
        <f t="shared" si="107"/>
        <v>139246.57999999999</v>
      </c>
      <c r="L1541">
        <v>1</v>
      </c>
      <c r="M1541" s="29">
        <v>0</v>
      </c>
      <c r="N1541" t="s">
        <v>32</v>
      </c>
      <c r="O1541" t="s">
        <v>33</v>
      </c>
      <c r="P1541" t="s">
        <v>34</v>
      </c>
      <c r="Q1541" t="s">
        <v>34</v>
      </c>
      <c r="R1541" t="s">
        <v>34</v>
      </c>
      <c r="S1541" t="s">
        <v>34</v>
      </c>
      <c r="T1541" s="117">
        <v>0</v>
      </c>
    </row>
    <row r="1542" spans="1:20" x14ac:dyDescent="0.35">
      <c r="A1542" t="s">
        <v>19</v>
      </c>
      <c r="B1542" t="s">
        <v>19</v>
      </c>
      <c r="C1542" s="1">
        <v>45525</v>
      </c>
      <c r="D1542">
        <f t="shared" si="108"/>
        <v>21</v>
      </c>
      <c r="E1542">
        <f t="shared" si="109"/>
        <v>8</v>
      </c>
      <c r="F1542">
        <f t="shared" si="110"/>
        <v>2024</v>
      </c>
      <c r="G1542" t="s">
        <v>55</v>
      </c>
      <c r="H1542" s="98" t="s">
        <v>473</v>
      </c>
      <c r="I1542" s="29">
        <v>59839.14</v>
      </c>
      <c r="J1542" s="12" t="s">
        <v>31</v>
      </c>
      <c r="K1542" s="76">
        <f t="shared" si="107"/>
        <v>59839.14</v>
      </c>
      <c r="L1542">
        <v>1</v>
      </c>
      <c r="M1542" s="29">
        <v>0</v>
      </c>
      <c r="N1542" t="s">
        <v>32</v>
      </c>
      <c r="O1542" t="s">
        <v>33</v>
      </c>
      <c r="P1542" t="s">
        <v>34</v>
      </c>
      <c r="Q1542" t="s">
        <v>34</v>
      </c>
      <c r="R1542" t="s">
        <v>34</v>
      </c>
      <c r="S1542" t="s">
        <v>34</v>
      </c>
      <c r="T1542" s="117">
        <v>0</v>
      </c>
    </row>
    <row r="1543" spans="1:20" x14ac:dyDescent="0.35">
      <c r="A1543" t="s">
        <v>19</v>
      </c>
      <c r="B1543" t="s">
        <v>19</v>
      </c>
      <c r="C1543" s="1">
        <v>45525</v>
      </c>
      <c r="D1543">
        <f t="shared" si="108"/>
        <v>21</v>
      </c>
      <c r="E1543">
        <f t="shared" si="109"/>
        <v>8</v>
      </c>
      <c r="F1543">
        <f t="shared" si="110"/>
        <v>2024</v>
      </c>
      <c r="G1543" t="s">
        <v>129</v>
      </c>
      <c r="H1543" s="98" t="s">
        <v>474</v>
      </c>
      <c r="I1543" s="29">
        <v>41038.15</v>
      </c>
      <c r="J1543" s="12" t="s">
        <v>31</v>
      </c>
      <c r="K1543" s="76">
        <f t="shared" si="107"/>
        <v>41038.15</v>
      </c>
      <c r="L1543">
        <v>1</v>
      </c>
      <c r="M1543" s="29">
        <v>0</v>
      </c>
      <c r="N1543" t="s">
        <v>32</v>
      </c>
      <c r="O1543" t="s">
        <v>33</v>
      </c>
      <c r="P1543" t="s">
        <v>34</v>
      </c>
      <c r="Q1543" t="s">
        <v>34</v>
      </c>
      <c r="R1543" t="s">
        <v>34</v>
      </c>
      <c r="S1543" t="s">
        <v>34</v>
      </c>
      <c r="T1543" s="117">
        <v>0</v>
      </c>
    </row>
    <row r="1544" spans="1:20" x14ac:dyDescent="0.35">
      <c r="A1544" t="s">
        <v>19</v>
      </c>
      <c r="B1544" t="s">
        <v>19</v>
      </c>
      <c r="C1544" s="1">
        <v>45525</v>
      </c>
      <c r="D1544">
        <f t="shared" si="108"/>
        <v>21</v>
      </c>
      <c r="E1544">
        <f t="shared" si="109"/>
        <v>8</v>
      </c>
      <c r="F1544">
        <f t="shared" si="110"/>
        <v>2024</v>
      </c>
      <c r="G1544" t="s">
        <v>56</v>
      </c>
      <c r="H1544" s="98" t="s">
        <v>475</v>
      </c>
      <c r="I1544" s="29">
        <v>186805.06</v>
      </c>
      <c r="J1544" s="12" t="s">
        <v>31</v>
      </c>
      <c r="K1544" s="76">
        <f t="shared" si="107"/>
        <v>186805.06</v>
      </c>
      <c r="L1544">
        <v>1</v>
      </c>
      <c r="M1544" s="29">
        <v>0</v>
      </c>
      <c r="N1544" t="s">
        <v>32</v>
      </c>
      <c r="O1544" t="s">
        <v>33</v>
      </c>
      <c r="P1544" t="s">
        <v>34</v>
      </c>
      <c r="Q1544" t="s">
        <v>34</v>
      </c>
      <c r="R1544" t="s">
        <v>34</v>
      </c>
      <c r="S1544" t="s">
        <v>34</v>
      </c>
      <c r="T1544" s="117">
        <v>0</v>
      </c>
    </row>
    <row r="1545" spans="1:20" x14ac:dyDescent="0.35">
      <c r="A1545" t="s">
        <v>19</v>
      </c>
      <c r="B1545" t="s">
        <v>19</v>
      </c>
      <c r="C1545" s="1">
        <v>45525</v>
      </c>
      <c r="D1545">
        <f t="shared" si="108"/>
        <v>21</v>
      </c>
      <c r="E1545">
        <f t="shared" si="109"/>
        <v>8</v>
      </c>
      <c r="F1545">
        <f t="shared" si="110"/>
        <v>2024</v>
      </c>
      <c r="G1545" t="s">
        <v>56</v>
      </c>
      <c r="H1545" s="98" t="s">
        <v>476</v>
      </c>
      <c r="I1545" s="29">
        <v>310</v>
      </c>
      <c r="J1545" s="12" t="s">
        <v>31</v>
      </c>
      <c r="K1545" s="76">
        <f t="shared" si="107"/>
        <v>310</v>
      </c>
      <c r="L1545">
        <v>1</v>
      </c>
      <c r="M1545" s="29">
        <v>0</v>
      </c>
      <c r="N1545" t="s">
        <v>32</v>
      </c>
      <c r="O1545" t="s">
        <v>33</v>
      </c>
      <c r="P1545" t="s">
        <v>34</v>
      </c>
      <c r="Q1545" t="s">
        <v>34</v>
      </c>
      <c r="R1545" t="s">
        <v>34</v>
      </c>
      <c r="S1545" t="s">
        <v>34</v>
      </c>
      <c r="T1545" s="117">
        <v>0</v>
      </c>
    </row>
    <row r="1546" spans="1:20" x14ac:dyDescent="0.35">
      <c r="A1546" t="s">
        <v>19</v>
      </c>
      <c r="B1546" t="s">
        <v>19</v>
      </c>
      <c r="C1546" s="1">
        <v>45525</v>
      </c>
      <c r="D1546">
        <f t="shared" si="108"/>
        <v>21</v>
      </c>
      <c r="E1546">
        <f t="shared" si="109"/>
        <v>8</v>
      </c>
      <c r="F1546">
        <f t="shared" si="110"/>
        <v>2024</v>
      </c>
      <c r="G1546" t="s">
        <v>56</v>
      </c>
      <c r="H1546" s="98" t="s">
        <v>477</v>
      </c>
      <c r="I1546" s="29">
        <v>203.36</v>
      </c>
      <c r="J1546" s="12" t="s">
        <v>31</v>
      </c>
      <c r="K1546" s="76">
        <f t="shared" si="107"/>
        <v>203.36</v>
      </c>
      <c r="L1546">
        <v>1</v>
      </c>
      <c r="M1546" s="29">
        <v>0</v>
      </c>
      <c r="N1546" t="s">
        <v>32</v>
      </c>
      <c r="O1546" t="s">
        <v>33</v>
      </c>
      <c r="P1546" t="s">
        <v>34</v>
      </c>
      <c r="Q1546" t="s">
        <v>34</v>
      </c>
      <c r="R1546" t="s">
        <v>34</v>
      </c>
      <c r="S1546" t="s">
        <v>34</v>
      </c>
      <c r="T1546" s="117">
        <v>0</v>
      </c>
    </row>
    <row r="1547" spans="1:20" x14ac:dyDescent="0.35">
      <c r="A1547" t="s">
        <v>19</v>
      </c>
      <c r="B1547" t="s">
        <v>19</v>
      </c>
      <c r="C1547" s="1">
        <v>45525</v>
      </c>
      <c r="D1547">
        <f t="shared" si="108"/>
        <v>21</v>
      </c>
      <c r="E1547">
        <f t="shared" si="109"/>
        <v>8</v>
      </c>
      <c r="F1547">
        <f t="shared" si="110"/>
        <v>2024</v>
      </c>
      <c r="G1547" t="s">
        <v>90</v>
      </c>
      <c r="H1547" s="98" t="s">
        <v>478</v>
      </c>
      <c r="I1547" s="29">
        <v>4476.87</v>
      </c>
      <c r="J1547" s="12" t="s">
        <v>31</v>
      </c>
      <c r="K1547" s="76">
        <f t="shared" si="107"/>
        <v>4476.87</v>
      </c>
      <c r="L1547">
        <v>1</v>
      </c>
      <c r="M1547" s="29">
        <v>0</v>
      </c>
      <c r="N1547" t="s">
        <v>32</v>
      </c>
      <c r="O1547" t="s">
        <v>33</v>
      </c>
      <c r="P1547" t="s">
        <v>34</v>
      </c>
      <c r="Q1547" t="s">
        <v>34</v>
      </c>
      <c r="R1547" t="s">
        <v>34</v>
      </c>
      <c r="S1547" t="s">
        <v>34</v>
      </c>
      <c r="T1547" s="117">
        <v>0</v>
      </c>
    </row>
    <row r="1548" spans="1:20" x14ac:dyDescent="0.35">
      <c r="A1548" t="s">
        <v>19</v>
      </c>
      <c r="B1548" t="s">
        <v>19</v>
      </c>
      <c r="C1548" s="1">
        <v>45525</v>
      </c>
      <c r="D1548">
        <f t="shared" si="108"/>
        <v>21</v>
      </c>
      <c r="E1548">
        <f t="shared" si="109"/>
        <v>8</v>
      </c>
      <c r="F1548">
        <f t="shared" si="110"/>
        <v>2024</v>
      </c>
      <c r="G1548" t="s">
        <v>45</v>
      </c>
      <c r="H1548" s="98" t="s">
        <v>479</v>
      </c>
      <c r="I1548" s="29">
        <v>27777.56</v>
      </c>
      <c r="J1548" s="12" t="s">
        <v>31</v>
      </c>
      <c r="K1548" s="76">
        <f t="shared" si="107"/>
        <v>27777.56</v>
      </c>
      <c r="L1548">
        <v>1</v>
      </c>
      <c r="M1548" s="29">
        <v>0</v>
      </c>
      <c r="N1548" t="s">
        <v>32</v>
      </c>
      <c r="O1548" t="s">
        <v>33</v>
      </c>
      <c r="P1548" t="s">
        <v>34</v>
      </c>
      <c r="Q1548" t="s">
        <v>34</v>
      </c>
      <c r="R1548" t="s">
        <v>34</v>
      </c>
      <c r="S1548" t="s">
        <v>34</v>
      </c>
      <c r="T1548" s="117">
        <v>0</v>
      </c>
    </row>
    <row r="1549" spans="1:20" x14ac:dyDescent="0.35">
      <c r="A1549" t="s">
        <v>19</v>
      </c>
      <c r="B1549" t="s">
        <v>19</v>
      </c>
      <c r="C1549" s="1">
        <v>45525</v>
      </c>
      <c r="D1549">
        <f t="shared" si="108"/>
        <v>21</v>
      </c>
      <c r="E1549">
        <f t="shared" si="109"/>
        <v>8</v>
      </c>
      <c r="F1549">
        <f t="shared" si="110"/>
        <v>2024</v>
      </c>
      <c r="G1549" t="s">
        <v>225</v>
      </c>
      <c r="H1549" s="98" t="s">
        <v>227</v>
      </c>
      <c r="I1549" s="29">
        <v>122369.82</v>
      </c>
      <c r="J1549" s="12" t="s">
        <v>31</v>
      </c>
      <c r="K1549" s="76">
        <f t="shared" si="107"/>
        <v>122369.82</v>
      </c>
      <c r="L1549">
        <v>1</v>
      </c>
      <c r="M1549" s="29">
        <v>0</v>
      </c>
      <c r="N1549" t="s">
        <v>32</v>
      </c>
      <c r="O1549" t="s">
        <v>33</v>
      </c>
      <c r="P1549" t="s">
        <v>34</v>
      </c>
      <c r="Q1549" t="s">
        <v>34</v>
      </c>
      <c r="R1549" t="s">
        <v>34</v>
      </c>
      <c r="S1549" t="s">
        <v>34</v>
      </c>
      <c r="T1549" s="117">
        <v>0</v>
      </c>
    </row>
    <row r="1550" spans="1:20" x14ac:dyDescent="0.35">
      <c r="A1550" t="s">
        <v>19</v>
      </c>
      <c r="B1550" t="s">
        <v>19</v>
      </c>
      <c r="C1550" s="1">
        <v>45525</v>
      </c>
      <c r="D1550">
        <f t="shared" si="108"/>
        <v>21</v>
      </c>
      <c r="E1550">
        <f t="shared" si="109"/>
        <v>8</v>
      </c>
      <c r="F1550">
        <f t="shared" si="110"/>
        <v>2024</v>
      </c>
      <c r="G1550" t="s">
        <v>118</v>
      </c>
      <c r="H1550" s="98" t="s">
        <v>561</v>
      </c>
      <c r="I1550" s="29">
        <v>2903.2</v>
      </c>
      <c r="J1550" s="12" t="s">
        <v>31</v>
      </c>
      <c r="K1550" s="76">
        <f t="shared" si="107"/>
        <v>2903.2</v>
      </c>
      <c r="L1550">
        <v>1</v>
      </c>
      <c r="M1550" s="29">
        <v>0</v>
      </c>
      <c r="N1550" t="s">
        <v>42</v>
      </c>
      <c r="O1550" t="s">
        <v>33</v>
      </c>
      <c r="P1550" t="s">
        <v>34</v>
      </c>
      <c r="Q1550" t="s">
        <v>34</v>
      </c>
      <c r="R1550" t="s">
        <v>34</v>
      </c>
      <c r="S1550" t="s">
        <v>34</v>
      </c>
      <c r="T1550" s="117">
        <v>0</v>
      </c>
    </row>
    <row r="1551" spans="1:20" x14ac:dyDescent="0.35">
      <c r="A1551" t="s">
        <v>19</v>
      </c>
      <c r="B1551" t="s">
        <v>19</v>
      </c>
      <c r="C1551" s="1">
        <v>45525</v>
      </c>
      <c r="D1551">
        <f t="shared" si="108"/>
        <v>21</v>
      </c>
      <c r="E1551">
        <f t="shared" si="109"/>
        <v>8</v>
      </c>
      <c r="F1551">
        <f t="shared" si="110"/>
        <v>2024</v>
      </c>
      <c r="G1551" t="s">
        <v>133</v>
      </c>
      <c r="H1551" s="98" t="s">
        <v>480</v>
      </c>
      <c r="I1551" s="29">
        <v>112031.26</v>
      </c>
      <c r="J1551" s="12" t="s">
        <v>31</v>
      </c>
      <c r="K1551" s="76">
        <f t="shared" si="107"/>
        <v>112031.26</v>
      </c>
      <c r="L1551">
        <v>1</v>
      </c>
      <c r="M1551" s="29">
        <v>0</v>
      </c>
      <c r="N1551" t="s">
        <v>32</v>
      </c>
      <c r="O1551" t="s">
        <v>33</v>
      </c>
      <c r="P1551" t="s">
        <v>34</v>
      </c>
      <c r="Q1551" t="s">
        <v>34</v>
      </c>
      <c r="R1551" t="s">
        <v>34</v>
      </c>
      <c r="S1551" t="s">
        <v>34</v>
      </c>
      <c r="T1551" s="117">
        <v>0</v>
      </c>
    </row>
    <row r="1552" spans="1:20" x14ac:dyDescent="0.35">
      <c r="A1552" t="s">
        <v>19</v>
      </c>
      <c r="B1552" t="s">
        <v>19</v>
      </c>
      <c r="C1552" s="1">
        <v>45525</v>
      </c>
      <c r="D1552">
        <f t="shared" si="108"/>
        <v>21</v>
      </c>
      <c r="E1552">
        <f t="shared" si="109"/>
        <v>8</v>
      </c>
      <c r="F1552">
        <f t="shared" si="110"/>
        <v>2024</v>
      </c>
      <c r="G1552" t="s">
        <v>126</v>
      </c>
      <c r="H1552" s="98" t="s">
        <v>481</v>
      </c>
      <c r="I1552" s="29">
        <v>18874.63</v>
      </c>
      <c r="J1552" s="12" t="s">
        <v>31</v>
      </c>
      <c r="K1552" s="76">
        <f t="shared" si="107"/>
        <v>18874.63</v>
      </c>
      <c r="L1552">
        <v>1</v>
      </c>
      <c r="M1552" s="29">
        <v>0</v>
      </c>
      <c r="N1552" t="s">
        <v>32</v>
      </c>
      <c r="O1552" t="s">
        <v>33</v>
      </c>
      <c r="P1552" t="s">
        <v>34</v>
      </c>
      <c r="Q1552" t="s">
        <v>34</v>
      </c>
      <c r="R1552" t="s">
        <v>34</v>
      </c>
      <c r="S1552" t="s">
        <v>34</v>
      </c>
      <c r="T1552" s="117">
        <v>0</v>
      </c>
    </row>
    <row r="1553" spans="1:21" x14ac:dyDescent="0.35">
      <c r="A1553" t="s">
        <v>19</v>
      </c>
      <c r="B1553" t="s">
        <v>26</v>
      </c>
      <c r="C1553" s="1">
        <v>45526</v>
      </c>
      <c r="D1553">
        <f t="shared" si="108"/>
        <v>22</v>
      </c>
      <c r="E1553">
        <f t="shared" si="109"/>
        <v>8</v>
      </c>
      <c r="F1553">
        <f t="shared" si="110"/>
        <v>2024</v>
      </c>
      <c r="G1553" t="s">
        <v>73</v>
      </c>
      <c r="H1553" s="98">
        <v>11088</v>
      </c>
      <c r="I1553" s="29">
        <v>28649.58</v>
      </c>
      <c r="J1553" s="12" t="s">
        <v>51</v>
      </c>
      <c r="K1553" s="76">
        <f t="shared" si="107"/>
        <v>31875.522708000004</v>
      </c>
      <c r="L1553">
        <v>1.1126</v>
      </c>
      <c r="M1553" s="29">
        <v>0</v>
      </c>
      <c r="N1553" t="s">
        <v>42</v>
      </c>
      <c r="O1553" t="s">
        <v>33</v>
      </c>
      <c r="P1553" t="s">
        <v>34</v>
      </c>
      <c r="Q1553" t="s">
        <v>34</v>
      </c>
      <c r="R1553" t="s">
        <v>34</v>
      </c>
      <c r="S1553" t="s">
        <v>34</v>
      </c>
      <c r="T1553" s="117">
        <v>0</v>
      </c>
      <c r="U1553" s="209" t="s">
        <v>94</v>
      </c>
    </row>
    <row r="1554" spans="1:21" x14ac:dyDescent="0.35">
      <c r="A1554" t="s">
        <v>19</v>
      </c>
      <c r="B1554" t="s">
        <v>26</v>
      </c>
      <c r="C1554" s="1">
        <v>45526</v>
      </c>
      <c r="D1554">
        <f t="shared" si="108"/>
        <v>22</v>
      </c>
      <c r="E1554">
        <f t="shared" si="109"/>
        <v>8</v>
      </c>
      <c r="F1554">
        <f t="shared" si="110"/>
        <v>2024</v>
      </c>
      <c r="G1554" t="s">
        <v>73</v>
      </c>
      <c r="H1554" s="98">
        <v>11104</v>
      </c>
      <c r="I1554" s="29">
        <v>78188.399999999994</v>
      </c>
      <c r="J1554" s="12" t="s">
        <v>51</v>
      </c>
      <c r="K1554" s="76">
        <f>IF(J1554="USD",I1554,I1554*L1554)+0.01</f>
        <v>86992.423839999989</v>
      </c>
      <c r="L1554">
        <v>1.1126</v>
      </c>
      <c r="M1554" s="29">
        <v>0</v>
      </c>
      <c r="N1554" t="s">
        <v>42</v>
      </c>
      <c r="O1554" t="s">
        <v>33</v>
      </c>
      <c r="P1554" t="s">
        <v>34</v>
      </c>
      <c r="Q1554" t="s">
        <v>34</v>
      </c>
      <c r="R1554" t="s">
        <v>34</v>
      </c>
      <c r="S1554" t="s">
        <v>34</v>
      </c>
      <c r="T1554" s="117">
        <v>0</v>
      </c>
      <c r="U1554" s="209" t="s">
        <v>94</v>
      </c>
    </row>
    <row r="1555" spans="1:21" x14ac:dyDescent="0.35">
      <c r="A1555" t="s">
        <v>19</v>
      </c>
      <c r="B1555" t="s">
        <v>26</v>
      </c>
      <c r="C1555" s="1">
        <v>45526</v>
      </c>
      <c r="D1555">
        <f t="shared" si="108"/>
        <v>22</v>
      </c>
      <c r="E1555">
        <f t="shared" si="109"/>
        <v>8</v>
      </c>
      <c r="F1555">
        <f t="shared" si="110"/>
        <v>2024</v>
      </c>
      <c r="G1555" t="s">
        <v>73</v>
      </c>
      <c r="H1555" s="98">
        <v>11105</v>
      </c>
      <c r="I1555" s="29">
        <v>41570.629999999997</v>
      </c>
      <c r="J1555" s="12" t="s">
        <v>51</v>
      </c>
      <c r="K1555" s="76">
        <f t="shared" ref="K1555:K1618" si="111">IF(J1555="USD",I1555,I1555*L1555)</f>
        <v>46251.482938000001</v>
      </c>
      <c r="L1555">
        <v>1.1126</v>
      </c>
      <c r="M1555" s="29">
        <v>0</v>
      </c>
      <c r="N1555" t="s">
        <v>42</v>
      </c>
      <c r="O1555" t="s">
        <v>33</v>
      </c>
      <c r="P1555" t="s">
        <v>34</v>
      </c>
      <c r="Q1555" t="s">
        <v>34</v>
      </c>
      <c r="R1555" t="s">
        <v>34</v>
      </c>
      <c r="S1555" t="s">
        <v>34</v>
      </c>
      <c r="T1555" s="117">
        <v>0</v>
      </c>
      <c r="U1555" s="209" t="s">
        <v>94</v>
      </c>
    </row>
    <row r="1556" spans="1:21" x14ac:dyDescent="0.35">
      <c r="A1556" t="s">
        <v>20</v>
      </c>
      <c r="B1556" t="s">
        <v>21</v>
      </c>
      <c r="C1556" s="1">
        <v>45530</v>
      </c>
      <c r="D1556">
        <f t="shared" si="108"/>
        <v>26</v>
      </c>
      <c r="E1556">
        <f t="shared" si="109"/>
        <v>8</v>
      </c>
      <c r="F1556">
        <f t="shared" si="110"/>
        <v>2024</v>
      </c>
      <c r="G1556" t="s">
        <v>203</v>
      </c>
      <c r="H1556" s="98">
        <v>10494</v>
      </c>
      <c r="I1556" s="29">
        <v>6323.2</v>
      </c>
      <c r="J1556" s="12" t="s">
        <v>51</v>
      </c>
      <c r="K1556" s="76">
        <f t="shared" si="111"/>
        <v>7086.4102400000002</v>
      </c>
      <c r="L1556">
        <v>1.1207</v>
      </c>
      <c r="M1556" s="29">
        <v>0</v>
      </c>
      <c r="N1556" t="s">
        <v>32</v>
      </c>
      <c r="O1556" t="s">
        <v>33</v>
      </c>
      <c r="P1556" t="s">
        <v>34</v>
      </c>
      <c r="Q1556" t="s">
        <v>34</v>
      </c>
      <c r="R1556" t="s">
        <v>34</v>
      </c>
      <c r="S1556" t="s">
        <v>34</v>
      </c>
      <c r="T1556" s="117">
        <v>0</v>
      </c>
    </row>
    <row r="1557" spans="1:21" x14ac:dyDescent="0.35">
      <c r="A1557" t="s">
        <v>20</v>
      </c>
      <c r="B1557" t="s">
        <v>23</v>
      </c>
      <c r="C1557" s="1">
        <v>45532</v>
      </c>
      <c r="D1557">
        <f t="shared" si="108"/>
        <v>28</v>
      </c>
      <c r="E1557">
        <f t="shared" si="109"/>
        <v>8</v>
      </c>
      <c r="F1557">
        <f t="shared" si="110"/>
        <v>2024</v>
      </c>
      <c r="G1557" t="s">
        <v>483</v>
      </c>
      <c r="H1557" s="98">
        <v>10984</v>
      </c>
      <c r="I1557" s="29">
        <v>33</v>
      </c>
      <c r="J1557" s="12" t="s">
        <v>31</v>
      </c>
      <c r="K1557" s="76">
        <f t="shared" si="111"/>
        <v>33</v>
      </c>
      <c r="L1557">
        <v>1</v>
      </c>
      <c r="M1557" s="29">
        <v>0</v>
      </c>
      <c r="N1557" t="s">
        <v>42</v>
      </c>
      <c r="O1557" t="s">
        <v>33</v>
      </c>
      <c r="P1557" t="s">
        <v>34</v>
      </c>
      <c r="Q1557" t="s">
        <v>34</v>
      </c>
      <c r="R1557" t="s">
        <v>34</v>
      </c>
      <c r="S1557" t="s">
        <v>34</v>
      </c>
      <c r="T1557" s="117">
        <v>0</v>
      </c>
    </row>
    <row r="1558" spans="1:21" x14ac:dyDescent="0.35">
      <c r="A1558" t="s">
        <v>20</v>
      </c>
      <c r="B1558" t="s">
        <v>23</v>
      </c>
      <c r="C1558" s="1">
        <v>45532</v>
      </c>
      <c r="D1558">
        <f t="shared" si="108"/>
        <v>28</v>
      </c>
      <c r="E1558">
        <f t="shared" si="109"/>
        <v>8</v>
      </c>
      <c r="F1558">
        <f t="shared" si="110"/>
        <v>2024</v>
      </c>
      <c r="G1558" t="s">
        <v>483</v>
      </c>
      <c r="H1558" s="98">
        <v>10985</v>
      </c>
      <c r="I1558" s="29">
        <v>7755</v>
      </c>
      <c r="J1558" s="12" t="s">
        <v>31</v>
      </c>
      <c r="K1558" s="76">
        <f t="shared" si="111"/>
        <v>7755</v>
      </c>
      <c r="L1558">
        <v>1</v>
      </c>
      <c r="M1558" s="29">
        <v>0</v>
      </c>
      <c r="N1558" t="s">
        <v>42</v>
      </c>
      <c r="O1558" t="s">
        <v>33</v>
      </c>
      <c r="P1558" t="s">
        <v>34</v>
      </c>
      <c r="Q1558" t="s">
        <v>34</v>
      </c>
      <c r="R1558" t="s">
        <v>34</v>
      </c>
      <c r="S1558" t="s">
        <v>34</v>
      </c>
      <c r="T1558" s="117">
        <v>0</v>
      </c>
    </row>
    <row r="1559" spans="1:21" x14ac:dyDescent="0.35">
      <c r="A1559" t="s">
        <v>20</v>
      </c>
      <c r="B1559" t="s">
        <v>25</v>
      </c>
      <c r="C1559" s="1">
        <v>45532</v>
      </c>
      <c r="D1559">
        <f t="shared" si="108"/>
        <v>28</v>
      </c>
      <c r="E1559">
        <f t="shared" si="109"/>
        <v>8</v>
      </c>
      <c r="F1559">
        <f t="shared" si="110"/>
        <v>2024</v>
      </c>
      <c r="G1559" t="s">
        <v>95</v>
      </c>
      <c r="H1559" s="98">
        <v>9907</v>
      </c>
      <c r="I1559" s="29">
        <v>204.8</v>
      </c>
      <c r="J1559" s="12" t="s">
        <v>31</v>
      </c>
      <c r="K1559" s="76">
        <f t="shared" si="111"/>
        <v>204.8</v>
      </c>
      <c r="L1559">
        <v>1</v>
      </c>
      <c r="M1559" s="29">
        <v>0</v>
      </c>
      <c r="N1559" t="s">
        <v>32</v>
      </c>
      <c r="O1559" t="s">
        <v>33</v>
      </c>
      <c r="P1559" t="s">
        <v>34</v>
      </c>
      <c r="Q1559" t="s">
        <v>34</v>
      </c>
      <c r="R1559" t="s">
        <v>34</v>
      </c>
      <c r="S1559" t="s">
        <v>34</v>
      </c>
      <c r="T1559" s="117">
        <v>0</v>
      </c>
    </row>
    <row r="1560" spans="1:21" x14ac:dyDescent="0.35">
      <c r="A1560" t="s">
        <v>20</v>
      </c>
      <c r="B1560" t="s">
        <v>25</v>
      </c>
      <c r="C1560" s="1">
        <v>45532</v>
      </c>
      <c r="D1560">
        <f t="shared" si="108"/>
        <v>28</v>
      </c>
      <c r="E1560">
        <f t="shared" si="109"/>
        <v>8</v>
      </c>
      <c r="F1560">
        <f t="shared" si="110"/>
        <v>2024</v>
      </c>
      <c r="G1560" t="s">
        <v>95</v>
      </c>
      <c r="H1560" s="98">
        <v>9908</v>
      </c>
      <c r="I1560" s="29">
        <v>7048.83</v>
      </c>
      <c r="J1560" s="12" t="s">
        <v>31</v>
      </c>
      <c r="K1560" s="76">
        <f t="shared" si="111"/>
        <v>7048.83</v>
      </c>
      <c r="L1560">
        <v>1</v>
      </c>
      <c r="M1560" s="29">
        <v>0</v>
      </c>
      <c r="N1560" t="s">
        <v>32</v>
      </c>
      <c r="O1560" t="s">
        <v>33</v>
      </c>
      <c r="P1560" t="s">
        <v>34</v>
      </c>
      <c r="Q1560" t="s">
        <v>34</v>
      </c>
      <c r="R1560" t="s">
        <v>34</v>
      </c>
      <c r="S1560" t="s">
        <v>34</v>
      </c>
      <c r="T1560" s="117">
        <v>0</v>
      </c>
    </row>
    <row r="1561" spans="1:21" x14ac:dyDescent="0.35">
      <c r="A1561" t="s">
        <v>20</v>
      </c>
      <c r="B1561" t="s">
        <v>25</v>
      </c>
      <c r="C1561" s="1">
        <v>45532</v>
      </c>
      <c r="D1561">
        <f t="shared" si="108"/>
        <v>28</v>
      </c>
      <c r="E1561">
        <f t="shared" si="109"/>
        <v>8</v>
      </c>
      <c r="F1561">
        <f t="shared" si="110"/>
        <v>2024</v>
      </c>
      <c r="G1561" t="s">
        <v>54</v>
      </c>
      <c r="H1561" s="98">
        <v>10104</v>
      </c>
      <c r="I1561" s="29">
        <v>6090.45</v>
      </c>
      <c r="J1561" s="12" t="s">
        <v>31</v>
      </c>
      <c r="K1561" s="76">
        <f t="shared" si="111"/>
        <v>6090.45</v>
      </c>
      <c r="L1561">
        <v>1</v>
      </c>
      <c r="M1561" s="29">
        <v>0</v>
      </c>
      <c r="N1561" t="s">
        <v>32</v>
      </c>
      <c r="O1561" t="s">
        <v>33</v>
      </c>
      <c r="P1561" t="s">
        <v>34</v>
      </c>
      <c r="Q1561" t="s">
        <v>34</v>
      </c>
      <c r="R1561" t="s">
        <v>34</v>
      </c>
      <c r="S1561" t="s">
        <v>34</v>
      </c>
      <c r="T1561" s="117">
        <v>0</v>
      </c>
    </row>
    <row r="1562" spans="1:21" x14ac:dyDescent="0.35">
      <c r="A1562" t="s">
        <v>20</v>
      </c>
      <c r="B1562" t="s">
        <v>23</v>
      </c>
      <c r="C1562" s="1">
        <v>45532</v>
      </c>
      <c r="D1562">
        <f t="shared" si="108"/>
        <v>28</v>
      </c>
      <c r="E1562">
        <f t="shared" si="109"/>
        <v>8</v>
      </c>
      <c r="F1562">
        <f t="shared" si="110"/>
        <v>2024</v>
      </c>
      <c r="G1562" t="s">
        <v>104</v>
      </c>
      <c r="H1562" s="98">
        <v>10873</v>
      </c>
      <c r="I1562" s="29">
        <v>4726.68</v>
      </c>
      <c r="J1562" s="12" t="s">
        <v>31</v>
      </c>
      <c r="K1562" s="76">
        <f t="shared" si="111"/>
        <v>4726.68</v>
      </c>
      <c r="L1562">
        <v>1</v>
      </c>
      <c r="M1562" s="29">
        <v>0</v>
      </c>
      <c r="N1562" t="s">
        <v>42</v>
      </c>
      <c r="O1562" t="s">
        <v>33</v>
      </c>
      <c r="P1562" t="s">
        <v>34</v>
      </c>
      <c r="Q1562" t="s">
        <v>34</v>
      </c>
      <c r="R1562" t="s">
        <v>34</v>
      </c>
      <c r="S1562" t="s">
        <v>34</v>
      </c>
      <c r="T1562" s="117">
        <v>0</v>
      </c>
    </row>
    <row r="1563" spans="1:21" x14ac:dyDescent="0.35">
      <c r="A1563" t="s">
        <v>20</v>
      </c>
      <c r="B1563" t="s">
        <v>23</v>
      </c>
      <c r="C1563" s="1">
        <v>45532</v>
      </c>
      <c r="D1563">
        <f t="shared" si="108"/>
        <v>28</v>
      </c>
      <c r="E1563">
        <f t="shared" si="109"/>
        <v>8</v>
      </c>
      <c r="F1563">
        <f t="shared" si="110"/>
        <v>2024</v>
      </c>
      <c r="G1563" t="s">
        <v>82</v>
      </c>
      <c r="H1563" s="98">
        <v>10792</v>
      </c>
      <c r="I1563" s="29">
        <v>6430.14</v>
      </c>
      <c r="J1563" s="12" t="s">
        <v>31</v>
      </c>
      <c r="K1563" s="76">
        <f t="shared" si="111"/>
        <v>6430.14</v>
      </c>
      <c r="L1563">
        <v>1</v>
      </c>
      <c r="M1563" s="29">
        <v>0</v>
      </c>
      <c r="N1563" t="s">
        <v>32</v>
      </c>
      <c r="O1563" t="s">
        <v>33</v>
      </c>
      <c r="P1563" t="s">
        <v>34</v>
      </c>
      <c r="Q1563" t="s">
        <v>34</v>
      </c>
      <c r="R1563" t="s">
        <v>34</v>
      </c>
      <c r="S1563" t="s">
        <v>34</v>
      </c>
      <c r="T1563" s="117">
        <v>0</v>
      </c>
    </row>
    <row r="1564" spans="1:21" x14ac:dyDescent="0.35">
      <c r="A1564" t="s">
        <v>20</v>
      </c>
      <c r="B1564" t="s">
        <v>21</v>
      </c>
      <c r="C1564" s="1">
        <v>45532</v>
      </c>
      <c r="D1564">
        <f t="shared" si="108"/>
        <v>28</v>
      </c>
      <c r="E1564">
        <f t="shared" si="109"/>
        <v>8</v>
      </c>
      <c r="F1564">
        <f t="shared" si="110"/>
        <v>2024</v>
      </c>
      <c r="G1564" t="s">
        <v>43</v>
      </c>
      <c r="H1564" s="98">
        <v>10885</v>
      </c>
      <c r="I1564" s="29">
        <v>64</v>
      </c>
      <c r="J1564" s="12" t="s">
        <v>31</v>
      </c>
      <c r="K1564" s="76">
        <f t="shared" si="111"/>
        <v>64</v>
      </c>
      <c r="L1564">
        <v>1</v>
      </c>
      <c r="M1564" s="29">
        <v>0</v>
      </c>
      <c r="N1564" t="s">
        <v>32</v>
      </c>
      <c r="O1564" t="s">
        <v>33</v>
      </c>
      <c r="P1564" t="s">
        <v>34</v>
      </c>
      <c r="Q1564" t="s">
        <v>34</v>
      </c>
      <c r="R1564" t="s">
        <v>34</v>
      </c>
      <c r="S1564" t="s">
        <v>34</v>
      </c>
      <c r="T1564" s="117">
        <v>0</v>
      </c>
    </row>
    <row r="1565" spans="1:21" x14ac:dyDescent="0.35">
      <c r="A1565" t="s">
        <v>20</v>
      </c>
      <c r="B1565" t="s">
        <v>25</v>
      </c>
      <c r="C1565" s="1">
        <v>45532</v>
      </c>
      <c r="D1565">
        <f t="shared" si="108"/>
        <v>28</v>
      </c>
      <c r="E1565">
        <f t="shared" si="109"/>
        <v>8</v>
      </c>
      <c r="F1565">
        <f t="shared" si="110"/>
        <v>2024</v>
      </c>
      <c r="G1565" t="s">
        <v>43</v>
      </c>
      <c r="H1565" s="98">
        <v>10618</v>
      </c>
      <c r="I1565" s="29">
        <v>7714.64</v>
      </c>
      <c r="J1565" s="12" t="s">
        <v>31</v>
      </c>
      <c r="K1565" s="76">
        <f t="shared" si="111"/>
        <v>7714.64</v>
      </c>
      <c r="L1565">
        <v>1</v>
      </c>
      <c r="M1565" s="29">
        <v>0</v>
      </c>
      <c r="N1565" t="s">
        <v>32</v>
      </c>
      <c r="O1565" t="s">
        <v>33</v>
      </c>
      <c r="P1565" t="s">
        <v>34</v>
      </c>
      <c r="Q1565" t="s">
        <v>34</v>
      </c>
      <c r="R1565" t="s">
        <v>34</v>
      </c>
      <c r="S1565" t="s">
        <v>34</v>
      </c>
      <c r="T1565" s="117">
        <v>0</v>
      </c>
    </row>
    <row r="1566" spans="1:21" x14ac:dyDescent="0.35">
      <c r="A1566" t="s">
        <v>19</v>
      </c>
      <c r="B1566" t="s">
        <v>23</v>
      </c>
      <c r="C1566" s="1">
        <v>45532</v>
      </c>
      <c r="D1566">
        <f t="shared" si="108"/>
        <v>28</v>
      </c>
      <c r="E1566">
        <f t="shared" si="109"/>
        <v>8</v>
      </c>
      <c r="F1566">
        <f t="shared" si="110"/>
        <v>2024</v>
      </c>
      <c r="G1566" t="s">
        <v>76</v>
      </c>
      <c r="H1566" s="98">
        <v>10322</v>
      </c>
      <c r="I1566" s="29">
        <v>39716.800000000003</v>
      </c>
      <c r="J1566" s="12" t="s">
        <v>31</v>
      </c>
      <c r="K1566" s="76">
        <f t="shared" si="111"/>
        <v>39716.800000000003</v>
      </c>
      <c r="L1566">
        <v>1</v>
      </c>
      <c r="M1566" s="29">
        <v>0</v>
      </c>
      <c r="N1566" t="s">
        <v>32</v>
      </c>
      <c r="O1566" t="s">
        <v>33</v>
      </c>
      <c r="P1566" t="s">
        <v>34</v>
      </c>
      <c r="Q1566" t="s">
        <v>34</v>
      </c>
      <c r="R1566" t="s">
        <v>34</v>
      </c>
      <c r="S1566" t="s">
        <v>34</v>
      </c>
      <c r="T1566" s="117">
        <v>0</v>
      </c>
    </row>
    <row r="1567" spans="1:21" x14ac:dyDescent="0.35">
      <c r="A1567" t="s">
        <v>19</v>
      </c>
      <c r="B1567" t="s">
        <v>24</v>
      </c>
      <c r="C1567" s="1">
        <v>45532</v>
      </c>
      <c r="D1567">
        <f t="shared" si="108"/>
        <v>28</v>
      </c>
      <c r="E1567">
        <f t="shared" si="109"/>
        <v>8</v>
      </c>
      <c r="F1567">
        <f t="shared" si="110"/>
        <v>2024</v>
      </c>
      <c r="G1567" t="s">
        <v>76</v>
      </c>
      <c r="H1567" s="98">
        <v>10322</v>
      </c>
      <c r="I1567" s="29">
        <v>6639.36</v>
      </c>
      <c r="J1567" s="12" t="s">
        <v>31</v>
      </c>
      <c r="K1567" s="76">
        <f t="shared" si="111"/>
        <v>6639.36</v>
      </c>
      <c r="L1567">
        <v>1</v>
      </c>
      <c r="M1567" s="29">
        <v>0</v>
      </c>
      <c r="N1567" t="s">
        <v>32</v>
      </c>
      <c r="O1567" t="s">
        <v>33</v>
      </c>
      <c r="P1567" t="s">
        <v>34</v>
      </c>
      <c r="Q1567" t="s">
        <v>34</v>
      </c>
      <c r="R1567" t="s">
        <v>34</v>
      </c>
      <c r="S1567" t="s">
        <v>34</v>
      </c>
      <c r="T1567" s="117">
        <v>0</v>
      </c>
    </row>
    <row r="1568" spans="1:21" x14ac:dyDescent="0.35">
      <c r="A1568" t="s">
        <v>19</v>
      </c>
      <c r="B1568" t="s">
        <v>21</v>
      </c>
      <c r="C1568" s="1">
        <v>45532</v>
      </c>
      <c r="D1568">
        <f t="shared" si="108"/>
        <v>28</v>
      </c>
      <c r="E1568">
        <f t="shared" si="109"/>
        <v>8</v>
      </c>
      <c r="F1568">
        <f t="shared" si="110"/>
        <v>2024</v>
      </c>
      <c r="G1568" t="s">
        <v>76</v>
      </c>
      <c r="H1568" s="98">
        <v>10322</v>
      </c>
      <c r="I1568" s="29">
        <v>22939.45</v>
      </c>
      <c r="J1568" s="12" t="s">
        <v>31</v>
      </c>
      <c r="K1568" s="76">
        <f t="shared" si="111"/>
        <v>22939.45</v>
      </c>
      <c r="L1568">
        <v>1</v>
      </c>
      <c r="M1568" s="29">
        <v>0</v>
      </c>
      <c r="N1568" t="s">
        <v>32</v>
      </c>
      <c r="O1568" t="s">
        <v>33</v>
      </c>
      <c r="P1568" t="s">
        <v>34</v>
      </c>
      <c r="Q1568" t="s">
        <v>34</v>
      </c>
      <c r="R1568" t="s">
        <v>34</v>
      </c>
      <c r="S1568" t="s">
        <v>34</v>
      </c>
      <c r="T1568" s="117">
        <v>0</v>
      </c>
    </row>
    <row r="1569" spans="1:20" x14ac:dyDescent="0.35">
      <c r="A1569" t="s">
        <v>19</v>
      </c>
      <c r="B1569" t="s">
        <v>23</v>
      </c>
      <c r="C1569" s="1">
        <v>45532</v>
      </c>
      <c r="D1569">
        <f t="shared" si="108"/>
        <v>28</v>
      </c>
      <c r="E1569">
        <f t="shared" si="109"/>
        <v>8</v>
      </c>
      <c r="F1569">
        <f t="shared" si="110"/>
        <v>2024</v>
      </c>
      <c r="G1569" t="s">
        <v>76</v>
      </c>
      <c r="H1569" s="98">
        <v>10321</v>
      </c>
      <c r="I1569" s="29">
        <v>29737.54</v>
      </c>
      <c r="J1569" s="12" t="s">
        <v>31</v>
      </c>
      <c r="K1569" s="76">
        <f t="shared" si="111"/>
        <v>29737.54</v>
      </c>
      <c r="L1569">
        <v>1</v>
      </c>
      <c r="M1569" s="29">
        <v>0</v>
      </c>
      <c r="N1569" t="s">
        <v>32</v>
      </c>
      <c r="O1569" t="s">
        <v>33</v>
      </c>
      <c r="P1569" t="s">
        <v>34</v>
      </c>
      <c r="Q1569" t="s">
        <v>34</v>
      </c>
      <c r="R1569" t="s">
        <v>34</v>
      </c>
      <c r="S1569" t="s">
        <v>34</v>
      </c>
      <c r="T1569" s="117">
        <v>0</v>
      </c>
    </row>
    <row r="1570" spans="1:20" x14ac:dyDescent="0.35">
      <c r="A1570" t="s">
        <v>19</v>
      </c>
      <c r="B1570" t="s">
        <v>21</v>
      </c>
      <c r="C1570" s="1">
        <v>45532</v>
      </c>
      <c r="D1570">
        <f t="shared" si="108"/>
        <v>28</v>
      </c>
      <c r="E1570">
        <f t="shared" si="109"/>
        <v>8</v>
      </c>
      <c r="F1570">
        <f t="shared" si="110"/>
        <v>2024</v>
      </c>
      <c r="G1570" t="s">
        <v>76</v>
      </c>
      <c r="H1570" s="98">
        <v>10321</v>
      </c>
      <c r="I1570" s="29">
        <v>53142.8</v>
      </c>
      <c r="J1570" s="12" t="s">
        <v>31</v>
      </c>
      <c r="K1570" s="76">
        <f t="shared" si="111"/>
        <v>53142.8</v>
      </c>
      <c r="L1570">
        <v>1</v>
      </c>
      <c r="M1570" s="29">
        <v>0</v>
      </c>
      <c r="N1570" t="s">
        <v>32</v>
      </c>
      <c r="O1570" t="s">
        <v>33</v>
      </c>
      <c r="P1570" t="s">
        <v>34</v>
      </c>
      <c r="Q1570" t="s">
        <v>34</v>
      </c>
      <c r="R1570" t="s">
        <v>34</v>
      </c>
      <c r="S1570" t="s">
        <v>34</v>
      </c>
      <c r="T1570" s="117">
        <v>0</v>
      </c>
    </row>
    <row r="1571" spans="1:20" x14ac:dyDescent="0.35">
      <c r="A1571" t="s">
        <v>19</v>
      </c>
      <c r="B1571" t="s">
        <v>23</v>
      </c>
      <c r="C1571" s="1">
        <v>45532</v>
      </c>
      <c r="D1571">
        <f t="shared" si="108"/>
        <v>28</v>
      </c>
      <c r="E1571">
        <f t="shared" si="109"/>
        <v>8</v>
      </c>
      <c r="F1571">
        <f t="shared" si="110"/>
        <v>2024</v>
      </c>
      <c r="G1571" t="s">
        <v>76</v>
      </c>
      <c r="H1571" s="98">
        <v>10323</v>
      </c>
      <c r="I1571" s="29">
        <v>38652.300000000003</v>
      </c>
      <c r="J1571" s="12" t="s">
        <v>31</v>
      </c>
      <c r="K1571" s="76">
        <f t="shared" si="111"/>
        <v>38652.300000000003</v>
      </c>
      <c r="L1571">
        <v>1</v>
      </c>
      <c r="M1571" s="29">
        <v>0</v>
      </c>
      <c r="N1571" t="s">
        <v>32</v>
      </c>
      <c r="O1571" t="s">
        <v>33</v>
      </c>
      <c r="P1571" t="s">
        <v>34</v>
      </c>
      <c r="Q1571" t="s">
        <v>34</v>
      </c>
      <c r="R1571" t="s">
        <v>34</v>
      </c>
      <c r="S1571" t="s">
        <v>34</v>
      </c>
      <c r="T1571" s="117">
        <v>0</v>
      </c>
    </row>
    <row r="1572" spans="1:20" x14ac:dyDescent="0.35">
      <c r="A1572" t="s">
        <v>19</v>
      </c>
      <c r="B1572" t="s">
        <v>23</v>
      </c>
      <c r="C1572" s="1">
        <v>45532</v>
      </c>
      <c r="D1572">
        <f t="shared" si="108"/>
        <v>28</v>
      </c>
      <c r="E1572">
        <f t="shared" si="109"/>
        <v>8</v>
      </c>
      <c r="F1572">
        <f t="shared" si="110"/>
        <v>2024</v>
      </c>
      <c r="G1572" t="s">
        <v>74</v>
      </c>
      <c r="H1572" s="98">
        <v>10463</v>
      </c>
      <c r="I1572" s="29">
        <v>12461.25</v>
      </c>
      <c r="J1572" s="12" t="s">
        <v>31</v>
      </c>
      <c r="K1572" s="76">
        <f t="shared" si="111"/>
        <v>12461.25</v>
      </c>
      <c r="L1572">
        <v>1</v>
      </c>
      <c r="M1572" s="29">
        <v>0</v>
      </c>
      <c r="N1572" t="s">
        <v>32</v>
      </c>
      <c r="O1572" t="s">
        <v>33</v>
      </c>
      <c r="P1572" t="s">
        <v>34</v>
      </c>
      <c r="Q1572" t="s">
        <v>34</v>
      </c>
      <c r="R1572" t="s">
        <v>34</v>
      </c>
      <c r="S1572" t="s">
        <v>34</v>
      </c>
      <c r="T1572" s="117">
        <v>0</v>
      </c>
    </row>
    <row r="1573" spans="1:20" x14ac:dyDescent="0.35">
      <c r="A1573" t="s">
        <v>19</v>
      </c>
      <c r="B1573" t="s">
        <v>27</v>
      </c>
      <c r="C1573" s="1">
        <v>45532</v>
      </c>
      <c r="D1573">
        <f t="shared" si="108"/>
        <v>28</v>
      </c>
      <c r="E1573">
        <f t="shared" si="109"/>
        <v>8</v>
      </c>
      <c r="F1573">
        <f t="shared" si="110"/>
        <v>2024</v>
      </c>
      <c r="G1573" t="s">
        <v>100</v>
      </c>
      <c r="H1573" s="98">
        <v>10800</v>
      </c>
      <c r="I1573" s="29">
        <v>640613.81999999995</v>
      </c>
      <c r="J1573" s="12" t="s">
        <v>31</v>
      </c>
      <c r="K1573" s="76">
        <f t="shared" si="111"/>
        <v>640613.81999999995</v>
      </c>
      <c r="L1573">
        <v>1</v>
      </c>
      <c r="M1573" s="29">
        <v>0</v>
      </c>
      <c r="N1573" t="s">
        <v>32</v>
      </c>
      <c r="O1573" t="s">
        <v>33</v>
      </c>
      <c r="P1573" t="s">
        <v>34</v>
      </c>
      <c r="Q1573" t="s">
        <v>34</v>
      </c>
      <c r="R1573" t="s">
        <v>34</v>
      </c>
      <c r="S1573" t="s">
        <v>34</v>
      </c>
      <c r="T1573" s="117">
        <v>0</v>
      </c>
    </row>
    <row r="1574" spans="1:20" x14ac:dyDescent="0.35">
      <c r="A1574" t="s">
        <v>19</v>
      </c>
      <c r="B1574" t="s">
        <v>25</v>
      </c>
      <c r="C1574" s="1">
        <v>45532</v>
      </c>
      <c r="D1574">
        <f t="shared" si="108"/>
        <v>28</v>
      </c>
      <c r="E1574">
        <f t="shared" si="109"/>
        <v>8</v>
      </c>
      <c r="F1574">
        <f t="shared" si="110"/>
        <v>2024</v>
      </c>
      <c r="G1574" t="s">
        <v>351</v>
      </c>
      <c r="H1574" s="98">
        <v>10961</v>
      </c>
      <c r="I1574" s="29">
        <v>252</v>
      </c>
      <c r="J1574" s="12" t="s">
        <v>31</v>
      </c>
      <c r="K1574" s="76">
        <f t="shared" si="111"/>
        <v>252</v>
      </c>
      <c r="L1574">
        <v>1</v>
      </c>
      <c r="M1574" s="29">
        <v>0</v>
      </c>
      <c r="N1574" t="s">
        <v>32</v>
      </c>
      <c r="O1574" t="s">
        <v>33</v>
      </c>
      <c r="P1574" t="s">
        <v>34</v>
      </c>
      <c r="Q1574" t="s">
        <v>34</v>
      </c>
      <c r="R1574" t="s">
        <v>34</v>
      </c>
      <c r="S1574" t="s">
        <v>34</v>
      </c>
      <c r="T1574" s="117">
        <v>0</v>
      </c>
    </row>
    <row r="1575" spans="1:20" x14ac:dyDescent="0.35">
      <c r="A1575" t="s">
        <v>19</v>
      </c>
      <c r="B1575" t="s">
        <v>24</v>
      </c>
      <c r="C1575" s="1">
        <v>45532</v>
      </c>
      <c r="D1575">
        <f t="shared" si="108"/>
        <v>28</v>
      </c>
      <c r="E1575">
        <f t="shared" si="109"/>
        <v>8</v>
      </c>
      <c r="F1575">
        <f t="shared" si="110"/>
        <v>2024</v>
      </c>
      <c r="G1575" t="s">
        <v>36</v>
      </c>
      <c r="H1575" s="98">
        <v>10505</v>
      </c>
      <c r="I1575" s="29">
        <v>16480</v>
      </c>
      <c r="J1575" s="12" t="s">
        <v>31</v>
      </c>
      <c r="K1575" s="76">
        <f t="shared" si="111"/>
        <v>16480</v>
      </c>
      <c r="L1575">
        <v>1</v>
      </c>
      <c r="M1575" s="29">
        <v>0</v>
      </c>
      <c r="N1575" t="s">
        <v>32</v>
      </c>
      <c r="O1575" t="s">
        <v>33</v>
      </c>
      <c r="P1575" t="s">
        <v>34</v>
      </c>
      <c r="Q1575" t="s">
        <v>34</v>
      </c>
      <c r="R1575" t="s">
        <v>34</v>
      </c>
      <c r="S1575" t="s">
        <v>34</v>
      </c>
      <c r="T1575" s="117">
        <v>0</v>
      </c>
    </row>
    <row r="1576" spans="1:20" x14ac:dyDescent="0.35">
      <c r="A1576" t="s">
        <v>19</v>
      </c>
      <c r="B1576" t="s">
        <v>25</v>
      </c>
      <c r="C1576" s="1">
        <v>45532</v>
      </c>
      <c r="D1576">
        <f t="shared" si="108"/>
        <v>28</v>
      </c>
      <c r="E1576">
        <f t="shared" si="109"/>
        <v>8</v>
      </c>
      <c r="F1576">
        <f t="shared" si="110"/>
        <v>2024</v>
      </c>
      <c r="G1576" t="s">
        <v>36</v>
      </c>
      <c r="H1576" s="98">
        <v>10545</v>
      </c>
      <c r="I1576" s="29">
        <v>30953.4</v>
      </c>
      <c r="J1576" s="12" t="s">
        <v>31</v>
      </c>
      <c r="K1576" s="76">
        <f t="shared" si="111"/>
        <v>30953.4</v>
      </c>
      <c r="L1576">
        <v>1</v>
      </c>
      <c r="M1576" s="29">
        <v>0</v>
      </c>
      <c r="N1576" t="s">
        <v>32</v>
      </c>
      <c r="O1576" t="s">
        <v>33</v>
      </c>
      <c r="P1576" t="s">
        <v>34</v>
      </c>
      <c r="Q1576" t="s">
        <v>34</v>
      </c>
      <c r="R1576" t="s">
        <v>34</v>
      </c>
      <c r="S1576" t="s">
        <v>34</v>
      </c>
      <c r="T1576" s="117">
        <v>0</v>
      </c>
    </row>
    <row r="1577" spans="1:20" x14ac:dyDescent="0.35">
      <c r="A1577" t="s">
        <v>19</v>
      </c>
      <c r="B1577" t="s">
        <v>25</v>
      </c>
      <c r="C1577" s="1">
        <v>45532</v>
      </c>
      <c r="D1577">
        <f t="shared" si="108"/>
        <v>28</v>
      </c>
      <c r="E1577">
        <f t="shared" si="109"/>
        <v>8</v>
      </c>
      <c r="F1577">
        <f t="shared" si="110"/>
        <v>2024</v>
      </c>
      <c r="G1577" t="s">
        <v>36</v>
      </c>
      <c r="H1577" s="98">
        <v>10905</v>
      </c>
      <c r="I1577" s="29">
        <v>214.2</v>
      </c>
      <c r="J1577" s="12" t="s">
        <v>31</v>
      </c>
      <c r="K1577" s="76">
        <f t="shared" si="111"/>
        <v>214.2</v>
      </c>
      <c r="L1577">
        <v>1</v>
      </c>
      <c r="M1577" s="29">
        <v>0</v>
      </c>
      <c r="N1577" t="s">
        <v>32</v>
      </c>
      <c r="O1577" t="s">
        <v>33</v>
      </c>
      <c r="P1577" t="s">
        <v>34</v>
      </c>
      <c r="Q1577" t="s">
        <v>34</v>
      </c>
      <c r="R1577" t="s">
        <v>34</v>
      </c>
      <c r="S1577" t="s">
        <v>34</v>
      </c>
      <c r="T1577" s="117">
        <v>0</v>
      </c>
    </row>
    <row r="1578" spans="1:20" x14ac:dyDescent="0.35">
      <c r="A1578" t="s">
        <v>19</v>
      </c>
      <c r="B1578" t="s">
        <v>25</v>
      </c>
      <c r="C1578" s="1">
        <v>45532</v>
      </c>
      <c r="D1578">
        <f t="shared" si="108"/>
        <v>28</v>
      </c>
      <c r="E1578">
        <f t="shared" si="109"/>
        <v>8</v>
      </c>
      <c r="F1578">
        <f t="shared" si="110"/>
        <v>2024</v>
      </c>
      <c r="G1578" t="s">
        <v>39</v>
      </c>
      <c r="H1578" s="98">
        <v>10533</v>
      </c>
      <c r="I1578" s="29">
        <v>102</v>
      </c>
      <c r="J1578" s="12" t="s">
        <v>31</v>
      </c>
      <c r="K1578" s="76">
        <f t="shared" si="111"/>
        <v>102</v>
      </c>
      <c r="L1578">
        <v>1</v>
      </c>
      <c r="M1578" s="29">
        <v>0</v>
      </c>
      <c r="N1578" t="s">
        <v>32</v>
      </c>
      <c r="O1578" t="s">
        <v>33</v>
      </c>
      <c r="P1578" t="s">
        <v>34</v>
      </c>
      <c r="Q1578" t="s">
        <v>34</v>
      </c>
      <c r="R1578" t="s">
        <v>34</v>
      </c>
      <c r="S1578" t="s">
        <v>34</v>
      </c>
      <c r="T1578" s="117">
        <v>0</v>
      </c>
    </row>
    <row r="1579" spans="1:20" x14ac:dyDescent="0.35">
      <c r="A1579" t="s">
        <v>19</v>
      </c>
      <c r="B1579" t="s">
        <v>21</v>
      </c>
      <c r="C1579" s="1">
        <v>45532</v>
      </c>
      <c r="D1579">
        <f t="shared" si="108"/>
        <v>28</v>
      </c>
      <c r="E1579">
        <f t="shared" si="109"/>
        <v>8</v>
      </c>
      <c r="F1579">
        <f t="shared" si="110"/>
        <v>2024</v>
      </c>
      <c r="G1579" t="s">
        <v>39</v>
      </c>
      <c r="H1579" s="98">
        <v>10537</v>
      </c>
      <c r="I1579" s="29">
        <v>10319.4</v>
      </c>
      <c r="J1579" s="12" t="s">
        <v>31</v>
      </c>
      <c r="K1579" s="76">
        <f t="shared" si="111"/>
        <v>10319.4</v>
      </c>
      <c r="L1579">
        <v>1</v>
      </c>
      <c r="M1579" s="29">
        <v>0</v>
      </c>
      <c r="N1579" t="s">
        <v>32</v>
      </c>
      <c r="O1579" t="s">
        <v>33</v>
      </c>
      <c r="P1579" t="s">
        <v>34</v>
      </c>
      <c r="Q1579" t="s">
        <v>34</v>
      </c>
      <c r="R1579" t="s">
        <v>34</v>
      </c>
      <c r="S1579" t="s">
        <v>34</v>
      </c>
      <c r="T1579" s="117">
        <v>0</v>
      </c>
    </row>
    <row r="1580" spans="1:20" x14ac:dyDescent="0.35">
      <c r="A1580" t="s">
        <v>19</v>
      </c>
      <c r="B1580" t="s">
        <v>25</v>
      </c>
      <c r="C1580" s="1">
        <v>45532</v>
      </c>
      <c r="D1580">
        <f t="shared" si="108"/>
        <v>28</v>
      </c>
      <c r="E1580">
        <f t="shared" si="109"/>
        <v>8</v>
      </c>
      <c r="F1580">
        <f t="shared" si="110"/>
        <v>2024</v>
      </c>
      <c r="G1580" t="s">
        <v>39</v>
      </c>
      <c r="H1580" s="98">
        <v>10982</v>
      </c>
      <c r="I1580" s="29">
        <v>23.7</v>
      </c>
      <c r="J1580" s="12" t="s">
        <v>31</v>
      </c>
      <c r="K1580" s="76">
        <f t="shared" si="111"/>
        <v>23.7</v>
      </c>
      <c r="L1580">
        <v>1</v>
      </c>
      <c r="M1580" s="29">
        <v>0</v>
      </c>
      <c r="N1580" t="s">
        <v>32</v>
      </c>
      <c r="O1580" t="s">
        <v>33</v>
      </c>
      <c r="P1580" t="s">
        <v>34</v>
      </c>
      <c r="Q1580" t="s">
        <v>34</v>
      </c>
      <c r="R1580" t="s">
        <v>34</v>
      </c>
      <c r="S1580" t="s">
        <v>34</v>
      </c>
      <c r="T1580" s="117">
        <v>0</v>
      </c>
    </row>
    <row r="1581" spans="1:20" x14ac:dyDescent="0.35">
      <c r="A1581" t="s">
        <v>19</v>
      </c>
      <c r="B1581" t="s">
        <v>25</v>
      </c>
      <c r="C1581" s="1">
        <v>45532</v>
      </c>
      <c r="D1581">
        <f t="shared" si="108"/>
        <v>28</v>
      </c>
      <c r="E1581">
        <f t="shared" si="109"/>
        <v>8</v>
      </c>
      <c r="F1581">
        <f t="shared" si="110"/>
        <v>2024</v>
      </c>
      <c r="G1581" t="s">
        <v>93</v>
      </c>
      <c r="H1581" s="171">
        <v>10564</v>
      </c>
      <c r="I1581" s="90">
        <v>392.7</v>
      </c>
      <c r="J1581" s="12" t="s">
        <v>31</v>
      </c>
      <c r="K1581" s="76">
        <f t="shared" si="111"/>
        <v>392.7</v>
      </c>
      <c r="L1581">
        <v>1</v>
      </c>
      <c r="M1581" s="29">
        <v>0</v>
      </c>
      <c r="N1581" t="s">
        <v>32</v>
      </c>
      <c r="O1581" t="s">
        <v>33</v>
      </c>
      <c r="P1581" t="s">
        <v>34</v>
      </c>
      <c r="Q1581" t="s">
        <v>34</v>
      </c>
      <c r="R1581" t="s">
        <v>34</v>
      </c>
      <c r="S1581" t="s">
        <v>34</v>
      </c>
      <c r="T1581" s="117">
        <v>0</v>
      </c>
    </row>
    <row r="1582" spans="1:20" x14ac:dyDescent="0.35">
      <c r="A1582" t="s">
        <v>19</v>
      </c>
      <c r="B1582" t="s">
        <v>25</v>
      </c>
      <c r="C1582" s="1">
        <v>45532</v>
      </c>
      <c r="D1582">
        <f t="shared" si="108"/>
        <v>28</v>
      </c>
      <c r="E1582">
        <f t="shared" si="109"/>
        <v>8</v>
      </c>
      <c r="F1582">
        <f t="shared" si="110"/>
        <v>2024</v>
      </c>
      <c r="G1582" t="s">
        <v>93</v>
      </c>
      <c r="H1582" s="171">
        <v>10566</v>
      </c>
      <c r="I1582" s="90">
        <v>171.4</v>
      </c>
      <c r="J1582" s="12" t="s">
        <v>31</v>
      </c>
      <c r="K1582" s="76">
        <f t="shared" si="111"/>
        <v>171.4</v>
      </c>
      <c r="L1582">
        <v>1</v>
      </c>
      <c r="M1582" s="29">
        <v>0</v>
      </c>
      <c r="N1582" t="s">
        <v>32</v>
      </c>
      <c r="O1582" t="s">
        <v>33</v>
      </c>
      <c r="P1582" t="s">
        <v>34</v>
      </c>
      <c r="Q1582" t="s">
        <v>34</v>
      </c>
      <c r="R1582" t="s">
        <v>34</v>
      </c>
      <c r="S1582" t="s">
        <v>34</v>
      </c>
      <c r="T1582" s="117">
        <v>0</v>
      </c>
    </row>
    <row r="1583" spans="1:20" x14ac:dyDescent="0.35">
      <c r="A1583" t="s">
        <v>19</v>
      </c>
      <c r="B1583" t="s">
        <v>25</v>
      </c>
      <c r="C1583" s="1">
        <v>45532</v>
      </c>
      <c r="D1583">
        <f t="shared" si="108"/>
        <v>28</v>
      </c>
      <c r="E1583">
        <f t="shared" si="109"/>
        <v>8</v>
      </c>
      <c r="F1583">
        <f t="shared" si="110"/>
        <v>2024</v>
      </c>
      <c r="G1583" t="s">
        <v>93</v>
      </c>
      <c r="H1583" s="98">
        <v>10567</v>
      </c>
      <c r="I1583" s="90">
        <v>67199.929999999993</v>
      </c>
      <c r="J1583" s="12" t="s">
        <v>31</v>
      </c>
      <c r="K1583" s="76">
        <f t="shared" si="111"/>
        <v>67199.929999999993</v>
      </c>
      <c r="L1583">
        <v>1</v>
      </c>
      <c r="M1583" s="29">
        <v>0</v>
      </c>
      <c r="N1583" t="s">
        <v>32</v>
      </c>
      <c r="O1583" t="s">
        <v>33</v>
      </c>
      <c r="P1583" t="s">
        <v>34</v>
      </c>
      <c r="Q1583" t="s">
        <v>34</v>
      </c>
      <c r="R1583" t="s">
        <v>34</v>
      </c>
      <c r="S1583" t="s">
        <v>34</v>
      </c>
      <c r="T1583" s="117">
        <v>0</v>
      </c>
    </row>
    <row r="1584" spans="1:20" x14ac:dyDescent="0.35">
      <c r="A1584" t="s">
        <v>19</v>
      </c>
      <c r="B1584" t="s">
        <v>24</v>
      </c>
      <c r="C1584" s="1">
        <v>45532</v>
      </c>
      <c r="D1584">
        <f t="shared" si="108"/>
        <v>28</v>
      </c>
      <c r="E1584">
        <f t="shared" si="109"/>
        <v>8</v>
      </c>
      <c r="F1584">
        <f t="shared" si="110"/>
        <v>2024</v>
      </c>
      <c r="G1584" t="s">
        <v>352</v>
      </c>
      <c r="H1584" s="98">
        <v>10918</v>
      </c>
      <c r="I1584" s="29">
        <v>29.6</v>
      </c>
      <c r="J1584" s="12" t="s">
        <v>31</v>
      </c>
      <c r="K1584" s="76">
        <f t="shared" si="111"/>
        <v>29.6</v>
      </c>
      <c r="L1584">
        <v>1</v>
      </c>
      <c r="M1584" s="29">
        <v>0</v>
      </c>
      <c r="N1584" t="s">
        <v>32</v>
      </c>
      <c r="O1584" t="s">
        <v>33</v>
      </c>
      <c r="P1584" t="s">
        <v>34</v>
      </c>
      <c r="Q1584" t="s">
        <v>34</v>
      </c>
      <c r="R1584" t="s">
        <v>34</v>
      </c>
      <c r="S1584" t="s">
        <v>34</v>
      </c>
      <c r="T1584" s="117">
        <v>0</v>
      </c>
    </row>
    <row r="1585" spans="1:21" x14ac:dyDescent="0.35">
      <c r="A1585" t="s">
        <v>19</v>
      </c>
      <c r="B1585" t="s">
        <v>25</v>
      </c>
      <c r="C1585" s="1">
        <v>45532</v>
      </c>
      <c r="D1585">
        <f t="shared" si="108"/>
        <v>28</v>
      </c>
      <c r="E1585">
        <f t="shared" si="109"/>
        <v>8</v>
      </c>
      <c r="F1585">
        <f t="shared" si="110"/>
        <v>2024</v>
      </c>
      <c r="G1585" t="s">
        <v>38</v>
      </c>
      <c r="H1585" s="98">
        <v>10381</v>
      </c>
      <c r="I1585" s="29">
        <v>181315.79</v>
      </c>
      <c r="J1585" s="12" t="s">
        <v>31</v>
      </c>
      <c r="K1585" s="76">
        <f t="shared" si="111"/>
        <v>181315.79</v>
      </c>
      <c r="L1585">
        <v>1</v>
      </c>
      <c r="M1585" s="29">
        <v>0</v>
      </c>
      <c r="N1585" t="s">
        <v>32</v>
      </c>
      <c r="O1585" t="s">
        <v>33</v>
      </c>
      <c r="P1585" t="s">
        <v>34</v>
      </c>
      <c r="Q1585" t="s">
        <v>34</v>
      </c>
      <c r="R1585" t="s">
        <v>34</v>
      </c>
      <c r="S1585" t="s">
        <v>34</v>
      </c>
      <c r="T1585" s="117">
        <v>0</v>
      </c>
    </row>
    <row r="1586" spans="1:21" x14ac:dyDescent="0.35">
      <c r="A1586" t="s">
        <v>19</v>
      </c>
      <c r="B1586" t="s">
        <v>24</v>
      </c>
      <c r="C1586" s="1">
        <v>45532</v>
      </c>
      <c r="D1586">
        <f t="shared" si="108"/>
        <v>28</v>
      </c>
      <c r="E1586">
        <f t="shared" si="109"/>
        <v>8</v>
      </c>
      <c r="F1586">
        <f t="shared" si="110"/>
        <v>2024</v>
      </c>
      <c r="G1586" t="s">
        <v>35</v>
      </c>
      <c r="H1586" s="98">
        <v>10562</v>
      </c>
      <c r="I1586" s="29">
        <v>6511.05</v>
      </c>
      <c r="J1586" s="12" t="s">
        <v>31</v>
      </c>
      <c r="K1586" s="76">
        <f t="shared" si="111"/>
        <v>6511.05</v>
      </c>
      <c r="L1586">
        <v>1</v>
      </c>
      <c r="M1586" s="29">
        <v>0</v>
      </c>
      <c r="N1586" t="s">
        <v>42</v>
      </c>
      <c r="O1586" t="s">
        <v>33</v>
      </c>
      <c r="P1586" t="s">
        <v>34</v>
      </c>
      <c r="Q1586" t="s">
        <v>34</v>
      </c>
      <c r="R1586" t="s">
        <v>34</v>
      </c>
      <c r="S1586" t="s">
        <v>34</v>
      </c>
      <c r="T1586" s="117">
        <v>0</v>
      </c>
    </row>
    <row r="1587" spans="1:21" x14ac:dyDescent="0.35">
      <c r="A1587" t="s">
        <v>19</v>
      </c>
      <c r="B1587" t="s">
        <v>25</v>
      </c>
      <c r="C1587" s="1">
        <v>45532</v>
      </c>
      <c r="D1587">
        <f t="shared" si="108"/>
        <v>28</v>
      </c>
      <c r="E1587">
        <f t="shared" si="109"/>
        <v>8</v>
      </c>
      <c r="F1587">
        <f t="shared" si="110"/>
        <v>2024</v>
      </c>
      <c r="G1587" t="s">
        <v>30</v>
      </c>
      <c r="H1587" s="98">
        <v>10993</v>
      </c>
      <c r="I1587" s="29">
        <v>58.95</v>
      </c>
      <c r="J1587" s="12" t="s">
        <v>31</v>
      </c>
      <c r="K1587" s="76">
        <f t="shared" si="111"/>
        <v>58.95</v>
      </c>
      <c r="L1587">
        <v>1</v>
      </c>
      <c r="M1587" s="29">
        <v>0</v>
      </c>
      <c r="N1587" t="s">
        <v>32</v>
      </c>
      <c r="O1587" t="s">
        <v>33</v>
      </c>
      <c r="P1587" t="s">
        <v>34</v>
      </c>
      <c r="Q1587" t="s">
        <v>34</v>
      </c>
      <c r="R1587" t="s">
        <v>34</v>
      </c>
      <c r="S1587" t="s">
        <v>34</v>
      </c>
      <c r="T1587" s="117">
        <v>0</v>
      </c>
    </row>
    <row r="1588" spans="1:21" x14ac:dyDescent="0.35">
      <c r="A1588" t="s">
        <v>19</v>
      </c>
      <c r="B1588" t="s">
        <v>19</v>
      </c>
      <c r="C1588" s="1">
        <v>45532</v>
      </c>
      <c r="D1588">
        <f t="shared" si="108"/>
        <v>28</v>
      </c>
      <c r="E1588">
        <f t="shared" si="109"/>
        <v>8</v>
      </c>
      <c r="F1588">
        <f t="shared" si="110"/>
        <v>2024</v>
      </c>
      <c r="G1588" t="s">
        <v>56</v>
      </c>
      <c r="H1588" s="98" t="s">
        <v>484</v>
      </c>
      <c r="I1588" s="29">
        <v>174731.63</v>
      </c>
      <c r="J1588" s="12" t="s">
        <v>31</v>
      </c>
      <c r="K1588" s="76">
        <f t="shared" si="111"/>
        <v>174731.63</v>
      </c>
      <c r="L1588">
        <v>1</v>
      </c>
      <c r="M1588" s="29">
        <v>0</v>
      </c>
      <c r="N1588" t="s">
        <v>32</v>
      </c>
      <c r="O1588" t="s">
        <v>33</v>
      </c>
      <c r="P1588" t="s">
        <v>34</v>
      </c>
      <c r="Q1588" t="s">
        <v>34</v>
      </c>
      <c r="R1588" t="s">
        <v>34</v>
      </c>
      <c r="S1588" t="s">
        <v>34</v>
      </c>
      <c r="T1588" s="117">
        <v>0</v>
      </c>
    </row>
    <row r="1589" spans="1:21" x14ac:dyDescent="0.35">
      <c r="A1589" t="s">
        <v>19</v>
      </c>
      <c r="B1589" t="s">
        <v>19</v>
      </c>
      <c r="C1589" s="1">
        <v>45532</v>
      </c>
      <c r="D1589">
        <f t="shared" si="108"/>
        <v>28</v>
      </c>
      <c r="E1589">
        <f t="shared" si="109"/>
        <v>8</v>
      </c>
      <c r="F1589">
        <f t="shared" si="110"/>
        <v>2024</v>
      </c>
      <c r="G1589" t="s">
        <v>56</v>
      </c>
      <c r="H1589" s="98" t="s">
        <v>485</v>
      </c>
      <c r="I1589" s="29">
        <v>174340.34</v>
      </c>
      <c r="J1589" s="12" t="s">
        <v>31</v>
      </c>
      <c r="K1589" s="76">
        <f t="shared" si="111"/>
        <v>174340.34</v>
      </c>
      <c r="L1589">
        <v>1</v>
      </c>
      <c r="M1589" s="29">
        <v>0</v>
      </c>
      <c r="N1589" t="s">
        <v>32</v>
      </c>
      <c r="O1589" t="s">
        <v>33</v>
      </c>
      <c r="P1589" t="s">
        <v>34</v>
      </c>
      <c r="Q1589" t="s">
        <v>34</v>
      </c>
      <c r="R1589" t="s">
        <v>34</v>
      </c>
      <c r="S1589" t="s">
        <v>34</v>
      </c>
      <c r="T1589" s="117">
        <v>0</v>
      </c>
    </row>
    <row r="1590" spans="1:21" x14ac:dyDescent="0.35">
      <c r="A1590" t="s">
        <v>19</v>
      </c>
      <c r="B1590" t="s">
        <v>19</v>
      </c>
      <c r="C1590" s="1">
        <v>45532</v>
      </c>
      <c r="D1590">
        <f t="shared" si="108"/>
        <v>28</v>
      </c>
      <c r="E1590">
        <f t="shared" si="109"/>
        <v>8</v>
      </c>
      <c r="F1590">
        <f t="shared" si="110"/>
        <v>2024</v>
      </c>
      <c r="G1590" t="s">
        <v>183</v>
      </c>
      <c r="H1590" s="98" t="s">
        <v>379</v>
      </c>
      <c r="I1590" s="29">
        <v>8615.64</v>
      </c>
      <c r="J1590" s="12" t="s">
        <v>31</v>
      </c>
      <c r="K1590" s="76">
        <f t="shared" si="111"/>
        <v>8615.64</v>
      </c>
      <c r="L1590">
        <v>1</v>
      </c>
      <c r="M1590" s="29">
        <v>0</v>
      </c>
      <c r="N1590" t="s">
        <v>32</v>
      </c>
      <c r="O1590" t="s">
        <v>33</v>
      </c>
      <c r="P1590" t="s">
        <v>34</v>
      </c>
      <c r="Q1590" t="s">
        <v>34</v>
      </c>
      <c r="R1590" t="s">
        <v>34</v>
      </c>
      <c r="S1590" t="s">
        <v>34</v>
      </c>
      <c r="T1590" s="117">
        <v>0</v>
      </c>
    </row>
    <row r="1591" spans="1:21" x14ac:dyDescent="0.35">
      <c r="A1591" t="s">
        <v>19</v>
      </c>
      <c r="B1591" t="s">
        <v>19</v>
      </c>
      <c r="C1591" s="1">
        <v>45532</v>
      </c>
      <c r="D1591">
        <f t="shared" si="108"/>
        <v>28</v>
      </c>
      <c r="E1591">
        <f t="shared" si="109"/>
        <v>8</v>
      </c>
      <c r="F1591">
        <f t="shared" si="110"/>
        <v>2024</v>
      </c>
      <c r="G1591" t="s">
        <v>265</v>
      </c>
      <c r="H1591" s="98" t="s">
        <v>604</v>
      </c>
      <c r="I1591" s="29">
        <v>3335.29</v>
      </c>
      <c r="J1591" s="12" t="s">
        <v>31</v>
      </c>
      <c r="K1591" s="76">
        <f t="shared" si="111"/>
        <v>3335.29</v>
      </c>
      <c r="L1591">
        <v>1</v>
      </c>
      <c r="M1591" s="29">
        <v>0</v>
      </c>
      <c r="N1591" t="s">
        <v>42</v>
      </c>
      <c r="O1591" t="s">
        <v>33</v>
      </c>
      <c r="P1591" t="s">
        <v>34</v>
      </c>
      <c r="Q1591" t="s">
        <v>34</v>
      </c>
      <c r="R1591" t="s">
        <v>34</v>
      </c>
      <c r="S1591" t="s">
        <v>34</v>
      </c>
      <c r="T1591" s="117">
        <v>0</v>
      </c>
    </row>
    <row r="1592" spans="1:21" x14ac:dyDescent="0.35">
      <c r="A1592" t="s">
        <v>19</v>
      </c>
      <c r="B1592" t="s">
        <v>19</v>
      </c>
      <c r="C1592" s="1">
        <v>45532</v>
      </c>
      <c r="D1592">
        <f t="shared" si="108"/>
        <v>28</v>
      </c>
      <c r="E1592">
        <f t="shared" si="109"/>
        <v>8</v>
      </c>
      <c r="F1592">
        <f t="shared" si="110"/>
        <v>2024</v>
      </c>
      <c r="G1592" t="s">
        <v>127</v>
      </c>
      <c r="H1592" s="98" t="s">
        <v>562</v>
      </c>
      <c r="I1592" s="29">
        <v>3402</v>
      </c>
      <c r="J1592" s="12" t="s">
        <v>31</v>
      </c>
      <c r="K1592" s="76">
        <f t="shared" si="111"/>
        <v>3402</v>
      </c>
      <c r="L1592">
        <v>1</v>
      </c>
      <c r="M1592" s="29">
        <v>0</v>
      </c>
      <c r="N1592" t="s">
        <v>42</v>
      </c>
      <c r="O1592" t="s">
        <v>33</v>
      </c>
      <c r="P1592" t="s">
        <v>34</v>
      </c>
      <c r="Q1592" t="s">
        <v>34</v>
      </c>
      <c r="R1592" t="s">
        <v>34</v>
      </c>
      <c r="S1592" t="s">
        <v>34</v>
      </c>
      <c r="T1592" s="117">
        <v>0</v>
      </c>
    </row>
    <row r="1593" spans="1:21" x14ac:dyDescent="0.35">
      <c r="A1593" t="s">
        <v>19</v>
      </c>
      <c r="B1593" t="s">
        <v>19</v>
      </c>
      <c r="C1593" s="1">
        <v>45532</v>
      </c>
      <c r="D1593">
        <f t="shared" si="108"/>
        <v>28</v>
      </c>
      <c r="E1593">
        <f t="shared" si="109"/>
        <v>8</v>
      </c>
      <c r="F1593">
        <f t="shared" si="110"/>
        <v>2024</v>
      </c>
      <c r="G1593" t="s">
        <v>126</v>
      </c>
      <c r="H1593" s="98" t="s">
        <v>679</v>
      </c>
      <c r="I1593" s="29">
        <v>1587.6</v>
      </c>
      <c r="J1593" s="12" t="s">
        <v>31</v>
      </c>
      <c r="K1593" s="76">
        <f t="shared" si="111"/>
        <v>1587.6</v>
      </c>
      <c r="L1593">
        <v>1</v>
      </c>
      <c r="M1593" s="29">
        <v>0</v>
      </c>
      <c r="N1593" t="s">
        <v>32</v>
      </c>
      <c r="O1593" t="s">
        <v>33</v>
      </c>
      <c r="P1593" t="s">
        <v>34</v>
      </c>
      <c r="Q1593" t="s">
        <v>34</v>
      </c>
      <c r="R1593" t="s">
        <v>34</v>
      </c>
      <c r="S1593" t="s">
        <v>34</v>
      </c>
      <c r="T1593" s="117">
        <v>0</v>
      </c>
    </row>
    <row r="1594" spans="1:21" x14ac:dyDescent="0.35">
      <c r="A1594" t="s">
        <v>19</v>
      </c>
      <c r="B1594" t="s">
        <v>19</v>
      </c>
      <c r="C1594" s="1">
        <v>45532</v>
      </c>
      <c r="D1594">
        <f t="shared" si="108"/>
        <v>28</v>
      </c>
      <c r="E1594">
        <f t="shared" si="109"/>
        <v>8</v>
      </c>
      <c r="F1594">
        <f t="shared" si="110"/>
        <v>2024</v>
      </c>
      <c r="G1594" t="s">
        <v>126</v>
      </c>
      <c r="H1594" s="98" t="s">
        <v>680</v>
      </c>
      <c r="I1594" s="29">
        <v>13494.77</v>
      </c>
      <c r="J1594" s="12" t="s">
        <v>31</v>
      </c>
      <c r="K1594" s="76">
        <f t="shared" si="111"/>
        <v>13494.77</v>
      </c>
      <c r="L1594">
        <v>1</v>
      </c>
      <c r="M1594" s="29">
        <v>0</v>
      </c>
      <c r="N1594" t="s">
        <v>32</v>
      </c>
      <c r="O1594" t="s">
        <v>33</v>
      </c>
      <c r="P1594" t="s">
        <v>34</v>
      </c>
      <c r="Q1594" t="s">
        <v>34</v>
      </c>
      <c r="R1594" t="s">
        <v>34</v>
      </c>
      <c r="S1594" t="s">
        <v>34</v>
      </c>
      <c r="T1594" s="117">
        <v>0</v>
      </c>
    </row>
    <row r="1595" spans="1:21" x14ac:dyDescent="0.35">
      <c r="A1595" t="s">
        <v>19</v>
      </c>
      <c r="B1595" t="s">
        <v>26</v>
      </c>
      <c r="C1595" s="1">
        <v>45533</v>
      </c>
      <c r="D1595">
        <f t="shared" si="108"/>
        <v>29</v>
      </c>
      <c r="E1595">
        <f t="shared" si="109"/>
        <v>8</v>
      </c>
      <c r="F1595">
        <f t="shared" si="110"/>
        <v>2024</v>
      </c>
      <c r="G1595" t="s">
        <v>73</v>
      </c>
      <c r="H1595" s="98">
        <v>11105</v>
      </c>
      <c r="I1595" s="29">
        <v>8753.27</v>
      </c>
      <c r="J1595" s="12" t="s">
        <v>51</v>
      </c>
      <c r="K1595" s="76">
        <f t="shared" si="111"/>
        <v>9712.6283920000005</v>
      </c>
      <c r="L1595">
        <v>1.1095999999999999</v>
      </c>
      <c r="M1595" s="29">
        <v>0</v>
      </c>
      <c r="N1595" t="s">
        <v>42</v>
      </c>
      <c r="O1595" t="s">
        <v>33</v>
      </c>
      <c r="P1595" t="s">
        <v>34</v>
      </c>
      <c r="Q1595" t="s">
        <v>34</v>
      </c>
      <c r="R1595" t="s">
        <v>34</v>
      </c>
      <c r="S1595" t="s">
        <v>34</v>
      </c>
      <c r="T1595" s="117">
        <v>0</v>
      </c>
      <c r="U1595" s="209" t="s">
        <v>94</v>
      </c>
    </row>
    <row r="1596" spans="1:21" x14ac:dyDescent="0.35">
      <c r="A1596" t="s">
        <v>19</v>
      </c>
      <c r="B1596" t="s">
        <v>26</v>
      </c>
      <c r="C1596" s="1">
        <v>45533</v>
      </c>
      <c r="D1596">
        <f t="shared" si="108"/>
        <v>29</v>
      </c>
      <c r="E1596">
        <f t="shared" si="109"/>
        <v>8</v>
      </c>
      <c r="F1596">
        <f t="shared" si="110"/>
        <v>2024</v>
      </c>
      <c r="G1596" t="s">
        <v>73</v>
      </c>
      <c r="H1596" s="98">
        <v>11106</v>
      </c>
      <c r="I1596" s="29">
        <v>84613.99</v>
      </c>
      <c r="J1596" s="12" t="s">
        <v>51</v>
      </c>
      <c r="K1596" s="76">
        <f t="shared" si="111"/>
        <v>93887.683304000006</v>
      </c>
      <c r="L1596">
        <v>1.1095999999999999</v>
      </c>
      <c r="M1596" s="29">
        <v>0</v>
      </c>
      <c r="N1596" t="s">
        <v>42</v>
      </c>
      <c r="O1596" t="s">
        <v>33</v>
      </c>
      <c r="P1596" t="s">
        <v>34</v>
      </c>
      <c r="Q1596" t="s">
        <v>34</v>
      </c>
      <c r="R1596" t="s">
        <v>34</v>
      </c>
      <c r="S1596" t="s">
        <v>34</v>
      </c>
      <c r="T1596" s="117">
        <v>0</v>
      </c>
      <c r="U1596" s="209" t="s">
        <v>94</v>
      </c>
    </row>
    <row r="1597" spans="1:21" x14ac:dyDescent="0.35">
      <c r="A1597" t="s">
        <v>19</v>
      </c>
      <c r="B1597" t="s">
        <v>26</v>
      </c>
      <c r="C1597" s="1">
        <v>45533</v>
      </c>
      <c r="D1597">
        <f t="shared" si="108"/>
        <v>29</v>
      </c>
      <c r="E1597">
        <f t="shared" si="109"/>
        <v>8</v>
      </c>
      <c r="F1597">
        <f t="shared" si="110"/>
        <v>2024</v>
      </c>
      <c r="G1597" t="s">
        <v>73</v>
      </c>
      <c r="H1597" s="98">
        <v>11107</v>
      </c>
      <c r="I1597" s="29">
        <v>7413.3</v>
      </c>
      <c r="J1597" s="12" t="s">
        <v>51</v>
      </c>
      <c r="K1597" s="76">
        <f t="shared" si="111"/>
        <v>8225.7976799999997</v>
      </c>
      <c r="L1597">
        <v>1.1095999999999999</v>
      </c>
      <c r="M1597" s="29">
        <v>0</v>
      </c>
      <c r="N1597" t="s">
        <v>42</v>
      </c>
      <c r="O1597" t="s">
        <v>33</v>
      </c>
      <c r="P1597" t="s">
        <v>34</v>
      </c>
      <c r="Q1597" t="s">
        <v>34</v>
      </c>
      <c r="R1597" t="s">
        <v>34</v>
      </c>
      <c r="S1597" t="s">
        <v>34</v>
      </c>
      <c r="T1597" s="117">
        <v>0</v>
      </c>
      <c r="U1597" s="209" t="s">
        <v>94</v>
      </c>
    </row>
    <row r="1598" spans="1:21" x14ac:dyDescent="0.35">
      <c r="A1598" t="s">
        <v>19</v>
      </c>
      <c r="B1598" t="s">
        <v>24</v>
      </c>
      <c r="C1598" s="1">
        <v>45539</v>
      </c>
      <c r="D1598">
        <f t="shared" si="108"/>
        <v>4</v>
      </c>
      <c r="E1598">
        <f t="shared" si="109"/>
        <v>9</v>
      </c>
      <c r="F1598">
        <f t="shared" si="110"/>
        <v>2024</v>
      </c>
      <c r="G1598" t="s">
        <v>77</v>
      </c>
      <c r="H1598" s="98">
        <v>10474</v>
      </c>
      <c r="I1598" s="29">
        <v>8928.52</v>
      </c>
      <c r="J1598" s="12" t="s">
        <v>31</v>
      </c>
      <c r="K1598" s="76">
        <f t="shared" si="111"/>
        <v>8928.52</v>
      </c>
      <c r="L1598">
        <v>1</v>
      </c>
      <c r="M1598" s="29">
        <v>0</v>
      </c>
      <c r="N1598" t="s">
        <v>32</v>
      </c>
      <c r="O1598" t="s">
        <v>33</v>
      </c>
      <c r="P1598" t="s">
        <v>34</v>
      </c>
      <c r="Q1598" t="s">
        <v>34</v>
      </c>
      <c r="R1598" t="s">
        <v>34</v>
      </c>
      <c r="S1598" t="s">
        <v>34</v>
      </c>
      <c r="T1598" s="117">
        <v>0</v>
      </c>
    </row>
    <row r="1599" spans="1:21" x14ac:dyDescent="0.35">
      <c r="A1599" t="s">
        <v>19</v>
      </c>
      <c r="B1599" t="s">
        <v>21</v>
      </c>
      <c r="C1599" s="1">
        <v>45539</v>
      </c>
      <c r="D1599">
        <f t="shared" si="108"/>
        <v>4</v>
      </c>
      <c r="E1599">
        <f t="shared" si="109"/>
        <v>9</v>
      </c>
      <c r="F1599">
        <f t="shared" si="110"/>
        <v>2024</v>
      </c>
      <c r="G1599" t="s">
        <v>77</v>
      </c>
      <c r="H1599" s="98">
        <v>10559</v>
      </c>
      <c r="I1599" s="29">
        <v>7207.5</v>
      </c>
      <c r="J1599" s="12" t="s">
        <v>31</v>
      </c>
      <c r="K1599" s="76">
        <f t="shared" si="111"/>
        <v>7207.5</v>
      </c>
      <c r="L1599">
        <v>1</v>
      </c>
      <c r="M1599" s="29">
        <v>0</v>
      </c>
      <c r="N1599" t="s">
        <v>32</v>
      </c>
      <c r="O1599" t="s">
        <v>33</v>
      </c>
      <c r="P1599" t="s">
        <v>34</v>
      </c>
      <c r="Q1599" t="s">
        <v>34</v>
      </c>
      <c r="R1599" t="s">
        <v>34</v>
      </c>
      <c r="S1599" t="s">
        <v>34</v>
      </c>
      <c r="T1599" s="117">
        <v>0</v>
      </c>
    </row>
    <row r="1600" spans="1:21" x14ac:dyDescent="0.35">
      <c r="A1600" t="s">
        <v>19</v>
      </c>
      <c r="B1600" t="s">
        <v>23</v>
      </c>
      <c r="C1600" s="1">
        <v>45539</v>
      </c>
      <c r="D1600">
        <f t="shared" si="108"/>
        <v>4</v>
      </c>
      <c r="E1600">
        <f t="shared" si="109"/>
        <v>9</v>
      </c>
      <c r="F1600">
        <f t="shared" si="110"/>
        <v>2024</v>
      </c>
      <c r="G1600" t="s">
        <v>74</v>
      </c>
      <c r="H1600" s="98">
        <v>10463</v>
      </c>
      <c r="I1600" s="29">
        <v>27281.95</v>
      </c>
      <c r="J1600" s="12" t="s">
        <v>31</v>
      </c>
      <c r="K1600" s="76">
        <f t="shared" si="111"/>
        <v>27281.95</v>
      </c>
      <c r="L1600">
        <v>1</v>
      </c>
      <c r="M1600" s="29">
        <v>0</v>
      </c>
      <c r="N1600" t="s">
        <v>32</v>
      </c>
      <c r="O1600" t="s">
        <v>33</v>
      </c>
      <c r="P1600" t="s">
        <v>34</v>
      </c>
      <c r="Q1600" t="s">
        <v>34</v>
      </c>
      <c r="R1600" t="s">
        <v>34</v>
      </c>
      <c r="S1600" t="s">
        <v>34</v>
      </c>
      <c r="T1600" s="117">
        <v>0</v>
      </c>
    </row>
    <row r="1601" spans="1:21" x14ac:dyDescent="0.35">
      <c r="A1601" t="s">
        <v>19</v>
      </c>
      <c r="B1601" t="s">
        <v>21</v>
      </c>
      <c r="C1601" s="1">
        <v>45539</v>
      </c>
      <c r="D1601">
        <f t="shared" si="108"/>
        <v>4</v>
      </c>
      <c r="E1601">
        <f t="shared" si="109"/>
        <v>9</v>
      </c>
      <c r="F1601">
        <f t="shared" si="110"/>
        <v>2024</v>
      </c>
      <c r="G1601" t="s">
        <v>76</v>
      </c>
      <c r="H1601" s="98">
        <v>11004</v>
      </c>
      <c r="I1601" s="29">
        <v>61361.64</v>
      </c>
      <c r="J1601" s="12" t="s">
        <v>31</v>
      </c>
      <c r="K1601" s="76">
        <f t="shared" si="111"/>
        <v>61361.64</v>
      </c>
      <c r="L1601">
        <v>1</v>
      </c>
      <c r="M1601" s="29">
        <v>0</v>
      </c>
      <c r="N1601" t="s">
        <v>42</v>
      </c>
      <c r="O1601" t="s">
        <v>33</v>
      </c>
      <c r="P1601" t="s">
        <v>34</v>
      </c>
      <c r="Q1601" t="s">
        <v>34</v>
      </c>
      <c r="R1601" t="s">
        <v>34</v>
      </c>
      <c r="S1601" t="s">
        <v>34</v>
      </c>
      <c r="T1601" s="117">
        <v>0</v>
      </c>
    </row>
    <row r="1602" spans="1:21" x14ac:dyDescent="0.35">
      <c r="A1602" t="s">
        <v>19</v>
      </c>
      <c r="B1602" t="s">
        <v>21</v>
      </c>
      <c r="C1602" s="1">
        <v>45539</v>
      </c>
      <c r="D1602">
        <f t="shared" ref="D1602:D1665" si="112">DAY(C1602)</f>
        <v>4</v>
      </c>
      <c r="E1602">
        <f t="shared" ref="E1602:E1665" si="113">MONTH(C1602)</f>
        <v>9</v>
      </c>
      <c r="F1602">
        <f t="shared" ref="F1602:F1665" si="114">YEAR(C1602)</f>
        <v>2024</v>
      </c>
      <c r="G1602" t="s">
        <v>76</v>
      </c>
      <c r="H1602" s="98">
        <v>10766</v>
      </c>
      <c r="I1602" s="29">
        <v>117.4</v>
      </c>
      <c r="J1602" s="12" t="s">
        <v>31</v>
      </c>
      <c r="K1602" s="76">
        <f t="shared" si="111"/>
        <v>117.4</v>
      </c>
      <c r="L1602">
        <v>1</v>
      </c>
      <c r="M1602" s="29">
        <v>0</v>
      </c>
      <c r="N1602" t="s">
        <v>32</v>
      </c>
      <c r="O1602" t="s">
        <v>33</v>
      </c>
      <c r="P1602" t="s">
        <v>34</v>
      </c>
      <c r="Q1602" t="s">
        <v>34</v>
      </c>
      <c r="R1602" t="s">
        <v>34</v>
      </c>
      <c r="S1602" t="s">
        <v>34</v>
      </c>
      <c r="T1602" s="117">
        <v>0</v>
      </c>
    </row>
    <row r="1603" spans="1:21" x14ac:dyDescent="0.35">
      <c r="A1603" t="s">
        <v>19</v>
      </c>
      <c r="B1603" t="s">
        <v>21</v>
      </c>
      <c r="C1603" s="1">
        <v>45539</v>
      </c>
      <c r="D1603">
        <f t="shared" si="112"/>
        <v>4</v>
      </c>
      <c r="E1603">
        <f t="shared" si="113"/>
        <v>9</v>
      </c>
      <c r="F1603">
        <f t="shared" si="114"/>
        <v>2024</v>
      </c>
      <c r="G1603" t="s">
        <v>76</v>
      </c>
      <c r="H1603" s="98">
        <v>10570</v>
      </c>
      <c r="I1603" s="29">
        <v>71.2</v>
      </c>
      <c r="J1603" s="12" t="s">
        <v>31</v>
      </c>
      <c r="K1603" s="76">
        <f t="shared" si="111"/>
        <v>71.2</v>
      </c>
      <c r="L1603">
        <v>1</v>
      </c>
      <c r="M1603" s="29">
        <v>0</v>
      </c>
      <c r="N1603" t="s">
        <v>32</v>
      </c>
      <c r="O1603" t="s">
        <v>33</v>
      </c>
      <c r="P1603" t="s">
        <v>34</v>
      </c>
      <c r="Q1603" t="s">
        <v>34</v>
      </c>
      <c r="R1603" t="s">
        <v>34</v>
      </c>
      <c r="S1603" t="s">
        <v>34</v>
      </c>
      <c r="T1603" s="117">
        <v>0</v>
      </c>
    </row>
    <row r="1604" spans="1:21" x14ac:dyDescent="0.35">
      <c r="A1604" t="s">
        <v>19</v>
      </c>
      <c r="B1604" t="s">
        <v>22</v>
      </c>
      <c r="C1604" s="1">
        <v>45539</v>
      </c>
      <c r="D1604">
        <f t="shared" si="112"/>
        <v>4</v>
      </c>
      <c r="E1604">
        <f t="shared" si="113"/>
        <v>9</v>
      </c>
      <c r="F1604">
        <f t="shared" si="114"/>
        <v>2024</v>
      </c>
      <c r="G1604" t="s">
        <v>98</v>
      </c>
      <c r="H1604" s="171">
        <v>10380</v>
      </c>
      <c r="I1604" s="90">
        <v>29170.080000000002</v>
      </c>
      <c r="J1604" s="12" t="s">
        <v>31</v>
      </c>
      <c r="K1604" s="76">
        <f t="shared" si="111"/>
        <v>29170.080000000002</v>
      </c>
      <c r="L1604">
        <v>1</v>
      </c>
      <c r="M1604" s="29">
        <v>0</v>
      </c>
      <c r="N1604" t="s">
        <v>32</v>
      </c>
      <c r="O1604" t="s">
        <v>33</v>
      </c>
      <c r="P1604" t="s">
        <v>34</v>
      </c>
      <c r="Q1604" t="s">
        <v>34</v>
      </c>
      <c r="R1604" t="s">
        <v>34</v>
      </c>
      <c r="S1604" t="s">
        <v>34</v>
      </c>
      <c r="T1604" s="117">
        <v>0</v>
      </c>
    </row>
    <row r="1605" spans="1:21" x14ac:dyDescent="0.35">
      <c r="A1605" t="s">
        <v>19</v>
      </c>
      <c r="B1605" t="s">
        <v>21</v>
      </c>
      <c r="C1605" s="1">
        <v>45539</v>
      </c>
      <c r="D1605">
        <f t="shared" si="112"/>
        <v>4</v>
      </c>
      <c r="E1605">
        <f t="shared" si="113"/>
        <v>9</v>
      </c>
      <c r="F1605">
        <f t="shared" si="114"/>
        <v>2024</v>
      </c>
      <c r="G1605" t="s">
        <v>75</v>
      </c>
      <c r="H1605" s="171">
        <v>11192</v>
      </c>
      <c r="I1605" s="90">
        <v>20279.580000000002</v>
      </c>
      <c r="J1605" s="12" t="s">
        <v>31</v>
      </c>
      <c r="K1605" s="76">
        <f t="shared" si="111"/>
        <v>20279.580000000002</v>
      </c>
      <c r="L1605">
        <v>1</v>
      </c>
      <c r="M1605" s="29">
        <v>0</v>
      </c>
      <c r="N1605" t="s">
        <v>42</v>
      </c>
      <c r="O1605" t="s">
        <v>33</v>
      </c>
      <c r="P1605" t="s">
        <v>34</v>
      </c>
      <c r="Q1605" t="s">
        <v>34</v>
      </c>
      <c r="R1605" t="s">
        <v>34</v>
      </c>
      <c r="S1605" t="s">
        <v>34</v>
      </c>
      <c r="T1605" s="117">
        <v>0</v>
      </c>
    </row>
    <row r="1606" spans="1:21" x14ac:dyDescent="0.35">
      <c r="A1606" t="s">
        <v>19</v>
      </c>
      <c r="B1606" t="s">
        <v>21</v>
      </c>
      <c r="C1606" s="1">
        <v>45539</v>
      </c>
      <c r="D1606">
        <f t="shared" si="112"/>
        <v>4</v>
      </c>
      <c r="E1606">
        <f t="shared" si="113"/>
        <v>9</v>
      </c>
      <c r="F1606">
        <f t="shared" si="114"/>
        <v>2024</v>
      </c>
      <c r="G1606" t="s">
        <v>75</v>
      </c>
      <c r="H1606" s="171">
        <v>11193</v>
      </c>
      <c r="I1606" s="90">
        <v>58.2</v>
      </c>
      <c r="J1606" s="12" t="s">
        <v>31</v>
      </c>
      <c r="K1606" s="76">
        <f t="shared" si="111"/>
        <v>58.2</v>
      </c>
      <c r="L1606">
        <v>1</v>
      </c>
      <c r="M1606" s="29">
        <v>0</v>
      </c>
      <c r="N1606" t="s">
        <v>42</v>
      </c>
      <c r="O1606" t="s">
        <v>33</v>
      </c>
      <c r="P1606" t="s">
        <v>34</v>
      </c>
      <c r="Q1606" t="s">
        <v>34</v>
      </c>
      <c r="R1606" t="s">
        <v>34</v>
      </c>
      <c r="S1606" t="s">
        <v>34</v>
      </c>
      <c r="T1606" s="117">
        <v>0</v>
      </c>
      <c r="U1606" s="209" t="s">
        <v>812</v>
      </c>
    </row>
    <row r="1607" spans="1:21" x14ac:dyDescent="0.35">
      <c r="A1607" t="s">
        <v>19</v>
      </c>
      <c r="B1607" t="s">
        <v>21</v>
      </c>
      <c r="C1607" s="1">
        <v>45539</v>
      </c>
      <c r="D1607">
        <f t="shared" si="112"/>
        <v>4</v>
      </c>
      <c r="E1607">
        <f t="shared" si="113"/>
        <v>9</v>
      </c>
      <c r="F1607">
        <f t="shared" si="114"/>
        <v>2024</v>
      </c>
      <c r="G1607" t="s">
        <v>75</v>
      </c>
      <c r="H1607" s="171">
        <v>10835</v>
      </c>
      <c r="I1607" s="90">
        <v>25</v>
      </c>
      <c r="J1607" s="12" t="s">
        <v>31</v>
      </c>
      <c r="K1607" s="76">
        <f t="shared" si="111"/>
        <v>25</v>
      </c>
      <c r="L1607">
        <v>1</v>
      </c>
      <c r="M1607" s="29">
        <v>0</v>
      </c>
      <c r="N1607" t="s">
        <v>42</v>
      </c>
      <c r="O1607" t="s">
        <v>33</v>
      </c>
      <c r="P1607" t="s">
        <v>34</v>
      </c>
      <c r="Q1607" t="s">
        <v>34</v>
      </c>
      <c r="R1607" t="s">
        <v>34</v>
      </c>
      <c r="S1607" t="s">
        <v>34</v>
      </c>
      <c r="T1607" s="117">
        <v>0</v>
      </c>
    </row>
    <row r="1608" spans="1:21" x14ac:dyDescent="0.35">
      <c r="A1608" t="s">
        <v>19</v>
      </c>
      <c r="B1608" t="s">
        <v>21</v>
      </c>
      <c r="C1608" s="1">
        <v>45539</v>
      </c>
      <c r="D1608">
        <f t="shared" si="112"/>
        <v>4</v>
      </c>
      <c r="E1608">
        <f t="shared" si="113"/>
        <v>9</v>
      </c>
      <c r="F1608">
        <f t="shared" si="114"/>
        <v>2024</v>
      </c>
      <c r="G1608" t="s">
        <v>75</v>
      </c>
      <c r="H1608" s="171">
        <v>12042</v>
      </c>
      <c r="I1608" s="90">
        <v>13</v>
      </c>
      <c r="J1608" s="12" t="s">
        <v>31</v>
      </c>
      <c r="K1608" s="76">
        <f t="shared" si="111"/>
        <v>13</v>
      </c>
      <c r="L1608">
        <v>1</v>
      </c>
      <c r="M1608" s="29">
        <v>0</v>
      </c>
      <c r="N1608" t="s">
        <v>42</v>
      </c>
      <c r="O1608" t="s">
        <v>33</v>
      </c>
      <c r="P1608" t="s">
        <v>34</v>
      </c>
      <c r="Q1608" t="s">
        <v>34</v>
      </c>
      <c r="R1608" t="s">
        <v>34</v>
      </c>
      <c r="S1608" t="s">
        <v>34</v>
      </c>
      <c r="T1608" s="117">
        <v>0</v>
      </c>
    </row>
    <row r="1609" spans="1:21" x14ac:dyDescent="0.35">
      <c r="A1609" t="s">
        <v>19</v>
      </c>
      <c r="B1609" t="s">
        <v>23</v>
      </c>
      <c r="C1609" s="1">
        <v>45539</v>
      </c>
      <c r="D1609">
        <f t="shared" si="112"/>
        <v>4</v>
      </c>
      <c r="E1609">
        <f t="shared" si="113"/>
        <v>9</v>
      </c>
      <c r="F1609">
        <f t="shared" si="114"/>
        <v>2024</v>
      </c>
      <c r="G1609" t="s">
        <v>75</v>
      </c>
      <c r="H1609" s="171">
        <v>11164</v>
      </c>
      <c r="I1609" s="90">
        <v>17970</v>
      </c>
      <c r="J1609" s="12" t="s">
        <v>31</v>
      </c>
      <c r="K1609" s="76">
        <f t="shared" si="111"/>
        <v>17970</v>
      </c>
      <c r="L1609">
        <v>1</v>
      </c>
      <c r="M1609" s="29">
        <v>0</v>
      </c>
      <c r="N1609" t="s">
        <v>42</v>
      </c>
      <c r="O1609" t="s">
        <v>33</v>
      </c>
      <c r="P1609" t="s">
        <v>34</v>
      </c>
      <c r="Q1609" t="s">
        <v>34</v>
      </c>
      <c r="R1609" t="s">
        <v>34</v>
      </c>
      <c r="S1609" t="s">
        <v>34</v>
      </c>
      <c r="T1609" s="117">
        <v>0</v>
      </c>
    </row>
    <row r="1610" spans="1:21" x14ac:dyDescent="0.35">
      <c r="A1610" t="s">
        <v>19</v>
      </c>
      <c r="B1610" t="s">
        <v>21</v>
      </c>
      <c r="C1610" s="1">
        <v>45539</v>
      </c>
      <c r="D1610">
        <f t="shared" si="112"/>
        <v>4</v>
      </c>
      <c r="E1610">
        <f t="shared" si="113"/>
        <v>9</v>
      </c>
      <c r="F1610">
        <f t="shared" si="114"/>
        <v>2024</v>
      </c>
      <c r="G1610" t="s">
        <v>36</v>
      </c>
      <c r="H1610" s="98">
        <v>10571</v>
      </c>
      <c r="I1610" s="29">
        <v>32</v>
      </c>
      <c r="J1610" s="12" t="s">
        <v>31</v>
      </c>
      <c r="K1610" s="76">
        <f t="shared" si="111"/>
        <v>32</v>
      </c>
      <c r="L1610">
        <v>1</v>
      </c>
      <c r="M1610" s="29">
        <v>0</v>
      </c>
      <c r="N1610" t="s">
        <v>32</v>
      </c>
      <c r="O1610" t="s">
        <v>33</v>
      </c>
      <c r="P1610" t="s">
        <v>34</v>
      </c>
      <c r="Q1610" t="s">
        <v>34</v>
      </c>
      <c r="R1610" t="s">
        <v>34</v>
      </c>
      <c r="S1610" t="s">
        <v>34</v>
      </c>
      <c r="T1610" s="117">
        <v>0</v>
      </c>
    </row>
    <row r="1611" spans="1:21" x14ac:dyDescent="0.35">
      <c r="A1611" t="s">
        <v>19</v>
      </c>
      <c r="B1611" t="s">
        <v>25</v>
      </c>
      <c r="C1611" s="1">
        <v>45539</v>
      </c>
      <c r="D1611">
        <f t="shared" si="112"/>
        <v>4</v>
      </c>
      <c r="E1611">
        <f t="shared" si="113"/>
        <v>9</v>
      </c>
      <c r="F1611">
        <f t="shared" si="114"/>
        <v>2024</v>
      </c>
      <c r="G1611" t="s">
        <v>36</v>
      </c>
      <c r="H1611" s="98">
        <v>10904</v>
      </c>
      <c r="I1611" s="29">
        <v>38074.199999999997</v>
      </c>
      <c r="J1611" s="12" t="s">
        <v>31</v>
      </c>
      <c r="K1611" s="76">
        <f t="shared" si="111"/>
        <v>38074.199999999997</v>
      </c>
      <c r="L1611">
        <v>1</v>
      </c>
      <c r="M1611" s="29">
        <v>0</v>
      </c>
      <c r="N1611" t="s">
        <v>32</v>
      </c>
      <c r="O1611" t="s">
        <v>33</v>
      </c>
      <c r="P1611" t="s">
        <v>34</v>
      </c>
      <c r="Q1611" t="s">
        <v>34</v>
      </c>
      <c r="R1611" t="s">
        <v>34</v>
      </c>
      <c r="S1611" t="s">
        <v>34</v>
      </c>
      <c r="T1611" s="117">
        <v>0</v>
      </c>
    </row>
    <row r="1612" spans="1:21" x14ac:dyDescent="0.35">
      <c r="A1612" t="s">
        <v>19</v>
      </c>
      <c r="B1612" t="s">
        <v>21</v>
      </c>
      <c r="C1612" s="1">
        <v>45539</v>
      </c>
      <c r="D1612">
        <f t="shared" si="112"/>
        <v>4</v>
      </c>
      <c r="E1612">
        <f t="shared" si="113"/>
        <v>9</v>
      </c>
      <c r="F1612">
        <f t="shared" si="114"/>
        <v>2024</v>
      </c>
      <c r="G1612" t="s">
        <v>39</v>
      </c>
      <c r="H1612" s="98">
        <v>10435</v>
      </c>
      <c r="I1612" s="29">
        <v>8143.5</v>
      </c>
      <c r="J1612" s="12" t="s">
        <v>31</v>
      </c>
      <c r="K1612" s="76">
        <f t="shared" si="111"/>
        <v>8143.5</v>
      </c>
      <c r="L1612">
        <v>1</v>
      </c>
      <c r="M1612" s="29">
        <v>0</v>
      </c>
      <c r="N1612" t="s">
        <v>32</v>
      </c>
      <c r="O1612" t="s">
        <v>33</v>
      </c>
      <c r="P1612" t="s">
        <v>34</v>
      </c>
      <c r="Q1612" t="s">
        <v>34</v>
      </c>
      <c r="R1612" t="s">
        <v>34</v>
      </c>
      <c r="S1612" t="s">
        <v>34</v>
      </c>
      <c r="T1612" s="117">
        <v>0</v>
      </c>
    </row>
    <row r="1613" spans="1:21" x14ac:dyDescent="0.35">
      <c r="A1613" t="s">
        <v>19</v>
      </c>
      <c r="B1613" t="s">
        <v>25</v>
      </c>
      <c r="C1613" s="1">
        <v>45539</v>
      </c>
      <c r="D1613">
        <f t="shared" si="112"/>
        <v>4</v>
      </c>
      <c r="E1613">
        <f t="shared" si="113"/>
        <v>9</v>
      </c>
      <c r="F1613">
        <f t="shared" si="114"/>
        <v>2024</v>
      </c>
      <c r="G1613" t="s">
        <v>39</v>
      </c>
      <c r="H1613" s="98">
        <v>10435</v>
      </c>
      <c r="I1613" s="29">
        <v>7224.6</v>
      </c>
      <c r="J1613" s="12" t="s">
        <v>31</v>
      </c>
      <c r="K1613" s="76">
        <f t="shared" si="111"/>
        <v>7224.6</v>
      </c>
      <c r="L1613">
        <v>1</v>
      </c>
      <c r="M1613" s="29">
        <v>0</v>
      </c>
      <c r="N1613" t="s">
        <v>32</v>
      </c>
      <c r="O1613" t="s">
        <v>33</v>
      </c>
      <c r="P1613" t="s">
        <v>34</v>
      </c>
      <c r="Q1613" t="s">
        <v>34</v>
      </c>
      <c r="R1613" t="s">
        <v>34</v>
      </c>
      <c r="S1613" t="s">
        <v>34</v>
      </c>
      <c r="T1613" s="117">
        <v>0</v>
      </c>
    </row>
    <row r="1614" spans="1:21" x14ac:dyDescent="0.35">
      <c r="A1614" t="s">
        <v>19</v>
      </c>
      <c r="B1614" t="s">
        <v>25</v>
      </c>
      <c r="C1614" s="1">
        <v>45539</v>
      </c>
      <c r="D1614">
        <f t="shared" si="112"/>
        <v>4</v>
      </c>
      <c r="E1614">
        <f t="shared" si="113"/>
        <v>9</v>
      </c>
      <c r="F1614">
        <f t="shared" si="114"/>
        <v>2024</v>
      </c>
      <c r="G1614" t="s">
        <v>39</v>
      </c>
      <c r="H1614" s="98">
        <v>10535</v>
      </c>
      <c r="I1614" s="29">
        <v>21233</v>
      </c>
      <c r="J1614" s="12" t="s">
        <v>31</v>
      </c>
      <c r="K1614" s="76">
        <f t="shared" si="111"/>
        <v>21233</v>
      </c>
      <c r="L1614">
        <v>1</v>
      </c>
      <c r="M1614" s="29">
        <v>0</v>
      </c>
      <c r="N1614" t="s">
        <v>32</v>
      </c>
      <c r="O1614" t="s">
        <v>33</v>
      </c>
      <c r="P1614" t="s">
        <v>34</v>
      </c>
      <c r="Q1614" t="s">
        <v>34</v>
      </c>
      <c r="R1614" t="s">
        <v>34</v>
      </c>
      <c r="S1614" t="s">
        <v>34</v>
      </c>
      <c r="T1614" s="117">
        <v>0</v>
      </c>
    </row>
    <row r="1615" spans="1:21" x14ac:dyDescent="0.35">
      <c r="A1615" t="s">
        <v>19</v>
      </c>
      <c r="B1615" t="s">
        <v>25</v>
      </c>
      <c r="C1615" s="1">
        <v>45539</v>
      </c>
      <c r="D1615">
        <f t="shared" si="112"/>
        <v>4</v>
      </c>
      <c r="E1615">
        <f t="shared" si="113"/>
        <v>9</v>
      </c>
      <c r="F1615">
        <f t="shared" si="114"/>
        <v>2024</v>
      </c>
      <c r="G1615" t="s">
        <v>93</v>
      </c>
      <c r="H1615" s="98">
        <v>10565</v>
      </c>
      <c r="I1615" s="90">
        <v>31036.39</v>
      </c>
      <c r="J1615" s="12" t="s">
        <v>31</v>
      </c>
      <c r="K1615" s="76">
        <f t="shared" si="111"/>
        <v>31036.39</v>
      </c>
      <c r="L1615">
        <v>1</v>
      </c>
      <c r="M1615" s="29">
        <v>0</v>
      </c>
      <c r="N1615" t="s">
        <v>32</v>
      </c>
      <c r="O1615" t="s">
        <v>33</v>
      </c>
      <c r="P1615" t="s">
        <v>34</v>
      </c>
      <c r="Q1615" t="s">
        <v>34</v>
      </c>
      <c r="R1615" t="s">
        <v>34</v>
      </c>
      <c r="S1615" t="s">
        <v>34</v>
      </c>
      <c r="T1615" s="117">
        <v>0</v>
      </c>
    </row>
    <row r="1616" spans="1:21" x14ac:dyDescent="0.35">
      <c r="A1616" t="s">
        <v>19</v>
      </c>
      <c r="B1616" t="s">
        <v>21</v>
      </c>
      <c r="C1616" s="1">
        <v>45539</v>
      </c>
      <c r="D1616">
        <f t="shared" si="112"/>
        <v>4</v>
      </c>
      <c r="E1616">
        <f t="shared" si="113"/>
        <v>9</v>
      </c>
      <c r="F1616">
        <f t="shared" si="114"/>
        <v>2024</v>
      </c>
      <c r="G1616" t="s">
        <v>37</v>
      </c>
      <c r="H1616" s="98">
        <v>10684</v>
      </c>
      <c r="I1616" s="29">
        <v>10745.4</v>
      </c>
      <c r="J1616" s="12" t="s">
        <v>31</v>
      </c>
      <c r="K1616" s="76">
        <f t="shared" si="111"/>
        <v>10745.4</v>
      </c>
      <c r="L1616">
        <v>1</v>
      </c>
      <c r="M1616" s="29">
        <v>0</v>
      </c>
      <c r="N1616" t="s">
        <v>32</v>
      </c>
      <c r="O1616" t="s">
        <v>33</v>
      </c>
      <c r="P1616" t="s">
        <v>34</v>
      </c>
      <c r="Q1616" t="s">
        <v>34</v>
      </c>
      <c r="R1616" t="s">
        <v>34</v>
      </c>
      <c r="S1616" t="s">
        <v>34</v>
      </c>
      <c r="T1616" s="117">
        <v>0</v>
      </c>
    </row>
    <row r="1617" spans="1:20" x14ac:dyDescent="0.35">
      <c r="A1617" t="s">
        <v>19</v>
      </c>
      <c r="B1617" t="s">
        <v>24</v>
      </c>
      <c r="C1617" s="1">
        <v>45539</v>
      </c>
      <c r="D1617">
        <f t="shared" si="112"/>
        <v>4</v>
      </c>
      <c r="E1617">
        <f t="shared" si="113"/>
        <v>9</v>
      </c>
      <c r="F1617">
        <f t="shared" si="114"/>
        <v>2024</v>
      </c>
      <c r="G1617" t="s">
        <v>37</v>
      </c>
      <c r="H1617" s="98">
        <v>10925</v>
      </c>
      <c r="I1617" s="29">
        <v>29829.8</v>
      </c>
      <c r="J1617" s="12" t="s">
        <v>31</v>
      </c>
      <c r="K1617" s="76">
        <f t="shared" si="111"/>
        <v>29829.8</v>
      </c>
      <c r="L1617">
        <v>1</v>
      </c>
      <c r="M1617" s="29">
        <v>0</v>
      </c>
      <c r="N1617" t="s">
        <v>32</v>
      </c>
      <c r="O1617" t="s">
        <v>33</v>
      </c>
      <c r="P1617" t="s">
        <v>34</v>
      </c>
      <c r="Q1617" t="s">
        <v>34</v>
      </c>
      <c r="R1617" t="s">
        <v>34</v>
      </c>
      <c r="S1617" t="s">
        <v>34</v>
      </c>
      <c r="T1617" s="117">
        <v>0</v>
      </c>
    </row>
    <row r="1618" spans="1:20" x14ac:dyDescent="0.35">
      <c r="A1618" t="s">
        <v>20</v>
      </c>
      <c r="B1618" t="s">
        <v>23</v>
      </c>
      <c r="C1618" s="1">
        <v>45539</v>
      </c>
      <c r="D1618">
        <f t="shared" si="112"/>
        <v>4</v>
      </c>
      <c r="E1618">
        <f t="shared" si="113"/>
        <v>9</v>
      </c>
      <c r="F1618">
        <f t="shared" si="114"/>
        <v>2024</v>
      </c>
      <c r="G1618" t="s">
        <v>47</v>
      </c>
      <c r="H1618" s="98">
        <v>10855</v>
      </c>
      <c r="I1618" s="29">
        <v>6811.04</v>
      </c>
      <c r="J1618" s="12" t="s">
        <v>31</v>
      </c>
      <c r="K1618" s="76">
        <f t="shared" si="111"/>
        <v>6811.04</v>
      </c>
      <c r="L1618">
        <v>1</v>
      </c>
      <c r="M1618" s="29">
        <v>0</v>
      </c>
      <c r="N1618" t="s">
        <v>42</v>
      </c>
      <c r="O1618" t="s">
        <v>33</v>
      </c>
      <c r="P1618" t="s">
        <v>34</v>
      </c>
      <c r="Q1618" t="s">
        <v>34</v>
      </c>
      <c r="R1618" t="s">
        <v>34</v>
      </c>
      <c r="S1618" t="s">
        <v>34</v>
      </c>
      <c r="T1618" s="117">
        <v>435.64</v>
      </c>
    </row>
    <row r="1619" spans="1:20" x14ac:dyDescent="0.35">
      <c r="A1619" t="s">
        <v>20</v>
      </c>
      <c r="B1619" t="s">
        <v>23</v>
      </c>
      <c r="C1619" s="1">
        <v>45539</v>
      </c>
      <c r="D1619">
        <f t="shared" si="112"/>
        <v>4</v>
      </c>
      <c r="E1619">
        <f t="shared" si="113"/>
        <v>9</v>
      </c>
      <c r="F1619">
        <f t="shared" si="114"/>
        <v>2024</v>
      </c>
      <c r="G1619" t="s">
        <v>47</v>
      </c>
      <c r="H1619" s="98">
        <v>10854</v>
      </c>
      <c r="I1619" s="29">
        <v>34.86</v>
      </c>
      <c r="J1619" s="12" t="s">
        <v>31</v>
      </c>
      <c r="K1619" s="76">
        <f t="shared" ref="K1619:K1682" si="115">IF(J1619="USD",I1619,I1619*L1619)</f>
        <v>34.86</v>
      </c>
      <c r="L1619">
        <v>1</v>
      </c>
      <c r="M1619" s="29">
        <v>0</v>
      </c>
      <c r="N1619" t="s">
        <v>42</v>
      </c>
      <c r="O1619" t="s">
        <v>33</v>
      </c>
      <c r="P1619" t="s">
        <v>34</v>
      </c>
      <c r="Q1619" t="s">
        <v>34</v>
      </c>
      <c r="R1619" t="s">
        <v>34</v>
      </c>
      <c r="S1619" t="s">
        <v>34</v>
      </c>
      <c r="T1619" s="117">
        <v>0</v>
      </c>
    </row>
    <row r="1620" spans="1:20" x14ac:dyDescent="0.35">
      <c r="A1620" t="s">
        <v>20</v>
      </c>
      <c r="B1620" t="s">
        <v>25</v>
      </c>
      <c r="C1620" s="1">
        <v>45539</v>
      </c>
      <c r="D1620">
        <f t="shared" si="112"/>
        <v>4</v>
      </c>
      <c r="E1620">
        <f t="shared" si="113"/>
        <v>9</v>
      </c>
      <c r="F1620">
        <f t="shared" si="114"/>
        <v>2024</v>
      </c>
      <c r="G1620" t="s">
        <v>81</v>
      </c>
      <c r="H1620" s="98">
        <v>11165</v>
      </c>
      <c r="I1620" s="29">
        <v>53</v>
      </c>
      <c r="J1620" s="12" t="s">
        <v>31</v>
      </c>
      <c r="K1620" s="76">
        <f t="shared" si="115"/>
        <v>53</v>
      </c>
      <c r="L1620">
        <v>1</v>
      </c>
      <c r="M1620" s="29">
        <v>0</v>
      </c>
      <c r="N1620" t="s">
        <v>42</v>
      </c>
      <c r="O1620" t="s">
        <v>33</v>
      </c>
      <c r="P1620" t="s">
        <v>34</v>
      </c>
      <c r="Q1620" t="s">
        <v>34</v>
      </c>
      <c r="R1620" t="s">
        <v>34</v>
      </c>
      <c r="S1620" t="s">
        <v>34</v>
      </c>
      <c r="T1620" s="117">
        <v>0</v>
      </c>
    </row>
    <row r="1621" spans="1:20" x14ac:dyDescent="0.35">
      <c r="A1621" t="s">
        <v>20</v>
      </c>
      <c r="B1621" t="s">
        <v>25</v>
      </c>
      <c r="C1621" s="1">
        <v>45539</v>
      </c>
      <c r="D1621">
        <f t="shared" si="112"/>
        <v>4</v>
      </c>
      <c r="E1621">
        <f t="shared" si="113"/>
        <v>9</v>
      </c>
      <c r="F1621">
        <f t="shared" si="114"/>
        <v>2024</v>
      </c>
      <c r="G1621" t="s">
        <v>81</v>
      </c>
      <c r="H1621" s="98">
        <v>11166</v>
      </c>
      <c r="I1621" s="29">
        <v>22.35</v>
      </c>
      <c r="J1621" s="12" t="s">
        <v>31</v>
      </c>
      <c r="K1621" s="76">
        <f t="shared" si="115"/>
        <v>22.35</v>
      </c>
      <c r="L1621">
        <v>1</v>
      </c>
      <c r="M1621" s="29">
        <v>0</v>
      </c>
      <c r="N1621" t="s">
        <v>42</v>
      </c>
      <c r="O1621" t="s">
        <v>33</v>
      </c>
      <c r="P1621" t="s">
        <v>34</v>
      </c>
      <c r="Q1621" t="s">
        <v>34</v>
      </c>
      <c r="R1621" t="s">
        <v>34</v>
      </c>
      <c r="S1621" t="s">
        <v>34</v>
      </c>
      <c r="T1621" s="117">
        <v>0</v>
      </c>
    </row>
    <row r="1622" spans="1:20" x14ac:dyDescent="0.35">
      <c r="A1622" t="s">
        <v>20</v>
      </c>
      <c r="B1622" t="s">
        <v>25</v>
      </c>
      <c r="C1622" s="1">
        <v>45539</v>
      </c>
      <c r="D1622">
        <f t="shared" si="112"/>
        <v>4</v>
      </c>
      <c r="E1622">
        <f t="shared" si="113"/>
        <v>9</v>
      </c>
      <c r="F1622">
        <f t="shared" si="114"/>
        <v>2024</v>
      </c>
      <c r="G1622" t="s">
        <v>81</v>
      </c>
      <c r="H1622" s="98">
        <v>11167</v>
      </c>
      <c r="I1622" s="29">
        <v>10993.75</v>
      </c>
      <c r="J1622" s="12" t="s">
        <v>31</v>
      </c>
      <c r="K1622" s="76">
        <f t="shared" si="115"/>
        <v>10993.75</v>
      </c>
      <c r="L1622">
        <v>1</v>
      </c>
      <c r="M1622" s="29">
        <v>0</v>
      </c>
      <c r="N1622" t="s">
        <v>42</v>
      </c>
      <c r="O1622" t="s">
        <v>33</v>
      </c>
      <c r="P1622" t="s">
        <v>34</v>
      </c>
      <c r="Q1622" t="s">
        <v>34</v>
      </c>
      <c r="R1622" t="s">
        <v>34</v>
      </c>
      <c r="S1622" t="s">
        <v>34</v>
      </c>
      <c r="T1622" s="117">
        <v>0</v>
      </c>
    </row>
    <row r="1623" spans="1:20" x14ac:dyDescent="0.35">
      <c r="A1623" t="s">
        <v>20</v>
      </c>
      <c r="B1623" t="s">
        <v>25</v>
      </c>
      <c r="C1623" s="1">
        <v>45539</v>
      </c>
      <c r="D1623">
        <f t="shared" si="112"/>
        <v>4</v>
      </c>
      <c r="E1623">
        <f t="shared" si="113"/>
        <v>9</v>
      </c>
      <c r="F1623">
        <f t="shared" si="114"/>
        <v>2024</v>
      </c>
      <c r="G1623" t="s">
        <v>81</v>
      </c>
      <c r="H1623" s="98">
        <v>11168</v>
      </c>
      <c r="I1623" s="29">
        <v>7236.25</v>
      </c>
      <c r="J1623" s="12" t="s">
        <v>31</v>
      </c>
      <c r="K1623" s="76">
        <f t="shared" si="115"/>
        <v>7236.25</v>
      </c>
      <c r="L1623">
        <v>1</v>
      </c>
      <c r="M1623" s="29">
        <v>0</v>
      </c>
      <c r="N1623" t="s">
        <v>42</v>
      </c>
      <c r="O1623" t="s">
        <v>33</v>
      </c>
      <c r="P1623" t="s">
        <v>34</v>
      </c>
      <c r="Q1623" t="s">
        <v>34</v>
      </c>
      <c r="R1623" t="s">
        <v>34</v>
      </c>
      <c r="S1623" t="s">
        <v>34</v>
      </c>
      <c r="T1623" s="117">
        <v>0</v>
      </c>
    </row>
    <row r="1624" spans="1:20" x14ac:dyDescent="0.35">
      <c r="A1624" t="s">
        <v>20</v>
      </c>
      <c r="B1624" t="s">
        <v>25</v>
      </c>
      <c r="C1624" s="1">
        <v>45539</v>
      </c>
      <c r="D1624">
        <f t="shared" si="112"/>
        <v>4</v>
      </c>
      <c r="E1624">
        <f t="shared" si="113"/>
        <v>9</v>
      </c>
      <c r="F1624">
        <f t="shared" si="114"/>
        <v>2024</v>
      </c>
      <c r="G1624" t="s">
        <v>81</v>
      </c>
      <c r="H1624" s="98">
        <v>11169</v>
      </c>
      <c r="I1624" s="29">
        <v>3376.75</v>
      </c>
      <c r="J1624" s="12" t="s">
        <v>31</v>
      </c>
      <c r="K1624" s="76">
        <f t="shared" si="115"/>
        <v>3376.75</v>
      </c>
      <c r="L1624">
        <v>1</v>
      </c>
      <c r="M1624" s="29">
        <v>0</v>
      </c>
      <c r="N1624" t="s">
        <v>42</v>
      </c>
      <c r="O1624" t="s">
        <v>33</v>
      </c>
      <c r="P1624" t="s">
        <v>34</v>
      </c>
      <c r="Q1624" t="s">
        <v>34</v>
      </c>
      <c r="R1624" t="s">
        <v>34</v>
      </c>
      <c r="S1624" t="s">
        <v>34</v>
      </c>
      <c r="T1624" s="117">
        <v>0</v>
      </c>
    </row>
    <row r="1625" spans="1:20" x14ac:dyDescent="0.35">
      <c r="A1625" t="s">
        <v>20</v>
      </c>
      <c r="B1625" t="s">
        <v>23</v>
      </c>
      <c r="C1625" s="1">
        <v>45539</v>
      </c>
      <c r="D1625">
        <f t="shared" si="112"/>
        <v>4</v>
      </c>
      <c r="E1625">
        <f t="shared" si="113"/>
        <v>9</v>
      </c>
      <c r="F1625">
        <f t="shared" si="114"/>
        <v>2024</v>
      </c>
      <c r="G1625" t="s">
        <v>108</v>
      </c>
      <c r="H1625" s="98">
        <v>11137</v>
      </c>
      <c r="I1625" s="29">
        <v>8.1999999999999993</v>
      </c>
      <c r="J1625" s="12" t="s">
        <v>31</v>
      </c>
      <c r="K1625" s="76">
        <f t="shared" si="115"/>
        <v>8.1999999999999993</v>
      </c>
      <c r="L1625">
        <v>1</v>
      </c>
      <c r="M1625" s="29">
        <v>0</v>
      </c>
      <c r="N1625" t="s">
        <v>42</v>
      </c>
      <c r="O1625" t="s">
        <v>33</v>
      </c>
      <c r="P1625" t="s">
        <v>34</v>
      </c>
      <c r="Q1625" t="s">
        <v>34</v>
      </c>
      <c r="R1625" t="s">
        <v>34</v>
      </c>
      <c r="S1625" t="s">
        <v>34</v>
      </c>
      <c r="T1625" s="117">
        <v>0</v>
      </c>
    </row>
    <row r="1626" spans="1:20" x14ac:dyDescent="0.35">
      <c r="A1626" t="s">
        <v>20</v>
      </c>
      <c r="B1626" t="s">
        <v>23</v>
      </c>
      <c r="C1626" s="1">
        <v>45539</v>
      </c>
      <c r="D1626">
        <f t="shared" si="112"/>
        <v>4</v>
      </c>
      <c r="E1626">
        <f t="shared" si="113"/>
        <v>9</v>
      </c>
      <c r="F1626">
        <f t="shared" si="114"/>
        <v>2024</v>
      </c>
      <c r="G1626" t="s">
        <v>108</v>
      </c>
      <c r="H1626" s="98">
        <v>11138</v>
      </c>
      <c r="I1626" s="29">
        <v>820</v>
      </c>
      <c r="J1626" s="12" t="s">
        <v>31</v>
      </c>
      <c r="K1626" s="76">
        <f t="shared" si="115"/>
        <v>820</v>
      </c>
      <c r="L1626">
        <v>1</v>
      </c>
      <c r="M1626" s="29">
        <v>0</v>
      </c>
      <c r="N1626" t="s">
        <v>42</v>
      </c>
      <c r="O1626" t="s">
        <v>33</v>
      </c>
      <c r="P1626" t="s">
        <v>34</v>
      </c>
      <c r="Q1626" t="s">
        <v>34</v>
      </c>
      <c r="R1626" t="s">
        <v>34</v>
      </c>
      <c r="S1626" t="s">
        <v>34</v>
      </c>
      <c r="T1626" s="117">
        <v>0</v>
      </c>
    </row>
    <row r="1627" spans="1:20" x14ac:dyDescent="0.35">
      <c r="A1627" t="s">
        <v>20</v>
      </c>
      <c r="B1627" t="s">
        <v>25</v>
      </c>
      <c r="C1627" s="1">
        <v>45539</v>
      </c>
      <c r="D1627">
        <f t="shared" si="112"/>
        <v>4</v>
      </c>
      <c r="E1627">
        <f t="shared" si="113"/>
        <v>9</v>
      </c>
      <c r="F1627">
        <f t="shared" si="114"/>
        <v>2024</v>
      </c>
      <c r="G1627" t="s">
        <v>39</v>
      </c>
      <c r="H1627" s="98">
        <v>10861</v>
      </c>
      <c r="I1627" s="29">
        <v>152</v>
      </c>
      <c r="J1627" s="12" t="s">
        <v>31</v>
      </c>
      <c r="K1627" s="76">
        <f t="shared" si="115"/>
        <v>152</v>
      </c>
      <c r="L1627">
        <v>1</v>
      </c>
      <c r="M1627" s="29">
        <v>0</v>
      </c>
      <c r="N1627" t="s">
        <v>32</v>
      </c>
      <c r="O1627" t="s">
        <v>33</v>
      </c>
      <c r="P1627" t="s">
        <v>34</v>
      </c>
      <c r="Q1627" t="s">
        <v>34</v>
      </c>
      <c r="R1627" t="s">
        <v>34</v>
      </c>
      <c r="S1627" t="s">
        <v>34</v>
      </c>
      <c r="T1627" s="117">
        <v>0</v>
      </c>
    </row>
    <row r="1628" spans="1:20" x14ac:dyDescent="0.35">
      <c r="A1628" t="s">
        <v>20</v>
      </c>
      <c r="B1628" t="s">
        <v>25</v>
      </c>
      <c r="C1628" s="1">
        <v>45539</v>
      </c>
      <c r="D1628">
        <f t="shared" si="112"/>
        <v>4</v>
      </c>
      <c r="E1628">
        <f t="shared" si="113"/>
        <v>9</v>
      </c>
      <c r="F1628">
        <f t="shared" si="114"/>
        <v>2024</v>
      </c>
      <c r="G1628" t="s">
        <v>39</v>
      </c>
      <c r="H1628" s="98">
        <v>10862</v>
      </c>
      <c r="I1628" s="29">
        <v>8518.84</v>
      </c>
      <c r="J1628" s="12" t="s">
        <v>31</v>
      </c>
      <c r="K1628" s="76">
        <f t="shared" si="115"/>
        <v>8518.84</v>
      </c>
      <c r="L1628">
        <v>1</v>
      </c>
      <c r="M1628" s="29">
        <v>0</v>
      </c>
      <c r="N1628" t="s">
        <v>32</v>
      </c>
      <c r="O1628" t="s">
        <v>33</v>
      </c>
      <c r="P1628" t="s">
        <v>34</v>
      </c>
      <c r="Q1628" t="s">
        <v>34</v>
      </c>
      <c r="R1628" t="s">
        <v>34</v>
      </c>
      <c r="S1628" t="s">
        <v>34</v>
      </c>
      <c r="T1628" s="117">
        <v>0</v>
      </c>
    </row>
    <row r="1629" spans="1:20" x14ac:dyDescent="0.35">
      <c r="A1629" t="s">
        <v>20</v>
      </c>
      <c r="B1629" t="s">
        <v>21</v>
      </c>
      <c r="C1629" s="1">
        <v>45539</v>
      </c>
      <c r="D1629">
        <f t="shared" si="112"/>
        <v>4</v>
      </c>
      <c r="E1629">
        <f t="shared" si="113"/>
        <v>9</v>
      </c>
      <c r="F1629">
        <f t="shared" si="114"/>
        <v>2024</v>
      </c>
      <c r="G1629" t="s">
        <v>53</v>
      </c>
      <c r="H1629" s="171">
        <v>10732</v>
      </c>
      <c r="I1629" s="29">
        <v>26420.11</v>
      </c>
      <c r="J1629" s="12" t="s">
        <v>31</v>
      </c>
      <c r="K1629" s="76">
        <f t="shared" si="115"/>
        <v>26420.11</v>
      </c>
      <c r="L1629">
        <v>1</v>
      </c>
      <c r="M1629" s="29">
        <v>0</v>
      </c>
      <c r="N1629" t="s">
        <v>32</v>
      </c>
      <c r="O1629" t="s">
        <v>33</v>
      </c>
      <c r="P1629" t="s">
        <v>34</v>
      </c>
      <c r="Q1629" t="s">
        <v>34</v>
      </c>
      <c r="R1629" t="s">
        <v>34</v>
      </c>
      <c r="S1629" t="s">
        <v>34</v>
      </c>
      <c r="T1629" s="117">
        <v>0</v>
      </c>
    </row>
    <row r="1630" spans="1:20" x14ac:dyDescent="0.35">
      <c r="A1630" t="s">
        <v>20</v>
      </c>
      <c r="B1630" t="s">
        <v>21</v>
      </c>
      <c r="C1630" s="1">
        <v>45539</v>
      </c>
      <c r="D1630">
        <f t="shared" si="112"/>
        <v>4</v>
      </c>
      <c r="E1630">
        <f t="shared" si="113"/>
        <v>9</v>
      </c>
      <c r="F1630">
        <f t="shared" si="114"/>
        <v>2024</v>
      </c>
      <c r="G1630" t="s">
        <v>53</v>
      </c>
      <c r="H1630" s="171">
        <v>10735</v>
      </c>
      <c r="I1630" s="29">
        <v>20573.099999999999</v>
      </c>
      <c r="J1630" s="12" t="s">
        <v>31</v>
      </c>
      <c r="K1630" s="76">
        <f t="shared" si="115"/>
        <v>20573.099999999999</v>
      </c>
      <c r="L1630">
        <v>1</v>
      </c>
      <c r="M1630" s="29">
        <v>0</v>
      </c>
      <c r="N1630" t="s">
        <v>42</v>
      </c>
      <c r="O1630" t="s">
        <v>33</v>
      </c>
      <c r="P1630" t="s">
        <v>34</v>
      </c>
      <c r="Q1630" t="s">
        <v>34</v>
      </c>
      <c r="R1630" t="s">
        <v>34</v>
      </c>
      <c r="S1630" t="s">
        <v>34</v>
      </c>
      <c r="T1630" s="117">
        <v>0</v>
      </c>
    </row>
    <row r="1631" spans="1:20" x14ac:dyDescent="0.35">
      <c r="A1631" t="s">
        <v>20</v>
      </c>
      <c r="B1631" t="s">
        <v>23</v>
      </c>
      <c r="C1631" s="1">
        <v>45539</v>
      </c>
      <c r="D1631">
        <f t="shared" si="112"/>
        <v>4</v>
      </c>
      <c r="E1631">
        <f t="shared" si="113"/>
        <v>9</v>
      </c>
      <c r="F1631">
        <f t="shared" si="114"/>
        <v>2024</v>
      </c>
      <c r="G1631" t="s">
        <v>53</v>
      </c>
      <c r="H1631" s="171">
        <v>10846</v>
      </c>
      <c r="I1631" s="29">
        <v>5145.12</v>
      </c>
      <c r="J1631" s="12" t="s">
        <v>31</v>
      </c>
      <c r="K1631" s="76">
        <f t="shared" si="115"/>
        <v>5145.12</v>
      </c>
      <c r="L1631">
        <v>1</v>
      </c>
      <c r="M1631" s="29">
        <v>0</v>
      </c>
      <c r="N1631" t="s">
        <v>32</v>
      </c>
      <c r="O1631" t="s">
        <v>33</v>
      </c>
      <c r="P1631" t="s">
        <v>34</v>
      </c>
      <c r="Q1631" t="s">
        <v>34</v>
      </c>
      <c r="R1631" t="s">
        <v>34</v>
      </c>
      <c r="S1631" t="s">
        <v>34</v>
      </c>
      <c r="T1631" s="117">
        <v>0</v>
      </c>
    </row>
    <row r="1632" spans="1:20" x14ac:dyDescent="0.35">
      <c r="A1632" t="s">
        <v>20</v>
      </c>
      <c r="B1632" t="s">
        <v>21</v>
      </c>
      <c r="C1632" s="1">
        <v>45539</v>
      </c>
      <c r="D1632">
        <f t="shared" si="112"/>
        <v>4</v>
      </c>
      <c r="E1632">
        <f t="shared" si="113"/>
        <v>9</v>
      </c>
      <c r="F1632">
        <f t="shared" si="114"/>
        <v>2024</v>
      </c>
      <c r="G1632" t="s">
        <v>53</v>
      </c>
      <c r="H1632" s="171">
        <v>10734</v>
      </c>
      <c r="I1632" s="29">
        <v>144</v>
      </c>
      <c r="J1632" s="12" t="s">
        <v>31</v>
      </c>
      <c r="K1632" s="76">
        <f t="shared" si="115"/>
        <v>144</v>
      </c>
      <c r="L1632">
        <v>1</v>
      </c>
      <c r="M1632" s="29">
        <v>0</v>
      </c>
      <c r="N1632" t="s">
        <v>32</v>
      </c>
      <c r="O1632" t="s">
        <v>33</v>
      </c>
      <c r="P1632" t="s">
        <v>34</v>
      </c>
      <c r="Q1632" t="s">
        <v>34</v>
      </c>
      <c r="R1632" t="s">
        <v>34</v>
      </c>
      <c r="S1632" t="s">
        <v>34</v>
      </c>
      <c r="T1632" s="117">
        <v>0</v>
      </c>
    </row>
    <row r="1633" spans="1:21" x14ac:dyDescent="0.35">
      <c r="A1633" t="s">
        <v>20</v>
      </c>
      <c r="B1633" t="s">
        <v>21</v>
      </c>
      <c r="C1633" s="1">
        <v>45539</v>
      </c>
      <c r="D1633">
        <f t="shared" si="112"/>
        <v>4</v>
      </c>
      <c r="E1633">
        <f t="shared" si="113"/>
        <v>9</v>
      </c>
      <c r="F1633">
        <f t="shared" si="114"/>
        <v>2024</v>
      </c>
      <c r="G1633" t="s">
        <v>53</v>
      </c>
      <c r="H1633" s="171">
        <v>10736</v>
      </c>
      <c r="I1633" s="29">
        <v>86</v>
      </c>
      <c r="J1633" s="12" t="s">
        <v>31</v>
      </c>
      <c r="K1633" s="76">
        <f t="shared" si="115"/>
        <v>86</v>
      </c>
      <c r="L1633">
        <v>1</v>
      </c>
      <c r="M1633" s="29">
        <v>0</v>
      </c>
      <c r="N1633" t="s">
        <v>32</v>
      </c>
      <c r="O1633" t="s">
        <v>33</v>
      </c>
      <c r="P1633" t="s">
        <v>34</v>
      </c>
      <c r="Q1633" t="s">
        <v>34</v>
      </c>
      <c r="R1633" t="s">
        <v>34</v>
      </c>
      <c r="S1633" t="s">
        <v>34</v>
      </c>
      <c r="T1633" s="117">
        <v>0</v>
      </c>
    </row>
    <row r="1634" spans="1:21" x14ac:dyDescent="0.35">
      <c r="A1634" t="s">
        <v>20</v>
      </c>
      <c r="B1634" t="s">
        <v>21</v>
      </c>
      <c r="C1634" s="1">
        <v>45539</v>
      </c>
      <c r="D1634">
        <f t="shared" si="112"/>
        <v>4</v>
      </c>
      <c r="E1634">
        <f t="shared" si="113"/>
        <v>9</v>
      </c>
      <c r="F1634">
        <f t="shared" si="114"/>
        <v>2024</v>
      </c>
      <c r="G1634" t="s">
        <v>53</v>
      </c>
      <c r="H1634" s="171">
        <v>10847</v>
      </c>
      <c r="I1634" s="29">
        <v>70</v>
      </c>
      <c r="J1634" s="12" t="s">
        <v>31</v>
      </c>
      <c r="K1634" s="76">
        <f t="shared" si="115"/>
        <v>70</v>
      </c>
      <c r="L1634">
        <v>1</v>
      </c>
      <c r="M1634" s="29">
        <v>0</v>
      </c>
      <c r="N1634" t="s">
        <v>32</v>
      </c>
      <c r="O1634" t="s">
        <v>33</v>
      </c>
      <c r="P1634" t="s">
        <v>34</v>
      </c>
      <c r="Q1634" t="s">
        <v>34</v>
      </c>
      <c r="R1634" t="s">
        <v>34</v>
      </c>
      <c r="S1634" t="s">
        <v>34</v>
      </c>
      <c r="T1634" s="117">
        <v>0</v>
      </c>
    </row>
    <row r="1635" spans="1:21" x14ac:dyDescent="0.35">
      <c r="A1635" t="s">
        <v>20</v>
      </c>
      <c r="B1635" t="s">
        <v>21</v>
      </c>
      <c r="C1635" s="1">
        <v>45539</v>
      </c>
      <c r="D1635">
        <f t="shared" si="112"/>
        <v>4</v>
      </c>
      <c r="E1635">
        <f t="shared" si="113"/>
        <v>9</v>
      </c>
      <c r="F1635">
        <f t="shared" si="114"/>
        <v>2024</v>
      </c>
      <c r="G1635" t="s">
        <v>53</v>
      </c>
      <c r="H1635" s="171">
        <v>11042</v>
      </c>
      <c r="I1635" s="29">
        <v>53</v>
      </c>
      <c r="J1635" s="12" t="s">
        <v>31</v>
      </c>
      <c r="K1635" s="76">
        <f t="shared" si="115"/>
        <v>53</v>
      </c>
      <c r="L1635">
        <v>1</v>
      </c>
      <c r="M1635" s="29">
        <v>0</v>
      </c>
      <c r="N1635" t="s">
        <v>32</v>
      </c>
      <c r="O1635" t="s">
        <v>33</v>
      </c>
      <c r="P1635" t="s">
        <v>34</v>
      </c>
      <c r="Q1635" t="s">
        <v>34</v>
      </c>
      <c r="R1635" t="s">
        <v>34</v>
      </c>
      <c r="S1635" t="s">
        <v>34</v>
      </c>
      <c r="T1635" s="117">
        <v>0</v>
      </c>
    </row>
    <row r="1636" spans="1:21" x14ac:dyDescent="0.35">
      <c r="A1636" t="s">
        <v>20</v>
      </c>
      <c r="B1636" t="s">
        <v>21</v>
      </c>
      <c r="C1636" s="1">
        <v>45539</v>
      </c>
      <c r="D1636">
        <f t="shared" si="112"/>
        <v>4</v>
      </c>
      <c r="E1636">
        <f t="shared" si="113"/>
        <v>9</v>
      </c>
      <c r="F1636">
        <f t="shared" si="114"/>
        <v>2024</v>
      </c>
      <c r="G1636" t="s">
        <v>53</v>
      </c>
      <c r="H1636" s="171">
        <v>11042</v>
      </c>
      <c r="I1636" s="29">
        <v>75</v>
      </c>
      <c r="J1636" s="12" t="s">
        <v>31</v>
      </c>
      <c r="K1636" s="76">
        <f t="shared" si="115"/>
        <v>75</v>
      </c>
      <c r="L1636">
        <v>1</v>
      </c>
      <c r="M1636" s="29">
        <v>0</v>
      </c>
      <c r="N1636" t="s">
        <v>32</v>
      </c>
      <c r="O1636" t="s">
        <v>33</v>
      </c>
      <c r="P1636" t="s">
        <v>34</v>
      </c>
      <c r="Q1636" t="s">
        <v>34</v>
      </c>
      <c r="R1636" t="s">
        <v>34</v>
      </c>
      <c r="S1636" t="s">
        <v>34</v>
      </c>
      <c r="T1636" s="117">
        <v>0</v>
      </c>
    </row>
    <row r="1637" spans="1:21" x14ac:dyDescent="0.35">
      <c r="A1637" t="s">
        <v>20</v>
      </c>
      <c r="B1637" t="s">
        <v>23</v>
      </c>
      <c r="C1637" s="1">
        <v>45539</v>
      </c>
      <c r="D1637">
        <f t="shared" si="112"/>
        <v>4</v>
      </c>
      <c r="E1637">
        <f t="shared" si="113"/>
        <v>9</v>
      </c>
      <c r="F1637">
        <f t="shared" si="114"/>
        <v>2024</v>
      </c>
      <c r="G1637" t="s">
        <v>53</v>
      </c>
      <c r="H1637" s="171">
        <v>10845</v>
      </c>
      <c r="I1637" s="29">
        <v>35.5</v>
      </c>
      <c r="J1637" s="12" t="s">
        <v>31</v>
      </c>
      <c r="K1637" s="76">
        <f t="shared" si="115"/>
        <v>35.5</v>
      </c>
      <c r="L1637">
        <v>1</v>
      </c>
      <c r="M1637" s="29">
        <v>0</v>
      </c>
      <c r="N1637" t="s">
        <v>32</v>
      </c>
      <c r="O1637" t="s">
        <v>33</v>
      </c>
      <c r="P1637" t="s">
        <v>34</v>
      </c>
      <c r="Q1637" t="s">
        <v>34</v>
      </c>
      <c r="R1637" t="s">
        <v>34</v>
      </c>
      <c r="S1637" t="s">
        <v>34</v>
      </c>
      <c r="T1637" s="117">
        <v>0</v>
      </c>
    </row>
    <row r="1638" spans="1:21" x14ac:dyDescent="0.35">
      <c r="A1638" t="s">
        <v>20</v>
      </c>
      <c r="B1638" t="s">
        <v>23</v>
      </c>
      <c r="C1638" s="1">
        <v>45539</v>
      </c>
      <c r="D1638">
        <f t="shared" si="112"/>
        <v>4</v>
      </c>
      <c r="E1638">
        <f t="shared" si="113"/>
        <v>9</v>
      </c>
      <c r="F1638">
        <f t="shared" si="114"/>
        <v>2024</v>
      </c>
      <c r="G1638" t="s">
        <v>53</v>
      </c>
      <c r="H1638" s="171">
        <v>10730</v>
      </c>
      <c r="I1638" s="29">
        <v>35.5</v>
      </c>
      <c r="J1638" s="12" t="s">
        <v>31</v>
      </c>
      <c r="K1638" s="76">
        <f t="shared" si="115"/>
        <v>35.5</v>
      </c>
      <c r="L1638">
        <v>1</v>
      </c>
      <c r="M1638" s="29">
        <v>0</v>
      </c>
      <c r="N1638" t="s">
        <v>32</v>
      </c>
      <c r="O1638" t="s">
        <v>33</v>
      </c>
      <c r="P1638" t="s">
        <v>34</v>
      </c>
      <c r="Q1638" t="s">
        <v>34</v>
      </c>
      <c r="R1638" t="s">
        <v>34</v>
      </c>
      <c r="S1638" t="s">
        <v>34</v>
      </c>
      <c r="T1638" s="117">
        <v>0</v>
      </c>
    </row>
    <row r="1639" spans="1:21" x14ac:dyDescent="0.35">
      <c r="A1639" t="s">
        <v>20</v>
      </c>
      <c r="B1639" t="s">
        <v>25</v>
      </c>
      <c r="C1639" s="1">
        <v>45539</v>
      </c>
      <c r="D1639">
        <f t="shared" si="112"/>
        <v>4</v>
      </c>
      <c r="E1639">
        <f t="shared" si="113"/>
        <v>9</v>
      </c>
      <c r="F1639">
        <f t="shared" si="114"/>
        <v>2024</v>
      </c>
      <c r="G1639" t="s">
        <v>53</v>
      </c>
      <c r="H1639" s="171">
        <v>10730</v>
      </c>
      <c r="I1639" s="29">
        <v>133</v>
      </c>
      <c r="J1639" s="12" t="s">
        <v>31</v>
      </c>
      <c r="K1639" s="76">
        <f t="shared" si="115"/>
        <v>133</v>
      </c>
      <c r="L1639">
        <v>1</v>
      </c>
      <c r="M1639" s="29">
        <v>0</v>
      </c>
      <c r="N1639" t="s">
        <v>32</v>
      </c>
      <c r="O1639" t="s">
        <v>33</v>
      </c>
      <c r="P1639" t="s">
        <v>34</v>
      </c>
      <c r="Q1639" t="s">
        <v>34</v>
      </c>
      <c r="R1639" t="s">
        <v>34</v>
      </c>
      <c r="S1639" t="s">
        <v>34</v>
      </c>
      <c r="T1639" s="117">
        <v>0</v>
      </c>
    </row>
    <row r="1640" spans="1:21" x14ac:dyDescent="0.35">
      <c r="A1640" t="s">
        <v>20</v>
      </c>
      <c r="B1640" t="s">
        <v>25</v>
      </c>
      <c r="C1640" s="1">
        <v>45539</v>
      </c>
      <c r="D1640">
        <f t="shared" si="112"/>
        <v>4</v>
      </c>
      <c r="E1640">
        <f t="shared" si="113"/>
        <v>9</v>
      </c>
      <c r="F1640">
        <f t="shared" si="114"/>
        <v>2024</v>
      </c>
      <c r="G1640" t="s">
        <v>84</v>
      </c>
      <c r="H1640" s="98">
        <v>10721</v>
      </c>
      <c r="I1640" s="29">
        <v>33152.800000000003</v>
      </c>
      <c r="J1640" s="12" t="s">
        <v>31</v>
      </c>
      <c r="K1640" s="76">
        <f t="shared" si="115"/>
        <v>33152.800000000003</v>
      </c>
      <c r="L1640">
        <v>1</v>
      </c>
      <c r="M1640" s="29">
        <v>0</v>
      </c>
      <c r="N1640" t="s">
        <v>32</v>
      </c>
      <c r="O1640" t="s">
        <v>33</v>
      </c>
      <c r="P1640" t="s">
        <v>34</v>
      </c>
      <c r="Q1640" t="s">
        <v>34</v>
      </c>
      <c r="R1640" t="s">
        <v>34</v>
      </c>
      <c r="S1640" t="s">
        <v>34</v>
      </c>
      <c r="T1640" s="117">
        <v>0</v>
      </c>
    </row>
    <row r="1641" spans="1:21" x14ac:dyDescent="0.35">
      <c r="A1641" t="s">
        <v>20</v>
      </c>
      <c r="B1641" t="s">
        <v>25</v>
      </c>
      <c r="C1641" s="1">
        <v>45539</v>
      </c>
      <c r="D1641">
        <f t="shared" si="112"/>
        <v>4</v>
      </c>
      <c r="E1641">
        <f t="shared" si="113"/>
        <v>9</v>
      </c>
      <c r="F1641">
        <f t="shared" si="114"/>
        <v>2024</v>
      </c>
      <c r="G1641" t="s">
        <v>491</v>
      </c>
      <c r="H1641" s="98">
        <v>11162</v>
      </c>
      <c r="I1641" s="29">
        <v>550</v>
      </c>
      <c r="J1641" s="12" t="s">
        <v>31</v>
      </c>
      <c r="K1641" s="76">
        <f t="shared" si="115"/>
        <v>550</v>
      </c>
      <c r="L1641">
        <v>1</v>
      </c>
      <c r="M1641" s="29">
        <v>0</v>
      </c>
      <c r="N1641" t="s">
        <v>42</v>
      </c>
      <c r="O1641" t="s">
        <v>33</v>
      </c>
      <c r="P1641" t="s">
        <v>34</v>
      </c>
      <c r="Q1641" t="s">
        <v>34</v>
      </c>
      <c r="R1641" t="s">
        <v>34</v>
      </c>
      <c r="S1641" t="s">
        <v>34</v>
      </c>
      <c r="T1641" s="117">
        <v>0</v>
      </c>
    </row>
    <row r="1642" spans="1:21" x14ac:dyDescent="0.35">
      <c r="A1642" t="s">
        <v>20</v>
      </c>
      <c r="B1642" t="s">
        <v>25</v>
      </c>
      <c r="C1642" s="1">
        <v>45539</v>
      </c>
      <c r="D1642">
        <f t="shared" si="112"/>
        <v>4</v>
      </c>
      <c r="E1642">
        <f t="shared" si="113"/>
        <v>9</v>
      </c>
      <c r="F1642">
        <f t="shared" si="114"/>
        <v>2024</v>
      </c>
      <c r="G1642" t="s">
        <v>491</v>
      </c>
      <c r="H1642" s="98">
        <v>11161</v>
      </c>
      <c r="I1642" s="29">
        <v>4213</v>
      </c>
      <c r="J1642" s="12" t="s">
        <v>31</v>
      </c>
      <c r="K1642" s="76">
        <f t="shared" si="115"/>
        <v>4213</v>
      </c>
      <c r="L1642">
        <v>1</v>
      </c>
      <c r="M1642" s="29">
        <v>0</v>
      </c>
      <c r="N1642" t="s">
        <v>42</v>
      </c>
      <c r="O1642" t="s">
        <v>33</v>
      </c>
      <c r="P1642" t="s">
        <v>34</v>
      </c>
      <c r="Q1642" t="s">
        <v>34</v>
      </c>
      <c r="R1642" t="s">
        <v>34</v>
      </c>
      <c r="S1642" t="s">
        <v>34</v>
      </c>
      <c r="T1642" s="117">
        <v>0</v>
      </c>
      <c r="U1642" s="209" t="s">
        <v>643</v>
      </c>
    </row>
    <row r="1643" spans="1:21" x14ac:dyDescent="0.35">
      <c r="A1643" t="s">
        <v>20</v>
      </c>
      <c r="B1643" t="s">
        <v>25</v>
      </c>
      <c r="C1643" s="1">
        <v>45539</v>
      </c>
      <c r="D1643">
        <f t="shared" si="112"/>
        <v>4</v>
      </c>
      <c r="E1643">
        <f t="shared" si="113"/>
        <v>9</v>
      </c>
      <c r="F1643">
        <f t="shared" si="114"/>
        <v>2024</v>
      </c>
      <c r="G1643" t="s">
        <v>491</v>
      </c>
      <c r="H1643" s="98">
        <v>11161</v>
      </c>
      <c r="I1643" s="29">
        <v>3300</v>
      </c>
      <c r="J1643" s="12" t="s">
        <v>31</v>
      </c>
      <c r="K1643" s="76">
        <f t="shared" si="115"/>
        <v>3300</v>
      </c>
      <c r="L1643">
        <v>1</v>
      </c>
      <c r="M1643" s="29">
        <v>0</v>
      </c>
      <c r="N1643" t="s">
        <v>42</v>
      </c>
      <c r="O1643" t="s">
        <v>33</v>
      </c>
      <c r="P1643" t="s">
        <v>34</v>
      </c>
      <c r="Q1643" t="s">
        <v>34</v>
      </c>
      <c r="R1643" t="s">
        <v>34</v>
      </c>
      <c r="S1643" t="s">
        <v>34</v>
      </c>
      <c r="T1643" s="117">
        <v>0</v>
      </c>
    </row>
    <row r="1644" spans="1:21" x14ac:dyDescent="0.35">
      <c r="A1644" t="s">
        <v>20</v>
      </c>
      <c r="B1644" t="s">
        <v>25</v>
      </c>
      <c r="C1644" s="1">
        <v>45539</v>
      </c>
      <c r="D1644">
        <f t="shared" si="112"/>
        <v>4</v>
      </c>
      <c r="E1644">
        <f t="shared" si="113"/>
        <v>9</v>
      </c>
      <c r="F1644">
        <f t="shared" si="114"/>
        <v>2024</v>
      </c>
      <c r="G1644" t="s">
        <v>99</v>
      </c>
      <c r="H1644" s="98">
        <v>10620</v>
      </c>
      <c r="I1644" s="29">
        <v>669.6</v>
      </c>
      <c r="J1644" s="12" t="s">
        <v>31</v>
      </c>
      <c r="K1644" s="76">
        <f t="shared" si="115"/>
        <v>669.6</v>
      </c>
      <c r="L1644">
        <v>1</v>
      </c>
      <c r="M1644" s="29">
        <v>0</v>
      </c>
      <c r="N1644" t="s">
        <v>32</v>
      </c>
      <c r="O1644" t="s">
        <v>33</v>
      </c>
      <c r="P1644" t="s">
        <v>34</v>
      </c>
      <c r="Q1644" t="s">
        <v>34</v>
      </c>
      <c r="R1644" t="s">
        <v>34</v>
      </c>
      <c r="S1644" t="s">
        <v>34</v>
      </c>
      <c r="T1644" s="117">
        <v>0</v>
      </c>
    </row>
    <row r="1645" spans="1:21" x14ac:dyDescent="0.35">
      <c r="A1645" t="s">
        <v>20</v>
      </c>
      <c r="B1645" t="s">
        <v>25</v>
      </c>
      <c r="C1645" s="1">
        <v>45539</v>
      </c>
      <c r="D1645">
        <f t="shared" si="112"/>
        <v>4</v>
      </c>
      <c r="E1645">
        <f t="shared" si="113"/>
        <v>9</v>
      </c>
      <c r="F1645">
        <f t="shared" si="114"/>
        <v>2024</v>
      </c>
      <c r="G1645" t="s">
        <v>99</v>
      </c>
      <c r="H1645" s="98">
        <v>10623</v>
      </c>
      <c r="I1645" s="29">
        <v>5912.29</v>
      </c>
      <c r="J1645" s="12" t="s">
        <v>31</v>
      </c>
      <c r="K1645" s="76">
        <f t="shared" si="115"/>
        <v>5912.29</v>
      </c>
      <c r="L1645">
        <v>1</v>
      </c>
      <c r="M1645" s="29">
        <v>0</v>
      </c>
      <c r="N1645" t="s">
        <v>32</v>
      </c>
      <c r="O1645" t="s">
        <v>33</v>
      </c>
      <c r="P1645" t="s">
        <v>34</v>
      </c>
      <c r="Q1645" t="s">
        <v>34</v>
      </c>
      <c r="R1645" t="s">
        <v>34</v>
      </c>
      <c r="S1645" t="s">
        <v>34</v>
      </c>
      <c r="T1645" s="117">
        <v>0</v>
      </c>
    </row>
    <row r="1646" spans="1:21" x14ac:dyDescent="0.35">
      <c r="A1646" t="s">
        <v>20</v>
      </c>
      <c r="B1646" t="s">
        <v>21</v>
      </c>
      <c r="C1646" s="1">
        <v>45539</v>
      </c>
      <c r="D1646">
        <f t="shared" si="112"/>
        <v>4</v>
      </c>
      <c r="E1646">
        <f t="shared" si="113"/>
        <v>9</v>
      </c>
      <c r="F1646">
        <f t="shared" si="114"/>
        <v>2024</v>
      </c>
      <c r="G1646" t="s">
        <v>265</v>
      </c>
      <c r="H1646" s="98">
        <v>11130</v>
      </c>
      <c r="I1646" s="29">
        <v>53</v>
      </c>
      <c r="J1646" s="12" t="s">
        <v>31</v>
      </c>
      <c r="K1646" s="76">
        <f t="shared" si="115"/>
        <v>53</v>
      </c>
      <c r="L1646">
        <v>1</v>
      </c>
      <c r="M1646" s="29">
        <v>0</v>
      </c>
      <c r="N1646" t="s">
        <v>42</v>
      </c>
      <c r="O1646" t="s">
        <v>33</v>
      </c>
      <c r="P1646" t="s">
        <v>34</v>
      </c>
      <c r="Q1646" t="s">
        <v>34</v>
      </c>
      <c r="R1646" t="s">
        <v>34</v>
      </c>
      <c r="S1646" t="s">
        <v>34</v>
      </c>
      <c r="T1646" s="117">
        <v>0</v>
      </c>
    </row>
    <row r="1647" spans="1:21" x14ac:dyDescent="0.35">
      <c r="A1647" t="s">
        <v>20</v>
      </c>
      <c r="B1647" t="s">
        <v>21</v>
      </c>
      <c r="C1647" s="1">
        <v>45539</v>
      </c>
      <c r="D1647">
        <f t="shared" si="112"/>
        <v>4</v>
      </c>
      <c r="E1647">
        <f t="shared" si="113"/>
        <v>9</v>
      </c>
      <c r="F1647">
        <f t="shared" si="114"/>
        <v>2024</v>
      </c>
      <c r="G1647" t="s">
        <v>265</v>
      </c>
      <c r="H1647" s="98">
        <v>11375</v>
      </c>
      <c r="I1647" s="29">
        <v>1</v>
      </c>
      <c r="J1647" s="12" t="s">
        <v>31</v>
      </c>
      <c r="K1647" s="76">
        <f t="shared" si="115"/>
        <v>1</v>
      </c>
      <c r="L1647">
        <v>1</v>
      </c>
      <c r="M1647" s="29">
        <v>0</v>
      </c>
      <c r="N1647" t="s">
        <v>42</v>
      </c>
      <c r="O1647" t="s">
        <v>33</v>
      </c>
      <c r="P1647" t="s">
        <v>34</v>
      </c>
      <c r="Q1647" t="s">
        <v>34</v>
      </c>
      <c r="R1647" t="s">
        <v>34</v>
      </c>
      <c r="S1647" t="s">
        <v>34</v>
      </c>
      <c r="T1647" s="117">
        <v>0</v>
      </c>
      <c r="U1647" s="209" t="s">
        <v>743</v>
      </c>
    </row>
    <row r="1648" spans="1:21" x14ac:dyDescent="0.35">
      <c r="A1648" t="s">
        <v>20</v>
      </c>
      <c r="B1648" t="s">
        <v>21</v>
      </c>
      <c r="C1648" s="1">
        <v>45539</v>
      </c>
      <c r="D1648">
        <f t="shared" si="112"/>
        <v>4</v>
      </c>
      <c r="E1648">
        <f t="shared" si="113"/>
        <v>9</v>
      </c>
      <c r="F1648">
        <f t="shared" si="114"/>
        <v>2024</v>
      </c>
      <c r="G1648" t="s">
        <v>265</v>
      </c>
      <c r="H1648" s="98">
        <v>11128</v>
      </c>
      <c r="I1648" s="29">
        <v>1458</v>
      </c>
      <c r="J1648" s="12" t="s">
        <v>31</v>
      </c>
      <c r="K1648" s="76">
        <f t="shared" si="115"/>
        <v>1458</v>
      </c>
      <c r="L1648">
        <v>1</v>
      </c>
      <c r="M1648" s="29">
        <v>0</v>
      </c>
      <c r="N1648" t="s">
        <v>42</v>
      </c>
      <c r="O1648" t="s">
        <v>33</v>
      </c>
      <c r="P1648" t="s">
        <v>34</v>
      </c>
      <c r="Q1648" t="s">
        <v>34</v>
      </c>
      <c r="R1648" t="s">
        <v>34</v>
      </c>
      <c r="S1648" t="s">
        <v>34</v>
      </c>
      <c r="T1648" s="117">
        <v>0</v>
      </c>
    </row>
    <row r="1649" spans="1:21" x14ac:dyDescent="0.35">
      <c r="A1649" t="s">
        <v>20</v>
      </c>
      <c r="B1649" t="s">
        <v>23</v>
      </c>
      <c r="C1649" s="1">
        <v>45539</v>
      </c>
      <c r="D1649">
        <f t="shared" si="112"/>
        <v>4</v>
      </c>
      <c r="E1649">
        <f t="shared" si="113"/>
        <v>9</v>
      </c>
      <c r="F1649">
        <f t="shared" si="114"/>
        <v>2024</v>
      </c>
      <c r="G1649" t="s">
        <v>265</v>
      </c>
      <c r="H1649" s="98">
        <v>11148</v>
      </c>
      <c r="I1649" s="29">
        <v>72</v>
      </c>
      <c r="J1649" s="12" t="s">
        <v>31</v>
      </c>
      <c r="K1649" s="76">
        <f t="shared" si="115"/>
        <v>72</v>
      </c>
      <c r="L1649">
        <v>1</v>
      </c>
      <c r="M1649" s="29">
        <v>0</v>
      </c>
      <c r="N1649" t="s">
        <v>42</v>
      </c>
      <c r="O1649" t="s">
        <v>33</v>
      </c>
      <c r="P1649" t="s">
        <v>34</v>
      </c>
      <c r="Q1649" t="s">
        <v>34</v>
      </c>
      <c r="R1649" t="s">
        <v>34</v>
      </c>
      <c r="S1649" t="s">
        <v>34</v>
      </c>
      <c r="T1649" s="117">
        <v>0</v>
      </c>
    </row>
    <row r="1650" spans="1:21" x14ac:dyDescent="0.35">
      <c r="A1650" t="s">
        <v>20</v>
      </c>
      <c r="B1650" t="s">
        <v>23</v>
      </c>
      <c r="C1650" s="1">
        <v>45539</v>
      </c>
      <c r="D1650">
        <f t="shared" si="112"/>
        <v>4</v>
      </c>
      <c r="E1650">
        <f t="shared" si="113"/>
        <v>9</v>
      </c>
      <c r="F1650">
        <f t="shared" si="114"/>
        <v>2024</v>
      </c>
      <c r="G1650" t="s">
        <v>265</v>
      </c>
      <c r="H1650" s="98">
        <v>11472</v>
      </c>
      <c r="I1650" s="29">
        <v>5040</v>
      </c>
      <c r="J1650" s="12" t="s">
        <v>31</v>
      </c>
      <c r="K1650" s="76">
        <f t="shared" si="115"/>
        <v>5040</v>
      </c>
      <c r="L1650">
        <v>1</v>
      </c>
      <c r="M1650" s="29">
        <v>0</v>
      </c>
      <c r="N1650" t="s">
        <v>42</v>
      </c>
      <c r="O1650" t="s">
        <v>33</v>
      </c>
      <c r="P1650" t="s">
        <v>34</v>
      </c>
      <c r="Q1650" t="s">
        <v>34</v>
      </c>
      <c r="R1650" t="s">
        <v>34</v>
      </c>
      <c r="S1650" t="s">
        <v>34</v>
      </c>
      <c r="T1650" s="117">
        <v>0</v>
      </c>
      <c r="U1650" s="209" t="s">
        <v>650</v>
      </c>
    </row>
    <row r="1651" spans="1:21" x14ac:dyDescent="0.35">
      <c r="A1651" t="s">
        <v>20</v>
      </c>
      <c r="B1651" t="s">
        <v>25</v>
      </c>
      <c r="C1651" s="1">
        <v>45539</v>
      </c>
      <c r="D1651">
        <f t="shared" si="112"/>
        <v>4</v>
      </c>
      <c r="E1651">
        <f t="shared" si="113"/>
        <v>9</v>
      </c>
      <c r="F1651">
        <f t="shared" si="114"/>
        <v>2024</v>
      </c>
      <c r="G1651" t="s">
        <v>89</v>
      </c>
      <c r="H1651" s="98">
        <v>11152</v>
      </c>
      <c r="I1651" s="29">
        <v>77</v>
      </c>
      <c r="J1651" s="12" t="s">
        <v>31</v>
      </c>
      <c r="K1651" s="76">
        <f t="shared" si="115"/>
        <v>77</v>
      </c>
      <c r="L1651">
        <v>1</v>
      </c>
      <c r="M1651" s="29">
        <v>0</v>
      </c>
      <c r="N1651" t="s">
        <v>42</v>
      </c>
      <c r="O1651" t="s">
        <v>33</v>
      </c>
      <c r="P1651" t="s">
        <v>34</v>
      </c>
      <c r="Q1651" t="s">
        <v>34</v>
      </c>
      <c r="R1651" t="s">
        <v>34</v>
      </c>
      <c r="S1651" t="s">
        <v>34</v>
      </c>
      <c r="T1651" s="117">
        <v>0</v>
      </c>
    </row>
    <row r="1652" spans="1:21" x14ac:dyDescent="0.35">
      <c r="A1652" t="s">
        <v>20</v>
      </c>
      <c r="B1652" t="s">
        <v>25</v>
      </c>
      <c r="C1652" s="1">
        <v>45539</v>
      </c>
      <c r="D1652">
        <f t="shared" si="112"/>
        <v>4</v>
      </c>
      <c r="E1652">
        <f t="shared" si="113"/>
        <v>9</v>
      </c>
      <c r="F1652">
        <f t="shared" si="114"/>
        <v>2024</v>
      </c>
      <c r="G1652" t="s">
        <v>89</v>
      </c>
      <c r="H1652" s="98">
        <v>11153</v>
      </c>
      <c r="I1652" s="29">
        <v>924</v>
      </c>
      <c r="J1652" s="12" t="s">
        <v>31</v>
      </c>
      <c r="K1652" s="76">
        <f t="shared" si="115"/>
        <v>924</v>
      </c>
      <c r="L1652">
        <v>1</v>
      </c>
      <c r="M1652" s="29">
        <v>0</v>
      </c>
      <c r="N1652" t="s">
        <v>42</v>
      </c>
      <c r="O1652" t="s">
        <v>33</v>
      </c>
      <c r="P1652" t="s">
        <v>34</v>
      </c>
      <c r="Q1652" t="s">
        <v>34</v>
      </c>
      <c r="R1652" t="s">
        <v>34</v>
      </c>
      <c r="S1652" t="s">
        <v>34</v>
      </c>
      <c r="T1652" s="117">
        <v>0</v>
      </c>
    </row>
    <row r="1653" spans="1:21" x14ac:dyDescent="0.35">
      <c r="A1653" t="s">
        <v>20</v>
      </c>
      <c r="B1653" t="s">
        <v>23</v>
      </c>
      <c r="C1653" s="1">
        <v>45539</v>
      </c>
      <c r="D1653">
        <f t="shared" si="112"/>
        <v>4</v>
      </c>
      <c r="E1653">
        <f t="shared" si="113"/>
        <v>9</v>
      </c>
      <c r="F1653">
        <f t="shared" si="114"/>
        <v>2024</v>
      </c>
      <c r="G1653" t="s">
        <v>89</v>
      </c>
      <c r="H1653" s="98">
        <v>11146</v>
      </c>
      <c r="I1653" s="29">
        <v>39.799999999999997</v>
      </c>
      <c r="J1653" s="12" t="s">
        <v>31</v>
      </c>
      <c r="K1653" s="76">
        <f t="shared" si="115"/>
        <v>39.799999999999997</v>
      </c>
      <c r="L1653">
        <v>1</v>
      </c>
      <c r="M1653" s="29">
        <v>0</v>
      </c>
      <c r="N1653" t="s">
        <v>42</v>
      </c>
      <c r="O1653" t="s">
        <v>33</v>
      </c>
      <c r="P1653" t="s">
        <v>34</v>
      </c>
      <c r="Q1653" t="s">
        <v>34</v>
      </c>
      <c r="R1653" t="s">
        <v>34</v>
      </c>
      <c r="S1653" t="s">
        <v>34</v>
      </c>
      <c r="T1653" s="117">
        <v>0</v>
      </c>
    </row>
    <row r="1654" spans="1:21" x14ac:dyDescent="0.35">
      <c r="A1654" t="s">
        <v>20</v>
      </c>
      <c r="B1654" t="s">
        <v>23</v>
      </c>
      <c r="C1654" s="1">
        <v>45539</v>
      </c>
      <c r="D1654">
        <f t="shared" si="112"/>
        <v>4</v>
      </c>
      <c r="E1654">
        <f t="shared" si="113"/>
        <v>9</v>
      </c>
      <c r="F1654">
        <f t="shared" si="114"/>
        <v>2024</v>
      </c>
      <c r="G1654" t="s">
        <v>89</v>
      </c>
      <c r="H1654" s="98">
        <v>11147</v>
      </c>
      <c r="I1654" s="29">
        <v>1910.4</v>
      </c>
      <c r="J1654" s="12" t="s">
        <v>31</v>
      </c>
      <c r="K1654" s="76">
        <f t="shared" si="115"/>
        <v>1910.4</v>
      </c>
      <c r="L1654">
        <v>1</v>
      </c>
      <c r="M1654" s="29">
        <v>0</v>
      </c>
      <c r="N1654" t="s">
        <v>42</v>
      </c>
      <c r="O1654" t="s">
        <v>33</v>
      </c>
      <c r="P1654" t="s">
        <v>34</v>
      </c>
      <c r="Q1654" t="s">
        <v>34</v>
      </c>
      <c r="R1654" t="s">
        <v>34</v>
      </c>
      <c r="S1654" t="s">
        <v>34</v>
      </c>
      <c r="T1654" s="117">
        <v>0</v>
      </c>
    </row>
    <row r="1655" spans="1:21" x14ac:dyDescent="0.35">
      <c r="A1655" t="s">
        <v>20</v>
      </c>
      <c r="B1655" t="s">
        <v>21</v>
      </c>
      <c r="C1655" s="1">
        <v>45539</v>
      </c>
      <c r="D1655">
        <f t="shared" si="112"/>
        <v>4</v>
      </c>
      <c r="E1655">
        <f t="shared" si="113"/>
        <v>9</v>
      </c>
      <c r="F1655">
        <f t="shared" si="114"/>
        <v>2024</v>
      </c>
      <c r="G1655" t="s">
        <v>118</v>
      </c>
      <c r="H1655" s="98">
        <v>11154</v>
      </c>
      <c r="I1655" s="29">
        <v>529.6</v>
      </c>
      <c r="J1655" s="12" t="s">
        <v>31</v>
      </c>
      <c r="K1655" s="76">
        <f t="shared" si="115"/>
        <v>529.6</v>
      </c>
      <c r="L1655">
        <v>1</v>
      </c>
      <c r="M1655" s="29">
        <v>0</v>
      </c>
      <c r="N1655" t="s">
        <v>42</v>
      </c>
      <c r="O1655" t="s">
        <v>33</v>
      </c>
      <c r="P1655" t="s">
        <v>34</v>
      </c>
      <c r="Q1655" t="s">
        <v>34</v>
      </c>
      <c r="R1655" t="s">
        <v>34</v>
      </c>
      <c r="S1655" t="s">
        <v>34</v>
      </c>
      <c r="T1655" s="117">
        <v>0</v>
      </c>
    </row>
    <row r="1656" spans="1:21" x14ac:dyDescent="0.35">
      <c r="A1656" t="s">
        <v>20</v>
      </c>
      <c r="B1656" t="s">
        <v>21</v>
      </c>
      <c r="C1656" s="1">
        <v>45539</v>
      </c>
      <c r="D1656">
        <f t="shared" si="112"/>
        <v>4</v>
      </c>
      <c r="E1656">
        <f t="shared" si="113"/>
        <v>9</v>
      </c>
      <c r="F1656">
        <f t="shared" si="114"/>
        <v>2024</v>
      </c>
      <c r="G1656" t="s">
        <v>118</v>
      </c>
      <c r="H1656" s="98">
        <v>11155</v>
      </c>
      <c r="I1656" s="29">
        <v>10784.13</v>
      </c>
      <c r="J1656" s="12" t="s">
        <v>31</v>
      </c>
      <c r="K1656" s="76">
        <f t="shared" si="115"/>
        <v>10784.13</v>
      </c>
      <c r="L1656">
        <v>1</v>
      </c>
      <c r="M1656" s="29">
        <v>0</v>
      </c>
      <c r="N1656" t="s">
        <v>42</v>
      </c>
      <c r="O1656" t="s">
        <v>33</v>
      </c>
      <c r="P1656" t="s">
        <v>34</v>
      </c>
      <c r="Q1656" t="s">
        <v>34</v>
      </c>
      <c r="R1656" t="s">
        <v>34</v>
      </c>
      <c r="S1656" t="s">
        <v>34</v>
      </c>
      <c r="T1656" s="117">
        <v>0</v>
      </c>
    </row>
    <row r="1657" spans="1:21" x14ac:dyDescent="0.35">
      <c r="A1657" t="s">
        <v>20</v>
      </c>
      <c r="B1657" t="s">
        <v>21</v>
      </c>
      <c r="C1657" s="1">
        <v>45539</v>
      </c>
      <c r="D1657">
        <f t="shared" si="112"/>
        <v>4</v>
      </c>
      <c r="E1657">
        <f t="shared" si="113"/>
        <v>9</v>
      </c>
      <c r="F1657">
        <f t="shared" si="114"/>
        <v>2024</v>
      </c>
      <c r="G1657" t="s">
        <v>118</v>
      </c>
      <c r="H1657" s="98">
        <v>11156</v>
      </c>
      <c r="I1657" s="29">
        <v>39.6</v>
      </c>
      <c r="J1657" s="12" t="s">
        <v>31</v>
      </c>
      <c r="K1657" s="76">
        <f t="shared" si="115"/>
        <v>39.6</v>
      </c>
      <c r="L1657">
        <v>1</v>
      </c>
      <c r="M1657" s="29">
        <v>0</v>
      </c>
      <c r="N1657" t="s">
        <v>42</v>
      </c>
      <c r="O1657" t="s">
        <v>33</v>
      </c>
      <c r="P1657" t="s">
        <v>34</v>
      </c>
      <c r="Q1657" t="s">
        <v>34</v>
      </c>
      <c r="R1657" t="s">
        <v>34</v>
      </c>
      <c r="S1657" t="s">
        <v>34</v>
      </c>
      <c r="T1657" s="117">
        <v>0</v>
      </c>
    </row>
    <row r="1658" spans="1:21" x14ac:dyDescent="0.35">
      <c r="A1658" t="s">
        <v>20</v>
      </c>
      <c r="B1658" t="s">
        <v>21</v>
      </c>
      <c r="C1658" s="1">
        <v>45539</v>
      </c>
      <c r="D1658">
        <f t="shared" si="112"/>
        <v>4</v>
      </c>
      <c r="E1658">
        <f t="shared" si="113"/>
        <v>9</v>
      </c>
      <c r="F1658">
        <f t="shared" si="114"/>
        <v>2024</v>
      </c>
      <c r="G1658" t="s">
        <v>118</v>
      </c>
      <c r="H1658" s="98">
        <v>11155</v>
      </c>
      <c r="I1658" s="29">
        <v>681.91</v>
      </c>
      <c r="J1658" s="12" t="s">
        <v>31</v>
      </c>
      <c r="K1658" s="76">
        <f t="shared" si="115"/>
        <v>681.91</v>
      </c>
      <c r="L1658">
        <v>1</v>
      </c>
      <c r="M1658" s="29">
        <v>0</v>
      </c>
      <c r="N1658" t="s">
        <v>42</v>
      </c>
      <c r="O1658" t="s">
        <v>33</v>
      </c>
      <c r="P1658" t="s">
        <v>34</v>
      </c>
      <c r="Q1658" t="s">
        <v>34</v>
      </c>
      <c r="R1658" t="s">
        <v>34</v>
      </c>
      <c r="S1658" t="s">
        <v>34</v>
      </c>
      <c r="T1658" s="117">
        <v>0</v>
      </c>
      <c r="U1658" s="209" t="s">
        <v>651</v>
      </c>
    </row>
    <row r="1659" spans="1:21" x14ac:dyDescent="0.35">
      <c r="A1659" t="s">
        <v>20</v>
      </c>
      <c r="B1659" t="s">
        <v>21</v>
      </c>
      <c r="C1659" s="1">
        <v>45539</v>
      </c>
      <c r="D1659">
        <f t="shared" si="112"/>
        <v>4</v>
      </c>
      <c r="E1659">
        <f t="shared" si="113"/>
        <v>9</v>
      </c>
      <c r="F1659">
        <f t="shared" si="114"/>
        <v>2024</v>
      </c>
      <c r="G1659" t="s">
        <v>46</v>
      </c>
      <c r="H1659" s="98">
        <v>11158</v>
      </c>
      <c r="I1659" s="29">
        <v>59</v>
      </c>
      <c r="J1659" s="12" t="s">
        <v>31</v>
      </c>
      <c r="K1659" s="76">
        <f t="shared" si="115"/>
        <v>59</v>
      </c>
      <c r="L1659">
        <v>1</v>
      </c>
      <c r="M1659" s="29">
        <v>0</v>
      </c>
      <c r="N1659" t="s">
        <v>42</v>
      </c>
      <c r="O1659" t="s">
        <v>33</v>
      </c>
      <c r="P1659" t="s">
        <v>34</v>
      </c>
      <c r="Q1659" t="s">
        <v>34</v>
      </c>
      <c r="R1659" t="s">
        <v>34</v>
      </c>
      <c r="S1659" t="s">
        <v>34</v>
      </c>
      <c r="T1659" s="117">
        <v>0</v>
      </c>
    </row>
    <row r="1660" spans="1:21" x14ac:dyDescent="0.35">
      <c r="A1660" t="s">
        <v>20</v>
      </c>
      <c r="B1660" t="s">
        <v>21</v>
      </c>
      <c r="C1660" s="1">
        <v>45539</v>
      </c>
      <c r="D1660">
        <f t="shared" si="112"/>
        <v>4</v>
      </c>
      <c r="E1660">
        <f t="shared" si="113"/>
        <v>9</v>
      </c>
      <c r="F1660">
        <f t="shared" si="114"/>
        <v>2024</v>
      </c>
      <c r="G1660" t="s">
        <v>46</v>
      </c>
      <c r="H1660" s="98">
        <v>11217</v>
      </c>
      <c r="I1660" s="29">
        <v>910.37</v>
      </c>
      <c r="J1660" s="12" t="s">
        <v>31</v>
      </c>
      <c r="K1660" s="76">
        <f t="shared" si="115"/>
        <v>910.37</v>
      </c>
      <c r="L1660">
        <v>1</v>
      </c>
      <c r="M1660" s="29">
        <v>0</v>
      </c>
      <c r="N1660" t="s">
        <v>42</v>
      </c>
      <c r="O1660" t="s">
        <v>33</v>
      </c>
      <c r="P1660" t="s">
        <v>34</v>
      </c>
      <c r="Q1660" t="s">
        <v>34</v>
      </c>
      <c r="R1660" t="s">
        <v>34</v>
      </c>
      <c r="S1660" t="s">
        <v>34</v>
      </c>
      <c r="T1660" s="117">
        <v>0</v>
      </c>
      <c r="U1660" s="209" t="s">
        <v>652</v>
      </c>
    </row>
    <row r="1661" spans="1:21" x14ac:dyDescent="0.35">
      <c r="A1661" t="s">
        <v>20</v>
      </c>
      <c r="B1661" t="s">
        <v>25</v>
      </c>
      <c r="C1661" s="1">
        <v>45539</v>
      </c>
      <c r="D1661">
        <f t="shared" si="112"/>
        <v>4</v>
      </c>
      <c r="E1661">
        <f t="shared" si="113"/>
        <v>9</v>
      </c>
      <c r="F1661">
        <f t="shared" si="114"/>
        <v>2024</v>
      </c>
      <c r="G1661" t="s">
        <v>46</v>
      </c>
      <c r="H1661" s="98">
        <v>11150</v>
      </c>
      <c r="I1661" s="29">
        <v>152</v>
      </c>
      <c r="J1661" s="12" t="s">
        <v>31</v>
      </c>
      <c r="K1661" s="76">
        <f t="shared" si="115"/>
        <v>152</v>
      </c>
      <c r="L1661">
        <v>1</v>
      </c>
      <c r="M1661" s="29">
        <v>0</v>
      </c>
      <c r="N1661" t="s">
        <v>42</v>
      </c>
      <c r="O1661" t="s">
        <v>33</v>
      </c>
      <c r="P1661" t="s">
        <v>34</v>
      </c>
      <c r="Q1661" t="s">
        <v>34</v>
      </c>
      <c r="R1661" t="s">
        <v>34</v>
      </c>
      <c r="S1661" t="s">
        <v>34</v>
      </c>
      <c r="T1661" s="117">
        <v>0</v>
      </c>
    </row>
    <row r="1662" spans="1:21" x14ac:dyDescent="0.35">
      <c r="A1662" t="s">
        <v>20</v>
      </c>
      <c r="B1662" t="s">
        <v>25</v>
      </c>
      <c r="C1662" s="1">
        <v>45539</v>
      </c>
      <c r="D1662">
        <f t="shared" si="112"/>
        <v>4</v>
      </c>
      <c r="E1662">
        <f t="shared" si="113"/>
        <v>9</v>
      </c>
      <c r="F1662">
        <f t="shared" si="114"/>
        <v>2024</v>
      </c>
      <c r="G1662" t="s">
        <v>46</v>
      </c>
      <c r="H1662" s="98">
        <v>11151</v>
      </c>
      <c r="I1662" s="29">
        <v>1599.6</v>
      </c>
      <c r="J1662" s="12" t="s">
        <v>31</v>
      </c>
      <c r="K1662" s="76">
        <f t="shared" si="115"/>
        <v>1599.6</v>
      </c>
      <c r="L1662">
        <v>1</v>
      </c>
      <c r="M1662" s="29">
        <v>0</v>
      </c>
      <c r="N1662" t="s">
        <v>42</v>
      </c>
      <c r="O1662" t="s">
        <v>33</v>
      </c>
      <c r="P1662" t="s">
        <v>34</v>
      </c>
      <c r="Q1662" t="s">
        <v>34</v>
      </c>
      <c r="R1662" t="s">
        <v>34</v>
      </c>
      <c r="S1662" t="s">
        <v>34</v>
      </c>
      <c r="T1662" s="117">
        <v>0</v>
      </c>
    </row>
    <row r="1663" spans="1:21" x14ac:dyDescent="0.35">
      <c r="A1663" t="s">
        <v>19</v>
      </c>
      <c r="B1663" t="s">
        <v>19</v>
      </c>
      <c r="C1663" s="1">
        <v>45539</v>
      </c>
      <c r="D1663">
        <f t="shared" si="112"/>
        <v>4</v>
      </c>
      <c r="E1663">
        <f t="shared" si="113"/>
        <v>9</v>
      </c>
      <c r="F1663">
        <f t="shared" si="114"/>
        <v>2024</v>
      </c>
      <c r="G1663" t="s">
        <v>58</v>
      </c>
      <c r="H1663" s="98" t="s">
        <v>492</v>
      </c>
      <c r="I1663" s="29">
        <v>91066.01</v>
      </c>
      <c r="J1663" s="12" t="s">
        <v>31</v>
      </c>
      <c r="K1663" s="76">
        <f t="shared" si="115"/>
        <v>91066.01</v>
      </c>
      <c r="L1663">
        <v>1</v>
      </c>
      <c r="M1663" s="29">
        <v>0</v>
      </c>
      <c r="N1663" t="s">
        <v>32</v>
      </c>
      <c r="O1663" t="s">
        <v>33</v>
      </c>
      <c r="P1663" t="s">
        <v>34</v>
      </c>
      <c r="Q1663" t="s">
        <v>34</v>
      </c>
      <c r="R1663" t="s">
        <v>34</v>
      </c>
      <c r="S1663" t="s">
        <v>34</v>
      </c>
      <c r="T1663" s="117">
        <v>1628.18</v>
      </c>
    </row>
    <row r="1664" spans="1:21" x14ac:dyDescent="0.35">
      <c r="A1664" t="s">
        <v>19</v>
      </c>
      <c r="B1664" t="s">
        <v>19</v>
      </c>
      <c r="C1664" s="1">
        <v>45539</v>
      </c>
      <c r="D1664">
        <f t="shared" si="112"/>
        <v>4</v>
      </c>
      <c r="E1664">
        <f t="shared" si="113"/>
        <v>9</v>
      </c>
      <c r="F1664">
        <f t="shared" si="114"/>
        <v>2024</v>
      </c>
      <c r="G1664" t="s">
        <v>59</v>
      </c>
      <c r="H1664" s="98" t="s">
        <v>493</v>
      </c>
      <c r="I1664" s="29">
        <v>105469.03</v>
      </c>
      <c r="J1664" s="12" t="s">
        <v>31</v>
      </c>
      <c r="K1664" s="76">
        <f t="shared" si="115"/>
        <v>105469.03</v>
      </c>
      <c r="L1664">
        <v>1</v>
      </c>
      <c r="M1664" s="29">
        <v>0</v>
      </c>
      <c r="N1664" t="s">
        <v>32</v>
      </c>
      <c r="O1664" t="s">
        <v>33</v>
      </c>
      <c r="P1664" t="s">
        <v>34</v>
      </c>
      <c r="Q1664" t="s">
        <v>34</v>
      </c>
      <c r="R1664" t="s">
        <v>34</v>
      </c>
      <c r="S1664" t="s">
        <v>34</v>
      </c>
      <c r="T1664" s="117">
        <v>0</v>
      </c>
    </row>
    <row r="1665" spans="1:21" x14ac:dyDescent="0.35">
      <c r="A1665" t="s">
        <v>19</v>
      </c>
      <c r="B1665" t="s">
        <v>19</v>
      </c>
      <c r="C1665" s="1">
        <v>45539</v>
      </c>
      <c r="D1665">
        <f t="shared" si="112"/>
        <v>4</v>
      </c>
      <c r="E1665">
        <f t="shared" si="113"/>
        <v>9</v>
      </c>
      <c r="F1665">
        <f t="shared" si="114"/>
        <v>2024</v>
      </c>
      <c r="G1665" t="s">
        <v>129</v>
      </c>
      <c r="H1665" s="98" t="s">
        <v>494</v>
      </c>
      <c r="I1665" s="29">
        <v>100000</v>
      </c>
      <c r="J1665" s="12" t="s">
        <v>31</v>
      </c>
      <c r="K1665" s="76">
        <f t="shared" si="115"/>
        <v>100000</v>
      </c>
      <c r="L1665">
        <v>1</v>
      </c>
      <c r="M1665" s="29">
        <v>0</v>
      </c>
      <c r="N1665" t="s">
        <v>32</v>
      </c>
      <c r="O1665" t="s">
        <v>33</v>
      </c>
      <c r="P1665" t="s">
        <v>34</v>
      </c>
      <c r="Q1665" t="s">
        <v>34</v>
      </c>
      <c r="R1665" t="s">
        <v>34</v>
      </c>
      <c r="S1665" t="s">
        <v>34</v>
      </c>
      <c r="T1665" s="117">
        <v>0</v>
      </c>
    </row>
    <row r="1666" spans="1:21" x14ac:dyDescent="0.35">
      <c r="A1666" t="s">
        <v>19</v>
      </c>
      <c r="B1666" t="s">
        <v>19</v>
      </c>
      <c r="C1666" s="1">
        <v>45539</v>
      </c>
      <c r="D1666">
        <f t="shared" ref="D1666:D1729" si="116">DAY(C1666)</f>
        <v>4</v>
      </c>
      <c r="E1666">
        <f t="shared" ref="E1666:E1729" si="117">MONTH(C1666)</f>
        <v>9</v>
      </c>
      <c r="F1666">
        <f t="shared" ref="F1666:F1729" si="118">YEAR(C1666)</f>
        <v>2024</v>
      </c>
      <c r="G1666" t="s">
        <v>90</v>
      </c>
      <c r="H1666" s="98" t="s">
        <v>495</v>
      </c>
      <c r="I1666" s="29">
        <v>100000</v>
      </c>
      <c r="J1666" s="12" t="s">
        <v>31</v>
      </c>
      <c r="K1666" s="76">
        <f t="shared" si="115"/>
        <v>100000</v>
      </c>
      <c r="L1666">
        <v>1</v>
      </c>
      <c r="M1666" s="29">
        <v>0</v>
      </c>
      <c r="N1666" t="s">
        <v>32</v>
      </c>
      <c r="O1666" t="s">
        <v>33</v>
      </c>
      <c r="P1666" t="s">
        <v>34</v>
      </c>
      <c r="Q1666" t="s">
        <v>34</v>
      </c>
      <c r="R1666" t="s">
        <v>34</v>
      </c>
      <c r="S1666" t="s">
        <v>34</v>
      </c>
      <c r="T1666" s="117">
        <v>0</v>
      </c>
    </row>
    <row r="1667" spans="1:21" x14ac:dyDescent="0.35">
      <c r="A1667" t="s">
        <v>19</v>
      </c>
      <c r="B1667" t="s">
        <v>19</v>
      </c>
      <c r="C1667" s="1">
        <v>45539</v>
      </c>
      <c r="D1667">
        <f t="shared" si="116"/>
        <v>4</v>
      </c>
      <c r="E1667">
        <f t="shared" si="117"/>
        <v>9</v>
      </c>
      <c r="F1667">
        <f t="shared" si="118"/>
        <v>2024</v>
      </c>
      <c r="G1667" t="s">
        <v>57</v>
      </c>
      <c r="H1667" s="171" t="s">
        <v>496</v>
      </c>
      <c r="I1667" s="90">
        <v>114472.27</v>
      </c>
      <c r="J1667" s="12" t="s">
        <v>31</v>
      </c>
      <c r="K1667" s="76">
        <f t="shared" si="115"/>
        <v>114472.27</v>
      </c>
      <c r="L1667">
        <v>1</v>
      </c>
      <c r="M1667" s="29">
        <v>0</v>
      </c>
      <c r="N1667" t="s">
        <v>32</v>
      </c>
      <c r="O1667" t="s">
        <v>33</v>
      </c>
      <c r="P1667" t="s">
        <v>34</v>
      </c>
      <c r="Q1667" t="s">
        <v>34</v>
      </c>
      <c r="R1667" t="s">
        <v>34</v>
      </c>
      <c r="S1667" t="s">
        <v>34</v>
      </c>
      <c r="T1667" s="117">
        <v>0</v>
      </c>
    </row>
    <row r="1668" spans="1:21" x14ac:dyDescent="0.35">
      <c r="A1668" t="s">
        <v>19</v>
      </c>
      <c r="B1668" t="s">
        <v>19</v>
      </c>
      <c r="C1668" s="1">
        <v>45539</v>
      </c>
      <c r="D1668">
        <f t="shared" si="116"/>
        <v>4</v>
      </c>
      <c r="E1668">
        <f t="shared" si="117"/>
        <v>9</v>
      </c>
      <c r="F1668">
        <f t="shared" si="118"/>
        <v>2024</v>
      </c>
      <c r="G1668" t="s">
        <v>54</v>
      </c>
      <c r="H1668" s="98" t="s">
        <v>497</v>
      </c>
      <c r="I1668" s="29">
        <v>112121.86</v>
      </c>
      <c r="J1668" s="12" t="s">
        <v>31</v>
      </c>
      <c r="K1668" s="76">
        <f t="shared" si="115"/>
        <v>112121.86</v>
      </c>
      <c r="L1668">
        <v>1</v>
      </c>
      <c r="M1668" s="29">
        <v>0</v>
      </c>
      <c r="N1668" t="s">
        <v>32</v>
      </c>
      <c r="O1668" t="s">
        <v>33</v>
      </c>
      <c r="P1668" t="s">
        <v>34</v>
      </c>
      <c r="Q1668" t="s">
        <v>34</v>
      </c>
      <c r="R1668" t="s">
        <v>34</v>
      </c>
      <c r="S1668" t="s">
        <v>34</v>
      </c>
      <c r="T1668" s="117">
        <v>0</v>
      </c>
    </row>
    <row r="1669" spans="1:21" x14ac:dyDescent="0.35">
      <c r="A1669" t="s">
        <v>19</v>
      </c>
      <c r="B1669" t="s">
        <v>19</v>
      </c>
      <c r="C1669" s="1">
        <v>45539</v>
      </c>
      <c r="D1669">
        <f t="shared" si="116"/>
        <v>4</v>
      </c>
      <c r="E1669">
        <f t="shared" si="117"/>
        <v>9</v>
      </c>
      <c r="F1669">
        <f t="shared" si="118"/>
        <v>2024</v>
      </c>
      <c r="G1669" t="s">
        <v>56</v>
      </c>
      <c r="H1669" s="98" t="s">
        <v>498</v>
      </c>
      <c r="I1669" s="29">
        <v>86233.85</v>
      </c>
      <c r="J1669" s="12" t="s">
        <v>31</v>
      </c>
      <c r="K1669" s="76">
        <f t="shared" si="115"/>
        <v>86233.85</v>
      </c>
      <c r="L1669">
        <v>1</v>
      </c>
      <c r="M1669" s="29">
        <v>0</v>
      </c>
      <c r="N1669" t="s">
        <v>32</v>
      </c>
      <c r="O1669" t="s">
        <v>33</v>
      </c>
      <c r="P1669" t="s">
        <v>34</v>
      </c>
      <c r="Q1669" t="s">
        <v>34</v>
      </c>
      <c r="R1669" t="s">
        <v>34</v>
      </c>
      <c r="S1669" t="s">
        <v>34</v>
      </c>
      <c r="T1669" s="117">
        <v>0</v>
      </c>
    </row>
    <row r="1670" spans="1:21" x14ac:dyDescent="0.35">
      <c r="A1670" t="s">
        <v>19</v>
      </c>
      <c r="B1670" t="s">
        <v>19</v>
      </c>
      <c r="C1670" s="1">
        <v>45539</v>
      </c>
      <c r="D1670">
        <f t="shared" si="116"/>
        <v>4</v>
      </c>
      <c r="E1670">
        <f t="shared" si="117"/>
        <v>9</v>
      </c>
      <c r="F1670">
        <f t="shared" si="118"/>
        <v>2024</v>
      </c>
      <c r="G1670" t="s">
        <v>56</v>
      </c>
      <c r="H1670" s="98" t="s">
        <v>499</v>
      </c>
      <c r="I1670" s="29">
        <v>74530.539999999994</v>
      </c>
      <c r="J1670" s="12" t="s">
        <v>31</v>
      </c>
      <c r="K1670" s="76">
        <f t="shared" si="115"/>
        <v>74530.539999999994</v>
      </c>
      <c r="L1670">
        <v>1</v>
      </c>
      <c r="M1670" s="29">
        <v>0</v>
      </c>
      <c r="N1670" t="s">
        <v>32</v>
      </c>
      <c r="O1670" t="s">
        <v>33</v>
      </c>
      <c r="P1670" t="s">
        <v>34</v>
      </c>
      <c r="Q1670" t="s">
        <v>34</v>
      </c>
      <c r="R1670" t="s">
        <v>34</v>
      </c>
      <c r="S1670" t="s">
        <v>34</v>
      </c>
      <c r="T1670" s="117">
        <v>0</v>
      </c>
    </row>
    <row r="1671" spans="1:21" x14ac:dyDescent="0.35">
      <c r="A1671" t="s">
        <v>19</v>
      </c>
      <c r="B1671" t="s">
        <v>19</v>
      </c>
      <c r="C1671" s="1">
        <v>45539</v>
      </c>
      <c r="D1671">
        <f t="shared" si="116"/>
        <v>4</v>
      </c>
      <c r="E1671">
        <f t="shared" si="117"/>
        <v>9</v>
      </c>
      <c r="F1671">
        <f t="shared" si="118"/>
        <v>2024</v>
      </c>
      <c r="G1671" t="s">
        <v>127</v>
      </c>
      <c r="H1671" s="98" t="s">
        <v>377</v>
      </c>
      <c r="I1671" s="29">
        <v>16349.44</v>
      </c>
      <c r="J1671" s="12" t="s">
        <v>31</v>
      </c>
      <c r="K1671" s="76">
        <f t="shared" si="115"/>
        <v>16349.44</v>
      </c>
      <c r="L1671">
        <v>1</v>
      </c>
      <c r="M1671" s="29">
        <v>0</v>
      </c>
      <c r="N1671" t="s">
        <v>32</v>
      </c>
      <c r="O1671" t="s">
        <v>33</v>
      </c>
      <c r="P1671" t="s">
        <v>34</v>
      </c>
      <c r="Q1671" t="s">
        <v>34</v>
      </c>
      <c r="R1671" t="s">
        <v>34</v>
      </c>
      <c r="S1671" t="s">
        <v>34</v>
      </c>
      <c r="T1671" s="117">
        <v>0</v>
      </c>
    </row>
    <row r="1672" spans="1:21" x14ac:dyDescent="0.35">
      <c r="A1672" t="s">
        <v>19</v>
      </c>
      <c r="B1672" t="s">
        <v>19</v>
      </c>
      <c r="C1672" s="1">
        <v>45539</v>
      </c>
      <c r="D1672">
        <f t="shared" si="116"/>
        <v>4</v>
      </c>
      <c r="E1672">
        <f t="shared" si="117"/>
        <v>9</v>
      </c>
      <c r="F1672">
        <f t="shared" si="118"/>
        <v>2024</v>
      </c>
      <c r="G1672" t="s">
        <v>264</v>
      </c>
      <c r="H1672" s="98" t="s">
        <v>375</v>
      </c>
      <c r="I1672" s="29">
        <v>28025.85</v>
      </c>
      <c r="J1672" s="12" t="s">
        <v>31</v>
      </c>
      <c r="K1672" s="76">
        <f t="shared" si="115"/>
        <v>28025.85</v>
      </c>
      <c r="L1672">
        <v>1</v>
      </c>
      <c r="M1672" s="29">
        <v>0</v>
      </c>
      <c r="N1672" t="s">
        <v>32</v>
      </c>
      <c r="O1672" t="s">
        <v>33</v>
      </c>
      <c r="P1672" t="s">
        <v>34</v>
      </c>
      <c r="Q1672" t="s">
        <v>34</v>
      </c>
      <c r="R1672" t="s">
        <v>34</v>
      </c>
      <c r="S1672" t="s">
        <v>34</v>
      </c>
      <c r="T1672" s="117">
        <v>0</v>
      </c>
    </row>
    <row r="1673" spans="1:21" x14ac:dyDescent="0.35">
      <c r="A1673" t="s">
        <v>20</v>
      </c>
      <c r="B1673" t="s">
        <v>223</v>
      </c>
      <c r="C1673" s="1">
        <v>45540</v>
      </c>
      <c r="D1673">
        <f t="shared" si="116"/>
        <v>5</v>
      </c>
      <c r="E1673">
        <f t="shared" si="117"/>
        <v>9</v>
      </c>
      <c r="F1673">
        <f t="shared" si="118"/>
        <v>2024</v>
      </c>
      <c r="G1673" t="s">
        <v>223</v>
      </c>
      <c r="H1673" s="98">
        <v>10795</v>
      </c>
      <c r="I1673" s="29">
        <v>31069.7</v>
      </c>
      <c r="J1673" s="12" t="s">
        <v>51</v>
      </c>
      <c r="K1673" s="76">
        <f t="shared" si="115"/>
        <v>34481.153059999997</v>
      </c>
      <c r="L1673">
        <v>1.1097999999999999</v>
      </c>
      <c r="M1673" s="29">
        <v>0</v>
      </c>
      <c r="N1673" t="s">
        <v>32</v>
      </c>
      <c r="O1673" t="s">
        <v>186</v>
      </c>
      <c r="P1673" s="1">
        <v>45539</v>
      </c>
      <c r="Q1673" t="s">
        <v>34</v>
      </c>
      <c r="R1673">
        <v>10010014706</v>
      </c>
      <c r="S1673" t="s">
        <v>34</v>
      </c>
      <c r="T1673" s="117">
        <v>0</v>
      </c>
    </row>
    <row r="1674" spans="1:21" x14ac:dyDescent="0.35">
      <c r="A1674" t="s">
        <v>20</v>
      </c>
      <c r="B1674" t="s">
        <v>25</v>
      </c>
      <c r="C1674" s="1">
        <v>45540</v>
      </c>
      <c r="D1674">
        <f t="shared" si="116"/>
        <v>5</v>
      </c>
      <c r="E1674">
        <f t="shared" si="117"/>
        <v>9</v>
      </c>
      <c r="F1674">
        <f t="shared" si="118"/>
        <v>2024</v>
      </c>
      <c r="G1674" t="s">
        <v>442</v>
      </c>
      <c r="H1674" s="98">
        <v>11040</v>
      </c>
      <c r="I1674" s="29">
        <v>263.2</v>
      </c>
      <c r="J1674" s="12" t="s">
        <v>51</v>
      </c>
      <c r="K1674" s="76">
        <f t="shared" si="115"/>
        <v>293.17999997999999</v>
      </c>
      <c r="L1674" s="2">
        <v>1.1139057750000001</v>
      </c>
      <c r="M1674" s="29">
        <v>0</v>
      </c>
      <c r="N1674" t="s">
        <v>32</v>
      </c>
      <c r="O1674" t="s">
        <v>33</v>
      </c>
      <c r="P1674" t="s">
        <v>34</v>
      </c>
      <c r="Q1674" t="s">
        <v>34</v>
      </c>
      <c r="R1674" t="s">
        <v>34</v>
      </c>
      <c r="S1674" t="s">
        <v>34</v>
      </c>
      <c r="T1674" s="117">
        <v>0</v>
      </c>
    </row>
    <row r="1675" spans="1:21" x14ac:dyDescent="0.35">
      <c r="A1675" t="s">
        <v>19</v>
      </c>
      <c r="B1675" t="s">
        <v>26</v>
      </c>
      <c r="C1675" s="1">
        <v>45540</v>
      </c>
      <c r="D1675">
        <f t="shared" si="116"/>
        <v>5</v>
      </c>
      <c r="E1675">
        <f t="shared" si="117"/>
        <v>9</v>
      </c>
      <c r="F1675">
        <f t="shared" si="118"/>
        <v>2024</v>
      </c>
      <c r="G1675" t="s">
        <v>73</v>
      </c>
      <c r="H1675" s="98">
        <v>11107</v>
      </c>
      <c r="I1675" s="29">
        <v>49700.74</v>
      </c>
      <c r="J1675" s="12" t="s">
        <v>51</v>
      </c>
      <c r="K1675" s="76">
        <f t="shared" si="115"/>
        <v>55157.881251999992</v>
      </c>
      <c r="L1675">
        <v>1.1097999999999999</v>
      </c>
      <c r="M1675" s="29">
        <v>0</v>
      </c>
      <c r="N1675" t="s">
        <v>32</v>
      </c>
      <c r="O1675" t="s">
        <v>33</v>
      </c>
      <c r="P1675" t="s">
        <v>34</v>
      </c>
      <c r="Q1675" t="s">
        <v>34</v>
      </c>
      <c r="R1675" t="s">
        <v>34</v>
      </c>
      <c r="S1675" t="s">
        <v>34</v>
      </c>
      <c r="T1675" s="117">
        <v>0</v>
      </c>
      <c r="U1675" s="209" t="s">
        <v>94</v>
      </c>
    </row>
    <row r="1676" spans="1:21" x14ac:dyDescent="0.35">
      <c r="A1676" t="s">
        <v>19</v>
      </c>
      <c r="B1676" t="s">
        <v>26</v>
      </c>
      <c r="C1676" s="1">
        <v>45540</v>
      </c>
      <c r="D1676">
        <f t="shared" si="116"/>
        <v>5</v>
      </c>
      <c r="E1676">
        <f t="shared" si="117"/>
        <v>9</v>
      </c>
      <c r="F1676">
        <f t="shared" si="118"/>
        <v>2024</v>
      </c>
      <c r="G1676" t="s">
        <v>73</v>
      </c>
      <c r="H1676" s="98">
        <v>11129</v>
      </c>
      <c r="I1676" s="29">
        <v>63753.54</v>
      </c>
      <c r="J1676" s="12" t="s">
        <v>51</v>
      </c>
      <c r="K1676" s="76">
        <f t="shared" si="115"/>
        <v>70753.678692000001</v>
      </c>
      <c r="L1676">
        <v>1.1097999999999999</v>
      </c>
      <c r="M1676" s="29">
        <v>0</v>
      </c>
      <c r="N1676" t="s">
        <v>32</v>
      </c>
      <c r="O1676" t="s">
        <v>33</v>
      </c>
      <c r="P1676" t="s">
        <v>34</v>
      </c>
      <c r="Q1676" t="s">
        <v>34</v>
      </c>
      <c r="R1676" t="s">
        <v>34</v>
      </c>
      <c r="S1676" t="s">
        <v>34</v>
      </c>
      <c r="T1676" s="117">
        <v>0</v>
      </c>
      <c r="U1676" s="209" t="s">
        <v>94</v>
      </c>
    </row>
    <row r="1677" spans="1:21" x14ac:dyDescent="0.35">
      <c r="A1677" t="s">
        <v>19</v>
      </c>
      <c r="B1677" t="s">
        <v>26</v>
      </c>
      <c r="C1677" s="1">
        <v>45540</v>
      </c>
      <c r="D1677">
        <f t="shared" si="116"/>
        <v>5</v>
      </c>
      <c r="E1677">
        <f t="shared" si="117"/>
        <v>9</v>
      </c>
      <c r="F1677">
        <f t="shared" si="118"/>
        <v>2024</v>
      </c>
      <c r="G1677" t="s">
        <v>73</v>
      </c>
      <c r="H1677" s="98">
        <v>11176</v>
      </c>
      <c r="I1677" s="29">
        <v>4120.8</v>
      </c>
      <c r="J1677" s="12" t="s">
        <v>51</v>
      </c>
      <c r="K1677" s="76">
        <f t="shared" si="115"/>
        <v>4573.2638399999996</v>
      </c>
      <c r="L1677">
        <v>1.1097999999999999</v>
      </c>
      <c r="M1677" s="29">
        <v>0</v>
      </c>
      <c r="N1677" t="s">
        <v>32</v>
      </c>
      <c r="O1677" t="s">
        <v>33</v>
      </c>
      <c r="P1677" t="s">
        <v>34</v>
      </c>
      <c r="Q1677" t="s">
        <v>34</v>
      </c>
      <c r="R1677" t="s">
        <v>34</v>
      </c>
      <c r="S1677" t="s">
        <v>34</v>
      </c>
      <c r="T1677" s="117">
        <v>0</v>
      </c>
      <c r="U1677" s="209" t="s">
        <v>94</v>
      </c>
    </row>
    <row r="1678" spans="1:21" x14ac:dyDescent="0.35">
      <c r="A1678" t="s">
        <v>19</v>
      </c>
      <c r="B1678" t="s">
        <v>26</v>
      </c>
      <c r="C1678" s="1">
        <v>45540</v>
      </c>
      <c r="D1678">
        <f t="shared" si="116"/>
        <v>5</v>
      </c>
      <c r="E1678">
        <f t="shared" si="117"/>
        <v>9</v>
      </c>
      <c r="F1678">
        <f t="shared" si="118"/>
        <v>2024</v>
      </c>
      <c r="G1678" t="s">
        <v>73</v>
      </c>
      <c r="H1678" s="98">
        <v>0</v>
      </c>
      <c r="I1678" s="29">
        <v>46793</v>
      </c>
      <c r="J1678" s="12" t="s">
        <v>51</v>
      </c>
      <c r="K1678" s="76">
        <f t="shared" si="115"/>
        <v>51930.871399999996</v>
      </c>
      <c r="L1678">
        <v>1.1097999999999999</v>
      </c>
      <c r="M1678" s="29">
        <v>0</v>
      </c>
      <c r="N1678" t="s">
        <v>32</v>
      </c>
      <c r="O1678" t="s">
        <v>33</v>
      </c>
      <c r="P1678" t="s">
        <v>34</v>
      </c>
      <c r="Q1678" t="s">
        <v>34</v>
      </c>
      <c r="R1678" t="s">
        <v>34</v>
      </c>
      <c r="S1678" t="s">
        <v>34</v>
      </c>
      <c r="T1678" s="117">
        <v>0</v>
      </c>
      <c r="U1678" s="209" t="s">
        <v>94</v>
      </c>
    </row>
    <row r="1679" spans="1:21" x14ac:dyDescent="0.35">
      <c r="A1679" t="s">
        <v>19</v>
      </c>
      <c r="B1679" t="s">
        <v>27</v>
      </c>
      <c r="C1679" s="1">
        <v>45544</v>
      </c>
      <c r="D1679">
        <f t="shared" si="116"/>
        <v>9</v>
      </c>
      <c r="E1679">
        <f t="shared" si="117"/>
        <v>9</v>
      </c>
      <c r="F1679">
        <f t="shared" si="118"/>
        <v>2024</v>
      </c>
      <c r="G1679" t="s">
        <v>100</v>
      </c>
      <c r="H1679" s="98">
        <v>10752</v>
      </c>
      <c r="I1679" s="29">
        <v>107785.96</v>
      </c>
      <c r="J1679" s="12" t="s">
        <v>31</v>
      </c>
      <c r="K1679" s="76">
        <f t="shared" si="115"/>
        <v>107785.96</v>
      </c>
      <c r="L1679">
        <v>1</v>
      </c>
      <c r="M1679" s="29">
        <v>0</v>
      </c>
      <c r="N1679" t="s">
        <v>32</v>
      </c>
      <c r="O1679" t="s">
        <v>33</v>
      </c>
      <c r="P1679" t="s">
        <v>34</v>
      </c>
      <c r="Q1679" t="s">
        <v>34</v>
      </c>
      <c r="R1679" t="s">
        <v>34</v>
      </c>
      <c r="S1679" t="s">
        <v>34</v>
      </c>
      <c r="T1679" s="117">
        <v>0</v>
      </c>
      <c r="U1679" s="209" t="s">
        <v>501</v>
      </c>
    </row>
    <row r="1680" spans="1:21" x14ac:dyDescent="0.35">
      <c r="A1680" t="s">
        <v>19</v>
      </c>
      <c r="B1680" t="s">
        <v>23</v>
      </c>
      <c r="C1680" s="1">
        <v>45546</v>
      </c>
      <c r="D1680">
        <f t="shared" si="116"/>
        <v>11</v>
      </c>
      <c r="E1680">
        <f t="shared" si="117"/>
        <v>9</v>
      </c>
      <c r="F1680">
        <f t="shared" si="118"/>
        <v>2024</v>
      </c>
      <c r="G1680" t="s">
        <v>77</v>
      </c>
      <c r="H1680" s="98">
        <v>10426</v>
      </c>
      <c r="I1680" s="29">
        <v>21307.26</v>
      </c>
      <c r="J1680" s="12" t="s">
        <v>31</v>
      </c>
      <c r="K1680" s="76">
        <f t="shared" si="115"/>
        <v>21307.26</v>
      </c>
      <c r="L1680">
        <v>1</v>
      </c>
      <c r="M1680" s="29">
        <v>0</v>
      </c>
      <c r="N1680" t="s">
        <v>32</v>
      </c>
      <c r="O1680" t="s">
        <v>33</v>
      </c>
      <c r="P1680" t="s">
        <v>34</v>
      </c>
      <c r="Q1680" t="s">
        <v>34</v>
      </c>
      <c r="R1680" t="s">
        <v>34</v>
      </c>
      <c r="S1680" t="s">
        <v>34</v>
      </c>
      <c r="T1680" s="117">
        <v>7678.14</v>
      </c>
    </row>
    <row r="1681" spans="1:21" x14ac:dyDescent="0.35">
      <c r="A1681" t="s">
        <v>19</v>
      </c>
      <c r="B1681" t="s">
        <v>24</v>
      </c>
      <c r="C1681" s="1">
        <v>45546</v>
      </c>
      <c r="D1681">
        <f t="shared" si="116"/>
        <v>11</v>
      </c>
      <c r="E1681">
        <f t="shared" si="117"/>
        <v>9</v>
      </c>
      <c r="F1681">
        <f t="shared" si="118"/>
        <v>2024</v>
      </c>
      <c r="G1681" t="s">
        <v>77</v>
      </c>
      <c r="H1681" s="98">
        <v>11173</v>
      </c>
      <c r="I1681" s="29">
        <v>5252.4</v>
      </c>
      <c r="J1681" s="12" t="s">
        <v>31</v>
      </c>
      <c r="K1681" s="76">
        <f t="shared" si="115"/>
        <v>5252.4</v>
      </c>
      <c r="L1681">
        <v>1</v>
      </c>
      <c r="M1681" s="29">
        <v>0</v>
      </c>
      <c r="N1681" t="s">
        <v>42</v>
      </c>
      <c r="O1681" t="s">
        <v>33</v>
      </c>
      <c r="P1681" t="s">
        <v>34</v>
      </c>
      <c r="Q1681" t="s">
        <v>34</v>
      </c>
      <c r="R1681" t="s">
        <v>34</v>
      </c>
      <c r="S1681" t="s">
        <v>34</v>
      </c>
      <c r="T1681" s="117">
        <v>0</v>
      </c>
    </row>
    <row r="1682" spans="1:21" x14ac:dyDescent="0.35">
      <c r="A1682" t="s">
        <v>19</v>
      </c>
      <c r="B1682" t="s">
        <v>24</v>
      </c>
      <c r="C1682" s="1">
        <v>45546</v>
      </c>
      <c r="D1682">
        <f t="shared" si="116"/>
        <v>11</v>
      </c>
      <c r="E1682">
        <f t="shared" si="117"/>
        <v>9</v>
      </c>
      <c r="F1682">
        <f t="shared" si="118"/>
        <v>2024</v>
      </c>
      <c r="G1682" t="s">
        <v>77</v>
      </c>
      <c r="H1682" s="98">
        <v>11175</v>
      </c>
      <c r="I1682" s="29">
        <v>70</v>
      </c>
      <c r="J1682" s="12" t="s">
        <v>31</v>
      </c>
      <c r="K1682" s="76">
        <f t="shared" si="115"/>
        <v>70</v>
      </c>
      <c r="L1682">
        <v>1</v>
      </c>
      <c r="M1682" s="29">
        <v>0</v>
      </c>
      <c r="N1682" t="s">
        <v>42</v>
      </c>
      <c r="O1682" t="s">
        <v>33</v>
      </c>
      <c r="P1682" t="s">
        <v>34</v>
      </c>
      <c r="Q1682" t="s">
        <v>34</v>
      </c>
      <c r="R1682" t="s">
        <v>34</v>
      </c>
      <c r="S1682" t="s">
        <v>34</v>
      </c>
      <c r="T1682" s="117">
        <v>0</v>
      </c>
    </row>
    <row r="1683" spans="1:21" x14ac:dyDescent="0.35">
      <c r="A1683" t="s">
        <v>19</v>
      </c>
      <c r="B1683" t="s">
        <v>25</v>
      </c>
      <c r="C1683" s="1">
        <v>45546</v>
      </c>
      <c r="D1683">
        <f t="shared" si="116"/>
        <v>11</v>
      </c>
      <c r="E1683">
        <f t="shared" si="117"/>
        <v>9</v>
      </c>
      <c r="F1683">
        <f t="shared" si="118"/>
        <v>2024</v>
      </c>
      <c r="G1683" t="s">
        <v>351</v>
      </c>
      <c r="H1683" s="98">
        <v>10436</v>
      </c>
      <c r="I1683" s="29">
        <v>4700</v>
      </c>
      <c r="J1683" s="12" t="s">
        <v>31</v>
      </c>
      <c r="K1683" s="76">
        <f t="shared" ref="K1683:K1746" si="119">IF(J1683="USD",I1683,I1683*L1683)</f>
        <v>4700</v>
      </c>
      <c r="L1683">
        <v>1</v>
      </c>
      <c r="M1683" s="29">
        <v>0</v>
      </c>
      <c r="N1683" t="s">
        <v>32</v>
      </c>
      <c r="O1683" t="s">
        <v>33</v>
      </c>
      <c r="P1683" t="s">
        <v>34</v>
      </c>
      <c r="Q1683" t="s">
        <v>34</v>
      </c>
      <c r="R1683" t="s">
        <v>34</v>
      </c>
      <c r="S1683" t="s">
        <v>34</v>
      </c>
      <c r="T1683" s="117">
        <v>0</v>
      </c>
    </row>
    <row r="1684" spans="1:21" x14ac:dyDescent="0.35">
      <c r="A1684" t="s">
        <v>19</v>
      </c>
      <c r="B1684" t="s">
        <v>24</v>
      </c>
      <c r="C1684" s="1">
        <v>45546</v>
      </c>
      <c r="D1684">
        <f t="shared" si="116"/>
        <v>11</v>
      </c>
      <c r="E1684">
        <f t="shared" si="117"/>
        <v>9</v>
      </c>
      <c r="F1684">
        <f t="shared" si="118"/>
        <v>2024</v>
      </c>
      <c r="G1684" t="s">
        <v>36</v>
      </c>
      <c r="H1684" s="98">
        <v>10505</v>
      </c>
      <c r="I1684" s="29">
        <v>16480</v>
      </c>
      <c r="J1684" s="12" t="s">
        <v>31</v>
      </c>
      <c r="K1684" s="76">
        <f t="shared" si="119"/>
        <v>16480</v>
      </c>
      <c r="L1684">
        <v>1</v>
      </c>
      <c r="M1684" s="29">
        <v>0</v>
      </c>
      <c r="N1684" t="s">
        <v>32</v>
      </c>
      <c r="O1684" t="s">
        <v>33</v>
      </c>
      <c r="P1684" t="s">
        <v>34</v>
      </c>
      <c r="Q1684" t="s">
        <v>34</v>
      </c>
      <c r="R1684" t="s">
        <v>34</v>
      </c>
      <c r="S1684" t="s">
        <v>34</v>
      </c>
      <c r="T1684" s="117">
        <v>0</v>
      </c>
    </row>
    <row r="1685" spans="1:21" x14ac:dyDescent="0.35">
      <c r="A1685" t="s">
        <v>19</v>
      </c>
      <c r="B1685" t="s">
        <v>25</v>
      </c>
      <c r="C1685" s="1">
        <v>45546</v>
      </c>
      <c r="D1685">
        <f t="shared" si="116"/>
        <v>11</v>
      </c>
      <c r="E1685">
        <f t="shared" si="117"/>
        <v>9</v>
      </c>
      <c r="F1685">
        <f t="shared" si="118"/>
        <v>2024</v>
      </c>
      <c r="G1685" t="s">
        <v>36</v>
      </c>
      <c r="H1685" s="98">
        <v>10545</v>
      </c>
      <c r="I1685" s="29">
        <v>30953.4</v>
      </c>
      <c r="J1685" s="12" t="s">
        <v>31</v>
      </c>
      <c r="K1685" s="76">
        <f t="shared" si="119"/>
        <v>30953.4</v>
      </c>
      <c r="L1685">
        <v>1</v>
      </c>
      <c r="M1685" s="29">
        <v>0</v>
      </c>
      <c r="N1685" t="s">
        <v>32</v>
      </c>
      <c r="O1685" t="s">
        <v>33</v>
      </c>
      <c r="P1685" t="s">
        <v>34</v>
      </c>
      <c r="Q1685" t="s">
        <v>34</v>
      </c>
      <c r="R1685" t="s">
        <v>34</v>
      </c>
      <c r="S1685" t="s">
        <v>34</v>
      </c>
      <c r="T1685" s="117">
        <v>0</v>
      </c>
    </row>
    <row r="1686" spans="1:21" x14ac:dyDescent="0.35">
      <c r="A1686" t="s">
        <v>19</v>
      </c>
      <c r="B1686" t="s">
        <v>25</v>
      </c>
      <c r="C1686" s="1">
        <v>45546</v>
      </c>
      <c r="D1686">
        <f t="shared" si="116"/>
        <v>11</v>
      </c>
      <c r="E1686">
        <f t="shared" si="117"/>
        <v>9</v>
      </c>
      <c r="F1686">
        <f t="shared" si="118"/>
        <v>2024</v>
      </c>
      <c r="G1686" t="s">
        <v>36</v>
      </c>
      <c r="H1686" s="98">
        <v>10904</v>
      </c>
      <c r="I1686" s="29">
        <v>38074.199999999997</v>
      </c>
      <c r="J1686" s="12" t="s">
        <v>31</v>
      </c>
      <c r="K1686" s="76">
        <f t="shared" si="119"/>
        <v>38074.199999999997</v>
      </c>
      <c r="L1686">
        <v>1</v>
      </c>
      <c r="M1686" s="29">
        <v>0</v>
      </c>
      <c r="N1686" t="s">
        <v>32</v>
      </c>
      <c r="O1686" t="s">
        <v>33</v>
      </c>
      <c r="P1686" t="s">
        <v>34</v>
      </c>
      <c r="Q1686" t="s">
        <v>34</v>
      </c>
      <c r="R1686" t="s">
        <v>34</v>
      </c>
      <c r="S1686" t="s">
        <v>34</v>
      </c>
      <c r="T1686" s="117">
        <v>0</v>
      </c>
    </row>
    <row r="1687" spans="1:21" x14ac:dyDescent="0.35">
      <c r="A1687" t="s">
        <v>19</v>
      </c>
      <c r="B1687" t="s">
        <v>21</v>
      </c>
      <c r="C1687" s="1">
        <v>45546</v>
      </c>
      <c r="D1687">
        <f t="shared" si="116"/>
        <v>11</v>
      </c>
      <c r="E1687">
        <f t="shared" si="117"/>
        <v>9</v>
      </c>
      <c r="F1687">
        <f t="shared" si="118"/>
        <v>2024</v>
      </c>
      <c r="G1687" t="s">
        <v>39</v>
      </c>
      <c r="H1687" s="98">
        <v>11051</v>
      </c>
      <c r="I1687" s="29">
        <v>9214</v>
      </c>
      <c r="J1687" s="12" t="s">
        <v>31</v>
      </c>
      <c r="K1687" s="76">
        <f t="shared" si="119"/>
        <v>9214</v>
      </c>
      <c r="L1687">
        <v>1</v>
      </c>
      <c r="M1687" s="29">
        <v>0</v>
      </c>
      <c r="N1687" t="s">
        <v>32</v>
      </c>
      <c r="O1687" t="s">
        <v>33</v>
      </c>
      <c r="P1687" t="s">
        <v>34</v>
      </c>
      <c r="Q1687" t="s">
        <v>34</v>
      </c>
      <c r="R1687" t="s">
        <v>34</v>
      </c>
      <c r="S1687" t="s">
        <v>34</v>
      </c>
      <c r="T1687" s="117">
        <v>0</v>
      </c>
    </row>
    <row r="1688" spans="1:21" x14ac:dyDescent="0.35">
      <c r="A1688" t="s">
        <v>19</v>
      </c>
      <c r="B1688" t="s">
        <v>25</v>
      </c>
      <c r="C1688" s="1">
        <v>45546</v>
      </c>
      <c r="D1688">
        <f t="shared" si="116"/>
        <v>11</v>
      </c>
      <c r="E1688">
        <f t="shared" si="117"/>
        <v>9</v>
      </c>
      <c r="F1688">
        <f t="shared" si="118"/>
        <v>2024</v>
      </c>
      <c r="G1688" t="s">
        <v>285</v>
      </c>
      <c r="H1688" s="98">
        <v>11465</v>
      </c>
      <c r="I1688" s="29">
        <v>27.11</v>
      </c>
      <c r="J1688" s="12" t="s">
        <v>31</v>
      </c>
      <c r="K1688" s="76">
        <f t="shared" si="119"/>
        <v>27.11</v>
      </c>
      <c r="L1688">
        <v>1</v>
      </c>
      <c r="M1688" s="29">
        <v>0</v>
      </c>
      <c r="N1688" t="s">
        <v>42</v>
      </c>
      <c r="O1688" t="s">
        <v>33</v>
      </c>
      <c r="P1688" t="s">
        <v>34</v>
      </c>
      <c r="Q1688" t="s">
        <v>34</v>
      </c>
      <c r="R1688" t="s">
        <v>34</v>
      </c>
      <c r="S1688" t="s">
        <v>34</v>
      </c>
      <c r="T1688" s="117">
        <v>0</v>
      </c>
      <c r="U1688" s="209" t="s">
        <v>678</v>
      </c>
    </row>
    <row r="1689" spans="1:21" x14ac:dyDescent="0.35">
      <c r="A1689" t="s">
        <v>19</v>
      </c>
      <c r="B1689" t="s">
        <v>25</v>
      </c>
      <c r="C1689" s="1">
        <v>45546</v>
      </c>
      <c r="D1689">
        <f t="shared" si="116"/>
        <v>11</v>
      </c>
      <c r="E1689">
        <f t="shared" si="117"/>
        <v>9</v>
      </c>
      <c r="F1689">
        <f t="shared" si="118"/>
        <v>2024</v>
      </c>
      <c r="G1689" t="s">
        <v>285</v>
      </c>
      <c r="H1689" s="98">
        <v>11212</v>
      </c>
      <c r="I1689" s="29">
        <v>3178.8</v>
      </c>
      <c r="J1689" s="12" t="s">
        <v>31</v>
      </c>
      <c r="K1689" s="76">
        <f t="shared" si="119"/>
        <v>3178.8</v>
      </c>
      <c r="L1689">
        <v>1</v>
      </c>
      <c r="M1689" s="29">
        <v>0</v>
      </c>
      <c r="N1689" t="s">
        <v>42</v>
      </c>
      <c r="O1689" t="s">
        <v>33</v>
      </c>
      <c r="P1689" t="s">
        <v>34</v>
      </c>
      <c r="Q1689" t="s">
        <v>34</v>
      </c>
      <c r="R1689" t="s">
        <v>34</v>
      </c>
      <c r="S1689" t="s">
        <v>34</v>
      </c>
      <c r="T1689" s="117">
        <v>0</v>
      </c>
    </row>
    <row r="1690" spans="1:21" x14ac:dyDescent="0.35">
      <c r="A1690" t="s">
        <v>20</v>
      </c>
      <c r="B1690" t="s">
        <v>24</v>
      </c>
      <c r="C1690" s="1">
        <v>45546</v>
      </c>
      <c r="D1690">
        <f t="shared" si="116"/>
        <v>11</v>
      </c>
      <c r="E1690">
        <f t="shared" si="117"/>
        <v>9</v>
      </c>
      <c r="F1690">
        <f t="shared" si="118"/>
        <v>2024</v>
      </c>
      <c r="G1690" t="s">
        <v>81</v>
      </c>
      <c r="H1690" s="98">
        <v>10455</v>
      </c>
      <c r="I1690" s="29">
        <v>14969.6</v>
      </c>
      <c r="J1690" s="12" t="s">
        <v>31</v>
      </c>
      <c r="K1690" s="76">
        <f t="shared" si="119"/>
        <v>14969.6</v>
      </c>
      <c r="L1690">
        <v>1</v>
      </c>
      <c r="M1690" s="29">
        <v>0</v>
      </c>
      <c r="N1690" t="s">
        <v>32</v>
      </c>
      <c r="O1690" t="s">
        <v>33</v>
      </c>
      <c r="P1690" t="s">
        <v>34</v>
      </c>
      <c r="Q1690" t="s">
        <v>34</v>
      </c>
      <c r="R1690" t="s">
        <v>34</v>
      </c>
      <c r="S1690" t="s">
        <v>34</v>
      </c>
      <c r="T1690" s="117">
        <v>0</v>
      </c>
    </row>
    <row r="1691" spans="1:21" x14ac:dyDescent="0.35">
      <c r="A1691" t="s">
        <v>20</v>
      </c>
      <c r="B1691" t="s">
        <v>25</v>
      </c>
      <c r="C1691" s="1">
        <v>45546</v>
      </c>
      <c r="D1691">
        <f t="shared" si="116"/>
        <v>11</v>
      </c>
      <c r="E1691">
        <f t="shared" si="117"/>
        <v>9</v>
      </c>
      <c r="F1691">
        <f t="shared" si="118"/>
        <v>2024</v>
      </c>
      <c r="G1691" t="s">
        <v>84</v>
      </c>
      <c r="H1691" s="98">
        <v>10720</v>
      </c>
      <c r="I1691" s="29">
        <v>34372.300000000003</v>
      </c>
      <c r="J1691" s="12" t="s">
        <v>31</v>
      </c>
      <c r="K1691" s="76">
        <f t="shared" si="119"/>
        <v>34372.300000000003</v>
      </c>
      <c r="L1691">
        <v>1</v>
      </c>
      <c r="M1691" s="29">
        <v>0</v>
      </c>
      <c r="N1691" t="s">
        <v>32</v>
      </c>
      <c r="O1691" t="s">
        <v>33</v>
      </c>
      <c r="P1691" t="s">
        <v>34</v>
      </c>
      <c r="Q1691" t="s">
        <v>34</v>
      </c>
      <c r="R1691" t="s">
        <v>34</v>
      </c>
      <c r="S1691" t="s">
        <v>34</v>
      </c>
      <c r="T1691" s="117">
        <v>0</v>
      </c>
    </row>
    <row r="1692" spans="1:21" x14ac:dyDescent="0.35">
      <c r="A1692" t="s">
        <v>20</v>
      </c>
      <c r="B1692" t="s">
        <v>23</v>
      </c>
      <c r="C1692" s="1">
        <v>45546</v>
      </c>
      <c r="D1692">
        <f t="shared" si="116"/>
        <v>11</v>
      </c>
      <c r="E1692">
        <f t="shared" si="117"/>
        <v>9</v>
      </c>
      <c r="F1692">
        <f t="shared" si="118"/>
        <v>2024</v>
      </c>
      <c r="G1692" t="s">
        <v>82</v>
      </c>
      <c r="H1692" s="98">
        <v>10490</v>
      </c>
      <c r="I1692" s="29">
        <v>21612.58</v>
      </c>
      <c r="J1692" s="12" t="s">
        <v>31</v>
      </c>
      <c r="K1692" s="76">
        <f t="shared" si="119"/>
        <v>21612.58</v>
      </c>
      <c r="L1692">
        <v>1</v>
      </c>
      <c r="M1692" s="29">
        <v>0</v>
      </c>
      <c r="N1692" t="s">
        <v>32</v>
      </c>
      <c r="O1692" t="s">
        <v>33</v>
      </c>
      <c r="P1692" t="s">
        <v>34</v>
      </c>
      <c r="Q1692" t="s">
        <v>34</v>
      </c>
      <c r="R1692" t="s">
        <v>34</v>
      </c>
      <c r="S1692" t="s">
        <v>34</v>
      </c>
      <c r="T1692" s="117">
        <v>0</v>
      </c>
    </row>
    <row r="1693" spans="1:21" x14ac:dyDescent="0.35">
      <c r="A1693" t="s">
        <v>20</v>
      </c>
      <c r="B1693" t="s">
        <v>23</v>
      </c>
      <c r="C1693" s="1">
        <v>45546</v>
      </c>
      <c r="D1693">
        <f t="shared" si="116"/>
        <v>11</v>
      </c>
      <c r="E1693">
        <f t="shared" si="117"/>
        <v>9</v>
      </c>
      <c r="F1693">
        <f t="shared" si="118"/>
        <v>2024</v>
      </c>
      <c r="G1693" t="s">
        <v>82</v>
      </c>
      <c r="H1693" s="98">
        <v>10886</v>
      </c>
      <c r="I1693" s="29">
        <v>71</v>
      </c>
      <c r="J1693" s="12" t="s">
        <v>31</v>
      </c>
      <c r="K1693" s="76">
        <f t="shared" si="119"/>
        <v>71</v>
      </c>
      <c r="L1693">
        <v>1</v>
      </c>
      <c r="M1693" s="29">
        <v>0</v>
      </c>
      <c r="N1693" t="s">
        <v>32</v>
      </c>
      <c r="O1693" t="s">
        <v>33</v>
      </c>
      <c r="P1693" t="s">
        <v>34</v>
      </c>
      <c r="Q1693" t="s">
        <v>34</v>
      </c>
      <c r="R1693" t="s">
        <v>34</v>
      </c>
      <c r="S1693" t="s">
        <v>34</v>
      </c>
      <c r="T1693" s="117">
        <v>0</v>
      </c>
    </row>
    <row r="1694" spans="1:21" x14ac:dyDescent="0.35">
      <c r="A1694" t="s">
        <v>20</v>
      </c>
      <c r="B1694" t="s">
        <v>21</v>
      </c>
      <c r="C1694" s="1">
        <v>45546</v>
      </c>
      <c r="D1694">
        <f t="shared" si="116"/>
        <v>11</v>
      </c>
      <c r="E1694">
        <f t="shared" si="117"/>
        <v>9</v>
      </c>
      <c r="F1694">
        <f t="shared" si="118"/>
        <v>2024</v>
      </c>
      <c r="G1694" t="s">
        <v>45</v>
      </c>
      <c r="H1694" s="98">
        <v>10976</v>
      </c>
      <c r="I1694" s="29">
        <v>57.8</v>
      </c>
      <c r="J1694" s="12" t="s">
        <v>31</v>
      </c>
      <c r="K1694" s="76">
        <f t="shared" si="119"/>
        <v>57.8</v>
      </c>
      <c r="L1694">
        <v>1</v>
      </c>
      <c r="M1694" s="29">
        <v>0</v>
      </c>
      <c r="N1694" t="s">
        <v>32</v>
      </c>
      <c r="O1694" t="s">
        <v>33</v>
      </c>
      <c r="P1694" t="s">
        <v>34</v>
      </c>
      <c r="Q1694" t="s">
        <v>34</v>
      </c>
      <c r="R1694" t="s">
        <v>34</v>
      </c>
      <c r="S1694" t="s">
        <v>34</v>
      </c>
      <c r="T1694" s="117">
        <v>0</v>
      </c>
    </row>
    <row r="1695" spans="1:21" x14ac:dyDescent="0.35">
      <c r="A1695" t="s">
        <v>20</v>
      </c>
      <c r="B1695" t="s">
        <v>23</v>
      </c>
      <c r="C1695" s="1">
        <v>45546</v>
      </c>
      <c r="D1695">
        <f t="shared" si="116"/>
        <v>11</v>
      </c>
      <c r="E1695">
        <f t="shared" si="117"/>
        <v>9</v>
      </c>
      <c r="F1695">
        <f t="shared" si="118"/>
        <v>2024</v>
      </c>
      <c r="G1695" t="s">
        <v>45</v>
      </c>
      <c r="H1695" s="98">
        <v>10934</v>
      </c>
      <c r="I1695" s="29">
        <v>65</v>
      </c>
      <c r="J1695" s="12" t="s">
        <v>31</v>
      </c>
      <c r="K1695" s="76">
        <f t="shared" si="119"/>
        <v>65</v>
      </c>
      <c r="L1695">
        <v>1</v>
      </c>
      <c r="M1695" s="29">
        <v>0</v>
      </c>
      <c r="N1695" t="s">
        <v>32</v>
      </c>
      <c r="O1695" t="s">
        <v>33</v>
      </c>
      <c r="P1695" t="s">
        <v>34</v>
      </c>
      <c r="Q1695" t="s">
        <v>34</v>
      </c>
      <c r="R1695" t="s">
        <v>34</v>
      </c>
      <c r="S1695" t="s">
        <v>34</v>
      </c>
      <c r="T1695" s="117">
        <v>0</v>
      </c>
    </row>
    <row r="1696" spans="1:21" x14ac:dyDescent="0.35">
      <c r="A1696" t="s">
        <v>20</v>
      </c>
      <c r="B1696" t="s">
        <v>23</v>
      </c>
      <c r="C1696" s="1">
        <v>45546</v>
      </c>
      <c r="D1696">
        <f t="shared" si="116"/>
        <v>11</v>
      </c>
      <c r="E1696">
        <f t="shared" si="117"/>
        <v>9</v>
      </c>
      <c r="F1696">
        <f t="shared" si="118"/>
        <v>2024</v>
      </c>
      <c r="G1696" t="s">
        <v>45</v>
      </c>
      <c r="H1696" s="98">
        <v>10969</v>
      </c>
      <c r="I1696" s="29">
        <v>65.8</v>
      </c>
      <c r="J1696" s="12" t="s">
        <v>31</v>
      </c>
      <c r="K1696" s="76">
        <f t="shared" si="119"/>
        <v>65.8</v>
      </c>
      <c r="L1696">
        <v>1</v>
      </c>
      <c r="M1696" s="29">
        <v>0</v>
      </c>
      <c r="N1696" t="s">
        <v>32</v>
      </c>
      <c r="O1696" t="s">
        <v>33</v>
      </c>
      <c r="P1696" t="s">
        <v>34</v>
      </c>
      <c r="Q1696" t="s">
        <v>34</v>
      </c>
      <c r="R1696" t="s">
        <v>34</v>
      </c>
      <c r="S1696" t="s">
        <v>34</v>
      </c>
      <c r="T1696" s="117">
        <v>0</v>
      </c>
    </row>
    <row r="1697" spans="1:20" x14ac:dyDescent="0.35">
      <c r="A1697" t="s">
        <v>20</v>
      </c>
      <c r="B1697" t="s">
        <v>23</v>
      </c>
      <c r="C1697" s="1">
        <v>45546</v>
      </c>
      <c r="D1697">
        <f t="shared" si="116"/>
        <v>11</v>
      </c>
      <c r="E1697">
        <f t="shared" si="117"/>
        <v>9</v>
      </c>
      <c r="F1697">
        <f t="shared" si="118"/>
        <v>2024</v>
      </c>
      <c r="G1697" t="s">
        <v>45</v>
      </c>
      <c r="H1697" s="98">
        <v>10970</v>
      </c>
      <c r="I1697" s="29">
        <v>8178.94</v>
      </c>
      <c r="J1697" s="12" t="s">
        <v>31</v>
      </c>
      <c r="K1697" s="76">
        <f t="shared" si="119"/>
        <v>8178.94</v>
      </c>
      <c r="L1697">
        <v>1</v>
      </c>
      <c r="M1697" s="29">
        <v>0</v>
      </c>
      <c r="N1697" t="s">
        <v>32</v>
      </c>
      <c r="O1697" t="s">
        <v>33</v>
      </c>
      <c r="P1697" t="s">
        <v>34</v>
      </c>
      <c r="Q1697" t="s">
        <v>34</v>
      </c>
      <c r="R1697" t="s">
        <v>34</v>
      </c>
      <c r="S1697" t="s">
        <v>34</v>
      </c>
      <c r="T1697" s="117">
        <v>0</v>
      </c>
    </row>
    <row r="1698" spans="1:20" x14ac:dyDescent="0.35">
      <c r="A1698" t="s">
        <v>20</v>
      </c>
      <c r="B1698" t="s">
        <v>21</v>
      </c>
      <c r="C1698" s="1">
        <v>45546</v>
      </c>
      <c r="D1698">
        <f t="shared" si="116"/>
        <v>11</v>
      </c>
      <c r="E1698">
        <f t="shared" si="117"/>
        <v>9</v>
      </c>
      <c r="F1698">
        <f t="shared" si="118"/>
        <v>2024</v>
      </c>
      <c r="G1698" t="s">
        <v>45</v>
      </c>
      <c r="H1698" s="98">
        <v>10970</v>
      </c>
      <c r="I1698" s="29">
        <v>7464.87</v>
      </c>
      <c r="J1698" s="12" t="s">
        <v>31</v>
      </c>
      <c r="K1698" s="76">
        <f t="shared" si="119"/>
        <v>7464.87</v>
      </c>
      <c r="L1698">
        <v>1</v>
      </c>
      <c r="M1698" s="29">
        <v>0</v>
      </c>
      <c r="N1698" t="s">
        <v>32</v>
      </c>
      <c r="O1698" t="s">
        <v>33</v>
      </c>
      <c r="P1698" t="s">
        <v>34</v>
      </c>
      <c r="Q1698" t="s">
        <v>34</v>
      </c>
      <c r="R1698" t="s">
        <v>34</v>
      </c>
      <c r="S1698" t="s">
        <v>34</v>
      </c>
      <c r="T1698" s="117">
        <v>0</v>
      </c>
    </row>
    <row r="1699" spans="1:20" x14ac:dyDescent="0.35">
      <c r="A1699" t="s">
        <v>20</v>
      </c>
      <c r="B1699" t="s">
        <v>23</v>
      </c>
      <c r="C1699" s="1">
        <v>45546</v>
      </c>
      <c r="D1699">
        <f t="shared" si="116"/>
        <v>11</v>
      </c>
      <c r="E1699">
        <f t="shared" si="117"/>
        <v>9</v>
      </c>
      <c r="F1699">
        <f t="shared" si="118"/>
        <v>2024</v>
      </c>
      <c r="G1699" t="s">
        <v>121</v>
      </c>
      <c r="H1699" s="98">
        <v>10398</v>
      </c>
      <c r="I1699" s="29">
        <v>51097.15</v>
      </c>
      <c r="J1699" s="12" t="s">
        <v>31</v>
      </c>
      <c r="K1699" s="76">
        <f t="shared" si="119"/>
        <v>51097.15</v>
      </c>
      <c r="L1699">
        <v>1</v>
      </c>
      <c r="M1699" s="29">
        <v>0</v>
      </c>
      <c r="N1699" t="s">
        <v>32</v>
      </c>
      <c r="O1699" t="s">
        <v>33</v>
      </c>
      <c r="P1699" t="s">
        <v>34</v>
      </c>
      <c r="Q1699" t="s">
        <v>34</v>
      </c>
      <c r="R1699" t="s">
        <v>34</v>
      </c>
      <c r="S1699" t="s">
        <v>34</v>
      </c>
      <c r="T1699" s="117">
        <v>0</v>
      </c>
    </row>
    <row r="1700" spans="1:20" x14ac:dyDescent="0.35">
      <c r="A1700" t="s">
        <v>20</v>
      </c>
      <c r="B1700" t="s">
        <v>25</v>
      </c>
      <c r="C1700" s="1">
        <v>45546</v>
      </c>
      <c r="D1700">
        <f t="shared" si="116"/>
        <v>11</v>
      </c>
      <c r="E1700">
        <f t="shared" si="117"/>
        <v>9</v>
      </c>
      <c r="F1700">
        <f t="shared" si="118"/>
        <v>2024</v>
      </c>
      <c r="G1700" t="s">
        <v>99</v>
      </c>
      <c r="H1700" s="98">
        <v>10621</v>
      </c>
      <c r="I1700" s="29">
        <v>47190.13</v>
      </c>
      <c r="J1700" s="12" t="s">
        <v>31</v>
      </c>
      <c r="K1700" s="76">
        <f t="shared" si="119"/>
        <v>47190.13</v>
      </c>
      <c r="L1700">
        <v>1</v>
      </c>
      <c r="M1700" s="29">
        <v>0</v>
      </c>
      <c r="N1700" t="s">
        <v>32</v>
      </c>
      <c r="O1700" t="s">
        <v>33</v>
      </c>
      <c r="P1700" t="s">
        <v>34</v>
      </c>
      <c r="Q1700" t="s">
        <v>34</v>
      </c>
      <c r="R1700" t="s">
        <v>34</v>
      </c>
      <c r="S1700" t="s">
        <v>34</v>
      </c>
      <c r="T1700" s="117">
        <v>0</v>
      </c>
    </row>
    <row r="1701" spans="1:20" x14ac:dyDescent="0.35">
      <c r="A1701" t="s">
        <v>20</v>
      </c>
      <c r="B1701" t="s">
        <v>25</v>
      </c>
      <c r="C1701" s="1">
        <v>45546</v>
      </c>
      <c r="D1701">
        <f t="shared" si="116"/>
        <v>11</v>
      </c>
      <c r="E1701">
        <f t="shared" si="117"/>
        <v>9</v>
      </c>
      <c r="F1701">
        <f t="shared" si="118"/>
        <v>2024</v>
      </c>
      <c r="G1701" t="s">
        <v>87</v>
      </c>
      <c r="H1701" s="98">
        <v>10647</v>
      </c>
      <c r="I1701" s="29">
        <v>69</v>
      </c>
      <c r="J1701" s="12" t="s">
        <v>31</v>
      </c>
      <c r="K1701" s="76">
        <f t="shared" si="119"/>
        <v>69</v>
      </c>
      <c r="L1701">
        <v>1</v>
      </c>
      <c r="M1701" s="29">
        <v>0</v>
      </c>
      <c r="N1701" t="s">
        <v>32</v>
      </c>
      <c r="O1701" t="s">
        <v>33</v>
      </c>
      <c r="P1701" t="s">
        <v>34</v>
      </c>
      <c r="Q1701" t="s">
        <v>34</v>
      </c>
      <c r="R1701" t="s">
        <v>34</v>
      </c>
      <c r="S1701" t="s">
        <v>34</v>
      </c>
      <c r="T1701" s="117">
        <v>0</v>
      </c>
    </row>
    <row r="1702" spans="1:20" x14ac:dyDescent="0.35">
      <c r="A1702" t="s">
        <v>20</v>
      </c>
      <c r="B1702" t="s">
        <v>25</v>
      </c>
      <c r="C1702" s="1">
        <v>45546</v>
      </c>
      <c r="D1702">
        <f t="shared" si="116"/>
        <v>11</v>
      </c>
      <c r="E1702">
        <f t="shared" si="117"/>
        <v>9</v>
      </c>
      <c r="F1702">
        <f t="shared" si="118"/>
        <v>2024</v>
      </c>
      <c r="G1702" t="s">
        <v>87</v>
      </c>
      <c r="H1702" s="98">
        <v>10648</v>
      </c>
      <c r="I1702" s="29">
        <v>17015.400000000001</v>
      </c>
      <c r="J1702" s="12" t="s">
        <v>31</v>
      </c>
      <c r="K1702" s="76">
        <f t="shared" si="119"/>
        <v>17015.400000000001</v>
      </c>
      <c r="L1702">
        <v>1</v>
      </c>
      <c r="M1702" s="29">
        <v>0</v>
      </c>
      <c r="N1702" t="s">
        <v>32</v>
      </c>
      <c r="O1702" t="s">
        <v>33</v>
      </c>
      <c r="P1702" t="s">
        <v>34</v>
      </c>
      <c r="Q1702" t="s">
        <v>34</v>
      </c>
      <c r="R1702" t="s">
        <v>34</v>
      </c>
      <c r="S1702" t="s">
        <v>34</v>
      </c>
      <c r="T1702" s="117">
        <v>0</v>
      </c>
    </row>
    <row r="1703" spans="1:20" x14ac:dyDescent="0.35">
      <c r="A1703" t="s">
        <v>20</v>
      </c>
      <c r="B1703" t="s">
        <v>21</v>
      </c>
      <c r="C1703" s="1">
        <v>45546</v>
      </c>
      <c r="D1703">
        <f t="shared" si="116"/>
        <v>11</v>
      </c>
      <c r="E1703">
        <f t="shared" si="117"/>
        <v>9</v>
      </c>
      <c r="F1703">
        <f t="shared" si="118"/>
        <v>2024</v>
      </c>
      <c r="G1703" t="s">
        <v>118</v>
      </c>
      <c r="H1703" s="98">
        <v>11221</v>
      </c>
      <c r="I1703" s="29">
        <v>41.2</v>
      </c>
      <c r="J1703" s="12" t="s">
        <v>31</v>
      </c>
      <c r="K1703" s="76">
        <f t="shared" si="119"/>
        <v>41.2</v>
      </c>
      <c r="L1703">
        <v>1</v>
      </c>
      <c r="M1703" s="29">
        <v>0</v>
      </c>
      <c r="N1703" t="s">
        <v>42</v>
      </c>
      <c r="O1703" t="s">
        <v>33</v>
      </c>
      <c r="P1703" t="s">
        <v>34</v>
      </c>
      <c r="Q1703" t="s">
        <v>34</v>
      </c>
      <c r="R1703" t="s">
        <v>34</v>
      </c>
      <c r="S1703" t="s">
        <v>34</v>
      </c>
      <c r="T1703" s="117">
        <v>0</v>
      </c>
    </row>
    <row r="1704" spans="1:20" x14ac:dyDescent="0.35">
      <c r="A1704" t="s">
        <v>20</v>
      </c>
      <c r="B1704" t="s">
        <v>21</v>
      </c>
      <c r="C1704" s="1">
        <v>45546</v>
      </c>
      <c r="D1704">
        <f t="shared" si="116"/>
        <v>11</v>
      </c>
      <c r="E1704">
        <f t="shared" si="117"/>
        <v>9</v>
      </c>
      <c r="F1704">
        <f t="shared" si="118"/>
        <v>2024</v>
      </c>
      <c r="G1704" t="s">
        <v>118</v>
      </c>
      <c r="H1704" s="98">
        <v>11222</v>
      </c>
      <c r="I1704" s="29">
        <v>403.76</v>
      </c>
      <c r="J1704" s="12" t="s">
        <v>31</v>
      </c>
      <c r="K1704" s="76">
        <f t="shared" si="119"/>
        <v>403.76</v>
      </c>
      <c r="L1704">
        <v>1</v>
      </c>
      <c r="M1704" s="29">
        <v>0</v>
      </c>
      <c r="N1704" t="s">
        <v>42</v>
      </c>
      <c r="O1704" t="s">
        <v>33</v>
      </c>
      <c r="P1704" t="s">
        <v>34</v>
      </c>
      <c r="Q1704" t="s">
        <v>34</v>
      </c>
      <c r="R1704" t="s">
        <v>34</v>
      </c>
      <c r="S1704" t="s">
        <v>34</v>
      </c>
      <c r="T1704" s="117">
        <v>0</v>
      </c>
    </row>
    <row r="1705" spans="1:20" x14ac:dyDescent="0.35">
      <c r="A1705" t="s">
        <v>20</v>
      </c>
      <c r="B1705" t="s">
        <v>23</v>
      </c>
      <c r="C1705" s="1">
        <v>45546</v>
      </c>
      <c r="D1705">
        <f t="shared" si="116"/>
        <v>11</v>
      </c>
      <c r="E1705">
        <f t="shared" si="117"/>
        <v>9</v>
      </c>
      <c r="F1705">
        <f t="shared" si="118"/>
        <v>2024</v>
      </c>
      <c r="G1705" t="s">
        <v>46</v>
      </c>
      <c r="H1705" s="98">
        <v>11218</v>
      </c>
      <c r="I1705" s="29">
        <v>26.2</v>
      </c>
      <c r="J1705" s="12" t="s">
        <v>31</v>
      </c>
      <c r="K1705" s="76">
        <f t="shared" si="119"/>
        <v>26.2</v>
      </c>
      <c r="L1705">
        <v>1</v>
      </c>
      <c r="M1705" s="29">
        <v>0</v>
      </c>
      <c r="N1705" t="s">
        <v>42</v>
      </c>
      <c r="O1705" t="s">
        <v>33</v>
      </c>
      <c r="P1705" t="s">
        <v>34</v>
      </c>
      <c r="Q1705" t="s">
        <v>34</v>
      </c>
      <c r="R1705" t="s">
        <v>34</v>
      </c>
      <c r="S1705" t="s">
        <v>34</v>
      </c>
      <c r="T1705" s="117">
        <v>0</v>
      </c>
    </row>
    <row r="1706" spans="1:20" x14ac:dyDescent="0.35">
      <c r="A1706" t="s">
        <v>20</v>
      </c>
      <c r="B1706" t="s">
        <v>23</v>
      </c>
      <c r="C1706" s="1">
        <v>45546</v>
      </c>
      <c r="D1706">
        <f t="shared" si="116"/>
        <v>11</v>
      </c>
      <c r="E1706">
        <f t="shared" si="117"/>
        <v>9</v>
      </c>
      <c r="F1706">
        <f t="shared" si="118"/>
        <v>2024</v>
      </c>
      <c r="G1706" t="s">
        <v>46</v>
      </c>
      <c r="H1706" s="98">
        <v>11217</v>
      </c>
      <c r="I1706" s="29">
        <v>2777.2</v>
      </c>
      <c r="J1706" s="12" t="s">
        <v>31</v>
      </c>
      <c r="K1706" s="76">
        <f t="shared" si="119"/>
        <v>2777.2</v>
      </c>
      <c r="L1706">
        <v>1</v>
      </c>
      <c r="M1706" s="29">
        <v>0</v>
      </c>
      <c r="N1706" t="s">
        <v>42</v>
      </c>
      <c r="O1706" t="s">
        <v>33</v>
      </c>
      <c r="P1706" t="s">
        <v>34</v>
      </c>
      <c r="Q1706" t="s">
        <v>34</v>
      </c>
      <c r="R1706" t="s">
        <v>34</v>
      </c>
      <c r="S1706" t="s">
        <v>34</v>
      </c>
      <c r="T1706" s="117">
        <v>0</v>
      </c>
    </row>
    <row r="1707" spans="1:20" x14ac:dyDescent="0.35">
      <c r="A1707" t="s">
        <v>19</v>
      </c>
      <c r="B1707" t="s">
        <v>19</v>
      </c>
      <c r="C1707" s="1">
        <v>45546</v>
      </c>
      <c r="D1707">
        <f t="shared" si="116"/>
        <v>11</v>
      </c>
      <c r="E1707">
        <f t="shared" si="117"/>
        <v>9</v>
      </c>
      <c r="F1707">
        <f t="shared" si="118"/>
        <v>2024</v>
      </c>
      <c r="G1707" t="s">
        <v>58</v>
      </c>
      <c r="H1707" s="171" t="s">
        <v>492</v>
      </c>
      <c r="I1707" s="90">
        <v>29741.3</v>
      </c>
      <c r="J1707" s="12" t="s">
        <v>31</v>
      </c>
      <c r="K1707" s="76">
        <f t="shared" si="119"/>
        <v>29741.3</v>
      </c>
      <c r="L1707">
        <v>1</v>
      </c>
      <c r="M1707" s="29">
        <v>0</v>
      </c>
      <c r="N1707" t="s">
        <v>32</v>
      </c>
      <c r="O1707" t="s">
        <v>33</v>
      </c>
      <c r="P1707" t="s">
        <v>34</v>
      </c>
      <c r="Q1707" t="s">
        <v>34</v>
      </c>
      <c r="R1707" t="s">
        <v>34</v>
      </c>
      <c r="S1707" t="s">
        <v>34</v>
      </c>
      <c r="T1707" s="117">
        <v>0</v>
      </c>
    </row>
    <row r="1708" spans="1:20" x14ac:dyDescent="0.35">
      <c r="A1708" t="s">
        <v>19</v>
      </c>
      <c r="B1708" t="s">
        <v>19</v>
      </c>
      <c r="C1708" s="1">
        <v>45546</v>
      </c>
      <c r="D1708">
        <f t="shared" si="116"/>
        <v>11</v>
      </c>
      <c r="E1708">
        <f t="shared" si="117"/>
        <v>9</v>
      </c>
      <c r="F1708">
        <f t="shared" si="118"/>
        <v>2024</v>
      </c>
      <c r="G1708" t="s">
        <v>124</v>
      </c>
      <c r="H1708" s="98" t="s">
        <v>503</v>
      </c>
      <c r="I1708" s="29">
        <v>24834.22</v>
      </c>
      <c r="J1708" s="12" t="s">
        <v>31</v>
      </c>
      <c r="K1708" s="76">
        <f t="shared" si="119"/>
        <v>24834.22</v>
      </c>
      <c r="L1708">
        <v>1</v>
      </c>
      <c r="M1708" s="29">
        <v>0</v>
      </c>
      <c r="N1708" t="s">
        <v>32</v>
      </c>
      <c r="O1708" t="s">
        <v>33</v>
      </c>
      <c r="P1708" t="s">
        <v>34</v>
      </c>
      <c r="Q1708" t="s">
        <v>34</v>
      </c>
      <c r="R1708" t="s">
        <v>34</v>
      </c>
      <c r="S1708" t="s">
        <v>34</v>
      </c>
      <c r="T1708" s="117">
        <v>0</v>
      </c>
    </row>
    <row r="1709" spans="1:20" x14ac:dyDescent="0.35">
      <c r="A1709" t="s">
        <v>19</v>
      </c>
      <c r="B1709" t="s">
        <v>19</v>
      </c>
      <c r="C1709" s="1">
        <v>45546</v>
      </c>
      <c r="D1709">
        <f t="shared" si="116"/>
        <v>11</v>
      </c>
      <c r="E1709">
        <f t="shared" si="117"/>
        <v>9</v>
      </c>
      <c r="F1709">
        <f t="shared" si="118"/>
        <v>2024</v>
      </c>
      <c r="G1709" t="s">
        <v>111</v>
      </c>
      <c r="H1709" s="98" t="s">
        <v>465</v>
      </c>
      <c r="I1709" s="29">
        <v>133898.85</v>
      </c>
      <c r="J1709" s="12" t="s">
        <v>31</v>
      </c>
      <c r="K1709" s="76">
        <f t="shared" si="119"/>
        <v>133898.85</v>
      </c>
      <c r="L1709">
        <v>1</v>
      </c>
      <c r="M1709" s="29">
        <v>0</v>
      </c>
      <c r="N1709" t="s">
        <v>32</v>
      </c>
      <c r="O1709" t="s">
        <v>33</v>
      </c>
      <c r="P1709" t="s">
        <v>34</v>
      </c>
      <c r="Q1709" t="s">
        <v>34</v>
      </c>
      <c r="R1709" t="s">
        <v>34</v>
      </c>
      <c r="S1709" t="s">
        <v>34</v>
      </c>
      <c r="T1709" s="117">
        <v>7667.9</v>
      </c>
    </row>
    <row r="1710" spans="1:20" x14ac:dyDescent="0.35">
      <c r="A1710" t="s">
        <v>19</v>
      </c>
      <c r="B1710" t="s">
        <v>19</v>
      </c>
      <c r="C1710" s="1">
        <v>45546</v>
      </c>
      <c r="D1710">
        <f t="shared" si="116"/>
        <v>11</v>
      </c>
      <c r="E1710">
        <f t="shared" si="117"/>
        <v>9</v>
      </c>
      <c r="F1710">
        <f t="shared" si="118"/>
        <v>2024</v>
      </c>
      <c r="G1710" t="s">
        <v>106</v>
      </c>
      <c r="H1710" s="98" t="s">
        <v>504</v>
      </c>
      <c r="I1710" s="29">
        <v>101495.3</v>
      </c>
      <c r="J1710" s="12" t="s">
        <v>31</v>
      </c>
      <c r="K1710" s="76">
        <f t="shared" si="119"/>
        <v>101495.3</v>
      </c>
      <c r="L1710">
        <v>1</v>
      </c>
      <c r="M1710" s="29">
        <v>0</v>
      </c>
      <c r="N1710" t="s">
        <v>32</v>
      </c>
      <c r="O1710" t="s">
        <v>33</v>
      </c>
      <c r="P1710" t="s">
        <v>34</v>
      </c>
      <c r="Q1710" t="s">
        <v>34</v>
      </c>
      <c r="R1710" t="s">
        <v>34</v>
      </c>
      <c r="S1710" t="s">
        <v>34</v>
      </c>
      <c r="T1710" s="117">
        <v>0</v>
      </c>
    </row>
    <row r="1711" spans="1:20" x14ac:dyDescent="0.35">
      <c r="A1711" t="s">
        <v>19</v>
      </c>
      <c r="B1711" t="s">
        <v>19</v>
      </c>
      <c r="C1711" s="1">
        <v>45546</v>
      </c>
      <c r="D1711">
        <f t="shared" si="116"/>
        <v>11</v>
      </c>
      <c r="E1711">
        <f t="shared" si="117"/>
        <v>9</v>
      </c>
      <c r="F1711">
        <f t="shared" si="118"/>
        <v>2024</v>
      </c>
      <c r="G1711" t="s">
        <v>106</v>
      </c>
      <c r="H1711" s="98" t="s">
        <v>505</v>
      </c>
      <c r="I1711" s="29">
        <v>80821.25</v>
      </c>
      <c r="J1711" s="12" t="s">
        <v>31</v>
      </c>
      <c r="K1711" s="76">
        <f t="shared" si="119"/>
        <v>80821.25</v>
      </c>
      <c r="L1711">
        <v>1</v>
      </c>
      <c r="M1711" s="29">
        <v>0</v>
      </c>
      <c r="N1711" t="s">
        <v>32</v>
      </c>
      <c r="O1711" t="s">
        <v>33</v>
      </c>
      <c r="P1711" t="s">
        <v>34</v>
      </c>
      <c r="Q1711" t="s">
        <v>34</v>
      </c>
      <c r="R1711" t="s">
        <v>34</v>
      </c>
      <c r="S1711" t="s">
        <v>34</v>
      </c>
      <c r="T1711" s="117">
        <v>0</v>
      </c>
    </row>
    <row r="1712" spans="1:20" x14ac:dyDescent="0.35">
      <c r="A1712" t="s">
        <v>19</v>
      </c>
      <c r="B1712" t="s">
        <v>19</v>
      </c>
      <c r="C1712" s="1">
        <v>45546</v>
      </c>
      <c r="D1712">
        <f t="shared" si="116"/>
        <v>11</v>
      </c>
      <c r="E1712">
        <f t="shared" si="117"/>
        <v>9</v>
      </c>
      <c r="F1712">
        <f t="shared" si="118"/>
        <v>2024</v>
      </c>
      <c r="G1712" t="s">
        <v>265</v>
      </c>
      <c r="H1712" s="98" t="s">
        <v>506</v>
      </c>
      <c r="I1712" s="29">
        <v>159</v>
      </c>
      <c r="J1712" s="12" t="s">
        <v>31</v>
      </c>
      <c r="K1712" s="76">
        <f t="shared" si="119"/>
        <v>159</v>
      </c>
      <c r="L1712">
        <v>1</v>
      </c>
      <c r="M1712" s="29">
        <v>0</v>
      </c>
      <c r="N1712" t="s">
        <v>42</v>
      </c>
      <c r="O1712" t="s">
        <v>33</v>
      </c>
      <c r="P1712" t="s">
        <v>34</v>
      </c>
      <c r="Q1712" t="s">
        <v>34</v>
      </c>
      <c r="R1712" t="s">
        <v>34</v>
      </c>
      <c r="S1712" t="s">
        <v>34</v>
      </c>
      <c r="T1712" s="117">
        <v>0</v>
      </c>
    </row>
    <row r="1713" spans="1:21" x14ac:dyDescent="0.35">
      <c r="A1713" t="s">
        <v>19</v>
      </c>
      <c r="B1713" t="s">
        <v>19</v>
      </c>
      <c r="C1713" s="1">
        <v>45546</v>
      </c>
      <c r="D1713">
        <f t="shared" si="116"/>
        <v>11</v>
      </c>
      <c r="E1713">
        <f t="shared" si="117"/>
        <v>9</v>
      </c>
      <c r="F1713">
        <f t="shared" si="118"/>
        <v>2024</v>
      </c>
      <c r="G1713" t="s">
        <v>102</v>
      </c>
      <c r="H1713" s="98" t="s">
        <v>269</v>
      </c>
      <c r="I1713" s="29">
        <v>61573.760000000002</v>
      </c>
      <c r="J1713" s="12" t="s">
        <v>31</v>
      </c>
      <c r="K1713" s="76">
        <f t="shared" si="119"/>
        <v>61573.760000000002</v>
      </c>
      <c r="L1713">
        <v>1</v>
      </c>
      <c r="M1713" s="29">
        <v>0</v>
      </c>
      <c r="N1713" t="s">
        <v>32</v>
      </c>
      <c r="O1713" t="s">
        <v>33</v>
      </c>
      <c r="P1713" t="s">
        <v>34</v>
      </c>
      <c r="Q1713" t="s">
        <v>34</v>
      </c>
      <c r="R1713" t="s">
        <v>34</v>
      </c>
      <c r="S1713" t="s">
        <v>34</v>
      </c>
      <c r="T1713" s="117">
        <v>0</v>
      </c>
    </row>
    <row r="1714" spans="1:21" x14ac:dyDescent="0.35">
      <c r="A1714" t="s">
        <v>19</v>
      </c>
      <c r="B1714" t="s">
        <v>26</v>
      </c>
      <c r="C1714" s="1">
        <v>45547</v>
      </c>
      <c r="D1714">
        <f t="shared" si="116"/>
        <v>12</v>
      </c>
      <c r="E1714">
        <f t="shared" si="117"/>
        <v>9</v>
      </c>
      <c r="F1714">
        <f t="shared" si="118"/>
        <v>2024</v>
      </c>
      <c r="G1714" t="s">
        <v>73</v>
      </c>
      <c r="H1714" s="98">
        <v>11176</v>
      </c>
      <c r="I1714" s="29">
        <v>74138.2</v>
      </c>
      <c r="J1714" s="12" t="s">
        <v>51</v>
      </c>
      <c r="K1714" s="76">
        <f t="shared" si="119"/>
        <v>82026.504480000003</v>
      </c>
      <c r="L1714">
        <v>1.1064000000000001</v>
      </c>
      <c r="M1714" s="29">
        <v>0</v>
      </c>
      <c r="N1714" t="s">
        <v>32</v>
      </c>
      <c r="O1714" t="s">
        <v>33</v>
      </c>
      <c r="P1714" t="s">
        <v>34</v>
      </c>
      <c r="Q1714" t="s">
        <v>34</v>
      </c>
      <c r="R1714" t="s">
        <v>34</v>
      </c>
      <c r="S1714" t="s">
        <v>34</v>
      </c>
      <c r="T1714" s="117">
        <v>0</v>
      </c>
      <c r="U1714" s="209" t="s">
        <v>94</v>
      </c>
    </row>
    <row r="1715" spans="1:21" x14ac:dyDescent="0.35">
      <c r="A1715" t="s">
        <v>19</v>
      </c>
      <c r="B1715" t="s">
        <v>26</v>
      </c>
      <c r="C1715" s="1">
        <v>45547</v>
      </c>
      <c r="D1715">
        <f t="shared" si="116"/>
        <v>12</v>
      </c>
      <c r="E1715">
        <f t="shared" si="117"/>
        <v>9</v>
      </c>
      <c r="F1715">
        <f t="shared" si="118"/>
        <v>2024</v>
      </c>
      <c r="G1715" t="s">
        <v>73</v>
      </c>
      <c r="H1715" s="98">
        <v>11177</v>
      </c>
      <c r="I1715" s="29">
        <v>6458.47</v>
      </c>
      <c r="J1715" s="12" t="s">
        <v>51</v>
      </c>
      <c r="K1715" s="76">
        <f t="shared" si="119"/>
        <v>7145.6512080000002</v>
      </c>
      <c r="L1715">
        <v>1.1064000000000001</v>
      </c>
      <c r="M1715" s="29">
        <v>0</v>
      </c>
      <c r="N1715" t="s">
        <v>32</v>
      </c>
      <c r="O1715" t="s">
        <v>33</v>
      </c>
      <c r="P1715" t="s">
        <v>34</v>
      </c>
      <c r="Q1715" t="s">
        <v>34</v>
      </c>
      <c r="R1715" t="s">
        <v>34</v>
      </c>
      <c r="S1715" t="s">
        <v>34</v>
      </c>
      <c r="T1715" s="117">
        <v>0</v>
      </c>
      <c r="U1715" s="209" t="s">
        <v>94</v>
      </c>
    </row>
    <row r="1716" spans="1:21" x14ac:dyDescent="0.35">
      <c r="A1716" t="s">
        <v>20</v>
      </c>
      <c r="B1716" t="s">
        <v>21</v>
      </c>
      <c r="C1716" s="1">
        <v>45547</v>
      </c>
      <c r="D1716">
        <f t="shared" si="116"/>
        <v>12</v>
      </c>
      <c r="E1716">
        <f t="shared" si="117"/>
        <v>9</v>
      </c>
      <c r="F1716">
        <f t="shared" si="118"/>
        <v>2024</v>
      </c>
      <c r="G1716" t="s">
        <v>265</v>
      </c>
      <c r="H1716" s="98">
        <v>11224</v>
      </c>
      <c r="I1716" s="29">
        <v>212</v>
      </c>
      <c r="J1716" s="12" t="s">
        <v>31</v>
      </c>
      <c r="K1716" s="76">
        <f t="shared" si="119"/>
        <v>212</v>
      </c>
      <c r="L1716">
        <v>1</v>
      </c>
      <c r="M1716" s="29">
        <v>0</v>
      </c>
      <c r="N1716" t="s">
        <v>42</v>
      </c>
      <c r="O1716" t="s">
        <v>33</v>
      </c>
      <c r="P1716" t="s">
        <v>34</v>
      </c>
      <c r="Q1716" t="s">
        <v>34</v>
      </c>
      <c r="R1716" t="s">
        <v>34</v>
      </c>
      <c r="S1716" t="s">
        <v>34</v>
      </c>
      <c r="T1716" s="117">
        <v>0</v>
      </c>
    </row>
    <row r="1717" spans="1:21" x14ac:dyDescent="0.35">
      <c r="A1717" t="s">
        <v>20</v>
      </c>
      <c r="B1717" t="s">
        <v>21</v>
      </c>
      <c r="C1717" s="1">
        <v>45547</v>
      </c>
      <c r="D1717">
        <f t="shared" si="116"/>
        <v>12</v>
      </c>
      <c r="E1717">
        <f t="shared" si="117"/>
        <v>9</v>
      </c>
      <c r="F1717">
        <f t="shared" si="118"/>
        <v>2024</v>
      </c>
      <c r="G1717" t="s">
        <v>265</v>
      </c>
      <c r="H1717" s="98">
        <v>11223</v>
      </c>
      <c r="I1717" s="29">
        <v>4958.1499999999996</v>
      </c>
      <c r="J1717" s="12" t="s">
        <v>31</v>
      </c>
      <c r="K1717" s="76">
        <f t="shared" si="119"/>
        <v>4958.1499999999996</v>
      </c>
      <c r="L1717">
        <v>1</v>
      </c>
      <c r="M1717" s="29">
        <v>0</v>
      </c>
      <c r="N1717" t="s">
        <v>42</v>
      </c>
      <c r="O1717" t="s">
        <v>33</v>
      </c>
      <c r="P1717" t="s">
        <v>34</v>
      </c>
      <c r="Q1717" t="s">
        <v>34</v>
      </c>
      <c r="R1717" t="s">
        <v>34</v>
      </c>
      <c r="S1717" t="s">
        <v>34</v>
      </c>
      <c r="T1717" s="117">
        <v>0</v>
      </c>
    </row>
    <row r="1718" spans="1:21" x14ac:dyDescent="0.35">
      <c r="A1718" t="s">
        <v>20</v>
      </c>
      <c r="B1718" t="s">
        <v>21</v>
      </c>
      <c r="C1718" s="1">
        <v>45547</v>
      </c>
      <c r="D1718">
        <f t="shared" si="116"/>
        <v>12</v>
      </c>
      <c r="E1718">
        <f t="shared" si="117"/>
        <v>9</v>
      </c>
      <c r="F1718">
        <f t="shared" si="118"/>
        <v>2024</v>
      </c>
      <c r="G1718" t="s">
        <v>265</v>
      </c>
      <c r="H1718" s="98">
        <v>11220</v>
      </c>
      <c r="I1718" s="29">
        <v>59</v>
      </c>
      <c r="J1718" s="12" t="s">
        <v>31</v>
      </c>
      <c r="K1718" s="76">
        <f t="shared" si="119"/>
        <v>59</v>
      </c>
      <c r="L1718">
        <v>1</v>
      </c>
      <c r="M1718" s="29">
        <v>0</v>
      </c>
      <c r="N1718" t="s">
        <v>42</v>
      </c>
      <c r="O1718" t="s">
        <v>33</v>
      </c>
      <c r="P1718" t="s">
        <v>34</v>
      </c>
      <c r="Q1718" t="s">
        <v>34</v>
      </c>
      <c r="R1718" t="s">
        <v>34</v>
      </c>
      <c r="S1718" t="s">
        <v>34</v>
      </c>
      <c r="T1718" s="117">
        <v>0</v>
      </c>
    </row>
    <row r="1719" spans="1:21" x14ac:dyDescent="0.35">
      <c r="A1719" t="s">
        <v>20</v>
      </c>
      <c r="B1719" t="s">
        <v>21</v>
      </c>
      <c r="C1719" s="1">
        <v>45547</v>
      </c>
      <c r="D1719">
        <f t="shared" si="116"/>
        <v>12</v>
      </c>
      <c r="E1719">
        <f t="shared" si="117"/>
        <v>9</v>
      </c>
      <c r="F1719">
        <f t="shared" si="118"/>
        <v>2024</v>
      </c>
      <c r="G1719" t="s">
        <v>265</v>
      </c>
      <c r="H1719" s="98">
        <v>11219</v>
      </c>
      <c r="I1719" s="29">
        <v>1420.72</v>
      </c>
      <c r="J1719" s="12" t="s">
        <v>31</v>
      </c>
      <c r="K1719" s="76">
        <f t="shared" si="119"/>
        <v>1420.72</v>
      </c>
      <c r="L1719">
        <v>1</v>
      </c>
      <c r="M1719" s="29">
        <v>0</v>
      </c>
      <c r="N1719" t="s">
        <v>42</v>
      </c>
      <c r="O1719" t="s">
        <v>33</v>
      </c>
      <c r="P1719" t="s">
        <v>34</v>
      </c>
      <c r="Q1719" t="s">
        <v>34</v>
      </c>
      <c r="R1719" t="s">
        <v>34</v>
      </c>
      <c r="S1719" t="s">
        <v>34</v>
      </c>
      <c r="T1719" s="117">
        <v>0</v>
      </c>
    </row>
    <row r="1720" spans="1:21" x14ac:dyDescent="0.35">
      <c r="A1720" t="s">
        <v>20</v>
      </c>
      <c r="B1720" t="s">
        <v>25</v>
      </c>
      <c r="C1720" s="1">
        <v>45547</v>
      </c>
      <c r="D1720">
        <f t="shared" si="116"/>
        <v>12</v>
      </c>
      <c r="E1720">
        <f t="shared" si="117"/>
        <v>9</v>
      </c>
      <c r="F1720">
        <f t="shared" si="118"/>
        <v>2024</v>
      </c>
      <c r="G1720" t="s">
        <v>442</v>
      </c>
      <c r="H1720" s="98">
        <v>10989</v>
      </c>
      <c r="I1720" s="29">
        <v>119</v>
      </c>
      <c r="J1720" s="12" t="s">
        <v>31</v>
      </c>
      <c r="K1720" s="76">
        <f t="shared" si="119"/>
        <v>119</v>
      </c>
      <c r="L1720">
        <v>1</v>
      </c>
      <c r="M1720" s="29">
        <v>0</v>
      </c>
      <c r="N1720" t="s">
        <v>32</v>
      </c>
      <c r="O1720" t="s">
        <v>33</v>
      </c>
      <c r="P1720" t="s">
        <v>34</v>
      </c>
      <c r="Q1720" t="s">
        <v>34</v>
      </c>
      <c r="R1720" t="s">
        <v>34</v>
      </c>
      <c r="S1720" t="s">
        <v>34</v>
      </c>
      <c r="T1720" s="117">
        <v>0</v>
      </c>
    </row>
    <row r="1721" spans="1:21" x14ac:dyDescent="0.35">
      <c r="A1721" t="s">
        <v>19</v>
      </c>
      <c r="B1721" t="s">
        <v>19</v>
      </c>
      <c r="C1721" s="1">
        <v>45548</v>
      </c>
      <c r="D1721">
        <f t="shared" si="116"/>
        <v>13</v>
      </c>
      <c r="E1721">
        <f t="shared" si="117"/>
        <v>9</v>
      </c>
      <c r="F1721">
        <f t="shared" si="118"/>
        <v>2024</v>
      </c>
      <c r="G1721" t="s">
        <v>56</v>
      </c>
      <c r="H1721" s="98" t="s">
        <v>509</v>
      </c>
      <c r="I1721" s="29">
        <v>195302.05</v>
      </c>
      <c r="J1721" s="12" t="s">
        <v>31</v>
      </c>
      <c r="K1721" s="76">
        <f t="shared" si="119"/>
        <v>195302.05</v>
      </c>
      <c r="L1721">
        <v>1</v>
      </c>
      <c r="M1721" s="29">
        <v>0</v>
      </c>
      <c r="N1721" t="s">
        <v>32</v>
      </c>
      <c r="O1721" t="s">
        <v>33</v>
      </c>
      <c r="P1721" t="s">
        <v>34</v>
      </c>
      <c r="Q1721" t="s">
        <v>34</v>
      </c>
      <c r="R1721" t="s">
        <v>34</v>
      </c>
      <c r="S1721" t="s">
        <v>34</v>
      </c>
      <c r="T1721" s="117">
        <v>0</v>
      </c>
    </row>
    <row r="1722" spans="1:21" x14ac:dyDescent="0.35">
      <c r="A1722" t="s">
        <v>19</v>
      </c>
      <c r="B1722" t="s">
        <v>19</v>
      </c>
      <c r="C1722" s="1">
        <v>45548</v>
      </c>
      <c r="D1722">
        <f t="shared" si="116"/>
        <v>13</v>
      </c>
      <c r="E1722">
        <f t="shared" si="117"/>
        <v>9</v>
      </c>
      <c r="F1722">
        <f t="shared" si="118"/>
        <v>2024</v>
      </c>
      <c r="G1722" t="s">
        <v>56</v>
      </c>
      <c r="H1722" s="98" t="s">
        <v>510</v>
      </c>
      <c r="I1722" s="29">
        <v>190521.53</v>
      </c>
      <c r="J1722" s="12" t="s">
        <v>31</v>
      </c>
      <c r="K1722" s="76">
        <f t="shared" si="119"/>
        <v>190521.53</v>
      </c>
      <c r="L1722">
        <v>1</v>
      </c>
      <c r="M1722" s="29">
        <v>0</v>
      </c>
      <c r="N1722" t="s">
        <v>32</v>
      </c>
      <c r="O1722" t="s">
        <v>33</v>
      </c>
      <c r="P1722" t="s">
        <v>34</v>
      </c>
      <c r="Q1722" t="s">
        <v>34</v>
      </c>
      <c r="R1722" t="s">
        <v>34</v>
      </c>
      <c r="S1722" t="s">
        <v>34</v>
      </c>
      <c r="T1722" s="117">
        <v>0</v>
      </c>
    </row>
    <row r="1723" spans="1:21" x14ac:dyDescent="0.35">
      <c r="A1723" t="s">
        <v>19</v>
      </c>
      <c r="B1723" t="s">
        <v>19</v>
      </c>
      <c r="C1723" s="1">
        <v>45548</v>
      </c>
      <c r="D1723">
        <f t="shared" si="116"/>
        <v>13</v>
      </c>
      <c r="E1723">
        <f t="shared" si="117"/>
        <v>9</v>
      </c>
      <c r="F1723">
        <f t="shared" si="118"/>
        <v>2024</v>
      </c>
      <c r="G1723" t="s">
        <v>56</v>
      </c>
      <c r="H1723" s="98" t="s">
        <v>511</v>
      </c>
      <c r="I1723" s="29">
        <v>11039.13</v>
      </c>
      <c r="J1723" s="12" t="s">
        <v>31</v>
      </c>
      <c r="K1723" s="76">
        <f t="shared" si="119"/>
        <v>11039.13</v>
      </c>
      <c r="L1723">
        <v>1</v>
      </c>
      <c r="M1723" s="29">
        <v>0</v>
      </c>
      <c r="N1723" t="s">
        <v>32</v>
      </c>
      <c r="O1723" t="s">
        <v>33</v>
      </c>
      <c r="P1723" t="s">
        <v>34</v>
      </c>
      <c r="Q1723" t="s">
        <v>34</v>
      </c>
      <c r="R1723" t="s">
        <v>34</v>
      </c>
      <c r="S1723" t="s">
        <v>34</v>
      </c>
      <c r="T1723" s="117">
        <v>0</v>
      </c>
    </row>
    <row r="1724" spans="1:21" x14ac:dyDescent="0.35">
      <c r="A1724" t="s">
        <v>19</v>
      </c>
      <c r="B1724" t="s">
        <v>19</v>
      </c>
      <c r="C1724" s="1">
        <v>45548</v>
      </c>
      <c r="D1724">
        <f t="shared" si="116"/>
        <v>13</v>
      </c>
      <c r="E1724">
        <f t="shared" si="117"/>
        <v>9</v>
      </c>
      <c r="F1724">
        <f t="shared" si="118"/>
        <v>2024</v>
      </c>
      <c r="G1724" t="s">
        <v>263</v>
      </c>
      <c r="H1724" s="98" t="s">
        <v>457</v>
      </c>
      <c r="I1724" s="29">
        <v>58715.39</v>
      </c>
      <c r="J1724" s="12" t="s">
        <v>31</v>
      </c>
      <c r="K1724" s="76">
        <f t="shared" si="119"/>
        <v>58715.39</v>
      </c>
      <c r="L1724">
        <v>1</v>
      </c>
      <c r="M1724" s="29">
        <v>0</v>
      </c>
      <c r="N1724" t="s">
        <v>32</v>
      </c>
      <c r="O1724" t="s">
        <v>33</v>
      </c>
      <c r="P1724" t="s">
        <v>34</v>
      </c>
      <c r="Q1724" t="s">
        <v>34</v>
      </c>
      <c r="R1724" t="s">
        <v>34</v>
      </c>
      <c r="S1724" t="s">
        <v>34</v>
      </c>
      <c r="T1724" s="117">
        <v>0</v>
      </c>
    </row>
    <row r="1725" spans="1:21" x14ac:dyDescent="0.35">
      <c r="A1725" t="s">
        <v>20</v>
      </c>
      <c r="B1725" t="s">
        <v>223</v>
      </c>
      <c r="C1725" s="1">
        <v>45548</v>
      </c>
      <c r="D1725">
        <f t="shared" si="116"/>
        <v>13</v>
      </c>
      <c r="E1725">
        <f t="shared" si="117"/>
        <v>9</v>
      </c>
      <c r="F1725">
        <f t="shared" si="118"/>
        <v>2024</v>
      </c>
      <c r="G1725" t="s">
        <v>223</v>
      </c>
      <c r="H1725" s="98">
        <v>10956</v>
      </c>
      <c r="I1725" s="29">
        <v>31328.6</v>
      </c>
      <c r="J1725" s="12" t="s">
        <v>51</v>
      </c>
      <c r="K1725" s="76">
        <f t="shared" si="119"/>
        <v>34806.0746</v>
      </c>
      <c r="L1725">
        <v>1.111</v>
      </c>
      <c r="M1725" s="29">
        <v>0</v>
      </c>
      <c r="N1725" t="s">
        <v>32</v>
      </c>
      <c r="O1725" t="s">
        <v>186</v>
      </c>
      <c r="P1725" s="1">
        <v>45547</v>
      </c>
      <c r="Q1725" t="s">
        <v>34</v>
      </c>
      <c r="R1725">
        <v>10010014706</v>
      </c>
      <c r="S1725" t="s">
        <v>34</v>
      </c>
      <c r="T1725" s="117">
        <v>0</v>
      </c>
    </row>
    <row r="1726" spans="1:21" x14ac:dyDescent="0.35">
      <c r="A1726" t="s">
        <v>19</v>
      </c>
      <c r="B1726" t="s">
        <v>27</v>
      </c>
      <c r="C1726" s="1">
        <v>45552</v>
      </c>
      <c r="D1726">
        <f t="shared" si="116"/>
        <v>17</v>
      </c>
      <c r="E1726">
        <f t="shared" si="117"/>
        <v>9</v>
      </c>
      <c r="F1726">
        <f t="shared" si="118"/>
        <v>2024</v>
      </c>
      <c r="G1726" t="s">
        <v>100</v>
      </c>
      <c r="H1726" s="98">
        <v>10801</v>
      </c>
      <c r="I1726" s="29">
        <v>95644.5</v>
      </c>
      <c r="J1726" s="12" t="s">
        <v>31</v>
      </c>
      <c r="K1726" s="76">
        <f t="shared" si="119"/>
        <v>95644.5</v>
      </c>
      <c r="L1726">
        <v>1</v>
      </c>
      <c r="M1726" s="29">
        <v>0</v>
      </c>
      <c r="N1726" t="s">
        <v>32</v>
      </c>
      <c r="O1726" t="s">
        <v>33</v>
      </c>
      <c r="P1726" t="s">
        <v>34</v>
      </c>
      <c r="Q1726" t="s">
        <v>34</v>
      </c>
      <c r="R1726" t="s">
        <v>34</v>
      </c>
      <c r="S1726" t="s">
        <v>34</v>
      </c>
      <c r="T1726" s="117">
        <v>0</v>
      </c>
      <c r="U1726" s="209" t="s">
        <v>501</v>
      </c>
    </row>
    <row r="1727" spans="1:21" x14ac:dyDescent="0.35">
      <c r="A1727" t="s">
        <v>19</v>
      </c>
      <c r="B1727" t="s">
        <v>23</v>
      </c>
      <c r="C1727" s="1">
        <v>45553</v>
      </c>
      <c r="D1727">
        <f t="shared" si="116"/>
        <v>18</v>
      </c>
      <c r="E1727">
        <f t="shared" si="117"/>
        <v>9</v>
      </c>
      <c r="F1727">
        <f t="shared" si="118"/>
        <v>2024</v>
      </c>
      <c r="G1727" t="s">
        <v>77</v>
      </c>
      <c r="H1727" s="98">
        <v>10761</v>
      </c>
      <c r="I1727" s="29">
        <v>4481.8599999999997</v>
      </c>
      <c r="J1727" s="12" t="s">
        <v>31</v>
      </c>
      <c r="K1727" s="76">
        <f t="shared" si="119"/>
        <v>4481.8599999999997</v>
      </c>
      <c r="L1727">
        <v>1</v>
      </c>
      <c r="M1727" s="29">
        <v>0</v>
      </c>
      <c r="N1727" t="s">
        <v>42</v>
      </c>
      <c r="O1727" t="s">
        <v>33</v>
      </c>
      <c r="P1727" t="s">
        <v>34</v>
      </c>
      <c r="Q1727" t="s">
        <v>34</v>
      </c>
      <c r="R1727" t="s">
        <v>34</v>
      </c>
      <c r="S1727" t="s">
        <v>34</v>
      </c>
      <c r="T1727" s="117">
        <v>7678.15</v>
      </c>
    </row>
    <row r="1728" spans="1:21" x14ac:dyDescent="0.35">
      <c r="A1728" t="s">
        <v>19</v>
      </c>
      <c r="B1728" t="s">
        <v>25</v>
      </c>
      <c r="C1728" s="1">
        <v>45553</v>
      </c>
      <c r="D1728">
        <f t="shared" si="116"/>
        <v>18</v>
      </c>
      <c r="E1728">
        <f t="shared" si="117"/>
        <v>9</v>
      </c>
      <c r="F1728">
        <f t="shared" si="118"/>
        <v>2024</v>
      </c>
      <c r="G1728" t="s">
        <v>36</v>
      </c>
      <c r="H1728" s="98">
        <v>10497</v>
      </c>
      <c r="I1728" s="29">
        <v>32867</v>
      </c>
      <c r="J1728" s="12" t="s">
        <v>31</v>
      </c>
      <c r="K1728" s="76">
        <f t="shared" si="119"/>
        <v>32867</v>
      </c>
      <c r="L1728">
        <v>1</v>
      </c>
      <c r="M1728" s="29">
        <v>0</v>
      </c>
      <c r="N1728" t="s">
        <v>32</v>
      </c>
      <c r="O1728" t="s">
        <v>33</v>
      </c>
      <c r="P1728" t="s">
        <v>34</v>
      </c>
      <c r="Q1728" t="s">
        <v>34</v>
      </c>
      <c r="R1728" t="s">
        <v>34</v>
      </c>
      <c r="S1728" t="s">
        <v>34</v>
      </c>
      <c r="T1728" s="117">
        <v>0</v>
      </c>
    </row>
    <row r="1729" spans="1:20" x14ac:dyDescent="0.35">
      <c r="A1729" t="s">
        <v>19</v>
      </c>
      <c r="B1729" t="s">
        <v>21</v>
      </c>
      <c r="C1729" s="1">
        <v>45553</v>
      </c>
      <c r="D1729">
        <f t="shared" si="116"/>
        <v>18</v>
      </c>
      <c r="E1729">
        <f t="shared" si="117"/>
        <v>9</v>
      </c>
      <c r="F1729">
        <f t="shared" si="118"/>
        <v>2024</v>
      </c>
      <c r="G1729" t="s">
        <v>36</v>
      </c>
      <c r="H1729" s="98">
        <v>10497</v>
      </c>
      <c r="I1729" s="29">
        <v>42817.5</v>
      </c>
      <c r="J1729" s="12" t="s">
        <v>31</v>
      </c>
      <c r="K1729" s="76">
        <f t="shared" si="119"/>
        <v>42817.5</v>
      </c>
      <c r="L1729">
        <v>1</v>
      </c>
      <c r="M1729" s="29">
        <v>0</v>
      </c>
      <c r="N1729" t="s">
        <v>32</v>
      </c>
      <c r="O1729" t="s">
        <v>33</v>
      </c>
      <c r="P1729" t="s">
        <v>34</v>
      </c>
      <c r="Q1729" t="s">
        <v>34</v>
      </c>
      <c r="R1729" t="s">
        <v>34</v>
      </c>
      <c r="S1729" t="s">
        <v>34</v>
      </c>
      <c r="T1729" s="117">
        <v>0</v>
      </c>
    </row>
    <row r="1730" spans="1:20" x14ac:dyDescent="0.35">
      <c r="A1730" t="s">
        <v>19</v>
      </c>
      <c r="B1730" t="s">
        <v>25</v>
      </c>
      <c r="C1730" s="1">
        <v>45553</v>
      </c>
      <c r="D1730">
        <f t="shared" ref="D1730:D1793" si="120">DAY(C1730)</f>
        <v>18</v>
      </c>
      <c r="E1730">
        <f t="shared" ref="E1730:E1793" si="121">MONTH(C1730)</f>
        <v>9</v>
      </c>
      <c r="F1730">
        <f t="shared" ref="F1730:F1793" si="122">YEAR(C1730)</f>
        <v>2024</v>
      </c>
      <c r="G1730" t="s">
        <v>29</v>
      </c>
      <c r="H1730" s="98">
        <v>10408</v>
      </c>
      <c r="I1730" s="29">
        <v>29126.37</v>
      </c>
      <c r="J1730" s="12" t="s">
        <v>31</v>
      </c>
      <c r="K1730" s="76">
        <f t="shared" si="119"/>
        <v>29126.37</v>
      </c>
      <c r="L1730">
        <v>1</v>
      </c>
      <c r="M1730" s="29">
        <v>0</v>
      </c>
      <c r="N1730" t="s">
        <v>32</v>
      </c>
      <c r="O1730" t="s">
        <v>33</v>
      </c>
      <c r="P1730" t="s">
        <v>34</v>
      </c>
      <c r="Q1730" t="s">
        <v>34</v>
      </c>
      <c r="R1730" t="s">
        <v>34</v>
      </c>
      <c r="S1730" t="s">
        <v>34</v>
      </c>
      <c r="T1730" s="117">
        <v>0</v>
      </c>
    </row>
    <row r="1731" spans="1:20" x14ac:dyDescent="0.35">
      <c r="A1731" t="s">
        <v>19</v>
      </c>
      <c r="B1731" t="s">
        <v>25</v>
      </c>
      <c r="C1731" s="1">
        <v>45553</v>
      </c>
      <c r="D1731">
        <f t="shared" si="120"/>
        <v>18</v>
      </c>
      <c r="E1731">
        <f t="shared" si="121"/>
        <v>9</v>
      </c>
      <c r="F1731">
        <f t="shared" si="122"/>
        <v>2024</v>
      </c>
      <c r="G1731" t="s">
        <v>93</v>
      </c>
      <c r="H1731" s="98">
        <v>10786</v>
      </c>
      <c r="I1731" s="90">
        <v>1840.08</v>
      </c>
      <c r="J1731" s="12" t="s">
        <v>31</v>
      </c>
      <c r="K1731" s="76">
        <f t="shared" si="119"/>
        <v>1840.08</v>
      </c>
      <c r="L1731">
        <v>1</v>
      </c>
      <c r="M1731" s="29">
        <v>0</v>
      </c>
      <c r="N1731" t="s">
        <v>32</v>
      </c>
      <c r="O1731" t="s">
        <v>33</v>
      </c>
      <c r="P1731" t="s">
        <v>34</v>
      </c>
      <c r="Q1731" t="s">
        <v>34</v>
      </c>
      <c r="R1731" t="s">
        <v>34</v>
      </c>
      <c r="S1731" t="s">
        <v>34</v>
      </c>
      <c r="T1731" s="117">
        <v>0</v>
      </c>
    </row>
    <row r="1732" spans="1:20" x14ac:dyDescent="0.35">
      <c r="A1732" t="s">
        <v>19</v>
      </c>
      <c r="B1732" t="s">
        <v>25</v>
      </c>
      <c r="C1732" s="1">
        <v>45553</v>
      </c>
      <c r="D1732">
        <f t="shared" si="120"/>
        <v>18</v>
      </c>
      <c r="E1732">
        <f t="shared" si="121"/>
        <v>9</v>
      </c>
      <c r="F1732">
        <f t="shared" si="122"/>
        <v>2024</v>
      </c>
      <c r="G1732" t="s">
        <v>38</v>
      </c>
      <c r="H1732" s="98">
        <v>10374</v>
      </c>
      <c r="I1732" s="29">
        <v>333058.3</v>
      </c>
      <c r="J1732" s="12" t="s">
        <v>31</v>
      </c>
      <c r="K1732" s="76">
        <f t="shared" si="119"/>
        <v>333058.3</v>
      </c>
      <c r="L1732">
        <v>1</v>
      </c>
      <c r="M1732" s="29">
        <v>0</v>
      </c>
      <c r="N1732" t="s">
        <v>32</v>
      </c>
      <c r="O1732" t="s">
        <v>33</v>
      </c>
      <c r="P1732" t="s">
        <v>34</v>
      </c>
      <c r="Q1732" t="s">
        <v>34</v>
      </c>
      <c r="R1732" t="s">
        <v>34</v>
      </c>
      <c r="S1732" t="s">
        <v>34</v>
      </c>
      <c r="T1732" s="117">
        <v>0</v>
      </c>
    </row>
    <row r="1733" spans="1:20" x14ac:dyDescent="0.35">
      <c r="A1733" t="s">
        <v>19</v>
      </c>
      <c r="B1733" t="s">
        <v>21</v>
      </c>
      <c r="C1733" s="1">
        <v>45553</v>
      </c>
      <c r="D1733">
        <f t="shared" si="120"/>
        <v>18</v>
      </c>
      <c r="E1733">
        <f t="shared" si="121"/>
        <v>9</v>
      </c>
      <c r="F1733">
        <f t="shared" si="122"/>
        <v>2024</v>
      </c>
      <c r="G1733" t="s">
        <v>35</v>
      </c>
      <c r="H1733" s="98">
        <v>10782</v>
      </c>
      <c r="I1733" s="29">
        <v>54</v>
      </c>
      <c r="J1733" s="12" t="s">
        <v>31</v>
      </c>
      <c r="K1733" s="76">
        <f t="shared" si="119"/>
        <v>54</v>
      </c>
      <c r="L1733">
        <v>1</v>
      </c>
      <c r="M1733" s="29">
        <v>0</v>
      </c>
      <c r="N1733" t="s">
        <v>32</v>
      </c>
      <c r="O1733" t="s">
        <v>33</v>
      </c>
      <c r="P1733" t="s">
        <v>34</v>
      </c>
      <c r="Q1733" t="s">
        <v>34</v>
      </c>
      <c r="R1733" t="s">
        <v>34</v>
      </c>
      <c r="S1733" t="s">
        <v>34</v>
      </c>
      <c r="T1733" s="117">
        <v>0</v>
      </c>
    </row>
    <row r="1734" spans="1:20" x14ac:dyDescent="0.35">
      <c r="A1734" t="s">
        <v>19</v>
      </c>
      <c r="B1734" t="s">
        <v>21</v>
      </c>
      <c r="C1734" s="1">
        <v>45553</v>
      </c>
      <c r="D1734">
        <f t="shared" si="120"/>
        <v>18</v>
      </c>
      <c r="E1734">
        <f t="shared" si="121"/>
        <v>9</v>
      </c>
      <c r="F1734">
        <f t="shared" si="122"/>
        <v>2024</v>
      </c>
      <c r="G1734" t="s">
        <v>35</v>
      </c>
      <c r="H1734" s="171">
        <v>10783</v>
      </c>
      <c r="I1734" s="90">
        <v>5082.75</v>
      </c>
      <c r="J1734" s="12" t="s">
        <v>31</v>
      </c>
      <c r="K1734" s="76">
        <f t="shared" si="119"/>
        <v>5082.75</v>
      </c>
      <c r="L1734">
        <v>1</v>
      </c>
      <c r="M1734" s="29">
        <v>0</v>
      </c>
      <c r="N1734" t="s">
        <v>42</v>
      </c>
      <c r="O1734" t="s">
        <v>33</v>
      </c>
      <c r="P1734" t="s">
        <v>34</v>
      </c>
      <c r="Q1734" t="s">
        <v>34</v>
      </c>
      <c r="R1734" t="s">
        <v>34</v>
      </c>
      <c r="S1734" t="s">
        <v>34</v>
      </c>
      <c r="T1734" s="117">
        <v>0</v>
      </c>
    </row>
    <row r="1735" spans="1:20" x14ac:dyDescent="0.35">
      <c r="A1735" t="s">
        <v>19</v>
      </c>
      <c r="B1735" t="s">
        <v>25</v>
      </c>
      <c r="C1735" s="1">
        <v>45553</v>
      </c>
      <c r="D1735">
        <f t="shared" si="120"/>
        <v>18</v>
      </c>
      <c r="E1735">
        <f t="shared" si="121"/>
        <v>9</v>
      </c>
      <c r="F1735">
        <f t="shared" si="122"/>
        <v>2024</v>
      </c>
      <c r="G1735" t="s">
        <v>30</v>
      </c>
      <c r="H1735" s="98">
        <v>10725</v>
      </c>
      <c r="I1735" s="29">
        <v>51841.22</v>
      </c>
      <c r="J1735" s="12" t="s">
        <v>31</v>
      </c>
      <c r="K1735" s="76">
        <f t="shared" si="119"/>
        <v>51841.22</v>
      </c>
      <c r="L1735">
        <v>1</v>
      </c>
      <c r="M1735" s="29">
        <v>0</v>
      </c>
      <c r="N1735" t="s">
        <v>32</v>
      </c>
      <c r="O1735" t="s">
        <v>33</v>
      </c>
      <c r="P1735" t="s">
        <v>34</v>
      </c>
      <c r="Q1735" t="s">
        <v>34</v>
      </c>
      <c r="R1735" t="s">
        <v>34</v>
      </c>
      <c r="S1735" t="s">
        <v>34</v>
      </c>
      <c r="T1735" s="117">
        <v>0</v>
      </c>
    </row>
    <row r="1736" spans="1:20" x14ac:dyDescent="0.35">
      <c r="A1736" t="s">
        <v>19</v>
      </c>
      <c r="B1736" t="s">
        <v>21</v>
      </c>
      <c r="C1736" s="1">
        <v>45553</v>
      </c>
      <c r="D1736">
        <f t="shared" si="120"/>
        <v>18</v>
      </c>
      <c r="E1736">
        <f t="shared" si="121"/>
        <v>9</v>
      </c>
      <c r="F1736">
        <f t="shared" si="122"/>
        <v>2024</v>
      </c>
      <c r="G1736" t="s">
        <v>37</v>
      </c>
      <c r="H1736" s="98">
        <v>10610</v>
      </c>
      <c r="I1736" s="29">
        <v>12900.5</v>
      </c>
      <c r="J1736" s="12" t="s">
        <v>31</v>
      </c>
      <c r="K1736" s="76">
        <f t="shared" si="119"/>
        <v>12900.5</v>
      </c>
      <c r="L1736">
        <v>1</v>
      </c>
      <c r="M1736" s="29">
        <v>0</v>
      </c>
      <c r="N1736" t="s">
        <v>32</v>
      </c>
      <c r="O1736" t="s">
        <v>33</v>
      </c>
      <c r="P1736" t="s">
        <v>34</v>
      </c>
      <c r="Q1736" t="s">
        <v>34</v>
      </c>
      <c r="R1736" t="s">
        <v>34</v>
      </c>
      <c r="S1736" t="s">
        <v>34</v>
      </c>
      <c r="T1736" s="117">
        <v>0</v>
      </c>
    </row>
    <row r="1737" spans="1:20" x14ac:dyDescent="0.35">
      <c r="A1737" t="s">
        <v>20</v>
      </c>
      <c r="B1737" t="s">
        <v>23</v>
      </c>
      <c r="C1737" s="1">
        <v>45553</v>
      </c>
      <c r="D1737">
        <f t="shared" si="120"/>
        <v>18</v>
      </c>
      <c r="E1737">
        <f t="shared" si="121"/>
        <v>9</v>
      </c>
      <c r="F1737">
        <f t="shared" si="122"/>
        <v>2024</v>
      </c>
      <c r="G1737" t="s">
        <v>483</v>
      </c>
      <c r="H1737" s="98">
        <v>10985</v>
      </c>
      <c r="I1737" s="29">
        <v>299.31</v>
      </c>
      <c r="J1737" s="12" t="s">
        <v>31</v>
      </c>
      <c r="K1737" s="76">
        <f t="shared" si="119"/>
        <v>299.31</v>
      </c>
      <c r="L1737">
        <v>1</v>
      </c>
      <c r="M1737" s="29">
        <v>0</v>
      </c>
      <c r="N1737" t="s">
        <v>32</v>
      </c>
      <c r="O1737" t="s">
        <v>33</v>
      </c>
      <c r="P1737" t="s">
        <v>34</v>
      </c>
      <c r="Q1737" t="s">
        <v>34</v>
      </c>
      <c r="R1737" t="s">
        <v>34</v>
      </c>
      <c r="S1737" t="s">
        <v>34</v>
      </c>
      <c r="T1737" s="117">
        <v>0</v>
      </c>
    </row>
    <row r="1738" spans="1:20" x14ac:dyDescent="0.35">
      <c r="A1738" t="s">
        <v>20</v>
      </c>
      <c r="B1738" t="s">
        <v>23</v>
      </c>
      <c r="C1738" s="1">
        <v>45553</v>
      </c>
      <c r="D1738">
        <f t="shared" si="120"/>
        <v>18</v>
      </c>
      <c r="E1738">
        <f t="shared" si="121"/>
        <v>9</v>
      </c>
      <c r="F1738">
        <f t="shared" si="122"/>
        <v>2024</v>
      </c>
      <c r="G1738" t="s">
        <v>483</v>
      </c>
      <c r="H1738" s="98">
        <v>11253</v>
      </c>
      <c r="I1738" s="29">
        <v>15420</v>
      </c>
      <c r="J1738" s="12" t="s">
        <v>31</v>
      </c>
      <c r="K1738" s="76">
        <f t="shared" si="119"/>
        <v>15420</v>
      </c>
      <c r="L1738">
        <v>1</v>
      </c>
      <c r="M1738" s="29">
        <v>0</v>
      </c>
      <c r="N1738" t="s">
        <v>42</v>
      </c>
      <c r="O1738" t="s">
        <v>33</v>
      </c>
      <c r="P1738" t="s">
        <v>34</v>
      </c>
      <c r="Q1738" t="s">
        <v>34</v>
      </c>
      <c r="R1738" t="s">
        <v>34</v>
      </c>
      <c r="S1738" t="s">
        <v>34</v>
      </c>
      <c r="T1738" s="117">
        <v>0</v>
      </c>
    </row>
    <row r="1739" spans="1:20" x14ac:dyDescent="0.35">
      <c r="A1739" t="s">
        <v>20</v>
      </c>
      <c r="B1739" t="s">
        <v>23</v>
      </c>
      <c r="C1739" s="1">
        <v>45553</v>
      </c>
      <c r="D1739">
        <f t="shared" si="120"/>
        <v>18</v>
      </c>
      <c r="E1739">
        <f t="shared" si="121"/>
        <v>9</v>
      </c>
      <c r="F1739">
        <f t="shared" si="122"/>
        <v>2024</v>
      </c>
      <c r="G1739" t="s">
        <v>483</v>
      </c>
      <c r="H1739" s="98">
        <v>11252</v>
      </c>
      <c r="I1739" s="29">
        <v>67</v>
      </c>
      <c r="J1739" s="12" t="s">
        <v>31</v>
      </c>
      <c r="K1739" s="76">
        <f t="shared" si="119"/>
        <v>67</v>
      </c>
      <c r="L1739">
        <v>1</v>
      </c>
      <c r="M1739" s="29">
        <v>0</v>
      </c>
      <c r="N1739" t="s">
        <v>42</v>
      </c>
      <c r="O1739" t="s">
        <v>33</v>
      </c>
      <c r="P1739" t="s">
        <v>34</v>
      </c>
      <c r="Q1739" t="s">
        <v>34</v>
      </c>
      <c r="R1739" t="s">
        <v>34</v>
      </c>
      <c r="S1739" t="s">
        <v>34</v>
      </c>
      <c r="T1739" s="117">
        <v>0</v>
      </c>
    </row>
    <row r="1740" spans="1:20" x14ac:dyDescent="0.35">
      <c r="A1740" t="s">
        <v>20</v>
      </c>
      <c r="B1740" t="s">
        <v>21</v>
      </c>
      <c r="C1740" s="1">
        <v>45553</v>
      </c>
      <c r="D1740">
        <f t="shared" si="120"/>
        <v>18</v>
      </c>
      <c r="E1740">
        <f t="shared" si="121"/>
        <v>9</v>
      </c>
      <c r="F1740">
        <f t="shared" si="122"/>
        <v>2024</v>
      </c>
      <c r="G1740" t="s">
        <v>299</v>
      </c>
      <c r="H1740" s="98">
        <v>11262</v>
      </c>
      <c r="I1740" s="29">
        <v>5065.8</v>
      </c>
      <c r="J1740" s="12" t="s">
        <v>31</v>
      </c>
      <c r="K1740" s="76">
        <f t="shared" si="119"/>
        <v>5065.8</v>
      </c>
      <c r="L1740">
        <v>1</v>
      </c>
      <c r="M1740" s="29">
        <v>0</v>
      </c>
      <c r="N1740" t="s">
        <v>42</v>
      </c>
      <c r="O1740" t="s">
        <v>33</v>
      </c>
      <c r="P1740" t="s">
        <v>34</v>
      </c>
      <c r="Q1740" t="s">
        <v>34</v>
      </c>
      <c r="R1740" t="s">
        <v>34</v>
      </c>
      <c r="S1740" t="s">
        <v>34</v>
      </c>
      <c r="T1740" s="117">
        <v>0</v>
      </c>
    </row>
    <row r="1741" spans="1:20" x14ac:dyDescent="0.35">
      <c r="A1741" t="s">
        <v>20</v>
      </c>
      <c r="B1741" t="s">
        <v>21</v>
      </c>
      <c r="C1741" s="1">
        <v>45553</v>
      </c>
      <c r="D1741">
        <f t="shared" si="120"/>
        <v>18</v>
      </c>
      <c r="E1741">
        <f t="shared" si="121"/>
        <v>9</v>
      </c>
      <c r="F1741">
        <f t="shared" si="122"/>
        <v>2024</v>
      </c>
      <c r="G1741" t="s">
        <v>299</v>
      </c>
      <c r="H1741" s="98">
        <v>11261</v>
      </c>
      <c r="I1741" s="29">
        <v>223</v>
      </c>
      <c r="J1741" s="12" t="s">
        <v>31</v>
      </c>
      <c r="K1741" s="76">
        <f t="shared" si="119"/>
        <v>223</v>
      </c>
      <c r="L1741">
        <v>1</v>
      </c>
      <c r="M1741" s="29">
        <v>0</v>
      </c>
      <c r="N1741" t="s">
        <v>42</v>
      </c>
      <c r="O1741" t="s">
        <v>33</v>
      </c>
      <c r="P1741" t="s">
        <v>34</v>
      </c>
      <c r="Q1741" t="s">
        <v>34</v>
      </c>
      <c r="R1741" t="s">
        <v>34</v>
      </c>
      <c r="S1741" t="s">
        <v>34</v>
      </c>
      <c r="T1741" s="117">
        <v>0</v>
      </c>
    </row>
    <row r="1742" spans="1:20" x14ac:dyDescent="0.35">
      <c r="A1742" t="s">
        <v>20</v>
      </c>
      <c r="B1742" t="s">
        <v>25</v>
      </c>
      <c r="C1742" s="1">
        <v>45553</v>
      </c>
      <c r="D1742">
        <f t="shared" si="120"/>
        <v>18</v>
      </c>
      <c r="E1742">
        <f t="shared" si="121"/>
        <v>9</v>
      </c>
      <c r="F1742">
        <f t="shared" si="122"/>
        <v>2024</v>
      </c>
      <c r="G1742" t="s">
        <v>81</v>
      </c>
      <c r="H1742" s="98">
        <v>11030</v>
      </c>
      <c r="I1742" s="29">
        <v>7309.25</v>
      </c>
      <c r="J1742" s="12" t="s">
        <v>31</v>
      </c>
      <c r="K1742" s="76">
        <f t="shared" si="119"/>
        <v>7309.25</v>
      </c>
      <c r="L1742">
        <v>1</v>
      </c>
      <c r="M1742" s="29">
        <v>0</v>
      </c>
      <c r="N1742" t="s">
        <v>42</v>
      </c>
      <c r="O1742" t="s">
        <v>33</v>
      </c>
      <c r="P1742" t="s">
        <v>34</v>
      </c>
      <c r="Q1742" t="s">
        <v>34</v>
      </c>
      <c r="R1742" t="s">
        <v>34</v>
      </c>
      <c r="S1742" t="s">
        <v>34</v>
      </c>
      <c r="T1742" s="117">
        <v>0</v>
      </c>
    </row>
    <row r="1743" spans="1:20" x14ac:dyDescent="0.35">
      <c r="A1743" t="s">
        <v>20</v>
      </c>
      <c r="B1743" t="s">
        <v>21</v>
      </c>
      <c r="C1743" s="1">
        <v>45553</v>
      </c>
      <c r="D1743">
        <f t="shared" si="120"/>
        <v>18</v>
      </c>
      <c r="E1743">
        <f t="shared" si="121"/>
        <v>9</v>
      </c>
      <c r="F1743">
        <f t="shared" si="122"/>
        <v>2024</v>
      </c>
      <c r="G1743" t="s">
        <v>459</v>
      </c>
      <c r="H1743" s="98">
        <v>11020</v>
      </c>
      <c r="I1743" s="29">
        <v>319.14999999999998</v>
      </c>
      <c r="J1743" s="12" t="s">
        <v>31</v>
      </c>
      <c r="K1743" s="76">
        <f t="shared" si="119"/>
        <v>319.14999999999998</v>
      </c>
      <c r="L1743">
        <v>1</v>
      </c>
      <c r="M1743" s="29">
        <v>0</v>
      </c>
      <c r="N1743" t="s">
        <v>32</v>
      </c>
      <c r="O1743" t="s">
        <v>33</v>
      </c>
      <c r="P1743" t="s">
        <v>34</v>
      </c>
      <c r="Q1743" t="s">
        <v>34</v>
      </c>
      <c r="R1743" t="s">
        <v>34</v>
      </c>
      <c r="S1743" t="s">
        <v>34</v>
      </c>
      <c r="T1743" s="117">
        <v>0</v>
      </c>
    </row>
    <row r="1744" spans="1:20" x14ac:dyDescent="0.35">
      <c r="A1744" t="s">
        <v>20</v>
      </c>
      <c r="B1744" t="s">
        <v>21</v>
      </c>
      <c r="C1744" s="1">
        <v>45553</v>
      </c>
      <c r="D1744">
        <f t="shared" si="120"/>
        <v>18</v>
      </c>
      <c r="E1744">
        <f t="shared" si="121"/>
        <v>9</v>
      </c>
      <c r="F1744">
        <f t="shared" si="122"/>
        <v>2024</v>
      </c>
      <c r="G1744" t="s">
        <v>459</v>
      </c>
      <c r="H1744" s="98">
        <v>11021</v>
      </c>
      <c r="I1744" s="29">
        <v>21620.28</v>
      </c>
      <c r="J1744" s="12" t="s">
        <v>31</v>
      </c>
      <c r="K1744" s="76">
        <f t="shared" si="119"/>
        <v>21620.28</v>
      </c>
      <c r="L1744">
        <v>1</v>
      </c>
      <c r="M1744" s="29">
        <v>0</v>
      </c>
      <c r="N1744" t="s">
        <v>32</v>
      </c>
      <c r="O1744" t="s">
        <v>33</v>
      </c>
      <c r="P1744" t="s">
        <v>34</v>
      </c>
      <c r="Q1744" t="s">
        <v>34</v>
      </c>
      <c r="R1744" t="s">
        <v>34</v>
      </c>
      <c r="S1744" t="s">
        <v>34</v>
      </c>
      <c r="T1744" s="117">
        <v>0</v>
      </c>
    </row>
    <row r="1745" spans="1:21" x14ac:dyDescent="0.35">
      <c r="A1745" t="s">
        <v>20</v>
      </c>
      <c r="B1745" t="s">
        <v>25</v>
      </c>
      <c r="C1745" s="1">
        <v>45553</v>
      </c>
      <c r="D1745">
        <f t="shared" si="120"/>
        <v>18</v>
      </c>
      <c r="E1745">
        <f t="shared" si="121"/>
        <v>9</v>
      </c>
      <c r="F1745">
        <f t="shared" si="122"/>
        <v>2024</v>
      </c>
      <c r="G1745" t="s">
        <v>95</v>
      </c>
      <c r="H1745" s="98">
        <v>11235</v>
      </c>
      <c r="I1745" s="29">
        <v>1080</v>
      </c>
      <c r="J1745" s="12" t="s">
        <v>31</v>
      </c>
      <c r="K1745" s="76">
        <f t="shared" si="119"/>
        <v>1080</v>
      </c>
      <c r="L1745">
        <v>1</v>
      </c>
      <c r="M1745" s="29">
        <v>0</v>
      </c>
      <c r="N1745" t="s">
        <v>32</v>
      </c>
      <c r="O1745" t="s">
        <v>33</v>
      </c>
      <c r="P1745" t="s">
        <v>34</v>
      </c>
      <c r="Q1745" t="s">
        <v>34</v>
      </c>
      <c r="R1745" t="s">
        <v>34</v>
      </c>
      <c r="S1745" t="s">
        <v>34</v>
      </c>
      <c r="T1745" s="117">
        <v>0</v>
      </c>
    </row>
    <row r="1746" spans="1:21" x14ac:dyDescent="0.35">
      <c r="A1746" t="s">
        <v>20</v>
      </c>
      <c r="B1746" t="s">
        <v>23</v>
      </c>
      <c r="C1746" s="1">
        <v>45553</v>
      </c>
      <c r="D1746">
        <f t="shared" si="120"/>
        <v>18</v>
      </c>
      <c r="E1746">
        <f t="shared" si="121"/>
        <v>9</v>
      </c>
      <c r="F1746">
        <f t="shared" si="122"/>
        <v>2024</v>
      </c>
      <c r="G1746" t="s">
        <v>97</v>
      </c>
      <c r="H1746" s="98">
        <v>11008</v>
      </c>
      <c r="I1746" s="29">
        <v>27904.5</v>
      </c>
      <c r="J1746" s="12" t="s">
        <v>31</v>
      </c>
      <c r="K1746" s="76">
        <f t="shared" si="119"/>
        <v>27904.5</v>
      </c>
      <c r="L1746">
        <v>1</v>
      </c>
      <c r="M1746" s="29">
        <v>863.03</v>
      </c>
      <c r="N1746" t="s">
        <v>32</v>
      </c>
      <c r="O1746" t="s">
        <v>33</v>
      </c>
      <c r="P1746" t="s">
        <v>34</v>
      </c>
      <c r="Q1746" t="s">
        <v>34</v>
      </c>
      <c r="R1746" t="s">
        <v>34</v>
      </c>
      <c r="S1746" t="s">
        <v>34</v>
      </c>
      <c r="T1746" s="117">
        <v>0</v>
      </c>
    </row>
    <row r="1747" spans="1:21" x14ac:dyDescent="0.35">
      <c r="A1747" t="s">
        <v>20</v>
      </c>
      <c r="B1747" t="s">
        <v>23</v>
      </c>
      <c r="C1747" s="1">
        <v>45553</v>
      </c>
      <c r="D1747">
        <f t="shared" si="120"/>
        <v>18</v>
      </c>
      <c r="E1747">
        <f t="shared" si="121"/>
        <v>9</v>
      </c>
      <c r="F1747">
        <f t="shared" si="122"/>
        <v>2024</v>
      </c>
      <c r="G1747" t="s">
        <v>97</v>
      </c>
      <c r="H1747" s="98">
        <v>11016</v>
      </c>
      <c r="I1747" s="29">
        <v>167.5</v>
      </c>
      <c r="J1747" s="12" t="s">
        <v>31</v>
      </c>
      <c r="K1747" s="76">
        <f t="shared" ref="K1747:K1810" si="123">IF(J1747="USD",I1747,I1747*L1747)</f>
        <v>167.5</v>
      </c>
      <c r="L1747">
        <v>1</v>
      </c>
      <c r="M1747" s="29">
        <v>0</v>
      </c>
      <c r="N1747" t="s">
        <v>32</v>
      </c>
      <c r="O1747" t="s">
        <v>33</v>
      </c>
      <c r="P1747" t="s">
        <v>34</v>
      </c>
      <c r="Q1747" t="s">
        <v>34</v>
      </c>
      <c r="R1747" t="s">
        <v>34</v>
      </c>
      <c r="S1747" t="s">
        <v>34</v>
      </c>
      <c r="T1747" s="117">
        <v>0</v>
      </c>
    </row>
    <row r="1748" spans="1:21" x14ac:dyDescent="0.35">
      <c r="A1748" t="s">
        <v>20</v>
      </c>
      <c r="B1748" t="s">
        <v>23</v>
      </c>
      <c r="C1748" s="1">
        <v>45553</v>
      </c>
      <c r="D1748">
        <f t="shared" si="120"/>
        <v>18</v>
      </c>
      <c r="E1748">
        <f t="shared" si="121"/>
        <v>9</v>
      </c>
      <c r="F1748">
        <f t="shared" si="122"/>
        <v>2024</v>
      </c>
      <c r="G1748" t="s">
        <v>97</v>
      </c>
      <c r="H1748" s="98">
        <v>11108</v>
      </c>
      <c r="I1748" s="29">
        <v>62</v>
      </c>
      <c r="J1748" s="12" t="s">
        <v>31</v>
      </c>
      <c r="K1748" s="76">
        <f t="shared" si="123"/>
        <v>62</v>
      </c>
      <c r="L1748">
        <v>1</v>
      </c>
      <c r="M1748" s="29">
        <v>0</v>
      </c>
      <c r="N1748" t="s">
        <v>32</v>
      </c>
      <c r="O1748" t="s">
        <v>33</v>
      </c>
      <c r="P1748" t="s">
        <v>34</v>
      </c>
      <c r="Q1748" t="s">
        <v>34</v>
      </c>
      <c r="R1748" t="s">
        <v>34</v>
      </c>
      <c r="S1748" t="s">
        <v>34</v>
      </c>
      <c r="T1748" s="117">
        <v>0</v>
      </c>
    </row>
    <row r="1749" spans="1:21" x14ac:dyDescent="0.35">
      <c r="A1749" t="s">
        <v>20</v>
      </c>
      <c r="B1749" t="s">
        <v>23</v>
      </c>
      <c r="C1749" s="1">
        <v>45553</v>
      </c>
      <c r="D1749">
        <f t="shared" si="120"/>
        <v>18</v>
      </c>
      <c r="E1749">
        <f t="shared" si="121"/>
        <v>9</v>
      </c>
      <c r="F1749">
        <f t="shared" si="122"/>
        <v>2024</v>
      </c>
      <c r="G1749" t="s">
        <v>177</v>
      </c>
      <c r="H1749" s="171">
        <v>11230</v>
      </c>
      <c r="I1749" s="29">
        <v>138</v>
      </c>
      <c r="J1749" s="12" t="s">
        <v>31</v>
      </c>
      <c r="K1749" s="76">
        <f t="shared" si="123"/>
        <v>138</v>
      </c>
      <c r="L1749">
        <v>1</v>
      </c>
      <c r="M1749" s="29">
        <v>0</v>
      </c>
      <c r="N1749" t="s">
        <v>42</v>
      </c>
      <c r="O1749" t="s">
        <v>33</v>
      </c>
      <c r="P1749" t="s">
        <v>34</v>
      </c>
      <c r="Q1749" t="s">
        <v>34</v>
      </c>
      <c r="R1749" t="s">
        <v>34</v>
      </c>
      <c r="S1749" t="s">
        <v>34</v>
      </c>
      <c r="T1749" s="117">
        <v>0</v>
      </c>
    </row>
    <row r="1750" spans="1:21" x14ac:dyDescent="0.35">
      <c r="A1750" t="s">
        <v>20</v>
      </c>
      <c r="B1750" t="s">
        <v>23</v>
      </c>
      <c r="C1750" s="1">
        <v>45553</v>
      </c>
      <c r="D1750">
        <f t="shared" si="120"/>
        <v>18</v>
      </c>
      <c r="E1750">
        <f t="shared" si="121"/>
        <v>9</v>
      </c>
      <c r="F1750">
        <f t="shared" si="122"/>
        <v>2024</v>
      </c>
      <c r="G1750" t="s">
        <v>177</v>
      </c>
      <c r="H1750" s="98">
        <v>11231</v>
      </c>
      <c r="I1750" s="29">
        <v>8797.5</v>
      </c>
      <c r="J1750" s="12" t="s">
        <v>31</v>
      </c>
      <c r="K1750" s="76">
        <f t="shared" si="123"/>
        <v>8797.5</v>
      </c>
      <c r="L1750">
        <v>1</v>
      </c>
      <c r="M1750" s="29">
        <v>0</v>
      </c>
      <c r="N1750" t="s">
        <v>42</v>
      </c>
      <c r="O1750" t="s">
        <v>33</v>
      </c>
      <c r="P1750" t="s">
        <v>34</v>
      </c>
      <c r="Q1750" t="s">
        <v>34</v>
      </c>
      <c r="R1750" t="s">
        <v>34</v>
      </c>
      <c r="S1750" t="s">
        <v>34</v>
      </c>
      <c r="T1750" s="117">
        <v>0</v>
      </c>
    </row>
    <row r="1751" spans="1:21" x14ac:dyDescent="0.35">
      <c r="A1751" t="s">
        <v>20</v>
      </c>
      <c r="B1751" t="s">
        <v>21</v>
      </c>
      <c r="C1751" s="1">
        <v>45553</v>
      </c>
      <c r="D1751">
        <f t="shared" si="120"/>
        <v>18</v>
      </c>
      <c r="E1751">
        <f t="shared" si="121"/>
        <v>9</v>
      </c>
      <c r="F1751">
        <f t="shared" si="122"/>
        <v>2024</v>
      </c>
      <c r="G1751" t="s">
        <v>50</v>
      </c>
      <c r="H1751" s="98">
        <v>11180</v>
      </c>
      <c r="I1751" s="29">
        <v>179.4</v>
      </c>
      <c r="J1751" s="12" t="s">
        <v>31</v>
      </c>
      <c r="K1751" s="76">
        <f t="shared" si="123"/>
        <v>179.4</v>
      </c>
      <c r="L1751">
        <v>1</v>
      </c>
      <c r="M1751" s="29">
        <v>0</v>
      </c>
      <c r="N1751" t="s">
        <v>42</v>
      </c>
      <c r="O1751" t="s">
        <v>33</v>
      </c>
      <c r="P1751" t="s">
        <v>34</v>
      </c>
      <c r="Q1751" t="s">
        <v>34</v>
      </c>
      <c r="R1751" t="s">
        <v>34</v>
      </c>
      <c r="S1751" t="s">
        <v>34</v>
      </c>
      <c r="T1751" s="117">
        <v>0</v>
      </c>
      <c r="U1751" s="209" t="s">
        <v>673</v>
      </c>
    </row>
    <row r="1752" spans="1:21" x14ac:dyDescent="0.35">
      <c r="A1752" t="s">
        <v>20</v>
      </c>
      <c r="B1752" t="s">
        <v>21</v>
      </c>
      <c r="C1752" s="1">
        <v>45553</v>
      </c>
      <c r="D1752">
        <f t="shared" si="120"/>
        <v>18</v>
      </c>
      <c r="E1752">
        <f t="shared" si="121"/>
        <v>9</v>
      </c>
      <c r="F1752">
        <f t="shared" si="122"/>
        <v>2024</v>
      </c>
      <c r="G1752" t="s">
        <v>50</v>
      </c>
      <c r="H1752" s="98">
        <v>11196</v>
      </c>
      <c r="I1752" s="29">
        <v>1268.06</v>
      </c>
      <c r="J1752" s="12" t="s">
        <v>31</v>
      </c>
      <c r="K1752" s="76">
        <f t="shared" si="123"/>
        <v>1268.06</v>
      </c>
      <c r="L1752">
        <v>1</v>
      </c>
      <c r="M1752" s="29">
        <v>0</v>
      </c>
      <c r="N1752" t="s">
        <v>42</v>
      </c>
      <c r="O1752" t="s">
        <v>33</v>
      </c>
      <c r="P1752" t="s">
        <v>34</v>
      </c>
      <c r="Q1752" t="s">
        <v>34</v>
      </c>
      <c r="R1752" t="s">
        <v>34</v>
      </c>
      <c r="S1752" t="s">
        <v>34</v>
      </c>
      <c r="T1752" s="117">
        <v>0</v>
      </c>
      <c r="U1752" s="209" t="s">
        <v>674</v>
      </c>
    </row>
    <row r="1753" spans="1:21" x14ac:dyDescent="0.35">
      <c r="A1753" t="s">
        <v>20</v>
      </c>
      <c r="B1753" t="s">
        <v>21</v>
      </c>
      <c r="C1753" s="1">
        <v>45553</v>
      </c>
      <c r="D1753">
        <f t="shared" si="120"/>
        <v>18</v>
      </c>
      <c r="E1753">
        <f t="shared" si="121"/>
        <v>9</v>
      </c>
      <c r="F1753">
        <f t="shared" si="122"/>
        <v>2024</v>
      </c>
      <c r="G1753" t="s">
        <v>50</v>
      </c>
      <c r="H1753" s="98">
        <v>11298</v>
      </c>
      <c r="I1753" s="29">
        <v>299</v>
      </c>
      <c r="J1753" s="12" t="s">
        <v>31</v>
      </c>
      <c r="K1753" s="76">
        <f t="shared" si="123"/>
        <v>299</v>
      </c>
      <c r="L1753">
        <v>1</v>
      </c>
      <c r="M1753" s="29">
        <v>0</v>
      </c>
      <c r="N1753" t="s">
        <v>42</v>
      </c>
      <c r="O1753" t="s">
        <v>33</v>
      </c>
      <c r="P1753" t="s">
        <v>34</v>
      </c>
      <c r="Q1753" t="s">
        <v>34</v>
      </c>
      <c r="R1753" t="s">
        <v>34</v>
      </c>
      <c r="S1753" t="s">
        <v>34</v>
      </c>
      <c r="T1753" s="117">
        <v>0</v>
      </c>
      <c r="U1753" s="209" t="s">
        <v>675</v>
      </c>
    </row>
    <row r="1754" spans="1:21" x14ac:dyDescent="0.35">
      <c r="A1754" t="s">
        <v>20</v>
      </c>
      <c r="B1754" t="s">
        <v>21</v>
      </c>
      <c r="C1754" s="1">
        <v>45553</v>
      </c>
      <c r="D1754">
        <f t="shared" si="120"/>
        <v>18</v>
      </c>
      <c r="E1754">
        <f t="shared" si="121"/>
        <v>9</v>
      </c>
      <c r="F1754">
        <f t="shared" si="122"/>
        <v>2024</v>
      </c>
      <c r="G1754" t="s">
        <v>50</v>
      </c>
      <c r="H1754" s="98">
        <v>11196</v>
      </c>
      <c r="I1754" s="29">
        <v>2765.75</v>
      </c>
      <c r="J1754" s="12" t="s">
        <v>31</v>
      </c>
      <c r="K1754" s="76">
        <f t="shared" si="123"/>
        <v>2765.75</v>
      </c>
      <c r="L1754">
        <v>1</v>
      </c>
      <c r="M1754" s="29">
        <v>0</v>
      </c>
      <c r="N1754" t="s">
        <v>42</v>
      </c>
      <c r="O1754" t="s">
        <v>33</v>
      </c>
      <c r="P1754" t="s">
        <v>34</v>
      </c>
      <c r="Q1754" t="s">
        <v>34</v>
      </c>
      <c r="R1754" t="s">
        <v>34</v>
      </c>
      <c r="S1754" t="s">
        <v>34</v>
      </c>
      <c r="T1754" s="117">
        <v>0</v>
      </c>
    </row>
    <row r="1755" spans="1:21" x14ac:dyDescent="0.35">
      <c r="A1755" t="s">
        <v>20</v>
      </c>
      <c r="B1755" t="s">
        <v>21</v>
      </c>
      <c r="C1755" s="1">
        <v>45553</v>
      </c>
      <c r="D1755">
        <f t="shared" si="120"/>
        <v>18</v>
      </c>
      <c r="E1755">
        <f t="shared" si="121"/>
        <v>9</v>
      </c>
      <c r="F1755">
        <f t="shared" si="122"/>
        <v>2024</v>
      </c>
      <c r="G1755" t="s">
        <v>50</v>
      </c>
      <c r="H1755" s="98">
        <v>11180</v>
      </c>
      <c r="I1755" s="29">
        <v>295</v>
      </c>
      <c r="J1755" s="12" t="s">
        <v>31</v>
      </c>
      <c r="K1755" s="76">
        <f t="shared" si="123"/>
        <v>295</v>
      </c>
      <c r="L1755">
        <v>1</v>
      </c>
      <c r="M1755" s="29">
        <v>0</v>
      </c>
      <c r="N1755" t="s">
        <v>42</v>
      </c>
      <c r="O1755" t="s">
        <v>33</v>
      </c>
      <c r="P1755" t="s">
        <v>34</v>
      </c>
      <c r="Q1755" t="s">
        <v>34</v>
      </c>
      <c r="R1755" t="s">
        <v>34</v>
      </c>
      <c r="S1755" t="s">
        <v>34</v>
      </c>
      <c r="T1755" s="117">
        <v>0</v>
      </c>
    </row>
    <row r="1756" spans="1:21" x14ac:dyDescent="0.35">
      <c r="A1756" t="s">
        <v>20</v>
      </c>
      <c r="B1756" t="s">
        <v>21</v>
      </c>
      <c r="C1756" s="1">
        <v>45553</v>
      </c>
      <c r="D1756">
        <f t="shared" si="120"/>
        <v>18</v>
      </c>
      <c r="E1756">
        <f t="shared" si="121"/>
        <v>9</v>
      </c>
      <c r="F1756">
        <f t="shared" si="122"/>
        <v>2024</v>
      </c>
      <c r="G1756" t="s">
        <v>50</v>
      </c>
      <c r="H1756" s="98">
        <v>11195</v>
      </c>
      <c r="I1756" s="29">
        <v>2065</v>
      </c>
      <c r="J1756" s="12" t="s">
        <v>31</v>
      </c>
      <c r="K1756" s="76">
        <f t="shared" si="123"/>
        <v>2065</v>
      </c>
      <c r="L1756">
        <v>1</v>
      </c>
      <c r="M1756" s="29">
        <v>0</v>
      </c>
      <c r="N1756" t="s">
        <v>42</v>
      </c>
      <c r="O1756" t="s">
        <v>33</v>
      </c>
      <c r="P1756" t="s">
        <v>34</v>
      </c>
      <c r="Q1756" t="s">
        <v>34</v>
      </c>
      <c r="R1756" t="s">
        <v>34</v>
      </c>
      <c r="S1756" t="s">
        <v>34</v>
      </c>
      <c r="T1756" s="117">
        <v>0</v>
      </c>
    </row>
    <row r="1757" spans="1:21" x14ac:dyDescent="0.35">
      <c r="A1757" t="s">
        <v>20</v>
      </c>
      <c r="B1757" t="s">
        <v>23</v>
      </c>
      <c r="C1757" s="1">
        <v>45553</v>
      </c>
      <c r="D1757">
        <f t="shared" si="120"/>
        <v>18</v>
      </c>
      <c r="E1757">
        <f t="shared" si="121"/>
        <v>9</v>
      </c>
      <c r="F1757">
        <f t="shared" si="122"/>
        <v>2024</v>
      </c>
      <c r="G1757" t="s">
        <v>121</v>
      </c>
      <c r="H1757" s="98">
        <v>10291</v>
      </c>
      <c r="I1757" s="29">
        <v>124</v>
      </c>
      <c r="J1757" s="12" t="s">
        <v>31</v>
      </c>
      <c r="K1757" s="76">
        <f t="shared" si="123"/>
        <v>124</v>
      </c>
      <c r="L1757">
        <v>1</v>
      </c>
      <c r="M1757" s="29">
        <v>0</v>
      </c>
      <c r="N1757" t="s">
        <v>32</v>
      </c>
      <c r="O1757" t="s">
        <v>33</v>
      </c>
      <c r="P1757" t="s">
        <v>34</v>
      </c>
      <c r="Q1757" t="s">
        <v>34</v>
      </c>
      <c r="R1757" t="s">
        <v>34</v>
      </c>
      <c r="S1757" t="s">
        <v>34</v>
      </c>
      <c r="T1757" s="117">
        <v>0</v>
      </c>
    </row>
    <row r="1758" spans="1:21" x14ac:dyDescent="0.35">
      <c r="A1758" t="s">
        <v>20</v>
      </c>
      <c r="B1758" t="s">
        <v>23</v>
      </c>
      <c r="C1758" s="1">
        <v>45553</v>
      </c>
      <c r="D1758">
        <f t="shared" si="120"/>
        <v>18</v>
      </c>
      <c r="E1758">
        <f t="shared" si="121"/>
        <v>9</v>
      </c>
      <c r="F1758">
        <f t="shared" si="122"/>
        <v>2024</v>
      </c>
      <c r="G1758" t="s">
        <v>121</v>
      </c>
      <c r="H1758" s="98">
        <v>10391</v>
      </c>
      <c r="I1758" s="29">
        <v>34551.54</v>
      </c>
      <c r="J1758" s="12" t="s">
        <v>31</v>
      </c>
      <c r="K1758" s="76">
        <f t="shared" si="123"/>
        <v>34551.54</v>
      </c>
      <c r="L1758">
        <v>1</v>
      </c>
      <c r="M1758" s="29">
        <v>0</v>
      </c>
      <c r="N1758" t="s">
        <v>32</v>
      </c>
      <c r="O1758" t="s">
        <v>33</v>
      </c>
      <c r="P1758" t="s">
        <v>34</v>
      </c>
      <c r="Q1758" t="s">
        <v>34</v>
      </c>
      <c r="R1758" t="s">
        <v>34</v>
      </c>
      <c r="S1758" t="s">
        <v>34</v>
      </c>
      <c r="T1758" s="117">
        <v>0</v>
      </c>
    </row>
    <row r="1759" spans="1:21" x14ac:dyDescent="0.35">
      <c r="A1759" t="s">
        <v>20</v>
      </c>
      <c r="B1759" t="s">
        <v>21</v>
      </c>
      <c r="C1759" s="1">
        <v>45553</v>
      </c>
      <c r="D1759">
        <f t="shared" si="120"/>
        <v>18</v>
      </c>
      <c r="E1759">
        <f t="shared" si="121"/>
        <v>9</v>
      </c>
      <c r="F1759">
        <f t="shared" si="122"/>
        <v>2024</v>
      </c>
      <c r="G1759" t="s">
        <v>43</v>
      </c>
      <c r="H1759" s="98">
        <v>10884</v>
      </c>
      <c r="I1759" s="29">
        <v>8904.32</v>
      </c>
      <c r="J1759" s="12" t="s">
        <v>31</v>
      </c>
      <c r="K1759" s="76">
        <f t="shared" si="123"/>
        <v>8904.32</v>
      </c>
      <c r="L1759">
        <v>1</v>
      </c>
      <c r="M1759" s="29">
        <v>0</v>
      </c>
      <c r="N1759" t="s">
        <v>32</v>
      </c>
      <c r="O1759" t="s">
        <v>33</v>
      </c>
      <c r="P1759" t="s">
        <v>34</v>
      </c>
      <c r="Q1759" t="s">
        <v>34</v>
      </c>
      <c r="R1759" t="s">
        <v>34</v>
      </c>
      <c r="S1759" t="s">
        <v>34</v>
      </c>
      <c r="T1759" s="117">
        <v>0</v>
      </c>
    </row>
    <row r="1760" spans="1:21" x14ac:dyDescent="0.35">
      <c r="A1760" t="s">
        <v>20</v>
      </c>
      <c r="B1760" t="s">
        <v>25</v>
      </c>
      <c r="C1760" s="1">
        <v>45553</v>
      </c>
      <c r="D1760">
        <f t="shared" si="120"/>
        <v>18</v>
      </c>
      <c r="E1760">
        <f t="shared" si="121"/>
        <v>9</v>
      </c>
      <c r="F1760">
        <f t="shared" si="122"/>
        <v>2024</v>
      </c>
      <c r="G1760" t="s">
        <v>43</v>
      </c>
      <c r="H1760" s="98">
        <v>10619</v>
      </c>
      <c r="I1760" s="29">
        <v>17176.77</v>
      </c>
      <c r="J1760" s="12" t="s">
        <v>31</v>
      </c>
      <c r="K1760" s="76">
        <f t="shared" si="123"/>
        <v>17176.77</v>
      </c>
      <c r="L1760">
        <v>1</v>
      </c>
      <c r="M1760" s="29">
        <v>0</v>
      </c>
      <c r="N1760" t="s">
        <v>32</v>
      </c>
      <c r="O1760" t="s">
        <v>33</v>
      </c>
      <c r="P1760" t="s">
        <v>34</v>
      </c>
      <c r="Q1760" t="s">
        <v>34</v>
      </c>
      <c r="R1760" t="s">
        <v>34</v>
      </c>
      <c r="S1760" t="s">
        <v>34</v>
      </c>
      <c r="T1760" s="117">
        <v>0</v>
      </c>
    </row>
    <row r="1761" spans="1:21" x14ac:dyDescent="0.35">
      <c r="A1761" t="s">
        <v>20</v>
      </c>
      <c r="B1761" t="s">
        <v>25</v>
      </c>
      <c r="C1761" s="1">
        <v>45553</v>
      </c>
      <c r="D1761">
        <f t="shared" si="120"/>
        <v>18</v>
      </c>
      <c r="E1761">
        <f t="shared" si="121"/>
        <v>9</v>
      </c>
      <c r="F1761">
        <f t="shared" si="122"/>
        <v>2024</v>
      </c>
      <c r="G1761" t="s">
        <v>99</v>
      </c>
      <c r="H1761" s="98">
        <v>10779</v>
      </c>
      <c r="I1761" s="29">
        <v>5986.75</v>
      </c>
      <c r="J1761" s="12" t="s">
        <v>31</v>
      </c>
      <c r="K1761" s="76">
        <f t="shared" si="123"/>
        <v>5986.75</v>
      </c>
      <c r="L1761">
        <v>1</v>
      </c>
      <c r="M1761" s="29">
        <v>0</v>
      </c>
      <c r="N1761" t="s">
        <v>32</v>
      </c>
      <c r="O1761" t="s">
        <v>33</v>
      </c>
      <c r="P1761" t="s">
        <v>34</v>
      </c>
      <c r="Q1761" t="s">
        <v>34</v>
      </c>
      <c r="R1761" t="s">
        <v>34</v>
      </c>
      <c r="S1761" t="s">
        <v>34</v>
      </c>
      <c r="T1761" s="117">
        <v>0</v>
      </c>
    </row>
    <row r="1762" spans="1:21" x14ac:dyDescent="0.35">
      <c r="A1762" t="s">
        <v>20</v>
      </c>
      <c r="B1762" t="s">
        <v>21</v>
      </c>
      <c r="C1762" s="1">
        <v>45553</v>
      </c>
      <c r="D1762">
        <f t="shared" si="120"/>
        <v>18</v>
      </c>
      <c r="E1762">
        <f t="shared" si="121"/>
        <v>9</v>
      </c>
      <c r="F1762">
        <f t="shared" si="122"/>
        <v>2024</v>
      </c>
      <c r="G1762" t="s">
        <v>118</v>
      </c>
      <c r="H1762" s="98">
        <v>11154</v>
      </c>
      <c r="I1762" s="29">
        <v>159</v>
      </c>
      <c r="J1762" s="12" t="s">
        <v>31</v>
      </c>
      <c r="K1762" s="76">
        <f t="shared" si="123"/>
        <v>159</v>
      </c>
      <c r="L1762">
        <v>1</v>
      </c>
      <c r="M1762" s="29">
        <v>0</v>
      </c>
      <c r="N1762" t="s">
        <v>42</v>
      </c>
      <c r="O1762" t="s">
        <v>33</v>
      </c>
      <c r="P1762" t="s">
        <v>34</v>
      </c>
      <c r="Q1762" t="s">
        <v>34</v>
      </c>
      <c r="R1762" t="s">
        <v>34</v>
      </c>
      <c r="S1762" t="s">
        <v>34</v>
      </c>
      <c r="T1762" s="117">
        <v>0</v>
      </c>
      <c r="U1762" s="209" t="s">
        <v>644</v>
      </c>
    </row>
    <row r="1763" spans="1:21" x14ac:dyDescent="0.35">
      <c r="A1763" t="s">
        <v>20</v>
      </c>
      <c r="B1763" t="s">
        <v>21</v>
      </c>
      <c r="C1763" s="1">
        <v>45553</v>
      </c>
      <c r="D1763">
        <f t="shared" si="120"/>
        <v>18</v>
      </c>
      <c r="E1763">
        <f t="shared" si="121"/>
        <v>9</v>
      </c>
      <c r="F1763">
        <f t="shared" si="122"/>
        <v>2024</v>
      </c>
      <c r="G1763" t="s">
        <v>118</v>
      </c>
      <c r="H1763" s="98">
        <v>11155</v>
      </c>
      <c r="I1763" s="29">
        <v>1889.98</v>
      </c>
      <c r="J1763" s="12" t="s">
        <v>31</v>
      </c>
      <c r="K1763" s="76">
        <f t="shared" si="123"/>
        <v>1889.98</v>
      </c>
      <c r="L1763">
        <v>1</v>
      </c>
      <c r="M1763" s="29">
        <v>0</v>
      </c>
      <c r="N1763" t="s">
        <v>42</v>
      </c>
      <c r="O1763" t="s">
        <v>33</v>
      </c>
      <c r="P1763" t="s">
        <v>34</v>
      </c>
      <c r="Q1763" t="s">
        <v>34</v>
      </c>
      <c r="R1763" t="s">
        <v>34</v>
      </c>
      <c r="S1763" t="s">
        <v>34</v>
      </c>
      <c r="T1763" s="117">
        <v>0</v>
      </c>
      <c r="U1763" s="209" t="s">
        <v>645</v>
      </c>
    </row>
    <row r="1764" spans="1:21" x14ac:dyDescent="0.35">
      <c r="A1764" t="s">
        <v>20</v>
      </c>
      <c r="B1764" t="s">
        <v>21</v>
      </c>
      <c r="C1764" s="1">
        <v>45553</v>
      </c>
      <c r="D1764">
        <f t="shared" si="120"/>
        <v>18</v>
      </c>
      <c r="E1764">
        <f t="shared" si="121"/>
        <v>9</v>
      </c>
      <c r="F1764">
        <f t="shared" si="122"/>
        <v>2024</v>
      </c>
      <c r="G1764" t="s">
        <v>118</v>
      </c>
      <c r="H1764" s="98">
        <v>11254</v>
      </c>
      <c r="I1764" s="29">
        <v>124.8</v>
      </c>
      <c r="J1764" s="12" t="s">
        <v>31</v>
      </c>
      <c r="K1764" s="76">
        <f t="shared" si="123"/>
        <v>124.8</v>
      </c>
      <c r="L1764">
        <v>1</v>
      </c>
      <c r="M1764" s="29">
        <v>0</v>
      </c>
      <c r="N1764" t="s">
        <v>42</v>
      </c>
      <c r="O1764" t="s">
        <v>33</v>
      </c>
      <c r="P1764" t="s">
        <v>34</v>
      </c>
      <c r="Q1764" t="s">
        <v>34</v>
      </c>
      <c r="R1764" t="s">
        <v>34</v>
      </c>
      <c r="S1764" t="s">
        <v>34</v>
      </c>
      <c r="T1764" s="117">
        <v>0</v>
      </c>
    </row>
    <row r="1765" spans="1:21" x14ac:dyDescent="0.35">
      <c r="A1765" t="s">
        <v>20</v>
      </c>
      <c r="B1765" t="s">
        <v>21</v>
      </c>
      <c r="C1765" s="1">
        <v>45553</v>
      </c>
      <c r="D1765">
        <f t="shared" si="120"/>
        <v>18</v>
      </c>
      <c r="E1765">
        <f t="shared" si="121"/>
        <v>9</v>
      </c>
      <c r="F1765">
        <f t="shared" si="122"/>
        <v>2024</v>
      </c>
      <c r="G1765" t="s">
        <v>118</v>
      </c>
      <c r="H1765" s="98">
        <v>11222</v>
      </c>
      <c r="I1765" s="29">
        <v>1671.7</v>
      </c>
      <c r="J1765" s="12" t="s">
        <v>31</v>
      </c>
      <c r="K1765" s="76">
        <f t="shared" si="123"/>
        <v>1671.7</v>
      </c>
      <c r="L1765">
        <v>1</v>
      </c>
      <c r="M1765" s="29">
        <v>0</v>
      </c>
      <c r="N1765" t="s">
        <v>42</v>
      </c>
      <c r="O1765" t="s">
        <v>33</v>
      </c>
      <c r="P1765" t="s">
        <v>34</v>
      </c>
      <c r="Q1765" t="s">
        <v>34</v>
      </c>
      <c r="R1765" t="s">
        <v>34</v>
      </c>
      <c r="S1765" t="s">
        <v>34</v>
      </c>
      <c r="T1765" s="117">
        <v>0</v>
      </c>
    </row>
    <row r="1766" spans="1:21" x14ac:dyDescent="0.35">
      <c r="A1766" t="s">
        <v>20</v>
      </c>
      <c r="B1766" t="s">
        <v>21</v>
      </c>
      <c r="C1766" s="1">
        <v>45553</v>
      </c>
      <c r="D1766">
        <f t="shared" si="120"/>
        <v>18</v>
      </c>
      <c r="E1766">
        <f t="shared" si="121"/>
        <v>9</v>
      </c>
      <c r="F1766">
        <f t="shared" si="122"/>
        <v>2024</v>
      </c>
      <c r="G1766" t="s">
        <v>89</v>
      </c>
      <c r="H1766" s="98">
        <v>11256</v>
      </c>
      <c r="I1766" s="29">
        <v>58</v>
      </c>
      <c r="J1766" s="12" t="s">
        <v>31</v>
      </c>
      <c r="K1766" s="76">
        <f t="shared" si="123"/>
        <v>58</v>
      </c>
      <c r="L1766">
        <v>1</v>
      </c>
      <c r="M1766" s="29">
        <v>0</v>
      </c>
      <c r="N1766" t="s">
        <v>42</v>
      </c>
      <c r="O1766" t="s">
        <v>33</v>
      </c>
      <c r="P1766" t="s">
        <v>34</v>
      </c>
      <c r="Q1766" t="s">
        <v>34</v>
      </c>
      <c r="R1766" t="s">
        <v>34</v>
      </c>
      <c r="S1766" t="s">
        <v>34</v>
      </c>
      <c r="T1766" s="117">
        <v>0</v>
      </c>
      <c r="U1766" s="209" t="s">
        <v>709</v>
      </c>
    </row>
    <row r="1767" spans="1:21" x14ac:dyDescent="0.35">
      <c r="A1767" t="s">
        <v>20</v>
      </c>
      <c r="B1767" t="s">
        <v>21</v>
      </c>
      <c r="C1767" s="1">
        <v>45553</v>
      </c>
      <c r="D1767">
        <f t="shared" si="120"/>
        <v>18</v>
      </c>
      <c r="E1767">
        <f t="shared" si="121"/>
        <v>9</v>
      </c>
      <c r="F1767">
        <f t="shared" si="122"/>
        <v>2024</v>
      </c>
      <c r="G1767" t="s">
        <v>89</v>
      </c>
      <c r="H1767" s="98">
        <v>11153</v>
      </c>
      <c r="I1767" s="29">
        <v>1931.4</v>
      </c>
      <c r="J1767" s="12" t="s">
        <v>31</v>
      </c>
      <c r="K1767" s="76">
        <f t="shared" si="123"/>
        <v>1931.4</v>
      </c>
      <c r="L1767">
        <v>1</v>
      </c>
      <c r="M1767" s="29">
        <v>0</v>
      </c>
      <c r="N1767" t="s">
        <v>42</v>
      </c>
      <c r="O1767" t="s">
        <v>33</v>
      </c>
      <c r="P1767" t="s">
        <v>34</v>
      </c>
      <c r="Q1767" t="s">
        <v>34</v>
      </c>
      <c r="R1767" t="s">
        <v>34</v>
      </c>
      <c r="S1767" t="s">
        <v>34</v>
      </c>
      <c r="T1767" s="117">
        <v>0</v>
      </c>
      <c r="U1767" s="209" t="s">
        <v>710</v>
      </c>
    </row>
    <row r="1768" spans="1:21" x14ac:dyDescent="0.35">
      <c r="A1768" t="s">
        <v>20</v>
      </c>
      <c r="B1768" t="s">
        <v>25</v>
      </c>
      <c r="C1768" s="1">
        <v>45553</v>
      </c>
      <c r="D1768">
        <f t="shared" si="120"/>
        <v>18</v>
      </c>
      <c r="E1768">
        <f t="shared" si="121"/>
        <v>9</v>
      </c>
      <c r="F1768">
        <f t="shared" si="122"/>
        <v>2024</v>
      </c>
      <c r="G1768" t="s">
        <v>174</v>
      </c>
      <c r="H1768" s="98">
        <v>11251</v>
      </c>
      <c r="I1768" s="29">
        <v>306.39999999999998</v>
      </c>
      <c r="J1768" s="12" t="s">
        <v>31</v>
      </c>
      <c r="K1768" s="76">
        <f t="shared" si="123"/>
        <v>306.39999999999998</v>
      </c>
      <c r="L1768">
        <v>1</v>
      </c>
      <c r="M1768" s="29">
        <v>0</v>
      </c>
      <c r="N1768" t="s">
        <v>42</v>
      </c>
      <c r="O1768" t="s">
        <v>33</v>
      </c>
      <c r="P1768" t="s">
        <v>34</v>
      </c>
      <c r="Q1768" t="s">
        <v>34</v>
      </c>
      <c r="R1768" t="s">
        <v>34</v>
      </c>
      <c r="S1768" t="s">
        <v>34</v>
      </c>
      <c r="T1768" s="117">
        <v>0</v>
      </c>
    </row>
    <row r="1769" spans="1:21" x14ac:dyDescent="0.35">
      <c r="A1769" t="s">
        <v>20</v>
      </c>
      <c r="B1769" t="s">
        <v>25</v>
      </c>
      <c r="C1769" s="1">
        <v>45553</v>
      </c>
      <c r="D1769">
        <f t="shared" si="120"/>
        <v>18</v>
      </c>
      <c r="E1769">
        <f t="shared" si="121"/>
        <v>9</v>
      </c>
      <c r="F1769">
        <f t="shared" si="122"/>
        <v>2024</v>
      </c>
      <c r="G1769" t="s">
        <v>174</v>
      </c>
      <c r="H1769" s="98">
        <v>11534</v>
      </c>
      <c r="I1769" s="29">
        <v>47.6</v>
      </c>
      <c r="J1769" s="12" t="s">
        <v>31</v>
      </c>
      <c r="K1769" s="76">
        <f t="shared" si="123"/>
        <v>47.6</v>
      </c>
      <c r="L1769">
        <v>1</v>
      </c>
      <c r="M1769" s="29">
        <v>0</v>
      </c>
      <c r="N1769" t="s">
        <v>42</v>
      </c>
      <c r="O1769" t="s">
        <v>33</v>
      </c>
      <c r="P1769" t="s">
        <v>34</v>
      </c>
      <c r="Q1769" t="s">
        <v>34</v>
      </c>
      <c r="R1769" t="s">
        <v>34</v>
      </c>
      <c r="S1769" t="s">
        <v>34</v>
      </c>
      <c r="T1769" s="117">
        <v>0</v>
      </c>
    </row>
    <row r="1770" spans="1:21" x14ac:dyDescent="0.35">
      <c r="A1770" t="s">
        <v>20</v>
      </c>
      <c r="B1770" t="s">
        <v>25</v>
      </c>
      <c r="C1770" s="1">
        <v>45553</v>
      </c>
      <c r="D1770">
        <f t="shared" si="120"/>
        <v>18</v>
      </c>
      <c r="E1770">
        <f t="shared" si="121"/>
        <v>9</v>
      </c>
      <c r="F1770">
        <f t="shared" si="122"/>
        <v>2024</v>
      </c>
      <c r="G1770" t="s">
        <v>174</v>
      </c>
      <c r="H1770" s="98">
        <v>11250</v>
      </c>
      <c r="I1770" s="29">
        <v>6551.7</v>
      </c>
      <c r="J1770" s="12" t="s">
        <v>31</v>
      </c>
      <c r="K1770" s="76">
        <f t="shared" si="123"/>
        <v>6551.7</v>
      </c>
      <c r="L1770">
        <v>1</v>
      </c>
      <c r="M1770" s="29">
        <v>0</v>
      </c>
      <c r="N1770" t="s">
        <v>42</v>
      </c>
      <c r="O1770" t="s">
        <v>33</v>
      </c>
      <c r="P1770" t="s">
        <v>34</v>
      </c>
      <c r="Q1770" t="s">
        <v>34</v>
      </c>
      <c r="R1770" t="s">
        <v>34</v>
      </c>
      <c r="S1770" t="s">
        <v>34</v>
      </c>
      <c r="T1770" s="117">
        <v>0</v>
      </c>
    </row>
    <row r="1771" spans="1:21" x14ac:dyDescent="0.35">
      <c r="A1771" t="s">
        <v>20</v>
      </c>
      <c r="B1771" t="s">
        <v>23</v>
      </c>
      <c r="C1771" s="1">
        <v>45553</v>
      </c>
      <c r="D1771">
        <f t="shared" si="120"/>
        <v>18</v>
      </c>
      <c r="E1771">
        <f t="shared" si="121"/>
        <v>9</v>
      </c>
      <c r="F1771">
        <f t="shared" si="122"/>
        <v>2024</v>
      </c>
      <c r="G1771" t="s">
        <v>90</v>
      </c>
      <c r="H1771" s="98">
        <v>10626</v>
      </c>
      <c r="I1771" s="29">
        <v>7453.76</v>
      </c>
      <c r="J1771" s="12" t="s">
        <v>31</v>
      </c>
      <c r="K1771" s="76">
        <f t="shared" si="123"/>
        <v>7453.76</v>
      </c>
      <c r="L1771">
        <v>1</v>
      </c>
      <c r="M1771" s="29">
        <v>0</v>
      </c>
      <c r="N1771" t="s">
        <v>32</v>
      </c>
      <c r="O1771" t="s">
        <v>33</v>
      </c>
      <c r="P1771" t="s">
        <v>34</v>
      </c>
      <c r="Q1771" t="s">
        <v>34</v>
      </c>
      <c r="R1771" t="s">
        <v>34</v>
      </c>
      <c r="S1771" t="s">
        <v>34</v>
      </c>
      <c r="T1771" s="117">
        <v>0</v>
      </c>
    </row>
    <row r="1772" spans="1:21" x14ac:dyDescent="0.35">
      <c r="A1772" t="s">
        <v>19</v>
      </c>
      <c r="B1772" t="s">
        <v>19</v>
      </c>
      <c r="C1772" s="1">
        <v>45553</v>
      </c>
      <c r="D1772">
        <f t="shared" si="120"/>
        <v>18</v>
      </c>
      <c r="E1772">
        <f t="shared" si="121"/>
        <v>9</v>
      </c>
      <c r="F1772">
        <f t="shared" si="122"/>
        <v>2024</v>
      </c>
      <c r="G1772" t="s">
        <v>110</v>
      </c>
      <c r="H1772" s="98" t="s">
        <v>517</v>
      </c>
      <c r="I1772" s="29">
        <v>98765.6</v>
      </c>
      <c r="J1772" s="12" t="s">
        <v>31</v>
      </c>
      <c r="K1772" s="76">
        <f t="shared" si="123"/>
        <v>98765.6</v>
      </c>
      <c r="L1772">
        <v>1</v>
      </c>
      <c r="M1772" s="29">
        <v>0</v>
      </c>
      <c r="N1772" t="s">
        <v>32</v>
      </c>
      <c r="O1772" t="s">
        <v>33</v>
      </c>
      <c r="P1772" t="s">
        <v>34</v>
      </c>
      <c r="Q1772" t="s">
        <v>34</v>
      </c>
      <c r="R1772" t="s">
        <v>34</v>
      </c>
      <c r="S1772" t="s">
        <v>34</v>
      </c>
      <c r="T1772" s="117">
        <v>0</v>
      </c>
    </row>
    <row r="1773" spans="1:21" x14ac:dyDescent="0.35">
      <c r="A1773" t="s">
        <v>19</v>
      </c>
      <c r="B1773" t="s">
        <v>19</v>
      </c>
      <c r="C1773" s="1">
        <v>45553</v>
      </c>
      <c r="D1773">
        <f t="shared" si="120"/>
        <v>18</v>
      </c>
      <c r="E1773">
        <f t="shared" si="121"/>
        <v>9</v>
      </c>
      <c r="F1773">
        <f t="shared" si="122"/>
        <v>2024</v>
      </c>
      <c r="G1773" t="s">
        <v>421</v>
      </c>
      <c r="H1773" s="171" t="s">
        <v>518</v>
      </c>
      <c r="I1773" s="90">
        <v>104052.5</v>
      </c>
      <c r="J1773" s="12" t="s">
        <v>31</v>
      </c>
      <c r="K1773" s="76">
        <f t="shared" si="123"/>
        <v>104052.5</v>
      </c>
      <c r="L1773">
        <v>1</v>
      </c>
      <c r="M1773" s="29">
        <v>0</v>
      </c>
      <c r="N1773" t="s">
        <v>32</v>
      </c>
      <c r="O1773" t="s">
        <v>33</v>
      </c>
      <c r="P1773" t="s">
        <v>34</v>
      </c>
      <c r="Q1773" t="s">
        <v>34</v>
      </c>
      <c r="R1773" t="s">
        <v>34</v>
      </c>
      <c r="S1773" t="s">
        <v>34</v>
      </c>
      <c r="T1773" s="117">
        <v>0</v>
      </c>
    </row>
    <row r="1774" spans="1:21" x14ac:dyDescent="0.35">
      <c r="A1774" t="s">
        <v>19</v>
      </c>
      <c r="B1774" t="s">
        <v>19</v>
      </c>
      <c r="C1774" s="1">
        <v>45553</v>
      </c>
      <c r="D1774">
        <f t="shared" si="120"/>
        <v>18</v>
      </c>
      <c r="E1774">
        <f t="shared" si="121"/>
        <v>9</v>
      </c>
      <c r="F1774">
        <f t="shared" si="122"/>
        <v>2024</v>
      </c>
      <c r="G1774" t="s">
        <v>421</v>
      </c>
      <c r="H1774" s="171" t="s">
        <v>519</v>
      </c>
      <c r="I1774" s="90">
        <v>21788.1</v>
      </c>
      <c r="J1774" s="12" t="s">
        <v>31</v>
      </c>
      <c r="K1774" s="76">
        <f t="shared" si="123"/>
        <v>21788.1</v>
      </c>
      <c r="L1774">
        <v>1</v>
      </c>
      <c r="M1774" s="29">
        <v>0</v>
      </c>
      <c r="N1774" t="s">
        <v>32</v>
      </c>
      <c r="O1774" t="s">
        <v>33</v>
      </c>
      <c r="P1774" t="s">
        <v>34</v>
      </c>
      <c r="Q1774" t="s">
        <v>34</v>
      </c>
      <c r="R1774" t="s">
        <v>34</v>
      </c>
      <c r="S1774" t="s">
        <v>34</v>
      </c>
      <c r="T1774" s="117">
        <v>0</v>
      </c>
    </row>
    <row r="1775" spans="1:21" x14ac:dyDescent="0.35">
      <c r="A1775" t="s">
        <v>19</v>
      </c>
      <c r="B1775" t="s">
        <v>19</v>
      </c>
      <c r="C1775" s="1">
        <v>45553</v>
      </c>
      <c r="D1775">
        <f t="shared" si="120"/>
        <v>18</v>
      </c>
      <c r="E1775">
        <f t="shared" si="121"/>
        <v>9</v>
      </c>
      <c r="F1775">
        <f t="shared" si="122"/>
        <v>2024</v>
      </c>
      <c r="G1775" t="s">
        <v>123</v>
      </c>
      <c r="H1775" s="98" t="s">
        <v>520</v>
      </c>
      <c r="I1775" s="29">
        <v>30</v>
      </c>
      <c r="J1775" s="12" t="s">
        <v>31</v>
      </c>
      <c r="K1775" s="76">
        <f t="shared" si="123"/>
        <v>30</v>
      </c>
      <c r="L1775">
        <v>1</v>
      </c>
      <c r="M1775" s="29">
        <v>0</v>
      </c>
      <c r="N1775" t="s">
        <v>32</v>
      </c>
      <c r="O1775" t="s">
        <v>33</v>
      </c>
      <c r="P1775" t="s">
        <v>34</v>
      </c>
      <c r="Q1775" t="s">
        <v>34</v>
      </c>
      <c r="R1775" t="s">
        <v>34</v>
      </c>
      <c r="S1775" t="s">
        <v>34</v>
      </c>
      <c r="T1775" s="117">
        <v>0</v>
      </c>
    </row>
    <row r="1776" spans="1:21" x14ac:dyDescent="0.35">
      <c r="A1776" t="s">
        <v>19</v>
      </c>
      <c r="B1776" t="s">
        <v>19</v>
      </c>
      <c r="C1776" s="1">
        <v>45553</v>
      </c>
      <c r="D1776">
        <f t="shared" si="120"/>
        <v>18</v>
      </c>
      <c r="E1776">
        <f t="shared" si="121"/>
        <v>9</v>
      </c>
      <c r="F1776">
        <f t="shared" si="122"/>
        <v>2024</v>
      </c>
      <c r="G1776" t="s">
        <v>265</v>
      </c>
      <c r="H1776" s="98" t="s">
        <v>521</v>
      </c>
      <c r="I1776" s="29">
        <v>161</v>
      </c>
      <c r="J1776" s="12" t="s">
        <v>31</v>
      </c>
      <c r="K1776" s="76">
        <f t="shared" si="123"/>
        <v>161</v>
      </c>
      <c r="L1776">
        <v>1</v>
      </c>
      <c r="M1776" s="29">
        <v>0</v>
      </c>
      <c r="N1776" t="s">
        <v>32</v>
      </c>
      <c r="O1776" t="s">
        <v>33</v>
      </c>
      <c r="P1776" t="s">
        <v>34</v>
      </c>
      <c r="Q1776" t="s">
        <v>34</v>
      </c>
      <c r="R1776" t="s">
        <v>34</v>
      </c>
      <c r="S1776" t="s">
        <v>34</v>
      </c>
      <c r="T1776" s="117">
        <v>0</v>
      </c>
    </row>
    <row r="1777" spans="1:21" x14ac:dyDescent="0.35">
      <c r="A1777" t="s">
        <v>19</v>
      </c>
      <c r="B1777" t="s">
        <v>19</v>
      </c>
      <c r="C1777" s="1">
        <v>45553</v>
      </c>
      <c r="D1777">
        <f t="shared" si="120"/>
        <v>18</v>
      </c>
      <c r="E1777">
        <f t="shared" si="121"/>
        <v>9</v>
      </c>
      <c r="F1777">
        <f t="shared" si="122"/>
        <v>2024</v>
      </c>
      <c r="G1777" t="s">
        <v>102</v>
      </c>
      <c r="H1777" s="98" t="s">
        <v>522</v>
      </c>
      <c r="I1777" s="29">
        <v>10000</v>
      </c>
      <c r="J1777" s="12" t="s">
        <v>31</v>
      </c>
      <c r="K1777" s="76">
        <f t="shared" si="123"/>
        <v>10000</v>
      </c>
      <c r="L1777">
        <v>1</v>
      </c>
      <c r="M1777" s="29">
        <v>0</v>
      </c>
      <c r="N1777" t="s">
        <v>32</v>
      </c>
      <c r="O1777" t="s">
        <v>33</v>
      </c>
      <c r="P1777" t="s">
        <v>34</v>
      </c>
      <c r="Q1777" t="s">
        <v>34</v>
      </c>
      <c r="R1777" t="s">
        <v>34</v>
      </c>
      <c r="S1777" t="s">
        <v>34</v>
      </c>
      <c r="T1777" s="117">
        <v>0</v>
      </c>
    </row>
    <row r="1778" spans="1:21" x14ac:dyDescent="0.35">
      <c r="A1778" t="s">
        <v>19</v>
      </c>
      <c r="B1778" t="s">
        <v>19</v>
      </c>
      <c r="C1778" s="1">
        <v>45553</v>
      </c>
      <c r="D1778">
        <f t="shared" si="120"/>
        <v>18</v>
      </c>
      <c r="E1778">
        <f t="shared" si="121"/>
        <v>9</v>
      </c>
      <c r="F1778">
        <f t="shared" si="122"/>
        <v>2024</v>
      </c>
      <c r="G1778" t="s">
        <v>523</v>
      </c>
      <c r="H1778" s="98" t="s">
        <v>524</v>
      </c>
      <c r="I1778" s="29">
        <v>128717.93</v>
      </c>
      <c r="J1778" s="12" t="s">
        <v>31</v>
      </c>
      <c r="K1778" s="76">
        <f t="shared" si="123"/>
        <v>128717.93</v>
      </c>
      <c r="L1778">
        <v>1</v>
      </c>
      <c r="M1778" s="29">
        <v>0</v>
      </c>
      <c r="N1778" t="s">
        <v>32</v>
      </c>
      <c r="O1778" t="s">
        <v>33</v>
      </c>
      <c r="P1778" t="s">
        <v>34</v>
      </c>
      <c r="Q1778" t="s">
        <v>34</v>
      </c>
      <c r="R1778" t="s">
        <v>34</v>
      </c>
      <c r="S1778" t="s">
        <v>34</v>
      </c>
      <c r="T1778" s="117">
        <v>0</v>
      </c>
    </row>
    <row r="1779" spans="1:21" x14ac:dyDescent="0.35">
      <c r="A1779" t="s">
        <v>19</v>
      </c>
      <c r="B1779" t="s">
        <v>19</v>
      </c>
      <c r="C1779" s="1">
        <v>45553</v>
      </c>
      <c r="D1779">
        <f t="shared" si="120"/>
        <v>18</v>
      </c>
      <c r="E1779">
        <f t="shared" si="121"/>
        <v>9</v>
      </c>
      <c r="F1779">
        <f t="shared" si="122"/>
        <v>2024</v>
      </c>
      <c r="G1779" t="s">
        <v>90</v>
      </c>
      <c r="H1779" s="98" t="s">
        <v>495</v>
      </c>
      <c r="I1779" s="29">
        <v>36639.599999999999</v>
      </c>
      <c r="J1779" s="12" t="s">
        <v>31</v>
      </c>
      <c r="K1779" s="76">
        <f t="shared" si="123"/>
        <v>36639.599999999999</v>
      </c>
      <c r="L1779">
        <v>1</v>
      </c>
      <c r="M1779" s="29">
        <v>0</v>
      </c>
      <c r="N1779" t="s">
        <v>32</v>
      </c>
      <c r="O1779" t="s">
        <v>33</v>
      </c>
      <c r="P1779" t="s">
        <v>34</v>
      </c>
      <c r="Q1779" t="s">
        <v>34</v>
      </c>
      <c r="R1779" t="s">
        <v>34</v>
      </c>
      <c r="S1779" t="s">
        <v>34</v>
      </c>
      <c r="T1779" s="117">
        <v>0</v>
      </c>
    </row>
    <row r="1780" spans="1:21" x14ac:dyDescent="0.35">
      <c r="A1780" t="s">
        <v>19</v>
      </c>
      <c r="B1780" t="s">
        <v>19</v>
      </c>
      <c r="C1780" s="1">
        <v>45553</v>
      </c>
      <c r="D1780">
        <f t="shared" si="120"/>
        <v>18</v>
      </c>
      <c r="E1780">
        <f t="shared" si="121"/>
        <v>9</v>
      </c>
      <c r="F1780">
        <f t="shared" si="122"/>
        <v>2024</v>
      </c>
      <c r="G1780" t="s">
        <v>228</v>
      </c>
      <c r="H1780" s="98" t="s">
        <v>525</v>
      </c>
      <c r="I1780" s="29">
        <v>75603.740000000005</v>
      </c>
      <c r="J1780" s="12" t="s">
        <v>31</v>
      </c>
      <c r="K1780" s="76">
        <f t="shared" si="123"/>
        <v>75603.740000000005</v>
      </c>
      <c r="L1780">
        <v>1</v>
      </c>
      <c r="M1780" s="29">
        <v>0</v>
      </c>
      <c r="N1780" t="s">
        <v>32</v>
      </c>
      <c r="O1780" t="s">
        <v>33</v>
      </c>
      <c r="P1780" t="s">
        <v>34</v>
      </c>
      <c r="Q1780" t="s">
        <v>34</v>
      </c>
      <c r="R1780" t="s">
        <v>34</v>
      </c>
      <c r="S1780" t="s">
        <v>34</v>
      </c>
      <c r="T1780" s="117">
        <v>0</v>
      </c>
    </row>
    <row r="1781" spans="1:21" x14ac:dyDescent="0.35">
      <c r="A1781" t="s">
        <v>19</v>
      </c>
      <c r="B1781" t="s">
        <v>19</v>
      </c>
      <c r="C1781" s="1">
        <v>45553</v>
      </c>
      <c r="D1781">
        <f t="shared" si="120"/>
        <v>18</v>
      </c>
      <c r="E1781">
        <f t="shared" si="121"/>
        <v>9</v>
      </c>
      <c r="F1781">
        <f t="shared" si="122"/>
        <v>2024</v>
      </c>
      <c r="G1781" t="s">
        <v>56</v>
      </c>
      <c r="H1781" s="98" t="s">
        <v>526</v>
      </c>
      <c r="I1781" s="29">
        <v>185955.12</v>
      </c>
      <c r="J1781" s="12" t="s">
        <v>31</v>
      </c>
      <c r="K1781" s="76">
        <f t="shared" si="123"/>
        <v>185955.12</v>
      </c>
      <c r="L1781">
        <v>1</v>
      </c>
      <c r="M1781" s="29">
        <v>0</v>
      </c>
      <c r="N1781" t="s">
        <v>32</v>
      </c>
      <c r="O1781" t="s">
        <v>33</v>
      </c>
      <c r="P1781" t="s">
        <v>34</v>
      </c>
      <c r="Q1781" t="s">
        <v>34</v>
      </c>
      <c r="R1781" t="s">
        <v>34</v>
      </c>
      <c r="S1781" t="s">
        <v>34</v>
      </c>
      <c r="T1781" s="117">
        <v>0</v>
      </c>
    </row>
    <row r="1782" spans="1:21" x14ac:dyDescent="0.35">
      <c r="A1782" t="s">
        <v>19</v>
      </c>
      <c r="B1782" t="s">
        <v>19</v>
      </c>
      <c r="C1782" s="1">
        <v>45553</v>
      </c>
      <c r="D1782">
        <f t="shared" si="120"/>
        <v>18</v>
      </c>
      <c r="E1782">
        <f t="shared" si="121"/>
        <v>9</v>
      </c>
      <c r="F1782">
        <f t="shared" si="122"/>
        <v>2024</v>
      </c>
      <c r="G1782" t="s">
        <v>117</v>
      </c>
      <c r="H1782" s="98" t="s">
        <v>376</v>
      </c>
      <c r="I1782" s="29">
        <v>100000</v>
      </c>
      <c r="J1782" s="12" t="s">
        <v>31</v>
      </c>
      <c r="K1782" s="76">
        <f t="shared" si="123"/>
        <v>100000</v>
      </c>
      <c r="L1782">
        <v>1</v>
      </c>
      <c r="M1782" s="29">
        <v>0</v>
      </c>
      <c r="N1782" t="s">
        <v>32</v>
      </c>
      <c r="O1782" t="s">
        <v>33</v>
      </c>
      <c r="P1782" t="s">
        <v>34</v>
      </c>
      <c r="Q1782" t="s">
        <v>34</v>
      </c>
      <c r="R1782" t="s">
        <v>34</v>
      </c>
      <c r="S1782" t="s">
        <v>34</v>
      </c>
      <c r="T1782" s="117">
        <v>0</v>
      </c>
    </row>
    <row r="1783" spans="1:21" x14ac:dyDescent="0.35">
      <c r="A1783" t="s">
        <v>19</v>
      </c>
      <c r="B1783" t="s">
        <v>19</v>
      </c>
      <c r="C1783" s="1">
        <v>45553</v>
      </c>
      <c r="D1783">
        <f t="shared" si="120"/>
        <v>18</v>
      </c>
      <c r="E1783">
        <f t="shared" si="121"/>
        <v>9</v>
      </c>
      <c r="F1783">
        <f t="shared" si="122"/>
        <v>2024</v>
      </c>
      <c r="G1783" t="s">
        <v>125</v>
      </c>
      <c r="H1783" s="98" t="s">
        <v>527</v>
      </c>
      <c r="I1783" s="29">
        <v>111111.73</v>
      </c>
      <c r="J1783" s="12" t="s">
        <v>31</v>
      </c>
      <c r="K1783" s="76">
        <f t="shared" si="123"/>
        <v>111111.73</v>
      </c>
      <c r="L1783">
        <v>1</v>
      </c>
      <c r="M1783" s="29">
        <v>0</v>
      </c>
      <c r="N1783" t="s">
        <v>32</v>
      </c>
      <c r="O1783" t="s">
        <v>33</v>
      </c>
      <c r="P1783" t="s">
        <v>34</v>
      </c>
      <c r="Q1783" t="s">
        <v>34</v>
      </c>
      <c r="R1783" t="s">
        <v>34</v>
      </c>
      <c r="S1783" t="s">
        <v>34</v>
      </c>
      <c r="T1783" s="117">
        <v>0</v>
      </c>
    </row>
    <row r="1784" spans="1:21" x14ac:dyDescent="0.35">
      <c r="A1784" t="s">
        <v>19</v>
      </c>
      <c r="B1784" t="s">
        <v>19</v>
      </c>
      <c r="C1784" s="1">
        <v>45553</v>
      </c>
      <c r="D1784">
        <f t="shared" si="120"/>
        <v>18</v>
      </c>
      <c r="E1784">
        <f t="shared" si="121"/>
        <v>9</v>
      </c>
      <c r="F1784">
        <f t="shared" si="122"/>
        <v>2024</v>
      </c>
      <c r="G1784" t="s">
        <v>125</v>
      </c>
      <c r="H1784" s="98" t="s">
        <v>528</v>
      </c>
      <c r="I1784" s="29">
        <v>23718.1</v>
      </c>
      <c r="J1784" s="12" t="s">
        <v>31</v>
      </c>
      <c r="K1784" s="76">
        <f t="shared" si="123"/>
        <v>23718.1</v>
      </c>
      <c r="L1784">
        <v>1</v>
      </c>
      <c r="M1784" s="29">
        <v>0</v>
      </c>
      <c r="N1784" t="s">
        <v>32</v>
      </c>
      <c r="O1784" t="s">
        <v>33</v>
      </c>
      <c r="P1784" t="s">
        <v>34</v>
      </c>
      <c r="Q1784" t="s">
        <v>34</v>
      </c>
      <c r="R1784" t="s">
        <v>34</v>
      </c>
      <c r="S1784" t="s">
        <v>34</v>
      </c>
      <c r="T1784" s="117">
        <v>0</v>
      </c>
    </row>
    <row r="1785" spans="1:21" x14ac:dyDescent="0.35">
      <c r="A1785" t="s">
        <v>19</v>
      </c>
      <c r="B1785" t="s">
        <v>19</v>
      </c>
      <c r="C1785" s="1">
        <v>45553</v>
      </c>
      <c r="D1785">
        <f t="shared" si="120"/>
        <v>18</v>
      </c>
      <c r="E1785">
        <f t="shared" si="121"/>
        <v>9</v>
      </c>
      <c r="F1785">
        <f t="shared" si="122"/>
        <v>2024</v>
      </c>
      <c r="G1785" t="s">
        <v>55</v>
      </c>
      <c r="H1785" s="98" t="s">
        <v>473</v>
      </c>
      <c r="I1785" s="29">
        <v>40606.980000000003</v>
      </c>
      <c r="J1785" s="12" t="s">
        <v>31</v>
      </c>
      <c r="K1785" s="76">
        <f t="shared" si="123"/>
        <v>40606.980000000003</v>
      </c>
      <c r="L1785">
        <v>1</v>
      </c>
      <c r="M1785" s="29">
        <v>0</v>
      </c>
      <c r="N1785" t="s">
        <v>32</v>
      </c>
      <c r="O1785" t="s">
        <v>33</v>
      </c>
      <c r="P1785" t="s">
        <v>34</v>
      </c>
      <c r="Q1785" t="s">
        <v>34</v>
      </c>
      <c r="R1785" t="s">
        <v>34</v>
      </c>
      <c r="S1785" t="s">
        <v>34</v>
      </c>
      <c r="T1785" s="117">
        <v>0</v>
      </c>
    </row>
    <row r="1786" spans="1:21" x14ac:dyDescent="0.35">
      <c r="A1786" t="s">
        <v>19</v>
      </c>
      <c r="B1786" t="s">
        <v>19</v>
      </c>
      <c r="C1786" s="1">
        <v>45553</v>
      </c>
      <c r="D1786">
        <f t="shared" si="120"/>
        <v>18</v>
      </c>
      <c r="E1786">
        <f t="shared" si="121"/>
        <v>9</v>
      </c>
      <c r="F1786">
        <f t="shared" si="122"/>
        <v>2024</v>
      </c>
      <c r="G1786" t="s">
        <v>55</v>
      </c>
      <c r="H1786" s="98" t="s">
        <v>529</v>
      </c>
      <c r="I1786" s="29">
        <v>35608.800000000003</v>
      </c>
      <c r="J1786" s="12" t="s">
        <v>31</v>
      </c>
      <c r="K1786" s="76">
        <f t="shared" si="123"/>
        <v>35608.800000000003</v>
      </c>
      <c r="L1786">
        <v>1</v>
      </c>
      <c r="M1786" s="29">
        <v>0</v>
      </c>
      <c r="N1786" t="s">
        <v>32</v>
      </c>
      <c r="O1786" t="s">
        <v>33</v>
      </c>
      <c r="P1786" t="s">
        <v>34</v>
      </c>
      <c r="Q1786" t="s">
        <v>34</v>
      </c>
      <c r="R1786" t="s">
        <v>34</v>
      </c>
      <c r="S1786" t="s">
        <v>34</v>
      </c>
      <c r="T1786" s="117">
        <v>0</v>
      </c>
    </row>
    <row r="1787" spans="1:21" x14ac:dyDescent="0.35">
      <c r="A1787" t="s">
        <v>19</v>
      </c>
      <c r="B1787" t="s">
        <v>26</v>
      </c>
      <c r="C1787" s="1">
        <v>45554</v>
      </c>
      <c r="D1787">
        <f t="shared" si="120"/>
        <v>19</v>
      </c>
      <c r="E1787">
        <f t="shared" si="121"/>
        <v>9</v>
      </c>
      <c r="F1787">
        <f t="shared" si="122"/>
        <v>2024</v>
      </c>
      <c r="G1787" t="s">
        <v>73</v>
      </c>
      <c r="H1787" s="98">
        <v>11177</v>
      </c>
      <c r="I1787" s="29">
        <v>66574.94</v>
      </c>
      <c r="J1787" s="12" t="s">
        <v>51</v>
      </c>
      <c r="K1787" s="76">
        <f t="shared" si="123"/>
        <v>74364.207980000007</v>
      </c>
      <c r="L1787">
        <v>1.117</v>
      </c>
      <c r="M1787" s="29">
        <v>0</v>
      </c>
      <c r="N1787" t="s">
        <v>32</v>
      </c>
      <c r="O1787" t="s">
        <v>33</v>
      </c>
      <c r="P1787" t="s">
        <v>34</v>
      </c>
      <c r="Q1787" t="s">
        <v>34</v>
      </c>
      <c r="R1787" t="s">
        <v>34</v>
      </c>
      <c r="S1787" t="s">
        <v>34</v>
      </c>
      <c r="T1787" s="117">
        <v>0</v>
      </c>
      <c r="U1787" s="209" t="s">
        <v>94</v>
      </c>
    </row>
    <row r="1788" spans="1:21" x14ac:dyDescent="0.35">
      <c r="A1788" t="s">
        <v>19</v>
      </c>
      <c r="B1788" t="s">
        <v>26</v>
      </c>
      <c r="C1788" s="1">
        <v>45554</v>
      </c>
      <c r="D1788">
        <f t="shared" si="120"/>
        <v>19</v>
      </c>
      <c r="E1788">
        <f t="shared" si="121"/>
        <v>9</v>
      </c>
      <c r="F1788">
        <f t="shared" si="122"/>
        <v>2024</v>
      </c>
      <c r="G1788" t="s">
        <v>73</v>
      </c>
      <c r="H1788" s="98">
        <v>11226</v>
      </c>
      <c r="I1788" s="29">
        <v>31022.42</v>
      </c>
      <c r="J1788" s="12" t="s">
        <v>51</v>
      </c>
      <c r="K1788" s="76">
        <f t="shared" si="123"/>
        <v>34652.043139999994</v>
      </c>
      <c r="L1788">
        <v>1.117</v>
      </c>
      <c r="M1788" s="29">
        <v>0</v>
      </c>
      <c r="N1788" t="s">
        <v>32</v>
      </c>
      <c r="O1788" t="s">
        <v>33</v>
      </c>
      <c r="P1788" t="s">
        <v>34</v>
      </c>
      <c r="Q1788" t="s">
        <v>34</v>
      </c>
      <c r="R1788" t="s">
        <v>34</v>
      </c>
      <c r="S1788" t="s">
        <v>34</v>
      </c>
      <c r="T1788" s="117">
        <v>0</v>
      </c>
      <c r="U1788" s="209" t="s">
        <v>94</v>
      </c>
    </row>
    <row r="1789" spans="1:21" x14ac:dyDescent="0.35">
      <c r="A1789" t="s">
        <v>19</v>
      </c>
      <c r="B1789" t="s">
        <v>19</v>
      </c>
      <c r="C1789" s="1">
        <v>45560</v>
      </c>
      <c r="D1789">
        <f t="shared" si="120"/>
        <v>25</v>
      </c>
      <c r="E1789">
        <f t="shared" si="121"/>
        <v>9</v>
      </c>
      <c r="F1789">
        <f t="shared" si="122"/>
        <v>2024</v>
      </c>
      <c r="G1789" t="s">
        <v>125</v>
      </c>
      <c r="H1789" s="98" t="s">
        <v>530</v>
      </c>
      <c r="I1789" s="29">
        <v>118804.03</v>
      </c>
      <c r="J1789" s="12" t="s">
        <v>31</v>
      </c>
      <c r="K1789" s="76">
        <f t="shared" si="123"/>
        <v>118804.03</v>
      </c>
      <c r="L1789">
        <v>1</v>
      </c>
      <c r="M1789" s="29">
        <v>0</v>
      </c>
      <c r="N1789" t="s">
        <v>32</v>
      </c>
      <c r="O1789" t="s">
        <v>33</v>
      </c>
      <c r="P1789" t="s">
        <v>34</v>
      </c>
      <c r="Q1789" t="s">
        <v>34</v>
      </c>
      <c r="R1789" t="s">
        <v>34</v>
      </c>
      <c r="S1789" t="s">
        <v>34</v>
      </c>
      <c r="T1789" s="117">
        <v>0</v>
      </c>
    </row>
    <row r="1790" spans="1:21" x14ac:dyDescent="0.35">
      <c r="A1790" t="s">
        <v>19</v>
      </c>
      <c r="B1790" t="s">
        <v>19</v>
      </c>
      <c r="C1790" s="1">
        <v>45560</v>
      </c>
      <c r="D1790">
        <f t="shared" si="120"/>
        <v>25</v>
      </c>
      <c r="E1790">
        <f t="shared" si="121"/>
        <v>9</v>
      </c>
      <c r="F1790">
        <f t="shared" si="122"/>
        <v>2024</v>
      </c>
      <c r="G1790" t="s">
        <v>124</v>
      </c>
      <c r="H1790" s="98" t="s">
        <v>531</v>
      </c>
      <c r="I1790" s="29">
        <v>24871.67</v>
      </c>
      <c r="J1790" s="12" t="s">
        <v>31</v>
      </c>
      <c r="K1790" s="76">
        <f t="shared" si="123"/>
        <v>24871.67</v>
      </c>
      <c r="L1790">
        <v>1</v>
      </c>
      <c r="M1790" s="29">
        <v>0</v>
      </c>
      <c r="N1790" t="s">
        <v>32</v>
      </c>
      <c r="O1790" t="s">
        <v>33</v>
      </c>
      <c r="P1790" t="s">
        <v>34</v>
      </c>
      <c r="Q1790" t="s">
        <v>34</v>
      </c>
      <c r="R1790" t="s">
        <v>34</v>
      </c>
      <c r="S1790" t="s">
        <v>34</v>
      </c>
      <c r="T1790" s="117">
        <v>0</v>
      </c>
    </row>
    <row r="1791" spans="1:21" x14ac:dyDescent="0.35">
      <c r="A1791" t="s">
        <v>19</v>
      </c>
      <c r="B1791" t="s">
        <v>19</v>
      </c>
      <c r="C1791" s="1">
        <v>45560</v>
      </c>
      <c r="D1791">
        <f t="shared" si="120"/>
        <v>25</v>
      </c>
      <c r="E1791">
        <f t="shared" si="121"/>
        <v>9</v>
      </c>
      <c r="F1791">
        <f t="shared" si="122"/>
        <v>2024</v>
      </c>
      <c r="G1791" t="s">
        <v>58</v>
      </c>
      <c r="H1791" s="171" t="s">
        <v>532</v>
      </c>
      <c r="I1791" s="90">
        <v>80363.06</v>
      </c>
      <c r="J1791" s="12" t="s">
        <v>31</v>
      </c>
      <c r="K1791" s="76">
        <f t="shared" si="123"/>
        <v>80363.06</v>
      </c>
      <c r="L1791">
        <v>1</v>
      </c>
      <c r="M1791" s="29">
        <v>0</v>
      </c>
      <c r="N1791" t="s">
        <v>32</v>
      </c>
      <c r="O1791" t="s">
        <v>33</v>
      </c>
      <c r="P1791" t="s">
        <v>34</v>
      </c>
      <c r="Q1791" t="s">
        <v>34</v>
      </c>
      <c r="R1791" t="s">
        <v>34</v>
      </c>
      <c r="S1791" t="s">
        <v>34</v>
      </c>
      <c r="T1791" s="117">
        <v>2215.1999999999998</v>
      </c>
    </row>
    <row r="1792" spans="1:21" x14ac:dyDescent="0.35">
      <c r="A1792" t="s">
        <v>19</v>
      </c>
      <c r="B1792" t="s">
        <v>19</v>
      </c>
      <c r="C1792" s="1">
        <v>45560</v>
      </c>
      <c r="D1792">
        <f t="shared" si="120"/>
        <v>25</v>
      </c>
      <c r="E1792">
        <f t="shared" si="121"/>
        <v>9</v>
      </c>
      <c r="F1792">
        <f t="shared" si="122"/>
        <v>2024</v>
      </c>
      <c r="G1792" t="s">
        <v>106</v>
      </c>
      <c r="H1792" s="98" t="s">
        <v>533</v>
      </c>
      <c r="I1792" s="29">
        <v>79537.95</v>
      </c>
      <c r="J1792" s="12" t="s">
        <v>31</v>
      </c>
      <c r="K1792" s="76">
        <f t="shared" si="123"/>
        <v>79537.95</v>
      </c>
      <c r="L1792">
        <v>1</v>
      </c>
      <c r="M1792" s="29">
        <v>0</v>
      </c>
      <c r="N1792" t="s">
        <v>32</v>
      </c>
      <c r="O1792" t="s">
        <v>33</v>
      </c>
      <c r="P1792" t="s">
        <v>34</v>
      </c>
      <c r="Q1792" t="s">
        <v>34</v>
      </c>
      <c r="R1792" t="s">
        <v>34</v>
      </c>
      <c r="S1792" t="s">
        <v>34</v>
      </c>
      <c r="T1792" s="117">
        <v>0</v>
      </c>
    </row>
    <row r="1793" spans="1:21" x14ac:dyDescent="0.35">
      <c r="A1793" t="s">
        <v>20</v>
      </c>
      <c r="B1793" t="s">
        <v>23</v>
      </c>
      <c r="C1793" s="1">
        <v>45560</v>
      </c>
      <c r="D1793">
        <f t="shared" si="120"/>
        <v>25</v>
      </c>
      <c r="E1793">
        <f t="shared" si="121"/>
        <v>9</v>
      </c>
      <c r="F1793">
        <f t="shared" si="122"/>
        <v>2024</v>
      </c>
      <c r="G1793" t="s">
        <v>534</v>
      </c>
      <c r="H1793" s="98">
        <v>11284</v>
      </c>
      <c r="I1793" s="29">
        <v>29.4</v>
      </c>
      <c r="J1793" s="12" t="s">
        <v>31</v>
      </c>
      <c r="K1793" s="76">
        <f t="shared" si="123"/>
        <v>29.4</v>
      </c>
      <c r="L1793">
        <v>1</v>
      </c>
      <c r="M1793" s="29">
        <v>0</v>
      </c>
      <c r="N1793" t="s">
        <v>42</v>
      </c>
      <c r="O1793" t="s">
        <v>33</v>
      </c>
      <c r="P1793" t="s">
        <v>34</v>
      </c>
      <c r="Q1793" t="s">
        <v>34</v>
      </c>
      <c r="R1793" t="s">
        <v>34</v>
      </c>
      <c r="S1793" t="s">
        <v>34</v>
      </c>
      <c r="T1793" s="117">
        <v>0</v>
      </c>
    </row>
    <row r="1794" spans="1:21" x14ac:dyDescent="0.35">
      <c r="A1794" t="s">
        <v>20</v>
      </c>
      <c r="B1794" t="s">
        <v>23</v>
      </c>
      <c r="C1794" s="1">
        <v>45560</v>
      </c>
      <c r="D1794">
        <f t="shared" ref="D1794:D1857" si="124">DAY(C1794)</f>
        <v>25</v>
      </c>
      <c r="E1794">
        <f t="shared" ref="E1794:E1857" si="125">MONTH(C1794)</f>
        <v>9</v>
      </c>
      <c r="F1794">
        <f t="shared" ref="F1794:F1857" si="126">YEAR(C1794)</f>
        <v>2024</v>
      </c>
      <c r="G1794" t="s">
        <v>534</v>
      </c>
      <c r="H1794" s="98">
        <v>11287</v>
      </c>
      <c r="I1794" s="29">
        <v>8850</v>
      </c>
      <c r="J1794" s="12" t="s">
        <v>31</v>
      </c>
      <c r="K1794" s="76">
        <f t="shared" si="123"/>
        <v>8850</v>
      </c>
      <c r="L1794">
        <v>1</v>
      </c>
      <c r="M1794" s="29">
        <v>0</v>
      </c>
      <c r="N1794" t="s">
        <v>42</v>
      </c>
      <c r="O1794" t="s">
        <v>33</v>
      </c>
      <c r="P1794" t="s">
        <v>34</v>
      </c>
      <c r="Q1794" t="s">
        <v>34</v>
      </c>
      <c r="R1794" t="s">
        <v>34</v>
      </c>
      <c r="S1794" t="s">
        <v>34</v>
      </c>
      <c r="T1794" s="117">
        <v>0</v>
      </c>
    </row>
    <row r="1795" spans="1:21" x14ac:dyDescent="0.35">
      <c r="A1795" t="s">
        <v>20</v>
      </c>
      <c r="B1795" t="s">
        <v>23</v>
      </c>
      <c r="C1795" s="1">
        <v>45560</v>
      </c>
      <c r="D1795">
        <f t="shared" si="124"/>
        <v>25</v>
      </c>
      <c r="E1795">
        <f t="shared" si="125"/>
        <v>9</v>
      </c>
      <c r="F1795">
        <f t="shared" si="126"/>
        <v>2024</v>
      </c>
      <c r="G1795" t="s">
        <v>534</v>
      </c>
      <c r="H1795" s="98">
        <v>11285</v>
      </c>
      <c r="I1795" s="29">
        <v>8820</v>
      </c>
      <c r="J1795" s="12" t="s">
        <v>31</v>
      </c>
      <c r="K1795" s="76">
        <f t="shared" si="123"/>
        <v>8820</v>
      </c>
      <c r="L1795">
        <v>1</v>
      </c>
      <c r="M1795" s="29">
        <v>0</v>
      </c>
      <c r="N1795" t="s">
        <v>42</v>
      </c>
      <c r="O1795" t="s">
        <v>33</v>
      </c>
      <c r="P1795" t="s">
        <v>34</v>
      </c>
      <c r="Q1795" t="s">
        <v>34</v>
      </c>
      <c r="R1795" t="s">
        <v>34</v>
      </c>
      <c r="S1795" t="s">
        <v>34</v>
      </c>
      <c r="T1795" s="117">
        <v>0</v>
      </c>
    </row>
    <row r="1796" spans="1:21" x14ac:dyDescent="0.35">
      <c r="A1796" t="s">
        <v>20</v>
      </c>
      <c r="B1796" t="s">
        <v>23</v>
      </c>
      <c r="C1796" s="1">
        <v>45560</v>
      </c>
      <c r="D1796">
        <f t="shared" si="124"/>
        <v>25</v>
      </c>
      <c r="E1796">
        <f t="shared" si="125"/>
        <v>9</v>
      </c>
      <c r="F1796">
        <f t="shared" si="126"/>
        <v>2024</v>
      </c>
      <c r="G1796" t="s">
        <v>534</v>
      </c>
      <c r="H1796" s="98">
        <v>11284</v>
      </c>
      <c r="I1796" s="29">
        <v>29.5</v>
      </c>
      <c r="J1796" s="12" t="s">
        <v>31</v>
      </c>
      <c r="K1796" s="76">
        <f t="shared" si="123"/>
        <v>29.5</v>
      </c>
      <c r="L1796">
        <v>1</v>
      </c>
      <c r="M1796" s="29">
        <v>0</v>
      </c>
      <c r="N1796" t="s">
        <v>42</v>
      </c>
      <c r="O1796" t="s">
        <v>33</v>
      </c>
      <c r="P1796" t="s">
        <v>34</v>
      </c>
      <c r="Q1796" t="s">
        <v>34</v>
      </c>
      <c r="R1796" t="s">
        <v>34</v>
      </c>
      <c r="S1796" t="s">
        <v>34</v>
      </c>
      <c r="T1796" s="117">
        <v>0</v>
      </c>
      <c r="U1796" s="209" t="s">
        <v>646</v>
      </c>
    </row>
    <row r="1797" spans="1:21" x14ac:dyDescent="0.35">
      <c r="A1797" t="s">
        <v>20</v>
      </c>
      <c r="B1797" t="s">
        <v>21</v>
      </c>
      <c r="C1797" s="1">
        <v>45560</v>
      </c>
      <c r="D1797">
        <f t="shared" si="124"/>
        <v>25</v>
      </c>
      <c r="E1797">
        <f t="shared" si="125"/>
        <v>9</v>
      </c>
      <c r="F1797">
        <f t="shared" si="126"/>
        <v>2024</v>
      </c>
      <c r="G1797" t="s">
        <v>202</v>
      </c>
      <c r="H1797" s="98">
        <v>10949</v>
      </c>
      <c r="I1797" s="29">
        <v>1081.1400000000001</v>
      </c>
      <c r="J1797" s="12" t="s">
        <v>31</v>
      </c>
      <c r="K1797" s="76">
        <f t="shared" si="123"/>
        <v>1081.1400000000001</v>
      </c>
      <c r="L1797">
        <v>1</v>
      </c>
      <c r="M1797" s="29">
        <v>0</v>
      </c>
      <c r="N1797" t="s">
        <v>32</v>
      </c>
      <c r="O1797" t="s">
        <v>33</v>
      </c>
      <c r="P1797" t="s">
        <v>34</v>
      </c>
      <c r="Q1797" t="s">
        <v>34</v>
      </c>
      <c r="R1797" t="s">
        <v>34</v>
      </c>
      <c r="S1797" t="s">
        <v>34</v>
      </c>
      <c r="T1797" s="117">
        <v>0</v>
      </c>
    </row>
    <row r="1798" spans="1:21" x14ac:dyDescent="0.35">
      <c r="A1798" t="s">
        <v>20</v>
      </c>
      <c r="B1798" t="s">
        <v>25</v>
      </c>
      <c r="C1798" s="1">
        <v>45560</v>
      </c>
      <c r="D1798">
        <f t="shared" si="124"/>
        <v>25</v>
      </c>
      <c r="E1798">
        <f t="shared" si="125"/>
        <v>9</v>
      </c>
      <c r="F1798">
        <f t="shared" si="126"/>
        <v>2024</v>
      </c>
      <c r="G1798" t="s">
        <v>54</v>
      </c>
      <c r="H1798" s="98">
        <v>10573</v>
      </c>
      <c r="I1798" s="29">
        <v>3197.11</v>
      </c>
      <c r="J1798" s="12" t="s">
        <v>31</v>
      </c>
      <c r="K1798" s="76">
        <f t="shared" si="123"/>
        <v>3197.11</v>
      </c>
      <c r="L1798">
        <v>1</v>
      </c>
      <c r="M1798" s="29">
        <v>0</v>
      </c>
      <c r="N1798" t="s">
        <v>32</v>
      </c>
      <c r="O1798" t="s">
        <v>33</v>
      </c>
      <c r="P1798" t="s">
        <v>34</v>
      </c>
      <c r="Q1798" t="s">
        <v>34</v>
      </c>
      <c r="R1798" t="s">
        <v>34</v>
      </c>
      <c r="S1798" t="s">
        <v>34</v>
      </c>
      <c r="T1798" s="117">
        <v>0</v>
      </c>
    </row>
    <row r="1799" spans="1:21" x14ac:dyDescent="0.35">
      <c r="A1799" t="s">
        <v>20</v>
      </c>
      <c r="B1799" t="s">
        <v>23</v>
      </c>
      <c r="C1799" s="1">
        <v>45560</v>
      </c>
      <c r="D1799">
        <f t="shared" si="124"/>
        <v>25</v>
      </c>
      <c r="E1799">
        <f t="shared" si="125"/>
        <v>9</v>
      </c>
      <c r="F1799">
        <f t="shared" si="126"/>
        <v>2024</v>
      </c>
      <c r="G1799" t="s">
        <v>97</v>
      </c>
      <c r="H1799" s="98">
        <v>11118</v>
      </c>
      <c r="I1799" s="29">
        <v>64.5</v>
      </c>
      <c r="J1799" s="12" t="s">
        <v>31</v>
      </c>
      <c r="K1799" s="76">
        <f t="shared" si="123"/>
        <v>64.5</v>
      </c>
      <c r="L1799">
        <v>1</v>
      </c>
      <c r="M1799" s="29">
        <v>0</v>
      </c>
      <c r="N1799" t="s">
        <v>32</v>
      </c>
      <c r="O1799" t="s">
        <v>33</v>
      </c>
      <c r="P1799" t="s">
        <v>34</v>
      </c>
      <c r="Q1799" t="s">
        <v>34</v>
      </c>
      <c r="R1799" t="s">
        <v>34</v>
      </c>
      <c r="S1799" t="s">
        <v>34</v>
      </c>
      <c r="T1799" s="117">
        <v>0</v>
      </c>
    </row>
    <row r="1800" spans="1:21" x14ac:dyDescent="0.35">
      <c r="A1800" t="s">
        <v>20</v>
      </c>
      <c r="B1800" t="s">
        <v>25</v>
      </c>
      <c r="C1800" s="1">
        <v>45560</v>
      </c>
      <c r="D1800">
        <f t="shared" si="124"/>
        <v>25</v>
      </c>
      <c r="E1800">
        <f t="shared" si="125"/>
        <v>9</v>
      </c>
      <c r="F1800">
        <f t="shared" si="126"/>
        <v>2024</v>
      </c>
      <c r="G1800" t="s">
        <v>97</v>
      </c>
      <c r="H1800" s="98">
        <v>11118</v>
      </c>
      <c r="I1800" s="29">
        <v>788</v>
      </c>
      <c r="J1800" s="12" t="s">
        <v>31</v>
      </c>
      <c r="K1800" s="76">
        <f t="shared" si="123"/>
        <v>788</v>
      </c>
      <c r="L1800">
        <v>1</v>
      </c>
      <c r="M1800" s="29">
        <v>0</v>
      </c>
      <c r="N1800" t="s">
        <v>32</v>
      </c>
      <c r="O1800" t="s">
        <v>33</v>
      </c>
      <c r="P1800" t="s">
        <v>34</v>
      </c>
      <c r="Q1800" t="s">
        <v>34</v>
      </c>
      <c r="R1800" t="s">
        <v>34</v>
      </c>
      <c r="S1800" t="s">
        <v>34</v>
      </c>
      <c r="T1800" s="117">
        <v>0</v>
      </c>
    </row>
    <row r="1801" spans="1:21" x14ac:dyDescent="0.35">
      <c r="A1801" t="s">
        <v>20</v>
      </c>
      <c r="B1801" t="s">
        <v>21</v>
      </c>
      <c r="C1801" s="1">
        <v>45560</v>
      </c>
      <c r="D1801">
        <f t="shared" si="124"/>
        <v>25</v>
      </c>
      <c r="E1801">
        <f t="shared" si="125"/>
        <v>9</v>
      </c>
      <c r="F1801">
        <f t="shared" si="126"/>
        <v>2024</v>
      </c>
      <c r="G1801" t="s">
        <v>97</v>
      </c>
      <c r="H1801" s="98">
        <v>11118</v>
      </c>
      <c r="I1801" s="29">
        <v>65</v>
      </c>
      <c r="J1801" s="12" t="s">
        <v>31</v>
      </c>
      <c r="K1801" s="76">
        <f t="shared" si="123"/>
        <v>65</v>
      </c>
      <c r="L1801">
        <v>1</v>
      </c>
      <c r="M1801" s="29">
        <v>0</v>
      </c>
      <c r="N1801" t="s">
        <v>32</v>
      </c>
      <c r="O1801" t="s">
        <v>33</v>
      </c>
      <c r="P1801" t="s">
        <v>34</v>
      </c>
      <c r="Q1801" t="s">
        <v>34</v>
      </c>
      <c r="R1801" t="s">
        <v>34</v>
      </c>
      <c r="S1801" t="s">
        <v>34</v>
      </c>
      <c r="T1801" s="117">
        <v>0</v>
      </c>
    </row>
    <row r="1802" spans="1:21" x14ac:dyDescent="0.35">
      <c r="A1802" t="s">
        <v>20</v>
      </c>
      <c r="B1802" t="s">
        <v>25</v>
      </c>
      <c r="C1802" s="1">
        <v>45560</v>
      </c>
      <c r="D1802">
        <f t="shared" si="124"/>
        <v>25</v>
      </c>
      <c r="E1802">
        <f t="shared" si="125"/>
        <v>9</v>
      </c>
      <c r="F1802">
        <f t="shared" si="126"/>
        <v>2024</v>
      </c>
      <c r="G1802" t="s">
        <v>81</v>
      </c>
      <c r="H1802" s="98">
        <v>11297</v>
      </c>
      <c r="I1802" s="29">
        <v>8380.5</v>
      </c>
      <c r="J1802" s="12" t="s">
        <v>31</v>
      </c>
      <c r="K1802" s="76">
        <f t="shared" si="123"/>
        <v>8380.5</v>
      </c>
      <c r="L1802">
        <v>1</v>
      </c>
      <c r="M1802" s="29">
        <v>0</v>
      </c>
      <c r="N1802" t="s">
        <v>42</v>
      </c>
      <c r="O1802" t="s">
        <v>33</v>
      </c>
      <c r="P1802" t="s">
        <v>34</v>
      </c>
      <c r="Q1802" t="s">
        <v>34</v>
      </c>
      <c r="R1802" t="s">
        <v>34</v>
      </c>
      <c r="S1802" t="s">
        <v>34</v>
      </c>
      <c r="T1802" s="117">
        <v>0</v>
      </c>
    </row>
    <row r="1803" spans="1:21" x14ac:dyDescent="0.35">
      <c r="A1803" t="s">
        <v>20</v>
      </c>
      <c r="B1803" t="s">
        <v>23</v>
      </c>
      <c r="C1803" s="1">
        <v>45560</v>
      </c>
      <c r="D1803">
        <f t="shared" si="124"/>
        <v>25</v>
      </c>
      <c r="E1803">
        <f t="shared" si="125"/>
        <v>9</v>
      </c>
      <c r="F1803">
        <f t="shared" si="126"/>
        <v>2024</v>
      </c>
      <c r="G1803" t="s">
        <v>52</v>
      </c>
      <c r="H1803" s="98">
        <v>10449</v>
      </c>
      <c r="I1803" s="29">
        <v>32981.14</v>
      </c>
      <c r="J1803" s="12" t="s">
        <v>31</v>
      </c>
      <c r="K1803" s="76">
        <f t="shared" si="123"/>
        <v>32981.14</v>
      </c>
      <c r="L1803">
        <v>1</v>
      </c>
      <c r="M1803" s="29">
        <v>0</v>
      </c>
      <c r="N1803" t="s">
        <v>32</v>
      </c>
      <c r="O1803" t="s">
        <v>33</v>
      </c>
      <c r="P1803" t="s">
        <v>34</v>
      </c>
      <c r="Q1803" t="s">
        <v>34</v>
      </c>
      <c r="R1803" t="s">
        <v>34</v>
      </c>
      <c r="S1803" t="s">
        <v>34</v>
      </c>
      <c r="T1803" s="117">
        <v>905.81</v>
      </c>
    </row>
    <row r="1804" spans="1:21" x14ac:dyDescent="0.35">
      <c r="A1804" t="s">
        <v>20</v>
      </c>
      <c r="B1804" t="s">
        <v>21</v>
      </c>
      <c r="C1804" s="1">
        <v>45560</v>
      </c>
      <c r="D1804">
        <f t="shared" si="124"/>
        <v>25</v>
      </c>
      <c r="E1804">
        <f t="shared" si="125"/>
        <v>9</v>
      </c>
      <c r="F1804">
        <f t="shared" si="126"/>
        <v>2024</v>
      </c>
      <c r="G1804" t="s">
        <v>52</v>
      </c>
      <c r="H1804" s="98">
        <v>10888</v>
      </c>
      <c r="I1804" s="29">
        <v>318.05</v>
      </c>
      <c r="J1804" s="12" t="s">
        <v>31</v>
      </c>
      <c r="K1804" s="76">
        <f t="shared" si="123"/>
        <v>318.05</v>
      </c>
      <c r="L1804">
        <v>1</v>
      </c>
      <c r="M1804" s="29">
        <v>0</v>
      </c>
      <c r="N1804" t="s">
        <v>32</v>
      </c>
      <c r="O1804" t="s">
        <v>33</v>
      </c>
      <c r="P1804" t="s">
        <v>34</v>
      </c>
      <c r="Q1804" t="s">
        <v>34</v>
      </c>
      <c r="R1804" t="s">
        <v>34</v>
      </c>
      <c r="S1804" t="s">
        <v>34</v>
      </c>
      <c r="T1804" s="117">
        <v>0</v>
      </c>
    </row>
    <row r="1805" spans="1:21" x14ac:dyDescent="0.35">
      <c r="A1805" t="s">
        <v>20</v>
      </c>
      <c r="B1805" t="s">
        <v>21</v>
      </c>
      <c r="C1805" s="1">
        <v>45560</v>
      </c>
      <c r="D1805">
        <f t="shared" si="124"/>
        <v>25</v>
      </c>
      <c r="E1805">
        <f t="shared" si="125"/>
        <v>9</v>
      </c>
      <c r="F1805">
        <f t="shared" si="126"/>
        <v>2024</v>
      </c>
      <c r="G1805" t="s">
        <v>52</v>
      </c>
      <c r="H1805" s="98">
        <v>10889</v>
      </c>
      <c r="I1805" s="29">
        <v>29038.799999999999</v>
      </c>
      <c r="J1805" s="12" t="s">
        <v>31</v>
      </c>
      <c r="K1805" s="76">
        <f t="shared" si="123"/>
        <v>29038.799999999999</v>
      </c>
      <c r="L1805">
        <v>1</v>
      </c>
      <c r="M1805" s="29">
        <v>0</v>
      </c>
      <c r="N1805" t="s">
        <v>32</v>
      </c>
      <c r="O1805" t="s">
        <v>33</v>
      </c>
      <c r="P1805" t="s">
        <v>34</v>
      </c>
      <c r="Q1805" t="s">
        <v>34</v>
      </c>
      <c r="R1805" t="s">
        <v>34</v>
      </c>
      <c r="S1805" t="s">
        <v>34</v>
      </c>
      <c r="T1805" s="117">
        <v>0</v>
      </c>
    </row>
    <row r="1806" spans="1:21" x14ac:dyDescent="0.35">
      <c r="A1806" t="s">
        <v>20</v>
      </c>
      <c r="B1806" t="s">
        <v>24</v>
      </c>
      <c r="C1806" s="1">
        <v>45560</v>
      </c>
      <c r="D1806">
        <f t="shared" si="124"/>
        <v>25</v>
      </c>
      <c r="E1806">
        <f t="shared" si="125"/>
        <v>9</v>
      </c>
      <c r="F1806">
        <f t="shared" si="126"/>
        <v>2024</v>
      </c>
      <c r="G1806" t="s">
        <v>50</v>
      </c>
      <c r="H1806" s="98">
        <v>10865</v>
      </c>
      <c r="I1806" s="29">
        <v>29012.400000000001</v>
      </c>
      <c r="J1806" s="12" t="s">
        <v>31</v>
      </c>
      <c r="K1806" s="76">
        <f t="shared" si="123"/>
        <v>29012.400000000001</v>
      </c>
      <c r="L1806">
        <v>1</v>
      </c>
      <c r="M1806" s="29">
        <v>0</v>
      </c>
      <c r="N1806" t="s">
        <v>32</v>
      </c>
      <c r="O1806" t="s">
        <v>33</v>
      </c>
      <c r="P1806" t="s">
        <v>34</v>
      </c>
      <c r="Q1806" t="s">
        <v>34</v>
      </c>
      <c r="R1806" t="s">
        <v>34</v>
      </c>
      <c r="S1806" t="s">
        <v>34</v>
      </c>
      <c r="T1806" s="117">
        <v>0</v>
      </c>
    </row>
    <row r="1807" spans="1:21" x14ac:dyDescent="0.35">
      <c r="A1807" t="s">
        <v>20</v>
      </c>
      <c r="B1807" t="s">
        <v>25</v>
      </c>
      <c r="C1807" s="1">
        <v>45560</v>
      </c>
      <c r="D1807">
        <f t="shared" si="124"/>
        <v>25</v>
      </c>
      <c r="E1807">
        <f t="shared" si="125"/>
        <v>9</v>
      </c>
      <c r="F1807">
        <f t="shared" si="126"/>
        <v>2024</v>
      </c>
      <c r="G1807" t="s">
        <v>50</v>
      </c>
      <c r="H1807" s="98">
        <v>10865</v>
      </c>
      <c r="I1807" s="29">
        <v>23411.7</v>
      </c>
      <c r="J1807" s="12" t="s">
        <v>31</v>
      </c>
      <c r="K1807" s="76">
        <f t="shared" si="123"/>
        <v>23411.7</v>
      </c>
      <c r="L1807">
        <v>1</v>
      </c>
      <c r="M1807" s="29">
        <v>0</v>
      </c>
      <c r="N1807" t="s">
        <v>32</v>
      </c>
      <c r="O1807" t="s">
        <v>33</v>
      </c>
      <c r="P1807" t="s">
        <v>34</v>
      </c>
      <c r="Q1807" t="s">
        <v>34</v>
      </c>
      <c r="R1807" t="s">
        <v>34</v>
      </c>
      <c r="S1807" t="s">
        <v>34</v>
      </c>
      <c r="T1807" s="117">
        <v>0</v>
      </c>
    </row>
    <row r="1808" spans="1:21" x14ac:dyDescent="0.35">
      <c r="A1808" t="s">
        <v>20</v>
      </c>
      <c r="B1808" t="s">
        <v>21</v>
      </c>
      <c r="C1808" s="1">
        <v>45560</v>
      </c>
      <c r="D1808">
        <f t="shared" si="124"/>
        <v>25</v>
      </c>
      <c r="E1808">
        <f t="shared" si="125"/>
        <v>9</v>
      </c>
      <c r="F1808">
        <f t="shared" si="126"/>
        <v>2024</v>
      </c>
      <c r="G1808" t="s">
        <v>50</v>
      </c>
      <c r="H1808" s="98">
        <v>10865</v>
      </c>
      <c r="I1808" s="29">
        <v>22227.66</v>
      </c>
      <c r="J1808" s="12" t="s">
        <v>31</v>
      </c>
      <c r="K1808" s="76">
        <f t="shared" si="123"/>
        <v>22227.66</v>
      </c>
      <c r="L1808">
        <v>1</v>
      </c>
      <c r="M1808" s="29">
        <v>0</v>
      </c>
      <c r="N1808" t="s">
        <v>32</v>
      </c>
      <c r="O1808" t="s">
        <v>33</v>
      </c>
      <c r="P1808" t="s">
        <v>34</v>
      </c>
      <c r="Q1808" t="s">
        <v>34</v>
      </c>
      <c r="R1808" t="s">
        <v>34</v>
      </c>
      <c r="S1808" t="s">
        <v>34</v>
      </c>
      <c r="T1808" s="117">
        <v>0</v>
      </c>
    </row>
    <row r="1809" spans="1:21" x14ac:dyDescent="0.35">
      <c r="A1809" t="s">
        <v>20</v>
      </c>
      <c r="B1809" t="s">
        <v>25</v>
      </c>
      <c r="C1809" s="1">
        <v>45560</v>
      </c>
      <c r="D1809">
        <f t="shared" si="124"/>
        <v>25</v>
      </c>
      <c r="E1809">
        <f t="shared" si="125"/>
        <v>9</v>
      </c>
      <c r="F1809">
        <f t="shared" si="126"/>
        <v>2024</v>
      </c>
      <c r="G1809" t="s">
        <v>50</v>
      </c>
      <c r="H1809" s="98">
        <v>11298</v>
      </c>
      <c r="I1809" s="29">
        <v>299</v>
      </c>
      <c r="J1809" s="12" t="s">
        <v>31</v>
      </c>
      <c r="K1809" s="76">
        <f t="shared" si="123"/>
        <v>299</v>
      </c>
      <c r="L1809">
        <v>1</v>
      </c>
      <c r="M1809" s="29">
        <v>0</v>
      </c>
      <c r="N1809" t="s">
        <v>42</v>
      </c>
      <c r="O1809" t="s">
        <v>33</v>
      </c>
      <c r="P1809" t="s">
        <v>34</v>
      </c>
      <c r="Q1809" t="s">
        <v>34</v>
      </c>
      <c r="R1809" t="s">
        <v>34</v>
      </c>
      <c r="S1809" t="s">
        <v>34</v>
      </c>
      <c r="T1809" s="117">
        <v>0</v>
      </c>
    </row>
    <row r="1810" spans="1:21" x14ac:dyDescent="0.35">
      <c r="A1810" t="s">
        <v>20</v>
      </c>
      <c r="B1810" t="s">
        <v>25</v>
      </c>
      <c r="C1810" s="1">
        <v>45560</v>
      </c>
      <c r="D1810">
        <f t="shared" si="124"/>
        <v>25</v>
      </c>
      <c r="E1810">
        <f t="shared" si="125"/>
        <v>9</v>
      </c>
      <c r="F1810">
        <f t="shared" si="126"/>
        <v>2024</v>
      </c>
      <c r="G1810" t="s">
        <v>50</v>
      </c>
      <c r="H1810" s="98">
        <v>11196</v>
      </c>
      <c r="I1810" s="29">
        <v>1524.9</v>
      </c>
      <c r="J1810" s="12" t="s">
        <v>31</v>
      </c>
      <c r="K1810" s="76">
        <f t="shared" si="123"/>
        <v>1524.9</v>
      </c>
      <c r="L1810">
        <v>1</v>
      </c>
      <c r="M1810" s="29">
        <v>0</v>
      </c>
      <c r="N1810" t="s">
        <v>42</v>
      </c>
      <c r="O1810" t="s">
        <v>33</v>
      </c>
      <c r="P1810" t="s">
        <v>34</v>
      </c>
      <c r="Q1810" t="s">
        <v>34</v>
      </c>
      <c r="R1810" t="s">
        <v>34</v>
      </c>
      <c r="S1810" t="s">
        <v>34</v>
      </c>
      <c r="T1810" s="117">
        <v>0</v>
      </c>
      <c r="U1810" s="209" t="s">
        <v>671</v>
      </c>
    </row>
    <row r="1811" spans="1:21" x14ac:dyDescent="0.35">
      <c r="A1811" t="s">
        <v>20</v>
      </c>
      <c r="B1811" t="s">
        <v>25</v>
      </c>
      <c r="C1811" s="1">
        <v>45560</v>
      </c>
      <c r="D1811">
        <f t="shared" si="124"/>
        <v>25</v>
      </c>
      <c r="E1811">
        <f t="shared" si="125"/>
        <v>9</v>
      </c>
      <c r="F1811">
        <f t="shared" si="126"/>
        <v>2024</v>
      </c>
      <c r="G1811" t="s">
        <v>50</v>
      </c>
      <c r="H1811" s="98">
        <v>11196</v>
      </c>
      <c r="I1811" s="29">
        <v>768.5</v>
      </c>
      <c r="J1811" s="12" t="s">
        <v>31</v>
      </c>
      <c r="K1811" s="76">
        <f t="shared" ref="K1811:K1874" si="127">IF(J1811="USD",I1811,I1811*L1811)</f>
        <v>768.5</v>
      </c>
      <c r="L1811">
        <v>1</v>
      </c>
      <c r="M1811" s="29">
        <v>0</v>
      </c>
      <c r="N1811" t="s">
        <v>42</v>
      </c>
      <c r="O1811" t="s">
        <v>33</v>
      </c>
      <c r="P1811" t="s">
        <v>34</v>
      </c>
      <c r="Q1811" t="s">
        <v>34</v>
      </c>
      <c r="R1811" t="s">
        <v>34</v>
      </c>
      <c r="S1811" t="s">
        <v>34</v>
      </c>
      <c r="T1811" s="117">
        <v>0</v>
      </c>
      <c r="U1811" s="209" t="s">
        <v>672</v>
      </c>
    </row>
    <row r="1812" spans="1:21" x14ac:dyDescent="0.35">
      <c r="A1812" t="s">
        <v>20</v>
      </c>
      <c r="B1812" t="s">
        <v>21</v>
      </c>
      <c r="C1812" s="1">
        <v>45560</v>
      </c>
      <c r="D1812">
        <f t="shared" si="124"/>
        <v>25</v>
      </c>
      <c r="E1812">
        <f t="shared" si="125"/>
        <v>9</v>
      </c>
      <c r="F1812">
        <f t="shared" si="126"/>
        <v>2024</v>
      </c>
      <c r="G1812" t="s">
        <v>46</v>
      </c>
      <c r="H1812" s="98">
        <v>10871</v>
      </c>
      <c r="I1812" s="29">
        <v>13450.04</v>
      </c>
      <c r="J1812" s="12" t="s">
        <v>31</v>
      </c>
      <c r="K1812" s="76">
        <f t="shared" si="127"/>
        <v>13450.04</v>
      </c>
      <c r="L1812">
        <v>1</v>
      </c>
      <c r="M1812" s="29">
        <v>0</v>
      </c>
      <c r="N1812" t="s">
        <v>32</v>
      </c>
      <c r="O1812" t="s">
        <v>33</v>
      </c>
      <c r="P1812" t="s">
        <v>34</v>
      </c>
      <c r="Q1812" t="s">
        <v>34</v>
      </c>
      <c r="R1812" t="s">
        <v>34</v>
      </c>
      <c r="S1812" t="s">
        <v>34</v>
      </c>
      <c r="T1812" s="117">
        <v>0</v>
      </c>
    </row>
    <row r="1813" spans="1:21" x14ac:dyDescent="0.35">
      <c r="A1813" t="s">
        <v>20</v>
      </c>
      <c r="B1813" t="s">
        <v>24</v>
      </c>
      <c r="C1813" s="1">
        <v>45560</v>
      </c>
      <c r="D1813">
        <f t="shared" si="124"/>
        <v>25</v>
      </c>
      <c r="E1813">
        <f t="shared" si="125"/>
        <v>9</v>
      </c>
      <c r="F1813">
        <f t="shared" si="126"/>
        <v>2024</v>
      </c>
      <c r="G1813" t="s">
        <v>82</v>
      </c>
      <c r="H1813" s="98">
        <v>10707</v>
      </c>
      <c r="I1813" s="29">
        <v>1591.85</v>
      </c>
      <c r="J1813" s="12" t="s">
        <v>31</v>
      </c>
      <c r="K1813" s="76">
        <f t="shared" si="127"/>
        <v>1591.85</v>
      </c>
      <c r="L1813">
        <v>1</v>
      </c>
      <c r="M1813" s="29">
        <v>0</v>
      </c>
      <c r="N1813" t="s">
        <v>32</v>
      </c>
      <c r="O1813" t="s">
        <v>33</v>
      </c>
      <c r="P1813" t="s">
        <v>34</v>
      </c>
      <c r="Q1813" t="s">
        <v>34</v>
      </c>
      <c r="R1813" t="s">
        <v>34</v>
      </c>
      <c r="S1813" t="s">
        <v>34</v>
      </c>
      <c r="T1813" s="117">
        <v>0</v>
      </c>
    </row>
    <row r="1814" spans="1:21" x14ac:dyDescent="0.35">
      <c r="A1814" t="s">
        <v>20</v>
      </c>
      <c r="B1814" t="s">
        <v>21</v>
      </c>
      <c r="C1814" s="1">
        <v>45560</v>
      </c>
      <c r="D1814">
        <f t="shared" si="124"/>
        <v>25</v>
      </c>
      <c r="E1814">
        <f t="shared" si="125"/>
        <v>9</v>
      </c>
      <c r="F1814">
        <f t="shared" si="126"/>
        <v>2024</v>
      </c>
      <c r="G1814" t="s">
        <v>82</v>
      </c>
      <c r="H1814" s="98">
        <v>10707</v>
      </c>
      <c r="I1814" s="29">
        <v>4565.66</v>
      </c>
      <c r="J1814" s="12" t="s">
        <v>31</v>
      </c>
      <c r="K1814" s="76">
        <f t="shared" si="127"/>
        <v>4565.66</v>
      </c>
      <c r="L1814">
        <v>1</v>
      </c>
      <c r="M1814" s="29">
        <v>0</v>
      </c>
      <c r="N1814" t="s">
        <v>32</v>
      </c>
      <c r="O1814" t="s">
        <v>33</v>
      </c>
      <c r="P1814" t="s">
        <v>34</v>
      </c>
      <c r="Q1814" t="s">
        <v>34</v>
      </c>
      <c r="R1814" t="s">
        <v>34</v>
      </c>
      <c r="S1814" t="s">
        <v>34</v>
      </c>
      <c r="T1814" s="117">
        <v>0</v>
      </c>
    </row>
    <row r="1815" spans="1:21" x14ac:dyDescent="0.35">
      <c r="A1815" t="s">
        <v>20</v>
      </c>
      <c r="B1815" t="s">
        <v>23</v>
      </c>
      <c r="C1815" s="1">
        <v>45560</v>
      </c>
      <c r="D1815">
        <f t="shared" si="124"/>
        <v>25</v>
      </c>
      <c r="E1815">
        <f t="shared" si="125"/>
        <v>9</v>
      </c>
      <c r="F1815">
        <f t="shared" si="126"/>
        <v>2024</v>
      </c>
      <c r="G1815" t="s">
        <v>82</v>
      </c>
      <c r="H1815" s="98">
        <v>10717</v>
      </c>
      <c r="I1815" s="29">
        <v>5828.3</v>
      </c>
      <c r="J1815" s="12" t="s">
        <v>31</v>
      </c>
      <c r="K1815" s="76">
        <f t="shared" si="127"/>
        <v>5828.3</v>
      </c>
      <c r="L1815">
        <v>1</v>
      </c>
      <c r="M1815" s="29">
        <v>0</v>
      </c>
      <c r="N1815" t="s">
        <v>32</v>
      </c>
      <c r="O1815" t="s">
        <v>33</v>
      </c>
      <c r="P1815" t="s">
        <v>34</v>
      </c>
      <c r="Q1815" t="s">
        <v>34</v>
      </c>
      <c r="R1815" t="s">
        <v>34</v>
      </c>
      <c r="S1815" t="s">
        <v>34</v>
      </c>
      <c r="T1815" s="117">
        <v>0</v>
      </c>
    </row>
    <row r="1816" spans="1:21" x14ac:dyDescent="0.35">
      <c r="A1816" t="s">
        <v>20</v>
      </c>
      <c r="B1816" t="s">
        <v>24</v>
      </c>
      <c r="C1816" s="1">
        <v>45560</v>
      </c>
      <c r="D1816">
        <f t="shared" si="124"/>
        <v>25</v>
      </c>
      <c r="E1816">
        <f t="shared" si="125"/>
        <v>9</v>
      </c>
      <c r="F1816">
        <f t="shared" si="126"/>
        <v>2024</v>
      </c>
      <c r="G1816" t="s">
        <v>45</v>
      </c>
      <c r="H1816" s="98">
        <v>11101</v>
      </c>
      <c r="I1816" s="29">
        <v>838.4</v>
      </c>
      <c r="J1816" s="12" t="s">
        <v>31</v>
      </c>
      <c r="K1816" s="76">
        <f t="shared" si="127"/>
        <v>838.4</v>
      </c>
      <c r="L1816">
        <v>1</v>
      </c>
      <c r="M1816" s="29">
        <v>0</v>
      </c>
      <c r="N1816" t="s">
        <v>32</v>
      </c>
      <c r="O1816" t="s">
        <v>33</v>
      </c>
      <c r="P1816" t="s">
        <v>34</v>
      </c>
      <c r="Q1816" t="s">
        <v>34</v>
      </c>
      <c r="R1816" t="s">
        <v>34</v>
      </c>
      <c r="S1816" t="s">
        <v>34</v>
      </c>
      <c r="T1816" s="117">
        <v>0</v>
      </c>
    </row>
    <row r="1817" spans="1:21" x14ac:dyDescent="0.35">
      <c r="A1817" t="s">
        <v>20</v>
      </c>
      <c r="B1817" t="s">
        <v>25</v>
      </c>
      <c r="C1817" s="1">
        <v>45560</v>
      </c>
      <c r="D1817">
        <f t="shared" si="124"/>
        <v>25</v>
      </c>
      <c r="E1817">
        <f t="shared" si="125"/>
        <v>9</v>
      </c>
      <c r="F1817">
        <f t="shared" si="126"/>
        <v>2024</v>
      </c>
      <c r="G1817" t="s">
        <v>104</v>
      </c>
      <c r="H1817" s="98">
        <v>11246</v>
      </c>
      <c r="I1817" s="29">
        <v>160</v>
      </c>
      <c r="J1817" s="12" t="s">
        <v>31</v>
      </c>
      <c r="K1817" s="76">
        <f t="shared" si="127"/>
        <v>160</v>
      </c>
      <c r="L1817">
        <v>1</v>
      </c>
      <c r="M1817" s="29">
        <v>0</v>
      </c>
      <c r="N1817" t="s">
        <v>42</v>
      </c>
      <c r="O1817" t="s">
        <v>33</v>
      </c>
      <c r="P1817" t="s">
        <v>34</v>
      </c>
      <c r="Q1817" t="s">
        <v>34</v>
      </c>
      <c r="R1817" t="s">
        <v>34</v>
      </c>
      <c r="S1817" t="s">
        <v>34</v>
      </c>
      <c r="T1817" s="117">
        <v>0</v>
      </c>
    </row>
    <row r="1818" spans="1:21" x14ac:dyDescent="0.35">
      <c r="A1818" t="s">
        <v>20</v>
      </c>
      <c r="B1818" t="s">
        <v>24</v>
      </c>
      <c r="C1818" s="1">
        <v>45560</v>
      </c>
      <c r="D1818">
        <f t="shared" si="124"/>
        <v>25</v>
      </c>
      <c r="E1818">
        <f t="shared" si="125"/>
        <v>9</v>
      </c>
      <c r="F1818">
        <f t="shared" si="126"/>
        <v>2024</v>
      </c>
      <c r="G1818" t="s">
        <v>43</v>
      </c>
      <c r="H1818" s="98">
        <v>10751</v>
      </c>
      <c r="I1818" s="29">
        <v>14974.86</v>
      </c>
      <c r="J1818" s="12" t="s">
        <v>31</v>
      </c>
      <c r="K1818" s="76">
        <f t="shared" si="127"/>
        <v>14974.86</v>
      </c>
      <c r="L1818">
        <v>1</v>
      </c>
      <c r="M1818" s="29">
        <v>0</v>
      </c>
      <c r="N1818" t="s">
        <v>32</v>
      </c>
      <c r="O1818" t="s">
        <v>33</v>
      </c>
      <c r="P1818" t="s">
        <v>34</v>
      </c>
      <c r="Q1818" t="s">
        <v>34</v>
      </c>
      <c r="R1818" t="s">
        <v>34</v>
      </c>
      <c r="S1818" t="s">
        <v>34</v>
      </c>
      <c r="T1818" s="117">
        <v>0</v>
      </c>
    </row>
    <row r="1819" spans="1:21" x14ac:dyDescent="0.35">
      <c r="A1819" t="s">
        <v>20</v>
      </c>
      <c r="B1819" t="s">
        <v>25</v>
      </c>
      <c r="C1819" s="1">
        <v>45560</v>
      </c>
      <c r="D1819">
        <f t="shared" si="124"/>
        <v>25</v>
      </c>
      <c r="E1819">
        <f t="shared" si="125"/>
        <v>9</v>
      </c>
      <c r="F1819">
        <f t="shared" si="126"/>
        <v>2024</v>
      </c>
      <c r="G1819" t="s">
        <v>86</v>
      </c>
      <c r="H1819" s="98">
        <v>10646</v>
      </c>
      <c r="I1819" s="29">
        <v>10928.7</v>
      </c>
      <c r="J1819" s="12" t="s">
        <v>31</v>
      </c>
      <c r="K1819" s="76">
        <f t="shared" si="127"/>
        <v>10928.7</v>
      </c>
      <c r="L1819">
        <v>1</v>
      </c>
      <c r="M1819" s="29">
        <v>0</v>
      </c>
      <c r="N1819" t="s">
        <v>32</v>
      </c>
      <c r="O1819" t="s">
        <v>33</v>
      </c>
      <c r="P1819" t="s">
        <v>34</v>
      </c>
      <c r="Q1819" t="s">
        <v>34</v>
      </c>
      <c r="R1819" t="s">
        <v>34</v>
      </c>
      <c r="S1819" t="s">
        <v>34</v>
      </c>
      <c r="T1819" s="117">
        <v>0</v>
      </c>
    </row>
    <row r="1820" spans="1:21" x14ac:dyDescent="0.35">
      <c r="A1820" t="s">
        <v>20</v>
      </c>
      <c r="B1820" t="s">
        <v>21</v>
      </c>
      <c r="C1820" s="1">
        <v>45560</v>
      </c>
      <c r="D1820">
        <f t="shared" si="124"/>
        <v>25</v>
      </c>
      <c r="E1820">
        <f t="shared" si="125"/>
        <v>9</v>
      </c>
      <c r="F1820">
        <f t="shared" si="126"/>
        <v>2024</v>
      </c>
      <c r="G1820" t="s">
        <v>118</v>
      </c>
      <c r="H1820" s="98">
        <v>11309</v>
      </c>
      <c r="I1820" s="29">
        <v>53</v>
      </c>
      <c r="J1820" s="12" t="s">
        <v>31</v>
      </c>
      <c r="K1820" s="76">
        <f t="shared" si="127"/>
        <v>53</v>
      </c>
      <c r="L1820">
        <v>1</v>
      </c>
      <c r="M1820" s="29">
        <v>0</v>
      </c>
      <c r="N1820" t="s">
        <v>42</v>
      </c>
      <c r="O1820" t="s">
        <v>33</v>
      </c>
      <c r="P1820" t="s">
        <v>34</v>
      </c>
      <c r="Q1820" t="s">
        <v>34</v>
      </c>
      <c r="R1820" t="s">
        <v>34</v>
      </c>
      <c r="S1820" t="s">
        <v>34</v>
      </c>
      <c r="T1820" s="117">
        <v>0</v>
      </c>
    </row>
    <row r="1821" spans="1:21" x14ac:dyDescent="0.35">
      <c r="A1821" t="s">
        <v>20</v>
      </c>
      <c r="B1821" t="s">
        <v>21</v>
      </c>
      <c r="C1821" s="1">
        <v>45560</v>
      </c>
      <c r="D1821">
        <f t="shared" si="124"/>
        <v>25</v>
      </c>
      <c r="E1821">
        <f t="shared" si="125"/>
        <v>9</v>
      </c>
      <c r="F1821">
        <f t="shared" si="126"/>
        <v>2024</v>
      </c>
      <c r="G1821" t="s">
        <v>118</v>
      </c>
      <c r="H1821" s="98">
        <v>11310</v>
      </c>
      <c r="I1821" s="29">
        <v>1268.29</v>
      </c>
      <c r="J1821" s="12" t="s">
        <v>31</v>
      </c>
      <c r="K1821" s="76">
        <f t="shared" si="127"/>
        <v>1268.29</v>
      </c>
      <c r="L1821">
        <v>1</v>
      </c>
      <c r="M1821" s="29">
        <v>0</v>
      </c>
      <c r="N1821" t="s">
        <v>42</v>
      </c>
      <c r="O1821" t="s">
        <v>33</v>
      </c>
      <c r="P1821" t="s">
        <v>34</v>
      </c>
      <c r="Q1821" t="s">
        <v>34</v>
      </c>
      <c r="R1821" t="s">
        <v>34</v>
      </c>
      <c r="S1821" t="s">
        <v>34</v>
      </c>
      <c r="T1821" s="117">
        <v>0</v>
      </c>
    </row>
    <row r="1822" spans="1:21" x14ac:dyDescent="0.35">
      <c r="A1822" t="s">
        <v>20</v>
      </c>
      <c r="B1822" t="s">
        <v>25</v>
      </c>
      <c r="C1822" s="1">
        <v>45560</v>
      </c>
      <c r="D1822">
        <f t="shared" si="124"/>
        <v>25</v>
      </c>
      <c r="E1822">
        <f t="shared" si="125"/>
        <v>9</v>
      </c>
      <c r="F1822">
        <f t="shared" si="126"/>
        <v>2024</v>
      </c>
      <c r="G1822" t="s">
        <v>174</v>
      </c>
      <c r="H1822" s="98">
        <v>11306</v>
      </c>
      <c r="I1822" s="29">
        <v>18.600000000000001</v>
      </c>
      <c r="J1822" s="12" t="s">
        <v>31</v>
      </c>
      <c r="K1822" s="76">
        <f t="shared" si="127"/>
        <v>18.600000000000001</v>
      </c>
      <c r="L1822">
        <v>1</v>
      </c>
      <c r="M1822" s="29">
        <v>0</v>
      </c>
      <c r="N1822" t="s">
        <v>42</v>
      </c>
      <c r="O1822" t="s">
        <v>33</v>
      </c>
      <c r="P1822" t="s">
        <v>34</v>
      </c>
      <c r="Q1822" t="s">
        <v>34</v>
      </c>
      <c r="R1822" t="s">
        <v>34</v>
      </c>
      <c r="S1822" t="s">
        <v>34</v>
      </c>
      <c r="T1822" s="117">
        <v>0</v>
      </c>
    </row>
    <row r="1823" spans="1:21" x14ac:dyDescent="0.35">
      <c r="A1823" t="s">
        <v>20</v>
      </c>
      <c r="B1823" t="s">
        <v>25</v>
      </c>
      <c r="C1823" s="1">
        <v>45560</v>
      </c>
      <c r="D1823">
        <f t="shared" si="124"/>
        <v>25</v>
      </c>
      <c r="E1823">
        <f t="shared" si="125"/>
        <v>9</v>
      </c>
      <c r="F1823">
        <f t="shared" si="126"/>
        <v>2024</v>
      </c>
      <c r="G1823" t="s">
        <v>174</v>
      </c>
      <c r="H1823" s="98">
        <v>11307</v>
      </c>
      <c r="I1823" s="29">
        <v>1562.4</v>
      </c>
      <c r="J1823" s="12" t="s">
        <v>31</v>
      </c>
      <c r="K1823" s="76">
        <f t="shared" si="127"/>
        <v>1562.4</v>
      </c>
      <c r="L1823">
        <v>1</v>
      </c>
      <c r="M1823" s="29">
        <v>0</v>
      </c>
      <c r="N1823" t="s">
        <v>42</v>
      </c>
      <c r="O1823" t="s">
        <v>33</v>
      </c>
      <c r="P1823" t="s">
        <v>34</v>
      </c>
      <c r="Q1823" t="s">
        <v>34</v>
      </c>
      <c r="R1823" t="s">
        <v>34</v>
      </c>
      <c r="S1823" t="s">
        <v>34</v>
      </c>
      <c r="T1823" s="117">
        <v>0</v>
      </c>
    </row>
    <row r="1824" spans="1:21" x14ac:dyDescent="0.35">
      <c r="A1824" t="s">
        <v>20</v>
      </c>
      <c r="B1824" t="s">
        <v>25</v>
      </c>
      <c r="C1824" s="1">
        <v>45560</v>
      </c>
      <c r="D1824">
        <f t="shared" si="124"/>
        <v>25</v>
      </c>
      <c r="E1824">
        <f t="shared" si="125"/>
        <v>9</v>
      </c>
      <c r="F1824">
        <f t="shared" si="126"/>
        <v>2024</v>
      </c>
      <c r="G1824" t="s">
        <v>174</v>
      </c>
      <c r="H1824" s="98">
        <v>11250</v>
      </c>
      <c r="I1824" s="29">
        <v>4091.5</v>
      </c>
      <c r="J1824" s="12" t="s">
        <v>31</v>
      </c>
      <c r="K1824" s="76">
        <f t="shared" si="127"/>
        <v>4091.5</v>
      </c>
      <c r="L1824">
        <v>1</v>
      </c>
      <c r="M1824" s="29">
        <v>0</v>
      </c>
      <c r="N1824" t="s">
        <v>42</v>
      </c>
      <c r="O1824" t="s">
        <v>33</v>
      </c>
      <c r="P1824" t="s">
        <v>34</v>
      </c>
      <c r="Q1824" t="s">
        <v>34</v>
      </c>
      <c r="R1824" t="s">
        <v>34</v>
      </c>
      <c r="S1824" t="s">
        <v>34</v>
      </c>
      <c r="T1824" s="117">
        <v>0</v>
      </c>
    </row>
    <row r="1825" spans="1:21" x14ac:dyDescent="0.35">
      <c r="A1825" t="s">
        <v>20</v>
      </c>
      <c r="B1825" t="s">
        <v>24</v>
      </c>
      <c r="C1825" s="1">
        <v>45560</v>
      </c>
      <c r="D1825">
        <f t="shared" si="124"/>
        <v>25</v>
      </c>
      <c r="E1825">
        <f t="shared" si="125"/>
        <v>9</v>
      </c>
      <c r="F1825">
        <f t="shared" si="126"/>
        <v>2024</v>
      </c>
      <c r="G1825" t="s">
        <v>209</v>
      </c>
      <c r="H1825" s="98">
        <v>10606</v>
      </c>
      <c r="I1825" s="29">
        <v>27502.45</v>
      </c>
      <c r="J1825" s="12" t="s">
        <v>31</v>
      </c>
      <c r="K1825" s="76">
        <f t="shared" si="127"/>
        <v>27502.45</v>
      </c>
      <c r="L1825">
        <v>1</v>
      </c>
      <c r="M1825" s="29">
        <v>0</v>
      </c>
      <c r="N1825" t="s">
        <v>32</v>
      </c>
      <c r="O1825" t="s">
        <v>33</v>
      </c>
      <c r="P1825" t="s">
        <v>34</v>
      </c>
      <c r="Q1825" t="s">
        <v>34</v>
      </c>
      <c r="R1825" t="s">
        <v>34</v>
      </c>
      <c r="S1825" t="s">
        <v>34</v>
      </c>
      <c r="T1825" s="117">
        <v>0</v>
      </c>
    </row>
    <row r="1826" spans="1:21" x14ac:dyDescent="0.35">
      <c r="A1826" t="s">
        <v>19</v>
      </c>
      <c r="B1826" t="s">
        <v>19</v>
      </c>
      <c r="C1826" s="1">
        <v>45561</v>
      </c>
      <c r="D1826">
        <f t="shared" si="124"/>
        <v>26</v>
      </c>
      <c r="E1826">
        <f t="shared" si="125"/>
        <v>9</v>
      </c>
      <c r="F1826">
        <f t="shared" si="126"/>
        <v>2024</v>
      </c>
      <c r="G1826" t="s">
        <v>129</v>
      </c>
      <c r="H1826" s="98" t="s">
        <v>494</v>
      </c>
      <c r="I1826" s="29">
        <v>42175.19</v>
      </c>
      <c r="J1826" s="12" t="s">
        <v>31</v>
      </c>
      <c r="K1826" s="76">
        <f t="shared" si="127"/>
        <v>42175.19</v>
      </c>
      <c r="L1826">
        <v>1</v>
      </c>
      <c r="M1826" s="29">
        <v>0</v>
      </c>
      <c r="N1826" t="s">
        <v>32</v>
      </c>
      <c r="O1826" t="s">
        <v>33</v>
      </c>
      <c r="P1826" t="s">
        <v>34</v>
      </c>
      <c r="Q1826" t="s">
        <v>34</v>
      </c>
      <c r="R1826" t="s">
        <v>34</v>
      </c>
      <c r="S1826" t="s">
        <v>34</v>
      </c>
      <c r="T1826" s="117">
        <v>0</v>
      </c>
    </row>
    <row r="1827" spans="1:21" x14ac:dyDescent="0.35">
      <c r="A1827" t="s">
        <v>19</v>
      </c>
      <c r="B1827" t="s">
        <v>19</v>
      </c>
      <c r="C1827" s="1">
        <v>45561</v>
      </c>
      <c r="D1827">
        <f t="shared" si="124"/>
        <v>26</v>
      </c>
      <c r="E1827">
        <f t="shared" si="125"/>
        <v>9</v>
      </c>
      <c r="F1827">
        <f t="shared" si="126"/>
        <v>2024</v>
      </c>
      <c r="G1827" t="s">
        <v>129</v>
      </c>
      <c r="H1827" s="98" t="s">
        <v>536</v>
      </c>
      <c r="I1827" s="29">
        <v>128338.71</v>
      </c>
      <c r="J1827" s="12" t="s">
        <v>31</v>
      </c>
      <c r="K1827" s="76">
        <f t="shared" si="127"/>
        <v>128338.71</v>
      </c>
      <c r="L1827">
        <v>1</v>
      </c>
      <c r="M1827" s="29">
        <v>0</v>
      </c>
      <c r="N1827" t="s">
        <v>32</v>
      </c>
      <c r="O1827" t="s">
        <v>33</v>
      </c>
      <c r="P1827" t="s">
        <v>34</v>
      </c>
      <c r="Q1827" t="s">
        <v>34</v>
      </c>
      <c r="R1827" t="s">
        <v>34</v>
      </c>
      <c r="S1827" t="s">
        <v>34</v>
      </c>
      <c r="T1827" s="117">
        <v>0</v>
      </c>
    </row>
    <row r="1828" spans="1:21" x14ac:dyDescent="0.35">
      <c r="A1828" t="s">
        <v>19</v>
      </c>
      <c r="B1828" t="s">
        <v>19</v>
      </c>
      <c r="C1828" s="1">
        <v>45561</v>
      </c>
      <c r="D1828">
        <f t="shared" si="124"/>
        <v>26</v>
      </c>
      <c r="E1828">
        <f t="shared" si="125"/>
        <v>9</v>
      </c>
      <c r="F1828">
        <f t="shared" si="126"/>
        <v>2024</v>
      </c>
      <c r="G1828" t="s">
        <v>57</v>
      </c>
      <c r="H1828" s="171" t="s">
        <v>537</v>
      </c>
      <c r="I1828" s="90">
        <v>121651.97</v>
      </c>
      <c r="J1828" s="12" t="s">
        <v>31</v>
      </c>
      <c r="K1828" s="76">
        <f t="shared" si="127"/>
        <v>121651.97</v>
      </c>
      <c r="L1828">
        <v>1</v>
      </c>
      <c r="M1828" s="29">
        <v>0</v>
      </c>
      <c r="N1828" t="s">
        <v>32</v>
      </c>
      <c r="O1828" t="s">
        <v>33</v>
      </c>
      <c r="P1828" t="s">
        <v>34</v>
      </c>
      <c r="Q1828" t="s">
        <v>34</v>
      </c>
      <c r="R1828" t="s">
        <v>34</v>
      </c>
      <c r="S1828" t="s">
        <v>34</v>
      </c>
      <c r="T1828" s="117">
        <v>0</v>
      </c>
    </row>
    <row r="1829" spans="1:21" x14ac:dyDescent="0.35">
      <c r="A1829" t="s">
        <v>19</v>
      </c>
      <c r="B1829" t="s">
        <v>19</v>
      </c>
      <c r="C1829" s="1">
        <v>45561</v>
      </c>
      <c r="D1829">
        <f t="shared" si="124"/>
        <v>26</v>
      </c>
      <c r="E1829">
        <f t="shared" si="125"/>
        <v>9</v>
      </c>
      <c r="F1829">
        <f t="shared" si="126"/>
        <v>2024</v>
      </c>
      <c r="G1829" t="s">
        <v>90</v>
      </c>
      <c r="H1829" s="98" t="s">
        <v>538</v>
      </c>
      <c r="I1829" s="29">
        <v>40902.78</v>
      </c>
      <c r="J1829" s="12" t="s">
        <v>31</v>
      </c>
      <c r="K1829" s="76">
        <f t="shared" si="127"/>
        <v>40902.78</v>
      </c>
      <c r="L1829">
        <v>1</v>
      </c>
      <c r="M1829" s="29">
        <v>0</v>
      </c>
      <c r="N1829" t="s">
        <v>32</v>
      </c>
      <c r="O1829" t="s">
        <v>33</v>
      </c>
      <c r="P1829" t="s">
        <v>34</v>
      </c>
      <c r="Q1829" t="s">
        <v>34</v>
      </c>
      <c r="R1829" t="s">
        <v>34</v>
      </c>
      <c r="S1829" t="s">
        <v>34</v>
      </c>
      <c r="T1829" s="117">
        <v>0</v>
      </c>
    </row>
    <row r="1830" spans="1:21" x14ac:dyDescent="0.35">
      <c r="A1830" t="s">
        <v>19</v>
      </c>
      <c r="B1830" t="s">
        <v>19</v>
      </c>
      <c r="C1830" s="1">
        <v>45561</v>
      </c>
      <c r="D1830">
        <f t="shared" si="124"/>
        <v>26</v>
      </c>
      <c r="E1830">
        <f t="shared" si="125"/>
        <v>9</v>
      </c>
      <c r="F1830">
        <f t="shared" si="126"/>
        <v>2024</v>
      </c>
      <c r="G1830" t="s">
        <v>90</v>
      </c>
      <c r="H1830" s="98" t="s">
        <v>539</v>
      </c>
      <c r="I1830" s="29">
        <v>824.27</v>
      </c>
      <c r="J1830" s="12" t="s">
        <v>31</v>
      </c>
      <c r="K1830" s="76">
        <f t="shared" si="127"/>
        <v>824.27</v>
      </c>
      <c r="L1830">
        <v>1</v>
      </c>
      <c r="M1830" s="29">
        <v>0</v>
      </c>
      <c r="N1830" t="s">
        <v>32</v>
      </c>
      <c r="O1830" t="s">
        <v>33</v>
      </c>
      <c r="P1830" t="s">
        <v>34</v>
      </c>
      <c r="Q1830" t="s">
        <v>34</v>
      </c>
      <c r="R1830" t="s">
        <v>34</v>
      </c>
      <c r="S1830" t="s">
        <v>34</v>
      </c>
      <c r="T1830" s="117">
        <v>0</v>
      </c>
    </row>
    <row r="1831" spans="1:21" x14ac:dyDescent="0.35">
      <c r="A1831" t="s">
        <v>19</v>
      </c>
      <c r="B1831" t="s">
        <v>19</v>
      </c>
      <c r="C1831" s="1">
        <v>45561</v>
      </c>
      <c r="D1831">
        <f t="shared" si="124"/>
        <v>26</v>
      </c>
      <c r="E1831">
        <f t="shared" si="125"/>
        <v>9</v>
      </c>
      <c r="F1831">
        <f t="shared" si="126"/>
        <v>2024</v>
      </c>
      <c r="G1831" t="s">
        <v>56</v>
      </c>
      <c r="H1831" s="98" t="s">
        <v>540</v>
      </c>
      <c r="I1831" s="29">
        <v>184336.24</v>
      </c>
      <c r="J1831" s="12" t="s">
        <v>31</v>
      </c>
      <c r="K1831" s="76">
        <f t="shared" si="127"/>
        <v>184336.24</v>
      </c>
      <c r="L1831">
        <v>1</v>
      </c>
      <c r="M1831" s="29">
        <v>0</v>
      </c>
      <c r="N1831" t="s">
        <v>32</v>
      </c>
      <c r="O1831" t="s">
        <v>33</v>
      </c>
      <c r="P1831" t="s">
        <v>34</v>
      </c>
      <c r="Q1831" t="s">
        <v>34</v>
      </c>
      <c r="R1831" t="s">
        <v>34</v>
      </c>
      <c r="S1831" t="s">
        <v>34</v>
      </c>
      <c r="T1831" s="117">
        <v>0</v>
      </c>
    </row>
    <row r="1832" spans="1:21" x14ac:dyDescent="0.35">
      <c r="A1832" t="s">
        <v>19</v>
      </c>
      <c r="B1832" t="s">
        <v>19</v>
      </c>
      <c r="C1832" s="1">
        <v>45561</v>
      </c>
      <c r="D1832">
        <f t="shared" si="124"/>
        <v>26</v>
      </c>
      <c r="E1832">
        <f t="shared" si="125"/>
        <v>9</v>
      </c>
      <c r="F1832">
        <f t="shared" si="126"/>
        <v>2024</v>
      </c>
      <c r="G1832" t="s">
        <v>56</v>
      </c>
      <c r="H1832" s="98" t="s">
        <v>541</v>
      </c>
      <c r="I1832" s="29">
        <v>177290.06</v>
      </c>
      <c r="J1832" s="12" t="s">
        <v>31</v>
      </c>
      <c r="K1832" s="76">
        <f t="shared" si="127"/>
        <v>177290.06</v>
      </c>
      <c r="L1832">
        <v>1</v>
      </c>
      <c r="M1832" s="29">
        <v>0</v>
      </c>
      <c r="N1832" t="s">
        <v>32</v>
      </c>
      <c r="O1832" t="s">
        <v>33</v>
      </c>
      <c r="P1832" t="s">
        <v>34</v>
      </c>
      <c r="Q1832" t="s">
        <v>34</v>
      </c>
      <c r="R1832" t="s">
        <v>34</v>
      </c>
      <c r="S1832" t="s">
        <v>34</v>
      </c>
      <c r="T1832" s="117">
        <v>0</v>
      </c>
    </row>
    <row r="1833" spans="1:21" x14ac:dyDescent="0.35">
      <c r="A1833" t="s">
        <v>19</v>
      </c>
      <c r="B1833" t="s">
        <v>19</v>
      </c>
      <c r="C1833" s="1">
        <v>45561</v>
      </c>
      <c r="D1833">
        <f t="shared" si="124"/>
        <v>26</v>
      </c>
      <c r="E1833">
        <f t="shared" si="125"/>
        <v>9</v>
      </c>
      <c r="F1833">
        <f t="shared" si="126"/>
        <v>2024</v>
      </c>
      <c r="G1833" t="s">
        <v>117</v>
      </c>
      <c r="H1833" s="98" t="s">
        <v>376</v>
      </c>
      <c r="I1833" s="29">
        <v>102516.84</v>
      </c>
      <c r="J1833" s="12" t="s">
        <v>31</v>
      </c>
      <c r="K1833" s="76">
        <f t="shared" si="127"/>
        <v>102516.84</v>
      </c>
      <c r="L1833">
        <v>1</v>
      </c>
      <c r="M1833" s="29">
        <v>0</v>
      </c>
      <c r="N1833" t="s">
        <v>32</v>
      </c>
      <c r="O1833" t="s">
        <v>33</v>
      </c>
      <c r="P1833" t="s">
        <v>34</v>
      </c>
      <c r="Q1833" t="s">
        <v>34</v>
      </c>
      <c r="R1833" t="s">
        <v>34</v>
      </c>
      <c r="S1833" t="s">
        <v>34</v>
      </c>
      <c r="T1833" s="117">
        <v>0</v>
      </c>
    </row>
    <row r="1834" spans="1:21" x14ac:dyDescent="0.35">
      <c r="A1834" t="s">
        <v>19</v>
      </c>
      <c r="B1834" t="s">
        <v>21</v>
      </c>
      <c r="C1834" s="1">
        <v>45561</v>
      </c>
      <c r="D1834">
        <f t="shared" si="124"/>
        <v>26</v>
      </c>
      <c r="E1834">
        <f t="shared" si="125"/>
        <v>9</v>
      </c>
      <c r="F1834">
        <f t="shared" si="126"/>
        <v>2024</v>
      </c>
      <c r="G1834" t="s">
        <v>77</v>
      </c>
      <c r="H1834" s="98">
        <v>11337</v>
      </c>
      <c r="I1834" s="29">
        <v>4840.59</v>
      </c>
      <c r="J1834" s="12" t="s">
        <v>31</v>
      </c>
      <c r="K1834" s="76">
        <f t="shared" si="127"/>
        <v>4840.59</v>
      </c>
      <c r="L1834">
        <v>1</v>
      </c>
      <c r="M1834" s="29">
        <v>0</v>
      </c>
      <c r="N1834" t="s">
        <v>42</v>
      </c>
      <c r="O1834" t="s">
        <v>33</v>
      </c>
      <c r="P1834" t="s">
        <v>34</v>
      </c>
      <c r="Q1834" t="s">
        <v>34</v>
      </c>
      <c r="R1834" t="s">
        <v>34</v>
      </c>
      <c r="S1834" t="s">
        <v>34</v>
      </c>
      <c r="T1834" s="117">
        <v>0</v>
      </c>
      <c r="U1834" s="209" t="s">
        <v>830</v>
      </c>
    </row>
    <row r="1835" spans="1:21" x14ac:dyDescent="0.35">
      <c r="A1835" t="s">
        <v>19</v>
      </c>
      <c r="B1835" t="s">
        <v>21</v>
      </c>
      <c r="C1835" s="1">
        <v>45561</v>
      </c>
      <c r="D1835">
        <f t="shared" si="124"/>
        <v>26</v>
      </c>
      <c r="E1835">
        <f t="shared" si="125"/>
        <v>9</v>
      </c>
      <c r="F1835">
        <f t="shared" si="126"/>
        <v>2024</v>
      </c>
      <c r="G1835" t="s">
        <v>77</v>
      </c>
      <c r="H1835" s="98">
        <v>11335</v>
      </c>
      <c r="I1835" s="29">
        <v>49.8</v>
      </c>
      <c r="J1835" s="12" t="s">
        <v>31</v>
      </c>
      <c r="K1835" s="76">
        <f t="shared" si="127"/>
        <v>49.8</v>
      </c>
      <c r="L1835">
        <v>1</v>
      </c>
      <c r="M1835" s="29">
        <v>0</v>
      </c>
      <c r="N1835" t="s">
        <v>42</v>
      </c>
      <c r="O1835" t="s">
        <v>33</v>
      </c>
      <c r="P1835" t="s">
        <v>34</v>
      </c>
      <c r="Q1835" t="s">
        <v>34</v>
      </c>
      <c r="R1835" t="s">
        <v>34</v>
      </c>
      <c r="S1835" t="s">
        <v>34</v>
      </c>
      <c r="T1835" s="117">
        <v>0</v>
      </c>
    </row>
    <row r="1836" spans="1:21" x14ac:dyDescent="0.35">
      <c r="A1836" t="s">
        <v>19</v>
      </c>
      <c r="B1836" t="s">
        <v>23</v>
      </c>
      <c r="C1836" s="1">
        <v>45561</v>
      </c>
      <c r="D1836">
        <f t="shared" si="124"/>
        <v>26</v>
      </c>
      <c r="E1836">
        <f t="shared" si="125"/>
        <v>9</v>
      </c>
      <c r="F1836">
        <f t="shared" si="126"/>
        <v>2024</v>
      </c>
      <c r="G1836" t="s">
        <v>77</v>
      </c>
      <c r="H1836" s="98">
        <v>11336</v>
      </c>
      <c r="I1836" s="29">
        <v>4350</v>
      </c>
      <c r="J1836" s="12" t="s">
        <v>31</v>
      </c>
      <c r="K1836" s="76">
        <f t="shared" si="127"/>
        <v>4350</v>
      </c>
      <c r="L1836">
        <v>1</v>
      </c>
      <c r="M1836" s="29">
        <v>0</v>
      </c>
      <c r="N1836" t="s">
        <v>42</v>
      </c>
      <c r="O1836" t="s">
        <v>33</v>
      </c>
      <c r="P1836" t="s">
        <v>34</v>
      </c>
      <c r="Q1836" t="s">
        <v>34</v>
      </c>
      <c r="R1836" t="s">
        <v>34</v>
      </c>
      <c r="S1836" t="s">
        <v>34</v>
      </c>
      <c r="T1836" s="117">
        <v>0</v>
      </c>
    </row>
    <row r="1837" spans="1:21" x14ac:dyDescent="0.35">
      <c r="A1837" t="s">
        <v>19</v>
      </c>
      <c r="B1837" t="s">
        <v>23</v>
      </c>
      <c r="C1837" s="1">
        <v>45561</v>
      </c>
      <c r="D1837">
        <f t="shared" si="124"/>
        <v>26</v>
      </c>
      <c r="E1837">
        <f t="shared" si="125"/>
        <v>9</v>
      </c>
      <c r="F1837">
        <f t="shared" si="126"/>
        <v>2024</v>
      </c>
      <c r="G1837" t="s">
        <v>77</v>
      </c>
      <c r="H1837" s="98">
        <v>11337</v>
      </c>
      <c r="I1837" s="29">
        <v>2970</v>
      </c>
      <c r="J1837" s="12" t="s">
        <v>31</v>
      </c>
      <c r="K1837" s="76">
        <f t="shared" si="127"/>
        <v>2970</v>
      </c>
      <c r="L1837">
        <v>1</v>
      </c>
      <c r="M1837" s="29">
        <v>0</v>
      </c>
      <c r="N1837" t="s">
        <v>42</v>
      </c>
      <c r="O1837" t="s">
        <v>33</v>
      </c>
      <c r="P1837" t="s">
        <v>34</v>
      </c>
      <c r="Q1837" t="s">
        <v>34</v>
      </c>
      <c r="R1837" t="s">
        <v>34</v>
      </c>
      <c r="S1837" t="s">
        <v>34</v>
      </c>
      <c r="T1837" s="117">
        <v>0</v>
      </c>
    </row>
    <row r="1838" spans="1:21" x14ac:dyDescent="0.35">
      <c r="A1838" t="s">
        <v>19</v>
      </c>
      <c r="B1838" t="s">
        <v>23</v>
      </c>
      <c r="C1838" s="1">
        <v>45561</v>
      </c>
      <c r="D1838">
        <f t="shared" si="124"/>
        <v>26</v>
      </c>
      <c r="E1838">
        <f t="shared" si="125"/>
        <v>9</v>
      </c>
      <c r="F1838">
        <f t="shared" si="126"/>
        <v>2024</v>
      </c>
      <c r="G1838" t="s">
        <v>74</v>
      </c>
      <c r="H1838" s="98">
        <v>10466</v>
      </c>
      <c r="I1838" s="29">
        <v>62534.05</v>
      </c>
      <c r="J1838" s="12" t="s">
        <v>31</v>
      </c>
      <c r="K1838" s="76">
        <f t="shared" si="127"/>
        <v>62534.05</v>
      </c>
      <c r="L1838">
        <v>1</v>
      </c>
      <c r="M1838" s="29">
        <v>0</v>
      </c>
      <c r="N1838" t="s">
        <v>32</v>
      </c>
      <c r="O1838" t="s">
        <v>33</v>
      </c>
      <c r="P1838" t="s">
        <v>34</v>
      </c>
      <c r="Q1838" t="s">
        <v>34</v>
      </c>
      <c r="R1838" t="s">
        <v>34</v>
      </c>
      <c r="S1838" t="s">
        <v>34</v>
      </c>
      <c r="T1838" s="117">
        <v>0</v>
      </c>
    </row>
    <row r="1839" spans="1:21" x14ac:dyDescent="0.35">
      <c r="A1839" t="s">
        <v>19</v>
      </c>
      <c r="B1839" t="s">
        <v>25</v>
      </c>
      <c r="C1839" s="1">
        <v>45561</v>
      </c>
      <c r="D1839">
        <f t="shared" si="124"/>
        <v>26</v>
      </c>
      <c r="E1839">
        <f t="shared" si="125"/>
        <v>9</v>
      </c>
      <c r="F1839">
        <f t="shared" si="126"/>
        <v>2024</v>
      </c>
      <c r="G1839" t="s">
        <v>351</v>
      </c>
      <c r="H1839" s="98">
        <v>10662</v>
      </c>
      <c r="I1839" s="29">
        <v>12827</v>
      </c>
      <c r="J1839" s="12" t="s">
        <v>31</v>
      </c>
      <c r="K1839" s="76">
        <f t="shared" si="127"/>
        <v>12827</v>
      </c>
      <c r="L1839">
        <v>1</v>
      </c>
      <c r="M1839" s="29">
        <v>0</v>
      </c>
      <c r="N1839" t="s">
        <v>42</v>
      </c>
      <c r="O1839" t="s">
        <v>33</v>
      </c>
      <c r="P1839" t="s">
        <v>34</v>
      </c>
      <c r="Q1839" t="s">
        <v>34</v>
      </c>
      <c r="R1839" t="s">
        <v>34</v>
      </c>
      <c r="S1839" t="s">
        <v>34</v>
      </c>
      <c r="T1839" s="117">
        <v>0</v>
      </c>
    </row>
    <row r="1840" spans="1:21" x14ac:dyDescent="0.35">
      <c r="A1840" t="s">
        <v>19</v>
      </c>
      <c r="B1840" t="s">
        <v>25</v>
      </c>
      <c r="C1840" s="1">
        <v>45561</v>
      </c>
      <c r="D1840">
        <f t="shared" si="124"/>
        <v>26</v>
      </c>
      <c r="E1840">
        <f t="shared" si="125"/>
        <v>9</v>
      </c>
      <c r="F1840">
        <f t="shared" si="126"/>
        <v>2024</v>
      </c>
      <c r="G1840" t="s">
        <v>36</v>
      </c>
      <c r="H1840" s="98">
        <v>10497</v>
      </c>
      <c r="I1840" s="29">
        <v>32867</v>
      </c>
      <c r="J1840" s="12" t="s">
        <v>31</v>
      </c>
      <c r="K1840" s="76">
        <f t="shared" si="127"/>
        <v>32867</v>
      </c>
      <c r="L1840">
        <v>1</v>
      </c>
      <c r="M1840" s="29">
        <v>0</v>
      </c>
      <c r="N1840" t="s">
        <v>32</v>
      </c>
      <c r="O1840" t="s">
        <v>33</v>
      </c>
      <c r="P1840" t="s">
        <v>34</v>
      </c>
      <c r="Q1840" t="s">
        <v>34</v>
      </c>
      <c r="R1840" t="s">
        <v>34</v>
      </c>
      <c r="S1840" t="s">
        <v>34</v>
      </c>
      <c r="T1840" s="117">
        <v>0</v>
      </c>
    </row>
    <row r="1841" spans="1:21" x14ac:dyDescent="0.35">
      <c r="A1841" t="s">
        <v>19</v>
      </c>
      <c r="B1841" t="s">
        <v>21</v>
      </c>
      <c r="C1841" s="1">
        <v>45561</v>
      </c>
      <c r="D1841">
        <f t="shared" si="124"/>
        <v>26</v>
      </c>
      <c r="E1841">
        <f t="shared" si="125"/>
        <v>9</v>
      </c>
      <c r="F1841">
        <f t="shared" si="126"/>
        <v>2024</v>
      </c>
      <c r="G1841" t="s">
        <v>36</v>
      </c>
      <c r="H1841" s="98">
        <v>10497</v>
      </c>
      <c r="I1841" s="29">
        <v>42817.5</v>
      </c>
      <c r="J1841" s="12" t="s">
        <v>31</v>
      </c>
      <c r="K1841" s="76">
        <f t="shared" si="127"/>
        <v>42817.5</v>
      </c>
      <c r="L1841">
        <v>1</v>
      </c>
      <c r="M1841" s="29">
        <v>0</v>
      </c>
      <c r="N1841" t="s">
        <v>32</v>
      </c>
      <c r="O1841" t="s">
        <v>33</v>
      </c>
      <c r="P1841" t="s">
        <v>34</v>
      </c>
      <c r="Q1841" t="s">
        <v>34</v>
      </c>
      <c r="R1841" t="s">
        <v>34</v>
      </c>
      <c r="S1841" t="s">
        <v>34</v>
      </c>
      <c r="T1841" s="117">
        <v>0</v>
      </c>
    </row>
    <row r="1842" spans="1:21" x14ac:dyDescent="0.35">
      <c r="A1842" t="s">
        <v>19</v>
      </c>
      <c r="B1842" t="s">
        <v>24</v>
      </c>
      <c r="C1842" s="1">
        <v>45561</v>
      </c>
      <c r="D1842">
        <f t="shared" si="124"/>
        <v>26</v>
      </c>
      <c r="E1842">
        <f t="shared" si="125"/>
        <v>9</v>
      </c>
      <c r="F1842">
        <f t="shared" si="126"/>
        <v>2024</v>
      </c>
      <c r="G1842" t="s">
        <v>29</v>
      </c>
      <c r="H1842" s="98">
        <v>10446</v>
      </c>
      <c r="I1842" s="29">
        <v>15381.66</v>
      </c>
      <c r="J1842" s="12" t="s">
        <v>31</v>
      </c>
      <c r="K1842" s="76">
        <f t="shared" si="127"/>
        <v>15381.66</v>
      </c>
      <c r="L1842">
        <v>1</v>
      </c>
      <c r="M1842" s="29">
        <v>0</v>
      </c>
      <c r="N1842" t="s">
        <v>32</v>
      </c>
      <c r="O1842" t="s">
        <v>33</v>
      </c>
      <c r="P1842" t="s">
        <v>34</v>
      </c>
      <c r="Q1842" t="s">
        <v>34</v>
      </c>
      <c r="R1842" t="s">
        <v>34</v>
      </c>
      <c r="S1842" t="s">
        <v>34</v>
      </c>
      <c r="T1842" s="117">
        <v>0</v>
      </c>
    </row>
    <row r="1843" spans="1:21" x14ac:dyDescent="0.35">
      <c r="A1843" t="s">
        <v>19</v>
      </c>
      <c r="B1843" t="s">
        <v>25</v>
      </c>
      <c r="C1843" s="1">
        <v>45561</v>
      </c>
      <c r="D1843">
        <f t="shared" si="124"/>
        <v>26</v>
      </c>
      <c r="E1843">
        <f t="shared" si="125"/>
        <v>9</v>
      </c>
      <c r="F1843">
        <f t="shared" si="126"/>
        <v>2024</v>
      </c>
      <c r="G1843" t="s">
        <v>39</v>
      </c>
      <c r="H1843" s="98">
        <v>10501</v>
      </c>
      <c r="I1843" s="29">
        <v>13505.4</v>
      </c>
      <c r="J1843" s="12" t="s">
        <v>31</v>
      </c>
      <c r="K1843" s="76">
        <f t="shared" si="127"/>
        <v>13505.4</v>
      </c>
      <c r="L1843">
        <v>1</v>
      </c>
      <c r="M1843" s="29">
        <v>0</v>
      </c>
      <c r="N1843" t="s">
        <v>32</v>
      </c>
      <c r="O1843" t="s">
        <v>33</v>
      </c>
      <c r="P1843" t="s">
        <v>34</v>
      </c>
      <c r="Q1843" t="s">
        <v>34</v>
      </c>
      <c r="R1843" t="s">
        <v>34</v>
      </c>
      <c r="S1843" t="s">
        <v>34</v>
      </c>
      <c r="T1843" s="117">
        <v>0</v>
      </c>
    </row>
    <row r="1844" spans="1:21" x14ac:dyDescent="0.35">
      <c r="A1844" t="s">
        <v>19</v>
      </c>
      <c r="B1844" t="s">
        <v>25</v>
      </c>
      <c r="C1844" s="1">
        <v>45561</v>
      </c>
      <c r="D1844">
        <f t="shared" si="124"/>
        <v>26</v>
      </c>
      <c r="E1844">
        <f t="shared" si="125"/>
        <v>9</v>
      </c>
      <c r="F1844">
        <f t="shared" si="126"/>
        <v>2024</v>
      </c>
      <c r="G1844" t="s">
        <v>39</v>
      </c>
      <c r="H1844" s="98">
        <v>10826</v>
      </c>
      <c r="I1844" s="29">
        <v>9686.6</v>
      </c>
      <c r="J1844" s="12" t="s">
        <v>31</v>
      </c>
      <c r="K1844" s="76">
        <f t="shared" si="127"/>
        <v>9686.6</v>
      </c>
      <c r="L1844">
        <v>1</v>
      </c>
      <c r="M1844" s="29">
        <v>0</v>
      </c>
      <c r="N1844" t="s">
        <v>32</v>
      </c>
      <c r="O1844" t="s">
        <v>33</v>
      </c>
      <c r="P1844" t="s">
        <v>34</v>
      </c>
      <c r="Q1844" t="s">
        <v>34</v>
      </c>
      <c r="R1844" t="s">
        <v>34</v>
      </c>
      <c r="S1844" t="s">
        <v>34</v>
      </c>
      <c r="T1844" s="117">
        <v>0</v>
      </c>
    </row>
    <row r="1845" spans="1:21" x14ac:dyDescent="0.35">
      <c r="A1845" t="s">
        <v>19</v>
      </c>
      <c r="B1845" t="s">
        <v>21</v>
      </c>
      <c r="C1845" s="1">
        <v>45561</v>
      </c>
      <c r="D1845">
        <f t="shared" si="124"/>
        <v>26</v>
      </c>
      <c r="E1845">
        <f t="shared" si="125"/>
        <v>9</v>
      </c>
      <c r="F1845">
        <f t="shared" si="126"/>
        <v>2024</v>
      </c>
      <c r="G1845" t="s">
        <v>39</v>
      </c>
      <c r="H1845" s="98">
        <v>10960</v>
      </c>
      <c r="I1845" s="29">
        <v>2980</v>
      </c>
      <c r="J1845" s="12" t="s">
        <v>31</v>
      </c>
      <c r="K1845" s="76">
        <f t="shared" si="127"/>
        <v>2980</v>
      </c>
      <c r="L1845">
        <v>1</v>
      </c>
      <c r="M1845" s="29">
        <v>0</v>
      </c>
      <c r="N1845" t="s">
        <v>32</v>
      </c>
      <c r="O1845" t="s">
        <v>33</v>
      </c>
      <c r="P1845" t="s">
        <v>34</v>
      </c>
      <c r="Q1845" t="s">
        <v>34</v>
      </c>
      <c r="R1845" t="s">
        <v>34</v>
      </c>
      <c r="S1845" t="s">
        <v>34</v>
      </c>
      <c r="T1845" s="117">
        <v>0</v>
      </c>
    </row>
    <row r="1846" spans="1:21" x14ac:dyDescent="0.35">
      <c r="A1846" t="s">
        <v>19</v>
      </c>
      <c r="B1846" t="s">
        <v>25</v>
      </c>
      <c r="C1846" s="1">
        <v>45561</v>
      </c>
      <c r="D1846">
        <f t="shared" si="124"/>
        <v>26</v>
      </c>
      <c r="E1846">
        <f t="shared" si="125"/>
        <v>9</v>
      </c>
      <c r="F1846">
        <f t="shared" si="126"/>
        <v>2024</v>
      </c>
      <c r="G1846" t="s">
        <v>93</v>
      </c>
      <c r="H1846" s="98">
        <v>10565</v>
      </c>
      <c r="I1846" s="90">
        <v>13301.31</v>
      </c>
      <c r="J1846" s="12" t="s">
        <v>31</v>
      </c>
      <c r="K1846" s="76">
        <f t="shared" si="127"/>
        <v>13301.31</v>
      </c>
      <c r="L1846">
        <v>1</v>
      </c>
      <c r="M1846" s="29">
        <v>0</v>
      </c>
      <c r="N1846" t="s">
        <v>32</v>
      </c>
      <c r="O1846" t="s">
        <v>33</v>
      </c>
      <c r="P1846" t="s">
        <v>34</v>
      </c>
      <c r="Q1846" t="s">
        <v>34</v>
      </c>
      <c r="R1846" t="s">
        <v>34</v>
      </c>
      <c r="S1846" t="s">
        <v>34</v>
      </c>
      <c r="T1846" s="117">
        <v>0</v>
      </c>
    </row>
    <row r="1847" spans="1:21" x14ac:dyDescent="0.35">
      <c r="A1847" t="s">
        <v>19</v>
      </c>
      <c r="B1847" t="s">
        <v>25</v>
      </c>
      <c r="C1847" s="1">
        <v>45561</v>
      </c>
      <c r="D1847">
        <f t="shared" si="124"/>
        <v>26</v>
      </c>
      <c r="E1847">
        <f t="shared" si="125"/>
        <v>9</v>
      </c>
      <c r="F1847">
        <f t="shared" si="126"/>
        <v>2024</v>
      </c>
      <c r="G1847" t="s">
        <v>93</v>
      </c>
      <c r="H1847" s="98">
        <v>10567</v>
      </c>
      <c r="I1847" s="90">
        <v>28799.97</v>
      </c>
      <c r="J1847" s="12" t="s">
        <v>31</v>
      </c>
      <c r="K1847" s="76">
        <f t="shared" si="127"/>
        <v>28799.97</v>
      </c>
      <c r="L1847">
        <v>1</v>
      </c>
      <c r="M1847" s="29">
        <v>0</v>
      </c>
      <c r="N1847" t="s">
        <v>32</v>
      </c>
      <c r="O1847" t="s">
        <v>33</v>
      </c>
      <c r="P1847" t="s">
        <v>34</v>
      </c>
      <c r="Q1847" t="s">
        <v>34</v>
      </c>
      <c r="R1847" t="s">
        <v>34</v>
      </c>
      <c r="S1847" t="s">
        <v>34</v>
      </c>
      <c r="T1847" s="117">
        <v>0</v>
      </c>
    </row>
    <row r="1848" spans="1:21" x14ac:dyDescent="0.35">
      <c r="A1848" t="s">
        <v>19</v>
      </c>
      <c r="B1848" t="s">
        <v>27</v>
      </c>
      <c r="C1848" s="1">
        <v>45561</v>
      </c>
      <c r="D1848">
        <f t="shared" si="124"/>
        <v>26</v>
      </c>
      <c r="E1848">
        <f t="shared" si="125"/>
        <v>9</v>
      </c>
      <c r="F1848">
        <f t="shared" si="126"/>
        <v>2024</v>
      </c>
      <c r="G1848" t="s">
        <v>100</v>
      </c>
      <c r="H1848" s="98">
        <v>10818</v>
      </c>
      <c r="I1848" s="29">
        <v>26728.37</v>
      </c>
      <c r="J1848" s="12" t="s">
        <v>31</v>
      </c>
      <c r="K1848" s="76">
        <f t="shared" si="127"/>
        <v>26728.37</v>
      </c>
      <c r="L1848">
        <v>1</v>
      </c>
      <c r="M1848" s="29">
        <v>0</v>
      </c>
      <c r="N1848" t="s">
        <v>32</v>
      </c>
      <c r="O1848" t="s">
        <v>33</v>
      </c>
      <c r="P1848" t="s">
        <v>34</v>
      </c>
      <c r="Q1848" t="s">
        <v>34</v>
      </c>
      <c r="R1848" t="s">
        <v>34</v>
      </c>
      <c r="S1848" t="s">
        <v>34</v>
      </c>
      <c r="T1848" s="117">
        <v>0</v>
      </c>
    </row>
    <row r="1849" spans="1:21" x14ac:dyDescent="0.35">
      <c r="A1849" t="s">
        <v>19</v>
      </c>
      <c r="B1849" t="s">
        <v>27</v>
      </c>
      <c r="C1849" s="1">
        <v>45561</v>
      </c>
      <c r="D1849">
        <f t="shared" si="124"/>
        <v>26</v>
      </c>
      <c r="E1849">
        <f t="shared" si="125"/>
        <v>9</v>
      </c>
      <c r="F1849">
        <f t="shared" si="126"/>
        <v>2024</v>
      </c>
      <c r="G1849" t="s">
        <v>100</v>
      </c>
      <c r="H1849" s="98">
        <v>10799</v>
      </c>
      <c r="I1849" s="29">
        <v>86219.14</v>
      </c>
      <c r="J1849" s="12" t="s">
        <v>31</v>
      </c>
      <c r="K1849" s="76">
        <f t="shared" si="127"/>
        <v>86219.14</v>
      </c>
      <c r="L1849">
        <v>1</v>
      </c>
      <c r="M1849" s="29">
        <v>0</v>
      </c>
      <c r="N1849" t="s">
        <v>32</v>
      </c>
      <c r="O1849" t="s">
        <v>33</v>
      </c>
      <c r="P1849" t="s">
        <v>34</v>
      </c>
      <c r="Q1849" t="s">
        <v>34</v>
      </c>
      <c r="R1849" t="s">
        <v>34</v>
      </c>
      <c r="S1849" t="s">
        <v>34</v>
      </c>
      <c r="T1849" s="117">
        <v>0</v>
      </c>
    </row>
    <row r="1850" spans="1:21" x14ac:dyDescent="0.35">
      <c r="A1850" t="s">
        <v>19</v>
      </c>
      <c r="B1850" t="s">
        <v>27</v>
      </c>
      <c r="C1850" s="1">
        <v>45566</v>
      </c>
      <c r="D1850">
        <f t="shared" si="124"/>
        <v>1</v>
      </c>
      <c r="E1850">
        <f t="shared" si="125"/>
        <v>10</v>
      </c>
      <c r="F1850">
        <f t="shared" si="126"/>
        <v>2024</v>
      </c>
      <c r="G1850" t="s">
        <v>100</v>
      </c>
      <c r="H1850" s="98">
        <v>10881</v>
      </c>
      <c r="I1850" s="29">
        <v>71765.490000000005</v>
      </c>
      <c r="J1850" s="12" t="s">
        <v>31</v>
      </c>
      <c r="K1850" s="76">
        <f t="shared" si="127"/>
        <v>71765.490000000005</v>
      </c>
      <c r="L1850">
        <v>1</v>
      </c>
      <c r="M1850" s="29">
        <v>0</v>
      </c>
      <c r="N1850" t="s">
        <v>32</v>
      </c>
      <c r="O1850" t="s">
        <v>33</v>
      </c>
      <c r="P1850" t="s">
        <v>34</v>
      </c>
      <c r="Q1850" t="s">
        <v>34</v>
      </c>
      <c r="R1850" t="s">
        <v>34</v>
      </c>
      <c r="S1850" t="s">
        <v>34</v>
      </c>
      <c r="T1850" s="117">
        <v>0</v>
      </c>
      <c r="U1850" s="209" t="s">
        <v>501</v>
      </c>
    </row>
    <row r="1851" spans="1:21" x14ac:dyDescent="0.35">
      <c r="A1851" t="s">
        <v>19</v>
      </c>
      <c r="B1851" t="s">
        <v>23</v>
      </c>
      <c r="C1851" s="1">
        <v>45567</v>
      </c>
      <c r="D1851">
        <f t="shared" si="124"/>
        <v>2</v>
      </c>
      <c r="E1851">
        <f t="shared" si="125"/>
        <v>10</v>
      </c>
      <c r="F1851">
        <f t="shared" si="126"/>
        <v>2024</v>
      </c>
      <c r="G1851" t="s">
        <v>76</v>
      </c>
      <c r="H1851" s="98">
        <v>11302</v>
      </c>
      <c r="I1851" s="29">
        <v>92060.7</v>
      </c>
      <c r="J1851" s="12" t="s">
        <v>31</v>
      </c>
      <c r="K1851" s="76">
        <f t="shared" si="127"/>
        <v>92060.7</v>
      </c>
      <c r="L1851">
        <v>1</v>
      </c>
      <c r="M1851" s="29">
        <v>0</v>
      </c>
      <c r="N1851" t="s">
        <v>32</v>
      </c>
      <c r="O1851" t="s">
        <v>33</v>
      </c>
      <c r="P1851" t="s">
        <v>34</v>
      </c>
      <c r="Q1851" t="s">
        <v>34</v>
      </c>
      <c r="R1851" t="s">
        <v>34</v>
      </c>
      <c r="S1851" t="s">
        <v>34</v>
      </c>
      <c r="T1851" s="117">
        <v>0</v>
      </c>
    </row>
    <row r="1852" spans="1:21" x14ac:dyDescent="0.35">
      <c r="A1852" t="s">
        <v>19</v>
      </c>
      <c r="B1852" t="s">
        <v>23</v>
      </c>
      <c r="C1852" s="1">
        <v>45567</v>
      </c>
      <c r="D1852">
        <f t="shared" si="124"/>
        <v>2</v>
      </c>
      <c r="E1852">
        <f t="shared" si="125"/>
        <v>10</v>
      </c>
      <c r="F1852">
        <f t="shared" si="126"/>
        <v>2024</v>
      </c>
      <c r="G1852" t="s">
        <v>75</v>
      </c>
      <c r="H1852" s="98">
        <v>10802</v>
      </c>
      <c r="I1852" s="90">
        <v>46802</v>
      </c>
      <c r="J1852" s="12" t="s">
        <v>31</v>
      </c>
      <c r="K1852" s="76">
        <f t="shared" si="127"/>
        <v>46802</v>
      </c>
      <c r="L1852">
        <v>1</v>
      </c>
      <c r="M1852" s="29">
        <v>0</v>
      </c>
      <c r="N1852" t="s">
        <v>42</v>
      </c>
      <c r="O1852" t="s">
        <v>33</v>
      </c>
      <c r="P1852" t="s">
        <v>34</v>
      </c>
      <c r="Q1852" t="s">
        <v>34</v>
      </c>
      <c r="R1852" t="s">
        <v>34</v>
      </c>
      <c r="S1852" t="s">
        <v>34</v>
      </c>
      <c r="T1852" s="117">
        <v>0</v>
      </c>
    </row>
    <row r="1853" spans="1:21" x14ac:dyDescent="0.35">
      <c r="A1853" t="s">
        <v>19</v>
      </c>
      <c r="B1853" t="s">
        <v>21</v>
      </c>
      <c r="C1853" s="1">
        <v>45567</v>
      </c>
      <c r="D1853">
        <f t="shared" si="124"/>
        <v>2</v>
      </c>
      <c r="E1853">
        <f t="shared" si="125"/>
        <v>10</v>
      </c>
      <c r="F1853">
        <f t="shared" si="126"/>
        <v>2024</v>
      </c>
      <c r="G1853" t="s">
        <v>37</v>
      </c>
      <c r="H1853" s="98">
        <v>10388</v>
      </c>
      <c r="I1853" s="29">
        <v>30952.5</v>
      </c>
      <c r="J1853" s="12" t="s">
        <v>31</v>
      </c>
      <c r="K1853" s="76">
        <f t="shared" si="127"/>
        <v>30952.5</v>
      </c>
      <c r="L1853">
        <v>1</v>
      </c>
      <c r="M1853" s="29">
        <v>0</v>
      </c>
      <c r="N1853" t="s">
        <v>32</v>
      </c>
      <c r="O1853" t="s">
        <v>33</v>
      </c>
      <c r="P1853" t="s">
        <v>34</v>
      </c>
      <c r="Q1853" t="s">
        <v>34</v>
      </c>
      <c r="R1853" t="s">
        <v>34</v>
      </c>
      <c r="S1853" t="s">
        <v>34</v>
      </c>
      <c r="T1853" s="117">
        <v>0</v>
      </c>
    </row>
    <row r="1854" spans="1:21" x14ac:dyDescent="0.35">
      <c r="A1854" t="s">
        <v>19</v>
      </c>
      <c r="B1854" t="s">
        <v>19</v>
      </c>
      <c r="C1854" s="1">
        <v>45567</v>
      </c>
      <c r="D1854">
        <f t="shared" si="124"/>
        <v>2</v>
      </c>
      <c r="E1854">
        <f t="shared" si="125"/>
        <v>10</v>
      </c>
      <c r="F1854">
        <f t="shared" si="126"/>
        <v>2024</v>
      </c>
      <c r="G1854" t="s">
        <v>106</v>
      </c>
      <c r="H1854" s="98" t="s">
        <v>542</v>
      </c>
      <c r="I1854" s="29">
        <v>96174.66</v>
      </c>
      <c r="J1854" s="12" t="s">
        <v>31</v>
      </c>
      <c r="K1854" s="76">
        <f t="shared" si="127"/>
        <v>96174.66</v>
      </c>
      <c r="L1854">
        <v>1</v>
      </c>
      <c r="M1854" s="29">
        <v>0</v>
      </c>
      <c r="N1854" t="s">
        <v>32</v>
      </c>
      <c r="O1854" t="s">
        <v>33</v>
      </c>
      <c r="P1854" t="s">
        <v>34</v>
      </c>
      <c r="Q1854" t="s">
        <v>34</v>
      </c>
      <c r="R1854" t="s">
        <v>34</v>
      </c>
      <c r="S1854" t="s">
        <v>34</v>
      </c>
      <c r="T1854" s="117">
        <v>0</v>
      </c>
    </row>
    <row r="1855" spans="1:21" x14ac:dyDescent="0.35">
      <c r="A1855" t="s">
        <v>20</v>
      </c>
      <c r="B1855" t="s">
        <v>25</v>
      </c>
      <c r="C1855" s="1">
        <v>45567</v>
      </c>
      <c r="D1855">
        <f t="shared" si="124"/>
        <v>2</v>
      </c>
      <c r="E1855">
        <f t="shared" si="125"/>
        <v>10</v>
      </c>
      <c r="F1855">
        <f t="shared" si="126"/>
        <v>2024</v>
      </c>
      <c r="G1855" t="s">
        <v>81</v>
      </c>
      <c r="H1855" s="98">
        <v>11165</v>
      </c>
      <c r="I1855" s="29">
        <v>1630.2</v>
      </c>
      <c r="J1855" s="12" t="s">
        <v>31</v>
      </c>
      <c r="K1855" s="76">
        <f t="shared" si="127"/>
        <v>1630.2</v>
      </c>
      <c r="L1855">
        <v>1</v>
      </c>
      <c r="M1855" s="29">
        <v>0</v>
      </c>
      <c r="N1855" t="s">
        <v>32</v>
      </c>
      <c r="O1855" t="s">
        <v>33</v>
      </c>
      <c r="P1855" t="s">
        <v>34</v>
      </c>
      <c r="Q1855" t="s">
        <v>34</v>
      </c>
      <c r="R1855" t="s">
        <v>34</v>
      </c>
      <c r="S1855" t="s">
        <v>34</v>
      </c>
      <c r="T1855" s="117">
        <v>0</v>
      </c>
    </row>
    <row r="1856" spans="1:21" x14ac:dyDescent="0.35">
      <c r="A1856" t="s">
        <v>20</v>
      </c>
      <c r="B1856" t="s">
        <v>21</v>
      </c>
      <c r="C1856" s="1">
        <v>45567</v>
      </c>
      <c r="D1856">
        <f t="shared" si="124"/>
        <v>2</v>
      </c>
      <c r="E1856">
        <f t="shared" si="125"/>
        <v>10</v>
      </c>
      <c r="F1856">
        <f t="shared" si="126"/>
        <v>2024</v>
      </c>
      <c r="G1856" t="s">
        <v>459</v>
      </c>
      <c r="H1856" s="98">
        <v>11353</v>
      </c>
      <c r="I1856" s="29">
        <v>67</v>
      </c>
      <c r="J1856" s="12" t="s">
        <v>31</v>
      </c>
      <c r="K1856" s="76">
        <f t="shared" si="127"/>
        <v>67</v>
      </c>
      <c r="L1856">
        <v>1</v>
      </c>
      <c r="M1856" s="29">
        <v>0</v>
      </c>
      <c r="N1856" t="s">
        <v>42</v>
      </c>
      <c r="O1856" t="s">
        <v>33</v>
      </c>
      <c r="P1856" t="s">
        <v>34</v>
      </c>
      <c r="Q1856" t="s">
        <v>34</v>
      </c>
      <c r="R1856" t="s">
        <v>34</v>
      </c>
      <c r="S1856" t="s">
        <v>34</v>
      </c>
      <c r="T1856" s="117">
        <v>0</v>
      </c>
    </row>
    <row r="1857" spans="1:21" x14ac:dyDescent="0.35">
      <c r="A1857" t="s">
        <v>20</v>
      </c>
      <c r="B1857" t="s">
        <v>21</v>
      </c>
      <c r="C1857" s="1">
        <v>45567</v>
      </c>
      <c r="D1857">
        <f t="shared" si="124"/>
        <v>2</v>
      </c>
      <c r="E1857">
        <f t="shared" si="125"/>
        <v>10</v>
      </c>
      <c r="F1857">
        <f t="shared" si="126"/>
        <v>2024</v>
      </c>
      <c r="G1857" t="s">
        <v>459</v>
      </c>
      <c r="H1857" s="98">
        <v>11357</v>
      </c>
      <c r="I1857" s="29">
        <v>1343.35</v>
      </c>
      <c r="J1857" s="12" t="s">
        <v>31</v>
      </c>
      <c r="K1857" s="76">
        <f t="shared" si="127"/>
        <v>1343.35</v>
      </c>
      <c r="L1857">
        <v>1</v>
      </c>
      <c r="M1857" s="29">
        <v>0</v>
      </c>
      <c r="N1857" t="s">
        <v>42</v>
      </c>
      <c r="O1857" t="s">
        <v>33</v>
      </c>
      <c r="P1857" t="s">
        <v>34</v>
      </c>
      <c r="Q1857" t="s">
        <v>34</v>
      </c>
      <c r="R1857" t="s">
        <v>34</v>
      </c>
      <c r="S1857" t="s">
        <v>34</v>
      </c>
      <c r="T1857" s="117">
        <v>0</v>
      </c>
      <c r="U1857" s="209" t="s">
        <v>894</v>
      </c>
    </row>
    <row r="1858" spans="1:21" x14ac:dyDescent="0.35">
      <c r="A1858" t="s">
        <v>20</v>
      </c>
      <c r="B1858" t="s">
        <v>21</v>
      </c>
      <c r="C1858" s="1">
        <v>45567</v>
      </c>
      <c r="D1858">
        <f t="shared" ref="D1858:D1921" si="128">DAY(C1858)</f>
        <v>2</v>
      </c>
      <c r="E1858">
        <f t="shared" ref="E1858:E1921" si="129">MONTH(C1858)</f>
        <v>10</v>
      </c>
      <c r="F1858">
        <f t="shared" ref="F1858:F1921" si="130">YEAR(C1858)</f>
        <v>2024</v>
      </c>
      <c r="G1858" t="s">
        <v>459</v>
      </c>
      <c r="H1858" s="98">
        <v>11353</v>
      </c>
      <c r="I1858" s="29">
        <v>124</v>
      </c>
      <c r="J1858" s="12" t="s">
        <v>31</v>
      </c>
      <c r="K1858" s="76">
        <f t="shared" si="127"/>
        <v>124</v>
      </c>
      <c r="L1858">
        <v>1</v>
      </c>
      <c r="M1858" s="29">
        <v>0</v>
      </c>
      <c r="N1858" t="s">
        <v>42</v>
      </c>
      <c r="O1858" t="s">
        <v>33</v>
      </c>
      <c r="P1858" t="s">
        <v>34</v>
      </c>
      <c r="Q1858" t="s">
        <v>34</v>
      </c>
      <c r="R1858" t="s">
        <v>34</v>
      </c>
      <c r="S1858" t="s">
        <v>34</v>
      </c>
      <c r="T1858" s="117">
        <v>0</v>
      </c>
      <c r="U1858" s="209" t="s">
        <v>813</v>
      </c>
    </row>
    <row r="1859" spans="1:21" x14ac:dyDescent="0.35">
      <c r="A1859" t="s">
        <v>20</v>
      </c>
      <c r="B1859" t="s">
        <v>21</v>
      </c>
      <c r="C1859" s="1">
        <v>45567</v>
      </c>
      <c r="D1859">
        <f t="shared" si="128"/>
        <v>2</v>
      </c>
      <c r="E1859">
        <f t="shared" si="129"/>
        <v>10</v>
      </c>
      <c r="F1859">
        <f t="shared" si="130"/>
        <v>2024</v>
      </c>
      <c r="G1859" t="s">
        <v>459</v>
      </c>
      <c r="H1859" s="98">
        <v>11357</v>
      </c>
      <c r="I1859" s="29">
        <v>3121.08</v>
      </c>
      <c r="J1859" s="12" t="s">
        <v>31</v>
      </c>
      <c r="K1859" s="76">
        <f t="shared" si="127"/>
        <v>3121.08</v>
      </c>
      <c r="L1859">
        <v>1</v>
      </c>
      <c r="M1859" s="29">
        <v>0</v>
      </c>
      <c r="N1859" t="s">
        <v>42</v>
      </c>
      <c r="O1859" t="s">
        <v>33</v>
      </c>
      <c r="P1859" t="s">
        <v>34</v>
      </c>
      <c r="Q1859" t="s">
        <v>34</v>
      </c>
      <c r="R1859" t="s">
        <v>34</v>
      </c>
      <c r="S1859" t="s">
        <v>34</v>
      </c>
      <c r="T1859" s="117">
        <v>0</v>
      </c>
    </row>
    <row r="1860" spans="1:21" x14ac:dyDescent="0.35">
      <c r="A1860" t="s">
        <v>20</v>
      </c>
      <c r="B1860" t="s">
        <v>21</v>
      </c>
      <c r="C1860" s="1">
        <v>45567</v>
      </c>
      <c r="D1860">
        <f t="shared" si="128"/>
        <v>2</v>
      </c>
      <c r="E1860">
        <f t="shared" si="129"/>
        <v>10</v>
      </c>
      <c r="F1860">
        <f t="shared" si="130"/>
        <v>2024</v>
      </c>
      <c r="G1860" t="s">
        <v>273</v>
      </c>
      <c r="H1860" s="98">
        <v>11359</v>
      </c>
      <c r="I1860" s="29">
        <v>1717.1</v>
      </c>
      <c r="J1860" s="12" t="s">
        <v>31</v>
      </c>
      <c r="K1860" s="76">
        <f t="shared" si="127"/>
        <v>1717.1</v>
      </c>
      <c r="L1860">
        <v>1</v>
      </c>
      <c r="M1860" s="29">
        <v>0</v>
      </c>
      <c r="N1860" t="s">
        <v>42</v>
      </c>
      <c r="O1860" t="s">
        <v>33</v>
      </c>
      <c r="P1860" t="s">
        <v>34</v>
      </c>
      <c r="Q1860" t="s">
        <v>34</v>
      </c>
      <c r="R1860" t="s">
        <v>34</v>
      </c>
      <c r="S1860" t="s">
        <v>34</v>
      </c>
      <c r="T1860" s="117">
        <v>0</v>
      </c>
    </row>
    <row r="1861" spans="1:21" x14ac:dyDescent="0.35">
      <c r="A1861" t="s">
        <v>20</v>
      </c>
      <c r="B1861" t="s">
        <v>21</v>
      </c>
      <c r="C1861" s="1">
        <v>45567</v>
      </c>
      <c r="D1861">
        <f t="shared" si="128"/>
        <v>2</v>
      </c>
      <c r="E1861">
        <f t="shared" si="129"/>
        <v>10</v>
      </c>
      <c r="F1861">
        <f t="shared" si="130"/>
        <v>2024</v>
      </c>
      <c r="G1861" t="s">
        <v>53</v>
      </c>
      <c r="H1861" s="171">
        <v>11190</v>
      </c>
      <c r="I1861" s="29">
        <v>14554.53</v>
      </c>
      <c r="J1861" s="12" t="s">
        <v>31</v>
      </c>
      <c r="K1861" s="76">
        <f t="shared" si="127"/>
        <v>14554.53</v>
      </c>
      <c r="L1861">
        <v>1</v>
      </c>
      <c r="M1861" s="29">
        <v>0</v>
      </c>
      <c r="N1861" t="s">
        <v>42</v>
      </c>
      <c r="O1861" t="s">
        <v>33</v>
      </c>
      <c r="P1861" t="s">
        <v>34</v>
      </c>
      <c r="Q1861" t="s">
        <v>34</v>
      </c>
      <c r="R1861" t="s">
        <v>34</v>
      </c>
      <c r="S1861" t="s">
        <v>34</v>
      </c>
      <c r="T1861" s="117">
        <v>0</v>
      </c>
    </row>
    <row r="1862" spans="1:21" x14ac:dyDescent="0.35">
      <c r="A1862" t="s">
        <v>20</v>
      </c>
      <c r="B1862" t="s">
        <v>23</v>
      </c>
      <c r="C1862" s="1">
        <v>45567</v>
      </c>
      <c r="D1862">
        <f t="shared" si="128"/>
        <v>2</v>
      </c>
      <c r="E1862">
        <f t="shared" si="129"/>
        <v>10</v>
      </c>
      <c r="F1862">
        <f t="shared" si="130"/>
        <v>2024</v>
      </c>
      <c r="G1862" t="s">
        <v>53</v>
      </c>
      <c r="H1862" s="171">
        <v>11258</v>
      </c>
      <c r="I1862" s="29">
        <v>20401.650000000001</v>
      </c>
      <c r="J1862" s="12" t="s">
        <v>31</v>
      </c>
      <c r="K1862" s="76">
        <f t="shared" si="127"/>
        <v>20401.650000000001</v>
      </c>
      <c r="L1862">
        <v>1</v>
      </c>
      <c r="M1862" s="29">
        <v>0</v>
      </c>
      <c r="N1862" t="s">
        <v>42</v>
      </c>
      <c r="O1862" t="s">
        <v>33</v>
      </c>
      <c r="P1862" t="s">
        <v>34</v>
      </c>
      <c r="Q1862" t="s">
        <v>34</v>
      </c>
      <c r="R1862" t="s">
        <v>34</v>
      </c>
      <c r="S1862" t="s">
        <v>34</v>
      </c>
      <c r="T1862" s="117">
        <v>0</v>
      </c>
    </row>
    <row r="1863" spans="1:21" x14ac:dyDescent="0.35">
      <c r="A1863" t="s">
        <v>20</v>
      </c>
      <c r="B1863" t="s">
        <v>25</v>
      </c>
      <c r="C1863" s="1">
        <v>45567</v>
      </c>
      <c r="D1863">
        <f t="shared" si="128"/>
        <v>2</v>
      </c>
      <c r="E1863">
        <f t="shared" si="129"/>
        <v>10</v>
      </c>
      <c r="F1863">
        <f t="shared" si="130"/>
        <v>2024</v>
      </c>
      <c r="G1863" t="s">
        <v>50</v>
      </c>
      <c r="H1863" s="98">
        <v>10859</v>
      </c>
      <c r="I1863" s="29">
        <v>7259.72</v>
      </c>
      <c r="J1863" s="12" t="s">
        <v>31</v>
      </c>
      <c r="K1863" s="76">
        <f t="shared" si="127"/>
        <v>7259.72</v>
      </c>
      <c r="L1863">
        <v>1</v>
      </c>
      <c r="M1863" s="29">
        <v>0</v>
      </c>
      <c r="N1863" t="s">
        <v>32</v>
      </c>
      <c r="O1863" t="s">
        <v>33</v>
      </c>
      <c r="P1863" t="s">
        <v>34</v>
      </c>
      <c r="Q1863" t="s">
        <v>34</v>
      </c>
      <c r="R1863" t="s">
        <v>34</v>
      </c>
      <c r="S1863" t="s">
        <v>34</v>
      </c>
      <c r="T1863" s="117">
        <v>0</v>
      </c>
    </row>
    <row r="1864" spans="1:21" x14ac:dyDescent="0.35">
      <c r="A1864" t="s">
        <v>20</v>
      </c>
      <c r="B1864" t="s">
        <v>24</v>
      </c>
      <c r="C1864" s="1">
        <v>45567</v>
      </c>
      <c r="D1864">
        <f t="shared" si="128"/>
        <v>2</v>
      </c>
      <c r="E1864">
        <f t="shared" si="129"/>
        <v>10</v>
      </c>
      <c r="F1864">
        <f t="shared" si="130"/>
        <v>2024</v>
      </c>
      <c r="G1864" t="s">
        <v>50</v>
      </c>
      <c r="H1864" s="98">
        <v>11070</v>
      </c>
      <c r="I1864" s="29">
        <v>3175.5</v>
      </c>
      <c r="J1864" s="12" t="s">
        <v>31</v>
      </c>
      <c r="K1864" s="76">
        <f t="shared" si="127"/>
        <v>3175.5</v>
      </c>
      <c r="L1864">
        <v>1</v>
      </c>
      <c r="M1864" s="29">
        <v>0</v>
      </c>
      <c r="N1864" t="s">
        <v>42</v>
      </c>
      <c r="O1864" t="s">
        <v>33</v>
      </c>
      <c r="P1864" t="s">
        <v>34</v>
      </c>
      <c r="Q1864" t="s">
        <v>34</v>
      </c>
      <c r="R1864" t="s">
        <v>34</v>
      </c>
      <c r="S1864" t="s">
        <v>34</v>
      </c>
      <c r="T1864" s="117">
        <v>0</v>
      </c>
    </row>
    <row r="1865" spans="1:21" x14ac:dyDescent="0.35">
      <c r="A1865" t="s">
        <v>20</v>
      </c>
      <c r="B1865" t="s">
        <v>25</v>
      </c>
      <c r="C1865" s="1">
        <v>45567</v>
      </c>
      <c r="D1865">
        <f t="shared" si="128"/>
        <v>2</v>
      </c>
      <c r="E1865">
        <f t="shared" si="129"/>
        <v>10</v>
      </c>
      <c r="F1865">
        <f t="shared" si="130"/>
        <v>2024</v>
      </c>
      <c r="G1865" t="s">
        <v>50</v>
      </c>
      <c r="H1865" s="98">
        <v>11341</v>
      </c>
      <c r="I1865" s="29">
        <v>87</v>
      </c>
      <c r="J1865" s="12" t="s">
        <v>31</v>
      </c>
      <c r="K1865" s="76">
        <f t="shared" si="127"/>
        <v>87</v>
      </c>
      <c r="L1865">
        <v>1</v>
      </c>
      <c r="M1865" s="29">
        <v>0</v>
      </c>
      <c r="N1865" t="s">
        <v>42</v>
      </c>
      <c r="O1865" t="s">
        <v>33</v>
      </c>
      <c r="P1865" t="s">
        <v>34</v>
      </c>
      <c r="Q1865" t="s">
        <v>34</v>
      </c>
      <c r="R1865" t="s">
        <v>34</v>
      </c>
      <c r="S1865" t="s">
        <v>34</v>
      </c>
      <c r="T1865" s="117">
        <v>0</v>
      </c>
    </row>
    <row r="1866" spans="1:21" x14ac:dyDescent="0.35">
      <c r="A1866" t="s">
        <v>20</v>
      </c>
      <c r="B1866" t="s">
        <v>23</v>
      </c>
      <c r="C1866" s="1">
        <v>45567</v>
      </c>
      <c r="D1866">
        <f t="shared" si="128"/>
        <v>2</v>
      </c>
      <c r="E1866">
        <f t="shared" si="129"/>
        <v>10</v>
      </c>
      <c r="F1866">
        <f t="shared" si="130"/>
        <v>2024</v>
      </c>
      <c r="G1866" t="s">
        <v>82</v>
      </c>
      <c r="H1866" s="98">
        <v>10774</v>
      </c>
      <c r="I1866" s="29">
        <v>53448.95</v>
      </c>
      <c r="J1866" s="12" t="s">
        <v>31</v>
      </c>
      <c r="K1866" s="76">
        <f t="shared" si="127"/>
        <v>53448.95</v>
      </c>
      <c r="L1866">
        <v>1</v>
      </c>
      <c r="M1866" s="29">
        <v>0</v>
      </c>
      <c r="N1866" t="s">
        <v>32</v>
      </c>
      <c r="O1866" t="s">
        <v>33</v>
      </c>
      <c r="P1866" t="s">
        <v>34</v>
      </c>
      <c r="Q1866" t="s">
        <v>34</v>
      </c>
      <c r="R1866" t="s">
        <v>34</v>
      </c>
      <c r="S1866" t="s">
        <v>34</v>
      </c>
      <c r="T1866" s="117">
        <v>0</v>
      </c>
    </row>
    <row r="1867" spans="1:21" x14ac:dyDescent="0.35">
      <c r="A1867" t="s">
        <v>20</v>
      </c>
      <c r="B1867" t="s">
        <v>21</v>
      </c>
      <c r="C1867" s="1">
        <v>45567</v>
      </c>
      <c r="D1867">
        <f t="shared" si="128"/>
        <v>2</v>
      </c>
      <c r="E1867">
        <f t="shared" si="129"/>
        <v>10</v>
      </c>
      <c r="F1867">
        <f t="shared" si="130"/>
        <v>2024</v>
      </c>
      <c r="G1867" t="s">
        <v>45</v>
      </c>
      <c r="H1867" s="98">
        <v>10942</v>
      </c>
      <c r="I1867" s="29">
        <v>7565.39</v>
      </c>
      <c r="J1867" s="12" t="s">
        <v>31</v>
      </c>
      <c r="K1867" s="76">
        <f t="shared" si="127"/>
        <v>7565.39</v>
      </c>
      <c r="L1867">
        <v>1</v>
      </c>
      <c r="M1867" s="29">
        <v>0</v>
      </c>
      <c r="N1867" t="s">
        <v>32</v>
      </c>
      <c r="O1867" t="s">
        <v>33</v>
      </c>
      <c r="P1867" t="s">
        <v>34</v>
      </c>
      <c r="Q1867" t="s">
        <v>34</v>
      </c>
      <c r="R1867" t="s">
        <v>34</v>
      </c>
      <c r="S1867" t="s">
        <v>34</v>
      </c>
      <c r="T1867" s="117">
        <v>0</v>
      </c>
    </row>
    <row r="1868" spans="1:21" x14ac:dyDescent="0.35">
      <c r="A1868" t="s">
        <v>20</v>
      </c>
      <c r="B1868" t="s">
        <v>21</v>
      </c>
      <c r="C1868" s="1">
        <v>45567</v>
      </c>
      <c r="D1868">
        <f t="shared" si="128"/>
        <v>2</v>
      </c>
      <c r="E1868">
        <f t="shared" si="129"/>
        <v>10</v>
      </c>
      <c r="F1868">
        <f t="shared" si="130"/>
        <v>2024</v>
      </c>
      <c r="G1868" t="s">
        <v>45</v>
      </c>
      <c r="H1868" s="98">
        <v>11098</v>
      </c>
      <c r="I1868" s="29">
        <v>57.6</v>
      </c>
      <c r="J1868" s="12" t="s">
        <v>31</v>
      </c>
      <c r="K1868" s="76">
        <f t="shared" si="127"/>
        <v>57.6</v>
      </c>
      <c r="L1868">
        <v>1</v>
      </c>
      <c r="M1868" s="29">
        <v>0</v>
      </c>
      <c r="N1868" t="s">
        <v>32</v>
      </c>
      <c r="O1868" t="s">
        <v>33</v>
      </c>
      <c r="P1868" t="s">
        <v>34</v>
      </c>
      <c r="Q1868" t="s">
        <v>34</v>
      </c>
      <c r="R1868" t="s">
        <v>34</v>
      </c>
      <c r="S1868" t="s">
        <v>34</v>
      </c>
      <c r="T1868" s="117">
        <v>0</v>
      </c>
    </row>
    <row r="1869" spans="1:21" x14ac:dyDescent="0.35">
      <c r="A1869" t="s">
        <v>20</v>
      </c>
      <c r="B1869" t="s">
        <v>21</v>
      </c>
      <c r="C1869" s="1">
        <v>45567</v>
      </c>
      <c r="D1869">
        <f t="shared" si="128"/>
        <v>2</v>
      </c>
      <c r="E1869">
        <f t="shared" si="129"/>
        <v>10</v>
      </c>
      <c r="F1869">
        <f t="shared" si="130"/>
        <v>2024</v>
      </c>
      <c r="G1869" t="s">
        <v>46</v>
      </c>
      <c r="H1869" s="98">
        <v>11347</v>
      </c>
      <c r="I1869" s="29">
        <v>225</v>
      </c>
      <c r="J1869" s="12" t="s">
        <v>31</v>
      </c>
      <c r="K1869" s="76">
        <f t="shared" si="127"/>
        <v>225</v>
      </c>
      <c r="L1869">
        <v>1</v>
      </c>
      <c r="M1869" s="29">
        <v>0</v>
      </c>
      <c r="N1869" t="s">
        <v>42</v>
      </c>
      <c r="O1869" t="s">
        <v>33</v>
      </c>
      <c r="P1869" t="s">
        <v>34</v>
      </c>
      <c r="Q1869" t="s">
        <v>34</v>
      </c>
      <c r="R1869" t="s">
        <v>34</v>
      </c>
      <c r="S1869" t="s">
        <v>34</v>
      </c>
      <c r="T1869" s="117">
        <v>0</v>
      </c>
    </row>
    <row r="1870" spans="1:21" x14ac:dyDescent="0.35">
      <c r="A1870" t="s">
        <v>20</v>
      </c>
      <c r="B1870" t="s">
        <v>21</v>
      </c>
      <c r="C1870" s="1">
        <v>45567</v>
      </c>
      <c r="D1870">
        <f t="shared" si="128"/>
        <v>2</v>
      </c>
      <c r="E1870">
        <f t="shared" si="129"/>
        <v>10</v>
      </c>
      <c r="F1870">
        <f t="shared" si="130"/>
        <v>2024</v>
      </c>
      <c r="G1870" t="s">
        <v>46</v>
      </c>
      <c r="H1870" s="98">
        <v>11348</v>
      </c>
      <c r="I1870" s="29">
        <v>2854.5</v>
      </c>
      <c r="J1870" s="12" t="s">
        <v>31</v>
      </c>
      <c r="K1870" s="76">
        <f t="shared" si="127"/>
        <v>2854.5</v>
      </c>
      <c r="L1870">
        <v>1</v>
      </c>
      <c r="M1870" s="29">
        <v>0</v>
      </c>
      <c r="N1870" t="s">
        <v>42</v>
      </c>
      <c r="O1870" t="s">
        <v>33</v>
      </c>
      <c r="P1870" t="s">
        <v>34</v>
      </c>
      <c r="Q1870" t="s">
        <v>34</v>
      </c>
      <c r="R1870" t="s">
        <v>34</v>
      </c>
      <c r="S1870" t="s">
        <v>34</v>
      </c>
      <c r="T1870" s="117">
        <v>0</v>
      </c>
    </row>
    <row r="1871" spans="1:21" x14ac:dyDescent="0.35">
      <c r="A1871" t="s">
        <v>19</v>
      </c>
      <c r="B1871" t="s">
        <v>27</v>
      </c>
      <c r="C1871" s="1">
        <v>45567</v>
      </c>
      <c r="D1871">
        <f t="shared" si="128"/>
        <v>2</v>
      </c>
      <c r="E1871">
        <f t="shared" si="129"/>
        <v>10</v>
      </c>
      <c r="F1871">
        <f t="shared" si="130"/>
        <v>2024</v>
      </c>
      <c r="G1871" t="s">
        <v>100</v>
      </c>
      <c r="H1871" s="98">
        <v>10879</v>
      </c>
      <c r="I1871" s="29">
        <v>209720.52</v>
      </c>
      <c r="J1871" s="12" t="s">
        <v>31</v>
      </c>
      <c r="K1871" s="76">
        <f t="shared" si="127"/>
        <v>209720.52</v>
      </c>
      <c r="L1871">
        <v>1</v>
      </c>
      <c r="M1871" s="29">
        <v>0</v>
      </c>
      <c r="N1871" t="s">
        <v>32</v>
      </c>
      <c r="O1871" t="s">
        <v>33</v>
      </c>
      <c r="P1871" t="s">
        <v>34</v>
      </c>
      <c r="Q1871" t="s">
        <v>34</v>
      </c>
      <c r="R1871" t="s">
        <v>34</v>
      </c>
      <c r="S1871" t="s">
        <v>34</v>
      </c>
      <c r="T1871" s="117">
        <v>0</v>
      </c>
    </row>
    <row r="1872" spans="1:21" x14ac:dyDescent="0.35">
      <c r="A1872" t="s">
        <v>19</v>
      </c>
      <c r="B1872" t="s">
        <v>19</v>
      </c>
      <c r="C1872" s="1">
        <v>45568</v>
      </c>
      <c r="D1872">
        <f t="shared" si="128"/>
        <v>3</v>
      </c>
      <c r="E1872">
        <f t="shared" si="129"/>
        <v>10</v>
      </c>
      <c r="F1872">
        <f t="shared" si="130"/>
        <v>2024</v>
      </c>
      <c r="G1872" t="s">
        <v>213</v>
      </c>
      <c r="H1872" s="98" t="s">
        <v>544</v>
      </c>
      <c r="I1872" s="29">
        <v>150000</v>
      </c>
      <c r="J1872" s="12" t="s">
        <v>31</v>
      </c>
      <c r="K1872" s="76">
        <f t="shared" si="127"/>
        <v>150000</v>
      </c>
      <c r="L1872">
        <v>1</v>
      </c>
      <c r="M1872" s="29">
        <v>0</v>
      </c>
      <c r="N1872" t="s">
        <v>32</v>
      </c>
      <c r="O1872" t="s">
        <v>33</v>
      </c>
      <c r="P1872" t="s">
        <v>34</v>
      </c>
      <c r="Q1872" t="s">
        <v>34</v>
      </c>
      <c r="R1872" t="s">
        <v>34</v>
      </c>
      <c r="S1872" t="s">
        <v>34</v>
      </c>
      <c r="T1872" s="117">
        <v>0</v>
      </c>
    </row>
    <row r="1873" spans="1:21" x14ac:dyDescent="0.35">
      <c r="A1873" t="s">
        <v>19</v>
      </c>
      <c r="B1873" t="s">
        <v>19</v>
      </c>
      <c r="C1873" s="1">
        <v>45568</v>
      </c>
      <c r="D1873">
        <f t="shared" si="128"/>
        <v>3</v>
      </c>
      <c r="E1873">
        <f t="shared" si="129"/>
        <v>10</v>
      </c>
      <c r="F1873">
        <f t="shared" si="130"/>
        <v>2024</v>
      </c>
      <c r="G1873" t="s">
        <v>54</v>
      </c>
      <c r="H1873" s="98" t="s">
        <v>545</v>
      </c>
      <c r="I1873" s="29">
        <v>100000</v>
      </c>
      <c r="J1873" s="12" t="s">
        <v>31</v>
      </c>
      <c r="K1873" s="76">
        <f t="shared" si="127"/>
        <v>100000</v>
      </c>
      <c r="L1873">
        <v>1</v>
      </c>
      <c r="M1873" s="29">
        <v>0</v>
      </c>
      <c r="N1873" t="s">
        <v>32</v>
      </c>
      <c r="O1873" t="s">
        <v>33</v>
      </c>
      <c r="P1873" t="s">
        <v>34</v>
      </c>
      <c r="Q1873" t="s">
        <v>34</v>
      </c>
      <c r="R1873" t="s">
        <v>34</v>
      </c>
      <c r="S1873" t="s">
        <v>34</v>
      </c>
      <c r="T1873" s="117">
        <v>0</v>
      </c>
    </row>
    <row r="1874" spans="1:21" x14ac:dyDescent="0.35">
      <c r="A1874" t="s">
        <v>19</v>
      </c>
      <c r="B1874" t="s">
        <v>19</v>
      </c>
      <c r="C1874" s="1">
        <v>45568</v>
      </c>
      <c r="D1874">
        <f t="shared" si="128"/>
        <v>3</v>
      </c>
      <c r="E1874">
        <f t="shared" si="129"/>
        <v>10</v>
      </c>
      <c r="F1874">
        <f t="shared" si="130"/>
        <v>2024</v>
      </c>
      <c r="G1874" t="s">
        <v>127</v>
      </c>
      <c r="H1874" s="98" t="s">
        <v>546</v>
      </c>
      <c r="I1874" s="29">
        <v>10581.58</v>
      </c>
      <c r="J1874" s="12" t="s">
        <v>31</v>
      </c>
      <c r="K1874" s="76">
        <f t="shared" si="127"/>
        <v>10581.58</v>
      </c>
      <c r="L1874">
        <v>1</v>
      </c>
      <c r="M1874" s="29">
        <v>0</v>
      </c>
      <c r="N1874" t="s">
        <v>32</v>
      </c>
      <c r="O1874" t="s">
        <v>33</v>
      </c>
      <c r="P1874" t="s">
        <v>34</v>
      </c>
      <c r="Q1874" t="s">
        <v>34</v>
      </c>
      <c r="R1874" t="s">
        <v>34</v>
      </c>
      <c r="S1874" t="s">
        <v>34</v>
      </c>
      <c r="T1874" s="117">
        <v>0</v>
      </c>
    </row>
    <row r="1875" spans="1:21" x14ac:dyDescent="0.35">
      <c r="A1875" t="s">
        <v>19</v>
      </c>
      <c r="B1875" t="s">
        <v>19</v>
      </c>
      <c r="C1875" s="1">
        <v>45568</v>
      </c>
      <c r="D1875">
        <f t="shared" si="128"/>
        <v>3</v>
      </c>
      <c r="E1875">
        <f t="shared" si="129"/>
        <v>10</v>
      </c>
      <c r="F1875">
        <f t="shared" si="130"/>
        <v>2024</v>
      </c>
      <c r="G1875" t="s">
        <v>265</v>
      </c>
      <c r="H1875" s="98" t="s">
        <v>547</v>
      </c>
      <c r="I1875" s="29">
        <v>5805.06</v>
      </c>
      <c r="J1875" s="12" t="s">
        <v>31</v>
      </c>
      <c r="K1875" s="76">
        <f t="shared" ref="K1875:K1938" si="131">IF(J1875="USD",I1875,I1875*L1875)</f>
        <v>5805.06</v>
      </c>
      <c r="L1875">
        <v>1</v>
      </c>
      <c r="M1875" s="29">
        <v>0</v>
      </c>
      <c r="N1875" t="s">
        <v>32</v>
      </c>
      <c r="O1875" t="s">
        <v>33</v>
      </c>
      <c r="P1875" t="s">
        <v>34</v>
      </c>
      <c r="Q1875" t="s">
        <v>34</v>
      </c>
      <c r="R1875" t="s">
        <v>34</v>
      </c>
      <c r="S1875" t="s">
        <v>34</v>
      </c>
      <c r="T1875" s="117">
        <v>0</v>
      </c>
    </row>
    <row r="1876" spans="1:21" x14ac:dyDescent="0.35">
      <c r="A1876" t="s">
        <v>19</v>
      </c>
      <c r="B1876" t="s">
        <v>19</v>
      </c>
      <c r="C1876" s="1">
        <v>45568</v>
      </c>
      <c r="D1876">
        <f t="shared" si="128"/>
        <v>3</v>
      </c>
      <c r="E1876">
        <f t="shared" si="129"/>
        <v>10</v>
      </c>
      <c r="F1876">
        <f t="shared" si="130"/>
        <v>2024</v>
      </c>
      <c r="G1876" t="s">
        <v>183</v>
      </c>
      <c r="H1876" s="98" t="s">
        <v>548</v>
      </c>
      <c r="I1876" s="29">
        <v>16252.23</v>
      </c>
      <c r="J1876" s="12" t="s">
        <v>31</v>
      </c>
      <c r="K1876" s="76">
        <f t="shared" si="131"/>
        <v>16252.23</v>
      </c>
      <c r="L1876">
        <v>1</v>
      </c>
      <c r="M1876" s="29">
        <v>0</v>
      </c>
      <c r="N1876" t="s">
        <v>32</v>
      </c>
      <c r="O1876" t="s">
        <v>33</v>
      </c>
      <c r="P1876" t="s">
        <v>34</v>
      </c>
      <c r="Q1876" t="s">
        <v>34</v>
      </c>
      <c r="R1876" t="s">
        <v>34</v>
      </c>
      <c r="S1876" t="s">
        <v>34</v>
      </c>
      <c r="T1876" s="117">
        <v>0</v>
      </c>
    </row>
    <row r="1877" spans="1:21" x14ac:dyDescent="0.35">
      <c r="A1877" t="s">
        <v>19</v>
      </c>
      <c r="B1877" t="s">
        <v>19</v>
      </c>
      <c r="C1877" s="1">
        <v>45568</v>
      </c>
      <c r="D1877">
        <f t="shared" si="128"/>
        <v>3</v>
      </c>
      <c r="E1877">
        <f t="shared" si="129"/>
        <v>10</v>
      </c>
      <c r="F1877">
        <f t="shared" si="130"/>
        <v>2024</v>
      </c>
      <c r="G1877" t="s">
        <v>56</v>
      </c>
      <c r="H1877" s="98" t="s">
        <v>549</v>
      </c>
      <c r="I1877" s="29">
        <v>183252.54</v>
      </c>
      <c r="J1877" s="12" t="s">
        <v>31</v>
      </c>
      <c r="K1877" s="76">
        <f t="shared" si="131"/>
        <v>183252.54</v>
      </c>
      <c r="L1877">
        <v>1</v>
      </c>
      <c r="M1877" s="29">
        <v>0</v>
      </c>
      <c r="N1877" t="s">
        <v>32</v>
      </c>
      <c r="O1877" t="s">
        <v>33</v>
      </c>
      <c r="P1877" t="s">
        <v>34</v>
      </c>
      <c r="Q1877" t="s">
        <v>34</v>
      </c>
      <c r="R1877" t="s">
        <v>34</v>
      </c>
      <c r="S1877" t="s">
        <v>34</v>
      </c>
      <c r="T1877" s="117">
        <v>0</v>
      </c>
    </row>
    <row r="1878" spans="1:21" x14ac:dyDescent="0.35">
      <c r="A1878" t="s">
        <v>19</v>
      </c>
      <c r="B1878" t="s">
        <v>19</v>
      </c>
      <c r="C1878" s="1">
        <v>45569</v>
      </c>
      <c r="D1878">
        <f t="shared" si="128"/>
        <v>4</v>
      </c>
      <c r="E1878">
        <f t="shared" si="129"/>
        <v>10</v>
      </c>
      <c r="F1878">
        <f t="shared" si="130"/>
        <v>2024</v>
      </c>
      <c r="G1878" t="s">
        <v>57</v>
      </c>
      <c r="H1878" s="171" t="s">
        <v>550</v>
      </c>
      <c r="I1878" s="90">
        <v>107730.65</v>
      </c>
      <c r="J1878" s="12" t="s">
        <v>31</v>
      </c>
      <c r="K1878" s="76">
        <f t="shared" si="131"/>
        <v>107730.65</v>
      </c>
      <c r="L1878">
        <v>1</v>
      </c>
      <c r="M1878" s="29">
        <v>0</v>
      </c>
      <c r="N1878" t="s">
        <v>32</v>
      </c>
      <c r="O1878" t="s">
        <v>33</v>
      </c>
      <c r="P1878" t="s">
        <v>34</v>
      </c>
      <c r="Q1878" t="s">
        <v>34</v>
      </c>
      <c r="R1878" t="s">
        <v>34</v>
      </c>
      <c r="S1878" t="s">
        <v>34</v>
      </c>
      <c r="T1878" s="117">
        <v>0</v>
      </c>
    </row>
    <row r="1879" spans="1:21" x14ac:dyDescent="0.35">
      <c r="A1879" t="s">
        <v>19</v>
      </c>
      <c r="B1879" t="s">
        <v>19</v>
      </c>
      <c r="C1879" s="1">
        <v>45569</v>
      </c>
      <c r="D1879">
        <f t="shared" si="128"/>
        <v>4</v>
      </c>
      <c r="E1879">
        <f t="shared" si="129"/>
        <v>10</v>
      </c>
      <c r="F1879">
        <f t="shared" si="130"/>
        <v>2024</v>
      </c>
      <c r="G1879" t="s">
        <v>59</v>
      </c>
      <c r="H1879" s="98" t="s">
        <v>551</v>
      </c>
      <c r="I1879" s="29">
        <v>102607.58</v>
      </c>
      <c r="J1879" s="12" t="s">
        <v>31</v>
      </c>
      <c r="K1879" s="76">
        <f t="shared" si="131"/>
        <v>102607.58</v>
      </c>
      <c r="L1879">
        <v>1</v>
      </c>
      <c r="M1879" s="29">
        <v>0</v>
      </c>
      <c r="N1879" t="s">
        <v>32</v>
      </c>
      <c r="O1879" t="s">
        <v>33</v>
      </c>
      <c r="P1879" t="s">
        <v>34</v>
      </c>
      <c r="Q1879" t="s">
        <v>34</v>
      </c>
      <c r="R1879" t="s">
        <v>34</v>
      </c>
      <c r="S1879" t="s">
        <v>34</v>
      </c>
      <c r="T1879" s="117">
        <v>0</v>
      </c>
    </row>
    <row r="1880" spans="1:21" x14ac:dyDescent="0.35">
      <c r="A1880" t="s">
        <v>19</v>
      </c>
      <c r="B1880" t="s">
        <v>19</v>
      </c>
      <c r="C1880" s="1">
        <v>45569</v>
      </c>
      <c r="D1880">
        <f t="shared" si="128"/>
        <v>4</v>
      </c>
      <c r="E1880">
        <f t="shared" si="129"/>
        <v>10</v>
      </c>
      <c r="F1880">
        <f t="shared" si="130"/>
        <v>2024</v>
      </c>
      <c r="G1880" t="s">
        <v>552</v>
      </c>
      <c r="H1880" s="121" t="s">
        <v>825</v>
      </c>
      <c r="I1880" s="29">
        <v>2340</v>
      </c>
      <c r="J1880" s="12" t="s">
        <v>31</v>
      </c>
      <c r="K1880" s="76">
        <f t="shared" si="131"/>
        <v>2340</v>
      </c>
      <c r="L1880">
        <v>1</v>
      </c>
      <c r="M1880" s="29">
        <v>0</v>
      </c>
      <c r="N1880" t="s">
        <v>42</v>
      </c>
      <c r="O1880" t="s">
        <v>33</v>
      </c>
      <c r="P1880" t="s">
        <v>34</v>
      </c>
      <c r="Q1880" t="s">
        <v>34</v>
      </c>
      <c r="R1880" t="s">
        <v>34</v>
      </c>
      <c r="S1880" t="s">
        <v>34</v>
      </c>
      <c r="T1880" s="117">
        <v>0</v>
      </c>
    </row>
    <row r="1881" spans="1:21" x14ac:dyDescent="0.35">
      <c r="A1881" t="s">
        <v>19</v>
      </c>
      <c r="B1881" t="s">
        <v>19</v>
      </c>
      <c r="C1881" s="1">
        <v>45569</v>
      </c>
      <c r="D1881">
        <f t="shared" si="128"/>
        <v>4</v>
      </c>
      <c r="E1881">
        <f t="shared" si="129"/>
        <v>10</v>
      </c>
      <c r="F1881">
        <f t="shared" si="130"/>
        <v>2024</v>
      </c>
      <c r="G1881" t="s">
        <v>553</v>
      </c>
      <c r="H1881" s="121" t="s">
        <v>901</v>
      </c>
      <c r="I1881" s="29">
        <v>10869</v>
      </c>
      <c r="J1881" s="12" t="s">
        <v>31</v>
      </c>
      <c r="K1881" s="76">
        <f t="shared" si="131"/>
        <v>10869</v>
      </c>
      <c r="L1881">
        <v>1</v>
      </c>
      <c r="M1881" s="29">
        <v>0</v>
      </c>
      <c r="N1881" t="s">
        <v>42</v>
      </c>
      <c r="O1881" t="s">
        <v>33</v>
      </c>
      <c r="P1881" t="s">
        <v>34</v>
      </c>
      <c r="Q1881" t="s">
        <v>34</v>
      </c>
      <c r="R1881" t="s">
        <v>34</v>
      </c>
      <c r="S1881" t="s">
        <v>34</v>
      </c>
      <c r="T1881" s="117">
        <v>0</v>
      </c>
    </row>
    <row r="1882" spans="1:21" x14ac:dyDescent="0.35">
      <c r="A1882" t="s">
        <v>19</v>
      </c>
      <c r="B1882" t="s">
        <v>19</v>
      </c>
      <c r="C1882" s="1">
        <v>45569</v>
      </c>
      <c r="D1882">
        <f t="shared" si="128"/>
        <v>4</v>
      </c>
      <c r="E1882">
        <f t="shared" si="129"/>
        <v>10</v>
      </c>
      <c r="F1882">
        <f t="shared" si="130"/>
        <v>2024</v>
      </c>
      <c r="G1882" t="s">
        <v>554</v>
      </c>
      <c r="H1882" s="121" t="s">
        <v>769</v>
      </c>
      <c r="I1882" s="29">
        <v>12100</v>
      </c>
      <c r="J1882" s="12" t="s">
        <v>31</v>
      </c>
      <c r="K1882" s="76">
        <f t="shared" si="131"/>
        <v>12100</v>
      </c>
      <c r="L1882">
        <v>1</v>
      </c>
      <c r="M1882" s="29">
        <v>0</v>
      </c>
      <c r="N1882" t="s">
        <v>42</v>
      </c>
      <c r="O1882" t="s">
        <v>33</v>
      </c>
      <c r="P1882" t="s">
        <v>34</v>
      </c>
      <c r="Q1882" t="s">
        <v>34</v>
      </c>
      <c r="R1882" t="s">
        <v>34</v>
      </c>
      <c r="S1882" t="s">
        <v>34</v>
      </c>
      <c r="T1882" s="117">
        <v>0</v>
      </c>
    </row>
    <row r="1883" spans="1:21" x14ac:dyDescent="0.35">
      <c r="A1883" t="s">
        <v>19</v>
      </c>
      <c r="B1883" t="s">
        <v>19</v>
      </c>
      <c r="C1883" s="1">
        <v>45569</v>
      </c>
      <c r="D1883">
        <f t="shared" si="128"/>
        <v>4</v>
      </c>
      <c r="E1883">
        <f t="shared" si="129"/>
        <v>10</v>
      </c>
      <c r="F1883">
        <f t="shared" si="130"/>
        <v>2024</v>
      </c>
      <c r="G1883" t="s">
        <v>555</v>
      </c>
      <c r="H1883" s="121" t="s">
        <v>770</v>
      </c>
      <c r="I1883" s="29">
        <v>3191</v>
      </c>
      <c r="J1883" s="12" t="s">
        <v>31</v>
      </c>
      <c r="K1883" s="76">
        <f t="shared" si="131"/>
        <v>3191</v>
      </c>
      <c r="L1883">
        <v>1</v>
      </c>
      <c r="M1883" s="29">
        <v>0</v>
      </c>
      <c r="N1883" t="s">
        <v>42</v>
      </c>
      <c r="O1883" t="s">
        <v>33</v>
      </c>
      <c r="P1883" t="s">
        <v>34</v>
      </c>
      <c r="Q1883" t="s">
        <v>34</v>
      </c>
      <c r="R1883" t="s">
        <v>34</v>
      </c>
      <c r="S1883" t="s">
        <v>34</v>
      </c>
      <c r="T1883" s="117">
        <v>0</v>
      </c>
    </row>
    <row r="1884" spans="1:21" x14ac:dyDescent="0.35">
      <c r="A1884" t="s">
        <v>19</v>
      </c>
      <c r="B1884" t="s">
        <v>19</v>
      </c>
      <c r="C1884" s="1">
        <v>45569</v>
      </c>
      <c r="D1884">
        <f t="shared" si="128"/>
        <v>4</v>
      </c>
      <c r="E1884">
        <f t="shared" si="129"/>
        <v>10</v>
      </c>
      <c r="F1884">
        <f t="shared" si="130"/>
        <v>2024</v>
      </c>
      <c r="G1884" t="s">
        <v>91</v>
      </c>
      <c r="H1884" s="98" t="s">
        <v>556</v>
      </c>
      <c r="I1884" s="29">
        <v>101963.55</v>
      </c>
      <c r="J1884" s="12" t="s">
        <v>31</v>
      </c>
      <c r="K1884" s="76">
        <f t="shared" si="131"/>
        <v>101963.55</v>
      </c>
      <c r="L1884">
        <v>1</v>
      </c>
      <c r="M1884" s="29">
        <v>0</v>
      </c>
      <c r="N1884" t="s">
        <v>32</v>
      </c>
      <c r="O1884" t="s">
        <v>33</v>
      </c>
      <c r="P1884" t="s">
        <v>34</v>
      </c>
      <c r="Q1884" t="s">
        <v>34</v>
      </c>
      <c r="R1884" t="s">
        <v>34</v>
      </c>
      <c r="S1884" t="s">
        <v>34</v>
      </c>
      <c r="T1884" s="117">
        <v>0</v>
      </c>
    </row>
    <row r="1885" spans="1:21" x14ac:dyDescent="0.35">
      <c r="A1885" t="s">
        <v>19</v>
      </c>
      <c r="B1885" t="s">
        <v>19</v>
      </c>
      <c r="C1885" s="1">
        <v>45569</v>
      </c>
      <c r="D1885">
        <f t="shared" si="128"/>
        <v>4</v>
      </c>
      <c r="E1885">
        <f t="shared" si="129"/>
        <v>10</v>
      </c>
      <c r="F1885">
        <f t="shared" si="130"/>
        <v>2024</v>
      </c>
      <c r="G1885" t="s">
        <v>125</v>
      </c>
      <c r="H1885" s="98" t="s">
        <v>557</v>
      </c>
      <c r="I1885" s="29">
        <v>96098.8</v>
      </c>
      <c r="J1885" s="12" t="s">
        <v>31</v>
      </c>
      <c r="K1885" s="76">
        <f t="shared" si="131"/>
        <v>96098.8</v>
      </c>
      <c r="L1885">
        <v>1</v>
      </c>
      <c r="M1885" s="29">
        <v>0</v>
      </c>
      <c r="N1885" t="s">
        <v>32</v>
      </c>
      <c r="O1885" t="s">
        <v>33</v>
      </c>
      <c r="P1885" t="s">
        <v>34</v>
      </c>
      <c r="Q1885" t="s">
        <v>34</v>
      </c>
      <c r="R1885" t="s">
        <v>34</v>
      </c>
      <c r="S1885" t="s">
        <v>34</v>
      </c>
      <c r="T1885" s="117">
        <v>0</v>
      </c>
    </row>
    <row r="1886" spans="1:21" x14ac:dyDescent="0.35">
      <c r="A1886" t="s">
        <v>19</v>
      </c>
      <c r="B1886" t="s">
        <v>19</v>
      </c>
      <c r="C1886" s="1">
        <v>45569</v>
      </c>
      <c r="D1886">
        <f t="shared" si="128"/>
        <v>4</v>
      </c>
      <c r="E1886">
        <f t="shared" si="129"/>
        <v>10</v>
      </c>
      <c r="F1886">
        <f t="shared" si="130"/>
        <v>2024</v>
      </c>
      <c r="G1886" t="s">
        <v>56</v>
      </c>
      <c r="H1886" s="98" t="s">
        <v>558</v>
      </c>
      <c r="I1886" s="29">
        <v>181444.76</v>
      </c>
      <c r="J1886" s="12" t="s">
        <v>31</v>
      </c>
      <c r="K1886" s="76">
        <f t="shared" si="131"/>
        <v>181444.76</v>
      </c>
      <c r="L1886">
        <v>1</v>
      </c>
      <c r="M1886" s="29">
        <v>0</v>
      </c>
      <c r="N1886" t="s">
        <v>32</v>
      </c>
      <c r="O1886" t="s">
        <v>33</v>
      </c>
      <c r="P1886" t="s">
        <v>34</v>
      </c>
      <c r="Q1886" t="s">
        <v>34</v>
      </c>
      <c r="R1886" t="s">
        <v>34</v>
      </c>
      <c r="S1886" t="s">
        <v>34</v>
      </c>
      <c r="T1886" s="117">
        <v>0</v>
      </c>
    </row>
    <row r="1887" spans="1:21" x14ac:dyDescent="0.35">
      <c r="A1887" t="s">
        <v>19</v>
      </c>
      <c r="B1887" t="s">
        <v>19</v>
      </c>
      <c r="C1887" s="1">
        <v>45569</v>
      </c>
      <c r="D1887">
        <f t="shared" si="128"/>
        <v>4</v>
      </c>
      <c r="E1887">
        <f t="shared" si="129"/>
        <v>10</v>
      </c>
      <c r="F1887">
        <f t="shared" si="130"/>
        <v>2024</v>
      </c>
      <c r="G1887" t="s">
        <v>117</v>
      </c>
      <c r="H1887" s="121" t="s">
        <v>771</v>
      </c>
      <c r="I1887" s="29">
        <v>30000</v>
      </c>
      <c r="J1887" s="12" t="s">
        <v>31</v>
      </c>
      <c r="K1887" s="76">
        <f t="shared" si="131"/>
        <v>30000</v>
      </c>
      <c r="L1887">
        <v>1</v>
      </c>
      <c r="M1887" s="29">
        <v>0</v>
      </c>
      <c r="N1887" t="s">
        <v>42</v>
      </c>
      <c r="O1887" t="s">
        <v>33</v>
      </c>
      <c r="P1887" t="s">
        <v>34</v>
      </c>
      <c r="Q1887" t="s">
        <v>34</v>
      </c>
      <c r="R1887" t="s">
        <v>34</v>
      </c>
      <c r="S1887" t="s">
        <v>34</v>
      </c>
      <c r="T1887" s="117">
        <v>0</v>
      </c>
    </row>
    <row r="1888" spans="1:21" x14ac:dyDescent="0.35">
      <c r="A1888" t="s">
        <v>19</v>
      </c>
      <c r="B1888" t="s">
        <v>26</v>
      </c>
      <c r="C1888" s="1">
        <v>45569</v>
      </c>
      <c r="D1888">
        <f t="shared" si="128"/>
        <v>4</v>
      </c>
      <c r="E1888">
        <f t="shared" si="129"/>
        <v>10</v>
      </c>
      <c r="F1888">
        <f t="shared" si="130"/>
        <v>2024</v>
      </c>
      <c r="G1888" t="s">
        <v>73</v>
      </c>
      <c r="H1888" s="98">
        <v>11226</v>
      </c>
      <c r="I1888" s="29">
        <v>45547.89</v>
      </c>
      <c r="J1888" s="12" t="s">
        <v>51</v>
      </c>
      <c r="K1888" s="76">
        <f t="shared" si="131"/>
        <v>50070.795477</v>
      </c>
      <c r="L1888">
        <v>1.0992999999999999</v>
      </c>
      <c r="M1888" s="29">
        <v>0</v>
      </c>
      <c r="N1888" t="s">
        <v>32</v>
      </c>
      <c r="O1888" t="s">
        <v>33</v>
      </c>
      <c r="P1888" t="s">
        <v>34</v>
      </c>
      <c r="Q1888" t="s">
        <v>34</v>
      </c>
      <c r="R1888" t="s">
        <v>34</v>
      </c>
      <c r="S1888" t="s">
        <v>34</v>
      </c>
      <c r="T1888" s="117">
        <v>0</v>
      </c>
      <c r="U1888" s="209" t="s">
        <v>94</v>
      </c>
    </row>
    <row r="1889" spans="1:21" x14ac:dyDescent="0.35">
      <c r="A1889" t="s">
        <v>19</v>
      </c>
      <c r="B1889" t="s">
        <v>26</v>
      </c>
      <c r="C1889" s="1">
        <v>45569</v>
      </c>
      <c r="D1889">
        <f t="shared" si="128"/>
        <v>4</v>
      </c>
      <c r="E1889">
        <f t="shared" si="129"/>
        <v>10</v>
      </c>
      <c r="F1889">
        <f t="shared" si="130"/>
        <v>2024</v>
      </c>
      <c r="G1889" t="s">
        <v>73</v>
      </c>
      <c r="H1889" s="98">
        <v>11245</v>
      </c>
      <c r="I1889" s="29">
        <v>85126.41</v>
      </c>
      <c r="J1889" s="12" t="s">
        <v>51</v>
      </c>
      <c r="K1889" s="76">
        <f t="shared" si="131"/>
        <v>93579.462513000006</v>
      </c>
      <c r="L1889">
        <v>1.0992999999999999</v>
      </c>
      <c r="M1889" s="29">
        <v>0</v>
      </c>
      <c r="N1889" t="s">
        <v>32</v>
      </c>
      <c r="O1889" t="s">
        <v>33</v>
      </c>
      <c r="P1889" t="s">
        <v>34</v>
      </c>
      <c r="Q1889" t="s">
        <v>34</v>
      </c>
      <c r="R1889" t="s">
        <v>34</v>
      </c>
      <c r="S1889" t="s">
        <v>34</v>
      </c>
      <c r="T1889" s="117">
        <v>0</v>
      </c>
      <c r="U1889" s="209" t="s">
        <v>94</v>
      </c>
    </row>
    <row r="1890" spans="1:21" x14ac:dyDescent="0.35">
      <c r="A1890" t="s">
        <v>19</v>
      </c>
      <c r="B1890" t="s">
        <v>26</v>
      </c>
      <c r="C1890" s="1">
        <v>45569</v>
      </c>
      <c r="D1890">
        <f t="shared" si="128"/>
        <v>4</v>
      </c>
      <c r="E1890">
        <f t="shared" si="129"/>
        <v>10</v>
      </c>
      <c r="F1890">
        <f t="shared" si="130"/>
        <v>2024</v>
      </c>
      <c r="G1890" t="s">
        <v>73</v>
      </c>
      <c r="H1890" s="98">
        <v>11248</v>
      </c>
      <c r="I1890" s="29">
        <v>96240.57</v>
      </c>
      <c r="J1890" s="12" t="s">
        <v>51</v>
      </c>
      <c r="K1890" s="76">
        <f t="shared" si="131"/>
        <v>105797.25860100001</v>
      </c>
      <c r="L1890">
        <v>1.0992999999999999</v>
      </c>
      <c r="M1890" s="29">
        <v>0</v>
      </c>
      <c r="N1890" t="s">
        <v>32</v>
      </c>
      <c r="O1890" t="s">
        <v>33</v>
      </c>
      <c r="P1890" t="s">
        <v>34</v>
      </c>
      <c r="Q1890" t="s">
        <v>34</v>
      </c>
      <c r="R1890" t="s">
        <v>34</v>
      </c>
      <c r="S1890" t="s">
        <v>34</v>
      </c>
      <c r="T1890" s="117">
        <v>0</v>
      </c>
      <c r="U1890" s="209" t="s">
        <v>94</v>
      </c>
    </row>
    <row r="1891" spans="1:21" x14ac:dyDescent="0.35">
      <c r="A1891" t="s">
        <v>19</v>
      </c>
      <c r="B1891" t="s">
        <v>26</v>
      </c>
      <c r="C1891" s="1">
        <v>45569</v>
      </c>
      <c r="D1891">
        <f t="shared" si="128"/>
        <v>4</v>
      </c>
      <c r="E1891">
        <f t="shared" si="129"/>
        <v>10</v>
      </c>
      <c r="F1891">
        <f t="shared" si="130"/>
        <v>2024</v>
      </c>
      <c r="G1891" t="s">
        <v>73</v>
      </c>
      <c r="H1891" s="98">
        <v>11249</v>
      </c>
      <c r="I1891" s="29">
        <v>26831.87</v>
      </c>
      <c r="J1891" s="12" t="s">
        <v>51</v>
      </c>
      <c r="K1891" s="76">
        <f t="shared" si="131"/>
        <v>29496.274690999999</v>
      </c>
      <c r="L1891">
        <v>1.0992999999999999</v>
      </c>
      <c r="M1891" s="29">
        <v>0</v>
      </c>
      <c r="N1891" t="s">
        <v>32</v>
      </c>
      <c r="O1891" t="s">
        <v>33</v>
      </c>
      <c r="P1891" t="s">
        <v>34</v>
      </c>
      <c r="Q1891" t="s">
        <v>34</v>
      </c>
      <c r="R1891" t="s">
        <v>34</v>
      </c>
      <c r="S1891" t="s">
        <v>34</v>
      </c>
      <c r="T1891" s="117">
        <v>0</v>
      </c>
      <c r="U1891" s="209" t="s">
        <v>94</v>
      </c>
    </row>
    <row r="1892" spans="1:21" x14ac:dyDescent="0.35">
      <c r="A1892" t="s">
        <v>19</v>
      </c>
      <c r="B1892" t="s">
        <v>27</v>
      </c>
      <c r="C1892" s="1">
        <v>45569</v>
      </c>
      <c r="D1892">
        <f t="shared" si="128"/>
        <v>4</v>
      </c>
      <c r="E1892">
        <f t="shared" si="129"/>
        <v>10</v>
      </c>
      <c r="F1892">
        <f t="shared" si="130"/>
        <v>2024</v>
      </c>
      <c r="G1892" t="s">
        <v>100</v>
      </c>
      <c r="H1892" s="98">
        <v>10816</v>
      </c>
      <c r="I1892" s="29">
        <v>4225.6099999999997</v>
      </c>
      <c r="J1892" s="12" t="s">
        <v>31</v>
      </c>
      <c r="K1892" s="76">
        <f t="shared" si="131"/>
        <v>4225.6099999999997</v>
      </c>
      <c r="L1892">
        <v>1</v>
      </c>
      <c r="M1892" s="29">
        <v>0</v>
      </c>
      <c r="N1892" t="s">
        <v>32</v>
      </c>
      <c r="O1892" t="s">
        <v>33</v>
      </c>
      <c r="P1892" t="s">
        <v>34</v>
      </c>
      <c r="Q1892" t="s">
        <v>34</v>
      </c>
      <c r="R1892" t="s">
        <v>34</v>
      </c>
      <c r="S1892" t="s">
        <v>34</v>
      </c>
      <c r="T1892" s="117">
        <v>0</v>
      </c>
      <c r="U1892" s="209" t="s">
        <v>501</v>
      </c>
    </row>
    <row r="1893" spans="1:21" x14ac:dyDescent="0.35">
      <c r="A1893" t="s">
        <v>19</v>
      </c>
      <c r="B1893" t="s">
        <v>21</v>
      </c>
      <c r="C1893" s="1">
        <v>45574</v>
      </c>
      <c r="D1893">
        <f t="shared" si="128"/>
        <v>9</v>
      </c>
      <c r="E1893">
        <f t="shared" si="129"/>
        <v>10</v>
      </c>
      <c r="F1893">
        <f t="shared" si="130"/>
        <v>2024</v>
      </c>
      <c r="G1893" t="s">
        <v>36</v>
      </c>
      <c r="H1893" s="98">
        <v>10600</v>
      </c>
      <c r="I1893" s="29">
        <v>128</v>
      </c>
      <c r="J1893" s="12" t="s">
        <v>31</v>
      </c>
      <c r="K1893" s="76">
        <f t="shared" si="131"/>
        <v>128</v>
      </c>
      <c r="L1893">
        <v>1</v>
      </c>
      <c r="M1893" s="29">
        <v>0</v>
      </c>
      <c r="N1893" t="s">
        <v>32</v>
      </c>
      <c r="O1893" t="s">
        <v>33</v>
      </c>
      <c r="P1893" t="s">
        <v>34</v>
      </c>
      <c r="Q1893" t="s">
        <v>34</v>
      </c>
      <c r="R1893" t="s">
        <v>34</v>
      </c>
      <c r="S1893" t="s">
        <v>34</v>
      </c>
      <c r="T1893" s="117">
        <v>0</v>
      </c>
    </row>
    <row r="1894" spans="1:21" x14ac:dyDescent="0.35">
      <c r="A1894" t="s">
        <v>19</v>
      </c>
      <c r="B1894" t="s">
        <v>25</v>
      </c>
      <c r="C1894" s="1">
        <v>45574</v>
      </c>
      <c r="D1894">
        <f t="shared" si="128"/>
        <v>9</v>
      </c>
      <c r="E1894">
        <f t="shared" si="129"/>
        <v>10</v>
      </c>
      <c r="F1894">
        <f t="shared" si="130"/>
        <v>2024</v>
      </c>
      <c r="G1894" t="s">
        <v>36</v>
      </c>
      <c r="H1894" s="98">
        <v>10831</v>
      </c>
      <c r="I1894" s="29">
        <v>139.30000000000001</v>
      </c>
      <c r="J1894" s="12" t="s">
        <v>31</v>
      </c>
      <c r="K1894" s="76">
        <f t="shared" si="131"/>
        <v>139.30000000000001</v>
      </c>
      <c r="L1894">
        <v>1</v>
      </c>
      <c r="M1894" s="29">
        <v>0</v>
      </c>
      <c r="N1894" t="s">
        <v>32</v>
      </c>
      <c r="O1894" t="s">
        <v>33</v>
      </c>
      <c r="P1894" t="s">
        <v>34</v>
      </c>
      <c r="Q1894" t="s">
        <v>34</v>
      </c>
      <c r="R1894" t="s">
        <v>34</v>
      </c>
      <c r="S1894" t="s">
        <v>34</v>
      </c>
      <c r="T1894" s="117">
        <v>0</v>
      </c>
    </row>
    <row r="1895" spans="1:21" x14ac:dyDescent="0.35">
      <c r="A1895" t="s">
        <v>19</v>
      </c>
      <c r="B1895" t="s">
        <v>25</v>
      </c>
      <c r="C1895" s="1">
        <v>45574</v>
      </c>
      <c r="D1895">
        <f t="shared" si="128"/>
        <v>9</v>
      </c>
      <c r="E1895">
        <f t="shared" si="129"/>
        <v>10</v>
      </c>
      <c r="F1895">
        <f t="shared" si="130"/>
        <v>2024</v>
      </c>
      <c r="G1895" t="s">
        <v>1146</v>
      </c>
      <c r="H1895" s="98">
        <v>11400</v>
      </c>
      <c r="I1895" s="29">
        <v>21507.88</v>
      </c>
      <c r="J1895" s="12" t="s">
        <v>51</v>
      </c>
      <c r="K1895" s="76">
        <f t="shared" si="131"/>
        <v>23585.541208000002</v>
      </c>
      <c r="L1895">
        <v>1.0966</v>
      </c>
      <c r="M1895" s="29">
        <v>0</v>
      </c>
      <c r="N1895" t="s">
        <v>42</v>
      </c>
      <c r="O1895" t="s">
        <v>33</v>
      </c>
      <c r="P1895" t="s">
        <v>34</v>
      </c>
      <c r="Q1895" t="s">
        <v>34</v>
      </c>
      <c r="R1895" t="s">
        <v>34</v>
      </c>
      <c r="S1895" t="s">
        <v>34</v>
      </c>
      <c r="T1895" s="117">
        <v>0</v>
      </c>
      <c r="U1895" s="209" t="s">
        <v>94</v>
      </c>
    </row>
    <row r="1896" spans="1:21" x14ac:dyDescent="0.35">
      <c r="A1896" t="s">
        <v>19</v>
      </c>
      <c r="B1896" t="s">
        <v>24</v>
      </c>
      <c r="C1896" s="1">
        <v>45574</v>
      </c>
      <c r="D1896">
        <f t="shared" si="128"/>
        <v>9</v>
      </c>
      <c r="E1896">
        <f t="shared" si="129"/>
        <v>10</v>
      </c>
      <c r="F1896">
        <f t="shared" si="130"/>
        <v>2024</v>
      </c>
      <c r="G1896" t="s">
        <v>352</v>
      </c>
      <c r="H1896" s="98">
        <v>10838</v>
      </c>
      <c r="I1896" s="29">
        <v>22256</v>
      </c>
      <c r="J1896" s="12" t="s">
        <v>31</v>
      </c>
      <c r="K1896" s="76">
        <f t="shared" si="131"/>
        <v>22256</v>
      </c>
      <c r="L1896">
        <v>1</v>
      </c>
      <c r="M1896" s="29">
        <v>0</v>
      </c>
      <c r="N1896" t="s">
        <v>32</v>
      </c>
      <c r="O1896" t="s">
        <v>33</v>
      </c>
      <c r="P1896" t="s">
        <v>34</v>
      </c>
      <c r="Q1896" t="s">
        <v>34</v>
      </c>
      <c r="R1896" t="s">
        <v>34</v>
      </c>
      <c r="S1896" t="s">
        <v>34</v>
      </c>
      <c r="T1896" s="117">
        <v>0</v>
      </c>
    </row>
    <row r="1897" spans="1:21" x14ac:dyDescent="0.35">
      <c r="A1897" t="s">
        <v>19</v>
      </c>
      <c r="B1897" t="s">
        <v>25</v>
      </c>
      <c r="C1897" s="1">
        <v>45574</v>
      </c>
      <c r="D1897">
        <f t="shared" si="128"/>
        <v>9</v>
      </c>
      <c r="E1897">
        <f t="shared" si="129"/>
        <v>10</v>
      </c>
      <c r="F1897">
        <f t="shared" si="130"/>
        <v>2024</v>
      </c>
      <c r="G1897" t="s">
        <v>38</v>
      </c>
      <c r="H1897" s="98">
        <v>10373</v>
      </c>
      <c r="I1897" s="29">
        <v>299749.65999999997</v>
      </c>
      <c r="J1897" s="12" t="s">
        <v>31</v>
      </c>
      <c r="K1897" s="76">
        <f t="shared" si="131"/>
        <v>299749.65999999997</v>
      </c>
      <c r="L1897">
        <v>1</v>
      </c>
      <c r="M1897" s="29">
        <v>0</v>
      </c>
      <c r="N1897" t="s">
        <v>32</v>
      </c>
      <c r="O1897" t="s">
        <v>33</v>
      </c>
      <c r="P1897" t="s">
        <v>34</v>
      </c>
      <c r="Q1897" t="s">
        <v>34</v>
      </c>
      <c r="R1897" t="s">
        <v>34</v>
      </c>
      <c r="S1897" t="s">
        <v>34</v>
      </c>
      <c r="T1897" s="117">
        <v>0</v>
      </c>
    </row>
    <row r="1898" spans="1:21" x14ac:dyDescent="0.35">
      <c r="A1898" t="s">
        <v>19</v>
      </c>
      <c r="B1898" t="s">
        <v>23</v>
      </c>
      <c r="C1898" s="1">
        <v>45574</v>
      </c>
      <c r="D1898">
        <f t="shared" si="128"/>
        <v>9</v>
      </c>
      <c r="E1898">
        <f t="shared" si="129"/>
        <v>10</v>
      </c>
      <c r="F1898">
        <f t="shared" si="130"/>
        <v>2024</v>
      </c>
      <c r="G1898" t="s">
        <v>74</v>
      </c>
      <c r="H1898" s="98">
        <v>10467</v>
      </c>
      <c r="I1898" s="29">
        <v>26448.45</v>
      </c>
      <c r="J1898" s="12" t="s">
        <v>31</v>
      </c>
      <c r="K1898" s="76">
        <f t="shared" si="131"/>
        <v>26448.45</v>
      </c>
      <c r="L1898">
        <v>1</v>
      </c>
      <c r="M1898" s="29">
        <v>0</v>
      </c>
      <c r="N1898" t="s">
        <v>32</v>
      </c>
      <c r="O1898" t="s">
        <v>33</v>
      </c>
      <c r="P1898" t="s">
        <v>34</v>
      </c>
      <c r="Q1898" t="s">
        <v>34</v>
      </c>
      <c r="R1898" t="s">
        <v>34</v>
      </c>
      <c r="S1898" t="s">
        <v>34</v>
      </c>
      <c r="T1898" s="117">
        <v>0</v>
      </c>
    </row>
    <row r="1899" spans="1:21" x14ac:dyDescent="0.35">
      <c r="A1899" t="s">
        <v>19</v>
      </c>
      <c r="B1899" t="s">
        <v>19</v>
      </c>
      <c r="C1899" s="1">
        <v>45574</v>
      </c>
      <c r="D1899">
        <f t="shared" si="128"/>
        <v>9</v>
      </c>
      <c r="E1899">
        <f t="shared" si="129"/>
        <v>10</v>
      </c>
      <c r="F1899">
        <f t="shared" si="130"/>
        <v>2024</v>
      </c>
      <c r="G1899" t="s">
        <v>91</v>
      </c>
      <c r="H1899" s="98" t="s">
        <v>563</v>
      </c>
      <c r="I1899" s="29">
        <v>95707.48</v>
      </c>
      <c r="J1899" s="12" t="s">
        <v>31</v>
      </c>
      <c r="K1899" s="76">
        <f t="shared" si="131"/>
        <v>95707.48</v>
      </c>
      <c r="L1899">
        <v>1</v>
      </c>
      <c r="M1899" s="29">
        <v>0</v>
      </c>
      <c r="N1899" t="s">
        <v>32</v>
      </c>
      <c r="O1899" t="s">
        <v>33</v>
      </c>
      <c r="P1899" t="s">
        <v>34</v>
      </c>
      <c r="Q1899" t="s">
        <v>34</v>
      </c>
      <c r="R1899" t="s">
        <v>34</v>
      </c>
      <c r="S1899" t="s">
        <v>34</v>
      </c>
      <c r="T1899" s="117">
        <v>0</v>
      </c>
    </row>
    <row r="1900" spans="1:21" x14ac:dyDescent="0.35">
      <c r="A1900" t="s">
        <v>19</v>
      </c>
      <c r="B1900" t="s">
        <v>19</v>
      </c>
      <c r="C1900" s="1">
        <v>45574</v>
      </c>
      <c r="D1900">
        <f t="shared" si="128"/>
        <v>9</v>
      </c>
      <c r="E1900">
        <f t="shared" si="129"/>
        <v>10</v>
      </c>
      <c r="F1900">
        <f t="shared" si="130"/>
        <v>2024</v>
      </c>
      <c r="G1900" t="s">
        <v>86</v>
      </c>
      <c r="H1900" s="98" t="s">
        <v>564</v>
      </c>
      <c r="I1900" s="29">
        <v>73197.02</v>
      </c>
      <c r="J1900" s="12" t="s">
        <v>31</v>
      </c>
      <c r="K1900" s="76">
        <f t="shared" si="131"/>
        <v>73197.02</v>
      </c>
      <c r="L1900">
        <v>1</v>
      </c>
      <c r="M1900" s="29">
        <v>0</v>
      </c>
      <c r="N1900" t="s">
        <v>32</v>
      </c>
      <c r="O1900" t="s">
        <v>33</v>
      </c>
      <c r="P1900" t="s">
        <v>34</v>
      </c>
      <c r="Q1900" t="s">
        <v>34</v>
      </c>
      <c r="R1900" t="s">
        <v>34</v>
      </c>
      <c r="S1900" t="s">
        <v>34</v>
      </c>
      <c r="T1900" s="117">
        <v>0</v>
      </c>
    </row>
    <row r="1901" spans="1:21" x14ac:dyDescent="0.35">
      <c r="A1901" t="s">
        <v>20</v>
      </c>
      <c r="B1901" t="s">
        <v>23</v>
      </c>
      <c r="C1901" s="1">
        <v>45574</v>
      </c>
      <c r="D1901">
        <f t="shared" si="128"/>
        <v>9</v>
      </c>
      <c r="E1901">
        <f t="shared" si="129"/>
        <v>10</v>
      </c>
      <c r="F1901">
        <f t="shared" si="130"/>
        <v>2024</v>
      </c>
      <c r="G1901" t="s">
        <v>97</v>
      </c>
      <c r="H1901" s="98">
        <v>11289</v>
      </c>
      <c r="I1901" s="29">
        <v>37.5</v>
      </c>
      <c r="J1901" s="12" t="s">
        <v>31</v>
      </c>
      <c r="K1901" s="76">
        <f t="shared" si="131"/>
        <v>37.5</v>
      </c>
      <c r="L1901">
        <v>1</v>
      </c>
      <c r="M1901" s="29">
        <v>0</v>
      </c>
      <c r="N1901" t="s">
        <v>32</v>
      </c>
      <c r="O1901" t="s">
        <v>33</v>
      </c>
      <c r="P1901" t="s">
        <v>34</v>
      </c>
      <c r="Q1901" t="s">
        <v>34</v>
      </c>
      <c r="R1901" t="s">
        <v>34</v>
      </c>
      <c r="S1901" t="s">
        <v>34</v>
      </c>
      <c r="T1901" s="117">
        <v>0</v>
      </c>
    </row>
    <row r="1902" spans="1:21" x14ac:dyDescent="0.35">
      <c r="A1902" t="s">
        <v>20</v>
      </c>
      <c r="B1902" t="s">
        <v>23</v>
      </c>
      <c r="C1902" s="1">
        <v>45574</v>
      </c>
      <c r="D1902">
        <f t="shared" si="128"/>
        <v>9</v>
      </c>
      <c r="E1902">
        <f t="shared" si="129"/>
        <v>10</v>
      </c>
      <c r="F1902">
        <f t="shared" si="130"/>
        <v>2024</v>
      </c>
      <c r="G1902" t="s">
        <v>97</v>
      </c>
      <c r="H1902" s="98">
        <v>11291</v>
      </c>
      <c r="I1902" s="29">
        <v>42.5</v>
      </c>
      <c r="J1902" s="12" t="s">
        <v>31</v>
      </c>
      <c r="K1902" s="76">
        <f t="shared" si="131"/>
        <v>42.5</v>
      </c>
      <c r="L1902">
        <v>1</v>
      </c>
      <c r="M1902" s="29">
        <v>0</v>
      </c>
      <c r="N1902" t="s">
        <v>32</v>
      </c>
      <c r="O1902" t="s">
        <v>33</v>
      </c>
      <c r="P1902" t="s">
        <v>34</v>
      </c>
      <c r="Q1902" t="s">
        <v>34</v>
      </c>
      <c r="R1902" t="s">
        <v>34</v>
      </c>
      <c r="S1902" t="s">
        <v>34</v>
      </c>
      <c r="T1902" s="117">
        <v>0</v>
      </c>
    </row>
    <row r="1903" spans="1:21" x14ac:dyDescent="0.35">
      <c r="A1903" t="s">
        <v>20</v>
      </c>
      <c r="B1903" t="s">
        <v>25</v>
      </c>
      <c r="C1903" s="1">
        <v>45574</v>
      </c>
      <c r="D1903">
        <f t="shared" si="128"/>
        <v>9</v>
      </c>
      <c r="E1903">
        <f t="shared" si="129"/>
        <v>10</v>
      </c>
      <c r="F1903">
        <f t="shared" si="130"/>
        <v>2024</v>
      </c>
      <c r="G1903" t="s">
        <v>97</v>
      </c>
      <c r="H1903" s="98">
        <v>11291</v>
      </c>
      <c r="I1903" s="29">
        <v>1231</v>
      </c>
      <c r="J1903" s="12" t="s">
        <v>31</v>
      </c>
      <c r="K1903" s="76">
        <f t="shared" si="131"/>
        <v>1231</v>
      </c>
      <c r="L1903">
        <v>1</v>
      </c>
      <c r="M1903" s="29">
        <v>0</v>
      </c>
      <c r="N1903" t="s">
        <v>32</v>
      </c>
      <c r="O1903" t="s">
        <v>33</v>
      </c>
      <c r="P1903" t="s">
        <v>34</v>
      </c>
      <c r="Q1903" t="s">
        <v>34</v>
      </c>
      <c r="R1903" t="s">
        <v>34</v>
      </c>
      <c r="S1903" t="s">
        <v>34</v>
      </c>
      <c r="T1903" s="117">
        <v>0</v>
      </c>
    </row>
    <row r="1904" spans="1:21" x14ac:dyDescent="0.35">
      <c r="A1904" t="s">
        <v>20</v>
      </c>
      <c r="B1904" t="s">
        <v>24</v>
      </c>
      <c r="C1904" s="1">
        <v>45574</v>
      </c>
      <c r="D1904">
        <f t="shared" si="128"/>
        <v>9</v>
      </c>
      <c r="E1904">
        <f t="shared" si="129"/>
        <v>10</v>
      </c>
      <c r="F1904">
        <f t="shared" si="130"/>
        <v>2024</v>
      </c>
      <c r="G1904" t="s">
        <v>97</v>
      </c>
      <c r="H1904" s="98">
        <v>11291</v>
      </c>
      <c r="I1904" s="29">
        <v>938</v>
      </c>
      <c r="J1904" s="12" t="s">
        <v>31</v>
      </c>
      <c r="K1904" s="76">
        <f t="shared" si="131"/>
        <v>938</v>
      </c>
      <c r="L1904">
        <v>1</v>
      </c>
      <c r="M1904" s="29">
        <v>0</v>
      </c>
      <c r="N1904" t="s">
        <v>32</v>
      </c>
      <c r="O1904" t="s">
        <v>33</v>
      </c>
      <c r="P1904" t="s">
        <v>34</v>
      </c>
      <c r="Q1904" t="s">
        <v>34</v>
      </c>
      <c r="R1904" t="s">
        <v>34</v>
      </c>
      <c r="S1904" t="s">
        <v>34</v>
      </c>
      <c r="T1904" s="117">
        <v>0</v>
      </c>
    </row>
    <row r="1905" spans="1:21" x14ac:dyDescent="0.35">
      <c r="A1905" t="s">
        <v>20</v>
      </c>
      <c r="B1905" t="s">
        <v>25</v>
      </c>
      <c r="C1905" s="1">
        <v>45574</v>
      </c>
      <c r="D1905">
        <f t="shared" si="128"/>
        <v>9</v>
      </c>
      <c r="E1905">
        <f t="shared" si="129"/>
        <v>10</v>
      </c>
      <c r="F1905">
        <f t="shared" si="130"/>
        <v>2024</v>
      </c>
      <c r="G1905" t="s">
        <v>84</v>
      </c>
      <c r="H1905" s="98">
        <v>11037</v>
      </c>
      <c r="I1905" s="29">
        <v>418.6</v>
      </c>
      <c r="J1905" s="12" t="s">
        <v>31</v>
      </c>
      <c r="K1905" s="76">
        <f t="shared" si="131"/>
        <v>418.6</v>
      </c>
      <c r="L1905">
        <v>1</v>
      </c>
      <c r="M1905" s="29">
        <v>0</v>
      </c>
      <c r="N1905" t="s">
        <v>32</v>
      </c>
      <c r="O1905" t="s">
        <v>33</v>
      </c>
      <c r="P1905" t="s">
        <v>34</v>
      </c>
      <c r="Q1905" t="s">
        <v>34</v>
      </c>
      <c r="R1905" t="s">
        <v>34</v>
      </c>
      <c r="S1905" t="s">
        <v>34</v>
      </c>
      <c r="T1905" s="117">
        <v>0</v>
      </c>
    </row>
    <row r="1906" spans="1:21" x14ac:dyDescent="0.35">
      <c r="A1906" t="s">
        <v>20</v>
      </c>
      <c r="B1906" t="s">
        <v>25</v>
      </c>
      <c r="C1906" s="1">
        <v>45574</v>
      </c>
      <c r="D1906">
        <f t="shared" si="128"/>
        <v>9</v>
      </c>
      <c r="E1906">
        <f t="shared" si="129"/>
        <v>10</v>
      </c>
      <c r="F1906">
        <f t="shared" si="130"/>
        <v>2024</v>
      </c>
      <c r="G1906" t="s">
        <v>565</v>
      </c>
      <c r="H1906" s="98">
        <v>11405</v>
      </c>
      <c r="I1906" s="29">
        <v>144</v>
      </c>
      <c r="J1906" s="12" t="s">
        <v>51</v>
      </c>
      <c r="K1906" s="76">
        <f t="shared" si="131"/>
        <v>158.47156800000002</v>
      </c>
      <c r="L1906">
        <v>1.1004970000000001</v>
      </c>
      <c r="M1906" s="29">
        <v>0</v>
      </c>
      <c r="N1906" t="s">
        <v>42</v>
      </c>
      <c r="O1906" t="s">
        <v>33</v>
      </c>
      <c r="P1906" t="s">
        <v>34</v>
      </c>
      <c r="Q1906" t="s">
        <v>34</v>
      </c>
      <c r="R1906" t="s">
        <v>34</v>
      </c>
      <c r="S1906" t="s">
        <v>34</v>
      </c>
      <c r="T1906" s="117">
        <v>0</v>
      </c>
    </row>
    <row r="1907" spans="1:21" x14ac:dyDescent="0.35">
      <c r="A1907" t="s">
        <v>20</v>
      </c>
      <c r="B1907" t="s">
        <v>25</v>
      </c>
      <c r="C1907" s="1">
        <v>45574</v>
      </c>
      <c r="D1907">
        <f t="shared" si="128"/>
        <v>9</v>
      </c>
      <c r="E1907">
        <f t="shared" si="129"/>
        <v>10</v>
      </c>
      <c r="F1907">
        <f t="shared" si="130"/>
        <v>2024</v>
      </c>
      <c r="G1907" t="s">
        <v>565</v>
      </c>
      <c r="H1907" s="98">
        <v>11407</v>
      </c>
      <c r="I1907" s="29">
        <v>3056.4</v>
      </c>
      <c r="J1907" s="12" t="s">
        <v>51</v>
      </c>
      <c r="K1907" s="76">
        <f t="shared" si="131"/>
        <v>3363.5590308000001</v>
      </c>
      <c r="L1907">
        <v>1.1004970000000001</v>
      </c>
      <c r="M1907" s="29">
        <v>0</v>
      </c>
      <c r="N1907" t="s">
        <v>42</v>
      </c>
      <c r="O1907" t="s">
        <v>33</v>
      </c>
      <c r="P1907" t="s">
        <v>34</v>
      </c>
      <c r="Q1907" t="s">
        <v>34</v>
      </c>
      <c r="R1907" t="s">
        <v>34</v>
      </c>
      <c r="S1907" t="s">
        <v>34</v>
      </c>
      <c r="T1907" s="117">
        <v>0</v>
      </c>
    </row>
    <row r="1908" spans="1:21" x14ac:dyDescent="0.35">
      <c r="A1908" t="s">
        <v>20</v>
      </c>
      <c r="B1908" t="s">
        <v>25</v>
      </c>
      <c r="C1908" s="1">
        <v>45574</v>
      </c>
      <c r="D1908">
        <f t="shared" si="128"/>
        <v>9</v>
      </c>
      <c r="E1908">
        <f t="shared" si="129"/>
        <v>10</v>
      </c>
      <c r="F1908">
        <f t="shared" si="130"/>
        <v>2024</v>
      </c>
      <c r="G1908" t="s">
        <v>566</v>
      </c>
      <c r="H1908" s="98">
        <v>11413</v>
      </c>
      <c r="I1908" s="29">
        <v>244.68</v>
      </c>
      <c r="J1908" s="12" t="s">
        <v>31</v>
      </c>
      <c r="K1908" s="76">
        <f t="shared" si="131"/>
        <v>244.68</v>
      </c>
      <c r="L1908">
        <v>1</v>
      </c>
      <c r="M1908" s="29">
        <v>0</v>
      </c>
      <c r="N1908" t="s">
        <v>42</v>
      </c>
      <c r="O1908" t="s">
        <v>33</v>
      </c>
      <c r="P1908" t="s">
        <v>34</v>
      </c>
      <c r="Q1908" t="s">
        <v>34</v>
      </c>
      <c r="R1908" t="s">
        <v>34</v>
      </c>
      <c r="S1908" t="s">
        <v>34</v>
      </c>
      <c r="T1908" s="117">
        <v>0</v>
      </c>
    </row>
    <row r="1909" spans="1:21" x14ac:dyDescent="0.35">
      <c r="A1909" t="s">
        <v>20</v>
      </c>
      <c r="B1909" t="s">
        <v>23</v>
      </c>
      <c r="C1909" s="1">
        <v>45574</v>
      </c>
      <c r="D1909">
        <f t="shared" si="128"/>
        <v>9</v>
      </c>
      <c r="E1909">
        <f t="shared" si="129"/>
        <v>10</v>
      </c>
      <c r="F1909">
        <f t="shared" si="130"/>
        <v>2024</v>
      </c>
      <c r="G1909" t="s">
        <v>89</v>
      </c>
      <c r="H1909" s="98">
        <v>10913</v>
      </c>
      <c r="I1909" s="29">
        <v>2641.78</v>
      </c>
      <c r="J1909" s="12" t="s">
        <v>31</v>
      </c>
      <c r="K1909" s="76">
        <f t="shared" si="131"/>
        <v>2641.78</v>
      </c>
      <c r="L1909">
        <v>1</v>
      </c>
      <c r="M1909" s="29">
        <v>0</v>
      </c>
      <c r="N1909" t="s">
        <v>32</v>
      </c>
      <c r="O1909" t="s">
        <v>33</v>
      </c>
      <c r="P1909" t="s">
        <v>34</v>
      </c>
      <c r="Q1909" t="s">
        <v>34</v>
      </c>
      <c r="R1909" t="s">
        <v>34</v>
      </c>
      <c r="S1909" t="s">
        <v>34</v>
      </c>
      <c r="T1909" s="117">
        <v>33.25</v>
      </c>
    </row>
    <row r="1910" spans="1:21" x14ac:dyDescent="0.35">
      <c r="A1910" t="s">
        <v>20</v>
      </c>
      <c r="B1910" t="s">
        <v>21</v>
      </c>
      <c r="C1910" s="1">
        <v>45574</v>
      </c>
      <c r="D1910">
        <f t="shared" si="128"/>
        <v>9</v>
      </c>
      <c r="E1910">
        <f t="shared" si="129"/>
        <v>10</v>
      </c>
      <c r="F1910">
        <f t="shared" si="130"/>
        <v>2024</v>
      </c>
      <c r="G1910" t="s">
        <v>89</v>
      </c>
      <c r="H1910" s="98">
        <v>11372</v>
      </c>
      <c r="I1910" s="29">
        <v>58</v>
      </c>
      <c r="J1910" s="12" t="s">
        <v>31</v>
      </c>
      <c r="K1910" s="76">
        <f t="shared" si="131"/>
        <v>58</v>
      </c>
      <c r="L1910">
        <v>1</v>
      </c>
      <c r="M1910" s="29">
        <v>0</v>
      </c>
      <c r="N1910" t="s">
        <v>42</v>
      </c>
      <c r="O1910" t="s">
        <v>33</v>
      </c>
      <c r="P1910" t="s">
        <v>34</v>
      </c>
      <c r="Q1910" t="s">
        <v>34</v>
      </c>
      <c r="R1910" t="s">
        <v>34</v>
      </c>
      <c r="S1910" t="s">
        <v>34</v>
      </c>
      <c r="T1910" s="117">
        <v>0</v>
      </c>
    </row>
    <row r="1911" spans="1:21" x14ac:dyDescent="0.35">
      <c r="A1911" t="s">
        <v>20</v>
      </c>
      <c r="B1911" t="s">
        <v>21</v>
      </c>
      <c r="C1911" s="1">
        <v>45574</v>
      </c>
      <c r="D1911">
        <f t="shared" si="128"/>
        <v>9</v>
      </c>
      <c r="E1911">
        <f t="shared" si="129"/>
        <v>10</v>
      </c>
      <c r="F1911">
        <f t="shared" si="130"/>
        <v>2024</v>
      </c>
      <c r="G1911" t="s">
        <v>89</v>
      </c>
      <c r="H1911" s="98">
        <v>11373</v>
      </c>
      <c r="I1911" s="29">
        <v>3107.64</v>
      </c>
      <c r="J1911" s="12" t="s">
        <v>31</v>
      </c>
      <c r="K1911" s="76">
        <f t="shared" si="131"/>
        <v>3107.64</v>
      </c>
      <c r="L1911">
        <v>1</v>
      </c>
      <c r="M1911" s="29">
        <v>0</v>
      </c>
      <c r="N1911" t="s">
        <v>42</v>
      </c>
      <c r="O1911" t="s">
        <v>33</v>
      </c>
      <c r="P1911" t="s">
        <v>34</v>
      </c>
      <c r="Q1911" t="s">
        <v>34</v>
      </c>
      <c r="R1911" t="s">
        <v>34</v>
      </c>
      <c r="S1911" t="s">
        <v>34</v>
      </c>
      <c r="T1911" s="117">
        <v>0</v>
      </c>
    </row>
    <row r="1912" spans="1:21" x14ac:dyDescent="0.35">
      <c r="A1912" t="s">
        <v>20</v>
      </c>
      <c r="B1912" t="s">
        <v>24</v>
      </c>
      <c r="C1912" s="1">
        <v>45574</v>
      </c>
      <c r="D1912">
        <f t="shared" si="128"/>
        <v>9</v>
      </c>
      <c r="E1912">
        <f t="shared" si="129"/>
        <v>10</v>
      </c>
      <c r="F1912">
        <f t="shared" si="130"/>
        <v>2024</v>
      </c>
      <c r="G1912" t="s">
        <v>50</v>
      </c>
      <c r="H1912" s="98">
        <v>11196</v>
      </c>
      <c r="I1912" s="29">
        <v>6600</v>
      </c>
      <c r="J1912" s="12" t="s">
        <v>31</v>
      </c>
      <c r="K1912" s="76">
        <f t="shared" si="131"/>
        <v>6600</v>
      </c>
      <c r="L1912">
        <v>1</v>
      </c>
      <c r="M1912" s="29">
        <v>0</v>
      </c>
      <c r="N1912" t="s">
        <v>42</v>
      </c>
      <c r="O1912" t="s">
        <v>33</v>
      </c>
      <c r="P1912" t="s">
        <v>34</v>
      </c>
      <c r="Q1912" t="s">
        <v>34</v>
      </c>
      <c r="R1912" t="s">
        <v>34</v>
      </c>
      <c r="S1912" t="s">
        <v>34</v>
      </c>
      <c r="T1912" s="117">
        <v>0</v>
      </c>
      <c r="U1912" s="209" t="s">
        <v>669</v>
      </c>
    </row>
    <row r="1913" spans="1:21" x14ac:dyDescent="0.35">
      <c r="A1913" t="s">
        <v>20</v>
      </c>
      <c r="B1913" t="s">
        <v>25</v>
      </c>
      <c r="C1913" s="1">
        <v>45574</v>
      </c>
      <c r="D1913">
        <f t="shared" si="128"/>
        <v>9</v>
      </c>
      <c r="E1913">
        <f t="shared" si="129"/>
        <v>10</v>
      </c>
      <c r="F1913">
        <f t="shared" si="130"/>
        <v>2024</v>
      </c>
      <c r="G1913" t="s">
        <v>50</v>
      </c>
      <c r="H1913" s="98">
        <v>11070</v>
      </c>
      <c r="I1913" s="29">
        <v>1196</v>
      </c>
      <c r="J1913" s="12" t="s">
        <v>31</v>
      </c>
      <c r="K1913" s="76">
        <f t="shared" si="131"/>
        <v>1196</v>
      </c>
      <c r="L1913">
        <v>1</v>
      </c>
      <c r="M1913" s="29">
        <v>0</v>
      </c>
      <c r="N1913" t="s">
        <v>42</v>
      </c>
      <c r="O1913" t="s">
        <v>33</v>
      </c>
      <c r="P1913" t="s">
        <v>34</v>
      </c>
      <c r="Q1913" t="s">
        <v>34</v>
      </c>
      <c r="R1913" t="s">
        <v>34</v>
      </c>
      <c r="S1913" t="s">
        <v>34</v>
      </c>
      <c r="T1913" s="117">
        <v>0</v>
      </c>
      <c r="U1913" s="209" t="s">
        <v>670</v>
      </c>
    </row>
    <row r="1914" spans="1:21" x14ac:dyDescent="0.35">
      <c r="A1914" t="s">
        <v>20</v>
      </c>
      <c r="B1914" t="s">
        <v>21</v>
      </c>
      <c r="C1914" s="1">
        <v>45574</v>
      </c>
      <c r="D1914">
        <f t="shared" si="128"/>
        <v>9</v>
      </c>
      <c r="E1914">
        <f t="shared" si="129"/>
        <v>10</v>
      </c>
      <c r="F1914">
        <f t="shared" si="130"/>
        <v>2024</v>
      </c>
      <c r="G1914" t="s">
        <v>45</v>
      </c>
      <c r="H1914" s="98">
        <v>10917</v>
      </c>
      <c r="I1914" s="29">
        <v>40951.589999999997</v>
      </c>
      <c r="J1914" s="12" t="s">
        <v>31</v>
      </c>
      <c r="K1914" s="76">
        <f t="shared" si="131"/>
        <v>40951.589999999997</v>
      </c>
      <c r="L1914">
        <v>1</v>
      </c>
      <c r="M1914" s="29">
        <v>0</v>
      </c>
      <c r="N1914" t="s">
        <v>32</v>
      </c>
      <c r="O1914" t="s">
        <v>33</v>
      </c>
      <c r="P1914" t="s">
        <v>34</v>
      </c>
      <c r="Q1914" t="s">
        <v>34</v>
      </c>
      <c r="R1914" t="s">
        <v>34</v>
      </c>
      <c r="S1914" t="s">
        <v>34</v>
      </c>
      <c r="T1914" s="117">
        <v>0</v>
      </c>
    </row>
    <row r="1915" spans="1:21" x14ac:dyDescent="0.35">
      <c r="A1915" t="s">
        <v>20</v>
      </c>
      <c r="B1915" t="s">
        <v>21</v>
      </c>
      <c r="C1915" s="1">
        <v>45574</v>
      </c>
      <c r="D1915">
        <f t="shared" si="128"/>
        <v>9</v>
      </c>
      <c r="E1915">
        <f t="shared" si="129"/>
        <v>10</v>
      </c>
      <c r="F1915">
        <f t="shared" si="130"/>
        <v>2024</v>
      </c>
      <c r="G1915" t="s">
        <v>45</v>
      </c>
      <c r="H1915" s="98">
        <v>10978</v>
      </c>
      <c r="I1915" s="29">
        <v>129.4</v>
      </c>
      <c r="J1915" s="12" t="s">
        <v>31</v>
      </c>
      <c r="K1915" s="76">
        <f t="shared" si="131"/>
        <v>129.4</v>
      </c>
      <c r="L1915">
        <v>1</v>
      </c>
      <c r="M1915" s="29">
        <v>0</v>
      </c>
      <c r="N1915" t="s">
        <v>32</v>
      </c>
      <c r="O1915" t="s">
        <v>33</v>
      </c>
      <c r="P1915" t="s">
        <v>34</v>
      </c>
      <c r="Q1915" t="s">
        <v>34</v>
      </c>
      <c r="R1915" t="s">
        <v>34</v>
      </c>
      <c r="S1915" t="s">
        <v>34</v>
      </c>
      <c r="T1915" s="117">
        <v>0</v>
      </c>
    </row>
    <row r="1916" spans="1:21" x14ac:dyDescent="0.35">
      <c r="A1916" t="s">
        <v>20</v>
      </c>
      <c r="B1916" t="s">
        <v>21</v>
      </c>
      <c r="C1916" s="1">
        <v>45574</v>
      </c>
      <c r="D1916">
        <f t="shared" si="128"/>
        <v>9</v>
      </c>
      <c r="E1916">
        <f t="shared" si="129"/>
        <v>10</v>
      </c>
      <c r="F1916">
        <f t="shared" si="130"/>
        <v>2024</v>
      </c>
      <c r="G1916" t="s">
        <v>118</v>
      </c>
      <c r="H1916" s="98">
        <v>11411</v>
      </c>
      <c r="I1916" s="29">
        <v>325.8</v>
      </c>
      <c r="J1916" s="12" t="s">
        <v>31</v>
      </c>
      <c r="K1916" s="76">
        <f t="shared" si="131"/>
        <v>325.8</v>
      </c>
      <c r="L1916">
        <v>1</v>
      </c>
      <c r="M1916" s="29">
        <v>0</v>
      </c>
      <c r="N1916" t="s">
        <v>42</v>
      </c>
      <c r="O1916" t="s">
        <v>33</v>
      </c>
      <c r="P1916" t="s">
        <v>34</v>
      </c>
      <c r="Q1916" t="s">
        <v>34</v>
      </c>
      <c r="R1916" t="s">
        <v>34</v>
      </c>
      <c r="S1916" t="s">
        <v>34</v>
      </c>
      <c r="T1916" s="117">
        <v>0</v>
      </c>
    </row>
    <row r="1917" spans="1:21" x14ac:dyDescent="0.35">
      <c r="A1917" t="s">
        <v>20</v>
      </c>
      <c r="B1917" t="s">
        <v>21</v>
      </c>
      <c r="C1917" s="1">
        <v>45574</v>
      </c>
      <c r="D1917">
        <f t="shared" si="128"/>
        <v>9</v>
      </c>
      <c r="E1917">
        <f t="shared" si="129"/>
        <v>10</v>
      </c>
      <c r="F1917">
        <f t="shared" si="130"/>
        <v>2024</v>
      </c>
      <c r="G1917" t="s">
        <v>118</v>
      </c>
      <c r="H1917" s="98">
        <v>11636</v>
      </c>
      <c r="I1917" s="29">
        <v>5765.09</v>
      </c>
      <c r="J1917" s="12" t="s">
        <v>31</v>
      </c>
      <c r="K1917" s="76">
        <f t="shared" si="131"/>
        <v>5765.09</v>
      </c>
      <c r="L1917">
        <v>1</v>
      </c>
      <c r="M1917" s="29">
        <v>0</v>
      </c>
      <c r="N1917" t="s">
        <v>42</v>
      </c>
      <c r="O1917" t="s">
        <v>33</v>
      </c>
      <c r="P1917" t="s">
        <v>34</v>
      </c>
      <c r="Q1917" t="s">
        <v>34</v>
      </c>
      <c r="R1917" t="s">
        <v>34</v>
      </c>
      <c r="S1917" t="s">
        <v>34</v>
      </c>
      <c r="T1917" s="117">
        <v>0</v>
      </c>
      <c r="U1917" s="209" t="s">
        <v>786</v>
      </c>
    </row>
    <row r="1918" spans="1:21" x14ac:dyDescent="0.35">
      <c r="A1918" t="s">
        <v>20</v>
      </c>
      <c r="B1918" t="s">
        <v>21</v>
      </c>
      <c r="C1918" s="1">
        <v>45574</v>
      </c>
      <c r="D1918">
        <f t="shared" si="128"/>
        <v>9</v>
      </c>
      <c r="E1918">
        <f t="shared" si="129"/>
        <v>10</v>
      </c>
      <c r="F1918">
        <f t="shared" si="130"/>
        <v>2024</v>
      </c>
      <c r="G1918" t="s">
        <v>265</v>
      </c>
      <c r="H1918" s="98">
        <v>11376</v>
      </c>
      <c r="I1918" s="29">
        <v>106</v>
      </c>
      <c r="J1918" s="12" t="s">
        <v>31</v>
      </c>
      <c r="K1918" s="76">
        <f t="shared" si="131"/>
        <v>106</v>
      </c>
      <c r="L1918">
        <v>1</v>
      </c>
      <c r="M1918" s="29">
        <v>0</v>
      </c>
      <c r="N1918" t="s">
        <v>42</v>
      </c>
      <c r="O1918" t="s">
        <v>33</v>
      </c>
      <c r="P1918" t="s">
        <v>34</v>
      </c>
      <c r="Q1918" t="s">
        <v>34</v>
      </c>
      <c r="R1918" t="s">
        <v>34</v>
      </c>
      <c r="S1918" t="s">
        <v>34</v>
      </c>
      <c r="T1918" s="117">
        <v>0</v>
      </c>
    </row>
    <row r="1919" spans="1:21" x14ac:dyDescent="0.35">
      <c r="A1919" t="s">
        <v>20</v>
      </c>
      <c r="B1919" t="s">
        <v>21</v>
      </c>
      <c r="C1919" s="1">
        <v>45574</v>
      </c>
      <c r="D1919">
        <f t="shared" si="128"/>
        <v>9</v>
      </c>
      <c r="E1919">
        <f t="shared" si="129"/>
        <v>10</v>
      </c>
      <c r="F1919">
        <f t="shared" si="130"/>
        <v>2024</v>
      </c>
      <c r="G1919" t="s">
        <v>265</v>
      </c>
      <c r="H1919" s="98">
        <v>11375</v>
      </c>
      <c r="I1919" s="29">
        <v>2839.74</v>
      </c>
      <c r="J1919" s="12" t="s">
        <v>31</v>
      </c>
      <c r="K1919" s="76">
        <f t="shared" si="131"/>
        <v>2839.74</v>
      </c>
      <c r="L1919">
        <v>1</v>
      </c>
      <c r="M1919" s="29">
        <v>0</v>
      </c>
      <c r="N1919" t="s">
        <v>42</v>
      </c>
      <c r="O1919" t="s">
        <v>33</v>
      </c>
      <c r="P1919" t="s">
        <v>34</v>
      </c>
      <c r="Q1919" t="s">
        <v>34</v>
      </c>
      <c r="R1919" t="s">
        <v>34</v>
      </c>
      <c r="S1919" t="s">
        <v>34</v>
      </c>
      <c r="T1919" s="117">
        <v>0</v>
      </c>
    </row>
    <row r="1920" spans="1:21" x14ac:dyDescent="0.35">
      <c r="A1920" t="s">
        <v>20</v>
      </c>
      <c r="B1920" t="s">
        <v>21</v>
      </c>
      <c r="C1920" s="1">
        <v>45574</v>
      </c>
      <c r="D1920">
        <f t="shared" si="128"/>
        <v>9</v>
      </c>
      <c r="E1920">
        <f t="shared" si="129"/>
        <v>10</v>
      </c>
      <c r="F1920">
        <f t="shared" si="130"/>
        <v>2024</v>
      </c>
      <c r="G1920" t="s">
        <v>90</v>
      </c>
      <c r="H1920" s="98">
        <v>10693</v>
      </c>
      <c r="I1920" s="29">
        <v>67.260000000000005</v>
      </c>
      <c r="J1920" s="12" t="s">
        <v>31</v>
      </c>
      <c r="K1920" s="76">
        <f t="shared" si="131"/>
        <v>67.260000000000005</v>
      </c>
      <c r="L1920">
        <v>1</v>
      </c>
      <c r="M1920" s="29">
        <v>0</v>
      </c>
      <c r="N1920" t="s">
        <v>32</v>
      </c>
      <c r="O1920" t="s">
        <v>33</v>
      </c>
      <c r="P1920" t="s">
        <v>34</v>
      </c>
      <c r="Q1920" t="s">
        <v>34</v>
      </c>
      <c r="R1920" t="s">
        <v>34</v>
      </c>
      <c r="S1920" t="s">
        <v>34</v>
      </c>
      <c r="T1920" s="117">
        <v>0</v>
      </c>
    </row>
    <row r="1921" spans="1:21" x14ac:dyDescent="0.35">
      <c r="A1921" t="s">
        <v>20</v>
      </c>
      <c r="B1921" t="s">
        <v>21</v>
      </c>
      <c r="C1921" s="1">
        <v>45574</v>
      </c>
      <c r="D1921">
        <f t="shared" si="128"/>
        <v>9</v>
      </c>
      <c r="E1921">
        <f t="shared" si="129"/>
        <v>10</v>
      </c>
      <c r="F1921">
        <f t="shared" si="130"/>
        <v>2024</v>
      </c>
      <c r="G1921" t="s">
        <v>90</v>
      </c>
      <c r="H1921" s="98">
        <v>10874</v>
      </c>
      <c r="I1921" s="29">
        <v>13568.74</v>
      </c>
      <c r="J1921" s="12" t="s">
        <v>31</v>
      </c>
      <c r="K1921" s="76">
        <f t="shared" si="131"/>
        <v>13568.74</v>
      </c>
      <c r="L1921">
        <v>1</v>
      </c>
      <c r="M1921" s="29">
        <v>0</v>
      </c>
      <c r="N1921" t="s">
        <v>32</v>
      </c>
      <c r="O1921" t="s">
        <v>33</v>
      </c>
      <c r="P1921" t="s">
        <v>34</v>
      </c>
      <c r="Q1921" t="s">
        <v>34</v>
      </c>
      <c r="R1921" t="s">
        <v>34</v>
      </c>
      <c r="S1921" t="s">
        <v>34</v>
      </c>
      <c r="T1921" s="117">
        <v>0</v>
      </c>
    </row>
    <row r="1922" spans="1:21" x14ac:dyDescent="0.35">
      <c r="A1922" t="s">
        <v>20</v>
      </c>
      <c r="B1922" t="s">
        <v>24</v>
      </c>
      <c r="C1922" s="1">
        <v>45574</v>
      </c>
      <c r="D1922">
        <f t="shared" ref="D1922:D1985" si="132">DAY(C1922)</f>
        <v>9</v>
      </c>
      <c r="E1922">
        <f t="shared" ref="E1922:E1985" si="133">MONTH(C1922)</f>
        <v>10</v>
      </c>
      <c r="F1922">
        <f t="shared" ref="F1922:F1985" si="134">YEAR(C1922)</f>
        <v>2024</v>
      </c>
      <c r="G1922" t="s">
        <v>91</v>
      </c>
      <c r="H1922" s="98">
        <v>11102</v>
      </c>
      <c r="I1922" s="29">
        <v>305</v>
      </c>
      <c r="J1922" s="12" t="s">
        <v>31</v>
      </c>
      <c r="K1922" s="76">
        <f t="shared" si="131"/>
        <v>305</v>
      </c>
      <c r="L1922">
        <v>1</v>
      </c>
      <c r="M1922" s="29">
        <v>0</v>
      </c>
      <c r="N1922" t="s">
        <v>32</v>
      </c>
      <c r="O1922" t="s">
        <v>33</v>
      </c>
      <c r="P1922" t="s">
        <v>34</v>
      </c>
      <c r="Q1922" t="s">
        <v>34</v>
      </c>
      <c r="R1922" t="s">
        <v>34</v>
      </c>
      <c r="S1922" t="s">
        <v>34</v>
      </c>
      <c r="T1922" s="117">
        <v>0</v>
      </c>
    </row>
    <row r="1923" spans="1:21" x14ac:dyDescent="0.35">
      <c r="A1923" t="s">
        <v>20</v>
      </c>
      <c r="B1923" t="s">
        <v>21</v>
      </c>
      <c r="C1923" s="1">
        <v>45574</v>
      </c>
      <c r="D1923">
        <f t="shared" si="132"/>
        <v>9</v>
      </c>
      <c r="E1923">
        <f t="shared" si="133"/>
        <v>10</v>
      </c>
      <c r="F1923">
        <f t="shared" si="134"/>
        <v>2024</v>
      </c>
      <c r="G1923" t="s">
        <v>91</v>
      </c>
      <c r="H1923" s="98">
        <v>10930</v>
      </c>
      <c r="I1923" s="29">
        <v>106.08</v>
      </c>
      <c r="J1923" s="12" t="s">
        <v>31</v>
      </c>
      <c r="K1923" s="76">
        <f t="shared" si="131"/>
        <v>106.08</v>
      </c>
      <c r="L1923">
        <v>1</v>
      </c>
      <c r="M1923" s="29">
        <v>0</v>
      </c>
      <c r="N1923" t="s">
        <v>32</v>
      </c>
      <c r="O1923" t="s">
        <v>33</v>
      </c>
      <c r="P1923" t="s">
        <v>34</v>
      </c>
      <c r="Q1923" t="s">
        <v>34</v>
      </c>
      <c r="R1923" t="s">
        <v>34</v>
      </c>
      <c r="S1923" t="s">
        <v>34</v>
      </c>
      <c r="T1923" s="117">
        <v>0</v>
      </c>
    </row>
    <row r="1924" spans="1:21" x14ac:dyDescent="0.35">
      <c r="A1924" t="s">
        <v>20</v>
      </c>
      <c r="B1924" t="s">
        <v>21</v>
      </c>
      <c r="C1924" s="1">
        <v>45574</v>
      </c>
      <c r="D1924">
        <f t="shared" si="132"/>
        <v>9</v>
      </c>
      <c r="E1924">
        <f t="shared" si="133"/>
        <v>10</v>
      </c>
      <c r="F1924">
        <f t="shared" si="134"/>
        <v>2024</v>
      </c>
      <c r="G1924" t="s">
        <v>46</v>
      </c>
      <c r="H1924" s="98">
        <v>11402</v>
      </c>
      <c r="I1924" s="29">
        <v>61</v>
      </c>
      <c r="J1924" s="12" t="s">
        <v>31</v>
      </c>
      <c r="K1924" s="76">
        <f t="shared" si="131"/>
        <v>61</v>
      </c>
      <c r="L1924">
        <v>1</v>
      </c>
      <c r="M1924" s="29">
        <v>0</v>
      </c>
      <c r="N1924" t="s">
        <v>42</v>
      </c>
      <c r="O1924" t="s">
        <v>33</v>
      </c>
      <c r="P1924" t="s">
        <v>34</v>
      </c>
      <c r="Q1924" t="s">
        <v>34</v>
      </c>
      <c r="R1924" t="s">
        <v>34</v>
      </c>
      <c r="S1924" t="s">
        <v>34</v>
      </c>
      <c r="T1924" s="117">
        <v>0</v>
      </c>
    </row>
    <row r="1925" spans="1:21" x14ac:dyDescent="0.35">
      <c r="A1925" t="s">
        <v>20</v>
      </c>
      <c r="B1925" t="s">
        <v>21</v>
      </c>
      <c r="C1925" s="1">
        <v>45574</v>
      </c>
      <c r="D1925">
        <f t="shared" si="132"/>
        <v>9</v>
      </c>
      <c r="E1925">
        <f t="shared" si="133"/>
        <v>10</v>
      </c>
      <c r="F1925">
        <f t="shared" si="134"/>
        <v>2024</v>
      </c>
      <c r="G1925" t="s">
        <v>46</v>
      </c>
      <c r="H1925" s="98">
        <v>11519</v>
      </c>
      <c r="I1925" s="29">
        <v>1223.05</v>
      </c>
      <c r="J1925" s="12" t="s">
        <v>31</v>
      </c>
      <c r="K1925" s="76">
        <f t="shared" si="131"/>
        <v>1223.05</v>
      </c>
      <c r="L1925">
        <v>1</v>
      </c>
      <c r="M1925" s="29">
        <v>0</v>
      </c>
      <c r="N1925" t="s">
        <v>42</v>
      </c>
      <c r="O1925" t="s">
        <v>33</v>
      </c>
      <c r="P1925" t="s">
        <v>34</v>
      </c>
      <c r="Q1925" t="s">
        <v>34</v>
      </c>
      <c r="R1925" t="s">
        <v>34</v>
      </c>
      <c r="S1925" t="s">
        <v>34</v>
      </c>
      <c r="T1925" s="117">
        <v>0</v>
      </c>
      <c r="U1925" s="209" t="s">
        <v>788</v>
      </c>
    </row>
    <row r="1926" spans="1:21" x14ac:dyDescent="0.35">
      <c r="A1926" t="s">
        <v>19</v>
      </c>
      <c r="B1926" t="s">
        <v>19</v>
      </c>
      <c r="C1926" s="1">
        <v>45575</v>
      </c>
      <c r="D1926">
        <f t="shared" si="132"/>
        <v>10</v>
      </c>
      <c r="E1926">
        <f t="shared" si="133"/>
        <v>10</v>
      </c>
      <c r="F1926">
        <f t="shared" si="134"/>
        <v>2024</v>
      </c>
      <c r="G1926" t="s">
        <v>90</v>
      </c>
      <c r="H1926" s="98" t="s">
        <v>495</v>
      </c>
      <c r="I1926" s="29">
        <v>28717.93</v>
      </c>
      <c r="J1926" s="12" t="s">
        <v>31</v>
      </c>
      <c r="K1926" s="76">
        <f t="shared" si="131"/>
        <v>28717.93</v>
      </c>
      <c r="L1926">
        <v>1</v>
      </c>
      <c r="M1926" s="29">
        <v>0</v>
      </c>
      <c r="N1926" t="s">
        <v>32</v>
      </c>
      <c r="O1926" t="s">
        <v>33</v>
      </c>
      <c r="P1926" t="s">
        <v>34</v>
      </c>
      <c r="Q1926" t="s">
        <v>34</v>
      </c>
      <c r="R1926" t="s">
        <v>34</v>
      </c>
      <c r="S1926" t="s">
        <v>34</v>
      </c>
      <c r="T1926" s="117">
        <v>0</v>
      </c>
    </row>
    <row r="1927" spans="1:21" x14ac:dyDescent="0.35">
      <c r="A1927" t="s">
        <v>19</v>
      </c>
      <c r="B1927" t="s">
        <v>19</v>
      </c>
      <c r="C1927" s="1">
        <v>45575</v>
      </c>
      <c r="D1927">
        <f t="shared" si="132"/>
        <v>10</v>
      </c>
      <c r="E1927">
        <f t="shared" si="133"/>
        <v>10</v>
      </c>
      <c r="F1927">
        <f t="shared" si="134"/>
        <v>2024</v>
      </c>
      <c r="G1927" t="s">
        <v>213</v>
      </c>
      <c r="H1927" s="98" t="s">
        <v>544</v>
      </c>
      <c r="I1927" s="29">
        <v>112602.62</v>
      </c>
      <c r="J1927" s="12" t="s">
        <v>31</v>
      </c>
      <c r="K1927" s="76">
        <f t="shared" si="131"/>
        <v>112602.62</v>
      </c>
      <c r="L1927">
        <v>1</v>
      </c>
      <c r="M1927" s="29">
        <v>0</v>
      </c>
      <c r="N1927" t="s">
        <v>32</v>
      </c>
      <c r="O1927" t="s">
        <v>33</v>
      </c>
      <c r="P1927" t="s">
        <v>34</v>
      </c>
      <c r="Q1927" t="s">
        <v>34</v>
      </c>
      <c r="R1927" t="s">
        <v>34</v>
      </c>
      <c r="S1927" t="s">
        <v>34</v>
      </c>
      <c r="T1927" s="117">
        <v>0</v>
      </c>
    </row>
    <row r="1928" spans="1:21" x14ac:dyDescent="0.35">
      <c r="A1928" t="s">
        <v>19</v>
      </c>
      <c r="B1928" t="s">
        <v>19</v>
      </c>
      <c r="C1928" s="1">
        <v>45575</v>
      </c>
      <c r="D1928">
        <f t="shared" si="132"/>
        <v>10</v>
      </c>
      <c r="E1928">
        <f t="shared" si="133"/>
        <v>10</v>
      </c>
      <c r="F1928">
        <f t="shared" si="134"/>
        <v>2024</v>
      </c>
      <c r="G1928" t="s">
        <v>54</v>
      </c>
      <c r="H1928" s="98" t="s">
        <v>545</v>
      </c>
      <c r="I1928" s="29">
        <v>87357.91</v>
      </c>
      <c r="J1928" s="12" t="s">
        <v>31</v>
      </c>
      <c r="K1928" s="76">
        <f t="shared" si="131"/>
        <v>87357.91</v>
      </c>
      <c r="L1928">
        <v>1</v>
      </c>
      <c r="M1928" s="29">
        <v>0</v>
      </c>
      <c r="N1928" t="s">
        <v>32</v>
      </c>
      <c r="O1928" t="s">
        <v>33</v>
      </c>
      <c r="P1928" t="s">
        <v>34</v>
      </c>
      <c r="Q1928" t="s">
        <v>34</v>
      </c>
      <c r="R1928" t="s">
        <v>34</v>
      </c>
      <c r="S1928" t="s">
        <v>34</v>
      </c>
      <c r="T1928" s="117">
        <v>0</v>
      </c>
    </row>
    <row r="1929" spans="1:21" x14ac:dyDescent="0.35">
      <c r="A1929" t="s">
        <v>19</v>
      </c>
      <c r="B1929" t="s">
        <v>19</v>
      </c>
      <c r="C1929" s="1">
        <v>45575</v>
      </c>
      <c r="D1929">
        <f t="shared" si="132"/>
        <v>10</v>
      </c>
      <c r="E1929">
        <f t="shared" si="133"/>
        <v>10</v>
      </c>
      <c r="F1929">
        <f t="shared" si="134"/>
        <v>2024</v>
      </c>
      <c r="G1929" t="s">
        <v>56</v>
      </c>
      <c r="H1929" s="98" t="s">
        <v>568</v>
      </c>
      <c r="I1929" s="29">
        <v>117.02</v>
      </c>
      <c r="J1929" s="12" t="s">
        <v>31</v>
      </c>
      <c r="K1929" s="76">
        <f t="shared" si="131"/>
        <v>117.02</v>
      </c>
      <c r="L1929">
        <v>1</v>
      </c>
      <c r="M1929" s="29">
        <v>0</v>
      </c>
      <c r="N1929" t="s">
        <v>32</v>
      </c>
      <c r="O1929" t="s">
        <v>33</v>
      </c>
      <c r="P1929" t="s">
        <v>34</v>
      </c>
      <c r="Q1929" t="s">
        <v>34</v>
      </c>
      <c r="R1929" t="s">
        <v>34</v>
      </c>
      <c r="S1929" t="s">
        <v>34</v>
      </c>
      <c r="T1929" s="117">
        <v>0</v>
      </c>
    </row>
    <row r="1930" spans="1:21" x14ac:dyDescent="0.35">
      <c r="A1930" t="s">
        <v>19</v>
      </c>
      <c r="B1930" t="s">
        <v>19</v>
      </c>
      <c r="C1930" s="1">
        <v>45575</v>
      </c>
      <c r="D1930">
        <f t="shared" si="132"/>
        <v>10</v>
      </c>
      <c r="E1930">
        <f t="shared" si="133"/>
        <v>10</v>
      </c>
      <c r="F1930">
        <f t="shared" si="134"/>
        <v>2024</v>
      </c>
      <c r="G1930" t="s">
        <v>56</v>
      </c>
      <c r="H1930" s="98" t="s">
        <v>569</v>
      </c>
      <c r="I1930" s="29">
        <v>33.56</v>
      </c>
      <c r="J1930" s="12" t="s">
        <v>31</v>
      </c>
      <c r="K1930" s="76">
        <f t="shared" si="131"/>
        <v>33.56</v>
      </c>
      <c r="L1930">
        <v>1</v>
      </c>
      <c r="M1930" s="29">
        <v>0</v>
      </c>
      <c r="N1930" t="s">
        <v>32</v>
      </c>
      <c r="O1930" t="s">
        <v>33</v>
      </c>
      <c r="P1930" t="s">
        <v>34</v>
      </c>
      <c r="Q1930" t="s">
        <v>34</v>
      </c>
      <c r="R1930" t="s">
        <v>34</v>
      </c>
      <c r="S1930" t="s">
        <v>34</v>
      </c>
      <c r="T1930" s="117">
        <v>0</v>
      </c>
    </row>
    <row r="1931" spans="1:21" x14ac:dyDescent="0.35">
      <c r="A1931" t="s">
        <v>19</v>
      </c>
      <c r="B1931" t="s">
        <v>19</v>
      </c>
      <c r="C1931" s="1">
        <v>45575</v>
      </c>
      <c r="D1931">
        <f t="shared" si="132"/>
        <v>10</v>
      </c>
      <c r="E1931">
        <f t="shared" si="133"/>
        <v>10</v>
      </c>
      <c r="F1931">
        <f t="shared" si="134"/>
        <v>2024</v>
      </c>
      <c r="G1931" t="s">
        <v>56</v>
      </c>
      <c r="H1931" s="98" t="s">
        <v>570</v>
      </c>
      <c r="I1931" s="29">
        <v>1452.73</v>
      </c>
      <c r="J1931" s="12" t="s">
        <v>31</v>
      </c>
      <c r="K1931" s="76">
        <f t="shared" si="131"/>
        <v>1452.73</v>
      </c>
      <c r="L1931">
        <v>1</v>
      </c>
      <c r="M1931" s="29">
        <v>0</v>
      </c>
      <c r="N1931" t="s">
        <v>32</v>
      </c>
      <c r="O1931" t="s">
        <v>33</v>
      </c>
      <c r="P1931" t="s">
        <v>34</v>
      </c>
      <c r="Q1931" t="s">
        <v>34</v>
      </c>
      <c r="R1931" t="s">
        <v>34</v>
      </c>
      <c r="S1931" t="s">
        <v>34</v>
      </c>
      <c r="T1931" s="117">
        <v>0</v>
      </c>
    </row>
    <row r="1932" spans="1:21" x14ac:dyDescent="0.35">
      <c r="A1932" t="s">
        <v>19</v>
      </c>
      <c r="B1932" t="s">
        <v>19</v>
      </c>
      <c r="C1932" s="1">
        <v>45575</v>
      </c>
      <c r="D1932">
        <f t="shared" si="132"/>
        <v>10</v>
      </c>
      <c r="E1932">
        <f t="shared" si="133"/>
        <v>10</v>
      </c>
      <c r="F1932">
        <f t="shared" si="134"/>
        <v>2024</v>
      </c>
      <c r="G1932" t="s">
        <v>56</v>
      </c>
      <c r="H1932" s="98" t="s">
        <v>571</v>
      </c>
      <c r="I1932" s="29">
        <v>176567.72</v>
      </c>
      <c r="J1932" s="12" t="s">
        <v>31</v>
      </c>
      <c r="K1932" s="76">
        <f t="shared" si="131"/>
        <v>176567.72</v>
      </c>
      <c r="L1932">
        <v>1</v>
      </c>
      <c r="M1932" s="29">
        <v>0</v>
      </c>
      <c r="N1932" t="s">
        <v>32</v>
      </c>
      <c r="O1932" t="s">
        <v>33</v>
      </c>
      <c r="P1932" t="s">
        <v>34</v>
      </c>
      <c r="Q1932" t="s">
        <v>34</v>
      </c>
      <c r="R1932" t="s">
        <v>34</v>
      </c>
      <c r="S1932" t="s">
        <v>34</v>
      </c>
      <c r="T1932" s="117">
        <v>0</v>
      </c>
    </row>
    <row r="1933" spans="1:21" x14ac:dyDescent="0.35">
      <c r="A1933" t="s">
        <v>20</v>
      </c>
      <c r="B1933" t="s">
        <v>21</v>
      </c>
      <c r="C1933" s="1">
        <v>45575</v>
      </c>
      <c r="D1933">
        <f t="shared" si="132"/>
        <v>10</v>
      </c>
      <c r="E1933">
        <f t="shared" si="133"/>
        <v>10</v>
      </c>
      <c r="F1933">
        <f t="shared" si="134"/>
        <v>2024</v>
      </c>
      <c r="G1933" t="s">
        <v>299</v>
      </c>
      <c r="H1933" s="98">
        <v>11452</v>
      </c>
      <c r="I1933" s="29">
        <v>7367.43</v>
      </c>
      <c r="J1933" s="12" t="s">
        <v>31</v>
      </c>
      <c r="K1933" s="76">
        <f t="shared" si="131"/>
        <v>7367.43</v>
      </c>
      <c r="L1933">
        <v>1</v>
      </c>
      <c r="M1933" s="29">
        <v>0</v>
      </c>
      <c r="N1933" t="s">
        <v>42</v>
      </c>
      <c r="O1933" t="s">
        <v>33</v>
      </c>
      <c r="P1933" t="s">
        <v>34</v>
      </c>
      <c r="Q1933" t="s">
        <v>34</v>
      </c>
      <c r="R1933" t="s">
        <v>34</v>
      </c>
      <c r="S1933" t="s">
        <v>34</v>
      </c>
      <c r="T1933" s="117">
        <v>0</v>
      </c>
    </row>
    <row r="1934" spans="1:21" x14ac:dyDescent="0.35">
      <c r="A1934" t="s">
        <v>20</v>
      </c>
      <c r="B1934" t="s">
        <v>21</v>
      </c>
      <c r="C1934" s="1">
        <v>45575</v>
      </c>
      <c r="D1934">
        <f t="shared" si="132"/>
        <v>10</v>
      </c>
      <c r="E1934">
        <f t="shared" si="133"/>
        <v>10</v>
      </c>
      <c r="F1934">
        <f t="shared" si="134"/>
        <v>2024</v>
      </c>
      <c r="G1934" t="s">
        <v>299</v>
      </c>
      <c r="H1934" s="98">
        <v>11454</v>
      </c>
      <c r="I1934" s="29">
        <v>2337.5100000000002</v>
      </c>
      <c r="J1934" s="12" t="s">
        <v>31</v>
      </c>
      <c r="K1934" s="76">
        <f t="shared" si="131"/>
        <v>2337.5100000000002</v>
      </c>
      <c r="L1934">
        <v>1</v>
      </c>
      <c r="M1934" s="29">
        <v>0</v>
      </c>
      <c r="N1934" t="s">
        <v>42</v>
      </c>
      <c r="O1934" t="s">
        <v>33</v>
      </c>
      <c r="P1934" t="s">
        <v>34</v>
      </c>
      <c r="Q1934" t="s">
        <v>34</v>
      </c>
      <c r="R1934" t="s">
        <v>34</v>
      </c>
      <c r="S1934" t="s">
        <v>34</v>
      </c>
      <c r="T1934" s="117">
        <v>0</v>
      </c>
    </row>
    <row r="1935" spans="1:21" x14ac:dyDescent="0.35">
      <c r="A1935" t="s">
        <v>20</v>
      </c>
      <c r="B1935" t="s">
        <v>21</v>
      </c>
      <c r="C1935" s="1">
        <v>45575</v>
      </c>
      <c r="D1935">
        <f t="shared" si="132"/>
        <v>10</v>
      </c>
      <c r="E1935">
        <f t="shared" si="133"/>
        <v>10</v>
      </c>
      <c r="F1935">
        <f t="shared" si="134"/>
        <v>2024</v>
      </c>
      <c r="G1935" t="s">
        <v>299</v>
      </c>
      <c r="H1935" s="98">
        <v>12090</v>
      </c>
      <c r="I1935" s="29">
        <v>1246.2</v>
      </c>
      <c r="J1935" s="12" t="s">
        <v>31</v>
      </c>
      <c r="K1935" s="76">
        <f t="shared" si="131"/>
        <v>1246.2</v>
      </c>
      <c r="L1935">
        <v>1</v>
      </c>
      <c r="M1935" s="29">
        <v>0</v>
      </c>
      <c r="N1935" t="s">
        <v>42</v>
      </c>
      <c r="O1935" t="s">
        <v>33</v>
      </c>
      <c r="P1935" t="s">
        <v>34</v>
      </c>
      <c r="Q1935" t="s">
        <v>34</v>
      </c>
      <c r="R1935" t="s">
        <v>34</v>
      </c>
      <c r="S1935" t="s">
        <v>34</v>
      </c>
      <c r="T1935" s="117">
        <v>0</v>
      </c>
      <c r="U1935" s="209">
        <v>11456</v>
      </c>
    </row>
    <row r="1936" spans="1:21" x14ac:dyDescent="0.35">
      <c r="A1936" t="s">
        <v>20</v>
      </c>
      <c r="B1936" t="s">
        <v>21</v>
      </c>
      <c r="C1936" s="1">
        <v>45575</v>
      </c>
      <c r="D1936">
        <f t="shared" si="132"/>
        <v>10</v>
      </c>
      <c r="E1936">
        <f t="shared" si="133"/>
        <v>10</v>
      </c>
      <c r="F1936">
        <f t="shared" si="134"/>
        <v>2024</v>
      </c>
      <c r="G1936" t="s">
        <v>299</v>
      </c>
      <c r="H1936" s="98">
        <v>11453</v>
      </c>
      <c r="I1936" s="29">
        <v>3094.68</v>
      </c>
      <c r="J1936" s="12" t="s">
        <v>31</v>
      </c>
      <c r="K1936" s="76">
        <f t="shared" si="131"/>
        <v>3094.68</v>
      </c>
      <c r="L1936">
        <v>1</v>
      </c>
      <c r="M1936" s="29">
        <v>0</v>
      </c>
      <c r="N1936" t="s">
        <v>42</v>
      </c>
      <c r="O1936" t="s">
        <v>33</v>
      </c>
      <c r="P1936" t="s">
        <v>34</v>
      </c>
      <c r="Q1936" t="s">
        <v>34</v>
      </c>
      <c r="R1936" t="s">
        <v>34</v>
      </c>
      <c r="S1936" t="s">
        <v>34</v>
      </c>
      <c r="T1936" s="117">
        <v>0</v>
      </c>
    </row>
    <row r="1937" spans="1:21" x14ac:dyDescent="0.35">
      <c r="A1937" t="s">
        <v>19</v>
      </c>
      <c r="B1937" t="s">
        <v>19</v>
      </c>
      <c r="C1937" s="1">
        <v>45576</v>
      </c>
      <c r="D1937">
        <f t="shared" si="132"/>
        <v>11</v>
      </c>
      <c r="E1937">
        <f t="shared" si="133"/>
        <v>10</v>
      </c>
      <c r="F1937">
        <f t="shared" si="134"/>
        <v>2024</v>
      </c>
      <c r="G1937" t="s">
        <v>59</v>
      </c>
      <c r="H1937" s="98" t="s">
        <v>572</v>
      </c>
      <c r="I1937" s="29">
        <v>124045.63</v>
      </c>
      <c r="J1937" s="12" t="s">
        <v>31</v>
      </c>
      <c r="K1937" s="76">
        <f t="shared" si="131"/>
        <v>124045.63</v>
      </c>
      <c r="L1937">
        <v>1</v>
      </c>
      <c r="M1937" s="29">
        <v>0</v>
      </c>
      <c r="N1937" t="s">
        <v>32</v>
      </c>
      <c r="O1937" t="s">
        <v>33</v>
      </c>
      <c r="P1937" t="s">
        <v>34</v>
      </c>
      <c r="Q1937" t="s">
        <v>34</v>
      </c>
      <c r="R1937" t="s">
        <v>34</v>
      </c>
      <c r="S1937" t="s">
        <v>34</v>
      </c>
      <c r="T1937" s="117">
        <v>0</v>
      </c>
    </row>
    <row r="1938" spans="1:21" x14ac:dyDescent="0.35">
      <c r="A1938" t="s">
        <v>19</v>
      </c>
      <c r="B1938" t="s">
        <v>19</v>
      </c>
      <c r="C1938" s="1">
        <v>45576</v>
      </c>
      <c r="D1938">
        <f t="shared" si="132"/>
        <v>11</v>
      </c>
      <c r="E1938">
        <f t="shared" si="133"/>
        <v>10</v>
      </c>
      <c r="F1938">
        <f t="shared" si="134"/>
        <v>2024</v>
      </c>
      <c r="G1938" t="s">
        <v>57</v>
      </c>
      <c r="H1938" s="171" t="s">
        <v>573</v>
      </c>
      <c r="I1938" s="90">
        <v>113620.97</v>
      </c>
      <c r="J1938" s="12" t="s">
        <v>31</v>
      </c>
      <c r="K1938" s="76">
        <f t="shared" si="131"/>
        <v>113620.97</v>
      </c>
      <c r="L1938">
        <v>1</v>
      </c>
      <c r="M1938" s="29">
        <v>0</v>
      </c>
      <c r="N1938" t="s">
        <v>32</v>
      </c>
      <c r="O1938" t="s">
        <v>33</v>
      </c>
      <c r="P1938" t="s">
        <v>34</v>
      </c>
      <c r="Q1938" t="s">
        <v>34</v>
      </c>
      <c r="R1938" t="s">
        <v>34</v>
      </c>
      <c r="S1938" t="s">
        <v>34</v>
      </c>
      <c r="T1938" s="117">
        <v>0</v>
      </c>
    </row>
    <row r="1939" spans="1:21" x14ac:dyDescent="0.35">
      <c r="A1939" t="s">
        <v>19</v>
      </c>
      <c r="B1939" t="s">
        <v>19</v>
      </c>
      <c r="C1939" s="1">
        <v>45576</v>
      </c>
      <c r="D1939">
        <f t="shared" si="132"/>
        <v>11</v>
      </c>
      <c r="E1939">
        <f t="shared" si="133"/>
        <v>10</v>
      </c>
      <c r="F1939">
        <f t="shared" si="134"/>
        <v>2024</v>
      </c>
      <c r="G1939" t="s">
        <v>56</v>
      </c>
      <c r="H1939" s="98" t="s">
        <v>511</v>
      </c>
      <c r="I1939" s="29">
        <v>56922.21</v>
      </c>
      <c r="J1939" s="12" t="s">
        <v>31</v>
      </c>
      <c r="K1939" s="76">
        <f t="shared" ref="K1939:K2002" si="135">IF(J1939="USD",I1939,I1939*L1939)</f>
        <v>56922.21</v>
      </c>
      <c r="L1939">
        <v>1</v>
      </c>
      <c r="M1939" s="29">
        <v>0</v>
      </c>
      <c r="N1939" t="s">
        <v>32</v>
      </c>
      <c r="O1939" t="s">
        <v>33</v>
      </c>
      <c r="P1939" t="s">
        <v>34</v>
      </c>
      <c r="Q1939" t="s">
        <v>34</v>
      </c>
      <c r="R1939" t="s">
        <v>34</v>
      </c>
      <c r="S1939" t="s">
        <v>34</v>
      </c>
      <c r="T1939" s="117">
        <v>0</v>
      </c>
    </row>
    <row r="1940" spans="1:21" x14ac:dyDescent="0.35">
      <c r="A1940" t="s">
        <v>19</v>
      </c>
      <c r="B1940" t="s">
        <v>19</v>
      </c>
      <c r="C1940" s="1">
        <v>45576</v>
      </c>
      <c r="D1940">
        <f t="shared" si="132"/>
        <v>11</v>
      </c>
      <c r="E1940">
        <f t="shared" si="133"/>
        <v>10</v>
      </c>
      <c r="F1940">
        <f t="shared" si="134"/>
        <v>2024</v>
      </c>
      <c r="G1940" t="s">
        <v>56</v>
      </c>
      <c r="H1940" s="98" t="s">
        <v>574</v>
      </c>
      <c r="I1940" s="29">
        <v>173526.57</v>
      </c>
      <c r="J1940" s="12" t="s">
        <v>31</v>
      </c>
      <c r="K1940" s="76">
        <f t="shared" si="135"/>
        <v>173526.57</v>
      </c>
      <c r="L1940">
        <v>1</v>
      </c>
      <c r="M1940" s="29">
        <v>0</v>
      </c>
      <c r="N1940" t="s">
        <v>32</v>
      </c>
      <c r="O1940" t="s">
        <v>33</v>
      </c>
      <c r="P1940" t="s">
        <v>34</v>
      </c>
      <c r="Q1940" t="s">
        <v>34</v>
      </c>
      <c r="R1940" t="s">
        <v>34</v>
      </c>
      <c r="S1940" t="s">
        <v>34</v>
      </c>
      <c r="T1940" s="117">
        <v>0</v>
      </c>
    </row>
    <row r="1941" spans="1:21" x14ac:dyDescent="0.35">
      <c r="A1941" t="s">
        <v>19</v>
      </c>
      <c r="B1941" t="s">
        <v>26</v>
      </c>
      <c r="C1941" s="1">
        <v>45576</v>
      </c>
      <c r="D1941">
        <f t="shared" si="132"/>
        <v>11</v>
      </c>
      <c r="E1941">
        <f t="shared" si="133"/>
        <v>10</v>
      </c>
      <c r="F1941">
        <f t="shared" si="134"/>
        <v>2024</v>
      </c>
      <c r="G1941" t="s">
        <v>73</v>
      </c>
      <c r="H1941" s="98">
        <v>11249</v>
      </c>
      <c r="I1941" s="29">
        <v>55209.9</v>
      </c>
      <c r="J1941" s="12" t="s">
        <v>51</v>
      </c>
      <c r="K1941" s="76">
        <f t="shared" si="135"/>
        <v>60565.260300000002</v>
      </c>
      <c r="L1941">
        <v>1.097</v>
      </c>
      <c r="M1941" s="29">
        <v>0</v>
      </c>
      <c r="N1941" t="s">
        <v>32</v>
      </c>
      <c r="O1941" t="s">
        <v>33</v>
      </c>
      <c r="P1941" t="s">
        <v>34</v>
      </c>
      <c r="Q1941" t="s">
        <v>34</v>
      </c>
      <c r="R1941" t="s">
        <v>34</v>
      </c>
      <c r="S1941" t="s">
        <v>34</v>
      </c>
      <c r="T1941" s="117">
        <v>0</v>
      </c>
      <c r="U1941" s="209" t="s">
        <v>94</v>
      </c>
    </row>
    <row r="1942" spans="1:21" x14ac:dyDescent="0.35">
      <c r="A1942" t="s">
        <v>19</v>
      </c>
      <c r="B1942" t="s">
        <v>26</v>
      </c>
      <c r="C1942" s="1">
        <v>45576</v>
      </c>
      <c r="D1942">
        <f t="shared" si="132"/>
        <v>11</v>
      </c>
      <c r="E1942">
        <f t="shared" si="133"/>
        <v>10</v>
      </c>
      <c r="F1942">
        <f t="shared" si="134"/>
        <v>2024</v>
      </c>
      <c r="G1942" t="s">
        <v>73</v>
      </c>
      <c r="H1942" s="98">
        <v>11276</v>
      </c>
      <c r="I1942" s="29">
        <v>73376.639999999999</v>
      </c>
      <c r="J1942" s="12" t="s">
        <v>51</v>
      </c>
      <c r="K1942" s="76">
        <f t="shared" si="135"/>
        <v>80494.174079999997</v>
      </c>
      <c r="L1942">
        <v>1.097</v>
      </c>
      <c r="M1942" s="29">
        <v>0</v>
      </c>
      <c r="N1942" t="s">
        <v>32</v>
      </c>
      <c r="O1942" t="s">
        <v>33</v>
      </c>
      <c r="P1942" t="s">
        <v>34</v>
      </c>
      <c r="Q1942" t="s">
        <v>34</v>
      </c>
      <c r="R1942" t="s">
        <v>34</v>
      </c>
      <c r="S1942" t="s">
        <v>34</v>
      </c>
      <c r="T1942" s="117">
        <v>0</v>
      </c>
      <c r="U1942" s="209" t="s">
        <v>94</v>
      </c>
    </row>
    <row r="1943" spans="1:21" x14ac:dyDescent="0.35">
      <c r="A1943" t="s">
        <v>19</v>
      </c>
      <c r="B1943" t="s">
        <v>26</v>
      </c>
      <c r="C1943" s="1">
        <v>45576</v>
      </c>
      <c r="D1943">
        <f t="shared" si="132"/>
        <v>11</v>
      </c>
      <c r="E1943">
        <f t="shared" si="133"/>
        <v>10</v>
      </c>
      <c r="F1943">
        <f t="shared" si="134"/>
        <v>2024</v>
      </c>
      <c r="G1943" t="s">
        <v>73</v>
      </c>
      <c r="H1943" s="98">
        <v>11280</v>
      </c>
      <c r="I1943" s="29">
        <v>1128.8800000000001</v>
      </c>
      <c r="J1943" s="12" t="s">
        <v>51</v>
      </c>
      <c r="K1943" s="76">
        <f t="shared" si="135"/>
        <v>1238.3813600000001</v>
      </c>
      <c r="L1943">
        <v>1.097</v>
      </c>
      <c r="M1943" s="29">
        <v>0</v>
      </c>
      <c r="N1943" t="s">
        <v>32</v>
      </c>
      <c r="O1943" t="s">
        <v>33</v>
      </c>
      <c r="P1943" t="s">
        <v>34</v>
      </c>
      <c r="Q1943" t="s">
        <v>34</v>
      </c>
      <c r="R1943" t="s">
        <v>34</v>
      </c>
      <c r="S1943" t="s">
        <v>34</v>
      </c>
      <c r="T1943" s="117">
        <v>0</v>
      </c>
      <c r="U1943" s="209" t="s">
        <v>94</v>
      </c>
    </row>
    <row r="1944" spans="1:21" x14ac:dyDescent="0.35">
      <c r="A1944" t="s">
        <v>19</v>
      </c>
      <c r="B1944" t="s">
        <v>26</v>
      </c>
      <c r="C1944" s="1">
        <v>45576</v>
      </c>
      <c r="D1944">
        <f t="shared" si="132"/>
        <v>11</v>
      </c>
      <c r="E1944">
        <f t="shared" si="133"/>
        <v>10</v>
      </c>
      <c r="F1944">
        <f t="shared" si="134"/>
        <v>2024</v>
      </c>
      <c r="G1944" t="s">
        <v>187</v>
      </c>
      <c r="H1944" s="98">
        <v>0</v>
      </c>
      <c r="I1944" s="29">
        <v>23396.5</v>
      </c>
      <c r="J1944" s="12" t="s">
        <v>51</v>
      </c>
      <c r="K1944" s="76">
        <f t="shared" si="135"/>
        <v>25665.960500000001</v>
      </c>
      <c r="L1944">
        <v>1.097</v>
      </c>
      <c r="M1944" s="29">
        <v>0</v>
      </c>
      <c r="N1944" t="s">
        <v>32</v>
      </c>
      <c r="O1944" t="s">
        <v>33</v>
      </c>
      <c r="P1944" t="s">
        <v>34</v>
      </c>
      <c r="Q1944" t="s">
        <v>34</v>
      </c>
      <c r="R1944" t="s">
        <v>34</v>
      </c>
      <c r="S1944" t="s">
        <v>34</v>
      </c>
      <c r="T1944" s="117">
        <v>0</v>
      </c>
      <c r="U1944" s="209" t="s">
        <v>94</v>
      </c>
    </row>
    <row r="1945" spans="1:21" x14ac:dyDescent="0.35">
      <c r="A1945" t="s">
        <v>19</v>
      </c>
      <c r="B1945" t="s">
        <v>23</v>
      </c>
      <c r="C1945" s="1">
        <v>45581</v>
      </c>
      <c r="D1945">
        <f t="shared" si="132"/>
        <v>16</v>
      </c>
      <c r="E1945">
        <f t="shared" si="133"/>
        <v>10</v>
      </c>
      <c r="F1945">
        <f t="shared" si="134"/>
        <v>2024</v>
      </c>
      <c r="G1945" t="s">
        <v>74</v>
      </c>
      <c r="H1945" s="98">
        <v>10467</v>
      </c>
      <c r="I1945" s="29">
        <v>68050.45</v>
      </c>
      <c r="J1945" s="12" t="s">
        <v>31</v>
      </c>
      <c r="K1945" s="76">
        <f t="shared" si="135"/>
        <v>68050.45</v>
      </c>
      <c r="L1945">
        <v>1</v>
      </c>
      <c r="M1945" s="29">
        <v>0</v>
      </c>
      <c r="N1945" t="s">
        <v>32</v>
      </c>
      <c r="O1945" t="s">
        <v>33</v>
      </c>
      <c r="P1945" t="s">
        <v>34</v>
      </c>
      <c r="Q1945" t="s">
        <v>34</v>
      </c>
      <c r="R1945" t="s">
        <v>34</v>
      </c>
      <c r="S1945" t="s">
        <v>34</v>
      </c>
      <c r="T1945" s="117">
        <v>0</v>
      </c>
    </row>
    <row r="1946" spans="1:21" x14ac:dyDescent="0.35">
      <c r="A1946" t="s">
        <v>19</v>
      </c>
      <c r="B1946" t="s">
        <v>23</v>
      </c>
      <c r="C1946" s="1">
        <v>45581</v>
      </c>
      <c r="D1946">
        <f t="shared" si="132"/>
        <v>16</v>
      </c>
      <c r="E1946">
        <f t="shared" si="133"/>
        <v>10</v>
      </c>
      <c r="F1946">
        <f t="shared" si="134"/>
        <v>2024</v>
      </c>
      <c r="G1946" t="s">
        <v>76</v>
      </c>
      <c r="H1946" s="98">
        <v>11427</v>
      </c>
      <c r="I1946" s="29">
        <v>3046.4</v>
      </c>
      <c r="J1946" s="12" t="s">
        <v>31</v>
      </c>
      <c r="K1946" s="76">
        <f t="shared" si="135"/>
        <v>3046.4</v>
      </c>
      <c r="L1946">
        <v>1</v>
      </c>
      <c r="M1946" s="29">
        <v>0</v>
      </c>
      <c r="N1946" t="s">
        <v>42</v>
      </c>
      <c r="O1946" t="s">
        <v>33</v>
      </c>
      <c r="P1946" t="s">
        <v>34</v>
      </c>
      <c r="Q1946" t="s">
        <v>34</v>
      </c>
      <c r="R1946" t="s">
        <v>34</v>
      </c>
      <c r="S1946" t="s">
        <v>34</v>
      </c>
      <c r="T1946" s="117">
        <v>0</v>
      </c>
    </row>
    <row r="1947" spans="1:21" x14ac:dyDescent="0.35">
      <c r="A1947" t="s">
        <v>19</v>
      </c>
      <c r="B1947" t="s">
        <v>25</v>
      </c>
      <c r="C1947" s="1">
        <v>45581</v>
      </c>
      <c r="D1947">
        <f t="shared" si="132"/>
        <v>16</v>
      </c>
      <c r="E1947">
        <f t="shared" si="133"/>
        <v>10</v>
      </c>
      <c r="F1947">
        <f t="shared" si="134"/>
        <v>2024</v>
      </c>
      <c r="G1947" t="s">
        <v>78</v>
      </c>
      <c r="H1947" s="98">
        <v>11458</v>
      </c>
      <c r="I1947" s="29">
        <v>40597.5</v>
      </c>
      <c r="J1947" s="12" t="s">
        <v>51</v>
      </c>
      <c r="K1947" s="76">
        <f t="shared" si="135"/>
        <v>44210.677499999998</v>
      </c>
      <c r="L1947">
        <v>1.089</v>
      </c>
      <c r="M1947" s="29">
        <v>0</v>
      </c>
      <c r="N1947" t="s">
        <v>42</v>
      </c>
      <c r="O1947" t="s">
        <v>33</v>
      </c>
      <c r="P1947" t="s">
        <v>34</v>
      </c>
      <c r="Q1947" t="s">
        <v>34</v>
      </c>
      <c r="R1947" t="s">
        <v>34</v>
      </c>
      <c r="S1947" t="s">
        <v>34</v>
      </c>
      <c r="T1947" s="117">
        <v>0</v>
      </c>
      <c r="U1947" s="209" t="s">
        <v>94</v>
      </c>
    </row>
    <row r="1948" spans="1:21" x14ac:dyDescent="0.35">
      <c r="A1948" t="s">
        <v>19</v>
      </c>
      <c r="B1948" t="s">
        <v>25</v>
      </c>
      <c r="C1948" s="1">
        <v>45581</v>
      </c>
      <c r="D1948">
        <f t="shared" si="132"/>
        <v>16</v>
      </c>
      <c r="E1948">
        <f t="shared" si="133"/>
        <v>10</v>
      </c>
      <c r="F1948">
        <f t="shared" si="134"/>
        <v>2024</v>
      </c>
      <c r="G1948" t="s">
        <v>93</v>
      </c>
      <c r="H1948" s="98">
        <v>10663</v>
      </c>
      <c r="I1948" s="90">
        <v>18967.41</v>
      </c>
      <c r="J1948" s="12" t="s">
        <v>31</v>
      </c>
      <c r="K1948" s="76">
        <f t="shared" si="135"/>
        <v>18967.41</v>
      </c>
      <c r="L1948">
        <v>1</v>
      </c>
      <c r="M1948" s="29">
        <v>0</v>
      </c>
      <c r="N1948" t="s">
        <v>32</v>
      </c>
      <c r="O1948" t="s">
        <v>33</v>
      </c>
      <c r="P1948" t="s">
        <v>34</v>
      </c>
      <c r="Q1948" t="s">
        <v>34</v>
      </c>
      <c r="R1948" t="s">
        <v>34</v>
      </c>
      <c r="S1948" t="s">
        <v>34</v>
      </c>
      <c r="T1948" s="117">
        <v>0</v>
      </c>
    </row>
    <row r="1949" spans="1:21" x14ac:dyDescent="0.35">
      <c r="A1949" t="s">
        <v>19</v>
      </c>
      <c r="B1949" t="s">
        <v>25</v>
      </c>
      <c r="C1949" s="1">
        <v>45581</v>
      </c>
      <c r="D1949">
        <f t="shared" si="132"/>
        <v>16</v>
      </c>
      <c r="E1949">
        <f t="shared" si="133"/>
        <v>10</v>
      </c>
      <c r="F1949">
        <f t="shared" si="134"/>
        <v>2024</v>
      </c>
      <c r="G1949" t="s">
        <v>285</v>
      </c>
      <c r="H1949" s="98">
        <v>11465</v>
      </c>
      <c r="I1949" s="29">
        <v>21.21</v>
      </c>
      <c r="J1949" s="12" t="s">
        <v>31</v>
      </c>
      <c r="K1949" s="76">
        <f t="shared" si="135"/>
        <v>21.21</v>
      </c>
      <c r="L1949">
        <v>1</v>
      </c>
      <c r="M1949" s="29">
        <v>0</v>
      </c>
      <c r="N1949" t="s">
        <v>42</v>
      </c>
      <c r="O1949" t="s">
        <v>33</v>
      </c>
      <c r="P1949" t="s">
        <v>34</v>
      </c>
      <c r="Q1949" t="s">
        <v>34</v>
      </c>
      <c r="R1949" t="s">
        <v>34</v>
      </c>
      <c r="S1949" t="s">
        <v>34</v>
      </c>
      <c r="T1949" s="117">
        <v>0</v>
      </c>
    </row>
    <row r="1950" spans="1:21" x14ac:dyDescent="0.35">
      <c r="A1950" t="s">
        <v>19</v>
      </c>
      <c r="B1950" t="s">
        <v>25</v>
      </c>
      <c r="C1950" s="1">
        <v>45581</v>
      </c>
      <c r="D1950">
        <f t="shared" si="132"/>
        <v>16</v>
      </c>
      <c r="E1950">
        <f t="shared" si="133"/>
        <v>10</v>
      </c>
      <c r="F1950">
        <f t="shared" si="134"/>
        <v>2024</v>
      </c>
      <c r="G1950" t="s">
        <v>285</v>
      </c>
      <c r="H1950" s="98">
        <v>11212</v>
      </c>
      <c r="I1950" s="29">
        <v>1590.75</v>
      </c>
      <c r="J1950" s="12" t="s">
        <v>31</v>
      </c>
      <c r="K1950" s="76">
        <f t="shared" si="135"/>
        <v>1590.75</v>
      </c>
      <c r="L1950">
        <v>1</v>
      </c>
      <c r="M1950" s="29">
        <v>0</v>
      </c>
      <c r="N1950" t="s">
        <v>42</v>
      </c>
      <c r="O1950" t="s">
        <v>33</v>
      </c>
      <c r="P1950" t="s">
        <v>34</v>
      </c>
      <c r="Q1950" t="s">
        <v>34</v>
      </c>
      <c r="R1950" t="s">
        <v>34</v>
      </c>
      <c r="S1950" t="s">
        <v>34</v>
      </c>
      <c r="T1950" s="117">
        <v>0</v>
      </c>
    </row>
    <row r="1951" spans="1:21" x14ac:dyDescent="0.35">
      <c r="A1951" t="s">
        <v>20</v>
      </c>
      <c r="B1951" t="s">
        <v>25</v>
      </c>
      <c r="C1951" s="1">
        <v>45581</v>
      </c>
      <c r="D1951">
        <f t="shared" si="132"/>
        <v>16</v>
      </c>
      <c r="E1951">
        <f t="shared" si="133"/>
        <v>10</v>
      </c>
      <c r="F1951">
        <f t="shared" si="134"/>
        <v>2024</v>
      </c>
      <c r="G1951" t="s">
        <v>81</v>
      </c>
      <c r="H1951" s="98">
        <v>11166</v>
      </c>
      <c r="I1951" s="29">
        <v>201.15</v>
      </c>
      <c r="J1951" s="12" t="s">
        <v>31</v>
      </c>
      <c r="K1951" s="76">
        <f t="shared" si="135"/>
        <v>201.15</v>
      </c>
      <c r="L1951">
        <v>1</v>
      </c>
      <c r="M1951" s="29">
        <v>0</v>
      </c>
      <c r="N1951" t="s">
        <v>32</v>
      </c>
      <c r="O1951" t="s">
        <v>33</v>
      </c>
      <c r="P1951" t="s">
        <v>34</v>
      </c>
      <c r="Q1951" t="s">
        <v>34</v>
      </c>
      <c r="R1951" t="s">
        <v>34</v>
      </c>
      <c r="S1951" t="s">
        <v>34</v>
      </c>
      <c r="T1951" s="117">
        <v>0</v>
      </c>
      <c r="U1951" s="209" t="s">
        <v>720</v>
      </c>
    </row>
    <row r="1952" spans="1:21" x14ac:dyDescent="0.35">
      <c r="A1952" t="s">
        <v>20</v>
      </c>
      <c r="B1952" t="s">
        <v>25</v>
      </c>
      <c r="C1952" s="1">
        <v>45581</v>
      </c>
      <c r="D1952">
        <f t="shared" si="132"/>
        <v>16</v>
      </c>
      <c r="E1952">
        <f t="shared" si="133"/>
        <v>10</v>
      </c>
      <c r="F1952">
        <f t="shared" si="134"/>
        <v>2024</v>
      </c>
      <c r="G1952" t="s">
        <v>81</v>
      </c>
      <c r="H1952" s="98">
        <v>11297</v>
      </c>
      <c r="I1952" s="29">
        <v>75405.119999999995</v>
      </c>
      <c r="J1952" s="12" t="s">
        <v>31</v>
      </c>
      <c r="K1952" s="76">
        <f t="shared" si="135"/>
        <v>75405.119999999995</v>
      </c>
      <c r="L1952">
        <v>1</v>
      </c>
      <c r="M1952" s="29">
        <v>0</v>
      </c>
      <c r="N1952" t="s">
        <v>32</v>
      </c>
      <c r="O1952" t="s">
        <v>33</v>
      </c>
      <c r="P1952" t="s">
        <v>34</v>
      </c>
      <c r="Q1952" t="s">
        <v>34</v>
      </c>
      <c r="R1952" t="s">
        <v>34</v>
      </c>
      <c r="S1952" t="s">
        <v>34</v>
      </c>
      <c r="T1952" s="117">
        <v>0</v>
      </c>
    </row>
    <row r="1953" spans="1:21" x14ac:dyDescent="0.35">
      <c r="A1953" t="s">
        <v>20</v>
      </c>
      <c r="B1953" t="s">
        <v>25</v>
      </c>
      <c r="C1953" s="1">
        <v>45581</v>
      </c>
      <c r="D1953">
        <f t="shared" si="132"/>
        <v>16</v>
      </c>
      <c r="E1953">
        <f t="shared" si="133"/>
        <v>10</v>
      </c>
      <c r="F1953">
        <f t="shared" si="134"/>
        <v>2024</v>
      </c>
      <c r="G1953" t="s">
        <v>81</v>
      </c>
      <c r="H1953" s="98">
        <v>11447</v>
      </c>
      <c r="I1953" s="29">
        <v>2280</v>
      </c>
      <c r="J1953" s="12" t="s">
        <v>31</v>
      </c>
      <c r="K1953" s="76">
        <f t="shared" si="135"/>
        <v>2280</v>
      </c>
      <c r="L1953">
        <v>1</v>
      </c>
      <c r="M1953" s="29">
        <v>0</v>
      </c>
      <c r="N1953" t="s">
        <v>42</v>
      </c>
      <c r="O1953" t="s">
        <v>33</v>
      </c>
      <c r="P1953" t="s">
        <v>34</v>
      </c>
      <c r="Q1953" t="s">
        <v>34</v>
      </c>
      <c r="R1953" t="s">
        <v>34</v>
      </c>
      <c r="S1953" t="s">
        <v>34</v>
      </c>
      <c r="T1953" s="117">
        <v>0</v>
      </c>
    </row>
    <row r="1954" spans="1:21" x14ac:dyDescent="0.35">
      <c r="A1954" t="s">
        <v>20</v>
      </c>
      <c r="B1954" t="s">
        <v>21</v>
      </c>
      <c r="C1954" s="1">
        <v>45581</v>
      </c>
      <c r="D1954">
        <f t="shared" si="132"/>
        <v>16</v>
      </c>
      <c r="E1954">
        <f t="shared" si="133"/>
        <v>10</v>
      </c>
      <c r="F1954">
        <f t="shared" si="134"/>
        <v>2024</v>
      </c>
      <c r="G1954" t="s">
        <v>273</v>
      </c>
      <c r="H1954" s="98">
        <v>11358</v>
      </c>
      <c r="I1954" s="29">
        <v>77</v>
      </c>
      <c r="J1954" s="12" t="s">
        <v>31</v>
      </c>
      <c r="K1954" s="76">
        <f t="shared" si="135"/>
        <v>77</v>
      </c>
      <c r="L1954">
        <v>1</v>
      </c>
      <c r="M1954" s="29">
        <v>0</v>
      </c>
      <c r="N1954" t="s">
        <v>42</v>
      </c>
      <c r="O1954" t="s">
        <v>33</v>
      </c>
      <c r="P1954" t="s">
        <v>34</v>
      </c>
      <c r="Q1954" t="s">
        <v>34</v>
      </c>
      <c r="R1954" t="s">
        <v>34</v>
      </c>
      <c r="S1954" t="s">
        <v>34</v>
      </c>
      <c r="T1954" s="117">
        <v>0</v>
      </c>
    </row>
    <row r="1955" spans="1:21" x14ac:dyDescent="0.35">
      <c r="A1955" t="s">
        <v>20</v>
      </c>
      <c r="B1955" t="s">
        <v>23</v>
      </c>
      <c r="C1955" s="1">
        <v>45581</v>
      </c>
      <c r="D1955">
        <f t="shared" si="132"/>
        <v>16</v>
      </c>
      <c r="E1955">
        <f t="shared" si="133"/>
        <v>10</v>
      </c>
      <c r="F1955">
        <f t="shared" si="134"/>
        <v>2024</v>
      </c>
      <c r="G1955" t="s">
        <v>97</v>
      </c>
      <c r="H1955" s="98">
        <v>11139</v>
      </c>
      <c r="I1955" s="29">
        <v>43932.4</v>
      </c>
      <c r="J1955" s="12" t="s">
        <v>31</v>
      </c>
      <c r="K1955" s="76">
        <f t="shared" si="135"/>
        <v>43932.4</v>
      </c>
      <c r="L1955">
        <v>1</v>
      </c>
      <c r="M1955" s="29">
        <v>1358.75</v>
      </c>
      <c r="N1955" t="s">
        <v>32</v>
      </c>
      <c r="O1955" t="s">
        <v>33</v>
      </c>
      <c r="P1955" t="s">
        <v>34</v>
      </c>
      <c r="Q1955" t="s">
        <v>34</v>
      </c>
      <c r="R1955" t="s">
        <v>34</v>
      </c>
      <c r="S1955" t="s">
        <v>34</v>
      </c>
      <c r="T1955" s="117">
        <v>250</v>
      </c>
    </row>
    <row r="1956" spans="1:21" x14ac:dyDescent="0.35">
      <c r="A1956" t="s">
        <v>20</v>
      </c>
      <c r="B1956" t="s">
        <v>25</v>
      </c>
      <c r="C1956" s="1">
        <v>45581</v>
      </c>
      <c r="D1956">
        <f t="shared" si="132"/>
        <v>16</v>
      </c>
      <c r="E1956">
        <f t="shared" si="133"/>
        <v>10</v>
      </c>
      <c r="F1956">
        <f t="shared" si="134"/>
        <v>2024</v>
      </c>
      <c r="G1956" t="s">
        <v>97</v>
      </c>
      <c r="H1956" s="98">
        <v>11139</v>
      </c>
      <c r="I1956" s="29">
        <v>50328.89</v>
      </c>
      <c r="J1956" s="12" t="s">
        <v>31</v>
      </c>
      <c r="K1956" s="76">
        <f t="shared" si="135"/>
        <v>50328.89</v>
      </c>
      <c r="L1956">
        <v>1</v>
      </c>
      <c r="M1956" s="29">
        <v>1556.6</v>
      </c>
      <c r="N1956" t="s">
        <v>32</v>
      </c>
      <c r="O1956" t="s">
        <v>33</v>
      </c>
      <c r="P1956" t="s">
        <v>34</v>
      </c>
      <c r="Q1956" t="s">
        <v>34</v>
      </c>
      <c r="R1956" t="s">
        <v>34</v>
      </c>
      <c r="S1956" t="s">
        <v>34</v>
      </c>
      <c r="T1956" s="117">
        <v>0</v>
      </c>
    </row>
    <row r="1957" spans="1:21" x14ac:dyDescent="0.35">
      <c r="A1957" t="s">
        <v>20</v>
      </c>
      <c r="B1957" t="s">
        <v>21</v>
      </c>
      <c r="C1957" s="1">
        <v>45581</v>
      </c>
      <c r="D1957">
        <f t="shared" si="132"/>
        <v>16</v>
      </c>
      <c r="E1957">
        <f t="shared" si="133"/>
        <v>10</v>
      </c>
      <c r="F1957">
        <f t="shared" si="134"/>
        <v>2024</v>
      </c>
      <c r="G1957" t="s">
        <v>97</v>
      </c>
      <c r="H1957" s="98">
        <v>11139</v>
      </c>
      <c r="I1957" s="29">
        <v>6141.07</v>
      </c>
      <c r="J1957" s="12" t="s">
        <v>31</v>
      </c>
      <c r="K1957" s="76">
        <f t="shared" si="135"/>
        <v>6141.07</v>
      </c>
      <c r="L1957">
        <v>1</v>
      </c>
      <c r="M1957" s="29">
        <v>187.24</v>
      </c>
      <c r="N1957" t="s">
        <v>32</v>
      </c>
      <c r="O1957" t="s">
        <v>33</v>
      </c>
      <c r="P1957" t="s">
        <v>34</v>
      </c>
      <c r="Q1957" t="s">
        <v>34</v>
      </c>
      <c r="R1957" t="s">
        <v>34</v>
      </c>
      <c r="S1957" t="s">
        <v>34</v>
      </c>
      <c r="T1957" s="117">
        <v>250</v>
      </c>
    </row>
    <row r="1958" spans="1:21" x14ac:dyDescent="0.35">
      <c r="A1958" t="s">
        <v>20</v>
      </c>
      <c r="B1958" t="s">
        <v>25</v>
      </c>
      <c r="C1958" s="1">
        <v>45581</v>
      </c>
      <c r="D1958">
        <f t="shared" si="132"/>
        <v>16</v>
      </c>
      <c r="E1958">
        <f t="shared" si="133"/>
        <v>10</v>
      </c>
      <c r="F1958">
        <f t="shared" si="134"/>
        <v>2024</v>
      </c>
      <c r="G1958" t="s">
        <v>211</v>
      </c>
      <c r="H1958" s="98">
        <v>11294</v>
      </c>
      <c r="I1958" s="29">
        <v>495</v>
      </c>
      <c r="J1958" s="12" t="s">
        <v>31</v>
      </c>
      <c r="K1958" s="76">
        <f t="shared" si="135"/>
        <v>495</v>
      </c>
      <c r="L1958">
        <v>1</v>
      </c>
      <c r="M1958" s="29">
        <v>0</v>
      </c>
      <c r="N1958" t="s">
        <v>32</v>
      </c>
      <c r="O1958" t="s">
        <v>33</v>
      </c>
      <c r="P1958" t="s">
        <v>34</v>
      </c>
      <c r="Q1958" t="s">
        <v>34</v>
      </c>
      <c r="R1958" t="s">
        <v>34</v>
      </c>
      <c r="S1958" t="s">
        <v>34</v>
      </c>
      <c r="T1958" s="117">
        <v>0</v>
      </c>
    </row>
    <row r="1959" spans="1:21" x14ac:dyDescent="0.35">
      <c r="A1959" t="s">
        <v>20</v>
      </c>
      <c r="B1959" t="s">
        <v>23</v>
      </c>
      <c r="C1959" s="1">
        <v>45581</v>
      </c>
      <c r="D1959">
        <f t="shared" si="132"/>
        <v>16</v>
      </c>
      <c r="E1959">
        <f t="shared" si="133"/>
        <v>10</v>
      </c>
      <c r="F1959">
        <f t="shared" si="134"/>
        <v>2024</v>
      </c>
      <c r="G1959" t="s">
        <v>177</v>
      </c>
      <c r="H1959" s="98">
        <v>11230</v>
      </c>
      <c r="I1959" s="29">
        <v>34.5</v>
      </c>
      <c r="J1959" s="12" t="s">
        <v>31</v>
      </c>
      <c r="K1959" s="76">
        <f t="shared" si="135"/>
        <v>34.5</v>
      </c>
      <c r="L1959">
        <v>1</v>
      </c>
      <c r="M1959" s="29">
        <v>0</v>
      </c>
      <c r="N1959" t="s">
        <v>42</v>
      </c>
      <c r="O1959" t="s">
        <v>33</v>
      </c>
      <c r="P1959" t="s">
        <v>34</v>
      </c>
      <c r="Q1959" t="s">
        <v>34</v>
      </c>
      <c r="R1959" t="s">
        <v>34</v>
      </c>
      <c r="S1959" t="s">
        <v>34</v>
      </c>
      <c r="T1959" s="117">
        <v>0</v>
      </c>
      <c r="U1959" s="209" t="s">
        <v>647</v>
      </c>
    </row>
    <row r="1960" spans="1:21" x14ac:dyDescent="0.35">
      <c r="A1960" t="s">
        <v>20</v>
      </c>
      <c r="B1960" t="s">
        <v>23</v>
      </c>
      <c r="C1960" s="1">
        <v>45581</v>
      </c>
      <c r="D1960">
        <f t="shared" si="132"/>
        <v>16</v>
      </c>
      <c r="E1960">
        <f t="shared" si="133"/>
        <v>10</v>
      </c>
      <c r="F1960">
        <f t="shared" si="134"/>
        <v>2024</v>
      </c>
      <c r="G1960" t="s">
        <v>177</v>
      </c>
      <c r="H1960" s="98">
        <v>11231</v>
      </c>
      <c r="I1960" s="29">
        <v>1138.5</v>
      </c>
      <c r="J1960" s="12" t="s">
        <v>31</v>
      </c>
      <c r="K1960" s="76">
        <f t="shared" si="135"/>
        <v>1138.5</v>
      </c>
      <c r="L1960">
        <v>1</v>
      </c>
      <c r="M1960" s="29">
        <v>0</v>
      </c>
      <c r="N1960" t="s">
        <v>42</v>
      </c>
      <c r="O1960" t="s">
        <v>33</v>
      </c>
      <c r="P1960" t="s">
        <v>34</v>
      </c>
      <c r="Q1960" t="s">
        <v>34</v>
      </c>
      <c r="R1960" t="s">
        <v>34</v>
      </c>
      <c r="S1960" t="s">
        <v>34</v>
      </c>
      <c r="T1960" s="117">
        <v>0</v>
      </c>
      <c r="U1960" s="209" t="s">
        <v>648</v>
      </c>
    </row>
    <row r="1961" spans="1:21" x14ac:dyDescent="0.35">
      <c r="A1961" t="s">
        <v>20</v>
      </c>
      <c r="B1961" t="s">
        <v>25</v>
      </c>
      <c r="C1961" s="1">
        <v>45581</v>
      </c>
      <c r="D1961">
        <f t="shared" si="132"/>
        <v>16</v>
      </c>
      <c r="E1961">
        <f t="shared" si="133"/>
        <v>10</v>
      </c>
      <c r="F1961">
        <f t="shared" si="134"/>
        <v>2024</v>
      </c>
      <c r="G1961" t="s">
        <v>442</v>
      </c>
      <c r="H1961" s="98">
        <v>10921</v>
      </c>
      <c r="I1961" s="29">
        <v>14965.44</v>
      </c>
      <c r="J1961" s="12" t="s">
        <v>31</v>
      </c>
      <c r="K1961" s="76">
        <f t="shared" si="135"/>
        <v>14965.44</v>
      </c>
      <c r="L1961">
        <v>1</v>
      </c>
      <c r="M1961" s="29">
        <v>0</v>
      </c>
      <c r="N1961" t="s">
        <v>32</v>
      </c>
      <c r="O1961" t="s">
        <v>33</v>
      </c>
      <c r="P1961" t="s">
        <v>34</v>
      </c>
      <c r="Q1961" t="s">
        <v>34</v>
      </c>
      <c r="R1961" t="s">
        <v>34</v>
      </c>
      <c r="S1961" t="s">
        <v>34</v>
      </c>
      <c r="T1961" s="117">
        <v>0</v>
      </c>
    </row>
    <row r="1962" spans="1:21" x14ac:dyDescent="0.35">
      <c r="A1962" t="s">
        <v>20</v>
      </c>
      <c r="B1962" t="s">
        <v>25</v>
      </c>
      <c r="C1962" s="1">
        <v>45581</v>
      </c>
      <c r="D1962">
        <f t="shared" si="132"/>
        <v>16</v>
      </c>
      <c r="E1962">
        <f t="shared" si="133"/>
        <v>10</v>
      </c>
      <c r="F1962">
        <f t="shared" si="134"/>
        <v>2024</v>
      </c>
      <c r="G1962" t="s">
        <v>442</v>
      </c>
      <c r="H1962" s="98">
        <v>11319</v>
      </c>
      <c r="I1962" s="29">
        <v>34624.620000000003</v>
      </c>
      <c r="J1962" s="12" t="s">
        <v>51</v>
      </c>
      <c r="K1962" s="76">
        <f t="shared" si="135"/>
        <v>37886.259204000002</v>
      </c>
      <c r="L1962">
        <v>1.0942000000000001</v>
      </c>
      <c r="M1962" s="29">
        <v>0</v>
      </c>
      <c r="N1962" t="s">
        <v>32</v>
      </c>
      <c r="O1962" t="s">
        <v>33</v>
      </c>
      <c r="P1962" t="s">
        <v>34</v>
      </c>
      <c r="Q1962" t="s">
        <v>34</v>
      </c>
      <c r="R1962" t="s">
        <v>34</v>
      </c>
      <c r="S1962" t="s">
        <v>34</v>
      </c>
      <c r="T1962" s="117">
        <v>0</v>
      </c>
    </row>
    <row r="1963" spans="1:21" x14ac:dyDescent="0.35">
      <c r="A1963" t="s">
        <v>20</v>
      </c>
      <c r="B1963" t="s">
        <v>21</v>
      </c>
      <c r="C1963" s="1">
        <v>45581</v>
      </c>
      <c r="D1963">
        <f t="shared" si="132"/>
        <v>16</v>
      </c>
      <c r="E1963">
        <f t="shared" si="133"/>
        <v>10</v>
      </c>
      <c r="F1963">
        <f t="shared" si="134"/>
        <v>2024</v>
      </c>
      <c r="G1963" t="s">
        <v>89</v>
      </c>
      <c r="H1963" s="98">
        <v>10955</v>
      </c>
      <c r="I1963" s="29">
        <v>17064.759999999998</v>
      </c>
      <c r="J1963" s="12" t="s">
        <v>31</v>
      </c>
      <c r="K1963" s="76">
        <f t="shared" si="135"/>
        <v>17064.759999999998</v>
      </c>
      <c r="L1963">
        <v>1</v>
      </c>
      <c r="M1963" s="29">
        <v>0</v>
      </c>
      <c r="N1963" t="s">
        <v>42</v>
      </c>
      <c r="O1963" t="s">
        <v>33</v>
      </c>
      <c r="P1963" t="s">
        <v>34</v>
      </c>
      <c r="Q1963" t="s">
        <v>34</v>
      </c>
      <c r="R1963" t="s">
        <v>34</v>
      </c>
      <c r="S1963" t="s">
        <v>34</v>
      </c>
      <c r="T1963" s="117">
        <v>0</v>
      </c>
    </row>
    <row r="1964" spans="1:21" x14ac:dyDescent="0.35">
      <c r="A1964" t="s">
        <v>20</v>
      </c>
      <c r="B1964" t="s">
        <v>23</v>
      </c>
      <c r="C1964" s="1">
        <v>45581</v>
      </c>
      <c r="D1964">
        <f t="shared" si="132"/>
        <v>16</v>
      </c>
      <c r="E1964">
        <f t="shared" si="133"/>
        <v>10</v>
      </c>
      <c r="F1964">
        <f t="shared" si="134"/>
        <v>2024</v>
      </c>
      <c r="G1964" t="s">
        <v>89</v>
      </c>
      <c r="H1964" s="98">
        <v>11147</v>
      </c>
      <c r="I1964" s="29">
        <v>5185.9399999999996</v>
      </c>
      <c r="J1964" s="12" t="s">
        <v>31</v>
      </c>
      <c r="K1964" s="76">
        <f t="shared" si="135"/>
        <v>5185.9399999999996</v>
      </c>
      <c r="L1964">
        <v>1</v>
      </c>
      <c r="M1964" s="29">
        <v>0</v>
      </c>
      <c r="N1964" t="s">
        <v>42</v>
      </c>
      <c r="O1964" t="s">
        <v>33</v>
      </c>
      <c r="P1964" t="s">
        <v>34</v>
      </c>
      <c r="Q1964" t="s">
        <v>34</v>
      </c>
      <c r="R1964" t="s">
        <v>34</v>
      </c>
      <c r="S1964" t="s">
        <v>34</v>
      </c>
      <c r="T1964" s="117">
        <v>0</v>
      </c>
    </row>
    <row r="1965" spans="1:21" x14ac:dyDescent="0.35">
      <c r="A1965" t="s">
        <v>20</v>
      </c>
      <c r="B1965" t="s">
        <v>23</v>
      </c>
      <c r="C1965" s="1">
        <v>45581</v>
      </c>
      <c r="D1965">
        <f t="shared" si="132"/>
        <v>16</v>
      </c>
      <c r="E1965">
        <f t="shared" si="133"/>
        <v>10</v>
      </c>
      <c r="F1965">
        <f t="shared" si="134"/>
        <v>2024</v>
      </c>
      <c r="G1965" t="s">
        <v>50</v>
      </c>
      <c r="H1965" s="98">
        <v>11308</v>
      </c>
      <c r="I1965" s="29">
        <v>59</v>
      </c>
      <c r="J1965" s="12" t="s">
        <v>31</v>
      </c>
      <c r="K1965" s="76">
        <f t="shared" si="135"/>
        <v>59</v>
      </c>
      <c r="L1965">
        <v>1</v>
      </c>
      <c r="M1965" s="29">
        <v>0</v>
      </c>
      <c r="N1965" t="s">
        <v>42</v>
      </c>
      <c r="O1965" t="s">
        <v>33</v>
      </c>
      <c r="P1965" t="s">
        <v>34</v>
      </c>
      <c r="Q1965" t="s">
        <v>34</v>
      </c>
      <c r="R1965" t="s">
        <v>34</v>
      </c>
      <c r="S1965" t="s">
        <v>34</v>
      </c>
      <c r="T1965" s="117">
        <v>0</v>
      </c>
    </row>
    <row r="1966" spans="1:21" x14ac:dyDescent="0.35">
      <c r="A1966" t="s">
        <v>20</v>
      </c>
      <c r="B1966" t="s">
        <v>23</v>
      </c>
      <c r="C1966" s="1">
        <v>45581</v>
      </c>
      <c r="D1966">
        <f t="shared" si="132"/>
        <v>16</v>
      </c>
      <c r="E1966">
        <f t="shared" si="133"/>
        <v>10</v>
      </c>
      <c r="F1966">
        <f t="shared" si="134"/>
        <v>2024</v>
      </c>
      <c r="G1966" t="s">
        <v>50</v>
      </c>
      <c r="H1966" s="98">
        <v>11305</v>
      </c>
      <c r="I1966" s="29">
        <v>1475</v>
      </c>
      <c r="J1966" s="12" t="s">
        <v>31</v>
      </c>
      <c r="K1966" s="76">
        <f t="shared" si="135"/>
        <v>1475</v>
      </c>
      <c r="L1966">
        <v>1</v>
      </c>
      <c r="M1966" s="29">
        <v>0</v>
      </c>
      <c r="N1966" t="s">
        <v>42</v>
      </c>
      <c r="O1966" t="s">
        <v>33</v>
      </c>
      <c r="P1966" t="s">
        <v>34</v>
      </c>
      <c r="Q1966" t="s">
        <v>34</v>
      </c>
      <c r="R1966" t="s">
        <v>34</v>
      </c>
      <c r="S1966" t="s">
        <v>34</v>
      </c>
      <c r="T1966" s="117">
        <v>0</v>
      </c>
    </row>
    <row r="1967" spans="1:21" x14ac:dyDescent="0.35">
      <c r="A1967" t="s">
        <v>20</v>
      </c>
      <c r="B1967" t="s">
        <v>23</v>
      </c>
      <c r="C1967" s="1">
        <v>45581</v>
      </c>
      <c r="D1967">
        <f t="shared" si="132"/>
        <v>16</v>
      </c>
      <c r="E1967">
        <f t="shared" si="133"/>
        <v>10</v>
      </c>
      <c r="F1967">
        <f t="shared" si="134"/>
        <v>2024</v>
      </c>
      <c r="G1967" t="s">
        <v>82</v>
      </c>
      <c r="H1967" s="98">
        <v>10943</v>
      </c>
      <c r="I1967" s="29">
        <v>11583.28</v>
      </c>
      <c r="J1967" s="12" t="s">
        <v>31</v>
      </c>
      <c r="K1967" s="76">
        <f t="shared" si="135"/>
        <v>11583.28</v>
      </c>
      <c r="L1967">
        <v>1</v>
      </c>
      <c r="M1967" s="29">
        <v>0</v>
      </c>
      <c r="N1967" t="s">
        <v>32</v>
      </c>
      <c r="O1967" t="s">
        <v>33</v>
      </c>
      <c r="P1967" t="s">
        <v>34</v>
      </c>
      <c r="Q1967" t="s">
        <v>34</v>
      </c>
      <c r="R1967" t="s">
        <v>34</v>
      </c>
      <c r="S1967" t="s">
        <v>34</v>
      </c>
      <c r="T1967" s="117">
        <v>0</v>
      </c>
    </row>
    <row r="1968" spans="1:21" x14ac:dyDescent="0.35">
      <c r="A1968" t="s">
        <v>20</v>
      </c>
      <c r="B1968" t="s">
        <v>23</v>
      </c>
      <c r="C1968" s="1">
        <v>45581</v>
      </c>
      <c r="D1968">
        <f t="shared" si="132"/>
        <v>16</v>
      </c>
      <c r="E1968">
        <f t="shared" si="133"/>
        <v>10</v>
      </c>
      <c r="F1968">
        <f t="shared" si="134"/>
        <v>2024</v>
      </c>
      <c r="G1968" t="s">
        <v>82</v>
      </c>
      <c r="H1968" s="98">
        <v>11034</v>
      </c>
      <c r="I1968" s="29">
        <v>28.2</v>
      </c>
      <c r="J1968" s="12" t="s">
        <v>31</v>
      </c>
      <c r="K1968" s="76">
        <f t="shared" si="135"/>
        <v>28.2</v>
      </c>
      <c r="L1968">
        <v>1</v>
      </c>
      <c r="M1968" s="29">
        <v>0</v>
      </c>
      <c r="N1968" t="s">
        <v>32</v>
      </c>
      <c r="O1968" t="s">
        <v>33</v>
      </c>
      <c r="P1968" t="s">
        <v>34</v>
      </c>
      <c r="Q1968" t="s">
        <v>34</v>
      </c>
      <c r="R1968" t="s">
        <v>34</v>
      </c>
      <c r="S1968" t="s">
        <v>34</v>
      </c>
      <c r="T1968" s="117">
        <v>0</v>
      </c>
    </row>
    <row r="1969" spans="1:21" x14ac:dyDescent="0.35">
      <c r="A1969" t="s">
        <v>20</v>
      </c>
      <c r="B1969" t="s">
        <v>24</v>
      </c>
      <c r="C1969" s="1">
        <v>45581</v>
      </c>
      <c r="D1969">
        <f t="shared" si="132"/>
        <v>16</v>
      </c>
      <c r="E1969">
        <f t="shared" si="133"/>
        <v>10</v>
      </c>
      <c r="F1969">
        <f t="shared" si="134"/>
        <v>2024</v>
      </c>
      <c r="G1969" t="s">
        <v>85</v>
      </c>
      <c r="H1969" s="98">
        <v>10940</v>
      </c>
      <c r="I1969" s="29">
        <v>62731.519999999997</v>
      </c>
      <c r="J1969" s="12" t="s">
        <v>31</v>
      </c>
      <c r="K1969" s="76">
        <f t="shared" si="135"/>
        <v>62731.519999999997</v>
      </c>
      <c r="L1969">
        <v>1</v>
      </c>
      <c r="M1969" s="29">
        <v>0</v>
      </c>
      <c r="N1969" t="s">
        <v>42</v>
      </c>
      <c r="O1969" t="s">
        <v>33</v>
      </c>
      <c r="P1969" t="s">
        <v>34</v>
      </c>
      <c r="Q1969" t="s">
        <v>34</v>
      </c>
      <c r="R1969" t="s">
        <v>34</v>
      </c>
      <c r="S1969" t="s">
        <v>34</v>
      </c>
      <c r="T1969" s="117">
        <v>0</v>
      </c>
    </row>
    <row r="1970" spans="1:21" x14ac:dyDescent="0.35">
      <c r="A1970" t="s">
        <v>20</v>
      </c>
      <c r="B1970" t="s">
        <v>25</v>
      </c>
      <c r="C1970" s="1">
        <v>45581</v>
      </c>
      <c r="D1970">
        <f t="shared" si="132"/>
        <v>16</v>
      </c>
      <c r="E1970">
        <f t="shared" si="133"/>
        <v>10</v>
      </c>
      <c r="F1970">
        <f t="shared" si="134"/>
        <v>2024</v>
      </c>
      <c r="G1970" t="s">
        <v>321</v>
      </c>
      <c r="H1970" s="98">
        <v>11273</v>
      </c>
      <c r="I1970" s="29">
        <v>360</v>
      </c>
      <c r="J1970" s="12" t="s">
        <v>31</v>
      </c>
      <c r="K1970" s="76">
        <f t="shared" si="135"/>
        <v>360</v>
      </c>
      <c r="L1970">
        <v>1</v>
      </c>
      <c r="M1970" s="29">
        <v>0</v>
      </c>
      <c r="N1970" t="s">
        <v>42</v>
      </c>
      <c r="O1970" t="s">
        <v>33</v>
      </c>
      <c r="P1970" t="s">
        <v>34</v>
      </c>
      <c r="Q1970" t="s">
        <v>34</v>
      </c>
      <c r="R1970" t="s">
        <v>34</v>
      </c>
      <c r="S1970" t="s">
        <v>34</v>
      </c>
      <c r="T1970" s="117">
        <v>0</v>
      </c>
    </row>
    <row r="1971" spans="1:21" x14ac:dyDescent="0.35">
      <c r="A1971" t="s">
        <v>20</v>
      </c>
      <c r="B1971" t="s">
        <v>21</v>
      </c>
      <c r="C1971" s="1">
        <v>45581</v>
      </c>
      <c r="D1971">
        <f t="shared" si="132"/>
        <v>16</v>
      </c>
      <c r="E1971">
        <f t="shared" si="133"/>
        <v>10</v>
      </c>
      <c r="F1971">
        <f t="shared" si="134"/>
        <v>2024</v>
      </c>
      <c r="G1971" t="s">
        <v>435</v>
      </c>
      <c r="H1971" s="98">
        <v>10915</v>
      </c>
      <c r="I1971" s="29">
        <v>17102.330000000002</v>
      </c>
      <c r="J1971" s="12" t="s">
        <v>31</v>
      </c>
      <c r="K1971" s="76">
        <f t="shared" si="135"/>
        <v>17102.330000000002</v>
      </c>
      <c r="L1971">
        <v>1</v>
      </c>
      <c r="M1971" s="29">
        <v>0</v>
      </c>
      <c r="N1971" t="s">
        <v>32</v>
      </c>
      <c r="O1971" t="s">
        <v>33</v>
      </c>
      <c r="P1971" t="s">
        <v>34</v>
      </c>
      <c r="Q1971" t="s">
        <v>34</v>
      </c>
      <c r="R1971" t="s">
        <v>34</v>
      </c>
      <c r="S1971" t="s">
        <v>34</v>
      </c>
      <c r="T1971" s="117">
        <v>0</v>
      </c>
    </row>
    <row r="1972" spans="1:21" x14ac:dyDescent="0.35">
      <c r="A1972" t="s">
        <v>20</v>
      </c>
      <c r="B1972" t="s">
        <v>21</v>
      </c>
      <c r="C1972" s="1">
        <v>45581</v>
      </c>
      <c r="D1972">
        <f t="shared" si="132"/>
        <v>16</v>
      </c>
      <c r="E1972">
        <f t="shared" si="133"/>
        <v>10</v>
      </c>
      <c r="F1972">
        <f t="shared" si="134"/>
        <v>2024</v>
      </c>
      <c r="G1972" t="s">
        <v>435</v>
      </c>
      <c r="H1972" s="98">
        <v>10914</v>
      </c>
      <c r="I1972" s="29">
        <v>59</v>
      </c>
      <c r="J1972" s="12" t="s">
        <v>31</v>
      </c>
      <c r="K1972" s="76">
        <f t="shared" si="135"/>
        <v>59</v>
      </c>
      <c r="L1972">
        <v>1</v>
      </c>
      <c r="M1972" s="29">
        <v>0</v>
      </c>
      <c r="N1972" t="s">
        <v>32</v>
      </c>
      <c r="O1972" t="s">
        <v>33</v>
      </c>
      <c r="P1972" t="s">
        <v>34</v>
      </c>
      <c r="Q1972" t="s">
        <v>34</v>
      </c>
      <c r="R1972" t="s">
        <v>34</v>
      </c>
      <c r="S1972" t="s">
        <v>34</v>
      </c>
      <c r="T1972" s="117">
        <v>0</v>
      </c>
    </row>
    <row r="1973" spans="1:21" x14ac:dyDescent="0.35">
      <c r="A1973" t="s">
        <v>20</v>
      </c>
      <c r="B1973" t="s">
        <v>21</v>
      </c>
      <c r="C1973" s="1">
        <v>45581</v>
      </c>
      <c r="D1973">
        <f t="shared" si="132"/>
        <v>16</v>
      </c>
      <c r="E1973">
        <f t="shared" si="133"/>
        <v>10</v>
      </c>
      <c r="F1973">
        <f t="shared" si="134"/>
        <v>2024</v>
      </c>
      <c r="G1973" t="s">
        <v>435</v>
      </c>
      <c r="H1973" s="98">
        <v>11090</v>
      </c>
      <c r="I1973" s="29">
        <v>59</v>
      </c>
      <c r="J1973" s="12" t="s">
        <v>31</v>
      </c>
      <c r="K1973" s="76">
        <f t="shared" si="135"/>
        <v>59</v>
      </c>
      <c r="L1973">
        <v>1</v>
      </c>
      <c r="M1973" s="29">
        <v>0</v>
      </c>
      <c r="N1973" t="s">
        <v>32</v>
      </c>
      <c r="O1973" t="s">
        <v>33</v>
      </c>
      <c r="P1973" t="s">
        <v>34</v>
      </c>
      <c r="Q1973" t="s">
        <v>34</v>
      </c>
      <c r="R1973" t="s">
        <v>34</v>
      </c>
      <c r="S1973" t="s">
        <v>34</v>
      </c>
      <c r="T1973" s="117">
        <v>0</v>
      </c>
    </row>
    <row r="1974" spans="1:21" x14ac:dyDescent="0.35">
      <c r="A1974" t="s">
        <v>20</v>
      </c>
      <c r="B1974" t="s">
        <v>21</v>
      </c>
      <c r="C1974" s="1">
        <v>45581</v>
      </c>
      <c r="D1974">
        <f t="shared" si="132"/>
        <v>16</v>
      </c>
      <c r="E1974">
        <f t="shared" si="133"/>
        <v>10</v>
      </c>
      <c r="F1974">
        <f t="shared" si="134"/>
        <v>2024</v>
      </c>
      <c r="G1974" t="s">
        <v>86</v>
      </c>
      <c r="H1974" s="98">
        <v>11096</v>
      </c>
      <c r="I1974" s="29">
        <v>55.4</v>
      </c>
      <c r="J1974" s="12" t="s">
        <v>31</v>
      </c>
      <c r="K1974" s="76">
        <f t="shared" si="135"/>
        <v>55.4</v>
      </c>
      <c r="L1974">
        <v>1</v>
      </c>
      <c r="M1974" s="29">
        <v>0</v>
      </c>
      <c r="N1974" t="s">
        <v>32</v>
      </c>
      <c r="O1974" t="s">
        <v>33</v>
      </c>
      <c r="P1974" t="s">
        <v>34</v>
      </c>
      <c r="Q1974" t="s">
        <v>34</v>
      </c>
      <c r="R1974" t="s">
        <v>34</v>
      </c>
      <c r="S1974" t="s">
        <v>34</v>
      </c>
      <c r="T1974" s="117">
        <v>0</v>
      </c>
    </row>
    <row r="1975" spans="1:21" x14ac:dyDescent="0.35">
      <c r="A1975" t="s">
        <v>20</v>
      </c>
      <c r="B1975" t="s">
        <v>21</v>
      </c>
      <c r="C1975" s="1">
        <v>45581</v>
      </c>
      <c r="D1975">
        <f t="shared" si="132"/>
        <v>16</v>
      </c>
      <c r="E1975">
        <f t="shared" si="133"/>
        <v>10</v>
      </c>
      <c r="F1975">
        <f t="shared" si="134"/>
        <v>2024</v>
      </c>
      <c r="G1975" t="s">
        <v>86</v>
      </c>
      <c r="H1975" s="98">
        <v>10974</v>
      </c>
      <c r="I1975" s="29">
        <v>40.4</v>
      </c>
      <c r="J1975" s="12" t="s">
        <v>31</v>
      </c>
      <c r="K1975" s="76">
        <f t="shared" si="135"/>
        <v>40.4</v>
      </c>
      <c r="L1975">
        <v>1</v>
      </c>
      <c r="M1975" s="29">
        <v>0</v>
      </c>
      <c r="N1975" t="s">
        <v>32</v>
      </c>
      <c r="O1975" t="s">
        <v>33</v>
      </c>
      <c r="P1975" t="s">
        <v>34</v>
      </c>
      <c r="Q1975" t="s">
        <v>34</v>
      </c>
      <c r="R1975" t="s">
        <v>34</v>
      </c>
      <c r="S1975" t="s">
        <v>34</v>
      </c>
      <c r="T1975" s="117">
        <v>0</v>
      </c>
    </row>
    <row r="1976" spans="1:21" x14ac:dyDescent="0.35">
      <c r="A1976" t="s">
        <v>20</v>
      </c>
      <c r="B1976" t="s">
        <v>23</v>
      </c>
      <c r="C1976" s="1">
        <v>45581</v>
      </c>
      <c r="D1976">
        <f t="shared" si="132"/>
        <v>16</v>
      </c>
      <c r="E1976">
        <f t="shared" si="133"/>
        <v>10</v>
      </c>
      <c r="F1976">
        <f t="shared" si="134"/>
        <v>2024</v>
      </c>
      <c r="G1976" t="s">
        <v>86</v>
      </c>
      <c r="H1976" s="98">
        <v>11035</v>
      </c>
      <c r="I1976" s="29">
        <v>23.6</v>
      </c>
      <c r="J1976" s="12" t="s">
        <v>31</v>
      </c>
      <c r="K1976" s="76">
        <f t="shared" si="135"/>
        <v>23.6</v>
      </c>
      <c r="L1976">
        <v>1</v>
      </c>
      <c r="M1976" s="29">
        <v>0</v>
      </c>
      <c r="N1976" t="s">
        <v>32</v>
      </c>
      <c r="O1976" t="s">
        <v>33</v>
      </c>
      <c r="P1976" t="s">
        <v>34</v>
      </c>
      <c r="Q1976" t="s">
        <v>34</v>
      </c>
      <c r="R1976" t="s">
        <v>34</v>
      </c>
      <c r="S1976" t="s">
        <v>34</v>
      </c>
      <c r="T1976" s="117">
        <v>0</v>
      </c>
    </row>
    <row r="1977" spans="1:21" x14ac:dyDescent="0.35">
      <c r="A1977" t="s">
        <v>20</v>
      </c>
      <c r="B1977" t="s">
        <v>23</v>
      </c>
      <c r="C1977" s="1">
        <v>45581</v>
      </c>
      <c r="D1977">
        <f t="shared" si="132"/>
        <v>16</v>
      </c>
      <c r="E1977">
        <f t="shared" si="133"/>
        <v>10</v>
      </c>
      <c r="F1977">
        <f t="shared" si="134"/>
        <v>2024</v>
      </c>
      <c r="G1977" t="s">
        <v>86</v>
      </c>
      <c r="H1977" s="98">
        <v>11095</v>
      </c>
      <c r="I1977" s="29">
        <v>25</v>
      </c>
      <c r="J1977" s="12" t="s">
        <v>31</v>
      </c>
      <c r="K1977" s="76">
        <f t="shared" si="135"/>
        <v>25</v>
      </c>
      <c r="L1977">
        <v>1</v>
      </c>
      <c r="M1977" s="29">
        <v>0</v>
      </c>
      <c r="N1977" t="s">
        <v>32</v>
      </c>
      <c r="O1977" t="s">
        <v>33</v>
      </c>
      <c r="P1977" t="s">
        <v>34</v>
      </c>
      <c r="Q1977" t="s">
        <v>34</v>
      </c>
      <c r="R1977" t="s">
        <v>34</v>
      </c>
      <c r="S1977" t="s">
        <v>34</v>
      </c>
      <c r="T1977" s="117">
        <v>0</v>
      </c>
    </row>
    <row r="1978" spans="1:21" x14ac:dyDescent="0.35">
      <c r="A1978" t="s">
        <v>20</v>
      </c>
      <c r="B1978" t="s">
        <v>25</v>
      </c>
      <c r="C1978" s="1">
        <v>45581</v>
      </c>
      <c r="D1978">
        <f t="shared" si="132"/>
        <v>16</v>
      </c>
      <c r="E1978">
        <f t="shared" si="133"/>
        <v>10</v>
      </c>
      <c r="F1978">
        <f t="shared" si="134"/>
        <v>2024</v>
      </c>
      <c r="G1978" t="s">
        <v>265</v>
      </c>
      <c r="H1978" s="98">
        <v>11471</v>
      </c>
      <c r="I1978" s="29">
        <v>46</v>
      </c>
      <c r="J1978" s="12" t="s">
        <v>31</v>
      </c>
      <c r="K1978" s="76">
        <f t="shared" si="135"/>
        <v>46</v>
      </c>
      <c r="L1978">
        <v>1</v>
      </c>
      <c r="M1978" s="29">
        <v>0</v>
      </c>
      <c r="N1978" t="s">
        <v>42</v>
      </c>
      <c r="O1978" t="s">
        <v>33</v>
      </c>
      <c r="P1978" t="s">
        <v>34</v>
      </c>
      <c r="Q1978" t="s">
        <v>34</v>
      </c>
      <c r="R1978" t="s">
        <v>34</v>
      </c>
      <c r="S1978" t="s">
        <v>34</v>
      </c>
      <c r="T1978" s="117">
        <v>0</v>
      </c>
    </row>
    <row r="1979" spans="1:21" x14ac:dyDescent="0.35">
      <c r="A1979" t="s">
        <v>20</v>
      </c>
      <c r="B1979" t="s">
        <v>25</v>
      </c>
      <c r="C1979" s="1">
        <v>45581</v>
      </c>
      <c r="D1979">
        <f t="shared" si="132"/>
        <v>16</v>
      </c>
      <c r="E1979">
        <f t="shared" si="133"/>
        <v>10</v>
      </c>
      <c r="F1979">
        <f t="shared" si="134"/>
        <v>2024</v>
      </c>
      <c r="G1979" t="s">
        <v>265</v>
      </c>
      <c r="H1979" s="98">
        <v>11472</v>
      </c>
      <c r="I1979" s="29">
        <v>460</v>
      </c>
      <c r="J1979" s="12" t="s">
        <v>31</v>
      </c>
      <c r="K1979" s="76">
        <f t="shared" si="135"/>
        <v>460</v>
      </c>
      <c r="L1979">
        <v>1</v>
      </c>
      <c r="M1979" s="29">
        <v>0</v>
      </c>
      <c r="N1979" t="s">
        <v>42</v>
      </c>
      <c r="O1979" t="s">
        <v>33</v>
      </c>
      <c r="P1979" t="s">
        <v>34</v>
      </c>
      <c r="Q1979" t="s">
        <v>34</v>
      </c>
      <c r="R1979" t="s">
        <v>34</v>
      </c>
      <c r="S1979" t="s">
        <v>34</v>
      </c>
      <c r="T1979" s="117">
        <v>0</v>
      </c>
    </row>
    <row r="1980" spans="1:21" x14ac:dyDescent="0.35">
      <c r="A1980" t="s">
        <v>20</v>
      </c>
      <c r="B1980" t="s">
        <v>21</v>
      </c>
      <c r="C1980" s="1">
        <v>45581</v>
      </c>
      <c r="D1980">
        <f t="shared" si="132"/>
        <v>16</v>
      </c>
      <c r="E1980">
        <f t="shared" si="133"/>
        <v>10</v>
      </c>
      <c r="F1980">
        <f t="shared" si="134"/>
        <v>2024</v>
      </c>
      <c r="G1980" t="s">
        <v>299</v>
      </c>
      <c r="H1980" s="98">
        <v>11460</v>
      </c>
      <c r="I1980" s="29">
        <v>344</v>
      </c>
      <c r="J1980" s="12" t="s">
        <v>31</v>
      </c>
      <c r="K1980" s="76">
        <f t="shared" si="135"/>
        <v>344</v>
      </c>
      <c r="L1980">
        <v>1</v>
      </c>
      <c r="M1980" s="29">
        <v>0</v>
      </c>
      <c r="N1980" t="s">
        <v>42</v>
      </c>
      <c r="O1980" t="s">
        <v>33</v>
      </c>
      <c r="P1980" t="s">
        <v>34</v>
      </c>
      <c r="Q1980" t="s">
        <v>34</v>
      </c>
      <c r="R1980" t="s">
        <v>34</v>
      </c>
      <c r="S1980" t="s">
        <v>34</v>
      </c>
      <c r="T1980" s="117">
        <v>0</v>
      </c>
    </row>
    <row r="1981" spans="1:21" x14ac:dyDescent="0.35">
      <c r="A1981" t="s">
        <v>20</v>
      </c>
      <c r="B1981" t="s">
        <v>21</v>
      </c>
      <c r="C1981" s="1">
        <v>45581</v>
      </c>
      <c r="D1981">
        <f t="shared" si="132"/>
        <v>16</v>
      </c>
      <c r="E1981">
        <f t="shared" si="133"/>
        <v>10</v>
      </c>
      <c r="F1981">
        <f t="shared" si="134"/>
        <v>2024</v>
      </c>
      <c r="G1981" t="s">
        <v>299</v>
      </c>
      <c r="H1981" s="98">
        <v>11459</v>
      </c>
      <c r="I1981" s="29">
        <v>242</v>
      </c>
      <c r="J1981" s="12" t="s">
        <v>31</v>
      </c>
      <c r="K1981" s="76">
        <f t="shared" si="135"/>
        <v>242</v>
      </c>
      <c r="L1981">
        <v>1</v>
      </c>
      <c r="M1981" s="29">
        <v>0</v>
      </c>
      <c r="N1981" t="s">
        <v>42</v>
      </c>
      <c r="O1981" t="s">
        <v>33</v>
      </c>
      <c r="P1981" t="s">
        <v>34</v>
      </c>
      <c r="Q1981" t="s">
        <v>34</v>
      </c>
      <c r="R1981" t="s">
        <v>34</v>
      </c>
      <c r="S1981" t="s">
        <v>34</v>
      </c>
      <c r="T1981" s="117">
        <v>0</v>
      </c>
    </row>
    <row r="1982" spans="1:21" x14ac:dyDescent="0.35">
      <c r="A1982" t="s">
        <v>20</v>
      </c>
      <c r="B1982" t="s">
        <v>21</v>
      </c>
      <c r="C1982" s="1">
        <v>45581</v>
      </c>
      <c r="D1982">
        <f t="shared" si="132"/>
        <v>16</v>
      </c>
      <c r="E1982">
        <f t="shared" si="133"/>
        <v>10</v>
      </c>
      <c r="F1982">
        <f t="shared" si="134"/>
        <v>2024</v>
      </c>
      <c r="G1982" t="s">
        <v>299</v>
      </c>
      <c r="H1982" s="98">
        <v>12090</v>
      </c>
      <c r="I1982" s="29">
        <v>90.75</v>
      </c>
      <c r="J1982" s="12" t="s">
        <v>31</v>
      </c>
      <c r="K1982" s="76">
        <f t="shared" si="135"/>
        <v>90.75</v>
      </c>
      <c r="L1982">
        <v>1</v>
      </c>
      <c r="M1982" s="29">
        <v>0</v>
      </c>
      <c r="N1982" t="s">
        <v>42</v>
      </c>
      <c r="O1982" t="s">
        <v>33</v>
      </c>
      <c r="P1982" t="s">
        <v>34</v>
      </c>
      <c r="Q1982" t="s">
        <v>34</v>
      </c>
      <c r="R1982" t="s">
        <v>34</v>
      </c>
      <c r="S1982" t="s">
        <v>34</v>
      </c>
      <c r="T1982" s="117">
        <v>0</v>
      </c>
      <c r="U1982" s="209" t="s">
        <v>1379</v>
      </c>
    </row>
    <row r="1983" spans="1:21" x14ac:dyDescent="0.35">
      <c r="A1983" t="s">
        <v>20</v>
      </c>
      <c r="B1983" t="s">
        <v>21</v>
      </c>
      <c r="C1983" s="1">
        <v>45581</v>
      </c>
      <c r="D1983">
        <f t="shared" si="132"/>
        <v>16</v>
      </c>
      <c r="E1983">
        <f t="shared" si="133"/>
        <v>10</v>
      </c>
      <c r="F1983">
        <f t="shared" si="134"/>
        <v>2024</v>
      </c>
      <c r="G1983" t="s">
        <v>299</v>
      </c>
      <c r="H1983" s="98">
        <v>11455</v>
      </c>
      <c r="I1983" s="29">
        <v>62</v>
      </c>
      <c r="J1983" s="12" t="s">
        <v>31</v>
      </c>
      <c r="K1983" s="76">
        <f t="shared" si="135"/>
        <v>62</v>
      </c>
      <c r="L1983">
        <v>1</v>
      </c>
      <c r="M1983" s="29">
        <v>0</v>
      </c>
      <c r="N1983" t="s">
        <v>42</v>
      </c>
      <c r="O1983" t="s">
        <v>33</v>
      </c>
      <c r="P1983" t="s">
        <v>34</v>
      </c>
      <c r="Q1983" t="s">
        <v>34</v>
      </c>
      <c r="R1983" t="s">
        <v>34</v>
      </c>
      <c r="S1983" t="s">
        <v>34</v>
      </c>
      <c r="T1983" s="117">
        <v>0</v>
      </c>
    </row>
    <row r="1984" spans="1:21" x14ac:dyDescent="0.35">
      <c r="A1984" t="s">
        <v>19</v>
      </c>
      <c r="B1984" t="s">
        <v>19</v>
      </c>
      <c r="C1984" s="1">
        <v>45581</v>
      </c>
      <c r="D1984">
        <f t="shared" si="132"/>
        <v>16</v>
      </c>
      <c r="E1984">
        <f t="shared" si="133"/>
        <v>10</v>
      </c>
      <c r="F1984">
        <f t="shared" si="134"/>
        <v>2024</v>
      </c>
      <c r="G1984" t="s">
        <v>111</v>
      </c>
      <c r="H1984" s="98" t="s">
        <v>614</v>
      </c>
      <c r="I1984" s="29">
        <v>197103.87</v>
      </c>
      <c r="J1984" s="12" t="s">
        <v>31</v>
      </c>
      <c r="K1984" s="76">
        <f t="shared" si="135"/>
        <v>197103.87</v>
      </c>
      <c r="L1984">
        <v>1</v>
      </c>
      <c r="M1984" s="29">
        <v>0</v>
      </c>
      <c r="N1984" t="s">
        <v>32</v>
      </c>
      <c r="O1984" t="s">
        <v>33</v>
      </c>
      <c r="P1984" t="s">
        <v>34</v>
      </c>
      <c r="Q1984" t="s">
        <v>34</v>
      </c>
      <c r="R1984" t="s">
        <v>34</v>
      </c>
      <c r="S1984" t="s">
        <v>34</v>
      </c>
      <c r="T1984" s="117">
        <v>0</v>
      </c>
    </row>
    <row r="1985" spans="1:21" x14ac:dyDescent="0.35">
      <c r="A1985" t="s">
        <v>19</v>
      </c>
      <c r="B1985" t="s">
        <v>19</v>
      </c>
      <c r="C1985" s="1">
        <v>45581</v>
      </c>
      <c r="D1985">
        <f t="shared" si="132"/>
        <v>16</v>
      </c>
      <c r="E1985">
        <f t="shared" si="133"/>
        <v>10</v>
      </c>
      <c r="F1985">
        <f t="shared" si="134"/>
        <v>2024</v>
      </c>
      <c r="G1985" t="s">
        <v>56</v>
      </c>
      <c r="H1985" s="98" t="s">
        <v>615</v>
      </c>
      <c r="I1985" s="29">
        <v>75396.22</v>
      </c>
      <c r="J1985" s="12" t="s">
        <v>31</v>
      </c>
      <c r="K1985" s="76">
        <f t="shared" si="135"/>
        <v>75396.22</v>
      </c>
      <c r="L1985">
        <v>1</v>
      </c>
      <c r="M1985" s="29">
        <v>0</v>
      </c>
      <c r="N1985" t="s">
        <v>32</v>
      </c>
      <c r="O1985" t="s">
        <v>33</v>
      </c>
      <c r="P1985" t="s">
        <v>34</v>
      </c>
      <c r="Q1985" t="s">
        <v>34</v>
      </c>
      <c r="R1985" t="s">
        <v>34</v>
      </c>
      <c r="S1985" t="s">
        <v>34</v>
      </c>
      <c r="T1985" s="117">
        <v>0</v>
      </c>
    </row>
    <row r="1986" spans="1:21" x14ac:dyDescent="0.35">
      <c r="A1986" t="s">
        <v>19</v>
      </c>
      <c r="B1986" t="s">
        <v>19</v>
      </c>
      <c r="C1986" s="1">
        <v>45581</v>
      </c>
      <c r="D1986">
        <f t="shared" ref="D1986:D2050" si="136">DAY(C1986)</f>
        <v>16</v>
      </c>
      <c r="E1986">
        <f t="shared" ref="E1986:E2050" si="137">MONTH(C1986)</f>
        <v>10</v>
      </c>
      <c r="F1986">
        <f t="shared" ref="F1986:F2050" si="138">YEAR(C1986)</f>
        <v>2024</v>
      </c>
      <c r="G1986" t="s">
        <v>56</v>
      </c>
      <c r="H1986" s="98" t="s">
        <v>578</v>
      </c>
      <c r="I1986" s="29">
        <v>199.35</v>
      </c>
      <c r="J1986" s="12" t="s">
        <v>31</v>
      </c>
      <c r="K1986" s="76">
        <f t="shared" si="135"/>
        <v>199.35</v>
      </c>
      <c r="L1986">
        <v>1</v>
      </c>
      <c r="M1986" s="29">
        <v>0</v>
      </c>
      <c r="N1986" t="s">
        <v>32</v>
      </c>
      <c r="O1986" t="s">
        <v>33</v>
      </c>
      <c r="P1986" t="s">
        <v>34</v>
      </c>
      <c r="Q1986" t="s">
        <v>34</v>
      </c>
      <c r="R1986" t="s">
        <v>34</v>
      </c>
      <c r="S1986" t="s">
        <v>34</v>
      </c>
      <c r="T1986" s="117">
        <v>0</v>
      </c>
    </row>
    <row r="1987" spans="1:21" x14ac:dyDescent="0.35">
      <c r="A1987" t="s">
        <v>19</v>
      </c>
      <c r="B1987" t="s">
        <v>19</v>
      </c>
      <c r="C1987" s="1">
        <v>45581</v>
      </c>
      <c r="D1987">
        <f t="shared" si="136"/>
        <v>16</v>
      </c>
      <c r="E1987">
        <f t="shared" si="137"/>
        <v>10</v>
      </c>
      <c r="F1987">
        <f t="shared" si="138"/>
        <v>2024</v>
      </c>
      <c r="G1987" t="s">
        <v>118</v>
      </c>
      <c r="H1987" s="98" t="s">
        <v>561</v>
      </c>
      <c r="I1987" s="29">
        <v>11960.42</v>
      </c>
      <c r="J1987" s="12" t="s">
        <v>31</v>
      </c>
      <c r="K1987" s="76">
        <f t="shared" si="135"/>
        <v>11960.42</v>
      </c>
      <c r="L1987">
        <v>1</v>
      </c>
      <c r="M1987" s="29">
        <v>0</v>
      </c>
      <c r="N1987" t="s">
        <v>32</v>
      </c>
      <c r="O1987" t="s">
        <v>33</v>
      </c>
      <c r="P1987" t="s">
        <v>34</v>
      </c>
      <c r="Q1987" t="s">
        <v>34</v>
      </c>
      <c r="R1987" t="s">
        <v>34</v>
      </c>
      <c r="S1987" t="s">
        <v>34</v>
      </c>
      <c r="T1987" s="117">
        <v>0</v>
      </c>
    </row>
    <row r="1988" spans="1:21" x14ac:dyDescent="0.35">
      <c r="A1988" t="s">
        <v>19</v>
      </c>
      <c r="B1988" t="s">
        <v>19</v>
      </c>
      <c r="C1988" s="1">
        <v>45581</v>
      </c>
      <c r="D1988">
        <f t="shared" si="136"/>
        <v>16</v>
      </c>
      <c r="E1988">
        <f t="shared" si="137"/>
        <v>10</v>
      </c>
      <c r="F1988">
        <f t="shared" si="138"/>
        <v>2024</v>
      </c>
      <c r="G1988" t="s">
        <v>91</v>
      </c>
      <c r="H1988" s="98" t="s">
        <v>616</v>
      </c>
      <c r="I1988" s="29">
        <v>62827.45</v>
      </c>
      <c r="J1988" s="12" t="s">
        <v>31</v>
      </c>
      <c r="K1988" s="76">
        <f t="shared" si="135"/>
        <v>62827.45</v>
      </c>
      <c r="L1988">
        <v>1</v>
      </c>
      <c r="M1988" s="29">
        <v>0</v>
      </c>
      <c r="N1988" t="s">
        <v>32</v>
      </c>
      <c r="O1988" t="s">
        <v>33</v>
      </c>
      <c r="P1988" t="s">
        <v>34</v>
      </c>
      <c r="Q1988" t="s">
        <v>34</v>
      </c>
      <c r="R1988" t="s">
        <v>34</v>
      </c>
      <c r="S1988" t="s">
        <v>34</v>
      </c>
      <c r="T1988" s="117">
        <v>0</v>
      </c>
    </row>
    <row r="1989" spans="1:21" x14ac:dyDescent="0.35">
      <c r="A1989" t="s">
        <v>19</v>
      </c>
      <c r="B1989" t="s">
        <v>19</v>
      </c>
      <c r="C1989" s="1">
        <v>45581</v>
      </c>
      <c r="D1989">
        <f t="shared" si="136"/>
        <v>16</v>
      </c>
      <c r="E1989">
        <f t="shared" si="137"/>
        <v>10</v>
      </c>
      <c r="F1989">
        <f t="shared" si="138"/>
        <v>2024</v>
      </c>
      <c r="G1989" t="s">
        <v>91</v>
      </c>
      <c r="H1989" s="98" t="s">
        <v>617</v>
      </c>
      <c r="I1989" s="29">
        <v>9922.5</v>
      </c>
      <c r="J1989" s="12" t="s">
        <v>31</v>
      </c>
      <c r="K1989" s="76">
        <f t="shared" si="135"/>
        <v>9922.5</v>
      </c>
      <c r="L1989">
        <v>1</v>
      </c>
      <c r="M1989" s="29">
        <v>0</v>
      </c>
      <c r="N1989" t="s">
        <v>32</v>
      </c>
      <c r="O1989" t="s">
        <v>33</v>
      </c>
      <c r="P1989" t="s">
        <v>34</v>
      </c>
      <c r="Q1989" t="s">
        <v>34</v>
      </c>
      <c r="R1989" t="s">
        <v>34</v>
      </c>
      <c r="S1989" t="s">
        <v>34</v>
      </c>
      <c r="T1989" s="117">
        <v>0</v>
      </c>
    </row>
    <row r="1990" spans="1:21" x14ac:dyDescent="0.35">
      <c r="A1990" t="s">
        <v>19</v>
      </c>
      <c r="B1990" t="s">
        <v>19</v>
      </c>
      <c r="C1990" s="1">
        <v>45581</v>
      </c>
      <c r="D1990">
        <f t="shared" si="136"/>
        <v>16</v>
      </c>
      <c r="E1990">
        <f t="shared" si="137"/>
        <v>10</v>
      </c>
      <c r="F1990">
        <f t="shared" si="138"/>
        <v>2024</v>
      </c>
      <c r="G1990" t="s">
        <v>523</v>
      </c>
      <c r="H1990" s="98" t="s">
        <v>618</v>
      </c>
      <c r="I1990" s="29">
        <v>30338.58</v>
      </c>
      <c r="J1990" s="12" t="s">
        <v>31</v>
      </c>
      <c r="K1990" s="76">
        <f t="shared" si="135"/>
        <v>30338.58</v>
      </c>
      <c r="L1990">
        <v>1</v>
      </c>
      <c r="M1990" s="29">
        <v>0</v>
      </c>
      <c r="N1990" t="s">
        <v>32</v>
      </c>
      <c r="O1990" t="s">
        <v>33</v>
      </c>
      <c r="P1990" t="s">
        <v>34</v>
      </c>
      <c r="Q1990" t="s">
        <v>34</v>
      </c>
      <c r="R1990" t="s">
        <v>34</v>
      </c>
      <c r="S1990" t="s">
        <v>34</v>
      </c>
      <c r="T1990" s="117">
        <v>0</v>
      </c>
    </row>
    <row r="1991" spans="1:21" x14ac:dyDescent="0.35">
      <c r="A1991" t="s">
        <v>19</v>
      </c>
      <c r="B1991" t="s">
        <v>19</v>
      </c>
      <c r="C1991" s="1">
        <v>45581</v>
      </c>
      <c r="D1991">
        <f t="shared" si="136"/>
        <v>16</v>
      </c>
      <c r="E1991">
        <f t="shared" si="137"/>
        <v>10</v>
      </c>
      <c r="F1991">
        <f t="shared" si="138"/>
        <v>2024</v>
      </c>
      <c r="G1991" t="s">
        <v>123</v>
      </c>
      <c r="H1991" s="98" t="s">
        <v>560</v>
      </c>
      <c r="I1991" s="29">
        <v>1804.95</v>
      </c>
      <c r="J1991" s="12" t="s">
        <v>31</v>
      </c>
      <c r="K1991" s="76">
        <f t="shared" si="135"/>
        <v>1804.95</v>
      </c>
      <c r="L1991">
        <v>1</v>
      </c>
      <c r="M1991" s="29">
        <v>0</v>
      </c>
      <c r="N1991" t="s">
        <v>32</v>
      </c>
      <c r="O1991" t="s">
        <v>33</v>
      </c>
      <c r="P1991" t="s">
        <v>34</v>
      </c>
      <c r="Q1991" t="s">
        <v>34</v>
      </c>
      <c r="R1991" t="s">
        <v>34</v>
      </c>
      <c r="S1991" t="s">
        <v>34</v>
      </c>
      <c r="T1991" s="117">
        <v>0</v>
      </c>
    </row>
    <row r="1992" spans="1:21" x14ac:dyDescent="0.35">
      <c r="A1992" t="s">
        <v>19</v>
      </c>
      <c r="B1992" t="s">
        <v>19</v>
      </c>
      <c r="C1992" s="1">
        <v>45581</v>
      </c>
      <c r="D1992">
        <f t="shared" si="136"/>
        <v>16</v>
      </c>
      <c r="E1992">
        <f t="shared" si="137"/>
        <v>10</v>
      </c>
      <c r="F1992">
        <f t="shared" si="138"/>
        <v>2024</v>
      </c>
      <c r="G1992" t="s">
        <v>265</v>
      </c>
      <c r="H1992" s="98" t="s">
        <v>559</v>
      </c>
      <c r="I1992" s="29">
        <v>8822.7900000000009</v>
      </c>
      <c r="J1992" s="12" t="s">
        <v>31</v>
      </c>
      <c r="K1992" s="76">
        <f t="shared" si="135"/>
        <v>8822.7900000000009</v>
      </c>
      <c r="L1992">
        <v>1</v>
      </c>
      <c r="M1992" s="29">
        <v>0</v>
      </c>
      <c r="N1992" t="s">
        <v>32</v>
      </c>
      <c r="O1992" t="s">
        <v>33</v>
      </c>
      <c r="P1992" t="s">
        <v>34</v>
      </c>
      <c r="Q1992" t="s">
        <v>34</v>
      </c>
      <c r="R1992" t="s">
        <v>34</v>
      </c>
      <c r="S1992" t="s">
        <v>34</v>
      </c>
      <c r="T1992" s="117">
        <v>0</v>
      </c>
    </row>
    <row r="1993" spans="1:21" x14ac:dyDescent="0.35">
      <c r="A1993" t="s">
        <v>20</v>
      </c>
      <c r="B1993" t="s">
        <v>19</v>
      </c>
      <c r="C1993" s="1">
        <v>45581</v>
      </c>
      <c r="D1993">
        <f t="shared" si="136"/>
        <v>16</v>
      </c>
      <c r="E1993">
        <f t="shared" si="137"/>
        <v>10</v>
      </c>
      <c r="F1993">
        <f t="shared" si="138"/>
        <v>2024</v>
      </c>
      <c r="G1993" t="s">
        <v>50</v>
      </c>
      <c r="H1993" s="98" t="s">
        <v>619</v>
      </c>
      <c r="I1993" s="29">
        <v>1375</v>
      </c>
      <c r="J1993" s="12" t="s">
        <v>31</v>
      </c>
      <c r="K1993" s="76">
        <f t="shared" si="135"/>
        <v>1375</v>
      </c>
      <c r="L1993">
        <v>1</v>
      </c>
      <c r="M1993" s="29">
        <v>0</v>
      </c>
      <c r="N1993" t="s">
        <v>32</v>
      </c>
      <c r="O1993" t="s">
        <v>33</v>
      </c>
      <c r="P1993" t="s">
        <v>34</v>
      </c>
      <c r="Q1993" t="s">
        <v>34</v>
      </c>
      <c r="R1993" t="s">
        <v>34</v>
      </c>
      <c r="S1993" t="s">
        <v>34</v>
      </c>
      <c r="T1993" s="117">
        <v>0</v>
      </c>
    </row>
    <row r="1994" spans="1:21" x14ac:dyDescent="0.35">
      <c r="A1994" t="s">
        <v>19</v>
      </c>
      <c r="B1994" t="s">
        <v>19</v>
      </c>
      <c r="C1994" s="1">
        <v>45581</v>
      </c>
      <c r="D1994">
        <f t="shared" si="136"/>
        <v>16</v>
      </c>
      <c r="E1994">
        <f t="shared" si="137"/>
        <v>10</v>
      </c>
      <c r="F1994">
        <f t="shared" si="138"/>
        <v>2024</v>
      </c>
      <c r="G1994" t="s">
        <v>103</v>
      </c>
      <c r="H1994" s="98" t="s">
        <v>205</v>
      </c>
      <c r="I1994" s="29">
        <v>4290.91</v>
      </c>
      <c r="J1994" s="12" t="s">
        <v>31</v>
      </c>
      <c r="K1994" s="76">
        <f t="shared" si="135"/>
        <v>4290.91</v>
      </c>
      <c r="L1994">
        <v>1</v>
      </c>
      <c r="M1994" s="29">
        <v>0</v>
      </c>
      <c r="N1994" t="s">
        <v>32</v>
      </c>
      <c r="O1994" t="s">
        <v>33</v>
      </c>
      <c r="P1994" t="s">
        <v>34</v>
      </c>
      <c r="Q1994" t="s">
        <v>34</v>
      </c>
      <c r="R1994" t="s">
        <v>34</v>
      </c>
      <c r="S1994" t="s">
        <v>34</v>
      </c>
      <c r="T1994" s="117">
        <v>0</v>
      </c>
    </row>
    <row r="1995" spans="1:21" x14ac:dyDescent="0.35">
      <c r="A1995" t="s">
        <v>19</v>
      </c>
      <c r="B1995" t="s">
        <v>27</v>
      </c>
      <c r="C1995" s="1">
        <v>45582</v>
      </c>
      <c r="D1995">
        <f t="shared" si="136"/>
        <v>17</v>
      </c>
      <c r="E1995">
        <f t="shared" si="137"/>
        <v>10</v>
      </c>
      <c r="F1995">
        <f t="shared" si="138"/>
        <v>2024</v>
      </c>
      <c r="G1995" t="s">
        <v>100</v>
      </c>
      <c r="H1995" s="98">
        <v>10671</v>
      </c>
      <c r="I1995" s="29">
        <v>90651.04</v>
      </c>
      <c r="J1995" s="12" t="s">
        <v>31</v>
      </c>
      <c r="K1995" s="76">
        <f t="shared" si="135"/>
        <v>90651.04</v>
      </c>
      <c r="L1995">
        <v>1</v>
      </c>
      <c r="M1995" s="29">
        <v>0</v>
      </c>
      <c r="N1995" t="s">
        <v>32</v>
      </c>
      <c r="O1995" t="s">
        <v>33</v>
      </c>
      <c r="P1995" t="s">
        <v>34</v>
      </c>
      <c r="Q1995" t="s">
        <v>34</v>
      </c>
      <c r="R1995" t="s">
        <v>34</v>
      </c>
      <c r="S1995" t="s">
        <v>34</v>
      </c>
      <c r="T1995" s="117">
        <v>0</v>
      </c>
      <c r="U1995" s="209" t="s">
        <v>501</v>
      </c>
    </row>
    <row r="1996" spans="1:21" x14ac:dyDescent="0.35">
      <c r="A1996" t="s">
        <v>19</v>
      </c>
      <c r="B1996" t="s">
        <v>27</v>
      </c>
      <c r="C1996" s="1">
        <v>45582</v>
      </c>
      <c r="D1996">
        <f t="shared" si="136"/>
        <v>17</v>
      </c>
      <c r="E1996">
        <f t="shared" si="137"/>
        <v>10</v>
      </c>
      <c r="F1996">
        <f t="shared" si="138"/>
        <v>2024</v>
      </c>
      <c r="G1996" t="s">
        <v>100</v>
      </c>
      <c r="H1996" s="98">
        <v>10757</v>
      </c>
      <c r="I1996" s="29">
        <v>78424.5</v>
      </c>
      <c r="J1996" s="12" t="s">
        <v>31</v>
      </c>
      <c r="K1996" s="76">
        <f t="shared" si="135"/>
        <v>78424.5</v>
      </c>
      <c r="L1996">
        <v>1</v>
      </c>
      <c r="M1996" s="29">
        <v>0</v>
      </c>
      <c r="N1996" t="s">
        <v>32</v>
      </c>
      <c r="O1996" t="s">
        <v>33</v>
      </c>
      <c r="P1996" t="s">
        <v>34</v>
      </c>
      <c r="Q1996" t="s">
        <v>34</v>
      </c>
      <c r="R1996" t="s">
        <v>34</v>
      </c>
      <c r="S1996" t="s">
        <v>34</v>
      </c>
      <c r="T1996" s="117">
        <v>0</v>
      </c>
      <c r="U1996" s="209" t="s">
        <v>501</v>
      </c>
    </row>
    <row r="1997" spans="1:21" x14ac:dyDescent="0.35">
      <c r="A1997" t="s">
        <v>19</v>
      </c>
      <c r="B1997" t="s">
        <v>27</v>
      </c>
      <c r="C1997" s="1">
        <v>45582</v>
      </c>
      <c r="D1997">
        <f t="shared" si="136"/>
        <v>17</v>
      </c>
      <c r="E1997">
        <f t="shared" si="137"/>
        <v>10</v>
      </c>
      <c r="F1997">
        <f t="shared" si="138"/>
        <v>2024</v>
      </c>
      <c r="G1997" t="s">
        <v>100</v>
      </c>
      <c r="H1997" s="98">
        <v>10821</v>
      </c>
      <c r="I1997" s="29">
        <v>1912.76</v>
      </c>
      <c r="J1997" s="12" t="s">
        <v>31</v>
      </c>
      <c r="K1997" s="76">
        <f t="shared" si="135"/>
        <v>1912.76</v>
      </c>
      <c r="L1997">
        <v>1</v>
      </c>
      <c r="M1997" s="29">
        <v>0</v>
      </c>
      <c r="N1997" t="s">
        <v>32</v>
      </c>
      <c r="O1997" t="s">
        <v>33</v>
      </c>
      <c r="P1997" t="s">
        <v>34</v>
      </c>
      <c r="Q1997" t="s">
        <v>34</v>
      </c>
      <c r="R1997" t="s">
        <v>34</v>
      </c>
      <c r="S1997" t="s">
        <v>34</v>
      </c>
      <c r="T1997" s="117">
        <v>0</v>
      </c>
      <c r="U1997" s="209" t="s">
        <v>501</v>
      </c>
    </row>
    <row r="1998" spans="1:21" x14ac:dyDescent="0.35">
      <c r="A1998" t="s">
        <v>19</v>
      </c>
      <c r="B1998" t="s">
        <v>19</v>
      </c>
      <c r="C1998" s="1">
        <v>45582</v>
      </c>
      <c r="D1998">
        <f t="shared" si="136"/>
        <v>17</v>
      </c>
      <c r="E1998">
        <f t="shared" si="137"/>
        <v>10</v>
      </c>
      <c r="F1998">
        <f t="shared" si="138"/>
        <v>2024</v>
      </c>
      <c r="G1998" t="s">
        <v>54</v>
      </c>
      <c r="H1998" s="98" t="s">
        <v>576</v>
      </c>
      <c r="I1998" s="29">
        <v>8721.09</v>
      </c>
      <c r="J1998" s="12" t="s">
        <v>31</v>
      </c>
      <c r="K1998" s="76">
        <f t="shared" si="135"/>
        <v>8721.09</v>
      </c>
      <c r="L1998">
        <v>1</v>
      </c>
      <c r="M1998" s="29">
        <v>0</v>
      </c>
      <c r="N1998" t="s">
        <v>32</v>
      </c>
      <c r="O1998" t="s">
        <v>33</v>
      </c>
      <c r="P1998" t="s">
        <v>34</v>
      </c>
      <c r="Q1998" t="s">
        <v>34</v>
      </c>
      <c r="R1998" t="s">
        <v>34</v>
      </c>
      <c r="S1998" t="s">
        <v>34</v>
      </c>
      <c r="T1998" s="117">
        <v>4342</v>
      </c>
    </row>
    <row r="1999" spans="1:21" x14ac:dyDescent="0.35">
      <c r="A1999" t="s">
        <v>19</v>
      </c>
      <c r="B1999" t="s">
        <v>19</v>
      </c>
      <c r="C1999" s="1">
        <v>45582</v>
      </c>
      <c r="D1999">
        <f t="shared" si="136"/>
        <v>17</v>
      </c>
      <c r="E1999">
        <f t="shared" si="137"/>
        <v>10</v>
      </c>
      <c r="F1999">
        <f t="shared" si="138"/>
        <v>2024</v>
      </c>
      <c r="G1999" t="s">
        <v>56</v>
      </c>
      <c r="H1999" s="98" t="s">
        <v>577</v>
      </c>
      <c r="I1999" s="29">
        <v>180279.12</v>
      </c>
      <c r="J1999" s="12" t="s">
        <v>31</v>
      </c>
      <c r="K1999" s="76">
        <f t="shared" si="135"/>
        <v>180279.12</v>
      </c>
      <c r="L1999">
        <v>1</v>
      </c>
      <c r="M1999" s="29">
        <v>0</v>
      </c>
      <c r="N1999" t="s">
        <v>32</v>
      </c>
      <c r="O1999" t="s">
        <v>33</v>
      </c>
      <c r="P1999" t="s">
        <v>34</v>
      </c>
      <c r="Q1999" t="s">
        <v>34</v>
      </c>
      <c r="R1999" t="s">
        <v>34</v>
      </c>
      <c r="S1999" t="s">
        <v>34</v>
      </c>
      <c r="T1999" s="117">
        <v>0</v>
      </c>
    </row>
    <row r="2000" spans="1:21" x14ac:dyDescent="0.35">
      <c r="A2000" t="s">
        <v>19</v>
      </c>
      <c r="B2000" t="s">
        <v>19</v>
      </c>
      <c r="C2000" s="1">
        <v>45582</v>
      </c>
      <c r="D2000">
        <f t="shared" si="136"/>
        <v>17</v>
      </c>
      <c r="E2000">
        <f t="shared" si="137"/>
        <v>10</v>
      </c>
      <c r="F2000">
        <f t="shared" si="138"/>
        <v>2024</v>
      </c>
      <c r="G2000" t="s">
        <v>56</v>
      </c>
      <c r="H2000" s="98" t="s">
        <v>578</v>
      </c>
      <c r="I2000" s="29">
        <v>189185.68</v>
      </c>
      <c r="J2000" s="12" t="s">
        <v>31</v>
      </c>
      <c r="K2000" s="76">
        <f t="shared" si="135"/>
        <v>189185.68</v>
      </c>
      <c r="L2000">
        <v>1</v>
      </c>
      <c r="M2000" s="29">
        <v>0</v>
      </c>
      <c r="N2000" t="s">
        <v>32</v>
      </c>
      <c r="O2000" t="s">
        <v>33</v>
      </c>
      <c r="P2000" t="s">
        <v>34</v>
      </c>
      <c r="Q2000" t="s">
        <v>34</v>
      </c>
      <c r="R2000" t="s">
        <v>34</v>
      </c>
      <c r="S2000" t="s">
        <v>34</v>
      </c>
      <c r="T2000" s="117">
        <v>0</v>
      </c>
    </row>
    <row r="2001" spans="1:21" x14ac:dyDescent="0.35">
      <c r="A2001" t="s">
        <v>19</v>
      </c>
      <c r="B2001" t="s">
        <v>19</v>
      </c>
      <c r="C2001" s="1">
        <v>45582</v>
      </c>
      <c r="D2001">
        <f t="shared" si="136"/>
        <v>17</v>
      </c>
      <c r="E2001">
        <f t="shared" si="137"/>
        <v>10</v>
      </c>
      <c r="F2001">
        <f t="shared" si="138"/>
        <v>2024</v>
      </c>
      <c r="G2001" t="s">
        <v>56</v>
      </c>
      <c r="H2001" s="98" t="s">
        <v>579</v>
      </c>
      <c r="I2001" s="29">
        <v>178195.77</v>
      </c>
      <c r="J2001" s="12" t="s">
        <v>31</v>
      </c>
      <c r="K2001" s="76">
        <f t="shared" si="135"/>
        <v>178195.77</v>
      </c>
      <c r="L2001">
        <v>1</v>
      </c>
      <c r="M2001" s="29">
        <v>0</v>
      </c>
      <c r="N2001" t="s">
        <v>32</v>
      </c>
      <c r="O2001" t="s">
        <v>33</v>
      </c>
      <c r="P2001" t="s">
        <v>34</v>
      </c>
      <c r="Q2001" t="s">
        <v>34</v>
      </c>
      <c r="R2001" t="s">
        <v>34</v>
      </c>
      <c r="S2001" t="s">
        <v>34</v>
      </c>
      <c r="T2001" s="117">
        <v>0</v>
      </c>
    </row>
    <row r="2002" spans="1:21" x14ac:dyDescent="0.35">
      <c r="A2002" t="s">
        <v>19</v>
      </c>
      <c r="B2002" t="s">
        <v>19</v>
      </c>
      <c r="C2002" s="1">
        <v>45582</v>
      </c>
      <c r="D2002">
        <f t="shared" si="136"/>
        <v>17</v>
      </c>
      <c r="E2002">
        <f t="shared" si="137"/>
        <v>10</v>
      </c>
      <c r="F2002">
        <f t="shared" si="138"/>
        <v>2024</v>
      </c>
      <c r="G2002" t="s">
        <v>56</v>
      </c>
      <c r="H2002" s="98" t="s">
        <v>580</v>
      </c>
      <c r="I2002" s="29">
        <v>4055.92</v>
      </c>
      <c r="J2002" s="12" t="s">
        <v>31</v>
      </c>
      <c r="K2002" s="76">
        <f t="shared" si="135"/>
        <v>4055.92</v>
      </c>
      <c r="L2002">
        <v>1</v>
      </c>
      <c r="M2002" s="29">
        <v>0</v>
      </c>
      <c r="N2002" t="s">
        <v>32</v>
      </c>
      <c r="O2002" t="s">
        <v>33</v>
      </c>
      <c r="P2002" t="s">
        <v>34</v>
      </c>
      <c r="Q2002" t="s">
        <v>34</v>
      </c>
      <c r="R2002" t="s">
        <v>34</v>
      </c>
      <c r="S2002" t="s">
        <v>34</v>
      </c>
      <c r="T2002" s="117">
        <v>0</v>
      </c>
    </row>
    <row r="2003" spans="1:21" x14ac:dyDescent="0.35">
      <c r="A2003" t="s">
        <v>19</v>
      </c>
      <c r="B2003" t="s">
        <v>19</v>
      </c>
      <c r="C2003" s="1">
        <v>45582</v>
      </c>
      <c r="D2003">
        <f t="shared" si="136"/>
        <v>17</v>
      </c>
      <c r="E2003">
        <f t="shared" si="137"/>
        <v>10</v>
      </c>
      <c r="F2003">
        <f t="shared" si="138"/>
        <v>2024</v>
      </c>
      <c r="G2003" t="s">
        <v>69</v>
      </c>
      <c r="H2003" s="98" t="s">
        <v>581</v>
      </c>
      <c r="I2003" s="29">
        <v>54415.79</v>
      </c>
      <c r="J2003" s="12" t="s">
        <v>31</v>
      </c>
      <c r="K2003" s="76">
        <f t="shared" ref="K2003:K2016" si="139">IF(J2003="USD",I2003,I2003*L2003)</f>
        <v>54415.79</v>
      </c>
      <c r="L2003">
        <v>1</v>
      </c>
      <c r="M2003" s="29">
        <v>0</v>
      </c>
      <c r="N2003" t="s">
        <v>32</v>
      </c>
      <c r="O2003" t="s">
        <v>33</v>
      </c>
      <c r="P2003" t="s">
        <v>34</v>
      </c>
      <c r="Q2003" t="s">
        <v>34</v>
      </c>
      <c r="R2003" t="s">
        <v>34</v>
      </c>
      <c r="S2003" t="s">
        <v>34</v>
      </c>
      <c r="T2003" s="117">
        <v>0</v>
      </c>
    </row>
    <row r="2004" spans="1:21" x14ac:dyDescent="0.35">
      <c r="A2004" t="s">
        <v>19</v>
      </c>
      <c r="B2004" t="s">
        <v>26</v>
      </c>
      <c r="C2004" s="1">
        <v>45582</v>
      </c>
      <c r="D2004">
        <f t="shared" si="136"/>
        <v>17</v>
      </c>
      <c r="E2004">
        <f t="shared" si="137"/>
        <v>10</v>
      </c>
      <c r="F2004">
        <f t="shared" si="138"/>
        <v>2024</v>
      </c>
      <c r="G2004" t="s">
        <v>73</v>
      </c>
      <c r="H2004" s="98">
        <v>11280</v>
      </c>
      <c r="I2004" s="29">
        <v>76330.429999999993</v>
      </c>
      <c r="J2004" s="12" t="s">
        <v>51</v>
      </c>
      <c r="K2004" s="76">
        <f t="shared" si="139"/>
        <v>82894.846980000002</v>
      </c>
      <c r="L2004">
        <v>1.0860000000000001</v>
      </c>
      <c r="M2004" s="29">
        <v>0</v>
      </c>
      <c r="N2004" t="s">
        <v>32</v>
      </c>
      <c r="O2004" t="s">
        <v>33</v>
      </c>
      <c r="P2004" t="s">
        <v>34</v>
      </c>
      <c r="Q2004" t="s">
        <v>34</v>
      </c>
      <c r="R2004" t="s">
        <v>34</v>
      </c>
      <c r="S2004" t="s">
        <v>34</v>
      </c>
      <c r="T2004" s="117">
        <v>0</v>
      </c>
      <c r="U2004" s="209" t="s">
        <v>94</v>
      </c>
    </row>
    <row r="2005" spans="1:21" x14ac:dyDescent="0.35">
      <c r="A2005" t="s">
        <v>19</v>
      </c>
      <c r="B2005" t="s">
        <v>26</v>
      </c>
      <c r="C2005" s="1">
        <v>45582</v>
      </c>
      <c r="D2005">
        <f t="shared" si="136"/>
        <v>17</v>
      </c>
      <c r="E2005">
        <f t="shared" si="137"/>
        <v>10</v>
      </c>
      <c r="F2005">
        <f t="shared" si="138"/>
        <v>2024</v>
      </c>
      <c r="G2005" t="s">
        <v>73</v>
      </c>
      <c r="H2005" s="98">
        <v>11281</v>
      </c>
      <c r="I2005" s="29">
        <v>61103.48</v>
      </c>
      <c r="J2005" s="12" t="s">
        <v>51</v>
      </c>
      <c r="K2005" s="76">
        <f t="shared" si="139"/>
        <v>66358.379280000008</v>
      </c>
      <c r="L2005">
        <v>1.0860000000000001</v>
      </c>
      <c r="M2005" s="29">
        <v>0</v>
      </c>
      <c r="N2005" t="s">
        <v>32</v>
      </c>
      <c r="O2005" t="s">
        <v>33</v>
      </c>
      <c r="P2005" t="s">
        <v>34</v>
      </c>
      <c r="Q2005" t="s">
        <v>34</v>
      </c>
      <c r="R2005" t="s">
        <v>34</v>
      </c>
      <c r="S2005" t="s">
        <v>34</v>
      </c>
      <c r="T2005" s="117">
        <v>0</v>
      </c>
      <c r="U2005" s="209" t="s">
        <v>94</v>
      </c>
    </row>
    <row r="2006" spans="1:21" x14ac:dyDescent="0.35">
      <c r="A2006" t="s">
        <v>19</v>
      </c>
      <c r="B2006" t="s">
        <v>19</v>
      </c>
      <c r="C2006" s="1">
        <v>45583</v>
      </c>
      <c r="D2006">
        <f t="shared" si="136"/>
        <v>18</v>
      </c>
      <c r="E2006">
        <f t="shared" si="137"/>
        <v>10</v>
      </c>
      <c r="F2006">
        <f t="shared" si="138"/>
        <v>2024</v>
      </c>
      <c r="G2006" t="s">
        <v>582</v>
      </c>
      <c r="H2006" s="98" t="s">
        <v>583</v>
      </c>
      <c r="I2006" s="29">
        <v>11127</v>
      </c>
      <c r="J2006" s="12" t="s">
        <v>31</v>
      </c>
      <c r="K2006" s="76">
        <f t="shared" si="139"/>
        <v>11127</v>
      </c>
      <c r="L2006">
        <v>1</v>
      </c>
      <c r="M2006" s="29">
        <v>0</v>
      </c>
      <c r="N2006" t="s">
        <v>42</v>
      </c>
      <c r="O2006" t="s">
        <v>33</v>
      </c>
      <c r="P2006" t="s">
        <v>34</v>
      </c>
      <c r="Q2006" t="s">
        <v>34</v>
      </c>
      <c r="R2006" t="s">
        <v>34</v>
      </c>
      <c r="S2006" t="s">
        <v>34</v>
      </c>
      <c r="T2006" s="117">
        <v>0</v>
      </c>
    </row>
    <row r="2007" spans="1:21" x14ac:dyDescent="0.35">
      <c r="A2007" t="s">
        <v>19</v>
      </c>
      <c r="B2007" t="s">
        <v>19</v>
      </c>
      <c r="C2007" s="1">
        <v>45583</v>
      </c>
      <c r="D2007">
        <f t="shared" si="136"/>
        <v>18</v>
      </c>
      <c r="E2007">
        <f t="shared" si="137"/>
        <v>10</v>
      </c>
      <c r="F2007">
        <f t="shared" si="138"/>
        <v>2024</v>
      </c>
      <c r="G2007" t="s">
        <v>582</v>
      </c>
      <c r="H2007" s="98" t="s">
        <v>584</v>
      </c>
      <c r="I2007" s="29">
        <v>5047.5</v>
      </c>
      <c r="J2007" s="12" t="s">
        <v>31</v>
      </c>
      <c r="K2007" s="76">
        <f t="shared" si="139"/>
        <v>5047.5</v>
      </c>
      <c r="L2007">
        <v>1</v>
      </c>
      <c r="M2007" s="29">
        <v>0</v>
      </c>
      <c r="N2007" t="s">
        <v>42</v>
      </c>
      <c r="O2007" t="s">
        <v>33</v>
      </c>
      <c r="P2007" t="s">
        <v>34</v>
      </c>
      <c r="Q2007" t="s">
        <v>34</v>
      </c>
      <c r="R2007" t="s">
        <v>34</v>
      </c>
      <c r="S2007" t="s">
        <v>34</v>
      </c>
      <c r="T2007" s="117">
        <v>0</v>
      </c>
    </row>
    <row r="2008" spans="1:21" x14ac:dyDescent="0.35">
      <c r="A2008" t="s">
        <v>19</v>
      </c>
      <c r="B2008" t="s">
        <v>27</v>
      </c>
      <c r="C2008" s="1">
        <v>45583</v>
      </c>
      <c r="D2008">
        <f t="shared" si="136"/>
        <v>18</v>
      </c>
      <c r="E2008">
        <f t="shared" si="137"/>
        <v>10</v>
      </c>
      <c r="F2008">
        <f t="shared" si="138"/>
        <v>2024</v>
      </c>
      <c r="G2008" t="s">
        <v>100</v>
      </c>
      <c r="H2008" s="98">
        <v>10962</v>
      </c>
      <c r="I2008" s="29">
        <v>251836.36</v>
      </c>
      <c r="J2008" s="12" t="s">
        <v>31</v>
      </c>
      <c r="K2008" s="76">
        <f t="shared" si="139"/>
        <v>251836.36</v>
      </c>
      <c r="L2008">
        <v>1</v>
      </c>
      <c r="M2008" s="29">
        <v>0</v>
      </c>
      <c r="N2008" t="s">
        <v>32</v>
      </c>
      <c r="O2008" t="s">
        <v>33</v>
      </c>
      <c r="P2008" t="s">
        <v>34</v>
      </c>
      <c r="Q2008" t="s">
        <v>34</v>
      </c>
      <c r="R2008" t="s">
        <v>34</v>
      </c>
      <c r="S2008" t="s">
        <v>34</v>
      </c>
      <c r="T2008" s="117">
        <v>0</v>
      </c>
    </row>
    <row r="2009" spans="1:21" x14ac:dyDescent="0.35">
      <c r="A2009" t="s">
        <v>19</v>
      </c>
      <c r="B2009" t="s">
        <v>27</v>
      </c>
      <c r="C2009" s="1">
        <v>45583</v>
      </c>
      <c r="D2009">
        <f t="shared" si="136"/>
        <v>18</v>
      </c>
      <c r="E2009">
        <f t="shared" si="137"/>
        <v>10</v>
      </c>
      <c r="F2009">
        <f t="shared" si="138"/>
        <v>2024</v>
      </c>
      <c r="G2009" t="s">
        <v>100</v>
      </c>
      <c r="H2009" s="98">
        <v>10927</v>
      </c>
      <c r="I2009" s="29">
        <v>48163.64</v>
      </c>
      <c r="J2009" s="12" t="s">
        <v>31</v>
      </c>
      <c r="K2009" s="76">
        <f t="shared" si="139"/>
        <v>48163.64</v>
      </c>
      <c r="L2009">
        <v>1</v>
      </c>
      <c r="M2009" s="29">
        <v>0</v>
      </c>
      <c r="N2009" t="s">
        <v>32</v>
      </c>
      <c r="O2009" t="s">
        <v>33</v>
      </c>
      <c r="P2009" t="s">
        <v>34</v>
      </c>
      <c r="Q2009" t="s">
        <v>34</v>
      </c>
      <c r="R2009" t="s">
        <v>34</v>
      </c>
      <c r="S2009" t="s">
        <v>34</v>
      </c>
      <c r="T2009" s="117">
        <v>0</v>
      </c>
    </row>
    <row r="2010" spans="1:21" x14ac:dyDescent="0.35">
      <c r="A2010" t="s">
        <v>19</v>
      </c>
      <c r="B2010" t="s">
        <v>19</v>
      </c>
      <c r="C2010" s="1">
        <v>45583</v>
      </c>
      <c r="D2010">
        <f t="shared" si="136"/>
        <v>18</v>
      </c>
      <c r="E2010">
        <f t="shared" si="137"/>
        <v>10</v>
      </c>
      <c r="F2010">
        <f t="shared" si="138"/>
        <v>2024</v>
      </c>
      <c r="G2010" t="s">
        <v>57</v>
      </c>
      <c r="H2010" s="171" t="s">
        <v>585</v>
      </c>
      <c r="I2010" s="90">
        <v>113424.13</v>
      </c>
      <c r="J2010" s="12" t="s">
        <v>31</v>
      </c>
      <c r="K2010" s="76">
        <f t="shared" si="139"/>
        <v>113424.13</v>
      </c>
      <c r="L2010">
        <v>1</v>
      </c>
      <c r="M2010" s="29">
        <v>0</v>
      </c>
      <c r="N2010" t="s">
        <v>32</v>
      </c>
      <c r="O2010" t="s">
        <v>33</v>
      </c>
      <c r="P2010" t="s">
        <v>34</v>
      </c>
      <c r="Q2010" t="s">
        <v>34</v>
      </c>
      <c r="R2010" t="s">
        <v>34</v>
      </c>
      <c r="S2010" t="s">
        <v>34</v>
      </c>
      <c r="T2010" s="117">
        <v>0</v>
      </c>
    </row>
    <row r="2011" spans="1:21" x14ac:dyDescent="0.35">
      <c r="A2011" t="s">
        <v>19</v>
      </c>
      <c r="B2011" t="s">
        <v>19</v>
      </c>
      <c r="C2011" s="1">
        <v>45583</v>
      </c>
      <c r="D2011">
        <f t="shared" si="136"/>
        <v>18</v>
      </c>
      <c r="E2011">
        <f t="shared" si="137"/>
        <v>10</v>
      </c>
      <c r="F2011">
        <f t="shared" si="138"/>
        <v>2024</v>
      </c>
      <c r="G2011" t="s">
        <v>120</v>
      </c>
      <c r="H2011" s="171" t="s">
        <v>586</v>
      </c>
      <c r="I2011" s="90">
        <v>77206.48</v>
      </c>
      <c r="J2011" s="12" t="s">
        <v>31</v>
      </c>
      <c r="K2011" s="76">
        <f t="shared" si="139"/>
        <v>77206.48</v>
      </c>
      <c r="L2011">
        <v>1</v>
      </c>
      <c r="M2011" s="29">
        <v>0</v>
      </c>
      <c r="N2011" t="s">
        <v>32</v>
      </c>
      <c r="O2011" t="s">
        <v>33</v>
      </c>
      <c r="P2011" t="s">
        <v>34</v>
      </c>
      <c r="Q2011" t="s">
        <v>34</v>
      </c>
      <c r="R2011" t="s">
        <v>34</v>
      </c>
      <c r="S2011" t="s">
        <v>34</v>
      </c>
      <c r="T2011" s="117">
        <v>0</v>
      </c>
    </row>
    <row r="2012" spans="1:21" x14ac:dyDescent="0.35">
      <c r="A2012" t="s">
        <v>19</v>
      </c>
      <c r="B2012" t="s">
        <v>19</v>
      </c>
      <c r="C2012" s="1">
        <v>45583</v>
      </c>
      <c r="D2012">
        <f t="shared" si="136"/>
        <v>18</v>
      </c>
      <c r="E2012">
        <f t="shared" si="137"/>
        <v>10</v>
      </c>
      <c r="F2012">
        <f t="shared" si="138"/>
        <v>2024</v>
      </c>
      <c r="G2012" t="s">
        <v>523</v>
      </c>
      <c r="H2012" s="98" t="s">
        <v>587</v>
      </c>
      <c r="I2012" s="29">
        <v>60509.55</v>
      </c>
      <c r="J2012" s="12" t="s">
        <v>31</v>
      </c>
      <c r="K2012" s="76">
        <f t="shared" si="139"/>
        <v>60509.55</v>
      </c>
      <c r="L2012">
        <v>1</v>
      </c>
      <c r="M2012" s="29">
        <v>0</v>
      </c>
      <c r="N2012" t="s">
        <v>32</v>
      </c>
      <c r="O2012" t="s">
        <v>33</v>
      </c>
      <c r="P2012" t="s">
        <v>34</v>
      </c>
      <c r="Q2012" t="s">
        <v>34</v>
      </c>
      <c r="R2012" t="s">
        <v>34</v>
      </c>
      <c r="S2012" t="s">
        <v>34</v>
      </c>
      <c r="T2012" s="117">
        <v>0</v>
      </c>
    </row>
    <row r="2013" spans="1:21" x14ac:dyDescent="0.35">
      <c r="A2013" t="s">
        <v>19</v>
      </c>
      <c r="B2013" t="s">
        <v>19</v>
      </c>
      <c r="C2013" s="1">
        <v>45583</v>
      </c>
      <c r="D2013">
        <f t="shared" si="136"/>
        <v>18</v>
      </c>
      <c r="E2013">
        <f t="shared" si="137"/>
        <v>10</v>
      </c>
      <c r="F2013">
        <f t="shared" si="138"/>
        <v>2024</v>
      </c>
      <c r="G2013" t="s">
        <v>101</v>
      </c>
      <c r="H2013" s="98" t="s">
        <v>588</v>
      </c>
      <c r="I2013" s="29">
        <v>9742.2000000000007</v>
      </c>
      <c r="J2013" s="12" t="s">
        <v>31</v>
      </c>
      <c r="K2013" s="76">
        <f t="shared" si="139"/>
        <v>9742.2000000000007</v>
      </c>
      <c r="L2013">
        <v>1</v>
      </c>
      <c r="M2013" s="29">
        <v>0</v>
      </c>
      <c r="N2013" t="s">
        <v>32</v>
      </c>
      <c r="O2013" t="s">
        <v>33</v>
      </c>
      <c r="P2013" t="s">
        <v>34</v>
      </c>
      <c r="Q2013" t="s">
        <v>34</v>
      </c>
      <c r="R2013" t="s">
        <v>34</v>
      </c>
      <c r="S2013" t="s">
        <v>34</v>
      </c>
      <c r="T2013" s="117">
        <v>0</v>
      </c>
    </row>
    <row r="2014" spans="1:21" x14ac:dyDescent="0.35">
      <c r="A2014" t="s">
        <v>19</v>
      </c>
      <c r="B2014" t="s">
        <v>23</v>
      </c>
      <c r="C2014" s="1">
        <v>45588</v>
      </c>
      <c r="D2014">
        <f t="shared" si="136"/>
        <v>23</v>
      </c>
      <c r="E2014">
        <f t="shared" si="137"/>
        <v>10</v>
      </c>
      <c r="F2014">
        <f t="shared" si="138"/>
        <v>2024</v>
      </c>
      <c r="G2014" t="s">
        <v>74</v>
      </c>
      <c r="H2014" s="98">
        <v>11009</v>
      </c>
      <c r="I2014" s="29">
        <v>41911</v>
      </c>
      <c r="J2014" s="12" t="s">
        <v>31</v>
      </c>
      <c r="K2014" s="76">
        <f t="shared" si="139"/>
        <v>41911</v>
      </c>
      <c r="L2014">
        <v>1</v>
      </c>
      <c r="M2014" s="29">
        <v>0</v>
      </c>
      <c r="N2014" t="s">
        <v>32</v>
      </c>
      <c r="O2014" t="s">
        <v>33</v>
      </c>
      <c r="P2014" t="s">
        <v>34</v>
      </c>
      <c r="Q2014" t="s">
        <v>34</v>
      </c>
      <c r="R2014" t="s">
        <v>34</v>
      </c>
      <c r="S2014" t="s">
        <v>34</v>
      </c>
      <c r="T2014" s="117">
        <v>0</v>
      </c>
    </row>
    <row r="2015" spans="1:21" x14ac:dyDescent="0.35">
      <c r="A2015" t="s">
        <v>19</v>
      </c>
      <c r="B2015" t="s">
        <v>23</v>
      </c>
      <c r="C2015" s="1">
        <v>45588</v>
      </c>
      <c r="D2015">
        <f t="shared" si="136"/>
        <v>23</v>
      </c>
      <c r="E2015">
        <f t="shared" si="137"/>
        <v>10</v>
      </c>
      <c r="F2015">
        <f t="shared" si="138"/>
        <v>2024</v>
      </c>
      <c r="G2015" t="s">
        <v>76</v>
      </c>
      <c r="H2015" s="98">
        <v>11366</v>
      </c>
      <c r="I2015" s="29">
        <v>25722.5</v>
      </c>
      <c r="J2015" s="12" t="s">
        <v>31</v>
      </c>
      <c r="K2015" s="76">
        <f t="shared" si="139"/>
        <v>25722.5</v>
      </c>
      <c r="L2015">
        <v>1</v>
      </c>
      <c r="M2015" s="29">
        <v>0</v>
      </c>
      <c r="N2015" t="s">
        <v>42</v>
      </c>
      <c r="O2015" t="s">
        <v>33</v>
      </c>
      <c r="P2015" t="s">
        <v>34</v>
      </c>
      <c r="Q2015" t="s">
        <v>34</v>
      </c>
      <c r="R2015" t="s">
        <v>34</v>
      </c>
      <c r="S2015" t="s">
        <v>34</v>
      </c>
      <c r="T2015" s="117">
        <v>0</v>
      </c>
    </row>
    <row r="2016" spans="1:21" x14ac:dyDescent="0.35">
      <c r="A2016" t="s">
        <v>19</v>
      </c>
      <c r="B2016" t="s">
        <v>21</v>
      </c>
      <c r="C2016" s="1">
        <v>45588</v>
      </c>
      <c r="D2016">
        <f t="shared" si="136"/>
        <v>23</v>
      </c>
      <c r="E2016">
        <f t="shared" si="137"/>
        <v>10</v>
      </c>
      <c r="F2016">
        <f t="shared" si="138"/>
        <v>2024</v>
      </c>
      <c r="G2016" t="s">
        <v>76</v>
      </c>
      <c r="H2016" s="98">
        <v>11366</v>
      </c>
      <c r="I2016" s="29">
        <v>15015.3</v>
      </c>
      <c r="J2016" s="12" t="s">
        <v>31</v>
      </c>
      <c r="K2016" s="76">
        <f t="shared" si="139"/>
        <v>15015.3</v>
      </c>
      <c r="L2016">
        <v>1</v>
      </c>
      <c r="M2016" s="29">
        <v>0</v>
      </c>
      <c r="N2016" t="s">
        <v>42</v>
      </c>
      <c r="O2016" t="s">
        <v>33</v>
      </c>
      <c r="P2016" t="s">
        <v>34</v>
      </c>
      <c r="Q2016" t="s">
        <v>34</v>
      </c>
      <c r="R2016" t="s">
        <v>34</v>
      </c>
      <c r="S2016" t="s">
        <v>34</v>
      </c>
      <c r="T2016" s="117">
        <v>0</v>
      </c>
    </row>
    <row r="2017" spans="1:21" x14ac:dyDescent="0.35">
      <c r="A2017" t="s">
        <v>19</v>
      </c>
      <c r="B2017" t="s">
        <v>21</v>
      </c>
      <c r="C2017" s="1">
        <v>45588</v>
      </c>
      <c r="D2017">
        <f t="shared" si="136"/>
        <v>23</v>
      </c>
      <c r="E2017">
        <f t="shared" si="137"/>
        <v>10</v>
      </c>
      <c r="F2017">
        <f t="shared" si="138"/>
        <v>2024</v>
      </c>
      <c r="G2017" t="s">
        <v>76</v>
      </c>
      <c r="H2017" s="98">
        <v>11119</v>
      </c>
      <c r="I2017" s="29">
        <v>175.2</v>
      </c>
      <c r="J2017" s="12" t="s">
        <v>31</v>
      </c>
      <c r="K2017" s="29">
        <v>175.2</v>
      </c>
      <c r="L2017">
        <v>1</v>
      </c>
      <c r="M2017" s="29">
        <v>0</v>
      </c>
      <c r="N2017" t="s">
        <v>42</v>
      </c>
      <c r="O2017" t="s">
        <v>33</v>
      </c>
      <c r="P2017" t="s">
        <v>34</v>
      </c>
      <c r="Q2017" t="s">
        <v>34</v>
      </c>
      <c r="R2017" t="s">
        <v>34</v>
      </c>
      <c r="S2017" t="s">
        <v>34</v>
      </c>
      <c r="T2017" s="117">
        <v>0</v>
      </c>
      <c r="U2017" s="209" t="s">
        <v>745</v>
      </c>
    </row>
    <row r="2018" spans="1:21" x14ac:dyDescent="0.35">
      <c r="A2018" t="s">
        <v>19</v>
      </c>
      <c r="B2018" t="s">
        <v>23</v>
      </c>
      <c r="C2018" s="1">
        <v>45588</v>
      </c>
      <c r="D2018">
        <f t="shared" si="136"/>
        <v>23</v>
      </c>
      <c r="E2018">
        <f t="shared" si="137"/>
        <v>10</v>
      </c>
      <c r="F2018">
        <f t="shared" si="138"/>
        <v>2024</v>
      </c>
      <c r="G2018" t="s">
        <v>594</v>
      </c>
      <c r="H2018" s="98">
        <v>11369</v>
      </c>
      <c r="I2018" s="29">
        <v>2850</v>
      </c>
      <c r="J2018" s="12" t="s">
        <v>31</v>
      </c>
      <c r="K2018" s="76">
        <f t="shared" ref="K2018:K2050" si="140">IF(J2018="USD",I2018,I2018*L2018)</f>
        <v>2850</v>
      </c>
      <c r="L2018">
        <v>1</v>
      </c>
      <c r="M2018" s="29">
        <v>0</v>
      </c>
      <c r="N2018" t="s">
        <v>42</v>
      </c>
      <c r="O2018" t="s">
        <v>33</v>
      </c>
      <c r="P2018" t="s">
        <v>34</v>
      </c>
      <c r="Q2018" t="s">
        <v>34</v>
      </c>
      <c r="R2018" t="s">
        <v>34</v>
      </c>
      <c r="S2018" t="s">
        <v>34</v>
      </c>
      <c r="T2018" s="117">
        <v>0</v>
      </c>
    </row>
    <row r="2019" spans="1:21" x14ac:dyDescent="0.35">
      <c r="A2019" t="s">
        <v>19</v>
      </c>
      <c r="B2019" t="s">
        <v>25</v>
      </c>
      <c r="C2019" s="1">
        <v>45588</v>
      </c>
      <c r="D2019">
        <f t="shared" si="136"/>
        <v>23</v>
      </c>
      <c r="E2019">
        <f t="shared" si="137"/>
        <v>10</v>
      </c>
      <c r="F2019">
        <f t="shared" si="138"/>
        <v>2024</v>
      </c>
      <c r="G2019" t="s">
        <v>39</v>
      </c>
      <c r="H2019" s="98">
        <v>11054</v>
      </c>
      <c r="I2019" s="29">
        <v>15569.64</v>
      </c>
      <c r="J2019" s="12" t="s">
        <v>31</v>
      </c>
      <c r="K2019" s="76">
        <f t="shared" si="140"/>
        <v>15569.64</v>
      </c>
      <c r="L2019">
        <v>1</v>
      </c>
      <c r="M2019" s="29">
        <v>0</v>
      </c>
      <c r="N2019" t="s">
        <v>42</v>
      </c>
      <c r="O2019" t="s">
        <v>33</v>
      </c>
      <c r="P2019" t="s">
        <v>34</v>
      </c>
      <c r="Q2019" t="s">
        <v>34</v>
      </c>
      <c r="R2019" t="s">
        <v>34</v>
      </c>
      <c r="S2019" t="s">
        <v>34</v>
      </c>
      <c r="T2019" s="117">
        <v>0</v>
      </c>
    </row>
    <row r="2020" spans="1:21" x14ac:dyDescent="0.35">
      <c r="A2020" t="s">
        <v>19</v>
      </c>
      <c r="B2020" t="s">
        <v>25</v>
      </c>
      <c r="C2020" s="1">
        <v>45588</v>
      </c>
      <c r="D2020">
        <f t="shared" si="136"/>
        <v>23</v>
      </c>
      <c r="E2020">
        <f t="shared" si="137"/>
        <v>10</v>
      </c>
      <c r="F2020">
        <f t="shared" si="138"/>
        <v>2024</v>
      </c>
      <c r="G2020" t="s">
        <v>93</v>
      </c>
      <c r="H2020" s="98">
        <v>10663</v>
      </c>
      <c r="I2020" s="90">
        <v>8128.89</v>
      </c>
      <c r="J2020" s="12" t="s">
        <v>31</v>
      </c>
      <c r="K2020" s="76">
        <f t="shared" si="140"/>
        <v>8128.89</v>
      </c>
      <c r="L2020">
        <v>1</v>
      </c>
      <c r="M2020" s="29">
        <v>0</v>
      </c>
      <c r="N2020" t="s">
        <v>32</v>
      </c>
      <c r="O2020" t="s">
        <v>33</v>
      </c>
      <c r="P2020" t="s">
        <v>34</v>
      </c>
      <c r="Q2020" t="s">
        <v>34</v>
      </c>
      <c r="R2020" t="s">
        <v>34</v>
      </c>
      <c r="S2020" t="s">
        <v>34</v>
      </c>
      <c r="T2020" s="117">
        <v>0</v>
      </c>
    </row>
    <row r="2021" spans="1:21" x14ac:dyDescent="0.35">
      <c r="A2021" t="s">
        <v>19</v>
      </c>
      <c r="B2021" t="s">
        <v>21</v>
      </c>
      <c r="C2021" s="1">
        <v>45588</v>
      </c>
      <c r="D2021">
        <f t="shared" si="136"/>
        <v>23</v>
      </c>
      <c r="E2021">
        <f t="shared" si="137"/>
        <v>10</v>
      </c>
      <c r="F2021">
        <f t="shared" si="138"/>
        <v>2024</v>
      </c>
      <c r="G2021" t="s">
        <v>35</v>
      </c>
      <c r="H2021" s="171">
        <v>10547</v>
      </c>
      <c r="I2021" s="90">
        <v>4595.93</v>
      </c>
      <c r="J2021" s="12" t="s">
        <v>31</v>
      </c>
      <c r="K2021" s="76">
        <f t="shared" si="140"/>
        <v>4595.93</v>
      </c>
      <c r="L2021">
        <v>1</v>
      </c>
      <c r="M2021" s="29">
        <v>0</v>
      </c>
      <c r="N2021" t="s">
        <v>32</v>
      </c>
      <c r="O2021" t="s">
        <v>33</v>
      </c>
      <c r="P2021" t="s">
        <v>34</v>
      </c>
      <c r="Q2021" t="s">
        <v>34</v>
      </c>
      <c r="R2021" t="s">
        <v>34</v>
      </c>
      <c r="S2021" t="s">
        <v>34</v>
      </c>
      <c r="T2021" s="117">
        <v>390.07</v>
      </c>
    </row>
    <row r="2022" spans="1:21" x14ac:dyDescent="0.35">
      <c r="A2022" t="s">
        <v>19</v>
      </c>
      <c r="B2022" t="s">
        <v>21</v>
      </c>
      <c r="C2022" s="1">
        <v>45588</v>
      </c>
      <c r="D2022">
        <f t="shared" si="136"/>
        <v>23</v>
      </c>
      <c r="E2022">
        <f t="shared" si="137"/>
        <v>10</v>
      </c>
      <c r="F2022">
        <f t="shared" si="138"/>
        <v>2024</v>
      </c>
      <c r="G2022" t="s">
        <v>37</v>
      </c>
      <c r="H2022" s="98">
        <v>10963</v>
      </c>
      <c r="I2022" s="29">
        <v>7894.4</v>
      </c>
      <c r="J2022" s="12" t="s">
        <v>31</v>
      </c>
      <c r="K2022" s="76">
        <f t="shared" si="140"/>
        <v>7894.4</v>
      </c>
      <c r="L2022">
        <v>1</v>
      </c>
      <c r="M2022" s="29">
        <v>0</v>
      </c>
      <c r="N2022" t="s">
        <v>32</v>
      </c>
      <c r="O2022" t="s">
        <v>33</v>
      </c>
      <c r="P2022" t="s">
        <v>34</v>
      </c>
      <c r="Q2022" t="s">
        <v>34</v>
      </c>
      <c r="R2022" t="s">
        <v>34</v>
      </c>
      <c r="S2022" t="s">
        <v>34</v>
      </c>
      <c r="T2022" s="117">
        <v>0</v>
      </c>
    </row>
    <row r="2023" spans="1:21" x14ac:dyDescent="0.35">
      <c r="A2023" t="s">
        <v>20</v>
      </c>
      <c r="B2023" t="s">
        <v>21</v>
      </c>
      <c r="C2023" s="1">
        <v>45588</v>
      </c>
      <c r="D2023">
        <f t="shared" si="136"/>
        <v>23</v>
      </c>
      <c r="E2023">
        <f t="shared" si="137"/>
        <v>10</v>
      </c>
      <c r="F2023">
        <f t="shared" si="138"/>
        <v>2024</v>
      </c>
      <c r="G2023" t="s">
        <v>209</v>
      </c>
      <c r="H2023" s="98">
        <v>10810</v>
      </c>
      <c r="I2023" s="29">
        <v>287.38</v>
      </c>
      <c r="J2023" s="12" t="s">
        <v>31</v>
      </c>
      <c r="K2023" s="76">
        <f t="shared" si="140"/>
        <v>287.38</v>
      </c>
      <c r="L2023">
        <v>1</v>
      </c>
      <c r="M2023" s="29">
        <v>0</v>
      </c>
      <c r="N2023" t="s">
        <v>32</v>
      </c>
      <c r="O2023" t="s">
        <v>33</v>
      </c>
      <c r="P2023" t="s">
        <v>34</v>
      </c>
      <c r="Q2023" t="s">
        <v>34</v>
      </c>
      <c r="R2023" t="s">
        <v>34</v>
      </c>
      <c r="S2023" t="s">
        <v>34</v>
      </c>
      <c r="T2023" s="117">
        <v>0</v>
      </c>
    </row>
    <row r="2024" spans="1:21" x14ac:dyDescent="0.35">
      <c r="A2024" t="s">
        <v>20</v>
      </c>
      <c r="B2024" t="s">
        <v>21</v>
      </c>
      <c r="C2024" s="1">
        <v>45588</v>
      </c>
      <c r="D2024">
        <f t="shared" si="136"/>
        <v>23</v>
      </c>
      <c r="E2024">
        <f t="shared" si="137"/>
        <v>10</v>
      </c>
      <c r="F2024">
        <f t="shared" si="138"/>
        <v>2024</v>
      </c>
      <c r="G2024" t="s">
        <v>209</v>
      </c>
      <c r="H2024" s="98">
        <v>10810</v>
      </c>
      <c r="I2024" s="29">
        <v>6048.65</v>
      </c>
      <c r="J2024" s="12" t="s">
        <v>31</v>
      </c>
      <c r="K2024" s="76">
        <f t="shared" si="140"/>
        <v>6048.65</v>
      </c>
      <c r="L2024">
        <v>1</v>
      </c>
      <c r="M2024" s="29">
        <v>0</v>
      </c>
      <c r="N2024" t="s">
        <v>32</v>
      </c>
      <c r="O2024" t="s">
        <v>33</v>
      </c>
      <c r="P2024" t="s">
        <v>34</v>
      </c>
      <c r="Q2024" t="s">
        <v>34</v>
      </c>
      <c r="R2024" t="s">
        <v>34</v>
      </c>
      <c r="S2024" t="s">
        <v>34</v>
      </c>
      <c r="T2024" s="117">
        <v>0</v>
      </c>
    </row>
    <row r="2025" spans="1:21" x14ac:dyDescent="0.35">
      <c r="A2025" t="s">
        <v>20</v>
      </c>
      <c r="B2025" t="s">
        <v>23</v>
      </c>
      <c r="C2025" s="1">
        <v>45588</v>
      </c>
      <c r="D2025">
        <f t="shared" si="136"/>
        <v>23</v>
      </c>
      <c r="E2025">
        <f t="shared" si="137"/>
        <v>10</v>
      </c>
      <c r="F2025">
        <f t="shared" si="138"/>
        <v>2024</v>
      </c>
      <c r="G2025" t="s">
        <v>483</v>
      </c>
      <c r="H2025" s="98">
        <v>11253</v>
      </c>
      <c r="I2025" s="29">
        <v>551.54999999999995</v>
      </c>
      <c r="J2025" s="12" t="s">
        <v>31</v>
      </c>
      <c r="K2025" s="76">
        <f t="shared" si="140"/>
        <v>551.54999999999995</v>
      </c>
      <c r="L2025">
        <v>1</v>
      </c>
      <c r="M2025" s="29">
        <v>0</v>
      </c>
      <c r="N2025" t="s">
        <v>32</v>
      </c>
      <c r="O2025" t="s">
        <v>33</v>
      </c>
      <c r="P2025" t="s">
        <v>34</v>
      </c>
      <c r="Q2025" t="s">
        <v>34</v>
      </c>
      <c r="R2025" t="s">
        <v>34</v>
      </c>
      <c r="S2025" t="s">
        <v>34</v>
      </c>
      <c r="T2025" s="117">
        <v>0</v>
      </c>
    </row>
    <row r="2026" spans="1:21" ht="13" customHeight="1" x14ac:dyDescent="0.35">
      <c r="A2026" t="s">
        <v>20</v>
      </c>
      <c r="B2026" t="s">
        <v>23</v>
      </c>
      <c r="C2026" s="1">
        <v>45588</v>
      </c>
      <c r="D2026">
        <f t="shared" si="136"/>
        <v>23</v>
      </c>
      <c r="E2026">
        <f t="shared" si="137"/>
        <v>10</v>
      </c>
      <c r="F2026">
        <f t="shared" si="138"/>
        <v>2024</v>
      </c>
      <c r="G2026" t="s">
        <v>483</v>
      </c>
      <c r="H2026" s="98">
        <v>10331</v>
      </c>
      <c r="I2026" s="29">
        <v>6.93</v>
      </c>
      <c r="J2026" s="12" t="s">
        <v>31</v>
      </c>
      <c r="K2026" s="76">
        <f t="shared" si="140"/>
        <v>6.93</v>
      </c>
      <c r="L2026">
        <v>1</v>
      </c>
      <c r="M2026" s="29">
        <v>0</v>
      </c>
      <c r="N2026" t="s">
        <v>32</v>
      </c>
      <c r="O2026" t="s">
        <v>33</v>
      </c>
      <c r="P2026" t="s">
        <v>34</v>
      </c>
      <c r="Q2026" t="s">
        <v>34</v>
      </c>
      <c r="R2026" t="s">
        <v>34</v>
      </c>
      <c r="S2026" t="s">
        <v>34</v>
      </c>
      <c r="T2026" s="117">
        <v>0</v>
      </c>
    </row>
    <row r="2027" spans="1:21" x14ac:dyDescent="0.35">
      <c r="A2027" t="s">
        <v>20</v>
      </c>
      <c r="B2027" t="s">
        <v>21</v>
      </c>
      <c r="C2027" s="1">
        <v>45588</v>
      </c>
      <c r="D2027">
        <f t="shared" si="136"/>
        <v>23</v>
      </c>
      <c r="E2027">
        <f t="shared" si="137"/>
        <v>10</v>
      </c>
      <c r="F2027">
        <f t="shared" si="138"/>
        <v>2024</v>
      </c>
      <c r="G2027" t="s">
        <v>299</v>
      </c>
      <c r="H2027" s="98">
        <v>12090</v>
      </c>
      <c r="I2027" s="29">
        <v>462.68</v>
      </c>
      <c r="J2027" s="12" t="s">
        <v>31</v>
      </c>
      <c r="K2027" s="76">
        <f t="shared" si="140"/>
        <v>462.68</v>
      </c>
      <c r="L2027">
        <v>1</v>
      </c>
      <c r="M2027" s="29">
        <v>0</v>
      </c>
      <c r="N2027" t="s">
        <v>42</v>
      </c>
      <c r="O2027" t="s">
        <v>33</v>
      </c>
      <c r="P2027" t="s">
        <v>34</v>
      </c>
      <c r="Q2027" t="s">
        <v>34</v>
      </c>
      <c r="R2027" t="s">
        <v>34</v>
      </c>
      <c r="S2027" t="s">
        <v>34</v>
      </c>
      <c r="T2027" s="117">
        <v>0</v>
      </c>
    </row>
    <row r="2028" spans="1:21" x14ac:dyDescent="0.35">
      <c r="A2028" t="s">
        <v>20</v>
      </c>
      <c r="B2028" t="s">
        <v>21</v>
      </c>
      <c r="C2028" s="1">
        <v>45588</v>
      </c>
      <c r="D2028">
        <f t="shared" ref="D2028" si="141">DAY(C2028)</f>
        <v>23</v>
      </c>
      <c r="E2028">
        <f t="shared" ref="E2028" si="142">MONTH(C2028)</f>
        <v>10</v>
      </c>
      <c r="F2028">
        <f t="shared" ref="F2028" si="143">YEAR(C2028)</f>
        <v>2024</v>
      </c>
      <c r="G2028" t="s">
        <v>299</v>
      </c>
      <c r="H2028" s="98">
        <v>12485</v>
      </c>
      <c r="I2028" s="29">
        <v>2264.3200000000002</v>
      </c>
      <c r="J2028" s="12" t="s">
        <v>31</v>
      </c>
      <c r="K2028" s="76">
        <f t="shared" ref="K2028" si="144">IF(J2028="USD",I2028,I2028*L2028)</f>
        <v>2264.3200000000002</v>
      </c>
      <c r="L2028">
        <v>1</v>
      </c>
      <c r="M2028" s="29">
        <v>0</v>
      </c>
      <c r="N2028" t="s">
        <v>42</v>
      </c>
      <c r="O2028" t="s">
        <v>33</v>
      </c>
      <c r="P2028" t="s">
        <v>34</v>
      </c>
      <c r="Q2028" t="s">
        <v>34</v>
      </c>
      <c r="R2028" t="s">
        <v>34</v>
      </c>
      <c r="S2028" t="s">
        <v>34</v>
      </c>
      <c r="T2028" s="117">
        <v>0</v>
      </c>
    </row>
    <row r="2029" spans="1:21" x14ac:dyDescent="0.35">
      <c r="A2029" t="s">
        <v>20</v>
      </c>
      <c r="B2029" t="s">
        <v>21</v>
      </c>
      <c r="C2029" s="1">
        <v>45588</v>
      </c>
      <c r="D2029">
        <f t="shared" si="136"/>
        <v>23</v>
      </c>
      <c r="E2029">
        <f t="shared" si="137"/>
        <v>10</v>
      </c>
      <c r="F2029">
        <f t="shared" si="138"/>
        <v>2024</v>
      </c>
      <c r="G2029" t="s">
        <v>299</v>
      </c>
      <c r="H2029" s="98">
        <v>12090</v>
      </c>
      <c r="I2029" s="29">
        <v>262</v>
      </c>
      <c r="J2029" s="12" t="s">
        <v>31</v>
      </c>
      <c r="K2029" s="76">
        <f t="shared" si="140"/>
        <v>262</v>
      </c>
      <c r="L2029">
        <v>1</v>
      </c>
      <c r="M2029" s="29">
        <v>0</v>
      </c>
      <c r="N2029" t="s">
        <v>42</v>
      </c>
      <c r="O2029" t="s">
        <v>33</v>
      </c>
      <c r="P2029" t="s">
        <v>34</v>
      </c>
      <c r="Q2029" t="s">
        <v>34</v>
      </c>
      <c r="R2029" t="s">
        <v>34</v>
      </c>
      <c r="S2029" t="s">
        <v>34</v>
      </c>
      <c r="T2029" s="117">
        <v>0</v>
      </c>
      <c r="U2029" s="209" t="s">
        <v>1380</v>
      </c>
    </row>
    <row r="2030" spans="1:21" x14ac:dyDescent="0.35">
      <c r="A2030" t="s">
        <v>20</v>
      </c>
      <c r="B2030" t="s">
        <v>25</v>
      </c>
      <c r="C2030" s="1">
        <v>45588</v>
      </c>
      <c r="D2030">
        <f t="shared" si="136"/>
        <v>23</v>
      </c>
      <c r="E2030">
        <f t="shared" si="137"/>
        <v>10</v>
      </c>
      <c r="F2030">
        <f t="shared" si="138"/>
        <v>2024</v>
      </c>
      <c r="G2030" t="s">
        <v>274</v>
      </c>
      <c r="H2030" s="98">
        <v>11480</v>
      </c>
      <c r="I2030" s="29">
        <v>173.4</v>
      </c>
      <c r="J2030" s="12" t="s">
        <v>31</v>
      </c>
      <c r="K2030" s="76">
        <f t="shared" si="140"/>
        <v>173.4</v>
      </c>
      <c r="L2030">
        <v>1</v>
      </c>
      <c r="M2030" s="29">
        <v>0</v>
      </c>
      <c r="N2030" t="s">
        <v>42</v>
      </c>
      <c r="O2030" t="s">
        <v>33</v>
      </c>
      <c r="P2030" t="s">
        <v>34</v>
      </c>
      <c r="Q2030" t="s">
        <v>34</v>
      </c>
      <c r="R2030" t="s">
        <v>34</v>
      </c>
      <c r="S2030" t="s">
        <v>34</v>
      </c>
      <c r="T2030" s="117">
        <v>0</v>
      </c>
    </row>
    <row r="2031" spans="1:21" x14ac:dyDescent="0.35">
      <c r="A2031" t="s">
        <v>20</v>
      </c>
      <c r="B2031" t="s">
        <v>25</v>
      </c>
      <c r="C2031" s="1">
        <v>45588</v>
      </c>
      <c r="D2031">
        <f t="shared" si="136"/>
        <v>23</v>
      </c>
      <c r="E2031">
        <f t="shared" si="137"/>
        <v>10</v>
      </c>
      <c r="F2031">
        <f t="shared" si="138"/>
        <v>2024</v>
      </c>
      <c r="G2031" t="s">
        <v>274</v>
      </c>
      <c r="H2031" s="98">
        <v>11481</v>
      </c>
      <c r="I2031" s="29">
        <v>3967.8</v>
      </c>
      <c r="J2031" s="12" t="s">
        <v>31</v>
      </c>
      <c r="K2031" s="76">
        <f t="shared" si="140"/>
        <v>3967.8</v>
      </c>
      <c r="L2031">
        <v>1</v>
      </c>
      <c r="M2031" s="29">
        <v>0</v>
      </c>
      <c r="N2031" t="s">
        <v>42</v>
      </c>
      <c r="O2031" t="s">
        <v>33</v>
      </c>
      <c r="P2031" t="s">
        <v>34</v>
      </c>
      <c r="Q2031" t="s">
        <v>34</v>
      </c>
      <c r="R2031" t="s">
        <v>34</v>
      </c>
      <c r="S2031" t="s">
        <v>34</v>
      </c>
      <c r="T2031" s="117">
        <v>0</v>
      </c>
    </row>
    <row r="2032" spans="1:21" x14ac:dyDescent="0.35">
      <c r="A2032" t="s">
        <v>20</v>
      </c>
      <c r="B2032" t="s">
        <v>21</v>
      </c>
      <c r="C2032" s="1">
        <v>45588</v>
      </c>
      <c r="D2032">
        <f t="shared" si="136"/>
        <v>23</v>
      </c>
      <c r="E2032">
        <f t="shared" si="137"/>
        <v>10</v>
      </c>
      <c r="F2032">
        <f t="shared" si="138"/>
        <v>2024</v>
      </c>
      <c r="G2032" t="s">
        <v>273</v>
      </c>
      <c r="H2032" s="98">
        <v>11486</v>
      </c>
      <c r="I2032" s="29">
        <v>79.599999999999994</v>
      </c>
      <c r="J2032" s="12" t="s">
        <v>31</v>
      </c>
      <c r="K2032" s="76">
        <f t="shared" si="140"/>
        <v>79.599999999999994</v>
      </c>
      <c r="L2032">
        <v>1</v>
      </c>
      <c r="M2032" s="29">
        <v>0</v>
      </c>
      <c r="N2032" t="s">
        <v>42</v>
      </c>
      <c r="O2032" t="s">
        <v>33</v>
      </c>
      <c r="P2032" t="s">
        <v>34</v>
      </c>
      <c r="Q2032" t="s">
        <v>34</v>
      </c>
      <c r="R2032" t="s">
        <v>34</v>
      </c>
      <c r="S2032" t="s">
        <v>34</v>
      </c>
      <c r="T2032" s="117">
        <v>0</v>
      </c>
    </row>
    <row r="2033" spans="1:21" x14ac:dyDescent="0.35">
      <c r="A2033" t="s">
        <v>20</v>
      </c>
      <c r="B2033" t="s">
        <v>21</v>
      </c>
      <c r="C2033" s="1">
        <v>45588</v>
      </c>
      <c r="D2033">
        <f t="shared" si="136"/>
        <v>23</v>
      </c>
      <c r="E2033">
        <f t="shared" si="137"/>
        <v>10</v>
      </c>
      <c r="F2033">
        <f t="shared" si="138"/>
        <v>2024</v>
      </c>
      <c r="G2033" t="s">
        <v>273</v>
      </c>
      <c r="H2033" s="98">
        <v>11487</v>
      </c>
      <c r="I2033" s="29">
        <v>2032.19</v>
      </c>
      <c r="J2033" s="12" t="s">
        <v>31</v>
      </c>
      <c r="K2033" s="76">
        <f t="shared" si="140"/>
        <v>2032.19</v>
      </c>
      <c r="L2033">
        <v>1</v>
      </c>
      <c r="M2033" s="29">
        <v>0</v>
      </c>
      <c r="N2033" t="s">
        <v>42</v>
      </c>
      <c r="O2033" t="s">
        <v>33</v>
      </c>
      <c r="P2033" t="s">
        <v>34</v>
      </c>
      <c r="Q2033" t="s">
        <v>34</v>
      </c>
      <c r="R2033" t="s">
        <v>34</v>
      </c>
      <c r="S2033" t="s">
        <v>34</v>
      </c>
      <c r="T2033" s="117">
        <v>0</v>
      </c>
    </row>
    <row r="2034" spans="1:21" x14ac:dyDescent="0.35">
      <c r="A2034" t="s">
        <v>20</v>
      </c>
      <c r="B2034" t="s">
        <v>23</v>
      </c>
      <c r="C2034" s="1">
        <v>45588</v>
      </c>
      <c r="D2034">
        <f t="shared" si="136"/>
        <v>23</v>
      </c>
      <c r="E2034">
        <f t="shared" si="137"/>
        <v>10</v>
      </c>
      <c r="F2034">
        <f t="shared" si="138"/>
        <v>2024</v>
      </c>
      <c r="G2034" t="s">
        <v>177</v>
      </c>
      <c r="H2034" s="98">
        <v>11488</v>
      </c>
      <c r="I2034" s="29">
        <v>39.9</v>
      </c>
      <c r="J2034" s="12" t="s">
        <v>31</v>
      </c>
      <c r="K2034" s="76">
        <f t="shared" si="140"/>
        <v>39.9</v>
      </c>
      <c r="L2034">
        <v>1</v>
      </c>
      <c r="M2034" s="29">
        <v>0</v>
      </c>
      <c r="N2034" t="s">
        <v>42</v>
      </c>
      <c r="O2034" t="s">
        <v>33</v>
      </c>
      <c r="P2034" t="s">
        <v>34</v>
      </c>
      <c r="Q2034" t="s">
        <v>34</v>
      </c>
      <c r="R2034" t="s">
        <v>34</v>
      </c>
      <c r="S2034" t="s">
        <v>34</v>
      </c>
      <c r="T2034" s="117">
        <v>0</v>
      </c>
    </row>
    <row r="2035" spans="1:21" x14ac:dyDescent="0.35">
      <c r="A2035" t="s">
        <v>20</v>
      </c>
      <c r="B2035" t="s">
        <v>23</v>
      </c>
      <c r="C2035" s="1">
        <v>45588</v>
      </c>
      <c r="D2035">
        <f t="shared" si="136"/>
        <v>23</v>
      </c>
      <c r="E2035">
        <f t="shared" si="137"/>
        <v>10</v>
      </c>
      <c r="F2035">
        <f t="shared" si="138"/>
        <v>2024</v>
      </c>
      <c r="G2035" t="s">
        <v>177</v>
      </c>
      <c r="H2035" s="98">
        <v>11489</v>
      </c>
      <c r="I2035" s="29">
        <v>3591</v>
      </c>
      <c r="J2035" s="12" t="s">
        <v>31</v>
      </c>
      <c r="K2035" s="76">
        <f t="shared" si="140"/>
        <v>3591</v>
      </c>
      <c r="L2035">
        <v>1</v>
      </c>
      <c r="M2035" s="29">
        <v>0</v>
      </c>
      <c r="N2035" t="s">
        <v>42</v>
      </c>
      <c r="O2035" t="s">
        <v>33</v>
      </c>
      <c r="P2035" t="s">
        <v>34</v>
      </c>
      <c r="Q2035" t="s">
        <v>34</v>
      </c>
      <c r="R2035" t="s">
        <v>34</v>
      </c>
      <c r="S2035" t="s">
        <v>34</v>
      </c>
      <c r="T2035" s="117">
        <v>0</v>
      </c>
    </row>
    <row r="2036" spans="1:21" x14ac:dyDescent="0.35">
      <c r="A2036" t="s">
        <v>20</v>
      </c>
      <c r="B2036" t="s">
        <v>21</v>
      </c>
      <c r="C2036" s="1">
        <v>45588</v>
      </c>
      <c r="D2036">
        <f t="shared" si="136"/>
        <v>23</v>
      </c>
      <c r="E2036">
        <f t="shared" si="137"/>
        <v>10</v>
      </c>
      <c r="F2036">
        <f t="shared" si="138"/>
        <v>2024</v>
      </c>
      <c r="G2036" t="s">
        <v>53</v>
      </c>
      <c r="H2036" s="171">
        <v>11349</v>
      </c>
      <c r="I2036" s="29">
        <v>7797.62</v>
      </c>
      <c r="J2036" s="12" t="s">
        <v>31</v>
      </c>
      <c r="K2036" s="76">
        <f t="shared" si="140"/>
        <v>7797.62</v>
      </c>
      <c r="L2036">
        <v>1</v>
      </c>
      <c r="M2036" s="29">
        <v>0</v>
      </c>
      <c r="N2036" t="s">
        <v>42</v>
      </c>
      <c r="O2036" t="s">
        <v>33</v>
      </c>
      <c r="P2036" t="s">
        <v>34</v>
      </c>
      <c r="Q2036" t="s">
        <v>34</v>
      </c>
      <c r="R2036" t="s">
        <v>34</v>
      </c>
      <c r="S2036" t="s">
        <v>34</v>
      </c>
      <c r="T2036" s="117">
        <v>0</v>
      </c>
    </row>
    <row r="2037" spans="1:21" x14ac:dyDescent="0.35">
      <c r="A2037" t="s">
        <v>20</v>
      </c>
      <c r="B2037" t="s">
        <v>21</v>
      </c>
      <c r="C2037" s="1">
        <v>45588</v>
      </c>
      <c r="D2037">
        <f t="shared" si="136"/>
        <v>23</v>
      </c>
      <c r="E2037">
        <f t="shared" si="137"/>
        <v>10</v>
      </c>
      <c r="F2037">
        <f t="shared" si="138"/>
        <v>2024</v>
      </c>
      <c r="G2037" t="s">
        <v>118</v>
      </c>
      <c r="H2037" s="98">
        <v>10952</v>
      </c>
      <c r="I2037" s="29">
        <v>4202.75</v>
      </c>
      <c r="J2037" s="12" t="s">
        <v>31</v>
      </c>
      <c r="K2037" s="76">
        <f t="shared" si="140"/>
        <v>4202.75</v>
      </c>
      <c r="L2037">
        <v>1</v>
      </c>
      <c r="M2037" s="29">
        <v>0</v>
      </c>
      <c r="N2037" t="s">
        <v>32</v>
      </c>
      <c r="O2037" t="s">
        <v>33</v>
      </c>
      <c r="P2037" t="s">
        <v>34</v>
      </c>
      <c r="Q2037" t="s">
        <v>34</v>
      </c>
      <c r="R2037" t="s">
        <v>34</v>
      </c>
      <c r="S2037" t="s">
        <v>34</v>
      </c>
      <c r="T2037" s="117">
        <v>0</v>
      </c>
    </row>
    <row r="2038" spans="1:21" x14ac:dyDescent="0.35">
      <c r="A2038" t="s">
        <v>20</v>
      </c>
      <c r="B2038" t="s">
        <v>23</v>
      </c>
      <c r="C2038" s="1">
        <v>45588</v>
      </c>
      <c r="D2038">
        <f t="shared" si="136"/>
        <v>23</v>
      </c>
      <c r="E2038">
        <f t="shared" si="137"/>
        <v>10</v>
      </c>
      <c r="F2038">
        <f t="shared" si="138"/>
        <v>2024</v>
      </c>
      <c r="G2038" t="s">
        <v>48</v>
      </c>
      <c r="H2038" s="98">
        <v>10994</v>
      </c>
      <c r="I2038" s="29">
        <v>12077.64</v>
      </c>
      <c r="J2038" s="12" t="s">
        <v>31</v>
      </c>
      <c r="K2038" s="76">
        <f t="shared" si="140"/>
        <v>12077.64</v>
      </c>
      <c r="L2038">
        <v>1</v>
      </c>
      <c r="M2038" s="29">
        <v>0</v>
      </c>
      <c r="N2038" t="s">
        <v>42</v>
      </c>
      <c r="O2038" t="s">
        <v>33</v>
      </c>
      <c r="P2038" t="s">
        <v>34</v>
      </c>
      <c r="Q2038" t="s">
        <v>34</v>
      </c>
      <c r="R2038" t="s">
        <v>34</v>
      </c>
      <c r="S2038" t="s">
        <v>34</v>
      </c>
      <c r="T2038" s="117">
        <v>0</v>
      </c>
    </row>
    <row r="2039" spans="1:21" x14ac:dyDescent="0.35">
      <c r="A2039" t="s">
        <v>20</v>
      </c>
      <c r="B2039" t="s">
        <v>21</v>
      </c>
      <c r="C2039" s="1">
        <v>45588</v>
      </c>
      <c r="D2039">
        <f t="shared" si="136"/>
        <v>23</v>
      </c>
      <c r="E2039">
        <f t="shared" si="137"/>
        <v>10</v>
      </c>
      <c r="F2039">
        <f t="shared" si="138"/>
        <v>2024</v>
      </c>
      <c r="G2039" t="s">
        <v>46</v>
      </c>
      <c r="H2039" s="98">
        <v>10997</v>
      </c>
      <c r="I2039" s="29">
        <v>4818.07</v>
      </c>
      <c r="J2039" s="12" t="s">
        <v>31</v>
      </c>
      <c r="K2039" s="76">
        <f t="shared" si="140"/>
        <v>4818.07</v>
      </c>
      <c r="L2039">
        <v>1</v>
      </c>
      <c r="M2039" s="29">
        <v>0</v>
      </c>
      <c r="N2039" t="s">
        <v>32</v>
      </c>
      <c r="O2039" t="s">
        <v>33</v>
      </c>
      <c r="P2039" t="s">
        <v>34</v>
      </c>
      <c r="Q2039" t="s">
        <v>34</v>
      </c>
      <c r="R2039" t="s">
        <v>34</v>
      </c>
      <c r="S2039" t="s">
        <v>34</v>
      </c>
      <c r="T2039" s="117">
        <v>0</v>
      </c>
    </row>
    <row r="2040" spans="1:21" x14ac:dyDescent="0.35">
      <c r="A2040" t="s">
        <v>20</v>
      </c>
      <c r="B2040" t="s">
        <v>21</v>
      </c>
      <c r="C2040" s="1">
        <v>45588</v>
      </c>
      <c r="D2040">
        <f t="shared" si="136"/>
        <v>23</v>
      </c>
      <c r="E2040">
        <f t="shared" si="137"/>
        <v>10</v>
      </c>
      <c r="F2040">
        <f t="shared" si="138"/>
        <v>2024</v>
      </c>
      <c r="G2040" t="s">
        <v>46</v>
      </c>
      <c r="H2040" s="98">
        <v>11484</v>
      </c>
      <c r="I2040" s="29">
        <v>52.4</v>
      </c>
      <c r="J2040" s="12" t="s">
        <v>31</v>
      </c>
      <c r="K2040" s="76">
        <f t="shared" si="140"/>
        <v>52.4</v>
      </c>
      <c r="L2040">
        <v>1</v>
      </c>
      <c r="M2040" s="29">
        <v>0</v>
      </c>
      <c r="N2040" t="s">
        <v>42</v>
      </c>
      <c r="O2040" t="s">
        <v>33</v>
      </c>
      <c r="P2040" t="s">
        <v>34</v>
      </c>
      <c r="Q2040" t="s">
        <v>34</v>
      </c>
      <c r="R2040" t="s">
        <v>34</v>
      </c>
      <c r="S2040" t="s">
        <v>34</v>
      </c>
      <c r="T2040" s="117">
        <v>0</v>
      </c>
    </row>
    <row r="2041" spans="1:21" x14ac:dyDescent="0.35">
      <c r="A2041" t="s">
        <v>20</v>
      </c>
      <c r="B2041" t="s">
        <v>21</v>
      </c>
      <c r="C2041" s="1">
        <v>45588</v>
      </c>
      <c r="D2041">
        <f t="shared" si="136"/>
        <v>23</v>
      </c>
      <c r="E2041">
        <f t="shared" si="137"/>
        <v>10</v>
      </c>
      <c r="F2041">
        <f t="shared" si="138"/>
        <v>2024</v>
      </c>
      <c r="G2041" t="s">
        <v>46</v>
      </c>
      <c r="H2041" s="98">
        <v>11519</v>
      </c>
      <c r="I2041" s="29">
        <v>1444.67</v>
      </c>
      <c r="J2041" s="12" t="s">
        <v>31</v>
      </c>
      <c r="K2041" s="76">
        <f t="shared" si="140"/>
        <v>1444.67</v>
      </c>
      <c r="L2041">
        <v>1</v>
      </c>
      <c r="M2041" s="29">
        <v>0</v>
      </c>
      <c r="N2041" t="s">
        <v>42</v>
      </c>
      <c r="O2041" t="s">
        <v>33</v>
      </c>
      <c r="P2041" t="s">
        <v>34</v>
      </c>
      <c r="Q2041" t="s">
        <v>34</v>
      </c>
      <c r="R2041" t="s">
        <v>34</v>
      </c>
      <c r="S2041" t="s">
        <v>34</v>
      </c>
      <c r="T2041" s="117">
        <v>0</v>
      </c>
      <c r="U2041" s="209" t="s">
        <v>789</v>
      </c>
    </row>
    <row r="2042" spans="1:21" x14ac:dyDescent="0.35">
      <c r="A2042" t="s">
        <v>20</v>
      </c>
      <c r="B2042" t="s">
        <v>23</v>
      </c>
      <c r="C2042" s="1">
        <v>45588</v>
      </c>
      <c r="D2042">
        <f t="shared" si="136"/>
        <v>23</v>
      </c>
      <c r="E2042">
        <f t="shared" si="137"/>
        <v>10</v>
      </c>
      <c r="F2042">
        <f t="shared" si="138"/>
        <v>2024</v>
      </c>
      <c r="G2042" t="s">
        <v>595</v>
      </c>
      <c r="H2042" s="98">
        <v>11429</v>
      </c>
      <c r="I2042" s="29">
        <v>43.5</v>
      </c>
      <c r="J2042" s="12" t="s">
        <v>31</v>
      </c>
      <c r="K2042" s="76">
        <f t="shared" si="140"/>
        <v>43.5</v>
      </c>
      <c r="L2042">
        <v>1</v>
      </c>
      <c r="M2042" s="29">
        <v>0</v>
      </c>
      <c r="N2042" t="s">
        <v>42</v>
      </c>
      <c r="O2042" t="s">
        <v>33</v>
      </c>
      <c r="P2042" t="s">
        <v>34</v>
      </c>
      <c r="Q2042" t="s">
        <v>34</v>
      </c>
      <c r="R2042" t="s">
        <v>34</v>
      </c>
      <c r="S2042" t="s">
        <v>34</v>
      </c>
      <c r="T2042" s="117">
        <v>0</v>
      </c>
    </row>
    <row r="2043" spans="1:21" x14ac:dyDescent="0.35">
      <c r="A2043" t="s">
        <v>20</v>
      </c>
      <c r="B2043" t="s">
        <v>23</v>
      </c>
      <c r="C2043" s="1">
        <v>45588</v>
      </c>
      <c r="D2043">
        <f t="shared" si="136"/>
        <v>23</v>
      </c>
      <c r="E2043">
        <f t="shared" si="137"/>
        <v>10</v>
      </c>
      <c r="F2043">
        <f t="shared" si="138"/>
        <v>2024</v>
      </c>
      <c r="G2043" t="s">
        <v>595</v>
      </c>
      <c r="H2043" s="98">
        <v>11464</v>
      </c>
      <c r="I2043" s="29">
        <v>1305</v>
      </c>
      <c r="J2043" s="12" t="s">
        <v>31</v>
      </c>
      <c r="K2043" s="76">
        <f t="shared" si="140"/>
        <v>1305</v>
      </c>
      <c r="L2043">
        <v>1</v>
      </c>
      <c r="M2043" s="29">
        <v>0</v>
      </c>
      <c r="N2043" t="s">
        <v>42</v>
      </c>
      <c r="O2043" t="s">
        <v>33</v>
      </c>
      <c r="P2043" t="s">
        <v>34</v>
      </c>
      <c r="Q2043" t="s">
        <v>34</v>
      </c>
      <c r="R2043" t="s">
        <v>34</v>
      </c>
      <c r="S2043" t="s">
        <v>34</v>
      </c>
      <c r="T2043" s="117">
        <v>0</v>
      </c>
      <c r="U2043" s="209" t="s">
        <v>747</v>
      </c>
    </row>
    <row r="2044" spans="1:21" x14ac:dyDescent="0.35">
      <c r="A2044" t="s">
        <v>20</v>
      </c>
      <c r="B2044" t="s">
        <v>23</v>
      </c>
      <c r="C2044" s="1">
        <v>45588</v>
      </c>
      <c r="D2044">
        <f t="shared" si="136"/>
        <v>23</v>
      </c>
      <c r="E2044">
        <f t="shared" si="137"/>
        <v>10</v>
      </c>
      <c r="F2044">
        <f t="shared" si="138"/>
        <v>2024</v>
      </c>
      <c r="G2044" t="s">
        <v>595</v>
      </c>
      <c r="H2044" s="98">
        <v>11463</v>
      </c>
      <c r="I2044" s="29">
        <v>26.5</v>
      </c>
      <c r="J2044" s="12" t="s">
        <v>31</v>
      </c>
      <c r="K2044" s="76">
        <f t="shared" si="140"/>
        <v>26.5</v>
      </c>
      <c r="L2044">
        <v>1</v>
      </c>
      <c r="M2044" s="29">
        <v>0</v>
      </c>
      <c r="N2044" t="s">
        <v>42</v>
      </c>
      <c r="O2044" t="s">
        <v>33</v>
      </c>
      <c r="P2044" t="s">
        <v>34</v>
      </c>
      <c r="Q2044" t="s">
        <v>34</v>
      </c>
      <c r="R2044" t="s">
        <v>34</v>
      </c>
      <c r="S2044" t="s">
        <v>34</v>
      </c>
      <c r="T2044" s="117">
        <v>0</v>
      </c>
    </row>
    <row r="2045" spans="1:21" x14ac:dyDescent="0.35">
      <c r="A2045" t="s">
        <v>20</v>
      </c>
      <c r="B2045" t="s">
        <v>23</v>
      </c>
      <c r="C2045" s="1">
        <v>45588</v>
      </c>
      <c r="D2045">
        <f t="shared" si="136"/>
        <v>23</v>
      </c>
      <c r="E2045">
        <f t="shared" si="137"/>
        <v>10</v>
      </c>
      <c r="F2045">
        <f t="shared" si="138"/>
        <v>2024</v>
      </c>
      <c r="G2045" t="s">
        <v>595</v>
      </c>
      <c r="H2045" s="98">
        <v>11464</v>
      </c>
      <c r="I2045" s="29">
        <v>954</v>
      </c>
      <c r="J2045" s="12" t="s">
        <v>31</v>
      </c>
      <c r="K2045" s="76">
        <f t="shared" si="140"/>
        <v>954</v>
      </c>
      <c r="L2045">
        <v>1</v>
      </c>
      <c r="M2045" s="29">
        <v>0</v>
      </c>
      <c r="N2045" t="s">
        <v>42</v>
      </c>
      <c r="O2045" t="s">
        <v>33</v>
      </c>
      <c r="P2045" t="s">
        <v>34</v>
      </c>
      <c r="Q2045" t="s">
        <v>34</v>
      </c>
      <c r="R2045" t="s">
        <v>34</v>
      </c>
      <c r="S2045" t="s">
        <v>34</v>
      </c>
      <c r="T2045" s="117">
        <v>0</v>
      </c>
    </row>
    <row r="2046" spans="1:21" x14ac:dyDescent="0.35">
      <c r="A2046" t="s">
        <v>20</v>
      </c>
      <c r="B2046" t="s">
        <v>24</v>
      </c>
      <c r="C2046" s="1">
        <v>45588</v>
      </c>
      <c r="D2046">
        <f t="shared" si="136"/>
        <v>23</v>
      </c>
      <c r="E2046">
        <f t="shared" si="137"/>
        <v>10</v>
      </c>
      <c r="F2046">
        <f t="shared" si="138"/>
        <v>2024</v>
      </c>
      <c r="G2046" t="s">
        <v>50</v>
      </c>
      <c r="H2046" s="98">
        <v>11305</v>
      </c>
      <c r="I2046" s="29">
        <v>3319.5</v>
      </c>
      <c r="J2046" s="12" t="s">
        <v>31</v>
      </c>
      <c r="K2046" s="76">
        <f t="shared" si="140"/>
        <v>3319.5</v>
      </c>
      <c r="L2046">
        <v>1</v>
      </c>
      <c r="M2046" s="29">
        <v>0</v>
      </c>
      <c r="N2046" t="s">
        <v>42</v>
      </c>
      <c r="O2046" t="s">
        <v>33</v>
      </c>
      <c r="P2046" t="s">
        <v>34</v>
      </c>
      <c r="Q2046" t="s">
        <v>34</v>
      </c>
      <c r="R2046" t="s">
        <v>34</v>
      </c>
      <c r="S2046" t="s">
        <v>34</v>
      </c>
      <c r="T2046" s="117">
        <v>0</v>
      </c>
      <c r="U2046" s="209" t="s">
        <v>649</v>
      </c>
    </row>
    <row r="2047" spans="1:21" x14ac:dyDescent="0.35">
      <c r="A2047" t="s">
        <v>20</v>
      </c>
      <c r="B2047" t="s">
        <v>24</v>
      </c>
      <c r="C2047" s="1">
        <v>45588</v>
      </c>
      <c r="D2047">
        <f t="shared" si="136"/>
        <v>23</v>
      </c>
      <c r="E2047">
        <f t="shared" si="137"/>
        <v>10</v>
      </c>
      <c r="F2047">
        <f t="shared" si="138"/>
        <v>2024</v>
      </c>
      <c r="G2047" t="s">
        <v>82</v>
      </c>
      <c r="H2047" s="98">
        <v>11103</v>
      </c>
      <c r="I2047" s="29">
        <v>292.8</v>
      </c>
      <c r="J2047" s="12" t="s">
        <v>31</v>
      </c>
      <c r="K2047" s="76">
        <f t="shared" si="140"/>
        <v>292.8</v>
      </c>
      <c r="L2047">
        <v>1</v>
      </c>
      <c r="M2047" s="29">
        <v>0</v>
      </c>
      <c r="N2047" t="s">
        <v>32</v>
      </c>
      <c r="O2047" t="s">
        <v>33</v>
      </c>
      <c r="P2047" t="s">
        <v>34</v>
      </c>
      <c r="Q2047" t="s">
        <v>34</v>
      </c>
      <c r="R2047" t="s">
        <v>34</v>
      </c>
      <c r="S2047" t="s">
        <v>34</v>
      </c>
      <c r="T2047" s="117">
        <v>0</v>
      </c>
    </row>
    <row r="2048" spans="1:21" x14ac:dyDescent="0.35">
      <c r="A2048" t="s">
        <v>20</v>
      </c>
      <c r="B2048" t="s">
        <v>23</v>
      </c>
      <c r="C2048" s="1">
        <v>45588</v>
      </c>
      <c r="D2048">
        <f t="shared" si="136"/>
        <v>23</v>
      </c>
      <c r="E2048">
        <f t="shared" si="137"/>
        <v>10</v>
      </c>
      <c r="F2048">
        <f t="shared" si="138"/>
        <v>2024</v>
      </c>
      <c r="G2048" t="s">
        <v>82</v>
      </c>
      <c r="H2048" s="98">
        <v>11275</v>
      </c>
      <c r="I2048" s="29">
        <v>74.400000000000006</v>
      </c>
      <c r="J2048" s="12" t="s">
        <v>31</v>
      </c>
      <c r="K2048" s="76">
        <f t="shared" si="140"/>
        <v>74.400000000000006</v>
      </c>
      <c r="L2048">
        <v>1</v>
      </c>
      <c r="M2048" s="29">
        <v>0</v>
      </c>
      <c r="N2048" t="s">
        <v>32</v>
      </c>
      <c r="O2048" t="s">
        <v>33</v>
      </c>
      <c r="P2048" t="s">
        <v>34</v>
      </c>
      <c r="Q2048" t="s">
        <v>34</v>
      </c>
      <c r="R2048" t="s">
        <v>34</v>
      </c>
      <c r="S2048" t="s">
        <v>34</v>
      </c>
      <c r="T2048" s="117">
        <v>0</v>
      </c>
    </row>
    <row r="2049" spans="1:20" x14ac:dyDescent="0.35">
      <c r="A2049" t="s">
        <v>20</v>
      </c>
      <c r="B2049" t="s">
        <v>23</v>
      </c>
      <c r="C2049" s="1">
        <v>45588</v>
      </c>
      <c r="D2049">
        <f t="shared" si="136"/>
        <v>23</v>
      </c>
      <c r="E2049">
        <f t="shared" si="137"/>
        <v>10</v>
      </c>
      <c r="F2049">
        <f t="shared" si="138"/>
        <v>2024</v>
      </c>
      <c r="G2049" t="s">
        <v>321</v>
      </c>
      <c r="H2049" s="98">
        <v>11242</v>
      </c>
      <c r="I2049" s="29">
        <v>6039</v>
      </c>
      <c r="J2049" s="12" t="s">
        <v>31</v>
      </c>
      <c r="K2049" s="76">
        <f t="shared" si="140"/>
        <v>6039</v>
      </c>
      <c r="L2049">
        <v>1</v>
      </c>
      <c r="M2049" s="29">
        <v>0</v>
      </c>
      <c r="N2049" t="s">
        <v>42</v>
      </c>
      <c r="O2049" t="s">
        <v>33</v>
      </c>
      <c r="P2049" t="s">
        <v>34</v>
      </c>
      <c r="Q2049" t="s">
        <v>34</v>
      </c>
      <c r="R2049" t="s">
        <v>34</v>
      </c>
      <c r="S2049" t="s">
        <v>34</v>
      </c>
      <c r="T2049" s="117">
        <v>0</v>
      </c>
    </row>
    <row r="2050" spans="1:20" x14ac:dyDescent="0.35">
      <c r="A2050" t="s">
        <v>20</v>
      </c>
      <c r="B2050" t="s">
        <v>23</v>
      </c>
      <c r="C2050" s="1">
        <v>45588</v>
      </c>
      <c r="D2050">
        <f t="shared" si="136"/>
        <v>23</v>
      </c>
      <c r="E2050">
        <f t="shared" si="137"/>
        <v>10</v>
      </c>
      <c r="F2050">
        <f t="shared" si="138"/>
        <v>2024</v>
      </c>
      <c r="G2050" t="s">
        <v>43</v>
      </c>
      <c r="H2050" s="98">
        <v>11093</v>
      </c>
      <c r="I2050" s="29">
        <v>29.6</v>
      </c>
      <c r="J2050" s="12" t="s">
        <v>31</v>
      </c>
      <c r="K2050" s="76">
        <f t="shared" si="140"/>
        <v>29.6</v>
      </c>
      <c r="L2050">
        <v>1</v>
      </c>
      <c r="M2050" s="29">
        <v>0</v>
      </c>
      <c r="N2050" t="s">
        <v>32</v>
      </c>
      <c r="O2050" t="s">
        <v>33</v>
      </c>
      <c r="P2050" t="s">
        <v>34</v>
      </c>
      <c r="Q2050" t="s">
        <v>34</v>
      </c>
      <c r="R2050" t="s">
        <v>34</v>
      </c>
      <c r="S2050" t="s">
        <v>34</v>
      </c>
      <c r="T2050" s="117">
        <v>0</v>
      </c>
    </row>
    <row r="2051" spans="1:20" x14ac:dyDescent="0.35">
      <c r="A2051" t="s">
        <v>20</v>
      </c>
      <c r="B2051" t="s">
        <v>23</v>
      </c>
      <c r="C2051" s="1">
        <v>45588</v>
      </c>
      <c r="D2051">
        <f t="shared" ref="D2051:D2114" si="145">DAY(C2051)</f>
        <v>23</v>
      </c>
      <c r="E2051">
        <f t="shared" ref="E2051:E2114" si="146">MONTH(C2051)</f>
        <v>10</v>
      </c>
      <c r="F2051">
        <f t="shared" ref="F2051:F2114" si="147">YEAR(C2051)</f>
        <v>2024</v>
      </c>
      <c r="G2051" t="s">
        <v>43</v>
      </c>
      <c r="H2051" s="98">
        <v>11073</v>
      </c>
      <c r="I2051" s="29">
        <v>7458.61</v>
      </c>
      <c r="J2051" s="12" t="s">
        <v>31</v>
      </c>
      <c r="K2051" s="76">
        <f t="shared" ref="K2051:K2082" si="148">IF(J2051="USD",I2051,I2051*L2051)</f>
        <v>7458.61</v>
      </c>
      <c r="L2051">
        <v>1</v>
      </c>
      <c r="M2051" s="29">
        <v>0</v>
      </c>
      <c r="N2051" t="s">
        <v>32</v>
      </c>
      <c r="O2051" t="s">
        <v>33</v>
      </c>
      <c r="P2051" t="s">
        <v>34</v>
      </c>
      <c r="Q2051" t="s">
        <v>34</v>
      </c>
      <c r="R2051" t="s">
        <v>34</v>
      </c>
      <c r="S2051" t="s">
        <v>34</v>
      </c>
      <c r="T2051" s="117">
        <v>0</v>
      </c>
    </row>
    <row r="2052" spans="1:20" x14ac:dyDescent="0.35">
      <c r="A2052" t="s">
        <v>20</v>
      </c>
      <c r="B2052" t="s">
        <v>25</v>
      </c>
      <c r="C2052" s="1">
        <v>45588</v>
      </c>
      <c r="D2052">
        <f t="shared" si="145"/>
        <v>23</v>
      </c>
      <c r="E2052">
        <f t="shared" si="146"/>
        <v>10</v>
      </c>
      <c r="F2052">
        <f t="shared" si="147"/>
        <v>2024</v>
      </c>
      <c r="G2052" t="s">
        <v>43</v>
      </c>
      <c r="H2052" s="98">
        <v>11073</v>
      </c>
      <c r="I2052" s="29">
        <v>3187.8</v>
      </c>
      <c r="J2052" s="12" t="s">
        <v>31</v>
      </c>
      <c r="K2052" s="76">
        <f t="shared" si="148"/>
        <v>3187.8</v>
      </c>
      <c r="L2052">
        <v>1</v>
      </c>
      <c r="M2052" s="29">
        <v>0</v>
      </c>
      <c r="N2052" t="s">
        <v>32</v>
      </c>
      <c r="O2052" t="s">
        <v>33</v>
      </c>
      <c r="P2052" t="s">
        <v>34</v>
      </c>
      <c r="Q2052" t="s">
        <v>34</v>
      </c>
      <c r="R2052" t="s">
        <v>34</v>
      </c>
      <c r="S2052" t="s">
        <v>34</v>
      </c>
      <c r="T2052" s="117">
        <v>0</v>
      </c>
    </row>
    <row r="2053" spans="1:20" x14ac:dyDescent="0.35">
      <c r="A2053" t="s">
        <v>20</v>
      </c>
      <c r="B2053" t="s">
        <v>24</v>
      </c>
      <c r="C2053" s="1">
        <v>45588</v>
      </c>
      <c r="D2053">
        <f t="shared" si="145"/>
        <v>23</v>
      </c>
      <c r="E2053">
        <f t="shared" si="146"/>
        <v>10</v>
      </c>
      <c r="F2053">
        <f t="shared" si="147"/>
        <v>2024</v>
      </c>
      <c r="G2053" t="s">
        <v>43</v>
      </c>
      <c r="H2053" s="98">
        <v>11094</v>
      </c>
      <c r="I2053" s="29">
        <v>46.8</v>
      </c>
      <c r="J2053" s="12" t="s">
        <v>31</v>
      </c>
      <c r="K2053" s="76">
        <f t="shared" si="148"/>
        <v>46.8</v>
      </c>
      <c r="L2053">
        <v>1</v>
      </c>
      <c r="M2053" s="29">
        <v>0</v>
      </c>
      <c r="N2053" t="s">
        <v>32</v>
      </c>
      <c r="O2053" t="s">
        <v>33</v>
      </c>
      <c r="P2053" t="s">
        <v>34</v>
      </c>
      <c r="Q2053" t="s">
        <v>34</v>
      </c>
      <c r="R2053" t="s">
        <v>34</v>
      </c>
      <c r="S2053" t="s">
        <v>34</v>
      </c>
      <c r="T2053" s="117">
        <v>0</v>
      </c>
    </row>
    <row r="2054" spans="1:20" x14ac:dyDescent="0.35">
      <c r="A2054" t="s">
        <v>20</v>
      </c>
      <c r="B2054" t="s">
        <v>25</v>
      </c>
      <c r="C2054" s="1">
        <v>45588</v>
      </c>
      <c r="D2054">
        <f t="shared" si="145"/>
        <v>23</v>
      </c>
      <c r="E2054">
        <f t="shared" si="146"/>
        <v>10</v>
      </c>
      <c r="F2054">
        <f t="shared" si="147"/>
        <v>2024</v>
      </c>
      <c r="G2054" t="s">
        <v>43</v>
      </c>
      <c r="H2054" s="98">
        <v>11075</v>
      </c>
      <c r="I2054" s="29">
        <v>9790.49</v>
      </c>
      <c r="J2054" s="12" t="s">
        <v>31</v>
      </c>
      <c r="K2054" s="76">
        <f t="shared" si="148"/>
        <v>9790.49</v>
      </c>
      <c r="L2054">
        <v>1</v>
      </c>
      <c r="M2054" s="29">
        <v>0</v>
      </c>
      <c r="N2054" t="s">
        <v>32</v>
      </c>
      <c r="O2054" t="s">
        <v>33</v>
      </c>
      <c r="P2054" t="s">
        <v>34</v>
      </c>
      <c r="Q2054" t="s">
        <v>34</v>
      </c>
      <c r="R2054" t="s">
        <v>34</v>
      </c>
      <c r="S2054" t="s">
        <v>34</v>
      </c>
      <c r="T2054" s="117">
        <v>0</v>
      </c>
    </row>
    <row r="2055" spans="1:20" x14ac:dyDescent="0.35">
      <c r="A2055" t="s">
        <v>20</v>
      </c>
      <c r="B2055" t="s">
        <v>21</v>
      </c>
      <c r="C2055" s="1">
        <v>45588</v>
      </c>
      <c r="D2055">
        <f t="shared" si="145"/>
        <v>23</v>
      </c>
      <c r="E2055">
        <f t="shared" si="146"/>
        <v>10</v>
      </c>
      <c r="F2055">
        <f t="shared" si="147"/>
        <v>2024</v>
      </c>
      <c r="G2055" t="s">
        <v>88</v>
      </c>
      <c r="H2055" s="98">
        <v>10906</v>
      </c>
      <c r="I2055" s="29">
        <v>6658.44</v>
      </c>
      <c r="J2055" s="12" t="s">
        <v>31</v>
      </c>
      <c r="K2055" s="76">
        <f t="shared" si="148"/>
        <v>6658.44</v>
      </c>
      <c r="L2055">
        <v>1</v>
      </c>
      <c r="M2055" s="29">
        <v>0</v>
      </c>
      <c r="N2055" t="s">
        <v>32</v>
      </c>
      <c r="O2055" t="s">
        <v>33</v>
      </c>
      <c r="P2055" t="s">
        <v>34</v>
      </c>
      <c r="Q2055" t="s">
        <v>34</v>
      </c>
      <c r="R2055" t="s">
        <v>34</v>
      </c>
      <c r="S2055" t="s">
        <v>34</v>
      </c>
      <c r="T2055" s="117">
        <v>161.83000000000001</v>
      </c>
    </row>
    <row r="2056" spans="1:20" x14ac:dyDescent="0.35">
      <c r="A2056" t="s">
        <v>20</v>
      </c>
      <c r="B2056" t="s">
        <v>21</v>
      </c>
      <c r="C2056" s="1">
        <v>45588</v>
      </c>
      <c r="D2056">
        <f t="shared" si="145"/>
        <v>23</v>
      </c>
      <c r="E2056">
        <f t="shared" si="146"/>
        <v>10</v>
      </c>
      <c r="F2056">
        <f t="shared" si="147"/>
        <v>2024</v>
      </c>
      <c r="G2056" t="s">
        <v>88</v>
      </c>
      <c r="H2056" s="98">
        <v>10909</v>
      </c>
      <c r="I2056" s="29">
        <v>89.8</v>
      </c>
      <c r="J2056" s="12" t="s">
        <v>31</v>
      </c>
      <c r="K2056" s="76">
        <f t="shared" si="148"/>
        <v>89.8</v>
      </c>
      <c r="L2056">
        <v>1</v>
      </c>
      <c r="M2056" s="29">
        <v>0</v>
      </c>
      <c r="N2056" t="s">
        <v>32</v>
      </c>
      <c r="O2056" t="s">
        <v>33</v>
      </c>
      <c r="P2056" t="s">
        <v>34</v>
      </c>
      <c r="Q2056" t="s">
        <v>34</v>
      </c>
      <c r="R2056" t="s">
        <v>34</v>
      </c>
      <c r="S2056" t="s">
        <v>34</v>
      </c>
      <c r="T2056" s="117">
        <v>0</v>
      </c>
    </row>
    <row r="2057" spans="1:20" x14ac:dyDescent="0.35">
      <c r="A2057" t="s">
        <v>20</v>
      </c>
      <c r="B2057" t="s">
        <v>24</v>
      </c>
      <c r="C2057" s="1">
        <v>45588</v>
      </c>
      <c r="D2057">
        <f t="shared" si="145"/>
        <v>23</v>
      </c>
      <c r="E2057">
        <f t="shared" si="146"/>
        <v>10</v>
      </c>
      <c r="F2057">
        <f t="shared" si="147"/>
        <v>2024</v>
      </c>
      <c r="G2057" t="s">
        <v>90</v>
      </c>
      <c r="H2057" s="98">
        <v>10404</v>
      </c>
      <c r="I2057" s="29">
        <v>4704.87</v>
      </c>
      <c r="J2057" s="12" t="s">
        <v>31</v>
      </c>
      <c r="K2057" s="76">
        <f t="shared" si="148"/>
        <v>4704.87</v>
      </c>
      <c r="L2057">
        <v>1</v>
      </c>
      <c r="M2057" s="29">
        <v>0</v>
      </c>
      <c r="N2057" t="s">
        <v>32</v>
      </c>
      <c r="O2057" t="s">
        <v>33</v>
      </c>
      <c r="P2057" t="s">
        <v>34</v>
      </c>
      <c r="Q2057" t="s">
        <v>34</v>
      </c>
      <c r="R2057" t="s">
        <v>34</v>
      </c>
      <c r="S2057" t="s">
        <v>34</v>
      </c>
      <c r="T2057" s="117">
        <v>0</v>
      </c>
    </row>
    <row r="2058" spans="1:20" x14ac:dyDescent="0.35">
      <c r="A2058" t="s">
        <v>20</v>
      </c>
      <c r="B2058" t="s">
        <v>21</v>
      </c>
      <c r="C2058" s="1">
        <v>45588</v>
      </c>
      <c r="D2058">
        <f t="shared" si="145"/>
        <v>23</v>
      </c>
      <c r="E2058">
        <f t="shared" si="146"/>
        <v>10</v>
      </c>
      <c r="F2058">
        <f t="shared" si="147"/>
        <v>2024</v>
      </c>
      <c r="G2058" t="s">
        <v>90</v>
      </c>
      <c r="H2058" s="98">
        <v>10404</v>
      </c>
      <c r="I2058" s="29">
        <v>5604.81</v>
      </c>
      <c r="J2058" s="12" t="s">
        <v>31</v>
      </c>
      <c r="K2058" s="76">
        <f t="shared" si="148"/>
        <v>5604.81</v>
      </c>
      <c r="L2058">
        <v>1</v>
      </c>
      <c r="M2058" s="29">
        <v>0</v>
      </c>
      <c r="N2058" t="s">
        <v>32</v>
      </c>
      <c r="O2058" t="s">
        <v>33</v>
      </c>
      <c r="P2058" t="s">
        <v>34</v>
      </c>
      <c r="Q2058" t="s">
        <v>34</v>
      </c>
      <c r="R2058" t="s">
        <v>34</v>
      </c>
      <c r="S2058" t="s">
        <v>34</v>
      </c>
      <c r="T2058" s="117">
        <v>0</v>
      </c>
    </row>
    <row r="2059" spans="1:20" x14ac:dyDescent="0.35">
      <c r="A2059" t="s">
        <v>20</v>
      </c>
      <c r="B2059" t="s">
        <v>21</v>
      </c>
      <c r="C2059" s="1">
        <v>45588</v>
      </c>
      <c r="D2059">
        <f t="shared" si="145"/>
        <v>23</v>
      </c>
      <c r="E2059">
        <f t="shared" si="146"/>
        <v>10</v>
      </c>
      <c r="F2059">
        <f t="shared" si="147"/>
        <v>2024</v>
      </c>
      <c r="G2059" t="s">
        <v>91</v>
      </c>
      <c r="H2059" s="98">
        <v>10931</v>
      </c>
      <c r="I2059" s="29">
        <v>15308.16</v>
      </c>
      <c r="J2059" s="12" t="s">
        <v>31</v>
      </c>
      <c r="K2059" s="76">
        <f t="shared" si="148"/>
        <v>15308.16</v>
      </c>
      <c r="L2059">
        <v>1</v>
      </c>
      <c r="M2059" s="29">
        <v>0</v>
      </c>
      <c r="N2059" t="s">
        <v>32</v>
      </c>
      <c r="O2059" t="s">
        <v>33</v>
      </c>
      <c r="P2059" t="s">
        <v>34</v>
      </c>
      <c r="Q2059" t="s">
        <v>34</v>
      </c>
      <c r="R2059" t="s">
        <v>34</v>
      </c>
      <c r="S2059" t="s">
        <v>34</v>
      </c>
      <c r="T2059" s="117">
        <v>0</v>
      </c>
    </row>
    <row r="2060" spans="1:20" x14ac:dyDescent="0.35">
      <c r="A2060" t="s">
        <v>20</v>
      </c>
      <c r="B2060" t="s">
        <v>223</v>
      </c>
      <c r="C2060" s="1">
        <v>45588</v>
      </c>
      <c r="D2060">
        <f t="shared" si="145"/>
        <v>23</v>
      </c>
      <c r="E2060">
        <f t="shared" si="146"/>
        <v>10</v>
      </c>
      <c r="F2060">
        <f t="shared" si="147"/>
        <v>2024</v>
      </c>
      <c r="G2060" t="s">
        <v>223</v>
      </c>
      <c r="H2060" s="98">
        <v>11076</v>
      </c>
      <c r="I2060" s="29">
        <v>12497.5</v>
      </c>
      <c r="J2060" s="12" t="s">
        <v>51</v>
      </c>
      <c r="K2060" s="76">
        <f t="shared" si="148"/>
        <v>13491.051249999999</v>
      </c>
      <c r="L2060">
        <v>1.0794999999999999</v>
      </c>
      <c r="M2060" s="29">
        <v>0</v>
      </c>
      <c r="N2060" t="s">
        <v>32</v>
      </c>
      <c r="O2060" t="s">
        <v>186</v>
      </c>
      <c r="P2060" s="1">
        <v>45587</v>
      </c>
      <c r="Q2060" t="s">
        <v>34</v>
      </c>
      <c r="R2060">
        <v>10010014706</v>
      </c>
      <c r="S2060" t="s">
        <v>34</v>
      </c>
      <c r="T2060" s="117">
        <v>0</v>
      </c>
    </row>
    <row r="2061" spans="1:20" x14ac:dyDescent="0.35">
      <c r="A2061" t="s">
        <v>19</v>
      </c>
      <c r="B2061" t="s">
        <v>27</v>
      </c>
      <c r="C2061" s="1">
        <v>45588</v>
      </c>
      <c r="D2061">
        <f t="shared" si="145"/>
        <v>23</v>
      </c>
      <c r="E2061">
        <f t="shared" si="146"/>
        <v>10</v>
      </c>
      <c r="F2061">
        <f t="shared" si="147"/>
        <v>2024</v>
      </c>
      <c r="G2061" t="s">
        <v>100</v>
      </c>
      <c r="H2061" s="98">
        <v>11044</v>
      </c>
      <c r="I2061" s="29">
        <v>250000</v>
      </c>
      <c r="J2061" s="12" t="s">
        <v>31</v>
      </c>
      <c r="K2061" s="76">
        <f t="shared" si="148"/>
        <v>250000</v>
      </c>
      <c r="L2061">
        <v>1</v>
      </c>
      <c r="M2061" s="29">
        <v>0</v>
      </c>
      <c r="N2061" t="s">
        <v>32</v>
      </c>
      <c r="O2061" t="s">
        <v>33</v>
      </c>
      <c r="P2061" t="s">
        <v>34</v>
      </c>
      <c r="Q2061" t="s">
        <v>34</v>
      </c>
      <c r="R2061" t="s">
        <v>34</v>
      </c>
      <c r="S2061" t="s">
        <v>34</v>
      </c>
      <c r="T2061" s="117">
        <v>0</v>
      </c>
    </row>
    <row r="2062" spans="1:20" x14ac:dyDescent="0.35">
      <c r="A2062" t="s">
        <v>19</v>
      </c>
      <c r="B2062" t="s">
        <v>19</v>
      </c>
      <c r="C2062" s="1">
        <v>45588</v>
      </c>
      <c r="D2062">
        <f t="shared" si="145"/>
        <v>23</v>
      </c>
      <c r="E2062">
        <f t="shared" si="146"/>
        <v>10</v>
      </c>
      <c r="F2062">
        <f t="shared" si="147"/>
        <v>2024</v>
      </c>
      <c r="G2062" t="s">
        <v>88</v>
      </c>
      <c r="H2062" s="98" t="s">
        <v>596</v>
      </c>
      <c r="I2062" s="29">
        <v>62493</v>
      </c>
      <c r="J2062" s="12" t="s">
        <v>31</v>
      </c>
      <c r="K2062" s="76">
        <f t="shared" si="148"/>
        <v>62493</v>
      </c>
      <c r="L2062">
        <v>1</v>
      </c>
      <c r="M2062" s="29">
        <v>0</v>
      </c>
      <c r="N2062" t="s">
        <v>32</v>
      </c>
      <c r="O2062" t="s">
        <v>33</v>
      </c>
      <c r="P2062" t="s">
        <v>34</v>
      </c>
      <c r="Q2062" t="s">
        <v>34</v>
      </c>
      <c r="R2062" t="s">
        <v>34</v>
      </c>
      <c r="S2062" t="s">
        <v>34</v>
      </c>
      <c r="T2062" s="117">
        <v>0</v>
      </c>
    </row>
    <row r="2063" spans="1:20" x14ac:dyDescent="0.35">
      <c r="A2063" t="s">
        <v>19</v>
      </c>
      <c r="B2063" t="s">
        <v>19</v>
      </c>
      <c r="C2063" s="1">
        <v>45588</v>
      </c>
      <c r="D2063">
        <f t="shared" si="145"/>
        <v>23</v>
      </c>
      <c r="E2063">
        <f t="shared" si="146"/>
        <v>10</v>
      </c>
      <c r="F2063">
        <f t="shared" si="147"/>
        <v>2024</v>
      </c>
      <c r="G2063" t="s">
        <v>124</v>
      </c>
      <c r="H2063" s="98" t="s">
        <v>597</v>
      </c>
      <c r="I2063" s="29">
        <v>111706.51</v>
      </c>
      <c r="J2063" s="12" t="s">
        <v>31</v>
      </c>
      <c r="K2063" s="76">
        <f t="shared" si="148"/>
        <v>111706.51</v>
      </c>
      <c r="L2063">
        <v>1</v>
      </c>
      <c r="M2063" s="29">
        <v>0</v>
      </c>
      <c r="N2063" t="s">
        <v>32</v>
      </c>
      <c r="O2063" t="s">
        <v>33</v>
      </c>
      <c r="P2063" t="s">
        <v>34</v>
      </c>
      <c r="Q2063" t="s">
        <v>34</v>
      </c>
      <c r="R2063" t="s">
        <v>34</v>
      </c>
      <c r="S2063" t="s">
        <v>34</v>
      </c>
      <c r="T2063" s="117">
        <v>0</v>
      </c>
    </row>
    <row r="2064" spans="1:20" x14ac:dyDescent="0.35">
      <c r="A2064" t="s">
        <v>19</v>
      </c>
      <c r="B2064" t="s">
        <v>19</v>
      </c>
      <c r="C2064" s="1">
        <v>45588</v>
      </c>
      <c r="D2064">
        <f t="shared" si="145"/>
        <v>23</v>
      </c>
      <c r="E2064">
        <f t="shared" si="146"/>
        <v>10</v>
      </c>
      <c r="F2064">
        <f t="shared" si="147"/>
        <v>2024</v>
      </c>
      <c r="G2064" t="s">
        <v>58</v>
      </c>
      <c r="H2064" s="171" t="s">
        <v>598</v>
      </c>
      <c r="I2064" s="90">
        <v>89313.34</v>
      </c>
      <c r="J2064" s="12" t="s">
        <v>31</v>
      </c>
      <c r="K2064" s="76">
        <f t="shared" si="148"/>
        <v>89313.34</v>
      </c>
      <c r="L2064">
        <v>1</v>
      </c>
      <c r="M2064" s="29">
        <v>0</v>
      </c>
      <c r="N2064" t="s">
        <v>32</v>
      </c>
      <c r="O2064" t="s">
        <v>33</v>
      </c>
      <c r="P2064" t="s">
        <v>34</v>
      </c>
      <c r="Q2064" t="s">
        <v>34</v>
      </c>
      <c r="R2064" t="s">
        <v>34</v>
      </c>
      <c r="S2064" t="s">
        <v>34</v>
      </c>
      <c r="T2064" s="117">
        <v>0</v>
      </c>
    </row>
    <row r="2065" spans="1:21" x14ac:dyDescent="0.35">
      <c r="A2065" t="s">
        <v>19</v>
      </c>
      <c r="B2065" t="s">
        <v>19</v>
      </c>
      <c r="C2065" s="1">
        <v>45588</v>
      </c>
      <c r="D2065">
        <f t="shared" si="145"/>
        <v>23</v>
      </c>
      <c r="E2065">
        <f t="shared" si="146"/>
        <v>10</v>
      </c>
      <c r="F2065">
        <f t="shared" si="147"/>
        <v>2024</v>
      </c>
      <c r="G2065" t="s">
        <v>58</v>
      </c>
      <c r="H2065" s="171" t="s">
        <v>599</v>
      </c>
      <c r="I2065" s="90">
        <v>27417.43</v>
      </c>
      <c r="J2065" s="12" t="s">
        <v>31</v>
      </c>
      <c r="K2065" s="76">
        <f t="shared" si="148"/>
        <v>27417.43</v>
      </c>
      <c r="L2065">
        <v>1</v>
      </c>
      <c r="M2065" s="29">
        <v>0</v>
      </c>
      <c r="N2065" t="s">
        <v>32</v>
      </c>
      <c r="O2065" t="s">
        <v>33</v>
      </c>
      <c r="P2065" t="s">
        <v>34</v>
      </c>
      <c r="Q2065" t="s">
        <v>34</v>
      </c>
      <c r="R2065" t="s">
        <v>34</v>
      </c>
      <c r="S2065" t="s">
        <v>34</v>
      </c>
      <c r="T2065" s="117">
        <v>0</v>
      </c>
    </row>
    <row r="2066" spans="1:21" x14ac:dyDescent="0.35">
      <c r="A2066" t="s">
        <v>19</v>
      </c>
      <c r="B2066" t="s">
        <v>19</v>
      </c>
      <c r="C2066" s="1">
        <v>45588</v>
      </c>
      <c r="D2066">
        <f t="shared" si="145"/>
        <v>23</v>
      </c>
      <c r="E2066">
        <f t="shared" si="146"/>
        <v>10</v>
      </c>
      <c r="F2066">
        <f t="shared" si="147"/>
        <v>2024</v>
      </c>
      <c r="G2066" t="s">
        <v>82</v>
      </c>
      <c r="H2066" s="98" t="s">
        <v>600</v>
      </c>
      <c r="I2066" s="29">
        <v>6208.61</v>
      </c>
      <c r="J2066" s="12" t="s">
        <v>31</v>
      </c>
      <c r="K2066" s="76">
        <f t="shared" si="148"/>
        <v>6208.61</v>
      </c>
      <c r="L2066">
        <v>1</v>
      </c>
      <c r="M2066" s="29">
        <v>0</v>
      </c>
      <c r="N2066" t="s">
        <v>32</v>
      </c>
      <c r="O2066" t="s">
        <v>33</v>
      </c>
      <c r="P2066" t="s">
        <v>34</v>
      </c>
      <c r="Q2066" t="s">
        <v>34</v>
      </c>
      <c r="R2066" t="s">
        <v>34</v>
      </c>
      <c r="S2066" t="s">
        <v>34</v>
      </c>
      <c r="T2066" s="117">
        <v>0</v>
      </c>
    </row>
    <row r="2067" spans="1:21" x14ac:dyDescent="0.35">
      <c r="A2067" t="s">
        <v>19</v>
      </c>
      <c r="B2067" t="s">
        <v>19</v>
      </c>
      <c r="C2067" s="1">
        <v>45588</v>
      </c>
      <c r="D2067">
        <f t="shared" si="145"/>
        <v>23</v>
      </c>
      <c r="E2067">
        <f t="shared" si="146"/>
        <v>10</v>
      </c>
      <c r="F2067">
        <f t="shared" si="147"/>
        <v>2024</v>
      </c>
      <c r="G2067" t="s">
        <v>120</v>
      </c>
      <c r="H2067" s="171" t="s">
        <v>458</v>
      </c>
      <c r="I2067" s="90">
        <v>92436.65</v>
      </c>
      <c r="J2067" s="12" t="s">
        <v>31</v>
      </c>
      <c r="K2067" s="76">
        <f t="shared" si="148"/>
        <v>92436.65</v>
      </c>
      <c r="L2067">
        <v>1</v>
      </c>
      <c r="M2067" s="29">
        <v>0</v>
      </c>
      <c r="N2067" t="s">
        <v>32</v>
      </c>
      <c r="O2067" t="s">
        <v>33</v>
      </c>
      <c r="P2067" t="s">
        <v>34</v>
      </c>
      <c r="Q2067" t="s">
        <v>34</v>
      </c>
      <c r="R2067" t="s">
        <v>34</v>
      </c>
      <c r="S2067" t="s">
        <v>34</v>
      </c>
      <c r="T2067" s="117">
        <v>0</v>
      </c>
    </row>
    <row r="2068" spans="1:21" x14ac:dyDescent="0.35">
      <c r="A2068" t="s">
        <v>19</v>
      </c>
      <c r="B2068" t="s">
        <v>19</v>
      </c>
      <c r="C2068" s="1">
        <v>45588</v>
      </c>
      <c r="D2068">
        <f t="shared" si="145"/>
        <v>23</v>
      </c>
      <c r="E2068">
        <f t="shared" si="146"/>
        <v>10</v>
      </c>
      <c r="F2068">
        <f t="shared" si="147"/>
        <v>2024</v>
      </c>
      <c r="G2068" t="s">
        <v>601</v>
      </c>
      <c r="H2068" s="98" t="s">
        <v>602</v>
      </c>
      <c r="I2068" s="29">
        <v>121112</v>
      </c>
      <c r="J2068" s="12" t="s">
        <v>31</v>
      </c>
      <c r="K2068" s="76">
        <f t="shared" si="148"/>
        <v>121112</v>
      </c>
      <c r="L2068">
        <v>1</v>
      </c>
      <c r="M2068" s="29">
        <v>0</v>
      </c>
      <c r="N2068" t="s">
        <v>32</v>
      </c>
      <c r="O2068" t="s">
        <v>33</v>
      </c>
      <c r="P2068" t="s">
        <v>34</v>
      </c>
      <c r="Q2068" t="s">
        <v>34</v>
      </c>
      <c r="R2068" t="s">
        <v>34</v>
      </c>
      <c r="S2068" t="s">
        <v>34</v>
      </c>
      <c r="T2068" s="117">
        <v>0</v>
      </c>
    </row>
    <row r="2069" spans="1:21" x14ac:dyDescent="0.35">
      <c r="A2069" t="s">
        <v>19</v>
      </c>
      <c r="B2069" t="s">
        <v>19</v>
      </c>
      <c r="C2069" s="1">
        <v>45588</v>
      </c>
      <c r="D2069">
        <f t="shared" si="145"/>
        <v>23</v>
      </c>
      <c r="E2069">
        <f t="shared" si="146"/>
        <v>10</v>
      </c>
      <c r="F2069">
        <f t="shared" si="147"/>
        <v>2024</v>
      </c>
      <c r="G2069" t="s">
        <v>601</v>
      </c>
      <c r="H2069" s="98" t="s">
        <v>603</v>
      </c>
      <c r="I2069" s="29">
        <v>166.4</v>
      </c>
      <c r="J2069" s="12" t="s">
        <v>31</v>
      </c>
      <c r="K2069" s="76">
        <f t="shared" si="148"/>
        <v>166.4</v>
      </c>
      <c r="L2069">
        <v>1</v>
      </c>
      <c r="M2069" s="29">
        <v>0</v>
      </c>
      <c r="N2069" t="s">
        <v>32</v>
      </c>
      <c r="O2069" t="s">
        <v>33</v>
      </c>
      <c r="P2069" t="s">
        <v>34</v>
      </c>
      <c r="Q2069" t="s">
        <v>34</v>
      </c>
      <c r="R2069" t="s">
        <v>34</v>
      </c>
      <c r="S2069" t="s">
        <v>34</v>
      </c>
      <c r="T2069" s="117">
        <v>0</v>
      </c>
    </row>
    <row r="2070" spans="1:21" x14ac:dyDescent="0.35">
      <c r="A2070" t="s">
        <v>19</v>
      </c>
      <c r="B2070" t="s">
        <v>26</v>
      </c>
      <c r="C2070" s="1">
        <v>45588</v>
      </c>
      <c r="D2070">
        <f t="shared" si="145"/>
        <v>23</v>
      </c>
      <c r="E2070">
        <f t="shared" si="146"/>
        <v>10</v>
      </c>
      <c r="F2070">
        <f t="shared" si="147"/>
        <v>2024</v>
      </c>
      <c r="G2070" t="s">
        <v>73</v>
      </c>
      <c r="H2070" s="98">
        <v>11281</v>
      </c>
      <c r="I2070" s="29">
        <v>27633</v>
      </c>
      <c r="J2070" s="12" t="s">
        <v>51</v>
      </c>
      <c r="K2070" s="76">
        <f t="shared" si="148"/>
        <v>29857.4565</v>
      </c>
      <c r="L2070">
        <v>1.0805</v>
      </c>
      <c r="M2070" s="29">
        <v>0</v>
      </c>
      <c r="N2070" t="s">
        <v>32</v>
      </c>
      <c r="O2070" t="s">
        <v>33</v>
      </c>
      <c r="P2070" t="s">
        <v>34</v>
      </c>
      <c r="Q2070" t="s">
        <v>34</v>
      </c>
      <c r="R2070" t="s">
        <v>34</v>
      </c>
      <c r="S2070" t="s">
        <v>34</v>
      </c>
      <c r="T2070" s="117">
        <v>0</v>
      </c>
      <c r="U2070" s="209" t="s">
        <v>94</v>
      </c>
    </row>
    <row r="2071" spans="1:21" x14ac:dyDescent="0.35">
      <c r="A2071" t="s">
        <v>19</v>
      </c>
      <c r="B2071" t="s">
        <v>26</v>
      </c>
      <c r="C2071" s="1">
        <v>45588</v>
      </c>
      <c r="D2071">
        <f t="shared" si="145"/>
        <v>23</v>
      </c>
      <c r="E2071">
        <f t="shared" si="146"/>
        <v>10</v>
      </c>
      <c r="F2071">
        <f t="shared" si="147"/>
        <v>2024</v>
      </c>
      <c r="G2071" t="s">
        <v>73</v>
      </c>
      <c r="H2071" s="98">
        <v>11321</v>
      </c>
      <c r="I2071" s="29">
        <v>76770.53</v>
      </c>
      <c r="J2071" s="12" t="s">
        <v>51</v>
      </c>
      <c r="K2071" s="76">
        <f t="shared" si="148"/>
        <v>82950.557665</v>
      </c>
      <c r="L2071">
        <v>1.0805</v>
      </c>
      <c r="M2071" s="29">
        <v>0</v>
      </c>
      <c r="N2071" t="s">
        <v>32</v>
      </c>
      <c r="O2071" t="s">
        <v>33</v>
      </c>
      <c r="P2071" t="s">
        <v>34</v>
      </c>
      <c r="Q2071" t="s">
        <v>34</v>
      </c>
      <c r="R2071" t="s">
        <v>34</v>
      </c>
      <c r="S2071" t="s">
        <v>34</v>
      </c>
      <c r="T2071" s="117">
        <v>0</v>
      </c>
      <c r="U2071" s="209" t="s">
        <v>94</v>
      </c>
    </row>
    <row r="2072" spans="1:21" x14ac:dyDescent="0.35">
      <c r="A2072" t="s">
        <v>19</v>
      </c>
      <c r="B2072" t="s">
        <v>26</v>
      </c>
      <c r="C2072" s="1">
        <v>45588</v>
      </c>
      <c r="D2072">
        <f t="shared" si="145"/>
        <v>23</v>
      </c>
      <c r="E2072">
        <f t="shared" si="146"/>
        <v>10</v>
      </c>
      <c r="F2072">
        <f t="shared" si="147"/>
        <v>2024</v>
      </c>
      <c r="G2072" t="s">
        <v>73</v>
      </c>
      <c r="H2072" s="98">
        <v>11340</v>
      </c>
      <c r="I2072" s="29">
        <v>79635.78</v>
      </c>
      <c r="J2072" s="12" t="s">
        <v>51</v>
      </c>
      <c r="K2072" s="76">
        <f t="shared" si="148"/>
        <v>86046.460290000003</v>
      </c>
      <c r="L2072">
        <v>1.0805</v>
      </c>
      <c r="M2072" s="29">
        <v>0</v>
      </c>
      <c r="N2072" t="s">
        <v>32</v>
      </c>
      <c r="O2072" t="s">
        <v>33</v>
      </c>
      <c r="P2072" t="s">
        <v>34</v>
      </c>
      <c r="Q2072" t="s">
        <v>34</v>
      </c>
      <c r="R2072" t="s">
        <v>34</v>
      </c>
      <c r="S2072" t="s">
        <v>34</v>
      </c>
      <c r="T2072" s="117">
        <v>0</v>
      </c>
      <c r="U2072" s="209" t="s">
        <v>94</v>
      </c>
    </row>
    <row r="2073" spans="1:21" x14ac:dyDescent="0.35">
      <c r="A2073" t="s">
        <v>19</v>
      </c>
      <c r="B2073" t="s">
        <v>26</v>
      </c>
      <c r="C2073" s="1">
        <v>45588</v>
      </c>
      <c r="D2073">
        <f t="shared" si="145"/>
        <v>23</v>
      </c>
      <c r="E2073">
        <f t="shared" si="146"/>
        <v>10</v>
      </c>
      <c r="F2073">
        <f t="shared" si="147"/>
        <v>2024</v>
      </c>
      <c r="G2073" t="s">
        <v>73</v>
      </c>
      <c r="H2073" s="98">
        <v>11351</v>
      </c>
      <c r="I2073" s="29">
        <v>35805.33</v>
      </c>
      <c r="J2073" s="12" t="s">
        <v>51</v>
      </c>
      <c r="K2073" s="76">
        <f t="shared" si="148"/>
        <v>38687.659065</v>
      </c>
      <c r="L2073">
        <v>1.0805</v>
      </c>
      <c r="M2073" s="29">
        <v>0</v>
      </c>
      <c r="N2073" t="s">
        <v>32</v>
      </c>
      <c r="O2073" t="s">
        <v>33</v>
      </c>
      <c r="P2073" t="s">
        <v>34</v>
      </c>
      <c r="Q2073" t="s">
        <v>34</v>
      </c>
      <c r="R2073" t="s">
        <v>34</v>
      </c>
      <c r="S2073" t="s">
        <v>34</v>
      </c>
      <c r="T2073" s="117">
        <v>0</v>
      </c>
      <c r="U2073" s="209" t="s">
        <v>94</v>
      </c>
    </row>
    <row r="2074" spans="1:21" x14ac:dyDescent="0.35">
      <c r="A2074" t="s">
        <v>19</v>
      </c>
      <c r="B2074" t="s">
        <v>26</v>
      </c>
      <c r="C2074" s="1">
        <v>45588</v>
      </c>
      <c r="D2074">
        <f t="shared" si="145"/>
        <v>23</v>
      </c>
      <c r="E2074">
        <f t="shared" si="146"/>
        <v>10</v>
      </c>
      <c r="F2074">
        <f t="shared" si="147"/>
        <v>2024</v>
      </c>
      <c r="G2074" t="s">
        <v>73</v>
      </c>
      <c r="H2074" s="98">
        <v>11354</v>
      </c>
      <c r="I2074" s="29">
        <v>74184.55</v>
      </c>
      <c r="J2074" s="12" t="s">
        <v>51</v>
      </c>
      <c r="K2074" s="76">
        <f t="shared" si="148"/>
        <v>80156.406275000001</v>
      </c>
      <c r="L2074">
        <v>1.0805</v>
      </c>
      <c r="M2074" s="29">
        <v>0</v>
      </c>
      <c r="N2074" t="s">
        <v>32</v>
      </c>
      <c r="O2074" t="s">
        <v>33</v>
      </c>
      <c r="P2074" t="s">
        <v>34</v>
      </c>
      <c r="Q2074" t="s">
        <v>34</v>
      </c>
      <c r="R2074" t="s">
        <v>34</v>
      </c>
      <c r="S2074" t="s">
        <v>34</v>
      </c>
      <c r="T2074" s="117">
        <v>0</v>
      </c>
      <c r="U2074" s="209" t="s">
        <v>94</v>
      </c>
    </row>
    <row r="2075" spans="1:21" x14ac:dyDescent="0.35">
      <c r="A2075" t="s">
        <v>19</v>
      </c>
      <c r="B2075" t="s">
        <v>26</v>
      </c>
      <c r="C2075" s="1">
        <v>45588</v>
      </c>
      <c r="D2075">
        <f t="shared" si="145"/>
        <v>23</v>
      </c>
      <c r="E2075">
        <f t="shared" si="146"/>
        <v>10</v>
      </c>
      <c r="F2075">
        <f t="shared" si="147"/>
        <v>2024</v>
      </c>
      <c r="G2075" t="s">
        <v>73</v>
      </c>
      <c r="H2075" s="98">
        <v>11379</v>
      </c>
      <c r="I2075" s="29">
        <v>77810</v>
      </c>
      <c r="J2075" s="12" t="s">
        <v>51</v>
      </c>
      <c r="K2075" s="76">
        <f t="shared" si="148"/>
        <v>84073.705000000002</v>
      </c>
      <c r="L2075">
        <v>1.0805</v>
      </c>
      <c r="M2075" s="29">
        <v>0</v>
      </c>
      <c r="N2075" t="s">
        <v>32</v>
      </c>
      <c r="O2075" t="s">
        <v>33</v>
      </c>
      <c r="P2075" t="s">
        <v>34</v>
      </c>
      <c r="Q2075" t="s">
        <v>34</v>
      </c>
      <c r="R2075" t="s">
        <v>34</v>
      </c>
      <c r="S2075" t="s">
        <v>34</v>
      </c>
      <c r="T2075" s="117">
        <v>0</v>
      </c>
      <c r="U2075" s="209" t="s">
        <v>94</v>
      </c>
    </row>
    <row r="2076" spans="1:21" x14ac:dyDescent="0.35">
      <c r="A2076" t="s">
        <v>19</v>
      </c>
      <c r="B2076" t="s">
        <v>26</v>
      </c>
      <c r="C2076" s="1">
        <v>45588</v>
      </c>
      <c r="D2076">
        <f t="shared" si="145"/>
        <v>23</v>
      </c>
      <c r="E2076">
        <f t="shared" si="146"/>
        <v>10</v>
      </c>
      <c r="F2076">
        <f t="shared" si="147"/>
        <v>2024</v>
      </c>
      <c r="G2076" t="s">
        <v>73</v>
      </c>
      <c r="H2076" s="98">
        <v>11422</v>
      </c>
      <c r="I2076" s="29">
        <v>11393.51</v>
      </c>
      <c r="J2076" s="12" t="s">
        <v>51</v>
      </c>
      <c r="K2076" s="76">
        <f t="shared" si="148"/>
        <v>12310.687555</v>
      </c>
      <c r="L2076">
        <v>1.0805</v>
      </c>
      <c r="M2076" s="29">
        <v>0</v>
      </c>
      <c r="N2076" t="s">
        <v>32</v>
      </c>
      <c r="O2076" t="s">
        <v>33</v>
      </c>
      <c r="P2076" t="s">
        <v>34</v>
      </c>
      <c r="Q2076" t="s">
        <v>34</v>
      </c>
      <c r="R2076" t="s">
        <v>34</v>
      </c>
      <c r="S2076" t="s">
        <v>34</v>
      </c>
      <c r="T2076" s="117">
        <v>0</v>
      </c>
      <c r="U2076" s="209" t="s">
        <v>94</v>
      </c>
    </row>
    <row r="2077" spans="1:21" x14ac:dyDescent="0.35">
      <c r="A2077" t="s">
        <v>19</v>
      </c>
      <c r="B2077" t="s">
        <v>26</v>
      </c>
      <c r="C2077" s="1">
        <v>45589</v>
      </c>
      <c r="D2077">
        <f t="shared" si="145"/>
        <v>24</v>
      </c>
      <c r="E2077">
        <f t="shared" si="146"/>
        <v>10</v>
      </c>
      <c r="F2077">
        <f t="shared" si="147"/>
        <v>2024</v>
      </c>
      <c r="G2077" t="s">
        <v>73</v>
      </c>
      <c r="H2077" s="98">
        <v>11422</v>
      </c>
      <c r="I2077" s="29">
        <v>39158.07</v>
      </c>
      <c r="J2077" s="12" t="s">
        <v>51</v>
      </c>
      <c r="K2077" s="76">
        <f t="shared" si="148"/>
        <v>42361.200126000003</v>
      </c>
      <c r="L2077">
        <v>1.0818000000000001</v>
      </c>
      <c r="M2077" s="29">
        <v>0</v>
      </c>
      <c r="N2077" t="s">
        <v>32</v>
      </c>
      <c r="O2077" t="s">
        <v>33</v>
      </c>
      <c r="P2077" t="s">
        <v>34</v>
      </c>
      <c r="Q2077" t="s">
        <v>34</v>
      </c>
      <c r="R2077" t="s">
        <v>34</v>
      </c>
      <c r="S2077" t="s">
        <v>34</v>
      </c>
      <c r="T2077" s="117">
        <v>0</v>
      </c>
      <c r="U2077" s="209" t="s">
        <v>94</v>
      </c>
    </row>
    <row r="2078" spans="1:21" x14ac:dyDescent="0.35">
      <c r="A2078" t="s">
        <v>19</v>
      </c>
      <c r="B2078" t="s">
        <v>26</v>
      </c>
      <c r="C2078" s="1">
        <v>45589</v>
      </c>
      <c r="D2078">
        <f t="shared" si="145"/>
        <v>24</v>
      </c>
      <c r="E2078">
        <f t="shared" si="146"/>
        <v>10</v>
      </c>
      <c r="F2078">
        <f t="shared" si="147"/>
        <v>2024</v>
      </c>
      <c r="G2078" t="s">
        <v>73</v>
      </c>
      <c r="H2078" s="98">
        <v>11423</v>
      </c>
      <c r="I2078" s="29">
        <v>71091.61</v>
      </c>
      <c r="J2078" s="12" t="s">
        <v>51</v>
      </c>
      <c r="K2078" s="76">
        <f t="shared" si="148"/>
        <v>76906.903698000009</v>
      </c>
      <c r="L2078">
        <v>1.0818000000000001</v>
      </c>
      <c r="M2078" s="29">
        <v>0</v>
      </c>
      <c r="N2078" t="s">
        <v>32</v>
      </c>
      <c r="O2078" t="s">
        <v>33</v>
      </c>
      <c r="P2078" t="s">
        <v>34</v>
      </c>
      <c r="Q2078" t="s">
        <v>34</v>
      </c>
      <c r="R2078" t="s">
        <v>34</v>
      </c>
      <c r="S2078" t="s">
        <v>34</v>
      </c>
      <c r="T2078" s="117">
        <v>0</v>
      </c>
      <c r="U2078" s="209" t="s">
        <v>94</v>
      </c>
    </row>
    <row r="2079" spans="1:21" x14ac:dyDescent="0.35">
      <c r="A2079" t="s">
        <v>19</v>
      </c>
      <c r="B2079" t="s">
        <v>26</v>
      </c>
      <c r="C2079" s="1">
        <v>45589</v>
      </c>
      <c r="D2079">
        <f t="shared" si="145"/>
        <v>24</v>
      </c>
      <c r="E2079">
        <f t="shared" si="146"/>
        <v>10</v>
      </c>
      <c r="F2079">
        <f t="shared" si="147"/>
        <v>2024</v>
      </c>
      <c r="G2079" t="s">
        <v>73</v>
      </c>
      <c r="H2079" s="98">
        <v>11467</v>
      </c>
      <c r="I2079" s="29">
        <v>17170.689999999999</v>
      </c>
      <c r="J2079" s="12" t="s">
        <v>51</v>
      </c>
      <c r="K2079" s="76">
        <f t="shared" si="148"/>
        <v>18575.252442000001</v>
      </c>
      <c r="L2079">
        <v>1.0818000000000001</v>
      </c>
      <c r="M2079" s="29">
        <v>0</v>
      </c>
      <c r="N2079" t="s">
        <v>32</v>
      </c>
      <c r="O2079" t="s">
        <v>33</v>
      </c>
      <c r="P2079" t="s">
        <v>34</v>
      </c>
      <c r="Q2079" t="s">
        <v>34</v>
      </c>
      <c r="R2079" t="s">
        <v>34</v>
      </c>
      <c r="S2079" t="s">
        <v>34</v>
      </c>
      <c r="T2079" s="117">
        <v>0</v>
      </c>
      <c r="U2079" s="209" t="s">
        <v>94</v>
      </c>
    </row>
    <row r="2080" spans="1:21" x14ac:dyDescent="0.35">
      <c r="A2080" t="s">
        <v>19</v>
      </c>
      <c r="B2080" t="s">
        <v>19</v>
      </c>
      <c r="C2080" s="1">
        <v>45590</v>
      </c>
      <c r="D2080">
        <f t="shared" si="145"/>
        <v>25</v>
      </c>
      <c r="E2080">
        <f t="shared" si="146"/>
        <v>10</v>
      </c>
      <c r="F2080">
        <f t="shared" si="147"/>
        <v>2024</v>
      </c>
      <c r="G2080" t="s">
        <v>213</v>
      </c>
      <c r="H2080" s="98" t="s">
        <v>605</v>
      </c>
      <c r="I2080" s="29">
        <v>156538.74</v>
      </c>
      <c r="J2080" s="12" t="s">
        <v>31</v>
      </c>
      <c r="K2080" s="76">
        <f t="shared" si="148"/>
        <v>156538.74</v>
      </c>
      <c r="L2080">
        <v>1</v>
      </c>
      <c r="M2080" s="29">
        <v>0</v>
      </c>
      <c r="N2080" t="s">
        <v>32</v>
      </c>
      <c r="O2080" t="s">
        <v>33</v>
      </c>
      <c r="P2080" t="s">
        <v>34</v>
      </c>
      <c r="Q2080" t="s">
        <v>34</v>
      </c>
      <c r="R2080" t="s">
        <v>34</v>
      </c>
      <c r="S2080" t="s">
        <v>34</v>
      </c>
      <c r="T2080" s="117">
        <v>0</v>
      </c>
    </row>
    <row r="2081" spans="1:21" x14ac:dyDescent="0.35">
      <c r="A2081" t="s">
        <v>19</v>
      </c>
      <c r="B2081" t="s">
        <v>19</v>
      </c>
      <c r="C2081" s="1">
        <v>45590</v>
      </c>
      <c r="D2081">
        <f t="shared" si="145"/>
        <v>25</v>
      </c>
      <c r="E2081">
        <f t="shared" si="146"/>
        <v>10</v>
      </c>
      <c r="F2081">
        <f t="shared" si="147"/>
        <v>2024</v>
      </c>
      <c r="G2081" t="s">
        <v>56</v>
      </c>
      <c r="H2081" s="98" t="s">
        <v>569</v>
      </c>
      <c r="I2081" s="29">
        <v>85.02</v>
      </c>
      <c r="J2081" s="12" t="s">
        <v>31</v>
      </c>
      <c r="K2081" s="76">
        <f t="shared" si="148"/>
        <v>85.02</v>
      </c>
      <c r="L2081">
        <v>1</v>
      </c>
      <c r="M2081" s="29">
        <v>0</v>
      </c>
      <c r="N2081" t="s">
        <v>32</v>
      </c>
      <c r="O2081" t="s">
        <v>33</v>
      </c>
      <c r="P2081" t="s">
        <v>34</v>
      </c>
      <c r="Q2081" t="s">
        <v>34</v>
      </c>
      <c r="R2081" t="s">
        <v>34</v>
      </c>
      <c r="S2081" t="s">
        <v>34</v>
      </c>
      <c r="T2081" s="117">
        <v>0</v>
      </c>
    </row>
    <row r="2082" spans="1:21" x14ac:dyDescent="0.35">
      <c r="A2082" t="s">
        <v>19</v>
      </c>
      <c r="B2082" t="s">
        <v>19</v>
      </c>
      <c r="C2082" s="1">
        <v>45590</v>
      </c>
      <c r="D2082">
        <f t="shared" si="145"/>
        <v>25</v>
      </c>
      <c r="E2082">
        <f t="shared" si="146"/>
        <v>10</v>
      </c>
      <c r="F2082">
        <f t="shared" si="147"/>
        <v>2024</v>
      </c>
      <c r="G2082" t="s">
        <v>56</v>
      </c>
      <c r="H2082" s="98" t="s">
        <v>606</v>
      </c>
      <c r="I2082" s="29">
        <v>2287.84</v>
      </c>
      <c r="J2082" s="12" t="s">
        <v>31</v>
      </c>
      <c r="K2082" s="76">
        <f t="shared" si="148"/>
        <v>2287.84</v>
      </c>
      <c r="L2082">
        <v>1</v>
      </c>
      <c r="M2082" s="29">
        <v>0</v>
      </c>
      <c r="N2082" t="s">
        <v>32</v>
      </c>
      <c r="O2082" t="s">
        <v>33</v>
      </c>
      <c r="P2082" t="s">
        <v>34</v>
      </c>
      <c r="Q2082" t="s">
        <v>34</v>
      </c>
      <c r="R2082" t="s">
        <v>34</v>
      </c>
      <c r="S2082" t="s">
        <v>34</v>
      </c>
      <c r="T2082" s="117">
        <v>0</v>
      </c>
    </row>
    <row r="2083" spans="1:21" x14ac:dyDescent="0.35">
      <c r="A2083" t="s">
        <v>19</v>
      </c>
      <c r="B2083" t="s">
        <v>19</v>
      </c>
      <c r="C2083" s="1">
        <v>45590</v>
      </c>
      <c r="D2083">
        <f t="shared" si="145"/>
        <v>25</v>
      </c>
      <c r="E2083">
        <f t="shared" si="146"/>
        <v>10</v>
      </c>
      <c r="F2083">
        <f t="shared" si="147"/>
        <v>2024</v>
      </c>
      <c r="G2083" t="s">
        <v>56</v>
      </c>
      <c r="H2083" s="98" t="s">
        <v>607</v>
      </c>
      <c r="I2083" s="29">
        <v>2515.54</v>
      </c>
      <c r="J2083" s="12" t="s">
        <v>31</v>
      </c>
      <c r="K2083" s="76">
        <f t="shared" ref="K2083:K2114" si="149">IF(J2083="USD",I2083,I2083*L2083)</f>
        <v>2515.54</v>
      </c>
      <c r="L2083">
        <v>1</v>
      </c>
      <c r="M2083" s="29">
        <v>0</v>
      </c>
      <c r="N2083" t="s">
        <v>32</v>
      </c>
      <c r="O2083" t="s">
        <v>33</v>
      </c>
      <c r="P2083" t="s">
        <v>34</v>
      </c>
      <c r="Q2083" t="s">
        <v>34</v>
      </c>
      <c r="R2083" t="s">
        <v>34</v>
      </c>
      <c r="S2083" t="s">
        <v>34</v>
      </c>
      <c r="T2083" s="117">
        <v>0</v>
      </c>
    </row>
    <row r="2084" spans="1:21" x14ac:dyDescent="0.35">
      <c r="A2084" t="s">
        <v>19</v>
      </c>
      <c r="B2084" t="s">
        <v>19</v>
      </c>
      <c r="C2084" s="1">
        <v>45590</v>
      </c>
      <c r="D2084">
        <f t="shared" si="145"/>
        <v>25</v>
      </c>
      <c r="E2084">
        <f t="shared" si="146"/>
        <v>10</v>
      </c>
      <c r="F2084">
        <f t="shared" si="147"/>
        <v>2024</v>
      </c>
      <c r="G2084" t="s">
        <v>110</v>
      </c>
      <c r="H2084" s="98" t="s">
        <v>608</v>
      </c>
      <c r="I2084" s="29">
        <v>100026.16</v>
      </c>
      <c r="J2084" s="12" t="s">
        <v>31</v>
      </c>
      <c r="K2084" s="76">
        <f t="shared" si="149"/>
        <v>100026.16</v>
      </c>
      <c r="L2084">
        <v>1</v>
      </c>
      <c r="M2084" s="29">
        <v>0</v>
      </c>
      <c r="N2084" t="s">
        <v>32</v>
      </c>
      <c r="O2084" t="s">
        <v>33</v>
      </c>
      <c r="P2084" t="s">
        <v>34</v>
      </c>
      <c r="Q2084" t="s">
        <v>34</v>
      </c>
      <c r="R2084" t="s">
        <v>34</v>
      </c>
      <c r="S2084" t="s">
        <v>34</v>
      </c>
      <c r="T2084" s="117">
        <v>0</v>
      </c>
    </row>
    <row r="2085" spans="1:21" x14ac:dyDescent="0.35">
      <c r="A2085" t="s">
        <v>19</v>
      </c>
      <c r="B2085" t="s">
        <v>19</v>
      </c>
      <c r="C2085" s="1">
        <v>45590</v>
      </c>
      <c r="D2085">
        <f t="shared" si="145"/>
        <v>25</v>
      </c>
      <c r="E2085">
        <f t="shared" si="146"/>
        <v>10</v>
      </c>
      <c r="F2085">
        <f t="shared" si="147"/>
        <v>2024</v>
      </c>
      <c r="G2085" t="s">
        <v>228</v>
      </c>
      <c r="H2085" s="98" t="s">
        <v>609</v>
      </c>
      <c r="I2085" s="29">
        <v>75481.52</v>
      </c>
      <c r="J2085" s="12" t="s">
        <v>31</v>
      </c>
      <c r="K2085" s="76">
        <f t="shared" si="149"/>
        <v>75481.52</v>
      </c>
      <c r="L2085">
        <v>1</v>
      </c>
      <c r="M2085" s="29">
        <v>0</v>
      </c>
      <c r="N2085" t="s">
        <v>32</v>
      </c>
      <c r="O2085" t="s">
        <v>33</v>
      </c>
      <c r="P2085" t="s">
        <v>34</v>
      </c>
      <c r="Q2085" t="s">
        <v>34</v>
      </c>
      <c r="R2085" t="s">
        <v>34</v>
      </c>
      <c r="S2085" t="s">
        <v>34</v>
      </c>
      <c r="T2085" s="117">
        <v>0</v>
      </c>
    </row>
    <row r="2086" spans="1:21" x14ac:dyDescent="0.35">
      <c r="A2086" t="s">
        <v>19</v>
      </c>
      <c r="B2086" t="s">
        <v>19</v>
      </c>
      <c r="C2086" s="1">
        <v>45590</v>
      </c>
      <c r="D2086">
        <f t="shared" si="145"/>
        <v>25</v>
      </c>
      <c r="E2086">
        <f t="shared" si="146"/>
        <v>10</v>
      </c>
      <c r="F2086">
        <f t="shared" si="147"/>
        <v>2024</v>
      </c>
      <c r="G2086" t="s">
        <v>88</v>
      </c>
      <c r="H2086" s="98" t="s">
        <v>610</v>
      </c>
      <c r="I2086" s="29">
        <v>8000</v>
      </c>
      <c r="J2086" s="12" t="s">
        <v>31</v>
      </c>
      <c r="K2086" s="76">
        <f t="shared" si="149"/>
        <v>8000</v>
      </c>
      <c r="L2086">
        <v>1</v>
      </c>
      <c r="M2086" s="29">
        <v>0</v>
      </c>
      <c r="N2086" t="s">
        <v>32</v>
      </c>
      <c r="O2086" t="s">
        <v>33</v>
      </c>
      <c r="P2086" t="s">
        <v>34</v>
      </c>
      <c r="Q2086" t="s">
        <v>34</v>
      </c>
      <c r="R2086" t="s">
        <v>34</v>
      </c>
      <c r="S2086" t="s">
        <v>34</v>
      </c>
      <c r="T2086" s="117">
        <v>0</v>
      </c>
    </row>
    <row r="2087" spans="1:21" x14ac:dyDescent="0.35">
      <c r="A2087" t="s">
        <v>19</v>
      </c>
      <c r="B2087" t="s">
        <v>19</v>
      </c>
      <c r="C2087" s="1">
        <v>45590</v>
      </c>
      <c r="D2087">
        <f t="shared" si="145"/>
        <v>25</v>
      </c>
      <c r="E2087">
        <f t="shared" si="146"/>
        <v>10</v>
      </c>
      <c r="F2087">
        <f t="shared" si="147"/>
        <v>2024</v>
      </c>
      <c r="G2087" t="s">
        <v>56</v>
      </c>
      <c r="H2087" s="98" t="s">
        <v>611</v>
      </c>
      <c r="I2087" s="29">
        <v>2499.9</v>
      </c>
      <c r="J2087" s="12" t="s">
        <v>31</v>
      </c>
      <c r="K2087" s="76">
        <f t="shared" si="149"/>
        <v>2499.9</v>
      </c>
      <c r="L2087">
        <v>1</v>
      </c>
      <c r="M2087" s="29">
        <v>0</v>
      </c>
      <c r="N2087" t="s">
        <v>32</v>
      </c>
      <c r="O2087" t="s">
        <v>33</v>
      </c>
      <c r="P2087" t="s">
        <v>34</v>
      </c>
      <c r="Q2087" t="s">
        <v>34</v>
      </c>
      <c r="R2087" t="s">
        <v>34</v>
      </c>
      <c r="S2087" t="s">
        <v>34</v>
      </c>
      <c r="T2087" s="117">
        <v>0</v>
      </c>
    </row>
    <row r="2088" spans="1:21" x14ac:dyDescent="0.35">
      <c r="A2088" t="s">
        <v>19</v>
      </c>
      <c r="B2088" t="s">
        <v>19</v>
      </c>
      <c r="C2088" s="1">
        <v>45590</v>
      </c>
      <c r="D2088">
        <f t="shared" si="145"/>
        <v>25</v>
      </c>
      <c r="E2088">
        <f t="shared" si="146"/>
        <v>10</v>
      </c>
      <c r="F2088">
        <f t="shared" si="147"/>
        <v>2024</v>
      </c>
      <c r="G2088" t="s">
        <v>56</v>
      </c>
      <c r="H2088" s="98" t="s">
        <v>612</v>
      </c>
      <c r="I2088" s="29">
        <v>4148.4399999999996</v>
      </c>
      <c r="J2088" s="12" t="s">
        <v>31</v>
      </c>
      <c r="K2088" s="76">
        <f t="shared" si="149"/>
        <v>4148.4399999999996</v>
      </c>
      <c r="L2088">
        <v>1</v>
      </c>
      <c r="M2088" s="29">
        <v>0</v>
      </c>
      <c r="N2088" t="s">
        <v>32</v>
      </c>
      <c r="O2088" t="s">
        <v>33</v>
      </c>
      <c r="P2088" t="s">
        <v>34</v>
      </c>
      <c r="Q2088" t="s">
        <v>34</v>
      </c>
      <c r="R2088" t="s">
        <v>34</v>
      </c>
      <c r="S2088" t="s">
        <v>34</v>
      </c>
      <c r="T2088" s="117">
        <v>0</v>
      </c>
    </row>
    <row r="2089" spans="1:21" x14ac:dyDescent="0.35">
      <c r="A2089" t="s">
        <v>19</v>
      </c>
      <c r="B2089" t="s">
        <v>25</v>
      </c>
      <c r="C2089" s="1">
        <v>45594</v>
      </c>
      <c r="D2089">
        <f t="shared" si="145"/>
        <v>29</v>
      </c>
      <c r="E2089">
        <f t="shared" si="146"/>
        <v>10</v>
      </c>
      <c r="F2089">
        <f t="shared" si="147"/>
        <v>2024</v>
      </c>
      <c r="G2089" t="s">
        <v>79</v>
      </c>
      <c r="H2089" s="98">
        <v>10840</v>
      </c>
      <c r="I2089" s="29">
        <v>210</v>
      </c>
      <c r="J2089" s="12" t="s">
        <v>51</v>
      </c>
      <c r="K2089" s="76">
        <f t="shared" si="149"/>
        <v>227.30505000000002</v>
      </c>
      <c r="L2089">
        <v>1.0824050000000001</v>
      </c>
      <c r="M2089" s="29">
        <v>0</v>
      </c>
      <c r="N2089" t="s">
        <v>32</v>
      </c>
      <c r="O2089" t="s">
        <v>33</v>
      </c>
      <c r="P2089" t="s">
        <v>34</v>
      </c>
      <c r="Q2089" t="s">
        <v>34</v>
      </c>
      <c r="R2089" t="s">
        <v>34</v>
      </c>
      <c r="S2089" t="s">
        <v>34</v>
      </c>
      <c r="T2089" s="117">
        <v>0</v>
      </c>
    </row>
    <row r="2090" spans="1:21" x14ac:dyDescent="0.35">
      <c r="A2090" t="s">
        <v>19</v>
      </c>
      <c r="B2090" t="s">
        <v>25</v>
      </c>
      <c r="C2090" s="1">
        <v>45594</v>
      </c>
      <c r="D2090">
        <f t="shared" si="145"/>
        <v>29</v>
      </c>
      <c r="E2090">
        <f t="shared" si="146"/>
        <v>10</v>
      </c>
      <c r="F2090">
        <f t="shared" si="147"/>
        <v>2024</v>
      </c>
      <c r="G2090" t="s">
        <v>79</v>
      </c>
      <c r="H2090" s="98">
        <v>10841</v>
      </c>
      <c r="I2090" s="29">
        <v>1470</v>
      </c>
      <c r="J2090" s="12" t="s">
        <v>51</v>
      </c>
      <c r="K2090" s="76">
        <f t="shared" si="149"/>
        <v>1591.13535</v>
      </c>
      <c r="L2090">
        <v>1.0824050000000001</v>
      </c>
      <c r="M2090" s="29">
        <v>0</v>
      </c>
      <c r="N2090" t="s">
        <v>32</v>
      </c>
      <c r="O2090" t="s">
        <v>33</v>
      </c>
      <c r="P2090" t="s">
        <v>34</v>
      </c>
      <c r="Q2090" t="s">
        <v>34</v>
      </c>
      <c r="R2090" t="s">
        <v>34</v>
      </c>
      <c r="S2090" t="s">
        <v>34</v>
      </c>
      <c r="T2090" s="117">
        <v>0</v>
      </c>
    </row>
    <row r="2091" spans="1:21" x14ac:dyDescent="0.35">
      <c r="A2091" t="s">
        <v>19</v>
      </c>
      <c r="B2091" t="s">
        <v>25</v>
      </c>
      <c r="C2091" s="1">
        <v>45594</v>
      </c>
      <c r="D2091">
        <f t="shared" si="145"/>
        <v>29</v>
      </c>
      <c r="E2091">
        <f t="shared" si="146"/>
        <v>10</v>
      </c>
      <c r="F2091">
        <f t="shared" si="147"/>
        <v>2024</v>
      </c>
      <c r="G2091" t="s">
        <v>93</v>
      </c>
      <c r="H2091" s="98">
        <v>11050</v>
      </c>
      <c r="I2091" s="90">
        <v>342.8</v>
      </c>
      <c r="J2091" s="12" t="s">
        <v>31</v>
      </c>
      <c r="K2091" s="76">
        <f t="shared" si="149"/>
        <v>342.8</v>
      </c>
      <c r="L2091">
        <v>1</v>
      </c>
      <c r="M2091" s="29">
        <v>0</v>
      </c>
      <c r="N2091" t="s">
        <v>32</v>
      </c>
      <c r="O2091" t="s">
        <v>33</v>
      </c>
      <c r="P2091" t="s">
        <v>34</v>
      </c>
      <c r="Q2091" t="s">
        <v>34</v>
      </c>
      <c r="R2091" t="s">
        <v>34</v>
      </c>
      <c r="S2091" t="s">
        <v>34</v>
      </c>
      <c r="T2091" s="117">
        <v>0</v>
      </c>
    </row>
    <row r="2092" spans="1:21" x14ac:dyDescent="0.35">
      <c r="A2092" t="s">
        <v>19</v>
      </c>
      <c r="B2092" t="s">
        <v>25</v>
      </c>
      <c r="C2092" s="1">
        <v>45594</v>
      </c>
      <c r="D2092">
        <f t="shared" si="145"/>
        <v>29</v>
      </c>
      <c r="E2092">
        <f t="shared" si="146"/>
        <v>10</v>
      </c>
      <c r="F2092">
        <f t="shared" si="147"/>
        <v>2024</v>
      </c>
      <c r="G2092" t="s">
        <v>80</v>
      </c>
      <c r="H2092" s="98">
        <v>10430</v>
      </c>
      <c r="I2092" s="29">
        <v>11634</v>
      </c>
      <c r="J2092" s="12" t="s">
        <v>31</v>
      </c>
      <c r="K2092" s="76">
        <f t="shared" si="149"/>
        <v>11634</v>
      </c>
      <c r="L2092">
        <v>1</v>
      </c>
      <c r="M2092" s="29">
        <v>0</v>
      </c>
      <c r="N2092" t="s">
        <v>32</v>
      </c>
      <c r="O2092" t="s">
        <v>33</v>
      </c>
      <c r="P2092" t="s">
        <v>34</v>
      </c>
      <c r="Q2092" t="s">
        <v>34</v>
      </c>
      <c r="R2092" t="s">
        <v>34</v>
      </c>
      <c r="S2092" t="s">
        <v>34</v>
      </c>
      <c r="T2092" s="117">
        <v>0</v>
      </c>
    </row>
    <row r="2093" spans="1:21" x14ac:dyDescent="0.35">
      <c r="A2093" t="s">
        <v>20</v>
      </c>
      <c r="B2093" t="s">
        <v>25</v>
      </c>
      <c r="C2093" s="1">
        <v>45594</v>
      </c>
      <c r="D2093">
        <f t="shared" si="145"/>
        <v>29</v>
      </c>
      <c r="E2093">
        <f t="shared" si="146"/>
        <v>10</v>
      </c>
      <c r="F2093">
        <f t="shared" si="147"/>
        <v>2024</v>
      </c>
      <c r="G2093" t="s">
        <v>53</v>
      </c>
      <c r="H2093" s="171">
        <v>11345</v>
      </c>
      <c r="I2093" s="29">
        <v>11186.36</v>
      </c>
      <c r="J2093" s="12" t="s">
        <v>31</v>
      </c>
      <c r="K2093" s="76">
        <f t="shared" si="149"/>
        <v>11186.36</v>
      </c>
      <c r="L2093">
        <v>1</v>
      </c>
      <c r="M2093" s="29">
        <v>0</v>
      </c>
      <c r="N2093" t="s">
        <v>42</v>
      </c>
      <c r="O2093" t="s">
        <v>33</v>
      </c>
      <c r="P2093" t="s">
        <v>34</v>
      </c>
      <c r="Q2093" t="s">
        <v>34</v>
      </c>
      <c r="R2093" t="s">
        <v>34</v>
      </c>
      <c r="S2093" t="s">
        <v>34</v>
      </c>
      <c r="T2093" s="117">
        <v>0</v>
      </c>
    </row>
    <row r="2094" spans="1:21" x14ac:dyDescent="0.35">
      <c r="A2094" t="s">
        <v>20</v>
      </c>
      <c r="B2094" t="s">
        <v>21</v>
      </c>
      <c r="C2094" s="1">
        <v>45594</v>
      </c>
      <c r="D2094">
        <f t="shared" si="145"/>
        <v>29</v>
      </c>
      <c r="E2094">
        <f t="shared" si="146"/>
        <v>10</v>
      </c>
      <c r="F2094">
        <f t="shared" si="147"/>
        <v>2024</v>
      </c>
      <c r="G2094" t="s">
        <v>53</v>
      </c>
      <c r="H2094" s="171">
        <v>11389</v>
      </c>
      <c r="I2094" s="29">
        <v>5883.7</v>
      </c>
      <c r="J2094" s="12" t="s">
        <v>31</v>
      </c>
      <c r="K2094" s="76">
        <f t="shared" si="149"/>
        <v>5883.7</v>
      </c>
      <c r="L2094">
        <v>1</v>
      </c>
      <c r="M2094" s="29">
        <v>0</v>
      </c>
      <c r="N2094" t="s">
        <v>42</v>
      </c>
      <c r="O2094" t="s">
        <v>33</v>
      </c>
      <c r="P2094" t="s">
        <v>34</v>
      </c>
      <c r="Q2094" t="s">
        <v>34</v>
      </c>
      <c r="R2094" t="s">
        <v>34</v>
      </c>
      <c r="S2094" t="s">
        <v>34</v>
      </c>
      <c r="T2094" s="117">
        <v>0</v>
      </c>
      <c r="U2094" s="209" t="s">
        <v>658</v>
      </c>
    </row>
    <row r="2095" spans="1:21" x14ac:dyDescent="0.35">
      <c r="A2095" t="s">
        <v>20</v>
      </c>
      <c r="B2095" t="s">
        <v>21</v>
      </c>
      <c r="C2095" s="1">
        <v>45594</v>
      </c>
      <c r="D2095">
        <f t="shared" si="145"/>
        <v>29</v>
      </c>
      <c r="E2095">
        <f t="shared" si="146"/>
        <v>10</v>
      </c>
      <c r="F2095">
        <f t="shared" si="147"/>
        <v>2024</v>
      </c>
      <c r="G2095" t="s">
        <v>53</v>
      </c>
      <c r="H2095" s="171">
        <v>11398</v>
      </c>
      <c r="I2095" s="29">
        <v>415.04</v>
      </c>
      <c r="J2095" s="12" t="s">
        <v>31</v>
      </c>
      <c r="K2095" s="76">
        <f t="shared" si="149"/>
        <v>415.04</v>
      </c>
      <c r="L2095">
        <v>1</v>
      </c>
      <c r="M2095" s="29">
        <v>0</v>
      </c>
      <c r="N2095" t="s">
        <v>42</v>
      </c>
      <c r="O2095" t="s">
        <v>33</v>
      </c>
      <c r="P2095" t="s">
        <v>34</v>
      </c>
      <c r="Q2095" t="s">
        <v>34</v>
      </c>
      <c r="R2095" t="s">
        <v>34</v>
      </c>
      <c r="S2095" t="s">
        <v>34</v>
      </c>
      <c r="T2095" s="117">
        <v>0</v>
      </c>
    </row>
    <row r="2096" spans="1:21" x14ac:dyDescent="0.35">
      <c r="A2096" t="s">
        <v>20</v>
      </c>
      <c r="B2096" t="s">
        <v>21</v>
      </c>
      <c r="C2096" s="1">
        <v>45594</v>
      </c>
      <c r="D2096">
        <f t="shared" si="145"/>
        <v>29</v>
      </c>
      <c r="E2096">
        <f t="shared" si="146"/>
        <v>10</v>
      </c>
      <c r="F2096">
        <f t="shared" si="147"/>
        <v>2024</v>
      </c>
      <c r="G2096" t="s">
        <v>45</v>
      </c>
      <c r="H2096" s="98">
        <v>11027</v>
      </c>
      <c r="I2096" s="29">
        <v>64.599999999999994</v>
      </c>
      <c r="J2096" s="12" t="s">
        <v>31</v>
      </c>
      <c r="K2096" s="76">
        <f t="shared" si="149"/>
        <v>64.599999999999994</v>
      </c>
      <c r="L2096">
        <v>1</v>
      </c>
      <c r="M2096" s="29">
        <v>0</v>
      </c>
      <c r="N2096" t="s">
        <v>32</v>
      </c>
      <c r="O2096" t="s">
        <v>33</v>
      </c>
      <c r="P2096" t="s">
        <v>34</v>
      </c>
      <c r="Q2096" t="s">
        <v>34</v>
      </c>
      <c r="R2096" t="s">
        <v>34</v>
      </c>
      <c r="S2096" t="s">
        <v>34</v>
      </c>
      <c r="T2096" s="117">
        <v>0</v>
      </c>
    </row>
    <row r="2097" spans="1:21" x14ac:dyDescent="0.35">
      <c r="A2097" t="s">
        <v>20</v>
      </c>
      <c r="B2097" t="s">
        <v>21</v>
      </c>
      <c r="C2097" s="1">
        <v>45594</v>
      </c>
      <c r="D2097">
        <f t="shared" si="145"/>
        <v>29</v>
      </c>
      <c r="E2097">
        <f t="shared" si="146"/>
        <v>10</v>
      </c>
      <c r="F2097">
        <f t="shared" si="147"/>
        <v>2024</v>
      </c>
      <c r="G2097" t="s">
        <v>45</v>
      </c>
      <c r="H2097" s="98">
        <v>11187</v>
      </c>
      <c r="I2097" s="29">
        <v>580.4</v>
      </c>
      <c r="J2097" s="12" t="s">
        <v>31</v>
      </c>
      <c r="K2097" s="76">
        <f t="shared" si="149"/>
        <v>580.4</v>
      </c>
      <c r="L2097">
        <v>1</v>
      </c>
      <c r="M2097" s="29">
        <v>0</v>
      </c>
      <c r="N2097" t="s">
        <v>32</v>
      </c>
      <c r="O2097" t="s">
        <v>33</v>
      </c>
      <c r="P2097" t="s">
        <v>34</v>
      </c>
      <c r="Q2097" t="s">
        <v>34</v>
      </c>
      <c r="R2097" t="s">
        <v>34</v>
      </c>
      <c r="S2097" t="s">
        <v>34</v>
      </c>
      <c r="T2097" s="117">
        <v>0</v>
      </c>
    </row>
    <row r="2098" spans="1:21" x14ac:dyDescent="0.35">
      <c r="A2098" t="s">
        <v>20</v>
      </c>
      <c r="B2098" t="s">
        <v>25</v>
      </c>
      <c r="C2098" s="1">
        <v>45594</v>
      </c>
      <c r="D2098">
        <f t="shared" si="145"/>
        <v>29</v>
      </c>
      <c r="E2098">
        <f t="shared" si="146"/>
        <v>10</v>
      </c>
      <c r="F2098">
        <f t="shared" si="147"/>
        <v>2024</v>
      </c>
      <c r="G2098" t="s">
        <v>45</v>
      </c>
      <c r="H2098" s="98">
        <v>11187</v>
      </c>
      <c r="I2098" s="29">
        <v>517.5</v>
      </c>
      <c r="J2098" s="12" t="s">
        <v>31</v>
      </c>
      <c r="K2098" s="76">
        <f t="shared" si="149"/>
        <v>517.5</v>
      </c>
      <c r="L2098">
        <v>1</v>
      </c>
      <c r="M2098" s="29">
        <v>0</v>
      </c>
      <c r="N2098" t="s">
        <v>32</v>
      </c>
      <c r="O2098" t="s">
        <v>33</v>
      </c>
      <c r="P2098" t="s">
        <v>34</v>
      </c>
      <c r="Q2098" t="s">
        <v>34</v>
      </c>
      <c r="R2098" t="s">
        <v>34</v>
      </c>
      <c r="S2098" t="s">
        <v>34</v>
      </c>
      <c r="T2098" s="117">
        <v>0</v>
      </c>
    </row>
    <row r="2099" spans="1:21" x14ac:dyDescent="0.35">
      <c r="A2099" t="s">
        <v>20</v>
      </c>
      <c r="B2099" t="s">
        <v>24</v>
      </c>
      <c r="C2099" s="1">
        <v>45594</v>
      </c>
      <c r="D2099">
        <f t="shared" si="145"/>
        <v>29</v>
      </c>
      <c r="E2099">
        <f t="shared" si="146"/>
        <v>10</v>
      </c>
      <c r="F2099">
        <f t="shared" si="147"/>
        <v>2024</v>
      </c>
      <c r="G2099" t="s">
        <v>45</v>
      </c>
      <c r="H2099" s="98">
        <v>11099</v>
      </c>
      <c r="I2099" s="29">
        <v>96</v>
      </c>
      <c r="J2099" s="12" t="s">
        <v>31</v>
      </c>
      <c r="K2099" s="76">
        <f t="shared" si="149"/>
        <v>96</v>
      </c>
      <c r="L2099">
        <v>1</v>
      </c>
      <c r="M2099" s="29">
        <v>0</v>
      </c>
      <c r="N2099" t="s">
        <v>32</v>
      </c>
      <c r="O2099" t="s">
        <v>33</v>
      </c>
      <c r="P2099" t="s">
        <v>34</v>
      </c>
      <c r="Q2099" t="s">
        <v>34</v>
      </c>
      <c r="R2099" t="s">
        <v>34</v>
      </c>
      <c r="S2099" t="s">
        <v>34</v>
      </c>
      <c r="T2099" s="117">
        <v>0</v>
      </c>
    </row>
    <row r="2100" spans="1:21" x14ac:dyDescent="0.35">
      <c r="A2100" t="s">
        <v>20</v>
      </c>
      <c r="B2100" t="s">
        <v>24</v>
      </c>
      <c r="C2100" s="1">
        <v>45594</v>
      </c>
      <c r="D2100">
        <f t="shared" si="145"/>
        <v>29</v>
      </c>
      <c r="E2100">
        <f t="shared" si="146"/>
        <v>10</v>
      </c>
      <c r="F2100">
        <f t="shared" si="147"/>
        <v>2024</v>
      </c>
      <c r="G2100" t="s">
        <v>45</v>
      </c>
      <c r="H2100" s="98">
        <v>11097</v>
      </c>
      <c r="I2100" s="29">
        <v>117.8</v>
      </c>
      <c r="J2100" s="12" t="s">
        <v>31</v>
      </c>
      <c r="K2100" s="76">
        <f t="shared" si="149"/>
        <v>117.8</v>
      </c>
      <c r="L2100">
        <v>1</v>
      </c>
      <c r="M2100" s="29">
        <v>0</v>
      </c>
      <c r="N2100" t="s">
        <v>32</v>
      </c>
      <c r="O2100" t="s">
        <v>33</v>
      </c>
      <c r="P2100" t="s">
        <v>34</v>
      </c>
      <c r="Q2100" t="s">
        <v>34</v>
      </c>
      <c r="R2100" t="s">
        <v>34</v>
      </c>
      <c r="S2100" t="s">
        <v>34</v>
      </c>
      <c r="T2100" s="117">
        <v>0</v>
      </c>
    </row>
    <row r="2101" spans="1:21" x14ac:dyDescent="0.35">
      <c r="A2101" t="s">
        <v>20</v>
      </c>
      <c r="B2101" t="s">
        <v>21</v>
      </c>
      <c r="C2101" s="1">
        <v>45594</v>
      </c>
      <c r="D2101">
        <f t="shared" si="145"/>
        <v>29</v>
      </c>
      <c r="E2101">
        <f t="shared" si="146"/>
        <v>10</v>
      </c>
      <c r="F2101">
        <f t="shared" si="147"/>
        <v>2024</v>
      </c>
      <c r="G2101" t="s">
        <v>45</v>
      </c>
      <c r="H2101" s="98">
        <v>11197</v>
      </c>
      <c r="I2101" s="29">
        <v>49961.8</v>
      </c>
      <c r="J2101" s="12" t="s">
        <v>31</v>
      </c>
      <c r="K2101" s="76">
        <f t="shared" si="149"/>
        <v>49961.8</v>
      </c>
      <c r="L2101">
        <v>1</v>
      </c>
      <c r="M2101" s="29">
        <v>0</v>
      </c>
      <c r="N2101" t="s">
        <v>32</v>
      </c>
      <c r="O2101" t="s">
        <v>33</v>
      </c>
      <c r="P2101" t="s">
        <v>34</v>
      </c>
      <c r="Q2101" t="s">
        <v>34</v>
      </c>
      <c r="R2101" t="s">
        <v>34</v>
      </c>
      <c r="S2101" t="s">
        <v>34</v>
      </c>
      <c r="T2101" s="117">
        <v>0</v>
      </c>
    </row>
    <row r="2102" spans="1:21" x14ac:dyDescent="0.35">
      <c r="A2102" t="s">
        <v>20</v>
      </c>
      <c r="B2102" t="s">
        <v>21</v>
      </c>
      <c r="C2102" s="1">
        <v>45594</v>
      </c>
      <c r="D2102">
        <f t="shared" si="145"/>
        <v>29</v>
      </c>
      <c r="E2102">
        <f t="shared" si="146"/>
        <v>10</v>
      </c>
      <c r="F2102">
        <f t="shared" si="147"/>
        <v>2024</v>
      </c>
      <c r="G2102" t="s">
        <v>118</v>
      </c>
      <c r="H2102" s="98">
        <v>11520</v>
      </c>
      <c r="I2102" s="29">
        <v>254.4</v>
      </c>
      <c r="J2102" s="12" t="s">
        <v>31</v>
      </c>
      <c r="K2102" s="76">
        <f t="shared" si="149"/>
        <v>254.4</v>
      </c>
      <c r="L2102">
        <v>1</v>
      </c>
      <c r="M2102" s="29">
        <v>0</v>
      </c>
      <c r="N2102" t="s">
        <v>42</v>
      </c>
      <c r="O2102" t="s">
        <v>33</v>
      </c>
      <c r="P2102" t="s">
        <v>34</v>
      </c>
      <c r="Q2102" t="s">
        <v>34</v>
      </c>
      <c r="R2102" t="s">
        <v>34</v>
      </c>
      <c r="S2102" t="s">
        <v>34</v>
      </c>
      <c r="T2102" s="117">
        <v>0</v>
      </c>
    </row>
    <row r="2103" spans="1:21" x14ac:dyDescent="0.35">
      <c r="A2103" t="s">
        <v>20</v>
      </c>
      <c r="B2103" t="s">
        <v>21</v>
      </c>
      <c r="C2103" s="1">
        <v>45594</v>
      </c>
      <c r="D2103">
        <f t="shared" si="145"/>
        <v>29</v>
      </c>
      <c r="E2103">
        <f t="shared" si="146"/>
        <v>10</v>
      </c>
      <c r="F2103">
        <f t="shared" si="147"/>
        <v>2024</v>
      </c>
      <c r="G2103" t="s">
        <v>118</v>
      </c>
      <c r="H2103" s="98">
        <v>12067</v>
      </c>
      <c r="I2103" s="29">
        <v>3666.34</v>
      </c>
      <c r="J2103" s="12" t="s">
        <v>31</v>
      </c>
      <c r="K2103" s="76">
        <f t="shared" si="149"/>
        <v>3666.34</v>
      </c>
      <c r="L2103">
        <v>1</v>
      </c>
      <c r="M2103" s="29">
        <v>0</v>
      </c>
      <c r="N2103" t="s">
        <v>42</v>
      </c>
      <c r="O2103" t="s">
        <v>33</v>
      </c>
      <c r="P2103" t="s">
        <v>34</v>
      </c>
      <c r="Q2103" t="s">
        <v>34</v>
      </c>
      <c r="R2103" t="s">
        <v>34</v>
      </c>
      <c r="S2103" t="s">
        <v>34</v>
      </c>
      <c r="T2103" s="117">
        <v>0</v>
      </c>
      <c r="U2103" s="209" t="s">
        <v>1053</v>
      </c>
    </row>
    <row r="2104" spans="1:21" x14ac:dyDescent="0.35">
      <c r="A2104" t="s">
        <v>19</v>
      </c>
      <c r="B2104" t="s">
        <v>19</v>
      </c>
      <c r="C2104" s="1">
        <v>45594</v>
      </c>
      <c r="D2104">
        <f t="shared" si="145"/>
        <v>29</v>
      </c>
      <c r="E2104">
        <f t="shared" si="146"/>
        <v>10</v>
      </c>
      <c r="F2104">
        <f t="shared" si="147"/>
        <v>2024</v>
      </c>
      <c r="G2104" t="s">
        <v>90</v>
      </c>
      <c r="H2104" s="98" t="s">
        <v>613</v>
      </c>
      <c r="I2104" s="29">
        <v>294164.68</v>
      </c>
      <c r="J2104" s="12" t="s">
        <v>31</v>
      </c>
      <c r="K2104" s="76">
        <f t="shared" si="149"/>
        <v>294164.68</v>
      </c>
      <c r="L2104">
        <v>1</v>
      </c>
      <c r="M2104" s="29">
        <v>0</v>
      </c>
      <c r="N2104" t="s">
        <v>32</v>
      </c>
      <c r="O2104" t="s">
        <v>33</v>
      </c>
      <c r="P2104" t="s">
        <v>34</v>
      </c>
      <c r="Q2104" t="s">
        <v>34</v>
      </c>
      <c r="R2104" t="s">
        <v>34</v>
      </c>
      <c r="S2104" t="s">
        <v>34</v>
      </c>
      <c r="T2104" s="117">
        <v>0</v>
      </c>
    </row>
    <row r="2105" spans="1:21" x14ac:dyDescent="0.35">
      <c r="A2105" t="s">
        <v>19</v>
      </c>
      <c r="B2105" t="s">
        <v>19</v>
      </c>
      <c r="C2105" s="1">
        <v>45594</v>
      </c>
      <c r="D2105">
        <f t="shared" si="145"/>
        <v>29</v>
      </c>
      <c r="E2105">
        <f t="shared" si="146"/>
        <v>10</v>
      </c>
      <c r="F2105">
        <f t="shared" si="147"/>
        <v>2024</v>
      </c>
      <c r="G2105" t="s">
        <v>127</v>
      </c>
      <c r="H2105" s="98" t="s">
        <v>562</v>
      </c>
      <c r="I2105" s="29">
        <v>13346.93</v>
      </c>
      <c r="J2105" s="12" t="s">
        <v>31</v>
      </c>
      <c r="K2105" s="76">
        <f t="shared" si="149"/>
        <v>13346.93</v>
      </c>
      <c r="L2105">
        <v>1</v>
      </c>
      <c r="M2105" s="29">
        <v>0</v>
      </c>
      <c r="N2105" t="s">
        <v>32</v>
      </c>
      <c r="O2105" t="s">
        <v>33</v>
      </c>
      <c r="P2105" t="s">
        <v>34</v>
      </c>
      <c r="Q2105" t="s">
        <v>34</v>
      </c>
      <c r="R2105" t="s">
        <v>34</v>
      </c>
      <c r="S2105" t="s">
        <v>34</v>
      </c>
      <c r="T2105" s="117">
        <v>0</v>
      </c>
    </row>
    <row r="2106" spans="1:21" x14ac:dyDescent="0.35">
      <c r="A2106" t="s">
        <v>19</v>
      </c>
      <c r="B2106" t="s">
        <v>23</v>
      </c>
      <c r="C2106" s="1">
        <v>45597</v>
      </c>
      <c r="D2106">
        <f t="shared" si="145"/>
        <v>1</v>
      </c>
      <c r="E2106">
        <f t="shared" si="146"/>
        <v>11</v>
      </c>
      <c r="F2106">
        <f t="shared" si="147"/>
        <v>2024</v>
      </c>
      <c r="G2106" t="s">
        <v>28</v>
      </c>
      <c r="H2106" s="98">
        <v>11003</v>
      </c>
      <c r="I2106" s="29">
        <v>11401.4</v>
      </c>
      <c r="J2106" s="12" t="s">
        <v>31</v>
      </c>
      <c r="K2106" s="76">
        <f t="shared" si="149"/>
        <v>11401.4</v>
      </c>
      <c r="L2106">
        <v>1</v>
      </c>
      <c r="M2106" s="29">
        <v>0</v>
      </c>
      <c r="N2106" t="s">
        <v>32</v>
      </c>
      <c r="O2106" t="s">
        <v>33</v>
      </c>
      <c r="P2106" t="s">
        <v>34</v>
      </c>
      <c r="Q2106" t="s">
        <v>34</v>
      </c>
      <c r="R2106" t="s">
        <v>34</v>
      </c>
      <c r="S2106" t="s">
        <v>34</v>
      </c>
      <c r="T2106" s="117">
        <v>0</v>
      </c>
    </row>
    <row r="2107" spans="1:21" x14ac:dyDescent="0.35">
      <c r="A2107" t="s">
        <v>19</v>
      </c>
      <c r="B2107" t="s">
        <v>27</v>
      </c>
      <c r="C2107" s="1">
        <v>45597</v>
      </c>
      <c r="D2107">
        <f t="shared" si="145"/>
        <v>1</v>
      </c>
      <c r="E2107">
        <f t="shared" si="146"/>
        <v>11</v>
      </c>
      <c r="F2107">
        <f t="shared" si="147"/>
        <v>2024</v>
      </c>
      <c r="G2107" t="s">
        <v>100</v>
      </c>
      <c r="H2107" s="98">
        <v>11116</v>
      </c>
      <c r="I2107" s="29">
        <v>102613.52</v>
      </c>
      <c r="J2107" s="12" t="s">
        <v>31</v>
      </c>
      <c r="K2107" s="76">
        <f t="shared" si="149"/>
        <v>102613.52</v>
      </c>
      <c r="L2107">
        <v>1</v>
      </c>
      <c r="M2107" s="29">
        <v>0</v>
      </c>
      <c r="N2107" t="s">
        <v>32</v>
      </c>
      <c r="O2107" t="s">
        <v>33</v>
      </c>
      <c r="P2107" t="s">
        <v>34</v>
      </c>
      <c r="Q2107" t="s">
        <v>34</v>
      </c>
      <c r="R2107" t="s">
        <v>34</v>
      </c>
      <c r="S2107" t="s">
        <v>34</v>
      </c>
      <c r="T2107" s="117">
        <v>0</v>
      </c>
      <c r="U2107" s="209" t="s">
        <v>501</v>
      </c>
    </row>
    <row r="2108" spans="1:21" x14ac:dyDescent="0.35">
      <c r="A2108" t="s">
        <v>20</v>
      </c>
      <c r="B2108" t="s">
        <v>23</v>
      </c>
      <c r="C2108" s="1">
        <v>45597</v>
      </c>
      <c r="D2108">
        <f t="shared" si="145"/>
        <v>1</v>
      </c>
      <c r="E2108">
        <f t="shared" si="146"/>
        <v>11</v>
      </c>
      <c r="F2108">
        <f t="shared" si="147"/>
        <v>2024</v>
      </c>
      <c r="G2108" t="s">
        <v>108</v>
      </c>
      <c r="H2108" s="98">
        <v>11137</v>
      </c>
      <c r="I2108" s="29">
        <v>32.799999999999997</v>
      </c>
      <c r="J2108" s="12" t="s">
        <v>31</v>
      </c>
      <c r="K2108" s="76">
        <f t="shared" si="149"/>
        <v>32.799999999999997</v>
      </c>
      <c r="L2108">
        <v>1</v>
      </c>
      <c r="M2108" s="29">
        <v>0</v>
      </c>
      <c r="N2108" t="s">
        <v>32</v>
      </c>
      <c r="O2108" t="s">
        <v>33</v>
      </c>
      <c r="P2108" t="s">
        <v>34</v>
      </c>
      <c r="Q2108" t="s">
        <v>34</v>
      </c>
      <c r="R2108" t="s">
        <v>34</v>
      </c>
      <c r="S2108" t="s">
        <v>34</v>
      </c>
      <c r="T2108" s="117">
        <v>0</v>
      </c>
    </row>
    <row r="2109" spans="1:21" x14ac:dyDescent="0.35">
      <c r="A2109" t="s">
        <v>20</v>
      </c>
      <c r="B2109" t="s">
        <v>23</v>
      </c>
      <c r="C2109" s="1">
        <v>45597</v>
      </c>
      <c r="D2109">
        <f t="shared" si="145"/>
        <v>1</v>
      </c>
      <c r="E2109">
        <f t="shared" si="146"/>
        <v>11</v>
      </c>
      <c r="F2109">
        <f t="shared" si="147"/>
        <v>2024</v>
      </c>
      <c r="G2109" t="s">
        <v>108</v>
      </c>
      <c r="H2109" s="98">
        <v>11138</v>
      </c>
      <c r="I2109" s="29">
        <v>3481.72</v>
      </c>
      <c r="J2109" s="12" t="s">
        <v>31</v>
      </c>
      <c r="K2109" s="76">
        <f t="shared" si="149"/>
        <v>3481.72</v>
      </c>
      <c r="L2109">
        <v>1</v>
      </c>
      <c r="M2109" s="29">
        <v>0</v>
      </c>
      <c r="N2109" t="s">
        <v>32</v>
      </c>
      <c r="O2109" t="s">
        <v>33</v>
      </c>
      <c r="P2109" t="s">
        <v>34</v>
      </c>
      <c r="Q2109" t="s">
        <v>34</v>
      </c>
      <c r="R2109" t="s">
        <v>34</v>
      </c>
      <c r="S2109" t="s">
        <v>34</v>
      </c>
      <c r="T2109" s="117">
        <v>0</v>
      </c>
    </row>
    <row r="2110" spans="1:21" x14ac:dyDescent="0.35">
      <c r="A2110" t="s">
        <v>20</v>
      </c>
      <c r="B2110" t="s">
        <v>23</v>
      </c>
      <c r="C2110" s="1">
        <v>45597</v>
      </c>
      <c r="D2110">
        <f t="shared" si="145"/>
        <v>1</v>
      </c>
      <c r="E2110">
        <f t="shared" si="146"/>
        <v>11</v>
      </c>
      <c r="F2110">
        <f t="shared" si="147"/>
        <v>2024</v>
      </c>
      <c r="G2110" t="s">
        <v>177</v>
      </c>
      <c r="H2110" s="98">
        <v>11231</v>
      </c>
      <c r="I2110" s="29">
        <v>23191</v>
      </c>
      <c r="J2110" s="12" t="s">
        <v>31</v>
      </c>
      <c r="K2110" s="76">
        <f t="shared" si="149"/>
        <v>23191</v>
      </c>
      <c r="L2110">
        <v>1</v>
      </c>
      <c r="M2110" s="29">
        <v>0</v>
      </c>
      <c r="N2110" t="s">
        <v>42</v>
      </c>
      <c r="O2110" t="s">
        <v>33</v>
      </c>
      <c r="P2110" t="s">
        <v>34</v>
      </c>
      <c r="Q2110" t="s">
        <v>34</v>
      </c>
      <c r="R2110" t="s">
        <v>34</v>
      </c>
      <c r="S2110" t="s">
        <v>34</v>
      </c>
      <c r="T2110" s="117">
        <v>0</v>
      </c>
    </row>
    <row r="2111" spans="1:21" x14ac:dyDescent="0.35">
      <c r="A2111" t="s">
        <v>20</v>
      </c>
      <c r="B2111" t="s">
        <v>23</v>
      </c>
      <c r="C2111" s="1">
        <v>45597</v>
      </c>
      <c r="D2111">
        <f t="shared" si="145"/>
        <v>1</v>
      </c>
      <c r="E2111">
        <f t="shared" si="146"/>
        <v>11</v>
      </c>
      <c r="F2111">
        <f t="shared" si="147"/>
        <v>2024</v>
      </c>
      <c r="G2111" t="s">
        <v>177</v>
      </c>
      <c r="H2111" s="98">
        <v>11489</v>
      </c>
      <c r="I2111" s="29">
        <v>172.5</v>
      </c>
      <c r="J2111" s="12" t="s">
        <v>31</v>
      </c>
      <c r="K2111" s="76">
        <f t="shared" si="149"/>
        <v>172.5</v>
      </c>
      <c r="L2111">
        <v>1</v>
      </c>
      <c r="M2111" s="29">
        <v>0</v>
      </c>
      <c r="N2111" t="s">
        <v>42</v>
      </c>
      <c r="O2111" t="s">
        <v>33</v>
      </c>
      <c r="P2111" t="s">
        <v>34</v>
      </c>
      <c r="Q2111" t="s">
        <v>34</v>
      </c>
      <c r="R2111" t="s">
        <v>34</v>
      </c>
      <c r="S2111" t="s">
        <v>34</v>
      </c>
      <c r="T2111" s="117">
        <v>0</v>
      </c>
    </row>
    <row r="2112" spans="1:21" x14ac:dyDescent="0.35">
      <c r="A2112" t="s">
        <v>20</v>
      </c>
      <c r="B2112" t="s">
        <v>23</v>
      </c>
      <c r="C2112" s="1">
        <v>45597</v>
      </c>
      <c r="D2112">
        <f t="shared" si="145"/>
        <v>1</v>
      </c>
      <c r="E2112">
        <f t="shared" si="146"/>
        <v>11</v>
      </c>
      <c r="F2112">
        <f t="shared" si="147"/>
        <v>2024</v>
      </c>
      <c r="G2112" t="s">
        <v>53</v>
      </c>
      <c r="H2112" s="171">
        <v>11398</v>
      </c>
      <c r="I2112" s="29">
        <v>67155</v>
      </c>
      <c r="J2112" s="12" t="s">
        <v>31</v>
      </c>
      <c r="K2112" s="76">
        <f t="shared" si="149"/>
        <v>67155</v>
      </c>
      <c r="L2112">
        <v>1</v>
      </c>
      <c r="M2112" s="29">
        <v>0</v>
      </c>
      <c r="N2112" t="s">
        <v>42</v>
      </c>
      <c r="O2112" t="s">
        <v>33</v>
      </c>
      <c r="P2112" t="s">
        <v>34</v>
      </c>
      <c r="Q2112" t="s">
        <v>34</v>
      </c>
      <c r="R2112" t="s">
        <v>34</v>
      </c>
      <c r="S2112" t="s">
        <v>34</v>
      </c>
      <c r="T2112" s="117">
        <v>0</v>
      </c>
    </row>
    <row r="2113" spans="1:21" x14ac:dyDescent="0.35">
      <c r="A2113" t="s">
        <v>20</v>
      </c>
      <c r="B2113" t="s">
        <v>23</v>
      </c>
      <c r="C2113" s="1">
        <v>45597</v>
      </c>
      <c r="D2113">
        <f t="shared" si="145"/>
        <v>1</v>
      </c>
      <c r="E2113">
        <f t="shared" si="146"/>
        <v>11</v>
      </c>
      <c r="F2113">
        <f t="shared" si="147"/>
        <v>2024</v>
      </c>
      <c r="G2113" t="s">
        <v>82</v>
      </c>
      <c r="H2113" s="98">
        <v>10937</v>
      </c>
      <c r="I2113" s="29">
        <v>3575.23</v>
      </c>
      <c r="J2113" s="12" t="s">
        <v>31</v>
      </c>
      <c r="K2113" s="76">
        <f t="shared" si="149"/>
        <v>3575.23</v>
      </c>
      <c r="L2113">
        <v>1</v>
      </c>
      <c r="M2113" s="29">
        <v>0</v>
      </c>
      <c r="N2113" t="s">
        <v>32</v>
      </c>
      <c r="O2113" t="s">
        <v>33</v>
      </c>
      <c r="P2113" t="s">
        <v>34</v>
      </c>
      <c r="Q2113" t="s">
        <v>34</v>
      </c>
      <c r="R2113" t="s">
        <v>34</v>
      </c>
      <c r="S2113" t="s">
        <v>34</v>
      </c>
      <c r="T2113" s="117">
        <v>0</v>
      </c>
    </row>
    <row r="2114" spans="1:21" x14ac:dyDescent="0.35">
      <c r="A2114" t="s">
        <v>20</v>
      </c>
      <c r="B2114" t="s">
        <v>23</v>
      </c>
      <c r="C2114" s="1">
        <v>45597</v>
      </c>
      <c r="D2114">
        <f t="shared" si="145"/>
        <v>1</v>
      </c>
      <c r="E2114">
        <f t="shared" si="146"/>
        <v>11</v>
      </c>
      <c r="F2114">
        <f t="shared" si="147"/>
        <v>2024</v>
      </c>
      <c r="G2114" t="s">
        <v>82</v>
      </c>
      <c r="H2114" s="98">
        <v>10883</v>
      </c>
      <c r="I2114" s="29">
        <v>10385.299999999999</v>
      </c>
      <c r="J2114" s="12" t="s">
        <v>31</v>
      </c>
      <c r="K2114" s="76">
        <f t="shared" si="149"/>
        <v>10385.299999999999</v>
      </c>
      <c r="L2114">
        <v>1</v>
      </c>
      <c r="M2114" s="29">
        <v>0</v>
      </c>
      <c r="N2114" t="s">
        <v>32</v>
      </c>
      <c r="O2114" t="s">
        <v>33</v>
      </c>
      <c r="P2114" t="s">
        <v>34</v>
      </c>
      <c r="Q2114" t="s">
        <v>34</v>
      </c>
      <c r="R2114" t="s">
        <v>34</v>
      </c>
      <c r="S2114" t="s">
        <v>34</v>
      </c>
      <c r="T2114" s="117">
        <v>0</v>
      </c>
    </row>
    <row r="2115" spans="1:21" x14ac:dyDescent="0.35">
      <c r="A2115" t="s">
        <v>20</v>
      </c>
      <c r="B2115" t="s">
        <v>23</v>
      </c>
      <c r="C2115" s="1">
        <v>45597</v>
      </c>
      <c r="D2115">
        <f t="shared" ref="D2115:D2178" si="150">DAY(C2115)</f>
        <v>1</v>
      </c>
      <c r="E2115">
        <f t="shared" ref="E2115:E2178" si="151">MONTH(C2115)</f>
        <v>11</v>
      </c>
      <c r="F2115">
        <f t="shared" ref="F2115:F2178" si="152">YEAR(C2115)</f>
        <v>2024</v>
      </c>
      <c r="G2115" t="s">
        <v>46</v>
      </c>
      <c r="H2115" s="98">
        <v>11518</v>
      </c>
      <c r="I2115" s="29">
        <v>62</v>
      </c>
      <c r="J2115" s="12" t="s">
        <v>31</v>
      </c>
      <c r="K2115" s="76">
        <f t="shared" ref="K2115:K2146" si="153">IF(J2115="USD",I2115,I2115*L2115)</f>
        <v>62</v>
      </c>
      <c r="L2115">
        <v>1</v>
      </c>
      <c r="M2115" s="29">
        <v>0</v>
      </c>
      <c r="N2115" t="s">
        <v>42</v>
      </c>
      <c r="O2115" t="s">
        <v>33</v>
      </c>
      <c r="P2115" t="s">
        <v>34</v>
      </c>
      <c r="Q2115" t="s">
        <v>34</v>
      </c>
      <c r="R2115" t="s">
        <v>34</v>
      </c>
      <c r="S2115" t="s">
        <v>34</v>
      </c>
      <c r="T2115" s="117">
        <v>0</v>
      </c>
    </row>
    <row r="2116" spans="1:21" x14ac:dyDescent="0.35">
      <c r="A2116" t="s">
        <v>20</v>
      </c>
      <c r="B2116" t="s">
        <v>23</v>
      </c>
      <c r="C2116" s="1">
        <v>45597</v>
      </c>
      <c r="D2116">
        <f t="shared" si="150"/>
        <v>1</v>
      </c>
      <c r="E2116">
        <f t="shared" si="151"/>
        <v>11</v>
      </c>
      <c r="F2116">
        <f t="shared" si="152"/>
        <v>2024</v>
      </c>
      <c r="G2116" t="s">
        <v>46</v>
      </c>
      <c r="H2116" s="98">
        <v>11519</v>
      </c>
      <c r="I2116" s="29">
        <v>2294</v>
      </c>
      <c r="J2116" s="12" t="s">
        <v>31</v>
      </c>
      <c r="K2116" s="76">
        <f t="shared" si="153"/>
        <v>2294</v>
      </c>
      <c r="L2116">
        <v>1</v>
      </c>
      <c r="M2116" s="29">
        <v>0</v>
      </c>
      <c r="N2116" t="s">
        <v>42</v>
      </c>
      <c r="O2116" t="s">
        <v>33</v>
      </c>
      <c r="P2116" t="s">
        <v>34</v>
      </c>
      <c r="Q2116" t="s">
        <v>34</v>
      </c>
      <c r="R2116" t="s">
        <v>34</v>
      </c>
      <c r="S2116" t="s">
        <v>34</v>
      </c>
      <c r="T2116" s="117">
        <v>0</v>
      </c>
    </row>
    <row r="2117" spans="1:21" x14ac:dyDescent="0.35">
      <c r="A2117" t="s">
        <v>19</v>
      </c>
      <c r="B2117" t="s">
        <v>26</v>
      </c>
      <c r="C2117" s="1">
        <v>45597</v>
      </c>
      <c r="D2117">
        <f t="shared" si="150"/>
        <v>1</v>
      </c>
      <c r="E2117">
        <f t="shared" si="151"/>
        <v>11</v>
      </c>
      <c r="F2117">
        <f t="shared" si="152"/>
        <v>2024</v>
      </c>
      <c r="G2117" t="s">
        <v>73</v>
      </c>
      <c r="H2117" s="98">
        <v>11467</v>
      </c>
      <c r="I2117" s="29">
        <v>65457.37</v>
      </c>
      <c r="J2117" s="12" t="s">
        <v>51</v>
      </c>
      <c r="K2117" s="76">
        <f t="shared" si="153"/>
        <v>71171.798400999993</v>
      </c>
      <c r="L2117">
        <v>1.0872999999999999</v>
      </c>
      <c r="M2117" s="29">
        <v>0</v>
      </c>
      <c r="N2117" t="s">
        <v>32</v>
      </c>
      <c r="O2117" t="s">
        <v>33</v>
      </c>
      <c r="P2117" t="s">
        <v>34</v>
      </c>
      <c r="Q2117" t="s">
        <v>34</v>
      </c>
      <c r="R2117" t="s">
        <v>34</v>
      </c>
      <c r="S2117" t="s">
        <v>34</v>
      </c>
      <c r="T2117" s="117">
        <v>0</v>
      </c>
      <c r="U2117" s="209" t="s">
        <v>94</v>
      </c>
    </row>
    <row r="2118" spans="1:21" x14ac:dyDescent="0.35">
      <c r="A2118" t="s">
        <v>19</v>
      </c>
      <c r="B2118" t="s">
        <v>26</v>
      </c>
      <c r="C2118" s="1">
        <v>45597</v>
      </c>
      <c r="D2118">
        <f t="shared" si="150"/>
        <v>1</v>
      </c>
      <c r="E2118">
        <f t="shared" si="151"/>
        <v>11</v>
      </c>
      <c r="F2118">
        <f t="shared" si="152"/>
        <v>2024</v>
      </c>
      <c r="G2118" t="s">
        <v>73</v>
      </c>
      <c r="H2118" s="98">
        <v>11476</v>
      </c>
      <c r="I2118" s="29">
        <v>66173.58</v>
      </c>
      <c r="J2118" s="12" t="s">
        <v>51</v>
      </c>
      <c r="K2118" s="76">
        <f t="shared" si="153"/>
        <v>71950.533534000002</v>
      </c>
      <c r="L2118">
        <v>1.0872999999999999</v>
      </c>
      <c r="M2118" s="29">
        <v>0</v>
      </c>
      <c r="N2118" t="s">
        <v>32</v>
      </c>
      <c r="O2118" t="s">
        <v>33</v>
      </c>
      <c r="P2118" t="s">
        <v>34</v>
      </c>
      <c r="Q2118" t="s">
        <v>34</v>
      </c>
      <c r="R2118" t="s">
        <v>34</v>
      </c>
      <c r="S2118" t="s">
        <v>34</v>
      </c>
      <c r="T2118" s="117">
        <v>0</v>
      </c>
      <c r="U2118" s="209" t="s">
        <v>94</v>
      </c>
    </row>
    <row r="2119" spans="1:21" x14ac:dyDescent="0.35">
      <c r="A2119" t="s">
        <v>19</v>
      </c>
      <c r="B2119" t="s">
        <v>26</v>
      </c>
      <c r="C2119" s="1">
        <v>45597</v>
      </c>
      <c r="D2119">
        <f t="shared" si="150"/>
        <v>1</v>
      </c>
      <c r="E2119">
        <f t="shared" si="151"/>
        <v>11</v>
      </c>
      <c r="F2119">
        <f t="shared" si="152"/>
        <v>2024</v>
      </c>
      <c r="G2119" t="s">
        <v>73</v>
      </c>
      <c r="H2119" s="98">
        <v>11477</v>
      </c>
      <c r="I2119" s="29">
        <v>8073.93</v>
      </c>
      <c r="J2119" s="12" t="s">
        <v>51</v>
      </c>
      <c r="K2119" s="76">
        <f t="shared" si="153"/>
        <v>8778.7840890000007</v>
      </c>
      <c r="L2119">
        <v>1.0872999999999999</v>
      </c>
      <c r="M2119" s="29">
        <v>0</v>
      </c>
      <c r="N2119" t="s">
        <v>32</v>
      </c>
      <c r="O2119" t="s">
        <v>33</v>
      </c>
      <c r="P2119" t="s">
        <v>34</v>
      </c>
      <c r="Q2119" t="s">
        <v>34</v>
      </c>
      <c r="R2119" t="s">
        <v>34</v>
      </c>
      <c r="S2119" t="s">
        <v>34</v>
      </c>
      <c r="T2119" s="117">
        <v>0</v>
      </c>
      <c r="U2119" s="209" t="s">
        <v>94</v>
      </c>
    </row>
    <row r="2120" spans="1:21" x14ac:dyDescent="0.35">
      <c r="A2120" t="s">
        <v>19</v>
      </c>
      <c r="B2120" t="s">
        <v>26</v>
      </c>
      <c r="C2120" s="1">
        <v>45597</v>
      </c>
      <c r="D2120">
        <f t="shared" si="150"/>
        <v>1</v>
      </c>
      <c r="E2120">
        <f t="shared" si="151"/>
        <v>11</v>
      </c>
      <c r="F2120">
        <f t="shared" si="152"/>
        <v>2024</v>
      </c>
      <c r="G2120" t="s">
        <v>73</v>
      </c>
      <c r="H2120" s="98">
        <v>11209</v>
      </c>
      <c r="I2120" s="29">
        <v>33030.6</v>
      </c>
      <c r="J2120" s="12" t="s">
        <v>51</v>
      </c>
      <c r="K2120" s="76">
        <f t="shared" si="153"/>
        <v>35914.17138</v>
      </c>
      <c r="L2120">
        <v>1.0872999999999999</v>
      </c>
      <c r="M2120" s="29">
        <v>0</v>
      </c>
      <c r="N2120" t="s">
        <v>32</v>
      </c>
      <c r="O2120" t="s">
        <v>33</v>
      </c>
      <c r="P2120" t="s">
        <v>34</v>
      </c>
      <c r="Q2120" t="s">
        <v>34</v>
      </c>
      <c r="R2120" t="s">
        <v>34</v>
      </c>
      <c r="S2120" t="s">
        <v>34</v>
      </c>
      <c r="T2120" s="117">
        <v>0</v>
      </c>
      <c r="U2120" s="209" t="s">
        <v>94</v>
      </c>
    </row>
    <row r="2121" spans="1:21" x14ac:dyDescent="0.35">
      <c r="A2121" t="s">
        <v>19</v>
      </c>
      <c r="B2121" t="s">
        <v>26</v>
      </c>
      <c r="C2121" s="1">
        <v>45597</v>
      </c>
      <c r="D2121">
        <f t="shared" si="150"/>
        <v>1</v>
      </c>
      <c r="E2121">
        <f t="shared" si="151"/>
        <v>11</v>
      </c>
      <c r="F2121">
        <f t="shared" si="152"/>
        <v>2024</v>
      </c>
      <c r="G2121" t="s">
        <v>73</v>
      </c>
      <c r="H2121" s="98">
        <v>11495</v>
      </c>
      <c r="I2121" s="29">
        <v>75811.72</v>
      </c>
      <c r="J2121" s="12" t="s">
        <v>51</v>
      </c>
      <c r="K2121" s="76">
        <f t="shared" si="153"/>
        <v>82430.083155999993</v>
      </c>
      <c r="L2121">
        <v>1.0872999999999999</v>
      </c>
      <c r="M2121" s="29">
        <v>0</v>
      </c>
      <c r="N2121" t="s">
        <v>32</v>
      </c>
      <c r="O2121" t="s">
        <v>33</v>
      </c>
      <c r="P2121" t="s">
        <v>34</v>
      </c>
      <c r="Q2121" t="s">
        <v>34</v>
      </c>
      <c r="R2121" t="s">
        <v>34</v>
      </c>
      <c r="S2121" t="s">
        <v>34</v>
      </c>
      <c r="T2121" s="117">
        <v>0</v>
      </c>
      <c r="U2121" s="209" t="s">
        <v>94</v>
      </c>
    </row>
    <row r="2122" spans="1:21" x14ac:dyDescent="0.35">
      <c r="A2122" t="s">
        <v>19</v>
      </c>
      <c r="B2122" t="s">
        <v>26</v>
      </c>
      <c r="C2122" s="1">
        <v>45597</v>
      </c>
      <c r="D2122">
        <f t="shared" si="150"/>
        <v>1</v>
      </c>
      <c r="E2122">
        <f t="shared" si="151"/>
        <v>11</v>
      </c>
      <c r="F2122">
        <f t="shared" si="152"/>
        <v>2024</v>
      </c>
      <c r="G2122" t="s">
        <v>73</v>
      </c>
      <c r="H2122" s="98">
        <v>11496</v>
      </c>
      <c r="I2122" s="29">
        <v>72719.55</v>
      </c>
      <c r="J2122" s="12" t="s">
        <v>51</v>
      </c>
      <c r="K2122" s="76">
        <f t="shared" si="153"/>
        <v>79067.966715000002</v>
      </c>
      <c r="L2122">
        <v>1.0872999999999999</v>
      </c>
      <c r="M2122" s="29">
        <v>0</v>
      </c>
      <c r="N2122" t="s">
        <v>32</v>
      </c>
      <c r="O2122" t="s">
        <v>33</v>
      </c>
      <c r="P2122" t="s">
        <v>34</v>
      </c>
      <c r="Q2122" t="s">
        <v>34</v>
      </c>
      <c r="R2122" t="s">
        <v>34</v>
      </c>
      <c r="S2122" t="s">
        <v>34</v>
      </c>
      <c r="T2122" s="117">
        <v>0</v>
      </c>
      <c r="U2122" s="209" t="s">
        <v>94</v>
      </c>
    </row>
    <row r="2123" spans="1:21" x14ac:dyDescent="0.35">
      <c r="A2123" t="s">
        <v>19</v>
      </c>
      <c r="B2123" t="s">
        <v>26</v>
      </c>
      <c r="C2123" s="1">
        <v>45597</v>
      </c>
      <c r="D2123">
        <f t="shared" si="150"/>
        <v>1</v>
      </c>
      <c r="E2123">
        <f t="shared" si="151"/>
        <v>11</v>
      </c>
      <c r="F2123">
        <f t="shared" si="152"/>
        <v>2024</v>
      </c>
      <c r="G2123" t="s">
        <v>73</v>
      </c>
      <c r="H2123" s="98">
        <v>11522</v>
      </c>
      <c r="I2123" s="29">
        <v>57105.68</v>
      </c>
      <c r="J2123" s="12" t="s">
        <v>51</v>
      </c>
      <c r="K2123" s="76">
        <f t="shared" si="153"/>
        <v>62091.005863999999</v>
      </c>
      <c r="L2123">
        <v>1.0872999999999999</v>
      </c>
      <c r="M2123" s="29">
        <v>0</v>
      </c>
      <c r="N2123" t="s">
        <v>32</v>
      </c>
      <c r="O2123" t="s">
        <v>33</v>
      </c>
      <c r="P2123" t="s">
        <v>34</v>
      </c>
      <c r="Q2123" t="s">
        <v>34</v>
      </c>
      <c r="R2123" t="s">
        <v>34</v>
      </c>
      <c r="S2123" t="s">
        <v>34</v>
      </c>
      <c r="T2123" s="117">
        <v>0</v>
      </c>
      <c r="U2123" s="209" t="s">
        <v>94</v>
      </c>
    </row>
    <row r="2124" spans="1:21" x14ac:dyDescent="0.35">
      <c r="A2124" t="s">
        <v>19</v>
      </c>
      <c r="B2124" t="s">
        <v>26</v>
      </c>
      <c r="C2124" s="1">
        <v>45597</v>
      </c>
      <c r="D2124">
        <f t="shared" si="150"/>
        <v>1</v>
      </c>
      <c r="E2124">
        <f t="shared" si="151"/>
        <v>11</v>
      </c>
      <c r="F2124">
        <f t="shared" si="152"/>
        <v>2024</v>
      </c>
      <c r="G2124" t="s">
        <v>73</v>
      </c>
      <c r="H2124" s="98">
        <v>10910</v>
      </c>
      <c r="I2124" s="29">
        <v>38393.51</v>
      </c>
      <c r="J2124" s="12" t="s">
        <v>51</v>
      </c>
      <c r="K2124" s="76">
        <f t="shared" si="153"/>
        <v>41745.263422999997</v>
      </c>
      <c r="L2124">
        <v>1.0872999999999999</v>
      </c>
      <c r="M2124" s="29">
        <v>0</v>
      </c>
      <c r="N2124" t="s">
        <v>32</v>
      </c>
      <c r="O2124" t="s">
        <v>33</v>
      </c>
      <c r="P2124" t="s">
        <v>34</v>
      </c>
      <c r="Q2124" t="s">
        <v>34</v>
      </c>
      <c r="R2124" t="s">
        <v>34</v>
      </c>
      <c r="S2124" t="s">
        <v>34</v>
      </c>
      <c r="T2124" s="117">
        <v>0</v>
      </c>
      <c r="U2124" s="209" t="s">
        <v>94</v>
      </c>
    </row>
    <row r="2125" spans="1:21" x14ac:dyDescent="0.35">
      <c r="A2125" t="s">
        <v>19</v>
      </c>
      <c r="B2125" t="s">
        <v>26</v>
      </c>
      <c r="C2125" s="1">
        <v>45597</v>
      </c>
      <c r="D2125">
        <f t="shared" si="150"/>
        <v>1</v>
      </c>
      <c r="E2125">
        <f t="shared" si="151"/>
        <v>11</v>
      </c>
      <c r="F2125">
        <f t="shared" si="152"/>
        <v>2024</v>
      </c>
      <c r="G2125" t="s">
        <v>73</v>
      </c>
      <c r="H2125" s="98">
        <v>11545</v>
      </c>
      <c r="I2125" s="29">
        <v>79460.61</v>
      </c>
      <c r="J2125" s="12" t="s">
        <v>51</v>
      </c>
      <c r="K2125" s="76">
        <f t="shared" si="153"/>
        <v>86397.521252999999</v>
      </c>
      <c r="L2125">
        <v>1.0872999999999999</v>
      </c>
      <c r="M2125" s="29">
        <v>0</v>
      </c>
      <c r="N2125" t="s">
        <v>32</v>
      </c>
      <c r="O2125" t="s">
        <v>33</v>
      </c>
      <c r="P2125" t="s">
        <v>34</v>
      </c>
      <c r="Q2125" t="s">
        <v>34</v>
      </c>
      <c r="R2125" t="s">
        <v>34</v>
      </c>
      <c r="S2125" t="s">
        <v>34</v>
      </c>
      <c r="T2125" s="117">
        <v>0</v>
      </c>
      <c r="U2125" s="209" t="s">
        <v>94</v>
      </c>
    </row>
    <row r="2126" spans="1:21" x14ac:dyDescent="0.35">
      <c r="A2126" t="s">
        <v>19</v>
      </c>
      <c r="B2126" t="s">
        <v>26</v>
      </c>
      <c r="C2126" s="1">
        <v>45597</v>
      </c>
      <c r="D2126">
        <f t="shared" si="150"/>
        <v>1</v>
      </c>
      <c r="E2126">
        <f t="shared" si="151"/>
        <v>11</v>
      </c>
      <c r="F2126">
        <f t="shared" si="152"/>
        <v>2024</v>
      </c>
      <c r="G2126" t="s">
        <v>73</v>
      </c>
      <c r="H2126" s="98">
        <v>11546</v>
      </c>
      <c r="I2126" s="29">
        <v>20173.810000000001</v>
      </c>
      <c r="J2126" s="12" t="s">
        <v>51</v>
      </c>
      <c r="K2126" s="76">
        <f t="shared" si="153"/>
        <v>21934.983613</v>
      </c>
      <c r="L2126">
        <v>1.0872999999999999</v>
      </c>
      <c r="M2126" s="29">
        <v>0</v>
      </c>
      <c r="N2126" t="s">
        <v>32</v>
      </c>
      <c r="O2126" t="s">
        <v>33</v>
      </c>
      <c r="P2126" t="s">
        <v>34</v>
      </c>
      <c r="Q2126" t="s">
        <v>34</v>
      </c>
      <c r="R2126" t="s">
        <v>34</v>
      </c>
      <c r="S2126" t="s">
        <v>34</v>
      </c>
      <c r="T2126" s="117">
        <v>0</v>
      </c>
      <c r="U2126" s="209" t="s">
        <v>94</v>
      </c>
    </row>
    <row r="2127" spans="1:21" x14ac:dyDescent="0.35">
      <c r="A2127" t="s">
        <v>19</v>
      </c>
      <c r="B2127" t="s">
        <v>26</v>
      </c>
      <c r="C2127" s="1">
        <v>45597</v>
      </c>
      <c r="D2127">
        <f t="shared" si="150"/>
        <v>1</v>
      </c>
      <c r="E2127">
        <f t="shared" si="151"/>
        <v>11</v>
      </c>
      <c r="F2127">
        <f t="shared" si="152"/>
        <v>2024</v>
      </c>
      <c r="G2127" t="s">
        <v>73</v>
      </c>
      <c r="H2127" s="98">
        <v>0</v>
      </c>
      <c r="I2127" s="29">
        <v>966.21</v>
      </c>
      <c r="J2127" s="12" t="s">
        <v>51</v>
      </c>
      <c r="K2127" s="76">
        <f t="shared" si="153"/>
        <v>1050.560133</v>
      </c>
      <c r="L2127">
        <v>1.0872999999999999</v>
      </c>
      <c r="M2127" s="29">
        <v>0</v>
      </c>
      <c r="N2127" t="s">
        <v>32</v>
      </c>
      <c r="O2127" t="s">
        <v>33</v>
      </c>
      <c r="P2127" t="s">
        <v>34</v>
      </c>
      <c r="Q2127" t="s">
        <v>34</v>
      </c>
      <c r="R2127" t="s">
        <v>34</v>
      </c>
      <c r="S2127" t="s">
        <v>34</v>
      </c>
      <c r="T2127" s="117">
        <v>0</v>
      </c>
      <c r="U2127" s="209" t="s">
        <v>622</v>
      </c>
    </row>
    <row r="2128" spans="1:21" x14ac:dyDescent="0.35">
      <c r="A2128" t="s">
        <v>19</v>
      </c>
      <c r="B2128" t="s">
        <v>26</v>
      </c>
      <c r="C2128" s="1">
        <v>45597</v>
      </c>
      <c r="D2128">
        <f t="shared" si="150"/>
        <v>1</v>
      </c>
      <c r="E2128">
        <f t="shared" si="151"/>
        <v>11</v>
      </c>
      <c r="F2128">
        <f t="shared" si="152"/>
        <v>2024</v>
      </c>
      <c r="G2128" t="s">
        <v>73</v>
      </c>
      <c r="H2128" s="98">
        <v>0</v>
      </c>
      <c r="I2128" s="29">
        <v>1671.15</v>
      </c>
      <c r="J2128" s="12" t="s">
        <v>51</v>
      </c>
      <c r="K2128" s="76">
        <f t="shared" si="153"/>
        <v>1817.041395</v>
      </c>
      <c r="L2128">
        <v>1.0872999999999999</v>
      </c>
      <c r="M2128" s="29">
        <v>0</v>
      </c>
      <c r="N2128" t="s">
        <v>32</v>
      </c>
      <c r="O2128" t="s">
        <v>33</v>
      </c>
      <c r="P2128" t="s">
        <v>34</v>
      </c>
      <c r="Q2128" t="s">
        <v>34</v>
      </c>
      <c r="R2128" t="s">
        <v>34</v>
      </c>
      <c r="S2128" t="s">
        <v>34</v>
      </c>
      <c r="T2128" s="117">
        <v>0</v>
      </c>
      <c r="U2128" s="209" t="s">
        <v>623</v>
      </c>
    </row>
    <row r="2129" spans="1:20" x14ac:dyDescent="0.35">
      <c r="A2129" t="s">
        <v>19</v>
      </c>
      <c r="B2129" t="s">
        <v>22</v>
      </c>
      <c r="C2129" s="1">
        <v>45602</v>
      </c>
      <c r="D2129">
        <f t="shared" si="150"/>
        <v>6</v>
      </c>
      <c r="E2129">
        <f t="shared" si="151"/>
        <v>11</v>
      </c>
      <c r="F2129">
        <f t="shared" si="152"/>
        <v>2024</v>
      </c>
      <c r="G2129" t="s">
        <v>98</v>
      </c>
      <c r="H2129" s="171">
        <v>10849</v>
      </c>
      <c r="I2129" s="90">
        <v>36204</v>
      </c>
      <c r="J2129" s="12" t="s">
        <v>31</v>
      </c>
      <c r="K2129" s="76">
        <f t="shared" si="153"/>
        <v>36204</v>
      </c>
      <c r="L2129">
        <v>1</v>
      </c>
      <c r="M2129" s="29">
        <v>0</v>
      </c>
      <c r="N2129" t="s">
        <v>32</v>
      </c>
      <c r="O2129" t="s">
        <v>33</v>
      </c>
      <c r="P2129" t="s">
        <v>34</v>
      </c>
      <c r="Q2129" t="s">
        <v>34</v>
      </c>
      <c r="R2129" t="s">
        <v>34</v>
      </c>
      <c r="S2129" t="s">
        <v>34</v>
      </c>
      <c r="T2129" s="117">
        <v>0</v>
      </c>
    </row>
    <row r="2130" spans="1:20" x14ac:dyDescent="0.35">
      <c r="A2130" t="s">
        <v>19</v>
      </c>
      <c r="B2130" t="s">
        <v>27</v>
      </c>
      <c r="C2130" s="1">
        <v>45602</v>
      </c>
      <c r="D2130">
        <f t="shared" si="150"/>
        <v>6</v>
      </c>
      <c r="E2130">
        <f t="shared" si="151"/>
        <v>11</v>
      </c>
      <c r="F2130">
        <f t="shared" si="152"/>
        <v>2024</v>
      </c>
      <c r="G2130" t="s">
        <v>100</v>
      </c>
      <c r="H2130" s="98">
        <v>10927</v>
      </c>
      <c r="I2130" s="29">
        <v>219094.53</v>
      </c>
      <c r="J2130" s="12" t="s">
        <v>31</v>
      </c>
      <c r="K2130" s="76">
        <f t="shared" si="153"/>
        <v>219094.53</v>
      </c>
      <c r="L2130">
        <v>1</v>
      </c>
      <c r="M2130" s="29">
        <v>0</v>
      </c>
      <c r="N2130" t="s">
        <v>32</v>
      </c>
      <c r="O2130" t="s">
        <v>33</v>
      </c>
      <c r="P2130" t="s">
        <v>34</v>
      </c>
      <c r="Q2130" t="s">
        <v>34</v>
      </c>
      <c r="R2130" t="s">
        <v>34</v>
      </c>
      <c r="S2130" t="s">
        <v>34</v>
      </c>
      <c r="T2130" s="117">
        <v>0</v>
      </c>
    </row>
    <row r="2131" spans="1:20" x14ac:dyDescent="0.35">
      <c r="A2131" t="s">
        <v>19</v>
      </c>
      <c r="B2131" t="s">
        <v>27</v>
      </c>
      <c r="C2131" s="1">
        <v>45602</v>
      </c>
      <c r="D2131">
        <f t="shared" si="150"/>
        <v>6</v>
      </c>
      <c r="E2131">
        <f t="shared" si="151"/>
        <v>11</v>
      </c>
      <c r="F2131">
        <f t="shared" si="152"/>
        <v>2024</v>
      </c>
      <c r="G2131" t="s">
        <v>100</v>
      </c>
      <c r="H2131" s="98">
        <v>11018</v>
      </c>
      <c r="I2131" s="29">
        <v>252755.95</v>
      </c>
      <c r="J2131" s="12" t="s">
        <v>31</v>
      </c>
      <c r="K2131" s="76">
        <f t="shared" si="153"/>
        <v>252755.95</v>
      </c>
      <c r="L2131">
        <v>1</v>
      </c>
      <c r="M2131" s="29">
        <v>0</v>
      </c>
      <c r="N2131" t="s">
        <v>32</v>
      </c>
      <c r="O2131" t="s">
        <v>33</v>
      </c>
      <c r="P2131" t="s">
        <v>34</v>
      </c>
      <c r="Q2131" t="s">
        <v>34</v>
      </c>
      <c r="R2131" t="s">
        <v>34</v>
      </c>
      <c r="S2131" t="s">
        <v>34</v>
      </c>
      <c r="T2131" s="117">
        <v>0</v>
      </c>
    </row>
    <row r="2132" spans="1:20" x14ac:dyDescent="0.35">
      <c r="A2132" t="s">
        <v>19</v>
      </c>
      <c r="B2132" t="s">
        <v>27</v>
      </c>
      <c r="C2132" s="1">
        <v>45602</v>
      </c>
      <c r="D2132">
        <f t="shared" si="150"/>
        <v>6</v>
      </c>
      <c r="E2132">
        <f t="shared" si="151"/>
        <v>11</v>
      </c>
      <c r="F2132">
        <f t="shared" si="152"/>
        <v>2024</v>
      </c>
      <c r="G2132" t="s">
        <v>100</v>
      </c>
      <c r="H2132" s="98">
        <v>11044</v>
      </c>
      <c r="I2132" s="29">
        <v>128149.52</v>
      </c>
      <c r="J2132" s="12" t="s">
        <v>31</v>
      </c>
      <c r="K2132" s="76">
        <f t="shared" si="153"/>
        <v>128149.52</v>
      </c>
      <c r="L2132">
        <v>1</v>
      </c>
      <c r="M2132" s="29">
        <v>0</v>
      </c>
      <c r="N2132" t="s">
        <v>32</v>
      </c>
      <c r="O2132" t="s">
        <v>33</v>
      </c>
      <c r="P2132" t="s">
        <v>34</v>
      </c>
      <c r="Q2132" t="s">
        <v>34</v>
      </c>
      <c r="R2132" t="s">
        <v>34</v>
      </c>
      <c r="S2132" t="s">
        <v>34</v>
      </c>
      <c r="T2132" s="117">
        <v>0</v>
      </c>
    </row>
    <row r="2133" spans="1:20" x14ac:dyDescent="0.35">
      <c r="A2133" t="s">
        <v>20</v>
      </c>
      <c r="B2133" t="s">
        <v>24</v>
      </c>
      <c r="C2133" s="1">
        <v>45602</v>
      </c>
      <c r="D2133">
        <f t="shared" si="150"/>
        <v>6</v>
      </c>
      <c r="E2133">
        <f t="shared" si="151"/>
        <v>11</v>
      </c>
      <c r="F2133">
        <f t="shared" si="152"/>
        <v>2024</v>
      </c>
      <c r="G2133" t="s">
        <v>81</v>
      </c>
      <c r="H2133" s="98">
        <v>11031</v>
      </c>
      <c r="I2133" s="29">
        <v>21984.75</v>
      </c>
      <c r="J2133" s="12" t="s">
        <v>31</v>
      </c>
      <c r="K2133" s="76">
        <f t="shared" si="153"/>
        <v>21984.75</v>
      </c>
      <c r="L2133">
        <v>1</v>
      </c>
      <c r="M2133" s="29">
        <v>0</v>
      </c>
      <c r="N2133" t="s">
        <v>32</v>
      </c>
      <c r="O2133" t="s">
        <v>33</v>
      </c>
      <c r="P2133" t="s">
        <v>34</v>
      </c>
      <c r="Q2133" t="s">
        <v>34</v>
      </c>
      <c r="R2133" t="s">
        <v>34</v>
      </c>
      <c r="S2133" t="s">
        <v>34</v>
      </c>
      <c r="T2133" s="117">
        <v>0</v>
      </c>
    </row>
    <row r="2134" spans="1:20" x14ac:dyDescent="0.35">
      <c r="A2134" t="s">
        <v>20</v>
      </c>
      <c r="B2134" t="s">
        <v>25</v>
      </c>
      <c r="C2134" s="1">
        <v>45602</v>
      </c>
      <c r="D2134">
        <f t="shared" si="150"/>
        <v>6</v>
      </c>
      <c r="E2134">
        <f t="shared" si="151"/>
        <v>11</v>
      </c>
      <c r="F2134">
        <f t="shared" si="152"/>
        <v>2024</v>
      </c>
      <c r="G2134" t="s">
        <v>81</v>
      </c>
      <c r="H2134" s="98">
        <v>11167</v>
      </c>
      <c r="I2134" s="29">
        <v>98927.1</v>
      </c>
      <c r="J2134" s="12" t="s">
        <v>31</v>
      </c>
      <c r="K2134" s="76">
        <f t="shared" si="153"/>
        <v>98927.1</v>
      </c>
      <c r="L2134">
        <v>1</v>
      </c>
      <c r="M2134" s="29">
        <v>0</v>
      </c>
      <c r="N2134" t="s">
        <v>32</v>
      </c>
      <c r="O2134" t="s">
        <v>33</v>
      </c>
      <c r="P2134" t="s">
        <v>34</v>
      </c>
      <c r="Q2134" t="s">
        <v>34</v>
      </c>
      <c r="R2134" t="s">
        <v>34</v>
      </c>
      <c r="S2134" t="s">
        <v>34</v>
      </c>
      <c r="T2134" s="117">
        <v>0</v>
      </c>
    </row>
    <row r="2135" spans="1:20" x14ac:dyDescent="0.35">
      <c r="A2135" t="s">
        <v>20</v>
      </c>
      <c r="B2135" t="s">
        <v>25</v>
      </c>
      <c r="C2135" s="1">
        <v>45602</v>
      </c>
      <c r="D2135">
        <f t="shared" si="150"/>
        <v>6</v>
      </c>
      <c r="E2135">
        <f t="shared" si="151"/>
        <v>11</v>
      </c>
      <c r="F2135">
        <f t="shared" si="152"/>
        <v>2024</v>
      </c>
      <c r="G2135" t="s">
        <v>81</v>
      </c>
      <c r="H2135" s="98">
        <v>11551</v>
      </c>
      <c r="I2135" s="29">
        <v>13317</v>
      </c>
      <c r="J2135" s="12" t="s">
        <v>31</v>
      </c>
      <c r="K2135" s="76">
        <f t="shared" si="153"/>
        <v>13317</v>
      </c>
      <c r="L2135">
        <v>1</v>
      </c>
      <c r="M2135" s="29">
        <v>0</v>
      </c>
      <c r="N2135" t="s">
        <v>42</v>
      </c>
      <c r="O2135" t="s">
        <v>33</v>
      </c>
      <c r="P2135" t="s">
        <v>34</v>
      </c>
      <c r="Q2135" t="s">
        <v>34</v>
      </c>
      <c r="R2135" t="s">
        <v>34</v>
      </c>
      <c r="S2135" t="s">
        <v>34</v>
      </c>
      <c r="T2135" s="117">
        <v>0</v>
      </c>
    </row>
    <row r="2136" spans="1:20" x14ac:dyDescent="0.35">
      <c r="A2136" t="s">
        <v>20</v>
      </c>
      <c r="B2136" t="s">
        <v>25</v>
      </c>
      <c r="C2136" s="1">
        <v>45602</v>
      </c>
      <c r="D2136">
        <f t="shared" si="150"/>
        <v>6</v>
      </c>
      <c r="E2136">
        <f t="shared" si="151"/>
        <v>11</v>
      </c>
      <c r="F2136">
        <f t="shared" si="152"/>
        <v>2024</v>
      </c>
      <c r="G2136" t="s">
        <v>84</v>
      </c>
      <c r="H2136" s="98">
        <v>11038</v>
      </c>
      <c r="I2136" s="29">
        <v>16049.85</v>
      </c>
      <c r="J2136" s="12" t="s">
        <v>31</v>
      </c>
      <c r="K2136" s="76">
        <f t="shared" si="153"/>
        <v>16049.85</v>
      </c>
      <c r="L2136">
        <v>1</v>
      </c>
      <c r="M2136" s="29">
        <v>0</v>
      </c>
      <c r="N2136" t="s">
        <v>32</v>
      </c>
      <c r="O2136" t="s">
        <v>33</v>
      </c>
      <c r="P2136" t="s">
        <v>34</v>
      </c>
      <c r="Q2136" t="s">
        <v>34</v>
      </c>
      <c r="R2136" t="s">
        <v>34</v>
      </c>
      <c r="S2136" t="s">
        <v>34</v>
      </c>
      <c r="T2136" s="117">
        <v>0</v>
      </c>
    </row>
    <row r="2137" spans="1:20" x14ac:dyDescent="0.35">
      <c r="A2137" t="s">
        <v>20</v>
      </c>
      <c r="B2137" t="s">
        <v>25</v>
      </c>
      <c r="C2137" s="1">
        <v>45602</v>
      </c>
      <c r="D2137">
        <f t="shared" si="150"/>
        <v>6</v>
      </c>
      <c r="E2137">
        <f t="shared" si="151"/>
        <v>11</v>
      </c>
      <c r="F2137">
        <f t="shared" si="152"/>
        <v>2024</v>
      </c>
      <c r="G2137" t="s">
        <v>274</v>
      </c>
      <c r="H2137" s="98">
        <v>11481</v>
      </c>
      <c r="I2137" s="29">
        <v>9979.9699999999993</v>
      </c>
      <c r="J2137" s="12" t="s">
        <v>31</v>
      </c>
      <c r="K2137" s="76">
        <f t="shared" si="153"/>
        <v>9979.9699999999993</v>
      </c>
      <c r="L2137">
        <v>1</v>
      </c>
      <c r="M2137" s="29">
        <v>0</v>
      </c>
      <c r="N2137" t="s">
        <v>42</v>
      </c>
      <c r="O2137" t="s">
        <v>33</v>
      </c>
      <c r="P2137" t="s">
        <v>34</v>
      </c>
      <c r="Q2137" t="s">
        <v>34</v>
      </c>
      <c r="R2137" t="s">
        <v>34</v>
      </c>
      <c r="S2137" t="s">
        <v>34</v>
      </c>
      <c r="T2137" s="117">
        <v>0</v>
      </c>
    </row>
    <row r="2138" spans="1:20" x14ac:dyDescent="0.35">
      <c r="A2138" t="s">
        <v>20</v>
      </c>
      <c r="B2138" t="s">
        <v>25</v>
      </c>
      <c r="C2138" s="1">
        <v>45602</v>
      </c>
      <c r="D2138">
        <f t="shared" si="150"/>
        <v>6</v>
      </c>
      <c r="E2138">
        <f t="shared" si="151"/>
        <v>11</v>
      </c>
      <c r="F2138">
        <f t="shared" si="152"/>
        <v>2024</v>
      </c>
      <c r="G2138" t="s">
        <v>274</v>
      </c>
      <c r="H2138" s="98">
        <v>11895</v>
      </c>
      <c r="I2138" s="29">
        <v>10.039999999999999</v>
      </c>
      <c r="J2138" s="12" t="s">
        <v>31</v>
      </c>
      <c r="K2138" s="76">
        <f t="shared" si="153"/>
        <v>10.039999999999999</v>
      </c>
      <c r="L2138">
        <v>1</v>
      </c>
      <c r="M2138" s="29">
        <v>0</v>
      </c>
      <c r="N2138" t="s">
        <v>42</v>
      </c>
      <c r="O2138" t="s">
        <v>33</v>
      </c>
      <c r="P2138" t="s">
        <v>34</v>
      </c>
      <c r="Q2138" t="s">
        <v>34</v>
      </c>
      <c r="R2138" t="s">
        <v>34</v>
      </c>
      <c r="S2138" t="s">
        <v>34</v>
      </c>
      <c r="T2138" s="117">
        <v>0</v>
      </c>
    </row>
    <row r="2139" spans="1:20" x14ac:dyDescent="0.35">
      <c r="A2139" t="s">
        <v>20</v>
      </c>
      <c r="B2139" t="s">
        <v>25</v>
      </c>
      <c r="C2139" s="1">
        <v>45602</v>
      </c>
      <c r="D2139">
        <f t="shared" si="150"/>
        <v>6</v>
      </c>
      <c r="E2139">
        <f t="shared" si="151"/>
        <v>11</v>
      </c>
      <c r="F2139">
        <f t="shared" si="152"/>
        <v>2024</v>
      </c>
      <c r="G2139" t="s">
        <v>54</v>
      </c>
      <c r="H2139" s="98">
        <v>10990</v>
      </c>
      <c r="I2139" s="29">
        <v>220.5</v>
      </c>
      <c r="J2139" s="12" t="s">
        <v>31</v>
      </c>
      <c r="K2139" s="76">
        <f t="shared" si="153"/>
        <v>220.5</v>
      </c>
      <c r="L2139">
        <v>1</v>
      </c>
      <c r="M2139" s="29">
        <v>0</v>
      </c>
      <c r="N2139" t="s">
        <v>32</v>
      </c>
      <c r="O2139" t="s">
        <v>33</v>
      </c>
      <c r="P2139" t="s">
        <v>34</v>
      </c>
      <c r="Q2139" t="s">
        <v>34</v>
      </c>
      <c r="R2139" t="s">
        <v>34</v>
      </c>
      <c r="S2139" t="s">
        <v>34</v>
      </c>
      <c r="T2139" s="117">
        <v>0</v>
      </c>
    </row>
    <row r="2140" spans="1:20" x14ac:dyDescent="0.35">
      <c r="A2140" t="s">
        <v>20</v>
      </c>
      <c r="B2140" t="s">
        <v>25</v>
      </c>
      <c r="C2140" s="1">
        <v>45602</v>
      </c>
      <c r="D2140">
        <f t="shared" si="150"/>
        <v>6</v>
      </c>
      <c r="E2140">
        <f t="shared" si="151"/>
        <v>11</v>
      </c>
      <c r="F2140">
        <f t="shared" si="152"/>
        <v>2024</v>
      </c>
      <c r="G2140" t="s">
        <v>54</v>
      </c>
      <c r="H2140" s="98">
        <v>11019</v>
      </c>
      <c r="I2140" s="29">
        <v>3704.31</v>
      </c>
      <c r="J2140" s="12" t="s">
        <v>31</v>
      </c>
      <c r="K2140" s="76">
        <f t="shared" si="153"/>
        <v>3704.31</v>
      </c>
      <c r="L2140">
        <v>1</v>
      </c>
      <c r="M2140" s="29">
        <v>0</v>
      </c>
      <c r="N2140" t="s">
        <v>32</v>
      </c>
      <c r="O2140" t="s">
        <v>33</v>
      </c>
      <c r="P2140" t="s">
        <v>34</v>
      </c>
      <c r="Q2140" t="s">
        <v>34</v>
      </c>
      <c r="R2140" t="s">
        <v>34</v>
      </c>
      <c r="S2140" t="s">
        <v>34</v>
      </c>
      <c r="T2140" s="117">
        <v>0</v>
      </c>
    </row>
    <row r="2141" spans="1:20" x14ac:dyDescent="0.35">
      <c r="A2141" t="s">
        <v>20</v>
      </c>
      <c r="B2141" t="s">
        <v>25</v>
      </c>
      <c r="C2141" s="1">
        <v>45602</v>
      </c>
      <c r="D2141">
        <f t="shared" si="150"/>
        <v>6</v>
      </c>
      <c r="E2141">
        <f t="shared" si="151"/>
        <v>11</v>
      </c>
      <c r="F2141">
        <f t="shared" si="152"/>
        <v>2024</v>
      </c>
      <c r="G2141" t="s">
        <v>54</v>
      </c>
      <c r="H2141" s="98">
        <v>11229</v>
      </c>
      <c r="I2141" s="29">
        <v>703.95</v>
      </c>
      <c r="J2141" s="12" t="s">
        <v>31</v>
      </c>
      <c r="K2141" s="76">
        <f t="shared" si="153"/>
        <v>703.95</v>
      </c>
      <c r="L2141">
        <v>1</v>
      </c>
      <c r="M2141" s="29">
        <v>0</v>
      </c>
      <c r="N2141" t="s">
        <v>32</v>
      </c>
      <c r="O2141" t="s">
        <v>33</v>
      </c>
      <c r="P2141" t="s">
        <v>34</v>
      </c>
      <c r="Q2141" t="s">
        <v>34</v>
      </c>
      <c r="R2141" t="s">
        <v>34</v>
      </c>
      <c r="S2141" t="s">
        <v>34</v>
      </c>
      <c r="T2141" s="117">
        <v>0</v>
      </c>
    </row>
    <row r="2142" spans="1:20" x14ac:dyDescent="0.35">
      <c r="A2142" t="s">
        <v>20</v>
      </c>
      <c r="B2142" t="s">
        <v>23</v>
      </c>
      <c r="C2142" s="1">
        <v>45602</v>
      </c>
      <c r="D2142">
        <f t="shared" si="150"/>
        <v>6</v>
      </c>
      <c r="E2142">
        <f t="shared" si="151"/>
        <v>11</v>
      </c>
      <c r="F2142">
        <f t="shared" si="152"/>
        <v>2024</v>
      </c>
      <c r="G2142" t="s">
        <v>97</v>
      </c>
      <c r="H2142" s="98">
        <v>11350</v>
      </c>
      <c r="I2142" s="29">
        <v>30189.07</v>
      </c>
      <c r="J2142" s="12" t="s">
        <v>31</v>
      </c>
      <c r="K2142" s="76">
        <f t="shared" si="153"/>
        <v>30189.07</v>
      </c>
      <c r="L2142">
        <v>1</v>
      </c>
      <c r="M2142" s="29">
        <v>933.68</v>
      </c>
      <c r="N2142" t="s">
        <v>32</v>
      </c>
      <c r="O2142" t="s">
        <v>33</v>
      </c>
      <c r="P2142" t="s">
        <v>34</v>
      </c>
      <c r="Q2142" t="s">
        <v>34</v>
      </c>
      <c r="R2142" t="s">
        <v>34</v>
      </c>
      <c r="S2142" t="s">
        <v>34</v>
      </c>
      <c r="T2142" s="117">
        <v>0</v>
      </c>
    </row>
    <row r="2143" spans="1:20" x14ac:dyDescent="0.35">
      <c r="A2143" t="s">
        <v>20</v>
      </c>
      <c r="B2143" t="s">
        <v>23</v>
      </c>
      <c r="C2143" s="1">
        <v>45602</v>
      </c>
      <c r="D2143">
        <f t="shared" si="150"/>
        <v>6</v>
      </c>
      <c r="E2143">
        <f t="shared" si="151"/>
        <v>11</v>
      </c>
      <c r="F2143">
        <f t="shared" si="152"/>
        <v>2024</v>
      </c>
      <c r="G2143" t="s">
        <v>97</v>
      </c>
      <c r="H2143" s="98">
        <v>11450</v>
      </c>
      <c r="I2143" s="29">
        <v>165</v>
      </c>
      <c r="J2143" s="12" t="s">
        <v>31</v>
      </c>
      <c r="K2143" s="76">
        <f t="shared" si="153"/>
        <v>165</v>
      </c>
      <c r="L2143">
        <v>1</v>
      </c>
      <c r="M2143" s="29">
        <v>0</v>
      </c>
      <c r="N2143" t="s">
        <v>32</v>
      </c>
      <c r="O2143" t="s">
        <v>33</v>
      </c>
      <c r="P2143" t="s">
        <v>34</v>
      </c>
      <c r="Q2143" t="s">
        <v>34</v>
      </c>
      <c r="R2143" t="s">
        <v>34</v>
      </c>
      <c r="S2143" t="s">
        <v>34</v>
      </c>
      <c r="T2143" s="117">
        <v>0</v>
      </c>
    </row>
    <row r="2144" spans="1:20" x14ac:dyDescent="0.35">
      <c r="A2144" t="s">
        <v>20</v>
      </c>
      <c r="B2144" t="s">
        <v>23</v>
      </c>
      <c r="C2144" s="1">
        <v>45602</v>
      </c>
      <c r="D2144">
        <f t="shared" si="150"/>
        <v>6</v>
      </c>
      <c r="E2144">
        <f t="shared" si="151"/>
        <v>11</v>
      </c>
      <c r="F2144">
        <f t="shared" si="152"/>
        <v>2024</v>
      </c>
      <c r="G2144" t="s">
        <v>177</v>
      </c>
      <c r="H2144" s="98">
        <v>11535</v>
      </c>
      <c r="I2144" s="29">
        <v>109</v>
      </c>
      <c r="J2144" s="12" t="s">
        <v>31</v>
      </c>
      <c r="K2144" s="76">
        <f t="shared" si="153"/>
        <v>109</v>
      </c>
      <c r="L2144">
        <v>1</v>
      </c>
      <c r="M2144" s="29">
        <v>0</v>
      </c>
      <c r="N2144" t="s">
        <v>42</v>
      </c>
      <c r="O2144" t="s">
        <v>33</v>
      </c>
      <c r="P2144" t="s">
        <v>34</v>
      </c>
      <c r="Q2144" t="s">
        <v>34</v>
      </c>
      <c r="R2144" t="s">
        <v>34</v>
      </c>
      <c r="S2144" t="s">
        <v>34</v>
      </c>
      <c r="T2144" s="117">
        <v>0</v>
      </c>
    </row>
    <row r="2145" spans="1:20" x14ac:dyDescent="0.35">
      <c r="A2145" t="s">
        <v>20</v>
      </c>
      <c r="B2145" t="s">
        <v>23</v>
      </c>
      <c r="C2145" s="1">
        <v>45602</v>
      </c>
      <c r="D2145">
        <f t="shared" si="150"/>
        <v>6</v>
      </c>
      <c r="E2145">
        <f t="shared" si="151"/>
        <v>11</v>
      </c>
      <c r="F2145">
        <f t="shared" si="152"/>
        <v>2024</v>
      </c>
      <c r="G2145" t="s">
        <v>177</v>
      </c>
      <c r="H2145" s="98">
        <v>11536</v>
      </c>
      <c r="I2145" s="29">
        <v>9240</v>
      </c>
      <c r="J2145" s="12" t="s">
        <v>31</v>
      </c>
      <c r="K2145" s="76">
        <f t="shared" si="153"/>
        <v>9240</v>
      </c>
      <c r="L2145">
        <v>1</v>
      </c>
      <c r="M2145" s="29">
        <v>0</v>
      </c>
      <c r="N2145" t="s">
        <v>42</v>
      </c>
      <c r="O2145" t="s">
        <v>33</v>
      </c>
      <c r="P2145" t="s">
        <v>34</v>
      </c>
      <c r="Q2145" t="s">
        <v>34</v>
      </c>
      <c r="R2145" t="s">
        <v>34</v>
      </c>
      <c r="S2145" t="s">
        <v>34</v>
      </c>
      <c r="T2145" s="117">
        <v>0</v>
      </c>
    </row>
    <row r="2146" spans="1:20" x14ac:dyDescent="0.35">
      <c r="A2146" t="s">
        <v>20</v>
      </c>
      <c r="B2146" t="s">
        <v>25</v>
      </c>
      <c r="C2146" s="1">
        <v>45602</v>
      </c>
      <c r="D2146">
        <f t="shared" si="150"/>
        <v>6</v>
      </c>
      <c r="E2146">
        <f t="shared" si="151"/>
        <v>11</v>
      </c>
      <c r="F2146">
        <f t="shared" si="152"/>
        <v>2024</v>
      </c>
      <c r="G2146" t="s">
        <v>123</v>
      </c>
      <c r="H2146" s="98">
        <v>11332</v>
      </c>
      <c r="I2146" s="29">
        <v>174.6</v>
      </c>
      <c r="J2146" s="12" t="s">
        <v>31</v>
      </c>
      <c r="K2146" s="76">
        <f t="shared" si="153"/>
        <v>174.6</v>
      </c>
      <c r="L2146">
        <v>1</v>
      </c>
      <c r="M2146" s="29">
        <v>0</v>
      </c>
      <c r="N2146" t="s">
        <v>32</v>
      </c>
      <c r="O2146" t="s">
        <v>33</v>
      </c>
      <c r="P2146" t="s">
        <v>34</v>
      </c>
      <c r="Q2146" t="s">
        <v>34</v>
      </c>
      <c r="R2146" t="s">
        <v>34</v>
      </c>
      <c r="S2146" t="s">
        <v>34</v>
      </c>
      <c r="T2146" s="117">
        <v>0</v>
      </c>
    </row>
    <row r="2147" spans="1:20" x14ac:dyDescent="0.35">
      <c r="A2147" t="s">
        <v>20</v>
      </c>
      <c r="B2147" t="s">
        <v>25</v>
      </c>
      <c r="C2147" s="1">
        <v>45602</v>
      </c>
      <c r="D2147">
        <f t="shared" si="150"/>
        <v>6</v>
      </c>
      <c r="E2147">
        <f t="shared" si="151"/>
        <v>11</v>
      </c>
      <c r="F2147">
        <f t="shared" si="152"/>
        <v>2024</v>
      </c>
      <c r="G2147" t="s">
        <v>123</v>
      </c>
      <c r="H2147" s="98">
        <v>11334</v>
      </c>
      <c r="I2147" s="29">
        <v>2246.52</v>
      </c>
      <c r="J2147" s="12" t="s">
        <v>31</v>
      </c>
      <c r="K2147" s="76">
        <f t="shared" ref="K2147:K2178" si="154">IF(J2147="USD",I2147,I2147*L2147)</f>
        <v>2246.52</v>
      </c>
      <c r="L2147">
        <v>1</v>
      </c>
      <c r="M2147" s="29">
        <v>0</v>
      </c>
      <c r="N2147" t="s">
        <v>42</v>
      </c>
      <c r="O2147" t="s">
        <v>33</v>
      </c>
      <c r="P2147" t="s">
        <v>34</v>
      </c>
      <c r="Q2147" t="s">
        <v>34</v>
      </c>
      <c r="R2147" t="s">
        <v>34</v>
      </c>
      <c r="S2147" t="s">
        <v>34</v>
      </c>
      <c r="T2147" s="117">
        <v>0</v>
      </c>
    </row>
    <row r="2148" spans="1:20" x14ac:dyDescent="0.35">
      <c r="A2148" t="s">
        <v>20</v>
      </c>
      <c r="B2148" t="s">
        <v>21</v>
      </c>
      <c r="C2148" s="1">
        <v>45602</v>
      </c>
      <c r="D2148">
        <f t="shared" si="150"/>
        <v>6</v>
      </c>
      <c r="E2148">
        <f t="shared" si="151"/>
        <v>11</v>
      </c>
      <c r="F2148">
        <f t="shared" si="152"/>
        <v>2024</v>
      </c>
      <c r="G2148" t="s">
        <v>265</v>
      </c>
      <c r="H2148" s="98">
        <v>11128</v>
      </c>
      <c r="I2148" s="29">
        <v>6525.36</v>
      </c>
      <c r="J2148" s="12" t="s">
        <v>31</v>
      </c>
      <c r="K2148" s="76">
        <f t="shared" si="154"/>
        <v>6525.36</v>
      </c>
      <c r="L2148">
        <v>1</v>
      </c>
      <c r="M2148" s="29">
        <v>0</v>
      </c>
      <c r="N2148" t="s">
        <v>32</v>
      </c>
      <c r="O2148" t="s">
        <v>33</v>
      </c>
      <c r="P2148" t="s">
        <v>34</v>
      </c>
      <c r="Q2148" t="s">
        <v>34</v>
      </c>
      <c r="R2148" t="s">
        <v>34</v>
      </c>
      <c r="S2148" t="s">
        <v>34</v>
      </c>
      <c r="T2148" s="117">
        <v>0</v>
      </c>
    </row>
    <row r="2149" spans="1:20" x14ac:dyDescent="0.35">
      <c r="A2149" t="s">
        <v>20</v>
      </c>
      <c r="B2149" t="s">
        <v>25</v>
      </c>
      <c r="C2149" s="1">
        <v>45602</v>
      </c>
      <c r="D2149">
        <f t="shared" si="150"/>
        <v>6</v>
      </c>
      <c r="E2149">
        <f t="shared" si="151"/>
        <v>11</v>
      </c>
      <c r="F2149">
        <f t="shared" si="152"/>
        <v>2024</v>
      </c>
      <c r="G2149" t="s">
        <v>46</v>
      </c>
      <c r="H2149" s="98">
        <v>11151</v>
      </c>
      <c r="I2149" s="29">
        <v>6998.37</v>
      </c>
      <c r="J2149" s="12" t="s">
        <v>31</v>
      </c>
      <c r="K2149" s="76">
        <f t="shared" si="154"/>
        <v>6998.37</v>
      </c>
      <c r="L2149">
        <v>1</v>
      </c>
      <c r="M2149" s="29">
        <v>0</v>
      </c>
      <c r="N2149" t="s">
        <v>32</v>
      </c>
      <c r="O2149" t="s">
        <v>33</v>
      </c>
      <c r="P2149" t="s">
        <v>34</v>
      </c>
      <c r="Q2149" t="s">
        <v>34</v>
      </c>
      <c r="R2149" t="s">
        <v>34</v>
      </c>
      <c r="S2149" t="s">
        <v>34</v>
      </c>
      <c r="T2149" s="117">
        <v>0</v>
      </c>
    </row>
    <row r="2150" spans="1:20" x14ac:dyDescent="0.35">
      <c r="A2150" t="s">
        <v>20</v>
      </c>
      <c r="B2150" t="s">
        <v>21</v>
      </c>
      <c r="C2150" s="1">
        <v>45602</v>
      </c>
      <c r="D2150">
        <f t="shared" si="150"/>
        <v>6</v>
      </c>
      <c r="E2150">
        <f t="shared" si="151"/>
        <v>11</v>
      </c>
      <c r="F2150">
        <f t="shared" si="152"/>
        <v>2024</v>
      </c>
      <c r="G2150" t="s">
        <v>50</v>
      </c>
      <c r="H2150" s="98">
        <v>11206</v>
      </c>
      <c r="I2150" s="29">
        <v>837.2</v>
      </c>
      <c r="J2150" s="12" t="s">
        <v>31</v>
      </c>
      <c r="K2150" s="76">
        <f t="shared" si="154"/>
        <v>837.2</v>
      </c>
      <c r="L2150">
        <v>1</v>
      </c>
      <c r="M2150" s="29">
        <v>0</v>
      </c>
      <c r="N2150" t="s">
        <v>42</v>
      </c>
      <c r="O2150" t="s">
        <v>33</v>
      </c>
      <c r="P2150" t="s">
        <v>34</v>
      </c>
      <c r="Q2150" t="s">
        <v>34</v>
      </c>
      <c r="R2150" t="s">
        <v>34</v>
      </c>
      <c r="S2150" t="s">
        <v>34</v>
      </c>
      <c r="T2150" s="117">
        <v>0</v>
      </c>
    </row>
    <row r="2151" spans="1:20" x14ac:dyDescent="0.35">
      <c r="A2151" t="s">
        <v>20</v>
      </c>
      <c r="B2151" t="s">
        <v>21</v>
      </c>
      <c r="C2151" s="1">
        <v>45602</v>
      </c>
      <c r="D2151">
        <f t="shared" si="150"/>
        <v>6</v>
      </c>
      <c r="E2151">
        <f t="shared" si="151"/>
        <v>11</v>
      </c>
      <c r="F2151">
        <f t="shared" si="152"/>
        <v>2024</v>
      </c>
      <c r="G2151" t="s">
        <v>50</v>
      </c>
      <c r="H2151" s="98">
        <v>11186</v>
      </c>
      <c r="I2151" s="29">
        <v>340</v>
      </c>
      <c r="J2151" s="12" t="s">
        <v>31</v>
      </c>
      <c r="K2151" s="76">
        <f t="shared" si="154"/>
        <v>340</v>
      </c>
      <c r="L2151">
        <v>1</v>
      </c>
      <c r="M2151" s="29">
        <v>0</v>
      </c>
      <c r="N2151" t="s">
        <v>42</v>
      </c>
      <c r="O2151" t="s">
        <v>33</v>
      </c>
      <c r="P2151" t="s">
        <v>34</v>
      </c>
      <c r="Q2151" t="s">
        <v>34</v>
      </c>
      <c r="R2151" t="s">
        <v>34</v>
      </c>
      <c r="S2151" t="s">
        <v>34</v>
      </c>
      <c r="T2151" s="117">
        <v>0</v>
      </c>
    </row>
    <row r="2152" spans="1:20" x14ac:dyDescent="0.35">
      <c r="A2152" t="s">
        <v>20</v>
      </c>
      <c r="B2152" t="s">
        <v>21</v>
      </c>
      <c r="C2152" s="1">
        <v>45602</v>
      </c>
      <c r="D2152">
        <f t="shared" si="150"/>
        <v>6</v>
      </c>
      <c r="E2152">
        <f t="shared" si="151"/>
        <v>11</v>
      </c>
      <c r="F2152">
        <f t="shared" si="152"/>
        <v>2024</v>
      </c>
      <c r="G2152" t="s">
        <v>50</v>
      </c>
      <c r="H2152" s="98">
        <v>11206</v>
      </c>
      <c r="I2152" s="29">
        <v>1190</v>
      </c>
      <c r="J2152" s="12" t="s">
        <v>31</v>
      </c>
      <c r="K2152" s="76">
        <f t="shared" si="154"/>
        <v>1190</v>
      </c>
      <c r="L2152">
        <v>1</v>
      </c>
      <c r="M2152" s="29">
        <v>0</v>
      </c>
      <c r="N2152" t="s">
        <v>42</v>
      </c>
      <c r="O2152" t="s">
        <v>33</v>
      </c>
      <c r="P2152" t="s">
        <v>34</v>
      </c>
      <c r="Q2152" t="s">
        <v>34</v>
      </c>
      <c r="R2152" t="s">
        <v>34</v>
      </c>
      <c r="S2152" t="s">
        <v>34</v>
      </c>
      <c r="T2152" s="117">
        <v>0</v>
      </c>
    </row>
    <row r="2153" spans="1:20" x14ac:dyDescent="0.35">
      <c r="A2153" t="s">
        <v>20</v>
      </c>
      <c r="B2153" t="s">
        <v>25</v>
      </c>
      <c r="C2153" s="1">
        <v>45602</v>
      </c>
      <c r="D2153">
        <f t="shared" si="150"/>
        <v>6</v>
      </c>
      <c r="E2153">
        <f t="shared" si="151"/>
        <v>11</v>
      </c>
      <c r="F2153">
        <f t="shared" si="152"/>
        <v>2024</v>
      </c>
      <c r="G2153" t="s">
        <v>50</v>
      </c>
      <c r="H2153" s="98">
        <v>11206</v>
      </c>
      <c r="I2153" s="29">
        <v>1794</v>
      </c>
      <c r="J2153" s="12" t="s">
        <v>31</v>
      </c>
      <c r="K2153" s="76">
        <f t="shared" si="154"/>
        <v>1794</v>
      </c>
      <c r="L2153">
        <v>1</v>
      </c>
      <c r="M2153" s="29">
        <v>0</v>
      </c>
      <c r="N2153" t="s">
        <v>42</v>
      </c>
      <c r="O2153" t="s">
        <v>33</v>
      </c>
      <c r="P2153" t="s">
        <v>34</v>
      </c>
      <c r="Q2153" t="s">
        <v>34</v>
      </c>
      <c r="R2153" t="s">
        <v>34</v>
      </c>
      <c r="S2153" t="s">
        <v>34</v>
      </c>
      <c r="T2153" s="117">
        <v>0</v>
      </c>
    </row>
    <row r="2154" spans="1:20" x14ac:dyDescent="0.35">
      <c r="A2154" t="s">
        <v>20</v>
      </c>
      <c r="B2154" t="s">
        <v>23</v>
      </c>
      <c r="C2154" s="1">
        <v>45602</v>
      </c>
      <c r="D2154">
        <f t="shared" si="150"/>
        <v>6</v>
      </c>
      <c r="E2154">
        <f t="shared" si="151"/>
        <v>11</v>
      </c>
      <c r="F2154">
        <f t="shared" si="152"/>
        <v>2024</v>
      </c>
      <c r="G2154" t="s">
        <v>50</v>
      </c>
      <c r="H2154" s="98">
        <v>10968</v>
      </c>
      <c r="I2154" s="29">
        <v>13275</v>
      </c>
      <c r="J2154" s="12" t="s">
        <v>31</v>
      </c>
      <c r="K2154" s="76">
        <f t="shared" si="154"/>
        <v>13275</v>
      </c>
      <c r="L2154">
        <v>1</v>
      </c>
      <c r="M2154" s="29">
        <v>0</v>
      </c>
      <c r="N2154" t="s">
        <v>32</v>
      </c>
      <c r="O2154" t="s">
        <v>33</v>
      </c>
      <c r="P2154" t="s">
        <v>34</v>
      </c>
      <c r="Q2154" t="s">
        <v>34</v>
      </c>
      <c r="R2154" t="s">
        <v>34</v>
      </c>
      <c r="S2154" t="s">
        <v>34</v>
      </c>
      <c r="T2154" s="117">
        <v>0</v>
      </c>
    </row>
    <row r="2155" spans="1:20" x14ac:dyDescent="0.35">
      <c r="A2155" t="s">
        <v>20</v>
      </c>
      <c r="B2155" t="s">
        <v>23</v>
      </c>
      <c r="C2155" s="1">
        <v>45602</v>
      </c>
      <c r="D2155">
        <f t="shared" si="150"/>
        <v>6</v>
      </c>
      <c r="E2155">
        <f t="shared" si="151"/>
        <v>11</v>
      </c>
      <c r="F2155">
        <f t="shared" si="152"/>
        <v>2024</v>
      </c>
      <c r="G2155" t="s">
        <v>82</v>
      </c>
      <c r="H2155" s="98">
        <v>10971</v>
      </c>
      <c r="I2155" s="29">
        <v>30813.31</v>
      </c>
      <c r="J2155" s="12" t="s">
        <v>31</v>
      </c>
      <c r="K2155" s="76">
        <f t="shared" si="154"/>
        <v>30813.31</v>
      </c>
      <c r="L2155">
        <v>1</v>
      </c>
      <c r="M2155" s="29">
        <v>0</v>
      </c>
      <c r="N2155" t="s">
        <v>32</v>
      </c>
      <c r="O2155" t="s">
        <v>33</v>
      </c>
      <c r="P2155" t="s">
        <v>34</v>
      </c>
      <c r="Q2155" t="s">
        <v>34</v>
      </c>
      <c r="R2155" t="s">
        <v>34</v>
      </c>
      <c r="S2155" t="s">
        <v>34</v>
      </c>
      <c r="T2155" s="117">
        <v>0</v>
      </c>
    </row>
    <row r="2156" spans="1:20" x14ac:dyDescent="0.35">
      <c r="A2156" t="s">
        <v>20</v>
      </c>
      <c r="B2156" t="s">
        <v>21</v>
      </c>
      <c r="C2156" s="1">
        <v>45602</v>
      </c>
      <c r="D2156">
        <f t="shared" si="150"/>
        <v>6</v>
      </c>
      <c r="E2156">
        <f t="shared" si="151"/>
        <v>11</v>
      </c>
      <c r="F2156">
        <f t="shared" si="152"/>
        <v>2024</v>
      </c>
      <c r="G2156" t="s">
        <v>82</v>
      </c>
      <c r="H2156" s="98">
        <v>11370</v>
      </c>
      <c r="I2156" s="29">
        <v>62</v>
      </c>
      <c r="J2156" s="12" t="s">
        <v>31</v>
      </c>
      <c r="K2156" s="76">
        <f t="shared" si="154"/>
        <v>62</v>
      </c>
      <c r="L2156">
        <v>1</v>
      </c>
      <c r="M2156" s="29">
        <v>0</v>
      </c>
      <c r="N2156" t="s">
        <v>32</v>
      </c>
      <c r="O2156" t="s">
        <v>33</v>
      </c>
      <c r="P2156" t="s">
        <v>34</v>
      </c>
      <c r="Q2156" t="s">
        <v>34</v>
      </c>
      <c r="R2156" t="s">
        <v>34</v>
      </c>
      <c r="S2156" t="s">
        <v>34</v>
      </c>
      <c r="T2156" s="117">
        <v>0</v>
      </c>
    </row>
    <row r="2157" spans="1:20" x14ac:dyDescent="0.35">
      <c r="A2157" t="s">
        <v>20</v>
      </c>
      <c r="B2157" t="s">
        <v>21</v>
      </c>
      <c r="C2157" s="1">
        <v>45602</v>
      </c>
      <c r="D2157">
        <f t="shared" si="150"/>
        <v>6</v>
      </c>
      <c r="E2157">
        <f t="shared" si="151"/>
        <v>11</v>
      </c>
      <c r="F2157">
        <f t="shared" si="152"/>
        <v>2024</v>
      </c>
      <c r="G2157" t="s">
        <v>435</v>
      </c>
      <c r="H2157" s="98">
        <v>11342</v>
      </c>
      <c r="I2157" s="29">
        <v>35</v>
      </c>
      <c r="J2157" s="12" t="s">
        <v>31</v>
      </c>
      <c r="K2157" s="76">
        <f t="shared" si="154"/>
        <v>35</v>
      </c>
      <c r="L2157">
        <v>1</v>
      </c>
      <c r="M2157" s="29">
        <v>0</v>
      </c>
      <c r="N2157" t="s">
        <v>32</v>
      </c>
      <c r="O2157" t="s">
        <v>33</v>
      </c>
      <c r="P2157" t="s">
        <v>34</v>
      </c>
      <c r="Q2157" t="s">
        <v>34</v>
      </c>
      <c r="R2157" t="s">
        <v>34</v>
      </c>
      <c r="S2157" t="s">
        <v>34</v>
      </c>
      <c r="T2157" s="117">
        <v>0</v>
      </c>
    </row>
    <row r="2158" spans="1:20" x14ac:dyDescent="0.35">
      <c r="A2158" t="s">
        <v>20</v>
      </c>
      <c r="B2158" t="s">
        <v>21</v>
      </c>
      <c r="C2158" s="1">
        <v>45602</v>
      </c>
      <c r="D2158">
        <f t="shared" si="150"/>
        <v>6</v>
      </c>
      <c r="E2158">
        <f t="shared" si="151"/>
        <v>11</v>
      </c>
      <c r="F2158">
        <f t="shared" si="152"/>
        <v>2024</v>
      </c>
      <c r="G2158" t="s">
        <v>435</v>
      </c>
      <c r="H2158" s="98">
        <v>11320</v>
      </c>
      <c r="I2158" s="29">
        <v>4539.68</v>
      </c>
      <c r="J2158" s="12" t="s">
        <v>31</v>
      </c>
      <c r="K2158" s="76">
        <f t="shared" si="154"/>
        <v>4539.68</v>
      </c>
      <c r="L2158">
        <v>1</v>
      </c>
      <c r="M2158" s="29">
        <v>0</v>
      </c>
      <c r="N2158" t="s">
        <v>32</v>
      </c>
      <c r="O2158" t="s">
        <v>33</v>
      </c>
      <c r="P2158" t="s">
        <v>34</v>
      </c>
      <c r="Q2158" t="s">
        <v>34</v>
      </c>
      <c r="R2158" t="s">
        <v>34</v>
      </c>
      <c r="S2158" t="s">
        <v>34</v>
      </c>
      <c r="T2158" s="117">
        <v>0</v>
      </c>
    </row>
    <row r="2159" spans="1:20" x14ac:dyDescent="0.35">
      <c r="A2159" t="s">
        <v>20</v>
      </c>
      <c r="B2159" t="s">
        <v>23</v>
      </c>
      <c r="C2159" s="1">
        <v>45602</v>
      </c>
      <c r="D2159">
        <f t="shared" si="150"/>
        <v>6</v>
      </c>
      <c r="E2159">
        <f t="shared" si="151"/>
        <v>11</v>
      </c>
      <c r="F2159">
        <f t="shared" si="152"/>
        <v>2024</v>
      </c>
      <c r="G2159" t="s">
        <v>99</v>
      </c>
      <c r="H2159" s="98">
        <v>11063</v>
      </c>
      <c r="I2159" s="29">
        <v>73.040000000000006</v>
      </c>
      <c r="J2159" s="12" t="s">
        <v>31</v>
      </c>
      <c r="K2159" s="76">
        <f t="shared" si="154"/>
        <v>73.040000000000006</v>
      </c>
      <c r="L2159">
        <v>1</v>
      </c>
      <c r="M2159" s="29">
        <v>0</v>
      </c>
      <c r="N2159" t="s">
        <v>32</v>
      </c>
      <c r="O2159" t="s">
        <v>33</v>
      </c>
      <c r="P2159" t="s">
        <v>34</v>
      </c>
      <c r="Q2159" t="s">
        <v>34</v>
      </c>
      <c r="R2159" t="s">
        <v>34</v>
      </c>
      <c r="S2159" t="s">
        <v>34</v>
      </c>
      <c r="T2159" s="117">
        <v>0</v>
      </c>
    </row>
    <row r="2160" spans="1:20" x14ac:dyDescent="0.35">
      <c r="A2160" t="s">
        <v>20</v>
      </c>
      <c r="B2160" t="s">
        <v>23</v>
      </c>
      <c r="C2160" s="1">
        <v>45602</v>
      </c>
      <c r="D2160">
        <f t="shared" si="150"/>
        <v>6</v>
      </c>
      <c r="E2160">
        <f t="shared" si="151"/>
        <v>11</v>
      </c>
      <c r="F2160">
        <f t="shared" si="152"/>
        <v>2024</v>
      </c>
      <c r="G2160" t="s">
        <v>99</v>
      </c>
      <c r="H2160" s="98">
        <v>11062</v>
      </c>
      <c r="I2160" s="29">
        <v>15537.6</v>
      </c>
      <c r="J2160" s="12" t="s">
        <v>31</v>
      </c>
      <c r="K2160" s="76">
        <f t="shared" si="154"/>
        <v>15537.6</v>
      </c>
      <c r="L2160">
        <v>1</v>
      </c>
      <c r="M2160" s="29">
        <v>0</v>
      </c>
      <c r="N2160" t="s">
        <v>32</v>
      </c>
      <c r="O2160" t="s">
        <v>33</v>
      </c>
      <c r="P2160" t="s">
        <v>34</v>
      </c>
      <c r="Q2160" t="s">
        <v>34</v>
      </c>
      <c r="R2160" t="s">
        <v>34</v>
      </c>
      <c r="S2160" t="s">
        <v>34</v>
      </c>
      <c r="T2160" s="117">
        <v>0</v>
      </c>
    </row>
    <row r="2161" spans="1:20" x14ac:dyDescent="0.35">
      <c r="A2161" t="s">
        <v>20</v>
      </c>
      <c r="B2161" t="s">
        <v>23</v>
      </c>
      <c r="C2161" s="1">
        <v>45602</v>
      </c>
      <c r="D2161">
        <f t="shared" si="150"/>
        <v>6</v>
      </c>
      <c r="E2161">
        <f t="shared" si="151"/>
        <v>11</v>
      </c>
      <c r="F2161">
        <f t="shared" si="152"/>
        <v>2024</v>
      </c>
      <c r="G2161" t="s">
        <v>86</v>
      </c>
      <c r="H2161" s="98">
        <v>11036</v>
      </c>
      <c r="I2161" s="29">
        <v>6611.78</v>
      </c>
      <c r="J2161" s="12" t="s">
        <v>31</v>
      </c>
      <c r="K2161" s="76">
        <f t="shared" si="154"/>
        <v>6611.78</v>
      </c>
      <c r="L2161">
        <v>1</v>
      </c>
      <c r="M2161" s="29">
        <v>0</v>
      </c>
      <c r="N2161" t="s">
        <v>32</v>
      </c>
      <c r="O2161" t="s">
        <v>33</v>
      </c>
      <c r="P2161" t="s">
        <v>34</v>
      </c>
      <c r="Q2161" t="s">
        <v>34</v>
      </c>
      <c r="R2161" t="s">
        <v>34</v>
      </c>
      <c r="S2161" t="s">
        <v>34</v>
      </c>
      <c r="T2161" s="117">
        <v>0</v>
      </c>
    </row>
    <row r="2162" spans="1:20" x14ac:dyDescent="0.35">
      <c r="A2162" t="s">
        <v>20</v>
      </c>
      <c r="B2162" t="s">
        <v>21</v>
      </c>
      <c r="C2162" s="1">
        <v>45602</v>
      </c>
      <c r="D2162">
        <f t="shared" si="150"/>
        <v>6</v>
      </c>
      <c r="E2162">
        <f t="shared" si="151"/>
        <v>11</v>
      </c>
      <c r="F2162">
        <f t="shared" si="152"/>
        <v>2024</v>
      </c>
      <c r="G2162" t="s">
        <v>86</v>
      </c>
      <c r="H2162" s="98">
        <v>11036</v>
      </c>
      <c r="I2162" s="29">
        <v>10524.39</v>
      </c>
      <c r="J2162" s="12" t="s">
        <v>31</v>
      </c>
      <c r="K2162" s="76">
        <f t="shared" si="154"/>
        <v>10524.39</v>
      </c>
      <c r="L2162">
        <v>1</v>
      </c>
      <c r="M2162" s="29">
        <v>0</v>
      </c>
      <c r="N2162" t="s">
        <v>32</v>
      </c>
      <c r="O2162" t="s">
        <v>33</v>
      </c>
      <c r="P2162" t="s">
        <v>34</v>
      </c>
      <c r="Q2162" t="s">
        <v>34</v>
      </c>
      <c r="R2162" t="s">
        <v>34</v>
      </c>
      <c r="S2162" t="s">
        <v>34</v>
      </c>
      <c r="T2162" s="117">
        <v>0</v>
      </c>
    </row>
    <row r="2163" spans="1:20" x14ac:dyDescent="0.35">
      <c r="A2163" t="s">
        <v>19</v>
      </c>
      <c r="B2163" t="s">
        <v>19</v>
      </c>
      <c r="C2163" s="1">
        <v>45602</v>
      </c>
      <c r="D2163">
        <f t="shared" si="150"/>
        <v>6</v>
      </c>
      <c r="E2163">
        <f t="shared" si="151"/>
        <v>11</v>
      </c>
      <c r="F2163">
        <f t="shared" si="152"/>
        <v>2024</v>
      </c>
      <c r="G2163" t="s">
        <v>59</v>
      </c>
      <c r="H2163" s="98" t="s">
        <v>625</v>
      </c>
      <c r="I2163" s="29">
        <v>105983.73</v>
      </c>
      <c r="J2163" s="12" t="s">
        <v>31</v>
      </c>
      <c r="K2163" s="76">
        <f t="shared" si="154"/>
        <v>105983.73</v>
      </c>
      <c r="L2163">
        <v>1</v>
      </c>
      <c r="M2163" s="29">
        <v>0</v>
      </c>
      <c r="N2163" t="s">
        <v>32</v>
      </c>
      <c r="O2163" t="s">
        <v>33</v>
      </c>
      <c r="P2163" t="s">
        <v>34</v>
      </c>
      <c r="Q2163" t="s">
        <v>34</v>
      </c>
      <c r="R2163" t="s">
        <v>34</v>
      </c>
      <c r="S2163" t="s">
        <v>34</v>
      </c>
      <c r="T2163" s="117">
        <v>0</v>
      </c>
    </row>
    <row r="2164" spans="1:20" x14ac:dyDescent="0.35">
      <c r="A2164" t="s">
        <v>19</v>
      </c>
      <c r="B2164" t="s">
        <v>19</v>
      </c>
      <c r="C2164" s="1">
        <v>45602</v>
      </c>
      <c r="D2164">
        <f t="shared" si="150"/>
        <v>6</v>
      </c>
      <c r="E2164">
        <f t="shared" si="151"/>
        <v>11</v>
      </c>
      <c r="F2164">
        <f t="shared" si="152"/>
        <v>2024</v>
      </c>
      <c r="G2164" t="s">
        <v>106</v>
      </c>
      <c r="H2164" s="98" t="s">
        <v>626</v>
      </c>
      <c r="I2164" s="29">
        <v>174846.63</v>
      </c>
      <c r="J2164" s="12" t="s">
        <v>31</v>
      </c>
      <c r="K2164" s="76">
        <f t="shared" si="154"/>
        <v>174846.63</v>
      </c>
      <c r="L2164">
        <v>1</v>
      </c>
      <c r="M2164" s="29">
        <v>0</v>
      </c>
      <c r="N2164" t="s">
        <v>32</v>
      </c>
      <c r="O2164" t="s">
        <v>33</v>
      </c>
      <c r="P2164" t="s">
        <v>34</v>
      </c>
      <c r="Q2164" t="s">
        <v>34</v>
      </c>
      <c r="R2164" t="s">
        <v>34</v>
      </c>
      <c r="S2164" t="s">
        <v>34</v>
      </c>
      <c r="T2164" s="117">
        <v>0</v>
      </c>
    </row>
    <row r="2165" spans="1:20" x14ac:dyDescent="0.35">
      <c r="A2165" t="s">
        <v>19</v>
      </c>
      <c r="B2165" t="s">
        <v>19</v>
      </c>
      <c r="C2165" s="1">
        <v>45602</v>
      </c>
      <c r="D2165">
        <f t="shared" si="150"/>
        <v>6</v>
      </c>
      <c r="E2165">
        <f t="shared" si="151"/>
        <v>11</v>
      </c>
      <c r="F2165">
        <f t="shared" si="152"/>
        <v>2024</v>
      </c>
      <c r="G2165" t="s">
        <v>56</v>
      </c>
      <c r="H2165" s="98" t="s">
        <v>627</v>
      </c>
      <c r="I2165" s="29">
        <v>403.43</v>
      </c>
      <c r="J2165" s="12" t="s">
        <v>31</v>
      </c>
      <c r="K2165" s="76">
        <f t="shared" si="154"/>
        <v>403.43</v>
      </c>
      <c r="L2165">
        <v>1</v>
      </c>
      <c r="M2165" s="29">
        <v>0</v>
      </c>
      <c r="N2165" t="s">
        <v>32</v>
      </c>
      <c r="O2165" t="s">
        <v>33</v>
      </c>
      <c r="P2165" t="s">
        <v>34</v>
      </c>
      <c r="Q2165" t="s">
        <v>34</v>
      </c>
      <c r="R2165" t="s">
        <v>34</v>
      </c>
      <c r="S2165" t="s">
        <v>34</v>
      </c>
      <c r="T2165" s="117">
        <v>0</v>
      </c>
    </row>
    <row r="2166" spans="1:20" x14ac:dyDescent="0.35">
      <c r="A2166" t="s">
        <v>19</v>
      </c>
      <c r="B2166" t="s">
        <v>19</v>
      </c>
      <c r="C2166" s="1">
        <v>45602</v>
      </c>
      <c r="D2166">
        <f t="shared" si="150"/>
        <v>6</v>
      </c>
      <c r="E2166">
        <f t="shared" si="151"/>
        <v>11</v>
      </c>
      <c r="F2166">
        <f t="shared" si="152"/>
        <v>2024</v>
      </c>
      <c r="G2166" t="s">
        <v>56</v>
      </c>
      <c r="H2166" s="98" t="s">
        <v>628</v>
      </c>
      <c r="I2166" s="29">
        <v>2639.81</v>
      </c>
      <c r="J2166" s="12" t="s">
        <v>31</v>
      </c>
      <c r="K2166" s="76">
        <f t="shared" si="154"/>
        <v>2639.81</v>
      </c>
      <c r="L2166">
        <v>1</v>
      </c>
      <c r="M2166" s="29">
        <v>0</v>
      </c>
      <c r="N2166" t="s">
        <v>32</v>
      </c>
      <c r="O2166" t="s">
        <v>33</v>
      </c>
      <c r="P2166" t="s">
        <v>34</v>
      </c>
      <c r="Q2166" t="s">
        <v>34</v>
      </c>
      <c r="R2166" t="s">
        <v>34</v>
      </c>
      <c r="S2166" t="s">
        <v>34</v>
      </c>
      <c r="T2166" s="117">
        <v>0</v>
      </c>
    </row>
    <row r="2167" spans="1:20" x14ac:dyDescent="0.35">
      <c r="A2167" t="s">
        <v>19</v>
      </c>
      <c r="B2167" t="s">
        <v>19</v>
      </c>
      <c r="C2167" s="1">
        <v>45602</v>
      </c>
      <c r="D2167">
        <f t="shared" si="150"/>
        <v>6</v>
      </c>
      <c r="E2167">
        <f t="shared" si="151"/>
        <v>11</v>
      </c>
      <c r="F2167">
        <f t="shared" si="152"/>
        <v>2024</v>
      </c>
      <c r="G2167" t="s">
        <v>56</v>
      </c>
      <c r="H2167" s="98" t="s">
        <v>629</v>
      </c>
      <c r="I2167" s="29">
        <v>184819.22</v>
      </c>
      <c r="J2167" s="12" t="s">
        <v>31</v>
      </c>
      <c r="K2167" s="76">
        <f t="shared" si="154"/>
        <v>184819.22</v>
      </c>
      <c r="L2167">
        <v>1</v>
      </c>
      <c r="M2167" s="29">
        <v>0</v>
      </c>
      <c r="N2167" t="s">
        <v>32</v>
      </c>
      <c r="O2167" t="s">
        <v>33</v>
      </c>
      <c r="P2167" t="s">
        <v>34</v>
      </c>
      <c r="Q2167" t="s">
        <v>34</v>
      </c>
      <c r="R2167" t="s">
        <v>34</v>
      </c>
      <c r="S2167" t="s">
        <v>34</v>
      </c>
      <c r="T2167" s="117">
        <v>0</v>
      </c>
    </row>
    <row r="2168" spans="1:20" x14ac:dyDescent="0.35">
      <c r="A2168" t="s">
        <v>19</v>
      </c>
      <c r="B2168" t="s">
        <v>19</v>
      </c>
      <c r="C2168" s="1">
        <v>45602</v>
      </c>
      <c r="D2168">
        <f t="shared" si="150"/>
        <v>6</v>
      </c>
      <c r="E2168">
        <f t="shared" si="151"/>
        <v>11</v>
      </c>
      <c r="F2168">
        <f t="shared" si="152"/>
        <v>2024</v>
      </c>
      <c r="G2168" t="s">
        <v>56</v>
      </c>
      <c r="H2168" s="98" t="s">
        <v>630</v>
      </c>
      <c r="I2168" s="29">
        <v>177818.09</v>
      </c>
      <c r="J2168" s="12" t="s">
        <v>31</v>
      </c>
      <c r="K2168" s="76">
        <f t="shared" si="154"/>
        <v>177818.09</v>
      </c>
      <c r="L2168">
        <v>1</v>
      </c>
      <c r="M2168" s="29">
        <v>0</v>
      </c>
      <c r="N2168" t="s">
        <v>32</v>
      </c>
      <c r="O2168" t="s">
        <v>33</v>
      </c>
      <c r="P2168" t="s">
        <v>34</v>
      </c>
      <c r="Q2168" t="s">
        <v>34</v>
      </c>
      <c r="R2168" t="s">
        <v>34</v>
      </c>
      <c r="S2168" t="s">
        <v>34</v>
      </c>
      <c r="T2168" s="117">
        <v>0</v>
      </c>
    </row>
    <row r="2169" spans="1:20" x14ac:dyDescent="0.35">
      <c r="A2169" t="s">
        <v>19</v>
      </c>
      <c r="B2169" t="s">
        <v>19</v>
      </c>
      <c r="C2169" s="1">
        <v>45602</v>
      </c>
      <c r="D2169">
        <f t="shared" si="150"/>
        <v>6</v>
      </c>
      <c r="E2169">
        <f t="shared" si="151"/>
        <v>11</v>
      </c>
      <c r="F2169">
        <f t="shared" si="152"/>
        <v>2024</v>
      </c>
      <c r="G2169" t="s">
        <v>56</v>
      </c>
      <c r="H2169" s="98" t="s">
        <v>631</v>
      </c>
      <c r="I2169" s="29">
        <v>81472.45</v>
      </c>
      <c r="J2169" s="12" t="s">
        <v>31</v>
      </c>
      <c r="K2169" s="76">
        <f t="shared" si="154"/>
        <v>81472.45</v>
      </c>
      <c r="L2169">
        <v>1</v>
      </c>
      <c r="M2169" s="29">
        <v>0</v>
      </c>
      <c r="N2169" t="s">
        <v>32</v>
      </c>
      <c r="O2169" t="s">
        <v>33</v>
      </c>
      <c r="P2169" t="s">
        <v>34</v>
      </c>
      <c r="Q2169" t="s">
        <v>34</v>
      </c>
      <c r="R2169" t="s">
        <v>34</v>
      </c>
      <c r="S2169" t="s">
        <v>34</v>
      </c>
      <c r="T2169" s="117">
        <v>0</v>
      </c>
    </row>
    <row r="2170" spans="1:20" x14ac:dyDescent="0.35">
      <c r="A2170" t="s">
        <v>19</v>
      </c>
      <c r="B2170" t="s">
        <v>19</v>
      </c>
      <c r="C2170" s="1">
        <v>45602</v>
      </c>
      <c r="D2170">
        <f t="shared" si="150"/>
        <v>6</v>
      </c>
      <c r="E2170">
        <f t="shared" si="151"/>
        <v>11</v>
      </c>
      <c r="F2170">
        <f t="shared" si="152"/>
        <v>2024</v>
      </c>
      <c r="G2170" t="s">
        <v>125</v>
      </c>
      <c r="H2170" s="98" t="s">
        <v>557</v>
      </c>
      <c r="I2170" s="29">
        <v>109937.85</v>
      </c>
      <c r="J2170" s="12" t="s">
        <v>31</v>
      </c>
      <c r="K2170" s="76">
        <f t="shared" si="154"/>
        <v>109937.85</v>
      </c>
      <c r="L2170">
        <v>1</v>
      </c>
      <c r="M2170" s="29">
        <v>0</v>
      </c>
      <c r="N2170" t="s">
        <v>32</v>
      </c>
      <c r="O2170" t="s">
        <v>33</v>
      </c>
      <c r="P2170" t="s">
        <v>34</v>
      </c>
      <c r="Q2170" t="s">
        <v>34</v>
      </c>
      <c r="R2170" t="s">
        <v>34</v>
      </c>
      <c r="S2170" t="s">
        <v>34</v>
      </c>
      <c r="T2170" s="117">
        <v>0</v>
      </c>
    </row>
    <row r="2171" spans="1:20" x14ac:dyDescent="0.35">
      <c r="A2171" t="s">
        <v>19</v>
      </c>
      <c r="B2171" t="s">
        <v>19</v>
      </c>
      <c r="C2171" s="1">
        <v>45602</v>
      </c>
      <c r="D2171">
        <f t="shared" si="150"/>
        <v>6</v>
      </c>
      <c r="E2171">
        <f t="shared" si="151"/>
        <v>11</v>
      </c>
      <c r="F2171">
        <f t="shared" si="152"/>
        <v>2024</v>
      </c>
      <c r="G2171" t="s">
        <v>45</v>
      </c>
      <c r="H2171" s="98" t="s">
        <v>569</v>
      </c>
      <c r="I2171" s="29">
        <v>54.8</v>
      </c>
      <c r="J2171" s="12" t="s">
        <v>31</v>
      </c>
      <c r="K2171" s="76">
        <f t="shared" si="154"/>
        <v>54.8</v>
      </c>
      <c r="L2171">
        <v>1</v>
      </c>
      <c r="M2171" s="29">
        <v>0</v>
      </c>
      <c r="N2171" t="s">
        <v>32</v>
      </c>
      <c r="O2171" t="s">
        <v>33</v>
      </c>
      <c r="P2171" t="s">
        <v>34</v>
      </c>
      <c r="Q2171" t="s">
        <v>34</v>
      </c>
      <c r="R2171" t="s">
        <v>34</v>
      </c>
      <c r="S2171" t="s">
        <v>34</v>
      </c>
      <c r="T2171" s="117">
        <v>0</v>
      </c>
    </row>
    <row r="2172" spans="1:20" x14ac:dyDescent="0.35">
      <c r="A2172" t="s">
        <v>19</v>
      </c>
      <c r="B2172" t="s">
        <v>19</v>
      </c>
      <c r="C2172" s="1">
        <v>45602</v>
      </c>
      <c r="D2172">
        <f t="shared" si="150"/>
        <v>6</v>
      </c>
      <c r="E2172">
        <f t="shared" si="151"/>
        <v>11</v>
      </c>
      <c r="F2172">
        <f t="shared" si="152"/>
        <v>2024</v>
      </c>
      <c r="G2172" t="s">
        <v>183</v>
      </c>
      <c r="H2172" s="98" t="s">
        <v>632</v>
      </c>
      <c r="I2172" s="29">
        <v>1902.12</v>
      </c>
      <c r="J2172" s="12" t="s">
        <v>31</v>
      </c>
      <c r="K2172" s="76">
        <f t="shared" si="154"/>
        <v>1902.12</v>
      </c>
      <c r="L2172">
        <v>1</v>
      </c>
      <c r="M2172" s="29">
        <v>0</v>
      </c>
      <c r="N2172" t="s">
        <v>42</v>
      </c>
      <c r="O2172" t="s">
        <v>33</v>
      </c>
      <c r="P2172" t="s">
        <v>34</v>
      </c>
      <c r="Q2172" t="s">
        <v>34</v>
      </c>
      <c r="R2172" t="s">
        <v>34</v>
      </c>
      <c r="S2172" t="s">
        <v>34</v>
      </c>
      <c r="T2172" s="117">
        <v>0</v>
      </c>
    </row>
    <row r="2173" spans="1:20" x14ac:dyDescent="0.35">
      <c r="A2173" t="s">
        <v>19</v>
      </c>
      <c r="B2173" t="s">
        <v>19</v>
      </c>
      <c r="C2173" s="1">
        <v>45602</v>
      </c>
      <c r="D2173">
        <f t="shared" si="150"/>
        <v>6</v>
      </c>
      <c r="E2173">
        <f t="shared" si="151"/>
        <v>11</v>
      </c>
      <c r="F2173">
        <f t="shared" si="152"/>
        <v>2024</v>
      </c>
      <c r="G2173" t="s">
        <v>225</v>
      </c>
      <c r="H2173" s="98" t="s">
        <v>633</v>
      </c>
      <c r="I2173" s="29">
        <v>5000</v>
      </c>
      <c r="J2173" s="12" t="s">
        <v>31</v>
      </c>
      <c r="K2173" s="76">
        <f t="shared" si="154"/>
        <v>5000</v>
      </c>
      <c r="L2173">
        <v>1</v>
      </c>
      <c r="M2173" s="29">
        <v>0</v>
      </c>
      <c r="N2173" t="s">
        <v>42</v>
      </c>
      <c r="O2173" t="s">
        <v>33</v>
      </c>
      <c r="P2173" t="s">
        <v>34</v>
      </c>
      <c r="Q2173" t="s">
        <v>34</v>
      </c>
      <c r="R2173" t="s">
        <v>34</v>
      </c>
      <c r="S2173" t="s">
        <v>34</v>
      </c>
      <c r="T2173" s="117">
        <v>0</v>
      </c>
    </row>
    <row r="2174" spans="1:20" x14ac:dyDescent="0.35">
      <c r="A2174" t="s">
        <v>19</v>
      </c>
      <c r="B2174" t="s">
        <v>19</v>
      </c>
      <c r="C2174" s="1">
        <v>45602</v>
      </c>
      <c r="D2174">
        <f t="shared" si="150"/>
        <v>6</v>
      </c>
      <c r="E2174">
        <f t="shared" si="151"/>
        <v>11</v>
      </c>
      <c r="F2174">
        <f t="shared" si="152"/>
        <v>2024</v>
      </c>
      <c r="G2174" t="s">
        <v>225</v>
      </c>
      <c r="H2174" s="98" t="s">
        <v>634</v>
      </c>
      <c r="I2174" s="29">
        <v>5000</v>
      </c>
      <c r="J2174" s="12" t="s">
        <v>31</v>
      </c>
      <c r="K2174" s="76">
        <f t="shared" si="154"/>
        <v>5000</v>
      </c>
      <c r="L2174">
        <v>1</v>
      </c>
      <c r="M2174" s="29">
        <v>0</v>
      </c>
      <c r="N2174" t="s">
        <v>42</v>
      </c>
      <c r="O2174" t="s">
        <v>33</v>
      </c>
      <c r="P2174" t="s">
        <v>34</v>
      </c>
      <c r="Q2174" t="s">
        <v>34</v>
      </c>
      <c r="R2174" t="s">
        <v>34</v>
      </c>
      <c r="S2174" t="s">
        <v>34</v>
      </c>
      <c r="T2174" s="117">
        <v>0</v>
      </c>
    </row>
    <row r="2175" spans="1:20" x14ac:dyDescent="0.35">
      <c r="A2175" t="s">
        <v>19</v>
      </c>
      <c r="B2175" t="s">
        <v>19</v>
      </c>
      <c r="C2175" s="1">
        <v>45602</v>
      </c>
      <c r="D2175">
        <f t="shared" si="150"/>
        <v>6</v>
      </c>
      <c r="E2175">
        <f t="shared" si="151"/>
        <v>11</v>
      </c>
      <c r="F2175">
        <f t="shared" si="152"/>
        <v>2024</v>
      </c>
      <c r="G2175" t="s">
        <v>122</v>
      </c>
      <c r="H2175" s="98" t="s">
        <v>635</v>
      </c>
      <c r="I2175" s="29">
        <v>1402.2</v>
      </c>
      <c r="J2175" s="12" t="s">
        <v>31</v>
      </c>
      <c r="K2175" s="76">
        <f t="shared" si="154"/>
        <v>1402.2</v>
      </c>
      <c r="L2175">
        <v>1</v>
      </c>
      <c r="M2175" s="29">
        <v>0</v>
      </c>
      <c r="N2175" t="s">
        <v>42</v>
      </c>
      <c r="O2175" t="s">
        <v>33</v>
      </c>
      <c r="P2175" t="s">
        <v>34</v>
      </c>
      <c r="Q2175" t="s">
        <v>34</v>
      </c>
      <c r="R2175" t="s">
        <v>34</v>
      </c>
      <c r="S2175" t="s">
        <v>34</v>
      </c>
      <c r="T2175" s="117">
        <v>0</v>
      </c>
    </row>
    <row r="2176" spans="1:20" x14ac:dyDescent="0.35">
      <c r="A2176" t="s">
        <v>19</v>
      </c>
      <c r="B2176" t="s">
        <v>19</v>
      </c>
      <c r="C2176" s="1">
        <v>45602</v>
      </c>
      <c r="D2176">
        <f t="shared" si="150"/>
        <v>6</v>
      </c>
      <c r="E2176">
        <f t="shared" si="151"/>
        <v>11</v>
      </c>
      <c r="F2176">
        <f t="shared" si="152"/>
        <v>2024</v>
      </c>
      <c r="G2176" t="s">
        <v>263</v>
      </c>
      <c r="H2176" s="98" t="s">
        <v>636</v>
      </c>
      <c r="I2176" s="29">
        <v>8761.6</v>
      </c>
      <c r="J2176" s="12" t="s">
        <v>31</v>
      </c>
      <c r="K2176" s="76">
        <f t="shared" si="154"/>
        <v>8761.6</v>
      </c>
      <c r="L2176">
        <v>1</v>
      </c>
      <c r="M2176" s="29">
        <v>0</v>
      </c>
      <c r="N2176" t="s">
        <v>42</v>
      </c>
      <c r="O2176" t="s">
        <v>33</v>
      </c>
      <c r="P2176" t="s">
        <v>34</v>
      </c>
      <c r="Q2176" t="s">
        <v>34</v>
      </c>
      <c r="R2176" t="s">
        <v>34</v>
      </c>
      <c r="S2176" t="s">
        <v>34</v>
      </c>
      <c r="T2176" s="117">
        <v>0</v>
      </c>
    </row>
    <row r="2177" spans="1:21" x14ac:dyDescent="0.35">
      <c r="A2177" t="s">
        <v>19</v>
      </c>
      <c r="B2177" t="s">
        <v>19</v>
      </c>
      <c r="C2177" s="1">
        <v>45602</v>
      </c>
      <c r="D2177">
        <f t="shared" si="150"/>
        <v>6</v>
      </c>
      <c r="E2177">
        <f t="shared" si="151"/>
        <v>11</v>
      </c>
      <c r="F2177">
        <f t="shared" si="152"/>
        <v>2024</v>
      </c>
      <c r="G2177" t="s">
        <v>183</v>
      </c>
      <c r="H2177" s="98" t="s">
        <v>637</v>
      </c>
      <c r="I2177" s="29">
        <v>1215</v>
      </c>
      <c r="J2177" s="12" t="s">
        <v>31</v>
      </c>
      <c r="K2177" s="76">
        <f t="shared" si="154"/>
        <v>1215</v>
      </c>
      <c r="L2177">
        <v>1</v>
      </c>
      <c r="M2177" s="29">
        <v>0</v>
      </c>
      <c r="N2177" t="s">
        <v>42</v>
      </c>
      <c r="O2177" t="s">
        <v>33</v>
      </c>
      <c r="P2177" t="s">
        <v>34</v>
      </c>
      <c r="Q2177" t="s">
        <v>34</v>
      </c>
      <c r="R2177" t="s">
        <v>34</v>
      </c>
      <c r="S2177" t="s">
        <v>34</v>
      </c>
      <c r="T2177" s="117">
        <v>0</v>
      </c>
    </row>
    <row r="2178" spans="1:21" x14ac:dyDescent="0.35">
      <c r="A2178" t="s">
        <v>19</v>
      </c>
      <c r="B2178" t="s">
        <v>19</v>
      </c>
      <c r="C2178" s="1">
        <v>45602</v>
      </c>
      <c r="D2178">
        <f t="shared" si="150"/>
        <v>6</v>
      </c>
      <c r="E2178">
        <f t="shared" si="151"/>
        <v>11</v>
      </c>
      <c r="F2178">
        <f t="shared" si="152"/>
        <v>2024</v>
      </c>
      <c r="G2178" t="s">
        <v>183</v>
      </c>
      <c r="H2178" s="98" t="s">
        <v>638</v>
      </c>
      <c r="I2178" s="29">
        <v>3780</v>
      </c>
      <c r="J2178" s="12" t="s">
        <v>31</v>
      </c>
      <c r="K2178" s="76">
        <f t="shared" si="154"/>
        <v>3780</v>
      </c>
      <c r="L2178">
        <v>1</v>
      </c>
      <c r="M2178" s="29">
        <v>0</v>
      </c>
      <c r="N2178" t="s">
        <v>42</v>
      </c>
      <c r="O2178" t="s">
        <v>33</v>
      </c>
      <c r="P2178" t="s">
        <v>34</v>
      </c>
      <c r="Q2178" t="s">
        <v>34</v>
      </c>
      <c r="R2178" t="s">
        <v>34</v>
      </c>
      <c r="S2178" t="s">
        <v>34</v>
      </c>
      <c r="T2178" s="117">
        <v>0</v>
      </c>
    </row>
    <row r="2179" spans="1:21" x14ac:dyDescent="0.35">
      <c r="A2179" t="s">
        <v>19</v>
      </c>
      <c r="B2179" t="s">
        <v>19</v>
      </c>
      <c r="C2179" s="1">
        <v>45602</v>
      </c>
      <c r="D2179">
        <f t="shared" ref="D2179:D2242" si="155">DAY(C2179)</f>
        <v>6</v>
      </c>
      <c r="E2179">
        <f t="shared" ref="E2179:E2242" si="156">MONTH(C2179)</f>
        <v>11</v>
      </c>
      <c r="F2179">
        <f t="shared" ref="F2179:F2242" si="157">YEAR(C2179)</f>
        <v>2024</v>
      </c>
      <c r="G2179" t="s">
        <v>183</v>
      </c>
      <c r="H2179" s="98" t="s">
        <v>639</v>
      </c>
      <c r="I2179" s="29">
        <v>984</v>
      </c>
      <c r="J2179" s="12" t="s">
        <v>31</v>
      </c>
      <c r="K2179" s="76">
        <f t="shared" ref="K2179:K2202" si="158">IF(J2179="USD",I2179,I2179*L2179)</f>
        <v>984</v>
      </c>
      <c r="L2179">
        <v>1</v>
      </c>
      <c r="M2179" s="29">
        <v>0</v>
      </c>
      <c r="N2179" t="s">
        <v>42</v>
      </c>
      <c r="O2179" t="s">
        <v>33</v>
      </c>
      <c r="P2179" t="s">
        <v>34</v>
      </c>
      <c r="Q2179" t="s">
        <v>34</v>
      </c>
      <c r="R2179" t="s">
        <v>34</v>
      </c>
      <c r="S2179" t="s">
        <v>34</v>
      </c>
      <c r="T2179" s="117">
        <v>0</v>
      </c>
    </row>
    <row r="2180" spans="1:21" x14ac:dyDescent="0.35">
      <c r="A2180" t="s">
        <v>19</v>
      </c>
      <c r="B2180" t="s">
        <v>19</v>
      </c>
      <c r="C2180" s="1">
        <v>45602</v>
      </c>
      <c r="D2180">
        <f t="shared" si="155"/>
        <v>6</v>
      </c>
      <c r="E2180">
        <f t="shared" si="156"/>
        <v>11</v>
      </c>
      <c r="F2180">
        <f t="shared" si="157"/>
        <v>2024</v>
      </c>
      <c r="G2180" t="s">
        <v>265</v>
      </c>
      <c r="H2180" s="98" t="s">
        <v>640</v>
      </c>
      <c r="I2180" s="29">
        <v>3140</v>
      </c>
      <c r="J2180" s="12" t="s">
        <v>31</v>
      </c>
      <c r="K2180" s="76">
        <f t="shared" si="158"/>
        <v>3140</v>
      </c>
      <c r="L2180">
        <v>1</v>
      </c>
      <c r="M2180" s="29">
        <v>0</v>
      </c>
      <c r="N2180" t="s">
        <v>42</v>
      </c>
      <c r="O2180" t="s">
        <v>33</v>
      </c>
      <c r="P2180" t="s">
        <v>34</v>
      </c>
      <c r="Q2180" t="s">
        <v>34</v>
      </c>
      <c r="R2180" t="s">
        <v>34</v>
      </c>
      <c r="S2180" t="s">
        <v>34</v>
      </c>
      <c r="T2180" s="117">
        <v>0</v>
      </c>
    </row>
    <row r="2181" spans="1:21" x14ac:dyDescent="0.35">
      <c r="A2181" t="s">
        <v>19</v>
      </c>
      <c r="B2181" t="s">
        <v>19</v>
      </c>
      <c r="C2181" s="1">
        <v>45602</v>
      </c>
      <c r="D2181">
        <f t="shared" si="155"/>
        <v>6</v>
      </c>
      <c r="E2181">
        <f t="shared" si="156"/>
        <v>11</v>
      </c>
      <c r="F2181">
        <f t="shared" si="157"/>
        <v>2024</v>
      </c>
      <c r="G2181" t="s">
        <v>57</v>
      </c>
      <c r="H2181" s="171" t="s">
        <v>641</v>
      </c>
      <c r="I2181" s="90">
        <v>67207.649999999994</v>
      </c>
      <c r="J2181" s="12" t="s">
        <v>31</v>
      </c>
      <c r="K2181" s="76">
        <f t="shared" si="158"/>
        <v>67207.649999999994</v>
      </c>
      <c r="L2181">
        <v>1</v>
      </c>
      <c r="M2181" s="29">
        <v>0</v>
      </c>
      <c r="N2181" t="s">
        <v>32</v>
      </c>
      <c r="O2181" t="s">
        <v>33</v>
      </c>
      <c r="P2181" t="s">
        <v>34</v>
      </c>
      <c r="Q2181" t="s">
        <v>34</v>
      </c>
      <c r="R2181" t="s">
        <v>34</v>
      </c>
      <c r="S2181" t="s">
        <v>34</v>
      </c>
      <c r="T2181" s="117">
        <v>0</v>
      </c>
    </row>
    <row r="2182" spans="1:21" x14ac:dyDescent="0.35">
      <c r="A2182" t="s">
        <v>19</v>
      </c>
      <c r="B2182" t="s">
        <v>19</v>
      </c>
      <c r="C2182" s="1">
        <v>45602</v>
      </c>
      <c r="D2182">
        <f t="shared" si="155"/>
        <v>6</v>
      </c>
      <c r="E2182">
        <f t="shared" si="156"/>
        <v>11</v>
      </c>
      <c r="F2182">
        <f t="shared" si="157"/>
        <v>2024</v>
      </c>
      <c r="G2182" t="s">
        <v>57</v>
      </c>
      <c r="H2182" s="171" t="s">
        <v>642</v>
      </c>
      <c r="I2182" s="90">
        <v>106086.75</v>
      </c>
      <c r="J2182" s="12" t="s">
        <v>31</v>
      </c>
      <c r="K2182" s="76">
        <f t="shared" si="158"/>
        <v>106086.75</v>
      </c>
      <c r="L2182">
        <v>1</v>
      </c>
      <c r="M2182" s="29">
        <v>0</v>
      </c>
      <c r="N2182" t="s">
        <v>32</v>
      </c>
      <c r="O2182" t="s">
        <v>33</v>
      </c>
      <c r="P2182" t="s">
        <v>34</v>
      </c>
      <c r="Q2182" t="s">
        <v>34</v>
      </c>
      <c r="R2182" t="s">
        <v>34</v>
      </c>
      <c r="S2182" t="s">
        <v>34</v>
      </c>
      <c r="T2182" s="117">
        <v>0</v>
      </c>
    </row>
    <row r="2183" spans="1:21" x14ac:dyDescent="0.35">
      <c r="A2183" t="s">
        <v>19</v>
      </c>
      <c r="B2183" t="s">
        <v>26</v>
      </c>
      <c r="C2183" s="1">
        <v>45603</v>
      </c>
      <c r="D2183">
        <f t="shared" si="155"/>
        <v>7</v>
      </c>
      <c r="E2183">
        <f t="shared" si="156"/>
        <v>11</v>
      </c>
      <c r="F2183">
        <f t="shared" si="157"/>
        <v>2024</v>
      </c>
      <c r="G2183" t="s">
        <v>73</v>
      </c>
      <c r="H2183" s="98">
        <v>11546</v>
      </c>
      <c r="I2183" s="29">
        <v>66826.320000000007</v>
      </c>
      <c r="J2183" s="12" t="s">
        <v>51</v>
      </c>
      <c r="K2183" s="76">
        <f t="shared" si="158"/>
        <v>72392.952455999999</v>
      </c>
      <c r="L2183">
        <v>1.0832999999999999</v>
      </c>
      <c r="M2183" s="29">
        <v>0</v>
      </c>
      <c r="N2183" t="s">
        <v>32</v>
      </c>
      <c r="O2183" t="s">
        <v>33</v>
      </c>
      <c r="P2183" t="s">
        <v>34</v>
      </c>
      <c r="Q2183" t="s">
        <v>34</v>
      </c>
      <c r="R2183" t="s">
        <v>34</v>
      </c>
      <c r="S2183" t="s">
        <v>34</v>
      </c>
      <c r="T2183" s="117">
        <v>0</v>
      </c>
      <c r="U2183" s="209" t="s">
        <v>94</v>
      </c>
    </row>
    <row r="2184" spans="1:21" x14ac:dyDescent="0.35">
      <c r="A2184" t="s">
        <v>19</v>
      </c>
      <c r="B2184" t="s">
        <v>26</v>
      </c>
      <c r="C2184" s="1">
        <v>45603</v>
      </c>
      <c r="D2184">
        <f t="shared" si="155"/>
        <v>7</v>
      </c>
      <c r="E2184">
        <f t="shared" si="156"/>
        <v>11</v>
      </c>
      <c r="F2184">
        <f t="shared" si="157"/>
        <v>2024</v>
      </c>
      <c r="G2184" t="s">
        <v>73</v>
      </c>
      <c r="H2184" s="98">
        <v>11552</v>
      </c>
      <c r="I2184" s="29">
        <v>1072.27</v>
      </c>
      <c r="J2184" s="12" t="s">
        <v>51</v>
      </c>
      <c r="K2184" s="76">
        <f t="shared" si="158"/>
        <v>1161.5900909999998</v>
      </c>
      <c r="L2184">
        <v>1.0832999999999999</v>
      </c>
      <c r="M2184" s="29">
        <v>0</v>
      </c>
      <c r="N2184" t="s">
        <v>32</v>
      </c>
      <c r="O2184" t="s">
        <v>33</v>
      </c>
      <c r="P2184" t="s">
        <v>34</v>
      </c>
      <c r="Q2184" t="s">
        <v>34</v>
      </c>
      <c r="R2184" t="s">
        <v>34</v>
      </c>
      <c r="S2184" t="s">
        <v>34</v>
      </c>
      <c r="T2184" s="117">
        <v>0</v>
      </c>
      <c r="U2184" s="209" t="s">
        <v>94</v>
      </c>
    </row>
    <row r="2185" spans="1:21" x14ac:dyDescent="0.35">
      <c r="A2185" t="s">
        <v>19</v>
      </c>
      <c r="B2185" t="s">
        <v>26</v>
      </c>
      <c r="C2185" s="1">
        <v>45603</v>
      </c>
      <c r="D2185">
        <f t="shared" si="155"/>
        <v>7</v>
      </c>
      <c r="E2185">
        <f t="shared" si="156"/>
        <v>11</v>
      </c>
      <c r="F2185">
        <f t="shared" si="157"/>
        <v>2024</v>
      </c>
      <c r="G2185" t="s">
        <v>73</v>
      </c>
      <c r="H2185" s="98">
        <v>11558</v>
      </c>
      <c r="I2185" s="29">
        <v>48929.59</v>
      </c>
      <c r="J2185" s="12" t="s">
        <v>51</v>
      </c>
      <c r="K2185" s="76">
        <f t="shared" si="158"/>
        <v>53005.424846999995</v>
      </c>
      <c r="L2185">
        <v>1.0832999999999999</v>
      </c>
      <c r="M2185" s="29">
        <v>0</v>
      </c>
      <c r="N2185" t="s">
        <v>32</v>
      </c>
      <c r="O2185" t="s">
        <v>33</v>
      </c>
      <c r="P2185" t="s">
        <v>34</v>
      </c>
      <c r="Q2185" t="s">
        <v>34</v>
      </c>
      <c r="R2185" t="s">
        <v>34</v>
      </c>
      <c r="S2185" t="s">
        <v>34</v>
      </c>
      <c r="T2185" s="117">
        <v>0</v>
      </c>
      <c r="U2185" s="209" t="s">
        <v>94</v>
      </c>
    </row>
    <row r="2186" spans="1:21" x14ac:dyDescent="0.35">
      <c r="A2186" t="s">
        <v>19</v>
      </c>
      <c r="B2186" t="s">
        <v>26</v>
      </c>
      <c r="C2186" s="1">
        <v>45603</v>
      </c>
      <c r="D2186">
        <f t="shared" si="155"/>
        <v>7</v>
      </c>
      <c r="E2186">
        <f t="shared" si="156"/>
        <v>11</v>
      </c>
      <c r="F2186">
        <f t="shared" si="157"/>
        <v>2024</v>
      </c>
      <c r="G2186" t="s">
        <v>187</v>
      </c>
      <c r="H2186" s="98">
        <v>0</v>
      </c>
      <c r="I2186" s="29">
        <v>23396.5</v>
      </c>
      <c r="J2186" s="12" t="s">
        <v>51</v>
      </c>
      <c r="K2186" s="76">
        <f t="shared" si="158"/>
        <v>25345.428449999999</v>
      </c>
      <c r="L2186">
        <v>1.0832999999999999</v>
      </c>
      <c r="M2186" s="29">
        <v>0</v>
      </c>
      <c r="N2186" t="s">
        <v>32</v>
      </c>
      <c r="O2186" t="s">
        <v>33</v>
      </c>
      <c r="P2186" t="s">
        <v>34</v>
      </c>
      <c r="Q2186" t="s">
        <v>34</v>
      </c>
      <c r="R2186" t="s">
        <v>34</v>
      </c>
      <c r="S2186" t="s">
        <v>34</v>
      </c>
      <c r="T2186" s="117">
        <v>0</v>
      </c>
      <c r="U2186" s="209" t="s">
        <v>94</v>
      </c>
    </row>
    <row r="2187" spans="1:21" x14ac:dyDescent="0.35">
      <c r="A2187" t="s">
        <v>19</v>
      </c>
      <c r="B2187" t="s">
        <v>25</v>
      </c>
      <c r="C2187" s="1">
        <v>45609</v>
      </c>
      <c r="D2187">
        <f t="shared" si="155"/>
        <v>13</v>
      </c>
      <c r="E2187">
        <f t="shared" si="156"/>
        <v>11</v>
      </c>
      <c r="F2187">
        <f t="shared" si="157"/>
        <v>2024</v>
      </c>
      <c r="G2187" t="s">
        <v>80</v>
      </c>
      <c r="H2187" s="98">
        <v>10958</v>
      </c>
      <c r="I2187" s="29">
        <v>20827.5</v>
      </c>
      <c r="J2187" s="12" t="s">
        <v>31</v>
      </c>
      <c r="K2187" s="76">
        <f t="shared" si="158"/>
        <v>20827.5</v>
      </c>
      <c r="L2187">
        <v>1</v>
      </c>
      <c r="M2187" s="29">
        <v>0</v>
      </c>
      <c r="N2187" t="s">
        <v>42</v>
      </c>
      <c r="O2187" t="s">
        <v>33</v>
      </c>
      <c r="P2187" t="s">
        <v>34</v>
      </c>
      <c r="Q2187" t="s">
        <v>34</v>
      </c>
      <c r="R2187" t="s">
        <v>34</v>
      </c>
      <c r="S2187" t="s">
        <v>34</v>
      </c>
      <c r="T2187" s="117">
        <v>0</v>
      </c>
    </row>
    <row r="2188" spans="1:21" x14ac:dyDescent="0.35">
      <c r="A2188" t="s">
        <v>19</v>
      </c>
      <c r="B2188" t="s">
        <v>27</v>
      </c>
      <c r="C2188" s="1">
        <v>45609</v>
      </c>
      <c r="D2188">
        <f t="shared" si="155"/>
        <v>13</v>
      </c>
      <c r="E2188">
        <f t="shared" si="156"/>
        <v>11</v>
      </c>
      <c r="F2188">
        <f t="shared" si="157"/>
        <v>2024</v>
      </c>
      <c r="G2188" t="s">
        <v>100</v>
      </c>
      <c r="H2188" s="98">
        <v>11109</v>
      </c>
      <c r="I2188" s="29">
        <v>150000</v>
      </c>
      <c r="J2188" s="12" t="s">
        <v>31</v>
      </c>
      <c r="K2188" s="76">
        <f t="shared" si="158"/>
        <v>150000</v>
      </c>
      <c r="L2188">
        <v>1</v>
      </c>
      <c r="M2188" s="29">
        <v>0</v>
      </c>
      <c r="N2188" t="s">
        <v>32</v>
      </c>
      <c r="O2188" t="s">
        <v>33</v>
      </c>
      <c r="P2188" t="s">
        <v>34</v>
      </c>
      <c r="Q2188" t="s">
        <v>34</v>
      </c>
      <c r="R2188" t="s">
        <v>34</v>
      </c>
      <c r="S2188" t="s">
        <v>34</v>
      </c>
      <c r="T2188" s="117">
        <v>0</v>
      </c>
    </row>
    <row r="2189" spans="1:21" x14ac:dyDescent="0.35">
      <c r="A2189" t="s">
        <v>19</v>
      </c>
      <c r="B2189" t="s">
        <v>19</v>
      </c>
      <c r="C2189" s="1">
        <v>45609</v>
      </c>
      <c r="D2189">
        <f t="shared" si="155"/>
        <v>13</v>
      </c>
      <c r="E2189">
        <f t="shared" si="156"/>
        <v>11</v>
      </c>
      <c r="F2189">
        <f t="shared" si="157"/>
        <v>2024</v>
      </c>
      <c r="G2189" t="s">
        <v>213</v>
      </c>
      <c r="H2189" s="98" t="s">
        <v>654</v>
      </c>
      <c r="I2189" s="29">
        <v>160861.07</v>
      </c>
      <c r="J2189" s="12" t="s">
        <v>31</v>
      </c>
      <c r="K2189" s="76">
        <f t="shared" si="158"/>
        <v>160861.07</v>
      </c>
      <c r="L2189">
        <v>1</v>
      </c>
      <c r="M2189" s="29">
        <v>0</v>
      </c>
      <c r="N2189" t="s">
        <v>32</v>
      </c>
      <c r="O2189" t="s">
        <v>33</v>
      </c>
      <c r="P2189" t="s">
        <v>34</v>
      </c>
      <c r="Q2189" t="s">
        <v>34</v>
      </c>
      <c r="R2189" t="s">
        <v>34</v>
      </c>
      <c r="S2189" t="s">
        <v>34</v>
      </c>
      <c r="T2189" s="117">
        <v>0</v>
      </c>
    </row>
    <row r="2190" spans="1:21" x14ac:dyDescent="0.35">
      <c r="A2190" t="s">
        <v>19</v>
      </c>
      <c r="B2190" t="s">
        <v>19</v>
      </c>
      <c r="C2190" s="1">
        <v>45609</v>
      </c>
      <c r="D2190">
        <f t="shared" si="155"/>
        <v>13</v>
      </c>
      <c r="E2190">
        <f t="shared" si="156"/>
        <v>11</v>
      </c>
      <c r="F2190">
        <f t="shared" si="157"/>
        <v>2024</v>
      </c>
      <c r="G2190" t="s">
        <v>125</v>
      </c>
      <c r="H2190" s="98" t="s">
        <v>655</v>
      </c>
      <c r="I2190" s="29">
        <v>109594.1</v>
      </c>
      <c r="J2190" s="12" t="s">
        <v>31</v>
      </c>
      <c r="K2190" s="76">
        <f t="shared" si="158"/>
        <v>109594.1</v>
      </c>
      <c r="L2190">
        <v>1</v>
      </c>
      <c r="M2190" s="29">
        <v>0</v>
      </c>
      <c r="N2190" t="s">
        <v>32</v>
      </c>
      <c r="O2190" t="s">
        <v>33</v>
      </c>
      <c r="P2190" t="s">
        <v>34</v>
      </c>
      <c r="Q2190" t="s">
        <v>34</v>
      </c>
      <c r="R2190" t="s">
        <v>34</v>
      </c>
      <c r="S2190" t="s">
        <v>34</v>
      </c>
      <c r="T2190" s="117">
        <v>0</v>
      </c>
    </row>
    <row r="2191" spans="1:21" x14ac:dyDescent="0.35">
      <c r="A2191" t="s">
        <v>19</v>
      </c>
      <c r="B2191" t="s">
        <v>19</v>
      </c>
      <c r="C2191" s="1">
        <v>45609</v>
      </c>
      <c r="D2191">
        <f t="shared" si="155"/>
        <v>13</v>
      </c>
      <c r="E2191">
        <f t="shared" si="156"/>
        <v>11</v>
      </c>
      <c r="F2191">
        <f t="shared" si="157"/>
        <v>2024</v>
      </c>
      <c r="G2191" t="s">
        <v>130</v>
      </c>
      <c r="H2191" s="98" t="s">
        <v>656</v>
      </c>
      <c r="I2191" s="29">
        <v>38447.15</v>
      </c>
      <c r="J2191" s="12" t="s">
        <v>31</v>
      </c>
      <c r="K2191" s="76">
        <f t="shared" si="158"/>
        <v>38447.15</v>
      </c>
      <c r="L2191">
        <v>1</v>
      </c>
      <c r="M2191" s="29">
        <v>0</v>
      </c>
      <c r="N2191" t="s">
        <v>32</v>
      </c>
      <c r="O2191" t="s">
        <v>33</v>
      </c>
      <c r="P2191" t="s">
        <v>34</v>
      </c>
      <c r="Q2191" t="s">
        <v>34</v>
      </c>
      <c r="R2191" t="s">
        <v>34</v>
      </c>
      <c r="S2191" t="s">
        <v>34</v>
      </c>
      <c r="T2191" s="117">
        <v>0</v>
      </c>
    </row>
    <row r="2192" spans="1:21" x14ac:dyDescent="0.35">
      <c r="A2192" t="s">
        <v>19</v>
      </c>
      <c r="B2192" t="s">
        <v>19</v>
      </c>
      <c r="C2192" s="1">
        <v>45609</v>
      </c>
      <c r="D2192">
        <f t="shared" si="155"/>
        <v>13</v>
      </c>
      <c r="E2192">
        <f t="shared" si="156"/>
        <v>11</v>
      </c>
      <c r="F2192">
        <f t="shared" si="157"/>
        <v>2024</v>
      </c>
      <c r="G2192" t="s">
        <v>106</v>
      </c>
      <c r="H2192" s="98" t="s">
        <v>626</v>
      </c>
      <c r="I2192" s="29">
        <v>109754.36</v>
      </c>
      <c r="J2192" s="12" t="s">
        <v>31</v>
      </c>
      <c r="K2192" s="76">
        <f t="shared" si="158"/>
        <v>109754.36</v>
      </c>
      <c r="L2192">
        <v>1</v>
      </c>
      <c r="M2192" s="29">
        <v>0</v>
      </c>
      <c r="N2192" t="s">
        <v>32</v>
      </c>
      <c r="O2192" t="s">
        <v>33</v>
      </c>
      <c r="P2192" t="s">
        <v>34</v>
      </c>
      <c r="Q2192" t="s">
        <v>34</v>
      </c>
      <c r="R2192" t="s">
        <v>34</v>
      </c>
      <c r="S2192" t="s">
        <v>34</v>
      </c>
      <c r="T2192" s="117">
        <v>0</v>
      </c>
    </row>
    <row r="2193" spans="1:21" x14ac:dyDescent="0.35">
      <c r="A2193" t="s">
        <v>19</v>
      </c>
      <c r="B2193" t="s">
        <v>19</v>
      </c>
      <c r="C2193" s="1">
        <v>45609</v>
      </c>
      <c r="D2193">
        <f t="shared" si="155"/>
        <v>13</v>
      </c>
      <c r="E2193">
        <f t="shared" si="156"/>
        <v>11</v>
      </c>
      <c r="F2193">
        <f t="shared" si="157"/>
        <v>2024</v>
      </c>
      <c r="G2193" t="s">
        <v>106</v>
      </c>
      <c r="H2193" s="98" t="s">
        <v>657</v>
      </c>
      <c r="I2193" s="29">
        <v>78642.89</v>
      </c>
      <c r="J2193" s="12" t="s">
        <v>31</v>
      </c>
      <c r="K2193" s="76">
        <f t="shared" si="158"/>
        <v>78642.89</v>
      </c>
      <c r="L2193">
        <v>1</v>
      </c>
      <c r="M2193" s="29">
        <v>0</v>
      </c>
      <c r="N2193" t="s">
        <v>32</v>
      </c>
      <c r="O2193" t="s">
        <v>33</v>
      </c>
      <c r="P2193" t="s">
        <v>34</v>
      </c>
      <c r="Q2193" t="s">
        <v>34</v>
      </c>
      <c r="R2193" t="s">
        <v>34</v>
      </c>
      <c r="S2193" t="s">
        <v>34</v>
      </c>
      <c r="T2193" s="117">
        <v>0</v>
      </c>
    </row>
    <row r="2194" spans="1:21" x14ac:dyDescent="0.35">
      <c r="A2194" t="s">
        <v>20</v>
      </c>
      <c r="B2194" t="s">
        <v>25</v>
      </c>
      <c r="C2194" s="1">
        <v>45609</v>
      </c>
      <c r="D2194">
        <f t="shared" si="155"/>
        <v>13</v>
      </c>
      <c r="E2194">
        <f t="shared" si="156"/>
        <v>11</v>
      </c>
      <c r="F2194">
        <f t="shared" si="157"/>
        <v>2024</v>
      </c>
      <c r="G2194" t="s">
        <v>566</v>
      </c>
      <c r="H2194" s="98">
        <v>11595</v>
      </c>
      <c r="I2194" s="29">
        <v>3661</v>
      </c>
      <c r="J2194" s="12" t="s">
        <v>31</v>
      </c>
      <c r="K2194" s="76">
        <f t="shared" si="158"/>
        <v>3661</v>
      </c>
      <c r="L2194">
        <v>1</v>
      </c>
      <c r="M2194" s="29">
        <v>0</v>
      </c>
      <c r="N2194" t="s">
        <v>42</v>
      </c>
      <c r="O2194" t="s">
        <v>33</v>
      </c>
      <c r="P2194" t="s">
        <v>34</v>
      </c>
      <c r="Q2194" t="s">
        <v>34</v>
      </c>
      <c r="R2194" t="s">
        <v>34</v>
      </c>
      <c r="S2194" t="s">
        <v>34</v>
      </c>
      <c r="T2194" s="117">
        <v>0</v>
      </c>
    </row>
    <row r="2195" spans="1:21" x14ac:dyDescent="0.35">
      <c r="A2195" t="s">
        <v>20</v>
      </c>
      <c r="B2195" t="s">
        <v>21</v>
      </c>
      <c r="C2195" s="1">
        <v>45609</v>
      </c>
      <c r="D2195">
        <f t="shared" si="155"/>
        <v>13</v>
      </c>
      <c r="E2195">
        <f t="shared" si="156"/>
        <v>11</v>
      </c>
      <c r="F2195">
        <f t="shared" si="157"/>
        <v>2024</v>
      </c>
      <c r="G2195" t="s">
        <v>50</v>
      </c>
      <c r="H2195" s="98">
        <v>11206</v>
      </c>
      <c r="I2195" s="29">
        <v>1264.8</v>
      </c>
      <c r="J2195" s="12" t="s">
        <v>31</v>
      </c>
      <c r="K2195" s="76">
        <f t="shared" si="158"/>
        <v>1264.8</v>
      </c>
      <c r="L2195">
        <v>1</v>
      </c>
      <c r="M2195" s="29">
        <v>0</v>
      </c>
      <c r="N2195" t="s">
        <v>42</v>
      </c>
      <c r="O2195" t="s">
        <v>33</v>
      </c>
      <c r="P2195" t="s">
        <v>34</v>
      </c>
      <c r="Q2195" t="s">
        <v>34</v>
      </c>
      <c r="R2195" t="s">
        <v>34</v>
      </c>
      <c r="S2195" t="s">
        <v>34</v>
      </c>
      <c r="T2195" s="117">
        <v>0</v>
      </c>
    </row>
    <row r="2196" spans="1:21" x14ac:dyDescent="0.35">
      <c r="A2196" t="s">
        <v>20</v>
      </c>
      <c r="B2196" t="s">
        <v>25</v>
      </c>
      <c r="C2196" s="1">
        <v>45609</v>
      </c>
      <c r="D2196">
        <f t="shared" si="155"/>
        <v>13</v>
      </c>
      <c r="E2196">
        <f t="shared" si="156"/>
        <v>11</v>
      </c>
      <c r="F2196">
        <f t="shared" si="157"/>
        <v>2024</v>
      </c>
      <c r="G2196" t="s">
        <v>321</v>
      </c>
      <c r="H2196" s="98">
        <v>11274</v>
      </c>
      <c r="I2196" s="29">
        <v>16677</v>
      </c>
      <c r="J2196" s="12" t="s">
        <v>31</v>
      </c>
      <c r="K2196" s="76">
        <f t="shared" si="158"/>
        <v>16677</v>
      </c>
      <c r="L2196">
        <v>1</v>
      </c>
      <c r="M2196" s="29">
        <v>0</v>
      </c>
      <c r="N2196" t="s">
        <v>42</v>
      </c>
      <c r="O2196" t="s">
        <v>33</v>
      </c>
      <c r="P2196" t="s">
        <v>34</v>
      </c>
      <c r="Q2196" t="s">
        <v>34</v>
      </c>
      <c r="R2196" t="s">
        <v>34</v>
      </c>
      <c r="S2196" t="s">
        <v>34</v>
      </c>
      <c r="T2196" s="117">
        <v>0</v>
      </c>
    </row>
    <row r="2197" spans="1:21" x14ac:dyDescent="0.35">
      <c r="A2197" t="s">
        <v>20</v>
      </c>
      <c r="B2197" t="s">
        <v>23</v>
      </c>
      <c r="C2197" s="1">
        <v>45609</v>
      </c>
      <c r="D2197">
        <f t="shared" si="155"/>
        <v>13</v>
      </c>
      <c r="E2197">
        <f t="shared" si="156"/>
        <v>11</v>
      </c>
      <c r="F2197">
        <f t="shared" si="157"/>
        <v>2024</v>
      </c>
      <c r="G2197" t="s">
        <v>121</v>
      </c>
      <c r="H2197" s="98">
        <v>10293</v>
      </c>
      <c r="I2197" s="29">
        <v>85</v>
      </c>
      <c r="J2197" s="12" t="s">
        <v>31</v>
      </c>
      <c r="K2197" s="76">
        <f t="shared" si="158"/>
        <v>85</v>
      </c>
      <c r="L2197">
        <v>1</v>
      </c>
      <c r="M2197" s="29">
        <v>0</v>
      </c>
      <c r="N2197" t="s">
        <v>32</v>
      </c>
      <c r="O2197" t="s">
        <v>33</v>
      </c>
      <c r="P2197" t="s">
        <v>34</v>
      </c>
      <c r="Q2197" t="s">
        <v>34</v>
      </c>
      <c r="R2197" t="s">
        <v>34</v>
      </c>
      <c r="S2197" t="s">
        <v>34</v>
      </c>
      <c r="T2197" s="117">
        <v>0</v>
      </c>
    </row>
    <row r="2198" spans="1:21" x14ac:dyDescent="0.35">
      <c r="A2198" t="s">
        <v>20</v>
      </c>
      <c r="B2198" t="s">
        <v>23</v>
      </c>
      <c r="C2198" s="1">
        <v>45609</v>
      </c>
      <c r="D2198">
        <f t="shared" si="155"/>
        <v>13</v>
      </c>
      <c r="E2198">
        <f t="shared" si="156"/>
        <v>11</v>
      </c>
      <c r="F2198">
        <f t="shared" si="157"/>
        <v>2024</v>
      </c>
      <c r="G2198" t="s">
        <v>121</v>
      </c>
      <c r="H2198" s="98">
        <v>10625</v>
      </c>
      <c r="I2198" s="29">
        <v>40313.480000000003</v>
      </c>
      <c r="J2198" s="12" t="s">
        <v>31</v>
      </c>
      <c r="K2198" s="76">
        <f t="shared" si="158"/>
        <v>40313.480000000003</v>
      </c>
      <c r="L2198">
        <v>1</v>
      </c>
      <c r="M2198" s="29">
        <v>0</v>
      </c>
      <c r="N2198" t="s">
        <v>32</v>
      </c>
      <c r="O2198" t="s">
        <v>33</v>
      </c>
      <c r="P2198" t="s">
        <v>34</v>
      </c>
      <c r="Q2198" t="s">
        <v>34</v>
      </c>
      <c r="R2198" t="s">
        <v>34</v>
      </c>
      <c r="S2198" t="s">
        <v>34</v>
      </c>
      <c r="T2198" s="117">
        <v>0</v>
      </c>
    </row>
    <row r="2199" spans="1:21" x14ac:dyDescent="0.35">
      <c r="A2199" t="s">
        <v>20</v>
      </c>
      <c r="B2199" t="s">
        <v>25</v>
      </c>
      <c r="C2199" s="1">
        <v>45609</v>
      </c>
      <c r="D2199">
        <f t="shared" si="155"/>
        <v>13</v>
      </c>
      <c r="E2199">
        <f t="shared" si="156"/>
        <v>11</v>
      </c>
      <c r="F2199">
        <f t="shared" si="157"/>
        <v>2024</v>
      </c>
      <c r="G2199" t="s">
        <v>43</v>
      </c>
      <c r="H2199" s="98">
        <v>11394</v>
      </c>
      <c r="I2199" s="29">
        <v>870</v>
      </c>
      <c r="J2199" s="12" t="s">
        <v>31</v>
      </c>
      <c r="K2199" s="76">
        <f t="shared" si="158"/>
        <v>870</v>
      </c>
      <c r="L2199">
        <v>1</v>
      </c>
      <c r="M2199" s="29">
        <v>0</v>
      </c>
      <c r="N2199" t="s">
        <v>32</v>
      </c>
      <c r="O2199" t="s">
        <v>33</v>
      </c>
      <c r="P2199" t="s">
        <v>34</v>
      </c>
      <c r="Q2199" t="s">
        <v>34</v>
      </c>
      <c r="R2199" t="s">
        <v>34</v>
      </c>
      <c r="S2199" t="s">
        <v>34</v>
      </c>
      <c r="T2199" s="117">
        <v>0</v>
      </c>
    </row>
    <row r="2200" spans="1:21" x14ac:dyDescent="0.35">
      <c r="A2200" t="s">
        <v>20</v>
      </c>
      <c r="B2200" t="s">
        <v>24</v>
      </c>
      <c r="C2200" s="1">
        <v>45609</v>
      </c>
      <c r="D2200">
        <f t="shared" si="155"/>
        <v>13</v>
      </c>
      <c r="E2200">
        <f t="shared" si="156"/>
        <v>11</v>
      </c>
      <c r="F2200">
        <f t="shared" si="157"/>
        <v>2024</v>
      </c>
      <c r="G2200" t="s">
        <v>43</v>
      </c>
      <c r="H2200" s="98">
        <v>11394</v>
      </c>
      <c r="I2200" s="29">
        <v>1108.3599999999999</v>
      </c>
      <c r="J2200" s="12" t="s">
        <v>31</v>
      </c>
      <c r="K2200" s="76">
        <f t="shared" si="158"/>
        <v>1108.3599999999999</v>
      </c>
      <c r="L2200">
        <v>1</v>
      </c>
      <c r="M2200" s="29">
        <v>0</v>
      </c>
      <c r="N2200" t="s">
        <v>32</v>
      </c>
      <c r="O2200" t="s">
        <v>33</v>
      </c>
      <c r="P2200" t="s">
        <v>34</v>
      </c>
      <c r="Q2200" t="s">
        <v>34</v>
      </c>
      <c r="R2200" t="s">
        <v>34</v>
      </c>
      <c r="S2200" t="s">
        <v>34</v>
      </c>
      <c r="T2200" s="117">
        <v>0</v>
      </c>
    </row>
    <row r="2201" spans="1:21" x14ac:dyDescent="0.35">
      <c r="A2201" t="s">
        <v>20</v>
      </c>
      <c r="B2201" t="s">
        <v>21</v>
      </c>
      <c r="C2201" s="1">
        <v>45609</v>
      </c>
      <c r="D2201">
        <f t="shared" si="155"/>
        <v>13</v>
      </c>
      <c r="E2201">
        <f t="shared" si="156"/>
        <v>11</v>
      </c>
      <c r="F2201">
        <f t="shared" si="157"/>
        <v>2024</v>
      </c>
      <c r="G2201" t="s">
        <v>265</v>
      </c>
      <c r="H2201" s="98">
        <v>11583</v>
      </c>
      <c r="I2201" s="29">
        <v>162</v>
      </c>
      <c r="J2201" s="12" t="s">
        <v>31</v>
      </c>
      <c r="K2201" s="76">
        <f t="shared" si="158"/>
        <v>162</v>
      </c>
      <c r="L2201">
        <v>1</v>
      </c>
      <c r="M2201" s="29">
        <v>0</v>
      </c>
      <c r="N2201" t="s">
        <v>42</v>
      </c>
      <c r="O2201" t="s">
        <v>33</v>
      </c>
      <c r="P2201" t="s">
        <v>34</v>
      </c>
      <c r="Q2201" t="s">
        <v>34</v>
      </c>
      <c r="R2201" t="s">
        <v>34</v>
      </c>
      <c r="S2201" t="s">
        <v>34</v>
      </c>
      <c r="T2201" s="117">
        <v>0</v>
      </c>
    </row>
    <row r="2202" spans="1:21" x14ac:dyDescent="0.35">
      <c r="A2202" t="s">
        <v>20</v>
      </c>
      <c r="B2202" t="s">
        <v>21</v>
      </c>
      <c r="C2202" s="1">
        <v>45609</v>
      </c>
      <c r="D2202">
        <f t="shared" si="155"/>
        <v>13</v>
      </c>
      <c r="E2202">
        <f t="shared" si="156"/>
        <v>11</v>
      </c>
      <c r="F2202">
        <f t="shared" si="157"/>
        <v>2024</v>
      </c>
      <c r="G2202" t="s">
        <v>265</v>
      </c>
      <c r="H2202" s="98">
        <v>11584</v>
      </c>
      <c r="I2202" s="29">
        <v>3664.44</v>
      </c>
      <c r="J2202" s="12" t="s">
        <v>31</v>
      </c>
      <c r="K2202" s="76">
        <f t="shared" si="158"/>
        <v>3664.44</v>
      </c>
      <c r="L2202">
        <v>1</v>
      </c>
      <c r="M2202" s="29">
        <v>0</v>
      </c>
      <c r="N2202" t="s">
        <v>42</v>
      </c>
      <c r="O2202" t="s">
        <v>33</v>
      </c>
      <c r="P2202" t="s">
        <v>34</v>
      </c>
      <c r="Q2202" t="s">
        <v>34</v>
      </c>
      <c r="R2202" t="s">
        <v>34</v>
      </c>
      <c r="S2202" t="s">
        <v>34</v>
      </c>
      <c r="T2202" s="117">
        <v>0</v>
      </c>
    </row>
    <row r="2203" spans="1:21" x14ac:dyDescent="0.35">
      <c r="A2203" t="s">
        <v>20</v>
      </c>
      <c r="B2203" t="s">
        <v>223</v>
      </c>
      <c r="C2203" s="1">
        <v>45609</v>
      </c>
      <c r="D2203">
        <f t="shared" si="155"/>
        <v>13</v>
      </c>
      <c r="E2203">
        <f t="shared" si="156"/>
        <v>11</v>
      </c>
      <c r="F2203">
        <f t="shared" si="157"/>
        <v>2024</v>
      </c>
      <c r="G2203" t="s">
        <v>223</v>
      </c>
      <c r="H2203" s="98">
        <v>11263</v>
      </c>
      <c r="I2203" s="76">
        <v>16894.3</v>
      </c>
      <c r="J2203" s="12" t="s">
        <v>51</v>
      </c>
      <c r="K2203" s="76">
        <f>IF(J2203="USD",I2203,I2203*L2203)-0.01</f>
        <v>18004.245510000001</v>
      </c>
      <c r="L2203">
        <v>1.0657000000000001</v>
      </c>
      <c r="M2203" s="29">
        <v>0</v>
      </c>
      <c r="N2203" t="s">
        <v>32</v>
      </c>
      <c r="O2203" t="s">
        <v>186</v>
      </c>
      <c r="P2203" s="1">
        <v>45608</v>
      </c>
      <c r="Q2203" t="s">
        <v>34</v>
      </c>
      <c r="R2203">
        <v>10010014706</v>
      </c>
      <c r="S2203" t="s">
        <v>34</v>
      </c>
      <c r="T2203" s="117">
        <v>0</v>
      </c>
    </row>
    <row r="2204" spans="1:21" x14ac:dyDescent="0.35">
      <c r="A2204" t="s">
        <v>20</v>
      </c>
      <c r="B2204" t="s">
        <v>25</v>
      </c>
      <c r="C2204" s="1">
        <v>45610</v>
      </c>
      <c r="D2204">
        <f t="shared" si="155"/>
        <v>14</v>
      </c>
      <c r="E2204">
        <f t="shared" si="156"/>
        <v>11</v>
      </c>
      <c r="F2204">
        <f t="shared" si="157"/>
        <v>2024</v>
      </c>
      <c r="G2204" t="s">
        <v>91</v>
      </c>
      <c r="H2204" s="98">
        <v>11178</v>
      </c>
      <c r="I2204" s="76">
        <v>310.14999999999998</v>
      </c>
      <c r="J2204" s="12" t="s">
        <v>31</v>
      </c>
      <c r="K2204" s="76">
        <f>IF(J2204="USD",I2204,I2204*L2204)</f>
        <v>310.14999999999998</v>
      </c>
      <c r="L2204">
        <v>1</v>
      </c>
      <c r="M2204" s="29">
        <v>0</v>
      </c>
      <c r="N2204" t="s">
        <v>32</v>
      </c>
      <c r="O2204" t="s">
        <v>33</v>
      </c>
      <c r="P2204" t="s">
        <v>34</v>
      </c>
      <c r="Q2204" t="s">
        <v>34</v>
      </c>
      <c r="R2204" t="s">
        <v>34</v>
      </c>
      <c r="S2204" t="s">
        <v>34</v>
      </c>
      <c r="T2204" s="117">
        <v>0</v>
      </c>
    </row>
    <row r="2205" spans="1:21" x14ac:dyDescent="0.35">
      <c r="A2205" t="s">
        <v>20</v>
      </c>
      <c r="B2205" t="s">
        <v>21</v>
      </c>
      <c r="C2205" s="1">
        <v>45610</v>
      </c>
      <c r="D2205">
        <f t="shared" si="155"/>
        <v>14</v>
      </c>
      <c r="E2205">
        <f t="shared" si="156"/>
        <v>11</v>
      </c>
      <c r="F2205">
        <f t="shared" si="157"/>
        <v>2024</v>
      </c>
      <c r="G2205" t="s">
        <v>91</v>
      </c>
      <c r="H2205" s="98">
        <v>11188</v>
      </c>
      <c r="I2205" s="76">
        <v>199.2</v>
      </c>
      <c r="J2205" s="12" t="s">
        <v>31</v>
      </c>
      <c r="K2205" s="76">
        <f>IF(J2205="USD",I2205,I2205*L2205)</f>
        <v>199.2</v>
      </c>
      <c r="L2205">
        <v>1</v>
      </c>
      <c r="M2205" s="29">
        <v>0</v>
      </c>
      <c r="N2205" t="s">
        <v>32</v>
      </c>
      <c r="O2205" t="s">
        <v>33</v>
      </c>
      <c r="P2205" t="s">
        <v>34</v>
      </c>
      <c r="Q2205" t="s">
        <v>34</v>
      </c>
      <c r="R2205" t="s">
        <v>34</v>
      </c>
      <c r="S2205" t="s">
        <v>34</v>
      </c>
      <c r="T2205" s="117">
        <v>0</v>
      </c>
    </row>
    <row r="2206" spans="1:21" x14ac:dyDescent="0.35">
      <c r="A2206" t="s">
        <v>19</v>
      </c>
      <c r="B2206" t="s">
        <v>26</v>
      </c>
      <c r="C2206" s="1">
        <v>45611</v>
      </c>
      <c r="D2206">
        <f t="shared" si="155"/>
        <v>15</v>
      </c>
      <c r="E2206">
        <f t="shared" si="156"/>
        <v>11</v>
      </c>
      <c r="F2206">
        <f t="shared" si="157"/>
        <v>2024</v>
      </c>
      <c r="G2206" t="s">
        <v>73</v>
      </c>
      <c r="H2206" s="98">
        <v>11558</v>
      </c>
      <c r="I2206" s="29">
        <v>41204.81</v>
      </c>
      <c r="J2206" s="12" t="s">
        <v>51</v>
      </c>
      <c r="K2206" s="76">
        <f>IF(J2206="USD",I2206,I2206*L2206)</f>
        <v>43532.881764999998</v>
      </c>
      <c r="L2206">
        <v>1.0565</v>
      </c>
      <c r="M2206" s="29">
        <v>0</v>
      </c>
      <c r="N2206" t="s">
        <v>32</v>
      </c>
      <c r="O2206" t="s">
        <v>33</v>
      </c>
      <c r="P2206" t="s">
        <v>34</v>
      </c>
      <c r="Q2206" t="s">
        <v>34</v>
      </c>
      <c r="R2206" t="s">
        <v>34</v>
      </c>
      <c r="S2206" t="s">
        <v>34</v>
      </c>
      <c r="T2206" s="117">
        <v>0</v>
      </c>
      <c r="U2206" s="209" t="s">
        <v>94</v>
      </c>
    </row>
    <row r="2207" spans="1:21" x14ac:dyDescent="0.35">
      <c r="A2207" t="s">
        <v>19</v>
      </c>
      <c r="B2207" t="s">
        <v>26</v>
      </c>
      <c r="C2207" s="1">
        <v>45611</v>
      </c>
      <c r="D2207">
        <f t="shared" si="155"/>
        <v>15</v>
      </c>
      <c r="E2207">
        <f t="shared" si="156"/>
        <v>11</v>
      </c>
      <c r="F2207">
        <f t="shared" si="157"/>
        <v>2024</v>
      </c>
      <c r="G2207" t="s">
        <v>73</v>
      </c>
      <c r="H2207" s="98">
        <v>11579</v>
      </c>
      <c r="I2207" s="29">
        <v>78221.850000000006</v>
      </c>
      <c r="J2207" s="12" t="s">
        <v>51</v>
      </c>
      <c r="K2207" s="76">
        <f>IF(J2207="USD",I2207,I2207*L2207)+0.01</f>
        <v>82641.394524999996</v>
      </c>
      <c r="L2207">
        <v>1.0565</v>
      </c>
      <c r="M2207" s="29">
        <v>0</v>
      </c>
      <c r="N2207" t="s">
        <v>32</v>
      </c>
      <c r="O2207" t="s">
        <v>33</v>
      </c>
      <c r="P2207" t="s">
        <v>34</v>
      </c>
      <c r="Q2207" t="s">
        <v>34</v>
      </c>
      <c r="R2207" t="s">
        <v>34</v>
      </c>
      <c r="S2207" t="s">
        <v>34</v>
      </c>
      <c r="T2207" s="117">
        <v>0</v>
      </c>
      <c r="U2207" s="209" t="s">
        <v>94</v>
      </c>
    </row>
    <row r="2208" spans="1:21" x14ac:dyDescent="0.35">
      <c r="A2208" t="s">
        <v>19</v>
      </c>
      <c r="B2208" t="s">
        <v>26</v>
      </c>
      <c r="C2208" s="1">
        <v>45611</v>
      </c>
      <c r="D2208">
        <f t="shared" si="155"/>
        <v>15</v>
      </c>
      <c r="E2208">
        <f t="shared" si="156"/>
        <v>11</v>
      </c>
      <c r="F2208">
        <f t="shared" si="157"/>
        <v>2024</v>
      </c>
      <c r="G2208" t="s">
        <v>73</v>
      </c>
      <c r="H2208" s="98">
        <v>11580</v>
      </c>
      <c r="I2208" s="29">
        <v>36323.93</v>
      </c>
      <c r="J2208" s="12" t="s">
        <v>51</v>
      </c>
      <c r="K2208" s="76">
        <f>IF(J2208="USD",I2208,I2208*L2208)</f>
        <v>38376.232044999997</v>
      </c>
      <c r="L2208">
        <v>1.0565</v>
      </c>
      <c r="M2208" s="29">
        <v>0</v>
      </c>
      <c r="N2208" t="s">
        <v>32</v>
      </c>
      <c r="O2208" t="s">
        <v>33</v>
      </c>
      <c r="P2208" t="s">
        <v>34</v>
      </c>
      <c r="Q2208" t="s">
        <v>34</v>
      </c>
      <c r="R2208" t="s">
        <v>34</v>
      </c>
      <c r="S2208" t="s">
        <v>34</v>
      </c>
      <c r="T2208" s="117">
        <v>0</v>
      </c>
      <c r="U2208" s="209" t="s">
        <v>94</v>
      </c>
    </row>
    <row r="2209" spans="1:21" x14ac:dyDescent="0.35">
      <c r="A2209" t="s">
        <v>20</v>
      </c>
      <c r="B2209" t="s">
        <v>25</v>
      </c>
      <c r="C2209" s="1">
        <v>45615</v>
      </c>
      <c r="D2209">
        <f t="shared" si="155"/>
        <v>19</v>
      </c>
      <c r="E2209">
        <f t="shared" si="156"/>
        <v>11</v>
      </c>
      <c r="F2209">
        <f t="shared" si="157"/>
        <v>2024</v>
      </c>
      <c r="G2209" t="s">
        <v>442</v>
      </c>
      <c r="H2209" s="98">
        <v>11225</v>
      </c>
      <c r="I2209" s="29">
        <v>30914.6</v>
      </c>
      <c r="J2209" s="12" t="s">
        <v>51</v>
      </c>
      <c r="K2209" s="76">
        <f>IF(J2209="USD",I2209,I2209*L2209)</f>
        <v>32846.638841600005</v>
      </c>
      <c r="L2209" s="80">
        <v>1.0624960000000001</v>
      </c>
      <c r="M2209" s="29">
        <v>0</v>
      </c>
      <c r="N2209" t="s">
        <v>32</v>
      </c>
      <c r="O2209" t="s">
        <v>33</v>
      </c>
      <c r="P2209" t="s">
        <v>34</v>
      </c>
      <c r="Q2209" t="s">
        <v>34</v>
      </c>
      <c r="R2209" t="s">
        <v>34</v>
      </c>
      <c r="S2209" t="s">
        <v>34</v>
      </c>
      <c r="T2209" s="117">
        <v>0</v>
      </c>
    </row>
    <row r="2210" spans="1:21" x14ac:dyDescent="0.35">
      <c r="A2210" t="s">
        <v>20</v>
      </c>
      <c r="B2210" t="s">
        <v>25</v>
      </c>
      <c r="C2210" s="1">
        <v>45615</v>
      </c>
      <c r="D2210">
        <f t="shared" si="155"/>
        <v>19</v>
      </c>
      <c r="E2210">
        <f t="shared" si="156"/>
        <v>11</v>
      </c>
      <c r="F2210">
        <f t="shared" si="157"/>
        <v>2024</v>
      </c>
      <c r="G2210" t="s">
        <v>442</v>
      </c>
      <c r="H2210" s="98">
        <v>10815</v>
      </c>
      <c r="I2210" s="29">
        <v>53806.23</v>
      </c>
      <c r="J2210" s="12" t="s">
        <v>51</v>
      </c>
      <c r="K2210" s="76">
        <f>IF(J2210="USD",I2210,I2210*L2210)+0.01</f>
        <v>57168.914150080011</v>
      </c>
      <c r="L2210" s="80">
        <v>1.0624960000000001</v>
      </c>
      <c r="M2210" s="29">
        <v>0</v>
      </c>
      <c r="N2210" t="s">
        <v>32</v>
      </c>
      <c r="O2210" t="s">
        <v>33</v>
      </c>
      <c r="P2210" t="s">
        <v>34</v>
      </c>
      <c r="Q2210" t="s">
        <v>34</v>
      </c>
      <c r="R2210" t="s">
        <v>34</v>
      </c>
      <c r="S2210" t="s">
        <v>34</v>
      </c>
      <c r="T2210" s="117">
        <v>0</v>
      </c>
    </row>
    <row r="2211" spans="1:21" x14ac:dyDescent="0.35">
      <c r="A2211" t="s">
        <v>20</v>
      </c>
      <c r="B2211" t="s">
        <v>25</v>
      </c>
      <c r="C2211" s="1">
        <v>45615</v>
      </c>
      <c r="D2211">
        <f t="shared" si="155"/>
        <v>19</v>
      </c>
      <c r="E2211">
        <f t="shared" si="156"/>
        <v>11</v>
      </c>
      <c r="F2211">
        <f t="shared" si="157"/>
        <v>2024</v>
      </c>
      <c r="G2211" t="s">
        <v>442</v>
      </c>
      <c r="H2211" s="98">
        <v>11312</v>
      </c>
      <c r="I2211" s="29">
        <v>131.6</v>
      </c>
      <c r="J2211" s="12" t="s">
        <v>51</v>
      </c>
      <c r="K2211" s="76">
        <f t="shared" ref="K2211:K2244" si="159">IF(J2211="USD",I2211,I2211*L2211)</f>
        <v>139.8244736</v>
      </c>
      <c r="L2211" s="80">
        <v>1.0624960000000001</v>
      </c>
      <c r="M2211" s="29">
        <v>0</v>
      </c>
      <c r="N2211" t="s">
        <v>32</v>
      </c>
      <c r="O2211" t="s">
        <v>33</v>
      </c>
      <c r="P2211" t="s">
        <v>34</v>
      </c>
      <c r="Q2211" t="s">
        <v>34</v>
      </c>
      <c r="R2211" t="s">
        <v>34</v>
      </c>
      <c r="S2211" t="s">
        <v>34</v>
      </c>
      <c r="T2211" s="117">
        <v>0</v>
      </c>
    </row>
    <row r="2212" spans="1:21" x14ac:dyDescent="0.35">
      <c r="A2212" t="s">
        <v>20</v>
      </c>
      <c r="B2212" t="s">
        <v>23</v>
      </c>
      <c r="C2212" s="1">
        <v>45616</v>
      </c>
      <c r="D2212">
        <f t="shared" si="155"/>
        <v>20</v>
      </c>
      <c r="E2212">
        <f t="shared" si="156"/>
        <v>11</v>
      </c>
      <c r="F2212">
        <f t="shared" si="157"/>
        <v>2024</v>
      </c>
      <c r="G2212" t="s">
        <v>265</v>
      </c>
      <c r="H2212" s="98">
        <v>11472</v>
      </c>
      <c r="I2212" s="29">
        <v>20964.96</v>
      </c>
      <c r="J2212" s="12" t="s">
        <v>31</v>
      </c>
      <c r="K2212" s="76">
        <f t="shared" si="159"/>
        <v>20964.96</v>
      </c>
      <c r="L2212">
        <v>1</v>
      </c>
      <c r="M2212" s="29">
        <v>0</v>
      </c>
      <c r="N2212" t="s">
        <v>32</v>
      </c>
      <c r="O2212" t="s">
        <v>33</v>
      </c>
      <c r="P2212" t="s">
        <v>34</v>
      </c>
      <c r="Q2212" t="s">
        <v>34</v>
      </c>
      <c r="R2212" t="s">
        <v>34</v>
      </c>
      <c r="S2212" t="s">
        <v>34</v>
      </c>
      <c r="T2212" s="117">
        <v>0</v>
      </c>
    </row>
    <row r="2213" spans="1:21" x14ac:dyDescent="0.35">
      <c r="A2213" t="s">
        <v>20</v>
      </c>
      <c r="B2213" t="s">
        <v>25</v>
      </c>
      <c r="C2213" s="1">
        <v>45616</v>
      </c>
      <c r="D2213">
        <f t="shared" si="155"/>
        <v>20</v>
      </c>
      <c r="E2213">
        <f t="shared" si="156"/>
        <v>11</v>
      </c>
      <c r="F2213">
        <f t="shared" si="157"/>
        <v>2024</v>
      </c>
      <c r="G2213" t="s">
        <v>265</v>
      </c>
      <c r="H2213" s="98">
        <v>11472</v>
      </c>
      <c r="I2213" s="29">
        <v>1802.51</v>
      </c>
      <c r="J2213" s="12" t="s">
        <v>31</v>
      </c>
      <c r="K2213" s="76">
        <f t="shared" si="159"/>
        <v>1802.51</v>
      </c>
      <c r="L2213">
        <v>1</v>
      </c>
      <c r="M2213" s="29">
        <v>0</v>
      </c>
      <c r="N2213" t="s">
        <v>32</v>
      </c>
      <c r="O2213" t="s">
        <v>33</v>
      </c>
      <c r="P2213" t="s">
        <v>34</v>
      </c>
      <c r="Q2213" t="s">
        <v>34</v>
      </c>
      <c r="R2213" t="s">
        <v>34</v>
      </c>
      <c r="S2213" t="s">
        <v>34</v>
      </c>
      <c r="T2213" s="117">
        <v>0</v>
      </c>
    </row>
    <row r="2214" spans="1:21" x14ac:dyDescent="0.35">
      <c r="A2214" t="s">
        <v>20</v>
      </c>
      <c r="B2214" t="s">
        <v>21</v>
      </c>
      <c r="C2214" s="1">
        <v>45616</v>
      </c>
      <c r="D2214">
        <f t="shared" si="155"/>
        <v>20</v>
      </c>
      <c r="E2214">
        <f t="shared" si="156"/>
        <v>11</v>
      </c>
      <c r="F2214">
        <f t="shared" si="157"/>
        <v>2024</v>
      </c>
      <c r="G2214" t="s">
        <v>265</v>
      </c>
      <c r="H2214" s="98">
        <v>11641</v>
      </c>
      <c r="I2214" s="29">
        <v>86</v>
      </c>
      <c r="J2214" s="12" t="s">
        <v>31</v>
      </c>
      <c r="K2214" s="76">
        <f t="shared" si="159"/>
        <v>86</v>
      </c>
      <c r="L2214">
        <v>1</v>
      </c>
      <c r="M2214" s="29">
        <v>0</v>
      </c>
      <c r="N2214" t="s">
        <v>42</v>
      </c>
      <c r="O2214" t="s">
        <v>33</v>
      </c>
      <c r="P2214" t="s">
        <v>34</v>
      </c>
      <c r="Q2214" t="s">
        <v>34</v>
      </c>
      <c r="R2214" t="s">
        <v>34</v>
      </c>
      <c r="S2214" t="s">
        <v>34</v>
      </c>
      <c r="T2214" s="117">
        <v>0</v>
      </c>
    </row>
    <row r="2215" spans="1:21" x14ac:dyDescent="0.35">
      <c r="A2215" t="s">
        <v>20</v>
      </c>
      <c r="B2215" t="s">
        <v>21</v>
      </c>
      <c r="C2215" s="1">
        <v>45616</v>
      </c>
      <c r="D2215">
        <f t="shared" si="155"/>
        <v>20</v>
      </c>
      <c r="E2215">
        <f t="shared" si="156"/>
        <v>11</v>
      </c>
      <c r="F2215">
        <f t="shared" si="157"/>
        <v>2024</v>
      </c>
      <c r="G2215" t="s">
        <v>265</v>
      </c>
      <c r="H2215" s="98">
        <v>11584</v>
      </c>
      <c r="I2215" s="29">
        <v>2167.1999999999998</v>
      </c>
      <c r="J2215" s="12" t="s">
        <v>31</v>
      </c>
      <c r="K2215" s="76">
        <f t="shared" si="159"/>
        <v>2167.1999999999998</v>
      </c>
      <c r="L2215">
        <v>1</v>
      </c>
      <c r="M2215" s="29">
        <v>0</v>
      </c>
      <c r="N2215" t="s">
        <v>42</v>
      </c>
      <c r="O2215" t="s">
        <v>33</v>
      </c>
      <c r="P2215" t="s">
        <v>34</v>
      </c>
      <c r="Q2215" t="s">
        <v>34</v>
      </c>
      <c r="R2215" t="s">
        <v>34</v>
      </c>
      <c r="S2215" t="s">
        <v>34</v>
      </c>
      <c r="T2215" s="117">
        <v>0</v>
      </c>
      <c r="U2215" s="209" t="s">
        <v>793</v>
      </c>
    </row>
    <row r="2216" spans="1:21" x14ac:dyDescent="0.35">
      <c r="A2216" t="s">
        <v>20</v>
      </c>
      <c r="B2216" t="s">
        <v>21</v>
      </c>
      <c r="C2216" s="1">
        <v>45616</v>
      </c>
      <c r="D2216">
        <f t="shared" si="155"/>
        <v>20</v>
      </c>
      <c r="E2216">
        <f t="shared" si="156"/>
        <v>11</v>
      </c>
      <c r="F2216">
        <f t="shared" si="157"/>
        <v>2024</v>
      </c>
      <c r="G2216" t="s">
        <v>46</v>
      </c>
      <c r="H2216" s="98">
        <v>11217</v>
      </c>
      <c r="I2216" s="29">
        <v>3641.78</v>
      </c>
      <c r="J2216" s="12" t="s">
        <v>31</v>
      </c>
      <c r="K2216" s="76">
        <f t="shared" si="159"/>
        <v>3641.78</v>
      </c>
      <c r="L2216">
        <v>1</v>
      </c>
      <c r="M2216" s="29">
        <v>0</v>
      </c>
      <c r="N2216" t="s">
        <v>32</v>
      </c>
      <c r="O2216" t="s">
        <v>33</v>
      </c>
      <c r="P2216" t="s">
        <v>34</v>
      </c>
      <c r="Q2216" t="s">
        <v>34</v>
      </c>
      <c r="R2216" t="s">
        <v>34</v>
      </c>
      <c r="S2216" t="s">
        <v>34</v>
      </c>
      <c r="T2216" s="117">
        <v>0</v>
      </c>
    </row>
    <row r="2217" spans="1:21" x14ac:dyDescent="0.35">
      <c r="A2217" t="s">
        <v>20</v>
      </c>
      <c r="B2217" t="s">
        <v>23</v>
      </c>
      <c r="C2217" s="1">
        <v>45616</v>
      </c>
      <c r="D2217">
        <f t="shared" si="155"/>
        <v>20</v>
      </c>
      <c r="E2217">
        <f t="shared" si="156"/>
        <v>11</v>
      </c>
      <c r="F2217">
        <f t="shared" si="157"/>
        <v>2024</v>
      </c>
      <c r="G2217" t="s">
        <v>46</v>
      </c>
      <c r="H2217" s="98">
        <v>11217</v>
      </c>
      <c r="I2217" s="29">
        <v>11138.93</v>
      </c>
      <c r="J2217" s="12" t="s">
        <v>31</v>
      </c>
      <c r="K2217" s="76">
        <f t="shared" si="159"/>
        <v>11138.93</v>
      </c>
      <c r="L2217">
        <v>1</v>
      </c>
      <c r="M2217" s="29">
        <v>0</v>
      </c>
      <c r="N2217" t="s">
        <v>32</v>
      </c>
      <c r="O2217" t="s">
        <v>33</v>
      </c>
      <c r="P2217" t="s">
        <v>34</v>
      </c>
      <c r="Q2217" t="s">
        <v>34</v>
      </c>
      <c r="R2217" t="s">
        <v>34</v>
      </c>
      <c r="S2217" t="s">
        <v>34</v>
      </c>
      <c r="T2217" s="117">
        <v>0</v>
      </c>
    </row>
    <row r="2218" spans="1:21" x14ac:dyDescent="0.35">
      <c r="A2218" t="s">
        <v>20</v>
      </c>
      <c r="B2218" t="s">
        <v>21</v>
      </c>
      <c r="C2218" s="1">
        <v>45616</v>
      </c>
      <c r="D2218">
        <f t="shared" si="155"/>
        <v>20</v>
      </c>
      <c r="E2218">
        <f t="shared" si="156"/>
        <v>11</v>
      </c>
      <c r="F2218">
        <f t="shared" si="157"/>
        <v>2024</v>
      </c>
      <c r="G2218" t="s">
        <v>90</v>
      </c>
      <c r="H2218" s="98">
        <v>10933</v>
      </c>
      <c r="I2218" s="29">
        <v>8789.27</v>
      </c>
      <c r="J2218" s="12" t="s">
        <v>31</v>
      </c>
      <c r="K2218" s="76">
        <f t="shared" si="159"/>
        <v>8789.27</v>
      </c>
      <c r="L2218">
        <v>1</v>
      </c>
      <c r="M2218" s="29">
        <v>0</v>
      </c>
      <c r="N2218" t="s">
        <v>32</v>
      </c>
      <c r="O2218" t="s">
        <v>33</v>
      </c>
      <c r="P2218" t="s">
        <v>34</v>
      </c>
      <c r="Q2218" t="s">
        <v>34</v>
      </c>
      <c r="R2218" t="s">
        <v>34</v>
      </c>
      <c r="S2218" t="s">
        <v>34</v>
      </c>
      <c r="T2218" s="117">
        <v>0</v>
      </c>
    </row>
    <row r="2219" spans="1:21" x14ac:dyDescent="0.35">
      <c r="A2219" t="s">
        <v>20</v>
      </c>
      <c r="B2219" t="s">
        <v>21</v>
      </c>
      <c r="C2219" s="1">
        <v>45616</v>
      </c>
      <c r="D2219">
        <f t="shared" si="155"/>
        <v>20</v>
      </c>
      <c r="E2219">
        <f t="shared" si="156"/>
        <v>11</v>
      </c>
      <c r="F2219">
        <f t="shared" si="157"/>
        <v>2024</v>
      </c>
      <c r="G2219" t="s">
        <v>90</v>
      </c>
      <c r="H2219" s="98">
        <v>10932</v>
      </c>
      <c r="I2219" s="29">
        <v>114.8</v>
      </c>
      <c r="J2219" s="12" t="s">
        <v>31</v>
      </c>
      <c r="K2219" s="76">
        <f t="shared" si="159"/>
        <v>114.8</v>
      </c>
      <c r="L2219">
        <v>1</v>
      </c>
      <c r="M2219" s="29">
        <v>0</v>
      </c>
      <c r="N2219" t="s">
        <v>32</v>
      </c>
      <c r="O2219" t="s">
        <v>33</v>
      </c>
      <c r="P2219" t="s">
        <v>34</v>
      </c>
      <c r="Q2219" t="s">
        <v>34</v>
      </c>
      <c r="R2219" t="s">
        <v>34</v>
      </c>
      <c r="S2219" t="s">
        <v>34</v>
      </c>
      <c r="T2219" s="117">
        <v>0</v>
      </c>
    </row>
    <row r="2220" spans="1:21" x14ac:dyDescent="0.35">
      <c r="A2220" t="s">
        <v>20</v>
      </c>
      <c r="B2220" t="s">
        <v>25</v>
      </c>
      <c r="C2220" s="1">
        <v>45616</v>
      </c>
      <c r="D2220">
        <f t="shared" si="155"/>
        <v>20</v>
      </c>
      <c r="E2220">
        <f t="shared" si="156"/>
        <v>11</v>
      </c>
      <c r="F2220">
        <f t="shared" si="157"/>
        <v>2024</v>
      </c>
      <c r="G2220" t="s">
        <v>50</v>
      </c>
      <c r="H2220" s="98">
        <v>11507</v>
      </c>
      <c r="I2220" s="29">
        <v>1046.5</v>
      </c>
      <c r="J2220" s="12" t="s">
        <v>31</v>
      </c>
      <c r="K2220" s="76">
        <f t="shared" si="159"/>
        <v>1046.5</v>
      </c>
      <c r="L2220">
        <v>1</v>
      </c>
      <c r="M2220" s="29">
        <v>0</v>
      </c>
      <c r="N2220" t="s">
        <v>42</v>
      </c>
      <c r="O2220" t="s">
        <v>33</v>
      </c>
      <c r="P2220" t="s">
        <v>34</v>
      </c>
      <c r="Q2220" t="s">
        <v>34</v>
      </c>
      <c r="R2220" t="s">
        <v>34</v>
      </c>
      <c r="S2220" t="s">
        <v>34</v>
      </c>
      <c r="T2220" s="117">
        <v>0</v>
      </c>
    </row>
    <row r="2221" spans="1:21" x14ac:dyDescent="0.35">
      <c r="A2221" t="s">
        <v>20</v>
      </c>
      <c r="B2221" t="s">
        <v>23</v>
      </c>
      <c r="C2221" s="1">
        <v>45616</v>
      </c>
      <c r="D2221">
        <f t="shared" si="155"/>
        <v>20</v>
      </c>
      <c r="E2221">
        <f t="shared" si="156"/>
        <v>11</v>
      </c>
      <c r="F2221">
        <f t="shared" si="157"/>
        <v>2024</v>
      </c>
      <c r="G2221" t="s">
        <v>50</v>
      </c>
      <c r="H2221" s="98">
        <v>11586</v>
      </c>
      <c r="I2221" s="29">
        <v>66</v>
      </c>
      <c r="J2221" s="12" t="s">
        <v>31</v>
      </c>
      <c r="K2221" s="76">
        <f t="shared" si="159"/>
        <v>66</v>
      </c>
      <c r="L2221">
        <v>1</v>
      </c>
      <c r="M2221" s="29">
        <v>0</v>
      </c>
      <c r="N2221" t="s">
        <v>42</v>
      </c>
      <c r="O2221" t="s">
        <v>33</v>
      </c>
      <c r="P2221" t="s">
        <v>34</v>
      </c>
      <c r="Q2221" t="s">
        <v>34</v>
      </c>
      <c r="R2221" t="s">
        <v>34</v>
      </c>
      <c r="S2221" t="s">
        <v>34</v>
      </c>
      <c r="T2221" s="117">
        <v>0</v>
      </c>
    </row>
    <row r="2222" spans="1:21" x14ac:dyDescent="0.35">
      <c r="A2222" t="s">
        <v>20</v>
      </c>
      <c r="B2222" t="s">
        <v>23</v>
      </c>
      <c r="C2222" s="1">
        <v>45616</v>
      </c>
      <c r="D2222">
        <f t="shared" si="155"/>
        <v>20</v>
      </c>
      <c r="E2222">
        <f t="shared" si="156"/>
        <v>11</v>
      </c>
      <c r="F2222">
        <f t="shared" si="157"/>
        <v>2024</v>
      </c>
      <c r="G2222" t="s">
        <v>50</v>
      </c>
      <c r="H2222" s="98">
        <v>11507</v>
      </c>
      <c r="I2222" s="29">
        <v>1650</v>
      </c>
      <c r="J2222" s="12" t="s">
        <v>31</v>
      </c>
      <c r="K2222" s="76">
        <f t="shared" si="159"/>
        <v>1650</v>
      </c>
      <c r="L2222">
        <v>1</v>
      </c>
      <c r="M2222" s="29">
        <v>0</v>
      </c>
      <c r="N2222" t="s">
        <v>42</v>
      </c>
      <c r="O2222" t="s">
        <v>33</v>
      </c>
      <c r="P2222" t="s">
        <v>34</v>
      </c>
      <c r="Q2222" t="s">
        <v>34</v>
      </c>
      <c r="R2222" t="s">
        <v>34</v>
      </c>
      <c r="S2222" t="s">
        <v>34</v>
      </c>
      <c r="T2222" s="117">
        <v>0</v>
      </c>
      <c r="U2222" s="209" t="s">
        <v>746</v>
      </c>
    </row>
    <row r="2223" spans="1:21" x14ac:dyDescent="0.35">
      <c r="A2223" t="s">
        <v>20</v>
      </c>
      <c r="B2223" t="s">
        <v>23</v>
      </c>
      <c r="C2223" s="1">
        <v>45616</v>
      </c>
      <c r="D2223">
        <f t="shared" si="155"/>
        <v>20</v>
      </c>
      <c r="E2223">
        <f t="shared" si="156"/>
        <v>11</v>
      </c>
      <c r="F2223">
        <f t="shared" si="157"/>
        <v>2024</v>
      </c>
      <c r="G2223" t="s">
        <v>118</v>
      </c>
      <c r="H2223" s="98">
        <v>11635</v>
      </c>
      <c r="I2223" s="29">
        <v>56</v>
      </c>
      <c r="J2223" s="12" t="s">
        <v>31</v>
      </c>
      <c r="K2223" s="76">
        <f t="shared" si="159"/>
        <v>56</v>
      </c>
      <c r="L2223">
        <v>1</v>
      </c>
      <c r="M2223" s="29">
        <v>0</v>
      </c>
      <c r="N2223" t="s">
        <v>42</v>
      </c>
      <c r="O2223" t="s">
        <v>33</v>
      </c>
      <c r="P2223" t="s">
        <v>34</v>
      </c>
      <c r="Q2223" t="s">
        <v>34</v>
      </c>
      <c r="R2223" t="s">
        <v>34</v>
      </c>
      <c r="S2223" t="s">
        <v>34</v>
      </c>
      <c r="T2223" s="117">
        <v>0</v>
      </c>
    </row>
    <row r="2224" spans="1:21" x14ac:dyDescent="0.35">
      <c r="A2224" t="s">
        <v>20</v>
      </c>
      <c r="B2224" t="s">
        <v>23</v>
      </c>
      <c r="C2224" s="1">
        <v>45616</v>
      </c>
      <c r="D2224">
        <f t="shared" si="155"/>
        <v>20</v>
      </c>
      <c r="E2224">
        <f t="shared" si="156"/>
        <v>11</v>
      </c>
      <c r="F2224">
        <f t="shared" si="157"/>
        <v>2024</v>
      </c>
      <c r="G2224" t="s">
        <v>118</v>
      </c>
      <c r="H2224" s="98">
        <v>11636</v>
      </c>
      <c r="I2224" s="29">
        <v>1232</v>
      </c>
      <c r="J2224" s="12" t="s">
        <v>31</v>
      </c>
      <c r="K2224" s="76">
        <f t="shared" si="159"/>
        <v>1232</v>
      </c>
      <c r="L2224">
        <v>1</v>
      </c>
      <c r="M2224" s="29">
        <v>0</v>
      </c>
      <c r="N2224" t="s">
        <v>42</v>
      </c>
      <c r="O2224" t="s">
        <v>33</v>
      </c>
      <c r="P2224" t="s">
        <v>34</v>
      </c>
      <c r="Q2224" t="s">
        <v>34</v>
      </c>
      <c r="R2224" t="s">
        <v>34</v>
      </c>
      <c r="S2224" t="s">
        <v>34</v>
      </c>
      <c r="T2224" s="117">
        <v>0</v>
      </c>
    </row>
    <row r="2225" spans="1:21" x14ac:dyDescent="0.35">
      <c r="A2225" t="s">
        <v>20</v>
      </c>
      <c r="B2225" t="s">
        <v>21</v>
      </c>
      <c r="C2225" s="1">
        <v>45616</v>
      </c>
      <c r="D2225">
        <f t="shared" si="155"/>
        <v>20</v>
      </c>
      <c r="E2225">
        <f t="shared" si="156"/>
        <v>11</v>
      </c>
      <c r="F2225">
        <f t="shared" si="157"/>
        <v>2024</v>
      </c>
      <c r="G2225" t="s">
        <v>118</v>
      </c>
      <c r="H2225" s="98">
        <v>11636</v>
      </c>
      <c r="I2225" s="29">
        <v>1871</v>
      </c>
      <c r="J2225" s="12" t="s">
        <v>31</v>
      </c>
      <c r="K2225" s="76">
        <f t="shared" si="159"/>
        <v>1871</v>
      </c>
      <c r="L2225">
        <v>1</v>
      </c>
      <c r="M2225" s="29">
        <v>0</v>
      </c>
      <c r="N2225" t="s">
        <v>42</v>
      </c>
      <c r="O2225" t="s">
        <v>33</v>
      </c>
      <c r="P2225" t="s">
        <v>34</v>
      </c>
      <c r="Q2225" t="s">
        <v>34</v>
      </c>
      <c r="R2225" t="s">
        <v>34</v>
      </c>
      <c r="S2225" t="s">
        <v>34</v>
      </c>
      <c r="T2225" s="117">
        <v>0</v>
      </c>
      <c r="U2225" s="209" t="s">
        <v>787</v>
      </c>
    </row>
    <row r="2226" spans="1:21" x14ac:dyDescent="0.35">
      <c r="A2226" t="s">
        <v>20</v>
      </c>
      <c r="B2226" t="s">
        <v>21</v>
      </c>
      <c r="C2226" s="1">
        <v>45616</v>
      </c>
      <c r="D2226">
        <f t="shared" si="155"/>
        <v>20</v>
      </c>
      <c r="E2226">
        <f t="shared" si="156"/>
        <v>11</v>
      </c>
      <c r="F2226">
        <f t="shared" si="157"/>
        <v>2024</v>
      </c>
      <c r="G2226" t="s">
        <v>118</v>
      </c>
      <c r="H2226" s="171">
        <v>11645</v>
      </c>
      <c r="I2226" s="29">
        <v>411.8</v>
      </c>
      <c r="J2226" s="12" t="s">
        <v>31</v>
      </c>
      <c r="K2226" s="76">
        <f t="shared" si="159"/>
        <v>411.8</v>
      </c>
      <c r="L2226">
        <v>1</v>
      </c>
      <c r="M2226" s="29">
        <v>0</v>
      </c>
      <c r="N2226" t="s">
        <v>42</v>
      </c>
      <c r="O2226" t="s">
        <v>33</v>
      </c>
      <c r="P2226" t="s">
        <v>34</v>
      </c>
      <c r="Q2226" t="s">
        <v>34</v>
      </c>
      <c r="R2226" t="s">
        <v>34</v>
      </c>
      <c r="S2226" t="s">
        <v>34</v>
      </c>
      <c r="T2226" s="117">
        <v>0</v>
      </c>
    </row>
    <row r="2227" spans="1:21" x14ac:dyDescent="0.35">
      <c r="A2227" t="s">
        <v>20</v>
      </c>
      <c r="B2227" t="s">
        <v>21</v>
      </c>
      <c r="C2227" s="1">
        <v>45616</v>
      </c>
      <c r="D2227">
        <f t="shared" si="155"/>
        <v>20</v>
      </c>
      <c r="E2227">
        <f t="shared" si="156"/>
        <v>11</v>
      </c>
      <c r="F2227">
        <f t="shared" si="157"/>
        <v>2024</v>
      </c>
      <c r="G2227" t="s">
        <v>118</v>
      </c>
      <c r="H2227" s="171">
        <v>12067</v>
      </c>
      <c r="I2227" s="29">
        <v>8330.36</v>
      </c>
      <c r="J2227" s="12" t="s">
        <v>31</v>
      </c>
      <c r="K2227" s="76">
        <f t="shared" si="159"/>
        <v>8330.36</v>
      </c>
      <c r="L2227">
        <v>1</v>
      </c>
      <c r="M2227" s="29">
        <v>0</v>
      </c>
      <c r="N2227" t="s">
        <v>42</v>
      </c>
      <c r="O2227" t="s">
        <v>33</v>
      </c>
      <c r="P2227" t="s">
        <v>34</v>
      </c>
      <c r="Q2227" t="s">
        <v>34</v>
      </c>
      <c r="R2227" t="s">
        <v>34</v>
      </c>
      <c r="S2227" t="s">
        <v>34</v>
      </c>
      <c r="T2227" s="117">
        <v>0</v>
      </c>
      <c r="U2227" s="209" t="s">
        <v>1054</v>
      </c>
    </row>
    <row r="2228" spans="1:21" x14ac:dyDescent="0.35">
      <c r="A2228" t="s">
        <v>20</v>
      </c>
      <c r="B2228" t="s">
        <v>21</v>
      </c>
      <c r="C2228" s="1">
        <v>45616</v>
      </c>
      <c r="D2228">
        <f t="shared" si="155"/>
        <v>20</v>
      </c>
      <c r="E2228">
        <f t="shared" si="156"/>
        <v>11</v>
      </c>
      <c r="F2228">
        <f t="shared" si="157"/>
        <v>2024</v>
      </c>
      <c r="G2228" t="s">
        <v>118</v>
      </c>
      <c r="H2228" s="171">
        <v>11643</v>
      </c>
      <c r="I2228" s="29">
        <v>53.2</v>
      </c>
      <c r="J2228" s="12" t="s">
        <v>31</v>
      </c>
      <c r="K2228" s="76">
        <f t="shared" si="159"/>
        <v>53.2</v>
      </c>
      <c r="L2228">
        <v>1</v>
      </c>
      <c r="M2228" s="29">
        <v>0</v>
      </c>
      <c r="N2228" t="s">
        <v>42</v>
      </c>
      <c r="O2228" t="s">
        <v>33</v>
      </c>
      <c r="P2228" t="s">
        <v>34</v>
      </c>
      <c r="Q2228" t="s">
        <v>34</v>
      </c>
      <c r="R2228" t="s">
        <v>34</v>
      </c>
      <c r="S2228" t="s">
        <v>34</v>
      </c>
      <c r="T2228" s="117">
        <v>0</v>
      </c>
    </row>
    <row r="2229" spans="1:21" x14ac:dyDescent="0.35">
      <c r="A2229" t="s">
        <v>20</v>
      </c>
      <c r="B2229" t="s">
        <v>21</v>
      </c>
      <c r="C2229" s="1">
        <v>45616</v>
      </c>
      <c r="D2229">
        <f t="shared" si="155"/>
        <v>20</v>
      </c>
      <c r="E2229">
        <f t="shared" si="156"/>
        <v>11</v>
      </c>
      <c r="F2229">
        <f t="shared" si="157"/>
        <v>2024</v>
      </c>
      <c r="G2229" t="s">
        <v>118</v>
      </c>
      <c r="H2229" s="171">
        <v>12067</v>
      </c>
      <c r="I2229" s="29">
        <v>1199.6600000000001</v>
      </c>
      <c r="J2229" s="12" t="s">
        <v>31</v>
      </c>
      <c r="K2229" s="76">
        <f t="shared" si="159"/>
        <v>1199.6600000000001</v>
      </c>
      <c r="L2229">
        <v>1</v>
      </c>
      <c r="M2229" s="29">
        <v>0</v>
      </c>
      <c r="N2229" t="s">
        <v>42</v>
      </c>
      <c r="O2229" t="s">
        <v>33</v>
      </c>
      <c r="P2229" t="s">
        <v>34</v>
      </c>
      <c r="Q2229" t="s">
        <v>34</v>
      </c>
      <c r="R2229" t="s">
        <v>34</v>
      </c>
      <c r="S2229" t="s">
        <v>34</v>
      </c>
      <c r="T2229" s="117">
        <v>0</v>
      </c>
      <c r="U2229" s="209" t="s">
        <v>1055</v>
      </c>
    </row>
    <row r="2230" spans="1:21" x14ac:dyDescent="0.35">
      <c r="A2230" t="s">
        <v>20</v>
      </c>
      <c r="B2230" t="s">
        <v>21</v>
      </c>
      <c r="C2230" s="1">
        <v>45616</v>
      </c>
      <c r="D2230">
        <f t="shared" si="155"/>
        <v>20</v>
      </c>
      <c r="E2230">
        <f t="shared" si="156"/>
        <v>11</v>
      </c>
      <c r="F2230">
        <f t="shared" si="157"/>
        <v>2024</v>
      </c>
      <c r="G2230" t="s">
        <v>595</v>
      </c>
      <c r="H2230" s="98">
        <v>11637</v>
      </c>
      <c r="I2230" s="29">
        <v>134</v>
      </c>
      <c r="J2230" s="12" t="s">
        <v>31</v>
      </c>
      <c r="K2230" s="76">
        <f t="shared" si="159"/>
        <v>134</v>
      </c>
      <c r="L2230">
        <v>1</v>
      </c>
      <c r="M2230" s="29">
        <v>0</v>
      </c>
      <c r="N2230" t="s">
        <v>42</v>
      </c>
      <c r="O2230" t="s">
        <v>33</v>
      </c>
      <c r="P2230" t="s">
        <v>34</v>
      </c>
      <c r="Q2230" t="s">
        <v>34</v>
      </c>
      <c r="R2230" t="s">
        <v>34</v>
      </c>
      <c r="S2230" t="s">
        <v>34</v>
      </c>
      <c r="T2230" s="117">
        <v>0</v>
      </c>
    </row>
    <row r="2231" spans="1:21" x14ac:dyDescent="0.35">
      <c r="A2231" t="s">
        <v>20</v>
      </c>
      <c r="B2231" t="s">
        <v>21</v>
      </c>
      <c r="C2231" s="1">
        <v>45616</v>
      </c>
      <c r="D2231">
        <f t="shared" si="155"/>
        <v>20</v>
      </c>
      <c r="E2231">
        <f t="shared" si="156"/>
        <v>11</v>
      </c>
      <c r="F2231">
        <f t="shared" si="157"/>
        <v>2024</v>
      </c>
      <c r="G2231" t="s">
        <v>595</v>
      </c>
      <c r="H2231" s="98">
        <v>11639</v>
      </c>
      <c r="I2231" s="29">
        <v>69</v>
      </c>
      <c r="J2231" s="12" t="s">
        <v>31</v>
      </c>
      <c r="K2231" s="76">
        <f t="shared" si="159"/>
        <v>69</v>
      </c>
      <c r="L2231">
        <v>1</v>
      </c>
      <c r="M2231" s="29">
        <v>0</v>
      </c>
      <c r="N2231" t="s">
        <v>42</v>
      </c>
      <c r="O2231" t="s">
        <v>33</v>
      </c>
      <c r="P2231" t="s">
        <v>34</v>
      </c>
      <c r="Q2231" t="s">
        <v>34</v>
      </c>
      <c r="R2231" t="s">
        <v>34</v>
      </c>
      <c r="S2231" t="s">
        <v>34</v>
      </c>
      <c r="T2231" s="117">
        <v>0</v>
      </c>
    </row>
    <row r="2232" spans="1:21" x14ac:dyDescent="0.35">
      <c r="A2232" t="s">
        <v>20</v>
      </c>
      <c r="B2232" t="s">
        <v>21</v>
      </c>
      <c r="C2232" s="1">
        <v>45616</v>
      </c>
      <c r="D2232">
        <f t="shared" si="155"/>
        <v>20</v>
      </c>
      <c r="E2232">
        <f t="shared" si="156"/>
        <v>11</v>
      </c>
      <c r="F2232">
        <f t="shared" si="157"/>
        <v>2024</v>
      </c>
      <c r="G2232" t="s">
        <v>595</v>
      </c>
      <c r="H2232" s="98">
        <v>11640</v>
      </c>
      <c r="I2232" s="29">
        <v>1324.8</v>
      </c>
      <c r="J2232" s="12" t="s">
        <v>31</v>
      </c>
      <c r="K2232" s="76">
        <f t="shared" si="159"/>
        <v>1324.8</v>
      </c>
      <c r="L2232">
        <v>1</v>
      </c>
      <c r="M2232" s="29">
        <v>0</v>
      </c>
      <c r="N2232" t="s">
        <v>42</v>
      </c>
      <c r="O2232" t="s">
        <v>33</v>
      </c>
      <c r="P2232" t="s">
        <v>34</v>
      </c>
      <c r="Q2232" t="s">
        <v>34</v>
      </c>
      <c r="R2232" t="s">
        <v>34</v>
      </c>
      <c r="S2232" t="s">
        <v>34</v>
      </c>
      <c r="T2232" s="117">
        <v>0</v>
      </c>
    </row>
    <row r="2233" spans="1:21" x14ac:dyDescent="0.35">
      <c r="A2233" t="s">
        <v>20</v>
      </c>
      <c r="B2233" t="s">
        <v>21</v>
      </c>
      <c r="C2233" s="1">
        <v>45616</v>
      </c>
      <c r="D2233">
        <f t="shared" si="155"/>
        <v>20</v>
      </c>
      <c r="E2233">
        <f t="shared" si="156"/>
        <v>11</v>
      </c>
      <c r="F2233">
        <f t="shared" si="157"/>
        <v>2024</v>
      </c>
      <c r="G2233" t="s">
        <v>595</v>
      </c>
      <c r="H2233" s="98">
        <v>11880</v>
      </c>
      <c r="I2233" s="29">
        <v>3538.61</v>
      </c>
      <c r="J2233" s="12" t="s">
        <v>31</v>
      </c>
      <c r="K2233" s="76">
        <f t="shared" si="159"/>
        <v>3538.61</v>
      </c>
      <c r="L2233">
        <v>1</v>
      </c>
      <c r="M2233" s="29">
        <v>0</v>
      </c>
      <c r="N2233" t="s">
        <v>42</v>
      </c>
      <c r="O2233" t="s">
        <v>33</v>
      </c>
      <c r="P2233" t="s">
        <v>34</v>
      </c>
      <c r="Q2233" t="s">
        <v>34</v>
      </c>
      <c r="R2233" t="s">
        <v>34</v>
      </c>
      <c r="S2233" t="s">
        <v>34</v>
      </c>
      <c r="T2233" s="117">
        <v>0</v>
      </c>
      <c r="U2233" s="209" t="s">
        <v>1008</v>
      </c>
    </row>
    <row r="2234" spans="1:21" x14ac:dyDescent="0.35">
      <c r="A2234" t="s">
        <v>20</v>
      </c>
      <c r="B2234" t="s">
        <v>23</v>
      </c>
      <c r="C2234" s="1">
        <v>45616</v>
      </c>
      <c r="D2234">
        <f t="shared" si="155"/>
        <v>20</v>
      </c>
      <c r="E2234">
        <f t="shared" si="156"/>
        <v>11</v>
      </c>
      <c r="F2234">
        <f t="shared" si="157"/>
        <v>2024</v>
      </c>
      <c r="G2234" t="s">
        <v>534</v>
      </c>
      <c r="H2234" s="98">
        <v>11285</v>
      </c>
      <c r="I2234" s="29">
        <v>441</v>
      </c>
      <c r="J2234" s="12" t="s">
        <v>31</v>
      </c>
      <c r="K2234" s="76">
        <f t="shared" si="159"/>
        <v>441</v>
      </c>
      <c r="L2234">
        <v>1</v>
      </c>
      <c r="M2234" s="29">
        <v>0</v>
      </c>
      <c r="N2234" t="s">
        <v>32</v>
      </c>
      <c r="O2234" t="s">
        <v>33</v>
      </c>
      <c r="P2234" t="s">
        <v>34</v>
      </c>
      <c r="Q2234" t="s">
        <v>34</v>
      </c>
      <c r="R2234" t="s">
        <v>34</v>
      </c>
      <c r="S2234" t="s">
        <v>34</v>
      </c>
      <c r="T2234" s="117">
        <v>0</v>
      </c>
    </row>
    <row r="2235" spans="1:21" x14ac:dyDescent="0.35">
      <c r="A2235" t="s">
        <v>20</v>
      </c>
      <c r="B2235" t="s">
        <v>23</v>
      </c>
      <c r="C2235" s="1">
        <v>45616</v>
      </c>
      <c r="D2235">
        <f t="shared" si="155"/>
        <v>20</v>
      </c>
      <c r="E2235">
        <f t="shared" si="156"/>
        <v>11</v>
      </c>
      <c r="F2235">
        <f t="shared" si="157"/>
        <v>2024</v>
      </c>
      <c r="G2235" t="s">
        <v>534</v>
      </c>
      <c r="H2235" s="98">
        <v>11287</v>
      </c>
      <c r="I2235" s="29">
        <v>156.35</v>
      </c>
      <c r="J2235" s="12" t="s">
        <v>31</v>
      </c>
      <c r="K2235" s="76">
        <f t="shared" si="159"/>
        <v>156.35</v>
      </c>
      <c r="L2235">
        <v>1</v>
      </c>
      <c r="M2235" s="29">
        <v>0</v>
      </c>
      <c r="N2235" t="s">
        <v>32</v>
      </c>
      <c r="O2235" t="s">
        <v>33</v>
      </c>
      <c r="P2235" t="s">
        <v>34</v>
      </c>
      <c r="Q2235" t="s">
        <v>34</v>
      </c>
      <c r="R2235" t="s">
        <v>34</v>
      </c>
      <c r="S2235" t="s">
        <v>34</v>
      </c>
      <c r="T2235" s="117">
        <v>0</v>
      </c>
    </row>
    <row r="2236" spans="1:21" x14ac:dyDescent="0.35">
      <c r="A2236" t="s">
        <v>20</v>
      </c>
      <c r="B2236" t="s">
        <v>21</v>
      </c>
      <c r="C2236" s="1">
        <v>45616</v>
      </c>
      <c r="D2236">
        <f t="shared" si="155"/>
        <v>20</v>
      </c>
      <c r="E2236">
        <f t="shared" si="156"/>
        <v>11</v>
      </c>
      <c r="F2236">
        <f t="shared" si="157"/>
        <v>2024</v>
      </c>
      <c r="G2236" t="s">
        <v>299</v>
      </c>
      <c r="H2236" s="98">
        <v>12485</v>
      </c>
      <c r="I2236" s="29">
        <v>4301.92</v>
      </c>
      <c r="J2236" s="12" t="s">
        <v>31</v>
      </c>
      <c r="K2236" s="76">
        <f t="shared" si="159"/>
        <v>4301.92</v>
      </c>
      <c r="L2236">
        <v>1</v>
      </c>
      <c r="M2236" s="29">
        <v>0</v>
      </c>
      <c r="N2236" t="s">
        <v>42</v>
      </c>
      <c r="O2236" t="s">
        <v>33</v>
      </c>
      <c r="P2236" t="s">
        <v>34</v>
      </c>
      <c r="Q2236" t="s">
        <v>34</v>
      </c>
      <c r="R2236" t="s">
        <v>34</v>
      </c>
      <c r="S2236" t="s">
        <v>34</v>
      </c>
      <c r="T2236" s="117">
        <v>0</v>
      </c>
      <c r="U2236" s="210" t="s">
        <v>1385</v>
      </c>
    </row>
    <row r="2237" spans="1:21" x14ac:dyDescent="0.35">
      <c r="A2237" t="s">
        <v>20</v>
      </c>
      <c r="B2237" t="s">
        <v>21</v>
      </c>
      <c r="C2237" s="1">
        <v>45616</v>
      </c>
      <c r="D2237">
        <f t="shared" si="155"/>
        <v>20</v>
      </c>
      <c r="E2237">
        <f t="shared" si="156"/>
        <v>11</v>
      </c>
      <c r="F2237">
        <f t="shared" si="157"/>
        <v>2024</v>
      </c>
      <c r="G2237" t="s">
        <v>299</v>
      </c>
      <c r="H2237" s="98">
        <v>12090</v>
      </c>
      <c r="I2237" s="29">
        <v>113</v>
      </c>
      <c r="J2237" s="12" t="s">
        <v>31</v>
      </c>
      <c r="K2237" s="76">
        <f t="shared" si="159"/>
        <v>113</v>
      </c>
      <c r="L2237">
        <v>1</v>
      </c>
      <c r="M2237" s="29">
        <v>0</v>
      </c>
      <c r="N2237" t="s">
        <v>42</v>
      </c>
      <c r="O2237" t="s">
        <v>33</v>
      </c>
      <c r="P2237" t="s">
        <v>34</v>
      </c>
      <c r="Q2237" t="s">
        <v>34</v>
      </c>
      <c r="R2237" t="s">
        <v>34</v>
      </c>
      <c r="S2237" t="s">
        <v>34</v>
      </c>
      <c r="T2237" s="117">
        <v>0</v>
      </c>
      <c r="U2237" s="209" t="s">
        <v>1381</v>
      </c>
    </row>
    <row r="2238" spans="1:21" x14ac:dyDescent="0.35">
      <c r="A2238" t="s">
        <v>20</v>
      </c>
      <c r="B2238" t="s">
        <v>21</v>
      </c>
      <c r="C2238" s="1">
        <v>45616</v>
      </c>
      <c r="D2238">
        <f t="shared" si="155"/>
        <v>20</v>
      </c>
      <c r="E2238">
        <f t="shared" si="156"/>
        <v>11</v>
      </c>
      <c r="F2238">
        <f t="shared" si="157"/>
        <v>2024</v>
      </c>
      <c r="G2238" t="s">
        <v>81</v>
      </c>
      <c r="H2238" s="98">
        <v>11607</v>
      </c>
      <c r="I2238" s="29">
        <v>171</v>
      </c>
      <c r="J2238" s="12" t="s">
        <v>31</v>
      </c>
      <c r="K2238" s="76">
        <f t="shared" si="159"/>
        <v>171</v>
      </c>
      <c r="L2238">
        <v>1</v>
      </c>
      <c r="M2238" s="29">
        <v>0</v>
      </c>
      <c r="N2238" t="s">
        <v>42</v>
      </c>
      <c r="O2238" t="s">
        <v>33</v>
      </c>
      <c r="P2238" t="s">
        <v>34</v>
      </c>
      <c r="Q2238" t="s">
        <v>34</v>
      </c>
      <c r="R2238" t="s">
        <v>34</v>
      </c>
      <c r="S2238" t="s">
        <v>34</v>
      </c>
      <c r="T2238" s="117">
        <v>0</v>
      </c>
    </row>
    <row r="2239" spans="1:21" x14ac:dyDescent="0.35">
      <c r="A2239" t="s">
        <v>20</v>
      </c>
      <c r="B2239" t="s">
        <v>21</v>
      </c>
      <c r="C2239" s="1">
        <v>45616</v>
      </c>
      <c r="D2239">
        <f t="shared" si="155"/>
        <v>20</v>
      </c>
      <c r="E2239">
        <f t="shared" si="156"/>
        <v>11</v>
      </c>
      <c r="F2239">
        <f t="shared" si="157"/>
        <v>2024</v>
      </c>
      <c r="G2239" t="s">
        <v>81</v>
      </c>
      <c r="H2239" s="98">
        <v>11608</v>
      </c>
      <c r="I2239" s="29">
        <v>1995</v>
      </c>
      <c r="J2239" s="12" t="s">
        <v>31</v>
      </c>
      <c r="K2239" s="76">
        <f t="shared" si="159"/>
        <v>1995</v>
      </c>
      <c r="L2239">
        <v>1</v>
      </c>
      <c r="M2239" s="29">
        <v>0</v>
      </c>
      <c r="N2239" t="s">
        <v>42</v>
      </c>
      <c r="O2239" t="s">
        <v>33</v>
      </c>
      <c r="P2239" t="s">
        <v>34</v>
      </c>
      <c r="Q2239" t="s">
        <v>34</v>
      </c>
      <c r="R2239" t="s">
        <v>34</v>
      </c>
      <c r="S2239" t="s">
        <v>34</v>
      </c>
      <c r="T2239" s="117">
        <v>0</v>
      </c>
    </row>
    <row r="2240" spans="1:21" x14ac:dyDescent="0.35">
      <c r="A2240" t="s">
        <v>19</v>
      </c>
      <c r="B2240" t="s">
        <v>21</v>
      </c>
      <c r="C2240" s="1">
        <v>45616</v>
      </c>
      <c r="D2240">
        <f t="shared" si="155"/>
        <v>20</v>
      </c>
      <c r="E2240">
        <f t="shared" si="156"/>
        <v>11</v>
      </c>
      <c r="F2240">
        <f t="shared" si="157"/>
        <v>2024</v>
      </c>
      <c r="G2240" t="s">
        <v>40</v>
      </c>
      <c r="H2240" s="98">
        <v>11058</v>
      </c>
      <c r="I2240" s="29">
        <v>39.4</v>
      </c>
      <c r="J2240" s="12" t="s">
        <v>31</v>
      </c>
      <c r="K2240" s="76">
        <f t="shared" si="159"/>
        <v>39.4</v>
      </c>
      <c r="L2240">
        <v>1</v>
      </c>
      <c r="M2240" s="29">
        <v>0</v>
      </c>
      <c r="N2240" t="s">
        <v>32</v>
      </c>
      <c r="O2240" t="s">
        <v>33</v>
      </c>
      <c r="P2240" t="s">
        <v>34</v>
      </c>
      <c r="Q2240" t="s">
        <v>34</v>
      </c>
      <c r="R2240" t="s">
        <v>34</v>
      </c>
      <c r="S2240" t="s">
        <v>34</v>
      </c>
      <c r="T2240" s="117">
        <v>0</v>
      </c>
    </row>
    <row r="2241" spans="1:21" x14ac:dyDescent="0.35">
      <c r="A2241" t="s">
        <v>19</v>
      </c>
      <c r="B2241" t="s">
        <v>21</v>
      </c>
      <c r="C2241" s="1">
        <v>45616</v>
      </c>
      <c r="D2241">
        <f t="shared" si="155"/>
        <v>20</v>
      </c>
      <c r="E2241">
        <f t="shared" si="156"/>
        <v>11</v>
      </c>
      <c r="F2241">
        <f t="shared" si="157"/>
        <v>2024</v>
      </c>
      <c r="G2241" t="s">
        <v>40</v>
      </c>
      <c r="H2241" s="98">
        <v>11057</v>
      </c>
      <c r="I2241" s="29">
        <v>6254.75</v>
      </c>
      <c r="J2241" s="12" t="s">
        <v>31</v>
      </c>
      <c r="K2241" s="76">
        <f t="shared" si="159"/>
        <v>6254.75</v>
      </c>
      <c r="L2241">
        <v>1</v>
      </c>
      <c r="M2241" s="29">
        <v>0</v>
      </c>
      <c r="N2241" t="s">
        <v>32</v>
      </c>
      <c r="O2241" t="s">
        <v>33</v>
      </c>
      <c r="P2241" t="s">
        <v>34</v>
      </c>
      <c r="Q2241" t="s">
        <v>34</v>
      </c>
      <c r="R2241" t="s">
        <v>34</v>
      </c>
      <c r="S2241" t="s">
        <v>34</v>
      </c>
      <c r="T2241" s="117">
        <v>0</v>
      </c>
    </row>
    <row r="2242" spans="1:21" x14ac:dyDescent="0.35">
      <c r="A2242" t="s">
        <v>19</v>
      </c>
      <c r="B2242" t="s">
        <v>23</v>
      </c>
      <c r="C2242" s="1">
        <v>45616</v>
      </c>
      <c r="D2242">
        <f t="shared" si="155"/>
        <v>20</v>
      </c>
      <c r="E2242">
        <f t="shared" si="156"/>
        <v>11</v>
      </c>
      <c r="F2242">
        <f t="shared" si="157"/>
        <v>2024</v>
      </c>
      <c r="G2242" t="s">
        <v>76</v>
      </c>
      <c r="H2242" s="98">
        <v>11119</v>
      </c>
      <c r="I2242" s="29">
        <v>57521.7</v>
      </c>
      <c r="J2242" s="12" t="s">
        <v>31</v>
      </c>
      <c r="K2242" s="76">
        <f t="shared" si="159"/>
        <v>57521.7</v>
      </c>
      <c r="L2242">
        <v>1</v>
      </c>
      <c r="M2242" s="29">
        <v>0</v>
      </c>
      <c r="N2242" t="s">
        <v>32</v>
      </c>
      <c r="O2242" t="s">
        <v>33</v>
      </c>
      <c r="P2242" t="s">
        <v>34</v>
      </c>
      <c r="Q2242" t="s">
        <v>34</v>
      </c>
      <c r="R2242" t="s">
        <v>34</v>
      </c>
      <c r="S2242" t="s">
        <v>34</v>
      </c>
      <c r="T2242" s="117">
        <v>0</v>
      </c>
    </row>
    <row r="2243" spans="1:21" x14ac:dyDescent="0.35">
      <c r="A2243" t="s">
        <v>19</v>
      </c>
      <c r="B2243" t="s">
        <v>21</v>
      </c>
      <c r="C2243" s="1">
        <v>45616</v>
      </c>
      <c r="D2243">
        <f t="shared" ref="D2243:D2306" si="160">DAY(C2243)</f>
        <v>20</v>
      </c>
      <c r="E2243">
        <f t="shared" ref="E2243:E2306" si="161">MONTH(C2243)</f>
        <v>11</v>
      </c>
      <c r="F2243">
        <f t="shared" ref="F2243:F2306" si="162">YEAR(C2243)</f>
        <v>2024</v>
      </c>
      <c r="G2243" t="s">
        <v>76</v>
      </c>
      <c r="H2243" s="98">
        <v>11119</v>
      </c>
      <c r="I2243" s="29">
        <v>11480.4</v>
      </c>
      <c r="J2243" s="12" t="s">
        <v>31</v>
      </c>
      <c r="K2243" s="76">
        <f t="shared" si="159"/>
        <v>11480.4</v>
      </c>
      <c r="L2243">
        <v>1</v>
      </c>
      <c r="M2243" s="29">
        <v>0</v>
      </c>
      <c r="N2243" t="s">
        <v>32</v>
      </c>
      <c r="O2243" t="s">
        <v>33</v>
      </c>
      <c r="P2243" t="s">
        <v>34</v>
      </c>
      <c r="Q2243" t="s">
        <v>34</v>
      </c>
      <c r="R2243" t="s">
        <v>34</v>
      </c>
      <c r="S2243" t="s">
        <v>34</v>
      </c>
      <c r="T2243" s="117">
        <v>0</v>
      </c>
    </row>
    <row r="2244" spans="1:21" x14ac:dyDescent="0.35">
      <c r="A2244" t="s">
        <v>19</v>
      </c>
      <c r="B2244" t="s">
        <v>24</v>
      </c>
      <c r="C2244" s="1">
        <v>45616</v>
      </c>
      <c r="D2244">
        <f t="shared" si="160"/>
        <v>20</v>
      </c>
      <c r="E2244">
        <f t="shared" si="161"/>
        <v>11</v>
      </c>
      <c r="F2244">
        <f t="shared" si="162"/>
        <v>2024</v>
      </c>
      <c r="G2244" t="s">
        <v>77</v>
      </c>
      <c r="H2244" s="98">
        <v>10760</v>
      </c>
      <c r="I2244" s="29">
        <v>15253.7</v>
      </c>
      <c r="J2244" s="12" t="s">
        <v>31</v>
      </c>
      <c r="K2244" s="76">
        <f t="shared" si="159"/>
        <v>15253.7</v>
      </c>
      <c r="L2244">
        <v>1</v>
      </c>
      <c r="M2244" s="29">
        <v>0</v>
      </c>
      <c r="N2244" t="s">
        <v>32</v>
      </c>
      <c r="O2244" t="s">
        <v>33</v>
      </c>
      <c r="P2244" t="s">
        <v>34</v>
      </c>
      <c r="Q2244" t="s">
        <v>34</v>
      </c>
      <c r="R2244" t="s">
        <v>34</v>
      </c>
      <c r="S2244" t="s">
        <v>34</v>
      </c>
      <c r="T2244" s="117">
        <v>0</v>
      </c>
    </row>
    <row r="2245" spans="1:21" x14ac:dyDescent="0.35">
      <c r="A2245" t="s">
        <v>19</v>
      </c>
      <c r="B2245" t="s">
        <v>25</v>
      </c>
      <c r="C2245" s="1">
        <v>45616</v>
      </c>
      <c r="D2245">
        <f t="shared" si="160"/>
        <v>20</v>
      </c>
      <c r="E2245">
        <f t="shared" si="161"/>
        <v>11</v>
      </c>
      <c r="F2245">
        <f t="shared" si="162"/>
        <v>2024</v>
      </c>
      <c r="G2245" t="s">
        <v>78</v>
      </c>
      <c r="H2245" s="98">
        <v>11457</v>
      </c>
      <c r="I2245" s="76">
        <v>477.5</v>
      </c>
      <c r="J2245" s="12" t="s">
        <v>51</v>
      </c>
      <c r="K2245" s="76">
        <f>IF(J2245="USD",I2245,I2245*L2245)-0.01</f>
        <v>506.66524999999996</v>
      </c>
      <c r="L2245">
        <v>1.0610999999999999</v>
      </c>
      <c r="M2245" s="29">
        <v>0</v>
      </c>
      <c r="N2245" t="s">
        <v>32</v>
      </c>
      <c r="O2245" t="s">
        <v>33</v>
      </c>
      <c r="P2245" t="s">
        <v>34</v>
      </c>
      <c r="Q2245" t="s">
        <v>34</v>
      </c>
      <c r="R2245" t="s">
        <v>34</v>
      </c>
      <c r="S2245" t="s">
        <v>34</v>
      </c>
      <c r="T2245" s="117">
        <v>0</v>
      </c>
    </row>
    <row r="2246" spans="1:21" x14ac:dyDescent="0.35">
      <c r="A2246" t="s">
        <v>19</v>
      </c>
      <c r="B2246" t="s">
        <v>25</v>
      </c>
      <c r="C2246" s="1">
        <v>45616</v>
      </c>
      <c r="D2246">
        <f t="shared" si="160"/>
        <v>20</v>
      </c>
      <c r="E2246">
        <f t="shared" si="161"/>
        <v>11</v>
      </c>
      <c r="F2246">
        <f t="shared" si="162"/>
        <v>2024</v>
      </c>
      <c r="G2246" t="s">
        <v>351</v>
      </c>
      <c r="H2246" s="98">
        <v>10965</v>
      </c>
      <c r="I2246" s="76">
        <v>258</v>
      </c>
      <c r="J2246" s="12" t="s">
        <v>31</v>
      </c>
      <c r="K2246" s="76">
        <f>IF(J2246="USD",I2246,I2246*L2246)</f>
        <v>258</v>
      </c>
      <c r="L2246">
        <v>1</v>
      </c>
      <c r="M2246" s="29">
        <v>0</v>
      </c>
      <c r="N2246" t="s">
        <v>32</v>
      </c>
      <c r="O2246" t="s">
        <v>33</v>
      </c>
      <c r="P2246" t="s">
        <v>34</v>
      </c>
      <c r="Q2246" t="s">
        <v>34</v>
      </c>
      <c r="R2246" t="s">
        <v>34</v>
      </c>
      <c r="S2246" t="s">
        <v>34</v>
      </c>
      <c r="T2246" s="117">
        <v>0</v>
      </c>
    </row>
    <row r="2247" spans="1:21" x14ac:dyDescent="0.35">
      <c r="A2247" t="s">
        <v>19</v>
      </c>
      <c r="B2247" t="s">
        <v>25</v>
      </c>
      <c r="C2247" s="1">
        <v>45616</v>
      </c>
      <c r="D2247">
        <f t="shared" si="160"/>
        <v>20</v>
      </c>
      <c r="E2247">
        <f t="shared" si="161"/>
        <v>11</v>
      </c>
      <c r="F2247">
        <f t="shared" si="162"/>
        <v>2024</v>
      </c>
      <c r="G2247" t="s">
        <v>1146</v>
      </c>
      <c r="H2247" s="98">
        <v>11400</v>
      </c>
      <c r="I2247" s="76">
        <v>3357.9</v>
      </c>
      <c r="J2247" s="12" t="s">
        <v>51</v>
      </c>
      <c r="K2247" s="76">
        <f>IF(J2247="USD",I2247,I2247*L2247)-0.01</f>
        <v>3563.0576899999996</v>
      </c>
      <c r="L2247">
        <v>1.0610999999999999</v>
      </c>
      <c r="M2247" s="29">
        <v>0</v>
      </c>
      <c r="N2247" t="s">
        <v>42</v>
      </c>
      <c r="O2247" t="s">
        <v>33</v>
      </c>
      <c r="P2247" t="s">
        <v>34</v>
      </c>
      <c r="Q2247" t="s">
        <v>34</v>
      </c>
      <c r="R2247" t="s">
        <v>34</v>
      </c>
      <c r="S2247" t="s">
        <v>34</v>
      </c>
      <c r="T2247" s="117">
        <v>0</v>
      </c>
    </row>
    <row r="2248" spans="1:21" x14ac:dyDescent="0.35">
      <c r="A2248" t="s">
        <v>19</v>
      </c>
      <c r="B2248" t="s">
        <v>25</v>
      </c>
      <c r="C2248" s="1">
        <v>45616</v>
      </c>
      <c r="D2248">
        <f t="shared" si="160"/>
        <v>20</v>
      </c>
      <c r="E2248">
        <f t="shared" si="161"/>
        <v>11</v>
      </c>
      <c r="F2248">
        <f t="shared" si="162"/>
        <v>2024</v>
      </c>
      <c r="G2248" t="s">
        <v>36</v>
      </c>
      <c r="H2248" s="98">
        <v>10708</v>
      </c>
      <c r="I2248" s="76">
        <v>72830</v>
      </c>
      <c r="J2248" s="12" t="s">
        <v>31</v>
      </c>
      <c r="K2248" s="76">
        <f t="shared" ref="K2248:K2271" si="163">IF(J2248="USD",I2248,I2248*L2248)</f>
        <v>72830</v>
      </c>
      <c r="L2248">
        <v>1</v>
      </c>
      <c r="M2248" s="29">
        <v>0</v>
      </c>
      <c r="N2248" t="s">
        <v>32</v>
      </c>
      <c r="O2248" t="s">
        <v>33</v>
      </c>
      <c r="P2248" t="s">
        <v>34</v>
      </c>
      <c r="Q2248" t="s">
        <v>34</v>
      </c>
      <c r="R2248" t="s">
        <v>34</v>
      </c>
      <c r="S2248" t="s">
        <v>34</v>
      </c>
      <c r="T2248" s="117">
        <v>0</v>
      </c>
      <c r="U2248" s="209" t="s">
        <v>703</v>
      </c>
    </row>
    <row r="2249" spans="1:21" x14ac:dyDescent="0.35">
      <c r="A2249" t="s">
        <v>19</v>
      </c>
      <c r="B2249" t="s">
        <v>21</v>
      </c>
      <c r="C2249" s="1">
        <v>45616</v>
      </c>
      <c r="D2249">
        <f t="shared" si="160"/>
        <v>20</v>
      </c>
      <c r="E2249">
        <f t="shared" si="161"/>
        <v>11</v>
      </c>
      <c r="F2249">
        <f t="shared" si="162"/>
        <v>2024</v>
      </c>
      <c r="G2249" t="s">
        <v>36</v>
      </c>
      <c r="H2249" s="98">
        <v>11140</v>
      </c>
      <c r="I2249" s="29">
        <v>78</v>
      </c>
      <c r="J2249" s="12" t="s">
        <v>31</v>
      </c>
      <c r="K2249" s="76">
        <f t="shared" si="163"/>
        <v>78</v>
      </c>
      <c r="L2249">
        <v>1</v>
      </c>
      <c r="M2249" s="29">
        <v>0</v>
      </c>
      <c r="N2249" t="s">
        <v>32</v>
      </c>
      <c r="O2249" t="s">
        <v>33</v>
      </c>
      <c r="P2249" t="s">
        <v>34</v>
      </c>
      <c r="Q2249" t="s">
        <v>34</v>
      </c>
      <c r="R2249" t="s">
        <v>34</v>
      </c>
      <c r="S2249" t="s">
        <v>34</v>
      </c>
      <c r="T2249" s="117">
        <v>0</v>
      </c>
    </row>
    <row r="2250" spans="1:21" x14ac:dyDescent="0.35">
      <c r="A2250" t="s">
        <v>19</v>
      </c>
      <c r="B2250" t="s">
        <v>21</v>
      </c>
      <c r="C2250" s="1">
        <v>45616</v>
      </c>
      <c r="D2250">
        <f t="shared" si="160"/>
        <v>20</v>
      </c>
      <c r="E2250">
        <f t="shared" si="161"/>
        <v>11</v>
      </c>
      <c r="F2250">
        <f t="shared" si="162"/>
        <v>2024</v>
      </c>
      <c r="G2250" t="s">
        <v>36</v>
      </c>
      <c r="H2250" s="98">
        <v>11141</v>
      </c>
      <c r="I2250" s="29">
        <v>18701</v>
      </c>
      <c r="J2250" s="12" t="s">
        <v>31</v>
      </c>
      <c r="K2250" s="76">
        <f t="shared" si="163"/>
        <v>18701</v>
      </c>
      <c r="L2250">
        <v>1</v>
      </c>
      <c r="M2250" s="29">
        <v>0</v>
      </c>
      <c r="N2250" t="s">
        <v>32</v>
      </c>
      <c r="O2250" t="s">
        <v>33</v>
      </c>
      <c r="P2250" t="s">
        <v>34</v>
      </c>
      <c r="Q2250" t="s">
        <v>34</v>
      </c>
      <c r="R2250" t="s">
        <v>34</v>
      </c>
      <c r="S2250" t="s">
        <v>34</v>
      </c>
      <c r="T2250" s="117">
        <v>0</v>
      </c>
    </row>
    <row r="2251" spans="1:21" x14ac:dyDescent="0.35">
      <c r="A2251" t="s">
        <v>19</v>
      </c>
      <c r="B2251" t="s">
        <v>21</v>
      </c>
      <c r="C2251" s="1">
        <v>45616</v>
      </c>
      <c r="D2251">
        <f t="shared" si="160"/>
        <v>20</v>
      </c>
      <c r="E2251">
        <f t="shared" si="161"/>
        <v>11</v>
      </c>
      <c r="F2251">
        <f t="shared" si="162"/>
        <v>2024</v>
      </c>
      <c r="G2251" t="s">
        <v>36</v>
      </c>
      <c r="H2251" s="98">
        <v>11387</v>
      </c>
      <c r="I2251" s="29">
        <v>61.8</v>
      </c>
      <c r="J2251" s="12" t="s">
        <v>31</v>
      </c>
      <c r="K2251" s="76">
        <f t="shared" si="163"/>
        <v>61.8</v>
      </c>
      <c r="L2251">
        <v>1</v>
      </c>
      <c r="M2251" s="29">
        <v>0</v>
      </c>
      <c r="N2251" t="s">
        <v>32</v>
      </c>
      <c r="O2251" t="s">
        <v>33</v>
      </c>
      <c r="P2251" t="s">
        <v>34</v>
      </c>
      <c r="Q2251" t="s">
        <v>34</v>
      </c>
      <c r="R2251" t="s">
        <v>34</v>
      </c>
      <c r="S2251" t="s">
        <v>34</v>
      </c>
      <c r="T2251" s="117">
        <v>0</v>
      </c>
    </row>
    <row r="2252" spans="1:21" x14ac:dyDescent="0.35">
      <c r="A2252" t="s">
        <v>19</v>
      </c>
      <c r="B2252" t="s">
        <v>21</v>
      </c>
      <c r="C2252" s="1">
        <v>45616</v>
      </c>
      <c r="D2252">
        <f t="shared" si="160"/>
        <v>20</v>
      </c>
      <c r="E2252">
        <f t="shared" si="161"/>
        <v>11</v>
      </c>
      <c r="F2252">
        <f t="shared" si="162"/>
        <v>2024</v>
      </c>
      <c r="G2252" t="s">
        <v>39</v>
      </c>
      <c r="H2252" s="98">
        <v>10999</v>
      </c>
      <c r="I2252" s="29">
        <v>20</v>
      </c>
      <c r="J2252" s="12" t="s">
        <v>31</v>
      </c>
      <c r="K2252" s="76">
        <f t="shared" si="163"/>
        <v>20</v>
      </c>
      <c r="L2252">
        <v>1</v>
      </c>
      <c r="M2252" s="29">
        <v>0</v>
      </c>
      <c r="N2252" t="s">
        <v>32</v>
      </c>
      <c r="O2252" t="s">
        <v>33</v>
      </c>
      <c r="P2252" t="s">
        <v>34</v>
      </c>
      <c r="Q2252" t="s">
        <v>34</v>
      </c>
      <c r="R2252" t="s">
        <v>34</v>
      </c>
      <c r="S2252" t="s">
        <v>34</v>
      </c>
      <c r="T2252" s="117">
        <v>0</v>
      </c>
    </row>
    <row r="2253" spans="1:21" x14ac:dyDescent="0.35">
      <c r="A2253" t="s">
        <v>19</v>
      </c>
      <c r="B2253" t="s">
        <v>24</v>
      </c>
      <c r="C2253" s="1">
        <v>45616</v>
      </c>
      <c r="D2253">
        <f t="shared" si="160"/>
        <v>20</v>
      </c>
      <c r="E2253">
        <f t="shared" si="161"/>
        <v>11</v>
      </c>
      <c r="F2253">
        <f t="shared" si="162"/>
        <v>2024</v>
      </c>
      <c r="G2253" t="s">
        <v>39</v>
      </c>
      <c r="H2253" s="98">
        <v>11142</v>
      </c>
      <c r="I2253" s="29">
        <v>65.400000000000006</v>
      </c>
      <c r="J2253" s="12" t="s">
        <v>31</v>
      </c>
      <c r="K2253" s="76">
        <f t="shared" si="163"/>
        <v>65.400000000000006</v>
      </c>
      <c r="L2253">
        <v>1</v>
      </c>
      <c r="M2253" s="29">
        <v>0</v>
      </c>
      <c r="N2253" t="s">
        <v>32</v>
      </c>
      <c r="O2253" t="s">
        <v>33</v>
      </c>
      <c r="P2253" t="s">
        <v>34</v>
      </c>
      <c r="Q2253" t="s">
        <v>34</v>
      </c>
      <c r="R2253" t="s">
        <v>34</v>
      </c>
      <c r="S2253" t="s">
        <v>34</v>
      </c>
      <c r="T2253" s="117">
        <v>0</v>
      </c>
    </row>
    <row r="2254" spans="1:21" x14ac:dyDescent="0.35">
      <c r="A2254" t="s">
        <v>19</v>
      </c>
      <c r="B2254" t="s">
        <v>25</v>
      </c>
      <c r="C2254" s="1">
        <v>45616</v>
      </c>
      <c r="D2254">
        <f t="shared" si="160"/>
        <v>20</v>
      </c>
      <c r="E2254">
        <f t="shared" si="161"/>
        <v>11</v>
      </c>
      <c r="F2254">
        <f t="shared" si="162"/>
        <v>2024</v>
      </c>
      <c r="G2254" t="s">
        <v>39</v>
      </c>
      <c r="H2254" s="98">
        <v>11227</v>
      </c>
      <c r="I2254" s="29">
        <v>172.98</v>
      </c>
      <c r="J2254" s="12" t="s">
        <v>31</v>
      </c>
      <c r="K2254" s="76">
        <f t="shared" si="163"/>
        <v>172.98</v>
      </c>
      <c r="L2254">
        <v>1</v>
      </c>
      <c r="M2254" s="29">
        <v>0</v>
      </c>
      <c r="N2254" t="s">
        <v>32</v>
      </c>
      <c r="O2254" t="s">
        <v>33</v>
      </c>
      <c r="P2254" t="s">
        <v>34</v>
      </c>
      <c r="Q2254" t="s">
        <v>34</v>
      </c>
      <c r="R2254" t="s">
        <v>34</v>
      </c>
      <c r="S2254" t="s">
        <v>34</v>
      </c>
      <c r="T2254" s="117">
        <v>0</v>
      </c>
    </row>
    <row r="2255" spans="1:21" x14ac:dyDescent="0.35">
      <c r="A2255" t="s">
        <v>19</v>
      </c>
      <c r="B2255" t="s">
        <v>25</v>
      </c>
      <c r="C2255" s="1">
        <v>45616</v>
      </c>
      <c r="D2255">
        <f t="shared" si="160"/>
        <v>20</v>
      </c>
      <c r="E2255">
        <f t="shared" si="161"/>
        <v>11</v>
      </c>
      <c r="F2255">
        <f t="shared" si="162"/>
        <v>2024</v>
      </c>
      <c r="G2255" t="s">
        <v>39</v>
      </c>
      <c r="H2255" s="98">
        <v>11240</v>
      </c>
      <c r="I2255" s="29">
        <v>61.5</v>
      </c>
      <c r="J2255" s="12" t="s">
        <v>31</v>
      </c>
      <c r="K2255" s="76">
        <f t="shared" si="163"/>
        <v>61.5</v>
      </c>
      <c r="L2255">
        <v>1</v>
      </c>
      <c r="M2255" s="29">
        <v>0</v>
      </c>
      <c r="N2255" t="s">
        <v>32</v>
      </c>
      <c r="O2255" t="s">
        <v>33</v>
      </c>
      <c r="P2255" t="s">
        <v>34</v>
      </c>
      <c r="Q2255" t="s">
        <v>34</v>
      </c>
      <c r="R2255" t="s">
        <v>34</v>
      </c>
      <c r="S2255" t="s">
        <v>34</v>
      </c>
      <c r="T2255" s="117">
        <v>0</v>
      </c>
    </row>
    <row r="2256" spans="1:21" x14ac:dyDescent="0.35">
      <c r="A2256" t="s">
        <v>19</v>
      </c>
      <c r="B2256" t="s">
        <v>23</v>
      </c>
      <c r="C2256" s="1">
        <v>45616</v>
      </c>
      <c r="D2256">
        <f t="shared" si="160"/>
        <v>20</v>
      </c>
      <c r="E2256">
        <f t="shared" si="161"/>
        <v>11</v>
      </c>
      <c r="F2256">
        <f t="shared" si="162"/>
        <v>2024</v>
      </c>
      <c r="G2256" t="s">
        <v>39</v>
      </c>
      <c r="H2256" s="98">
        <v>11478</v>
      </c>
      <c r="I2256" s="29">
        <v>19664</v>
      </c>
      <c r="J2256" s="12" t="s">
        <v>31</v>
      </c>
      <c r="K2256" s="76">
        <f t="shared" si="163"/>
        <v>19664</v>
      </c>
      <c r="L2256">
        <v>1</v>
      </c>
      <c r="M2256" s="29">
        <v>0</v>
      </c>
      <c r="N2256" t="s">
        <v>32</v>
      </c>
      <c r="O2256" t="s">
        <v>33</v>
      </c>
      <c r="P2256" t="s">
        <v>34</v>
      </c>
      <c r="Q2256" t="s">
        <v>34</v>
      </c>
      <c r="R2256" t="s">
        <v>34</v>
      </c>
      <c r="S2256" t="s">
        <v>34</v>
      </c>
      <c r="T2256" s="117">
        <v>0</v>
      </c>
    </row>
    <row r="2257" spans="1:21" x14ac:dyDescent="0.35">
      <c r="A2257" t="s">
        <v>19</v>
      </c>
      <c r="B2257" t="s">
        <v>25</v>
      </c>
      <c r="C2257" s="1">
        <v>45616</v>
      </c>
      <c r="D2257">
        <f t="shared" si="160"/>
        <v>20</v>
      </c>
      <c r="E2257">
        <f t="shared" si="161"/>
        <v>11</v>
      </c>
      <c r="F2257">
        <f t="shared" si="162"/>
        <v>2024</v>
      </c>
      <c r="G2257" t="s">
        <v>80</v>
      </c>
      <c r="H2257" s="98">
        <v>10957</v>
      </c>
      <c r="I2257" s="29">
        <v>1527</v>
      </c>
      <c r="J2257" s="12" t="s">
        <v>31</v>
      </c>
      <c r="K2257" s="76">
        <f t="shared" si="163"/>
        <v>1527</v>
      </c>
      <c r="L2257">
        <v>1</v>
      </c>
      <c r="M2257" s="29">
        <v>0</v>
      </c>
      <c r="N2257" t="s">
        <v>32</v>
      </c>
      <c r="O2257" t="s">
        <v>33</v>
      </c>
      <c r="P2257" t="s">
        <v>34</v>
      </c>
      <c r="Q2257" t="s">
        <v>34</v>
      </c>
      <c r="R2257" t="s">
        <v>34</v>
      </c>
      <c r="S2257" t="s">
        <v>34</v>
      </c>
      <c r="T2257" s="117">
        <v>0</v>
      </c>
    </row>
    <row r="2258" spans="1:21" x14ac:dyDescent="0.35">
      <c r="A2258" t="s">
        <v>19</v>
      </c>
      <c r="B2258" t="s">
        <v>25</v>
      </c>
      <c r="C2258" s="1">
        <v>45616</v>
      </c>
      <c r="D2258">
        <f t="shared" si="160"/>
        <v>20</v>
      </c>
      <c r="E2258">
        <f t="shared" si="161"/>
        <v>11</v>
      </c>
      <c r="F2258">
        <f t="shared" si="162"/>
        <v>2024</v>
      </c>
      <c r="G2258" t="s">
        <v>38</v>
      </c>
      <c r="H2258" s="98">
        <v>10713</v>
      </c>
      <c r="I2258" s="29">
        <v>57791.51</v>
      </c>
      <c r="J2258" s="12" t="s">
        <v>31</v>
      </c>
      <c r="K2258" s="76">
        <f t="shared" si="163"/>
        <v>57791.51</v>
      </c>
      <c r="L2258">
        <v>1</v>
      </c>
      <c r="M2258" s="29">
        <v>0</v>
      </c>
      <c r="N2258" t="s">
        <v>32</v>
      </c>
      <c r="O2258" t="s">
        <v>33</v>
      </c>
      <c r="P2258" t="s">
        <v>34</v>
      </c>
      <c r="Q2258" t="s">
        <v>34</v>
      </c>
      <c r="R2258" t="s">
        <v>34</v>
      </c>
      <c r="S2258" t="s">
        <v>34</v>
      </c>
      <c r="T2258" s="117">
        <v>0</v>
      </c>
    </row>
    <row r="2259" spans="1:21" x14ac:dyDescent="0.35">
      <c r="A2259" t="s">
        <v>19</v>
      </c>
      <c r="B2259" t="s">
        <v>25</v>
      </c>
      <c r="C2259" s="1">
        <v>45616</v>
      </c>
      <c r="D2259">
        <f t="shared" si="160"/>
        <v>20</v>
      </c>
      <c r="E2259">
        <f t="shared" si="161"/>
        <v>11</v>
      </c>
      <c r="F2259">
        <f t="shared" si="162"/>
        <v>2024</v>
      </c>
      <c r="G2259" t="s">
        <v>35</v>
      </c>
      <c r="H2259" s="171">
        <v>11144</v>
      </c>
      <c r="I2259" s="90">
        <v>58.5</v>
      </c>
      <c r="J2259" s="12" t="s">
        <v>31</v>
      </c>
      <c r="K2259" s="76">
        <f t="shared" si="163"/>
        <v>58.5</v>
      </c>
      <c r="L2259">
        <v>1</v>
      </c>
      <c r="M2259" s="29">
        <v>0</v>
      </c>
      <c r="N2259" t="s">
        <v>32</v>
      </c>
      <c r="O2259" t="s">
        <v>33</v>
      </c>
      <c r="P2259" t="s">
        <v>34</v>
      </c>
      <c r="Q2259" t="s">
        <v>34</v>
      </c>
      <c r="R2259" t="s">
        <v>34</v>
      </c>
      <c r="S2259" t="s">
        <v>34</v>
      </c>
      <c r="T2259" s="117">
        <v>0</v>
      </c>
    </row>
    <row r="2260" spans="1:21" x14ac:dyDescent="0.35">
      <c r="A2260" t="s">
        <v>19</v>
      </c>
      <c r="B2260" t="s">
        <v>19</v>
      </c>
      <c r="C2260" s="1">
        <v>45616</v>
      </c>
      <c r="D2260">
        <f t="shared" si="160"/>
        <v>20</v>
      </c>
      <c r="E2260">
        <f t="shared" si="161"/>
        <v>11</v>
      </c>
      <c r="F2260">
        <f t="shared" si="162"/>
        <v>2024</v>
      </c>
      <c r="G2260" t="s">
        <v>56</v>
      </c>
      <c r="H2260" s="98" t="s">
        <v>569</v>
      </c>
      <c r="I2260" s="29">
        <v>104.75</v>
      </c>
      <c r="J2260" s="12" t="s">
        <v>31</v>
      </c>
      <c r="K2260" s="76">
        <f t="shared" si="163"/>
        <v>104.75</v>
      </c>
      <c r="L2260">
        <v>1</v>
      </c>
      <c r="M2260" s="29">
        <v>0</v>
      </c>
      <c r="N2260" t="s">
        <v>32</v>
      </c>
      <c r="O2260" t="s">
        <v>33</v>
      </c>
      <c r="P2260" t="s">
        <v>34</v>
      </c>
      <c r="Q2260" t="s">
        <v>34</v>
      </c>
      <c r="R2260" t="s">
        <v>34</v>
      </c>
      <c r="S2260" t="s">
        <v>34</v>
      </c>
      <c r="T2260" s="117">
        <v>0</v>
      </c>
      <c r="U2260" s="209" t="s">
        <v>667</v>
      </c>
    </row>
    <row r="2261" spans="1:21" x14ac:dyDescent="0.35">
      <c r="A2261" t="s">
        <v>19</v>
      </c>
      <c r="B2261" t="s">
        <v>19</v>
      </c>
      <c r="C2261" s="1">
        <v>45616</v>
      </c>
      <c r="D2261">
        <f t="shared" si="160"/>
        <v>20</v>
      </c>
      <c r="E2261">
        <f t="shared" si="161"/>
        <v>11</v>
      </c>
      <c r="F2261">
        <f t="shared" si="162"/>
        <v>2024</v>
      </c>
      <c r="G2261" t="s">
        <v>56</v>
      </c>
      <c r="H2261" s="98" t="s">
        <v>569</v>
      </c>
      <c r="I2261" s="29">
        <v>94.23</v>
      </c>
      <c r="J2261" s="12" t="s">
        <v>31</v>
      </c>
      <c r="K2261" s="76">
        <f t="shared" si="163"/>
        <v>94.23</v>
      </c>
      <c r="L2261">
        <v>1</v>
      </c>
      <c r="M2261" s="29">
        <v>0</v>
      </c>
      <c r="N2261" t="s">
        <v>32</v>
      </c>
      <c r="O2261" t="s">
        <v>33</v>
      </c>
      <c r="P2261" t="s">
        <v>34</v>
      </c>
      <c r="Q2261" t="s">
        <v>34</v>
      </c>
      <c r="R2261" t="s">
        <v>34</v>
      </c>
      <c r="S2261" t="s">
        <v>34</v>
      </c>
      <c r="T2261" s="117">
        <v>0</v>
      </c>
      <c r="U2261" s="209" t="s">
        <v>668</v>
      </c>
    </row>
    <row r="2262" spans="1:21" x14ac:dyDescent="0.35">
      <c r="A2262" t="s">
        <v>19</v>
      </c>
      <c r="B2262" t="s">
        <v>19</v>
      </c>
      <c r="C2262" s="1">
        <v>45616</v>
      </c>
      <c r="D2262">
        <f t="shared" si="160"/>
        <v>20</v>
      </c>
      <c r="E2262">
        <f t="shared" si="161"/>
        <v>11</v>
      </c>
      <c r="F2262">
        <f t="shared" si="162"/>
        <v>2024</v>
      </c>
      <c r="G2262" t="s">
        <v>56</v>
      </c>
      <c r="H2262" s="98" t="s">
        <v>661</v>
      </c>
      <c r="I2262" s="29">
        <v>167769.29</v>
      </c>
      <c r="J2262" s="12" t="s">
        <v>31</v>
      </c>
      <c r="K2262" s="76">
        <f t="shared" si="163"/>
        <v>167769.29</v>
      </c>
      <c r="L2262">
        <v>1</v>
      </c>
      <c r="M2262" s="29">
        <v>0</v>
      </c>
      <c r="N2262" t="s">
        <v>32</v>
      </c>
      <c r="O2262" t="s">
        <v>33</v>
      </c>
      <c r="P2262" t="s">
        <v>34</v>
      </c>
      <c r="Q2262" t="s">
        <v>34</v>
      </c>
      <c r="R2262" t="s">
        <v>34</v>
      </c>
      <c r="S2262" t="s">
        <v>34</v>
      </c>
      <c r="T2262" s="117">
        <v>0</v>
      </c>
    </row>
    <row r="2263" spans="1:21" x14ac:dyDescent="0.35">
      <c r="A2263" t="s">
        <v>19</v>
      </c>
      <c r="B2263" t="s">
        <v>19</v>
      </c>
      <c r="C2263" s="1">
        <v>45616</v>
      </c>
      <c r="D2263">
        <f t="shared" si="160"/>
        <v>20</v>
      </c>
      <c r="E2263">
        <f t="shared" si="161"/>
        <v>11</v>
      </c>
      <c r="F2263">
        <f t="shared" si="162"/>
        <v>2024</v>
      </c>
      <c r="G2263" t="s">
        <v>56</v>
      </c>
      <c r="H2263" s="98" t="s">
        <v>662</v>
      </c>
      <c r="I2263" s="29">
        <v>166176.4</v>
      </c>
      <c r="J2263" s="12" t="s">
        <v>31</v>
      </c>
      <c r="K2263" s="76">
        <f t="shared" si="163"/>
        <v>166176.4</v>
      </c>
      <c r="L2263">
        <v>1</v>
      </c>
      <c r="M2263" s="29">
        <v>0</v>
      </c>
      <c r="N2263" t="s">
        <v>32</v>
      </c>
      <c r="O2263" t="s">
        <v>33</v>
      </c>
      <c r="P2263" t="s">
        <v>34</v>
      </c>
      <c r="Q2263" t="s">
        <v>34</v>
      </c>
      <c r="R2263" t="s">
        <v>34</v>
      </c>
      <c r="S2263" t="s">
        <v>34</v>
      </c>
      <c r="T2263" s="117">
        <v>0</v>
      </c>
    </row>
    <row r="2264" spans="1:21" x14ac:dyDescent="0.35">
      <c r="A2264" t="s">
        <v>19</v>
      </c>
      <c r="B2264" t="s">
        <v>19</v>
      </c>
      <c r="C2264" s="1">
        <v>45616</v>
      </c>
      <c r="D2264">
        <f t="shared" si="160"/>
        <v>20</v>
      </c>
      <c r="E2264">
        <f t="shared" si="161"/>
        <v>11</v>
      </c>
      <c r="F2264">
        <f t="shared" si="162"/>
        <v>2024</v>
      </c>
      <c r="G2264" t="s">
        <v>56</v>
      </c>
      <c r="H2264" s="98" t="s">
        <v>663</v>
      </c>
      <c r="I2264" s="29">
        <v>175315.56</v>
      </c>
      <c r="J2264" s="12" t="s">
        <v>31</v>
      </c>
      <c r="K2264" s="76">
        <f t="shared" si="163"/>
        <v>175315.56</v>
      </c>
      <c r="L2264">
        <v>1</v>
      </c>
      <c r="M2264" s="29">
        <v>0</v>
      </c>
      <c r="N2264" t="s">
        <v>32</v>
      </c>
      <c r="O2264" t="s">
        <v>33</v>
      </c>
      <c r="P2264" t="s">
        <v>34</v>
      </c>
      <c r="Q2264" t="s">
        <v>34</v>
      </c>
      <c r="R2264" t="s">
        <v>34</v>
      </c>
      <c r="S2264" t="s">
        <v>34</v>
      </c>
      <c r="T2264" s="117">
        <v>0</v>
      </c>
    </row>
    <row r="2265" spans="1:21" x14ac:dyDescent="0.35">
      <c r="A2265" t="s">
        <v>19</v>
      </c>
      <c r="B2265" t="s">
        <v>19</v>
      </c>
      <c r="C2265" s="1">
        <v>45616</v>
      </c>
      <c r="D2265">
        <f t="shared" si="160"/>
        <v>20</v>
      </c>
      <c r="E2265">
        <f t="shared" si="161"/>
        <v>11</v>
      </c>
      <c r="F2265">
        <f t="shared" si="162"/>
        <v>2024</v>
      </c>
      <c r="G2265" t="s">
        <v>91</v>
      </c>
      <c r="H2265" s="98" t="s">
        <v>664</v>
      </c>
      <c r="I2265" s="29">
        <v>24957.5</v>
      </c>
      <c r="J2265" s="12" t="s">
        <v>31</v>
      </c>
      <c r="K2265" s="76">
        <f t="shared" si="163"/>
        <v>24957.5</v>
      </c>
      <c r="L2265">
        <v>1</v>
      </c>
      <c r="M2265" s="29">
        <v>0</v>
      </c>
      <c r="N2265" t="s">
        <v>32</v>
      </c>
      <c r="O2265" t="s">
        <v>33</v>
      </c>
      <c r="P2265" t="s">
        <v>34</v>
      </c>
      <c r="Q2265" t="s">
        <v>34</v>
      </c>
      <c r="R2265" t="s">
        <v>34</v>
      </c>
      <c r="S2265" t="s">
        <v>34</v>
      </c>
      <c r="T2265" s="117">
        <v>0</v>
      </c>
    </row>
    <row r="2266" spans="1:21" x14ac:dyDescent="0.35">
      <c r="A2266" t="s">
        <v>19</v>
      </c>
      <c r="B2266" t="s">
        <v>19</v>
      </c>
      <c r="C2266" s="1">
        <v>45616</v>
      </c>
      <c r="D2266">
        <f t="shared" si="160"/>
        <v>20</v>
      </c>
      <c r="E2266">
        <f t="shared" si="161"/>
        <v>11</v>
      </c>
      <c r="F2266">
        <f t="shared" si="162"/>
        <v>2024</v>
      </c>
      <c r="G2266" t="s">
        <v>111</v>
      </c>
      <c r="H2266" s="98" t="s">
        <v>665</v>
      </c>
      <c r="I2266" s="29">
        <v>19679.55</v>
      </c>
      <c r="J2266" s="12" t="s">
        <v>31</v>
      </c>
      <c r="K2266" s="76">
        <f t="shared" si="163"/>
        <v>19679.55</v>
      </c>
      <c r="L2266">
        <v>1</v>
      </c>
      <c r="M2266" s="29">
        <v>0</v>
      </c>
      <c r="N2266" t="s">
        <v>32</v>
      </c>
      <c r="O2266" t="s">
        <v>33</v>
      </c>
      <c r="P2266" t="s">
        <v>34</v>
      </c>
      <c r="Q2266" t="s">
        <v>34</v>
      </c>
      <c r="R2266" t="s">
        <v>34</v>
      </c>
      <c r="S2266" t="s">
        <v>34</v>
      </c>
      <c r="T2266" s="117">
        <v>0</v>
      </c>
    </row>
    <row r="2267" spans="1:21" x14ac:dyDescent="0.35">
      <c r="A2267" t="s">
        <v>19</v>
      </c>
      <c r="B2267" t="s">
        <v>19</v>
      </c>
      <c r="C2267" s="1">
        <v>45616</v>
      </c>
      <c r="D2267">
        <f t="shared" si="160"/>
        <v>20</v>
      </c>
      <c r="E2267">
        <f t="shared" si="161"/>
        <v>11</v>
      </c>
      <c r="F2267">
        <f t="shared" si="162"/>
        <v>2024</v>
      </c>
      <c r="G2267" t="s">
        <v>125</v>
      </c>
      <c r="H2267" s="98" t="s">
        <v>666</v>
      </c>
      <c r="I2267" s="29">
        <v>21981.599999999999</v>
      </c>
      <c r="J2267" s="12" t="s">
        <v>31</v>
      </c>
      <c r="K2267" s="76">
        <f t="shared" si="163"/>
        <v>21981.599999999999</v>
      </c>
      <c r="L2267">
        <v>1</v>
      </c>
      <c r="M2267" s="29">
        <v>0</v>
      </c>
      <c r="N2267" t="s">
        <v>32</v>
      </c>
      <c r="O2267" t="s">
        <v>33</v>
      </c>
      <c r="P2267" t="s">
        <v>34</v>
      </c>
      <c r="Q2267" t="s">
        <v>34</v>
      </c>
      <c r="R2267" t="s">
        <v>34</v>
      </c>
      <c r="S2267" t="s">
        <v>34</v>
      </c>
      <c r="T2267" s="117">
        <v>0</v>
      </c>
    </row>
    <row r="2268" spans="1:21" x14ac:dyDescent="0.35">
      <c r="A2268" t="s">
        <v>19</v>
      </c>
      <c r="B2268" t="s">
        <v>27</v>
      </c>
      <c r="C2268" s="1">
        <v>45616</v>
      </c>
      <c r="D2268">
        <f t="shared" si="160"/>
        <v>20</v>
      </c>
      <c r="E2268">
        <f t="shared" si="161"/>
        <v>11</v>
      </c>
      <c r="F2268">
        <f t="shared" si="162"/>
        <v>2024</v>
      </c>
      <c r="G2268" t="s">
        <v>100</v>
      </c>
      <c r="H2268" s="98">
        <v>11109</v>
      </c>
      <c r="I2268" s="29">
        <v>150000</v>
      </c>
      <c r="J2268" s="12" t="s">
        <v>31</v>
      </c>
      <c r="K2268" s="76">
        <f t="shared" si="163"/>
        <v>150000</v>
      </c>
      <c r="L2268">
        <v>1</v>
      </c>
      <c r="M2268" s="29">
        <v>0</v>
      </c>
      <c r="N2268" t="s">
        <v>32</v>
      </c>
      <c r="O2268" t="s">
        <v>33</v>
      </c>
      <c r="P2268" t="s">
        <v>34</v>
      </c>
      <c r="Q2268" t="s">
        <v>34</v>
      </c>
      <c r="R2268" t="s">
        <v>34</v>
      </c>
      <c r="S2268" t="s">
        <v>34</v>
      </c>
      <c r="T2268" s="117">
        <v>0</v>
      </c>
    </row>
    <row r="2269" spans="1:21" x14ac:dyDescent="0.35">
      <c r="A2269" t="s">
        <v>20</v>
      </c>
      <c r="B2269" t="s">
        <v>223</v>
      </c>
      <c r="C2269" s="1">
        <v>45616</v>
      </c>
      <c r="D2269">
        <f t="shared" si="160"/>
        <v>20</v>
      </c>
      <c r="E2269">
        <f t="shared" si="161"/>
        <v>11</v>
      </c>
      <c r="F2269">
        <f t="shared" si="162"/>
        <v>2024</v>
      </c>
      <c r="G2269" t="s">
        <v>223</v>
      </c>
      <c r="H2269" s="98">
        <v>11352</v>
      </c>
      <c r="I2269" s="29">
        <v>22004.400000000001</v>
      </c>
      <c r="J2269" s="12" t="s">
        <v>51</v>
      </c>
      <c r="K2269" s="76">
        <f t="shared" si="163"/>
        <v>23276.254320000004</v>
      </c>
      <c r="L2269">
        <v>1.0578000000000001</v>
      </c>
      <c r="M2269" s="29">
        <v>0</v>
      </c>
      <c r="N2269" t="s">
        <v>32</v>
      </c>
      <c r="O2269" t="s">
        <v>186</v>
      </c>
      <c r="P2269" s="1">
        <v>45615</v>
      </c>
      <c r="Q2269" t="s">
        <v>34</v>
      </c>
      <c r="R2269">
        <v>10010014706</v>
      </c>
      <c r="S2269" t="s">
        <v>34</v>
      </c>
      <c r="T2269" s="117">
        <v>0</v>
      </c>
    </row>
    <row r="2270" spans="1:21" x14ac:dyDescent="0.35">
      <c r="A2270" t="s">
        <v>19</v>
      </c>
      <c r="B2270" t="s">
        <v>19</v>
      </c>
      <c r="C2270" s="1">
        <v>45617</v>
      </c>
      <c r="D2270">
        <f t="shared" si="160"/>
        <v>21</v>
      </c>
      <c r="E2270">
        <f t="shared" si="161"/>
        <v>11</v>
      </c>
      <c r="F2270">
        <f t="shared" si="162"/>
        <v>2024</v>
      </c>
      <c r="G2270" t="s">
        <v>56</v>
      </c>
      <c r="H2270" s="98" t="s">
        <v>676</v>
      </c>
      <c r="I2270" s="29">
        <v>184588.74</v>
      </c>
      <c r="J2270" s="12" t="s">
        <v>31</v>
      </c>
      <c r="K2270" s="76">
        <f t="shared" si="163"/>
        <v>184588.74</v>
      </c>
      <c r="L2270">
        <v>1</v>
      </c>
      <c r="M2270" s="29">
        <v>0</v>
      </c>
      <c r="N2270" t="s">
        <v>32</v>
      </c>
      <c r="O2270" t="s">
        <v>33</v>
      </c>
      <c r="P2270" t="s">
        <v>34</v>
      </c>
      <c r="Q2270" t="s">
        <v>34</v>
      </c>
      <c r="R2270" t="s">
        <v>34</v>
      </c>
      <c r="S2270" t="s">
        <v>34</v>
      </c>
      <c r="T2270" s="117">
        <v>0</v>
      </c>
    </row>
    <row r="2271" spans="1:21" x14ac:dyDescent="0.35">
      <c r="A2271" t="s">
        <v>19</v>
      </c>
      <c r="B2271" t="s">
        <v>19</v>
      </c>
      <c r="C2271" s="1">
        <v>45617</v>
      </c>
      <c r="D2271">
        <f t="shared" si="160"/>
        <v>21</v>
      </c>
      <c r="E2271">
        <f t="shared" si="161"/>
        <v>11</v>
      </c>
      <c r="F2271">
        <f t="shared" si="162"/>
        <v>2024</v>
      </c>
      <c r="G2271" t="s">
        <v>59</v>
      </c>
      <c r="H2271" s="98" t="s">
        <v>677</v>
      </c>
      <c r="I2271" s="29">
        <v>66576.820000000007</v>
      </c>
      <c r="J2271" s="12" t="s">
        <v>31</v>
      </c>
      <c r="K2271" s="76">
        <f t="shared" si="163"/>
        <v>66576.820000000007</v>
      </c>
      <c r="L2271">
        <v>1</v>
      </c>
      <c r="M2271" s="29">
        <v>0</v>
      </c>
      <c r="N2271" t="s">
        <v>32</v>
      </c>
      <c r="O2271" t="s">
        <v>33</v>
      </c>
      <c r="P2271" t="s">
        <v>34</v>
      </c>
      <c r="Q2271" t="s">
        <v>34</v>
      </c>
      <c r="R2271" t="s">
        <v>34</v>
      </c>
      <c r="S2271" t="s">
        <v>34</v>
      </c>
      <c r="T2271" s="117">
        <v>0</v>
      </c>
    </row>
    <row r="2272" spans="1:21" x14ac:dyDescent="0.35">
      <c r="A2272" t="s">
        <v>19</v>
      </c>
      <c r="B2272" t="s">
        <v>26</v>
      </c>
      <c r="C2272" s="1">
        <v>45617</v>
      </c>
      <c r="D2272">
        <f t="shared" si="160"/>
        <v>21</v>
      </c>
      <c r="E2272">
        <f t="shared" si="161"/>
        <v>11</v>
      </c>
      <c r="F2272">
        <f t="shared" si="162"/>
        <v>2024</v>
      </c>
      <c r="G2272" t="s">
        <v>73</v>
      </c>
      <c r="H2272" s="98">
        <v>11580</v>
      </c>
      <c r="I2272" s="29">
        <v>2249.23</v>
      </c>
      <c r="J2272" s="12" t="s">
        <v>51</v>
      </c>
      <c r="K2272" s="76">
        <f>IF(J2272="USD",I2272,I2272*L2272)-0.01</f>
        <v>2369.553805</v>
      </c>
      <c r="L2272">
        <v>1.0535000000000001</v>
      </c>
      <c r="M2272" s="29">
        <v>0</v>
      </c>
      <c r="N2272" t="s">
        <v>32</v>
      </c>
      <c r="O2272" t="s">
        <v>33</v>
      </c>
      <c r="P2272" t="s">
        <v>34</v>
      </c>
      <c r="Q2272" t="s">
        <v>34</v>
      </c>
      <c r="R2272" t="s">
        <v>34</v>
      </c>
      <c r="S2272" t="s">
        <v>34</v>
      </c>
      <c r="T2272" s="117">
        <v>0</v>
      </c>
      <c r="U2272" s="209" t="s">
        <v>94</v>
      </c>
    </row>
    <row r="2273" spans="1:21" x14ac:dyDescent="0.35">
      <c r="A2273" t="s">
        <v>19</v>
      </c>
      <c r="B2273" t="s">
        <v>26</v>
      </c>
      <c r="C2273" s="1">
        <v>45617</v>
      </c>
      <c r="D2273">
        <f t="shared" si="160"/>
        <v>21</v>
      </c>
      <c r="E2273">
        <f t="shared" si="161"/>
        <v>11</v>
      </c>
      <c r="F2273">
        <f t="shared" si="162"/>
        <v>2024</v>
      </c>
      <c r="G2273" t="s">
        <v>73</v>
      </c>
      <c r="H2273" s="98">
        <v>11620</v>
      </c>
      <c r="I2273" s="29">
        <v>736.18</v>
      </c>
      <c r="J2273" s="12" t="s">
        <v>51</v>
      </c>
      <c r="K2273" s="76">
        <f t="shared" ref="K2273:K2304" si="164">IF(J2273="USD",I2273,I2273*L2273)</f>
        <v>775.56563000000006</v>
      </c>
      <c r="L2273">
        <v>1.0535000000000001</v>
      </c>
      <c r="M2273" s="29">
        <v>0</v>
      </c>
      <c r="N2273" t="s">
        <v>32</v>
      </c>
      <c r="O2273" t="s">
        <v>33</v>
      </c>
      <c r="P2273" t="s">
        <v>34</v>
      </c>
      <c r="Q2273" t="s">
        <v>34</v>
      </c>
      <c r="R2273" t="s">
        <v>34</v>
      </c>
      <c r="S2273" t="s">
        <v>34</v>
      </c>
      <c r="T2273" s="117">
        <v>0</v>
      </c>
      <c r="U2273" s="209" t="s">
        <v>94</v>
      </c>
    </row>
    <row r="2274" spans="1:21" x14ac:dyDescent="0.35">
      <c r="A2274" t="s">
        <v>19</v>
      </c>
      <c r="B2274" t="s">
        <v>26</v>
      </c>
      <c r="C2274" s="1">
        <v>45617</v>
      </c>
      <c r="D2274">
        <f t="shared" si="160"/>
        <v>21</v>
      </c>
      <c r="E2274">
        <f t="shared" si="161"/>
        <v>11</v>
      </c>
      <c r="F2274">
        <f t="shared" si="162"/>
        <v>2024</v>
      </c>
      <c r="G2274" t="s">
        <v>73</v>
      </c>
      <c r="H2274" s="98">
        <v>11605</v>
      </c>
      <c r="I2274" s="29">
        <v>71256.210000000006</v>
      </c>
      <c r="J2274" s="12" t="s">
        <v>51</v>
      </c>
      <c r="K2274" s="76">
        <f t="shared" si="164"/>
        <v>75068.417235000015</v>
      </c>
      <c r="L2274">
        <v>1.0535000000000001</v>
      </c>
      <c r="M2274" s="29">
        <v>0</v>
      </c>
      <c r="N2274" t="s">
        <v>32</v>
      </c>
      <c r="O2274" t="s">
        <v>33</v>
      </c>
      <c r="P2274" t="s">
        <v>34</v>
      </c>
      <c r="Q2274" t="s">
        <v>34</v>
      </c>
      <c r="R2274" t="s">
        <v>34</v>
      </c>
      <c r="S2274" t="s">
        <v>34</v>
      </c>
      <c r="T2274" s="117">
        <v>0</v>
      </c>
      <c r="U2274" s="209" t="s">
        <v>94</v>
      </c>
    </row>
    <row r="2275" spans="1:21" x14ac:dyDescent="0.35">
      <c r="A2275" t="s">
        <v>19</v>
      </c>
      <c r="B2275" t="s">
        <v>26</v>
      </c>
      <c r="C2275" s="1">
        <v>45617</v>
      </c>
      <c r="D2275">
        <f t="shared" si="160"/>
        <v>21</v>
      </c>
      <c r="E2275">
        <f t="shared" si="161"/>
        <v>11</v>
      </c>
      <c r="F2275">
        <f t="shared" si="162"/>
        <v>2024</v>
      </c>
      <c r="G2275" t="s">
        <v>73</v>
      </c>
      <c r="H2275" s="98">
        <v>11606</v>
      </c>
      <c r="I2275" s="29">
        <v>60557.67</v>
      </c>
      <c r="J2275" s="12" t="s">
        <v>51</v>
      </c>
      <c r="K2275" s="76">
        <f t="shared" si="164"/>
        <v>63797.505345000005</v>
      </c>
      <c r="L2275">
        <v>1.0535000000000001</v>
      </c>
      <c r="M2275" s="29">
        <v>0</v>
      </c>
      <c r="N2275" t="s">
        <v>32</v>
      </c>
      <c r="O2275" t="s">
        <v>33</v>
      </c>
      <c r="P2275" t="s">
        <v>34</v>
      </c>
      <c r="Q2275" t="s">
        <v>34</v>
      </c>
      <c r="R2275" t="s">
        <v>34</v>
      </c>
      <c r="S2275" t="s">
        <v>34</v>
      </c>
      <c r="T2275" s="117">
        <v>0</v>
      </c>
      <c r="U2275" s="209" t="s">
        <v>94</v>
      </c>
    </row>
    <row r="2276" spans="1:21" x14ac:dyDescent="0.35">
      <c r="A2276" t="s">
        <v>19</v>
      </c>
      <c r="B2276" t="s">
        <v>26</v>
      </c>
      <c r="C2276" s="1">
        <v>45617</v>
      </c>
      <c r="D2276">
        <f t="shared" si="160"/>
        <v>21</v>
      </c>
      <c r="E2276">
        <f t="shared" si="161"/>
        <v>11</v>
      </c>
      <c r="F2276">
        <f t="shared" si="162"/>
        <v>2024</v>
      </c>
      <c r="G2276" t="s">
        <v>73</v>
      </c>
      <c r="H2276" s="98">
        <v>11621</v>
      </c>
      <c r="I2276" s="29">
        <v>14967.92</v>
      </c>
      <c r="J2276" s="12" t="s">
        <v>51</v>
      </c>
      <c r="K2276" s="76">
        <f t="shared" si="164"/>
        <v>15768.703720000001</v>
      </c>
      <c r="L2276">
        <v>1.0535000000000001</v>
      </c>
      <c r="M2276" s="29">
        <v>0</v>
      </c>
      <c r="N2276" t="s">
        <v>32</v>
      </c>
      <c r="O2276" t="s">
        <v>33</v>
      </c>
      <c r="P2276" t="s">
        <v>34</v>
      </c>
      <c r="Q2276" t="s">
        <v>34</v>
      </c>
      <c r="R2276" t="s">
        <v>34</v>
      </c>
      <c r="S2276" t="s">
        <v>34</v>
      </c>
      <c r="T2276" s="117">
        <v>0</v>
      </c>
      <c r="U2276" s="209" t="s">
        <v>94</v>
      </c>
    </row>
    <row r="2277" spans="1:21" x14ac:dyDescent="0.35">
      <c r="A2277" t="s">
        <v>19</v>
      </c>
      <c r="B2277" t="s">
        <v>19</v>
      </c>
      <c r="C2277" s="1">
        <v>45621</v>
      </c>
      <c r="D2277">
        <f t="shared" si="160"/>
        <v>25</v>
      </c>
      <c r="E2277">
        <f t="shared" si="161"/>
        <v>11</v>
      </c>
      <c r="F2277">
        <f t="shared" si="162"/>
        <v>2024</v>
      </c>
      <c r="G2277" t="s">
        <v>106</v>
      </c>
      <c r="H2277" s="98" t="s">
        <v>681</v>
      </c>
      <c r="I2277" s="29">
        <v>282420.34999999998</v>
      </c>
      <c r="J2277" s="12" t="s">
        <v>31</v>
      </c>
      <c r="K2277" s="76">
        <f t="shared" si="164"/>
        <v>282420.34999999998</v>
      </c>
      <c r="L2277">
        <v>1</v>
      </c>
      <c r="M2277" s="29">
        <v>0</v>
      </c>
      <c r="N2277" t="s">
        <v>32</v>
      </c>
      <c r="O2277" t="s">
        <v>33</v>
      </c>
      <c r="P2277" t="s">
        <v>34</v>
      </c>
      <c r="Q2277" t="s">
        <v>34</v>
      </c>
      <c r="R2277" t="s">
        <v>34</v>
      </c>
      <c r="S2277" t="s">
        <v>34</v>
      </c>
      <c r="T2277" s="117">
        <v>0</v>
      </c>
    </row>
    <row r="2278" spans="1:21" x14ac:dyDescent="0.35">
      <c r="A2278" t="s">
        <v>19</v>
      </c>
      <c r="B2278" t="s">
        <v>19</v>
      </c>
      <c r="C2278" s="1">
        <v>45622</v>
      </c>
      <c r="D2278">
        <f t="shared" si="160"/>
        <v>26</v>
      </c>
      <c r="E2278">
        <f t="shared" si="161"/>
        <v>11</v>
      </c>
      <c r="F2278">
        <f t="shared" si="162"/>
        <v>2024</v>
      </c>
      <c r="G2278" t="s">
        <v>54</v>
      </c>
      <c r="H2278" s="98" t="s">
        <v>682</v>
      </c>
      <c r="I2278" s="29">
        <v>163718.21</v>
      </c>
      <c r="J2278" s="12" t="s">
        <v>31</v>
      </c>
      <c r="K2278" s="76">
        <f t="shared" si="164"/>
        <v>163718.21</v>
      </c>
      <c r="L2278">
        <v>1</v>
      </c>
      <c r="M2278" s="29">
        <v>0</v>
      </c>
      <c r="N2278" t="s">
        <v>32</v>
      </c>
      <c r="O2278" t="s">
        <v>33</v>
      </c>
      <c r="P2278" t="s">
        <v>34</v>
      </c>
      <c r="Q2278" t="s">
        <v>34</v>
      </c>
      <c r="R2278" t="s">
        <v>34</v>
      </c>
      <c r="S2278" t="s">
        <v>34</v>
      </c>
      <c r="T2278" s="117">
        <v>0</v>
      </c>
    </row>
    <row r="2279" spans="1:21" x14ac:dyDescent="0.35">
      <c r="A2279" t="s">
        <v>19</v>
      </c>
      <c r="B2279" t="s">
        <v>24</v>
      </c>
      <c r="C2279" s="1">
        <v>45623</v>
      </c>
      <c r="D2279">
        <f t="shared" si="160"/>
        <v>27</v>
      </c>
      <c r="E2279">
        <f t="shared" si="161"/>
        <v>11</v>
      </c>
      <c r="F2279">
        <f t="shared" si="162"/>
        <v>2024</v>
      </c>
      <c r="G2279" t="s">
        <v>77</v>
      </c>
      <c r="H2279" s="98">
        <v>11712</v>
      </c>
      <c r="I2279" s="29">
        <v>76</v>
      </c>
      <c r="J2279" s="12" t="s">
        <v>31</v>
      </c>
      <c r="K2279" s="76">
        <f t="shared" si="164"/>
        <v>76</v>
      </c>
      <c r="L2279">
        <v>1</v>
      </c>
      <c r="M2279" s="29">
        <v>0</v>
      </c>
      <c r="N2279" t="s">
        <v>42</v>
      </c>
      <c r="O2279" t="s">
        <v>33</v>
      </c>
      <c r="P2279" t="s">
        <v>34</v>
      </c>
      <c r="Q2279" t="s">
        <v>34</v>
      </c>
      <c r="R2279" t="s">
        <v>34</v>
      </c>
      <c r="S2279" t="s">
        <v>34</v>
      </c>
      <c r="T2279" s="117">
        <v>0</v>
      </c>
    </row>
    <row r="2280" spans="1:21" x14ac:dyDescent="0.35">
      <c r="A2280" t="s">
        <v>19</v>
      </c>
      <c r="B2280" t="s">
        <v>24</v>
      </c>
      <c r="C2280" s="1">
        <v>45623</v>
      </c>
      <c r="D2280">
        <f t="shared" si="160"/>
        <v>27</v>
      </c>
      <c r="E2280">
        <f t="shared" si="161"/>
        <v>11</v>
      </c>
      <c r="F2280">
        <f t="shared" si="162"/>
        <v>2024</v>
      </c>
      <c r="G2280" t="s">
        <v>77</v>
      </c>
      <c r="H2280" s="98">
        <v>11712</v>
      </c>
      <c r="I2280" s="29">
        <v>68</v>
      </c>
      <c r="J2280" s="12" t="s">
        <v>31</v>
      </c>
      <c r="K2280" s="76">
        <f t="shared" si="164"/>
        <v>68</v>
      </c>
      <c r="L2280">
        <v>1</v>
      </c>
      <c r="M2280" s="29">
        <v>0</v>
      </c>
      <c r="N2280" t="s">
        <v>42</v>
      </c>
      <c r="O2280" t="s">
        <v>33</v>
      </c>
      <c r="P2280" t="s">
        <v>34</v>
      </c>
      <c r="Q2280" t="s">
        <v>34</v>
      </c>
      <c r="R2280" t="s">
        <v>34</v>
      </c>
      <c r="S2280" t="s">
        <v>34</v>
      </c>
      <c r="T2280" s="117">
        <v>0</v>
      </c>
    </row>
    <row r="2281" spans="1:21" x14ac:dyDescent="0.35">
      <c r="A2281" t="s">
        <v>19</v>
      </c>
      <c r="B2281" t="s">
        <v>24</v>
      </c>
      <c r="C2281" s="1">
        <v>45623</v>
      </c>
      <c r="D2281">
        <f t="shared" si="160"/>
        <v>27</v>
      </c>
      <c r="E2281">
        <f t="shared" si="161"/>
        <v>11</v>
      </c>
      <c r="F2281">
        <f t="shared" si="162"/>
        <v>2024</v>
      </c>
      <c r="G2281" t="s">
        <v>77</v>
      </c>
      <c r="H2281" s="98">
        <v>11714</v>
      </c>
      <c r="I2281" s="29">
        <v>14276.4</v>
      </c>
      <c r="J2281" s="12" t="s">
        <v>31</v>
      </c>
      <c r="K2281" s="76">
        <f t="shared" si="164"/>
        <v>14276.4</v>
      </c>
      <c r="L2281">
        <v>1</v>
      </c>
      <c r="M2281" s="29">
        <v>0</v>
      </c>
      <c r="N2281" t="s">
        <v>42</v>
      </c>
      <c r="O2281" t="s">
        <v>33</v>
      </c>
      <c r="P2281" t="s">
        <v>34</v>
      </c>
      <c r="Q2281" t="s">
        <v>34</v>
      </c>
      <c r="R2281" t="s">
        <v>34</v>
      </c>
      <c r="S2281" t="s">
        <v>34</v>
      </c>
      <c r="T2281" s="117">
        <v>0</v>
      </c>
    </row>
    <row r="2282" spans="1:21" x14ac:dyDescent="0.35">
      <c r="A2282" t="s">
        <v>19</v>
      </c>
      <c r="B2282" t="s">
        <v>27</v>
      </c>
      <c r="C2282" s="1">
        <v>45623</v>
      </c>
      <c r="D2282">
        <f t="shared" si="160"/>
        <v>27</v>
      </c>
      <c r="E2282">
        <f t="shared" si="161"/>
        <v>11</v>
      </c>
      <c r="F2282">
        <f t="shared" si="162"/>
        <v>2024</v>
      </c>
      <c r="G2282" t="s">
        <v>100</v>
      </c>
      <c r="H2282" s="98">
        <v>11109</v>
      </c>
      <c r="I2282" s="29">
        <v>100000</v>
      </c>
      <c r="J2282" s="12" t="s">
        <v>31</v>
      </c>
      <c r="K2282" s="76">
        <f t="shared" si="164"/>
        <v>100000</v>
      </c>
      <c r="L2282">
        <v>1</v>
      </c>
      <c r="M2282" s="29">
        <v>0</v>
      </c>
      <c r="N2282" t="s">
        <v>32</v>
      </c>
      <c r="O2282" t="s">
        <v>33</v>
      </c>
      <c r="P2282" t="s">
        <v>34</v>
      </c>
      <c r="Q2282" t="s">
        <v>34</v>
      </c>
      <c r="R2282" t="s">
        <v>34</v>
      </c>
      <c r="S2282" t="s">
        <v>34</v>
      </c>
      <c r="T2282" s="117">
        <v>0</v>
      </c>
    </row>
    <row r="2283" spans="1:21" x14ac:dyDescent="0.35">
      <c r="A2283" t="s">
        <v>19</v>
      </c>
      <c r="B2283" t="s">
        <v>21</v>
      </c>
      <c r="C2283" s="1">
        <v>45623</v>
      </c>
      <c r="D2283">
        <f t="shared" si="160"/>
        <v>27</v>
      </c>
      <c r="E2283">
        <f t="shared" si="161"/>
        <v>11</v>
      </c>
      <c r="F2283">
        <f t="shared" si="162"/>
        <v>2024</v>
      </c>
      <c r="G2283" t="s">
        <v>75</v>
      </c>
      <c r="H2283" s="98">
        <v>11727</v>
      </c>
      <c r="I2283" s="90">
        <v>8343.15</v>
      </c>
      <c r="J2283" s="12" t="s">
        <v>31</v>
      </c>
      <c r="K2283" s="76">
        <f t="shared" si="164"/>
        <v>8343.15</v>
      </c>
      <c r="L2283">
        <v>1</v>
      </c>
      <c r="M2283" s="29">
        <v>0</v>
      </c>
      <c r="N2283" t="s">
        <v>42</v>
      </c>
      <c r="O2283" t="s">
        <v>33</v>
      </c>
      <c r="P2283" t="s">
        <v>34</v>
      </c>
      <c r="Q2283" t="s">
        <v>34</v>
      </c>
      <c r="R2283" t="s">
        <v>34</v>
      </c>
      <c r="S2283" t="s">
        <v>34</v>
      </c>
      <c r="T2283" s="117">
        <v>0</v>
      </c>
    </row>
    <row r="2284" spans="1:21" x14ac:dyDescent="0.35">
      <c r="A2284" t="s">
        <v>19</v>
      </c>
      <c r="B2284" t="s">
        <v>21</v>
      </c>
      <c r="C2284" s="1">
        <v>45623</v>
      </c>
      <c r="D2284">
        <f t="shared" si="160"/>
        <v>27</v>
      </c>
      <c r="E2284">
        <f t="shared" si="161"/>
        <v>11</v>
      </c>
      <c r="F2284">
        <f t="shared" si="162"/>
        <v>2024</v>
      </c>
      <c r="G2284" t="s">
        <v>75</v>
      </c>
      <c r="H2284" s="171">
        <v>11726</v>
      </c>
      <c r="I2284" s="90">
        <v>43</v>
      </c>
      <c r="J2284" s="12" t="s">
        <v>31</v>
      </c>
      <c r="K2284" s="76">
        <f t="shared" si="164"/>
        <v>43</v>
      </c>
      <c r="L2284">
        <v>1</v>
      </c>
      <c r="M2284" s="29">
        <v>0</v>
      </c>
      <c r="N2284" t="s">
        <v>42</v>
      </c>
      <c r="O2284" t="s">
        <v>33</v>
      </c>
      <c r="P2284" t="s">
        <v>34</v>
      </c>
      <c r="Q2284" t="s">
        <v>34</v>
      </c>
      <c r="R2284" t="s">
        <v>34</v>
      </c>
      <c r="S2284" t="s">
        <v>34</v>
      </c>
      <c r="T2284" s="117">
        <v>0</v>
      </c>
    </row>
    <row r="2285" spans="1:21" x14ac:dyDescent="0.35">
      <c r="A2285" t="s">
        <v>19</v>
      </c>
      <c r="B2285" t="s">
        <v>23</v>
      </c>
      <c r="C2285" s="1">
        <v>45623</v>
      </c>
      <c r="D2285">
        <f t="shared" si="160"/>
        <v>27</v>
      </c>
      <c r="E2285">
        <f t="shared" si="161"/>
        <v>11</v>
      </c>
      <c r="F2285">
        <f t="shared" si="162"/>
        <v>2024</v>
      </c>
      <c r="G2285" t="s">
        <v>75</v>
      </c>
      <c r="H2285" s="171">
        <v>11172</v>
      </c>
      <c r="I2285" s="90">
        <v>16351.5</v>
      </c>
      <c r="J2285" s="12" t="s">
        <v>31</v>
      </c>
      <c r="K2285" s="76">
        <f t="shared" si="164"/>
        <v>16351.5</v>
      </c>
      <c r="L2285">
        <v>1</v>
      </c>
      <c r="M2285" s="29">
        <v>0</v>
      </c>
      <c r="N2285" t="s">
        <v>42</v>
      </c>
      <c r="O2285" t="s">
        <v>33</v>
      </c>
      <c r="P2285" t="s">
        <v>34</v>
      </c>
      <c r="Q2285" t="s">
        <v>34</v>
      </c>
      <c r="R2285" t="s">
        <v>34</v>
      </c>
      <c r="S2285" t="s">
        <v>34</v>
      </c>
      <c r="T2285" s="117">
        <v>0</v>
      </c>
    </row>
    <row r="2286" spans="1:21" x14ac:dyDescent="0.35">
      <c r="A2286" t="s">
        <v>19</v>
      </c>
      <c r="B2286" t="s">
        <v>25</v>
      </c>
      <c r="C2286" s="1">
        <v>45623</v>
      </c>
      <c r="D2286">
        <f t="shared" si="160"/>
        <v>27</v>
      </c>
      <c r="E2286">
        <f t="shared" si="161"/>
        <v>11</v>
      </c>
      <c r="F2286">
        <f t="shared" si="162"/>
        <v>2024</v>
      </c>
      <c r="G2286" t="s">
        <v>1146</v>
      </c>
      <c r="H2286" s="98">
        <v>11399</v>
      </c>
      <c r="I2286" s="29">
        <v>1256.75</v>
      </c>
      <c r="J2286" s="12" t="s">
        <v>51</v>
      </c>
      <c r="K2286" s="76">
        <f t="shared" si="164"/>
        <v>1327.1280000000002</v>
      </c>
      <c r="L2286">
        <v>1.056</v>
      </c>
      <c r="M2286" s="29">
        <v>0</v>
      </c>
      <c r="N2286" t="s">
        <v>32</v>
      </c>
      <c r="O2286" t="s">
        <v>33</v>
      </c>
      <c r="P2286" t="s">
        <v>34</v>
      </c>
      <c r="Q2286" t="s">
        <v>34</v>
      </c>
      <c r="R2286" t="s">
        <v>34</v>
      </c>
      <c r="S2286" t="s">
        <v>34</v>
      </c>
      <c r="T2286" s="117">
        <v>0</v>
      </c>
      <c r="U2286" s="209" t="s">
        <v>94</v>
      </c>
    </row>
    <row r="2287" spans="1:21" x14ac:dyDescent="0.35">
      <c r="A2287" t="s">
        <v>19</v>
      </c>
      <c r="B2287" t="s">
        <v>25</v>
      </c>
      <c r="C2287" s="1">
        <v>45623</v>
      </c>
      <c r="D2287">
        <f t="shared" si="160"/>
        <v>27</v>
      </c>
      <c r="E2287">
        <f t="shared" si="161"/>
        <v>11</v>
      </c>
      <c r="F2287">
        <f t="shared" si="162"/>
        <v>2024</v>
      </c>
      <c r="G2287" t="s">
        <v>1146</v>
      </c>
      <c r="H2287" s="98">
        <v>12157</v>
      </c>
      <c r="I2287" s="29">
        <v>30180</v>
      </c>
      <c r="J2287" s="12" t="s">
        <v>51</v>
      </c>
      <c r="K2287" s="76">
        <f t="shared" si="164"/>
        <v>31870.080000000002</v>
      </c>
      <c r="L2287">
        <v>1.056</v>
      </c>
      <c r="M2287" s="29">
        <v>0</v>
      </c>
      <c r="N2287" t="s">
        <v>42</v>
      </c>
      <c r="O2287" t="s">
        <v>33</v>
      </c>
      <c r="P2287" t="s">
        <v>34</v>
      </c>
      <c r="Q2287" t="s">
        <v>34</v>
      </c>
      <c r="R2287" t="s">
        <v>34</v>
      </c>
      <c r="S2287" t="s">
        <v>34</v>
      </c>
      <c r="T2287" s="117">
        <v>0</v>
      </c>
      <c r="U2287" s="209" t="s">
        <v>956</v>
      </c>
    </row>
    <row r="2288" spans="1:21" x14ac:dyDescent="0.35">
      <c r="A2288" t="s">
        <v>19</v>
      </c>
      <c r="B2288" t="s">
        <v>25</v>
      </c>
      <c r="C2288" s="1">
        <v>45623</v>
      </c>
      <c r="D2288">
        <f t="shared" si="160"/>
        <v>27</v>
      </c>
      <c r="E2288">
        <f t="shared" si="161"/>
        <v>11</v>
      </c>
      <c r="F2288">
        <f t="shared" si="162"/>
        <v>2024</v>
      </c>
      <c r="G2288" t="s">
        <v>36</v>
      </c>
      <c r="H2288" s="98">
        <v>10824</v>
      </c>
      <c r="I2288" s="29">
        <v>80637</v>
      </c>
      <c r="J2288" s="12" t="s">
        <v>31</v>
      </c>
      <c r="K2288" s="76">
        <f t="shared" si="164"/>
        <v>80637</v>
      </c>
      <c r="L2288">
        <v>1</v>
      </c>
      <c r="M2288" s="29">
        <v>0</v>
      </c>
      <c r="N2288" t="s">
        <v>32</v>
      </c>
      <c r="O2288" t="s">
        <v>33</v>
      </c>
      <c r="P2288" t="s">
        <v>34</v>
      </c>
      <c r="Q2288" t="s">
        <v>34</v>
      </c>
      <c r="R2288" t="s">
        <v>34</v>
      </c>
      <c r="S2288" t="s">
        <v>34</v>
      </c>
      <c r="T2288" s="117">
        <v>0</v>
      </c>
    </row>
    <row r="2289" spans="1:20" x14ac:dyDescent="0.35">
      <c r="A2289" t="s">
        <v>19</v>
      </c>
      <c r="B2289" t="s">
        <v>24</v>
      </c>
      <c r="C2289" s="1">
        <v>45623</v>
      </c>
      <c r="D2289">
        <f t="shared" si="160"/>
        <v>27</v>
      </c>
      <c r="E2289">
        <f t="shared" si="161"/>
        <v>11</v>
      </c>
      <c r="F2289">
        <f t="shared" si="162"/>
        <v>2024</v>
      </c>
      <c r="G2289" t="s">
        <v>36</v>
      </c>
      <c r="H2289" s="98">
        <v>11236</v>
      </c>
      <c r="I2289" s="29">
        <v>76</v>
      </c>
      <c r="J2289" s="12" t="s">
        <v>31</v>
      </c>
      <c r="K2289" s="76">
        <f t="shared" si="164"/>
        <v>76</v>
      </c>
      <c r="L2289">
        <v>1</v>
      </c>
      <c r="M2289" s="29">
        <v>0</v>
      </c>
      <c r="N2289" t="s">
        <v>32</v>
      </c>
      <c r="O2289" t="s">
        <v>33</v>
      </c>
      <c r="P2289" t="s">
        <v>34</v>
      </c>
      <c r="Q2289" t="s">
        <v>34</v>
      </c>
      <c r="R2289" t="s">
        <v>34</v>
      </c>
      <c r="S2289" t="s">
        <v>34</v>
      </c>
      <c r="T2289" s="117">
        <v>0</v>
      </c>
    </row>
    <row r="2290" spans="1:20" x14ac:dyDescent="0.35">
      <c r="A2290" t="s">
        <v>19</v>
      </c>
      <c r="B2290" t="s">
        <v>25</v>
      </c>
      <c r="C2290" s="1">
        <v>45623</v>
      </c>
      <c r="D2290">
        <f t="shared" si="160"/>
        <v>27</v>
      </c>
      <c r="E2290">
        <f t="shared" si="161"/>
        <v>11</v>
      </c>
      <c r="F2290">
        <f t="shared" si="162"/>
        <v>2024</v>
      </c>
      <c r="G2290" t="s">
        <v>36</v>
      </c>
      <c r="H2290" s="98">
        <v>11632</v>
      </c>
      <c r="I2290" s="29">
        <v>162</v>
      </c>
      <c r="J2290" s="12" t="s">
        <v>31</v>
      </c>
      <c r="K2290" s="76">
        <f t="shared" si="164"/>
        <v>162</v>
      </c>
      <c r="L2290">
        <v>1</v>
      </c>
      <c r="M2290" s="29">
        <v>0</v>
      </c>
      <c r="N2290" t="s">
        <v>32</v>
      </c>
      <c r="O2290" t="s">
        <v>33</v>
      </c>
      <c r="P2290" t="s">
        <v>34</v>
      </c>
      <c r="Q2290" t="s">
        <v>34</v>
      </c>
      <c r="R2290" t="s">
        <v>34</v>
      </c>
      <c r="S2290" t="s">
        <v>34</v>
      </c>
      <c r="T2290" s="117">
        <v>0</v>
      </c>
    </row>
    <row r="2291" spans="1:20" x14ac:dyDescent="0.35">
      <c r="A2291" t="s">
        <v>19</v>
      </c>
      <c r="B2291" t="s">
        <v>25</v>
      </c>
      <c r="C2291" s="1">
        <v>45623</v>
      </c>
      <c r="D2291">
        <f t="shared" si="160"/>
        <v>27</v>
      </c>
      <c r="E2291">
        <f t="shared" si="161"/>
        <v>11</v>
      </c>
      <c r="F2291">
        <f t="shared" si="162"/>
        <v>2024</v>
      </c>
      <c r="G2291" t="s">
        <v>29</v>
      </c>
      <c r="H2291" s="98">
        <v>11135</v>
      </c>
      <c r="I2291" s="29">
        <v>349.8</v>
      </c>
      <c r="J2291" s="12" t="s">
        <v>31</v>
      </c>
      <c r="K2291" s="76">
        <f t="shared" si="164"/>
        <v>349.8</v>
      </c>
      <c r="L2291">
        <v>1</v>
      </c>
      <c r="M2291" s="29">
        <v>0</v>
      </c>
      <c r="N2291" t="s">
        <v>32</v>
      </c>
      <c r="O2291" t="s">
        <v>33</v>
      </c>
      <c r="P2291" t="s">
        <v>34</v>
      </c>
      <c r="Q2291" t="s">
        <v>34</v>
      </c>
      <c r="R2291" t="s">
        <v>34</v>
      </c>
      <c r="S2291" t="s">
        <v>34</v>
      </c>
      <c r="T2291" s="117">
        <v>0</v>
      </c>
    </row>
    <row r="2292" spans="1:20" x14ac:dyDescent="0.35">
      <c r="A2292" t="s">
        <v>19</v>
      </c>
      <c r="B2292" t="s">
        <v>21</v>
      </c>
      <c r="C2292" s="1">
        <v>45623</v>
      </c>
      <c r="D2292">
        <f t="shared" si="160"/>
        <v>27</v>
      </c>
      <c r="E2292">
        <f t="shared" si="161"/>
        <v>11</v>
      </c>
      <c r="F2292">
        <f t="shared" si="162"/>
        <v>2024</v>
      </c>
      <c r="G2292" t="s">
        <v>39</v>
      </c>
      <c r="H2292" s="98">
        <v>11000</v>
      </c>
      <c r="I2292" s="29">
        <v>4570</v>
      </c>
      <c r="J2292" s="12" t="s">
        <v>31</v>
      </c>
      <c r="K2292" s="76">
        <f t="shared" si="164"/>
        <v>4570</v>
      </c>
      <c r="L2292">
        <v>1</v>
      </c>
      <c r="M2292" s="29">
        <v>0</v>
      </c>
      <c r="N2292" t="s">
        <v>32</v>
      </c>
      <c r="O2292" t="s">
        <v>33</v>
      </c>
      <c r="P2292" t="s">
        <v>34</v>
      </c>
      <c r="Q2292" t="s">
        <v>34</v>
      </c>
      <c r="R2292" t="s">
        <v>34</v>
      </c>
      <c r="S2292" t="s">
        <v>34</v>
      </c>
      <c r="T2292" s="117">
        <v>0</v>
      </c>
    </row>
    <row r="2293" spans="1:20" x14ac:dyDescent="0.35">
      <c r="A2293" t="s">
        <v>19</v>
      </c>
      <c r="B2293" t="s">
        <v>24</v>
      </c>
      <c r="C2293" s="1">
        <v>45623</v>
      </c>
      <c r="D2293">
        <f t="shared" si="160"/>
        <v>27</v>
      </c>
      <c r="E2293">
        <f t="shared" si="161"/>
        <v>11</v>
      </c>
      <c r="F2293">
        <f t="shared" si="162"/>
        <v>2024</v>
      </c>
      <c r="G2293" t="s">
        <v>39</v>
      </c>
      <c r="H2293" s="98">
        <v>11143</v>
      </c>
      <c r="I2293" s="29">
        <v>16448.099999999999</v>
      </c>
      <c r="J2293" s="12" t="s">
        <v>31</v>
      </c>
      <c r="K2293" s="76">
        <f t="shared" si="164"/>
        <v>16448.099999999999</v>
      </c>
      <c r="L2293">
        <v>1</v>
      </c>
      <c r="M2293" s="29">
        <v>0</v>
      </c>
      <c r="N2293" t="s">
        <v>42</v>
      </c>
      <c r="O2293" t="s">
        <v>33</v>
      </c>
      <c r="P2293" t="s">
        <v>34</v>
      </c>
      <c r="Q2293" t="s">
        <v>34</v>
      </c>
      <c r="R2293" t="s">
        <v>34</v>
      </c>
      <c r="S2293" t="s">
        <v>34</v>
      </c>
      <c r="T2293" s="117">
        <v>0</v>
      </c>
    </row>
    <row r="2294" spans="1:20" x14ac:dyDescent="0.35">
      <c r="A2294" t="s">
        <v>19</v>
      </c>
      <c r="B2294" t="s">
        <v>25</v>
      </c>
      <c r="C2294" s="1">
        <v>45623</v>
      </c>
      <c r="D2294">
        <f t="shared" si="160"/>
        <v>27</v>
      </c>
      <c r="E2294">
        <f t="shared" si="161"/>
        <v>11</v>
      </c>
      <c r="F2294">
        <f t="shared" si="162"/>
        <v>2024</v>
      </c>
      <c r="G2294" t="s">
        <v>38</v>
      </c>
      <c r="H2294" s="98">
        <v>10409</v>
      </c>
      <c r="I2294" s="29">
        <v>19018.650000000001</v>
      </c>
      <c r="J2294" s="12" t="s">
        <v>31</v>
      </c>
      <c r="K2294" s="76">
        <f t="shared" si="164"/>
        <v>19018.650000000001</v>
      </c>
      <c r="L2294">
        <v>1</v>
      </c>
      <c r="M2294" s="29">
        <v>0</v>
      </c>
      <c r="N2294" t="s">
        <v>32</v>
      </c>
      <c r="O2294" t="s">
        <v>33</v>
      </c>
      <c r="P2294" t="s">
        <v>34</v>
      </c>
      <c r="Q2294" t="s">
        <v>34</v>
      </c>
      <c r="R2294" t="s">
        <v>34</v>
      </c>
      <c r="S2294" t="s">
        <v>34</v>
      </c>
      <c r="T2294" s="117">
        <v>0</v>
      </c>
    </row>
    <row r="2295" spans="1:20" x14ac:dyDescent="0.35">
      <c r="A2295" t="s">
        <v>20</v>
      </c>
      <c r="B2295" t="s">
        <v>23</v>
      </c>
      <c r="C2295" s="1">
        <v>45623</v>
      </c>
      <c r="D2295">
        <f t="shared" si="160"/>
        <v>27</v>
      </c>
      <c r="E2295">
        <f t="shared" si="161"/>
        <v>11</v>
      </c>
      <c r="F2295">
        <f t="shared" si="162"/>
        <v>2024</v>
      </c>
      <c r="G2295" t="s">
        <v>53</v>
      </c>
      <c r="H2295" s="171">
        <v>11398</v>
      </c>
      <c r="I2295" s="29">
        <v>15498.51</v>
      </c>
      <c r="J2295" s="12" t="s">
        <v>31</v>
      </c>
      <c r="K2295" s="76">
        <f t="shared" si="164"/>
        <v>15498.51</v>
      </c>
      <c r="L2295">
        <v>1</v>
      </c>
      <c r="M2295" s="29">
        <v>0</v>
      </c>
      <c r="N2295" t="s">
        <v>42</v>
      </c>
      <c r="O2295" t="s">
        <v>33</v>
      </c>
      <c r="P2295" t="s">
        <v>34</v>
      </c>
      <c r="Q2295" t="s">
        <v>34</v>
      </c>
      <c r="R2295" t="s">
        <v>34</v>
      </c>
      <c r="S2295" t="s">
        <v>34</v>
      </c>
      <c r="T2295" s="117">
        <v>0</v>
      </c>
    </row>
    <row r="2296" spans="1:20" x14ac:dyDescent="0.35">
      <c r="A2296" t="s">
        <v>20</v>
      </c>
      <c r="B2296" t="s">
        <v>21</v>
      </c>
      <c r="C2296" s="1">
        <v>45623</v>
      </c>
      <c r="D2296">
        <f t="shared" si="160"/>
        <v>27</v>
      </c>
      <c r="E2296">
        <f t="shared" si="161"/>
        <v>11</v>
      </c>
      <c r="F2296">
        <f t="shared" si="162"/>
        <v>2024</v>
      </c>
      <c r="G2296" t="s">
        <v>52</v>
      </c>
      <c r="H2296" s="98">
        <v>11259</v>
      </c>
      <c r="I2296" s="29">
        <v>315.48</v>
      </c>
      <c r="J2296" s="12" t="s">
        <v>31</v>
      </c>
      <c r="K2296" s="76">
        <f t="shared" si="164"/>
        <v>315.48</v>
      </c>
      <c r="L2296">
        <v>1</v>
      </c>
      <c r="M2296" s="29">
        <v>0</v>
      </c>
      <c r="N2296" t="s">
        <v>32</v>
      </c>
      <c r="O2296" t="s">
        <v>33</v>
      </c>
      <c r="P2296" t="s">
        <v>34</v>
      </c>
      <c r="Q2296" t="s">
        <v>34</v>
      </c>
      <c r="R2296" t="s">
        <v>34</v>
      </c>
      <c r="S2296" t="s">
        <v>34</v>
      </c>
      <c r="T2296" s="117">
        <v>0</v>
      </c>
    </row>
    <row r="2297" spans="1:20" x14ac:dyDescent="0.35">
      <c r="A2297" t="s">
        <v>20</v>
      </c>
      <c r="B2297" t="s">
        <v>21</v>
      </c>
      <c r="C2297" s="1">
        <v>45623</v>
      </c>
      <c r="D2297">
        <f t="shared" si="160"/>
        <v>27</v>
      </c>
      <c r="E2297">
        <f t="shared" si="161"/>
        <v>11</v>
      </c>
      <c r="F2297">
        <f t="shared" si="162"/>
        <v>2024</v>
      </c>
      <c r="G2297" t="s">
        <v>52</v>
      </c>
      <c r="H2297" s="98">
        <v>11367</v>
      </c>
      <c r="I2297" s="29">
        <v>132</v>
      </c>
      <c r="J2297" s="12" t="s">
        <v>31</v>
      </c>
      <c r="K2297" s="76">
        <f t="shared" si="164"/>
        <v>132</v>
      </c>
      <c r="L2297">
        <v>1</v>
      </c>
      <c r="M2297" s="29">
        <v>0</v>
      </c>
      <c r="N2297" t="s">
        <v>32</v>
      </c>
      <c r="O2297" t="s">
        <v>33</v>
      </c>
      <c r="P2297" t="s">
        <v>34</v>
      </c>
      <c r="Q2297" t="s">
        <v>34</v>
      </c>
      <c r="R2297" t="s">
        <v>34</v>
      </c>
      <c r="S2297" t="s">
        <v>34</v>
      </c>
      <c r="T2297" s="117">
        <v>0</v>
      </c>
    </row>
    <row r="2298" spans="1:20" x14ac:dyDescent="0.35">
      <c r="A2298" t="s">
        <v>20</v>
      </c>
      <c r="B2298" t="s">
        <v>21</v>
      </c>
      <c r="C2298" s="1">
        <v>45623</v>
      </c>
      <c r="D2298">
        <f t="shared" si="160"/>
        <v>27</v>
      </c>
      <c r="E2298">
        <f t="shared" si="161"/>
        <v>11</v>
      </c>
      <c r="F2298">
        <f t="shared" si="162"/>
        <v>2024</v>
      </c>
      <c r="G2298" t="s">
        <v>52</v>
      </c>
      <c r="H2298" s="98">
        <v>11473</v>
      </c>
      <c r="I2298" s="29">
        <v>203.58</v>
      </c>
      <c r="J2298" s="12" t="s">
        <v>31</v>
      </c>
      <c r="K2298" s="76">
        <f t="shared" si="164"/>
        <v>203.58</v>
      </c>
      <c r="L2298">
        <v>1</v>
      </c>
      <c r="M2298" s="29">
        <v>0</v>
      </c>
      <c r="N2298" t="s">
        <v>32</v>
      </c>
      <c r="O2298" t="s">
        <v>33</v>
      </c>
      <c r="P2298" t="s">
        <v>34</v>
      </c>
      <c r="Q2298" t="s">
        <v>34</v>
      </c>
      <c r="R2298" t="s">
        <v>34</v>
      </c>
      <c r="S2298" t="s">
        <v>34</v>
      </c>
      <c r="T2298" s="117">
        <v>0</v>
      </c>
    </row>
    <row r="2299" spans="1:20" x14ac:dyDescent="0.35">
      <c r="A2299" t="s">
        <v>20</v>
      </c>
      <c r="B2299" t="s">
        <v>23</v>
      </c>
      <c r="C2299" s="1">
        <v>45623</v>
      </c>
      <c r="D2299">
        <f t="shared" si="160"/>
        <v>27</v>
      </c>
      <c r="E2299">
        <f t="shared" si="161"/>
        <v>11</v>
      </c>
      <c r="F2299">
        <f t="shared" si="162"/>
        <v>2024</v>
      </c>
      <c r="G2299" t="s">
        <v>82</v>
      </c>
      <c r="H2299" s="98">
        <v>11278</v>
      </c>
      <c r="I2299" s="29">
        <v>11549.05</v>
      </c>
      <c r="J2299" s="12" t="s">
        <v>31</v>
      </c>
      <c r="K2299" s="76">
        <f t="shared" si="164"/>
        <v>11549.05</v>
      </c>
      <c r="L2299">
        <v>1</v>
      </c>
      <c r="M2299" s="29">
        <v>0</v>
      </c>
      <c r="N2299" t="s">
        <v>32</v>
      </c>
      <c r="O2299" t="s">
        <v>33</v>
      </c>
      <c r="P2299" t="s">
        <v>34</v>
      </c>
      <c r="Q2299" t="s">
        <v>34</v>
      </c>
      <c r="R2299" t="s">
        <v>34</v>
      </c>
      <c r="S2299" t="s">
        <v>34</v>
      </c>
      <c r="T2299" s="117">
        <v>0</v>
      </c>
    </row>
    <row r="2300" spans="1:20" x14ac:dyDescent="0.35">
      <c r="A2300" t="s">
        <v>20</v>
      </c>
      <c r="B2300" t="s">
        <v>23</v>
      </c>
      <c r="C2300" s="1">
        <v>45623</v>
      </c>
      <c r="D2300">
        <f t="shared" si="160"/>
        <v>27</v>
      </c>
      <c r="E2300">
        <f t="shared" si="161"/>
        <v>11</v>
      </c>
      <c r="F2300">
        <f t="shared" si="162"/>
        <v>2024</v>
      </c>
      <c r="G2300" t="s">
        <v>82</v>
      </c>
      <c r="H2300" s="98">
        <v>11267</v>
      </c>
      <c r="I2300" s="29">
        <v>62</v>
      </c>
      <c r="J2300" s="12" t="s">
        <v>31</v>
      </c>
      <c r="K2300" s="76">
        <f t="shared" si="164"/>
        <v>62</v>
      </c>
      <c r="L2300">
        <v>1</v>
      </c>
      <c r="M2300" s="29">
        <v>0</v>
      </c>
      <c r="N2300" t="s">
        <v>32</v>
      </c>
      <c r="O2300" t="s">
        <v>33</v>
      </c>
      <c r="P2300" t="s">
        <v>34</v>
      </c>
      <c r="Q2300" t="s">
        <v>34</v>
      </c>
      <c r="R2300" t="s">
        <v>34</v>
      </c>
      <c r="S2300" t="s">
        <v>34</v>
      </c>
      <c r="T2300" s="117">
        <v>0</v>
      </c>
    </row>
    <row r="2301" spans="1:20" x14ac:dyDescent="0.35">
      <c r="A2301" t="s">
        <v>20</v>
      </c>
      <c r="B2301" t="s">
        <v>21</v>
      </c>
      <c r="C2301" s="1">
        <v>45623</v>
      </c>
      <c r="D2301">
        <f t="shared" si="160"/>
        <v>27</v>
      </c>
      <c r="E2301">
        <f t="shared" si="161"/>
        <v>11</v>
      </c>
      <c r="F2301">
        <f t="shared" si="162"/>
        <v>2024</v>
      </c>
      <c r="G2301" t="s">
        <v>45</v>
      </c>
      <c r="H2301" s="98">
        <v>11183</v>
      </c>
      <c r="I2301" s="29">
        <v>118.8</v>
      </c>
      <c r="J2301" s="12" t="s">
        <v>31</v>
      </c>
      <c r="K2301" s="76">
        <f t="shared" si="164"/>
        <v>118.8</v>
      </c>
      <c r="L2301">
        <v>1</v>
      </c>
      <c r="M2301" s="29">
        <v>0</v>
      </c>
      <c r="N2301" t="s">
        <v>32</v>
      </c>
      <c r="O2301" t="s">
        <v>33</v>
      </c>
      <c r="P2301" t="s">
        <v>34</v>
      </c>
      <c r="Q2301" t="s">
        <v>34</v>
      </c>
      <c r="R2301" t="s">
        <v>34</v>
      </c>
      <c r="S2301" t="s">
        <v>34</v>
      </c>
      <c r="T2301" s="117">
        <v>0</v>
      </c>
    </row>
    <row r="2302" spans="1:20" x14ac:dyDescent="0.35">
      <c r="A2302" t="s">
        <v>20</v>
      </c>
      <c r="B2302" t="s">
        <v>21</v>
      </c>
      <c r="C2302" s="1">
        <v>45623</v>
      </c>
      <c r="D2302">
        <f t="shared" si="160"/>
        <v>27</v>
      </c>
      <c r="E2302">
        <f t="shared" si="161"/>
        <v>11</v>
      </c>
      <c r="F2302">
        <f t="shared" si="162"/>
        <v>2024</v>
      </c>
      <c r="G2302" t="s">
        <v>45</v>
      </c>
      <c r="H2302" s="98">
        <v>11421</v>
      </c>
      <c r="I2302" s="29">
        <v>61</v>
      </c>
      <c r="J2302" s="12" t="s">
        <v>31</v>
      </c>
      <c r="K2302" s="76">
        <f t="shared" si="164"/>
        <v>61</v>
      </c>
      <c r="L2302">
        <v>1</v>
      </c>
      <c r="M2302" s="29">
        <v>0</v>
      </c>
      <c r="N2302" t="s">
        <v>32</v>
      </c>
      <c r="O2302" t="s">
        <v>33</v>
      </c>
      <c r="P2302" t="s">
        <v>34</v>
      </c>
      <c r="Q2302" t="s">
        <v>34</v>
      </c>
      <c r="R2302" t="s">
        <v>34</v>
      </c>
      <c r="S2302" t="s">
        <v>34</v>
      </c>
      <c r="T2302" s="117">
        <v>0</v>
      </c>
    </row>
    <row r="2303" spans="1:20" x14ac:dyDescent="0.35">
      <c r="A2303" t="s">
        <v>20</v>
      </c>
      <c r="B2303" t="s">
        <v>23</v>
      </c>
      <c r="C2303" s="1">
        <v>45623</v>
      </c>
      <c r="D2303">
        <f t="shared" si="160"/>
        <v>27</v>
      </c>
      <c r="E2303">
        <f t="shared" si="161"/>
        <v>11</v>
      </c>
      <c r="F2303">
        <f t="shared" si="162"/>
        <v>2024</v>
      </c>
      <c r="G2303" t="s">
        <v>45</v>
      </c>
      <c r="H2303" s="98">
        <v>11475</v>
      </c>
      <c r="I2303" s="29">
        <v>17749.439999999999</v>
      </c>
      <c r="J2303" s="12" t="s">
        <v>31</v>
      </c>
      <c r="K2303" s="76">
        <f t="shared" si="164"/>
        <v>17749.439999999999</v>
      </c>
      <c r="L2303">
        <v>1</v>
      </c>
      <c r="M2303" s="29">
        <v>0</v>
      </c>
      <c r="N2303" t="s">
        <v>32</v>
      </c>
      <c r="O2303" t="s">
        <v>33</v>
      </c>
      <c r="P2303" t="s">
        <v>34</v>
      </c>
      <c r="Q2303" t="s">
        <v>34</v>
      </c>
      <c r="R2303" t="s">
        <v>34</v>
      </c>
      <c r="S2303" t="s">
        <v>34</v>
      </c>
      <c r="T2303" s="117">
        <v>0</v>
      </c>
    </row>
    <row r="2304" spans="1:20" x14ac:dyDescent="0.35">
      <c r="A2304" t="s">
        <v>20</v>
      </c>
      <c r="B2304" t="s">
        <v>21</v>
      </c>
      <c r="C2304" s="1">
        <v>45623</v>
      </c>
      <c r="D2304">
        <f t="shared" si="160"/>
        <v>27</v>
      </c>
      <c r="E2304">
        <f t="shared" si="161"/>
        <v>11</v>
      </c>
      <c r="F2304">
        <f t="shared" si="162"/>
        <v>2024</v>
      </c>
      <c r="G2304" t="s">
        <v>45</v>
      </c>
      <c r="H2304" s="98">
        <v>11475</v>
      </c>
      <c r="I2304" s="29">
        <v>30774.26</v>
      </c>
      <c r="J2304" s="12" t="s">
        <v>31</v>
      </c>
      <c r="K2304" s="76">
        <f t="shared" si="164"/>
        <v>30774.26</v>
      </c>
      <c r="L2304">
        <v>1</v>
      </c>
      <c r="M2304" s="29">
        <v>0</v>
      </c>
      <c r="N2304" t="s">
        <v>32</v>
      </c>
      <c r="O2304" t="s">
        <v>33</v>
      </c>
      <c r="P2304" t="s">
        <v>34</v>
      </c>
      <c r="Q2304" t="s">
        <v>34</v>
      </c>
      <c r="R2304" t="s">
        <v>34</v>
      </c>
      <c r="S2304" t="s">
        <v>34</v>
      </c>
      <c r="T2304" s="117">
        <v>0</v>
      </c>
    </row>
    <row r="2305" spans="1:21" x14ac:dyDescent="0.35">
      <c r="A2305" t="s">
        <v>20</v>
      </c>
      <c r="B2305" t="s">
        <v>25</v>
      </c>
      <c r="C2305" s="1">
        <v>45623</v>
      </c>
      <c r="D2305">
        <f t="shared" si="160"/>
        <v>27</v>
      </c>
      <c r="E2305">
        <f t="shared" si="161"/>
        <v>11</v>
      </c>
      <c r="F2305">
        <f t="shared" si="162"/>
        <v>2024</v>
      </c>
      <c r="G2305" t="s">
        <v>45</v>
      </c>
      <c r="H2305" s="98">
        <v>11185</v>
      </c>
      <c r="I2305" s="29">
        <v>89</v>
      </c>
      <c r="J2305" s="12" t="s">
        <v>31</v>
      </c>
      <c r="K2305" s="76">
        <f t="shared" ref="K2305:K2336" si="165">IF(J2305="USD",I2305,I2305*L2305)</f>
        <v>89</v>
      </c>
      <c r="L2305">
        <v>1</v>
      </c>
      <c r="M2305" s="29">
        <v>0</v>
      </c>
      <c r="N2305" t="s">
        <v>32</v>
      </c>
      <c r="O2305" t="s">
        <v>33</v>
      </c>
      <c r="P2305" t="s">
        <v>34</v>
      </c>
      <c r="Q2305" t="s">
        <v>34</v>
      </c>
      <c r="R2305" t="s">
        <v>34</v>
      </c>
      <c r="S2305" t="s">
        <v>34</v>
      </c>
      <c r="T2305" s="117">
        <v>0</v>
      </c>
    </row>
    <row r="2306" spans="1:21" x14ac:dyDescent="0.35">
      <c r="A2306" t="s">
        <v>20</v>
      </c>
      <c r="B2306" t="s">
        <v>24</v>
      </c>
      <c r="C2306" s="1">
        <v>45623</v>
      </c>
      <c r="D2306">
        <f t="shared" si="160"/>
        <v>27</v>
      </c>
      <c r="E2306">
        <f t="shared" si="161"/>
        <v>11</v>
      </c>
      <c r="F2306">
        <f t="shared" si="162"/>
        <v>2024</v>
      </c>
      <c r="G2306" t="s">
        <v>45</v>
      </c>
      <c r="H2306" s="98">
        <v>11081</v>
      </c>
      <c r="I2306" s="29">
        <v>41795.660000000003</v>
      </c>
      <c r="J2306" s="12" t="s">
        <v>31</v>
      </c>
      <c r="K2306" s="76">
        <f t="shared" si="165"/>
        <v>41795.660000000003</v>
      </c>
      <c r="L2306">
        <v>1</v>
      </c>
      <c r="M2306" s="29">
        <v>0</v>
      </c>
      <c r="N2306" t="s">
        <v>32</v>
      </c>
      <c r="O2306" t="s">
        <v>33</v>
      </c>
      <c r="P2306" t="s">
        <v>34</v>
      </c>
      <c r="Q2306" t="s">
        <v>34</v>
      </c>
      <c r="R2306" t="s">
        <v>34</v>
      </c>
      <c r="S2306" t="s">
        <v>34</v>
      </c>
      <c r="T2306" s="117">
        <v>0</v>
      </c>
    </row>
    <row r="2307" spans="1:21" x14ac:dyDescent="0.35">
      <c r="A2307" t="s">
        <v>20</v>
      </c>
      <c r="B2307" t="s">
        <v>23</v>
      </c>
      <c r="C2307" s="1">
        <v>45623</v>
      </c>
      <c r="D2307">
        <f t="shared" ref="D2307:D2370" si="166">DAY(C2307)</f>
        <v>27</v>
      </c>
      <c r="E2307">
        <f t="shared" ref="E2307:E2370" si="167">MONTH(C2307)</f>
        <v>11</v>
      </c>
      <c r="F2307">
        <f t="shared" ref="F2307:F2370" si="168">YEAR(C2307)</f>
        <v>2024</v>
      </c>
      <c r="G2307" t="s">
        <v>86</v>
      </c>
      <c r="H2307" s="98">
        <v>11069</v>
      </c>
      <c r="I2307" s="29">
        <v>4067</v>
      </c>
      <c r="J2307" s="12" t="s">
        <v>31</v>
      </c>
      <c r="K2307" s="76">
        <f t="shared" si="165"/>
        <v>4067</v>
      </c>
      <c r="L2307">
        <v>1</v>
      </c>
      <c r="M2307" s="29">
        <v>0</v>
      </c>
      <c r="N2307" t="s">
        <v>32</v>
      </c>
      <c r="O2307" t="s">
        <v>33</v>
      </c>
      <c r="P2307" t="s">
        <v>34</v>
      </c>
      <c r="Q2307" t="s">
        <v>34</v>
      </c>
      <c r="R2307" t="s">
        <v>34</v>
      </c>
      <c r="S2307" t="s">
        <v>34</v>
      </c>
      <c r="T2307" s="117">
        <v>0</v>
      </c>
    </row>
    <row r="2308" spans="1:21" x14ac:dyDescent="0.35">
      <c r="A2308" t="s">
        <v>20</v>
      </c>
      <c r="B2308" t="s">
        <v>21</v>
      </c>
      <c r="C2308" s="1">
        <v>45623</v>
      </c>
      <c r="D2308">
        <f t="shared" si="166"/>
        <v>27</v>
      </c>
      <c r="E2308">
        <f t="shared" si="167"/>
        <v>11</v>
      </c>
      <c r="F2308">
        <f t="shared" si="168"/>
        <v>2024</v>
      </c>
      <c r="G2308" t="s">
        <v>46</v>
      </c>
      <c r="H2308" s="98">
        <v>11689</v>
      </c>
      <c r="I2308" s="29">
        <v>75</v>
      </c>
      <c r="J2308" s="12" t="s">
        <v>31</v>
      </c>
      <c r="K2308" s="76">
        <f t="shared" si="165"/>
        <v>75</v>
      </c>
      <c r="L2308">
        <v>1</v>
      </c>
      <c r="M2308" s="29">
        <v>0</v>
      </c>
      <c r="N2308" t="s">
        <v>42</v>
      </c>
      <c r="O2308" t="s">
        <v>33</v>
      </c>
      <c r="P2308" t="s">
        <v>34</v>
      </c>
      <c r="Q2308" t="s">
        <v>34</v>
      </c>
      <c r="R2308" t="s">
        <v>34</v>
      </c>
      <c r="S2308" t="s">
        <v>34</v>
      </c>
      <c r="T2308" s="117">
        <v>0</v>
      </c>
    </row>
    <row r="2309" spans="1:21" x14ac:dyDescent="0.35">
      <c r="A2309" t="s">
        <v>20</v>
      </c>
      <c r="B2309" t="s">
        <v>21</v>
      </c>
      <c r="C2309" s="1">
        <v>45623</v>
      </c>
      <c r="D2309">
        <f t="shared" si="166"/>
        <v>27</v>
      </c>
      <c r="E2309">
        <f t="shared" si="167"/>
        <v>11</v>
      </c>
      <c r="F2309">
        <f t="shared" si="168"/>
        <v>2024</v>
      </c>
      <c r="G2309" t="s">
        <v>46</v>
      </c>
      <c r="H2309" s="98">
        <v>11876</v>
      </c>
      <c r="I2309" s="29">
        <v>1920</v>
      </c>
      <c r="J2309" s="12" t="s">
        <v>31</v>
      </c>
      <c r="K2309" s="76">
        <f t="shared" si="165"/>
        <v>1920</v>
      </c>
      <c r="L2309">
        <v>1</v>
      </c>
      <c r="M2309" s="29">
        <v>0</v>
      </c>
      <c r="N2309" t="s">
        <v>42</v>
      </c>
      <c r="O2309" t="s">
        <v>33</v>
      </c>
      <c r="P2309" t="s">
        <v>34</v>
      </c>
      <c r="Q2309" t="s">
        <v>34</v>
      </c>
      <c r="R2309" t="s">
        <v>34</v>
      </c>
      <c r="S2309" t="s">
        <v>34</v>
      </c>
      <c r="T2309" s="117">
        <v>0</v>
      </c>
      <c r="U2309" s="209" t="s">
        <v>835</v>
      </c>
    </row>
    <row r="2310" spans="1:21" x14ac:dyDescent="0.35">
      <c r="A2310" t="s">
        <v>20</v>
      </c>
      <c r="B2310" t="s">
        <v>21</v>
      </c>
      <c r="C2310" s="1">
        <v>45623</v>
      </c>
      <c r="D2310">
        <f t="shared" si="166"/>
        <v>27</v>
      </c>
      <c r="E2310">
        <f t="shared" si="167"/>
        <v>11</v>
      </c>
      <c r="F2310">
        <f t="shared" si="168"/>
        <v>2024</v>
      </c>
      <c r="G2310" t="s">
        <v>265</v>
      </c>
      <c r="H2310" s="98">
        <v>11685</v>
      </c>
      <c r="I2310" s="29">
        <v>51</v>
      </c>
      <c r="J2310" s="12" t="s">
        <v>31</v>
      </c>
      <c r="K2310" s="76">
        <f t="shared" si="165"/>
        <v>51</v>
      </c>
      <c r="L2310">
        <v>1</v>
      </c>
      <c r="M2310" s="29">
        <v>0</v>
      </c>
      <c r="N2310" t="s">
        <v>42</v>
      </c>
      <c r="O2310" t="s">
        <v>33</v>
      </c>
      <c r="P2310" t="s">
        <v>34</v>
      </c>
      <c r="Q2310" t="s">
        <v>34</v>
      </c>
      <c r="R2310" t="s">
        <v>34</v>
      </c>
      <c r="S2310" t="s">
        <v>34</v>
      </c>
      <c r="T2310" s="117">
        <v>0</v>
      </c>
    </row>
    <row r="2311" spans="1:21" x14ac:dyDescent="0.35">
      <c r="A2311" t="s">
        <v>20</v>
      </c>
      <c r="B2311" t="s">
        <v>21</v>
      </c>
      <c r="C2311" s="1">
        <v>45623</v>
      </c>
      <c r="D2311">
        <f t="shared" si="166"/>
        <v>27</v>
      </c>
      <c r="E2311">
        <f t="shared" si="167"/>
        <v>11</v>
      </c>
      <c r="F2311">
        <f t="shared" si="168"/>
        <v>2024</v>
      </c>
      <c r="G2311" t="s">
        <v>265</v>
      </c>
      <c r="H2311" s="98">
        <v>11584</v>
      </c>
      <c r="I2311" s="29">
        <v>885.36</v>
      </c>
      <c r="J2311" s="12" t="s">
        <v>31</v>
      </c>
      <c r="K2311" s="76">
        <f t="shared" si="165"/>
        <v>885.36</v>
      </c>
      <c r="L2311">
        <v>1</v>
      </c>
      <c r="M2311" s="29">
        <v>0</v>
      </c>
      <c r="N2311" t="s">
        <v>42</v>
      </c>
      <c r="O2311" t="s">
        <v>33</v>
      </c>
      <c r="P2311" t="s">
        <v>34</v>
      </c>
      <c r="Q2311" t="s">
        <v>34</v>
      </c>
      <c r="R2311" t="s">
        <v>34</v>
      </c>
      <c r="S2311" t="s">
        <v>34</v>
      </c>
      <c r="T2311" s="117">
        <v>0</v>
      </c>
      <c r="U2311" s="209" t="s">
        <v>792</v>
      </c>
    </row>
    <row r="2312" spans="1:21" x14ac:dyDescent="0.35">
      <c r="A2312" t="s">
        <v>20</v>
      </c>
      <c r="B2312" t="s">
        <v>21</v>
      </c>
      <c r="C2312" s="1">
        <v>45623</v>
      </c>
      <c r="D2312">
        <f t="shared" si="166"/>
        <v>27</v>
      </c>
      <c r="E2312">
        <f t="shared" si="167"/>
        <v>11</v>
      </c>
      <c r="F2312">
        <f t="shared" si="168"/>
        <v>2024</v>
      </c>
      <c r="G2312" t="s">
        <v>595</v>
      </c>
      <c r="H2312" s="98">
        <v>11686</v>
      </c>
      <c r="I2312" s="29">
        <v>123</v>
      </c>
      <c r="J2312" s="12" t="s">
        <v>31</v>
      </c>
      <c r="K2312" s="76">
        <f t="shared" si="165"/>
        <v>123</v>
      </c>
      <c r="L2312">
        <v>1</v>
      </c>
      <c r="M2312" s="29">
        <v>0</v>
      </c>
      <c r="N2312" t="s">
        <v>42</v>
      </c>
      <c r="O2312" t="s">
        <v>33</v>
      </c>
      <c r="P2312" t="s">
        <v>34</v>
      </c>
      <c r="Q2312" t="s">
        <v>34</v>
      </c>
      <c r="R2312" t="s">
        <v>34</v>
      </c>
      <c r="S2312" t="s">
        <v>34</v>
      </c>
      <c r="T2312" s="117">
        <v>0</v>
      </c>
    </row>
    <row r="2313" spans="1:21" x14ac:dyDescent="0.35">
      <c r="A2313" t="s">
        <v>20</v>
      </c>
      <c r="B2313" t="s">
        <v>21</v>
      </c>
      <c r="C2313" s="1">
        <v>45623</v>
      </c>
      <c r="D2313">
        <f t="shared" si="166"/>
        <v>27</v>
      </c>
      <c r="E2313">
        <f t="shared" si="167"/>
        <v>11</v>
      </c>
      <c r="F2313">
        <f t="shared" si="168"/>
        <v>2024</v>
      </c>
      <c r="G2313" t="s">
        <v>595</v>
      </c>
      <c r="H2313" s="98">
        <v>11687</v>
      </c>
      <c r="I2313" s="29">
        <v>4090.43</v>
      </c>
      <c r="J2313" s="12" t="s">
        <v>31</v>
      </c>
      <c r="K2313" s="76">
        <f t="shared" si="165"/>
        <v>4090.43</v>
      </c>
      <c r="L2313">
        <v>1</v>
      </c>
      <c r="M2313" s="29">
        <v>0</v>
      </c>
      <c r="N2313" t="s">
        <v>42</v>
      </c>
      <c r="O2313" t="s">
        <v>33</v>
      </c>
      <c r="P2313" t="s">
        <v>34</v>
      </c>
      <c r="Q2313" t="s">
        <v>34</v>
      </c>
      <c r="R2313" t="s">
        <v>34</v>
      </c>
      <c r="S2313" t="s">
        <v>34</v>
      </c>
      <c r="T2313" s="117">
        <v>0</v>
      </c>
    </row>
    <row r="2314" spans="1:21" x14ac:dyDescent="0.35">
      <c r="A2314" t="s">
        <v>20</v>
      </c>
      <c r="B2314" t="s">
        <v>21</v>
      </c>
      <c r="C2314" s="1">
        <v>45623</v>
      </c>
      <c r="D2314">
        <f t="shared" si="166"/>
        <v>27</v>
      </c>
      <c r="E2314">
        <f t="shared" si="167"/>
        <v>11</v>
      </c>
      <c r="F2314">
        <f t="shared" si="168"/>
        <v>2024</v>
      </c>
      <c r="G2314" t="s">
        <v>273</v>
      </c>
      <c r="H2314" s="98">
        <v>11486</v>
      </c>
      <c r="I2314" s="29">
        <v>94.4</v>
      </c>
      <c r="J2314" s="12" t="s">
        <v>31</v>
      </c>
      <c r="K2314" s="76">
        <f t="shared" si="165"/>
        <v>94.4</v>
      </c>
      <c r="L2314">
        <v>1</v>
      </c>
      <c r="M2314" s="29">
        <v>0</v>
      </c>
      <c r="N2314" t="s">
        <v>42</v>
      </c>
      <c r="O2314" t="s">
        <v>33</v>
      </c>
      <c r="P2314" t="s">
        <v>34</v>
      </c>
      <c r="Q2314" t="s">
        <v>34</v>
      </c>
      <c r="R2314" t="s">
        <v>34</v>
      </c>
      <c r="S2314" t="s">
        <v>34</v>
      </c>
      <c r="T2314" s="117">
        <v>0</v>
      </c>
      <c r="U2314" s="209" t="s">
        <v>1048</v>
      </c>
    </row>
    <row r="2315" spans="1:21" x14ac:dyDescent="0.35">
      <c r="A2315" t="s">
        <v>20</v>
      </c>
      <c r="B2315" t="s">
        <v>21</v>
      </c>
      <c r="C2315" s="1">
        <v>45623</v>
      </c>
      <c r="D2315">
        <f t="shared" si="166"/>
        <v>27</v>
      </c>
      <c r="E2315">
        <f t="shared" si="167"/>
        <v>11</v>
      </c>
      <c r="F2315">
        <f t="shared" si="168"/>
        <v>2024</v>
      </c>
      <c r="G2315" t="s">
        <v>273</v>
      </c>
      <c r="H2315" s="98">
        <v>11690</v>
      </c>
      <c r="I2315" s="29">
        <v>1465.82</v>
      </c>
      <c r="J2315" s="12" t="s">
        <v>31</v>
      </c>
      <c r="K2315" s="76">
        <f t="shared" si="165"/>
        <v>1465.82</v>
      </c>
      <c r="L2315">
        <v>1</v>
      </c>
      <c r="M2315" s="29">
        <v>0</v>
      </c>
      <c r="N2315" t="s">
        <v>42</v>
      </c>
      <c r="O2315" t="s">
        <v>33</v>
      </c>
      <c r="P2315" t="s">
        <v>34</v>
      </c>
      <c r="Q2315" t="s">
        <v>34</v>
      </c>
      <c r="R2315" t="s">
        <v>34</v>
      </c>
      <c r="S2315" t="s">
        <v>34</v>
      </c>
      <c r="T2315" s="117">
        <v>0</v>
      </c>
      <c r="U2315" s="209" t="s">
        <v>1011</v>
      </c>
    </row>
    <row r="2316" spans="1:21" x14ac:dyDescent="0.35">
      <c r="A2316" t="s">
        <v>20</v>
      </c>
      <c r="B2316" t="s">
        <v>23</v>
      </c>
      <c r="C2316" s="1">
        <v>45623</v>
      </c>
      <c r="D2316">
        <f t="shared" si="166"/>
        <v>27</v>
      </c>
      <c r="E2316">
        <f t="shared" si="167"/>
        <v>11</v>
      </c>
      <c r="F2316">
        <f t="shared" si="168"/>
        <v>2024</v>
      </c>
      <c r="G2316" t="s">
        <v>177</v>
      </c>
      <c r="H2316" s="98">
        <v>11489</v>
      </c>
      <c r="I2316" s="29">
        <v>8178.57</v>
      </c>
      <c r="J2316" s="12" t="s">
        <v>31</v>
      </c>
      <c r="K2316" s="76">
        <f t="shared" si="165"/>
        <v>8178.57</v>
      </c>
      <c r="L2316">
        <v>1</v>
      </c>
      <c r="M2316" s="29">
        <v>0</v>
      </c>
      <c r="N2316" t="s">
        <v>42</v>
      </c>
      <c r="O2316" t="s">
        <v>33</v>
      </c>
      <c r="P2316" t="s">
        <v>34</v>
      </c>
      <c r="Q2316" t="s">
        <v>34</v>
      </c>
      <c r="R2316" t="s">
        <v>34</v>
      </c>
      <c r="S2316" t="s">
        <v>34</v>
      </c>
      <c r="T2316" s="117">
        <v>0</v>
      </c>
    </row>
    <row r="2317" spans="1:21" x14ac:dyDescent="0.35">
      <c r="A2317" t="s">
        <v>20</v>
      </c>
      <c r="B2317" t="s">
        <v>23</v>
      </c>
      <c r="C2317" s="1">
        <v>45623</v>
      </c>
      <c r="D2317">
        <f t="shared" si="166"/>
        <v>27</v>
      </c>
      <c r="E2317">
        <f t="shared" si="167"/>
        <v>11</v>
      </c>
      <c r="F2317">
        <f t="shared" si="168"/>
        <v>2024</v>
      </c>
      <c r="G2317" t="s">
        <v>177</v>
      </c>
      <c r="H2317" s="98">
        <v>11696</v>
      </c>
      <c r="I2317" s="29">
        <v>117.7</v>
      </c>
      <c r="J2317" s="12" t="s">
        <v>31</v>
      </c>
      <c r="K2317" s="76">
        <f t="shared" si="165"/>
        <v>117.7</v>
      </c>
      <c r="L2317">
        <v>1</v>
      </c>
      <c r="M2317" s="29">
        <v>0</v>
      </c>
      <c r="N2317" t="s">
        <v>42</v>
      </c>
      <c r="O2317" t="s">
        <v>33</v>
      </c>
      <c r="P2317" t="s">
        <v>34</v>
      </c>
      <c r="Q2317" t="s">
        <v>34</v>
      </c>
      <c r="R2317" t="s">
        <v>34</v>
      </c>
      <c r="S2317" t="s">
        <v>34</v>
      </c>
      <c r="T2317" s="117">
        <v>0</v>
      </c>
    </row>
    <row r="2318" spans="1:21" x14ac:dyDescent="0.35">
      <c r="A2318" t="s">
        <v>20</v>
      </c>
      <c r="B2318" t="s">
        <v>23</v>
      </c>
      <c r="C2318" s="1">
        <v>45623</v>
      </c>
      <c r="D2318">
        <f t="shared" si="166"/>
        <v>27</v>
      </c>
      <c r="E2318">
        <f t="shared" si="167"/>
        <v>11</v>
      </c>
      <c r="F2318">
        <f t="shared" si="168"/>
        <v>2024</v>
      </c>
      <c r="G2318" t="s">
        <v>177</v>
      </c>
      <c r="H2318" s="98">
        <v>11697</v>
      </c>
      <c r="I2318" s="29">
        <v>7902</v>
      </c>
      <c r="J2318" s="12" t="s">
        <v>31</v>
      </c>
      <c r="K2318" s="76">
        <f t="shared" si="165"/>
        <v>7902</v>
      </c>
      <c r="L2318">
        <v>1</v>
      </c>
      <c r="M2318" s="29">
        <v>0</v>
      </c>
      <c r="N2318" t="s">
        <v>42</v>
      </c>
      <c r="O2318" t="s">
        <v>33</v>
      </c>
      <c r="P2318" t="s">
        <v>34</v>
      </c>
      <c r="Q2318" t="s">
        <v>34</v>
      </c>
      <c r="R2318" t="s">
        <v>34</v>
      </c>
      <c r="S2318" t="s">
        <v>34</v>
      </c>
      <c r="T2318" s="117">
        <v>0</v>
      </c>
    </row>
    <row r="2319" spans="1:21" x14ac:dyDescent="0.35">
      <c r="A2319" t="s">
        <v>20</v>
      </c>
      <c r="B2319" t="s">
        <v>23</v>
      </c>
      <c r="C2319" s="1">
        <v>45623</v>
      </c>
      <c r="D2319">
        <f t="shared" si="166"/>
        <v>27</v>
      </c>
      <c r="E2319">
        <f t="shared" si="167"/>
        <v>11</v>
      </c>
      <c r="F2319">
        <f t="shared" si="168"/>
        <v>2024</v>
      </c>
      <c r="G2319" t="s">
        <v>177</v>
      </c>
      <c r="H2319" s="98">
        <v>11696</v>
      </c>
      <c r="I2319" s="29">
        <v>104.5</v>
      </c>
      <c r="J2319" s="12" t="s">
        <v>31</v>
      </c>
      <c r="K2319" s="76">
        <f t="shared" si="165"/>
        <v>104.5</v>
      </c>
      <c r="L2319">
        <v>1</v>
      </c>
      <c r="M2319" s="29">
        <v>0</v>
      </c>
      <c r="N2319" t="s">
        <v>42</v>
      </c>
      <c r="O2319" t="s">
        <v>33</v>
      </c>
      <c r="P2319" t="s">
        <v>34</v>
      </c>
      <c r="Q2319" t="s">
        <v>34</v>
      </c>
      <c r="R2319" t="s">
        <v>34</v>
      </c>
      <c r="S2319" t="s">
        <v>34</v>
      </c>
      <c r="T2319" s="117">
        <v>0</v>
      </c>
      <c r="U2319" s="209" t="s">
        <v>794</v>
      </c>
    </row>
    <row r="2320" spans="1:21" x14ac:dyDescent="0.35">
      <c r="A2320" t="s">
        <v>20</v>
      </c>
      <c r="B2320" t="s">
        <v>23</v>
      </c>
      <c r="C2320" s="1">
        <v>45623</v>
      </c>
      <c r="D2320">
        <f t="shared" si="166"/>
        <v>27</v>
      </c>
      <c r="E2320">
        <f t="shared" si="167"/>
        <v>11</v>
      </c>
      <c r="F2320">
        <f t="shared" si="168"/>
        <v>2024</v>
      </c>
      <c r="G2320" t="s">
        <v>177</v>
      </c>
      <c r="H2320" s="98">
        <v>11697</v>
      </c>
      <c r="I2320" s="29">
        <v>6595.5</v>
      </c>
      <c r="J2320" s="12" t="s">
        <v>31</v>
      </c>
      <c r="K2320" s="76">
        <f t="shared" si="165"/>
        <v>6595.5</v>
      </c>
      <c r="L2320">
        <v>1</v>
      </c>
      <c r="M2320" s="29">
        <v>0</v>
      </c>
      <c r="N2320" t="s">
        <v>42</v>
      </c>
      <c r="O2320" t="s">
        <v>33</v>
      </c>
      <c r="P2320" t="s">
        <v>34</v>
      </c>
      <c r="Q2320" t="s">
        <v>34</v>
      </c>
      <c r="R2320" t="s">
        <v>34</v>
      </c>
      <c r="S2320" t="s">
        <v>34</v>
      </c>
      <c r="T2320" s="117">
        <v>0</v>
      </c>
      <c r="U2320" s="209" t="s">
        <v>795</v>
      </c>
    </row>
    <row r="2321" spans="1:21" x14ac:dyDescent="0.35">
      <c r="A2321" t="s">
        <v>20</v>
      </c>
      <c r="B2321" t="s">
        <v>23</v>
      </c>
      <c r="C2321" s="1">
        <v>45623</v>
      </c>
      <c r="D2321">
        <f t="shared" si="166"/>
        <v>27</v>
      </c>
      <c r="E2321">
        <f t="shared" si="167"/>
        <v>11</v>
      </c>
      <c r="F2321">
        <f t="shared" si="168"/>
        <v>2024</v>
      </c>
      <c r="G2321" t="s">
        <v>177</v>
      </c>
      <c r="H2321" s="98">
        <v>11692</v>
      </c>
      <c r="I2321" s="29">
        <v>147.6</v>
      </c>
      <c r="J2321" s="12" t="s">
        <v>31</v>
      </c>
      <c r="K2321" s="76">
        <f t="shared" si="165"/>
        <v>147.6</v>
      </c>
      <c r="L2321">
        <v>1</v>
      </c>
      <c r="M2321" s="29">
        <v>0</v>
      </c>
      <c r="N2321" t="s">
        <v>42</v>
      </c>
      <c r="O2321" t="s">
        <v>33</v>
      </c>
      <c r="P2321" t="s">
        <v>34</v>
      </c>
      <c r="Q2321" t="s">
        <v>34</v>
      </c>
      <c r="R2321" t="s">
        <v>34</v>
      </c>
      <c r="S2321" t="s">
        <v>34</v>
      </c>
      <c r="T2321" s="117">
        <v>0</v>
      </c>
    </row>
    <row r="2322" spans="1:21" x14ac:dyDescent="0.35">
      <c r="A2322" t="s">
        <v>20</v>
      </c>
      <c r="B2322" t="s">
        <v>23</v>
      </c>
      <c r="C2322" s="1">
        <v>45623</v>
      </c>
      <c r="D2322">
        <f t="shared" si="166"/>
        <v>27</v>
      </c>
      <c r="E2322">
        <f t="shared" si="167"/>
        <v>11</v>
      </c>
      <c r="F2322">
        <f t="shared" si="168"/>
        <v>2024</v>
      </c>
      <c r="G2322" t="s">
        <v>177</v>
      </c>
      <c r="H2322" s="98">
        <v>11536</v>
      </c>
      <c r="I2322" s="29">
        <v>6904.8</v>
      </c>
      <c r="J2322" s="12" t="s">
        <v>31</v>
      </c>
      <c r="K2322" s="76">
        <f t="shared" si="165"/>
        <v>6904.8</v>
      </c>
      <c r="L2322">
        <v>1</v>
      </c>
      <c r="M2322" s="29">
        <v>0</v>
      </c>
      <c r="N2322" t="s">
        <v>42</v>
      </c>
      <c r="O2322" t="s">
        <v>33</v>
      </c>
      <c r="P2322" t="s">
        <v>34</v>
      </c>
      <c r="Q2322" t="s">
        <v>34</v>
      </c>
      <c r="R2322" t="s">
        <v>34</v>
      </c>
      <c r="S2322" t="s">
        <v>34</v>
      </c>
      <c r="T2322" s="117">
        <v>0</v>
      </c>
      <c r="U2322" s="209" t="s">
        <v>704</v>
      </c>
    </row>
    <row r="2323" spans="1:21" x14ac:dyDescent="0.35">
      <c r="A2323" t="s">
        <v>20</v>
      </c>
      <c r="B2323" t="s">
        <v>23</v>
      </c>
      <c r="C2323" s="1">
        <v>45623</v>
      </c>
      <c r="D2323">
        <f t="shared" si="166"/>
        <v>27</v>
      </c>
      <c r="E2323">
        <f t="shared" si="167"/>
        <v>11</v>
      </c>
      <c r="F2323">
        <f t="shared" si="168"/>
        <v>2024</v>
      </c>
      <c r="G2323" t="s">
        <v>177</v>
      </c>
      <c r="H2323" s="98">
        <v>11694</v>
      </c>
      <c r="I2323" s="29">
        <v>159.19999999999999</v>
      </c>
      <c r="J2323" s="12" t="s">
        <v>31</v>
      </c>
      <c r="K2323" s="76">
        <f t="shared" si="165"/>
        <v>159.19999999999999</v>
      </c>
      <c r="L2323">
        <v>1</v>
      </c>
      <c r="M2323" s="29">
        <v>0</v>
      </c>
      <c r="N2323" t="s">
        <v>42</v>
      </c>
      <c r="O2323" t="s">
        <v>33</v>
      </c>
      <c r="P2323" t="s">
        <v>34</v>
      </c>
      <c r="Q2323" t="s">
        <v>34</v>
      </c>
      <c r="R2323" t="s">
        <v>34</v>
      </c>
      <c r="S2323" t="s">
        <v>34</v>
      </c>
      <c r="T2323" s="117">
        <v>0</v>
      </c>
    </row>
    <row r="2324" spans="1:21" x14ac:dyDescent="0.35">
      <c r="A2324" t="s">
        <v>20</v>
      </c>
      <c r="B2324" t="s">
        <v>23</v>
      </c>
      <c r="C2324" s="1">
        <v>45623</v>
      </c>
      <c r="D2324">
        <f t="shared" si="166"/>
        <v>27</v>
      </c>
      <c r="E2324">
        <f t="shared" si="167"/>
        <v>11</v>
      </c>
      <c r="F2324">
        <f t="shared" si="168"/>
        <v>2024</v>
      </c>
      <c r="G2324" t="s">
        <v>177</v>
      </c>
      <c r="H2324" s="98">
        <v>11695</v>
      </c>
      <c r="I2324" s="29">
        <v>11081.7</v>
      </c>
      <c r="J2324" s="12" t="s">
        <v>31</v>
      </c>
      <c r="K2324" s="76">
        <f t="shared" si="165"/>
        <v>11081.7</v>
      </c>
      <c r="L2324">
        <v>1</v>
      </c>
      <c r="M2324" s="29">
        <v>0</v>
      </c>
      <c r="N2324" t="s">
        <v>42</v>
      </c>
      <c r="O2324" t="s">
        <v>33</v>
      </c>
      <c r="P2324" t="s">
        <v>34</v>
      </c>
      <c r="Q2324" t="s">
        <v>34</v>
      </c>
      <c r="R2324" t="s">
        <v>34</v>
      </c>
      <c r="S2324" t="s">
        <v>34</v>
      </c>
      <c r="T2324" s="117">
        <v>0</v>
      </c>
    </row>
    <row r="2325" spans="1:21" x14ac:dyDescent="0.35">
      <c r="A2325" t="s">
        <v>19</v>
      </c>
      <c r="B2325" t="s">
        <v>26</v>
      </c>
      <c r="C2325" s="1">
        <v>45623</v>
      </c>
      <c r="D2325">
        <f t="shared" si="166"/>
        <v>27</v>
      </c>
      <c r="E2325">
        <f t="shared" si="167"/>
        <v>11</v>
      </c>
      <c r="F2325">
        <f t="shared" si="168"/>
        <v>2024</v>
      </c>
      <c r="G2325" t="s">
        <v>73</v>
      </c>
      <c r="H2325" s="98">
        <v>11621</v>
      </c>
      <c r="I2325" s="29">
        <v>66678.53</v>
      </c>
      <c r="J2325" s="12" t="s">
        <v>51</v>
      </c>
      <c r="K2325" s="76">
        <f t="shared" si="165"/>
        <v>70412.527679999999</v>
      </c>
      <c r="L2325">
        <v>1.056</v>
      </c>
      <c r="M2325" s="29">
        <v>0</v>
      </c>
      <c r="N2325" t="s">
        <v>32</v>
      </c>
      <c r="O2325" t="s">
        <v>33</v>
      </c>
      <c r="P2325" t="s">
        <v>34</v>
      </c>
      <c r="Q2325" t="s">
        <v>34</v>
      </c>
      <c r="R2325" t="s">
        <v>34</v>
      </c>
      <c r="S2325" t="s">
        <v>34</v>
      </c>
      <c r="T2325" s="117">
        <v>0</v>
      </c>
      <c r="U2325" s="209" t="s">
        <v>94</v>
      </c>
    </row>
    <row r="2326" spans="1:21" x14ac:dyDescent="0.35">
      <c r="A2326" t="s">
        <v>19</v>
      </c>
      <c r="B2326" t="s">
        <v>26</v>
      </c>
      <c r="C2326" s="1">
        <v>45623</v>
      </c>
      <c r="D2326">
        <f t="shared" si="166"/>
        <v>27</v>
      </c>
      <c r="E2326">
        <f t="shared" si="167"/>
        <v>11</v>
      </c>
      <c r="F2326">
        <f t="shared" si="168"/>
        <v>2024</v>
      </c>
      <c r="G2326" t="s">
        <v>73</v>
      </c>
      <c r="H2326" s="98">
        <v>11660</v>
      </c>
      <c r="I2326" s="29">
        <v>64033.88</v>
      </c>
      <c r="J2326" s="12" t="s">
        <v>51</v>
      </c>
      <c r="K2326" s="76">
        <f t="shared" si="165"/>
        <v>67619.777279999995</v>
      </c>
      <c r="L2326">
        <v>1.056</v>
      </c>
      <c r="M2326" s="29">
        <v>0</v>
      </c>
      <c r="N2326" t="s">
        <v>32</v>
      </c>
      <c r="O2326" t="s">
        <v>33</v>
      </c>
      <c r="P2326" t="s">
        <v>34</v>
      </c>
      <c r="Q2326" t="s">
        <v>34</v>
      </c>
      <c r="R2326" t="s">
        <v>34</v>
      </c>
      <c r="S2326" t="s">
        <v>34</v>
      </c>
      <c r="T2326" s="117">
        <v>0</v>
      </c>
      <c r="U2326" s="209" t="s">
        <v>94</v>
      </c>
    </row>
    <row r="2327" spans="1:21" x14ac:dyDescent="0.35">
      <c r="A2327" t="s">
        <v>19</v>
      </c>
      <c r="B2327" t="s">
        <v>26</v>
      </c>
      <c r="C2327" s="1">
        <v>45623</v>
      </c>
      <c r="D2327">
        <f t="shared" si="166"/>
        <v>27</v>
      </c>
      <c r="E2327">
        <f t="shared" si="167"/>
        <v>11</v>
      </c>
      <c r="F2327">
        <f t="shared" si="168"/>
        <v>2024</v>
      </c>
      <c r="G2327" t="s">
        <v>73</v>
      </c>
      <c r="H2327" s="98">
        <v>11662</v>
      </c>
      <c r="I2327" s="29">
        <v>12624.48</v>
      </c>
      <c r="J2327" s="12" t="s">
        <v>51</v>
      </c>
      <c r="K2327" s="76">
        <f t="shared" si="165"/>
        <v>13331.45088</v>
      </c>
      <c r="L2327">
        <v>1.056</v>
      </c>
      <c r="M2327" s="29">
        <v>0</v>
      </c>
      <c r="N2327" t="s">
        <v>32</v>
      </c>
      <c r="O2327" t="s">
        <v>33</v>
      </c>
      <c r="P2327" t="s">
        <v>34</v>
      </c>
      <c r="Q2327" t="s">
        <v>34</v>
      </c>
      <c r="R2327" t="s">
        <v>34</v>
      </c>
      <c r="S2327" t="s">
        <v>34</v>
      </c>
      <c r="T2327" s="117">
        <v>0</v>
      </c>
      <c r="U2327" s="209" t="s">
        <v>94</v>
      </c>
    </row>
    <row r="2328" spans="1:21" x14ac:dyDescent="0.35">
      <c r="A2328" t="s">
        <v>19</v>
      </c>
      <c r="B2328" t="s">
        <v>19</v>
      </c>
      <c r="C2328" s="1">
        <v>45623</v>
      </c>
      <c r="D2328">
        <f t="shared" si="166"/>
        <v>27</v>
      </c>
      <c r="E2328">
        <f t="shared" si="167"/>
        <v>11</v>
      </c>
      <c r="F2328">
        <f t="shared" si="168"/>
        <v>2024</v>
      </c>
      <c r="G2328" t="s">
        <v>56</v>
      </c>
      <c r="H2328" s="98" t="s">
        <v>684</v>
      </c>
      <c r="I2328" s="29">
        <v>193034.48</v>
      </c>
      <c r="J2328" s="12" t="s">
        <v>31</v>
      </c>
      <c r="K2328" s="76">
        <f t="shared" si="165"/>
        <v>193034.48</v>
      </c>
      <c r="L2328">
        <v>1</v>
      </c>
      <c r="M2328" s="29">
        <v>0</v>
      </c>
      <c r="N2328" t="s">
        <v>32</v>
      </c>
      <c r="O2328" t="s">
        <v>33</v>
      </c>
      <c r="P2328" t="s">
        <v>34</v>
      </c>
      <c r="Q2328" t="s">
        <v>34</v>
      </c>
      <c r="R2328" t="s">
        <v>34</v>
      </c>
      <c r="S2328" t="s">
        <v>34</v>
      </c>
      <c r="T2328" s="117">
        <v>0</v>
      </c>
    </row>
    <row r="2329" spans="1:21" x14ac:dyDescent="0.35">
      <c r="A2329" t="s">
        <v>19</v>
      </c>
      <c r="B2329" t="s">
        <v>19</v>
      </c>
      <c r="C2329" s="1">
        <v>45623</v>
      </c>
      <c r="D2329">
        <f t="shared" si="166"/>
        <v>27</v>
      </c>
      <c r="E2329">
        <f t="shared" si="167"/>
        <v>11</v>
      </c>
      <c r="F2329">
        <f t="shared" si="168"/>
        <v>2024</v>
      </c>
      <c r="G2329" t="s">
        <v>56</v>
      </c>
      <c r="H2329" s="98" t="s">
        <v>685</v>
      </c>
      <c r="I2329" s="29">
        <v>202025.66</v>
      </c>
      <c r="J2329" s="12" t="s">
        <v>31</v>
      </c>
      <c r="K2329" s="76">
        <f t="shared" si="165"/>
        <v>202025.66</v>
      </c>
      <c r="L2329">
        <v>1</v>
      </c>
      <c r="M2329" s="29">
        <v>0</v>
      </c>
      <c r="N2329" t="s">
        <v>32</v>
      </c>
      <c r="O2329" t="s">
        <v>33</v>
      </c>
      <c r="P2329" t="s">
        <v>34</v>
      </c>
      <c r="Q2329" t="s">
        <v>34</v>
      </c>
      <c r="R2329" t="s">
        <v>34</v>
      </c>
      <c r="S2329" t="s">
        <v>34</v>
      </c>
      <c r="T2329" s="117">
        <v>0</v>
      </c>
    </row>
    <row r="2330" spans="1:21" x14ac:dyDescent="0.35">
      <c r="A2330" t="s">
        <v>20</v>
      </c>
      <c r="B2330" t="s">
        <v>21</v>
      </c>
      <c r="C2330" s="1">
        <v>45623</v>
      </c>
      <c r="D2330">
        <f t="shared" si="166"/>
        <v>27</v>
      </c>
      <c r="E2330">
        <f t="shared" si="167"/>
        <v>11</v>
      </c>
      <c r="F2330">
        <f t="shared" si="168"/>
        <v>2024</v>
      </c>
      <c r="G2330" t="s">
        <v>50</v>
      </c>
      <c r="H2330" s="98">
        <v>11195</v>
      </c>
      <c r="I2330" s="29">
        <v>18585</v>
      </c>
      <c r="J2330" s="12" t="s">
        <v>31</v>
      </c>
      <c r="K2330" s="76">
        <f t="shared" si="165"/>
        <v>18585</v>
      </c>
      <c r="L2330">
        <v>1</v>
      </c>
      <c r="M2330" s="29">
        <v>0</v>
      </c>
      <c r="N2330" t="s">
        <v>32</v>
      </c>
      <c r="O2330" t="s">
        <v>33</v>
      </c>
      <c r="P2330" t="s">
        <v>34</v>
      </c>
      <c r="Q2330" t="s">
        <v>34</v>
      </c>
      <c r="R2330" t="s">
        <v>34</v>
      </c>
      <c r="S2330" t="s">
        <v>34</v>
      </c>
      <c r="T2330" s="117">
        <v>0</v>
      </c>
    </row>
    <row r="2331" spans="1:21" x14ac:dyDescent="0.35">
      <c r="A2331" t="s">
        <v>20</v>
      </c>
      <c r="B2331" t="s">
        <v>25</v>
      </c>
      <c r="C2331" s="1">
        <v>45623</v>
      </c>
      <c r="D2331">
        <f t="shared" si="166"/>
        <v>27</v>
      </c>
      <c r="E2331">
        <f t="shared" si="167"/>
        <v>11</v>
      </c>
      <c r="F2331">
        <f t="shared" si="168"/>
        <v>2024</v>
      </c>
      <c r="G2331" t="s">
        <v>50</v>
      </c>
      <c r="H2331" s="98">
        <v>11592</v>
      </c>
      <c r="I2331" s="29">
        <v>4186</v>
      </c>
      <c r="J2331" s="12" t="s">
        <v>31</v>
      </c>
      <c r="K2331" s="76">
        <f t="shared" si="165"/>
        <v>4186</v>
      </c>
      <c r="L2331">
        <v>1</v>
      </c>
      <c r="M2331" s="29">
        <v>0</v>
      </c>
      <c r="N2331" t="s">
        <v>42</v>
      </c>
      <c r="O2331" t="s">
        <v>33</v>
      </c>
      <c r="P2331" t="s">
        <v>34</v>
      </c>
      <c r="Q2331" t="s">
        <v>34</v>
      </c>
      <c r="R2331" t="s">
        <v>34</v>
      </c>
      <c r="S2331" t="s">
        <v>34</v>
      </c>
      <c r="T2331" s="117">
        <v>0</v>
      </c>
    </row>
    <row r="2332" spans="1:21" x14ac:dyDescent="0.35">
      <c r="A2332" t="s">
        <v>20</v>
      </c>
      <c r="B2332" t="s">
        <v>21</v>
      </c>
      <c r="C2332" s="1">
        <v>45624</v>
      </c>
      <c r="D2332">
        <f t="shared" si="166"/>
        <v>28</v>
      </c>
      <c r="E2332">
        <f t="shared" si="167"/>
        <v>11</v>
      </c>
      <c r="F2332">
        <f t="shared" si="168"/>
        <v>2024</v>
      </c>
      <c r="G2332" t="s">
        <v>118</v>
      </c>
      <c r="H2332" s="171">
        <v>11155</v>
      </c>
      <c r="I2332" s="76">
        <v>55654.17</v>
      </c>
      <c r="J2332" s="12" t="s">
        <v>31</v>
      </c>
      <c r="K2332" s="76">
        <f t="shared" si="165"/>
        <v>55654.17</v>
      </c>
      <c r="L2332">
        <v>1</v>
      </c>
      <c r="M2332" s="29">
        <v>0</v>
      </c>
      <c r="N2332" t="s">
        <v>32</v>
      </c>
      <c r="O2332" t="s">
        <v>33</v>
      </c>
      <c r="P2332" t="s">
        <v>34</v>
      </c>
      <c r="Q2332" t="s">
        <v>34</v>
      </c>
      <c r="R2332" t="s">
        <v>34</v>
      </c>
      <c r="S2332" t="s">
        <v>34</v>
      </c>
      <c r="T2332" s="117">
        <v>0</v>
      </c>
    </row>
    <row r="2333" spans="1:21" x14ac:dyDescent="0.35">
      <c r="A2333" t="s">
        <v>20</v>
      </c>
      <c r="B2333" t="s">
        <v>24</v>
      </c>
      <c r="C2333" s="1">
        <v>45624</v>
      </c>
      <c r="D2333">
        <f t="shared" si="166"/>
        <v>28</v>
      </c>
      <c r="E2333">
        <f t="shared" si="167"/>
        <v>11</v>
      </c>
      <c r="F2333">
        <f t="shared" si="168"/>
        <v>2024</v>
      </c>
      <c r="G2333" t="s">
        <v>118</v>
      </c>
      <c r="H2333" s="171">
        <v>11683</v>
      </c>
      <c r="I2333" s="76">
        <v>91.2</v>
      </c>
      <c r="J2333" s="12" t="s">
        <v>31</v>
      </c>
      <c r="K2333" s="76">
        <f t="shared" si="165"/>
        <v>91.2</v>
      </c>
      <c r="L2333">
        <v>1</v>
      </c>
      <c r="M2333" s="29">
        <v>0</v>
      </c>
      <c r="N2333" t="s">
        <v>42</v>
      </c>
      <c r="O2333" t="s">
        <v>33</v>
      </c>
      <c r="P2333" t="s">
        <v>34</v>
      </c>
      <c r="Q2333" t="s">
        <v>34</v>
      </c>
      <c r="R2333" t="s">
        <v>34</v>
      </c>
      <c r="S2333" t="s">
        <v>34</v>
      </c>
      <c r="T2333" s="117">
        <v>0</v>
      </c>
    </row>
    <row r="2334" spans="1:21" x14ac:dyDescent="0.35">
      <c r="A2334" t="s">
        <v>20</v>
      </c>
      <c r="B2334" t="s">
        <v>24</v>
      </c>
      <c r="C2334" s="1">
        <v>45624</v>
      </c>
      <c r="D2334">
        <f t="shared" si="166"/>
        <v>28</v>
      </c>
      <c r="E2334">
        <f t="shared" si="167"/>
        <v>11</v>
      </c>
      <c r="F2334">
        <f t="shared" si="168"/>
        <v>2024</v>
      </c>
      <c r="G2334" t="s">
        <v>118</v>
      </c>
      <c r="H2334" s="171">
        <v>11681</v>
      </c>
      <c r="I2334" s="76">
        <v>1824</v>
      </c>
      <c r="J2334" s="12" t="s">
        <v>31</v>
      </c>
      <c r="K2334" s="76">
        <f t="shared" si="165"/>
        <v>1824</v>
      </c>
      <c r="L2334">
        <v>1</v>
      </c>
      <c r="M2334" s="29">
        <v>0</v>
      </c>
      <c r="N2334" t="s">
        <v>42</v>
      </c>
      <c r="O2334" t="s">
        <v>33</v>
      </c>
      <c r="P2334" t="s">
        <v>34</v>
      </c>
      <c r="Q2334" t="s">
        <v>34</v>
      </c>
      <c r="R2334" t="s">
        <v>34</v>
      </c>
      <c r="S2334" t="s">
        <v>34</v>
      </c>
      <c r="T2334" s="117">
        <v>0</v>
      </c>
    </row>
    <row r="2335" spans="1:21" x14ac:dyDescent="0.35">
      <c r="A2335" t="s">
        <v>20</v>
      </c>
      <c r="B2335" t="s">
        <v>25</v>
      </c>
      <c r="C2335" s="1">
        <v>45624</v>
      </c>
      <c r="D2335">
        <f t="shared" si="166"/>
        <v>28</v>
      </c>
      <c r="E2335">
        <f t="shared" si="167"/>
        <v>11</v>
      </c>
      <c r="F2335">
        <f t="shared" si="168"/>
        <v>2024</v>
      </c>
      <c r="G2335" t="s">
        <v>81</v>
      </c>
      <c r="H2335" s="98">
        <v>11447</v>
      </c>
      <c r="I2335" s="76">
        <v>20520</v>
      </c>
      <c r="J2335" s="12" t="s">
        <v>31</v>
      </c>
      <c r="K2335" s="76">
        <f t="shared" si="165"/>
        <v>20520</v>
      </c>
      <c r="L2335">
        <v>1</v>
      </c>
      <c r="M2335" s="29">
        <v>0</v>
      </c>
      <c r="N2335" t="s">
        <v>32</v>
      </c>
      <c r="O2335" t="s">
        <v>33</v>
      </c>
      <c r="P2335" t="s">
        <v>34</v>
      </c>
      <c r="Q2335" t="s">
        <v>34</v>
      </c>
      <c r="R2335" t="s">
        <v>34</v>
      </c>
      <c r="S2335" t="s">
        <v>34</v>
      </c>
      <c r="T2335" s="117">
        <v>0</v>
      </c>
    </row>
    <row r="2336" spans="1:21" x14ac:dyDescent="0.35">
      <c r="A2336" t="s">
        <v>19</v>
      </c>
      <c r="B2336" t="s">
        <v>19</v>
      </c>
      <c r="C2336" s="1">
        <v>45624</v>
      </c>
      <c r="D2336">
        <f t="shared" si="166"/>
        <v>28</v>
      </c>
      <c r="E2336">
        <f t="shared" si="167"/>
        <v>11</v>
      </c>
      <c r="F2336">
        <f t="shared" si="168"/>
        <v>2024</v>
      </c>
      <c r="G2336" t="s">
        <v>56</v>
      </c>
      <c r="H2336" s="98" t="s">
        <v>688</v>
      </c>
      <c r="I2336" s="29">
        <v>4285.41</v>
      </c>
      <c r="J2336" s="12" t="s">
        <v>31</v>
      </c>
      <c r="K2336" s="76">
        <f t="shared" si="165"/>
        <v>4285.41</v>
      </c>
      <c r="L2336">
        <v>1</v>
      </c>
      <c r="M2336" s="29">
        <v>0</v>
      </c>
      <c r="N2336" t="s">
        <v>32</v>
      </c>
      <c r="O2336" t="s">
        <v>33</v>
      </c>
      <c r="P2336" t="s">
        <v>34</v>
      </c>
      <c r="Q2336" t="s">
        <v>34</v>
      </c>
      <c r="R2336" t="s">
        <v>34</v>
      </c>
      <c r="S2336" t="s">
        <v>34</v>
      </c>
      <c r="T2336" s="117">
        <v>0</v>
      </c>
    </row>
    <row r="2337" spans="1:21" x14ac:dyDescent="0.35">
      <c r="A2337" t="s">
        <v>19</v>
      </c>
      <c r="B2337" t="s">
        <v>19</v>
      </c>
      <c r="C2337" s="1">
        <v>45624</v>
      </c>
      <c r="D2337">
        <f t="shared" si="166"/>
        <v>28</v>
      </c>
      <c r="E2337">
        <f t="shared" si="167"/>
        <v>11</v>
      </c>
      <c r="F2337">
        <f t="shared" si="168"/>
        <v>2024</v>
      </c>
      <c r="G2337" t="s">
        <v>56</v>
      </c>
      <c r="H2337" s="98" t="s">
        <v>689</v>
      </c>
      <c r="I2337" s="29">
        <v>166.77</v>
      </c>
      <c r="J2337" s="12" t="s">
        <v>31</v>
      </c>
      <c r="K2337" s="76">
        <f t="shared" ref="K2337:K2368" si="169">IF(J2337="USD",I2337,I2337*L2337)</f>
        <v>166.77</v>
      </c>
      <c r="L2337">
        <v>1</v>
      </c>
      <c r="M2337" s="29">
        <v>0</v>
      </c>
      <c r="N2337" t="s">
        <v>32</v>
      </c>
      <c r="O2337" t="s">
        <v>33</v>
      </c>
      <c r="P2337" t="s">
        <v>34</v>
      </c>
      <c r="Q2337" t="s">
        <v>34</v>
      </c>
      <c r="R2337" t="s">
        <v>34</v>
      </c>
      <c r="S2337" t="s">
        <v>34</v>
      </c>
      <c r="T2337" s="117">
        <v>0</v>
      </c>
    </row>
    <row r="2338" spans="1:21" x14ac:dyDescent="0.35">
      <c r="A2338" t="s">
        <v>19</v>
      </c>
      <c r="B2338" t="s">
        <v>19</v>
      </c>
      <c r="C2338" s="1">
        <v>45624</v>
      </c>
      <c r="D2338">
        <f t="shared" si="166"/>
        <v>28</v>
      </c>
      <c r="E2338">
        <f t="shared" si="167"/>
        <v>11</v>
      </c>
      <c r="F2338">
        <f t="shared" si="168"/>
        <v>2024</v>
      </c>
      <c r="G2338" t="s">
        <v>82</v>
      </c>
      <c r="H2338" s="98" t="s">
        <v>690</v>
      </c>
      <c r="I2338" s="29">
        <v>12390.64</v>
      </c>
      <c r="J2338" s="12" t="s">
        <v>31</v>
      </c>
      <c r="K2338" s="76">
        <f t="shared" si="169"/>
        <v>12390.64</v>
      </c>
      <c r="L2338">
        <v>1</v>
      </c>
      <c r="M2338" s="29">
        <v>0</v>
      </c>
      <c r="N2338" t="s">
        <v>32</v>
      </c>
      <c r="O2338" t="s">
        <v>33</v>
      </c>
      <c r="P2338" t="s">
        <v>34</v>
      </c>
      <c r="Q2338" t="s">
        <v>34</v>
      </c>
      <c r="R2338" t="s">
        <v>34</v>
      </c>
      <c r="S2338" t="s">
        <v>34</v>
      </c>
      <c r="T2338" s="117">
        <v>0</v>
      </c>
    </row>
    <row r="2339" spans="1:21" x14ac:dyDescent="0.35">
      <c r="A2339" t="s">
        <v>20</v>
      </c>
      <c r="B2339" t="s">
        <v>19</v>
      </c>
      <c r="C2339" s="1">
        <v>45624</v>
      </c>
      <c r="D2339">
        <f t="shared" si="166"/>
        <v>28</v>
      </c>
      <c r="E2339">
        <f t="shared" si="167"/>
        <v>11</v>
      </c>
      <c r="F2339">
        <f t="shared" si="168"/>
        <v>2024</v>
      </c>
      <c r="G2339" t="s">
        <v>50</v>
      </c>
      <c r="H2339" s="98" t="s">
        <v>691</v>
      </c>
      <c r="I2339" s="29">
        <v>4005.25</v>
      </c>
      <c r="J2339" s="12" t="s">
        <v>31</v>
      </c>
      <c r="K2339" s="76">
        <f t="shared" si="169"/>
        <v>4005.25</v>
      </c>
      <c r="L2339">
        <v>1</v>
      </c>
      <c r="M2339" s="29">
        <v>0</v>
      </c>
      <c r="N2339" t="s">
        <v>32</v>
      </c>
      <c r="O2339" t="s">
        <v>33</v>
      </c>
      <c r="P2339" t="s">
        <v>34</v>
      </c>
      <c r="Q2339" t="s">
        <v>34</v>
      </c>
      <c r="R2339" t="s">
        <v>34</v>
      </c>
      <c r="S2339" t="s">
        <v>34</v>
      </c>
      <c r="T2339" s="117">
        <v>0</v>
      </c>
    </row>
    <row r="2340" spans="1:21" x14ac:dyDescent="0.35">
      <c r="A2340" t="s">
        <v>19</v>
      </c>
      <c r="B2340" t="s">
        <v>19</v>
      </c>
      <c r="C2340" s="1">
        <v>45624</v>
      </c>
      <c r="D2340">
        <f t="shared" si="166"/>
        <v>28</v>
      </c>
      <c r="E2340">
        <f t="shared" si="167"/>
        <v>11</v>
      </c>
      <c r="F2340">
        <f t="shared" si="168"/>
        <v>2024</v>
      </c>
      <c r="G2340" t="s">
        <v>265</v>
      </c>
      <c r="H2340" s="98" t="s">
        <v>692</v>
      </c>
      <c r="I2340" s="29">
        <v>14058.52</v>
      </c>
      <c r="J2340" s="12" t="s">
        <v>31</v>
      </c>
      <c r="K2340" s="76">
        <f t="shared" si="169"/>
        <v>14058.52</v>
      </c>
      <c r="L2340">
        <v>1</v>
      </c>
      <c r="M2340" s="29">
        <v>0</v>
      </c>
      <c r="N2340" t="s">
        <v>32</v>
      </c>
      <c r="O2340" t="s">
        <v>33</v>
      </c>
      <c r="P2340" t="s">
        <v>34</v>
      </c>
      <c r="Q2340" t="s">
        <v>34</v>
      </c>
      <c r="R2340" t="s">
        <v>34</v>
      </c>
      <c r="S2340" t="s">
        <v>34</v>
      </c>
      <c r="T2340" s="117">
        <v>0</v>
      </c>
    </row>
    <row r="2341" spans="1:21" x14ac:dyDescent="0.35">
      <c r="A2341" t="s">
        <v>19</v>
      </c>
      <c r="B2341" t="s">
        <v>19</v>
      </c>
      <c r="C2341" s="1">
        <v>45624</v>
      </c>
      <c r="D2341">
        <f t="shared" si="166"/>
        <v>28</v>
      </c>
      <c r="E2341">
        <f t="shared" si="167"/>
        <v>11</v>
      </c>
      <c r="F2341">
        <f t="shared" si="168"/>
        <v>2024</v>
      </c>
      <c r="G2341" t="s">
        <v>122</v>
      </c>
      <c r="H2341" s="98" t="s">
        <v>693</v>
      </c>
      <c r="I2341" s="29">
        <v>29.52</v>
      </c>
      <c r="J2341" s="12" t="s">
        <v>31</v>
      </c>
      <c r="K2341" s="76">
        <f t="shared" si="169"/>
        <v>29.52</v>
      </c>
      <c r="L2341">
        <v>1</v>
      </c>
      <c r="M2341" s="29">
        <v>0</v>
      </c>
      <c r="N2341" t="s">
        <v>32</v>
      </c>
      <c r="O2341" t="s">
        <v>33</v>
      </c>
      <c r="P2341" t="s">
        <v>34</v>
      </c>
      <c r="Q2341" t="s">
        <v>34</v>
      </c>
      <c r="R2341" t="s">
        <v>34</v>
      </c>
      <c r="S2341" t="s">
        <v>34</v>
      </c>
      <c r="T2341" s="117">
        <v>0</v>
      </c>
    </row>
    <row r="2342" spans="1:21" x14ac:dyDescent="0.35">
      <c r="A2342" t="s">
        <v>20</v>
      </c>
      <c r="B2342" t="s">
        <v>25</v>
      </c>
      <c r="C2342" s="1">
        <v>45624</v>
      </c>
      <c r="D2342">
        <f t="shared" si="166"/>
        <v>28</v>
      </c>
      <c r="E2342">
        <f t="shared" si="167"/>
        <v>11</v>
      </c>
      <c r="F2342">
        <f t="shared" si="168"/>
        <v>2024</v>
      </c>
      <c r="G2342" t="s">
        <v>81</v>
      </c>
      <c r="H2342" s="98">
        <v>11447</v>
      </c>
      <c r="I2342" s="29">
        <v>20520</v>
      </c>
      <c r="J2342" s="12" t="s">
        <v>31</v>
      </c>
      <c r="K2342" s="76">
        <f t="shared" si="169"/>
        <v>20520</v>
      </c>
      <c r="L2342">
        <v>1</v>
      </c>
      <c r="M2342" s="29">
        <v>0</v>
      </c>
      <c r="N2342" t="s">
        <v>32</v>
      </c>
      <c r="O2342" t="s">
        <v>33</v>
      </c>
      <c r="P2342" t="s">
        <v>34</v>
      </c>
      <c r="Q2342" t="s">
        <v>34</v>
      </c>
      <c r="R2342" t="s">
        <v>34</v>
      </c>
      <c r="S2342" t="s">
        <v>34</v>
      </c>
      <c r="T2342" s="117">
        <v>0</v>
      </c>
    </row>
    <row r="2343" spans="1:21" x14ac:dyDescent="0.35">
      <c r="A2343" t="s">
        <v>20</v>
      </c>
      <c r="B2343" t="s">
        <v>21</v>
      </c>
      <c r="C2343" s="1">
        <v>45624</v>
      </c>
      <c r="D2343">
        <f t="shared" si="166"/>
        <v>28</v>
      </c>
      <c r="E2343">
        <f t="shared" si="167"/>
        <v>11</v>
      </c>
      <c r="F2343">
        <f t="shared" si="168"/>
        <v>2024</v>
      </c>
      <c r="G2343" t="s">
        <v>118</v>
      </c>
      <c r="H2343" s="171">
        <v>11155</v>
      </c>
      <c r="I2343" s="29">
        <v>55654.17</v>
      </c>
      <c r="J2343" s="12" t="s">
        <v>31</v>
      </c>
      <c r="K2343" s="76">
        <f t="shared" si="169"/>
        <v>55654.17</v>
      </c>
      <c r="L2343">
        <v>1</v>
      </c>
      <c r="M2343" s="29">
        <v>0</v>
      </c>
      <c r="N2343" t="s">
        <v>32</v>
      </c>
      <c r="O2343" t="s">
        <v>33</v>
      </c>
      <c r="P2343" t="s">
        <v>34</v>
      </c>
      <c r="Q2343" t="s">
        <v>34</v>
      </c>
      <c r="R2343" t="s">
        <v>34</v>
      </c>
      <c r="S2343" t="s">
        <v>34</v>
      </c>
      <c r="T2343" s="117">
        <v>0</v>
      </c>
    </row>
    <row r="2344" spans="1:21" x14ac:dyDescent="0.35">
      <c r="A2344" t="s">
        <v>20</v>
      </c>
      <c r="B2344" t="s">
        <v>24</v>
      </c>
      <c r="C2344" s="1">
        <v>45624</v>
      </c>
      <c r="D2344">
        <f t="shared" si="166"/>
        <v>28</v>
      </c>
      <c r="E2344">
        <f t="shared" si="167"/>
        <v>11</v>
      </c>
      <c r="F2344">
        <f t="shared" si="168"/>
        <v>2024</v>
      </c>
      <c r="G2344" t="s">
        <v>118</v>
      </c>
      <c r="H2344" s="171">
        <v>11683</v>
      </c>
      <c r="I2344" s="29">
        <v>91.2</v>
      </c>
      <c r="J2344" s="12" t="s">
        <v>31</v>
      </c>
      <c r="K2344" s="76">
        <f t="shared" si="169"/>
        <v>91.2</v>
      </c>
      <c r="L2344">
        <v>1</v>
      </c>
      <c r="M2344" s="29">
        <v>0</v>
      </c>
      <c r="N2344" t="s">
        <v>42</v>
      </c>
      <c r="O2344" t="s">
        <v>33</v>
      </c>
      <c r="P2344" t="s">
        <v>34</v>
      </c>
      <c r="Q2344" t="s">
        <v>34</v>
      </c>
      <c r="R2344" t="s">
        <v>34</v>
      </c>
      <c r="S2344" t="s">
        <v>34</v>
      </c>
      <c r="T2344" s="117">
        <v>0</v>
      </c>
    </row>
    <row r="2345" spans="1:21" x14ac:dyDescent="0.35">
      <c r="A2345" t="s">
        <v>20</v>
      </c>
      <c r="B2345" t="s">
        <v>24</v>
      </c>
      <c r="C2345" s="1">
        <v>45624</v>
      </c>
      <c r="D2345">
        <f t="shared" si="166"/>
        <v>28</v>
      </c>
      <c r="E2345">
        <f t="shared" si="167"/>
        <v>11</v>
      </c>
      <c r="F2345">
        <f t="shared" si="168"/>
        <v>2024</v>
      </c>
      <c r="G2345" t="s">
        <v>118</v>
      </c>
      <c r="H2345" s="171">
        <v>11681</v>
      </c>
      <c r="I2345" s="29">
        <v>1824</v>
      </c>
      <c r="J2345" s="12" t="s">
        <v>31</v>
      </c>
      <c r="K2345" s="76">
        <f t="shared" si="169"/>
        <v>1824</v>
      </c>
      <c r="L2345">
        <v>1</v>
      </c>
      <c r="M2345" s="29">
        <v>0</v>
      </c>
      <c r="N2345" t="s">
        <v>42</v>
      </c>
      <c r="O2345" t="s">
        <v>33</v>
      </c>
      <c r="P2345" t="s">
        <v>34</v>
      </c>
      <c r="Q2345" t="s">
        <v>34</v>
      </c>
      <c r="R2345" t="s">
        <v>34</v>
      </c>
      <c r="S2345" t="s">
        <v>34</v>
      </c>
      <c r="T2345" s="117">
        <v>0</v>
      </c>
    </row>
    <row r="2346" spans="1:21" x14ac:dyDescent="0.35">
      <c r="A2346" t="s">
        <v>20</v>
      </c>
      <c r="B2346" t="s">
        <v>22</v>
      </c>
      <c r="C2346" s="1">
        <v>45629</v>
      </c>
      <c r="D2346">
        <f t="shared" si="166"/>
        <v>3</v>
      </c>
      <c r="E2346">
        <f t="shared" si="167"/>
        <v>12</v>
      </c>
      <c r="F2346">
        <f t="shared" si="168"/>
        <v>2024</v>
      </c>
      <c r="G2346" t="s">
        <v>694</v>
      </c>
      <c r="H2346" s="98">
        <v>10746</v>
      </c>
      <c r="I2346" s="29">
        <v>77618.87</v>
      </c>
      <c r="J2346" s="12" t="s">
        <v>31</v>
      </c>
      <c r="K2346" s="76">
        <f t="shared" si="169"/>
        <v>77618.87</v>
      </c>
      <c r="L2346">
        <v>1</v>
      </c>
      <c r="M2346" s="29">
        <v>0</v>
      </c>
      <c r="N2346" t="s">
        <v>32</v>
      </c>
      <c r="O2346" t="s">
        <v>33</v>
      </c>
      <c r="P2346" t="s">
        <v>34</v>
      </c>
      <c r="Q2346" t="s">
        <v>34</v>
      </c>
      <c r="R2346" t="s">
        <v>34</v>
      </c>
      <c r="S2346" t="s">
        <v>34</v>
      </c>
      <c r="T2346" s="117">
        <v>0</v>
      </c>
    </row>
    <row r="2347" spans="1:21" x14ac:dyDescent="0.35">
      <c r="A2347" t="s">
        <v>20</v>
      </c>
      <c r="B2347" t="s">
        <v>21</v>
      </c>
      <c r="C2347" s="1">
        <v>45630</v>
      </c>
      <c r="D2347">
        <f t="shared" si="166"/>
        <v>4</v>
      </c>
      <c r="E2347">
        <f t="shared" si="167"/>
        <v>12</v>
      </c>
      <c r="F2347">
        <f t="shared" si="168"/>
        <v>2024</v>
      </c>
      <c r="G2347" t="s">
        <v>53</v>
      </c>
      <c r="H2347" s="171">
        <v>11390</v>
      </c>
      <c r="I2347" s="29">
        <v>25898</v>
      </c>
      <c r="J2347" s="12" t="s">
        <v>31</v>
      </c>
      <c r="K2347" s="76">
        <f t="shared" si="169"/>
        <v>25898</v>
      </c>
      <c r="L2347">
        <v>1</v>
      </c>
      <c r="M2347" s="29">
        <v>0</v>
      </c>
      <c r="N2347" t="s">
        <v>42</v>
      </c>
      <c r="O2347" t="s">
        <v>33</v>
      </c>
      <c r="P2347" t="s">
        <v>34</v>
      </c>
      <c r="Q2347" t="s">
        <v>34</v>
      </c>
      <c r="R2347" t="s">
        <v>34</v>
      </c>
      <c r="S2347" t="s">
        <v>34</v>
      </c>
      <c r="T2347" s="117">
        <v>0</v>
      </c>
    </row>
    <row r="2348" spans="1:21" x14ac:dyDescent="0.35">
      <c r="A2348" t="s">
        <v>20</v>
      </c>
      <c r="B2348" t="s">
        <v>21</v>
      </c>
      <c r="C2348" s="1">
        <v>45630</v>
      </c>
      <c r="D2348">
        <f t="shared" si="166"/>
        <v>4</v>
      </c>
      <c r="E2348">
        <f t="shared" si="167"/>
        <v>12</v>
      </c>
      <c r="F2348">
        <f t="shared" si="168"/>
        <v>2024</v>
      </c>
      <c r="G2348" t="s">
        <v>53</v>
      </c>
      <c r="H2348" s="171">
        <v>11390</v>
      </c>
      <c r="I2348" s="29">
        <v>12287</v>
      </c>
      <c r="J2348" s="12" t="s">
        <v>31</v>
      </c>
      <c r="K2348" s="76">
        <f t="shared" si="169"/>
        <v>12287</v>
      </c>
      <c r="L2348">
        <v>1</v>
      </c>
      <c r="M2348" s="29">
        <v>0</v>
      </c>
      <c r="N2348" t="s">
        <v>42</v>
      </c>
      <c r="O2348" t="s">
        <v>33</v>
      </c>
      <c r="P2348" t="s">
        <v>34</v>
      </c>
      <c r="Q2348" t="s">
        <v>34</v>
      </c>
      <c r="R2348" t="s">
        <v>34</v>
      </c>
      <c r="S2348" t="s">
        <v>34</v>
      </c>
      <c r="T2348" s="117">
        <v>0</v>
      </c>
      <c r="U2348" s="209" t="s">
        <v>711</v>
      </c>
    </row>
    <row r="2349" spans="1:21" x14ac:dyDescent="0.35">
      <c r="A2349" t="s">
        <v>20</v>
      </c>
      <c r="B2349" t="s">
        <v>23</v>
      </c>
      <c r="C2349" s="1">
        <v>45630</v>
      </c>
      <c r="D2349">
        <f t="shared" si="166"/>
        <v>4</v>
      </c>
      <c r="E2349">
        <f t="shared" si="167"/>
        <v>12</v>
      </c>
      <c r="F2349">
        <f t="shared" si="168"/>
        <v>2024</v>
      </c>
      <c r="G2349" t="s">
        <v>53</v>
      </c>
      <c r="H2349" s="171">
        <v>11526</v>
      </c>
      <c r="I2349" s="29">
        <v>2400</v>
      </c>
      <c r="J2349" s="12" t="s">
        <v>31</v>
      </c>
      <c r="K2349" s="76">
        <f t="shared" si="169"/>
        <v>2400</v>
      </c>
      <c r="L2349">
        <v>1</v>
      </c>
      <c r="M2349" s="29">
        <v>0</v>
      </c>
      <c r="N2349" t="s">
        <v>42</v>
      </c>
      <c r="O2349" t="s">
        <v>33</v>
      </c>
      <c r="P2349" t="s">
        <v>34</v>
      </c>
      <c r="Q2349" t="s">
        <v>34</v>
      </c>
      <c r="R2349" t="s">
        <v>34</v>
      </c>
      <c r="S2349" t="s">
        <v>34</v>
      </c>
      <c r="T2349" s="117">
        <v>0</v>
      </c>
    </row>
    <row r="2350" spans="1:21" x14ac:dyDescent="0.35">
      <c r="A2350" t="s">
        <v>20</v>
      </c>
      <c r="B2350" t="s">
        <v>23</v>
      </c>
      <c r="C2350" s="1">
        <v>45630</v>
      </c>
      <c r="D2350">
        <f t="shared" si="166"/>
        <v>4</v>
      </c>
      <c r="E2350">
        <f t="shared" si="167"/>
        <v>12</v>
      </c>
      <c r="F2350">
        <f t="shared" si="168"/>
        <v>2024</v>
      </c>
      <c r="G2350" t="s">
        <v>53</v>
      </c>
      <c r="H2350" s="171">
        <v>11524</v>
      </c>
      <c r="I2350" s="29">
        <v>7250</v>
      </c>
      <c r="J2350" s="12" t="s">
        <v>31</v>
      </c>
      <c r="K2350" s="76">
        <f t="shared" si="169"/>
        <v>7250</v>
      </c>
      <c r="L2350">
        <v>1</v>
      </c>
      <c r="M2350" s="29">
        <v>0</v>
      </c>
      <c r="N2350" t="s">
        <v>42</v>
      </c>
      <c r="O2350" t="s">
        <v>33</v>
      </c>
      <c r="P2350" t="s">
        <v>34</v>
      </c>
      <c r="Q2350" t="s">
        <v>34</v>
      </c>
      <c r="R2350" t="s">
        <v>34</v>
      </c>
      <c r="S2350" t="s">
        <v>34</v>
      </c>
      <c r="T2350" s="117">
        <v>0</v>
      </c>
    </row>
    <row r="2351" spans="1:21" x14ac:dyDescent="0.35">
      <c r="A2351" t="s">
        <v>20</v>
      </c>
      <c r="B2351" t="s">
        <v>23</v>
      </c>
      <c r="C2351" s="1">
        <v>45630</v>
      </c>
      <c r="D2351">
        <f t="shared" si="166"/>
        <v>4</v>
      </c>
      <c r="E2351">
        <f t="shared" si="167"/>
        <v>12</v>
      </c>
      <c r="F2351">
        <f t="shared" si="168"/>
        <v>2024</v>
      </c>
      <c r="G2351" t="s">
        <v>53</v>
      </c>
      <c r="H2351" s="171">
        <v>11600</v>
      </c>
      <c r="I2351" s="29">
        <v>10000</v>
      </c>
      <c r="J2351" s="12" t="s">
        <v>31</v>
      </c>
      <c r="K2351" s="76">
        <f t="shared" si="169"/>
        <v>10000</v>
      </c>
      <c r="L2351">
        <v>1</v>
      </c>
      <c r="M2351" s="29">
        <v>0</v>
      </c>
      <c r="N2351" t="s">
        <v>42</v>
      </c>
      <c r="O2351" t="s">
        <v>33</v>
      </c>
      <c r="P2351" t="s">
        <v>34</v>
      </c>
      <c r="Q2351" t="s">
        <v>34</v>
      </c>
      <c r="R2351" t="s">
        <v>34</v>
      </c>
      <c r="S2351" t="s">
        <v>34</v>
      </c>
      <c r="T2351" s="117">
        <v>0</v>
      </c>
    </row>
    <row r="2352" spans="1:21" x14ac:dyDescent="0.35">
      <c r="A2352" t="s">
        <v>20</v>
      </c>
      <c r="B2352" t="s">
        <v>21</v>
      </c>
      <c r="C2352" s="1">
        <v>45630</v>
      </c>
      <c r="D2352">
        <f t="shared" si="166"/>
        <v>4</v>
      </c>
      <c r="E2352">
        <f t="shared" si="167"/>
        <v>12</v>
      </c>
      <c r="F2352">
        <f t="shared" si="168"/>
        <v>2024</v>
      </c>
      <c r="G2352" t="s">
        <v>53</v>
      </c>
      <c r="H2352" s="171">
        <v>11602</v>
      </c>
      <c r="I2352" s="29">
        <v>2868</v>
      </c>
      <c r="J2352" s="12" t="s">
        <v>31</v>
      </c>
      <c r="K2352" s="76">
        <f t="shared" si="169"/>
        <v>2868</v>
      </c>
      <c r="L2352">
        <v>1</v>
      </c>
      <c r="M2352" s="29">
        <v>0</v>
      </c>
      <c r="N2352" t="s">
        <v>42</v>
      </c>
      <c r="O2352" t="s">
        <v>33</v>
      </c>
      <c r="P2352" t="s">
        <v>34</v>
      </c>
      <c r="Q2352" t="s">
        <v>34</v>
      </c>
      <c r="R2352" t="s">
        <v>34</v>
      </c>
      <c r="S2352" t="s">
        <v>34</v>
      </c>
      <c r="T2352" s="117">
        <v>0</v>
      </c>
    </row>
    <row r="2353" spans="1:21" x14ac:dyDescent="0.35">
      <c r="A2353" t="s">
        <v>20</v>
      </c>
      <c r="B2353" t="s">
        <v>23</v>
      </c>
      <c r="C2353" s="1">
        <v>45630</v>
      </c>
      <c r="D2353">
        <f t="shared" si="166"/>
        <v>4</v>
      </c>
      <c r="E2353">
        <f t="shared" si="167"/>
        <v>12</v>
      </c>
      <c r="F2353">
        <f t="shared" si="168"/>
        <v>2024</v>
      </c>
      <c r="G2353" t="s">
        <v>53</v>
      </c>
      <c r="H2353" s="171">
        <v>11600</v>
      </c>
      <c r="I2353" s="29">
        <v>3410</v>
      </c>
      <c r="J2353" s="12" t="s">
        <v>31</v>
      </c>
      <c r="K2353" s="76">
        <f t="shared" si="169"/>
        <v>3410</v>
      </c>
      <c r="L2353">
        <v>1</v>
      </c>
      <c r="M2353" s="29">
        <v>0</v>
      </c>
      <c r="N2353" t="s">
        <v>42</v>
      </c>
      <c r="O2353" t="s">
        <v>33</v>
      </c>
      <c r="P2353" t="s">
        <v>34</v>
      </c>
      <c r="Q2353" t="s">
        <v>34</v>
      </c>
      <c r="R2353" t="s">
        <v>34</v>
      </c>
      <c r="S2353" t="s">
        <v>34</v>
      </c>
      <c r="T2353" s="117">
        <v>0</v>
      </c>
      <c r="U2353" s="209" t="s">
        <v>823</v>
      </c>
    </row>
    <row r="2354" spans="1:21" x14ac:dyDescent="0.35">
      <c r="A2354" t="s">
        <v>20</v>
      </c>
      <c r="B2354" t="s">
        <v>23</v>
      </c>
      <c r="C2354" s="1">
        <v>45630</v>
      </c>
      <c r="D2354">
        <f t="shared" si="166"/>
        <v>4</v>
      </c>
      <c r="E2354">
        <f t="shared" si="167"/>
        <v>12</v>
      </c>
      <c r="F2354">
        <f t="shared" si="168"/>
        <v>2024</v>
      </c>
      <c r="G2354" t="s">
        <v>53</v>
      </c>
      <c r="H2354" s="171">
        <v>11600</v>
      </c>
      <c r="I2354" s="29">
        <v>11418</v>
      </c>
      <c r="J2354" s="12" t="s">
        <v>31</v>
      </c>
      <c r="K2354" s="76">
        <f t="shared" si="169"/>
        <v>11418</v>
      </c>
      <c r="L2354">
        <v>1</v>
      </c>
      <c r="M2354" s="29">
        <v>0</v>
      </c>
      <c r="N2354" t="s">
        <v>42</v>
      </c>
      <c r="O2354" t="s">
        <v>33</v>
      </c>
      <c r="P2354" t="s">
        <v>34</v>
      </c>
      <c r="Q2354" t="s">
        <v>34</v>
      </c>
      <c r="R2354" t="s">
        <v>34</v>
      </c>
      <c r="S2354" t="s">
        <v>34</v>
      </c>
      <c r="T2354" s="117">
        <v>0</v>
      </c>
      <c r="U2354" s="209" t="s">
        <v>824</v>
      </c>
    </row>
    <row r="2355" spans="1:21" x14ac:dyDescent="0.35">
      <c r="A2355" t="s">
        <v>20</v>
      </c>
      <c r="B2355" t="s">
        <v>23</v>
      </c>
      <c r="C2355" s="1">
        <v>45630</v>
      </c>
      <c r="D2355">
        <f t="shared" si="166"/>
        <v>4</v>
      </c>
      <c r="E2355">
        <f t="shared" si="167"/>
        <v>12</v>
      </c>
      <c r="F2355">
        <f t="shared" si="168"/>
        <v>2024</v>
      </c>
      <c r="G2355" t="s">
        <v>53</v>
      </c>
      <c r="H2355" s="171">
        <v>11279</v>
      </c>
      <c r="I2355" s="29">
        <v>79.5</v>
      </c>
      <c r="J2355" s="12" t="s">
        <v>31</v>
      </c>
      <c r="K2355" s="76">
        <f t="shared" si="169"/>
        <v>79.5</v>
      </c>
      <c r="L2355">
        <v>1</v>
      </c>
      <c r="M2355" s="29">
        <v>0</v>
      </c>
      <c r="N2355" t="s">
        <v>32</v>
      </c>
      <c r="O2355" t="s">
        <v>33</v>
      </c>
      <c r="P2355" t="s">
        <v>34</v>
      </c>
      <c r="Q2355" t="s">
        <v>34</v>
      </c>
      <c r="R2355" t="s">
        <v>34</v>
      </c>
      <c r="S2355" t="s">
        <v>34</v>
      </c>
      <c r="T2355" s="117">
        <v>0</v>
      </c>
    </row>
    <row r="2356" spans="1:21" x14ac:dyDescent="0.35">
      <c r="A2356" t="s">
        <v>20</v>
      </c>
      <c r="B2356" t="s">
        <v>25</v>
      </c>
      <c r="C2356" s="1">
        <v>45630</v>
      </c>
      <c r="D2356">
        <f t="shared" si="166"/>
        <v>4</v>
      </c>
      <c r="E2356">
        <f t="shared" si="167"/>
        <v>12</v>
      </c>
      <c r="F2356">
        <f t="shared" si="168"/>
        <v>2024</v>
      </c>
      <c r="G2356" t="s">
        <v>53</v>
      </c>
      <c r="H2356" s="171">
        <v>11344</v>
      </c>
      <c r="I2356" s="29">
        <v>74</v>
      </c>
      <c r="J2356" s="12" t="s">
        <v>31</v>
      </c>
      <c r="K2356" s="76">
        <f t="shared" si="169"/>
        <v>74</v>
      </c>
      <c r="L2356">
        <v>1</v>
      </c>
      <c r="M2356" s="29">
        <v>0</v>
      </c>
      <c r="N2356" t="s">
        <v>32</v>
      </c>
      <c r="O2356" t="s">
        <v>33</v>
      </c>
      <c r="P2356" t="s">
        <v>34</v>
      </c>
      <c r="Q2356" t="s">
        <v>34</v>
      </c>
      <c r="R2356" t="s">
        <v>34</v>
      </c>
      <c r="S2356" t="s">
        <v>34</v>
      </c>
      <c r="T2356" s="117">
        <v>0</v>
      </c>
    </row>
    <row r="2357" spans="1:21" x14ac:dyDescent="0.35">
      <c r="A2357" t="s">
        <v>20</v>
      </c>
      <c r="B2357" t="s">
        <v>21</v>
      </c>
      <c r="C2357" s="1">
        <v>45630</v>
      </c>
      <c r="D2357">
        <f t="shared" si="166"/>
        <v>4</v>
      </c>
      <c r="E2357">
        <f t="shared" si="167"/>
        <v>12</v>
      </c>
      <c r="F2357">
        <f t="shared" si="168"/>
        <v>2024</v>
      </c>
      <c r="G2357" t="s">
        <v>53</v>
      </c>
      <c r="H2357" s="171">
        <v>11346</v>
      </c>
      <c r="I2357" s="29">
        <v>96</v>
      </c>
      <c r="J2357" s="12" t="s">
        <v>31</v>
      </c>
      <c r="K2357" s="76">
        <f t="shared" si="169"/>
        <v>96</v>
      </c>
      <c r="L2357">
        <v>1</v>
      </c>
      <c r="M2357" s="29">
        <v>0</v>
      </c>
      <c r="N2357" t="s">
        <v>32</v>
      </c>
      <c r="O2357" t="s">
        <v>33</v>
      </c>
      <c r="P2357" t="s">
        <v>34</v>
      </c>
      <c r="Q2357" t="s">
        <v>34</v>
      </c>
      <c r="R2357" t="s">
        <v>34</v>
      </c>
      <c r="S2357" t="s">
        <v>34</v>
      </c>
      <c r="T2357" s="117">
        <v>0</v>
      </c>
    </row>
    <row r="2358" spans="1:21" x14ac:dyDescent="0.35">
      <c r="A2358" t="s">
        <v>20</v>
      </c>
      <c r="B2358" t="s">
        <v>21</v>
      </c>
      <c r="C2358" s="1">
        <v>45630</v>
      </c>
      <c r="D2358">
        <f t="shared" si="166"/>
        <v>4</v>
      </c>
      <c r="E2358">
        <f t="shared" si="167"/>
        <v>12</v>
      </c>
      <c r="F2358">
        <f t="shared" si="168"/>
        <v>2024</v>
      </c>
      <c r="G2358" t="s">
        <v>53</v>
      </c>
      <c r="H2358" s="171">
        <v>11388</v>
      </c>
      <c r="I2358" s="29">
        <v>72</v>
      </c>
      <c r="J2358" s="12" t="s">
        <v>31</v>
      </c>
      <c r="K2358" s="76">
        <f t="shared" si="169"/>
        <v>72</v>
      </c>
      <c r="L2358">
        <v>1</v>
      </c>
      <c r="M2358" s="29">
        <v>0</v>
      </c>
      <c r="N2358" t="s">
        <v>32</v>
      </c>
      <c r="O2358" t="s">
        <v>33</v>
      </c>
      <c r="P2358" t="s">
        <v>34</v>
      </c>
      <c r="Q2358" t="s">
        <v>34</v>
      </c>
      <c r="R2358" t="s">
        <v>34</v>
      </c>
      <c r="S2358" t="s">
        <v>34</v>
      </c>
      <c r="T2358" s="117">
        <v>0</v>
      </c>
    </row>
    <row r="2359" spans="1:21" x14ac:dyDescent="0.35">
      <c r="A2359" t="s">
        <v>20</v>
      </c>
      <c r="B2359" t="s">
        <v>23</v>
      </c>
      <c r="C2359" s="1">
        <v>45630</v>
      </c>
      <c r="D2359">
        <f t="shared" si="166"/>
        <v>4</v>
      </c>
      <c r="E2359">
        <f t="shared" si="167"/>
        <v>12</v>
      </c>
      <c r="F2359">
        <f t="shared" si="168"/>
        <v>2024</v>
      </c>
      <c r="G2359" t="s">
        <v>53</v>
      </c>
      <c r="H2359" s="171">
        <v>11397</v>
      </c>
      <c r="I2359" s="29">
        <v>296</v>
      </c>
      <c r="J2359" s="12" t="s">
        <v>31</v>
      </c>
      <c r="K2359" s="76">
        <f t="shared" si="169"/>
        <v>296</v>
      </c>
      <c r="L2359">
        <v>1</v>
      </c>
      <c r="M2359" s="29">
        <v>0</v>
      </c>
      <c r="N2359" t="s">
        <v>32</v>
      </c>
      <c r="O2359" t="s">
        <v>33</v>
      </c>
      <c r="P2359" t="s">
        <v>34</v>
      </c>
      <c r="Q2359" t="s">
        <v>34</v>
      </c>
      <c r="R2359" t="s">
        <v>34</v>
      </c>
      <c r="S2359" t="s">
        <v>34</v>
      </c>
      <c r="T2359" s="117">
        <v>0</v>
      </c>
    </row>
    <row r="2360" spans="1:21" x14ac:dyDescent="0.35">
      <c r="A2360" t="s">
        <v>20</v>
      </c>
      <c r="B2360" t="s">
        <v>21</v>
      </c>
      <c r="C2360" s="1">
        <v>45630</v>
      </c>
      <c r="D2360">
        <f t="shared" si="166"/>
        <v>4</v>
      </c>
      <c r="E2360">
        <f t="shared" si="167"/>
        <v>12</v>
      </c>
      <c r="F2360">
        <f t="shared" si="168"/>
        <v>2024</v>
      </c>
      <c r="G2360" t="s">
        <v>53</v>
      </c>
      <c r="H2360" s="171">
        <v>11440</v>
      </c>
      <c r="I2360" s="29">
        <v>216</v>
      </c>
      <c r="J2360" s="12" t="s">
        <v>31</v>
      </c>
      <c r="K2360" s="76">
        <f t="shared" si="169"/>
        <v>216</v>
      </c>
      <c r="L2360">
        <v>1</v>
      </c>
      <c r="M2360" s="29">
        <v>0</v>
      </c>
      <c r="N2360" t="s">
        <v>32</v>
      </c>
      <c r="O2360" t="s">
        <v>33</v>
      </c>
      <c r="P2360" t="s">
        <v>34</v>
      </c>
      <c r="Q2360" t="s">
        <v>34</v>
      </c>
      <c r="R2360" t="s">
        <v>34</v>
      </c>
      <c r="S2360" t="s">
        <v>34</v>
      </c>
      <c r="T2360" s="117">
        <v>0</v>
      </c>
    </row>
    <row r="2361" spans="1:21" x14ac:dyDescent="0.35">
      <c r="A2361" t="s">
        <v>20</v>
      </c>
      <c r="B2361" t="s">
        <v>23</v>
      </c>
      <c r="C2361" s="1">
        <v>45630</v>
      </c>
      <c r="D2361">
        <f t="shared" si="166"/>
        <v>4</v>
      </c>
      <c r="E2361">
        <f t="shared" si="167"/>
        <v>12</v>
      </c>
      <c r="F2361">
        <f t="shared" si="168"/>
        <v>2024</v>
      </c>
      <c r="G2361" t="s">
        <v>45</v>
      </c>
      <c r="H2361" s="98">
        <v>11508</v>
      </c>
      <c r="I2361" s="29">
        <v>57.6</v>
      </c>
      <c r="J2361" s="12" t="s">
        <v>31</v>
      </c>
      <c r="K2361" s="76">
        <f t="shared" si="169"/>
        <v>57.6</v>
      </c>
      <c r="L2361">
        <v>1</v>
      </c>
      <c r="M2361" s="29">
        <v>0</v>
      </c>
      <c r="N2361" t="s">
        <v>32</v>
      </c>
      <c r="O2361" t="s">
        <v>33</v>
      </c>
      <c r="P2361" t="s">
        <v>34</v>
      </c>
      <c r="Q2361" t="s">
        <v>34</v>
      </c>
      <c r="R2361" t="s">
        <v>34</v>
      </c>
      <c r="S2361" t="s">
        <v>34</v>
      </c>
      <c r="T2361" s="117">
        <v>0</v>
      </c>
    </row>
    <row r="2362" spans="1:21" x14ac:dyDescent="0.35">
      <c r="A2362" t="s">
        <v>20</v>
      </c>
      <c r="B2362" t="s">
        <v>23</v>
      </c>
      <c r="C2362" s="1">
        <v>45630</v>
      </c>
      <c r="D2362">
        <f t="shared" si="166"/>
        <v>4</v>
      </c>
      <c r="E2362">
        <f t="shared" si="167"/>
        <v>12</v>
      </c>
      <c r="F2362">
        <f t="shared" si="168"/>
        <v>2024</v>
      </c>
      <c r="G2362" t="s">
        <v>45</v>
      </c>
      <c r="H2362" s="98">
        <v>11511</v>
      </c>
      <c r="I2362" s="29">
        <v>32.5</v>
      </c>
      <c r="J2362" s="12" t="s">
        <v>31</v>
      </c>
      <c r="K2362" s="76">
        <f t="shared" si="169"/>
        <v>32.5</v>
      </c>
      <c r="L2362">
        <v>1</v>
      </c>
      <c r="M2362" s="29">
        <v>0</v>
      </c>
      <c r="N2362" t="s">
        <v>32</v>
      </c>
      <c r="O2362" t="s">
        <v>33</v>
      </c>
      <c r="P2362" t="s">
        <v>34</v>
      </c>
      <c r="Q2362" t="s">
        <v>34</v>
      </c>
      <c r="R2362" t="s">
        <v>34</v>
      </c>
      <c r="S2362" t="s">
        <v>34</v>
      </c>
      <c r="T2362" s="117">
        <v>0</v>
      </c>
    </row>
    <row r="2363" spans="1:21" x14ac:dyDescent="0.35">
      <c r="A2363" t="s">
        <v>20</v>
      </c>
      <c r="B2363" t="s">
        <v>23</v>
      </c>
      <c r="C2363" s="1">
        <v>45630</v>
      </c>
      <c r="D2363">
        <f t="shared" si="166"/>
        <v>4</v>
      </c>
      <c r="E2363">
        <f t="shared" si="167"/>
        <v>12</v>
      </c>
      <c r="F2363">
        <f t="shared" si="168"/>
        <v>2024</v>
      </c>
      <c r="G2363" t="s">
        <v>45</v>
      </c>
      <c r="H2363" s="98">
        <v>11470</v>
      </c>
      <c r="I2363" s="29">
        <v>7650.5</v>
      </c>
      <c r="J2363" s="12" t="s">
        <v>31</v>
      </c>
      <c r="K2363" s="76">
        <f t="shared" si="169"/>
        <v>7650.5</v>
      </c>
      <c r="L2363">
        <v>1</v>
      </c>
      <c r="M2363" s="29">
        <v>0</v>
      </c>
      <c r="N2363" t="s">
        <v>32</v>
      </c>
      <c r="O2363" t="s">
        <v>33</v>
      </c>
      <c r="P2363" t="s">
        <v>34</v>
      </c>
      <c r="Q2363" t="s">
        <v>34</v>
      </c>
      <c r="R2363" t="s">
        <v>34</v>
      </c>
      <c r="S2363" t="s">
        <v>34</v>
      </c>
      <c r="T2363" s="117">
        <v>0</v>
      </c>
    </row>
    <row r="2364" spans="1:21" x14ac:dyDescent="0.35">
      <c r="A2364" t="s">
        <v>20</v>
      </c>
      <c r="B2364" t="s">
        <v>24</v>
      </c>
      <c r="C2364" s="1">
        <v>45630</v>
      </c>
      <c r="D2364">
        <f t="shared" si="166"/>
        <v>4</v>
      </c>
      <c r="E2364">
        <f t="shared" si="167"/>
        <v>12</v>
      </c>
      <c r="F2364">
        <f t="shared" si="168"/>
        <v>2024</v>
      </c>
      <c r="G2364" t="s">
        <v>43</v>
      </c>
      <c r="H2364" s="98">
        <v>11582</v>
      </c>
      <c r="I2364" s="29">
        <v>106.8</v>
      </c>
      <c r="J2364" s="12" t="s">
        <v>31</v>
      </c>
      <c r="K2364" s="76">
        <f t="shared" si="169"/>
        <v>106.8</v>
      </c>
      <c r="L2364">
        <v>1</v>
      </c>
      <c r="M2364" s="29">
        <v>0</v>
      </c>
      <c r="N2364" t="s">
        <v>32</v>
      </c>
      <c r="O2364" t="s">
        <v>33</v>
      </c>
      <c r="P2364" t="s">
        <v>34</v>
      </c>
      <c r="Q2364" t="s">
        <v>34</v>
      </c>
      <c r="R2364" t="s">
        <v>34</v>
      </c>
      <c r="S2364" t="s">
        <v>34</v>
      </c>
      <c r="T2364" s="117">
        <v>0</v>
      </c>
    </row>
    <row r="2365" spans="1:21" x14ac:dyDescent="0.35">
      <c r="A2365" t="s">
        <v>20</v>
      </c>
      <c r="B2365" t="s">
        <v>21</v>
      </c>
      <c r="C2365" s="1">
        <v>45630</v>
      </c>
      <c r="D2365">
        <f t="shared" si="166"/>
        <v>4</v>
      </c>
      <c r="E2365">
        <f t="shared" si="167"/>
        <v>12</v>
      </c>
      <c r="F2365">
        <f t="shared" si="168"/>
        <v>2024</v>
      </c>
      <c r="G2365" t="s">
        <v>43</v>
      </c>
      <c r="H2365" s="98">
        <v>11323</v>
      </c>
      <c r="I2365" s="29">
        <v>67.400000000000006</v>
      </c>
      <c r="J2365" s="12" t="s">
        <v>31</v>
      </c>
      <c r="K2365" s="76">
        <f t="shared" si="169"/>
        <v>67.400000000000006</v>
      </c>
      <c r="L2365">
        <v>1</v>
      </c>
      <c r="M2365" s="29">
        <v>0</v>
      </c>
      <c r="N2365" t="s">
        <v>32</v>
      </c>
      <c r="O2365" t="s">
        <v>33</v>
      </c>
      <c r="P2365" t="s">
        <v>34</v>
      </c>
      <c r="Q2365" t="s">
        <v>34</v>
      </c>
      <c r="R2365" t="s">
        <v>34</v>
      </c>
      <c r="S2365" t="s">
        <v>34</v>
      </c>
      <c r="T2365" s="117">
        <v>0</v>
      </c>
    </row>
    <row r="2366" spans="1:21" x14ac:dyDescent="0.35">
      <c r="A2366" t="s">
        <v>20</v>
      </c>
      <c r="B2366" t="s">
        <v>24</v>
      </c>
      <c r="C2366" s="1">
        <v>45630</v>
      </c>
      <c r="D2366">
        <f t="shared" si="166"/>
        <v>4</v>
      </c>
      <c r="E2366">
        <f t="shared" si="167"/>
        <v>12</v>
      </c>
      <c r="F2366">
        <f t="shared" si="168"/>
        <v>2024</v>
      </c>
      <c r="G2366" t="s">
        <v>43</v>
      </c>
      <c r="H2366" s="98">
        <v>11201</v>
      </c>
      <c r="I2366" s="29">
        <v>120895.69</v>
      </c>
      <c r="J2366" s="12" t="s">
        <v>31</v>
      </c>
      <c r="K2366" s="76">
        <f t="shared" si="169"/>
        <v>120895.69</v>
      </c>
      <c r="L2366">
        <v>1</v>
      </c>
      <c r="M2366" s="29">
        <v>0</v>
      </c>
      <c r="N2366" t="s">
        <v>32</v>
      </c>
      <c r="O2366" t="s">
        <v>33</v>
      </c>
      <c r="P2366" t="s">
        <v>34</v>
      </c>
      <c r="Q2366" t="s">
        <v>34</v>
      </c>
      <c r="R2366" t="s">
        <v>34</v>
      </c>
      <c r="S2366" t="s">
        <v>34</v>
      </c>
      <c r="T2366" s="117">
        <v>0</v>
      </c>
    </row>
    <row r="2367" spans="1:21" x14ac:dyDescent="0.35">
      <c r="A2367" t="s">
        <v>20</v>
      </c>
      <c r="B2367" t="s">
        <v>21</v>
      </c>
      <c r="C2367" s="1">
        <v>45630</v>
      </c>
      <c r="D2367">
        <f t="shared" si="166"/>
        <v>4</v>
      </c>
      <c r="E2367">
        <f t="shared" si="167"/>
        <v>12</v>
      </c>
      <c r="F2367">
        <f t="shared" si="168"/>
        <v>2024</v>
      </c>
      <c r="G2367" t="s">
        <v>43</v>
      </c>
      <c r="H2367" s="98">
        <v>11201</v>
      </c>
      <c r="I2367" s="29">
        <v>7998.02</v>
      </c>
      <c r="J2367" s="12" t="s">
        <v>31</v>
      </c>
      <c r="K2367" s="76">
        <f t="shared" si="169"/>
        <v>7998.02</v>
      </c>
      <c r="L2367">
        <v>1</v>
      </c>
      <c r="M2367" s="29">
        <v>0</v>
      </c>
      <c r="N2367" t="s">
        <v>32</v>
      </c>
      <c r="O2367" t="s">
        <v>33</v>
      </c>
      <c r="P2367" t="s">
        <v>34</v>
      </c>
      <c r="Q2367" t="s">
        <v>34</v>
      </c>
      <c r="R2367" t="s">
        <v>34</v>
      </c>
      <c r="S2367" t="s">
        <v>34</v>
      </c>
      <c r="T2367" s="117">
        <v>0</v>
      </c>
    </row>
    <row r="2368" spans="1:21" x14ac:dyDescent="0.35">
      <c r="A2368" t="s">
        <v>20</v>
      </c>
      <c r="B2368" t="s">
        <v>21</v>
      </c>
      <c r="C2368" s="1">
        <v>45630</v>
      </c>
      <c r="D2368">
        <f t="shared" si="166"/>
        <v>4</v>
      </c>
      <c r="E2368">
        <f t="shared" si="167"/>
        <v>12</v>
      </c>
      <c r="F2368">
        <f t="shared" si="168"/>
        <v>2024</v>
      </c>
      <c r="G2368" t="s">
        <v>97</v>
      </c>
      <c r="H2368" s="98">
        <v>11562</v>
      </c>
      <c r="I2368" s="29">
        <v>84</v>
      </c>
      <c r="J2368" s="12" t="s">
        <v>31</v>
      </c>
      <c r="K2368" s="76">
        <f t="shared" si="169"/>
        <v>84</v>
      </c>
      <c r="L2368">
        <v>1</v>
      </c>
      <c r="M2368" s="29">
        <v>0</v>
      </c>
      <c r="N2368" t="s">
        <v>32</v>
      </c>
      <c r="O2368" t="s">
        <v>33</v>
      </c>
      <c r="P2368" t="s">
        <v>34</v>
      </c>
      <c r="Q2368" t="s">
        <v>34</v>
      </c>
      <c r="R2368" t="s">
        <v>34</v>
      </c>
      <c r="S2368" t="s">
        <v>34</v>
      </c>
      <c r="T2368" s="117">
        <v>0</v>
      </c>
    </row>
    <row r="2369" spans="1:20" x14ac:dyDescent="0.35">
      <c r="A2369" t="s">
        <v>20</v>
      </c>
      <c r="B2369" t="s">
        <v>23</v>
      </c>
      <c r="C2369" s="1">
        <v>45630</v>
      </c>
      <c r="D2369">
        <f t="shared" si="166"/>
        <v>4</v>
      </c>
      <c r="E2369">
        <f t="shared" si="167"/>
        <v>12</v>
      </c>
      <c r="F2369">
        <f t="shared" si="168"/>
        <v>2024</v>
      </c>
      <c r="G2369" t="s">
        <v>97</v>
      </c>
      <c r="H2369" s="98">
        <v>11479</v>
      </c>
      <c r="I2369" s="29">
        <v>10467.27</v>
      </c>
      <c r="J2369" s="12" t="s">
        <v>31</v>
      </c>
      <c r="K2369" s="76">
        <f t="shared" ref="K2369:K2400" si="170">IF(J2369="USD",I2369,I2369*L2369)</f>
        <v>10467.27</v>
      </c>
      <c r="L2369">
        <v>1</v>
      </c>
      <c r="M2369" s="29">
        <v>320.33999999999997</v>
      </c>
      <c r="N2369" t="s">
        <v>32</v>
      </c>
      <c r="O2369" t="s">
        <v>33</v>
      </c>
      <c r="P2369" t="s">
        <v>34</v>
      </c>
      <c r="Q2369" t="s">
        <v>34</v>
      </c>
      <c r="R2369" t="s">
        <v>34</v>
      </c>
      <c r="S2369" t="s">
        <v>34</v>
      </c>
      <c r="T2369" s="117">
        <v>0</v>
      </c>
    </row>
    <row r="2370" spans="1:20" x14ac:dyDescent="0.35">
      <c r="A2370" t="s">
        <v>20</v>
      </c>
      <c r="B2370" t="s">
        <v>25</v>
      </c>
      <c r="C2370" s="1">
        <v>45630</v>
      </c>
      <c r="D2370">
        <f t="shared" si="166"/>
        <v>4</v>
      </c>
      <c r="E2370">
        <f t="shared" si="167"/>
        <v>12</v>
      </c>
      <c r="F2370">
        <f t="shared" si="168"/>
        <v>2024</v>
      </c>
      <c r="G2370" t="s">
        <v>97</v>
      </c>
      <c r="H2370" s="98">
        <v>11479</v>
      </c>
      <c r="I2370" s="29">
        <v>15373.21</v>
      </c>
      <c r="J2370" s="12" t="s">
        <v>31</v>
      </c>
      <c r="K2370" s="76">
        <f t="shared" si="170"/>
        <v>15373.21</v>
      </c>
      <c r="L2370">
        <v>1</v>
      </c>
      <c r="M2370" s="29">
        <v>480.51</v>
      </c>
      <c r="N2370" t="s">
        <v>32</v>
      </c>
      <c r="O2370" t="s">
        <v>33</v>
      </c>
      <c r="P2370" t="s">
        <v>34</v>
      </c>
      <c r="Q2370" t="s">
        <v>34</v>
      </c>
      <c r="R2370" t="s">
        <v>34</v>
      </c>
      <c r="S2370" t="s">
        <v>34</v>
      </c>
      <c r="T2370" s="117">
        <v>0</v>
      </c>
    </row>
    <row r="2371" spans="1:20" x14ac:dyDescent="0.35">
      <c r="A2371" t="s">
        <v>20</v>
      </c>
      <c r="B2371" t="s">
        <v>24</v>
      </c>
      <c r="C2371" s="1">
        <v>45630</v>
      </c>
      <c r="D2371">
        <f t="shared" ref="D2371:D2434" si="171">DAY(C2371)</f>
        <v>4</v>
      </c>
      <c r="E2371">
        <f t="shared" ref="E2371:E2434" si="172">MONTH(C2371)</f>
        <v>12</v>
      </c>
      <c r="F2371">
        <f t="shared" ref="F2371:F2434" si="173">YEAR(C2371)</f>
        <v>2024</v>
      </c>
      <c r="G2371" t="s">
        <v>97</v>
      </c>
      <c r="H2371" s="98">
        <v>11479</v>
      </c>
      <c r="I2371" s="29">
        <v>60473.599999999999</v>
      </c>
      <c r="J2371" s="12" t="s">
        <v>31</v>
      </c>
      <c r="K2371" s="76">
        <f t="shared" si="170"/>
        <v>60473.599999999999</v>
      </c>
      <c r="L2371">
        <v>1</v>
      </c>
      <c r="M2371" s="29">
        <v>1868.66</v>
      </c>
      <c r="N2371" t="s">
        <v>32</v>
      </c>
      <c r="O2371" t="s">
        <v>33</v>
      </c>
      <c r="P2371" t="s">
        <v>34</v>
      </c>
      <c r="Q2371" t="s">
        <v>34</v>
      </c>
      <c r="R2371" t="s">
        <v>34</v>
      </c>
      <c r="S2371" t="s">
        <v>34</v>
      </c>
      <c r="T2371" s="117">
        <v>0</v>
      </c>
    </row>
    <row r="2372" spans="1:20" x14ac:dyDescent="0.35">
      <c r="A2372" t="s">
        <v>20</v>
      </c>
      <c r="B2372" t="s">
        <v>23</v>
      </c>
      <c r="C2372" s="1">
        <v>45630</v>
      </c>
      <c r="D2372">
        <f t="shared" si="171"/>
        <v>4</v>
      </c>
      <c r="E2372">
        <f t="shared" si="172"/>
        <v>12</v>
      </c>
      <c r="F2372">
        <f t="shared" si="173"/>
        <v>2024</v>
      </c>
      <c r="G2372" t="s">
        <v>97</v>
      </c>
      <c r="H2372" s="98">
        <v>11609</v>
      </c>
      <c r="I2372" s="29">
        <v>260</v>
      </c>
      <c r="J2372" s="12" t="s">
        <v>31</v>
      </c>
      <c r="K2372" s="76">
        <f t="shared" si="170"/>
        <v>260</v>
      </c>
      <c r="L2372">
        <v>1</v>
      </c>
      <c r="M2372" s="29">
        <v>0</v>
      </c>
      <c r="N2372" t="s">
        <v>32</v>
      </c>
      <c r="O2372" t="s">
        <v>33</v>
      </c>
      <c r="P2372" t="s">
        <v>34</v>
      </c>
      <c r="Q2372" t="s">
        <v>34</v>
      </c>
      <c r="R2372" t="s">
        <v>34</v>
      </c>
      <c r="S2372" t="s">
        <v>34</v>
      </c>
      <c r="T2372" s="117">
        <v>0</v>
      </c>
    </row>
    <row r="2373" spans="1:20" x14ac:dyDescent="0.35">
      <c r="A2373" t="s">
        <v>19</v>
      </c>
      <c r="B2373" t="s">
        <v>23</v>
      </c>
      <c r="C2373" s="1">
        <v>45630</v>
      </c>
      <c r="D2373">
        <f t="shared" si="171"/>
        <v>4</v>
      </c>
      <c r="E2373">
        <f t="shared" si="172"/>
        <v>12</v>
      </c>
      <c r="F2373">
        <f t="shared" si="173"/>
        <v>2024</v>
      </c>
      <c r="G2373" t="s">
        <v>76</v>
      </c>
      <c r="H2373" s="98">
        <v>11659</v>
      </c>
      <c r="I2373" s="29">
        <v>15938.9</v>
      </c>
      <c r="J2373" s="12" t="s">
        <v>31</v>
      </c>
      <c r="K2373" s="76">
        <f t="shared" si="170"/>
        <v>15938.9</v>
      </c>
      <c r="L2373">
        <v>1</v>
      </c>
      <c r="M2373" s="29">
        <v>0</v>
      </c>
      <c r="N2373" t="s">
        <v>32</v>
      </c>
      <c r="O2373" t="s">
        <v>33</v>
      </c>
      <c r="P2373" t="s">
        <v>34</v>
      </c>
      <c r="Q2373" t="s">
        <v>34</v>
      </c>
      <c r="R2373" t="s">
        <v>34</v>
      </c>
      <c r="S2373" t="s">
        <v>34</v>
      </c>
      <c r="T2373" s="117">
        <v>0</v>
      </c>
    </row>
    <row r="2374" spans="1:20" x14ac:dyDescent="0.35">
      <c r="A2374" t="s">
        <v>19</v>
      </c>
      <c r="B2374" t="s">
        <v>23</v>
      </c>
      <c r="C2374" s="1">
        <v>45630</v>
      </c>
      <c r="D2374">
        <f t="shared" si="171"/>
        <v>4</v>
      </c>
      <c r="E2374">
        <f t="shared" si="172"/>
        <v>12</v>
      </c>
      <c r="F2374">
        <f t="shared" si="173"/>
        <v>2024</v>
      </c>
      <c r="G2374" t="s">
        <v>76</v>
      </c>
      <c r="H2374" s="98">
        <v>11010</v>
      </c>
      <c r="I2374" s="29">
        <v>42580</v>
      </c>
      <c r="J2374" s="12" t="s">
        <v>31</v>
      </c>
      <c r="K2374" s="76">
        <f t="shared" si="170"/>
        <v>42580</v>
      </c>
      <c r="L2374">
        <v>1</v>
      </c>
      <c r="M2374" s="29">
        <v>0</v>
      </c>
      <c r="N2374" t="s">
        <v>32</v>
      </c>
      <c r="O2374" t="s">
        <v>33</v>
      </c>
      <c r="P2374" t="s">
        <v>34</v>
      </c>
      <c r="Q2374" t="s">
        <v>34</v>
      </c>
      <c r="R2374" t="s">
        <v>34</v>
      </c>
      <c r="S2374" t="s">
        <v>34</v>
      </c>
      <c r="T2374" s="117">
        <v>0</v>
      </c>
    </row>
    <row r="2375" spans="1:20" x14ac:dyDescent="0.35">
      <c r="A2375" t="s">
        <v>19</v>
      </c>
      <c r="B2375" t="s">
        <v>24</v>
      </c>
      <c r="C2375" s="1">
        <v>45630</v>
      </c>
      <c r="D2375">
        <f t="shared" si="171"/>
        <v>4</v>
      </c>
      <c r="E2375">
        <f t="shared" si="172"/>
        <v>12</v>
      </c>
      <c r="F2375">
        <f t="shared" si="173"/>
        <v>2024</v>
      </c>
      <c r="G2375" t="s">
        <v>76</v>
      </c>
      <c r="H2375" s="98">
        <v>11010</v>
      </c>
      <c r="I2375" s="29">
        <v>21290</v>
      </c>
      <c r="J2375" s="12" t="s">
        <v>31</v>
      </c>
      <c r="K2375" s="76">
        <f t="shared" si="170"/>
        <v>21290</v>
      </c>
      <c r="L2375">
        <v>1</v>
      </c>
      <c r="M2375" s="29">
        <v>0</v>
      </c>
      <c r="N2375" t="s">
        <v>32</v>
      </c>
      <c r="O2375" t="s">
        <v>33</v>
      </c>
      <c r="P2375" t="s">
        <v>34</v>
      </c>
      <c r="Q2375" t="s">
        <v>34</v>
      </c>
      <c r="R2375" t="s">
        <v>34</v>
      </c>
      <c r="S2375" t="s">
        <v>34</v>
      </c>
      <c r="T2375" s="117">
        <v>0</v>
      </c>
    </row>
    <row r="2376" spans="1:20" x14ac:dyDescent="0.35">
      <c r="A2376" t="s">
        <v>19</v>
      </c>
      <c r="B2376" t="s">
        <v>21</v>
      </c>
      <c r="C2376" s="1">
        <v>45630</v>
      </c>
      <c r="D2376">
        <f t="shared" si="171"/>
        <v>4</v>
      </c>
      <c r="E2376">
        <f t="shared" si="172"/>
        <v>12</v>
      </c>
      <c r="F2376">
        <f t="shared" si="173"/>
        <v>2024</v>
      </c>
      <c r="G2376" t="s">
        <v>76</v>
      </c>
      <c r="H2376" s="98">
        <v>11010</v>
      </c>
      <c r="I2376" s="29">
        <v>18710</v>
      </c>
      <c r="J2376" s="12" t="s">
        <v>31</v>
      </c>
      <c r="K2376" s="76">
        <f t="shared" si="170"/>
        <v>18710</v>
      </c>
      <c r="L2376">
        <v>1</v>
      </c>
      <c r="M2376" s="29">
        <v>0</v>
      </c>
      <c r="N2376" t="s">
        <v>32</v>
      </c>
      <c r="O2376" t="s">
        <v>33</v>
      </c>
      <c r="P2376" t="s">
        <v>34</v>
      </c>
      <c r="Q2376" t="s">
        <v>34</v>
      </c>
      <c r="R2376" t="s">
        <v>34</v>
      </c>
      <c r="S2376" t="s">
        <v>34</v>
      </c>
      <c r="T2376" s="117">
        <v>0</v>
      </c>
    </row>
    <row r="2377" spans="1:20" x14ac:dyDescent="0.35">
      <c r="A2377" t="s">
        <v>19</v>
      </c>
      <c r="B2377" t="s">
        <v>27</v>
      </c>
      <c r="C2377" s="1">
        <v>45630</v>
      </c>
      <c r="D2377">
        <f t="shared" si="171"/>
        <v>4</v>
      </c>
      <c r="E2377">
        <f t="shared" si="172"/>
        <v>12</v>
      </c>
      <c r="F2377">
        <f t="shared" si="173"/>
        <v>2024</v>
      </c>
      <c r="G2377" t="s">
        <v>100</v>
      </c>
      <c r="H2377" s="98">
        <v>11293</v>
      </c>
      <c r="I2377" s="29">
        <v>13057.24</v>
      </c>
      <c r="J2377" s="12" t="s">
        <v>31</v>
      </c>
      <c r="K2377" s="76">
        <f t="shared" si="170"/>
        <v>13057.24</v>
      </c>
      <c r="L2377">
        <v>1</v>
      </c>
      <c r="M2377" s="29">
        <v>0</v>
      </c>
      <c r="N2377" t="s">
        <v>32</v>
      </c>
      <c r="O2377" t="s">
        <v>33</v>
      </c>
      <c r="P2377" t="s">
        <v>34</v>
      </c>
      <c r="Q2377" t="s">
        <v>34</v>
      </c>
      <c r="R2377" t="s">
        <v>34</v>
      </c>
      <c r="S2377" t="s">
        <v>34</v>
      </c>
      <c r="T2377" s="117">
        <v>0</v>
      </c>
    </row>
    <row r="2378" spans="1:20" x14ac:dyDescent="0.35">
      <c r="A2378" t="s">
        <v>19</v>
      </c>
      <c r="B2378" t="s">
        <v>27</v>
      </c>
      <c r="C2378" s="1">
        <v>45630</v>
      </c>
      <c r="D2378">
        <f t="shared" si="171"/>
        <v>4</v>
      </c>
      <c r="E2378">
        <f t="shared" si="172"/>
        <v>12</v>
      </c>
      <c r="F2378">
        <f t="shared" si="173"/>
        <v>2024</v>
      </c>
      <c r="G2378" t="s">
        <v>100</v>
      </c>
      <c r="H2378" s="98">
        <v>11292</v>
      </c>
      <c r="I2378" s="29">
        <v>4126.4399999999996</v>
      </c>
      <c r="J2378" s="12" t="s">
        <v>31</v>
      </c>
      <c r="K2378" s="76">
        <f t="shared" si="170"/>
        <v>4126.4399999999996</v>
      </c>
      <c r="L2378">
        <v>1</v>
      </c>
      <c r="M2378" s="29">
        <v>0</v>
      </c>
      <c r="N2378" t="s">
        <v>32</v>
      </c>
      <c r="O2378" t="s">
        <v>33</v>
      </c>
      <c r="P2378" t="s">
        <v>34</v>
      </c>
      <c r="Q2378" t="s">
        <v>34</v>
      </c>
      <c r="R2378" t="s">
        <v>34</v>
      </c>
      <c r="S2378" t="s">
        <v>34</v>
      </c>
      <c r="T2378" s="117">
        <v>0</v>
      </c>
    </row>
    <row r="2379" spans="1:20" x14ac:dyDescent="0.35">
      <c r="A2379" t="s">
        <v>19</v>
      </c>
      <c r="B2379" t="s">
        <v>27</v>
      </c>
      <c r="C2379" s="1">
        <v>45630</v>
      </c>
      <c r="D2379">
        <f t="shared" si="171"/>
        <v>4</v>
      </c>
      <c r="E2379">
        <f t="shared" si="172"/>
        <v>12</v>
      </c>
      <c r="F2379">
        <f t="shared" si="173"/>
        <v>2024</v>
      </c>
      <c r="G2379" t="s">
        <v>100</v>
      </c>
      <c r="H2379" s="98">
        <v>11499</v>
      </c>
      <c r="I2379" s="29">
        <v>5544.06</v>
      </c>
      <c r="J2379" s="12" t="s">
        <v>31</v>
      </c>
      <c r="K2379" s="76">
        <f t="shared" si="170"/>
        <v>5544.06</v>
      </c>
      <c r="L2379">
        <v>1</v>
      </c>
      <c r="M2379" s="29">
        <v>0</v>
      </c>
      <c r="N2379" t="s">
        <v>32</v>
      </c>
      <c r="O2379" t="s">
        <v>33</v>
      </c>
      <c r="P2379" t="s">
        <v>34</v>
      </c>
      <c r="Q2379" t="s">
        <v>34</v>
      </c>
      <c r="R2379" t="s">
        <v>34</v>
      </c>
      <c r="S2379" t="s">
        <v>34</v>
      </c>
      <c r="T2379" s="117">
        <v>0</v>
      </c>
    </row>
    <row r="2380" spans="1:20" x14ac:dyDescent="0.35">
      <c r="A2380" t="s">
        <v>19</v>
      </c>
      <c r="B2380" t="s">
        <v>21</v>
      </c>
      <c r="C2380" s="1">
        <v>45630</v>
      </c>
      <c r="D2380">
        <f t="shared" si="171"/>
        <v>4</v>
      </c>
      <c r="E2380">
        <f t="shared" si="172"/>
        <v>12</v>
      </c>
      <c r="F2380">
        <f t="shared" si="173"/>
        <v>2024</v>
      </c>
      <c r="G2380" t="s">
        <v>28</v>
      </c>
      <c r="H2380" s="98">
        <v>10896</v>
      </c>
      <c r="I2380" s="29">
        <v>114</v>
      </c>
      <c r="J2380" s="12" t="s">
        <v>31</v>
      </c>
      <c r="K2380" s="76">
        <f t="shared" si="170"/>
        <v>114</v>
      </c>
      <c r="L2380">
        <v>1</v>
      </c>
      <c r="M2380" s="29">
        <v>0</v>
      </c>
      <c r="N2380" t="s">
        <v>32</v>
      </c>
      <c r="O2380" t="s">
        <v>33</v>
      </c>
      <c r="P2380" t="s">
        <v>34</v>
      </c>
      <c r="Q2380" t="s">
        <v>34</v>
      </c>
      <c r="R2380" t="s">
        <v>34</v>
      </c>
      <c r="S2380" t="s">
        <v>34</v>
      </c>
      <c r="T2380" s="117">
        <v>0</v>
      </c>
    </row>
    <row r="2381" spans="1:20" x14ac:dyDescent="0.35">
      <c r="A2381" t="s">
        <v>19</v>
      </c>
      <c r="B2381" t="s">
        <v>21</v>
      </c>
      <c r="C2381" s="1">
        <v>45630</v>
      </c>
      <c r="D2381">
        <f t="shared" si="171"/>
        <v>4</v>
      </c>
      <c r="E2381">
        <f t="shared" si="172"/>
        <v>12</v>
      </c>
      <c r="F2381">
        <f t="shared" si="173"/>
        <v>2024</v>
      </c>
      <c r="G2381" t="s">
        <v>28</v>
      </c>
      <c r="H2381" s="98">
        <v>10897</v>
      </c>
      <c r="I2381" s="29">
        <v>280</v>
      </c>
      <c r="J2381" s="12" t="s">
        <v>31</v>
      </c>
      <c r="K2381" s="76">
        <f t="shared" si="170"/>
        <v>280</v>
      </c>
      <c r="L2381">
        <v>1</v>
      </c>
      <c r="M2381" s="29">
        <v>0</v>
      </c>
      <c r="N2381" t="s">
        <v>32</v>
      </c>
      <c r="O2381" t="s">
        <v>33</v>
      </c>
      <c r="P2381" t="s">
        <v>34</v>
      </c>
      <c r="Q2381" t="s">
        <v>34</v>
      </c>
      <c r="R2381" t="s">
        <v>34</v>
      </c>
      <c r="S2381" t="s">
        <v>34</v>
      </c>
      <c r="T2381" s="117">
        <v>0</v>
      </c>
    </row>
    <row r="2382" spans="1:20" x14ac:dyDescent="0.35">
      <c r="A2382" t="s">
        <v>19</v>
      </c>
      <c r="B2382" t="s">
        <v>21</v>
      </c>
      <c r="C2382" s="1">
        <v>45630</v>
      </c>
      <c r="D2382">
        <f t="shared" si="171"/>
        <v>4</v>
      </c>
      <c r="E2382">
        <f t="shared" si="172"/>
        <v>12</v>
      </c>
      <c r="F2382">
        <f t="shared" si="173"/>
        <v>2024</v>
      </c>
      <c r="G2382" t="s">
        <v>28</v>
      </c>
      <c r="H2382" s="98">
        <v>10895</v>
      </c>
      <c r="I2382" s="29">
        <v>77917.399999999994</v>
      </c>
      <c r="J2382" s="12" t="s">
        <v>31</v>
      </c>
      <c r="K2382" s="76">
        <f t="shared" si="170"/>
        <v>77917.399999999994</v>
      </c>
      <c r="L2382">
        <v>1</v>
      </c>
      <c r="M2382" s="29">
        <v>0</v>
      </c>
      <c r="N2382" t="s">
        <v>32</v>
      </c>
      <c r="O2382" t="s">
        <v>33</v>
      </c>
      <c r="P2382" t="s">
        <v>34</v>
      </c>
      <c r="Q2382" t="s">
        <v>34</v>
      </c>
      <c r="R2382" t="s">
        <v>34</v>
      </c>
      <c r="S2382" t="s">
        <v>34</v>
      </c>
      <c r="T2382" s="117">
        <v>0</v>
      </c>
    </row>
    <row r="2383" spans="1:20" x14ac:dyDescent="0.35">
      <c r="A2383" t="s">
        <v>19</v>
      </c>
      <c r="B2383" t="s">
        <v>23</v>
      </c>
      <c r="C2383" s="1">
        <v>45630</v>
      </c>
      <c r="D2383">
        <f t="shared" si="171"/>
        <v>4</v>
      </c>
      <c r="E2383">
        <f t="shared" si="172"/>
        <v>12</v>
      </c>
      <c r="F2383">
        <f t="shared" si="173"/>
        <v>2024</v>
      </c>
      <c r="G2383" t="s">
        <v>74</v>
      </c>
      <c r="H2383" s="98">
        <v>10468</v>
      </c>
      <c r="I2383" s="29">
        <v>96922.49</v>
      </c>
      <c r="J2383" s="12" t="s">
        <v>31</v>
      </c>
      <c r="K2383" s="76">
        <f t="shared" si="170"/>
        <v>96922.49</v>
      </c>
      <c r="L2383">
        <v>1</v>
      </c>
      <c r="M2383" s="29">
        <v>0</v>
      </c>
      <c r="N2383" t="s">
        <v>32</v>
      </c>
      <c r="O2383" t="s">
        <v>33</v>
      </c>
      <c r="P2383" t="s">
        <v>34</v>
      </c>
      <c r="Q2383" t="s">
        <v>34</v>
      </c>
      <c r="R2383" t="s">
        <v>34</v>
      </c>
      <c r="S2383" t="s">
        <v>34</v>
      </c>
      <c r="T2383" s="117">
        <v>0</v>
      </c>
    </row>
    <row r="2384" spans="1:20" x14ac:dyDescent="0.35">
      <c r="A2384" t="s">
        <v>19</v>
      </c>
      <c r="B2384" t="s">
        <v>25</v>
      </c>
      <c r="C2384" s="1">
        <v>45630</v>
      </c>
      <c r="D2384">
        <f t="shared" si="171"/>
        <v>4</v>
      </c>
      <c r="E2384">
        <f t="shared" si="172"/>
        <v>12</v>
      </c>
      <c r="F2384">
        <f t="shared" si="173"/>
        <v>2024</v>
      </c>
      <c r="G2384" t="s">
        <v>285</v>
      </c>
      <c r="H2384" s="98">
        <v>11465</v>
      </c>
      <c r="I2384" s="29">
        <v>63.25</v>
      </c>
      <c r="J2384" s="12" t="s">
        <v>31</v>
      </c>
      <c r="K2384" s="76">
        <f t="shared" si="170"/>
        <v>63.25</v>
      </c>
      <c r="L2384">
        <v>1</v>
      </c>
      <c r="M2384" s="29">
        <v>0</v>
      </c>
      <c r="N2384" t="s">
        <v>32</v>
      </c>
      <c r="O2384" t="s">
        <v>33</v>
      </c>
      <c r="P2384" t="s">
        <v>34</v>
      </c>
      <c r="Q2384" t="s">
        <v>34</v>
      </c>
      <c r="R2384" t="s">
        <v>34</v>
      </c>
      <c r="S2384" t="s">
        <v>34</v>
      </c>
      <c r="T2384" s="117">
        <v>0</v>
      </c>
    </row>
    <row r="2385" spans="1:20" x14ac:dyDescent="0.35">
      <c r="A2385" t="s">
        <v>19</v>
      </c>
      <c r="B2385" t="s">
        <v>21</v>
      </c>
      <c r="C2385" s="1">
        <v>45630</v>
      </c>
      <c r="D2385">
        <f t="shared" si="171"/>
        <v>4</v>
      </c>
      <c r="E2385">
        <f t="shared" si="172"/>
        <v>12</v>
      </c>
      <c r="F2385">
        <f t="shared" si="173"/>
        <v>2024</v>
      </c>
      <c r="G2385" t="s">
        <v>37</v>
      </c>
      <c r="H2385" s="98">
        <v>11232</v>
      </c>
      <c r="I2385" s="29">
        <v>55</v>
      </c>
      <c r="J2385" s="12" t="s">
        <v>31</v>
      </c>
      <c r="K2385" s="76">
        <f t="shared" si="170"/>
        <v>55</v>
      </c>
      <c r="L2385">
        <v>1</v>
      </c>
      <c r="M2385" s="29">
        <v>0</v>
      </c>
      <c r="N2385" t="s">
        <v>32</v>
      </c>
      <c r="O2385" t="s">
        <v>33</v>
      </c>
      <c r="P2385" t="s">
        <v>34</v>
      </c>
      <c r="Q2385" t="s">
        <v>34</v>
      </c>
      <c r="R2385" t="s">
        <v>34</v>
      </c>
      <c r="S2385" t="s">
        <v>34</v>
      </c>
      <c r="T2385" s="117">
        <v>0</v>
      </c>
    </row>
    <row r="2386" spans="1:20" x14ac:dyDescent="0.35">
      <c r="A2386" t="s">
        <v>19</v>
      </c>
      <c r="B2386" t="s">
        <v>19</v>
      </c>
      <c r="C2386" s="1">
        <v>45630</v>
      </c>
      <c r="D2386">
        <f t="shared" si="171"/>
        <v>4</v>
      </c>
      <c r="E2386">
        <f t="shared" si="172"/>
        <v>12</v>
      </c>
      <c r="F2386">
        <f t="shared" si="173"/>
        <v>2024</v>
      </c>
      <c r="G2386" t="s">
        <v>56</v>
      </c>
      <c r="H2386" s="98" t="s">
        <v>697</v>
      </c>
      <c r="I2386" s="29">
        <v>182872.19</v>
      </c>
      <c r="J2386" s="12" t="s">
        <v>31</v>
      </c>
      <c r="K2386" s="76">
        <f t="shared" si="170"/>
        <v>182872.19</v>
      </c>
      <c r="L2386">
        <v>1</v>
      </c>
      <c r="M2386" s="29">
        <v>0</v>
      </c>
      <c r="N2386" t="s">
        <v>32</v>
      </c>
      <c r="O2386" t="s">
        <v>33</v>
      </c>
      <c r="P2386" t="s">
        <v>34</v>
      </c>
      <c r="Q2386" t="s">
        <v>34</v>
      </c>
      <c r="R2386" t="s">
        <v>34</v>
      </c>
      <c r="S2386" t="s">
        <v>34</v>
      </c>
      <c r="T2386" s="117">
        <v>0</v>
      </c>
    </row>
    <row r="2387" spans="1:20" x14ac:dyDescent="0.35">
      <c r="A2387" t="s">
        <v>19</v>
      </c>
      <c r="B2387" t="s">
        <v>19</v>
      </c>
      <c r="C2387" s="1">
        <v>45630</v>
      </c>
      <c r="D2387">
        <f t="shared" si="171"/>
        <v>4</v>
      </c>
      <c r="E2387">
        <f t="shared" si="172"/>
        <v>12</v>
      </c>
      <c r="F2387">
        <f t="shared" si="173"/>
        <v>2024</v>
      </c>
      <c r="G2387" t="s">
        <v>56</v>
      </c>
      <c r="H2387" s="98" t="s">
        <v>698</v>
      </c>
      <c r="I2387" s="29">
        <v>441.27</v>
      </c>
      <c r="J2387" s="12" t="s">
        <v>31</v>
      </c>
      <c r="K2387" s="76">
        <f t="shared" si="170"/>
        <v>441.27</v>
      </c>
      <c r="L2387">
        <v>1</v>
      </c>
      <c r="M2387" s="29">
        <v>0</v>
      </c>
      <c r="N2387" t="s">
        <v>32</v>
      </c>
      <c r="O2387" t="s">
        <v>33</v>
      </c>
      <c r="P2387" t="s">
        <v>34</v>
      </c>
      <c r="Q2387" t="s">
        <v>34</v>
      </c>
      <c r="R2387" t="s">
        <v>34</v>
      </c>
      <c r="S2387" t="s">
        <v>34</v>
      </c>
      <c r="T2387" s="117">
        <v>0</v>
      </c>
    </row>
    <row r="2388" spans="1:20" x14ac:dyDescent="0.35">
      <c r="A2388" t="s">
        <v>19</v>
      </c>
      <c r="B2388" t="s">
        <v>19</v>
      </c>
      <c r="C2388" s="1">
        <v>45630</v>
      </c>
      <c r="D2388">
        <f t="shared" si="171"/>
        <v>4</v>
      </c>
      <c r="E2388">
        <f t="shared" si="172"/>
        <v>12</v>
      </c>
      <c r="F2388">
        <f t="shared" si="173"/>
        <v>2024</v>
      </c>
      <c r="G2388" t="s">
        <v>120</v>
      </c>
      <c r="H2388" s="98" t="s">
        <v>699</v>
      </c>
      <c r="I2388" s="29">
        <v>79574.61</v>
      </c>
      <c r="J2388" s="12" t="s">
        <v>31</v>
      </c>
      <c r="K2388" s="76">
        <f t="shared" si="170"/>
        <v>79574.61</v>
      </c>
      <c r="L2388">
        <v>1</v>
      </c>
      <c r="M2388" s="29">
        <v>0</v>
      </c>
      <c r="N2388" t="s">
        <v>32</v>
      </c>
      <c r="O2388" t="s">
        <v>33</v>
      </c>
      <c r="P2388" t="s">
        <v>34</v>
      </c>
      <c r="Q2388" t="s">
        <v>34</v>
      </c>
      <c r="R2388" t="s">
        <v>34</v>
      </c>
      <c r="S2388" t="s">
        <v>34</v>
      </c>
      <c r="T2388" s="117">
        <v>0</v>
      </c>
    </row>
    <row r="2389" spans="1:20" x14ac:dyDescent="0.35">
      <c r="A2389" t="s">
        <v>20</v>
      </c>
      <c r="B2389" t="s">
        <v>19</v>
      </c>
      <c r="C2389" s="1">
        <v>45630</v>
      </c>
      <c r="D2389">
        <f t="shared" si="171"/>
        <v>4</v>
      </c>
      <c r="E2389">
        <f t="shared" si="172"/>
        <v>12</v>
      </c>
      <c r="F2389">
        <f t="shared" si="173"/>
        <v>2024</v>
      </c>
      <c r="G2389" t="s">
        <v>50</v>
      </c>
      <c r="H2389" s="98" t="s">
        <v>691</v>
      </c>
      <c r="I2389" s="29">
        <v>8367</v>
      </c>
      <c r="J2389" s="12" t="s">
        <v>31</v>
      </c>
      <c r="K2389" s="76">
        <f t="shared" si="170"/>
        <v>8367</v>
      </c>
      <c r="L2389">
        <v>1</v>
      </c>
      <c r="M2389" s="29">
        <v>0</v>
      </c>
      <c r="N2389" t="s">
        <v>32</v>
      </c>
      <c r="O2389" t="s">
        <v>33</v>
      </c>
      <c r="P2389" t="s">
        <v>34</v>
      </c>
      <c r="Q2389" t="s">
        <v>34</v>
      </c>
      <c r="R2389" t="s">
        <v>34</v>
      </c>
      <c r="S2389" t="s">
        <v>34</v>
      </c>
      <c r="T2389" s="117">
        <v>0</v>
      </c>
    </row>
    <row r="2390" spans="1:20" x14ac:dyDescent="0.35">
      <c r="A2390" t="s">
        <v>19</v>
      </c>
      <c r="B2390" t="s">
        <v>19</v>
      </c>
      <c r="C2390" s="1">
        <v>45630</v>
      </c>
      <c r="D2390">
        <f t="shared" si="171"/>
        <v>4</v>
      </c>
      <c r="E2390">
        <f t="shared" si="172"/>
        <v>12</v>
      </c>
      <c r="F2390">
        <f t="shared" si="173"/>
        <v>2024</v>
      </c>
      <c r="G2390" t="s">
        <v>102</v>
      </c>
      <c r="H2390" s="98" t="s">
        <v>700</v>
      </c>
      <c r="I2390" s="29">
        <v>10000</v>
      </c>
      <c r="J2390" s="12" t="s">
        <v>31</v>
      </c>
      <c r="K2390" s="76">
        <f t="shared" si="170"/>
        <v>10000</v>
      </c>
      <c r="L2390">
        <v>1</v>
      </c>
      <c r="M2390" s="29">
        <v>0</v>
      </c>
      <c r="N2390" t="s">
        <v>42</v>
      </c>
      <c r="O2390" t="s">
        <v>33</v>
      </c>
      <c r="P2390" t="s">
        <v>34</v>
      </c>
      <c r="Q2390" t="s">
        <v>34</v>
      </c>
      <c r="R2390" t="s">
        <v>34</v>
      </c>
      <c r="S2390" t="s">
        <v>34</v>
      </c>
      <c r="T2390" s="117">
        <v>0</v>
      </c>
    </row>
    <row r="2391" spans="1:20" x14ac:dyDescent="0.35">
      <c r="A2391" t="s">
        <v>19</v>
      </c>
      <c r="B2391" t="s">
        <v>19</v>
      </c>
      <c r="C2391" s="1">
        <v>45630</v>
      </c>
      <c r="D2391">
        <f t="shared" si="171"/>
        <v>4</v>
      </c>
      <c r="E2391">
        <f t="shared" si="172"/>
        <v>12</v>
      </c>
      <c r="F2391">
        <f t="shared" si="173"/>
        <v>2024</v>
      </c>
      <c r="G2391" t="s">
        <v>102</v>
      </c>
      <c r="H2391" s="98" t="s">
        <v>701</v>
      </c>
      <c r="I2391" s="29">
        <v>10000</v>
      </c>
      <c r="J2391" s="12" t="s">
        <v>31</v>
      </c>
      <c r="K2391" s="76">
        <f t="shared" si="170"/>
        <v>10000</v>
      </c>
      <c r="L2391">
        <v>1</v>
      </c>
      <c r="M2391" s="29">
        <v>0</v>
      </c>
      <c r="N2391" t="s">
        <v>42</v>
      </c>
      <c r="O2391" t="s">
        <v>33</v>
      </c>
      <c r="P2391" t="s">
        <v>34</v>
      </c>
      <c r="Q2391" t="s">
        <v>34</v>
      </c>
      <c r="R2391" t="s">
        <v>34</v>
      </c>
      <c r="S2391" t="s">
        <v>34</v>
      </c>
      <c r="T2391" s="117">
        <v>0</v>
      </c>
    </row>
    <row r="2392" spans="1:20" x14ac:dyDescent="0.35">
      <c r="A2392" t="s">
        <v>19</v>
      </c>
      <c r="B2392" t="s">
        <v>19</v>
      </c>
      <c r="C2392" s="1">
        <v>45631</v>
      </c>
      <c r="D2392">
        <f t="shared" si="171"/>
        <v>5</v>
      </c>
      <c r="E2392">
        <f t="shared" si="172"/>
        <v>12</v>
      </c>
      <c r="F2392">
        <f t="shared" si="173"/>
        <v>2024</v>
      </c>
      <c r="G2392" t="s">
        <v>56</v>
      </c>
      <c r="H2392" s="98" t="s">
        <v>698</v>
      </c>
      <c r="I2392" s="29">
        <v>194868.64</v>
      </c>
      <c r="J2392" s="12" t="s">
        <v>31</v>
      </c>
      <c r="K2392" s="76">
        <f t="shared" si="170"/>
        <v>194868.64</v>
      </c>
      <c r="L2392">
        <v>1</v>
      </c>
      <c r="M2392" s="29">
        <v>0</v>
      </c>
      <c r="N2392" t="s">
        <v>32</v>
      </c>
      <c r="O2392" t="s">
        <v>33</v>
      </c>
      <c r="P2392" t="s">
        <v>34</v>
      </c>
      <c r="Q2392" t="s">
        <v>34</v>
      </c>
      <c r="R2392" t="s">
        <v>34</v>
      </c>
      <c r="S2392" t="s">
        <v>34</v>
      </c>
      <c r="T2392" s="117">
        <v>0</v>
      </c>
    </row>
    <row r="2393" spans="1:20" x14ac:dyDescent="0.35">
      <c r="A2393" t="s">
        <v>19</v>
      </c>
      <c r="B2393" t="s">
        <v>19</v>
      </c>
      <c r="C2393" s="1">
        <v>45631</v>
      </c>
      <c r="D2393">
        <f t="shared" si="171"/>
        <v>5</v>
      </c>
      <c r="E2393">
        <f t="shared" si="172"/>
        <v>12</v>
      </c>
      <c r="F2393">
        <f t="shared" si="173"/>
        <v>2024</v>
      </c>
      <c r="G2393" t="s">
        <v>56</v>
      </c>
      <c r="H2393" s="98" t="s">
        <v>702</v>
      </c>
      <c r="I2393" s="29">
        <v>186520.43</v>
      </c>
      <c r="J2393" s="12" t="s">
        <v>31</v>
      </c>
      <c r="K2393" s="76">
        <f t="shared" si="170"/>
        <v>186520.43</v>
      </c>
      <c r="L2393">
        <v>1</v>
      </c>
      <c r="M2393" s="29">
        <v>0</v>
      </c>
      <c r="N2393" t="s">
        <v>32</v>
      </c>
      <c r="O2393" t="s">
        <v>33</v>
      </c>
      <c r="P2393" t="s">
        <v>34</v>
      </c>
      <c r="Q2393" t="s">
        <v>34</v>
      </c>
      <c r="R2393" t="s">
        <v>34</v>
      </c>
      <c r="S2393" t="s">
        <v>34</v>
      </c>
      <c r="T2393" s="117">
        <v>0</v>
      </c>
    </row>
    <row r="2394" spans="1:20" x14ac:dyDescent="0.35">
      <c r="A2394" t="s">
        <v>20</v>
      </c>
      <c r="B2394" t="s">
        <v>25</v>
      </c>
      <c r="C2394" s="1">
        <v>45631</v>
      </c>
      <c r="D2394">
        <f t="shared" si="171"/>
        <v>5</v>
      </c>
      <c r="E2394">
        <f t="shared" si="172"/>
        <v>12</v>
      </c>
      <c r="F2394">
        <f t="shared" si="173"/>
        <v>2024</v>
      </c>
      <c r="G2394" t="s">
        <v>491</v>
      </c>
      <c r="H2394" s="98">
        <v>11743</v>
      </c>
      <c r="I2394" s="29">
        <v>83</v>
      </c>
      <c r="J2394" s="12" t="s">
        <v>31</v>
      </c>
      <c r="K2394" s="76">
        <f t="shared" si="170"/>
        <v>83</v>
      </c>
      <c r="L2394">
        <v>1</v>
      </c>
      <c r="M2394" s="29">
        <v>0</v>
      </c>
      <c r="N2394" t="s">
        <v>42</v>
      </c>
      <c r="O2394" t="s">
        <v>33</v>
      </c>
      <c r="P2394" t="s">
        <v>34</v>
      </c>
      <c r="Q2394" t="s">
        <v>34</v>
      </c>
      <c r="R2394" t="s">
        <v>34</v>
      </c>
      <c r="S2394" t="s">
        <v>34</v>
      </c>
      <c r="T2394" s="117">
        <v>0</v>
      </c>
    </row>
    <row r="2395" spans="1:20" x14ac:dyDescent="0.35">
      <c r="A2395" t="s">
        <v>20</v>
      </c>
      <c r="B2395" t="s">
        <v>25</v>
      </c>
      <c r="C2395" s="1">
        <v>45631</v>
      </c>
      <c r="D2395">
        <f t="shared" si="171"/>
        <v>5</v>
      </c>
      <c r="E2395">
        <f t="shared" si="172"/>
        <v>12</v>
      </c>
      <c r="F2395">
        <f t="shared" si="173"/>
        <v>2024</v>
      </c>
      <c r="G2395" t="s">
        <v>491</v>
      </c>
      <c r="H2395" s="98">
        <v>11744</v>
      </c>
      <c r="I2395" s="29">
        <v>2833</v>
      </c>
      <c r="J2395" s="12" t="s">
        <v>31</v>
      </c>
      <c r="K2395" s="76">
        <f t="shared" si="170"/>
        <v>2833</v>
      </c>
      <c r="L2395">
        <v>1</v>
      </c>
      <c r="M2395" s="29">
        <v>0</v>
      </c>
      <c r="N2395" t="s">
        <v>42</v>
      </c>
      <c r="O2395" t="s">
        <v>33</v>
      </c>
      <c r="P2395" t="s">
        <v>34</v>
      </c>
      <c r="Q2395" t="s">
        <v>34</v>
      </c>
      <c r="R2395" t="s">
        <v>34</v>
      </c>
      <c r="S2395" t="s">
        <v>34</v>
      </c>
      <c r="T2395" s="117">
        <v>0</v>
      </c>
    </row>
    <row r="2396" spans="1:20" x14ac:dyDescent="0.35">
      <c r="A2396" t="s">
        <v>20</v>
      </c>
      <c r="B2396" t="s">
        <v>25</v>
      </c>
      <c r="C2396" s="1">
        <v>45631</v>
      </c>
      <c r="D2396">
        <f t="shared" si="171"/>
        <v>5</v>
      </c>
      <c r="E2396">
        <f t="shared" si="172"/>
        <v>12</v>
      </c>
      <c r="F2396">
        <f t="shared" si="173"/>
        <v>2024</v>
      </c>
      <c r="G2396" t="s">
        <v>491</v>
      </c>
      <c r="H2396" s="98">
        <v>11745</v>
      </c>
      <c r="I2396" s="29">
        <v>3823</v>
      </c>
      <c r="J2396" s="12" t="s">
        <v>31</v>
      </c>
      <c r="K2396" s="76">
        <f t="shared" si="170"/>
        <v>3823</v>
      </c>
      <c r="L2396">
        <v>1</v>
      </c>
      <c r="M2396" s="29">
        <v>0</v>
      </c>
      <c r="N2396" t="s">
        <v>42</v>
      </c>
      <c r="O2396" t="s">
        <v>33</v>
      </c>
      <c r="P2396" t="s">
        <v>34</v>
      </c>
      <c r="Q2396" t="s">
        <v>34</v>
      </c>
      <c r="R2396" t="s">
        <v>34</v>
      </c>
      <c r="S2396" t="s">
        <v>34</v>
      </c>
      <c r="T2396" s="117">
        <v>0</v>
      </c>
    </row>
    <row r="2397" spans="1:20" x14ac:dyDescent="0.35">
      <c r="A2397" t="s">
        <v>20</v>
      </c>
      <c r="B2397" t="s">
        <v>25</v>
      </c>
      <c r="C2397" s="1">
        <v>45631</v>
      </c>
      <c r="D2397">
        <f t="shared" si="171"/>
        <v>5</v>
      </c>
      <c r="E2397">
        <f t="shared" si="172"/>
        <v>12</v>
      </c>
      <c r="F2397">
        <f t="shared" si="173"/>
        <v>2024</v>
      </c>
      <c r="G2397" t="s">
        <v>491</v>
      </c>
      <c r="H2397" s="98">
        <v>11162</v>
      </c>
      <c r="I2397" s="29">
        <v>137.5</v>
      </c>
      <c r="J2397" s="12" t="s">
        <v>31</v>
      </c>
      <c r="K2397" s="76">
        <f t="shared" si="170"/>
        <v>137.5</v>
      </c>
      <c r="L2397">
        <v>1</v>
      </c>
      <c r="M2397" s="29">
        <v>0</v>
      </c>
      <c r="N2397" t="s">
        <v>32</v>
      </c>
      <c r="O2397" t="s">
        <v>33</v>
      </c>
      <c r="P2397" t="s">
        <v>34</v>
      </c>
      <c r="Q2397" t="s">
        <v>34</v>
      </c>
      <c r="R2397" t="s">
        <v>34</v>
      </c>
      <c r="S2397" t="s">
        <v>34</v>
      </c>
      <c r="T2397" s="117">
        <v>0</v>
      </c>
    </row>
    <row r="2398" spans="1:20" x14ac:dyDescent="0.35">
      <c r="A2398" t="s">
        <v>20</v>
      </c>
      <c r="B2398" t="s">
        <v>21</v>
      </c>
      <c r="C2398" s="1">
        <v>45631</v>
      </c>
      <c r="D2398">
        <f t="shared" si="171"/>
        <v>5</v>
      </c>
      <c r="E2398">
        <f t="shared" si="172"/>
        <v>12</v>
      </c>
      <c r="F2398">
        <f t="shared" si="173"/>
        <v>2024</v>
      </c>
      <c r="G2398" t="s">
        <v>52</v>
      </c>
      <c r="H2398" s="98">
        <v>11474</v>
      </c>
      <c r="I2398" s="29">
        <v>22157.33</v>
      </c>
      <c r="J2398" s="12" t="s">
        <v>31</v>
      </c>
      <c r="K2398" s="76">
        <f t="shared" si="170"/>
        <v>22157.33</v>
      </c>
      <c r="L2398">
        <v>1</v>
      </c>
      <c r="M2398" s="29">
        <v>0</v>
      </c>
      <c r="N2398" t="s">
        <v>32</v>
      </c>
      <c r="O2398" t="s">
        <v>33</v>
      </c>
      <c r="P2398" t="s">
        <v>34</v>
      </c>
      <c r="Q2398" t="s">
        <v>34</v>
      </c>
      <c r="R2398" t="s">
        <v>34</v>
      </c>
      <c r="S2398" t="s">
        <v>34</v>
      </c>
      <c r="T2398" s="117">
        <v>0</v>
      </c>
    </row>
    <row r="2399" spans="1:20" x14ac:dyDescent="0.35">
      <c r="A2399" t="s">
        <v>20</v>
      </c>
      <c r="B2399" t="s">
        <v>21</v>
      </c>
      <c r="C2399" s="1">
        <v>45631</v>
      </c>
      <c r="D2399">
        <f t="shared" si="171"/>
        <v>5</v>
      </c>
      <c r="E2399">
        <f t="shared" si="172"/>
        <v>12</v>
      </c>
      <c r="F2399">
        <f t="shared" si="173"/>
        <v>2024</v>
      </c>
      <c r="G2399" t="s">
        <v>265</v>
      </c>
      <c r="H2399" s="98">
        <v>11223</v>
      </c>
      <c r="I2399" s="29">
        <v>21048.42</v>
      </c>
      <c r="J2399" s="12" t="s">
        <v>31</v>
      </c>
      <c r="K2399" s="76">
        <f t="shared" si="170"/>
        <v>21048.42</v>
      </c>
      <c r="L2399">
        <v>1</v>
      </c>
      <c r="M2399" s="29">
        <v>0</v>
      </c>
      <c r="N2399" t="s">
        <v>32</v>
      </c>
      <c r="O2399" t="s">
        <v>33</v>
      </c>
      <c r="P2399" t="s">
        <v>34</v>
      </c>
      <c r="Q2399" t="s">
        <v>34</v>
      </c>
      <c r="R2399" t="s">
        <v>34</v>
      </c>
      <c r="S2399" t="s">
        <v>34</v>
      </c>
      <c r="T2399" s="117">
        <v>0</v>
      </c>
    </row>
    <row r="2400" spans="1:20" x14ac:dyDescent="0.35">
      <c r="A2400" t="s">
        <v>20</v>
      </c>
      <c r="B2400" t="s">
        <v>21</v>
      </c>
      <c r="C2400" s="1">
        <v>45631</v>
      </c>
      <c r="D2400">
        <f t="shared" si="171"/>
        <v>5</v>
      </c>
      <c r="E2400">
        <f t="shared" si="172"/>
        <v>12</v>
      </c>
      <c r="F2400">
        <f t="shared" si="173"/>
        <v>2024</v>
      </c>
      <c r="G2400" t="s">
        <v>90</v>
      </c>
      <c r="H2400" s="98">
        <v>11092</v>
      </c>
      <c r="I2400" s="29">
        <v>85.2</v>
      </c>
      <c r="J2400" s="12" t="s">
        <v>31</v>
      </c>
      <c r="K2400" s="76">
        <f t="shared" si="170"/>
        <v>85.2</v>
      </c>
      <c r="L2400">
        <v>1</v>
      </c>
      <c r="M2400" s="29">
        <v>0</v>
      </c>
      <c r="N2400" t="s">
        <v>32</v>
      </c>
      <c r="O2400" t="s">
        <v>33</v>
      </c>
      <c r="P2400" t="s">
        <v>34</v>
      </c>
      <c r="Q2400" t="s">
        <v>34</v>
      </c>
      <c r="R2400" t="s">
        <v>34</v>
      </c>
      <c r="S2400" t="s">
        <v>34</v>
      </c>
      <c r="T2400" s="117">
        <v>0</v>
      </c>
    </row>
    <row r="2401" spans="1:21" x14ac:dyDescent="0.35">
      <c r="A2401" t="s">
        <v>20</v>
      </c>
      <c r="B2401" t="s">
        <v>21</v>
      </c>
      <c r="C2401" s="1">
        <v>45631</v>
      </c>
      <c r="D2401">
        <f t="shared" si="171"/>
        <v>5</v>
      </c>
      <c r="E2401">
        <f t="shared" si="172"/>
        <v>12</v>
      </c>
      <c r="F2401">
        <f t="shared" si="173"/>
        <v>2024</v>
      </c>
      <c r="G2401" t="s">
        <v>90</v>
      </c>
      <c r="H2401" s="98">
        <v>11078</v>
      </c>
      <c r="I2401" s="29">
        <v>9693.2099999999991</v>
      </c>
      <c r="J2401" s="12" t="s">
        <v>31</v>
      </c>
      <c r="K2401" s="76">
        <f t="shared" ref="K2401:K2432" si="174">IF(J2401="USD",I2401,I2401*L2401)</f>
        <v>9693.2099999999991</v>
      </c>
      <c r="L2401">
        <v>1</v>
      </c>
      <c r="M2401" s="29">
        <v>0</v>
      </c>
      <c r="N2401" t="s">
        <v>32</v>
      </c>
      <c r="O2401" t="s">
        <v>33</v>
      </c>
      <c r="P2401" t="s">
        <v>34</v>
      </c>
      <c r="Q2401" t="s">
        <v>34</v>
      </c>
      <c r="R2401" t="s">
        <v>34</v>
      </c>
      <c r="S2401" t="s">
        <v>34</v>
      </c>
      <c r="T2401" s="117">
        <v>0</v>
      </c>
    </row>
    <row r="2402" spans="1:21" x14ac:dyDescent="0.35">
      <c r="A2402" t="s">
        <v>20</v>
      </c>
      <c r="B2402" t="s">
        <v>25</v>
      </c>
      <c r="C2402" s="1">
        <v>45631</v>
      </c>
      <c r="D2402">
        <f t="shared" si="171"/>
        <v>5</v>
      </c>
      <c r="E2402">
        <f t="shared" si="172"/>
        <v>12</v>
      </c>
      <c r="F2402">
        <f t="shared" si="173"/>
        <v>2024</v>
      </c>
      <c r="G2402" t="s">
        <v>118</v>
      </c>
      <c r="H2402" s="98">
        <v>11753</v>
      </c>
      <c r="I2402" s="29">
        <v>161.4</v>
      </c>
      <c r="J2402" s="12" t="s">
        <v>31</v>
      </c>
      <c r="K2402" s="76">
        <f t="shared" si="174"/>
        <v>161.4</v>
      </c>
      <c r="L2402">
        <v>1</v>
      </c>
      <c r="M2402" s="29">
        <v>0</v>
      </c>
      <c r="N2402" t="s">
        <v>42</v>
      </c>
      <c r="O2402" t="s">
        <v>33</v>
      </c>
      <c r="P2402" t="s">
        <v>34</v>
      </c>
      <c r="Q2402" t="s">
        <v>34</v>
      </c>
      <c r="R2402" t="s">
        <v>34</v>
      </c>
      <c r="S2402" t="s">
        <v>34</v>
      </c>
      <c r="T2402" s="117">
        <v>0</v>
      </c>
    </row>
    <row r="2403" spans="1:21" x14ac:dyDescent="0.35">
      <c r="A2403" t="s">
        <v>20</v>
      </c>
      <c r="B2403" t="s">
        <v>25</v>
      </c>
      <c r="C2403" s="1">
        <v>45631</v>
      </c>
      <c r="D2403">
        <f t="shared" si="171"/>
        <v>5</v>
      </c>
      <c r="E2403">
        <f t="shared" si="172"/>
        <v>12</v>
      </c>
      <c r="F2403">
        <f t="shared" si="173"/>
        <v>2024</v>
      </c>
      <c r="G2403" t="s">
        <v>118</v>
      </c>
      <c r="H2403" s="98">
        <v>12067</v>
      </c>
      <c r="I2403" s="29">
        <v>1680.9</v>
      </c>
      <c r="J2403" s="12" t="s">
        <v>31</v>
      </c>
      <c r="K2403" s="76">
        <f t="shared" si="174"/>
        <v>1680.9</v>
      </c>
      <c r="L2403">
        <v>1</v>
      </c>
      <c r="M2403" s="29">
        <v>0</v>
      </c>
      <c r="N2403" t="s">
        <v>42</v>
      </c>
      <c r="O2403" t="s">
        <v>33</v>
      </c>
      <c r="P2403" t="s">
        <v>34</v>
      </c>
      <c r="Q2403" t="s">
        <v>34</v>
      </c>
      <c r="R2403" t="s">
        <v>34</v>
      </c>
      <c r="S2403" t="s">
        <v>34</v>
      </c>
      <c r="T2403" s="117">
        <v>0</v>
      </c>
      <c r="U2403" s="209" t="s">
        <v>1056</v>
      </c>
    </row>
    <row r="2404" spans="1:21" x14ac:dyDescent="0.35">
      <c r="A2404" t="s">
        <v>20</v>
      </c>
      <c r="B2404" t="s">
        <v>21</v>
      </c>
      <c r="C2404" s="1">
        <v>45631</v>
      </c>
      <c r="D2404">
        <f t="shared" si="171"/>
        <v>5</v>
      </c>
      <c r="E2404">
        <f t="shared" si="172"/>
        <v>12</v>
      </c>
      <c r="F2404">
        <f t="shared" si="173"/>
        <v>2024</v>
      </c>
      <c r="G2404" t="s">
        <v>595</v>
      </c>
      <c r="H2404" s="98">
        <v>11733</v>
      </c>
      <c r="I2404" s="29">
        <v>195</v>
      </c>
      <c r="J2404" s="12" t="s">
        <v>31</v>
      </c>
      <c r="K2404" s="76">
        <f t="shared" si="174"/>
        <v>195</v>
      </c>
      <c r="L2404">
        <v>1</v>
      </c>
      <c r="M2404" s="29">
        <v>0</v>
      </c>
      <c r="N2404" t="s">
        <v>42</v>
      </c>
      <c r="O2404" t="s">
        <v>33</v>
      </c>
      <c r="P2404" t="s">
        <v>34</v>
      </c>
      <c r="Q2404" t="s">
        <v>34</v>
      </c>
      <c r="R2404" t="s">
        <v>34</v>
      </c>
      <c r="S2404" t="s">
        <v>34</v>
      </c>
      <c r="T2404" s="117">
        <v>0</v>
      </c>
      <c r="U2404" s="209" t="s">
        <v>1094</v>
      </c>
    </row>
    <row r="2405" spans="1:21" x14ac:dyDescent="0.35">
      <c r="A2405" t="s">
        <v>20</v>
      </c>
      <c r="B2405" t="s">
        <v>21</v>
      </c>
      <c r="C2405" s="1">
        <v>45631</v>
      </c>
      <c r="D2405">
        <f t="shared" si="171"/>
        <v>5</v>
      </c>
      <c r="E2405">
        <f t="shared" si="172"/>
        <v>12</v>
      </c>
      <c r="F2405">
        <f t="shared" si="173"/>
        <v>2024</v>
      </c>
      <c r="G2405" t="s">
        <v>595</v>
      </c>
      <c r="H2405" s="98">
        <v>12671</v>
      </c>
      <c r="I2405" s="29">
        <v>2</v>
      </c>
      <c r="J2405" s="12" t="s">
        <v>31</v>
      </c>
      <c r="K2405" s="76">
        <f t="shared" si="174"/>
        <v>2</v>
      </c>
      <c r="L2405">
        <v>1</v>
      </c>
      <c r="M2405" s="29">
        <v>0</v>
      </c>
      <c r="N2405" t="s">
        <v>42</v>
      </c>
      <c r="O2405" t="s">
        <v>33</v>
      </c>
      <c r="P2405" t="s">
        <v>34</v>
      </c>
      <c r="Q2405" t="s">
        <v>34</v>
      </c>
      <c r="R2405" t="s">
        <v>34</v>
      </c>
      <c r="S2405" t="s">
        <v>34</v>
      </c>
      <c r="T2405" s="117">
        <v>0</v>
      </c>
    </row>
    <row r="2406" spans="1:21" x14ac:dyDescent="0.35">
      <c r="A2406" t="s">
        <v>20</v>
      </c>
      <c r="B2406" t="s">
        <v>21</v>
      </c>
      <c r="C2406" s="1">
        <v>45631</v>
      </c>
      <c r="D2406">
        <f t="shared" si="171"/>
        <v>5</v>
      </c>
      <c r="E2406">
        <f t="shared" si="172"/>
        <v>12</v>
      </c>
      <c r="F2406">
        <f t="shared" si="173"/>
        <v>2024</v>
      </c>
      <c r="G2406" t="s">
        <v>595</v>
      </c>
      <c r="H2406" s="98">
        <v>11687</v>
      </c>
      <c r="I2406" s="29">
        <v>5959.23</v>
      </c>
      <c r="J2406" s="12" t="s">
        <v>31</v>
      </c>
      <c r="K2406" s="76">
        <f t="shared" si="174"/>
        <v>5959.23</v>
      </c>
      <c r="L2406">
        <v>1</v>
      </c>
      <c r="M2406" s="29">
        <v>0</v>
      </c>
      <c r="N2406" t="s">
        <v>42</v>
      </c>
      <c r="O2406" t="s">
        <v>33</v>
      </c>
      <c r="P2406" t="s">
        <v>34</v>
      </c>
      <c r="Q2406" t="s">
        <v>34</v>
      </c>
      <c r="R2406" t="s">
        <v>34</v>
      </c>
      <c r="S2406" t="s">
        <v>34</v>
      </c>
      <c r="T2406" s="117">
        <v>0</v>
      </c>
    </row>
    <row r="2407" spans="1:21" x14ac:dyDescent="0.35">
      <c r="A2407" t="s">
        <v>20</v>
      </c>
      <c r="B2407" t="s">
        <v>25</v>
      </c>
      <c r="C2407" s="1">
        <v>45631</v>
      </c>
      <c r="D2407">
        <f t="shared" si="171"/>
        <v>5</v>
      </c>
      <c r="E2407">
        <f t="shared" si="172"/>
        <v>12</v>
      </c>
      <c r="F2407">
        <f t="shared" si="173"/>
        <v>2024</v>
      </c>
      <c r="G2407" t="s">
        <v>41</v>
      </c>
      <c r="H2407" s="98">
        <v>11737</v>
      </c>
      <c r="I2407" s="29">
        <v>1069.54</v>
      </c>
      <c r="J2407" s="12" t="s">
        <v>31</v>
      </c>
      <c r="K2407" s="76">
        <f t="shared" si="174"/>
        <v>1069.54</v>
      </c>
      <c r="L2407">
        <v>1</v>
      </c>
      <c r="M2407" s="29">
        <v>0</v>
      </c>
      <c r="N2407" t="s">
        <v>32</v>
      </c>
      <c r="O2407" t="s">
        <v>33</v>
      </c>
      <c r="P2407" t="s">
        <v>34</v>
      </c>
      <c r="Q2407" t="s">
        <v>34</v>
      </c>
      <c r="R2407" t="s">
        <v>34</v>
      </c>
      <c r="S2407" t="s">
        <v>34</v>
      </c>
      <c r="T2407" s="117">
        <v>0</v>
      </c>
    </row>
    <row r="2408" spans="1:21" x14ac:dyDescent="0.35">
      <c r="A2408" t="s">
        <v>20</v>
      </c>
      <c r="B2408" t="s">
        <v>25</v>
      </c>
      <c r="C2408" s="1">
        <v>45631</v>
      </c>
      <c r="D2408">
        <f t="shared" si="171"/>
        <v>5</v>
      </c>
      <c r="E2408">
        <f t="shared" si="172"/>
        <v>12</v>
      </c>
      <c r="F2408">
        <f t="shared" si="173"/>
        <v>2024</v>
      </c>
      <c r="G2408" t="s">
        <v>84</v>
      </c>
      <c r="H2408" s="98">
        <v>11739</v>
      </c>
      <c r="I2408" s="29">
        <v>178.5</v>
      </c>
      <c r="J2408" s="12" t="s">
        <v>31</v>
      </c>
      <c r="K2408" s="76">
        <f t="shared" si="174"/>
        <v>178.5</v>
      </c>
      <c r="L2408">
        <v>1</v>
      </c>
      <c r="M2408" s="29">
        <v>0</v>
      </c>
      <c r="N2408" t="s">
        <v>42</v>
      </c>
      <c r="O2408" t="s">
        <v>33</v>
      </c>
      <c r="P2408" t="s">
        <v>34</v>
      </c>
      <c r="Q2408" t="s">
        <v>34</v>
      </c>
      <c r="R2408" t="s">
        <v>34</v>
      </c>
      <c r="S2408" t="s">
        <v>34</v>
      </c>
      <c r="T2408" s="117">
        <v>0</v>
      </c>
    </row>
    <row r="2409" spans="1:21" x14ac:dyDescent="0.35">
      <c r="A2409" t="s">
        <v>20</v>
      </c>
      <c r="B2409" t="s">
        <v>25</v>
      </c>
      <c r="C2409" s="1">
        <v>45631</v>
      </c>
      <c r="D2409">
        <f t="shared" si="171"/>
        <v>5</v>
      </c>
      <c r="E2409">
        <f t="shared" si="172"/>
        <v>12</v>
      </c>
      <c r="F2409">
        <f t="shared" si="173"/>
        <v>2024</v>
      </c>
      <c r="G2409" t="s">
        <v>84</v>
      </c>
      <c r="H2409" s="98">
        <v>11741</v>
      </c>
      <c r="I2409" s="29">
        <v>10851.5</v>
      </c>
      <c r="J2409" s="12" t="s">
        <v>31</v>
      </c>
      <c r="K2409" s="76">
        <f t="shared" si="174"/>
        <v>10851.5</v>
      </c>
      <c r="L2409">
        <v>1</v>
      </c>
      <c r="M2409" s="29">
        <v>0</v>
      </c>
      <c r="N2409" t="s">
        <v>42</v>
      </c>
      <c r="O2409" t="s">
        <v>33</v>
      </c>
      <c r="P2409" t="s">
        <v>34</v>
      </c>
      <c r="Q2409" t="s">
        <v>34</v>
      </c>
      <c r="R2409" t="s">
        <v>34</v>
      </c>
      <c r="S2409" t="s">
        <v>34</v>
      </c>
      <c r="T2409" s="117">
        <v>0</v>
      </c>
      <c r="U2409" s="209" t="s">
        <v>826</v>
      </c>
    </row>
    <row r="2410" spans="1:21" x14ac:dyDescent="0.35">
      <c r="A2410" t="s">
        <v>20</v>
      </c>
      <c r="B2410" t="s">
        <v>25</v>
      </c>
      <c r="C2410" s="1">
        <v>45631</v>
      </c>
      <c r="D2410">
        <f t="shared" si="171"/>
        <v>5</v>
      </c>
      <c r="E2410">
        <f t="shared" si="172"/>
        <v>12</v>
      </c>
      <c r="F2410">
        <f t="shared" si="173"/>
        <v>2024</v>
      </c>
      <c r="G2410" t="s">
        <v>84</v>
      </c>
      <c r="H2410" s="98">
        <v>11741</v>
      </c>
      <c r="I2410" s="29">
        <v>7354</v>
      </c>
      <c r="J2410" s="12" t="s">
        <v>31</v>
      </c>
      <c r="K2410" s="76">
        <f t="shared" si="174"/>
        <v>7354</v>
      </c>
      <c r="L2410">
        <v>1</v>
      </c>
      <c r="M2410" s="29">
        <v>0</v>
      </c>
      <c r="N2410" t="s">
        <v>42</v>
      </c>
      <c r="O2410" t="s">
        <v>33</v>
      </c>
      <c r="P2410" t="s">
        <v>34</v>
      </c>
      <c r="Q2410" t="s">
        <v>34</v>
      </c>
      <c r="R2410" t="s">
        <v>34</v>
      </c>
      <c r="S2410" t="s">
        <v>34</v>
      </c>
      <c r="T2410" s="117">
        <v>0</v>
      </c>
    </row>
    <row r="2411" spans="1:21" x14ac:dyDescent="0.35">
      <c r="A2411" t="s">
        <v>20</v>
      </c>
      <c r="B2411" t="s">
        <v>25</v>
      </c>
      <c r="C2411" s="1">
        <v>45631</v>
      </c>
      <c r="D2411">
        <f t="shared" si="171"/>
        <v>5</v>
      </c>
      <c r="E2411">
        <f t="shared" si="172"/>
        <v>12</v>
      </c>
      <c r="F2411">
        <f t="shared" si="173"/>
        <v>2024</v>
      </c>
      <c r="G2411" t="s">
        <v>84</v>
      </c>
      <c r="H2411" s="98">
        <v>11742</v>
      </c>
      <c r="I2411" s="29">
        <v>2211</v>
      </c>
      <c r="J2411" s="12" t="s">
        <v>31</v>
      </c>
      <c r="K2411" s="76">
        <f t="shared" si="174"/>
        <v>2211</v>
      </c>
      <c r="L2411">
        <v>1</v>
      </c>
      <c r="M2411" s="29">
        <v>0</v>
      </c>
      <c r="N2411" t="s">
        <v>42</v>
      </c>
      <c r="O2411" t="s">
        <v>33</v>
      </c>
      <c r="P2411" t="s">
        <v>34</v>
      </c>
      <c r="Q2411" t="s">
        <v>34</v>
      </c>
      <c r="R2411" t="s">
        <v>34</v>
      </c>
      <c r="S2411" t="s">
        <v>34</v>
      </c>
      <c r="T2411" s="117">
        <v>0</v>
      </c>
    </row>
    <row r="2412" spans="1:21" x14ac:dyDescent="0.35">
      <c r="A2412" t="s">
        <v>20</v>
      </c>
      <c r="B2412" t="s">
        <v>25</v>
      </c>
      <c r="C2412" s="1">
        <v>45631</v>
      </c>
      <c r="D2412">
        <f t="shared" si="171"/>
        <v>5</v>
      </c>
      <c r="E2412">
        <f t="shared" si="172"/>
        <v>12</v>
      </c>
      <c r="F2412">
        <f t="shared" si="173"/>
        <v>2024</v>
      </c>
      <c r="G2412" t="s">
        <v>696</v>
      </c>
      <c r="H2412" s="98">
        <v>11664</v>
      </c>
      <c r="I2412" s="29">
        <v>798</v>
      </c>
      <c r="J2412" s="12" t="s">
        <v>31</v>
      </c>
      <c r="K2412" s="76">
        <f t="shared" si="174"/>
        <v>798</v>
      </c>
      <c r="L2412">
        <v>1</v>
      </c>
      <c r="M2412" s="29">
        <v>0</v>
      </c>
      <c r="N2412" t="s">
        <v>42</v>
      </c>
      <c r="O2412" t="s">
        <v>33</v>
      </c>
      <c r="P2412" t="s">
        <v>34</v>
      </c>
      <c r="Q2412" t="s">
        <v>34</v>
      </c>
      <c r="R2412" t="s">
        <v>34</v>
      </c>
      <c r="S2412" t="s">
        <v>34</v>
      </c>
      <c r="T2412" s="117">
        <v>0</v>
      </c>
    </row>
    <row r="2413" spans="1:21" x14ac:dyDescent="0.35">
      <c r="A2413" t="s">
        <v>20</v>
      </c>
      <c r="B2413" t="s">
        <v>25</v>
      </c>
      <c r="C2413" s="1">
        <v>45631</v>
      </c>
      <c r="D2413">
        <f t="shared" si="171"/>
        <v>5</v>
      </c>
      <c r="E2413">
        <f t="shared" si="172"/>
        <v>12</v>
      </c>
      <c r="F2413">
        <f t="shared" si="173"/>
        <v>2024</v>
      </c>
      <c r="G2413" t="s">
        <v>696</v>
      </c>
      <c r="H2413" s="98">
        <v>11664</v>
      </c>
      <c r="I2413" s="90">
        <v>761</v>
      </c>
      <c r="J2413" s="12" t="s">
        <v>31</v>
      </c>
      <c r="K2413" s="76">
        <f t="shared" si="174"/>
        <v>761</v>
      </c>
      <c r="L2413">
        <v>1</v>
      </c>
      <c r="M2413" s="29">
        <v>0</v>
      </c>
      <c r="N2413" t="s">
        <v>42</v>
      </c>
      <c r="O2413" t="s">
        <v>33</v>
      </c>
      <c r="P2413" t="s">
        <v>34</v>
      </c>
      <c r="Q2413" t="s">
        <v>34</v>
      </c>
      <c r="R2413" t="s">
        <v>34</v>
      </c>
      <c r="S2413" t="s">
        <v>34</v>
      </c>
      <c r="T2413" s="117">
        <v>0</v>
      </c>
      <c r="U2413" s="209" t="s">
        <v>1130</v>
      </c>
    </row>
    <row r="2414" spans="1:21" x14ac:dyDescent="0.35">
      <c r="A2414" t="s">
        <v>20</v>
      </c>
      <c r="B2414" t="s">
        <v>25</v>
      </c>
      <c r="C2414" s="1">
        <v>45631</v>
      </c>
      <c r="D2414">
        <f t="shared" si="171"/>
        <v>5</v>
      </c>
      <c r="E2414">
        <f t="shared" si="172"/>
        <v>12</v>
      </c>
      <c r="F2414">
        <f t="shared" si="173"/>
        <v>2024</v>
      </c>
      <c r="G2414" t="s">
        <v>696</v>
      </c>
      <c r="H2414" s="98">
        <v>11780</v>
      </c>
      <c r="I2414" s="29">
        <v>39.799999999999997</v>
      </c>
      <c r="J2414" s="12" t="s">
        <v>31</v>
      </c>
      <c r="K2414" s="76">
        <f t="shared" si="174"/>
        <v>39.799999999999997</v>
      </c>
      <c r="L2414">
        <v>1</v>
      </c>
      <c r="M2414" s="29">
        <v>0</v>
      </c>
      <c r="N2414" t="s">
        <v>42</v>
      </c>
      <c r="O2414" t="s">
        <v>33</v>
      </c>
      <c r="P2414" t="s">
        <v>34</v>
      </c>
      <c r="Q2414" t="s">
        <v>34</v>
      </c>
      <c r="R2414" t="s">
        <v>34</v>
      </c>
      <c r="S2414" t="s">
        <v>34</v>
      </c>
      <c r="T2414" s="117">
        <v>0</v>
      </c>
    </row>
    <row r="2415" spans="1:21" x14ac:dyDescent="0.35">
      <c r="A2415" t="s">
        <v>20</v>
      </c>
      <c r="B2415" t="s">
        <v>25</v>
      </c>
      <c r="C2415" s="1">
        <v>45631</v>
      </c>
      <c r="D2415">
        <f t="shared" si="171"/>
        <v>5</v>
      </c>
      <c r="E2415">
        <f t="shared" si="172"/>
        <v>12</v>
      </c>
      <c r="F2415">
        <f t="shared" si="173"/>
        <v>2024</v>
      </c>
      <c r="G2415" t="s">
        <v>696</v>
      </c>
      <c r="H2415" s="98">
        <v>11781</v>
      </c>
      <c r="I2415" s="29">
        <v>398</v>
      </c>
      <c r="J2415" s="12" t="s">
        <v>31</v>
      </c>
      <c r="K2415" s="76">
        <f t="shared" si="174"/>
        <v>398</v>
      </c>
      <c r="L2415">
        <v>1</v>
      </c>
      <c r="M2415" s="29">
        <v>0</v>
      </c>
      <c r="N2415" t="s">
        <v>42</v>
      </c>
      <c r="O2415" t="s">
        <v>33</v>
      </c>
      <c r="P2415" t="s">
        <v>34</v>
      </c>
      <c r="Q2415" t="s">
        <v>34</v>
      </c>
      <c r="R2415" t="s">
        <v>34</v>
      </c>
      <c r="S2415" t="s">
        <v>34</v>
      </c>
      <c r="T2415" s="117">
        <v>0</v>
      </c>
    </row>
    <row r="2416" spans="1:21" x14ac:dyDescent="0.35">
      <c r="A2416" t="s">
        <v>19</v>
      </c>
      <c r="B2416" t="s">
        <v>26</v>
      </c>
      <c r="C2416" s="1">
        <v>45631</v>
      </c>
      <c r="D2416">
        <f t="shared" si="171"/>
        <v>5</v>
      </c>
      <c r="E2416">
        <f t="shared" si="172"/>
        <v>12</v>
      </c>
      <c r="F2416">
        <f t="shared" si="173"/>
        <v>2024</v>
      </c>
      <c r="G2416" t="s">
        <v>73</v>
      </c>
      <c r="H2416" s="98">
        <v>11662</v>
      </c>
      <c r="I2416" s="29">
        <v>53297.599999999999</v>
      </c>
      <c r="J2416" s="12" t="s">
        <v>51</v>
      </c>
      <c r="K2416" s="76">
        <f t="shared" si="174"/>
        <v>56511.44528</v>
      </c>
      <c r="L2416">
        <v>1.0603</v>
      </c>
      <c r="M2416" s="29">
        <v>0</v>
      </c>
      <c r="N2416" t="s">
        <v>32</v>
      </c>
      <c r="O2416" t="s">
        <v>33</v>
      </c>
      <c r="P2416" t="s">
        <v>34</v>
      </c>
      <c r="Q2416" t="s">
        <v>34</v>
      </c>
      <c r="R2416" t="s">
        <v>34</v>
      </c>
      <c r="S2416" t="s">
        <v>34</v>
      </c>
      <c r="T2416" s="117">
        <v>0</v>
      </c>
      <c r="U2416" s="209" t="s">
        <v>94</v>
      </c>
    </row>
    <row r="2417" spans="1:21" x14ac:dyDescent="0.35">
      <c r="A2417" t="s">
        <v>19</v>
      </c>
      <c r="B2417" t="s">
        <v>26</v>
      </c>
      <c r="C2417" s="1">
        <v>45631</v>
      </c>
      <c r="D2417">
        <f t="shared" si="171"/>
        <v>5</v>
      </c>
      <c r="E2417">
        <f t="shared" si="172"/>
        <v>12</v>
      </c>
      <c r="F2417">
        <f t="shared" si="173"/>
        <v>2024</v>
      </c>
      <c r="G2417" t="s">
        <v>73</v>
      </c>
      <c r="H2417" s="98">
        <v>11724</v>
      </c>
      <c r="I2417" s="29">
        <v>90194.94</v>
      </c>
      <c r="J2417" s="12" t="s">
        <v>51</v>
      </c>
      <c r="K2417" s="76">
        <f t="shared" si="174"/>
        <v>95633.694882000011</v>
      </c>
      <c r="L2417">
        <v>1.0603</v>
      </c>
      <c r="M2417" s="29">
        <v>0</v>
      </c>
      <c r="N2417" t="s">
        <v>32</v>
      </c>
      <c r="O2417" t="s">
        <v>33</v>
      </c>
      <c r="P2417" t="s">
        <v>34</v>
      </c>
      <c r="Q2417" t="s">
        <v>34</v>
      </c>
      <c r="R2417" t="s">
        <v>34</v>
      </c>
      <c r="S2417" t="s">
        <v>34</v>
      </c>
      <c r="T2417" s="117">
        <v>0</v>
      </c>
      <c r="U2417" s="209" t="s">
        <v>94</v>
      </c>
    </row>
    <row r="2418" spans="1:21" x14ac:dyDescent="0.35">
      <c r="A2418" t="s">
        <v>19</v>
      </c>
      <c r="B2418" t="s">
        <v>26</v>
      </c>
      <c r="C2418" s="1">
        <v>45631</v>
      </c>
      <c r="D2418">
        <f t="shared" si="171"/>
        <v>5</v>
      </c>
      <c r="E2418">
        <f t="shared" si="172"/>
        <v>12</v>
      </c>
      <c r="F2418">
        <f t="shared" si="173"/>
        <v>2024</v>
      </c>
      <c r="G2418" t="s">
        <v>73</v>
      </c>
      <c r="H2418" s="98">
        <v>11725</v>
      </c>
      <c r="I2418" s="29">
        <v>106715.77</v>
      </c>
      <c r="J2418" s="12" t="s">
        <v>51</v>
      </c>
      <c r="K2418" s="76">
        <f t="shared" si="174"/>
        <v>113150.73093100001</v>
      </c>
      <c r="L2418">
        <v>1.0603</v>
      </c>
      <c r="M2418" s="29">
        <v>0</v>
      </c>
      <c r="N2418" t="s">
        <v>32</v>
      </c>
      <c r="O2418" t="s">
        <v>33</v>
      </c>
      <c r="P2418" t="s">
        <v>34</v>
      </c>
      <c r="Q2418" t="s">
        <v>34</v>
      </c>
      <c r="R2418" t="s">
        <v>34</v>
      </c>
      <c r="S2418" t="s">
        <v>34</v>
      </c>
      <c r="T2418" s="117">
        <v>0</v>
      </c>
      <c r="U2418" s="209" t="s">
        <v>94</v>
      </c>
    </row>
    <row r="2419" spans="1:21" x14ac:dyDescent="0.35">
      <c r="A2419" t="s">
        <v>19</v>
      </c>
      <c r="B2419" t="s">
        <v>26</v>
      </c>
      <c r="C2419" s="1">
        <v>45631</v>
      </c>
      <c r="D2419">
        <f t="shared" si="171"/>
        <v>5</v>
      </c>
      <c r="E2419">
        <f t="shared" si="172"/>
        <v>12</v>
      </c>
      <c r="F2419">
        <f t="shared" si="173"/>
        <v>2024</v>
      </c>
      <c r="G2419" t="s">
        <v>73</v>
      </c>
      <c r="H2419" s="98">
        <v>11728</v>
      </c>
      <c r="I2419" s="29">
        <v>72355.929999999993</v>
      </c>
      <c r="J2419" s="12" t="s">
        <v>51</v>
      </c>
      <c r="K2419" s="76">
        <f t="shared" si="174"/>
        <v>76718.992578999998</v>
      </c>
      <c r="L2419">
        <v>1.0603</v>
      </c>
      <c r="M2419" s="29">
        <v>0</v>
      </c>
      <c r="N2419" t="s">
        <v>32</v>
      </c>
      <c r="O2419" t="s">
        <v>33</v>
      </c>
      <c r="P2419" t="s">
        <v>34</v>
      </c>
      <c r="Q2419" t="s">
        <v>34</v>
      </c>
      <c r="R2419" t="s">
        <v>34</v>
      </c>
      <c r="S2419" t="s">
        <v>34</v>
      </c>
      <c r="T2419" s="117">
        <v>0</v>
      </c>
      <c r="U2419" s="209" t="s">
        <v>94</v>
      </c>
    </row>
    <row r="2420" spans="1:21" x14ac:dyDescent="0.35">
      <c r="A2420" t="s">
        <v>19</v>
      </c>
      <c r="B2420" t="s">
        <v>26</v>
      </c>
      <c r="C2420" s="1">
        <v>45631</v>
      </c>
      <c r="D2420">
        <f t="shared" si="171"/>
        <v>5</v>
      </c>
      <c r="E2420">
        <f t="shared" si="172"/>
        <v>12</v>
      </c>
      <c r="F2420">
        <f t="shared" si="173"/>
        <v>2024</v>
      </c>
      <c r="G2420" t="s">
        <v>73</v>
      </c>
      <c r="H2420" s="98">
        <v>11730</v>
      </c>
      <c r="I2420" s="29">
        <v>3830.51</v>
      </c>
      <c r="J2420" s="12" t="s">
        <v>51</v>
      </c>
      <c r="K2420" s="76">
        <f t="shared" si="174"/>
        <v>4061.4897530000003</v>
      </c>
      <c r="L2420">
        <v>1.0603</v>
      </c>
      <c r="M2420" s="29">
        <v>0</v>
      </c>
      <c r="N2420" t="s">
        <v>32</v>
      </c>
      <c r="O2420" t="s">
        <v>33</v>
      </c>
      <c r="P2420" t="s">
        <v>34</v>
      </c>
      <c r="Q2420" t="s">
        <v>34</v>
      </c>
      <c r="R2420" t="s">
        <v>34</v>
      </c>
      <c r="S2420" t="s">
        <v>34</v>
      </c>
      <c r="T2420" s="117">
        <v>0</v>
      </c>
      <c r="U2420" s="209" t="s">
        <v>94</v>
      </c>
    </row>
    <row r="2421" spans="1:21" x14ac:dyDescent="0.35">
      <c r="A2421" t="s">
        <v>19</v>
      </c>
      <c r="B2421" t="s">
        <v>26</v>
      </c>
      <c r="C2421" s="1">
        <v>45631</v>
      </c>
      <c r="D2421">
        <f t="shared" si="171"/>
        <v>5</v>
      </c>
      <c r="E2421">
        <f t="shared" si="172"/>
        <v>12</v>
      </c>
      <c r="F2421">
        <f t="shared" si="173"/>
        <v>2024</v>
      </c>
      <c r="G2421" t="s">
        <v>187</v>
      </c>
      <c r="H2421" s="98">
        <v>0</v>
      </c>
      <c r="I2421" s="29">
        <v>23396.5</v>
      </c>
      <c r="J2421" s="12" t="s">
        <v>51</v>
      </c>
      <c r="K2421" s="76">
        <f t="shared" si="174"/>
        <v>24807.308949999999</v>
      </c>
      <c r="L2421">
        <v>1.0603</v>
      </c>
      <c r="M2421" s="29">
        <v>0</v>
      </c>
      <c r="N2421" t="s">
        <v>32</v>
      </c>
      <c r="O2421" t="s">
        <v>33</v>
      </c>
      <c r="P2421" t="s">
        <v>34</v>
      </c>
      <c r="Q2421" t="s">
        <v>34</v>
      </c>
      <c r="R2421" t="s">
        <v>34</v>
      </c>
      <c r="S2421" t="s">
        <v>34</v>
      </c>
      <c r="T2421" s="117">
        <v>0</v>
      </c>
      <c r="U2421" s="209" t="s">
        <v>94</v>
      </c>
    </row>
    <row r="2422" spans="1:21" x14ac:dyDescent="0.35">
      <c r="A2422" t="s">
        <v>19</v>
      </c>
      <c r="B2422" t="s">
        <v>27</v>
      </c>
      <c r="C2422" s="1">
        <v>45635</v>
      </c>
      <c r="D2422">
        <f t="shared" si="171"/>
        <v>9</v>
      </c>
      <c r="E2422">
        <f t="shared" si="172"/>
        <v>12</v>
      </c>
      <c r="F2422">
        <f t="shared" si="173"/>
        <v>2024</v>
      </c>
      <c r="G2422" t="s">
        <v>100</v>
      </c>
      <c r="H2422" s="98">
        <v>11044</v>
      </c>
      <c r="I2422" s="29">
        <v>250000</v>
      </c>
      <c r="J2422" s="12" t="s">
        <v>31</v>
      </c>
      <c r="K2422" s="76">
        <f t="shared" si="174"/>
        <v>250000</v>
      </c>
      <c r="L2422">
        <v>1</v>
      </c>
      <c r="M2422" s="29">
        <v>0</v>
      </c>
      <c r="N2422" t="s">
        <v>32</v>
      </c>
      <c r="O2422" t="s">
        <v>33</v>
      </c>
      <c r="P2422" t="s">
        <v>34</v>
      </c>
      <c r="Q2422" t="s">
        <v>34</v>
      </c>
      <c r="R2422" t="s">
        <v>34</v>
      </c>
      <c r="S2422" t="s">
        <v>34</v>
      </c>
      <c r="T2422" s="117">
        <v>0</v>
      </c>
    </row>
    <row r="2423" spans="1:21" x14ac:dyDescent="0.35">
      <c r="A2423" t="s">
        <v>19</v>
      </c>
      <c r="B2423" t="s">
        <v>27</v>
      </c>
      <c r="C2423" s="1">
        <v>45635</v>
      </c>
      <c r="D2423">
        <f t="shared" si="171"/>
        <v>9</v>
      </c>
      <c r="E2423">
        <f t="shared" si="172"/>
        <v>12</v>
      </c>
      <c r="F2423">
        <f t="shared" si="173"/>
        <v>2024</v>
      </c>
      <c r="G2423" t="s">
        <v>100</v>
      </c>
      <c r="H2423" s="98">
        <v>11044</v>
      </c>
      <c r="I2423" s="29">
        <v>35980.839999999997</v>
      </c>
      <c r="J2423" s="12" t="s">
        <v>31</v>
      </c>
      <c r="K2423" s="76">
        <f t="shared" si="174"/>
        <v>35980.839999999997</v>
      </c>
      <c r="L2423">
        <v>1</v>
      </c>
      <c r="M2423" s="29">
        <v>0</v>
      </c>
      <c r="N2423" t="s">
        <v>32</v>
      </c>
      <c r="O2423" t="s">
        <v>33</v>
      </c>
      <c r="P2423" t="s">
        <v>34</v>
      </c>
      <c r="Q2423" t="s">
        <v>34</v>
      </c>
      <c r="R2423" t="s">
        <v>34</v>
      </c>
      <c r="S2423" t="s">
        <v>34</v>
      </c>
      <c r="T2423" s="117">
        <v>0</v>
      </c>
    </row>
    <row r="2424" spans="1:21" x14ac:dyDescent="0.35">
      <c r="A2424" t="s">
        <v>19</v>
      </c>
      <c r="B2424" t="s">
        <v>27</v>
      </c>
      <c r="C2424" s="1">
        <v>45635</v>
      </c>
      <c r="D2424">
        <f t="shared" si="171"/>
        <v>9</v>
      </c>
      <c r="E2424">
        <f t="shared" si="172"/>
        <v>12</v>
      </c>
      <c r="F2424">
        <f t="shared" si="173"/>
        <v>2024</v>
      </c>
      <c r="G2424" t="s">
        <v>100</v>
      </c>
      <c r="H2424" s="98">
        <v>11109</v>
      </c>
      <c r="I2424" s="29">
        <v>214019.16</v>
      </c>
      <c r="J2424" s="12" t="s">
        <v>31</v>
      </c>
      <c r="K2424" s="76">
        <f t="shared" si="174"/>
        <v>214019.16</v>
      </c>
      <c r="L2424">
        <v>1</v>
      </c>
      <c r="M2424" s="29">
        <v>0</v>
      </c>
      <c r="N2424" t="s">
        <v>32</v>
      </c>
      <c r="O2424" t="s">
        <v>33</v>
      </c>
      <c r="P2424" t="s">
        <v>34</v>
      </c>
      <c r="Q2424" t="s">
        <v>34</v>
      </c>
      <c r="R2424" t="s">
        <v>34</v>
      </c>
      <c r="S2424" t="s">
        <v>34</v>
      </c>
      <c r="T2424" s="117">
        <v>0</v>
      </c>
    </row>
    <row r="2425" spans="1:21" x14ac:dyDescent="0.35">
      <c r="A2425" t="s">
        <v>19</v>
      </c>
      <c r="B2425" t="s">
        <v>27</v>
      </c>
      <c r="C2425" s="1">
        <v>45636</v>
      </c>
      <c r="D2425">
        <f t="shared" si="171"/>
        <v>10</v>
      </c>
      <c r="E2425">
        <f t="shared" si="172"/>
        <v>12</v>
      </c>
      <c r="F2425">
        <f t="shared" si="173"/>
        <v>2024</v>
      </c>
      <c r="G2425" t="s">
        <v>100</v>
      </c>
      <c r="H2425" s="98">
        <v>11109</v>
      </c>
      <c r="I2425" s="29">
        <v>200000</v>
      </c>
      <c r="J2425" s="12" t="s">
        <v>31</v>
      </c>
      <c r="K2425" s="76">
        <f t="shared" si="174"/>
        <v>200000</v>
      </c>
      <c r="L2425">
        <v>1</v>
      </c>
      <c r="M2425" s="29">
        <v>0</v>
      </c>
      <c r="N2425" t="s">
        <v>32</v>
      </c>
      <c r="O2425" t="s">
        <v>33</v>
      </c>
      <c r="P2425" t="s">
        <v>34</v>
      </c>
      <c r="Q2425" t="s">
        <v>34</v>
      </c>
      <c r="R2425" t="s">
        <v>34</v>
      </c>
      <c r="S2425" t="s">
        <v>34</v>
      </c>
      <c r="T2425" s="117">
        <v>0</v>
      </c>
    </row>
    <row r="2426" spans="1:21" x14ac:dyDescent="0.35">
      <c r="A2426" t="s">
        <v>19</v>
      </c>
      <c r="B2426" t="s">
        <v>24</v>
      </c>
      <c r="C2426" s="1">
        <v>45637</v>
      </c>
      <c r="D2426">
        <f t="shared" si="171"/>
        <v>11</v>
      </c>
      <c r="E2426">
        <f t="shared" si="172"/>
        <v>12</v>
      </c>
      <c r="F2426">
        <f t="shared" si="173"/>
        <v>2024</v>
      </c>
      <c r="G2426" t="s">
        <v>35</v>
      </c>
      <c r="H2426" s="98">
        <v>10562</v>
      </c>
      <c r="I2426" s="29">
        <v>6511.05</v>
      </c>
      <c r="J2426" s="12" t="s">
        <v>31</v>
      </c>
      <c r="K2426" s="76">
        <f t="shared" si="174"/>
        <v>6511.05</v>
      </c>
      <c r="L2426">
        <v>1</v>
      </c>
      <c r="M2426" s="29">
        <v>0</v>
      </c>
      <c r="N2426" t="s">
        <v>32</v>
      </c>
      <c r="O2426" t="s">
        <v>33</v>
      </c>
      <c r="P2426" t="s">
        <v>34</v>
      </c>
      <c r="Q2426" t="s">
        <v>34</v>
      </c>
      <c r="R2426" t="s">
        <v>34</v>
      </c>
      <c r="S2426" t="s">
        <v>34</v>
      </c>
      <c r="T2426" s="117">
        <v>0</v>
      </c>
    </row>
    <row r="2427" spans="1:21" x14ac:dyDescent="0.35">
      <c r="A2427" t="s">
        <v>19</v>
      </c>
      <c r="B2427" t="s">
        <v>24</v>
      </c>
      <c r="C2427" s="1">
        <v>45637</v>
      </c>
      <c r="D2427">
        <f t="shared" si="171"/>
        <v>11</v>
      </c>
      <c r="E2427">
        <f t="shared" si="172"/>
        <v>12</v>
      </c>
      <c r="F2427">
        <f t="shared" si="173"/>
        <v>2024</v>
      </c>
      <c r="G2427" t="s">
        <v>35</v>
      </c>
      <c r="H2427" s="98">
        <v>11111</v>
      </c>
      <c r="I2427" s="90">
        <v>84</v>
      </c>
      <c r="J2427" s="12" t="s">
        <v>31</v>
      </c>
      <c r="K2427" s="76">
        <f t="shared" si="174"/>
        <v>84</v>
      </c>
      <c r="L2427">
        <v>1</v>
      </c>
      <c r="M2427" s="29">
        <v>0</v>
      </c>
      <c r="N2427" t="s">
        <v>32</v>
      </c>
      <c r="O2427" t="s">
        <v>33</v>
      </c>
      <c r="P2427" t="s">
        <v>34</v>
      </c>
      <c r="Q2427" t="s">
        <v>34</v>
      </c>
      <c r="R2427" t="s">
        <v>34</v>
      </c>
      <c r="S2427" t="s">
        <v>34</v>
      </c>
      <c r="T2427" s="117">
        <v>0</v>
      </c>
    </row>
    <row r="2428" spans="1:21" x14ac:dyDescent="0.35">
      <c r="A2428" t="s">
        <v>19</v>
      </c>
      <c r="B2428" t="s">
        <v>21</v>
      </c>
      <c r="C2428" s="1">
        <v>45637</v>
      </c>
      <c r="D2428">
        <f t="shared" si="171"/>
        <v>11</v>
      </c>
      <c r="E2428">
        <f t="shared" si="172"/>
        <v>12</v>
      </c>
      <c r="F2428">
        <f t="shared" si="173"/>
        <v>2024</v>
      </c>
      <c r="G2428" t="s">
        <v>36</v>
      </c>
      <c r="H2428" s="98">
        <v>11141</v>
      </c>
      <c r="I2428" s="29">
        <v>18701</v>
      </c>
      <c r="J2428" s="12" t="s">
        <v>31</v>
      </c>
      <c r="K2428" s="76">
        <f t="shared" si="174"/>
        <v>18701</v>
      </c>
      <c r="L2428">
        <v>1</v>
      </c>
      <c r="M2428" s="29">
        <v>0</v>
      </c>
      <c r="N2428" t="s">
        <v>32</v>
      </c>
      <c r="O2428" t="s">
        <v>33</v>
      </c>
      <c r="P2428" t="s">
        <v>34</v>
      </c>
      <c r="Q2428" t="s">
        <v>34</v>
      </c>
      <c r="R2428" t="s">
        <v>34</v>
      </c>
      <c r="S2428" t="s">
        <v>34</v>
      </c>
      <c r="T2428" s="117">
        <v>0</v>
      </c>
    </row>
    <row r="2429" spans="1:21" x14ac:dyDescent="0.35">
      <c r="A2429" t="s">
        <v>19</v>
      </c>
      <c r="B2429" t="s">
        <v>25</v>
      </c>
      <c r="C2429" s="1">
        <v>45637</v>
      </c>
      <c r="D2429">
        <f t="shared" si="171"/>
        <v>11</v>
      </c>
      <c r="E2429">
        <f t="shared" si="172"/>
        <v>12</v>
      </c>
      <c r="F2429">
        <f t="shared" si="173"/>
        <v>2024</v>
      </c>
      <c r="G2429" t="s">
        <v>36</v>
      </c>
      <c r="H2429" s="98">
        <v>10824</v>
      </c>
      <c r="I2429" s="29">
        <v>80637</v>
      </c>
      <c r="J2429" s="12" t="s">
        <v>31</v>
      </c>
      <c r="K2429" s="76">
        <f t="shared" si="174"/>
        <v>80637</v>
      </c>
      <c r="L2429">
        <v>1</v>
      </c>
      <c r="M2429" s="29">
        <v>0</v>
      </c>
      <c r="N2429" t="s">
        <v>32</v>
      </c>
      <c r="O2429" t="s">
        <v>33</v>
      </c>
      <c r="P2429" t="s">
        <v>34</v>
      </c>
      <c r="Q2429" t="s">
        <v>34</v>
      </c>
      <c r="R2429" t="s">
        <v>34</v>
      </c>
      <c r="S2429" t="s">
        <v>34</v>
      </c>
      <c r="T2429" s="117">
        <v>0</v>
      </c>
    </row>
    <row r="2430" spans="1:21" x14ac:dyDescent="0.35">
      <c r="A2430" t="s">
        <v>19</v>
      </c>
      <c r="B2430" t="s">
        <v>24</v>
      </c>
      <c r="C2430" s="1">
        <v>45637</v>
      </c>
      <c r="D2430">
        <f t="shared" si="171"/>
        <v>11</v>
      </c>
      <c r="E2430">
        <f t="shared" si="172"/>
        <v>12</v>
      </c>
      <c r="F2430">
        <f t="shared" si="173"/>
        <v>2024</v>
      </c>
      <c r="G2430" t="s">
        <v>36</v>
      </c>
      <c r="H2430" s="98">
        <v>11282</v>
      </c>
      <c r="I2430" s="29">
        <v>160.80000000000001</v>
      </c>
      <c r="J2430" s="12" t="s">
        <v>31</v>
      </c>
      <c r="K2430" s="76">
        <f t="shared" si="174"/>
        <v>160.80000000000001</v>
      </c>
      <c r="L2430">
        <v>1</v>
      </c>
      <c r="M2430" s="29">
        <v>0</v>
      </c>
      <c r="N2430" t="s">
        <v>32</v>
      </c>
      <c r="O2430" t="s">
        <v>33</v>
      </c>
      <c r="P2430" t="s">
        <v>34</v>
      </c>
      <c r="Q2430" t="s">
        <v>34</v>
      </c>
      <c r="R2430" t="s">
        <v>34</v>
      </c>
      <c r="S2430" t="s">
        <v>34</v>
      </c>
      <c r="T2430" s="117">
        <v>0</v>
      </c>
    </row>
    <row r="2431" spans="1:21" x14ac:dyDescent="0.35">
      <c r="A2431" t="s">
        <v>19</v>
      </c>
      <c r="B2431" t="s">
        <v>21</v>
      </c>
      <c r="C2431" s="1">
        <v>45637</v>
      </c>
      <c r="D2431">
        <f t="shared" si="171"/>
        <v>11</v>
      </c>
      <c r="E2431">
        <f t="shared" si="172"/>
        <v>12</v>
      </c>
      <c r="F2431">
        <f t="shared" si="173"/>
        <v>2024</v>
      </c>
      <c r="G2431" t="s">
        <v>36</v>
      </c>
      <c r="H2431" s="98">
        <v>11556</v>
      </c>
      <c r="I2431" s="29">
        <v>177.8</v>
      </c>
      <c r="J2431" s="12" t="s">
        <v>31</v>
      </c>
      <c r="K2431" s="76">
        <f t="shared" si="174"/>
        <v>177.8</v>
      </c>
      <c r="L2431">
        <v>1</v>
      </c>
      <c r="M2431" s="29">
        <v>0</v>
      </c>
      <c r="N2431" t="s">
        <v>32</v>
      </c>
      <c r="O2431" t="s">
        <v>33</v>
      </c>
      <c r="P2431" t="s">
        <v>34</v>
      </c>
      <c r="Q2431" t="s">
        <v>34</v>
      </c>
      <c r="R2431" t="s">
        <v>34</v>
      </c>
      <c r="S2431" t="s">
        <v>34</v>
      </c>
      <c r="T2431" s="117">
        <v>0</v>
      </c>
    </row>
    <row r="2432" spans="1:21" x14ac:dyDescent="0.35">
      <c r="A2432" t="s">
        <v>19</v>
      </c>
      <c r="B2432" t="s">
        <v>25</v>
      </c>
      <c r="C2432" s="1">
        <v>45637</v>
      </c>
      <c r="D2432">
        <f t="shared" si="171"/>
        <v>11</v>
      </c>
      <c r="E2432">
        <f t="shared" si="172"/>
        <v>12</v>
      </c>
      <c r="F2432">
        <f t="shared" si="173"/>
        <v>2024</v>
      </c>
      <c r="G2432" t="s">
        <v>38</v>
      </c>
      <c r="H2432" s="98">
        <v>11123</v>
      </c>
      <c r="I2432" s="29">
        <v>136.11000000000001</v>
      </c>
      <c r="J2432" s="12" t="s">
        <v>31</v>
      </c>
      <c r="K2432" s="76">
        <f t="shared" si="174"/>
        <v>136.11000000000001</v>
      </c>
      <c r="L2432">
        <v>1</v>
      </c>
      <c r="M2432" s="29">
        <v>0</v>
      </c>
      <c r="N2432" t="s">
        <v>32</v>
      </c>
      <c r="O2432" t="s">
        <v>33</v>
      </c>
      <c r="P2432" t="s">
        <v>34</v>
      </c>
      <c r="Q2432" t="s">
        <v>34</v>
      </c>
      <c r="R2432" t="s">
        <v>34</v>
      </c>
      <c r="S2432" t="s">
        <v>34</v>
      </c>
      <c r="T2432" s="117">
        <v>0</v>
      </c>
    </row>
    <row r="2433" spans="1:21" x14ac:dyDescent="0.35">
      <c r="A2433" t="s">
        <v>19</v>
      </c>
      <c r="B2433" t="s">
        <v>25</v>
      </c>
      <c r="C2433" s="1">
        <v>45637</v>
      </c>
      <c r="D2433">
        <f t="shared" si="171"/>
        <v>11</v>
      </c>
      <c r="E2433">
        <f t="shared" si="172"/>
        <v>12</v>
      </c>
      <c r="F2433">
        <f t="shared" si="173"/>
        <v>2024</v>
      </c>
      <c r="G2433" t="s">
        <v>38</v>
      </c>
      <c r="H2433" s="98">
        <v>11700</v>
      </c>
      <c r="I2433" s="29">
        <v>272.22000000000003</v>
      </c>
      <c r="J2433" s="12" t="s">
        <v>31</v>
      </c>
      <c r="K2433" s="76">
        <f t="shared" ref="K2433:K2442" si="175">IF(J2433="USD",I2433,I2433*L2433)</f>
        <v>272.22000000000003</v>
      </c>
      <c r="L2433">
        <v>1</v>
      </c>
      <c r="M2433" s="29">
        <v>0</v>
      </c>
      <c r="N2433" t="s">
        <v>32</v>
      </c>
      <c r="O2433" t="s">
        <v>33</v>
      </c>
      <c r="P2433" t="s">
        <v>34</v>
      </c>
      <c r="Q2433" t="s">
        <v>34</v>
      </c>
      <c r="R2433" t="s">
        <v>34</v>
      </c>
      <c r="S2433" t="s">
        <v>34</v>
      </c>
      <c r="T2433" s="117">
        <v>0</v>
      </c>
    </row>
    <row r="2434" spans="1:21" x14ac:dyDescent="0.35">
      <c r="A2434" t="s">
        <v>19</v>
      </c>
      <c r="B2434" t="s">
        <v>25</v>
      </c>
      <c r="C2434" s="1">
        <v>45637</v>
      </c>
      <c r="D2434">
        <f t="shared" si="171"/>
        <v>11</v>
      </c>
      <c r="E2434">
        <f t="shared" si="172"/>
        <v>12</v>
      </c>
      <c r="F2434">
        <f t="shared" si="173"/>
        <v>2024</v>
      </c>
      <c r="G2434" t="s">
        <v>93</v>
      </c>
      <c r="H2434" s="98">
        <v>11114</v>
      </c>
      <c r="I2434" s="29">
        <v>270</v>
      </c>
      <c r="J2434" s="12" t="s">
        <v>31</v>
      </c>
      <c r="K2434" s="76">
        <f t="shared" si="175"/>
        <v>270</v>
      </c>
      <c r="L2434">
        <v>1</v>
      </c>
      <c r="M2434" s="29">
        <v>0</v>
      </c>
      <c r="N2434" t="s">
        <v>32</v>
      </c>
      <c r="O2434" t="s">
        <v>33</v>
      </c>
      <c r="P2434" t="s">
        <v>34</v>
      </c>
      <c r="Q2434" t="s">
        <v>34</v>
      </c>
      <c r="R2434" t="s">
        <v>34</v>
      </c>
      <c r="S2434" t="s">
        <v>34</v>
      </c>
      <c r="T2434" s="117">
        <v>0</v>
      </c>
    </row>
    <row r="2435" spans="1:21" x14ac:dyDescent="0.35">
      <c r="A2435" t="s">
        <v>19</v>
      </c>
      <c r="B2435" t="s">
        <v>25</v>
      </c>
      <c r="C2435" s="1">
        <v>45637</v>
      </c>
      <c r="D2435">
        <f t="shared" ref="D2435:D2498" si="176">DAY(C2435)</f>
        <v>11</v>
      </c>
      <c r="E2435">
        <f t="shared" ref="E2435:E2498" si="177">MONTH(C2435)</f>
        <v>12</v>
      </c>
      <c r="F2435">
        <f t="shared" ref="F2435:F2498" si="178">YEAR(C2435)</f>
        <v>2024</v>
      </c>
      <c r="G2435" t="s">
        <v>93</v>
      </c>
      <c r="H2435" s="98">
        <v>11170</v>
      </c>
      <c r="I2435" s="29">
        <v>93.5</v>
      </c>
      <c r="J2435" s="12" t="s">
        <v>31</v>
      </c>
      <c r="K2435" s="76">
        <f t="shared" si="175"/>
        <v>93.5</v>
      </c>
      <c r="L2435">
        <v>1</v>
      </c>
      <c r="M2435" s="29">
        <v>0</v>
      </c>
      <c r="N2435" t="s">
        <v>32</v>
      </c>
      <c r="O2435" t="s">
        <v>33</v>
      </c>
      <c r="P2435" t="s">
        <v>34</v>
      </c>
      <c r="Q2435" t="s">
        <v>34</v>
      </c>
      <c r="R2435" t="s">
        <v>34</v>
      </c>
      <c r="S2435" t="s">
        <v>34</v>
      </c>
      <c r="T2435" s="117">
        <v>0</v>
      </c>
    </row>
    <row r="2436" spans="1:21" x14ac:dyDescent="0.35">
      <c r="A2436" t="s">
        <v>19</v>
      </c>
      <c r="B2436" t="s">
        <v>25</v>
      </c>
      <c r="C2436" s="1">
        <v>45637</v>
      </c>
      <c r="D2436">
        <f t="shared" si="176"/>
        <v>11</v>
      </c>
      <c r="E2436">
        <f t="shared" si="177"/>
        <v>12</v>
      </c>
      <c r="F2436">
        <f t="shared" si="178"/>
        <v>2024</v>
      </c>
      <c r="G2436" t="s">
        <v>93</v>
      </c>
      <c r="H2436" s="171">
        <v>11669</v>
      </c>
      <c r="I2436" s="90">
        <v>315</v>
      </c>
      <c r="J2436" s="12" t="s">
        <v>31</v>
      </c>
      <c r="K2436" s="76">
        <f t="shared" si="175"/>
        <v>315</v>
      </c>
      <c r="L2436">
        <v>1</v>
      </c>
      <c r="M2436" s="29">
        <v>0</v>
      </c>
      <c r="N2436" t="s">
        <v>32</v>
      </c>
      <c r="O2436" t="s">
        <v>33</v>
      </c>
      <c r="P2436" t="s">
        <v>34</v>
      </c>
      <c r="Q2436" t="s">
        <v>34</v>
      </c>
      <c r="R2436" t="s">
        <v>34</v>
      </c>
      <c r="S2436" t="s">
        <v>34</v>
      </c>
      <c r="T2436" s="117">
        <v>0</v>
      </c>
    </row>
    <row r="2437" spans="1:21" x14ac:dyDescent="0.35">
      <c r="A2437" t="s">
        <v>19</v>
      </c>
      <c r="B2437" t="s">
        <v>25</v>
      </c>
      <c r="C2437" s="1">
        <v>45637</v>
      </c>
      <c r="D2437">
        <f t="shared" si="176"/>
        <v>11</v>
      </c>
      <c r="E2437">
        <f t="shared" si="177"/>
        <v>12</v>
      </c>
      <c r="F2437">
        <f t="shared" si="178"/>
        <v>2024</v>
      </c>
      <c r="G2437" t="s">
        <v>93</v>
      </c>
      <c r="H2437" s="171">
        <v>11758</v>
      </c>
      <c r="I2437" s="90">
        <v>187</v>
      </c>
      <c r="J2437" s="12" t="s">
        <v>31</v>
      </c>
      <c r="K2437" s="76">
        <f t="shared" si="175"/>
        <v>187</v>
      </c>
      <c r="L2437">
        <v>1</v>
      </c>
      <c r="M2437" s="29">
        <v>0</v>
      </c>
      <c r="N2437" t="s">
        <v>32</v>
      </c>
      <c r="O2437" t="s">
        <v>33</v>
      </c>
      <c r="P2437" t="s">
        <v>34</v>
      </c>
      <c r="Q2437" t="s">
        <v>34</v>
      </c>
      <c r="R2437" t="s">
        <v>34</v>
      </c>
      <c r="S2437" t="s">
        <v>34</v>
      </c>
      <c r="T2437" s="117">
        <v>0</v>
      </c>
    </row>
    <row r="2438" spans="1:21" x14ac:dyDescent="0.35">
      <c r="A2438" t="s">
        <v>19</v>
      </c>
      <c r="B2438" t="s">
        <v>25</v>
      </c>
      <c r="C2438" s="1">
        <v>45637</v>
      </c>
      <c r="D2438">
        <f t="shared" si="176"/>
        <v>11</v>
      </c>
      <c r="E2438">
        <f t="shared" si="177"/>
        <v>12</v>
      </c>
      <c r="F2438">
        <f t="shared" si="178"/>
        <v>2024</v>
      </c>
      <c r="G2438" t="s">
        <v>39</v>
      </c>
      <c r="H2438" s="98">
        <v>11529</v>
      </c>
      <c r="I2438" s="29">
        <v>32.94</v>
      </c>
      <c r="J2438" s="12" t="s">
        <v>31</v>
      </c>
      <c r="K2438" s="76">
        <f t="shared" si="175"/>
        <v>32.94</v>
      </c>
      <c r="L2438">
        <v>1</v>
      </c>
      <c r="M2438" s="29">
        <v>0</v>
      </c>
      <c r="N2438" t="s">
        <v>32</v>
      </c>
      <c r="O2438" t="s">
        <v>33</v>
      </c>
      <c r="P2438" t="s">
        <v>34</v>
      </c>
      <c r="Q2438" t="s">
        <v>34</v>
      </c>
      <c r="R2438" t="s">
        <v>34</v>
      </c>
      <c r="S2438" t="s">
        <v>34</v>
      </c>
      <c r="T2438" s="117">
        <v>0</v>
      </c>
    </row>
    <row r="2439" spans="1:21" x14ac:dyDescent="0.35">
      <c r="A2439" t="s">
        <v>19</v>
      </c>
      <c r="B2439" t="s">
        <v>24</v>
      </c>
      <c r="C2439" s="1">
        <v>45637</v>
      </c>
      <c r="D2439">
        <f t="shared" si="176"/>
        <v>11</v>
      </c>
      <c r="E2439">
        <f t="shared" si="177"/>
        <v>12</v>
      </c>
      <c r="F2439">
        <f t="shared" si="178"/>
        <v>2024</v>
      </c>
      <c r="G2439" t="s">
        <v>39</v>
      </c>
      <c r="H2439" s="98">
        <v>11503</v>
      </c>
      <c r="I2439" s="29">
        <v>37.6</v>
      </c>
      <c r="J2439" s="12" t="s">
        <v>31</v>
      </c>
      <c r="K2439" s="76">
        <f t="shared" si="175"/>
        <v>37.6</v>
      </c>
      <c r="L2439">
        <v>1</v>
      </c>
      <c r="M2439" s="29">
        <v>0</v>
      </c>
      <c r="N2439" t="s">
        <v>32</v>
      </c>
      <c r="O2439" t="s">
        <v>33</v>
      </c>
      <c r="P2439" t="s">
        <v>34</v>
      </c>
      <c r="Q2439" t="s">
        <v>34</v>
      </c>
      <c r="R2439" t="s">
        <v>34</v>
      </c>
      <c r="S2439" t="s">
        <v>34</v>
      </c>
      <c r="T2439" s="117">
        <v>0</v>
      </c>
    </row>
    <row r="2440" spans="1:21" x14ac:dyDescent="0.35">
      <c r="A2440" t="s">
        <v>19</v>
      </c>
      <c r="B2440" t="s">
        <v>25</v>
      </c>
      <c r="C2440" s="1">
        <v>45637</v>
      </c>
      <c r="D2440">
        <f t="shared" si="176"/>
        <v>11</v>
      </c>
      <c r="E2440">
        <f t="shared" si="177"/>
        <v>12</v>
      </c>
      <c r="F2440">
        <f t="shared" si="178"/>
        <v>2024</v>
      </c>
      <c r="G2440" t="s">
        <v>39</v>
      </c>
      <c r="H2440" s="98">
        <v>11228</v>
      </c>
      <c r="I2440" s="29">
        <v>23803.4</v>
      </c>
      <c r="J2440" s="12" t="s">
        <v>31</v>
      </c>
      <c r="K2440" s="76">
        <f t="shared" si="175"/>
        <v>23803.4</v>
      </c>
      <c r="L2440">
        <v>1</v>
      </c>
      <c r="M2440" s="29">
        <v>0</v>
      </c>
      <c r="N2440" t="s">
        <v>32</v>
      </c>
      <c r="O2440" t="s">
        <v>33</v>
      </c>
      <c r="P2440" t="s">
        <v>34</v>
      </c>
      <c r="Q2440" t="s">
        <v>34</v>
      </c>
      <c r="R2440" t="s">
        <v>34</v>
      </c>
      <c r="S2440" t="s">
        <v>34</v>
      </c>
      <c r="T2440" s="117">
        <v>0</v>
      </c>
    </row>
    <row r="2441" spans="1:21" x14ac:dyDescent="0.35">
      <c r="A2441" t="s">
        <v>19</v>
      </c>
      <c r="B2441" t="s">
        <v>25</v>
      </c>
      <c r="C2441" s="1">
        <v>45637</v>
      </c>
      <c r="D2441">
        <f t="shared" si="176"/>
        <v>11</v>
      </c>
      <c r="E2441">
        <f t="shared" si="177"/>
        <v>12</v>
      </c>
      <c r="F2441">
        <f t="shared" si="178"/>
        <v>2024</v>
      </c>
      <c r="G2441" t="s">
        <v>351</v>
      </c>
      <c r="H2441" s="98">
        <v>10966</v>
      </c>
      <c r="I2441" s="29">
        <v>2150</v>
      </c>
      <c r="J2441" s="12" t="s">
        <v>31</v>
      </c>
      <c r="K2441" s="76">
        <f t="shared" si="175"/>
        <v>2150</v>
      </c>
      <c r="L2441">
        <v>1</v>
      </c>
      <c r="M2441" s="29">
        <v>0</v>
      </c>
      <c r="N2441" t="s">
        <v>32</v>
      </c>
      <c r="O2441" t="s">
        <v>33</v>
      </c>
      <c r="P2441" t="s">
        <v>34</v>
      </c>
      <c r="Q2441" t="s">
        <v>34</v>
      </c>
      <c r="R2441" t="s">
        <v>34</v>
      </c>
      <c r="S2441" t="s">
        <v>34</v>
      </c>
      <c r="T2441" s="117">
        <v>0</v>
      </c>
    </row>
    <row r="2442" spans="1:21" x14ac:dyDescent="0.35">
      <c r="A2442" t="s">
        <v>19</v>
      </c>
      <c r="B2442" t="s">
        <v>21</v>
      </c>
      <c r="C2442" s="1">
        <v>45637</v>
      </c>
      <c r="D2442">
        <f t="shared" si="176"/>
        <v>11</v>
      </c>
      <c r="E2442">
        <f t="shared" si="177"/>
        <v>12</v>
      </c>
      <c r="F2442">
        <f t="shared" si="178"/>
        <v>2024</v>
      </c>
      <c r="G2442" t="s">
        <v>40</v>
      </c>
      <c r="H2442" s="98">
        <v>11675</v>
      </c>
      <c r="I2442" s="29">
        <v>19195.3</v>
      </c>
      <c r="J2442" s="12" t="s">
        <v>31</v>
      </c>
      <c r="K2442" s="76">
        <f t="shared" si="175"/>
        <v>19195.3</v>
      </c>
      <c r="L2442">
        <v>1</v>
      </c>
      <c r="M2442" s="29">
        <v>0</v>
      </c>
      <c r="N2442" t="s">
        <v>32</v>
      </c>
      <c r="O2442" t="s">
        <v>33</v>
      </c>
      <c r="P2442" t="s">
        <v>34</v>
      </c>
      <c r="Q2442" t="s">
        <v>34</v>
      </c>
      <c r="R2442" t="s">
        <v>34</v>
      </c>
      <c r="S2442" t="s">
        <v>34</v>
      </c>
      <c r="T2442" s="117">
        <v>0</v>
      </c>
    </row>
    <row r="2443" spans="1:21" x14ac:dyDescent="0.35">
      <c r="A2443" t="s">
        <v>19</v>
      </c>
      <c r="B2443" t="s">
        <v>25</v>
      </c>
      <c r="C2443" s="1">
        <v>45637</v>
      </c>
      <c r="D2443">
        <f t="shared" si="176"/>
        <v>11</v>
      </c>
      <c r="E2443">
        <f t="shared" si="177"/>
        <v>12</v>
      </c>
      <c r="F2443">
        <f t="shared" si="178"/>
        <v>2024</v>
      </c>
      <c r="G2443" t="s">
        <v>1146</v>
      </c>
      <c r="H2443" s="98">
        <v>11400</v>
      </c>
      <c r="I2443" s="29">
        <v>110061.87</v>
      </c>
      <c r="J2443" s="12" t="s">
        <v>51</v>
      </c>
      <c r="K2443" s="76">
        <f>IF(J2443="USD",I2443,I2443*L2443)-0.01</f>
        <v>115906.145297</v>
      </c>
      <c r="L2443">
        <v>1.0530999999999999</v>
      </c>
      <c r="M2443" s="29">
        <v>0</v>
      </c>
      <c r="N2443" t="s">
        <v>42</v>
      </c>
      <c r="O2443" t="s">
        <v>33</v>
      </c>
      <c r="P2443" t="s">
        <v>34</v>
      </c>
      <c r="Q2443" t="s">
        <v>34</v>
      </c>
      <c r="R2443" t="s">
        <v>34</v>
      </c>
      <c r="S2443" t="s">
        <v>34</v>
      </c>
      <c r="T2443" s="117">
        <v>0</v>
      </c>
      <c r="U2443" s="209" t="s">
        <v>94</v>
      </c>
    </row>
    <row r="2444" spans="1:21" x14ac:dyDescent="0.35">
      <c r="A2444" t="s">
        <v>19</v>
      </c>
      <c r="B2444" t="s">
        <v>25</v>
      </c>
      <c r="C2444" s="1">
        <v>45637</v>
      </c>
      <c r="D2444">
        <f t="shared" si="176"/>
        <v>11</v>
      </c>
      <c r="E2444">
        <f t="shared" si="177"/>
        <v>12</v>
      </c>
      <c r="F2444">
        <f t="shared" si="178"/>
        <v>2024</v>
      </c>
      <c r="G2444" t="s">
        <v>80</v>
      </c>
      <c r="H2444" s="98">
        <v>12006</v>
      </c>
      <c r="I2444" s="29">
        <v>3270</v>
      </c>
      <c r="J2444" s="12" t="s">
        <v>31</v>
      </c>
      <c r="K2444" s="76">
        <f t="shared" ref="K2444:K2475" si="179">IF(J2444="USD",I2444,I2444*L2444)</f>
        <v>3270</v>
      </c>
      <c r="L2444">
        <v>1</v>
      </c>
      <c r="M2444" s="29">
        <v>0</v>
      </c>
      <c r="N2444" t="s">
        <v>42</v>
      </c>
      <c r="O2444" t="s">
        <v>33</v>
      </c>
      <c r="P2444" t="s">
        <v>34</v>
      </c>
      <c r="Q2444" t="s">
        <v>34</v>
      </c>
      <c r="R2444" t="s">
        <v>34</v>
      </c>
      <c r="S2444" t="s">
        <v>34</v>
      </c>
      <c r="T2444" s="117">
        <v>0</v>
      </c>
      <c r="U2444" s="209" t="s">
        <v>850</v>
      </c>
    </row>
    <row r="2445" spans="1:21" x14ac:dyDescent="0.35">
      <c r="A2445" t="s">
        <v>19</v>
      </c>
      <c r="B2445" t="s">
        <v>21</v>
      </c>
      <c r="C2445" s="1">
        <v>45637</v>
      </c>
      <c r="D2445">
        <f t="shared" si="176"/>
        <v>11</v>
      </c>
      <c r="E2445">
        <f t="shared" si="177"/>
        <v>12</v>
      </c>
      <c r="F2445">
        <f t="shared" si="178"/>
        <v>2024</v>
      </c>
      <c r="G2445" t="s">
        <v>92</v>
      </c>
      <c r="H2445" s="98">
        <v>11808</v>
      </c>
      <c r="I2445" s="29">
        <v>9.9</v>
      </c>
      <c r="J2445" s="12" t="s">
        <v>31</v>
      </c>
      <c r="K2445" s="76">
        <f t="shared" si="179"/>
        <v>9.9</v>
      </c>
      <c r="L2445">
        <v>1</v>
      </c>
      <c r="M2445" s="29">
        <v>0</v>
      </c>
      <c r="N2445" t="s">
        <v>42</v>
      </c>
      <c r="O2445" t="s">
        <v>33</v>
      </c>
      <c r="P2445" t="s">
        <v>34</v>
      </c>
      <c r="Q2445" t="s">
        <v>34</v>
      </c>
      <c r="R2445" t="s">
        <v>34</v>
      </c>
      <c r="S2445" t="s">
        <v>34</v>
      </c>
      <c r="T2445" s="117">
        <v>0</v>
      </c>
    </row>
    <row r="2446" spans="1:21" x14ac:dyDescent="0.35">
      <c r="A2446" t="s">
        <v>19</v>
      </c>
      <c r="B2446" t="s">
        <v>21</v>
      </c>
      <c r="C2446" s="1">
        <v>45637</v>
      </c>
      <c r="D2446">
        <f t="shared" si="176"/>
        <v>11</v>
      </c>
      <c r="E2446">
        <f t="shared" si="177"/>
        <v>12</v>
      </c>
      <c r="F2446">
        <f t="shared" si="178"/>
        <v>2024</v>
      </c>
      <c r="G2446" t="s">
        <v>92</v>
      </c>
      <c r="H2446" s="98">
        <v>11811</v>
      </c>
      <c r="I2446" s="29">
        <v>2880.9</v>
      </c>
      <c r="J2446" s="12" t="s">
        <v>31</v>
      </c>
      <c r="K2446" s="76">
        <f t="shared" si="179"/>
        <v>2880.9</v>
      </c>
      <c r="L2446">
        <v>1</v>
      </c>
      <c r="M2446" s="29">
        <v>0</v>
      </c>
      <c r="N2446" t="s">
        <v>42</v>
      </c>
      <c r="O2446" t="s">
        <v>33</v>
      </c>
      <c r="P2446" t="s">
        <v>34</v>
      </c>
      <c r="Q2446" t="s">
        <v>34</v>
      </c>
      <c r="R2446" t="s">
        <v>34</v>
      </c>
      <c r="S2446" t="s">
        <v>34</v>
      </c>
      <c r="T2446" s="117">
        <v>0</v>
      </c>
    </row>
    <row r="2447" spans="1:21" x14ac:dyDescent="0.35">
      <c r="A2447" t="s">
        <v>20</v>
      </c>
      <c r="B2447" t="s">
        <v>25</v>
      </c>
      <c r="C2447" s="1">
        <v>45637</v>
      </c>
      <c r="D2447">
        <f t="shared" si="176"/>
        <v>11</v>
      </c>
      <c r="E2447">
        <f t="shared" si="177"/>
        <v>12</v>
      </c>
      <c r="F2447">
        <f t="shared" si="178"/>
        <v>2024</v>
      </c>
      <c r="G2447" t="s">
        <v>95</v>
      </c>
      <c r="H2447" s="98">
        <v>11234</v>
      </c>
      <c r="I2447" s="29">
        <v>90</v>
      </c>
      <c r="J2447" s="12" t="s">
        <v>31</v>
      </c>
      <c r="K2447" s="76">
        <f t="shared" si="179"/>
        <v>90</v>
      </c>
      <c r="L2447">
        <v>1</v>
      </c>
      <c r="M2447" s="29">
        <v>0</v>
      </c>
      <c r="N2447" t="s">
        <v>32</v>
      </c>
      <c r="O2447" t="s">
        <v>33</v>
      </c>
      <c r="P2447" t="s">
        <v>34</v>
      </c>
      <c r="Q2447" t="s">
        <v>34</v>
      </c>
      <c r="R2447" t="s">
        <v>34</v>
      </c>
      <c r="S2447" t="s">
        <v>34</v>
      </c>
      <c r="T2447" s="117">
        <v>0</v>
      </c>
    </row>
    <row r="2448" spans="1:21" x14ac:dyDescent="0.35">
      <c r="A2448" t="s">
        <v>20</v>
      </c>
      <c r="B2448" t="s">
        <v>25</v>
      </c>
      <c r="C2448" s="1">
        <v>45637</v>
      </c>
      <c r="D2448">
        <f t="shared" si="176"/>
        <v>11</v>
      </c>
      <c r="E2448">
        <f t="shared" si="177"/>
        <v>12</v>
      </c>
      <c r="F2448">
        <f t="shared" si="178"/>
        <v>2024</v>
      </c>
      <c r="G2448" t="s">
        <v>99</v>
      </c>
      <c r="H2448" s="98">
        <v>11316</v>
      </c>
      <c r="I2448" s="29">
        <v>3410.52</v>
      </c>
      <c r="J2448" s="12" t="s">
        <v>31</v>
      </c>
      <c r="K2448" s="76">
        <f t="shared" si="179"/>
        <v>3410.52</v>
      </c>
      <c r="L2448">
        <v>1</v>
      </c>
      <c r="M2448" s="29">
        <v>0</v>
      </c>
      <c r="N2448" t="s">
        <v>32</v>
      </c>
      <c r="O2448" t="s">
        <v>33</v>
      </c>
      <c r="P2448" t="s">
        <v>34</v>
      </c>
      <c r="Q2448" t="s">
        <v>34</v>
      </c>
      <c r="R2448" t="s">
        <v>34</v>
      </c>
      <c r="S2448" t="s">
        <v>34</v>
      </c>
      <c r="T2448" s="117">
        <v>0</v>
      </c>
    </row>
    <row r="2449" spans="1:21" x14ac:dyDescent="0.35">
      <c r="A2449" t="s">
        <v>20</v>
      </c>
      <c r="B2449" t="s">
        <v>24</v>
      </c>
      <c r="C2449" s="1">
        <v>45637</v>
      </c>
      <c r="D2449">
        <f t="shared" si="176"/>
        <v>11</v>
      </c>
      <c r="E2449">
        <f t="shared" si="177"/>
        <v>12</v>
      </c>
      <c r="F2449">
        <f t="shared" si="178"/>
        <v>2024</v>
      </c>
      <c r="G2449" t="s">
        <v>209</v>
      </c>
      <c r="H2449" s="98">
        <v>10806</v>
      </c>
      <c r="I2449" s="29">
        <v>15987.92</v>
      </c>
      <c r="J2449" s="12" t="s">
        <v>31</v>
      </c>
      <c r="K2449" s="76">
        <f t="shared" si="179"/>
        <v>15987.92</v>
      </c>
      <c r="L2449">
        <v>1</v>
      </c>
      <c r="M2449" s="29">
        <v>0</v>
      </c>
      <c r="N2449" t="s">
        <v>32</v>
      </c>
      <c r="O2449" t="s">
        <v>33</v>
      </c>
      <c r="P2449" t="s">
        <v>34</v>
      </c>
      <c r="Q2449" t="s">
        <v>34</v>
      </c>
      <c r="R2449" t="s">
        <v>34</v>
      </c>
      <c r="S2449" t="s">
        <v>34</v>
      </c>
      <c r="T2449" s="117">
        <v>0</v>
      </c>
    </row>
    <row r="2450" spans="1:21" x14ac:dyDescent="0.35">
      <c r="A2450" t="s">
        <v>20</v>
      </c>
      <c r="B2450" t="s">
        <v>25</v>
      </c>
      <c r="C2450" s="1">
        <v>45637</v>
      </c>
      <c r="D2450">
        <f t="shared" si="176"/>
        <v>11</v>
      </c>
      <c r="E2450">
        <f t="shared" si="177"/>
        <v>12</v>
      </c>
      <c r="F2450">
        <f t="shared" si="178"/>
        <v>2024</v>
      </c>
      <c r="G2450" t="s">
        <v>209</v>
      </c>
      <c r="H2450" s="98">
        <v>11055</v>
      </c>
      <c r="I2450" s="29">
        <v>259.99</v>
      </c>
      <c r="J2450" s="12" t="s">
        <v>31</v>
      </c>
      <c r="K2450" s="76">
        <f t="shared" si="179"/>
        <v>259.99</v>
      </c>
      <c r="L2450">
        <v>1</v>
      </c>
      <c r="M2450" s="29">
        <v>0</v>
      </c>
      <c r="N2450" t="s">
        <v>32</v>
      </c>
      <c r="O2450" t="s">
        <v>33</v>
      </c>
      <c r="P2450" t="s">
        <v>34</v>
      </c>
      <c r="Q2450" t="s">
        <v>34</v>
      </c>
      <c r="R2450" t="s">
        <v>34</v>
      </c>
      <c r="S2450" t="s">
        <v>34</v>
      </c>
      <c r="T2450" s="117">
        <v>0</v>
      </c>
    </row>
    <row r="2451" spans="1:21" x14ac:dyDescent="0.35">
      <c r="A2451" t="s">
        <v>20</v>
      </c>
      <c r="B2451" t="s">
        <v>25</v>
      </c>
      <c r="C2451" s="1">
        <v>45637</v>
      </c>
      <c r="D2451">
        <f t="shared" si="176"/>
        <v>11</v>
      </c>
      <c r="E2451">
        <f t="shared" si="177"/>
        <v>12</v>
      </c>
      <c r="F2451">
        <f t="shared" si="178"/>
        <v>2024</v>
      </c>
      <c r="G2451" t="s">
        <v>209</v>
      </c>
      <c r="H2451" s="98">
        <v>11056</v>
      </c>
      <c r="I2451" s="29">
        <v>11373.79</v>
      </c>
      <c r="J2451" s="12" t="s">
        <v>31</v>
      </c>
      <c r="K2451" s="76">
        <f t="shared" si="179"/>
        <v>11373.79</v>
      </c>
      <c r="L2451">
        <v>1</v>
      </c>
      <c r="M2451" s="29">
        <v>0</v>
      </c>
      <c r="N2451" t="s">
        <v>32</v>
      </c>
      <c r="O2451" t="s">
        <v>33</v>
      </c>
      <c r="P2451" t="s">
        <v>34</v>
      </c>
      <c r="Q2451" t="s">
        <v>34</v>
      </c>
      <c r="R2451" t="s">
        <v>34</v>
      </c>
      <c r="S2451" t="s">
        <v>34</v>
      </c>
      <c r="T2451" s="117">
        <v>3563.21</v>
      </c>
    </row>
    <row r="2452" spans="1:21" x14ac:dyDescent="0.35">
      <c r="A2452" t="s">
        <v>20</v>
      </c>
      <c r="B2452" t="s">
        <v>25</v>
      </c>
      <c r="C2452" s="1">
        <v>45637</v>
      </c>
      <c r="D2452">
        <f t="shared" si="176"/>
        <v>11</v>
      </c>
      <c r="E2452">
        <f t="shared" si="177"/>
        <v>12</v>
      </c>
      <c r="F2452">
        <f t="shared" si="178"/>
        <v>2024</v>
      </c>
      <c r="G2452" t="s">
        <v>84</v>
      </c>
      <c r="H2452" s="98">
        <v>11039</v>
      </c>
      <c r="I2452" s="29">
        <v>19077</v>
      </c>
      <c r="J2452" s="12" t="s">
        <v>31</v>
      </c>
      <c r="K2452" s="76">
        <f t="shared" si="179"/>
        <v>19077</v>
      </c>
      <c r="L2452">
        <v>1</v>
      </c>
      <c r="M2452" s="29">
        <v>0</v>
      </c>
      <c r="N2452" t="s">
        <v>32</v>
      </c>
      <c r="O2452" t="s">
        <v>33</v>
      </c>
      <c r="P2452" t="s">
        <v>34</v>
      </c>
      <c r="Q2452" t="s">
        <v>34</v>
      </c>
      <c r="R2452" t="s">
        <v>34</v>
      </c>
      <c r="S2452" t="s">
        <v>34</v>
      </c>
      <c r="T2452" s="117">
        <v>0</v>
      </c>
    </row>
    <row r="2453" spans="1:21" x14ac:dyDescent="0.35">
      <c r="A2453" t="s">
        <v>20</v>
      </c>
      <c r="B2453" t="s">
        <v>23</v>
      </c>
      <c r="C2453" s="1">
        <v>45637</v>
      </c>
      <c r="D2453">
        <f t="shared" si="176"/>
        <v>11</v>
      </c>
      <c r="E2453">
        <f t="shared" si="177"/>
        <v>12</v>
      </c>
      <c r="F2453">
        <f t="shared" si="178"/>
        <v>2024</v>
      </c>
      <c r="G2453" t="s">
        <v>97</v>
      </c>
      <c r="H2453" s="98">
        <v>11561</v>
      </c>
      <c r="I2453" s="29">
        <v>40671.97</v>
      </c>
      <c r="J2453" s="12" t="s">
        <v>31</v>
      </c>
      <c r="K2453" s="76">
        <f t="shared" si="179"/>
        <v>40671.97</v>
      </c>
      <c r="L2453">
        <v>1</v>
      </c>
      <c r="M2453" s="29">
        <v>1249.96</v>
      </c>
      <c r="N2453" t="s">
        <v>32</v>
      </c>
      <c r="O2453" t="s">
        <v>33</v>
      </c>
      <c r="P2453" t="s">
        <v>34</v>
      </c>
      <c r="Q2453" t="s">
        <v>34</v>
      </c>
      <c r="R2453" t="s">
        <v>34</v>
      </c>
      <c r="S2453" t="s">
        <v>34</v>
      </c>
      <c r="T2453" s="117">
        <v>0</v>
      </c>
    </row>
    <row r="2454" spans="1:21" x14ac:dyDescent="0.35">
      <c r="A2454" t="s">
        <v>20</v>
      </c>
      <c r="B2454" t="s">
        <v>25</v>
      </c>
      <c r="C2454" s="1">
        <v>45637</v>
      </c>
      <c r="D2454">
        <f t="shared" si="176"/>
        <v>11</v>
      </c>
      <c r="E2454">
        <f t="shared" si="177"/>
        <v>12</v>
      </c>
      <c r="F2454">
        <f t="shared" si="178"/>
        <v>2024</v>
      </c>
      <c r="G2454" t="s">
        <v>97</v>
      </c>
      <c r="H2454" s="98">
        <v>11561</v>
      </c>
      <c r="I2454" s="29">
        <v>43526.89</v>
      </c>
      <c r="J2454" s="12" t="s">
        <v>31</v>
      </c>
      <c r="K2454" s="76">
        <f t="shared" si="179"/>
        <v>43526.89</v>
      </c>
      <c r="L2454">
        <v>1</v>
      </c>
      <c r="M2454" s="29">
        <v>1354.13</v>
      </c>
      <c r="N2454" t="s">
        <v>32</v>
      </c>
      <c r="O2454" t="s">
        <v>33</v>
      </c>
      <c r="P2454" t="s">
        <v>34</v>
      </c>
      <c r="Q2454" t="s">
        <v>34</v>
      </c>
      <c r="R2454" t="s">
        <v>34</v>
      </c>
      <c r="S2454" t="s">
        <v>34</v>
      </c>
      <c r="T2454" s="117">
        <v>0</v>
      </c>
    </row>
    <row r="2455" spans="1:21" x14ac:dyDescent="0.35">
      <c r="A2455" t="s">
        <v>20</v>
      </c>
      <c r="B2455" t="s">
        <v>21</v>
      </c>
      <c r="C2455" s="1">
        <v>45637</v>
      </c>
      <c r="D2455">
        <f t="shared" si="176"/>
        <v>11</v>
      </c>
      <c r="E2455">
        <f t="shared" si="177"/>
        <v>12</v>
      </c>
      <c r="F2455">
        <f t="shared" si="178"/>
        <v>2024</v>
      </c>
      <c r="G2455" t="s">
        <v>97</v>
      </c>
      <c r="H2455" s="98">
        <v>11668</v>
      </c>
      <c r="I2455" s="29">
        <v>87</v>
      </c>
      <c r="J2455" s="12" t="s">
        <v>31</v>
      </c>
      <c r="K2455" s="76">
        <f t="shared" si="179"/>
        <v>87</v>
      </c>
      <c r="L2455">
        <v>1</v>
      </c>
      <c r="M2455" s="29">
        <v>0</v>
      </c>
      <c r="N2455" t="s">
        <v>32</v>
      </c>
      <c r="O2455" t="s">
        <v>33</v>
      </c>
      <c r="P2455" t="s">
        <v>34</v>
      </c>
      <c r="Q2455" t="s">
        <v>34</v>
      </c>
      <c r="R2455" t="s">
        <v>34</v>
      </c>
      <c r="S2455" t="s">
        <v>34</v>
      </c>
      <c r="T2455" s="117">
        <v>0</v>
      </c>
    </row>
    <row r="2456" spans="1:21" x14ac:dyDescent="0.35">
      <c r="A2456" t="s">
        <v>20</v>
      </c>
      <c r="B2456" t="s">
        <v>25</v>
      </c>
      <c r="C2456" s="1">
        <v>45637</v>
      </c>
      <c r="D2456">
        <f t="shared" si="176"/>
        <v>11</v>
      </c>
      <c r="E2456">
        <f t="shared" si="177"/>
        <v>12</v>
      </c>
      <c r="F2456">
        <f t="shared" si="178"/>
        <v>2024</v>
      </c>
      <c r="G2456" t="s">
        <v>211</v>
      </c>
      <c r="H2456" s="98">
        <v>11295</v>
      </c>
      <c r="I2456" s="29">
        <v>9479.7000000000007</v>
      </c>
      <c r="J2456" s="12" t="s">
        <v>31</v>
      </c>
      <c r="K2456" s="76">
        <f t="shared" si="179"/>
        <v>9479.7000000000007</v>
      </c>
      <c r="L2456">
        <v>1</v>
      </c>
      <c r="M2456" s="29">
        <v>0</v>
      </c>
      <c r="N2456" t="s">
        <v>32</v>
      </c>
      <c r="O2456" t="s">
        <v>33</v>
      </c>
      <c r="P2456" t="s">
        <v>34</v>
      </c>
      <c r="Q2456" t="s">
        <v>34</v>
      </c>
      <c r="R2456" t="s">
        <v>34</v>
      </c>
      <c r="S2456" t="s">
        <v>34</v>
      </c>
      <c r="T2456" s="117">
        <v>0</v>
      </c>
    </row>
    <row r="2457" spans="1:21" x14ac:dyDescent="0.35">
      <c r="A2457" t="s">
        <v>20</v>
      </c>
      <c r="B2457" t="s">
        <v>24</v>
      </c>
      <c r="C2457" s="1">
        <v>45637</v>
      </c>
      <c r="D2457">
        <f t="shared" si="176"/>
        <v>11</v>
      </c>
      <c r="E2457">
        <f t="shared" si="177"/>
        <v>12</v>
      </c>
      <c r="F2457">
        <f t="shared" si="178"/>
        <v>2024</v>
      </c>
      <c r="G2457" t="s">
        <v>91</v>
      </c>
      <c r="H2457" s="98">
        <v>11199</v>
      </c>
      <c r="I2457" s="29">
        <v>21653.48</v>
      </c>
      <c r="J2457" s="12" t="s">
        <v>31</v>
      </c>
      <c r="K2457" s="76">
        <f t="shared" si="179"/>
        <v>21653.48</v>
      </c>
      <c r="L2457">
        <v>1</v>
      </c>
      <c r="M2457" s="29">
        <v>0</v>
      </c>
      <c r="N2457" t="s">
        <v>32</v>
      </c>
      <c r="O2457" t="s">
        <v>33</v>
      </c>
      <c r="P2457" t="s">
        <v>34</v>
      </c>
      <c r="Q2457" t="s">
        <v>34</v>
      </c>
      <c r="R2457" t="s">
        <v>34</v>
      </c>
      <c r="S2457" t="s">
        <v>34</v>
      </c>
      <c r="T2457" s="117">
        <v>0</v>
      </c>
    </row>
    <row r="2458" spans="1:21" x14ac:dyDescent="0.35">
      <c r="A2458" t="s">
        <v>20</v>
      </c>
      <c r="B2458" t="s">
        <v>25</v>
      </c>
      <c r="C2458" s="1">
        <v>45637</v>
      </c>
      <c r="D2458">
        <f t="shared" si="176"/>
        <v>11</v>
      </c>
      <c r="E2458">
        <f t="shared" si="177"/>
        <v>12</v>
      </c>
      <c r="F2458">
        <f t="shared" si="178"/>
        <v>2024</v>
      </c>
      <c r="G2458" t="s">
        <v>91</v>
      </c>
      <c r="H2458" s="98">
        <v>11199</v>
      </c>
      <c r="I2458" s="29">
        <v>9814.0499999999993</v>
      </c>
      <c r="J2458" s="12" t="s">
        <v>31</v>
      </c>
      <c r="K2458" s="76">
        <f t="shared" si="179"/>
        <v>9814.0499999999993</v>
      </c>
      <c r="L2458">
        <v>1</v>
      </c>
      <c r="M2458" s="29">
        <v>0</v>
      </c>
      <c r="N2458" t="s">
        <v>32</v>
      </c>
      <c r="O2458" t="s">
        <v>33</v>
      </c>
      <c r="P2458" t="s">
        <v>34</v>
      </c>
      <c r="Q2458" t="s">
        <v>34</v>
      </c>
      <c r="R2458" t="s">
        <v>34</v>
      </c>
      <c r="S2458" t="s">
        <v>34</v>
      </c>
      <c r="T2458" s="117">
        <v>0</v>
      </c>
    </row>
    <row r="2459" spans="1:21" x14ac:dyDescent="0.35">
      <c r="A2459" t="s">
        <v>20</v>
      </c>
      <c r="B2459" t="s">
        <v>21</v>
      </c>
      <c r="C2459" s="1">
        <v>45637</v>
      </c>
      <c r="D2459">
        <f t="shared" si="176"/>
        <v>11</v>
      </c>
      <c r="E2459">
        <f t="shared" si="177"/>
        <v>12</v>
      </c>
      <c r="F2459">
        <f t="shared" si="178"/>
        <v>2024</v>
      </c>
      <c r="G2459" t="s">
        <v>91</v>
      </c>
      <c r="H2459" s="98">
        <v>11330</v>
      </c>
      <c r="I2459" s="29">
        <v>108.8</v>
      </c>
      <c r="J2459" s="12" t="s">
        <v>31</v>
      </c>
      <c r="K2459" s="76">
        <f t="shared" si="179"/>
        <v>108.8</v>
      </c>
      <c r="L2459">
        <v>1</v>
      </c>
      <c r="M2459" s="29">
        <v>0</v>
      </c>
      <c r="N2459" t="s">
        <v>32</v>
      </c>
      <c r="O2459" t="s">
        <v>33</v>
      </c>
      <c r="P2459" t="s">
        <v>34</v>
      </c>
      <c r="Q2459" t="s">
        <v>34</v>
      </c>
      <c r="R2459" t="s">
        <v>34</v>
      </c>
      <c r="S2459" t="s">
        <v>34</v>
      </c>
      <c r="T2459" s="117">
        <v>0</v>
      </c>
    </row>
    <row r="2460" spans="1:21" x14ac:dyDescent="0.35">
      <c r="A2460" t="s">
        <v>20</v>
      </c>
      <c r="B2460" t="s">
        <v>24</v>
      </c>
      <c r="C2460" s="1">
        <v>45637</v>
      </c>
      <c r="D2460">
        <f t="shared" si="176"/>
        <v>11</v>
      </c>
      <c r="E2460">
        <f t="shared" si="177"/>
        <v>12</v>
      </c>
      <c r="F2460">
        <f t="shared" si="178"/>
        <v>2024</v>
      </c>
      <c r="G2460" t="s">
        <v>85</v>
      </c>
      <c r="H2460" s="98">
        <v>10939</v>
      </c>
      <c r="I2460" s="29">
        <v>37778.6</v>
      </c>
      <c r="J2460" s="12" t="s">
        <v>31</v>
      </c>
      <c r="K2460" s="76">
        <f t="shared" si="179"/>
        <v>37778.6</v>
      </c>
      <c r="L2460">
        <v>1</v>
      </c>
      <c r="M2460" s="29">
        <v>0</v>
      </c>
      <c r="N2460" t="s">
        <v>42</v>
      </c>
      <c r="O2460" t="s">
        <v>33</v>
      </c>
      <c r="P2460" t="s">
        <v>34</v>
      </c>
      <c r="Q2460" t="s">
        <v>34</v>
      </c>
      <c r="R2460" t="s">
        <v>34</v>
      </c>
      <c r="S2460" t="s">
        <v>34</v>
      </c>
      <c r="T2460" s="117">
        <v>0</v>
      </c>
    </row>
    <row r="2461" spans="1:21" x14ac:dyDescent="0.35">
      <c r="A2461" t="s">
        <v>20</v>
      </c>
      <c r="B2461" t="s">
        <v>25</v>
      </c>
      <c r="C2461" s="1">
        <v>45637</v>
      </c>
      <c r="D2461">
        <f t="shared" si="176"/>
        <v>11</v>
      </c>
      <c r="E2461">
        <f t="shared" si="177"/>
        <v>12</v>
      </c>
      <c r="F2461">
        <f t="shared" si="178"/>
        <v>2024</v>
      </c>
      <c r="G2461" t="s">
        <v>118</v>
      </c>
      <c r="H2461" s="98">
        <v>11790</v>
      </c>
      <c r="I2461" s="29">
        <v>47</v>
      </c>
      <c r="J2461" s="12" t="s">
        <v>31</v>
      </c>
      <c r="K2461" s="76">
        <f t="shared" si="179"/>
        <v>47</v>
      </c>
      <c r="L2461">
        <v>1</v>
      </c>
      <c r="M2461" s="29">
        <v>0</v>
      </c>
      <c r="N2461" t="s">
        <v>42</v>
      </c>
      <c r="O2461" t="s">
        <v>33</v>
      </c>
      <c r="P2461" t="s">
        <v>34</v>
      </c>
      <c r="Q2461" t="s">
        <v>34</v>
      </c>
      <c r="R2461" t="s">
        <v>34</v>
      </c>
      <c r="S2461" t="s">
        <v>34</v>
      </c>
      <c r="T2461" s="117">
        <v>0</v>
      </c>
    </row>
    <row r="2462" spans="1:21" x14ac:dyDescent="0.35">
      <c r="A2462" t="s">
        <v>20</v>
      </c>
      <c r="B2462" t="s">
        <v>25</v>
      </c>
      <c r="C2462" s="1">
        <v>45637</v>
      </c>
      <c r="D2462">
        <f t="shared" si="176"/>
        <v>11</v>
      </c>
      <c r="E2462">
        <f t="shared" si="177"/>
        <v>12</v>
      </c>
      <c r="F2462">
        <f t="shared" si="178"/>
        <v>2024</v>
      </c>
      <c r="G2462" t="s">
        <v>118</v>
      </c>
      <c r="H2462" s="98">
        <v>12067</v>
      </c>
      <c r="I2462" s="29">
        <v>540.5</v>
      </c>
      <c r="J2462" s="12" t="s">
        <v>31</v>
      </c>
      <c r="K2462" s="76">
        <f t="shared" si="179"/>
        <v>540.5</v>
      </c>
      <c r="L2462">
        <v>1</v>
      </c>
      <c r="M2462" s="29">
        <v>0</v>
      </c>
      <c r="N2462" t="s">
        <v>42</v>
      </c>
      <c r="O2462" t="s">
        <v>33</v>
      </c>
      <c r="P2462" t="s">
        <v>34</v>
      </c>
      <c r="Q2462" t="s">
        <v>34</v>
      </c>
      <c r="R2462" t="s">
        <v>34</v>
      </c>
      <c r="S2462" t="s">
        <v>34</v>
      </c>
      <c r="T2462" s="117">
        <v>0</v>
      </c>
      <c r="U2462" s="209" t="s">
        <v>1057</v>
      </c>
    </row>
    <row r="2463" spans="1:21" x14ac:dyDescent="0.35">
      <c r="A2463" t="s">
        <v>20</v>
      </c>
      <c r="B2463" t="s">
        <v>21</v>
      </c>
      <c r="C2463" s="1">
        <v>45637</v>
      </c>
      <c r="D2463">
        <f t="shared" si="176"/>
        <v>11</v>
      </c>
      <c r="E2463">
        <f t="shared" si="177"/>
        <v>12</v>
      </c>
      <c r="F2463">
        <f t="shared" si="178"/>
        <v>2024</v>
      </c>
      <c r="G2463" t="s">
        <v>595</v>
      </c>
      <c r="H2463" s="98">
        <v>11782</v>
      </c>
      <c r="I2463" s="29">
        <v>59</v>
      </c>
      <c r="J2463" s="12" t="s">
        <v>31</v>
      </c>
      <c r="K2463" s="76">
        <f t="shared" si="179"/>
        <v>59</v>
      </c>
      <c r="L2463">
        <v>1</v>
      </c>
      <c r="M2463" s="29">
        <v>0</v>
      </c>
      <c r="N2463" t="s">
        <v>42</v>
      </c>
      <c r="O2463" t="s">
        <v>33</v>
      </c>
      <c r="P2463" t="s">
        <v>34</v>
      </c>
      <c r="Q2463" t="s">
        <v>34</v>
      </c>
      <c r="R2463" t="s">
        <v>34</v>
      </c>
      <c r="S2463" t="s">
        <v>34</v>
      </c>
      <c r="T2463" s="117">
        <v>0</v>
      </c>
    </row>
    <row r="2464" spans="1:21" x14ac:dyDescent="0.35">
      <c r="A2464" t="s">
        <v>20</v>
      </c>
      <c r="B2464" t="s">
        <v>21</v>
      </c>
      <c r="C2464" s="1">
        <v>45637</v>
      </c>
      <c r="D2464">
        <f t="shared" si="176"/>
        <v>11</v>
      </c>
      <c r="E2464">
        <f t="shared" si="177"/>
        <v>12</v>
      </c>
      <c r="F2464">
        <f t="shared" si="178"/>
        <v>2024</v>
      </c>
      <c r="G2464" t="s">
        <v>595</v>
      </c>
      <c r="H2464" s="171">
        <v>11687</v>
      </c>
      <c r="I2464" s="90">
        <v>2228.4299999999998</v>
      </c>
      <c r="J2464" s="12" t="s">
        <v>31</v>
      </c>
      <c r="K2464" s="76">
        <f t="shared" si="179"/>
        <v>2228.4299999999998</v>
      </c>
      <c r="L2464">
        <v>1</v>
      </c>
      <c r="M2464" s="29">
        <v>0</v>
      </c>
      <c r="N2464" t="s">
        <v>42</v>
      </c>
      <c r="O2464" t="s">
        <v>33</v>
      </c>
      <c r="P2464" t="s">
        <v>34</v>
      </c>
      <c r="Q2464" t="s">
        <v>34</v>
      </c>
      <c r="R2464" t="s">
        <v>34</v>
      </c>
      <c r="S2464" t="s">
        <v>34</v>
      </c>
      <c r="T2464" s="117">
        <v>0</v>
      </c>
    </row>
    <row r="2465" spans="1:21" x14ac:dyDescent="0.35">
      <c r="A2465" t="s">
        <v>20</v>
      </c>
      <c r="B2465" t="s">
        <v>21</v>
      </c>
      <c r="C2465" s="1">
        <v>45637</v>
      </c>
      <c r="D2465">
        <f t="shared" si="176"/>
        <v>11</v>
      </c>
      <c r="E2465">
        <f t="shared" si="177"/>
        <v>12</v>
      </c>
      <c r="F2465">
        <f t="shared" si="178"/>
        <v>2024</v>
      </c>
      <c r="G2465" t="s">
        <v>46</v>
      </c>
      <c r="H2465" s="98">
        <v>11795</v>
      </c>
      <c r="I2465" s="29">
        <v>91.6</v>
      </c>
      <c r="J2465" s="12" t="s">
        <v>31</v>
      </c>
      <c r="K2465" s="76">
        <f t="shared" si="179"/>
        <v>91.6</v>
      </c>
      <c r="L2465">
        <v>1</v>
      </c>
      <c r="M2465" s="29">
        <v>0</v>
      </c>
      <c r="N2465" t="s">
        <v>42</v>
      </c>
      <c r="O2465" t="s">
        <v>33</v>
      </c>
      <c r="P2465" t="s">
        <v>34</v>
      </c>
      <c r="Q2465" t="s">
        <v>34</v>
      </c>
      <c r="R2465" t="s">
        <v>34</v>
      </c>
      <c r="S2465" t="s">
        <v>34</v>
      </c>
      <c r="T2465" s="117">
        <v>0</v>
      </c>
    </row>
    <row r="2466" spans="1:21" x14ac:dyDescent="0.35">
      <c r="A2466" t="s">
        <v>20</v>
      </c>
      <c r="B2466" t="s">
        <v>21</v>
      </c>
      <c r="C2466" s="1">
        <v>45637</v>
      </c>
      <c r="D2466">
        <f t="shared" si="176"/>
        <v>11</v>
      </c>
      <c r="E2466">
        <f t="shared" si="177"/>
        <v>12</v>
      </c>
      <c r="F2466">
        <f t="shared" si="178"/>
        <v>2024</v>
      </c>
      <c r="G2466" t="s">
        <v>46</v>
      </c>
      <c r="H2466" s="98">
        <v>11797</v>
      </c>
      <c r="I2466" s="29">
        <v>964.59</v>
      </c>
      <c r="J2466" s="12" t="s">
        <v>31</v>
      </c>
      <c r="K2466" s="76">
        <f t="shared" si="179"/>
        <v>964.59</v>
      </c>
      <c r="L2466">
        <v>1</v>
      </c>
      <c r="M2466" s="29">
        <v>0</v>
      </c>
      <c r="N2466" t="s">
        <v>42</v>
      </c>
      <c r="O2466" t="s">
        <v>33</v>
      </c>
      <c r="P2466" t="s">
        <v>34</v>
      </c>
      <c r="Q2466" t="s">
        <v>34</v>
      </c>
      <c r="R2466" t="s">
        <v>34</v>
      </c>
      <c r="S2466" t="s">
        <v>34</v>
      </c>
      <c r="T2466" s="117">
        <v>0</v>
      </c>
    </row>
    <row r="2467" spans="1:21" x14ac:dyDescent="0.35">
      <c r="A2467" t="s">
        <v>20</v>
      </c>
      <c r="B2467" t="s">
        <v>24</v>
      </c>
      <c r="C2467" s="1">
        <v>45637</v>
      </c>
      <c r="D2467">
        <f t="shared" si="176"/>
        <v>11</v>
      </c>
      <c r="E2467">
        <f t="shared" si="177"/>
        <v>12</v>
      </c>
      <c r="F2467">
        <f t="shared" si="178"/>
        <v>2024</v>
      </c>
      <c r="G2467" t="s">
        <v>46</v>
      </c>
      <c r="H2467" s="98">
        <v>11022</v>
      </c>
      <c r="I2467" s="29">
        <v>9306.39</v>
      </c>
      <c r="J2467" s="12" t="s">
        <v>31</v>
      </c>
      <c r="K2467" s="76">
        <f t="shared" si="179"/>
        <v>9306.39</v>
      </c>
      <c r="L2467">
        <v>1</v>
      </c>
      <c r="M2467" s="29">
        <v>0</v>
      </c>
      <c r="N2467" t="s">
        <v>32</v>
      </c>
      <c r="O2467" t="s">
        <v>33</v>
      </c>
      <c r="P2467" t="s">
        <v>34</v>
      </c>
      <c r="Q2467" t="s">
        <v>34</v>
      </c>
      <c r="R2467" t="s">
        <v>34</v>
      </c>
      <c r="S2467" t="s">
        <v>34</v>
      </c>
      <c r="T2467" s="117">
        <v>0</v>
      </c>
    </row>
    <row r="2468" spans="1:21" x14ac:dyDescent="0.35">
      <c r="A2468" t="s">
        <v>20</v>
      </c>
      <c r="B2468" t="s">
        <v>25</v>
      </c>
      <c r="C2468" s="1">
        <v>45637</v>
      </c>
      <c r="D2468">
        <f t="shared" si="176"/>
        <v>11</v>
      </c>
      <c r="E2468">
        <f t="shared" si="177"/>
        <v>12</v>
      </c>
      <c r="F2468">
        <f t="shared" si="178"/>
        <v>2024</v>
      </c>
      <c r="G2468" t="s">
        <v>565</v>
      </c>
      <c r="H2468" s="98">
        <v>11407</v>
      </c>
      <c r="I2468" s="29">
        <v>9312.48</v>
      </c>
      <c r="J2468" s="12" t="s">
        <v>51</v>
      </c>
      <c r="K2468" s="76">
        <f t="shared" si="179"/>
        <v>9834.9101279999995</v>
      </c>
      <c r="L2468">
        <v>1.0561</v>
      </c>
      <c r="M2468" s="29">
        <v>0</v>
      </c>
      <c r="N2468" t="s">
        <v>42</v>
      </c>
      <c r="O2468" t="s">
        <v>33</v>
      </c>
      <c r="P2468" t="s">
        <v>34</v>
      </c>
      <c r="Q2468" t="s">
        <v>34</v>
      </c>
      <c r="R2468" t="s">
        <v>34</v>
      </c>
      <c r="S2468" t="s">
        <v>34</v>
      </c>
      <c r="T2468" s="117">
        <v>0</v>
      </c>
    </row>
    <row r="2469" spans="1:21" x14ac:dyDescent="0.35">
      <c r="A2469" t="s">
        <v>20</v>
      </c>
      <c r="B2469" t="s">
        <v>23</v>
      </c>
      <c r="C2469" s="1">
        <v>45637</v>
      </c>
      <c r="D2469">
        <f t="shared" si="176"/>
        <v>11</v>
      </c>
      <c r="E2469">
        <f t="shared" si="177"/>
        <v>12</v>
      </c>
      <c r="F2469">
        <f t="shared" si="178"/>
        <v>2024</v>
      </c>
      <c r="G2469" t="s">
        <v>177</v>
      </c>
      <c r="H2469" s="98">
        <v>11536</v>
      </c>
      <c r="I2469" s="29">
        <v>37841.24</v>
      </c>
      <c r="J2469" s="12" t="s">
        <v>31</v>
      </c>
      <c r="K2469" s="76">
        <f t="shared" si="179"/>
        <v>37841.24</v>
      </c>
      <c r="L2469">
        <v>1</v>
      </c>
      <c r="M2469" s="29">
        <v>0</v>
      </c>
      <c r="N2469" t="s">
        <v>42</v>
      </c>
      <c r="O2469" t="s">
        <v>33</v>
      </c>
      <c r="P2469" t="s">
        <v>34</v>
      </c>
      <c r="Q2469" t="s">
        <v>34</v>
      </c>
      <c r="R2469" t="s">
        <v>34</v>
      </c>
      <c r="S2469" t="s">
        <v>34</v>
      </c>
      <c r="T2469" s="117">
        <v>0</v>
      </c>
      <c r="U2469" s="209" t="s">
        <v>812</v>
      </c>
    </row>
    <row r="2470" spans="1:21" x14ac:dyDescent="0.35">
      <c r="A2470" t="s">
        <v>20</v>
      </c>
      <c r="B2470" t="s">
        <v>23</v>
      </c>
      <c r="C2470" s="1">
        <v>45637</v>
      </c>
      <c r="D2470">
        <f t="shared" si="176"/>
        <v>11</v>
      </c>
      <c r="E2470">
        <f t="shared" si="177"/>
        <v>12</v>
      </c>
      <c r="F2470">
        <f t="shared" si="178"/>
        <v>2024</v>
      </c>
      <c r="G2470" t="s">
        <v>177</v>
      </c>
      <c r="H2470" s="98">
        <v>11697</v>
      </c>
      <c r="I2470" s="29">
        <v>71</v>
      </c>
      <c r="J2470" s="12" t="s">
        <v>31</v>
      </c>
      <c r="K2470" s="76">
        <f t="shared" si="179"/>
        <v>71</v>
      </c>
      <c r="L2470">
        <v>1</v>
      </c>
      <c r="M2470" s="29">
        <v>0</v>
      </c>
      <c r="N2470" t="s">
        <v>42</v>
      </c>
      <c r="O2470" t="s">
        <v>33</v>
      </c>
      <c r="P2470" t="s">
        <v>34</v>
      </c>
      <c r="Q2470" t="s">
        <v>34</v>
      </c>
      <c r="R2470" t="s">
        <v>34</v>
      </c>
      <c r="S2470" t="s">
        <v>34</v>
      </c>
      <c r="T2470" s="117">
        <v>0</v>
      </c>
    </row>
    <row r="2471" spans="1:21" x14ac:dyDescent="0.35">
      <c r="A2471" t="s">
        <v>20</v>
      </c>
      <c r="B2471" t="s">
        <v>24</v>
      </c>
      <c r="C2471" s="1">
        <v>45637</v>
      </c>
      <c r="D2471">
        <f t="shared" si="176"/>
        <v>11</v>
      </c>
      <c r="E2471">
        <f t="shared" si="177"/>
        <v>12</v>
      </c>
      <c r="F2471">
        <f t="shared" si="178"/>
        <v>2024</v>
      </c>
      <c r="G2471" t="s">
        <v>81</v>
      </c>
      <c r="H2471" s="98">
        <v>11607</v>
      </c>
      <c r="I2471" s="29">
        <v>43.54</v>
      </c>
      <c r="J2471" s="12" t="s">
        <v>31</v>
      </c>
      <c r="K2471" s="76">
        <f t="shared" si="179"/>
        <v>43.54</v>
      </c>
      <c r="L2471">
        <v>1</v>
      </c>
      <c r="M2471" s="29">
        <v>0</v>
      </c>
      <c r="N2471" t="s">
        <v>42</v>
      </c>
      <c r="O2471" t="s">
        <v>33</v>
      </c>
      <c r="P2471" t="s">
        <v>34</v>
      </c>
      <c r="Q2471" t="s">
        <v>34</v>
      </c>
      <c r="R2471" t="s">
        <v>34</v>
      </c>
      <c r="S2471" t="s">
        <v>34</v>
      </c>
      <c r="T2471" s="117">
        <v>0</v>
      </c>
      <c r="U2471" s="209" t="s">
        <v>811</v>
      </c>
    </row>
    <row r="2472" spans="1:21" x14ac:dyDescent="0.35">
      <c r="A2472" t="s">
        <v>20</v>
      </c>
      <c r="B2472" t="s">
        <v>24</v>
      </c>
      <c r="C2472" s="1">
        <v>45637</v>
      </c>
      <c r="D2472">
        <f t="shared" si="176"/>
        <v>11</v>
      </c>
      <c r="E2472">
        <f t="shared" si="177"/>
        <v>12</v>
      </c>
      <c r="F2472">
        <f t="shared" si="178"/>
        <v>2024</v>
      </c>
      <c r="G2472" t="s">
        <v>81</v>
      </c>
      <c r="H2472" s="98">
        <v>11608</v>
      </c>
      <c r="I2472" s="29">
        <v>3224.9</v>
      </c>
      <c r="J2472" s="12" t="s">
        <v>31</v>
      </c>
      <c r="K2472" s="76">
        <f t="shared" si="179"/>
        <v>3224.9</v>
      </c>
      <c r="L2472">
        <v>1</v>
      </c>
      <c r="M2472" s="29">
        <v>0</v>
      </c>
      <c r="N2472" t="s">
        <v>42</v>
      </c>
      <c r="O2472" t="s">
        <v>33</v>
      </c>
      <c r="P2472" t="s">
        <v>34</v>
      </c>
      <c r="Q2472" t="s">
        <v>34</v>
      </c>
      <c r="R2472" t="s">
        <v>34</v>
      </c>
      <c r="S2472" t="s">
        <v>34</v>
      </c>
      <c r="T2472" s="117">
        <v>0</v>
      </c>
      <c r="U2472" s="209" t="s">
        <v>836</v>
      </c>
    </row>
    <row r="2473" spans="1:21" x14ac:dyDescent="0.35">
      <c r="A2473" t="s">
        <v>20</v>
      </c>
      <c r="B2473" t="s">
        <v>24</v>
      </c>
      <c r="C2473" s="1">
        <v>45637</v>
      </c>
      <c r="D2473">
        <f t="shared" si="176"/>
        <v>11</v>
      </c>
      <c r="E2473">
        <f t="shared" si="177"/>
        <v>12</v>
      </c>
      <c r="F2473">
        <f t="shared" si="178"/>
        <v>2024</v>
      </c>
      <c r="G2473" t="s">
        <v>81</v>
      </c>
      <c r="H2473" s="98">
        <v>11767</v>
      </c>
      <c r="I2473" s="29">
        <v>4173.8999999999996</v>
      </c>
      <c r="J2473" s="12" t="s">
        <v>31</v>
      </c>
      <c r="K2473" s="76">
        <f t="shared" si="179"/>
        <v>4173.8999999999996</v>
      </c>
      <c r="L2473">
        <v>1</v>
      </c>
      <c r="M2473" s="29">
        <v>0</v>
      </c>
      <c r="N2473" t="s">
        <v>42</v>
      </c>
      <c r="O2473" t="s">
        <v>33</v>
      </c>
      <c r="P2473" t="s">
        <v>34</v>
      </c>
      <c r="Q2473" t="s">
        <v>34</v>
      </c>
      <c r="R2473" t="s">
        <v>34</v>
      </c>
      <c r="S2473" t="s">
        <v>34</v>
      </c>
      <c r="T2473" s="117">
        <v>0</v>
      </c>
    </row>
    <row r="2474" spans="1:21" x14ac:dyDescent="0.35">
      <c r="A2474" t="s">
        <v>20</v>
      </c>
      <c r="B2474" t="s">
        <v>25</v>
      </c>
      <c r="C2474" s="1">
        <v>45637</v>
      </c>
      <c r="D2474">
        <f t="shared" si="176"/>
        <v>11</v>
      </c>
      <c r="E2474">
        <f t="shared" si="177"/>
        <v>12</v>
      </c>
      <c r="F2474">
        <f t="shared" si="178"/>
        <v>2024</v>
      </c>
      <c r="G2474" t="s">
        <v>81</v>
      </c>
      <c r="H2474" s="98">
        <v>11168</v>
      </c>
      <c r="I2474" s="29">
        <v>60917.3</v>
      </c>
      <c r="J2474" s="12" t="s">
        <v>31</v>
      </c>
      <c r="K2474" s="76">
        <f t="shared" si="179"/>
        <v>60917.3</v>
      </c>
      <c r="L2474">
        <v>1</v>
      </c>
      <c r="M2474" s="29">
        <v>0</v>
      </c>
      <c r="N2474" t="s">
        <v>32</v>
      </c>
      <c r="O2474" t="s">
        <v>33</v>
      </c>
      <c r="P2474" t="s">
        <v>34</v>
      </c>
      <c r="Q2474" t="s">
        <v>34</v>
      </c>
      <c r="R2474" t="s">
        <v>34</v>
      </c>
      <c r="S2474" t="s">
        <v>34</v>
      </c>
      <c r="T2474" s="117">
        <v>0</v>
      </c>
    </row>
    <row r="2475" spans="1:21" x14ac:dyDescent="0.35">
      <c r="A2475" t="s">
        <v>20</v>
      </c>
      <c r="B2475" t="s">
        <v>21</v>
      </c>
      <c r="C2475" s="1">
        <v>45637</v>
      </c>
      <c r="D2475">
        <f t="shared" si="176"/>
        <v>11</v>
      </c>
      <c r="E2475">
        <f t="shared" si="177"/>
        <v>12</v>
      </c>
      <c r="F2475">
        <f t="shared" si="178"/>
        <v>2024</v>
      </c>
      <c r="G2475" t="s">
        <v>459</v>
      </c>
      <c r="H2475" s="98">
        <v>11771</v>
      </c>
      <c r="I2475" s="29">
        <v>66</v>
      </c>
      <c r="J2475" s="12" t="s">
        <v>31</v>
      </c>
      <c r="K2475" s="76">
        <f t="shared" si="179"/>
        <v>66</v>
      </c>
      <c r="L2475">
        <v>1</v>
      </c>
      <c r="M2475" s="29">
        <v>0</v>
      </c>
      <c r="N2475" t="s">
        <v>42</v>
      </c>
      <c r="O2475" t="s">
        <v>33</v>
      </c>
      <c r="P2475" t="s">
        <v>34</v>
      </c>
      <c r="Q2475" t="s">
        <v>34</v>
      </c>
      <c r="R2475" t="s">
        <v>34</v>
      </c>
      <c r="S2475" t="s">
        <v>34</v>
      </c>
      <c r="T2475" s="117">
        <v>0</v>
      </c>
    </row>
    <row r="2476" spans="1:21" x14ac:dyDescent="0.35">
      <c r="A2476" t="s">
        <v>20</v>
      </c>
      <c r="B2476" t="s">
        <v>21</v>
      </c>
      <c r="C2476" s="1">
        <v>45637</v>
      </c>
      <c r="D2476">
        <f t="shared" si="176"/>
        <v>11</v>
      </c>
      <c r="E2476">
        <f t="shared" si="177"/>
        <v>12</v>
      </c>
      <c r="F2476">
        <f t="shared" si="178"/>
        <v>2024</v>
      </c>
      <c r="G2476" t="s">
        <v>459</v>
      </c>
      <c r="H2476" s="98">
        <v>11772</v>
      </c>
      <c r="I2476" s="29">
        <v>1551</v>
      </c>
      <c r="J2476" s="12" t="s">
        <v>31</v>
      </c>
      <c r="K2476" s="76">
        <f t="shared" ref="K2476:K2507" si="180">IF(J2476="USD",I2476,I2476*L2476)</f>
        <v>1551</v>
      </c>
      <c r="L2476">
        <v>1</v>
      </c>
      <c r="M2476" s="29">
        <v>0</v>
      </c>
      <c r="N2476" t="s">
        <v>42</v>
      </c>
      <c r="O2476" t="s">
        <v>33</v>
      </c>
      <c r="P2476" t="s">
        <v>34</v>
      </c>
      <c r="Q2476" t="s">
        <v>34</v>
      </c>
      <c r="R2476" t="s">
        <v>34</v>
      </c>
      <c r="S2476" t="s">
        <v>34</v>
      </c>
      <c r="T2476" s="117">
        <v>0</v>
      </c>
    </row>
    <row r="2477" spans="1:21" x14ac:dyDescent="0.35">
      <c r="A2477" t="s">
        <v>20</v>
      </c>
      <c r="B2477" t="s">
        <v>223</v>
      </c>
      <c r="C2477" s="1">
        <v>45637</v>
      </c>
      <c r="D2477">
        <f t="shared" si="176"/>
        <v>11</v>
      </c>
      <c r="E2477">
        <f t="shared" si="177"/>
        <v>12</v>
      </c>
      <c r="F2477">
        <f t="shared" si="178"/>
        <v>2024</v>
      </c>
      <c r="G2477" t="s">
        <v>223</v>
      </c>
      <c r="H2477" s="98">
        <v>11505</v>
      </c>
      <c r="I2477" s="29">
        <v>21367</v>
      </c>
      <c r="J2477" s="12" t="s">
        <v>51</v>
      </c>
      <c r="K2477" s="76">
        <f t="shared" si="180"/>
        <v>22501.5877</v>
      </c>
      <c r="L2477">
        <v>1.0530999999999999</v>
      </c>
      <c r="M2477" s="29">
        <v>0</v>
      </c>
      <c r="N2477" t="s">
        <v>32</v>
      </c>
      <c r="O2477" t="s">
        <v>186</v>
      </c>
      <c r="P2477" s="1">
        <v>45636</v>
      </c>
      <c r="Q2477" t="s">
        <v>34</v>
      </c>
      <c r="R2477">
        <v>10010014706</v>
      </c>
      <c r="S2477" t="s">
        <v>34</v>
      </c>
      <c r="T2477" s="117">
        <v>0</v>
      </c>
    </row>
    <row r="2478" spans="1:21" x14ac:dyDescent="0.35">
      <c r="A2478" t="s">
        <v>19</v>
      </c>
      <c r="B2478" t="s">
        <v>27</v>
      </c>
      <c r="C2478" s="1">
        <v>45637</v>
      </c>
      <c r="D2478">
        <f t="shared" si="176"/>
        <v>11</v>
      </c>
      <c r="E2478">
        <f t="shared" si="177"/>
        <v>12</v>
      </c>
      <c r="F2478">
        <f t="shared" si="178"/>
        <v>2024</v>
      </c>
      <c r="G2478" t="s">
        <v>100</v>
      </c>
      <c r="H2478" s="98">
        <v>11109</v>
      </c>
      <c r="I2478" s="29">
        <v>101975.88</v>
      </c>
      <c r="J2478" s="12" t="s">
        <v>31</v>
      </c>
      <c r="K2478" s="76">
        <f t="shared" si="180"/>
        <v>101975.88</v>
      </c>
      <c r="L2478">
        <v>1</v>
      </c>
      <c r="M2478" s="29">
        <v>0</v>
      </c>
      <c r="N2478" t="s">
        <v>32</v>
      </c>
      <c r="O2478" t="s">
        <v>33</v>
      </c>
      <c r="P2478" t="s">
        <v>34</v>
      </c>
      <c r="Q2478" t="s">
        <v>34</v>
      </c>
      <c r="R2478" t="s">
        <v>34</v>
      </c>
      <c r="S2478" t="s">
        <v>34</v>
      </c>
      <c r="T2478" s="117">
        <v>0</v>
      </c>
    </row>
    <row r="2479" spans="1:21" x14ac:dyDescent="0.35">
      <c r="A2479" t="s">
        <v>19</v>
      </c>
      <c r="B2479" t="s">
        <v>19</v>
      </c>
      <c r="C2479" s="1">
        <v>45637</v>
      </c>
      <c r="D2479">
        <f t="shared" si="176"/>
        <v>11</v>
      </c>
      <c r="E2479">
        <f t="shared" si="177"/>
        <v>12</v>
      </c>
      <c r="F2479">
        <f t="shared" si="178"/>
        <v>2024</v>
      </c>
      <c r="G2479" t="s">
        <v>56</v>
      </c>
      <c r="H2479" s="98" t="s">
        <v>714</v>
      </c>
      <c r="I2479" s="29">
        <v>173652.35</v>
      </c>
      <c r="J2479" s="12" t="s">
        <v>31</v>
      </c>
      <c r="K2479" s="76">
        <f t="shared" si="180"/>
        <v>173652.35</v>
      </c>
      <c r="L2479">
        <v>1</v>
      </c>
      <c r="M2479" s="29">
        <v>0</v>
      </c>
      <c r="N2479" t="s">
        <v>32</v>
      </c>
      <c r="O2479" t="s">
        <v>33</v>
      </c>
      <c r="P2479" t="s">
        <v>34</v>
      </c>
      <c r="Q2479" t="s">
        <v>34</v>
      </c>
      <c r="R2479" t="s">
        <v>34</v>
      </c>
      <c r="S2479" t="s">
        <v>34</v>
      </c>
      <c r="T2479" s="117">
        <v>0</v>
      </c>
    </row>
    <row r="2480" spans="1:21" x14ac:dyDescent="0.35">
      <c r="A2480" t="s">
        <v>19</v>
      </c>
      <c r="B2480" t="s">
        <v>19</v>
      </c>
      <c r="C2480" s="1">
        <v>45637</v>
      </c>
      <c r="D2480">
        <f t="shared" si="176"/>
        <v>11</v>
      </c>
      <c r="E2480">
        <f t="shared" si="177"/>
        <v>12</v>
      </c>
      <c r="F2480">
        <f t="shared" si="178"/>
        <v>2024</v>
      </c>
      <c r="G2480" t="s">
        <v>56</v>
      </c>
      <c r="H2480" s="98" t="s">
        <v>715</v>
      </c>
      <c r="I2480" s="29">
        <v>188944.78</v>
      </c>
      <c r="J2480" s="12" t="s">
        <v>31</v>
      </c>
      <c r="K2480" s="76">
        <f t="shared" si="180"/>
        <v>188944.78</v>
      </c>
      <c r="L2480">
        <v>1</v>
      </c>
      <c r="M2480" s="29">
        <v>0</v>
      </c>
      <c r="N2480" t="s">
        <v>32</v>
      </c>
      <c r="O2480" t="s">
        <v>33</v>
      </c>
      <c r="P2480" t="s">
        <v>34</v>
      </c>
      <c r="Q2480" t="s">
        <v>34</v>
      </c>
      <c r="R2480" t="s">
        <v>34</v>
      </c>
      <c r="S2480" t="s">
        <v>34</v>
      </c>
      <c r="T2480" s="117">
        <v>0</v>
      </c>
    </row>
    <row r="2481" spans="1:20" x14ac:dyDescent="0.35">
      <c r="A2481" t="s">
        <v>19</v>
      </c>
      <c r="B2481" t="s">
        <v>19</v>
      </c>
      <c r="C2481" s="1">
        <v>45637</v>
      </c>
      <c r="D2481">
        <f t="shared" si="176"/>
        <v>11</v>
      </c>
      <c r="E2481">
        <f t="shared" si="177"/>
        <v>12</v>
      </c>
      <c r="F2481">
        <f t="shared" si="178"/>
        <v>2024</v>
      </c>
      <c r="G2481" t="s">
        <v>56</v>
      </c>
      <c r="H2481" s="98" t="s">
        <v>716</v>
      </c>
      <c r="I2481" s="29">
        <v>194493.28</v>
      </c>
      <c r="J2481" s="12" t="s">
        <v>31</v>
      </c>
      <c r="K2481" s="76">
        <f t="shared" si="180"/>
        <v>194493.28</v>
      </c>
      <c r="L2481">
        <v>1</v>
      </c>
      <c r="M2481" s="29">
        <v>0</v>
      </c>
      <c r="N2481" t="s">
        <v>32</v>
      </c>
      <c r="O2481" t="s">
        <v>33</v>
      </c>
      <c r="P2481" t="s">
        <v>34</v>
      </c>
      <c r="Q2481" t="s">
        <v>34</v>
      </c>
      <c r="R2481" t="s">
        <v>34</v>
      </c>
      <c r="S2481" t="s">
        <v>34</v>
      </c>
      <c r="T2481" s="117">
        <v>0</v>
      </c>
    </row>
    <row r="2482" spans="1:20" x14ac:dyDescent="0.35">
      <c r="A2482" t="s">
        <v>19</v>
      </c>
      <c r="B2482" t="s">
        <v>19</v>
      </c>
      <c r="C2482" s="1">
        <v>45637</v>
      </c>
      <c r="D2482">
        <f t="shared" si="176"/>
        <v>11</v>
      </c>
      <c r="E2482">
        <f t="shared" si="177"/>
        <v>12</v>
      </c>
      <c r="F2482">
        <f t="shared" si="178"/>
        <v>2024</v>
      </c>
      <c r="G2482" t="s">
        <v>213</v>
      </c>
      <c r="H2482" s="98" t="s">
        <v>717</v>
      </c>
      <c r="I2482" s="29">
        <v>139708.5</v>
      </c>
      <c r="J2482" s="12" t="s">
        <v>31</v>
      </c>
      <c r="K2482" s="76">
        <f t="shared" si="180"/>
        <v>139708.5</v>
      </c>
      <c r="L2482">
        <v>1</v>
      </c>
      <c r="M2482" s="29">
        <v>0</v>
      </c>
      <c r="N2482" t="s">
        <v>32</v>
      </c>
      <c r="O2482" t="s">
        <v>33</v>
      </c>
      <c r="P2482" t="s">
        <v>34</v>
      </c>
      <c r="Q2482" t="s">
        <v>34</v>
      </c>
      <c r="R2482" t="s">
        <v>34</v>
      </c>
      <c r="S2482" t="s">
        <v>34</v>
      </c>
      <c r="T2482" s="117">
        <v>0</v>
      </c>
    </row>
    <row r="2483" spans="1:20" x14ac:dyDescent="0.35">
      <c r="A2483" t="s">
        <v>19</v>
      </c>
      <c r="B2483" t="s">
        <v>19</v>
      </c>
      <c r="C2483" s="1">
        <v>45637</v>
      </c>
      <c r="D2483">
        <f t="shared" si="176"/>
        <v>11</v>
      </c>
      <c r="E2483">
        <f t="shared" si="177"/>
        <v>12</v>
      </c>
      <c r="F2483">
        <f t="shared" si="178"/>
        <v>2024</v>
      </c>
      <c r="G2483" t="s">
        <v>124</v>
      </c>
      <c r="H2483" s="98" t="s">
        <v>718</v>
      </c>
      <c r="I2483" s="29">
        <v>22654.58</v>
      </c>
      <c r="J2483" s="12" t="s">
        <v>31</v>
      </c>
      <c r="K2483" s="76">
        <f t="shared" si="180"/>
        <v>22654.58</v>
      </c>
      <c r="L2483">
        <v>1</v>
      </c>
      <c r="M2483" s="29">
        <v>0</v>
      </c>
      <c r="N2483" t="s">
        <v>32</v>
      </c>
      <c r="O2483" t="s">
        <v>33</v>
      </c>
      <c r="P2483" t="s">
        <v>34</v>
      </c>
      <c r="Q2483" t="s">
        <v>34</v>
      </c>
      <c r="R2483" t="s">
        <v>34</v>
      </c>
      <c r="S2483" t="s">
        <v>34</v>
      </c>
      <c r="T2483" s="117">
        <v>0</v>
      </c>
    </row>
    <row r="2484" spans="1:20" x14ac:dyDescent="0.35">
      <c r="A2484" t="s">
        <v>19</v>
      </c>
      <c r="B2484" t="s">
        <v>19</v>
      </c>
      <c r="C2484" s="1">
        <v>45637</v>
      </c>
      <c r="D2484">
        <f t="shared" si="176"/>
        <v>11</v>
      </c>
      <c r="E2484">
        <f t="shared" si="177"/>
        <v>12</v>
      </c>
      <c r="F2484">
        <f t="shared" si="178"/>
        <v>2024</v>
      </c>
      <c r="G2484" t="s">
        <v>126</v>
      </c>
      <c r="H2484" s="98" t="s">
        <v>719</v>
      </c>
      <c r="I2484" s="29">
        <v>44.1</v>
      </c>
      <c r="J2484" s="12" t="s">
        <v>31</v>
      </c>
      <c r="K2484" s="76">
        <f t="shared" si="180"/>
        <v>44.1</v>
      </c>
      <c r="L2484">
        <v>1</v>
      </c>
      <c r="M2484" s="29">
        <v>0</v>
      </c>
      <c r="N2484" t="s">
        <v>32</v>
      </c>
      <c r="O2484" t="s">
        <v>33</v>
      </c>
      <c r="P2484" t="s">
        <v>34</v>
      </c>
      <c r="Q2484" t="s">
        <v>34</v>
      </c>
      <c r="R2484" t="s">
        <v>34</v>
      </c>
      <c r="S2484" t="s">
        <v>34</v>
      </c>
      <c r="T2484" s="117">
        <v>0</v>
      </c>
    </row>
    <row r="2485" spans="1:20" x14ac:dyDescent="0.35">
      <c r="A2485" t="s">
        <v>19</v>
      </c>
      <c r="B2485" t="s">
        <v>26</v>
      </c>
      <c r="C2485" s="1">
        <v>45638</v>
      </c>
      <c r="D2485">
        <f t="shared" si="176"/>
        <v>12</v>
      </c>
      <c r="E2485">
        <f t="shared" si="177"/>
        <v>12</v>
      </c>
      <c r="F2485">
        <f t="shared" si="178"/>
        <v>2024</v>
      </c>
      <c r="G2485" t="s">
        <v>73</v>
      </c>
      <c r="H2485" s="98">
        <v>11730</v>
      </c>
      <c r="I2485" s="29">
        <v>52424.07</v>
      </c>
      <c r="J2485" s="12" t="s">
        <v>51</v>
      </c>
      <c r="K2485" s="76">
        <f t="shared" si="180"/>
        <v>55045.273500000003</v>
      </c>
      <c r="L2485">
        <v>1.05</v>
      </c>
      <c r="M2485" s="29">
        <v>0</v>
      </c>
      <c r="N2485" t="s">
        <v>32</v>
      </c>
      <c r="O2485" t="s">
        <v>33</v>
      </c>
      <c r="P2485" t="s">
        <v>34</v>
      </c>
      <c r="Q2485" t="s">
        <v>34</v>
      </c>
      <c r="R2485" t="s">
        <v>34</v>
      </c>
      <c r="S2485" t="s">
        <v>34</v>
      </c>
      <c r="T2485" s="117">
        <v>0</v>
      </c>
    </row>
    <row r="2486" spans="1:20" x14ac:dyDescent="0.35">
      <c r="A2486" t="s">
        <v>19</v>
      </c>
      <c r="B2486" t="s">
        <v>26</v>
      </c>
      <c r="C2486" s="1">
        <v>45638</v>
      </c>
      <c r="D2486">
        <f t="shared" si="176"/>
        <v>12</v>
      </c>
      <c r="E2486">
        <f t="shared" si="177"/>
        <v>12</v>
      </c>
      <c r="F2486">
        <f t="shared" si="178"/>
        <v>2024</v>
      </c>
      <c r="G2486" t="s">
        <v>73</v>
      </c>
      <c r="H2486" s="98">
        <v>11760</v>
      </c>
      <c r="I2486" s="29">
        <v>84586.81</v>
      </c>
      <c r="J2486" s="12" t="s">
        <v>51</v>
      </c>
      <c r="K2486" s="76">
        <f t="shared" si="180"/>
        <v>88816.150500000003</v>
      </c>
      <c r="L2486">
        <v>1.05</v>
      </c>
      <c r="M2486" s="29">
        <v>0</v>
      </c>
      <c r="N2486" t="s">
        <v>32</v>
      </c>
      <c r="O2486" t="s">
        <v>33</v>
      </c>
      <c r="P2486" t="s">
        <v>34</v>
      </c>
      <c r="Q2486" t="s">
        <v>34</v>
      </c>
      <c r="R2486" t="s">
        <v>34</v>
      </c>
      <c r="S2486" t="s">
        <v>34</v>
      </c>
      <c r="T2486" s="117">
        <v>0</v>
      </c>
    </row>
    <row r="2487" spans="1:20" x14ac:dyDescent="0.35">
      <c r="A2487" t="s">
        <v>19</v>
      </c>
      <c r="B2487" t="s">
        <v>26</v>
      </c>
      <c r="C2487" s="1">
        <v>45638</v>
      </c>
      <c r="D2487">
        <f t="shared" si="176"/>
        <v>12</v>
      </c>
      <c r="E2487">
        <f t="shared" si="177"/>
        <v>12</v>
      </c>
      <c r="F2487">
        <f t="shared" si="178"/>
        <v>2024</v>
      </c>
      <c r="G2487" t="s">
        <v>73</v>
      </c>
      <c r="H2487" s="98">
        <v>11779</v>
      </c>
      <c r="I2487" s="29">
        <v>85106.8</v>
      </c>
      <c r="J2487" s="12" t="s">
        <v>51</v>
      </c>
      <c r="K2487" s="76">
        <f t="shared" si="180"/>
        <v>89362.140000000014</v>
      </c>
      <c r="L2487">
        <v>1.05</v>
      </c>
      <c r="M2487" s="29">
        <v>0</v>
      </c>
      <c r="N2487" t="s">
        <v>32</v>
      </c>
      <c r="O2487" t="s">
        <v>33</v>
      </c>
      <c r="P2487" t="s">
        <v>34</v>
      </c>
      <c r="Q2487" t="s">
        <v>34</v>
      </c>
      <c r="R2487" t="s">
        <v>34</v>
      </c>
      <c r="S2487" t="s">
        <v>34</v>
      </c>
      <c r="T2487" s="117">
        <v>0</v>
      </c>
    </row>
    <row r="2488" spans="1:20" x14ac:dyDescent="0.35">
      <c r="A2488" t="s">
        <v>19</v>
      </c>
      <c r="B2488" t="s">
        <v>27</v>
      </c>
      <c r="C2488" s="1">
        <v>45638</v>
      </c>
      <c r="D2488">
        <f t="shared" si="176"/>
        <v>12</v>
      </c>
      <c r="E2488">
        <f t="shared" si="177"/>
        <v>12</v>
      </c>
      <c r="F2488">
        <f t="shared" si="178"/>
        <v>2024</v>
      </c>
      <c r="G2488" t="s">
        <v>100</v>
      </c>
      <c r="H2488" s="98">
        <v>11243</v>
      </c>
      <c r="I2488" s="29">
        <v>160000</v>
      </c>
      <c r="J2488" s="12" t="s">
        <v>31</v>
      </c>
      <c r="K2488" s="76">
        <f t="shared" si="180"/>
        <v>160000</v>
      </c>
      <c r="L2488">
        <v>1</v>
      </c>
      <c r="M2488" s="29">
        <v>0</v>
      </c>
      <c r="N2488" t="s">
        <v>32</v>
      </c>
      <c r="O2488" t="s">
        <v>33</v>
      </c>
      <c r="P2488" t="s">
        <v>34</v>
      </c>
      <c r="Q2488" t="s">
        <v>34</v>
      </c>
      <c r="R2488" t="s">
        <v>34</v>
      </c>
      <c r="S2488" t="s">
        <v>34</v>
      </c>
      <c r="T2488" s="117">
        <v>0</v>
      </c>
    </row>
    <row r="2489" spans="1:20" x14ac:dyDescent="0.35">
      <c r="A2489" t="s">
        <v>19</v>
      </c>
      <c r="B2489" t="s">
        <v>25</v>
      </c>
      <c r="C2489" s="1">
        <v>45644</v>
      </c>
      <c r="D2489">
        <f t="shared" si="176"/>
        <v>18</v>
      </c>
      <c r="E2489">
        <f t="shared" si="177"/>
        <v>12</v>
      </c>
      <c r="F2489">
        <f t="shared" si="178"/>
        <v>2024</v>
      </c>
      <c r="G2489" t="s">
        <v>351</v>
      </c>
      <c r="H2489" s="98">
        <v>10662</v>
      </c>
      <c r="I2489" s="29">
        <v>12827</v>
      </c>
      <c r="J2489" s="12" t="s">
        <v>31</v>
      </c>
      <c r="K2489" s="76">
        <f t="shared" si="180"/>
        <v>12827</v>
      </c>
      <c r="L2489">
        <v>1</v>
      </c>
      <c r="M2489" s="29">
        <v>0</v>
      </c>
      <c r="N2489" t="s">
        <v>32</v>
      </c>
      <c r="O2489" t="s">
        <v>33</v>
      </c>
      <c r="P2489" t="s">
        <v>34</v>
      </c>
      <c r="Q2489" t="s">
        <v>34</v>
      </c>
      <c r="R2489" t="s">
        <v>34</v>
      </c>
      <c r="S2489" t="s">
        <v>34</v>
      </c>
      <c r="T2489" s="117">
        <v>0</v>
      </c>
    </row>
    <row r="2490" spans="1:20" x14ac:dyDescent="0.35">
      <c r="A2490" t="s">
        <v>19</v>
      </c>
      <c r="B2490" t="s">
        <v>23</v>
      </c>
      <c r="C2490" s="1">
        <v>45644</v>
      </c>
      <c r="D2490">
        <f t="shared" si="176"/>
        <v>18</v>
      </c>
      <c r="E2490">
        <f t="shared" si="177"/>
        <v>12</v>
      </c>
      <c r="F2490">
        <f t="shared" si="178"/>
        <v>2024</v>
      </c>
      <c r="G2490" t="s">
        <v>74</v>
      </c>
      <c r="H2490" s="98">
        <v>11482</v>
      </c>
      <c r="I2490" s="29">
        <v>162603.59</v>
      </c>
      <c r="J2490" s="12" t="s">
        <v>31</v>
      </c>
      <c r="K2490" s="76">
        <f t="shared" si="180"/>
        <v>162603.59</v>
      </c>
      <c r="L2490">
        <v>1</v>
      </c>
      <c r="M2490" s="29">
        <v>0</v>
      </c>
      <c r="N2490" t="s">
        <v>32</v>
      </c>
      <c r="O2490" t="s">
        <v>33</v>
      </c>
      <c r="P2490" t="s">
        <v>34</v>
      </c>
      <c r="Q2490" t="s">
        <v>34</v>
      </c>
      <c r="R2490" t="s">
        <v>34</v>
      </c>
      <c r="S2490" t="s">
        <v>34</v>
      </c>
      <c r="T2490" s="117">
        <v>0</v>
      </c>
    </row>
    <row r="2491" spans="1:20" x14ac:dyDescent="0.35">
      <c r="A2491" t="s">
        <v>19</v>
      </c>
      <c r="B2491" t="s">
        <v>23</v>
      </c>
      <c r="C2491" s="1">
        <v>45644</v>
      </c>
      <c r="D2491">
        <f t="shared" si="176"/>
        <v>18</v>
      </c>
      <c r="E2491">
        <f t="shared" si="177"/>
        <v>12</v>
      </c>
      <c r="F2491">
        <f t="shared" si="178"/>
        <v>2024</v>
      </c>
      <c r="G2491" t="s">
        <v>74</v>
      </c>
      <c r="H2491" s="98">
        <v>11244</v>
      </c>
      <c r="I2491" s="29">
        <v>84093.75</v>
      </c>
      <c r="J2491" s="12" t="s">
        <v>31</v>
      </c>
      <c r="K2491" s="76">
        <f t="shared" si="180"/>
        <v>84093.75</v>
      </c>
      <c r="L2491">
        <v>1</v>
      </c>
      <c r="M2491" s="29">
        <v>0</v>
      </c>
      <c r="N2491" t="s">
        <v>32</v>
      </c>
      <c r="O2491" t="s">
        <v>33</v>
      </c>
      <c r="P2491" t="s">
        <v>34</v>
      </c>
      <c r="Q2491" t="s">
        <v>34</v>
      </c>
      <c r="R2491" t="s">
        <v>34</v>
      </c>
      <c r="S2491" t="s">
        <v>34</v>
      </c>
      <c r="T2491" s="117">
        <v>0</v>
      </c>
    </row>
    <row r="2492" spans="1:20" x14ac:dyDescent="0.35">
      <c r="A2492" t="s">
        <v>19</v>
      </c>
      <c r="B2492" t="s">
        <v>23</v>
      </c>
      <c r="C2492" s="1">
        <v>45644</v>
      </c>
      <c r="D2492">
        <f t="shared" si="176"/>
        <v>18</v>
      </c>
      <c r="E2492">
        <f t="shared" si="177"/>
        <v>12</v>
      </c>
      <c r="F2492">
        <f t="shared" si="178"/>
        <v>2024</v>
      </c>
      <c r="G2492" t="s">
        <v>74</v>
      </c>
      <c r="H2492" s="98">
        <v>11304</v>
      </c>
      <c r="I2492" s="29">
        <v>55048.9</v>
      </c>
      <c r="J2492" s="12" t="s">
        <v>31</v>
      </c>
      <c r="K2492" s="76">
        <f t="shared" si="180"/>
        <v>55048.9</v>
      </c>
      <c r="L2492">
        <v>1</v>
      </c>
      <c r="M2492" s="29">
        <v>0</v>
      </c>
      <c r="N2492" t="s">
        <v>32</v>
      </c>
      <c r="O2492" t="s">
        <v>33</v>
      </c>
      <c r="P2492" t="s">
        <v>34</v>
      </c>
      <c r="Q2492" t="s">
        <v>34</v>
      </c>
      <c r="R2492" t="s">
        <v>34</v>
      </c>
      <c r="S2492" t="s">
        <v>34</v>
      </c>
      <c r="T2492" s="117">
        <v>0</v>
      </c>
    </row>
    <row r="2493" spans="1:20" x14ac:dyDescent="0.35">
      <c r="A2493" t="s">
        <v>19</v>
      </c>
      <c r="B2493" t="s">
        <v>23</v>
      </c>
      <c r="C2493" s="1">
        <v>45644</v>
      </c>
      <c r="D2493">
        <f t="shared" si="176"/>
        <v>18</v>
      </c>
      <c r="E2493">
        <f t="shared" si="177"/>
        <v>12</v>
      </c>
      <c r="F2493">
        <f t="shared" si="178"/>
        <v>2024</v>
      </c>
      <c r="G2493" t="s">
        <v>74</v>
      </c>
      <c r="H2493" s="98">
        <v>11428</v>
      </c>
      <c r="I2493" s="29">
        <v>13192.4</v>
      </c>
      <c r="J2493" s="12" t="s">
        <v>31</v>
      </c>
      <c r="K2493" s="76">
        <f t="shared" si="180"/>
        <v>13192.4</v>
      </c>
      <c r="L2493">
        <v>1</v>
      </c>
      <c r="M2493" s="29">
        <v>0</v>
      </c>
      <c r="N2493" t="s">
        <v>32</v>
      </c>
      <c r="O2493" t="s">
        <v>33</v>
      </c>
      <c r="P2493" t="s">
        <v>34</v>
      </c>
      <c r="Q2493" t="s">
        <v>34</v>
      </c>
      <c r="R2493" t="s">
        <v>34</v>
      </c>
      <c r="S2493" t="s">
        <v>34</v>
      </c>
      <c r="T2493" s="117">
        <v>0</v>
      </c>
    </row>
    <row r="2494" spans="1:20" x14ac:dyDescent="0.35">
      <c r="A2494" t="s">
        <v>19</v>
      </c>
      <c r="B2494" t="s">
        <v>27</v>
      </c>
      <c r="C2494" s="1">
        <v>45644</v>
      </c>
      <c r="D2494">
        <f t="shared" si="176"/>
        <v>18</v>
      </c>
      <c r="E2494">
        <f t="shared" si="177"/>
        <v>12</v>
      </c>
      <c r="F2494">
        <f t="shared" si="178"/>
        <v>2024</v>
      </c>
      <c r="G2494" t="s">
        <v>100</v>
      </c>
      <c r="H2494" s="98">
        <v>11243</v>
      </c>
      <c r="I2494" s="29">
        <v>201288.65</v>
      </c>
      <c r="J2494" s="12" t="s">
        <v>31</v>
      </c>
      <c r="K2494" s="76">
        <f t="shared" si="180"/>
        <v>201288.65</v>
      </c>
      <c r="L2494">
        <v>1</v>
      </c>
      <c r="M2494" s="29">
        <v>0</v>
      </c>
      <c r="N2494" t="s">
        <v>32</v>
      </c>
      <c r="O2494" t="s">
        <v>33</v>
      </c>
      <c r="P2494" t="s">
        <v>34</v>
      </c>
      <c r="Q2494" t="s">
        <v>34</v>
      </c>
      <c r="R2494" t="s">
        <v>34</v>
      </c>
      <c r="S2494" t="s">
        <v>34</v>
      </c>
      <c r="T2494" s="117">
        <v>0</v>
      </c>
    </row>
    <row r="2495" spans="1:20" x14ac:dyDescent="0.35">
      <c r="A2495" t="s">
        <v>19</v>
      </c>
      <c r="B2495" t="s">
        <v>27</v>
      </c>
      <c r="C2495" s="1">
        <v>45644</v>
      </c>
      <c r="D2495">
        <f t="shared" si="176"/>
        <v>18</v>
      </c>
      <c r="E2495">
        <f t="shared" si="177"/>
        <v>12</v>
      </c>
      <c r="F2495">
        <f t="shared" si="178"/>
        <v>2024</v>
      </c>
      <c r="G2495" t="s">
        <v>100</v>
      </c>
      <c r="H2495" s="98">
        <v>11483</v>
      </c>
      <c r="I2495" s="29">
        <v>236306.02</v>
      </c>
      <c r="J2495" s="12" t="s">
        <v>31</v>
      </c>
      <c r="K2495" s="76">
        <f t="shared" si="180"/>
        <v>236306.02</v>
      </c>
      <c r="L2495">
        <v>1</v>
      </c>
      <c r="M2495" s="29">
        <v>0</v>
      </c>
      <c r="N2495" t="s">
        <v>32</v>
      </c>
      <c r="O2495" t="s">
        <v>33</v>
      </c>
      <c r="P2495" t="s">
        <v>34</v>
      </c>
      <c r="Q2495" t="s">
        <v>34</v>
      </c>
      <c r="R2495" t="s">
        <v>34</v>
      </c>
      <c r="S2495" t="s">
        <v>34</v>
      </c>
      <c r="T2495" s="117">
        <v>0</v>
      </c>
    </row>
    <row r="2496" spans="1:20" x14ac:dyDescent="0.35">
      <c r="A2496" t="s">
        <v>19</v>
      </c>
      <c r="B2496" t="s">
        <v>23</v>
      </c>
      <c r="C2496" s="1">
        <v>45644</v>
      </c>
      <c r="D2496">
        <f t="shared" si="176"/>
        <v>18</v>
      </c>
      <c r="E2496">
        <f t="shared" si="177"/>
        <v>12</v>
      </c>
      <c r="F2496">
        <f t="shared" si="178"/>
        <v>2024</v>
      </c>
      <c r="G2496" t="s">
        <v>28</v>
      </c>
      <c r="H2496" s="98">
        <v>11303</v>
      </c>
      <c r="I2496" s="29">
        <v>25986.3</v>
      </c>
      <c r="J2496" s="12" t="s">
        <v>31</v>
      </c>
      <c r="K2496" s="76">
        <f t="shared" si="180"/>
        <v>25986.3</v>
      </c>
      <c r="L2496">
        <v>1</v>
      </c>
      <c r="M2496" s="29">
        <v>0</v>
      </c>
      <c r="N2496" t="s">
        <v>32</v>
      </c>
      <c r="O2496" t="s">
        <v>33</v>
      </c>
      <c r="P2496" t="s">
        <v>34</v>
      </c>
      <c r="Q2496" t="s">
        <v>34</v>
      </c>
      <c r="R2496" t="s">
        <v>34</v>
      </c>
      <c r="S2496" t="s">
        <v>34</v>
      </c>
      <c r="T2496" s="117">
        <v>0</v>
      </c>
    </row>
    <row r="2497" spans="1:20" x14ac:dyDescent="0.35">
      <c r="A2497" t="s">
        <v>19</v>
      </c>
      <c r="B2497" t="s">
        <v>21</v>
      </c>
      <c r="C2497" s="1">
        <v>45644</v>
      </c>
      <c r="D2497">
        <f t="shared" si="176"/>
        <v>18</v>
      </c>
      <c r="E2497">
        <f t="shared" si="177"/>
        <v>12</v>
      </c>
      <c r="F2497">
        <f t="shared" si="178"/>
        <v>2024</v>
      </c>
      <c r="G2497" t="s">
        <v>76</v>
      </c>
      <c r="H2497" s="98">
        <v>11122</v>
      </c>
      <c r="I2497" s="29">
        <v>243.2</v>
      </c>
      <c r="J2497" s="12" t="s">
        <v>31</v>
      </c>
      <c r="K2497" s="76">
        <f t="shared" si="180"/>
        <v>243.2</v>
      </c>
      <c r="L2497">
        <v>1</v>
      </c>
      <c r="M2497" s="29">
        <v>0</v>
      </c>
      <c r="N2497" t="s">
        <v>32</v>
      </c>
      <c r="O2497" t="s">
        <v>33</v>
      </c>
      <c r="P2497" t="s">
        <v>34</v>
      </c>
      <c r="Q2497" t="s">
        <v>34</v>
      </c>
      <c r="R2497" t="s">
        <v>34</v>
      </c>
      <c r="S2497" t="s">
        <v>34</v>
      </c>
      <c r="T2497" s="117">
        <v>0</v>
      </c>
    </row>
    <row r="2498" spans="1:20" x14ac:dyDescent="0.35">
      <c r="A2498" t="s">
        <v>19</v>
      </c>
      <c r="B2498" t="s">
        <v>21</v>
      </c>
      <c r="C2498" s="1">
        <v>45644</v>
      </c>
      <c r="D2498">
        <f t="shared" si="176"/>
        <v>18</v>
      </c>
      <c r="E2498">
        <f t="shared" si="177"/>
        <v>12</v>
      </c>
      <c r="F2498">
        <f t="shared" si="178"/>
        <v>2024</v>
      </c>
      <c r="G2498" t="s">
        <v>76</v>
      </c>
      <c r="H2498" s="98">
        <v>10641</v>
      </c>
      <c r="I2498" s="29">
        <v>60</v>
      </c>
      <c r="J2498" s="12" t="s">
        <v>31</v>
      </c>
      <c r="K2498" s="76">
        <f t="shared" si="180"/>
        <v>60</v>
      </c>
      <c r="L2498">
        <v>1</v>
      </c>
      <c r="M2498" s="29">
        <v>0</v>
      </c>
      <c r="N2498" t="s">
        <v>32</v>
      </c>
      <c r="O2498" t="s">
        <v>33</v>
      </c>
      <c r="P2498" t="s">
        <v>34</v>
      </c>
      <c r="Q2498" t="s">
        <v>34</v>
      </c>
      <c r="R2498" t="s">
        <v>34</v>
      </c>
      <c r="S2498" t="s">
        <v>34</v>
      </c>
      <c r="T2498" s="117">
        <v>0</v>
      </c>
    </row>
    <row r="2499" spans="1:20" x14ac:dyDescent="0.35">
      <c r="A2499" t="s">
        <v>19</v>
      </c>
      <c r="B2499" t="s">
        <v>24</v>
      </c>
      <c r="C2499" s="1">
        <v>45644</v>
      </c>
      <c r="D2499">
        <f t="shared" ref="D2499:D2562" si="181">DAY(C2499)</f>
        <v>18</v>
      </c>
      <c r="E2499">
        <f t="shared" ref="E2499:E2562" si="182">MONTH(C2499)</f>
        <v>12</v>
      </c>
      <c r="F2499">
        <f t="shared" ref="F2499:F2562" si="183">YEAR(C2499)</f>
        <v>2024</v>
      </c>
      <c r="G2499" t="s">
        <v>76</v>
      </c>
      <c r="H2499" s="98">
        <v>11011</v>
      </c>
      <c r="I2499" s="29">
        <v>38.799999999999997</v>
      </c>
      <c r="J2499" s="12" t="s">
        <v>31</v>
      </c>
      <c r="K2499" s="76">
        <f t="shared" si="180"/>
        <v>38.799999999999997</v>
      </c>
      <c r="L2499">
        <v>1</v>
      </c>
      <c r="M2499" s="29">
        <v>0</v>
      </c>
      <c r="N2499" t="s">
        <v>32</v>
      </c>
      <c r="O2499" t="s">
        <v>33</v>
      </c>
      <c r="P2499" t="s">
        <v>34</v>
      </c>
      <c r="Q2499" t="s">
        <v>34</v>
      </c>
      <c r="R2499" t="s">
        <v>34</v>
      </c>
      <c r="S2499" t="s">
        <v>34</v>
      </c>
      <c r="T2499" s="117">
        <v>0</v>
      </c>
    </row>
    <row r="2500" spans="1:20" x14ac:dyDescent="0.35">
      <c r="A2500" t="s">
        <v>19</v>
      </c>
      <c r="B2500" t="s">
        <v>24</v>
      </c>
      <c r="C2500" s="1">
        <v>45644</v>
      </c>
      <c r="D2500">
        <f t="shared" si="181"/>
        <v>18</v>
      </c>
      <c r="E2500">
        <f t="shared" si="182"/>
        <v>12</v>
      </c>
      <c r="F2500">
        <f t="shared" si="183"/>
        <v>2024</v>
      </c>
      <c r="G2500" t="s">
        <v>76</v>
      </c>
      <c r="H2500" s="98">
        <v>11701</v>
      </c>
      <c r="I2500" s="29">
        <v>6651.6</v>
      </c>
      <c r="J2500" s="12" t="s">
        <v>31</v>
      </c>
      <c r="K2500" s="76">
        <f t="shared" si="180"/>
        <v>6651.6</v>
      </c>
      <c r="L2500">
        <v>1</v>
      </c>
      <c r="M2500" s="29">
        <v>0</v>
      </c>
      <c r="N2500" t="s">
        <v>32</v>
      </c>
      <c r="O2500" t="s">
        <v>33</v>
      </c>
      <c r="P2500" t="s">
        <v>34</v>
      </c>
      <c r="Q2500" t="s">
        <v>34</v>
      </c>
      <c r="R2500" t="s">
        <v>34</v>
      </c>
      <c r="S2500" t="s">
        <v>34</v>
      </c>
      <c r="T2500" s="117">
        <v>0</v>
      </c>
    </row>
    <row r="2501" spans="1:20" x14ac:dyDescent="0.35">
      <c r="A2501" t="s">
        <v>19</v>
      </c>
      <c r="B2501" t="s">
        <v>23</v>
      </c>
      <c r="C2501" s="1">
        <v>45644</v>
      </c>
      <c r="D2501">
        <f t="shared" si="181"/>
        <v>18</v>
      </c>
      <c r="E2501">
        <f t="shared" si="182"/>
        <v>12</v>
      </c>
      <c r="F2501">
        <f t="shared" si="183"/>
        <v>2024</v>
      </c>
      <c r="G2501" t="s">
        <v>76</v>
      </c>
      <c r="H2501" s="98">
        <v>11701</v>
      </c>
      <c r="I2501" s="29">
        <v>37282</v>
      </c>
      <c r="J2501" s="12" t="s">
        <v>31</v>
      </c>
      <c r="K2501" s="76">
        <f t="shared" si="180"/>
        <v>37282</v>
      </c>
      <c r="L2501">
        <v>1</v>
      </c>
      <c r="M2501" s="29">
        <v>0</v>
      </c>
      <c r="N2501" t="s">
        <v>32</v>
      </c>
      <c r="O2501" t="s">
        <v>33</v>
      </c>
      <c r="P2501" t="s">
        <v>34</v>
      </c>
      <c r="Q2501" t="s">
        <v>34</v>
      </c>
      <c r="R2501" t="s">
        <v>34</v>
      </c>
      <c r="S2501" t="s">
        <v>34</v>
      </c>
      <c r="T2501" s="117">
        <v>0</v>
      </c>
    </row>
    <row r="2502" spans="1:20" x14ac:dyDescent="0.35">
      <c r="A2502" t="s">
        <v>19</v>
      </c>
      <c r="B2502" t="s">
        <v>21</v>
      </c>
      <c r="C2502" s="1">
        <v>45644</v>
      </c>
      <c r="D2502">
        <f t="shared" si="181"/>
        <v>18</v>
      </c>
      <c r="E2502">
        <f t="shared" si="182"/>
        <v>12</v>
      </c>
      <c r="F2502">
        <f t="shared" si="183"/>
        <v>2024</v>
      </c>
      <c r="G2502" t="s">
        <v>40</v>
      </c>
      <c r="H2502" s="98">
        <v>11596</v>
      </c>
      <c r="I2502" s="29">
        <v>55.7</v>
      </c>
      <c r="J2502" s="12" t="s">
        <v>31</v>
      </c>
      <c r="K2502" s="76">
        <f t="shared" si="180"/>
        <v>55.7</v>
      </c>
      <c r="L2502">
        <v>1</v>
      </c>
      <c r="M2502" s="29">
        <v>0</v>
      </c>
      <c r="N2502" t="s">
        <v>32</v>
      </c>
      <c r="O2502" t="s">
        <v>33</v>
      </c>
      <c r="P2502" t="s">
        <v>34</v>
      </c>
      <c r="Q2502" t="s">
        <v>34</v>
      </c>
      <c r="R2502" t="s">
        <v>34</v>
      </c>
      <c r="S2502" t="s">
        <v>34</v>
      </c>
      <c r="T2502" s="117">
        <v>0</v>
      </c>
    </row>
    <row r="2503" spans="1:20" x14ac:dyDescent="0.35">
      <c r="A2503" t="s">
        <v>19</v>
      </c>
      <c r="B2503" t="s">
        <v>25</v>
      </c>
      <c r="C2503" s="1">
        <v>45644</v>
      </c>
      <c r="D2503">
        <f t="shared" si="181"/>
        <v>18</v>
      </c>
      <c r="E2503">
        <f t="shared" si="182"/>
        <v>12</v>
      </c>
      <c r="F2503">
        <f t="shared" si="183"/>
        <v>2024</v>
      </c>
      <c r="G2503" t="s">
        <v>39</v>
      </c>
      <c r="H2503" s="98">
        <v>11054</v>
      </c>
      <c r="I2503" s="29">
        <v>32.94</v>
      </c>
      <c r="J2503" s="12" t="s">
        <v>31</v>
      </c>
      <c r="K2503" s="76">
        <f t="shared" si="180"/>
        <v>32.94</v>
      </c>
      <c r="L2503">
        <v>1</v>
      </c>
      <c r="M2503" s="29">
        <v>0</v>
      </c>
      <c r="N2503" t="s">
        <v>32</v>
      </c>
      <c r="O2503" t="s">
        <v>33</v>
      </c>
      <c r="P2503" t="s">
        <v>34</v>
      </c>
      <c r="Q2503" t="s">
        <v>34</v>
      </c>
      <c r="R2503" t="s">
        <v>34</v>
      </c>
      <c r="S2503" t="s">
        <v>34</v>
      </c>
      <c r="T2503" s="117">
        <v>0</v>
      </c>
    </row>
    <row r="2504" spans="1:20" x14ac:dyDescent="0.35">
      <c r="A2504" t="s">
        <v>19</v>
      </c>
      <c r="B2504" t="s">
        <v>25</v>
      </c>
      <c r="C2504" s="1">
        <v>45644</v>
      </c>
      <c r="D2504">
        <f t="shared" si="181"/>
        <v>18</v>
      </c>
      <c r="E2504">
        <f t="shared" si="182"/>
        <v>12</v>
      </c>
      <c r="F2504">
        <f t="shared" si="183"/>
        <v>2024</v>
      </c>
      <c r="G2504" t="s">
        <v>39</v>
      </c>
      <c r="H2504" s="98">
        <v>11271</v>
      </c>
      <c r="I2504" s="29">
        <v>22563.9</v>
      </c>
      <c r="J2504" s="12" t="s">
        <v>31</v>
      </c>
      <c r="K2504" s="76">
        <f t="shared" si="180"/>
        <v>22563.9</v>
      </c>
      <c r="L2504">
        <v>1</v>
      </c>
      <c r="M2504" s="29">
        <v>0</v>
      </c>
      <c r="N2504" t="s">
        <v>32</v>
      </c>
      <c r="O2504" t="s">
        <v>33</v>
      </c>
      <c r="P2504" t="s">
        <v>34</v>
      </c>
      <c r="Q2504" t="s">
        <v>34</v>
      </c>
      <c r="R2504" t="s">
        <v>34</v>
      </c>
      <c r="S2504" t="s">
        <v>34</v>
      </c>
      <c r="T2504" s="117">
        <v>0</v>
      </c>
    </row>
    <row r="2505" spans="1:20" x14ac:dyDescent="0.35">
      <c r="A2505" t="s">
        <v>19</v>
      </c>
      <c r="B2505" t="s">
        <v>25</v>
      </c>
      <c r="C2505" s="1">
        <v>45644</v>
      </c>
      <c r="D2505">
        <f t="shared" si="181"/>
        <v>18</v>
      </c>
      <c r="E2505">
        <f t="shared" si="182"/>
        <v>12</v>
      </c>
      <c r="F2505">
        <f t="shared" si="183"/>
        <v>2024</v>
      </c>
      <c r="G2505" t="s">
        <v>93</v>
      </c>
      <c r="H2505" s="98">
        <v>11501</v>
      </c>
      <c r="I2505" s="29">
        <v>32.4</v>
      </c>
      <c r="J2505" s="12" t="s">
        <v>31</v>
      </c>
      <c r="K2505" s="76">
        <f t="shared" si="180"/>
        <v>32.4</v>
      </c>
      <c r="L2505">
        <v>1</v>
      </c>
      <c r="M2505" s="29">
        <v>0</v>
      </c>
      <c r="N2505" t="s">
        <v>32</v>
      </c>
      <c r="O2505" t="s">
        <v>33</v>
      </c>
      <c r="P2505" t="s">
        <v>34</v>
      </c>
      <c r="Q2505" t="s">
        <v>34</v>
      </c>
      <c r="R2505" t="s">
        <v>34</v>
      </c>
      <c r="S2505" t="s">
        <v>34</v>
      </c>
      <c r="T2505" s="117">
        <v>0</v>
      </c>
    </row>
    <row r="2506" spans="1:20" x14ac:dyDescent="0.35">
      <c r="A2506" t="s">
        <v>19</v>
      </c>
      <c r="B2506" t="s">
        <v>25</v>
      </c>
      <c r="C2506" s="1">
        <v>45644</v>
      </c>
      <c r="D2506">
        <f t="shared" si="181"/>
        <v>18</v>
      </c>
      <c r="E2506">
        <f t="shared" si="182"/>
        <v>12</v>
      </c>
      <c r="F2506">
        <f t="shared" si="183"/>
        <v>2024</v>
      </c>
      <c r="G2506" t="s">
        <v>93</v>
      </c>
      <c r="H2506" s="171">
        <v>11115</v>
      </c>
      <c r="I2506" s="90">
        <v>20475</v>
      </c>
      <c r="J2506" s="12" t="s">
        <v>31</v>
      </c>
      <c r="K2506" s="76">
        <f t="shared" si="180"/>
        <v>20475</v>
      </c>
      <c r="L2506">
        <v>1</v>
      </c>
      <c r="M2506" s="29">
        <v>0</v>
      </c>
      <c r="N2506" t="s">
        <v>32</v>
      </c>
      <c r="O2506" t="s">
        <v>33</v>
      </c>
      <c r="P2506" t="s">
        <v>34</v>
      </c>
      <c r="Q2506" t="s">
        <v>34</v>
      </c>
      <c r="R2506" t="s">
        <v>34</v>
      </c>
      <c r="S2506" t="s">
        <v>34</v>
      </c>
      <c r="T2506" s="117">
        <v>0</v>
      </c>
    </row>
    <row r="2507" spans="1:20" x14ac:dyDescent="0.35">
      <c r="A2507" t="s">
        <v>19</v>
      </c>
      <c r="B2507" t="s">
        <v>25</v>
      </c>
      <c r="C2507" s="1">
        <v>45644</v>
      </c>
      <c r="D2507">
        <f t="shared" si="181"/>
        <v>18</v>
      </c>
      <c r="E2507">
        <f t="shared" si="182"/>
        <v>12</v>
      </c>
      <c r="F2507">
        <f t="shared" si="183"/>
        <v>2024</v>
      </c>
      <c r="G2507" t="s">
        <v>93</v>
      </c>
      <c r="H2507" s="171">
        <v>11578</v>
      </c>
      <c r="I2507" s="90">
        <v>46103.61</v>
      </c>
      <c r="J2507" s="12" t="s">
        <v>31</v>
      </c>
      <c r="K2507" s="76">
        <f t="shared" si="180"/>
        <v>46103.61</v>
      </c>
      <c r="L2507">
        <v>1</v>
      </c>
      <c r="M2507" s="29">
        <v>0</v>
      </c>
      <c r="N2507" t="s">
        <v>32</v>
      </c>
      <c r="O2507" t="s">
        <v>33</v>
      </c>
      <c r="P2507" t="s">
        <v>34</v>
      </c>
      <c r="Q2507" t="s">
        <v>34</v>
      </c>
      <c r="R2507" t="s">
        <v>34</v>
      </c>
      <c r="S2507" t="s">
        <v>34</v>
      </c>
      <c r="T2507" s="117">
        <v>0</v>
      </c>
    </row>
    <row r="2508" spans="1:20" x14ac:dyDescent="0.35">
      <c r="A2508" t="s">
        <v>19</v>
      </c>
      <c r="B2508" t="s">
        <v>24</v>
      </c>
      <c r="C2508" s="1">
        <v>45644</v>
      </c>
      <c r="D2508">
        <f t="shared" si="181"/>
        <v>18</v>
      </c>
      <c r="E2508">
        <f t="shared" si="182"/>
        <v>12</v>
      </c>
      <c r="F2508">
        <f t="shared" si="183"/>
        <v>2024</v>
      </c>
      <c r="G2508" t="s">
        <v>36</v>
      </c>
      <c r="H2508" s="98">
        <v>11237</v>
      </c>
      <c r="I2508" s="29">
        <v>30</v>
      </c>
      <c r="J2508" s="12" t="s">
        <v>31</v>
      </c>
      <c r="K2508" s="76">
        <f t="shared" ref="K2508:K2539" si="184">IF(J2508="USD",I2508,I2508*L2508)</f>
        <v>30</v>
      </c>
      <c r="L2508">
        <v>1</v>
      </c>
      <c r="M2508" s="29">
        <v>0</v>
      </c>
      <c r="N2508" t="s">
        <v>32</v>
      </c>
      <c r="O2508" t="s">
        <v>33</v>
      </c>
      <c r="P2508" t="s">
        <v>34</v>
      </c>
      <c r="Q2508" t="s">
        <v>34</v>
      </c>
      <c r="R2508" t="s">
        <v>34</v>
      </c>
      <c r="S2508" t="s">
        <v>34</v>
      </c>
      <c r="T2508" s="117">
        <v>0</v>
      </c>
    </row>
    <row r="2509" spans="1:20" x14ac:dyDescent="0.35">
      <c r="A2509" t="s">
        <v>19</v>
      </c>
      <c r="B2509" t="s">
        <v>21</v>
      </c>
      <c r="C2509" s="1">
        <v>45644</v>
      </c>
      <c r="D2509">
        <f t="shared" si="181"/>
        <v>18</v>
      </c>
      <c r="E2509">
        <f t="shared" si="182"/>
        <v>12</v>
      </c>
      <c r="F2509">
        <f t="shared" si="183"/>
        <v>2024</v>
      </c>
      <c r="G2509" t="s">
        <v>36</v>
      </c>
      <c r="H2509" s="98">
        <v>11513</v>
      </c>
      <c r="I2509" s="29">
        <v>60</v>
      </c>
      <c r="J2509" s="12" t="s">
        <v>31</v>
      </c>
      <c r="K2509" s="76">
        <f t="shared" si="184"/>
        <v>60</v>
      </c>
      <c r="L2509">
        <v>1</v>
      </c>
      <c r="M2509" s="29">
        <v>0</v>
      </c>
      <c r="N2509" t="s">
        <v>32</v>
      </c>
      <c r="O2509" t="s">
        <v>33</v>
      </c>
      <c r="P2509" t="s">
        <v>34</v>
      </c>
      <c r="Q2509" t="s">
        <v>34</v>
      </c>
      <c r="R2509" t="s">
        <v>34</v>
      </c>
      <c r="S2509" t="s">
        <v>34</v>
      </c>
      <c r="T2509" s="117">
        <v>0</v>
      </c>
    </row>
    <row r="2510" spans="1:20" x14ac:dyDescent="0.35">
      <c r="A2510" t="s">
        <v>19</v>
      </c>
      <c r="B2510" t="s">
        <v>25</v>
      </c>
      <c r="C2510" s="1">
        <v>45644</v>
      </c>
      <c r="D2510">
        <f t="shared" si="181"/>
        <v>18</v>
      </c>
      <c r="E2510">
        <f t="shared" si="182"/>
        <v>12</v>
      </c>
      <c r="F2510">
        <f t="shared" si="183"/>
        <v>2024</v>
      </c>
      <c r="G2510" t="s">
        <v>38</v>
      </c>
      <c r="H2510" s="98">
        <v>11597</v>
      </c>
      <c r="I2510" s="29">
        <v>9320.08</v>
      </c>
      <c r="J2510" s="12" t="s">
        <v>31</v>
      </c>
      <c r="K2510" s="76">
        <f t="shared" si="184"/>
        <v>9320.08</v>
      </c>
      <c r="L2510">
        <v>1</v>
      </c>
      <c r="M2510" s="29">
        <v>0</v>
      </c>
      <c r="N2510" t="s">
        <v>32</v>
      </c>
      <c r="O2510" t="s">
        <v>33</v>
      </c>
      <c r="P2510" t="s">
        <v>34</v>
      </c>
      <c r="Q2510" t="s">
        <v>34</v>
      </c>
      <c r="R2510" t="s">
        <v>34</v>
      </c>
      <c r="S2510" t="s">
        <v>34</v>
      </c>
      <c r="T2510" s="117">
        <v>0</v>
      </c>
    </row>
    <row r="2511" spans="1:20" x14ac:dyDescent="0.35">
      <c r="A2511" t="s">
        <v>19</v>
      </c>
      <c r="B2511" t="s">
        <v>24</v>
      </c>
      <c r="C2511" s="1">
        <v>45644</v>
      </c>
      <c r="D2511">
        <f t="shared" si="181"/>
        <v>18</v>
      </c>
      <c r="E2511">
        <f t="shared" si="182"/>
        <v>12</v>
      </c>
      <c r="F2511">
        <f t="shared" si="183"/>
        <v>2024</v>
      </c>
      <c r="G2511" t="s">
        <v>37</v>
      </c>
      <c r="H2511" s="98">
        <v>11763</v>
      </c>
      <c r="I2511" s="29">
        <v>34</v>
      </c>
      <c r="J2511" s="12" t="s">
        <v>31</v>
      </c>
      <c r="K2511" s="76">
        <f t="shared" si="184"/>
        <v>34</v>
      </c>
      <c r="L2511">
        <v>1</v>
      </c>
      <c r="M2511" s="29">
        <v>0</v>
      </c>
      <c r="N2511" t="s">
        <v>32</v>
      </c>
      <c r="O2511" t="s">
        <v>33</v>
      </c>
      <c r="P2511" t="s">
        <v>34</v>
      </c>
      <c r="Q2511" t="s">
        <v>34</v>
      </c>
      <c r="R2511" t="s">
        <v>34</v>
      </c>
      <c r="S2511" t="s">
        <v>34</v>
      </c>
      <c r="T2511" s="117">
        <v>0</v>
      </c>
    </row>
    <row r="2512" spans="1:20" x14ac:dyDescent="0.35">
      <c r="A2512" t="s">
        <v>19</v>
      </c>
      <c r="B2512" t="s">
        <v>21</v>
      </c>
      <c r="C2512" s="1">
        <v>45644</v>
      </c>
      <c r="D2512">
        <f t="shared" si="181"/>
        <v>18</v>
      </c>
      <c r="E2512">
        <f t="shared" si="182"/>
        <v>12</v>
      </c>
      <c r="F2512">
        <f t="shared" si="183"/>
        <v>2024</v>
      </c>
      <c r="G2512" t="s">
        <v>37</v>
      </c>
      <c r="H2512" s="98">
        <v>11233</v>
      </c>
      <c r="I2512" s="29">
        <v>15395</v>
      </c>
      <c r="J2512" s="12" t="s">
        <v>31</v>
      </c>
      <c r="K2512" s="76">
        <f t="shared" si="184"/>
        <v>15395</v>
      </c>
      <c r="L2512">
        <v>1</v>
      </c>
      <c r="M2512" s="29">
        <v>0</v>
      </c>
      <c r="N2512" t="s">
        <v>32</v>
      </c>
      <c r="O2512" t="s">
        <v>33</v>
      </c>
      <c r="P2512" t="s">
        <v>34</v>
      </c>
      <c r="Q2512" t="s">
        <v>34</v>
      </c>
      <c r="R2512" t="s">
        <v>34</v>
      </c>
      <c r="S2512" t="s">
        <v>34</v>
      </c>
      <c r="T2512" s="117">
        <v>0</v>
      </c>
    </row>
    <row r="2513" spans="1:21" x14ac:dyDescent="0.35">
      <c r="A2513" t="s">
        <v>19</v>
      </c>
      <c r="B2513" t="s">
        <v>23</v>
      </c>
      <c r="C2513" s="1">
        <v>45644</v>
      </c>
      <c r="D2513">
        <f t="shared" si="181"/>
        <v>18</v>
      </c>
      <c r="E2513">
        <f t="shared" si="182"/>
        <v>12</v>
      </c>
      <c r="F2513">
        <f t="shared" si="183"/>
        <v>2024</v>
      </c>
      <c r="G2513" t="s">
        <v>77</v>
      </c>
      <c r="H2513" s="98">
        <v>11903</v>
      </c>
      <c r="I2513" s="29">
        <v>2988</v>
      </c>
      <c r="J2513" s="12" t="s">
        <v>31</v>
      </c>
      <c r="K2513" s="76">
        <f t="shared" si="184"/>
        <v>2988</v>
      </c>
      <c r="L2513">
        <v>1</v>
      </c>
      <c r="M2513" s="29">
        <v>0</v>
      </c>
      <c r="N2513" t="s">
        <v>42</v>
      </c>
      <c r="O2513" t="s">
        <v>33</v>
      </c>
      <c r="P2513" t="s">
        <v>34</v>
      </c>
      <c r="Q2513" t="s">
        <v>34</v>
      </c>
      <c r="R2513" t="s">
        <v>34</v>
      </c>
      <c r="S2513" t="s">
        <v>34</v>
      </c>
      <c r="T2513" s="117">
        <v>0</v>
      </c>
    </row>
    <row r="2514" spans="1:21" x14ac:dyDescent="0.35">
      <c r="A2514" t="s">
        <v>19</v>
      </c>
      <c r="B2514" t="s">
        <v>23</v>
      </c>
      <c r="C2514" s="1">
        <v>45644</v>
      </c>
      <c r="D2514">
        <f t="shared" si="181"/>
        <v>18</v>
      </c>
      <c r="E2514">
        <f t="shared" si="182"/>
        <v>12</v>
      </c>
      <c r="F2514">
        <f t="shared" si="183"/>
        <v>2024</v>
      </c>
      <c r="G2514" t="s">
        <v>77</v>
      </c>
      <c r="H2514" s="98">
        <v>11770</v>
      </c>
      <c r="I2514" s="29">
        <v>6746.2</v>
      </c>
      <c r="J2514" s="12" t="s">
        <v>31</v>
      </c>
      <c r="K2514" s="76">
        <f t="shared" si="184"/>
        <v>6746.2</v>
      </c>
      <c r="L2514">
        <v>1</v>
      </c>
      <c r="M2514" s="29">
        <v>0</v>
      </c>
      <c r="N2514" t="s">
        <v>32</v>
      </c>
      <c r="O2514" t="s">
        <v>33</v>
      </c>
      <c r="P2514" t="s">
        <v>34</v>
      </c>
      <c r="Q2514" t="s">
        <v>34</v>
      </c>
      <c r="R2514" t="s">
        <v>34</v>
      </c>
      <c r="S2514" t="s">
        <v>34</v>
      </c>
      <c r="T2514" s="117">
        <v>0</v>
      </c>
    </row>
    <row r="2515" spans="1:21" x14ac:dyDescent="0.35">
      <c r="A2515" t="s">
        <v>19</v>
      </c>
      <c r="B2515" t="s">
        <v>25</v>
      </c>
      <c r="C2515" s="1">
        <v>45644</v>
      </c>
      <c r="D2515">
        <f t="shared" si="181"/>
        <v>18</v>
      </c>
      <c r="E2515">
        <f t="shared" si="182"/>
        <v>12</v>
      </c>
      <c r="F2515">
        <f t="shared" si="183"/>
        <v>2024</v>
      </c>
      <c r="G2515" t="s">
        <v>78</v>
      </c>
      <c r="H2515" s="98">
        <v>11458</v>
      </c>
      <c r="I2515" s="29">
        <v>94727.5</v>
      </c>
      <c r="J2515" s="12" t="s">
        <v>51</v>
      </c>
      <c r="K2515" s="76">
        <f t="shared" si="184"/>
        <v>99587.020749999996</v>
      </c>
      <c r="L2515">
        <v>1.0512999999999999</v>
      </c>
      <c r="M2515" s="29">
        <v>0</v>
      </c>
      <c r="N2515" t="s">
        <v>42</v>
      </c>
      <c r="O2515" t="s">
        <v>33</v>
      </c>
      <c r="P2515" t="s">
        <v>34</v>
      </c>
      <c r="Q2515" t="s">
        <v>34</v>
      </c>
      <c r="R2515" t="s">
        <v>34</v>
      </c>
      <c r="S2515" t="s">
        <v>34</v>
      </c>
      <c r="T2515" s="117">
        <v>0</v>
      </c>
      <c r="U2515" s="209" t="s">
        <v>94</v>
      </c>
    </row>
    <row r="2516" spans="1:21" x14ac:dyDescent="0.35">
      <c r="A2516" t="s">
        <v>19</v>
      </c>
      <c r="B2516" t="s">
        <v>25</v>
      </c>
      <c r="C2516" s="1">
        <v>45644</v>
      </c>
      <c r="D2516">
        <f t="shared" si="181"/>
        <v>18</v>
      </c>
      <c r="E2516">
        <f t="shared" si="182"/>
        <v>12</v>
      </c>
      <c r="F2516">
        <f t="shared" si="183"/>
        <v>2024</v>
      </c>
      <c r="G2516" t="s">
        <v>1146</v>
      </c>
      <c r="H2516" s="98">
        <v>12354</v>
      </c>
      <c r="I2516" s="29">
        <v>5546.07</v>
      </c>
      <c r="J2516" s="12" t="s">
        <v>51</v>
      </c>
      <c r="K2516" s="76">
        <f t="shared" si="184"/>
        <v>5830.5833909999992</v>
      </c>
      <c r="L2516">
        <v>1.0512999999999999</v>
      </c>
      <c r="M2516" s="29">
        <v>0</v>
      </c>
      <c r="N2516" t="s">
        <v>42</v>
      </c>
      <c r="O2516" t="s">
        <v>33</v>
      </c>
      <c r="P2516" t="s">
        <v>34</v>
      </c>
      <c r="Q2516" t="s">
        <v>34</v>
      </c>
      <c r="R2516" t="s">
        <v>34</v>
      </c>
      <c r="S2516" t="s">
        <v>34</v>
      </c>
      <c r="T2516" s="117">
        <v>0</v>
      </c>
      <c r="U2516" s="209" t="s">
        <v>907</v>
      </c>
    </row>
    <row r="2517" spans="1:21" x14ac:dyDescent="0.35">
      <c r="A2517" t="s">
        <v>19</v>
      </c>
      <c r="B2517" t="s">
        <v>25</v>
      </c>
      <c r="C2517" s="1">
        <v>45644</v>
      </c>
      <c r="D2517">
        <f t="shared" si="181"/>
        <v>18</v>
      </c>
      <c r="E2517">
        <f t="shared" si="182"/>
        <v>12</v>
      </c>
      <c r="F2517">
        <f t="shared" si="183"/>
        <v>2024</v>
      </c>
      <c r="G2517" t="s">
        <v>29</v>
      </c>
      <c r="H2517" s="98">
        <v>11136</v>
      </c>
      <c r="I2517" s="29">
        <v>41308.410000000003</v>
      </c>
      <c r="J2517" s="12" t="s">
        <v>31</v>
      </c>
      <c r="K2517" s="76">
        <f t="shared" si="184"/>
        <v>41308.410000000003</v>
      </c>
      <c r="L2517">
        <v>1</v>
      </c>
      <c r="M2517" s="29">
        <v>0</v>
      </c>
      <c r="N2517" t="s">
        <v>32</v>
      </c>
      <c r="O2517" t="s">
        <v>33</v>
      </c>
      <c r="P2517" t="s">
        <v>34</v>
      </c>
      <c r="Q2517" t="s">
        <v>34</v>
      </c>
      <c r="R2517" t="s">
        <v>34</v>
      </c>
      <c r="S2517" t="s">
        <v>34</v>
      </c>
      <c r="T2517" s="117">
        <v>0</v>
      </c>
    </row>
    <row r="2518" spans="1:21" x14ac:dyDescent="0.35">
      <c r="A2518" t="s">
        <v>19</v>
      </c>
      <c r="B2518" t="s">
        <v>25</v>
      </c>
      <c r="C2518" s="1">
        <v>45644</v>
      </c>
      <c r="D2518">
        <f t="shared" si="181"/>
        <v>18</v>
      </c>
      <c r="E2518">
        <f t="shared" si="182"/>
        <v>12</v>
      </c>
      <c r="F2518">
        <f t="shared" si="183"/>
        <v>2024</v>
      </c>
      <c r="G2518" t="s">
        <v>35</v>
      </c>
      <c r="H2518" s="98">
        <v>11145</v>
      </c>
      <c r="I2518" s="90">
        <v>6015.75</v>
      </c>
      <c r="J2518" s="12" t="s">
        <v>31</v>
      </c>
      <c r="K2518" s="76">
        <f t="shared" si="184"/>
        <v>6015.75</v>
      </c>
      <c r="L2518">
        <v>1</v>
      </c>
      <c r="M2518" s="29">
        <v>0</v>
      </c>
      <c r="N2518" t="s">
        <v>32</v>
      </c>
      <c r="O2518" t="s">
        <v>33</v>
      </c>
      <c r="P2518" t="s">
        <v>34</v>
      </c>
      <c r="Q2518" t="s">
        <v>34</v>
      </c>
      <c r="R2518" t="s">
        <v>34</v>
      </c>
      <c r="S2518" t="s">
        <v>34</v>
      </c>
      <c r="T2518" s="117">
        <v>0</v>
      </c>
    </row>
    <row r="2519" spans="1:21" x14ac:dyDescent="0.35">
      <c r="A2519" t="s">
        <v>19</v>
      </c>
      <c r="B2519" t="s">
        <v>25</v>
      </c>
      <c r="C2519" s="1">
        <v>45644</v>
      </c>
      <c r="D2519">
        <f t="shared" si="181"/>
        <v>18</v>
      </c>
      <c r="E2519">
        <f t="shared" si="182"/>
        <v>12</v>
      </c>
      <c r="F2519">
        <f t="shared" si="183"/>
        <v>2024</v>
      </c>
      <c r="G2519" t="s">
        <v>285</v>
      </c>
      <c r="H2519" s="98">
        <v>11212</v>
      </c>
      <c r="I2519" s="29">
        <v>11605.2</v>
      </c>
      <c r="J2519" s="12" t="s">
        <v>31</v>
      </c>
      <c r="K2519" s="76">
        <f t="shared" si="184"/>
        <v>11605.2</v>
      </c>
      <c r="L2519">
        <v>1</v>
      </c>
      <c r="M2519" s="29">
        <v>0</v>
      </c>
      <c r="N2519" t="s">
        <v>32</v>
      </c>
      <c r="O2519" t="s">
        <v>33</v>
      </c>
      <c r="P2519" t="s">
        <v>34</v>
      </c>
      <c r="Q2519" t="s">
        <v>34</v>
      </c>
      <c r="R2519" t="s">
        <v>34</v>
      </c>
      <c r="S2519" t="s">
        <v>34</v>
      </c>
      <c r="T2519" s="117">
        <v>0</v>
      </c>
    </row>
    <row r="2520" spans="1:21" x14ac:dyDescent="0.35">
      <c r="A2520" t="s">
        <v>20</v>
      </c>
      <c r="B2520" t="s">
        <v>24</v>
      </c>
      <c r="C2520" s="1">
        <v>45644</v>
      </c>
      <c r="D2520">
        <f t="shared" si="181"/>
        <v>18</v>
      </c>
      <c r="E2520">
        <f t="shared" si="182"/>
        <v>12</v>
      </c>
      <c r="F2520">
        <f t="shared" si="183"/>
        <v>2024</v>
      </c>
      <c r="G2520" t="s">
        <v>81</v>
      </c>
      <c r="H2520" s="98">
        <v>110362</v>
      </c>
      <c r="I2520" s="29">
        <v>25384.5</v>
      </c>
      <c r="J2520" s="12" t="s">
        <v>31</v>
      </c>
      <c r="K2520" s="76">
        <f t="shared" si="184"/>
        <v>25384.5</v>
      </c>
      <c r="L2520">
        <v>1</v>
      </c>
      <c r="M2520" s="29">
        <v>0</v>
      </c>
      <c r="N2520" t="s">
        <v>32</v>
      </c>
      <c r="O2520" t="s">
        <v>33</v>
      </c>
      <c r="P2520" t="s">
        <v>34</v>
      </c>
      <c r="Q2520" t="s">
        <v>34</v>
      </c>
      <c r="R2520" t="s">
        <v>34</v>
      </c>
      <c r="S2520" t="s">
        <v>34</v>
      </c>
      <c r="T2520" s="117">
        <v>0</v>
      </c>
    </row>
    <row r="2521" spans="1:21" x14ac:dyDescent="0.35">
      <c r="A2521" t="s">
        <v>20</v>
      </c>
      <c r="B2521" t="s">
        <v>25</v>
      </c>
      <c r="C2521" s="1">
        <v>45644</v>
      </c>
      <c r="D2521">
        <f t="shared" si="181"/>
        <v>18</v>
      </c>
      <c r="E2521">
        <f t="shared" si="182"/>
        <v>12</v>
      </c>
      <c r="F2521">
        <f t="shared" si="183"/>
        <v>2024</v>
      </c>
      <c r="G2521" t="s">
        <v>81</v>
      </c>
      <c r="H2521" s="98">
        <v>11169</v>
      </c>
      <c r="I2521" s="29">
        <v>34555.449999999997</v>
      </c>
      <c r="J2521" s="12" t="s">
        <v>31</v>
      </c>
      <c r="K2521" s="76">
        <f t="shared" si="184"/>
        <v>34555.449999999997</v>
      </c>
      <c r="L2521">
        <v>1</v>
      </c>
      <c r="M2521" s="29">
        <v>0</v>
      </c>
      <c r="N2521" t="s">
        <v>32</v>
      </c>
      <c r="O2521" t="s">
        <v>33</v>
      </c>
      <c r="P2521" t="s">
        <v>34</v>
      </c>
      <c r="Q2521" t="s">
        <v>34</v>
      </c>
      <c r="R2521" t="s">
        <v>34</v>
      </c>
      <c r="S2521" t="s">
        <v>34</v>
      </c>
      <c r="T2521" s="117">
        <v>0</v>
      </c>
    </row>
    <row r="2522" spans="1:21" x14ac:dyDescent="0.35">
      <c r="A2522" t="s">
        <v>20</v>
      </c>
      <c r="B2522" t="s">
        <v>25</v>
      </c>
      <c r="C2522" s="1">
        <v>45644</v>
      </c>
      <c r="D2522">
        <f t="shared" si="181"/>
        <v>18</v>
      </c>
      <c r="E2522">
        <f t="shared" si="182"/>
        <v>12</v>
      </c>
      <c r="F2522">
        <f t="shared" si="183"/>
        <v>2024</v>
      </c>
      <c r="G2522" t="s">
        <v>81</v>
      </c>
      <c r="H2522" s="98">
        <v>11881</v>
      </c>
      <c r="I2522" s="29">
        <v>241.56</v>
      </c>
      <c r="J2522" s="12" t="s">
        <v>31</v>
      </c>
      <c r="K2522" s="76">
        <f t="shared" si="184"/>
        <v>241.56</v>
      </c>
      <c r="L2522">
        <v>1</v>
      </c>
      <c r="M2522" s="29">
        <v>0</v>
      </c>
      <c r="N2522" t="s">
        <v>42</v>
      </c>
      <c r="O2522" t="s">
        <v>33</v>
      </c>
      <c r="P2522" t="s">
        <v>34</v>
      </c>
      <c r="Q2522" t="s">
        <v>34</v>
      </c>
      <c r="R2522" t="s">
        <v>34</v>
      </c>
      <c r="S2522" t="s">
        <v>34</v>
      </c>
      <c r="T2522" s="117">
        <v>0</v>
      </c>
    </row>
    <row r="2523" spans="1:21" x14ac:dyDescent="0.35">
      <c r="A2523" t="s">
        <v>20</v>
      </c>
      <c r="B2523" t="s">
        <v>25</v>
      </c>
      <c r="C2523" s="1">
        <v>45644</v>
      </c>
      <c r="D2523">
        <f t="shared" si="181"/>
        <v>18</v>
      </c>
      <c r="E2523">
        <f t="shared" si="182"/>
        <v>12</v>
      </c>
      <c r="F2523">
        <f t="shared" si="183"/>
        <v>2024</v>
      </c>
      <c r="G2523" t="s">
        <v>81</v>
      </c>
      <c r="H2523" s="98">
        <v>11882</v>
      </c>
      <c r="I2523" s="29">
        <v>4988.3</v>
      </c>
      <c r="J2523" s="12" t="s">
        <v>31</v>
      </c>
      <c r="K2523" s="76">
        <f t="shared" si="184"/>
        <v>4988.3</v>
      </c>
      <c r="L2523">
        <v>1</v>
      </c>
      <c r="M2523" s="29">
        <v>0</v>
      </c>
      <c r="N2523" t="s">
        <v>42</v>
      </c>
      <c r="O2523" t="s">
        <v>33</v>
      </c>
      <c r="P2523" t="s">
        <v>34</v>
      </c>
      <c r="Q2523" t="s">
        <v>34</v>
      </c>
      <c r="R2523" t="s">
        <v>34</v>
      </c>
      <c r="S2523" t="s">
        <v>34</v>
      </c>
      <c r="T2523" s="117">
        <v>0</v>
      </c>
    </row>
    <row r="2524" spans="1:21" x14ac:dyDescent="0.35">
      <c r="A2524" t="s">
        <v>20</v>
      </c>
      <c r="B2524" t="s">
        <v>25</v>
      </c>
      <c r="C2524" s="1">
        <v>45644</v>
      </c>
      <c r="D2524">
        <f t="shared" si="181"/>
        <v>18</v>
      </c>
      <c r="E2524">
        <f t="shared" si="182"/>
        <v>12</v>
      </c>
      <c r="F2524">
        <f t="shared" si="183"/>
        <v>2024</v>
      </c>
      <c r="G2524" t="s">
        <v>81</v>
      </c>
      <c r="H2524" s="98">
        <v>11608</v>
      </c>
      <c r="I2524" s="29">
        <v>1980.75</v>
      </c>
      <c r="J2524" s="12" t="s">
        <v>31</v>
      </c>
      <c r="K2524" s="76">
        <f t="shared" si="184"/>
        <v>1980.75</v>
      </c>
      <c r="L2524">
        <v>1</v>
      </c>
      <c r="M2524" s="29">
        <v>0</v>
      </c>
      <c r="N2524" t="s">
        <v>42</v>
      </c>
      <c r="O2524" t="s">
        <v>33</v>
      </c>
      <c r="P2524" t="s">
        <v>34</v>
      </c>
      <c r="Q2524" t="s">
        <v>34</v>
      </c>
      <c r="R2524" t="s">
        <v>34</v>
      </c>
      <c r="S2524" t="s">
        <v>34</v>
      </c>
      <c r="T2524" s="117">
        <v>0</v>
      </c>
      <c r="U2524" s="209" t="s">
        <v>837</v>
      </c>
    </row>
    <row r="2525" spans="1:21" x14ac:dyDescent="0.35">
      <c r="A2525" t="s">
        <v>20</v>
      </c>
      <c r="B2525" t="s">
        <v>25</v>
      </c>
      <c r="C2525" s="1">
        <v>45644</v>
      </c>
      <c r="D2525">
        <f t="shared" si="181"/>
        <v>18</v>
      </c>
      <c r="E2525">
        <f t="shared" si="182"/>
        <v>12</v>
      </c>
      <c r="F2525">
        <f t="shared" si="183"/>
        <v>2024</v>
      </c>
      <c r="G2525" t="s">
        <v>81</v>
      </c>
      <c r="H2525" s="98">
        <v>11884</v>
      </c>
      <c r="I2525" s="29">
        <v>10577.7</v>
      </c>
      <c r="J2525" s="12" t="s">
        <v>31</v>
      </c>
      <c r="K2525" s="76">
        <f t="shared" si="184"/>
        <v>10577.7</v>
      </c>
      <c r="L2525">
        <v>1</v>
      </c>
      <c r="M2525" s="29">
        <v>0</v>
      </c>
      <c r="N2525" t="s">
        <v>42</v>
      </c>
      <c r="O2525" t="s">
        <v>33</v>
      </c>
      <c r="P2525" t="s">
        <v>34</v>
      </c>
      <c r="Q2525" t="s">
        <v>34</v>
      </c>
      <c r="R2525" t="s">
        <v>34</v>
      </c>
      <c r="S2525" t="s">
        <v>34</v>
      </c>
      <c r="T2525" s="117">
        <v>0</v>
      </c>
    </row>
    <row r="2526" spans="1:21" x14ac:dyDescent="0.35">
      <c r="A2526" t="s">
        <v>20</v>
      </c>
      <c r="B2526" t="s">
        <v>25</v>
      </c>
      <c r="C2526" s="1">
        <v>45644</v>
      </c>
      <c r="D2526">
        <f t="shared" si="181"/>
        <v>18</v>
      </c>
      <c r="E2526">
        <f t="shared" si="182"/>
        <v>12</v>
      </c>
      <c r="F2526">
        <f t="shared" si="183"/>
        <v>2024</v>
      </c>
      <c r="G2526" t="s">
        <v>81</v>
      </c>
      <c r="H2526" s="98">
        <v>11884</v>
      </c>
      <c r="I2526" s="29">
        <v>2584</v>
      </c>
      <c r="J2526" s="12" t="s">
        <v>31</v>
      </c>
      <c r="K2526" s="76">
        <f t="shared" si="184"/>
        <v>2584</v>
      </c>
      <c r="L2526">
        <v>1</v>
      </c>
      <c r="M2526" s="29">
        <v>0</v>
      </c>
      <c r="N2526" t="s">
        <v>42</v>
      </c>
      <c r="O2526" t="s">
        <v>33</v>
      </c>
      <c r="P2526" t="s">
        <v>34</v>
      </c>
      <c r="Q2526" t="s">
        <v>34</v>
      </c>
      <c r="R2526" t="s">
        <v>34</v>
      </c>
      <c r="S2526" t="s">
        <v>34</v>
      </c>
      <c r="T2526" s="117">
        <v>0</v>
      </c>
      <c r="U2526" s="209" t="s">
        <v>893</v>
      </c>
    </row>
    <row r="2527" spans="1:21" x14ac:dyDescent="0.35">
      <c r="A2527" t="s">
        <v>20</v>
      </c>
      <c r="B2527" t="s">
        <v>25</v>
      </c>
      <c r="C2527" s="1">
        <v>45644</v>
      </c>
      <c r="D2527">
        <f t="shared" si="181"/>
        <v>18</v>
      </c>
      <c r="E2527">
        <f t="shared" si="182"/>
        <v>12</v>
      </c>
      <c r="F2527">
        <f t="shared" si="183"/>
        <v>2024</v>
      </c>
      <c r="G2527" t="s">
        <v>81</v>
      </c>
      <c r="H2527" s="98">
        <v>11886</v>
      </c>
      <c r="I2527" s="29">
        <v>5277</v>
      </c>
      <c r="J2527" s="12" t="s">
        <v>31</v>
      </c>
      <c r="K2527" s="76">
        <f t="shared" si="184"/>
        <v>5277</v>
      </c>
      <c r="L2527">
        <v>1</v>
      </c>
      <c r="M2527" s="29">
        <v>0</v>
      </c>
      <c r="N2527" t="s">
        <v>42</v>
      </c>
      <c r="O2527" t="s">
        <v>33</v>
      </c>
      <c r="P2527" t="s">
        <v>34</v>
      </c>
      <c r="Q2527" t="s">
        <v>34</v>
      </c>
      <c r="R2527" t="s">
        <v>34</v>
      </c>
      <c r="S2527" t="s">
        <v>34</v>
      </c>
      <c r="T2527" s="117">
        <v>0</v>
      </c>
    </row>
    <row r="2528" spans="1:21" x14ac:dyDescent="0.35">
      <c r="A2528" t="s">
        <v>20</v>
      </c>
      <c r="B2528" t="s">
        <v>25</v>
      </c>
      <c r="C2528" s="1">
        <v>45644</v>
      </c>
      <c r="D2528">
        <f t="shared" si="181"/>
        <v>18</v>
      </c>
      <c r="E2528">
        <f t="shared" si="182"/>
        <v>12</v>
      </c>
      <c r="F2528">
        <f t="shared" si="183"/>
        <v>2024</v>
      </c>
      <c r="G2528" t="s">
        <v>81</v>
      </c>
      <c r="H2528" s="98">
        <v>11887</v>
      </c>
      <c r="I2528" s="29">
        <v>4494</v>
      </c>
      <c r="J2528" s="12" t="s">
        <v>31</v>
      </c>
      <c r="K2528" s="76">
        <f t="shared" si="184"/>
        <v>4494</v>
      </c>
      <c r="L2528">
        <v>1</v>
      </c>
      <c r="M2528" s="29">
        <v>0</v>
      </c>
      <c r="N2528" t="s">
        <v>42</v>
      </c>
      <c r="O2528" t="s">
        <v>33</v>
      </c>
      <c r="P2528" t="s">
        <v>34</v>
      </c>
      <c r="Q2528" t="s">
        <v>34</v>
      </c>
      <c r="R2528" t="s">
        <v>34</v>
      </c>
      <c r="S2528" t="s">
        <v>34</v>
      </c>
      <c r="T2528" s="117">
        <v>0</v>
      </c>
    </row>
    <row r="2529" spans="1:21" x14ac:dyDescent="0.35">
      <c r="A2529" t="s">
        <v>20</v>
      </c>
      <c r="B2529" t="s">
        <v>25</v>
      </c>
      <c r="C2529" s="1">
        <v>45644</v>
      </c>
      <c r="D2529">
        <f t="shared" si="181"/>
        <v>18</v>
      </c>
      <c r="E2529">
        <f t="shared" si="182"/>
        <v>12</v>
      </c>
      <c r="F2529">
        <f t="shared" si="183"/>
        <v>2024</v>
      </c>
      <c r="G2529" t="s">
        <v>81</v>
      </c>
      <c r="H2529" s="98">
        <v>11888</v>
      </c>
      <c r="I2529" s="29">
        <v>3456.1</v>
      </c>
      <c r="J2529" s="12" t="s">
        <v>31</v>
      </c>
      <c r="K2529" s="76">
        <f t="shared" si="184"/>
        <v>3456.1</v>
      </c>
      <c r="L2529">
        <v>1</v>
      </c>
      <c r="M2529" s="29">
        <v>0</v>
      </c>
      <c r="N2529" t="s">
        <v>42</v>
      </c>
      <c r="O2529" t="s">
        <v>33</v>
      </c>
      <c r="P2529" t="s">
        <v>34</v>
      </c>
      <c r="Q2529" t="s">
        <v>34</v>
      </c>
      <c r="R2529" t="s">
        <v>34</v>
      </c>
      <c r="S2529" t="s">
        <v>34</v>
      </c>
      <c r="T2529" s="117">
        <v>0</v>
      </c>
    </row>
    <row r="2530" spans="1:21" x14ac:dyDescent="0.35">
      <c r="A2530" t="s">
        <v>20</v>
      </c>
      <c r="B2530" t="s">
        <v>25</v>
      </c>
      <c r="C2530" s="1">
        <v>45644</v>
      </c>
      <c r="D2530">
        <f t="shared" si="181"/>
        <v>18</v>
      </c>
      <c r="E2530">
        <f t="shared" si="182"/>
        <v>12</v>
      </c>
      <c r="F2530">
        <f t="shared" si="183"/>
        <v>2024</v>
      </c>
      <c r="G2530" t="s">
        <v>81</v>
      </c>
      <c r="H2530" s="98">
        <v>11888</v>
      </c>
      <c r="I2530" s="29">
        <v>3396.6</v>
      </c>
      <c r="J2530" s="12" t="s">
        <v>31</v>
      </c>
      <c r="K2530" s="76">
        <f t="shared" si="184"/>
        <v>3396.6</v>
      </c>
      <c r="L2530">
        <v>1</v>
      </c>
      <c r="M2530" s="29">
        <v>0</v>
      </c>
      <c r="N2530" t="s">
        <v>42</v>
      </c>
      <c r="O2530" t="s">
        <v>33</v>
      </c>
      <c r="P2530" t="s">
        <v>34</v>
      </c>
      <c r="Q2530" t="s">
        <v>34</v>
      </c>
      <c r="R2530" t="s">
        <v>34</v>
      </c>
      <c r="S2530" t="s">
        <v>34</v>
      </c>
      <c r="T2530" s="117">
        <v>0</v>
      </c>
      <c r="U2530" s="209" t="s">
        <v>1006</v>
      </c>
    </row>
    <row r="2531" spans="1:21" x14ac:dyDescent="0.35">
      <c r="A2531" t="s">
        <v>20</v>
      </c>
      <c r="B2531" t="s">
        <v>25</v>
      </c>
      <c r="C2531" s="1">
        <v>45644</v>
      </c>
      <c r="D2531">
        <f t="shared" si="181"/>
        <v>18</v>
      </c>
      <c r="E2531">
        <f t="shared" si="182"/>
        <v>12</v>
      </c>
      <c r="F2531">
        <f t="shared" si="183"/>
        <v>2024</v>
      </c>
      <c r="G2531" s="4" t="s">
        <v>96</v>
      </c>
      <c r="H2531" s="98">
        <v>11059</v>
      </c>
      <c r="I2531" s="29">
        <v>88.2</v>
      </c>
      <c r="J2531" s="12" t="s">
        <v>31</v>
      </c>
      <c r="K2531" s="76">
        <f t="shared" si="184"/>
        <v>88.2</v>
      </c>
      <c r="L2531">
        <v>1</v>
      </c>
      <c r="M2531" s="29">
        <v>0</v>
      </c>
      <c r="N2531" t="s">
        <v>32</v>
      </c>
      <c r="O2531" t="s">
        <v>33</v>
      </c>
      <c r="P2531" t="s">
        <v>34</v>
      </c>
      <c r="Q2531" t="s">
        <v>34</v>
      </c>
      <c r="R2531" t="s">
        <v>34</v>
      </c>
      <c r="S2531" t="s">
        <v>34</v>
      </c>
      <c r="T2531" s="117">
        <v>0</v>
      </c>
    </row>
    <row r="2532" spans="1:21" x14ac:dyDescent="0.35">
      <c r="A2532" t="s">
        <v>20</v>
      </c>
      <c r="B2532" t="s">
        <v>25</v>
      </c>
      <c r="C2532" s="1">
        <v>45644</v>
      </c>
      <c r="D2532">
        <f t="shared" si="181"/>
        <v>18</v>
      </c>
      <c r="E2532">
        <f t="shared" si="182"/>
        <v>12</v>
      </c>
      <c r="F2532">
        <f t="shared" si="183"/>
        <v>2024</v>
      </c>
      <c r="G2532" s="4" t="s">
        <v>96</v>
      </c>
      <c r="H2532" s="98">
        <v>11061</v>
      </c>
      <c r="I2532" s="29">
        <v>34602.230000000003</v>
      </c>
      <c r="J2532" s="12" t="s">
        <v>31</v>
      </c>
      <c r="K2532" s="76">
        <f t="shared" si="184"/>
        <v>34602.230000000003</v>
      </c>
      <c r="L2532">
        <v>1</v>
      </c>
      <c r="M2532" s="29">
        <v>0</v>
      </c>
      <c r="N2532" t="s">
        <v>32</v>
      </c>
      <c r="O2532" t="s">
        <v>33</v>
      </c>
      <c r="P2532" t="s">
        <v>34</v>
      </c>
      <c r="Q2532" t="s">
        <v>34</v>
      </c>
      <c r="R2532" t="s">
        <v>34</v>
      </c>
      <c r="S2532" t="s">
        <v>34</v>
      </c>
      <c r="T2532" s="117">
        <v>0</v>
      </c>
    </row>
    <row r="2533" spans="1:21" x14ac:dyDescent="0.35">
      <c r="A2533" t="s">
        <v>20</v>
      </c>
      <c r="B2533" t="s">
        <v>23</v>
      </c>
      <c r="C2533" s="1">
        <v>45644</v>
      </c>
      <c r="D2533">
        <f t="shared" si="181"/>
        <v>18</v>
      </c>
      <c r="E2533">
        <f t="shared" si="182"/>
        <v>12</v>
      </c>
      <c r="F2533">
        <f t="shared" si="183"/>
        <v>2024</v>
      </c>
      <c r="G2533" t="s">
        <v>82</v>
      </c>
      <c r="H2533" s="98">
        <v>11277</v>
      </c>
      <c r="I2533" s="29">
        <v>9862.24</v>
      </c>
      <c r="J2533" s="12" t="s">
        <v>31</v>
      </c>
      <c r="K2533" s="76">
        <f t="shared" si="184"/>
        <v>9862.24</v>
      </c>
      <c r="L2533">
        <v>1</v>
      </c>
      <c r="M2533" s="29">
        <v>0</v>
      </c>
      <c r="N2533" t="s">
        <v>32</v>
      </c>
      <c r="O2533" t="s">
        <v>33</v>
      </c>
      <c r="P2533" t="s">
        <v>34</v>
      </c>
      <c r="Q2533" t="s">
        <v>34</v>
      </c>
      <c r="R2533" t="s">
        <v>34</v>
      </c>
      <c r="S2533" t="s">
        <v>34</v>
      </c>
      <c r="T2533" s="117">
        <v>0</v>
      </c>
    </row>
    <row r="2534" spans="1:21" x14ac:dyDescent="0.35">
      <c r="A2534" t="s">
        <v>20</v>
      </c>
      <c r="B2534" t="s">
        <v>21</v>
      </c>
      <c r="C2534" s="1">
        <v>45644</v>
      </c>
      <c r="D2534">
        <f t="shared" si="181"/>
        <v>18</v>
      </c>
      <c r="E2534">
        <f t="shared" si="182"/>
        <v>12</v>
      </c>
      <c r="F2534">
        <f t="shared" si="183"/>
        <v>2024</v>
      </c>
      <c r="G2534" t="s">
        <v>82</v>
      </c>
      <c r="H2534" s="98">
        <v>11419</v>
      </c>
      <c r="I2534" s="29">
        <v>62</v>
      </c>
      <c r="J2534" s="12" t="s">
        <v>31</v>
      </c>
      <c r="K2534" s="76">
        <f t="shared" si="184"/>
        <v>62</v>
      </c>
      <c r="L2534">
        <v>1</v>
      </c>
      <c r="M2534" s="29">
        <v>0</v>
      </c>
      <c r="N2534" t="s">
        <v>32</v>
      </c>
      <c r="O2534" t="s">
        <v>33</v>
      </c>
      <c r="P2534" t="s">
        <v>34</v>
      </c>
      <c r="Q2534" t="s">
        <v>34</v>
      </c>
      <c r="R2534" t="s">
        <v>34</v>
      </c>
      <c r="S2534" t="s">
        <v>34</v>
      </c>
      <c r="T2534" s="117">
        <v>0</v>
      </c>
    </row>
    <row r="2535" spans="1:21" x14ac:dyDescent="0.35">
      <c r="A2535" t="s">
        <v>20</v>
      </c>
      <c r="B2535" t="s">
        <v>23</v>
      </c>
      <c r="C2535" s="1">
        <v>45644</v>
      </c>
      <c r="D2535">
        <f t="shared" si="181"/>
        <v>18</v>
      </c>
      <c r="E2535">
        <f t="shared" si="182"/>
        <v>12</v>
      </c>
      <c r="F2535">
        <f t="shared" si="183"/>
        <v>2024</v>
      </c>
      <c r="G2535" t="s">
        <v>82</v>
      </c>
      <c r="H2535" s="98">
        <v>11435</v>
      </c>
      <c r="I2535" s="29">
        <v>32.799999999999997</v>
      </c>
      <c r="J2535" s="12" t="s">
        <v>31</v>
      </c>
      <c r="K2535" s="76">
        <f t="shared" si="184"/>
        <v>32.799999999999997</v>
      </c>
      <c r="L2535">
        <v>1</v>
      </c>
      <c r="M2535" s="29">
        <v>0</v>
      </c>
      <c r="N2535" t="s">
        <v>32</v>
      </c>
      <c r="O2535" t="s">
        <v>33</v>
      </c>
      <c r="P2535" t="s">
        <v>34</v>
      </c>
      <c r="Q2535" t="s">
        <v>34</v>
      </c>
      <c r="R2535" t="s">
        <v>34</v>
      </c>
      <c r="S2535" t="s">
        <v>34</v>
      </c>
      <c r="T2535" s="117">
        <v>0</v>
      </c>
    </row>
    <row r="2536" spans="1:21" x14ac:dyDescent="0.35">
      <c r="A2536" t="s">
        <v>20</v>
      </c>
      <c r="B2536" t="s">
        <v>21</v>
      </c>
      <c r="C2536" s="1">
        <v>45644</v>
      </c>
      <c r="D2536">
        <f t="shared" si="181"/>
        <v>18</v>
      </c>
      <c r="E2536">
        <f t="shared" si="182"/>
        <v>12</v>
      </c>
      <c r="F2536">
        <f t="shared" si="183"/>
        <v>2024</v>
      </c>
      <c r="G2536" t="s">
        <v>82</v>
      </c>
      <c r="H2536" s="98">
        <v>11588</v>
      </c>
      <c r="I2536" s="29">
        <v>49.6</v>
      </c>
      <c r="J2536" s="12" t="s">
        <v>31</v>
      </c>
      <c r="K2536" s="76">
        <f t="shared" si="184"/>
        <v>49.6</v>
      </c>
      <c r="L2536">
        <v>1</v>
      </c>
      <c r="M2536" s="29">
        <v>0</v>
      </c>
      <c r="N2536" t="s">
        <v>32</v>
      </c>
      <c r="O2536" t="s">
        <v>33</v>
      </c>
      <c r="P2536" t="s">
        <v>34</v>
      </c>
      <c r="Q2536" t="s">
        <v>34</v>
      </c>
      <c r="R2536" t="s">
        <v>34</v>
      </c>
      <c r="S2536" t="s">
        <v>34</v>
      </c>
      <c r="T2536" s="117">
        <v>0</v>
      </c>
    </row>
    <row r="2537" spans="1:21" x14ac:dyDescent="0.35">
      <c r="A2537" t="s">
        <v>20</v>
      </c>
      <c r="B2537" t="s">
        <v>21</v>
      </c>
      <c r="C2537" s="1">
        <v>45644</v>
      </c>
      <c r="D2537">
        <f t="shared" si="181"/>
        <v>18</v>
      </c>
      <c r="E2537">
        <f t="shared" si="182"/>
        <v>12</v>
      </c>
      <c r="F2537">
        <f t="shared" si="183"/>
        <v>2024</v>
      </c>
      <c r="G2537" t="s">
        <v>52</v>
      </c>
      <c r="H2537" s="98">
        <v>11260</v>
      </c>
      <c r="I2537" s="29">
        <v>26275.919999999998</v>
      </c>
      <c r="J2537" s="12" t="s">
        <v>31</v>
      </c>
      <c r="K2537" s="76">
        <f t="shared" si="184"/>
        <v>26275.919999999998</v>
      </c>
      <c r="L2537">
        <v>1</v>
      </c>
      <c r="M2537" s="29">
        <v>0</v>
      </c>
      <c r="N2537" t="s">
        <v>32</v>
      </c>
      <c r="O2537" t="s">
        <v>33</v>
      </c>
      <c r="P2537" t="s">
        <v>34</v>
      </c>
      <c r="Q2537" t="s">
        <v>34</v>
      </c>
      <c r="R2537" t="s">
        <v>34</v>
      </c>
      <c r="S2537" t="s">
        <v>34</v>
      </c>
      <c r="T2537" s="117">
        <v>0</v>
      </c>
    </row>
    <row r="2538" spans="1:21" x14ac:dyDescent="0.35">
      <c r="A2538" t="s">
        <v>20</v>
      </c>
      <c r="B2538" t="s">
        <v>21</v>
      </c>
      <c r="C2538" s="1">
        <v>45644</v>
      </c>
      <c r="D2538">
        <f t="shared" si="181"/>
        <v>18</v>
      </c>
      <c r="E2538">
        <f t="shared" si="182"/>
        <v>12</v>
      </c>
      <c r="F2538">
        <f t="shared" si="183"/>
        <v>2024</v>
      </c>
      <c r="G2538" t="s">
        <v>52</v>
      </c>
      <c r="H2538" s="98">
        <v>11360</v>
      </c>
      <c r="I2538" s="29">
        <v>268.62</v>
      </c>
      <c r="J2538" s="12" t="s">
        <v>31</v>
      </c>
      <c r="K2538" s="76">
        <f t="shared" si="184"/>
        <v>268.62</v>
      </c>
      <c r="L2538">
        <v>1</v>
      </c>
      <c r="M2538" s="29">
        <v>0</v>
      </c>
      <c r="N2538" t="s">
        <v>32</v>
      </c>
      <c r="O2538" t="s">
        <v>33</v>
      </c>
      <c r="P2538" t="s">
        <v>34</v>
      </c>
      <c r="Q2538" t="s">
        <v>34</v>
      </c>
      <c r="R2538" t="s">
        <v>34</v>
      </c>
      <c r="S2538" t="s">
        <v>34</v>
      </c>
      <c r="T2538" s="117">
        <v>0</v>
      </c>
    </row>
    <row r="2539" spans="1:21" x14ac:dyDescent="0.35">
      <c r="A2539" t="s">
        <v>20</v>
      </c>
      <c r="B2539" t="s">
        <v>23</v>
      </c>
      <c r="C2539" s="1">
        <v>45644</v>
      </c>
      <c r="D2539">
        <f t="shared" si="181"/>
        <v>18</v>
      </c>
      <c r="E2539">
        <f t="shared" si="182"/>
        <v>12</v>
      </c>
      <c r="F2539">
        <f t="shared" si="183"/>
        <v>2024</v>
      </c>
      <c r="G2539" t="s">
        <v>52</v>
      </c>
      <c r="H2539" s="98">
        <v>11438</v>
      </c>
      <c r="I2539" s="29">
        <v>198.66</v>
      </c>
      <c r="J2539" s="12" t="s">
        <v>31</v>
      </c>
      <c r="K2539" s="76">
        <f t="shared" si="184"/>
        <v>198.66</v>
      </c>
      <c r="L2539">
        <v>1</v>
      </c>
      <c r="M2539" s="29">
        <v>0</v>
      </c>
      <c r="N2539" t="s">
        <v>32</v>
      </c>
      <c r="O2539" t="s">
        <v>33</v>
      </c>
      <c r="P2539" t="s">
        <v>34</v>
      </c>
      <c r="Q2539" t="s">
        <v>34</v>
      </c>
      <c r="R2539" t="s">
        <v>34</v>
      </c>
      <c r="S2539" t="s">
        <v>34</v>
      </c>
      <c r="T2539" s="117">
        <v>0</v>
      </c>
    </row>
    <row r="2540" spans="1:21" x14ac:dyDescent="0.35">
      <c r="A2540" t="s">
        <v>20</v>
      </c>
      <c r="B2540" t="s">
        <v>23</v>
      </c>
      <c r="C2540" s="1">
        <v>45644</v>
      </c>
      <c r="D2540">
        <f t="shared" si="181"/>
        <v>18</v>
      </c>
      <c r="E2540">
        <f t="shared" si="182"/>
        <v>12</v>
      </c>
      <c r="F2540">
        <f t="shared" si="183"/>
        <v>2024</v>
      </c>
      <c r="G2540" t="s">
        <v>52</v>
      </c>
      <c r="H2540" s="98">
        <v>11442</v>
      </c>
      <c r="I2540" s="29">
        <v>150.47999999999999</v>
      </c>
      <c r="J2540" s="12" t="s">
        <v>31</v>
      </c>
      <c r="K2540" s="76">
        <f t="shared" ref="K2540:K2571" si="185">IF(J2540="USD",I2540,I2540*L2540)</f>
        <v>150.47999999999999</v>
      </c>
      <c r="L2540">
        <v>1</v>
      </c>
      <c r="M2540" s="29">
        <v>0</v>
      </c>
      <c r="N2540" t="s">
        <v>32</v>
      </c>
      <c r="O2540" t="s">
        <v>33</v>
      </c>
      <c r="P2540" t="s">
        <v>34</v>
      </c>
      <c r="Q2540" t="s">
        <v>34</v>
      </c>
      <c r="R2540" t="s">
        <v>34</v>
      </c>
      <c r="S2540" t="s">
        <v>34</v>
      </c>
      <c r="T2540" s="117">
        <v>0</v>
      </c>
    </row>
    <row r="2541" spans="1:21" x14ac:dyDescent="0.35">
      <c r="A2541" t="s">
        <v>20</v>
      </c>
      <c r="B2541" t="s">
        <v>21</v>
      </c>
      <c r="C2541" s="1">
        <v>45644</v>
      </c>
      <c r="D2541">
        <f t="shared" si="181"/>
        <v>18</v>
      </c>
      <c r="E2541">
        <f t="shared" si="182"/>
        <v>12</v>
      </c>
      <c r="F2541">
        <f t="shared" si="183"/>
        <v>2024</v>
      </c>
      <c r="G2541" t="s">
        <v>52</v>
      </c>
      <c r="H2541" s="98">
        <v>11382</v>
      </c>
      <c r="I2541" s="29">
        <v>108.27</v>
      </c>
      <c r="J2541" s="12" t="s">
        <v>31</v>
      </c>
      <c r="K2541" s="76">
        <f t="shared" si="185"/>
        <v>108.27</v>
      </c>
      <c r="L2541">
        <v>1</v>
      </c>
      <c r="M2541" s="29">
        <v>0</v>
      </c>
      <c r="N2541" t="s">
        <v>32</v>
      </c>
      <c r="O2541" t="s">
        <v>33</v>
      </c>
      <c r="P2541" t="s">
        <v>34</v>
      </c>
      <c r="Q2541" t="s">
        <v>34</v>
      </c>
      <c r="R2541" t="s">
        <v>34</v>
      </c>
      <c r="S2541" t="s">
        <v>34</v>
      </c>
      <c r="T2541" s="117">
        <v>0</v>
      </c>
    </row>
    <row r="2542" spans="1:21" x14ac:dyDescent="0.35">
      <c r="A2542" t="s">
        <v>20</v>
      </c>
      <c r="B2542" t="s">
        <v>21</v>
      </c>
      <c r="C2542" s="1">
        <v>45644</v>
      </c>
      <c r="D2542">
        <f t="shared" si="181"/>
        <v>18</v>
      </c>
      <c r="E2542">
        <f t="shared" si="182"/>
        <v>12</v>
      </c>
      <c r="F2542">
        <f t="shared" si="183"/>
        <v>2024</v>
      </c>
      <c r="G2542" t="s">
        <v>52</v>
      </c>
      <c r="H2542" s="98">
        <v>11395</v>
      </c>
      <c r="I2542" s="29">
        <v>73</v>
      </c>
      <c r="J2542" s="12" t="s">
        <v>31</v>
      </c>
      <c r="K2542" s="76">
        <f t="shared" si="185"/>
        <v>73</v>
      </c>
      <c r="L2542">
        <v>1</v>
      </c>
      <c r="M2542" s="29">
        <v>0</v>
      </c>
      <c r="N2542" t="s">
        <v>32</v>
      </c>
      <c r="O2542" t="s">
        <v>33</v>
      </c>
      <c r="P2542" t="s">
        <v>34</v>
      </c>
      <c r="Q2542" t="s">
        <v>34</v>
      </c>
      <c r="R2542" t="s">
        <v>34</v>
      </c>
      <c r="S2542" t="s">
        <v>34</v>
      </c>
      <c r="T2542" s="117">
        <v>0</v>
      </c>
    </row>
    <row r="2543" spans="1:21" x14ac:dyDescent="0.35">
      <c r="A2543" t="s">
        <v>20</v>
      </c>
      <c r="B2543" t="s">
        <v>21</v>
      </c>
      <c r="C2543" s="1">
        <v>45644</v>
      </c>
      <c r="D2543">
        <f t="shared" si="181"/>
        <v>18</v>
      </c>
      <c r="E2543">
        <f t="shared" si="182"/>
        <v>12</v>
      </c>
      <c r="F2543">
        <f t="shared" si="183"/>
        <v>2024</v>
      </c>
      <c r="G2543" t="s">
        <v>52</v>
      </c>
      <c r="H2543" s="98">
        <v>11748</v>
      </c>
      <c r="I2543" s="29">
        <v>59.28</v>
      </c>
      <c r="J2543" s="12" t="s">
        <v>31</v>
      </c>
      <c r="K2543" s="76">
        <f t="shared" si="185"/>
        <v>59.28</v>
      </c>
      <c r="L2543">
        <v>1</v>
      </c>
      <c r="M2543" s="29">
        <v>0</v>
      </c>
      <c r="N2543" t="s">
        <v>32</v>
      </c>
      <c r="O2543" t="s">
        <v>33</v>
      </c>
      <c r="P2543" t="s">
        <v>34</v>
      </c>
      <c r="Q2543" t="s">
        <v>34</v>
      </c>
      <c r="R2543" t="s">
        <v>34</v>
      </c>
      <c r="S2543" t="s">
        <v>34</v>
      </c>
      <c r="T2543" s="117">
        <v>0</v>
      </c>
    </row>
    <row r="2544" spans="1:21" x14ac:dyDescent="0.35">
      <c r="A2544" t="s">
        <v>20</v>
      </c>
      <c r="B2544" t="s">
        <v>21</v>
      </c>
      <c r="C2544" s="1">
        <v>45644</v>
      </c>
      <c r="D2544">
        <f t="shared" si="181"/>
        <v>18</v>
      </c>
      <c r="E2544">
        <f t="shared" si="182"/>
        <v>12</v>
      </c>
      <c r="F2544">
        <f t="shared" si="183"/>
        <v>2024</v>
      </c>
      <c r="G2544" t="s">
        <v>52</v>
      </c>
      <c r="H2544" s="98">
        <v>11746</v>
      </c>
      <c r="I2544" s="29">
        <v>66</v>
      </c>
      <c r="J2544" s="12" t="s">
        <v>31</v>
      </c>
      <c r="K2544" s="76">
        <f t="shared" si="185"/>
        <v>66</v>
      </c>
      <c r="L2544">
        <v>1</v>
      </c>
      <c r="M2544" s="29">
        <v>0</v>
      </c>
      <c r="N2544" t="s">
        <v>32</v>
      </c>
      <c r="O2544" t="s">
        <v>33</v>
      </c>
      <c r="P2544" t="s">
        <v>34</v>
      </c>
      <c r="Q2544" t="s">
        <v>34</v>
      </c>
      <c r="R2544" t="s">
        <v>34</v>
      </c>
      <c r="S2544" t="s">
        <v>34</v>
      </c>
      <c r="T2544" s="117">
        <v>0</v>
      </c>
    </row>
    <row r="2545" spans="1:21" x14ac:dyDescent="0.35">
      <c r="A2545" t="s">
        <v>20</v>
      </c>
      <c r="B2545" t="s">
        <v>23</v>
      </c>
      <c r="C2545" s="1">
        <v>45644</v>
      </c>
      <c r="D2545">
        <f t="shared" si="181"/>
        <v>18</v>
      </c>
      <c r="E2545">
        <f t="shared" si="182"/>
        <v>12</v>
      </c>
      <c r="F2545">
        <f t="shared" si="183"/>
        <v>2024</v>
      </c>
      <c r="G2545" t="s">
        <v>97</v>
      </c>
      <c r="H2545" s="98">
        <v>11623</v>
      </c>
      <c r="I2545" s="29">
        <v>18044.89</v>
      </c>
      <c r="J2545" s="12" t="s">
        <v>31</v>
      </c>
      <c r="K2545" s="76">
        <f t="shared" si="185"/>
        <v>18044.89</v>
      </c>
      <c r="L2545">
        <v>1</v>
      </c>
      <c r="M2545" s="29">
        <v>558.09</v>
      </c>
      <c r="N2545" t="s">
        <v>32</v>
      </c>
      <c r="O2545" t="s">
        <v>33</v>
      </c>
      <c r="P2545" t="s">
        <v>34</v>
      </c>
      <c r="Q2545" t="s">
        <v>34</v>
      </c>
      <c r="R2545" t="s">
        <v>34</v>
      </c>
      <c r="S2545" t="s">
        <v>34</v>
      </c>
      <c r="T2545" s="117">
        <v>0</v>
      </c>
    </row>
    <row r="2546" spans="1:21" x14ac:dyDescent="0.35">
      <c r="A2546" t="s">
        <v>20</v>
      </c>
      <c r="B2546" t="s">
        <v>23</v>
      </c>
      <c r="C2546" s="1">
        <v>45644</v>
      </c>
      <c r="D2546">
        <f t="shared" si="181"/>
        <v>18</v>
      </c>
      <c r="E2546">
        <f t="shared" si="182"/>
        <v>12</v>
      </c>
      <c r="F2546">
        <f t="shared" si="183"/>
        <v>2024</v>
      </c>
      <c r="G2546" t="s">
        <v>97</v>
      </c>
      <c r="H2546" s="98">
        <v>11768</v>
      </c>
      <c r="I2546" s="29">
        <v>276.5</v>
      </c>
      <c r="J2546" s="12" t="s">
        <v>31</v>
      </c>
      <c r="K2546" s="76">
        <f t="shared" si="185"/>
        <v>276.5</v>
      </c>
      <c r="L2546">
        <v>1</v>
      </c>
      <c r="M2546" s="29">
        <v>0</v>
      </c>
      <c r="N2546" t="s">
        <v>32</v>
      </c>
      <c r="O2546" t="s">
        <v>33</v>
      </c>
      <c r="P2546" t="s">
        <v>34</v>
      </c>
      <c r="Q2546" t="s">
        <v>34</v>
      </c>
      <c r="R2546" t="s">
        <v>34</v>
      </c>
      <c r="S2546" t="s">
        <v>34</v>
      </c>
      <c r="T2546" s="117">
        <v>0</v>
      </c>
    </row>
    <row r="2547" spans="1:21" x14ac:dyDescent="0.35">
      <c r="A2547" t="s">
        <v>20</v>
      </c>
      <c r="B2547" t="s">
        <v>25</v>
      </c>
      <c r="C2547" s="1">
        <v>45644</v>
      </c>
      <c r="D2547">
        <f t="shared" si="181"/>
        <v>18</v>
      </c>
      <c r="E2547">
        <f t="shared" si="182"/>
        <v>12</v>
      </c>
      <c r="F2547">
        <f t="shared" si="183"/>
        <v>2024</v>
      </c>
      <c r="G2547" t="s">
        <v>123</v>
      </c>
      <c r="H2547" s="98">
        <v>11334</v>
      </c>
      <c r="I2547" s="29">
        <v>8401.4699999999993</v>
      </c>
      <c r="J2547" s="12" t="s">
        <v>31</v>
      </c>
      <c r="K2547" s="76">
        <f t="shared" si="185"/>
        <v>8401.4699999999993</v>
      </c>
      <c r="L2547">
        <v>1</v>
      </c>
      <c r="M2547" s="29"/>
      <c r="N2547" t="s">
        <v>32</v>
      </c>
      <c r="O2547" t="s">
        <v>33</v>
      </c>
      <c r="P2547" t="s">
        <v>34</v>
      </c>
      <c r="Q2547" t="s">
        <v>34</v>
      </c>
      <c r="R2547" t="s">
        <v>34</v>
      </c>
      <c r="S2547" t="s">
        <v>34</v>
      </c>
      <c r="T2547" s="117">
        <v>0</v>
      </c>
    </row>
    <row r="2548" spans="1:21" x14ac:dyDescent="0.35">
      <c r="A2548" t="s">
        <v>20</v>
      </c>
      <c r="B2548" t="s">
        <v>25</v>
      </c>
      <c r="C2548" s="1">
        <v>45644</v>
      </c>
      <c r="D2548">
        <f t="shared" si="181"/>
        <v>18</v>
      </c>
      <c r="E2548">
        <f t="shared" si="182"/>
        <v>12</v>
      </c>
      <c r="F2548">
        <f t="shared" si="183"/>
        <v>2024</v>
      </c>
      <c r="G2548" t="s">
        <v>491</v>
      </c>
      <c r="H2548" s="98">
        <v>11851</v>
      </c>
      <c r="I2548" s="29">
        <v>4867.5</v>
      </c>
      <c r="J2548" s="12" t="s">
        <v>31</v>
      </c>
      <c r="K2548" s="76">
        <f t="shared" si="185"/>
        <v>4867.5</v>
      </c>
      <c r="L2548">
        <v>1</v>
      </c>
      <c r="M2548" s="29">
        <v>0</v>
      </c>
      <c r="N2548" t="s">
        <v>42</v>
      </c>
      <c r="O2548" t="s">
        <v>33</v>
      </c>
      <c r="P2548" t="s">
        <v>34</v>
      </c>
      <c r="Q2548" t="s">
        <v>34</v>
      </c>
      <c r="R2548" t="s">
        <v>34</v>
      </c>
      <c r="S2548" t="s">
        <v>34</v>
      </c>
      <c r="T2548" s="117">
        <v>0</v>
      </c>
    </row>
    <row r="2549" spans="1:21" x14ac:dyDescent="0.35">
      <c r="A2549" t="s">
        <v>20</v>
      </c>
      <c r="B2549" t="s">
        <v>24</v>
      </c>
      <c r="C2549" s="1">
        <v>45644</v>
      </c>
      <c r="D2549">
        <f t="shared" si="181"/>
        <v>18</v>
      </c>
      <c r="E2549">
        <f t="shared" si="182"/>
        <v>12</v>
      </c>
      <c r="F2549">
        <f t="shared" si="183"/>
        <v>2024</v>
      </c>
      <c r="G2549" t="s">
        <v>265</v>
      </c>
      <c r="H2549" s="98">
        <v>11002</v>
      </c>
      <c r="I2549" s="29">
        <v>2658.9</v>
      </c>
      <c r="J2549" s="12" t="s">
        <v>31</v>
      </c>
      <c r="K2549" s="76">
        <f t="shared" si="185"/>
        <v>2658.9</v>
      </c>
      <c r="L2549">
        <v>1</v>
      </c>
      <c r="M2549" s="29">
        <v>0</v>
      </c>
      <c r="N2549" t="s">
        <v>32</v>
      </c>
      <c r="O2549" t="s">
        <v>33</v>
      </c>
      <c r="P2549" t="s">
        <v>34</v>
      </c>
      <c r="Q2549" t="s">
        <v>34</v>
      </c>
      <c r="R2549" t="s">
        <v>34</v>
      </c>
      <c r="S2549" t="s">
        <v>34</v>
      </c>
      <c r="T2549" s="117">
        <v>0</v>
      </c>
    </row>
    <row r="2550" spans="1:21" x14ac:dyDescent="0.35">
      <c r="A2550" t="s">
        <v>20</v>
      </c>
      <c r="B2550" t="s">
        <v>25</v>
      </c>
      <c r="C2550" s="1">
        <v>45644</v>
      </c>
      <c r="D2550">
        <f t="shared" si="181"/>
        <v>18</v>
      </c>
      <c r="E2550">
        <f t="shared" si="182"/>
        <v>12</v>
      </c>
      <c r="F2550">
        <f t="shared" si="183"/>
        <v>2024</v>
      </c>
      <c r="G2550" t="s">
        <v>265</v>
      </c>
      <c r="H2550" s="98">
        <v>11873</v>
      </c>
      <c r="I2550" s="29">
        <v>117</v>
      </c>
      <c r="J2550" s="12" t="s">
        <v>31</v>
      </c>
      <c r="K2550" s="76">
        <f t="shared" si="185"/>
        <v>117</v>
      </c>
      <c r="L2550">
        <v>1</v>
      </c>
      <c r="M2550" s="29">
        <v>0</v>
      </c>
      <c r="N2550" t="s">
        <v>42</v>
      </c>
      <c r="O2550" t="s">
        <v>33</v>
      </c>
      <c r="P2550" t="s">
        <v>34</v>
      </c>
      <c r="Q2550" t="s">
        <v>34</v>
      </c>
      <c r="R2550" t="s">
        <v>34</v>
      </c>
      <c r="S2550" t="s">
        <v>34</v>
      </c>
      <c r="T2550" s="117">
        <v>0</v>
      </c>
    </row>
    <row r="2551" spans="1:21" x14ac:dyDescent="0.35">
      <c r="A2551" t="s">
        <v>20</v>
      </c>
      <c r="B2551" t="s">
        <v>25</v>
      </c>
      <c r="C2551" s="1">
        <v>45644</v>
      </c>
      <c r="D2551">
        <f t="shared" si="181"/>
        <v>18</v>
      </c>
      <c r="E2551">
        <f t="shared" si="182"/>
        <v>12</v>
      </c>
      <c r="F2551">
        <f t="shared" si="183"/>
        <v>2024</v>
      </c>
      <c r="G2551" t="s">
        <v>265</v>
      </c>
      <c r="H2551" s="121">
        <v>12220</v>
      </c>
      <c r="I2551" s="29">
        <v>181</v>
      </c>
      <c r="J2551" s="12" t="s">
        <v>31</v>
      </c>
      <c r="K2551" s="76">
        <f t="shared" si="185"/>
        <v>181</v>
      </c>
      <c r="L2551">
        <v>1</v>
      </c>
      <c r="M2551" s="29">
        <v>0</v>
      </c>
      <c r="N2551" t="s">
        <v>42</v>
      </c>
      <c r="O2551" t="s">
        <v>33</v>
      </c>
      <c r="P2551" t="s">
        <v>34</v>
      </c>
      <c r="Q2551" t="s">
        <v>34</v>
      </c>
      <c r="R2551" t="s">
        <v>34</v>
      </c>
      <c r="S2551" t="s">
        <v>34</v>
      </c>
      <c r="T2551" s="117">
        <v>0</v>
      </c>
      <c r="U2551" s="209" t="s">
        <v>796</v>
      </c>
    </row>
    <row r="2552" spans="1:21" x14ac:dyDescent="0.35">
      <c r="A2552" t="s">
        <v>20</v>
      </c>
      <c r="B2552" t="s">
        <v>25</v>
      </c>
      <c r="C2552" s="1">
        <v>45644</v>
      </c>
      <c r="D2552">
        <f t="shared" si="181"/>
        <v>18</v>
      </c>
      <c r="E2552">
        <f t="shared" si="182"/>
        <v>12</v>
      </c>
      <c r="F2552">
        <f t="shared" si="183"/>
        <v>2024</v>
      </c>
      <c r="G2552" t="s">
        <v>265</v>
      </c>
      <c r="H2552" s="98">
        <v>11874</v>
      </c>
      <c r="I2552" s="29">
        <v>3233.5</v>
      </c>
      <c r="J2552" s="12" t="s">
        <v>31</v>
      </c>
      <c r="K2552" s="76">
        <f t="shared" si="185"/>
        <v>3233.5</v>
      </c>
      <c r="L2552">
        <v>1</v>
      </c>
      <c r="M2552" s="29">
        <v>0</v>
      </c>
      <c r="N2552" t="s">
        <v>42</v>
      </c>
      <c r="O2552" t="s">
        <v>33</v>
      </c>
      <c r="P2552" t="s">
        <v>34</v>
      </c>
      <c r="Q2552" t="s">
        <v>34</v>
      </c>
      <c r="R2552" t="s">
        <v>34</v>
      </c>
      <c r="S2552" t="s">
        <v>34</v>
      </c>
      <c r="T2552" s="117">
        <v>0</v>
      </c>
    </row>
    <row r="2553" spans="1:21" x14ac:dyDescent="0.35">
      <c r="A2553" t="s">
        <v>20</v>
      </c>
      <c r="B2553" t="s">
        <v>25</v>
      </c>
      <c r="C2553" s="1">
        <v>45644</v>
      </c>
      <c r="D2553">
        <f t="shared" si="181"/>
        <v>18</v>
      </c>
      <c r="E2553">
        <f t="shared" si="182"/>
        <v>12</v>
      </c>
      <c r="F2553">
        <f t="shared" si="183"/>
        <v>2024</v>
      </c>
      <c r="G2553" t="s">
        <v>174</v>
      </c>
      <c r="H2553" s="98">
        <v>11250</v>
      </c>
      <c r="I2553" s="29">
        <v>14776.24</v>
      </c>
      <c r="J2553" s="12" t="s">
        <v>31</v>
      </c>
      <c r="K2553" s="76">
        <f t="shared" si="185"/>
        <v>14776.24</v>
      </c>
      <c r="L2553">
        <v>1</v>
      </c>
      <c r="M2553" s="29">
        <v>0</v>
      </c>
      <c r="N2553" t="s">
        <v>32</v>
      </c>
      <c r="O2553" t="s">
        <v>33</v>
      </c>
      <c r="P2553" t="s">
        <v>34</v>
      </c>
      <c r="Q2553" t="s">
        <v>34</v>
      </c>
      <c r="R2553" t="s">
        <v>34</v>
      </c>
      <c r="S2553" t="s">
        <v>34</v>
      </c>
      <c r="T2553" s="117">
        <v>0</v>
      </c>
    </row>
    <row r="2554" spans="1:21" x14ac:dyDescent="0.35">
      <c r="A2554" t="s">
        <v>20</v>
      </c>
      <c r="B2554" t="s">
        <v>25</v>
      </c>
      <c r="C2554" s="1">
        <v>45644</v>
      </c>
      <c r="D2554">
        <f t="shared" si="181"/>
        <v>18</v>
      </c>
      <c r="E2554">
        <f t="shared" si="182"/>
        <v>12</v>
      </c>
      <c r="F2554">
        <f t="shared" si="183"/>
        <v>2024</v>
      </c>
      <c r="G2554" t="s">
        <v>174</v>
      </c>
      <c r="H2554" s="98">
        <v>11868</v>
      </c>
      <c r="I2554" s="29">
        <v>534</v>
      </c>
      <c r="J2554" s="12" t="s">
        <v>31</v>
      </c>
      <c r="K2554" s="76">
        <f t="shared" si="185"/>
        <v>534</v>
      </c>
      <c r="L2554">
        <v>1</v>
      </c>
      <c r="M2554" s="29">
        <v>0</v>
      </c>
      <c r="N2554" t="s">
        <v>42</v>
      </c>
      <c r="O2554" t="s">
        <v>33</v>
      </c>
      <c r="P2554" t="s">
        <v>34</v>
      </c>
      <c r="Q2554" t="s">
        <v>34</v>
      </c>
      <c r="R2554" t="s">
        <v>34</v>
      </c>
      <c r="S2554" t="s">
        <v>34</v>
      </c>
      <c r="T2554" s="117">
        <v>0</v>
      </c>
    </row>
    <row r="2555" spans="1:21" x14ac:dyDescent="0.35">
      <c r="A2555" t="s">
        <v>20</v>
      </c>
      <c r="B2555" t="s">
        <v>25</v>
      </c>
      <c r="C2555" s="1">
        <v>45644</v>
      </c>
      <c r="D2555">
        <f t="shared" si="181"/>
        <v>18</v>
      </c>
      <c r="E2555">
        <f t="shared" si="182"/>
        <v>12</v>
      </c>
      <c r="F2555">
        <f t="shared" si="183"/>
        <v>2024</v>
      </c>
      <c r="G2555" t="s">
        <v>174</v>
      </c>
      <c r="H2555" s="98">
        <v>11869</v>
      </c>
      <c r="I2555" s="29">
        <v>4976.7299999999996</v>
      </c>
      <c r="J2555" s="12" t="s">
        <v>31</v>
      </c>
      <c r="K2555" s="76">
        <f t="shared" si="185"/>
        <v>4976.7299999999996</v>
      </c>
      <c r="L2555">
        <v>1</v>
      </c>
      <c r="M2555" s="29">
        <v>0</v>
      </c>
      <c r="N2555" t="s">
        <v>42</v>
      </c>
      <c r="O2555" t="s">
        <v>33</v>
      </c>
      <c r="P2555" t="s">
        <v>34</v>
      </c>
      <c r="Q2555" t="s">
        <v>34</v>
      </c>
      <c r="R2555" t="s">
        <v>34</v>
      </c>
      <c r="S2555" t="s">
        <v>34</v>
      </c>
      <c r="T2555" s="117">
        <v>0</v>
      </c>
    </row>
    <row r="2556" spans="1:21" x14ac:dyDescent="0.35">
      <c r="A2556" t="s">
        <v>20</v>
      </c>
      <c r="B2556" t="s">
        <v>25</v>
      </c>
      <c r="C2556" s="1">
        <v>45644</v>
      </c>
      <c r="D2556">
        <f t="shared" si="181"/>
        <v>18</v>
      </c>
      <c r="E2556">
        <f t="shared" si="182"/>
        <v>12</v>
      </c>
      <c r="F2556">
        <f t="shared" si="183"/>
        <v>2024</v>
      </c>
      <c r="G2556" t="s">
        <v>174</v>
      </c>
      <c r="H2556" s="98">
        <v>11870</v>
      </c>
      <c r="I2556" s="29">
        <v>3619.35</v>
      </c>
      <c r="J2556" s="12" t="s">
        <v>31</v>
      </c>
      <c r="K2556" s="76">
        <f t="shared" si="185"/>
        <v>3619.35</v>
      </c>
      <c r="L2556">
        <v>1</v>
      </c>
      <c r="M2556" s="29">
        <v>0</v>
      </c>
      <c r="N2556" t="s">
        <v>42</v>
      </c>
      <c r="O2556" t="s">
        <v>33</v>
      </c>
      <c r="P2556" t="s">
        <v>34</v>
      </c>
      <c r="Q2556" t="s">
        <v>34</v>
      </c>
      <c r="R2556" t="s">
        <v>34</v>
      </c>
      <c r="S2556" t="s">
        <v>34</v>
      </c>
      <c r="T2556" s="117">
        <v>0</v>
      </c>
    </row>
    <row r="2557" spans="1:21" x14ac:dyDescent="0.35">
      <c r="A2557" t="s">
        <v>20</v>
      </c>
      <c r="B2557" t="s">
        <v>25</v>
      </c>
      <c r="C2557" s="1">
        <v>45644</v>
      </c>
      <c r="D2557">
        <f t="shared" si="181"/>
        <v>18</v>
      </c>
      <c r="E2557">
        <f t="shared" si="182"/>
        <v>12</v>
      </c>
      <c r="F2557">
        <f t="shared" si="183"/>
        <v>2024</v>
      </c>
      <c r="G2557" t="s">
        <v>45</v>
      </c>
      <c r="H2557" s="98">
        <v>11085</v>
      </c>
      <c r="I2557" s="29">
        <v>28507.71</v>
      </c>
      <c r="J2557" s="12" t="s">
        <v>31</v>
      </c>
      <c r="K2557" s="76">
        <f t="shared" si="185"/>
        <v>28507.71</v>
      </c>
      <c r="L2557">
        <v>1</v>
      </c>
      <c r="M2557" s="29">
        <v>0</v>
      </c>
      <c r="N2557" t="s">
        <v>32</v>
      </c>
      <c r="O2557" t="s">
        <v>33</v>
      </c>
      <c r="P2557" t="s">
        <v>34</v>
      </c>
      <c r="Q2557" t="s">
        <v>34</v>
      </c>
      <c r="R2557" t="s">
        <v>34</v>
      </c>
      <c r="S2557" t="s">
        <v>34</v>
      </c>
      <c r="T2557" s="117">
        <v>0</v>
      </c>
    </row>
    <row r="2558" spans="1:21" x14ac:dyDescent="0.35">
      <c r="A2558" t="s">
        <v>20</v>
      </c>
      <c r="B2558" t="s">
        <v>24</v>
      </c>
      <c r="C2558" s="1">
        <v>45644</v>
      </c>
      <c r="D2558">
        <f t="shared" si="181"/>
        <v>18</v>
      </c>
      <c r="E2558">
        <f t="shared" si="182"/>
        <v>12</v>
      </c>
      <c r="F2558">
        <f t="shared" si="183"/>
        <v>2024</v>
      </c>
      <c r="G2558" t="s">
        <v>45</v>
      </c>
      <c r="H2558" s="98">
        <v>11085</v>
      </c>
      <c r="I2558" s="29">
        <v>30035.759999999998</v>
      </c>
      <c r="J2558" s="12" t="s">
        <v>31</v>
      </c>
      <c r="K2558" s="76">
        <f t="shared" si="185"/>
        <v>30035.759999999998</v>
      </c>
      <c r="L2558">
        <v>1</v>
      </c>
      <c r="M2558" s="29">
        <v>0</v>
      </c>
      <c r="N2558" t="s">
        <v>32</v>
      </c>
      <c r="O2558" t="s">
        <v>33</v>
      </c>
      <c r="P2558" t="s">
        <v>34</v>
      </c>
      <c r="Q2558" t="s">
        <v>34</v>
      </c>
      <c r="R2558" t="s">
        <v>34</v>
      </c>
      <c r="S2558" t="s">
        <v>34</v>
      </c>
      <c r="T2558" s="117">
        <v>0</v>
      </c>
    </row>
    <row r="2559" spans="1:21" x14ac:dyDescent="0.35">
      <c r="A2559" t="s">
        <v>20</v>
      </c>
      <c r="B2559" t="s">
        <v>21</v>
      </c>
      <c r="C2559" s="1">
        <v>45644</v>
      </c>
      <c r="D2559">
        <f t="shared" si="181"/>
        <v>18</v>
      </c>
      <c r="E2559">
        <f t="shared" si="182"/>
        <v>12</v>
      </c>
      <c r="F2559">
        <f t="shared" si="183"/>
        <v>2024</v>
      </c>
      <c r="G2559" t="s">
        <v>45</v>
      </c>
      <c r="H2559" s="98">
        <v>11539</v>
      </c>
      <c r="I2559" s="29">
        <v>270.8</v>
      </c>
      <c r="J2559" s="12" t="s">
        <v>31</v>
      </c>
      <c r="K2559" s="76">
        <f t="shared" si="185"/>
        <v>270.8</v>
      </c>
      <c r="L2559">
        <v>1</v>
      </c>
      <c r="M2559" s="29">
        <v>0</v>
      </c>
      <c r="N2559" t="s">
        <v>32</v>
      </c>
      <c r="O2559" t="s">
        <v>33</v>
      </c>
      <c r="P2559" t="s">
        <v>34</v>
      </c>
      <c r="Q2559" t="s">
        <v>34</v>
      </c>
      <c r="R2559" t="s">
        <v>34</v>
      </c>
      <c r="S2559" t="s">
        <v>34</v>
      </c>
      <c r="T2559" s="117">
        <v>0</v>
      </c>
    </row>
    <row r="2560" spans="1:21" x14ac:dyDescent="0.35">
      <c r="A2560" t="s">
        <v>20</v>
      </c>
      <c r="B2560" t="s">
        <v>25</v>
      </c>
      <c r="C2560" s="1">
        <v>45644</v>
      </c>
      <c r="D2560">
        <f t="shared" si="181"/>
        <v>18</v>
      </c>
      <c r="E2560">
        <f t="shared" si="182"/>
        <v>12</v>
      </c>
      <c r="F2560">
        <f t="shared" si="183"/>
        <v>2024</v>
      </c>
      <c r="G2560" t="s">
        <v>99</v>
      </c>
      <c r="H2560" s="98">
        <v>11314</v>
      </c>
      <c r="I2560" s="29">
        <v>668.4</v>
      </c>
      <c r="J2560" s="12" t="s">
        <v>31</v>
      </c>
      <c r="K2560" s="76">
        <f t="shared" si="185"/>
        <v>668.4</v>
      </c>
      <c r="L2560">
        <v>1</v>
      </c>
      <c r="M2560" s="29">
        <v>0</v>
      </c>
      <c r="N2560" t="s">
        <v>32</v>
      </c>
      <c r="O2560" t="s">
        <v>33</v>
      </c>
      <c r="P2560" t="s">
        <v>34</v>
      </c>
      <c r="Q2560" t="s">
        <v>34</v>
      </c>
      <c r="R2560" t="s">
        <v>34</v>
      </c>
      <c r="S2560" t="s">
        <v>34</v>
      </c>
      <c r="T2560" s="117">
        <v>0</v>
      </c>
    </row>
    <row r="2561" spans="1:21" x14ac:dyDescent="0.35">
      <c r="A2561" t="s">
        <v>20</v>
      </c>
      <c r="B2561" t="s">
        <v>25</v>
      </c>
      <c r="C2561" s="1">
        <v>45644</v>
      </c>
      <c r="D2561">
        <f t="shared" si="181"/>
        <v>18</v>
      </c>
      <c r="E2561">
        <f t="shared" si="182"/>
        <v>12</v>
      </c>
      <c r="F2561">
        <f t="shared" si="183"/>
        <v>2024</v>
      </c>
      <c r="G2561" t="s">
        <v>595</v>
      </c>
      <c r="H2561" s="171">
        <v>11867</v>
      </c>
      <c r="I2561" s="90">
        <v>317.2</v>
      </c>
      <c r="J2561" s="12" t="s">
        <v>31</v>
      </c>
      <c r="K2561" s="76">
        <f t="shared" si="185"/>
        <v>317.2</v>
      </c>
      <c r="L2561">
        <v>1</v>
      </c>
      <c r="M2561" s="29">
        <v>0</v>
      </c>
      <c r="N2561" t="s">
        <v>42</v>
      </c>
      <c r="O2561" t="s">
        <v>33</v>
      </c>
      <c r="P2561" t="s">
        <v>34</v>
      </c>
      <c r="Q2561" t="s">
        <v>34</v>
      </c>
      <c r="R2561" t="s">
        <v>34</v>
      </c>
      <c r="S2561" t="s">
        <v>34</v>
      </c>
      <c r="T2561" s="117">
        <v>0</v>
      </c>
    </row>
    <row r="2562" spans="1:21" x14ac:dyDescent="0.35">
      <c r="A2562" t="s">
        <v>20</v>
      </c>
      <c r="B2562" t="s">
        <v>25</v>
      </c>
      <c r="C2562" s="1">
        <v>45644</v>
      </c>
      <c r="D2562">
        <f t="shared" si="181"/>
        <v>18</v>
      </c>
      <c r="E2562">
        <f t="shared" si="182"/>
        <v>12</v>
      </c>
      <c r="F2562">
        <f t="shared" si="183"/>
        <v>2024</v>
      </c>
      <c r="G2562" t="s">
        <v>595</v>
      </c>
      <c r="H2562" s="171">
        <v>11866</v>
      </c>
      <c r="I2562" s="90">
        <v>3473.34</v>
      </c>
      <c r="J2562" s="12" t="s">
        <v>31</v>
      </c>
      <c r="K2562" s="76">
        <f t="shared" si="185"/>
        <v>3473.34</v>
      </c>
      <c r="L2562">
        <v>1</v>
      </c>
      <c r="M2562" s="29">
        <v>0</v>
      </c>
      <c r="N2562" t="s">
        <v>42</v>
      </c>
      <c r="O2562" t="s">
        <v>33</v>
      </c>
      <c r="P2562" t="s">
        <v>34</v>
      </c>
      <c r="Q2562" t="s">
        <v>34</v>
      </c>
      <c r="R2562" t="s">
        <v>34</v>
      </c>
      <c r="S2562" t="s">
        <v>34</v>
      </c>
      <c r="T2562" s="117">
        <v>0</v>
      </c>
    </row>
    <row r="2563" spans="1:21" x14ac:dyDescent="0.35">
      <c r="A2563" t="s">
        <v>20</v>
      </c>
      <c r="B2563" t="s">
        <v>23</v>
      </c>
      <c r="C2563" s="1">
        <v>45644</v>
      </c>
      <c r="D2563">
        <f t="shared" ref="D2563:D2626" si="186">DAY(C2563)</f>
        <v>18</v>
      </c>
      <c r="E2563">
        <f t="shared" ref="E2563:E2626" si="187">MONTH(C2563)</f>
        <v>12</v>
      </c>
      <c r="F2563">
        <f t="shared" ref="F2563:F2626" si="188">YEAR(C2563)</f>
        <v>2024</v>
      </c>
      <c r="G2563" t="s">
        <v>595</v>
      </c>
      <c r="H2563" s="98">
        <v>11879</v>
      </c>
      <c r="I2563" s="29">
        <v>69</v>
      </c>
      <c r="J2563" s="12" t="s">
        <v>31</v>
      </c>
      <c r="K2563" s="76">
        <f t="shared" si="185"/>
        <v>69</v>
      </c>
      <c r="L2563">
        <v>1</v>
      </c>
      <c r="M2563" s="29">
        <v>0</v>
      </c>
      <c r="N2563" t="s">
        <v>42</v>
      </c>
      <c r="O2563" t="s">
        <v>33</v>
      </c>
      <c r="P2563" t="s">
        <v>34</v>
      </c>
      <c r="Q2563" t="s">
        <v>34</v>
      </c>
      <c r="R2563" t="s">
        <v>34</v>
      </c>
      <c r="S2563" t="s">
        <v>34</v>
      </c>
      <c r="T2563" s="117">
        <v>0</v>
      </c>
    </row>
    <row r="2564" spans="1:21" x14ac:dyDescent="0.35">
      <c r="A2564" t="s">
        <v>20</v>
      </c>
      <c r="B2564" t="s">
        <v>23</v>
      </c>
      <c r="C2564" s="1">
        <v>45644</v>
      </c>
      <c r="D2564">
        <f t="shared" si="186"/>
        <v>18</v>
      </c>
      <c r="E2564">
        <f t="shared" si="187"/>
        <v>12</v>
      </c>
      <c r="F2564">
        <f t="shared" si="188"/>
        <v>2024</v>
      </c>
      <c r="G2564" t="s">
        <v>595</v>
      </c>
      <c r="H2564" s="98">
        <v>11880</v>
      </c>
      <c r="I2564" s="29">
        <v>4864.5</v>
      </c>
      <c r="J2564" s="12" t="s">
        <v>31</v>
      </c>
      <c r="K2564" s="76">
        <f t="shared" si="185"/>
        <v>4864.5</v>
      </c>
      <c r="L2564">
        <v>1</v>
      </c>
      <c r="M2564" s="29">
        <v>0</v>
      </c>
      <c r="N2564" t="s">
        <v>42</v>
      </c>
      <c r="O2564" t="s">
        <v>33</v>
      </c>
      <c r="P2564" t="s">
        <v>34</v>
      </c>
      <c r="Q2564" t="s">
        <v>34</v>
      </c>
      <c r="R2564" t="s">
        <v>34</v>
      </c>
      <c r="S2564" t="s">
        <v>34</v>
      </c>
      <c r="T2564" s="117">
        <v>0</v>
      </c>
    </row>
    <row r="2565" spans="1:21" x14ac:dyDescent="0.35">
      <c r="A2565" t="s">
        <v>20</v>
      </c>
      <c r="B2565" t="s">
        <v>23</v>
      </c>
      <c r="C2565" s="1">
        <v>45644</v>
      </c>
      <c r="D2565">
        <f t="shared" si="186"/>
        <v>18</v>
      </c>
      <c r="E2565">
        <f t="shared" si="187"/>
        <v>12</v>
      </c>
      <c r="F2565">
        <f t="shared" si="188"/>
        <v>2024</v>
      </c>
      <c r="G2565" t="s">
        <v>46</v>
      </c>
      <c r="H2565" s="98">
        <v>11877</v>
      </c>
      <c r="I2565" s="29">
        <v>27</v>
      </c>
      <c r="J2565" s="12" t="s">
        <v>31</v>
      </c>
      <c r="K2565" s="76">
        <f t="shared" si="185"/>
        <v>27</v>
      </c>
      <c r="L2565">
        <v>1</v>
      </c>
      <c r="M2565" s="29">
        <v>0</v>
      </c>
      <c r="N2565" t="s">
        <v>42</v>
      </c>
      <c r="O2565" t="s">
        <v>33</v>
      </c>
      <c r="P2565" t="s">
        <v>34</v>
      </c>
      <c r="Q2565" t="s">
        <v>34</v>
      </c>
      <c r="R2565" t="s">
        <v>34</v>
      </c>
      <c r="S2565" t="s">
        <v>34</v>
      </c>
      <c r="T2565" s="117">
        <v>0</v>
      </c>
    </row>
    <row r="2566" spans="1:21" x14ac:dyDescent="0.35">
      <c r="A2566" t="s">
        <v>20</v>
      </c>
      <c r="B2566" t="s">
        <v>23</v>
      </c>
      <c r="C2566" s="1">
        <v>45644</v>
      </c>
      <c r="D2566">
        <f t="shared" si="186"/>
        <v>18</v>
      </c>
      <c r="E2566">
        <f t="shared" si="187"/>
        <v>12</v>
      </c>
      <c r="F2566">
        <f t="shared" si="188"/>
        <v>2024</v>
      </c>
      <c r="G2566" t="s">
        <v>46</v>
      </c>
      <c r="H2566" s="98">
        <v>11876</v>
      </c>
      <c r="I2566" s="29">
        <v>810</v>
      </c>
      <c r="J2566" s="12" t="s">
        <v>31</v>
      </c>
      <c r="K2566" s="76">
        <f t="shared" si="185"/>
        <v>810</v>
      </c>
      <c r="L2566">
        <v>1</v>
      </c>
      <c r="M2566" s="29">
        <v>0</v>
      </c>
      <c r="N2566" t="s">
        <v>42</v>
      </c>
      <c r="O2566" t="s">
        <v>33</v>
      </c>
      <c r="P2566" t="s">
        <v>34</v>
      </c>
      <c r="Q2566" t="s">
        <v>34</v>
      </c>
      <c r="R2566" t="s">
        <v>34</v>
      </c>
      <c r="S2566" t="s">
        <v>34</v>
      </c>
      <c r="T2566" s="117">
        <v>0</v>
      </c>
      <c r="U2566" s="209" t="s">
        <v>834</v>
      </c>
    </row>
    <row r="2567" spans="1:21" x14ac:dyDescent="0.35">
      <c r="A2567" t="s">
        <v>20</v>
      </c>
      <c r="B2567" t="s">
        <v>25</v>
      </c>
      <c r="C2567" s="1">
        <v>45644</v>
      </c>
      <c r="D2567">
        <f t="shared" si="186"/>
        <v>18</v>
      </c>
      <c r="E2567">
        <f t="shared" si="187"/>
        <v>12</v>
      </c>
      <c r="F2567">
        <f t="shared" si="188"/>
        <v>2024</v>
      </c>
      <c r="G2567" t="s">
        <v>46</v>
      </c>
      <c r="H2567" s="98">
        <v>11875</v>
      </c>
      <c r="I2567" s="29">
        <v>517</v>
      </c>
      <c r="J2567" s="12" t="s">
        <v>31</v>
      </c>
      <c r="K2567" s="76">
        <f t="shared" si="185"/>
        <v>517</v>
      </c>
      <c r="L2567">
        <v>1</v>
      </c>
      <c r="M2567" s="29">
        <v>0</v>
      </c>
      <c r="N2567" t="s">
        <v>42</v>
      </c>
      <c r="O2567" t="s">
        <v>33</v>
      </c>
      <c r="P2567" t="s">
        <v>34</v>
      </c>
      <c r="Q2567" t="s">
        <v>34</v>
      </c>
      <c r="R2567" t="s">
        <v>34</v>
      </c>
      <c r="S2567" t="s">
        <v>34</v>
      </c>
      <c r="T2567" s="117">
        <v>0</v>
      </c>
    </row>
    <row r="2568" spans="1:21" x14ac:dyDescent="0.35">
      <c r="A2568" t="s">
        <v>20</v>
      </c>
      <c r="B2568" t="s">
        <v>25</v>
      </c>
      <c r="C2568" s="1">
        <v>45644</v>
      </c>
      <c r="D2568">
        <f t="shared" si="186"/>
        <v>18</v>
      </c>
      <c r="E2568">
        <f t="shared" si="187"/>
        <v>12</v>
      </c>
      <c r="F2568">
        <f t="shared" si="188"/>
        <v>2024</v>
      </c>
      <c r="G2568" t="s">
        <v>46</v>
      </c>
      <c r="H2568" s="98">
        <v>11876</v>
      </c>
      <c r="I2568" s="29">
        <v>4929.2</v>
      </c>
      <c r="J2568" s="12" t="s">
        <v>31</v>
      </c>
      <c r="K2568" s="76">
        <f t="shared" si="185"/>
        <v>4929.2</v>
      </c>
      <c r="L2568">
        <v>1</v>
      </c>
      <c r="M2568" s="29">
        <v>0</v>
      </c>
      <c r="N2568" t="s">
        <v>42</v>
      </c>
      <c r="O2568" t="s">
        <v>33</v>
      </c>
      <c r="P2568" t="s">
        <v>34</v>
      </c>
      <c r="Q2568" t="s">
        <v>34</v>
      </c>
      <c r="R2568" t="s">
        <v>34</v>
      </c>
      <c r="S2568" t="s">
        <v>34</v>
      </c>
      <c r="T2568" s="117">
        <v>0</v>
      </c>
    </row>
    <row r="2569" spans="1:21" x14ac:dyDescent="0.35">
      <c r="A2569" t="s">
        <v>20</v>
      </c>
      <c r="B2569" t="s">
        <v>21</v>
      </c>
      <c r="C2569" s="1">
        <v>45644</v>
      </c>
      <c r="D2569">
        <f t="shared" si="186"/>
        <v>18</v>
      </c>
      <c r="E2569">
        <f t="shared" si="187"/>
        <v>12</v>
      </c>
      <c r="F2569">
        <f t="shared" si="188"/>
        <v>2024</v>
      </c>
      <c r="G2569" t="s">
        <v>299</v>
      </c>
      <c r="H2569" s="98">
        <v>12485</v>
      </c>
      <c r="I2569" s="29">
        <v>6638.7</v>
      </c>
      <c r="J2569" s="12" t="s">
        <v>31</v>
      </c>
      <c r="K2569" s="76">
        <f t="shared" si="185"/>
        <v>6638.7</v>
      </c>
      <c r="L2569">
        <v>1</v>
      </c>
      <c r="M2569" s="29">
        <v>0</v>
      </c>
      <c r="N2569" t="s">
        <v>42</v>
      </c>
      <c r="O2569" t="s">
        <v>33</v>
      </c>
      <c r="P2569" t="s">
        <v>34</v>
      </c>
      <c r="Q2569" t="s">
        <v>34</v>
      </c>
      <c r="R2569" t="s">
        <v>34</v>
      </c>
      <c r="S2569" t="s">
        <v>34</v>
      </c>
      <c r="T2569" s="117">
        <v>0</v>
      </c>
      <c r="U2569" s="210" t="s">
        <v>1386</v>
      </c>
    </row>
    <row r="2570" spans="1:21" x14ac:dyDescent="0.35">
      <c r="A2570" t="s">
        <v>20</v>
      </c>
      <c r="B2570" t="s">
        <v>21</v>
      </c>
      <c r="C2570" s="1">
        <v>45644</v>
      </c>
      <c r="D2570">
        <f t="shared" si="186"/>
        <v>18</v>
      </c>
      <c r="E2570">
        <f t="shared" si="187"/>
        <v>12</v>
      </c>
      <c r="F2570">
        <f t="shared" si="188"/>
        <v>2024</v>
      </c>
      <c r="G2570" t="s">
        <v>299</v>
      </c>
      <c r="H2570" s="98">
        <v>12090</v>
      </c>
      <c r="I2570" s="29">
        <v>226</v>
      </c>
      <c r="J2570" s="12" t="s">
        <v>31</v>
      </c>
      <c r="K2570" s="76">
        <f t="shared" si="185"/>
        <v>226</v>
      </c>
      <c r="L2570">
        <v>1</v>
      </c>
      <c r="M2570" s="29">
        <v>0</v>
      </c>
      <c r="N2570" t="s">
        <v>42</v>
      </c>
      <c r="O2570" t="s">
        <v>33</v>
      </c>
      <c r="P2570" t="s">
        <v>34</v>
      </c>
      <c r="Q2570" t="s">
        <v>34</v>
      </c>
      <c r="R2570" t="s">
        <v>34</v>
      </c>
      <c r="S2570" t="s">
        <v>34</v>
      </c>
      <c r="T2570" s="117">
        <v>0</v>
      </c>
      <c r="U2570" s="209" t="s">
        <v>1382</v>
      </c>
    </row>
    <row r="2571" spans="1:21" x14ac:dyDescent="0.35">
      <c r="A2571" t="s">
        <v>20</v>
      </c>
      <c r="B2571" t="s">
        <v>21</v>
      </c>
      <c r="C2571" s="1">
        <v>45644</v>
      </c>
      <c r="D2571">
        <f t="shared" si="186"/>
        <v>18</v>
      </c>
      <c r="E2571">
        <f t="shared" si="187"/>
        <v>12</v>
      </c>
      <c r="F2571">
        <f t="shared" si="188"/>
        <v>2024</v>
      </c>
      <c r="G2571" t="s">
        <v>299</v>
      </c>
      <c r="H2571" s="98">
        <v>12485</v>
      </c>
      <c r="I2571" s="29">
        <v>8787</v>
      </c>
      <c r="J2571" s="12" t="s">
        <v>31</v>
      </c>
      <c r="K2571" s="76">
        <f t="shared" si="185"/>
        <v>8787</v>
      </c>
      <c r="L2571">
        <v>1</v>
      </c>
      <c r="M2571" s="29">
        <v>0</v>
      </c>
      <c r="N2571" t="s">
        <v>42</v>
      </c>
      <c r="O2571" t="s">
        <v>33</v>
      </c>
      <c r="P2571" t="s">
        <v>34</v>
      </c>
      <c r="Q2571" t="s">
        <v>34</v>
      </c>
      <c r="R2571" t="s">
        <v>34</v>
      </c>
      <c r="S2571" t="s">
        <v>34</v>
      </c>
      <c r="T2571" s="117">
        <v>0</v>
      </c>
      <c r="U2571" s="210" t="s">
        <v>1387</v>
      </c>
    </row>
    <row r="2572" spans="1:21" x14ac:dyDescent="0.35">
      <c r="A2572" t="s">
        <v>20</v>
      </c>
      <c r="B2572" t="s">
        <v>21</v>
      </c>
      <c r="C2572" s="1">
        <v>45644</v>
      </c>
      <c r="D2572">
        <f t="shared" si="186"/>
        <v>18</v>
      </c>
      <c r="E2572">
        <f t="shared" si="187"/>
        <v>12</v>
      </c>
      <c r="F2572">
        <f t="shared" si="188"/>
        <v>2024</v>
      </c>
      <c r="G2572" t="s">
        <v>299</v>
      </c>
      <c r="H2572" s="98">
        <v>12090</v>
      </c>
      <c r="I2572" s="29">
        <v>244</v>
      </c>
      <c r="J2572" s="12" t="s">
        <v>31</v>
      </c>
      <c r="K2572" s="76">
        <f t="shared" ref="K2572:K2603" si="189">IF(J2572="USD",I2572,I2572*L2572)</f>
        <v>244</v>
      </c>
      <c r="L2572">
        <v>1</v>
      </c>
      <c r="M2572" s="29">
        <v>0</v>
      </c>
      <c r="N2572" t="s">
        <v>42</v>
      </c>
      <c r="O2572" t="s">
        <v>33</v>
      </c>
      <c r="P2572" t="s">
        <v>34</v>
      </c>
      <c r="Q2572" t="s">
        <v>34</v>
      </c>
      <c r="R2572" t="s">
        <v>34</v>
      </c>
      <c r="S2572" t="s">
        <v>34</v>
      </c>
      <c r="T2572" s="117">
        <v>0</v>
      </c>
      <c r="U2572" s="209" t="s">
        <v>1383</v>
      </c>
    </row>
    <row r="2573" spans="1:21" x14ac:dyDescent="0.35">
      <c r="A2573" t="s">
        <v>20</v>
      </c>
      <c r="B2573" t="s">
        <v>21</v>
      </c>
      <c r="C2573" s="1">
        <v>45644</v>
      </c>
      <c r="D2573">
        <f t="shared" si="186"/>
        <v>18</v>
      </c>
      <c r="E2573">
        <f t="shared" si="187"/>
        <v>12</v>
      </c>
      <c r="F2573">
        <f t="shared" si="188"/>
        <v>2024</v>
      </c>
      <c r="G2573" t="s">
        <v>299</v>
      </c>
      <c r="H2573" s="98">
        <v>12090</v>
      </c>
      <c r="I2573" s="29">
        <v>112.8</v>
      </c>
      <c r="J2573" s="12" t="s">
        <v>31</v>
      </c>
      <c r="K2573" s="76">
        <f t="shared" si="189"/>
        <v>112.8</v>
      </c>
      <c r="L2573">
        <v>1</v>
      </c>
      <c r="M2573" s="29">
        <v>0</v>
      </c>
      <c r="N2573" t="s">
        <v>42</v>
      </c>
      <c r="O2573" t="s">
        <v>33</v>
      </c>
      <c r="P2573" t="s">
        <v>34</v>
      </c>
      <c r="Q2573" t="s">
        <v>34</v>
      </c>
      <c r="R2573" t="s">
        <v>34</v>
      </c>
      <c r="S2573" t="s">
        <v>34</v>
      </c>
      <c r="T2573" s="117">
        <v>0</v>
      </c>
      <c r="U2573" s="209" t="s">
        <v>1384</v>
      </c>
    </row>
    <row r="2574" spans="1:21" x14ac:dyDescent="0.35">
      <c r="A2574" t="s">
        <v>20</v>
      </c>
      <c r="B2574" t="s">
        <v>21</v>
      </c>
      <c r="C2574" s="1">
        <v>45644</v>
      </c>
      <c r="D2574">
        <f t="shared" si="186"/>
        <v>18</v>
      </c>
      <c r="E2574">
        <f t="shared" si="187"/>
        <v>12</v>
      </c>
      <c r="F2574">
        <f t="shared" si="188"/>
        <v>2024</v>
      </c>
      <c r="G2574" t="s">
        <v>299</v>
      </c>
      <c r="H2574" s="98">
        <v>12485</v>
      </c>
      <c r="I2574" s="29">
        <v>2500.0100000000002</v>
      </c>
      <c r="J2574" s="12" t="s">
        <v>31</v>
      </c>
      <c r="K2574" s="76">
        <f t="shared" si="189"/>
        <v>2500.0100000000002</v>
      </c>
      <c r="L2574">
        <v>1</v>
      </c>
      <c r="M2574" s="29">
        <v>0</v>
      </c>
      <c r="N2574" t="s">
        <v>42</v>
      </c>
      <c r="O2574" t="s">
        <v>33</v>
      </c>
      <c r="P2574" t="s">
        <v>34</v>
      </c>
      <c r="Q2574" t="s">
        <v>34</v>
      </c>
      <c r="R2574" t="s">
        <v>34</v>
      </c>
      <c r="S2574" t="s">
        <v>34</v>
      </c>
      <c r="T2574" s="117">
        <v>0</v>
      </c>
      <c r="U2574" s="210" t="s">
        <v>1388</v>
      </c>
    </row>
    <row r="2575" spans="1:21" x14ac:dyDescent="0.35">
      <c r="A2575" t="s">
        <v>20</v>
      </c>
      <c r="B2575" t="s">
        <v>21</v>
      </c>
      <c r="C2575" s="1">
        <v>45644</v>
      </c>
      <c r="D2575">
        <f t="shared" si="186"/>
        <v>18</v>
      </c>
      <c r="E2575">
        <f t="shared" si="187"/>
        <v>12</v>
      </c>
      <c r="F2575">
        <f t="shared" si="188"/>
        <v>2024</v>
      </c>
      <c r="G2575" t="s">
        <v>273</v>
      </c>
      <c r="H2575" s="98">
        <v>11359</v>
      </c>
      <c r="I2575" s="29">
        <v>7526.8</v>
      </c>
      <c r="J2575" s="12" t="s">
        <v>31</v>
      </c>
      <c r="K2575" s="76">
        <f t="shared" si="189"/>
        <v>7526.8</v>
      </c>
      <c r="L2575">
        <v>1</v>
      </c>
      <c r="M2575" s="29">
        <v>0</v>
      </c>
      <c r="N2575" t="s">
        <v>32</v>
      </c>
      <c r="O2575" t="s">
        <v>33</v>
      </c>
      <c r="P2575" t="s">
        <v>34</v>
      </c>
      <c r="Q2575" t="s">
        <v>34</v>
      </c>
      <c r="R2575" t="s">
        <v>34</v>
      </c>
      <c r="S2575" t="s">
        <v>34</v>
      </c>
      <c r="T2575" s="117">
        <v>0</v>
      </c>
    </row>
    <row r="2576" spans="1:21" x14ac:dyDescent="0.35">
      <c r="A2576" t="s">
        <v>19</v>
      </c>
      <c r="B2576" t="s">
        <v>19</v>
      </c>
      <c r="C2576" s="1">
        <v>45644</v>
      </c>
      <c r="D2576">
        <f t="shared" si="186"/>
        <v>18</v>
      </c>
      <c r="E2576">
        <f t="shared" si="187"/>
        <v>12</v>
      </c>
      <c r="F2576">
        <f t="shared" si="188"/>
        <v>2024</v>
      </c>
      <c r="G2576" t="s">
        <v>56</v>
      </c>
      <c r="H2576" s="98" t="s">
        <v>721</v>
      </c>
      <c r="I2576" s="29">
        <v>19508</v>
      </c>
      <c r="J2576" s="12" t="s">
        <v>31</v>
      </c>
      <c r="K2576" s="76">
        <f t="shared" si="189"/>
        <v>19508</v>
      </c>
      <c r="L2576">
        <v>1</v>
      </c>
      <c r="M2576" s="29">
        <v>0</v>
      </c>
      <c r="N2576" t="s">
        <v>32</v>
      </c>
      <c r="O2576" t="s">
        <v>33</v>
      </c>
      <c r="P2576" t="s">
        <v>34</v>
      </c>
      <c r="Q2576" t="s">
        <v>34</v>
      </c>
      <c r="R2576" t="s">
        <v>34</v>
      </c>
      <c r="S2576" t="s">
        <v>34</v>
      </c>
      <c r="T2576" s="117">
        <v>0</v>
      </c>
    </row>
    <row r="2577" spans="1:21" x14ac:dyDescent="0.35">
      <c r="A2577" t="s">
        <v>19</v>
      </c>
      <c r="B2577" t="s">
        <v>19</v>
      </c>
      <c r="C2577" s="1">
        <v>45644</v>
      </c>
      <c r="D2577">
        <f t="shared" si="186"/>
        <v>18</v>
      </c>
      <c r="E2577">
        <f t="shared" si="187"/>
        <v>12</v>
      </c>
      <c r="F2577">
        <f t="shared" si="188"/>
        <v>2024</v>
      </c>
      <c r="G2577" t="s">
        <v>56</v>
      </c>
      <c r="H2577" s="98" t="s">
        <v>722</v>
      </c>
      <c r="I2577" s="29">
        <v>10759.78</v>
      </c>
      <c r="J2577" s="12" t="s">
        <v>31</v>
      </c>
      <c r="K2577" s="76">
        <f t="shared" si="189"/>
        <v>10759.78</v>
      </c>
      <c r="L2577">
        <v>1</v>
      </c>
      <c r="M2577" s="29">
        <v>0</v>
      </c>
      <c r="N2577" t="s">
        <v>32</v>
      </c>
      <c r="O2577" t="s">
        <v>33</v>
      </c>
      <c r="P2577" t="s">
        <v>34</v>
      </c>
      <c r="Q2577" t="s">
        <v>34</v>
      </c>
      <c r="R2577" t="s">
        <v>34</v>
      </c>
      <c r="S2577" t="s">
        <v>34</v>
      </c>
      <c r="T2577" s="117">
        <v>0</v>
      </c>
    </row>
    <row r="2578" spans="1:21" x14ac:dyDescent="0.35">
      <c r="A2578" t="s">
        <v>19</v>
      </c>
      <c r="B2578" t="s">
        <v>19</v>
      </c>
      <c r="C2578" s="1">
        <v>45644</v>
      </c>
      <c r="D2578">
        <f t="shared" si="186"/>
        <v>18</v>
      </c>
      <c r="E2578">
        <f t="shared" si="187"/>
        <v>12</v>
      </c>
      <c r="F2578">
        <f t="shared" si="188"/>
        <v>2024</v>
      </c>
      <c r="G2578" t="s">
        <v>56</v>
      </c>
      <c r="H2578" s="98" t="s">
        <v>723</v>
      </c>
      <c r="I2578" s="29">
        <v>84793.26</v>
      </c>
      <c r="J2578" s="12" t="s">
        <v>31</v>
      </c>
      <c r="K2578" s="76">
        <f t="shared" si="189"/>
        <v>84793.26</v>
      </c>
      <c r="L2578">
        <v>1</v>
      </c>
      <c r="M2578" s="29">
        <v>0</v>
      </c>
      <c r="N2578" t="s">
        <v>32</v>
      </c>
      <c r="O2578" t="s">
        <v>33</v>
      </c>
      <c r="P2578" t="s">
        <v>34</v>
      </c>
      <c r="Q2578" t="s">
        <v>34</v>
      </c>
      <c r="R2578" t="s">
        <v>34</v>
      </c>
      <c r="S2578" t="s">
        <v>34</v>
      </c>
      <c r="T2578" s="117">
        <v>0</v>
      </c>
    </row>
    <row r="2579" spans="1:21" x14ac:dyDescent="0.35">
      <c r="A2579" t="s">
        <v>19</v>
      </c>
      <c r="B2579" t="s">
        <v>19</v>
      </c>
      <c r="C2579" s="1">
        <v>45644</v>
      </c>
      <c r="D2579">
        <f t="shared" si="186"/>
        <v>18</v>
      </c>
      <c r="E2579">
        <f t="shared" si="187"/>
        <v>12</v>
      </c>
      <c r="F2579">
        <f t="shared" si="188"/>
        <v>2024</v>
      </c>
      <c r="G2579" t="s">
        <v>56</v>
      </c>
      <c r="H2579" s="98" t="s">
        <v>724</v>
      </c>
      <c r="I2579" s="29">
        <v>183794.71</v>
      </c>
      <c r="J2579" s="12" t="s">
        <v>31</v>
      </c>
      <c r="K2579" s="76">
        <f t="shared" si="189"/>
        <v>183794.71</v>
      </c>
      <c r="L2579">
        <v>1</v>
      </c>
      <c r="M2579" s="29">
        <v>0</v>
      </c>
      <c r="N2579" t="s">
        <v>32</v>
      </c>
      <c r="O2579" t="s">
        <v>33</v>
      </c>
      <c r="P2579" t="s">
        <v>34</v>
      </c>
      <c r="Q2579" t="s">
        <v>34</v>
      </c>
      <c r="R2579" t="s">
        <v>34</v>
      </c>
      <c r="S2579" t="s">
        <v>34</v>
      </c>
      <c r="T2579" s="117">
        <v>0</v>
      </c>
    </row>
    <row r="2580" spans="1:21" x14ac:dyDescent="0.35">
      <c r="A2580" t="s">
        <v>19</v>
      </c>
      <c r="B2580" t="s">
        <v>19</v>
      </c>
      <c r="C2580" s="1">
        <v>45644</v>
      </c>
      <c r="D2580">
        <f t="shared" si="186"/>
        <v>18</v>
      </c>
      <c r="E2580">
        <f t="shared" si="187"/>
        <v>12</v>
      </c>
      <c r="F2580">
        <f t="shared" si="188"/>
        <v>2024</v>
      </c>
      <c r="G2580" t="s">
        <v>56</v>
      </c>
      <c r="H2580" s="98" t="s">
        <v>725</v>
      </c>
      <c r="I2580" s="29">
        <v>169407.3</v>
      </c>
      <c r="J2580" s="12" t="s">
        <v>31</v>
      </c>
      <c r="K2580" s="76">
        <f t="shared" si="189"/>
        <v>169407.3</v>
      </c>
      <c r="L2580">
        <v>1</v>
      </c>
      <c r="M2580" s="29">
        <v>0</v>
      </c>
      <c r="N2580" t="s">
        <v>32</v>
      </c>
      <c r="O2580" t="s">
        <v>33</v>
      </c>
      <c r="P2580" t="s">
        <v>34</v>
      </c>
      <c r="Q2580" t="s">
        <v>34</v>
      </c>
      <c r="R2580" t="s">
        <v>34</v>
      </c>
      <c r="S2580" t="s">
        <v>34</v>
      </c>
      <c r="T2580" s="117">
        <v>0</v>
      </c>
    </row>
    <row r="2581" spans="1:21" x14ac:dyDescent="0.35">
      <c r="A2581" t="s">
        <v>19</v>
      </c>
      <c r="B2581" t="s">
        <v>19</v>
      </c>
      <c r="C2581" s="1">
        <v>45644</v>
      </c>
      <c r="D2581">
        <f t="shared" si="186"/>
        <v>18</v>
      </c>
      <c r="E2581">
        <f t="shared" si="187"/>
        <v>12</v>
      </c>
      <c r="F2581">
        <f t="shared" si="188"/>
        <v>2024</v>
      </c>
      <c r="G2581" t="s">
        <v>69</v>
      </c>
      <c r="H2581" s="98" t="s">
        <v>726</v>
      </c>
      <c r="I2581" s="29">
        <v>37496.120000000003</v>
      </c>
      <c r="J2581" s="12" t="s">
        <v>31</v>
      </c>
      <c r="K2581" s="76">
        <f t="shared" si="189"/>
        <v>37496.120000000003</v>
      </c>
      <c r="L2581">
        <v>1</v>
      </c>
      <c r="M2581" s="29">
        <v>0</v>
      </c>
      <c r="N2581" t="s">
        <v>32</v>
      </c>
      <c r="O2581" t="s">
        <v>33</v>
      </c>
      <c r="P2581" t="s">
        <v>34</v>
      </c>
      <c r="Q2581" t="s">
        <v>34</v>
      </c>
      <c r="R2581" t="s">
        <v>34</v>
      </c>
      <c r="S2581" t="s">
        <v>34</v>
      </c>
      <c r="T2581" s="117">
        <v>0</v>
      </c>
    </row>
    <row r="2582" spans="1:21" x14ac:dyDescent="0.35">
      <c r="A2582" t="s">
        <v>19</v>
      </c>
      <c r="B2582" t="s">
        <v>19</v>
      </c>
      <c r="C2582" s="1">
        <v>45644</v>
      </c>
      <c r="D2582">
        <f t="shared" si="186"/>
        <v>18</v>
      </c>
      <c r="E2582">
        <f t="shared" si="187"/>
        <v>12</v>
      </c>
      <c r="F2582">
        <f t="shared" si="188"/>
        <v>2024</v>
      </c>
      <c r="G2582" t="s">
        <v>59</v>
      </c>
      <c r="H2582" s="98" t="s">
        <v>727</v>
      </c>
      <c r="I2582" s="29">
        <v>29177.39</v>
      </c>
      <c r="J2582" s="12" t="s">
        <v>31</v>
      </c>
      <c r="K2582" s="76">
        <f t="shared" si="189"/>
        <v>29177.39</v>
      </c>
      <c r="L2582">
        <v>1</v>
      </c>
      <c r="M2582" s="29">
        <v>0</v>
      </c>
      <c r="N2582" t="s">
        <v>32</v>
      </c>
      <c r="O2582" t="s">
        <v>33</v>
      </c>
      <c r="P2582" t="s">
        <v>34</v>
      </c>
      <c r="Q2582" t="s">
        <v>34</v>
      </c>
      <c r="R2582" t="s">
        <v>34</v>
      </c>
      <c r="S2582" t="s">
        <v>34</v>
      </c>
      <c r="T2582" s="117">
        <v>0</v>
      </c>
    </row>
    <row r="2583" spans="1:21" x14ac:dyDescent="0.35">
      <c r="A2583" t="s">
        <v>19</v>
      </c>
      <c r="B2583" t="s">
        <v>19</v>
      </c>
      <c r="C2583" s="1">
        <v>45644</v>
      </c>
      <c r="D2583">
        <f t="shared" si="186"/>
        <v>18</v>
      </c>
      <c r="E2583">
        <f t="shared" si="187"/>
        <v>12</v>
      </c>
      <c r="F2583">
        <f t="shared" si="188"/>
        <v>2024</v>
      </c>
      <c r="G2583" t="s">
        <v>225</v>
      </c>
      <c r="H2583" s="98" t="s">
        <v>728</v>
      </c>
      <c r="I2583" s="29">
        <v>6653.81</v>
      </c>
      <c r="J2583" s="12" t="s">
        <v>31</v>
      </c>
      <c r="K2583" s="76">
        <f t="shared" si="189"/>
        <v>6653.81</v>
      </c>
      <c r="L2583">
        <v>1</v>
      </c>
      <c r="M2583" s="29">
        <v>0</v>
      </c>
      <c r="N2583" t="s">
        <v>32</v>
      </c>
      <c r="O2583" t="s">
        <v>33</v>
      </c>
      <c r="P2583" t="s">
        <v>34</v>
      </c>
      <c r="Q2583" t="s">
        <v>34</v>
      </c>
      <c r="R2583" t="s">
        <v>34</v>
      </c>
      <c r="S2583" t="s">
        <v>34</v>
      </c>
      <c r="T2583" s="117">
        <v>0</v>
      </c>
    </row>
    <row r="2584" spans="1:21" x14ac:dyDescent="0.35">
      <c r="A2584" t="s">
        <v>19</v>
      </c>
      <c r="B2584" t="s">
        <v>19</v>
      </c>
      <c r="C2584" s="1">
        <v>45644</v>
      </c>
      <c r="D2584">
        <f t="shared" si="186"/>
        <v>18</v>
      </c>
      <c r="E2584">
        <f t="shared" si="187"/>
        <v>12</v>
      </c>
      <c r="F2584">
        <f t="shared" si="188"/>
        <v>2024</v>
      </c>
      <c r="G2584" t="s">
        <v>120</v>
      </c>
      <c r="H2584" s="98" t="s">
        <v>729</v>
      </c>
      <c r="I2584" s="29">
        <v>66007.14</v>
      </c>
      <c r="J2584" s="12" t="s">
        <v>31</v>
      </c>
      <c r="K2584" s="76">
        <f t="shared" si="189"/>
        <v>66007.14</v>
      </c>
      <c r="L2584">
        <v>1</v>
      </c>
      <c r="M2584" s="29">
        <v>0</v>
      </c>
      <c r="N2584" t="s">
        <v>32</v>
      </c>
      <c r="O2584" t="s">
        <v>33</v>
      </c>
      <c r="P2584" t="s">
        <v>34</v>
      </c>
      <c r="Q2584" t="s">
        <v>34</v>
      </c>
      <c r="R2584" t="s">
        <v>34</v>
      </c>
      <c r="S2584" t="s">
        <v>34</v>
      </c>
      <c r="T2584" s="117">
        <v>0</v>
      </c>
    </row>
    <row r="2585" spans="1:21" x14ac:dyDescent="0.35">
      <c r="A2585" t="s">
        <v>19</v>
      </c>
      <c r="B2585" t="s">
        <v>19</v>
      </c>
      <c r="C2585" s="1">
        <v>45644</v>
      </c>
      <c r="D2585">
        <f t="shared" si="186"/>
        <v>18</v>
      </c>
      <c r="E2585">
        <f t="shared" si="187"/>
        <v>12</v>
      </c>
      <c r="F2585">
        <f t="shared" si="188"/>
        <v>2024</v>
      </c>
      <c r="G2585" t="s">
        <v>45</v>
      </c>
      <c r="H2585" s="98" t="s">
        <v>730</v>
      </c>
      <c r="I2585" s="29">
        <v>18951.66</v>
      </c>
      <c r="J2585" s="12" t="s">
        <v>31</v>
      </c>
      <c r="K2585" s="76">
        <f t="shared" si="189"/>
        <v>18951.66</v>
      </c>
      <c r="L2585">
        <v>1</v>
      </c>
      <c r="M2585" s="29">
        <v>0</v>
      </c>
      <c r="N2585" t="s">
        <v>32</v>
      </c>
      <c r="O2585" t="s">
        <v>33</v>
      </c>
      <c r="P2585" t="s">
        <v>34</v>
      </c>
      <c r="Q2585" t="s">
        <v>34</v>
      </c>
      <c r="R2585" t="s">
        <v>34</v>
      </c>
      <c r="S2585" t="s">
        <v>34</v>
      </c>
      <c r="T2585" s="117">
        <v>0</v>
      </c>
    </row>
    <row r="2586" spans="1:21" x14ac:dyDescent="0.35">
      <c r="A2586" t="s">
        <v>19</v>
      </c>
      <c r="B2586" t="s">
        <v>19</v>
      </c>
      <c r="C2586" s="1">
        <v>45644</v>
      </c>
      <c r="D2586">
        <f t="shared" si="186"/>
        <v>18</v>
      </c>
      <c r="E2586">
        <f t="shared" si="187"/>
        <v>12</v>
      </c>
      <c r="F2586">
        <f t="shared" si="188"/>
        <v>2024</v>
      </c>
      <c r="G2586" t="s">
        <v>424</v>
      </c>
      <c r="H2586" s="98" t="s">
        <v>731</v>
      </c>
      <c r="I2586" s="29">
        <v>44222.1</v>
      </c>
      <c r="J2586" s="12" t="s">
        <v>31</v>
      </c>
      <c r="K2586" s="76">
        <f t="shared" si="189"/>
        <v>44222.1</v>
      </c>
      <c r="L2586">
        <v>1</v>
      </c>
      <c r="M2586" s="29">
        <v>0</v>
      </c>
      <c r="N2586" t="s">
        <v>32</v>
      </c>
      <c r="O2586" t="s">
        <v>33</v>
      </c>
      <c r="P2586" t="s">
        <v>34</v>
      </c>
      <c r="Q2586" t="s">
        <v>34</v>
      </c>
      <c r="R2586" t="s">
        <v>34</v>
      </c>
      <c r="S2586" t="s">
        <v>34</v>
      </c>
      <c r="T2586" s="117">
        <v>0</v>
      </c>
    </row>
    <row r="2587" spans="1:21" x14ac:dyDescent="0.35">
      <c r="A2587" t="s">
        <v>19</v>
      </c>
      <c r="B2587" t="s">
        <v>19</v>
      </c>
      <c r="C2587" s="1">
        <v>45644</v>
      </c>
      <c r="D2587">
        <f t="shared" si="186"/>
        <v>18</v>
      </c>
      <c r="E2587">
        <f t="shared" si="187"/>
        <v>12</v>
      </c>
      <c r="F2587">
        <f t="shared" si="188"/>
        <v>2024</v>
      </c>
      <c r="G2587" t="s">
        <v>111</v>
      </c>
      <c r="H2587" s="98" t="s">
        <v>732</v>
      </c>
      <c r="I2587" s="29">
        <v>222.88</v>
      </c>
      <c r="J2587" s="12" t="s">
        <v>31</v>
      </c>
      <c r="K2587" s="76">
        <f t="shared" si="189"/>
        <v>222.88</v>
      </c>
      <c r="L2587">
        <v>1</v>
      </c>
      <c r="M2587" s="29">
        <v>0</v>
      </c>
      <c r="N2587" t="s">
        <v>32</v>
      </c>
      <c r="O2587" t="s">
        <v>33</v>
      </c>
      <c r="P2587" t="s">
        <v>34</v>
      </c>
      <c r="Q2587" t="s">
        <v>34</v>
      </c>
      <c r="R2587" t="s">
        <v>34</v>
      </c>
      <c r="S2587" t="s">
        <v>34</v>
      </c>
      <c r="T2587" s="117">
        <v>0</v>
      </c>
    </row>
    <row r="2588" spans="1:21" x14ac:dyDescent="0.35">
      <c r="A2588" t="s">
        <v>19</v>
      </c>
      <c r="B2588" t="s">
        <v>21</v>
      </c>
      <c r="C2588" s="1">
        <v>45645</v>
      </c>
      <c r="D2588">
        <f t="shared" si="186"/>
        <v>19</v>
      </c>
      <c r="E2588">
        <f t="shared" si="187"/>
        <v>12</v>
      </c>
      <c r="F2588">
        <f t="shared" si="188"/>
        <v>2024</v>
      </c>
      <c r="G2588" t="s">
        <v>737</v>
      </c>
      <c r="H2588" s="98">
        <v>11648</v>
      </c>
      <c r="I2588" s="29">
        <v>29.4</v>
      </c>
      <c r="J2588" s="12" t="s">
        <v>31</v>
      </c>
      <c r="K2588" s="76">
        <f t="shared" si="189"/>
        <v>29.4</v>
      </c>
      <c r="L2588">
        <v>1</v>
      </c>
      <c r="M2588" s="29">
        <v>0</v>
      </c>
      <c r="N2588" t="s">
        <v>32</v>
      </c>
      <c r="O2588" t="s">
        <v>33</v>
      </c>
      <c r="P2588" t="s">
        <v>34</v>
      </c>
      <c r="Q2588" t="s">
        <v>34</v>
      </c>
      <c r="R2588" t="s">
        <v>34</v>
      </c>
      <c r="S2588" t="s">
        <v>34</v>
      </c>
      <c r="T2588" s="117">
        <v>0</v>
      </c>
    </row>
    <row r="2589" spans="1:21" x14ac:dyDescent="0.35">
      <c r="A2589" t="s">
        <v>19</v>
      </c>
      <c r="B2589" t="s">
        <v>21</v>
      </c>
      <c r="C2589" s="1">
        <v>45645</v>
      </c>
      <c r="D2589">
        <f t="shared" si="186"/>
        <v>19</v>
      </c>
      <c r="E2589">
        <f t="shared" si="187"/>
        <v>12</v>
      </c>
      <c r="F2589">
        <f t="shared" si="188"/>
        <v>2024</v>
      </c>
      <c r="G2589" t="s">
        <v>737</v>
      </c>
      <c r="H2589" s="98">
        <v>11647</v>
      </c>
      <c r="I2589" s="29">
        <v>16640.400000000001</v>
      </c>
      <c r="J2589" s="12" t="s">
        <v>31</v>
      </c>
      <c r="K2589" s="76">
        <f t="shared" si="189"/>
        <v>16640.400000000001</v>
      </c>
      <c r="L2589">
        <v>1</v>
      </c>
      <c r="M2589" s="29">
        <v>0</v>
      </c>
      <c r="N2589" t="s">
        <v>32</v>
      </c>
      <c r="O2589" t="s">
        <v>33</v>
      </c>
      <c r="P2589" t="s">
        <v>34</v>
      </c>
      <c r="Q2589" t="s">
        <v>34</v>
      </c>
      <c r="R2589" t="s">
        <v>34</v>
      </c>
      <c r="S2589" t="s">
        <v>34</v>
      </c>
      <c r="T2589" s="117">
        <v>0</v>
      </c>
    </row>
    <row r="2590" spans="1:21" x14ac:dyDescent="0.35">
      <c r="A2590" t="s">
        <v>19</v>
      </c>
      <c r="B2590" t="s">
        <v>23</v>
      </c>
      <c r="C2590" s="1">
        <v>45645</v>
      </c>
      <c r="D2590">
        <f t="shared" si="186"/>
        <v>19</v>
      </c>
      <c r="E2590">
        <f t="shared" si="187"/>
        <v>12</v>
      </c>
      <c r="F2590">
        <f t="shared" si="188"/>
        <v>2024</v>
      </c>
      <c r="G2590" t="s">
        <v>75</v>
      </c>
      <c r="H2590" s="171">
        <v>11164</v>
      </c>
      <c r="I2590" s="90">
        <v>27678</v>
      </c>
      <c r="J2590" s="12" t="s">
        <v>31</v>
      </c>
      <c r="K2590" s="76">
        <f t="shared" si="189"/>
        <v>27678</v>
      </c>
      <c r="L2590">
        <v>1</v>
      </c>
      <c r="M2590" s="29">
        <v>0</v>
      </c>
      <c r="N2590" t="s">
        <v>32</v>
      </c>
      <c r="O2590" t="s">
        <v>33</v>
      </c>
      <c r="P2590" t="s">
        <v>34</v>
      </c>
      <c r="Q2590" t="s">
        <v>34</v>
      </c>
      <c r="R2590" t="s">
        <v>34</v>
      </c>
      <c r="S2590" t="s">
        <v>34</v>
      </c>
      <c r="T2590" s="117">
        <v>0</v>
      </c>
    </row>
    <row r="2591" spans="1:21" x14ac:dyDescent="0.35">
      <c r="A2591" t="s">
        <v>19</v>
      </c>
      <c r="B2591" t="s">
        <v>21</v>
      </c>
      <c r="C2591" s="1">
        <v>45645</v>
      </c>
      <c r="D2591">
        <f t="shared" si="186"/>
        <v>19</v>
      </c>
      <c r="E2591">
        <f t="shared" si="187"/>
        <v>12</v>
      </c>
      <c r="F2591">
        <f t="shared" si="188"/>
        <v>2024</v>
      </c>
      <c r="G2591" t="s">
        <v>75</v>
      </c>
      <c r="H2591" s="171">
        <v>11192</v>
      </c>
      <c r="I2591" s="90">
        <v>9657.92</v>
      </c>
      <c r="J2591" s="12" t="s">
        <v>31</v>
      </c>
      <c r="K2591" s="76">
        <f t="shared" si="189"/>
        <v>9657.92</v>
      </c>
      <c r="L2591">
        <v>1</v>
      </c>
      <c r="M2591" s="29">
        <v>0</v>
      </c>
      <c r="N2591" t="s">
        <v>42</v>
      </c>
      <c r="O2591" t="s">
        <v>33</v>
      </c>
      <c r="P2591" t="s">
        <v>34</v>
      </c>
      <c r="Q2591" t="s">
        <v>34</v>
      </c>
      <c r="R2591" t="s">
        <v>34</v>
      </c>
      <c r="S2591" t="s">
        <v>34</v>
      </c>
      <c r="T2591" s="117">
        <v>0</v>
      </c>
    </row>
    <row r="2592" spans="1:21" x14ac:dyDescent="0.35">
      <c r="A2592" t="s">
        <v>19</v>
      </c>
      <c r="B2592" t="s">
        <v>21</v>
      </c>
      <c r="C2592" s="1">
        <v>45645</v>
      </c>
      <c r="D2592">
        <f t="shared" si="186"/>
        <v>19</v>
      </c>
      <c r="E2592">
        <f t="shared" si="187"/>
        <v>12</v>
      </c>
      <c r="F2592">
        <f t="shared" si="188"/>
        <v>2024</v>
      </c>
      <c r="G2592" t="s">
        <v>75</v>
      </c>
      <c r="H2592" s="171">
        <v>12590</v>
      </c>
      <c r="I2592" s="90">
        <v>2633.9</v>
      </c>
      <c r="J2592" s="12" t="s">
        <v>31</v>
      </c>
      <c r="K2592" s="76">
        <f t="shared" si="189"/>
        <v>2633.9</v>
      </c>
      <c r="L2592">
        <v>1</v>
      </c>
      <c r="M2592" s="29">
        <v>0</v>
      </c>
      <c r="N2592" t="s">
        <v>42</v>
      </c>
      <c r="O2592" t="s">
        <v>33</v>
      </c>
      <c r="P2592" t="s">
        <v>34</v>
      </c>
      <c r="Q2592" t="s">
        <v>34</v>
      </c>
      <c r="R2592" t="s">
        <v>34</v>
      </c>
      <c r="S2592" t="s">
        <v>34</v>
      </c>
      <c r="T2592" s="117">
        <v>0</v>
      </c>
      <c r="U2592" s="209" t="s">
        <v>1351</v>
      </c>
    </row>
    <row r="2593" spans="1:21" x14ac:dyDescent="0.35">
      <c r="A2593" t="s">
        <v>19</v>
      </c>
      <c r="B2593" t="s">
        <v>25</v>
      </c>
      <c r="C2593" s="1">
        <v>45645</v>
      </c>
      <c r="D2593">
        <f t="shared" si="186"/>
        <v>19</v>
      </c>
      <c r="E2593">
        <f t="shared" si="187"/>
        <v>12</v>
      </c>
      <c r="F2593">
        <f t="shared" si="188"/>
        <v>2024</v>
      </c>
      <c r="G2593" t="s">
        <v>738</v>
      </c>
      <c r="H2593" s="98">
        <v>11894</v>
      </c>
      <c r="I2593" s="29">
        <v>1320</v>
      </c>
      <c r="J2593" s="12" t="s">
        <v>31</v>
      </c>
      <c r="K2593" s="76">
        <f t="shared" si="189"/>
        <v>1320</v>
      </c>
      <c r="L2593">
        <v>1</v>
      </c>
      <c r="M2593" s="29">
        <v>0</v>
      </c>
      <c r="N2593" t="s">
        <v>42</v>
      </c>
      <c r="O2593" t="s">
        <v>33</v>
      </c>
      <c r="P2593" t="s">
        <v>34</v>
      </c>
      <c r="Q2593" t="s">
        <v>34</v>
      </c>
      <c r="R2593" t="s">
        <v>34</v>
      </c>
      <c r="S2593" t="s">
        <v>34</v>
      </c>
      <c r="T2593" s="117">
        <v>0</v>
      </c>
    </row>
    <row r="2594" spans="1:21" x14ac:dyDescent="0.35">
      <c r="A2594" t="s">
        <v>20</v>
      </c>
      <c r="B2594" t="s">
        <v>24</v>
      </c>
      <c r="C2594" s="1">
        <v>45645</v>
      </c>
      <c r="D2594">
        <f t="shared" si="186"/>
        <v>19</v>
      </c>
      <c r="E2594">
        <f t="shared" si="187"/>
        <v>12</v>
      </c>
      <c r="F2594">
        <f t="shared" si="188"/>
        <v>2024</v>
      </c>
      <c r="G2594" t="s">
        <v>50</v>
      </c>
      <c r="H2594" s="98">
        <v>11070</v>
      </c>
      <c r="I2594" s="29">
        <v>28579.5</v>
      </c>
      <c r="J2594" s="12" t="s">
        <v>31</v>
      </c>
      <c r="K2594" s="76">
        <f t="shared" si="189"/>
        <v>28579.5</v>
      </c>
      <c r="L2594">
        <v>1</v>
      </c>
      <c r="M2594" s="29">
        <v>0</v>
      </c>
      <c r="N2594" t="s">
        <v>32</v>
      </c>
      <c r="O2594" t="s">
        <v>33</v>
      </c>
      <c r="P2594" t="s">
        <v>34</v>
      </c>
      <c r="Q2594" t="s">
        <v>34</v>
      </c>
      <c r="R2594" t="s">
        <v>34</v>
      </c>
      <c r="S2594" t="s">
        <v>34</v>
      </c>
      <c r="T2594" s="117">
        <v>0</v>
      </c>
    </row>
    <row r="2595" spans="1:21" x14ac:dyDescent="0.35">
      <c r="A2595" t="s">
        <v>20</v>
      </c>
      <c r="B2595" t="s">
        <v>25</v>
      </c>
      <c r="C2595" s="1">
        <v>45645</v>
      </c>
      <c r="D2595">
        <f t="shared" si="186"/>
        <v>19</v>
      </c>
      <c r="E2595">
        <f t="shared" si="187"/>
        <v>12</v>
      </c>
      <c r="F2595">
        <f t="shared" si="188"/>
        <v>2024</v>
      </c>
      <c r="G2595" t="s">
        <v>50</v>
      </c>
      <c r="H2595" s="98">
        <v>11070</v>
      </c>
      <c r="I2595" s="29">
        <v>10764</v>
      </c>
      <c r="J2595" s="12" t="s">
        <v>31</v>
      </c>
      <c r="K2595" s="76">
        <f t="shared" si="189"/>
        <v>10764</v>
      </c>
      <c r="L2595">
        <v>1</v>
      </c>
      <c r="M2595" s="29">
        <v>0</v>
      </c>
      <c r="N2595" t="s">
        <v>32</v>
      </c>
      <c r="O2595" t="s">
        <v>33</v>
      </c>
      <c r="P2595" t="s">
        <v>34</v>
      </c>
      <c r="Q2595" t="s">
        <v>34</v>
      </c>
      <c r="R2595" t="s">
        <v>34</v>
      </c>
      <c r="S2595" t="s">
        <v>34</v>
      </c>
      <c r="T2595" s="117">
        <v>0</v>
      </c>
    </row>
    <row r="2596" spans="1:21" x14ac:dyDescent="0.35">
      <c r="A2596" t="s">
        <v>20</v>
      </c>
      <c r="B2596" t="s">
        <v>21</v>
      </c>
      <c r="C2596" s="1">
        <v>45645</v>
      </c>
      <c r="D2596">
        <f t="shared" si="186"/>
        <v>19</v>
      </c>
      <c r="E2596">
        <f t="shared" si="187"/>
        <v>12</v>
      </c>
      <c r="F2596">
        <f t="shared" si="188"/>
        <v>2024</v>
      </c>
      <c r="G2596" t="s">
        <v>50</v>
      </c>
      <c r="H2596" s="98">
        <v>11196</v>
      </c>
      <c r="I2596" s="29">
        <v>36304.28</v>
      </c>
      <c r="J2596" s="12" t="s">
        <v>31</v>
      </c>
      <c r="K2596" s="76">
        <f t="shared" si="189"/>
        <v>36304.28</v>
      </c>
      <c r="L2596">
        <v>1</v>
      </c>
      <c r="M2596" s="29">
        <v>0</v>
      </c>
      <c r="N2596" t="s">
        <v>32</v>
      </c>
      <c r="O2596" t="s">
        <v>33</v>
      </c>
      <c r="P2596" t="s">
        <v>34</v>
      </c>
      <c r="Q2596" t="s">
        <v>34</v>
      </c>
      <c r="R2596" t="s">
        <v>34</v>
      </c>
      <c r="S2596" t="s">
        <v>34</v>
      </c>
      <c r="T2596" s="117">
        <v>0</v>
      </c>
    </row>
    <row r="2597" spans="1:21" x14ac:dyDescent="0.35">
      <c r="A2597" t="s">
        <v>20</v>
      </c>
      <c r="B2597" t="s">
        <v>25</v>
      </c>
      <c r="C2597" s="1">
        <v>45645</v>
      </c>
      <c r="D2597">
        <f t="shared" si="186"/>
        <v>19</v>
      </c>
      <c r="E2597">
        <f t="shared" si="187"/>
        <v>12</v>
      </c>
      <c r="F2597">
        <f t="shared" si="188"/>
        <v>2024</v>
      </c>
      <c r="G2597" t="s">
        <v>50</v>
      </c>
      <c r="H2597" s="98">
        <v>11196</v>
      </c>
      <c r="I2597" s="29">
        <v>20640.599999999999</v>
      </c>
      <c r="J2597" s="12" t="s">
        <v>31</v>
      </c>
      <c r="K2597" s="76">
        <f t="shared" si="189"/>
        <v>20640.599999999999</v>
      </c>
      <c r="L2597">
        <v>1</v>
      </c>
      <c r="M2597" s="29">
        <v>0</v>
      </c>
      <c r="N2597" t="s">
        <v>32</v>
      </c>
      <c r="O2597" t="s">
        <v>33</v>
      </c>
      <c r="P2597" t="s">
        <v>34</v>
      </c>
      <c r="Q2597" t="s">
        <v>34</v>
      </c>
      <c r="R2597" t="s">
        <v>34</v>
      </c>
      <c r="S2597" t="s">
        <v>34</v>
      </c>
      <c r="T2597" s="117">
        <v>0</v>
      </c>
    </row>
    <row r="2598" spans="1:21" x14ac:dyDescent="0.35">
      <c r="A2598" t="s">
        <v>20</v>
      </c>
      <c r="B2598" t="s">
        <v>24</v>
      </c>
      <c r="C2598" s="1">
        <v>45645</v>
      </c>
      <c r="D2598">
        <f t="shared" si="186"/>
        <v>19</v>
      </c>
      <c r="E2598">
        <f t="shared" si="187"/>
        <v>12</v>
      </c>
      <c r="F2598">
        <f t="shared" si="188"/>
        <v>2024</v>
      </c>
      <c r="G2598" t="s">
        <v>50</v>
      </c>
      <c r="H2598" s="98">
        <v>11196</v>
      </c>
      <c r="I2598" s="29">
        <v>59400</v>
      </c>
      <c r="J2598" s="12" t="s">
        <v>31</v>
      </c>
      <c r="K2598" s="76">
        <f t="shared" si="189"/>
        <v>59400</v>
      </c>
      <c r="L2598">
        <v>1</v>
      </c>
      <c r="M2598" s="29">
        <v>0</v>
      </c>
      <c r="N2598" t="s">
        <v>32</v>
      </c>
      <c r="O2598" t="s">
        <v>33</v>
      </c>
      <c r="P2598" t="s">
        <v>34</v>
      </c>
      <c r="Q2598" t="s">
        <v>34</v>
      </c>
      <c r="R2598" t="s">
        <v>34</v>
      </c>
      <c r="S2598" t="s">
        <v>34</v>
      </c>
      <c r="T2598" s="117">
        <v>0</v>
      </c>
    </row>
    <row r="2599" spans="1:21" x14ac:dyDescent="0.35">
      <c r="A2599" t="s">
        <v>20</v>
      </c>
      <c r="B2599" t="s">
        <v>25</v>
      </c>
      <c r="C2599" s="1">
        <v>45645</v>
      </c>
      <c r="D2599">
        <f t="shared" si="186"/>
        <v>19</v>
      </c>
      <c r="E2599">
        <f t="shared" si="187"/>
        <v>12</v>
      </c>
      <c r="F2599">
        <f t="shared" si="188"/>
        <v>2024</v>
      </c>
      <c r="G2599" t="s">
        <v>50</v>
      </c>
      <c r="H2599" s="98">
        <v>11705</v>
      </c>
      <c r="I2599" s="29">
        <v>319.2</v>
      </c>
      <c r="J2599" s="12" t="s">
        <v>31</v>
      </c>
      <c r="K2599" s="76">
        <f t="shared" si="189"/>
        <v>319.2</v>
      </c>
      <c r="L2599">
        <v>1</v>
      </c>
      <c r="M2599" s="29">
        <v>0</v>
      </c>
      <c r="N2599" t="s">
        <v>42</v>
      </c>
      <c r="O2599" t="s">
        <v>33</v>
      </c>
      <c r="P2599" t="s">
        <v>34</v>
      </c>
      <c r="Q2599" t="s">
        <v>34</v>
      </c>
      <c r="R2599" t="s">
        <v>34</v>
      </c>
      <c r="S2599" t="s">
        <v>34</v>
      </c>
      <c r="T2599" s="117">
        <v>0</v>
      </c>
    </row>
    <row r="2600" spans="1:21" x14ac:dyDescent="0.35">
      <c r="A2600" t="s">
        <v>20</v>
      </c>
      <c r="B2600" t="s">
        <v>25</v>
      </c>
      <c r="C2600" s="1">
        <v>45645</v>
      </c>
      <c r="D2600">
        <f t="shared" si="186"/>
        <v>19</v>
      </c>
      <c r="E2600">
        <f t="shared" si="187"/>
        <v>12</v>
      </c>
      <c r="F2600">
        <f t="shared" si="188"/>
        <v>2024</v>
      </c>
      <c r="G2600" t="s">
        <v>50</v>
      </c>
      <c r="H2600" s="98">
        <v>11713</v>
      </c>
      <c r="I2600" s="29">
        <v>598</v>
      </c>
      <c r="J2600" s="12" t="s">
        <v>31</v>
      </c>
      <c r="K2600" s="76">
        <f t="shared" si="189"/>
        <v>598</v>
      </c>
      <c r="L2600">
        <v>1</v>
      </c>
      <c r="M2600" s="29">
        <v>0</v>
      </c>
      <c r="N2600" t="s">
        <v>42</v>
      </c>
      <c r="O2600" t="s">
        <v>33</v>
      </c>
      <c r="P2600" t="s">
        <v>34</v>
      </c>
      <c r="Q2600" t="s">
        <v>34</v>
      </c>
      <c r="R2600" t="s">
        <v>34</v>
      </c>
      <c r="S2600" t="s">
        <v>34</v>
      </c>
      <c r="T2600" s="117">
        <v>0</v>
      </c>
    </row>
    <row r="2601" spans="1:21" x14ac:dyDescent="0.35">
      <c r="A2601" t="s">
        <v>20</v>
      </c>
      <c r="B2601" t="s">
        <v>25</v>
      </c>
      <c r="C2601" s="1">
        <v>45645</v>
      </c>
      <c r="D2601">
        <f t="shared" si="186"/>
        <v>19</v>
      </c>
      <c r="E2601">
        <f t="shared" si="187"/>
        <v>12</v>
      </c>
      <c r="F2601">
        <f t="shared" si="188"/>
        <v>2024</v>
      </c>
      <c r="G2601" t="s">
        <v>50</v>
      </c>
      <c r="H2601" s="98">
        <v>11715</v>
      </c>
      <c r="I2601" s="29">
        <v>5382</v>
      </c>
      <c r="J2601" s="12" t="s">
        <v>31</v>
      </c>
      <c r="K2601" s="76">
        <f t="shared" si="189"/>
        <v>5382</v>
      </c>
      <c r="L2601">
        <v>1</v>
      </c>
      <c r="M2601" s="29">
        <v>0</v>
      </c>
      <c r="N2601" t="s">
        <v>42</v>
      </c>
      <c r="O2601" t="s">
        <v>33</v>
      </c>
      <c r="P2601" t="s">
        <v>34</v>
      </c>
      <c r="Q2601" t="s">
        <v>34</v>
      </c>
      <c r="R2601" t="s">
        <v>34</v>
      </c>
      <c r="S2601" t="s">
        <v>34</v>
      </c>
      <c r="T2601" s="117">
        <v>0</v>
      </c>
    </row>
    <row r="2602" spans="1:21" x14ac:dyDescent="0.35">
      <c r="A2602" t="s">
        <v>20</v>
      </c>
      <c r="B2602" t="s">
        <v>25</v>
      </c>
      <c r="C2602" s="1">
        <v>45645</v>
      </c>
      <c r="D2602">
        <f t="shared" si="186"/>
        <v>19</v>
      </c>
      <c r="E2602">
        <f t="shared" si="187"/>
        <v>12</v>
      </c>
      <c r="F2602">
        <f t="shared" si="188"/>
        <v>2024</v>
      </c>
      <c r="G2602" t="s">
        <v>50</v>
      </c>
      <c r="H2602" s="98">
        <v>11711</v>
      </c>
      <c r="I2602" s="29">
        <v>87</v>
      </c>
      <c r="J2602" s="12" t="s">
        <v>31</v>
      </c>
      <c r="K2602" s="76">
        <f t="shared" si="189"/>
        <v>87</v>
      </c>
      <c r="L2602">
        <v>1</v>
      </c>
      <c r="M2602" s="29">
        <v>0</v>
      </c>
      <c r="N2602" t="s">
        <v>42</v>
      </c>
      <c r="O2602" t="s">
        <v>33</v>
      </c>
      <c r="P2602" t="s">
        <v>34</v>
      </c>
      <c r="Q2602" t="s">
        <v>34</v>
      </c>
      <c r="R2602" t="s">
        <v>34</v>
      </c>
      <c r="S2602" t="s">
        <v>34</v>
      </c>
      <c r="T2602" s="117">
        <v>0</v>
      </c>
    </row>
    <row r="2603" spans="1:21" x14ac:dyDescent="0.35">
      <c r="A2603" t="s">
        <v>20</v>
      </c>
      <c r="B2603" t="s">
        <v>24</v>
      </c>
      <c r="C2603" s="1">
        <v>45645</v>
      </c>
      <c r="D2603">
        <f t="shared" si="186"/>
        <v>19</v>
      </c>
      <c r="E2603">
        <f t="shared" si="187"/>
        <v>12</v>
      </c>
      <c r="F2603">
        <f t="shared" si="188"/>
        <v>2024</v>
      </c>
      <c r="G2603" t="s">
        <v>50</v>
      </c>
      <c r="H2603" s="98">
        <v>11925</v>
      </c>
      <c r="I2603" s="29">
        <v>128</v>
      </c>
      <c r="J2603" s="12" t="s">
        <v>31</v>
      </c>
      <c r="K2603" s="76">
        <f t="shared" si="189"/>
        <v>128</v>
      </c>
      <c r="L2603">
        <v>1</v>
      </c>
      <c r="M2603" s="29">
        <v>0</v>
      </c>
      <c r="N2603" t="s">
        <v>42</v>
      </c>
      <c r="O2603" t="s">
        <v>33</v>
      </c>
      <c r="P2603" t="s">
        <v>34</v>
      </c>
      <c r="Q2603" t="s">
        <v>34</v>
      </c>
      <c r="R2603" t="s">
        <v>34</v>
      </c>
      <c r="S2603" t="s">
        <v>34</v>
      </c>
      <c r="T2603" s="117">
        <v>0</v>
      </c>
      <c r="U2603" s="209" t="s">
        <v>748</v>
      </c>
    </row>
    <row r="2604" spans="1:21" x14ac:dyDescent="0.35">
      <c r="A2604" t="s">
        <v>20</v>
      </c>
      <c r="B2604" t="s">
        <v>24</v>
      </c>
      <c r="C2604" s="1">
        <v>45645</v>
      </c>
      <c r="D2604">
        <f t="shared" si="186"/>
        <v>19</v>
      </c>
      <c r="E2604">
        <f t="shared" si="187"/>
        <v>12</v>
      </c>
      <c r="F2604">
        <f t="shared" si="188"/>
        <v>2024</v>
      </c>
      <c r="G2604" t="s">
        <v>50</v>
      </c>
      <c r="H2604" s="98">
        <v>12030</v>
      </c>
      <c r="I2604" s="29">
        <v>66</v>
      </c>
      <c r="J2604" s="12" t="s">
        <v>31</v>
      </c>
      <c r="K2604" s="76">
        <f t="shared" ref="K2604:K2624" si="190">IF(J2604="USD",I2604,I2604*L2604)</f>
        <v>66</v>
      </c>
      <c r="L2604">
        <v>1</v>
      </c>
      <c r="M2604" s="29">
        <v>0</v>
      </c>
      <c r="N2604" t="s">
        <v>42</v>
      </c>
      <c r="O2604" t="s">
        <v>33</v>
      </c>
      <c r="P2604" t="s">
        <v>34</v>
      </c>
      <c r="Q2604" t="s">
        <v>34</v>
      </c>
      <c r="R2604" t="s">
        <v>34</v>
      </c>
      <c r="S2604" t="s">
        <v>34</v>
      </c>
      <c r="T2604" s="117">
        <v>0</v>
      </c>
    </row>
    <row r="2605" spans="1:21" x14ac:dyDescent="0.35">
      <c r="A2605" t="s">
        <v>20</v>
      </c>
      <c r="B2605" t="s">
        <v>21</v>
      </c>
      <c r="C2605" s="1">
        <v>45645</v>
      </c>
      <c r="D2605">
        <f t="shared" si="186"/>
        <v>19</v>
      </c>
      <c r="E2605">
        <f t="shared" si="187"/>
        <v>12</v>
      </c>
      <c r="F2605">
        <f t="shared" si="188"/>
        <v>2024</v>
      </c>
      <c r="G2605" t="s">
        <v>90</v>
      </c>
      <c r="H2605" s="98">
        <v>11028</v>
      </c>
      <c r="I2605" s="29">
        <v>4426.22</v>
      </c>
      <c r="J2605" s="12" t="s">
        <v>31</v>
      </c>
      <c r="K2605" s="76">
        <f t="shared" si="190"/>
        <v>4426.22</v>
      </c>
      <c r="L2605">
        <v>1</v>
      </c>
      <c r="M2605" s="29">
        <v>0</v>
      </c>
      <c r="N2605" t="s">
        <v>32</v>
      </c>
      <c r="O2605" t="s">
        <v>33</v>
      </c>
      <c r="P2605" t="s">
        <v>34</v>
      </c>
      <c r="Q2605" t="s">
        <v>34</v>
      </c>
      <c r="R2605" t="s">
        <v>34</v>
      </c>
      <c r="S2605" t="s">
        <v>34</v>
      </c>
      <c r="T2605" s="117">
        <v>0</v>
      </c>
    </row>
    <row r="2606" spans="1:21" x14ac:dyDescent="0.35">
      <c r="A2606" t="s">
        <v>20</v>
      </c>
      <c r="B2606" t="s">
        <v>24</v>
      </c>
      <c r="C2606" s="1">
        <v>45645</v>
      </c>
      <c r="D2606">
        <f t="shared" si="186"/>
        <v>19</v>
      </c>
      <c r="E2606">
        <f t="shared" si="187"/>
        <v>12</v>
      </c>
      <c r="F2606">
        <f t="shared" si="188"/>
        <v>2024</v>
      </c>
      <c r="G2606" t="s">
        <v>90</v>
      </c>
      <c r="H2606" s="98">
        <v>11091</v>
      </c>
      <c r="I2606" s="29">
        <v>51.6</v>
      </c>
      <c r="J2606" s="12" t="s">
        <v>31</v>
      </c>
      <c r="K2606" s="76">
        <f t="shared" si="190"/>
        <v>51.6</v>
      </c>
      <c r="L2606">
        <v>1</v>
      </c>
      <c r="M2606" s="29">
        <v>0</v>
      </c>
      <c r="N2606" t="s">
        <v>32</v>
      </c>
      <c r="O2606" t="s">
        <v>33</v>
      </c>
      <c r="P2606" t="s">
        <v>34</v>
      </c>
      <c r="Q2606" t="s">
        <v>34</v>
      </c>
      <c r="R2606" t="s">
        <v>34</v>
      </c>
      <c r="S2606" t="s">
        <v>34</v>
      </c>
      <c r="T2606" s="117">
        <v>0</v>
      </c>
    </row>
    <row r="2607" spans="1:21" x14ac:dyDescent="0.35">
      <c r="A2607" t="s">
        <v>20</v>
      </c>
      <c r="B2607" t="s">
        <v>25</v>
      </c>
      <c r="C2607" s="1">
        <v>45645</v>
      </c>
      <c r="D2607">
        <f t="shared" si="186"/>
        <v>19</v>
      </c>
      <c r="E2607">
        <f t="shared" si="187"/>
        <v>12</v>
      </c>
      <c r="F2607">
        <f t="shared" si="188"/>
        <v>2024</v>
      </c>
      <c r="G2607" t="s">
        <v>90</v>
      </c>
      <c r="H2607" s="98">
        <v>11268</v>
      </c>
      <c r="I2607" s="29">
        <v>92.2</v>
      </c>
      <c r="J2607" s="12" t="s">
        <v>31</v>
      </c>
      <c r="K2607" s="76">
        <f t="shared" si="190"/>
        <v>92.2</v>
      </c>
      <c r="L2607">
        <v>1</v>
      </c>
      <c r="M2607" s="29">
        <v>0</v>
      </c>
      <c r="N2607" t="s">
        <v>32</v>
      </c>
      <c r="O2607" t="s">
        <v>33</v>
      </c>
      <c r="P2607" t="s">
        <v>34</v>
      </c>
      <c r="Q2607" t="s">
        <v>34</v>
      </c>
      <c r="R2607" t="s">
        <v>34</v>
      </c>
      <c r="S2607" t="s">
        <v>34</v>
      </c>
      <c r="T2607" s="117">
        <v>0</v>
      </c>
    </row>
    <row r="2608" spans="1:21" x14ac:dyDescent="0.35">
      <c r="A2608" t="s">
        <v>20</v>
      </c>
      <c r="B2608" t="s">
        <v>23</v>
      </c>
      <c r="C2608" s="1">
        <v>45645</v>
      </c>
      <c r="D2608">
        <f t="shared" si="186"/>
        <v>19</v>
      </c>
      <c r="E2608">
        <f t="shared" si="187"/>
        <v>12</v>
      </c>
      <c r="F2608">
        <f t="shared" si="188"/>
        <v>2024</v>
      </c>
      <c r="G2608" t="s">
        <v>53</v>
      </c>
      <c r="H2608" s="171">
        <v>11390</v>
      </c>
      <c r="I2608" s="29">
        <v>10358.42</v>
      </c>
      <c r="J2608" s="12" t="s">
        <v>31</v>
      </c>
      <c r="K2608" s="76">
        <f t="shared" si="190"/>
        <v>10358.42</v>
      </c>
      <c r="L2608">
        <v>1</v>
      </c>
      <c r="M2608" s="29">
        <v>0</v>
      </c>
      <c r="N2608" t="s">
        <v>32</v>
      </c>
      <c r="O2608" t="s">
        <v>33</v>
      </c>
      <c r="P2608" t="s">
        <v>34</v>
      </c>
      <c r="Q2608" t="s">
        <v>34</v>
      </c>
      <c r="R2608" t="s">
        <v>34</v>
      </c>
      <c r="S2608" t="s">
        <v>34</v>
      </c>
      <c r="T2608" s="117">
        <v>0</v>
      </c>
    </row>
    <row r="2609" spans="1:21" x14ac:dyDescent="0.35">
      <c r="A2609" t="s">
        <v>20</v>
      </c>
      <c r="B2609" t="s">
        <v>23</v>
      </c>
      <c r="C2609" s="1">
        <v>45645</v>
      </c>
      <c r="D2609">
        <f t="shared" si="186"/>
        <v>19</v>
      </c>
      <c r="E2609">
        <f t="shared" si="187"/>
        <v>12</v>
      </c>
      <c r="F2609">
        <f t="shared" si="188"/>
        <v>2024</v>
      </c>
      <c r="G2609" t="s">
        <v>53</v>
      </c>
      <c r="H2609" s="171">
        <v>11526</v>
      </c>
      <c r="I2609" s="29">
        <v>2336.61</v>
      </c>
      <c r="J2609" s="12" t="s">
        <v>31</v>
      </c>
      <c r="K2609" s="76">
        <f t="shared" si="190"/>
        <v>2336.61</v>
      </c>
      <c r="L2609">
        <v>1</v>
      </c>
      <c r="M2609" s="29">
        <v>0</v>
      </c>
      <c r="N2609" t="s">
        <v>32</v>
      </c>
      <c r="O2609" t="s">
        <v>33</v>
      </c>
      <c r="P2609" t="s">
        <v>34</v>
      </c>
      <c r="Q2609" t="s">
        <v>34</v>
      </c>
      <c r="R2609" t="s">
        <v>34</v>
      </c>
      <c r="S2609" t="s">
        <v>34</v>
      </c>
      <c r="T2609" s="117">
        <v>251.17</v>
      </c>
    </row>
    <row r="2610" spans="1:21" x14ac:dyDescent="0.35">
      <c r="A2610" t="s">
        <v>20</v>
      </c>
      <c r="B2610" t="s">
        <v>21</v>
      </c>
      <c r="C2610" s="1">
        <v>45645</v>
      </c>
      <c r="D2610">
        <f t="shared" si="186"/>
        <v>19</v>
      </c>
      <c r="E2610">
        <f t="shared" si="187"/>
        <v>12</v>
      </c>
      <c r="F2610">
        <f t="shared" si="188"/>
        <v>2024</v>
      </c>
      <c r="G2610" t="s">
        <v>53</v>
      </c>
      <c r="H2610" s="171">
        <v>11191</v>
      </c>
      <c r="I2610" s="29">
        <v>124</v>
      </c>
      <c r="J2610" s="12" t="s">
        <v>31</v>
      </c>
      <c r="K2610" s="76">
        <f t="shared" si="190"/>
        <v>124</v>
      </c>
      <c r="L2610">
        <v>1</v>
      </c>
      <c r="M2610" s="29">
        <v>0</v>
      </c>
      <c r="N2610" t="s">
        <v>32</v>
      </c>
      <c r="O2610" t="s">
        <v>33</v>
      </c>
      <c r="P2610" t="s">
        <v>34</v>
      </c>
      <c r="Q2610" t="s">
        <v>34</v>
      </c>
      <c r="R2610" t="s">
        <v>34</v>
      </c>
      <c r="S2610" t="s">
        <v>34</v>
      </c>
      <c r="T2610" s="117">
        <v>0</v>
      </c>
    </row>
    <row r="2611" spans="1:21" x14ac:dyDescent="0.35">
      <c r="A2611" t="s">
        <v>20</v>
      </c>
      <c r="B2611" t="s">
        <v>21</v>
      </c>
      <c r="C2611" s="1">
        <v>45645</v>
      </c>
      <c r="D2611">
        <f t="shared" si="186"/>
        <v>19</v>
      </c>
      <c r="E2611">
        <f t="shared" si="187"/>
        <v>12</v>
      </c>
      <c r="F2611">
        <f t="shared" si="188"/>
        <v>2024</v>
      </c>
      <c r="G2611" t="s">
        <v>53</v>
      </c>
      <c r="H2611" s="171">
        <v>11448</v>
      </c>
      <c r="I2611" s="29">
        <v>186</v>
      </c>
      <c r="J2611" s="12" t="s">
        <v>31</v>
      </c>
      <c r="K2611" s="76">
        <f t="shared" si="190"/>
        <v>186</v>
      </c>
      <c r="L2611">
        <v>1</v>
      </c>
      <c r="M2611" s="29">
        <v>0</v>
      </c>
      <c r="N2611" t="s">
        <v>32</v>
      </c>
      <c r="O2611" t="s">
        <v>33</v>
      </c>
      <c r="P2611" t="s">
        <v>34</v>
      </c>
      <c r="Q2611" t="s">
        <v>34</v>
      </c>
      <c r="R2611" t="s">
        <v>34</v>
      </c>
      <c r="S2611" t="s">
        <v>34</v>
      </c>
      <c r="T2611" s="117">
        <v>0</v>
      </c>
    </row>
    <row r="2612" spans="1:21" x14ac:dyDescent="0.35">
      <c r="A2612" t="s">
        <v>20</v>
      </c>
      <c r="B2612" t="s">
        <v>23</v>
      </c>
      <c r="C2612" s="1">
        <v>45645</v>
      </c>
      <c r="D2612">
        <f t="shared" si="186"/>
        <v>19</v>
      </c>
      <c r="E2612">
        <f t="shared" si="187"/>
        <v>12</v>
      </c>
      <c r="F2612">
        <f t="shared" si="188"/>
        <v>2024</v>
      </c>
      <c r="G2612" t="s">
        <v>53</v>
      </c>
      <c r="H2612" s="171">
        <v>11468</v>
      </c>
      <c r="I2612" s="90">
        <v>77</v>
      </c>
      <c r="J2612" s="12" t="s">
        <v>31</v>
      </c>
      <c r="K2612" s="76">
        <f t="shared" si="190"/>
        <v>77</v>
      </c>
      <c r="L2612">
        <v>1</v>
      </c>
      <c r="M2612" s="29">
        <v>0</v>
      </c>
      <c r="N2612" t="s">
        <v>32</v>
      </c>
      <c r="O2612" t="s">
        <v>33</v>
      </c>
      <c r="P2612" t="s">
        <v>34</v>
      </c>
      <c r="Q2612" t="s">
        <v>34</v>
      </c>
      <c r="R2612" t="s">
        <v>34</v>
      </c>
      <c r="S2612" t="s">
        <v>34</v>
      </c>
      <c r="T2612" s="117">
        <v>0</v>
      </c>
    </row>
    <row r="2613" spans="1:21" x14ac:dyDescent="0.35">
      <c r="A2613" t="s">
        <v>20</v>
      </c>
      <c r="B2613" t="s">
        <v>23</v>
      </c>
      <c r="C2613" s="1">
        <v>45645</v>
      </c>
      <c r="D2613">
        <f t="shared" si="186"/>
        <v>19</v>
      </c>
      <c r="E2613">
        <f t="shared" si="187"/>
        <v>12</v>
      </c>
      <c r="F2613">
        <f t="shared" si="188"/>
        <v>2024</v>
      </c>
      <c r="G2613" t="s">
        <v>53</v>
      </c>
      <c r="H2613" s="171">
        <v>11525</v>
      </c>
      <c r="I2613" s="90">
        <v>32</v>
      </c>
      <c r="J2613" s="12" t="s">
        <v>31</v>
      </c>
      <c r="K2613" s="76">
        <f t="shared" si="190"/>
        <v>32</v>
      </c>
      <c r="L2613">
        <v>1</v>
      </c>
      <c r="M2613" s="29">
        <v>0</v>
      </c>
      <c r="N2613" t="s">
        <v>32</v>
      </c>
      <c r="O2613" t="s">
        <v>33</v>
      </c>
      <c r="P2613" t="s">
        <v>34</v>
      </c>
      <c r="Q2613" t="s">
        <v>34</v>
      </c>
      <c r="R2613" t="s">
        <v>34</v>
      </c>
      <c r="S2613" t="s">
        <v>34</v>
      </c>
      <c r="T2613" s="117">
        <v>0</v>
      </c>
    </row>
    <row r="2614" spans="1:21" x14ac:dyDescent="0.35">
      <c r="A2614" t="s">
        <v>20</v>
      </c>
      <c r="B2614" t="s">
        <v>25</v>
      </c>
      <c r="C2614" s="1">
        <v>45645</v>
      </c>
      <c r="D2614">
        <f t="shared" si="186"/>
        <v>19</v>
      </c>
      <c r="E2614">
        <f t="shared" si="187"/>
        <v>12</v>
      </c>
      <c r="F2614">
        <f t="shared" si="188"/>
        <v>2024</v>
      </c>
      <c r="G2614" t="s">
        <v>696</v>
      </c>
      <c r="H2614" s="98">
        <v>11663</v>
      </c>
      <c r="I2614" s="29">
        <v>90</v>
      </c>
      <c r="J2614" s="12" t="s">
        <v>31</v>
      </c>
      <c r="K2614" s="76">
        <f t="shared" si="190"/>
        <v>90</v>
      </c>
      <c r="L2614">
        <v>1</v>
      </c>
      <c r="M2614" s="29">
        <v>0</v>
      </c>
      <c r="N2614" t="s">
        <v>32</v>
      </c>
      <c r="O2614" t="s">
        <v>33</v>
      </c>
      <c r="P2614" t="s">
        <v>34</v>
      </c>
      <c r="Q2614" t="s">
        <v>34</v>
      </c>
      <c r="R2614" t="s">
        <v>34</v>
      </c>
      <c r="S2614" t="s">
        <v>34</v>
      </c>
      <c r="T2614" s="117">
        <v>0</v>
      </c>
    </row>
    <row r="2615" spans="1:21" x14ac:dyDescent="0.35">
      <c r="A2615" t="s">
        <v>20</v>
      </c>
      <c r="B2615" t="s">
        <v>21</v>
      </c>
      <c r="C2615" s="1">
        <v>45645</v>
      </c>
      <c r="D2615">
        <f t="shared" si="186"/>
        <v>19</v>
      </c>
      <c r="E2615">
        <f t="shared" si="187"/>
        <v>12</v>
      </c>
      <c r="F2615">
        <f t="shared" si="188"/>
        <v>2024</v>
      </c>
      <c r="G2615" t="s">
        <v>696</v>
      </c>
      <c r="H2615" s="98">
        <v>11864</v>
      </c>
      <c r="I2615" s="29">
        <v>24.8</v>
      </c>
      <c r="J2615" s="12" t="s">
        <v>31</v>
      </c>
      <c r="K2615" s="76">
        <f t="shared" si="190"/>
        <v>24.8</v>
      </c>
      <c r="L2615">
        <v>1</v>
      </c>
      <c r="M2615" s="29">
        <v>0</v>
      </c>
      <c r="N2615" t="s">
        <v>42</v>
      </c>
      <c r="O2615" t="s">
        <v>33</v>
      </c>
      <c r="P2615" t="s">
        <v>34</v>
      </c>
      <c r="Q2615" t="s">
        <v>34</v>
      </c>
      <c r="R2615" t="s">
        <v>34</v>
      </c>
      <c r="S2615" t="s">
        <v>34</v>
      </c>
      <c r="T2615" s="117">
        <v>0</v>
      </c>
    </row>
    <row r="2616" spans="1:21" x14ac:dyDescent="0.35">
      <c r="A2616" t="s">
        <v>20</v>
      </c>
      <c r="B2616" t="s">
        <v>21</v>
      </c>
      <c r="C2616" s="1">
        <v>45645</v>
      </c>
      <c r="D2616">
        <f t="shared" si="186"/>
        <v>19</v>
      </c>
      <c r="E2616">
        <f t="shared" si="187"/>
        <v>12</v>
      </c>
      <c r="F2616">
        <f t="shared" si="188"/>
        <v>2024</v>
      </c>
      <c r="G2616" t="s">
        <v>696</v>
      </c>
      <c r="H2616" s="98">
        <v>11664</v>
      </c>
      <c r="I2616" s="29">
        <v>1434</v>
      </c>
      <c r="J2616" s="12" t="s">
        <v>31</v>
      </c>
      <c r="K2616" s="76">
        <f t="shared" si="190"/>
        <v>1434</v>
      </c>
      <c r="L2616">
        <v>1</v>
      </c>
      <c r="M2616" s="29">
        <v>0</v>
      </c>
      <c r="N2616" t="s">
        <v>42</v>
      </c>
      <c r="O2616" t="s">
        <v>33</v>
      </c>
      <c r="P2616" t="s">
        <v>34</v>
      </c>
      <c r="Q2616" t="s">
        <v>34</v>
      </c>
      <c r="R2616" t="s">
        <v>34</v>
      </c>
      <c r="S2616" t="s">
        <v>34</v>
      </c>
      <c r="T2616" s="117">
        <v>0</v>
      </c>
      <c r="U2616" s="209" t="s">
        <v>1131</v>
      </c>
    </row>
    <row r="2617" spans="1:21" x14ac:dyDescent="0.35">
      <c r="A2617" t="s">
        <v>20</v>
      </c>
      <c r="B2617" t="s">
        <v>25</v>
      </c>
      <c r="C2617" s="1">
        <v>45645</v>
      </c>
      <c r="D2617">
        <f t="shared" si="186"/>
        <v>19</v>
      </c>
      <c r="E2617">
        <f t="shared" si="187"/>
        <v>12</v>
      </c>
      <c r="F2617">
        <f t="shared" si="188"/>
        <v>2024</v>
      </c>
      <c r="G2617" t="s">
        <v>274</v>
      </c>
      <c r="H2617" s="98">
        <v>11892</v>
      </c>
      <c r="I2617" s="29">
        <v>63.4</v>
      </c>
      <c r="J2617" s="12" t="s">
        <v>31</v>
      </c>
      <c r="K2617" s="76">
        <f t="shared" si="190"/>
        <v>63.4</v>
      </c>
      <c r="L2617">
        <v>1</v>
      </c>
      <c r="M2617" s="29">
        <v>0</v>
      </c>
      <c r="N2617" t="s">
        <v>42</v>
      </c>
      <c r="O2617" t="s">
        <v>33</v>
      </c>
      <c r="P2617" t="s">
        <v>34</v>
      </c>
      <c r="Q2617" t="s">
        <v>34</v>
      </c>
      <c r="R2617" t="s">
        <v>34</v>
      </c>
      <c r="S2617" t="s">
        <v>34</v>
      </c>
      <c r="T2617" s="117">
        <v>0</v>
      </c>
    </row>
    <row r="2618" spans="1:21" x14ac:dyDescent="0.35">
      <c r="A2618" t="s">
        <v>20</v>
      </c>
      <c r="B2618" t="s">
        <v>25</v>
      </c>
      <c r="C2618" s="1">
        <v>45645</v>
      </c>
      <c r="D2618">
        <f t="shared" si="186"/>
        <v>19</v>
      </c>
      <c r="E2618">
        <f t="shared" si="187"/>
        <v>12</v>
      </c>
      <c r="F2618">
        <f t="shared" si="188"/>
        <v>2024</v>
      </c>
      <c r="G2618" t="s">
        <v>274</v>
      </c>
      <c r="H2618" s="98">
        <v>11892</v>
      </c>
      <c r="I2618" s="29">
        <v>70</v>
      </c>
      <c r="J2618" s="12" t="s">
        <v>31</v>
      </c>
      <c r="K2618" s="76">
        <f t="shared" si="190"/>
        <v>70</v>
      </c>
      <c r="L2618">
        <v>1</v>
      </c>
      <c r="M2618" s="29">
        <v>0</v>
      </c>
      <c r="N2618" t="s">
        <v>42</v>
      </c>
      <c r="O2618" t="s">
        <v>33</v>
      </c>
      <c r="P2618" t="s">
        <v>34</v>
      </c>
      <c r="Q2618" t="s">
        <v>34</v>
      </c>
      <c r="R2618" t="s">
        <v>34</v>
      </c>
      <c r="S2618" t="s">
        <v>34</v>
      </c>
      <c r="T2618" s="117">
        <v>0</v>
      </c>
      <c r="U2618" s="209" t="s">
        <v>1049</v>
      </c>
    </row>
    <row r="2619" spans="1:21" x14ac:dyDescent="0.35">
      <c r="A2619" t="s">
        <v>20</v>
      </c>
      <c r="B2619" t="s">
        <v>25</v>
      </c>
      <c r="C2619" s="1">
        <v>45645</v>
      </c>
      <c r="D2619">
        <f t="shared" si="186"/>
        <v>19</v>
      </c>
      <c r="E2619">
        <f t="shared" si="187"/>
        <v>12</v>
      </c>
      <c r="F2619">
        <f t="shared" si="188"/>
        <v>2024</v>
      </c>
      <c r="G2619" t="s">
        <v>274</v>
      </c>
      <c r="H2619" s="98">
        <v>11895</v>
      </c>
      <c r="I2619" s="29">
        <v>1997.1</v>
      </c>
      <c r="J2619" s="12" t="s">
        <v>31</v>
      </c>
      <c r="K2619" s="76">
        <f t="shared" si="190"/>
        <v>1997.1</v>
      </c>
      <c r="L2619">
        <v>1</v>
      </c>
      <c r="M2619" s="29">
        <v>0</v>
      </c>
      <c r="N2619" t="s">
        <v>42</v>
      </c>
      <c r="O2619" t="s">
        <v>33</v>
      </c>
      <c r="P2619" t="s">
        <v>34</v>
      </c>
      <c r="Q2619" t="s">
        <v>34</v>
      </c>
      <c r="R2619" t="s">
        <v>34</v>
      </c>
      <c r="S2619" t="s">
        <v>34</v>
      </c>
      <c r="T2619" s="117">
        <v>0</v>
      </c>
    </row>
    <row r="2620" spans="1:21" x14ac:dyDescent="0.35">
      <c r="A2620" t="s">
        <v>20</v>
      </c>
      <c r="B2620" t="s">
        <v>25</v>
      </c>
      <c r="C2620" s="1">
        <v>45645</v>
      </c>
      <c r="D2620">
        <f t="shared" si="186"/>
        <v>19</v>
      </c>
      <c r="E2620">
        <f t="shared" si="187"/>
        <v>12</v>
      </c>
      <c r="F2620">
        <f t="shared" si="188"/>
        <v>2024</v>
      </c>
      <c r="G2620" t="s">
        <v>274</v>
      </c>
      <c r="H2620" s="98">
        <v>11895</v>
      </c>
      <c r="I2620" s="29">
        <v>2310</v>
      </c>
      <c r="J2620" s="12" t="s">
        <v>31</v>
      </c>
      <c r="K2620" s="76">
        <f t="shared" si="190"/>
        <v>2310</v>
      </c>
      <c r="L2620">
        <v>1</v>
      </c>
      <c r="M2620" s="29">
        <v>0</v>
      </c>
      <c r="N2620" t="s">
        <v>42</v>
      </c>
      <c r="O2620" t="s">
        <v>33</v>
      </c>
      <c r="P2620" t="s">
        <v>34</v>
      </c>
      <c r="Q2620" t="s">
        <v>34</v>
      </c>
      <c r="R2620" t="s">
        <v>34</v>
      </c>
      <c r="S2620" t="s">
        <v>34</v>
      </c>
      <c r="T2620" s="117">
        <v>0</v>
      </c>
      <c r="U2620" s="209" t="s">
        <v>906</v>
      </c>
    </row>
    <row r="2621" spans="1:21" x14ac:dyDescent="0.35">
      <c r="A2621" t="s">
        <v>20</v>
      </c>
      <c r="B2621" t="s">
        <v>25</v>
      </c>
      <c r="C2621" s="1">
        <v>45645</v>
      </c>
      <c r="D2621">
        <f t="shared" si="186"/>
        <v>19</v>
      </c>
      <c r="E2621">
        <f t="shared" si="187"/>
        <v>12</v>
      </c>
      <c r="F2621">
        <f t="shared" si="188"/>
        <v>2024</v>
      </c>
      <c r="G2621" t="s">
        <v>183</v>
      </c>
      <c r="H2621" s="98">
        <v>11871</v>
      </c>
      <c r="I2621" s="29">
        <v>118</v>
      </c>
      <c r="J2621" s="12" t="s">
        <v>31</v>
      </c>
      <c r="K2621" s="76">
        <f t="shared" si="190"/>
        <v>118</v>
      </c>
      <c r="L2621">
        <v>1</v>
      </c>
      <c r="M2621" s="29">
        <v>0</v>
      </c>
      <c r="N2621" t="s">
        <v>42</v>
      </c>
      <c r="O2621" t="s">
        <v>33</v>
      </c>
      <c r="P2621" t="s">
        <v>34</v>
      </c>
      <c r="Q2621" t="s">
        <v>34</v>
      </c>
      <c r="R2621" t="s">
        <v>34</v>
      </c>
      <c r="S2621" t="s">
        <v>34</v>
      </c>
      <c r="T2621" s="117">
        <v>0</v>
      </c>
    </row>
    <row r="2622" spans="1:21" x14ac:dyDescent="0.35">
      <c r="A2622" t="s">
        <v>20</v>
      </c>
      <c r="B2622" t="s">
        <v>25</v>
      </c>
      <c r="C2622" s="1">
        <v>45645</v>
      </c>
      <c r="D2622">
        <f t="shared" si="186"/>
        <v>19</v>
      </c>
      <c r="E2622">
        <f t="shared" si="187"/>
        <v>12</v>
      </c>
      <c r="F2622">
        <f t="shared" si="188"/>
        <v>2024</v>
      </c>
      <c r="G2622" t="s">
        <v>183</v>
      </c>
      <c r="H2622" s="98">
        <v>11872</v>
      </c>
      <c r="I2622" s="29">
        <v>826</v>
      </c>
      <c r="J2622" s="12" t="s">
        <v>31</v>
      </c>
      <c r="K2622" s="76">
        <f t="shared" si="190"/>
        <v>826</v>
      </c>
      <c r="L2622">
        <v>1</v>
      </c>
      <c r="M2622" s="29">
        <v>0</v>
      </c>
      <c r="N2622" t="s">
        <v>42</v>
      </c>
      <c r="O2622" t="s">
        <v>33</v>
      </c>
      <c r="P2622" t="s">
        <v>34</v>
      </c>
      <c r="Q2622" t="s">
        <v>34</v>
      </c>
      <c r="R2622" t="s">
        <v>34</v>
      </c>
      <c r="S2622" t="s">
        <v>34</v>
      </c>
      <c r="T2622" s="117">
        <v>0</v>
      </c>
    </row>
    <row r="2623" spans="1:21" x14ac:dyDescent="0.35">
      <c r="A2623" t="s">
        <v>20</v>
      </c>
      <c r="B2623" t="s">
        <v>25</v>
      </c>
      <c r="C2623" s="1">
        <v>45645</v>
      </c>
      <c r="D2623">
        <f t="shared" si="186"/>
        <v>19</v>
      </c>
      <c r="E2623">
        <f t="shared" si="187"/>
        <v>12</v>
      </c>
      <c r="F2623">
        <f t="shared" si="188"/>
        <v>2024</v>
      </c>
      <c r="G2623" t="s">
        <v>565</v>
      </c>
      <c r="H2623" s="98">
        <v>11897</v>
      </c>
      <c r="I2623" s="29">
        <v>98.4</v>
      </c>
      <c r="J2623" s="12" t="s">
        <v>31</v>
      </c>
      <c r="K2623" s="76">
        <f t="shared" si="190"/>
        <v>98.4</v>
      </c>
      <c r="L2623">
        <v>1</v>
      </c>
      <c r="M2623" s="29">
        <v>0</v>
      </c>
      <c r="N2623" t="s">
        <v>42</v>
      </c>
      <c r="O2623" t="s">
        <v>33</v>
      </c>
      <c r="P2623" t="s">
        <v>34</v>
      </c>
      <c r="Q2623" t="s">
        <v>34</v>
      </c>
      <c r="R2623" t="s">
        <v>34</v>
      </c>
      <c r="S2623" t="s">
        <v>34</v>
      </c>
      <c r="T2623" s="117">
        <v>0</v>
      </c>
    </row>
    <row r="2624" spans="1:21" x14ac:dyDescent="0.35">
      <c r="A2624" t="s">
        <v>20</v>
      </c>
      <c r="B2624" t="s">
        <v>25</v>
      </c>
      <c r="C2624" s="1">
        <v>45645</v>
      </c>
      <c r="D2624">
        <f t="shared" si="186"/>
        <v>19</v>
      </c>
      <c r="E2624">
        <f t="shared" si="187"/>
        <v>12</v>
      </c>
      <c r="F2624">
        <f t="shared" si="188"/>
        <v>2024</v>
      </c>
      <c r="G2624" t="s">
        <v>565</v>
      </c>
      <c r="H2624" s="98">
        <v>11898</v>
      </c>
      <c r="I2624" s="29">
        <v>5503.5</v>
      </c>
      <c r="J2624" s="12" t="s">
        <v>31</v>
      </c>
      <c r="K2624" s="76">
        <f t="shared" si="190"/>
        <v>5503.5</v>
      </c>
      <c r="L2624">
        <v>1</v>
      </c>
      <c r="M2624" s="29">
        <v>0</v>
      </c>
      <c r="N2624" t="s">
        <v>42</v>
      </c>
      <c r="O2624" t="s">
        <v>33</v>
      </c>
      <c r="P2624" t="s">
        <v>34</v>
      </c>
      <c r="Q2624" t="s">
        <v>34</v>
      </c>
      <c r="R2624" t="s">
        <v>34</v>
      </c>
      <c r="S2624" t="s">
        <v>34</v>
      </c>
      <c r="T2624" s="117">
        <v>0</v>
      </c>
    </row>
    <row r="2625" spans="1:21" x14ac:dyDescent="0.35">
      <c r="A2625" t="s">
        <v>19</v>
      </c>
      <c r="B2625" t="s">
        <v>26</v>
      </c>
      <c r="C2625" s="1">
        <v>45645</v>
      </c>
      <c r="D2625">
        <f t="shared" si="186"/>
        <v>19</v>
      </c>
      <c r="E2625">
        <f t="shared" si="187"/>
        <v>12</v>
      </c>
      <c r="F2625">
        <f t="shared" si="188"/>
        <v>2024</v>
      </c>
      <c r="G2625" t="s">
        <v>73</v>
      </c>
      <c r="H2625" s="98">
        <v>11779</v>
      </c>
      <c r="I2625" s="29">
        <v>47533.26</v>
      </c>
      <c r="J2625" s="12" t="s">
        <v>51</v>
      </c>
      <c r="K2625" s="76">
        <f>IF(J2625="USD",I2625,I2625*L2625)+0.01</f>
        <v>49425.093748000007</v>
      </c>
      <c r="L2625">
        <v>1.0398000000000001</v>
      </c>
      <c r="M2625" s="29">
        <v>0</v>
      </c>
      <c r="N2625" t="s">
        <v>32</v>
      </c>
      <c r="O2625" t="s">
        <v>33</v>
      </c>
      <c r="P2625" t="s">
        <v>34</v>
      </c>
      <c r="Q2625" t="s">
        <v>34</v>
      </c>
      <c r="R2625" t="s">
        <v>34</v>
      </c>
      <c r="S2625" t="s">
        <v>34</v>
      </c>
      <c r="T2625" s="117">
        <v>0</v>
      </c>
      <c r="U2625" s="209" t="s">
        <v>94</v>
      </c>
    </row>
    <row r="2626" spans="1:21" x14ac:dyDescent="0.35">
      <c r="A2626" t="s">
        <v>19</v>
      </c>
      <c r="B2626" t="s">
        <v>26</v>
      </c>
      <c r="C2626" s="1">
        <v>45645</v>
      </c>
      <c r="D2626">
        <f t="shared" si="186"/>
        <v>19</v>
      </c>
      <c r="E2626">
        <f t="shared" si="187"/>
        <v>12</v>
      </c>
      <c r="F2626">
        <f t="shared" si="188"/>
        <v>2024</v>
      </c>
      <c r="G2626" t="s">
        <v>73</v>
      </c>
      <c r="H2626" s="98">
        <v>11815</v>
      </c>
      <c r="I2626" s="29">
        <v>88044.77</v>
      </c>
      <c r="J2626" s="12" t="s">
        <v>51</v>
      </c>
      <c r="K2626" s="76">
        <f t="shared" ref="K2626:K2689" si="191">IF(J2626="USD",I2626,I2626*L2626)</f>
        <v>91548.951846000011</v>
      </c>
      <c r="L2626">
        <v>1.0398000000000001</v>
      </c>
      <c r="M2626" s="29">
        <v>0</v>
      </c>
      <c r="N2626" t="s">
        <v>32</v>
      </c>
      <c r="O2626" t="s">
        <v>33</v>
      </c>
      <c r="P2626" t="s">
        <v>34</v>
      </c>
      <c r="Q2626" t="s">
        <v>34</v>
      </c>
      <c r="R2626" t="s">
        <v>34</v>
      </c>
      <c r="S2626" t="s">
        <v>34</v>
      </c>
      <c r="T2626" s="117">
        <v>0</v>
      </c>
      <c r="U2626" s="209" t="s">
        <v>94</v>
      </c>
    </row>
    <row r="2627" spans="1:21" x14ac:dyDescent="0.35">
      <c r="A2627" t="s">
        <v>19</v>
      </c>
      <c r="B2627" t="s">
        <v>26</v>
      </c>
      <c r="C2627" s="1">
        <v>45645</v>
      </c>
      <c r="D2627">
        <f t="shared" ref="D2627:D2690" si="192">DAY(C2627)</f>
        <v>19</v>
      </c>
      <c r="E2627">
        <f t="shared" ref="E2627:E2690" si="193">MONTH(C2627)</f>
        <v>12</v>
      </c>
      <c r="F2627">
        <f t="shared" ref="F2627:F2690" si="194">YEAR(C2627)</f>
        <v>2024</v>
      </c>
      <c r="G2627" t="s">
        <v>73</v>
      </c>
      <c r="H2627" s="98">
        <v>11801</v>
      </c>
      <c r="I2627" s="29">
        <v>31864.81</v>
      </c>
      <c r="J2627" s="12" t="s">
        <v>51</v>
      </c>
      <c r="K2627" s="76">
        <f t="shared" si="191"/>
        <v>33133.029438000005</v>
      </c>
      <c r="L2627">
        <v>1.0398000000000001</v>
      </c>
      <c r="M2627" s="29">
        <v>0</v>
      </c>
      <c r="N2627" t="s">
        <v>32</v>
      </c>
      <c r="O2627" t="s">
        <v>33</v>
      </c>
      <c r="P2627" t="s">
        <v>34</v>
      </c>
      <c r="Q2627" t="s">
        <v>34</v>
      </c>
      <c r="R2627" t="s">
        <v>34</v>
      </c>
      <c r="S2627" t="s">
        <v>34</v>
      </c>
      <c r="T2627" s="117">
        <v>0</v>
      </c>
      <c r="U2627" s="209" t="s">
        <v>94</v>
      </c>
    </row>
    <row r="2628" spans="1:21" x14ac:dyDescent="0.35">
      <c r="A2628" t="s">
        <v>19</v>
      </c>
      <c r="B2628" t="s">
        <v>26</v>
      </c>
      <c r="C2628" s="1">
        <v>45645</v>
      </c>
      <c r="D2628">
        <f t="shared" si="192"/>
        <v>19</v>
      </c>
      <c r="E2628">
        <f t="shared" si="193"/>
        <v>12</v>
      </c>
      <c r="F2628">
        <f t="shared" si="194"/>
        <v>2024</v>
      </c>
      <c r="G2628" t="s">
        <v>73</v>
      </c>
      <c r="H2628" s="98">
        <v>11803</v>
      </c>
      <c r="I2628" s="29">
        <v>78046.820000000007</v>
      </c>
      <c r="J2628" s="12" t="s">
        <v>51</v>
      </c>
      <c r="K2628" s="76">
        <f t="shared" si="191"/>
        <v>81153.083436000015</v>
      </c>
      <c r="L2628">
        <v>1.0398000000000001</v>
      </c>
      <c r="M2628" s="29">
        <v>0</v>
      </c>
      <c r="N2628" t="s">
        <v>32</v>
      </c>
      <c r="O2628" t="s">
        <v>33</v>
      </c>
      <c r="P2628" t="s">
        <v>34</v>
      </c>
      <c r="Q2628" t="s">
        <v>34</v>
      </c>
      <c r="R2628" t="s">
        <v>34</v>
      </c>
      <c r="S2628" t="s">
        <v>34</v>
      </c>
      <c r="T2628" s="117">
        <v>0</v>
      </c>
      <c r="U2628" s="209" t="s">
        <v>94</v>
      </c>
    </row>
    <row r="2629" spans="1:21" x14ac:dyDescent="0.35">
      <c r="A2629" t="s">
        <v>19</v>
      </c>
      <c r="B2629" t="s">
        <v>26</v>
      </c>
      <c r="C2629" s="1">
        <v>45645</v>
      </c>
      <c r="D2629">
        <f t="shared" si="192"/>
        <v>19</v>
      </c>
      <c r="E2629">
        <f t="shared" si="193"/>
        <v>12</v>
      </c>
      <c r="F2629">
        <f t="shared" si="194"/>
        <v>2024</v>
      </c>
      <c r="G2629" t="s">
        <v>73</v>
      </c>
      <c r="H2629" s="98">
        <v>11804</v>
      </c>
      <c r="I2629" s="29">
        <v>71984.7</v>
      </c>
      <c r="J2629" s="12" t="s">
        <v>51</v>
      </c>
      <c r="K2629" s="76">
        <f t="shared" si="191"/>
        <v>74849.691059999997</v>
      </c>
      <c r="L2629">
        <v>1.0398000000000001</v>
      </c>
      <c r="M2629" s="29">
        <v>0</v>
      </c>
      <c r="N2629" t="s">
        <v>32</v>
      </c>
      <c r="O2629" t="s">
        <v>33</v>
      </c>
      <c r="P2629" t="s">
        <v>34</v>
      </c>
      <c r="Q2629" t="s">
        <v>34</v>
      </c>
      <c r="R2629" t="s">
        <v>34</v>
      </c>
      <c r="S2629" t="s">
        <v>34</v>
      </c>
      <c r="T2629" s="117">
        <v>0</v>
      </c>
      <c r="U2629" s="209" t="s">
        <v>94</v>
      </c>
    </row>
    <row r="2630" spans="1:21" x14ac:dyDescent="0.35">
      <c r="A2630" t="s">
        <v>19</v>
      </c>
      <c r="B2630" t="s">
        <v>26</v>
      </c>
      <c r="C2630" s="1">
        <v>45645</v>
      </c>
      <c r="D2630">
        <f t="shared" si="192"/>
        <v>19</v>
      </c>
      <c r="E2630">
        <f t="shared" si="193"/>
        <v>12</v>
      </c>
      <c r="F2630">
        <f t="shared" si="194"/>
        <v>2024</v>
      </c>
      <c r="G2630" t="s">
        <v>73</v>
      </c>
      <c r="H2630" s="98">
        <v>11805</v>
      </c>
      <c r="I2630" s="29">
        <v>46051.34</v>
      </c>
      <c r="J2630" s="12" t="s">
        <v>51</v>
      </c>
      <c r="K2630" s="76">
        <f t="shared" si="191"/>
        <v>47884.183332000001</v>
      </c>
      <c r="L2630">
        <v>1.0398000000000001</v>
      </c>
      <c r="M2630" s="29">
        <v>0</v>
      </c>
      <c r="N2630" t="s">
        <v>32</v>
      </c>
      <c r="O2630" t="s">
        <v>33</v>
      </c>
      <c r="P2630" t="s">
        <v>34</v>
      </c>
      <c r="Q2630" t="s">
        <v>34</v>
      </c>
      <c r="R2630" t="s">
        <v>34</v>
      </c>
      <c r="S2630" t="s">
        <v>34</v>
      </c>
      <c r="T2630" s="117">
        <v>0</v>
      </c>
      <c r="U2630" s="209" t="s">
        <v>94</v>
      </c>
    </row>
    <row r="2631" spans="1:21" x14ac:dyDescent="0.35">
      <c r="A2631" t="s">
        <v>19</v>
      </c>
      <c r="B2631" t="s">
        <v>26</v>
      </c>
      <c r="C2631" s="1">
        <v>45645</v>
      </c>
      <c r="D2631">
        <f t="shared" si="192"/>
        <v>19</v>
      </c>
      <c r="E2631">
        <f t="shared" si="193"/>
        <v>12</v>
      </c>
      <c r="F2631">
        <f t="shared" si="194"/>
        <v>2024</v>
      </c>
      <c r="G2631" t="s">
        <v>73</v>
      </c>
      <c r="H2631" s="98">
        <v>11939</v>
      </c>
      <c r="I2631" s="29">
        <v>18192.12</v>
      </c>
      <c r="J2631" s="12" t="s">
        <v>51</v>
      </c>
      <c r="K2631" s="76">
        <f t="shared" si="191"/>
        <v>18916.166376000001</v>
      </c>
      <c r="L2631">
        <v>1.0398000000000001</v>
      </c>
      <c r="M2631" s="29">
        <v>0</v>
      </c>
      <c r="N2631" t="s">
        <v>32</v>
      </c>
      <c r="O2631" t="s">
        <v>33</v>
      </c>
      <c r="P2631" t="s">
        <v>34</v>
      </c>
      <c r="Q2631" t="s">
        <v>34</v>
      </c>
      <c r="R2631" t="s">
        <v>34</v>
      </c>
      <c r="S2631" t="s">
        <v>34</v>
      </c>
      <c r="T2631" s="117">
        <v>0</v>
      </c>
      <c r="U2631" s="209" t="s">
        <v>94</v>
      </c>
    </row>
    <row r="2632" spans="1:21" x14ac:dyDescent="0.35">
      <c r="A2632" t="s">
        <v>19</v>
      </c>
      <c r="B2632" t="s">
        <v>23</v>
      </c>
      <c r="C2632" s="1">
        <v>45665</v>
      </c>
      <c r="D2632">
        <f t="shared" si="192"/>
        <v>8</v>
      </c>
      <c r="E2632">
        <f t="shared" si="193"/>
        <v>1</v>
      </c>
      <c r="F2632">
        <f t="shared" si="194"/>
        <v>2025</v>
      </c>
      <c r="G2632" t="s">
        <v>76</v>
      </c>
      <c r="H2632" s="98">
        <v>11829</v>
      </c>
      <c r="I2632" s="29">
        <v>46717.1</v>
      </c>
      <c r="J2632" s="12" t="s">
        <v>31</v>
      </c>
      <c r="K2632" s="76">
        <f t="shared" si="191"/>
        <v>46717.1</v>
      </c>
      <c r="L2632">
        <v>1</v>
      </c>
      <c r="M2632" s="29">
        <v>0</v>
      </c>
      <c r="N2632" t="s">
        <v>32</v>
      </c>
      <c r="O2632" t="s">
        <v>33</v>
      </c>
      <c r="P2632" t="s">
        <v>34</v>
      </c>
      <c r="Q2632" t="s">
        <v>34</v>
      </c>
      <c r="R2632" t="s">
        <v>34</v>
      </c>
      <c r="S2632" t="s">
        <v>34</v>
      </c>
      <c r="T2632" s="117">
        <v>0</v>
      </c>
    </row>
    <row r="2633" spans="1:21" x14ac:dyDescent="0.35">
      <c r="A2633" t="s">
        <v>19</v>
      </c>
      <c r="B2633" t="s">
        <v>21</v>
      </c>
      <c r="C2633" s="1">
        <v>45665</v>
      </c>
      <c r="D2633">
        <f t="shared" si="192"/>
        <v>8</v>
      </c>
      <c r="E2633">
        <f t="shared" si="193"/>
        <v>1</v>
      </c>
      <c r="F2633">
        <f t="shared" si="194"/>
        <v>2025</v>
      </c>
      <c r="G2633" t="s">
        <v>76</v>
      </c>
      <c r="H2633" s="98">
        <v>11776</v>
      </c>
      <c r="I2633" s="29">
        <v>10576.4</v>
      </c>
      <c r="J2633" s="12" t="s">
        <v>31</v>
      </c>
      <c r="K2633" s="76">
        <f t="shared" si="191"/>
        <v>10576.4</v>
      </c>
      <c r="L2633">
        <v>1</v>
      </c>
      <c r="M2633" s="29">
        <v>0</v>
      </c>
      <c r="N2633" t="s">
        <v>32</v>
      </c>
      <c r="O2633" t="s">
        <v>33</v>
      </c>
      <c r="P2633" t="s">
        <v>34</v>
      </c>
      <c r="Q2633" t="s">
        <v>34</v>
      </c>
      <c r="R2633" t="s">
        <v>34</v>
      </c>
      <c r="S2633" t="s">
        <v>34</v>
      </c>
      <c r="T2633" s="117">
        <v>0</v>
      </c>
    </row>
    <row r="2634" spans="1:21" x14ac:dyDescent="0.35">
      <c r="A2634" t="s">
        <v>19</v>
      </c>
      <c r="B2634" t="s">
        <v>23</v>
      </c>
      <c r="C2634" s="1">
        <v>45665</v>
      </c>
      <c r="D2634">
        <f t="shared" si="192"/>
        <v>8</v>
      </c>
      <c r="E2634">
        <f t="shared" si="193"/>
        <v>1</v>
      </c>
      <c r="F2634">
        <f t="shared" si="194"/>
        <v>2025</v>
      </c>
      <c r="G2634" t="s">
        <v>74</v>
      </c>
      <c r="H2634" s="98">
        <v>11500</v>
      </c>
      <c r="I2634" s="29">
        <v>116846.7</v>
      </c>
      <c r="J2634" s="12" t="s">
        <v>31</v>
      </c>
      <c r="K2634" s="76">
        <f t="shared" si="191"/>
        <v>116846.7</v>
      </c>
      <c r="L2634">
        <v>1</v>
      </c>
      <c r="M2634" s="29">
        <v>0</v>
      </c>
      <c r="N2634" t="s">
        <v>32</v>
      </c>
      <c r="O2634" t="s">
        <v>33</v>
      </c>
      <c r="P2634" t="s">
        <v>34</v>
      </c>
      <c r="Q2634" t="s">
        <v>34</v>
      </c>
      <c r="R2634" t="s">
        <v>34</v>
      </c>
      <c r="S2634" t="s">
        <v>34</v>
      </c>
      <c r="T2634" s="117">
        <v>0</v>
      </c>
    </row>
    <row r="2635" spans="1:21" x14ac:dyDescent="0.35">
      <c r="A2635" t="s">
        <v>19</v>
      </c>
      <c r="B2635" t="s">
        <v>23</v>
      </c>
      <c r="C2635" s="1">
        <v>45665</v>
      </c>
      <c r="D2635">
        <f t="shared" si="192"/>
        <v>8</v>
      </c>
      <c r="E2635">
        <f t="shared" si="193"/>
        <v>1</v>
      </c>
      <c r="F2635">
        <f t="shared" si="194"/>
        <v>2025</v>
      </c>
      <c r="G2635" t="s">
        <v>74</v>
      </c>
      <c r="H2635" s="98">
        <v>11661</v>
      </c>
      <c r="I2635" s="29">
        <v>21777</v>
      </c>
      <c r="J2635" s="12" t="s">
        <v>31</v>
      </c>
      <c r="K2635" s="76">
        <f t="shared" si="191"/>
        <v>21777</v>
      </c>
      <c r="L2635">
        <v>1</v>
      </c>
      <c r="M2635" s="29">
        <v>0</v>
      </c>
      <c r="N2635" t="s">
        <v>32</v>
      </c>
      <c r="O2635" t="s">
        <v>33</v>
      </c>
      <c r="P2635" t="s">
        <v>34</v>
      </c>
      <c r="Q2635" t="s">
        <v>34</v>
      </c>
      <c r="R2635" t="s">
        <v>34</v>
      </c>
      <c r="S2635" t="s">
        <v>34</v>
      </c>
      <c r="T2635" s="117">
        <v>0</v>
      </c>
    </row>
    <row r="2636" spans="1:21" x14ac:dyDescent="0.35">
      <c r="A2636" t="s">
        <v>19</v>
      </c>
      <c r="B2636" t="s">
        <v>23</v>
      </c>
      <c r="C2636" s="1">
        <v>45665</v>
      </c>
      <c r="D2636">
        <f t="shared" si="192"/>
        <v>8</v>
      </c>
      <c r="E2636">
        <f t="shared" si="193"/>
        <v>1</v>
      </c>
      <c r="F2636">
        <f t="shared" si="194"/>
        <v>2025</v>
      </c>
      <c r="G2636" t="s">
        <v>74</v>
      </c>
      <c r="H2636" s="98">
        <v>11759</v>
      </c>
      <c r="I2636" s="29">
        <v>31024.55</v>
      </c>
      <c r="J2636" s="12" t="s">
        <v>31</v>
      </c>
      <c r="K2636" s="76">
        <f t="shared" si="191"/>
        <v>31024.55</v>
      </c>
      <c r="L2636">
        <v>1</v>
      </c>
      <c r="M2636" s="29">
        <v>0</v>
      </c>
      <c r="N2636" t="s">
        <v>32</v>
      </c>
      <c r="O2636" t="s">
        <v>33</v>
      </c>
      <c r="P2636" t="s">
        <v>34</v>
      </c>
      <c r="Q2636" t="s">
        <v>34</v>
      </c>
      <c r="R2636" t="s">
        <v>34</v>
      </c>
      <c r="S2636" t="s">
        <v>34</v>
      </c>
      <c r="T2636" s="117">
        <v>0</v>
      </c>
    </row>
    <row r="2637" spans="1:21" x14ac:dyDescent="0.35">
      <c r="A2637" t="s">
        <v>19</v>
      </c>
      <c r="B2637" t="s">
        <v>23</v>
      </c>
      <c r="C2637" s="1">
        <v>45665</v>
      </c>
      <c r="D2637">
        <f t="shared" si="192"/>
        <v>8</v>
      </c>
      <c r="E2637">
        <f t="shared" si="193"/>
        <v>1</v>
      </c>
      <c r="F2637">
        <f t="shared" si="194"/>
        <v>2025</v>
      </c>
      <c r="G2637" t="s">
        <v>74</v>
      </c>
      <c r="H2637" s="98">
        <v>11775</v>
      </c>
      <c r="I2637" s="29">
        <v>9667.2000000000007</v>
      </c>
      <c r="J2637" s="12" t="s">
        <v>31</v>
      </c>
      <c r="K2637" s="76">
        <f t="shared" si="191"/>
        <v>9667.2000000000007</v>
      </c>
      <c r="L2637">
        <v>1</v>
      </c>
      <c r="M2637" s="29">
        <v>0</v>
      </c>
      <c r="N2637" t="s">
        <v>32</v>
      </c>
      <c r="O2637" t="s">
        <v>33</v>
      </c>
      <c r="P2637" t="s">
        <v>34</v>
      </c>
      <c r="Q2637" t="s">
        <v>34</v>
      </c>
      <c r="R2637" t="s">
        <v>34</v>
      </c>
      <c r="S2637" t="s">
        <v>34</v>
      </c>
      <c r="T2637" s="117">
        <v>0</v>
      </c>
    </row>
    <row r="2638" spans="1:21" x14ac:dyDescent="0.35">
      <c r="A2638" t="s">
        <v>19</v>
      </c>
      <c r="B2638" t="s">
        <v>25</v>
      </c>
      <c r="C2638" s="1">
        <v>45665</v>
      </c>
      <c r="D2638">
        <f t="shared" si="192"/>
        <v>8</v>
      </c>
      <c r="E2638">
        <f t="shared" si="193"/>
        <v>1</v>
      </c>
      <c r="F2638">
        <f t="shared" si="194"/>
        <v>2025</v>
      </c>
      <c r="G2638" t="s">
        <v>36</v>
      </c>
      <c r="H2638" s="98">
        <v>11270</v>
      </c>
      <c r="I2638" s="29">
        <v>46024.97</v>
      </c>
      <c r="J2638" s="12" t="s">
        <v>31</v>
      </c>
      <c r="K2638" s="76">
        <f t="shared" si="191"/>
        <v>46024.97</v>
      </c>
      <c r="L2638">
        <v>1</v>
      </c>
      <c r="M2638" s="29">
        <v>0</v>
      </c>
      <c r="N2638" t="s">
        <v>32</v>
      </c>
      <c r="O2638" t="s">
        <v>33</v>
      </c>
      <c r="P2638" t="s">
        <v>34</v>
      </c>
      <c r="Q2638" t="s">
        <v>34</v>
      </c>
      <c r="R2638" t="s">
        <v>34</v>
      </c>
      <c r="S2638" t="s">
        <v>34</v>
      </c>
      <c r="T2638" s="117">
        <v>0</v>
      </c>
    </row>
    <row r="2639" spans="1:21" x14ac:dyDescent="0.35">
      <c r="A2639" t="s">
        <v>19</v>
      </c>
      <c r="B2639" t="s">
        <v>21</v>
      </c>
      <c r="C2639" s="1">
        <v>45665</v>
      </c>
      <c r="D2639">
        <f t="shared" si="192"/>
        <v>8</v>
      </c>
      <c r="E2639">
        <f t="shared" si="193"/>
        <v>1</v>
      </c>
      <c r="F2639">
        <f t="shared" si="194"/>
        <v>2025</v>
      </c>
      <c r="G2639" t="s">
        <v>36</v>
      </c>
      <c r="H2639" s="98">
        <v>11270</v>
      </c>
      <c r="I2639" s="29">
        <v>16997.03</v>
      </c>
      <c r="J2639" s="12" t="s">
        <v>31</v>
      </c>
      <c r="K2639" s="76">
        <f t="shared" si="191"/>
        <v>16997.03</v>
      </c>
      <c r="L2639">
        <v>1</v>
      </c>
      <c r="M2639" s="29">
        <v>0</v>
      </c>
      <c r="N2639" t="s">
        <v>32</v>
      </c>
      <c r="O2639" t="s">
        <v>33</v>
      </c>
      <c r="P2639" t="s">
        <v>34</v>
      </c>
      <c r="Q2639" t="s">
        <v>34</v>
      </c>
      <c r="R2639" t="s">
        <v>34</v>
      </c>
      <c r="S2639" t="s">
        <v>34</v>
      </c>
      <c r="T2639" s="117">
        <v>0</v>
      </c>
    </row>
    <row r="2640" spans="1:21" x14ac:dyDescent="0.35">
      <c r="A2640" t="s">
        <v>19</v>
      </c>
      <c r="B2640" t="s">
        <v>24</v>
      </c>
      <c r="C2640" s="1">
        <v>45665</v>
      </c>
      <c r="D2640">
        <f t="shared" si="192"/>
        <v>8</v>
      </c>
      <c r="E2640">
        <f t="shared" si="193"/>
        <v>1</v>
      </c>
      <c r="F2640">
        <f t="shared" si="194"/>
        <v>2025</v>
      </c>
      <c r="G2640" t="s">
        <v>36</v>
      </c>
      <c r="H2640" s="98">
        <v>11339</v>
      </c>
      <c r="I2640" s="29">
        <v>28382.79</v>
      </c>
      <c r="J2640" s="12" t="s">
        <v>31</v>
      </c>
      <c r="K2640" s="76">
        <f t="shared" si="191"/>
        <v>28382.79</v>
      </c>
      <c r="L2640">
        <v>1</v>
      </c>
      <c r="M2640" s="29">
        <v>0</v>
      </c>
      <c r="N2640" t="s">
        <v>32</v>
      </c>
      <c r="O2640" t="s">
        <v>33</v>
      </c>
      <c r="P2640" t="s">
        <v>34</v>
      </c>
      <c r="Q2640" t="s">
        <v>34</v>
      </c>
      <c r="R2640" t="s">
        <v>34</v>
      </c>
      <c r="S2640" t="s">
        <v>34</v>
      </c>
      <c r="T2640" s="117">
        <v>0</v>
      </c>
    </row>
    <row r="2641" spans="1:21" x14ac:dyDescent="0.35">
      <c r="A2641" t="s">
        <v>19</v>
      </c>
      <c r="B2641" t="s">
        <v>25</v>
      </c>
      <c r="C2641" s="1">
        <v>45665</v>
      </c>
      <c r="D2641">
        <f t="shared" si="192"/>
        <v>8</v>
      </c>
      <c r="E2641">
        <f t="shared" si="193"/>
        <v>1</v>
      </c>
      <c r="F2641">
        <f t="shared" si="194"/>
        <v>2025</v>
      </c>
      <c r="G2641" t="s">
        <v>36</v>
      </c>
      <c r="H2641" s="98">
        <v>11339</v>
      </c>
      <c r="I2641" s="29">
        <v>9198.48</v>
      </c>
      <c r="J2641" s="12" t="s">
        <v>31</v>
      </c>
      <c r="K2641" s="76">
        <f t="shared" si="191"/>
        <v>9198.48</v>
      </c>
      <c r="L2641">
        <v>1</v>
      </c>
      <c r="M2641" s="29">
        <v>0</v>
      </c>
      <c r="N2641" t="s">
        <v>32</v>
      </c>
      <c r="O2641" t="s">
        <v>33</v>
      </c>
      <c r="P2641" t="s">
        <v>34</v>
      </c>
      <c r="Q2641" t="s">
        <v>34</v>
      </c>
      <c r="R2641" t="s">
        <v>34</v>
      </c>
      <c r="S2641" t="s">
        <v>34</v>
      </c>
      <c r="T2641" s="117">
        <v>0</v>
      </c>
    </row>
    <row r="2642" spans="1:21" x14ac:dyDescent="0.35">
      <c r="A2642" t="s">
        <v>19</v>
      </c>
      <c r="B2642" t="s">
        <v>21</v>
      </c>
      <c r="C2642" s="1">
        <v>45665</v>
      </c>
      <c r="D2642">
        <f t="shared" si="192"/>
        <v>8</v>
      </c>
      <c r="E2642">
        <f t="shared" si="193"/>
        <v>1</v>
      </c>
      <c r="F2642">
        <f t="shared" si="194"/>
        <v>2025</v>
      </c>
      <c r="G2642" t="s">
        <v>36</v>
      </c>
      <c r="H2642" s="98">
        <v>11339</v>
      </c>
      <c r="I2642" s="29">
        <v>58436.28</v>
      </c>
      <c r="J2642" s="12" t="s">
        <v>31</v>
      </c>
      <c r="K2642" s="76">
        <f t="shared" si="191"/>
        <v>58436.28</v>
      </c>
      <c r="L2642">
        <v>1</v>
      </c>
      <c r="M2642" s="29">
        <v>0</v>
      </c>
      <c r="N2642" t="s">
        <v>32</v>
      </c>
      <c r="O2642" t="s">
        <v>33</v>
      </c>
      <c r="P2642" t="s">
        <v>34</v>
      </c>
      <c r="Q2642" t="s">
        <v>34</v>
      </c>
      <c r="R2642" t="s">
        <v>34</v>
      </c>
      <c r="S2642" t="s">
        <v>34</v>
      </c>
      <c r="T2642" s="117">
        <v>0</v>
      </c>
    </row>
    <row r="2643" spans="1:21" x14ac:dyDescent="0.35">
      <c r="A2643" t="s">
        <v>19</v>
      </c>
      <c r="B2643" t="s">
        <v>25</v>
      </c>
      <c r="C2643" s="1">
        <v>45665</v>
      </c>
      <c r="D2643">
        <f t="shared" si="192"/>
        <v>8</v>
      </c>
      <c r="E2643">
        <f t="shared" si="193"/>
        <v>1</v>
      </c>
      <c r="F2643">
        <f t="shared" si="194"/>
        <v>2025</v>
      </c>
      <c r="G2643" t="s">
        <v>39</v>
      </c>
      <c r="H2643" s="98">
        <v>11241</v>
      </c>
      <c r="I2643" s="29">
        <v>12628</v>
      </c>
      <c r="J2643" s="12" t="s">
        <v>31</v>
      </c>
      <c r="K2643" s="76">
        <f t="shared" si="191"/>
        <v>12628</v>
      </c>
      <c r="L2643">
        <v>1</v>
      </c>
      <c r="M2643" s="29">
        <v>0</v>
      </c>
      <c r="N2643" t="s">
        <v>32</v>
      </c>
      <c r="O2643" t="s">
        <v>33</v>
      </c>
      <c r="P2643" t="s">
        <v>34</v>
      </c>
      <c r="Q2643" t="s">
        <v>34</v>
      </c>
      <c r="R2643" t="s">
        <v>34</v>
      </c>
      <c r="S2643" t="s">
        <v>34</v>
      </c>
      <c r="T2643" s="117">
        <v>0</v>
      </c>
    </row>
    <row r="2644" spans="1:21" x14ac:dyDescent="0.35">
      <c r="A2644" t="s">
        <v>19</v>
      </c>
      <c r="B2644" t="s">
        <v>25</v>
      </c>
      <c r="C2644" s="1">
        <v>45665</v>
      </c>
      <c r="D2644">
        <f t="shared" si="192"/>
        <v>8</v>
      </c>
      <c r="E2644">
        <f t="shared" si="193"/>
        <v>1</v>
      </c>
      <c r="F2644">
        <f t="shared" si="194"/>
        <v>2025</v>
      </c>
      <c r="G2644" t="s">
        <v>80</v>
      </c>
      <c r="H2644" s="98">
        <v>12006</v>
      </c>
      <c r="I2644" s="29">
        <v>1560</v>
      </c>
      <c r="J2644" s="12" t="s">
        <v>31</v>
      </c>
      <c r="K2644" s="76">
        <f t="shared" si="191"/>
        <v>1560</v>
      </c>
      <c r="L2644">
        <v>1</v>
      </c>
      <c r="M2644" s="29">
        <v>0</v>
      </c>
      <c r="N2644" t="s">
        <v>42</v>
      </c>
      <c r="O2644" t="s">
        <v>33</v>
      </c>
      <c r="P2644" t="s">
        <v>34</v>
      </c>
      <c r="Q2644" t="s">
        <v>34</v>
      </c>
      <c r="R2644" t="s">
        <v>34</v>
      </c>
      <c r="S2644" t="s">
        <v>34</v>
      </c>
      <c r="T2644" s="117">
        <v>0</v>
      </c>
    </row>
    <row r="2645" spans="1:21" x14ac:dyDescent="0.35">
      <c r="A2645" t="s">
        <v>19</v>
      </c>
      <c r="B2645" t="s">
        <v>21</v>
      </c>
      <c r="C2645" s="1">
        <v>45665</v>
      </c>
      <c r="D2645">
        <f t="shared" si="192"/>
        <v>8</v>
      </c>
      <c r="E2645">
        <f t="shared" si="193"/>
        <v>1</v>
      </c>
      <c r="F2645">
        <f t="shared" si="194"/>
        <v>2025</v>
      </c>
      <c r="G2645" t="s">
        <v>35</v>
      </c>
      <c r="H2645" s="98">
        <v>10783</v>
      </c>
      <c r="I2645" s="90">
        <v>5082.75</v>
      </c>
      <c r="J2645" s="12" t="s">
        <v>31</v>
      </c>
      <c r="K2645" s="76">
        <f t="shared" si="191"/>
        <v>5082.75</v>
      </c>
      <c r="L2645">
        <v>1</v>
      </c>
      <c r="M2645" s="29">
        <v>0</v>
      </c>
      <c r="N2645" t="s">
        <v>32</v>
      </c>
      <c r="O2645" t="s">
        <v>33</v>
      </c>
      <c r="P2645" t="s">
        <v>34</v>
      </c>
      <c r="Q2645" t="s">
        <v>34</v>
      </c>
      <c r="R2645" t="s">
        <v>34</v>
      </c>
      <c r="S2645" t="s">
        <v>34</v>
      </c>
      <c r="T2645" s="117">
        <v>0</v>
      </c>
    </row>
    <row r="2646" spans="1:21" x14ac:dyDescent="0.35">
      <c r="A2646" t="s">
        <v>19</v>
      </c>
      <c r="B2646" t="s">
        <v>25</v>
      </c>
      <c r="C2646" s="1">
        <v>45665</v>
      </c>
      <c r="D2646">
        <f t="shared" si="192"/>
        <v>8</v>
      </c>
      <c r="E2646">
        <f t="shared" si="193"/>
        <v>1</v>
      </c>
      <c r="F2646">
        <f t="shared" si="194"/>
        <v>2025</v>
      </c>
      <c r="G2646" t="s">
        <v>93</v>
      </c>
      <c r="H2646" s="98">
        <v>11171</v>
      </c>
      <c r="I2646" s="29">
        <v>27214.11</v>
      </c>
      <c r="J2646" s="12" t="s">
        <v>31</v>
      </c>
      <c r="K2646" s="76">
        <f t="shared" si="191"/>
        <v>27214.11</v>
      </c>
      <c r="L2646">
        <v>1</v>
      </c>
      <c r="M2646" s="29">
        <v>0</v>
      </c>
      <c r="N2646" t="s">
        <v>32</v>
      </c>
      <c r="O2646" t="s">
        <v>33</v>
      </c>
      <c r="P2646" t="s">
        <v>34</v>
      </c>
      <c r="Q2646" t="s">
        <v>34</v>
      </c>
      <c r="R2646" t="s">
        <v>34</v>
      </c>
      <c r="S2646" t="s">
        <v>34</v>
      </c>
      <c r="T2646" s="117">
        <v>0</v>
      </c>
    </row>
    <row r="2647" spans="1:21" x14ac:dyDescent="0.35">
      <c r="A2647" t="s">
        <v>20</v>
      </c>
      <c r="B2647" t="s">
        <v>25</v>
      </c>
      <c r="C2647" s="1">
        <v>45665</v>
      </c>
      <c r="D2647">
        <f t="shared" si="192"/>
        <v>8</v>
      </c>
      <c r="E2647">
        <f t="shared" si="193"/>
        <v>1</v>
      </c>
      <c r="F2647">
        <f t="shared" si="194"/>
        <v>2025</v>
      </c>
      <c r="G2647" t="s">
        <v>442</v>
      </c>
      <c r="H2647" s="98">
        <v>11338</v>
      </c>
      <c r="I2647" s="29">
        <v>32514.93</v>
      </c>
      <c r="J2647" s="12" t="s">
        <v>51</v>
      </c>
      <c r="K2647" s="76">
        <f t="shared" si="191"/>
        <v>33626.969999821871</v>
      </c>
      <c r="L2647" s="124">
        <v>1.03420090401</v>
      </c>
      <c r="M2647" s="29">
        <v>0</v>
      </c>
      <c r="N2647" t="s">
        <v>32</v>
      </c>
      <c r="O2647" t="s">
        <v>33</v>
      </c>
      <c r="P2647" t="s">
        <v>34</v>
      </c>
      <c r="Q2647" t="s">
        <v>34</v>
      </c>
      <c r="R2647" t="s">
        <v>34</v>
      </c>
      <c r="S2647" t="s">
        <v>34</v>
      </c>
      <c r="T2647" s="117">
        <v>0</v>
      </c>
    </row>
    <row r="2648" spans="1:21" x14ac:dyDescent="0.35">
      <c r="A2648" t="s">
        <v>20</v>
      </c>
      <c r="B2648" t="s">
        <v>25</v>
      </c>
      <c r="C2648" s="1">
        <v>45665</v>
      </c>
      <c r="D2648">
        <f t="shared" si="192"/>
        <v>8</v>
      </c>
      <c r="E2648">
        <f t="shared" si="193"/>
        <v>1</v>
      </c>
      <c r="F2648">
        <f t="shared" si="194"/>
        <v>2025</v>
      </c>
      <c r="G2648" t="s">
        <v>491</v>
      </c>
      <c r="H2648" s="98">
        <v>11161</v>
      </c>
      <c r="I2648" s="29">
        <v>11118.25</v>
      </c>
      <c r="J2648" s="12" t="s">
        <v>31</v>
      </c>
      <c r="K2648" s="76">
        <f t="shared" si="191"/>
        <v>11118.25</v>
      </c>
      <c r="L2648">
        <v>1</v>
      </c>
      <c r="M2648" s="29">
        <v>0</v>
      </c>
      <c r="N2648" t="s">
        <v>32</v>
      </c>
      <c r="O2648" t="s">
        <v>33</v>
      </c>
      <c r="P2648" t="s">
        <v>34</v>
      </c>
      <c r="Q2648" t="s">
        <v>34</v>
      </c>
      <c r="R2648" t="s">
        <v>34</v>
      </c>
      <c r="S2648" t="s">
        <v>34</v>
      </c>
      <c r="T2648" s="117">
        <v>0</v>
      </c>
    </row>
    <row r="2649" spans="1:21" x14ac:dyDescent="0.35">
      <c r="A2649" t="s">
        <v>20</v>
      </c>
      <c r="B2649" t="s">
        <v>25</v>
      </c>
      <c r="C2649" s="1">
        <v>45665</v>
      </c>
      <c r="D2649">
        <f t="shared" si="192"/>
        <v>8</v>
      </c>
      <c r="E2649">
        <f t="shared" si="193"/>
        <v>1</v>
      </c>
      <c r="F2649">
        <f t="shared" si="194"/>
        <v>2025</v>
      </c>
      <c r="G2649" t="s">
        <v>89</v>
      </c>
      <c r="H2649" s="98">
        <v>11153</v>
      </c>
      <c r="I2649" s="29">
        <v>466.58</v>
      </c>
      <c r="J2649" s="12" t="s">
        <v>31</v>
      </c>
      <c r="K2649" s="76">
        <f t="shared" si="191"/>
        <v>466.58</v>
      </c>
      <c r="L2649">
        <v>1</v>
      </c>
      <c r="M2649" s="29">
        <v>0</v>
      </c>
      <c r="N2649" t="s">
        <v>32</v>
      </c>
      <c r="O2649" t="s">
        <v>33</v>
      </c>
      <c r="P2649" t="s">
        <v>34</v>
      </c>
      <c r="Q2649" t="s">
        <v>34</v>
      </c>
      <c r="R2649" t="s">
        <v>34</v>
      </c>
      <c r="S2649" t="s">
        <v>34</v>
      </c>
      <c r="T2649" s="117">
        <v>0</v>
      </c>
    </row>
    <row r="2650" spans="1:21" x14ac:dyDescent="0.35">
      <c r="A2650" t="s">
        <v>20</v>
      </c>
      <c r="B2650" t="s">
        <v>21</v>
      </c>
      <c r="C2650" s="1">
        <v>45665</v>
      </c>
      <c r="D2650">
        <f t="shared" si="192"/>
        <v>8</v>
      </c>
      <c r="E2650">
        <f t="shared" si="193"/>
        <v>1</v>
      </c>
      <c r="F2650">
        <f t="shared" si="194"/>
        <v>2025</v>
      </c>
      <c r="G2650" t="s">
        <v>89</v>
      </c>
      <c r="H2650" s="98">
        <v>11153</v>
      </c>
      <c r="I2650" s="29">
        <v>775.22</v>
      </c>
      <c r="J2650" s="12" t="s">
        <v>31</v>
      </c>
      <c r="K2650" s="76">
        <f t="shared" si="191"/>
        <v>775.22</v>
      </c>
      <c r="L2650">
        <v>1</v>
      </c>
      <c r="M2650" s="29">
        <v>0</v>
      </c>
      <c r="N2650" t="s">
        <v>32</v>
      </c>
      <c r="O2650" t="s">
        <v>33</v>
      </c>
      <c r="P2650" t="s">
        <v>34</v>
      </c>
      <c r="Q2650" t="s">
        <v>34</v>
      </c>
      <c r="R2650" t="s">
        <v>34</v>
      </c>
      <c r="S2650" t="s">
        <v>34</v>
      </c>
      <c r="T2650" s="117">
        <v>0</v>
      </c>
    </row>
    <row r="2651" spans="1:21" x14ac:dyDescent="0.35">
      <c r="A2651" t="s">
        <v>20</v>
      </c>
      <c r="B2651" t="s">
        <v>25</v>
      </c>
      <c r="C2651" s="1">
        <v>45665</v>
      </c>
      <c r="D2651">
        <f t="shared" si="192"/>
        <v>8</v>
      </c>
      <c r="E2651">
        <f t="shared" si="193"/>
        <v>1</v>
      </c>
      <c r="F2651">
        <f t="shared" si="194"/>
        <v>2025</v>
      </c>
      <c r="G2651" t="s">
        <v>118</v>
      </c>
      <c r="H2651" s="98">
        <v>11222</v>
      </c>
      <c r="I2651" s="29">
        <v>1734.52</v>
      </c>
      <c r="J2651" s="12" t="s">
        <v>31</v>
      </c>
      <c r="K2651" s="76">
        <f t="shared" si="191"/>
        <v>1734.52</v>
      </c>
      <c r="L2651">
        <v>1</v>
      </c>
      <c r="M2651" s="29">
        <v>0</v>
      </c>
      <c r="N2651" t="s">
        <v>32</v>
      </c>
      <c r="O2651" t="s">
        <v>33</v>
      </c>
      <c r="P2651" t="s">
        <v>34</v>
      </c>
      <c r="Q2651" t="s">
        <v>34</v>
      </c>
      <c r="R2651" t="s">
        <v>34</v>
      </c>
      <c r="S2651" t="s">
        <v>34</v>
      </c>
      <c r="T2651" s="117">
        <v>0</v>
      </c>
    </row>
    <row r="2652" spans="1:21" x14ac:dyDescent="0.35">
      <c r="A2652" t="s">
        <v>20</v>
      </c>
      <c r="B2652" t="s">
        <v>21</v>
      </c>
      <c r="C2652" s="1">
        <v>45665</v>
      </c>
      <c r="D2652">
        <f t="shared" si="192"/>
        <v>8</v>
      </c>
      <c r="E2652">
        <f t="shared" si="193"/>
        <v>1</v>
      </c>
      <c r="F2652">
        <f t="shared" si="194"/>
        <v>2025</v>
      </c>
      <c r="G2652" t="s">
        <v>118</v>
      </c>
      <c r="H2652" s="98">
        <v>11222</v>
      </c>
      <c r="I2652" s="29">
        <v>7423.1</v>
      </c>
      <c r="J2652" s="12" t="s">
        <v>31</v>
      </c>
      <c r="K2652" s="76">
        <f t="shared" si="191"/>
        <v>7423.1</v>
      </c>
      <c r="L2652">
        <v>1</v>
      </c>
      <c r="M2652" s="29">
        <v>0</v>
      </c>
      <c r="N2652" t="s">
        <v>32</v>
      </c>
      <c r="O2652" t="s">
        <v>33</v>
      </c>
      <c r="P2652" t="s">
        <v>34</v>
      </c>
      <c r="Q2652" t="s">
        <v>34</v>
      </c>
      <c r="R2652" t="s">
        <v>34</v>
      </c>
      <c r="S2652" t="s">
        <v>34</v>
      </c>
      <c r="T2652" s="117">
        <v>0</v>
      </c>
    </row>
    <row r="2653" spans="1:21" x14ac:dyDescent="0.35">
      <c r="A2653" t="s">
        <v>20</v>
      </c>
      <c r="B2653" t="s">
        <v>21</v>
      </c>
      <c r="C2653" s="1">
        <v>45665</v>
      </c>
      <c r="D2653">
        <f t="shared" si="192"/>
        <v>8</v>
      </c>
      <c r="E2653">
        <f t="shared" si="193"/>
        <v>1</v>
      </c>
      <c r="F2653">
        <f t="shared" si="194"/>
        <v>2025</v>
      </c>
      <c r="G2653" t="s">
        <v>46</v>
      </c>
      <c r="H2653" s="98">
        <v>11348</v>
      </c>
      <c r="I2653" s="29">
        <v>12317.25</v>
      </c>
      <c r="J2653" s="12" t="s">
        <v>31</v>
      </c>
      <c r="K2653" s="76">
        <f t="shared" si="191"/>
        <v>12317.25</v>
      </c>
      <c r="L2653">
        <v>1</v>
      </c>
      <c r="M2653" s="29">
        <v>0</v>
      </c>
      <c r="N2653" t="s">
        <v>32</v>
      </c>
      <c r="O2653" t="s">
        <v>33</v>
      </c>
      <c r="P2653" t="s">
        <v>34</v>
      </c>
      <c r="Q2653" t="s">
        <v>34</v>
      </c>
      <c r="R2653" t="s">
        <v>34</v>
      </c>
      <c r="S2653" t="s">
        <v>34</v>
      </c>
      <c r="T2653" s="117">
        <v>0</v>
      </c>
    </row>
    <row r="2654" spans="1:21" x14ac:dyDescent="0.35">
      <c r="A2654" t="s">
        <v>20</v>
      </c>
      <c r="B2654" t="s">
        <v>23</v>
      </c>
      <c r="C2654" s="1">
        <v>45665</v>
      </c>
      <c r="D2654">
        <f t="shared" si="192"/>
        <v>8</v>
      </c>
      <c r="E2654">
        <f t="shared" si="193"/>
        <v>1</v>
      </c>
      <c r="F2654">
        <f t="shared" si="194"/>
        <v>2025</v>
      </c>
      <c r="G2654" t="s">
        <v>50</v>
      </c>
      <c r="H2654" s="171">
        <v>11305</v>
      </c>
      <c r="I2654" s="29">
        <v>13275</v>
      </c>
      <c r="J2654" s="12" t="s">
        <v>31</v>
      </c>
      <c r="K2654" s="76">
        <f t="shared" si="191"/>
        <v>13275</v>
      </c>
      <c r="L2654">
        <v>1</v>
      </c>
      <c r="M2654" s="29">
        <v>0</v>
      </c>
      <c r="N2654" t="s">
        <v>32</v>
      </c>
      <c r="O2654" t="s">
        <v>33</v>
      </c>
      <c r="P2654" t="s">
        <v>34</v>
      </c>
      <c r="Q2654" t="s">
        <v>34</v>
      </c>
      <c r="R2654" t="s">
        <v>34</v>
      </c>
      <c r="S2654" t="s">
        <v>34</v>
      </c>
      <c r="T2654" s="117">
        <v>0</v>
      </c>
    </row>
    <row r="2655" spans="1:21" x14ac:dyDescent="0.35">
      <c r="A2655" t="s">
        <v>20</v>
      </c>
      <c r="B2655" t="s">
        <v>24</v>
      </c>
      <c r="C2655" s="1">
        <v>45665</v>
      </c>
      <c r="D2655">
        <f t="shared" si="192"/>
        <v>8</v>
      </c>
      <c r="E2655">
        <f t="shared" si="193"/>
        <v>1</v>
      </c>
      <c r="F2655">
        <f t="shared" si="194"/>
        <v>2025</v>
      </c>
      <c r="G2655" t="s">
        <v>50</v>
      </c>
      <c r="H2655" s="171">
        <v>11305</v>
      </c>
      <c r="I2655" s="29">
        <v>29866</v>
      </c>
      <c r="J2655" s="12" t="s">
        <v>31</v>
      </c>
      <c r="K2655" s="76">
        <f t="shared" si="191"/>
        <v>29866</v>
      </c>
      <c r="L2655">
        <v>1</v>
      </c>
      <c r="M2655" s="29">
        <v>0</v>
      </c>
      <c r="N2655" t="s">
        <v>32</v>
      </c>
      <c r="O2655" t="s">
        <v>33</v>
      </c>
      <c r="P2655" t="s">
        <v>34</v>
      </c>
      <c r="Q2655" t="s">
        <v>34</v>
      </c>
      <c r="R2655" t="s">
        <v>34</v>
      </c>
      <c r="S2655" t="s">
        <v>34</v>
      </c>
      <c r="T2655" s="117">
        <v>0</v>
      </c>
    </row>
    <row r="2656" spans="1:21" x14ac:dyDescent="0.35">
      <c r="A2656" t="s">
        <v>20</v>
      </c>
      <c r="B2656" t="s">
        <v>21</v>
      </c>
      <c r="C2656" s="1">
        <v>45665</v>
      </c>
      <c r="D2656">
        <f t="shared" si="192"/>
        <v>8</v>
      </c>
      <c r="E2656">
        <f t="shared" si="193"/>
        <v>1</v>
      </c>
      <c r="F2656">
        <f t="shared" si="194"/>
        <v>2025</v>
      </c>
      <c r="G2656" t="s">
        <v>50</v>
      </c>
      <c r="H2656" s="98">
        <v>11920</v>
      </c>
      <c r="I2656" s="29">
        <v>4944.7</v>
      </c>
      <c r="J2656" s="12" t="s">
        <v>31</v>
      </c>
      <c r="K2656" s="76">
        <f t="shared" si="191"/>
        <v>4944.7</v>
      </c>
      <c r="L2656">
        <v>1</v>
      </c>
      <c r="M2656" s="29">
        <v>0</v>
      </c>
      <c r="N2656" t="s">
        <v>42</v>
      </c>
      <c r="O2656" t="s">
        <v>33</v>
      </c>
      <c r="P2656" t="s">
        <v>34</v>
      </c>
      <c r="Q2656" t="s">
        <v>34</v>
      </c>
      <c r="R2656" t="s">
        <v>34</v>
      </c>
      <c r="S2656" t="s">
        <v>34</v>
      </c>
      <c r="T2656" s="117">
        <v>0</v>
      </c>
      <c r="U2656" s="209" t="s">
        <v>790</v>
      </c>
    </row>
    <row r="2657" spans="1:21" x14ac:dyDescent="0.35">
      <c r="A2657" t="s">
        <v>20</v>
      </c>
      <c r="B2657" t="s">
        <v>25</v>
      </c>
      <c r="C2657" s="1">
        <v>45665</v>
      </c>
      <c r="D2657">
        <f t="shared" si="192"/>
        <v>8</v>
      </c>
      <c r="E2657">
        <f t="shared" si="193"/>
        <v>1</v>
      </c>
      <c r="F2657">
        <f t="shared" si="194"/>
        <v>2025</v>
      </c>
      <c r="G2657" t="s">
        <v>50</v>
      </c>
      <c r="H2657" s="98">
        <v>11920</v>
      </c>
      <c r="I2657" s="29">
        <v>3408.6</v>
      </c>
      <c r="J2657" s="12" t="s">
        <v>31</v>
      </c>
      <c r="K2657" s="76">
        <f t="shared" si="191"/>
        <v>3408.6</v>
      </c>
      <c r="L2657">
        <v>1</v>
      </c>
      <c r="M2657" s="29">
        <v>0</v>
      </c>
      <c r="N2657" t="s">
        <v>42</v>
      </c>
      <c r="O2657" t="s">
        <v>33</v>
      </c>
      <c r="P2657" t="s">
        <v>34</v>
      </c>
      <c r="Q2657" t="s">
        <v>34</v>
      </c>
      <c r="R2657" t="s">
        <v>34</v>
      </c>
      <c r="S2657" t="s">
        <v>34</v>
      </c>
      <c r="T2657" s="117">
        <v>0</v>
      </c>
    </row>
    <row r="2658" spans="1:21" x14ac:dyDescent="0.35">
      <c r="A2658" t="s">
        <v>20</v>
      </c>
      <c r="B2658" t="s">
        <v>25</v>
      </c>
      <c r="C2658" s="1">
        <v>45665</v>
      </c>
      <c r="D2658">
        <f t="shared" si="192"/>
        <v>8</v>
      </c>
      <c r="E2658">
        <f t="shared" si="193"/>
        <v>1</v>
      </c>
      <c r="F2658">
        <f t="shared" si="194"/>
        <v>2025</v>
      </c>
      <c r="G2658" t="s">
        <v>50</v>
      </c>
      <c r="H2658" s="171">
        <v>11920</v>
      </c>
      <c r="I2658" s="29">
        <v>2691</v>
      </c>
      <c r="J2658" s="12" t="s">
        <v>31</v>
      </c>
      <c r="K2658" s="76">
        <f t="shared" si="191"/>
        <v>2691</v>
      </c>
      <c r="L2658">
        <v>1</v>
      </c>
      <c r="M2658" s="29">
        <v>0</v>
      </c>
      <c r="N2658" t="s">
        <v>42</v>
      </c>
      <c r="O2658" t="s">
        <v>33</v>
      </c>
      <c r="P2658" t="s">
        <v>34</v>
      </c>
      <c r="Q2658" t="s">
        <v>34</v>
      </c>
      <c r="R2658" t="s">
        <v>34</v>
      </c>
      <c r="S2658" t="s">
        <v>34</v>
      </c>
      <c r="T2658" s="117">
        <v>0</v>
      </c>
      <c r="U2658" s="209" t="s">
        <v>791</v>
      </c>
    </row>
    <row r="2659" spans="1:21" x14ac:dyDescent="0.35">
      <c r="A2659" t="s">
        <v>20</v>
      </c>
      <c r="B2659" t="s">
        <v>24</v>
      </c>
      <c r="C2659" s="1">
        <v>45665</v>
      </c>
      <c r="D2659">
        <f t="shared" si="192"/>
        <v>8</v>
      </c>
      <c r="E2659">
        <f t="shared" si="193"/>
        <v>1</v>
      </c>
      <c r="F2659">
        <f t="shared" si="194"/>
        <v>2025</v>
      </c>
      <c r="G2659" t="s">
        <v>50</v>
      </c>
      <c r="H2659" s="171">
        <v>11928</v>
      </c>
      <c r="I2659" s="29">
        <v>1152</v>
      </c>
      <c r="J2659" s="12" t="s">
        <v>31</v>
      </c>
      <c r="K2659" s="76">
        <f t="shared" si="191"/>
        <v>1152</v>
      </c>
      <c r="L2659">
        <v>1</v>
      </c>
      <c r="M2659" s="29">
        <v>0</v>
      </c>
      <c r="N2659" t="s">
        <v>42</v>
      </c>
      <c r="O2659" t="s">
        <v>33</v>
      </c>
      <c r="P2659" t="s">
        <v>34</v>
      </c>
      <c r="Q2659" t="s">
        <v>34</v>
      </c>
      <c r="R2659" t="s">
        <v>34</v>
      </c>
      <c r="S2659" t="s">
        <v>34</v>
      </c>
      <c r="T2659" s="117">
        <v>0</v>
      </c>
    </row>
    <row r="2660" spans="1:21" x14ac:dyDescent="0.35">
      <c r="A2660" t="s">
        <v>20</v>
      </c>
      <c r="B2660" t="s">
        <v>24</v>
      </c>
      <c r="C2660" s="1">
        <v>45665</v>
      </c>
      <c r="D2660">
        <f t="shared" si="192"/>
        <v>8</v>
      </c>
      <c r="E2660">
        <f t="shared" si="193"/>
        <v>1</v>
      </c>
      <c r="F2660">
        <f t="shared" si="194"/>
        <v>2025</v>
      </c>
      <c r="G2660" t="s">
        <v>50</v>
      </c>
      <c r="H2660" s="98">
        <v>11710</v>
      </c>
      <c r="I2660" s="29">
        <v>3446</v>
      </c>
      <c r="J2660" s="12" t="s">
        <v>31</v>
      </c>
      <c r="K2660" s="76">
        <f t="shared" si="191"/>
        <v>3446</v>
      </c>
      <c r="L2660">
        <v>1</v>
      </c>
      <c r="M2660" s="29">
        <v>0</v>
      </c>
      <c r="N2660" t="s">
        <v>42</v>
      </c>
      <c r="O2660" t="s">
        <v>33</v>
      </c>
      <c r="P2660" t="s">
        <v>34</v>
      </c>
      <c r="Q2660" t="s">
        <v>34</v>
      </c>
      <c r="R2660" t="s">
        <v>34</v>
      </c>
      <c r="S2660" t="s">
        <v>34</v>
      </c>
      <c r="T2660" s="117">
        <v>0</v>
      </c>
      <c r="U2660" s="209" t="s">
        <v>832</v>
      </c>
    </row>
    <row r="2661" spans="1:21" x14ac:dyDescent="0.35">
      <c r="A2661" t="s">
        <v>20</v>
      </c>
      <c r="B2661" t="s">
        <v>23</v>
      </c>
      <c r="C2661" s="1">
        <v>45665</v>
      </c>
      <c r="D2661">
        <f t="shared" si="192"/>
        <v>8</v>
      </c>
      <c r="E2661">
        <f t="shared" si="193"/>
        <v>1</v>
      </c>
      <c r="F2661">
        <f t="shared" si="194"/>
        <v>2025</v>
      </c>
      <c r="G2661" t="s">
        <v>595</v>
      </c>
      <c r="H2661" s="98">
        <v>11464</v>
      </c>
      <c r="I2661" s="29">
        <v>6278.61</v>
      </c>
      <c r="J2661" s="12" t="s">
        <v>31</v>
      </c>
      <c r="K2661" s="76">
        <f t="shared" si="191"/>
        <v>6278.61</v>
      </c>
      <c r="L2661">
        <v>1</v>
      </c>
      <c r="M2661" s="29">
        <v>0</v>
      </c>
      <c r="N2661" t="s">
        <v>32</v>
      </c>
      <c r="O2661" t="s">
        <v>33</v>
      </c>
      <c r="P2661" t="s">
        <v>34</v>
      </c>
      <c r="Q2661" t="s">
        <v>34</v>
      </c>
      <c r="R2661" t="s">
        <v>34</v>
      </c>
      <c r="S2661" t="s">
        <v>34</v>
      </c>
      <c r="T2661" s="117">
        <v>0</v>
      </c>
    </row>
    <row r="2662" spans="1:21" x14ac:dyDescent="0.35">
      <c r="A2662" t="s">
        <v>20</v>
      </c>
      <c r="B2662" t="s">
        <v>25</v>
      </c>
      <c r="C2662" s="1">
        <v>45665</v>
      </c>
      <c r="D2662">
        <f t="shared" si="192"/>
        <v>8</v>
      </c>
      <c r="E2662">
        <f t="shared" si="193"/>
        <v>1</v>
      </c>
      <c r="F2662">
        <f t="shared" si="194"/>
        <v>2025</v>
      </c>
      <c r="G2662" t="s">
        <v>87</v>
      </c>
      <c r="H2662" s="98">
        <v>11317</v>
      </c>
      <c r="I2662" s="29">
        <v>448.2</v>
      </c>
      <c r="J2662" s="12" t="s">
        <v>31</v>
      </c>
      <c r="K2662" s="76">
        <f t="shared" si="191"/>
        <v>448.2</v>
      </c>
      <c r="L2662">
        <v>1</v>
      </c>
      <c r="M2662" s="29">
        <v>0</v>
      </c>
      <c r="N2662" t="s">
        <v>32</v>
      </c>
      <c r="O2662" t="s">
        <v>33</v>
      </c>
      <c r="P2662" t="s">
        <v>34</v>
      </c>
      <c r="Q2662" t="s">
        <v>34</v>
      </c>
      <c r="R2662" t="s">
        <v>34</v>
      </c>
      <c r="S2662" t="s">
        <v>34</v>
      </c>
      <c r="T2662" s="117">
        <v>0</v>
      </c>
    </row>
    <row r="2663" spans="1:21" x14ac:dyDescent="0.35">
      <c r="A2663" t="s">
        <v>20</v>
      </c>
      <c r="B2663" t="s">
        <v>23</v>
      </c>
      <c r="C2663" s="1">
        <v>45665</v>
      </c>
      <c r="D2663">
        <f t="shared" si="192"/>
        <v>8</v>
      </c>
      <c r="E2663">
        <f t="shared" si="193"/>
        <v>1</v>
      </c>
      <c r="F2663">
        <f t="shared" si="194"/>
        <v>2025</v>
      </c>
      <c r="G2663" t="s">
        <v>121</v>
      </c>
      <c r="H2663" s="98">
        <v>10929</v>
      </c>
      <c r="I2663" s="29">
        <v>9109.66</v>
      </c>
      <c r="J2663" s="12" t="s">
        <v>31</v>
      </c>
      <c r="K2663" s="76">
        <f t="shared" si="191"/>
        <v>9109.66</v>
      </c>
      <c r="L2663">
        <v>1</v>
      </c>
      <c r="M2663" s="29">
        <v>0</v>
      </c>
      <c r="N2663" t="s">
        <v>32</v>
      </c>
      <c r="O2663" t="s">
        <v>33</v>
      </c>
      <c r="P2663" t="s">
        <v>34</v>
      </c>
      <c r="Q2663" t="s">
        <v>34</v>
      </c>
      <c r="R2663" t="s">
        <v>34</v>
      </c>
      <c r="S2663" t="s">
        <v>34</v>
      </c>
      <c r="T2663" s="117">
        <v>0</v>
      </c>
    </row>
    <row r="2664" spans="1:21" x14ac:dyDescent="0.35">
      <c r="A2664" t="s">
        <v>20</v>
      </c>
      <c r="B2664" t="s">
        <v>23</v>
      </c>
      <c r="C2664" s="1">
        <v>45665</v>
      </c>
      <c r="D2664">
        <f t="shared" si="192"/>
        <v>8</v>
      </c>
      <c r="E2664">
        <f t="shared" si="193"/>
        <v>1</v>
      </c>
      <c r="F2664">
        <f t="shared" si="194"/>
        <v>2025</v>
      </c>
      <c r="G2664" t="s">
        <v>121</v>
      </c>
      <c r="H2664" s="98">
        <v>10928</v>
      </c>
      <c r="I2664" s="29">
        <v>67</v>
      </c>
      <c r="J2664" s="12" t="s">
        <v>31</v>
      </c>
      <c r="K2664" s="76">
        <f t="shared" si="191"/>
        <v>67</v>
      </c>
      <c r="L2664">
        <v>1</v>
      </c>
      <c r="M2664" s="29">
        <v>0</v>
      </c>
      <c r="N2664" t="s">
        <v>32</v>
      </c>
      <c r="O2664" t="s">
        <v>33</v>
      </c>
      <c r="P2664" t="s">
        <v>34</v>
      </c>
      <c r="Q2664" t="s">
        <v>34</v>
      </c>
      <c r="R2664" t="s">
        <v>34</v>
      </c>
      <c r="S2664" t="s">
        <v>34</v>
      </c>
      <c r="T2664" s="117">
        <v>0</v>
      </c>
    </row>
    <row r="2665" spans="1:21" x14ac:dyDescent="0.35">
      <c r="A2665" t="s">
        <v>20</v>
      </c>
      <c r="B2665" t="s">
        <v>25</v>
      </c>
      <c r="C2665" s="1">
        <v>45665</v>
      </c>
      <c r="D2665">
        <f t="shared" si="192"/>
        <v>8</v>
      </c>
      <c r="E2665">
        <f t="shared" si="193"/>
        <v>1</v>
      </c>
      <c r="F2665">
        <f t="shared" si="194"/>
        <v>2025</v>
      </c>
      <c r="G2665" t="s">
        <v>121</v>
      </c>
      <c r="H2665" s="98">
        <v>11311</v>
      </c>
      <c r="I2665" s="29">
        <v>132</v>
      </c>
      <c r="J2665" s="12" t="s">
        <v>31</v>
      </c>
      <c r="K2665" s="76">
        <f t="shared" si="191"/>
        <v>132</v>
      </c>
      <c r="L2665">
        <v>1</v>
      </c>
      <c r="M2665" s="29">
        <v>0</v>
      </c>
      <c r="N2665" t="s">
        <v>32</v>
      </c>
      <c r="O2665" t="s">
        <v>33</v>
      </c>
      <c r="P2665" t="s">
        <v>34</v>
      </c>
      <c r="Q2665" t="s">
        <v>34</v>
      </c>
      <c r="R2665" t="s">
        <v>34</v>
      </c>
      <c r="S2665" t="s">
        <v>34</v>
      </c>
      <c r="T2665" s="117">
        <v>0</v>
      </c>
    </row>
    <row r="2666" spans="1:21" x14ac:dyDescent="0.35">
      <c r="A2666" t="s">
        <v>20</v>
      </c>
      <c r="B2666" t="s">
        <v>23</v>
      </c>
      <c r="C2666" s="1">
        <v>45665</v>
      </c>
      <c r="D2666">
        <f t="shared" si="192"/>
        <v>8</v>
      </c>
      <c r="E2666">
        <f t="shared" si="193"/>
        <v>1</v>
      </c>
      <c r="F2666">
        <f t="shared" si="194"/>
        <v>2025</v>
      </c>
      <c r="G2666" t="s">
        <v>82</v>
      </c>
      <c r="H2666" s="98">
        <v>11431</v>
      </c>
      <c r="I2666" s="29">
        <v>73924.070000000007</v>
      </c>
      <c r="J2666" s="12" t="s">
        <v>31</v>
      </c>
      <c r="K2666" s="76">
        <f t="shared" si="191"/>
        <v>73924.070000000007</v>
      </c>
      <c r="L2666">
        <v>1</v>
      </c>
      <c r="M2666" s="29">
        <v>0</v>
      </c>
      <c r="N2666" t="s">
        <v>32</v>
      </c>
      <c r="O2666" t="s">
        <v>33</v>
      </c>
      <c r="P2666" t="s">
        <v>34</v>
      </c>
      <c r="Q2666" t="s">
        <v>34</v>
      </c>
      <c r="R2666" t="s">
        <v>34</v>
      </c>
      <c r="S2666" t="s">
        <v>34</v>
      </c>
      <c r="T2666" s="117">
        <v>0</v>
      </c>
    </row>
    <row r="2667" spans="1:21" x14ac:dyDescent="0.35">
      <c r="A2667" t="s">
        <v>20</v>
      </c>
      <c r="B2667" t="s">
        <v>24</v>
      </c>
      <c r="C2667" s="1">
        <v>45665</v>
      </c>
      <c r="D2667">
        <f t="shared" si="192"/>
        <v>8</v>
      </c>
      <c r="E2667">
        <f t="shared" si="193"/>
        <v>1</v>
      </c>
      <c r="F2667">
        <f t="shared" si="194"/>
        <v>2025</v>
      </c>
      <c r="G2667" t="s">
        <v>82</v>
      </c>
      <c r="H2667" s="98">
        <v>11077</v>
      </c>
      <c r="I2667" s="29">
        <v>12608.33</v>
      </c>
      <c r="J2667" s="12" t="s">
        <v>31</v>
      </c>
      <c r="K2667" s="76">
        <f t="shared" si="191"/>
        <v>12608.33</v>
      </c>
      <c r="L2667">
        <v>1</v>
      </c>
      <c r="M2667" s="29">
        <v>0</v>
      </c>
      <c r="N2667" t="s">
        <v>32</v>
      </c>
      <c r="O2667" t="s">
        <v>33</v>
      </c>
      <c r="P2667" t="s">
        <v>34</v>
      </c>
      <c r="Q2667" t="s">
        <v>34</v>
      </c>
      <c r="R2667" t="s">
        <v>34</v>
      </c>
      <c r="S2667" t="s">
        <v>34</v>
      </c>
      <c r="T2667" s="117">
        <v>0</v>
      </c>
    </row>
    <row r="2668" spans="1:21" x14ac:dyDescent="0.35">
      <c r="A2668" t="s">
        <v>20</v>
      </c>
      <c r="B2668" t="s">
        <v>21</v>
      </c>
      <c r="C2668" s="1">
        <v>45665</v>
      </c>
      <c r="D2668">
        <f t="shared" si="192"/>
        <v>8</v>
      </c>
      <c r="E2668">
        <f t="shared" si="193"/>
        <v>1</v>
      </c>
      <c r="F2668">
        <f t="shared" si="194"/>
        <v>2025</v>
      </c>
      <c r="G2668" t="s">
        <v>82</v>
      </c>
      <c r="H2668" s="98">
        <v>11371</v>
      </c>
      <c r="I2668" s="29">
        <v>8476.33</v>
      </c>
      <c r="J2668" s="12" t="s">
        <v>31</v>
      </c>
      <c r="K2668" s="76">
        <f t="shared" si="191"/>
        <v>8476.33</v>
      </c>
      <c r="L2668">
        <v>1</v>
      </c>
      <c r="M2668" s="29">
        <v>0</v>
      </c>
      <c r="N2668" t="s">
        <v>32</v>
      </c>
      <c r="O2668" t="s">
        <v>33</v>
      </c>
      <c r="P2668" t="s">
        <v>34</v>
      </c>
      <c r="Q2668" t="s">
        <v>34</v>
      </c>
      <c r="R2668" t="s">
        <v>34</v>
      </c>
      <c r="S2668" t="s">
        <v>34</v>
      </c>
      <c r="T2668" s="117">
        <v>0</v>
      </c>
    </row>
    <row r="2669" spans="1:21" x14ac:dyDescent="0.35">
      <c r="A2669" t="s">
        <v>20</v>
      </c>
      <c r="B2669" t="s">
        <v>21</v>
      </c>
      <c r="C2669" s="1">
        <v>45665</v>
      </c>
      <c r="D2669">
        <f t="shared" si="192"/>
        <v>8</v>
      </c>
      <c r="E2669">
        <f t="shared" si="193"/>
        <v>1</v>
      </c>
      <c r="F2669">
        <f t="shared" si="194"/>
        <v>2025</v>
      </c>
      <c r="G2669" t="s">
        <v>82</v>
      </c>
      <c r="H2669" s="98">
        <v>11326</v>
      </c>
      <c r="I2669" s="29">
        <v>192</v>
      </c>
      <c r="J2669" s="12" t="s">
        <v>31</v>
      </c>
      <c r="K2669" s="76">
        <f t="shared" si="191"/>
        <v>192</v>
      </c>
      <c r="L2669">
        <v>1</v>
      </c>
      <c r="M2669" s="29">
        <v>0</v>
      </c>
      <c r="N2669" t="s">
        <v>32</v>
      </c>
      <c r="O2669" t="s">
        <v>33</v>
      </c>
      <c r="P2669" t="s">
        <v>34</v>
      </c>
      <c r="Q2669" t="s">
        <v>34</v>
      </c>
      <c r="R2669" t="s">
        <v>34</v>
      </c>
      <c r="S2669" t="s">
        <v>34</v>
      </c>
      <c r="T2669" s="117">
        <v>0</v>
      </c>
    </row>
    <row r="2670" spans="1:21" x14ac:dyDescent="0.35">
      <c r="A2670" t="s">
        <v>20</v>
      </c>
      <c r="B2670" t="s">
        <v>23</v>
      </c>
      <c r="C2670" s="1">
        <v>45665</v>
      </c>
      <c r="D2670">
        <f t="shared" si="192"/>
        <v>8</v>
      </c>
      <c r="E2670">
        <f t="shared" si="193"/>
        <v>1</v>
      </c>
      <c r="F2670">
        <f t="shared" si="194"/>
        <v>2025</v>
      </c>
      <c r="G2670" t="s">
        <v>82</v>
      </c>
      <c r="H2670" s="98">
        <v>11492</v>
      </c>
      <c r="I2670" s="29">
        <v>28.2</v>
      </c>
      <c r="J2670" s="12" t="s">
        <v>31</v>
      </c>
      <c r="K2670" s="76">
        <f t="shared" si="191"/>
        <v>28.2</v>
      </c>
      <c r="L2670">
        <v>1</v>
      </c>
      <c r="M2670" s="29">
        <v>0</v>
      </c>
      <c r="N2670" t="s">
        <v>32</v>
      </c>
      <c r="O2670" t="s">
        <v>33</v>
      </c>
      <c r="P2670" t="s">
        <v>34</v>
      </c>
      <c r="Q2670" t="s">
        <v>34</v>
      </c>
      <c r="R2670" t="s">
        <v>34</v>
      </c>
      <c r="S2670" t="s">
        <v>34</v>
      </c>
      <c r="T2670" s="117">
        <v>0</v>
      </c>
    </row>
    <row r="2671" spans="1:21" x14ac:dyDescent="0.35">
      <c r="A2671" t="s">
        <v>20</v>
      </c>
      <c r="B2671" t="s">
        <v>23</v>
      </c>
      <c r="C2671" s="1">
        <v>45665</v>
      </c>
      <c r="D2671">
        <f t="shared" si="192"/>
        <v>8</v>
      </c>
      <c r="E2671">
        <f t="shared" si="193"/>
        <v>1</v>
      </c>
      <c r="F2671">
        <f t="shared" si="194"/>
        <v>2025</v>
      </c>
      <c r="G2671" t="s">
        <v>82</v>
      </c>
      <c r="H2671" s="98">
        <v>11432</v>
      </c>
      <c r="I2671" s="29">
        <v>40.200000000000003</v>
      </c>
      <c r="J2671" s="12" t="s">
        <v>31</v>
      </c>
      <c r="K2671" s="76">
        <f t="shared" si="191"/>
        <v>40.200000000000003</v>
      </c>
      <c r="L2671">
        <v>1</v>
      </c>
      <c r="M2671" s="29">
        <v>0</v>
      </c>
      <c r="N2671" t="s">
        <v>32</v>
      </c>
      <c r="O2671" t="s">
        <v>33</v>
      </c>
      <c r="P2671" t="s">
        <v>34</v>
      </c>
      <c r="Q2671" t="s">
        <v>34</v>
      </c>
      <c r="R2671" t="s">
        <v>34</v>
      </c>
      <c r="S2671" t="s">
        <v>34</v>
      </c>
      <c r="T2671" s="117">
        <v>0</v>
      </c>
    </row>
    <row r="2672" spans="1:21" x14ac:dyDescent="0.35">
      <c r="A2672" t="s">
        <v>20</v>
      </c>
      <c r="B2672" t="s">
        <v>25</v>
      </c>
      <c r="C2672" s="1">
        <v>45665</v>
      </c>
      <c r="D2672">
        <f t="shared" si="192"/>
        <v>8</v>
      </c>
      <c r="E2672">
        <f t="shared" si="193"/>
        <v>1</v>
      </c>
      <c r="F2672">
        <f t="shared" si="194"/>
        <v>2025</v>
      </c>
      <c r="G2672" t="s">
        <v>43</v>
      </c>
      <c r="H2672" s="98">
        <v>11572</v>
      </c>
      <c r="I2672" s="29">
        <v>13410</v>
      </c>
      <c r="J2672" s="12" t="s">
        <v>31</v>
      </c>
      <c r="K2672" s="76">
        <f t="shared" si="191"/>
        <v>13410</v>
      </c>
      <c r="L2672">
        <v>1</v>
      </c>
      <c r="M2672" s="29">
        <v>0</v>
      </c>
      <c r="N2672" t="s">
        <v>32</v>
      </c>
      <c r="O2672" t="s">
        <v>33</v>
      </c>
      <c r="P2672" t="s">
        <v>34</v>
      </c>
      <c r="Q2672" t="s">
        <v>34</v>
      </c>
      <c r="R2672" t="s">
        <v>34</v>
      </c>
      <c r="S2672" t="s">
        <v>34</v>
      </c>
      <c r="T2672" s="117">
        <v>0</v>
      </c>
    </row>
    <row r="2673" spans="1:20" x14ac:dyDescent="0.35">
      <c r="A2673" t="s">
        <v>20</v>
      </c>
      <c r="B2673" t="s">
        <v>25</v>
      </c>
      <c r="C2673" s="1">
        <v>45665</v>
      </c>
      <c r="D2673">
        <f t="shared" si="192"/>
        <v>8</v>
      </c>
      <c r="E2673">
        <f t="shared" si="193"/>
        <v>1</v>
      </c>
      <c r="F2673">
        <f t="shared" si="194"/>
        <v>2025</v>
      </c>
      <c r="G2673" t="s">
        <v>43</v>
      </c>
      <c r="H2673" s="98">
        <v>11393</v>
      </c>
      <c r="I2673" s="29">
        <v>82145.3</v>
      </c>
      <c r="J2673" s="12" t="s">
        <v>31</v>
      </c>
      <c r="K2673" s="76">
        <f t="shared" si="191"/>
        <v>82145.3</v>
      </c>
      <c r="L2673">
        <v>1</v>
      </c>
      <c r="M2673" s="29">
        <v>0</v>
      </c>
      <c r="N2673" t="s">
        <v>32</v>
      </c>
      <c r="O2673" t="s">
        <v>33</v>
      </c>
      <c r="P2673" t="s">
        <v>34</v>
      </c>
      <c r="Q2673" t="s">
        <v>34</v>
      </c>
      <c r="R2673" t="s">
        <v>34</v>
      </c>
      <c r="S2673" t="s">
        <v>34</v>
      </c>
      <c r="T2673" s="117">
        <v>0</v>
      </c>
    </row>
    <row r="2674" spans="1:20" x14ac:dyDescent="0.35">
      <c r="A2674" t="s">
        <v>20</v>
      </c>
      <c r="B2674" t="s">
        <v>25</v>
      </c>
      <c r="C2674" s="1">
        <v>45665</v>
      </c>
      <c r="D2674">
        <f t="shared" si="192"/>
        <v>8</v>
      </c>
      <c r="E2674">
        <f t="shared" si="193"/>
        <v>1</v>
      </c>
      <c r="F2674">
        <f t="shared" si="194"/>
        <v>2025</v>
      </c>
      <c r="G2674" t="s">
        <v>43</v>
      </c>
      <c r="H2674" s="98">
        <v>11581</v>
      </c>
      <c r="I2674" s="29">
        <v>135.4</v>
      </c>
      <c r="J2674" s="12" t="s">
        <v>31</v>
      </c>
      <c r="K2674" s="76">
        <f t="shared" si="191"/>
        <v>135.4</v>
      </c>
      <c r="L2674">
        <v>1</v>
      </c>
      <c r="M2674" s="29">
        <v>0</v>
      </c>
      <c r="N2674" t="s">
        <v>32</v>
      </c>
      <c r="O2674" t="s">
        <v>33</v>
      </c>
      <c r="P2674" t="s">
        <v>34</v>
      </c>
      <c r="Q2674" t="s">
        <v>34</v>
      </c>
      <c r="R2674" t="s">
        <v>34</v>
      </c>
      <c r="S2674" t="s">
        <v>34</v>
      </c>
      <c r="T2674" s="117">
        <v>0</v>
      </c>
    </row>
    <row r="2675" spans="1:20" x14ac:dyDescent="0.35">
      <c r="A2675" t="s">
        <v>20</v>
      </c>
      <c r="B2675" t="s">
        <v>21</v>
      </c>
      <c r="C2675" s="1">
        <v>45665</v>
      </c>
      <c r="D2675">
        <f t="shared" si="192"/>
        <v>8</v>
      </c>
      <c r="E2675">
        <f t="shared" si="193"/>
        <v>1</v>
      </c>
      <c r="F2675">
        <f t="shared" si="194"/>
        <v>2025</v>
      </c>
      <c r="G2675" t="s">
        <v>91</v>
      </c>
      <c r="H2675" s="98">
        <v>11198</v>
      </c>
      <c r="I2675" s="29">
        <v>7308.98</v>
      </c>
      <c r="J2675" s="12" t="s">
        <v>31</v>
      </c>
      <c r="K2675" s="76">
        <f t="shared" si="191"/>
        <v>7308.98</v>
      </c>
      <c r="L2675">
        <v>1</v>
      </c>
      <c r="M2675" s="29">
        <v>0</v>
      </c>
      <c r="N2675" t="s">
        <v>32</v>
      </c>
      <c r="O2675" t="s">
        <v>33</v>
      </c>
      <c r="P2675" t="s">
        <v>34</v>
      </c>
      <c r="Q2675" t="s">
        <v>34</v>
      </c>
      <c r="R2675" t="s">
        <v>34</v>
      </c>
      <c r="S2675" t="s">
        <v>34</v>
      </c>
      <c r="T2675" s="117">
        <v>0</v>
      </c>
    </row>
    <row r="2676" spans="1:20" x14ac:dyDescent="0.35">
      <c r="A2676" t="s">
        <v>20</v>
      </c>
      <c r="B2676" t="s">
        <v>21</v>
      </c>
      <c r="C2676" s="1">
        <v>45665</v>
      </c>
      <c r="D2676">
        <f t="shared" si="192"/>
        <v>8</v>
      </c>
      <c r="E2676">
        <f t="shared" si="193"/>
        <v>1</v>
      </c>
      <c r="F2676">
        <f t="shared" si="194"/>
        <v>2025</v>
      </c>
      <c r="G2676" t="s">
        <v>86</v>
      </c>
      <c r="H2676" s="98">
        <v>11202</v>
      </c>
      <c r="I2676" s="29">
        <v>12281.34</v>
      </c>
      <c r="J2676" s="12" t="s">
        <v>31</v>
      </c>
      <c r="K2676" s="76">
        <f t="shared" si="191"/>
        <v>12281.34</v>
      </c>
      <c r="L2676">
        <v>1</v>
      </c>
      <c r="M2676" s="29">
        <v>0</v>
      </c>
      <c r="N2676" t="s">
        <v>32</v>
      </c>
      <c r="O2676" t="s">
        <v>33</v>
      </c>
      <c r="P2676" t="s">
        <v>34</v>
      </c>
      <c r="Q2676" t="s">
        <v>34</v>
      </c>
      <c r="R2676" t="s">
        <v>34</v>
      </c>
      <c r="S2676" t="s">
        <v>34</v>
      </c>
      <c r="T2676" s="117">
        <v>0</v>
      </c>
    </row>
    <row r="2677" spans="1:20" x14ac:dyDescent="0.35">
      <c r="A2677" t="s">
        <v>20</v>
      </c>
      <c r="B2677" t="s">
        <v>21</v>
      </c>
      <c r="C2677" s="1">
        <v>45665</v>
      </c>
      <c r="D2677">
        <f t="shared" si="192"/>
        <v>8</v>
      </c>
      <c r="E2677">
        <f t="shared" si="193"/>
        <v>1</v>
      </c>
      <c r="F2677">
        <f t="shared" si="194"/>
        <v>2025</v>
      </c>
      <c r="G2677" t="s">
        <v>86</v>
      </c>
      <c r="H2677" s="98">
        <v>11184</v>
      </c>
      <c r="I2677" s="29">
        <v>139.54</v>
      </c>
      <c r="J2677" s="12" t="s">
        <v>31</v>
      </c>
      <c r="K2677" s="76">
        <f t="shared" si="191"/>
        <v>139.54</v>
      </c>
      <c r="L2677">
        <v>1</v>
      </c>
      <c r="M2677" s="29">
        <v>0</v>
      </c>
      <c r="N2677" t="s">
        <v>32</v>
      </c>
      <c r="O2677" t="s">
        <v>33</v>
      </c>
      <c r="P2677" t="s">
        <v>34</v>
      </c>
      <c r="Q2677" t="s">
        <v>34</v>
      </c>
      <c r="R2677" t="s">
        <v>34</v>
      </c>
      <c r="S2677" t="s">
        <v>34</v>
      </c>
      <c r="T2677" s="117">
        <v>0</v>
      </c>
    </row>
    <row r="2678" spans="1:20" x14ac:dyDescent="0.35">
      <c r="A2678" t="s">
        <v>20</v>
      </c>
      <c r="B2678" t="s">
        <v>21</v>
      </c>
      <c r="C2678" s="1">
        <v>45665</v>
      </c>
      <c r="D2678">
        <f t="shared" si="192"/>
        <v>8</v>
      </c>
      <c r="E2678">
        <f t="shared" si="193"/>
        <v>1</v>
      </c>
      <c r="F2678">
        <f t="shared" si="194"/>
        <v>2025</v>
      </c>
      <c r="G2678" t="s">
        <v>88</v>
      </c>
      <c r="H2678" s="98">
        <v>11329</v>
      </c>
      <c r="I2678" s="29">
        <v>8841.5400000000009</v>
      </c>
      <c r="J2678" s="12" t="s">
        <v>31</v>
      </c>
      <c r="K2678" s="76">
        <f t="shared" si="191"/>
        <v>8841.5400000000009</v>
      </c>
      <c r="L2678">
        <v>1</v>
      </c>
      <c r="M2678" s="29">
        <v>0</v>
      </c>
      <c r="N2678" t="s">
        <v>32</v>
      </c>
      <c r="O2678" t="s">
        <v>33</v>
      </c>
      <c r="P2678" t="s">
        <v>34</v>
      </c>
      <c r="Q2678" t="s">
        <v>34</v>
      </c>
      <c r="R2678" t="s">
        <v>34</v>
      </c>
      <c r="S2678" t="s">
        <v>34</v>
      </c>
      <c r="T2678" s="117">
        <v>0</v>
      </c>
    </row>
    <row r="2679" spans="1:20" x14ac:dyDescent="0.35">
      <c r="A2679" t="s">
        <v>20</v>
      </c>
      <c r="B2679" t="s">
        <v>21</v>
      </c>
      <c r="C2679" s="1">
        <v>45665</v>
      </c>
      <c r="D2679">
        <f t="shared" si="192"/>
        <v>8</v>
      </c>
      <c r="E2679">
        <f t="shared" si="193"/>
        <v>1</v>
      </c>
      <c r="F2679">
        <f t="shared" si="194"/>
        <v>2025</v>
      </c>
      <c r="G2679" t="s">
        <v>88</v>
      </c>
      <c r="H2679" s="98">
        <v>11328</v>
      </c>
      <c r="I2679" s="29">
        <v>161.6</v>
      </c>
      <c r="J2679" s="12" t="s">
        <v>31</v>
      </c>
      <c r="K2679" s="76">
        <f t="shared" si="191"/>
        <v>161.6</v>
      </c>
      <c r="L2679">
        <v>1</v>
      </c>
      <c r="M2679" s="29">
        <v>0</v>
      </c>
      <c r="N2679" t="s">
        <v>32</v>
      </c>
      <c r="O2679" t="s">
        <v>33</v>
      </c>
      <c r="P2679" t="s">
        <v>34</v>
      </c>
      <c r="Q2679" t="s">
        <v>34</v>
      </c>
      <c r="R2679" t="s">
        <v>34</v>
      </c>
      <c r="S2679" t="s">
        <v>34</v>
      </c>
      <c r="T2679" s="117">
        <v>0</v>
      </c>
    </row>
    <row r="2680" spans="1:20" x14ac:dyDescent="0.35">
      <c r="A2680" t="s">
        <v>20</v>
      </c>
      <c r="B2680" t="s">
        <v>24</v>
      </c>
      <c r="C2680" s="1">
        <v>45665</v>
      </c>
      <c r="D2680">
        <f t="shared" si="192"/>
        <v>8</v>
      </c>
      <c r="E2680">
        <f t="shared" si="193"/>
        <v>1</v>
      </c>
      <c r="F2680">
        <f t="shared" si="194"/>
        <v>2025</v>
      </c>
      <c r="G2680" t="s">
        <v>85</v>
      </c>
      <c r="H2680" s="98">
        <v>11491</v>
      </c>
      <c r="I2680" s="29">
        <v>36722.29</v>
      </c>
      <c r="J2680" s="12" t="s">
        <v>31</v>
      </c>
      <c r="K2680" s="76">
        <f t="shared" si="191"/>
        <v>36722.29</v>
      </c>
      <c r="L2680">
        <v>1</v>
      </c>
      <c r="M2680" s="29">
        <v>0</v>
      </c>
      <c r="N2680" t="s">
        <v>42</v>
      </c>
      <c r="O2680" t="s">
        <v>33</v>
      </c>
      <c r="P2680" t="s">
        <v>34</v>
      </c>
      <c r="Q2680" t="s">
        <v>34</v>
      </c>
      <c r="R2680" t="s">
        <v>34</v>
      </c>
      <c r="S2680" t="s">
        <v>34</v>
      </c>
      <c r="T2680" s="117">
        <v>0</v>
      </c>
    </row>
    <row r="2681" spans="1:20" x14ac:dyDescent="0.35">
      <c r="A2681" t="s">
        <v>20</v>
      </c>
      <c r="B2681" t="s">
        <v>25</v>
      </c>
      <c r="C2681" s="1">
        <v>45665</v>
      </c>
      <c r="D2681">
        <f t="shared" si="192"/>
        <v>8</v>
      </c>
      <c r="E2681">
        <f t="shared" si="193"/>
        <v>1</v>
      </c>
      <c r="F2681">
        <f t="shared" si="194"/>
        <v>2025</v>
      </c>
      <c r="G2681" t="s">
        <v>321</v>
      </c>
      <c r="H2681" s="98">
        <v>11949</v>
      </c>
      <c r="I2681" s="29">
        <v>7815</v>
      </c>
      <c r="J2681" s="12" t="s">
        <v>31</v>
      </c>
      <c r="K2681" s="76">
        <f t="shared" si="191"/>
        <v>7815</v>
      </c>
      <c r="L2681">
        <v>1</v>
      </c>
      <c r="M2681" s="29">
        <v>0</v>
      </c>
      <c r="N2681" t="s">
        <v>42</v>
      </c>
      <c r="O2681" t="s">
        <v>33</v>
      </c>
      <c r="P2681" t="s">
        <v>34</v>
      </c>
      <c r="Q2681" t="s">
        <v>34</v>
      </c>
      <c r="R2681" t="s">
        <v>34</v>
      </c>
      <c r="S2681" t="s">
        <v>34</v>
      </c>
      <c r="T2681" s="117">
        <v>0</v>
      </c>
    </row>
    <row r="2682" spans="1:20" x14ac:dyDescent="0.35">
      <c r="A2682" t="s">
        <v>20</v>
      </c>
      <c r="B2682" t="s">
        <v>23</v>
      </c>
      <c r="C2682" s="1">
        <v>45665</v>
      </c>
      <c r="D2682">
        <f t="shared" si="192"/>
        <v>8</v>
      </c>
      <c r="E2682">
        <f t="shared" si="193"/>
        <v>1</v>
      </c>
      <c r="F2682">
        <f t="shared" si="194"/>
        <v>2025</v>
      </c>
      <c r="G2682" t="s">
        <v>97</v>
      </c>
      <c r="H2682" s="98">
        <v>11676</v>
      </c>
      <c r="I2682" s="29">
        <v>9518.81</v>
      </c>
      <c r="J2682" s="12" t="s">
        <v>31</v>
      </c>
      <c r="K2682" s="76">
        <f t="shared" si="191"/>
        <v>9518.81</v>
      </c>
      <c r="L2682">
        <v>1</v>
      </c>
      <c r="M2682" s="29">
        <v>0</v>
      </c>
      <c r="N2682" t="s">
        <v>32</v>
      </c>
      <c r="O2682" t="s">
        <v>33</v>
      </c>
      <c r="P2682" t="s">
        <v>34</v>
      </c>
      <c r="Q2682" t="s">
        <v>34</v>
      </c>
      <c r="R2682" t="s">
        <v>34</v>
      </c>
      <c r="S2682" t="s">
        <v>34</v>
      </c>
      <c r="T2682" s="117">
        <v>0</v>
      </c>
    </row>
    <row r="2683" spans="1:20" x14ac:dyDescent="0.35">
      <c r="A2683" t="s">
        <v>20</v>
      </c>
      <c r="B2683" t="s">
        <v>25</v>
      </c>
      <c r="C2683" s="1">
        <v>45665</v>
      </c>
      <c r="D2683">
        <f t="shared" si="192"/>
        <v>8</v>
      </c>
      <c r="E2683">
        <f t="shared" si="193"/>
        <v>1</v>
      </c>
      <c r="F2683">
        <f t="shared" si="194"/>
        <v>2025</v>
      </c>
      <c r="G2683" t="s">
        <v>97</v>
      </c>
      <c r="H2683" s="98">
        <v>11676</v>
      </c>
      <c r="I2683" s="29">
        <v>65422.080000000002</v>
      </c>
      <c r="J2683" s="12" t="s">
        <v>31</v>
      </c>
      <c r="K2683" s="76">
        <f t="shared" si="191"/>
        <v>65422.080000000002</v>
      </c>
      <c r="L2683">
        <v>1</v>
      </c>
      <c r="M2683" s="29">
        <v>0</v>
      </c>
      <c r="N2683" t="s">
        <v>32</v>
      </c>
      <c r="O2683" t="s">
        <v>33</v>
      </c>
      <c r="P2683" t="s">
        <v>34</v>
      </c>
      <c r="Q2683" t="s">
        <v>34</v>
      </c>
      <c r="R2683" t="s">
        <v>34</v>
      </c>
      <c r="S2683" t="s">
        <v>34</v>
      </c>
      <c r="T2683" s="117">
        <v>0</v>
      </c>
    </row>
    <row r="2684" spans="1:20" x14ac:dyDescent="0.35">
      <c r="A2684" t="s">
        <v>20</v>
      </c>
      <c r="B2684" t="s">
        <v>21</v>
      </c>
      <c r="C2684" s="1">
        <v>45665</v>
      </c>
      <c r="D2684">
        <f t="shared" si="192"/>
        <v>8</v>
      </c>
      <c r="E2684">
        <f t="shared" si="193"/>
        <v>1</v>
      </c>
      <c r="F2684">
        <f t="shared" si="194"/>
        <v>2025</v>
      </c>
      <c r="G2684" t="s">
        <v>97</v>
      </c>
      <c r="H2684" s="98">
        <v>11676</v>
      </c>
      <c r="I2684" s="29">
        <v>11509.24</v>
      </c>
      <c r="J2684" s="12" t="s">
        <v>31</v>
      </c>
      <c r="K2684" s="76">
        <f t="shared" si="191"/>
        <v>11509.24</v>
      </c>
      <c r="L2684">
        <v>1</v>
      </c>
      <c r="M2684" s="29">
        <v>0</v>
      </c>
      <c r="N2684" t="s">
        <v>32</v>
      </c>
      <c r="O2684" t="s">
        <v>33</v>
      </c>
      <c r="P2684" t="s">
        <v>34</v>
      </c>
      <c r="Q2684" t="s">
        <v>34</v>
      </c>
      <c r="R2684" t="s">
        <v>34</v>
      </c>
      <c r="S2684" t="s">
        <v>34</v>
      </c>
      <c r="T2684" s="117">
        <v>0</v>
      </c>
    </row>
    <row r="2685" spans="1:20" x14ac:dyDescent="0.35">
      <c r="A2685" t="s">
        <v>20</v>
      </c>
      <c r="B2685" t="s">
        <v>23</v>
      </c>
      <c r="C2685" s="1">
        <v>45665</v>
      </c>
      <c r="D2685">
        <f t="shared" si="192"/>
        <v>8</v>
      </c>
      <c r="E2685">
        <f t="shared" si="193"/>
        <v>1</v>
      </c>
      <c r="F2685">
        <f t="shared" si="194"/>
        <v>2025</v>
      </c>
      <c r="G2685" t="s">
        <v>97</v>
      </c>
      <c r="H2685" s="98">
        <v>11769</v>
      </c>
      <c r="I2685" s="29">
        <v>57784.68</v>
      </c>
      <c r="J2685" s="12" t="s">
        <v>31</v>
      </c>
      <c r="K2685" s="76">
        <f t="shared" si="191"/>
        <v>57784.68</v>
      </c>
      <c r="L2685">
        <v>1</v>
      </c>
      <c r="M2685" s="29">
        <v>0</v>
      </c>
      <c r="N2685" t="s">
        <v>32</v>
      </c>
      <c r="O2685" t="s">
        <v>33</v>
      </c>
      <c r="P2685" t="s">
        <v>34</v>
      </c>
      <c r="Q2685" t="s">
        <v>34</v>
      </c>
      <c r="R2685" t="s">
        <v>34</v>
      </c>
      <c r="S2685" t="s">
        <v>34</v>
      </c>
      <c r="T2685" s="117">
        <v>0</v>
      </c>
    </row>
    <row r="2686" spans="1:20" x14ac:dyDescent="0.35">
      <c r="A2686" t="s">
        <v>20</v>
      </c>
      <c r="B2686" t="s">
        <v>25</v>
      </c>
      <c r="C2686" s="1">
        <v>45665</v>
      </c>
      <c r="D2686">
        <f t="shared" si="192"/>
        <v>8</v>
      </c>
      <c r="E2686">
        <f t="shared" si="193"/>
        <v>1</v>
      </c>
      <c r="F2686">
        <f t="shared" si="194"/>
        <v>2025</v>
      </c>
      <c r="G2686" t="s">
        <v>97</v>
      </c>
      <c r="H2686" s="98">
        <v>11769</v>
      </c>
      <c r="I2686" s="29">
        <v>12067.19</v>
      </c>
      <c r="J2686" s="12" t="s">
        <v>31</v>
      </c>
      <c r="K2686" s="76">
        <f t="shared" si="191"/>
        <v>12067.19</v>
      </c>
      <c r="L2686">
        <v>1</v>
      </c>
      <c r="M2686" s="29">
        <v>0</v>
      </c>
      <c r="N2686" t="s">
        <v>32</v>
      </c>
      <c r="O2686" t="s">
        <v>33</v>
      </c>
      <c r="P2686" t="s">
        <v>34</v>
      </c>
      <c r="Q2686" t="s">
        <v>34</v>
      </c>
      <c r="R2686" t="s">
        <v>34</v>
      </c>
      <c r="S2686" t="s">
        <v>34</v>
      </c>
      <c r="T2686" s="117">
        <v>0</v>
      </c>
    </row>
    <row r="2687" spans="1:20" x14ac:dyDescent="0.35">
      <c r="A2687" t="s">
        <v>20</v>
      </c>
      <c r="B2687" t="s">
        <v>21</v>
      </c>
      <c r="C2687" s="1">
        <v>45665</v>
      </c>
      <c r="D2687">
        <f t="shared" si="192"/>
        <v>8</v>
      </c>
      <c r="E2687">
        <f t="shared" si="193"/>
        <v>1</v>
      </c>
      <c r="F2687">
        <f t="shared" si="194"/>
        <v>2025</v>
      </c>
      <c r="G2687" t="s">
        <v>97</v>
      </c>
      <c r="H2687" s="98">
        <v>11769</v>
      </c>
      <c r="I2687" s="29">
        <v>8205.0400000000009</v>
      </c>
      <c r="J2687" s="12" t="s">
        <v>31</v>
      </c>
      <c r="K2687" s="76">
        <f t="shared" si="191"/>
        <v>8205.0400000000009</v>
      </c>
      <c r="L2687">
        <v>1</v>
      </c>
      <c r="M2687" s="29">
        <v>0</v>
      </c>
      <c r="N2687" t="s">
        <v>32</v>
      </c>
      <c r="O2687" t="s">
        <v>33</v>
      </c>
      <c r="P2687" t="s">
        <v>34</v>
      </c>
      <c r="Q2687" t="s">
        <v>34</v>
      </c>
      <c r="R2687" t="s">
        <v>34</v>
      </c>
      <c r="S2687" t="s">
        <v>34</v>
      </c>
      <c r="T2687" s="117">
        <v>0</v>
      </c>
    </row>
    <row r="2688" spans="1:20" x14ac:dyDescent="0.35">
      <c r="A2688" t="s">
        <v>20</v>
      </c>
      <c r="B2688" t="s">
        <v>25</v>
      </c>
      <c r="C2688" s="1">
        <v>45665</v>
      </c>
      <c r="D2688">
        <f t="shared" si="192"/>
        <v>8</v>
      </c>
      <c r="E2688">
        <f t="shared" si="193"/>
        <v>1</v>
      </c>
      <c r="F2688">
        <f t="shared" si="194"/>
        <v>2025</v>
      </c>
      <c r="G2688" s="4" t="s">
        <v>96</v>
      </c>
      <c r="H2688" s="98">
        <v>11060</v>
      </c>
      <c r="I2688" s="29">
        <v>215</v>
      </c>
      <c r="J2688" s="12" t="s">
        <v>31</v>
      </c>
      <c r="K2688" s="76">
        <f t="shared" si="191"/>
        <v>215</v>
      </c>
      <c r="L2688">
        <v>1</v>
      </c>
      <c r="M2688" s="29">
        <v>0</v>
      </c>
      <c r="N2688" t="s">
        <v>32</v>
      </c>
      <c r="O2688" t="s">
        <v>33</v>
      </c>
      <c r="P2688" t="s">
        <v>34</v>
      </c>
      <c r="Q2688" t="s">
        <v>34</v>
      </c>
      <c r="R2688" t="s">
        <v>34</v>
      </c>
      <c r="S2688" t="s">
        <v>34</v>
      </c>
      <c r="T2688" s="117">
        <v>0</v>
      </c>
    </row>
    <row r="2689" spans="1:21" x14ac:dyDescent="0.35">
      <c r="A2689" t="s">
        <v>20</v>
      </c>
      <c r="B2689" t="s">
        <v>25</v>
      </c>
      <c r="C2689" s="1">
        <v>45665</v>
      </c>
      <c r="D2689">
        <f t="shared" si="192"/>
        <v>8</v>
      </c>
      <c r="E2689">
        <f t="shared" si="193"/>
        <v>1</v>
      </c>
      <c r="F2689">
        <f t="shared" si="194"/>
        <v>2025</v>
      </c>
      <c r="G2689" t="s">
        <v>104</v>
      </c>
      <c r="H2689" s="98">
        <v>11842</v>
      </c>
      <c r="I2689" s="29">
        <v>1752</v>
      </c>
      <c r="J2689" s="12" t="s">
        <v>31</v>
      </c>
      <c r="K2689" s="76">
        <f t="shared" si="191"/>
        <v>1752</v>
      </c>
      <c r="L2689">
        <v>1</v>
      </c>
      <c r="M2689" s="29">
        <v>0</v>
      </c>
      <c r="N2689" t="s">
        <v>32</v>
      </c>
      <c r="O2689" t="s">
        <v>33</v>
      </c>
      <c r="P2689" t="s">
        <v>34</v>
      </c>
      <c r="Q2689" t="s">
        <v>34</v>
      </c>
      <c r="R2689" t="s">
        <v>34</v>
      </c>
      <c r="S2689" t="s">
        <v>34</v>
      </c>
      <c r="T2689" s="117">
        <v>1100</v>
      </c>
      <c r="U2689" s="209" t="s">
        <v>749</v>
      </c>
    </row>
    <row r="2690" spans="1:21" x14ac:dyDescent="0.35">
      <c r="A2690" t="s">
        <v>20</v>
      </c>
      <c r="B2690" t="s">
        <v>25</v>
      </c>
      <c r="C2690" s="1">
        <v>45665</v>
      </c>
      <c r="D2690">
        <f t="shared" si="192"/>
        <v>8</v>
      </c>
      <c r="E2690">
        <f t="shared" si="193"/>
        <v>1</v>
      </c>
      <c r="F2690">
        <f t="shared" si="194"/>
        <v>2025</v>
      </c>
      <c r="G2690" t="s">
        <v>104</v>
      </c>
      <c r="H2690" s="98">
        <v>11247</v>
      </c>
      <c r="I2690" s="29">
        <v>10334</v>
      </c>
      <c r="J2690" s="12" t="s">
        <v>31</v>
      </c>
      <c r="K2690" s="76">
        <f t="shared" ref="K2690:K2753" si="195">IF(J2690="USD",I2690,I2690*L2690)</f>
        <v>10334</v>
      </c>
      <c r="L2690">
        <v>1</v>
      </c>
      <c r="M2690" s="29">
        <v>0</v>
      </c>
      <c r="N2690" t="s">
        <v>32</v>
      </c>
      <c r="O2690" t="s">
        <v>33</v>
      </c>
      <c r="P2690" t="s">
        <v>34</v>
      </c>
      <c r="Q2690" t="s">
        <v>34</v>
      </c>
      <c r="R2690" t="s">
        <v>34</v>
      </c>
      <c r="S2690" t="s">
        <v>34</v>
      </c>
      <c r="T2690" s="117">
        <v>510</v>
      </c>
      <c r="U2690" s="209" t="s">
        <v>749</v>
      </c>
    </row>
    <row r="2691" spans="1:21" x14ac:dyDescent="0.35">
      <c r="A2691" t="s">
        <v>20</v>
      </c>
      <c r="B2691" t="s">
        <v>21</v>
      </c>
      <c r="C2691" s="1">
        <v>45665</v>
      </c>
      <c r="D2691">
        <f t="shared" ref="D2691:D2754" si="196">DAY(C2691)</f>
        <v>8</v>
      </c>
      <c r="E2691">
        <f t="shared" ref="E2691:E2754" si="197">MONTH(C2691)</f>
        <v>1</v>
      </c>
      <c r="F2691">
        <f t="shared" ref="F2691:F2754" si="198">YEAR(C2691)</f>
        <v>2025</v>
      </c>
      <c r="G2691" t="s">
        <v>104</v>
      </c>
      <c r="H2691" s="98">
        <v>12345</v>
      </c>
      <c r="I2691" s="29">
        <v>70</v>
      </c>
      <c r="J2691" s="12" t="s">
        <v>31</v>
      </c>
      <c r="K2691" s="76">
        <f t="shared" si="195"/>
        <v>70</v>
      </c>
      <c r="L2691">
        <v>1</v>
      </c>
      <c r="M2691" s="29">
        <v>0</v>
      </c>
      <c r="N2691" t="s">
        <v>42</v>
      </c>
      <c r="O2691" t="s">
        <v>33</v>
      </c>
      <c r="P2691" t="s">
        <v>34</v>
      </c>
      <c r="Q2691" t="s">
        <v>34</v>
      </c>
      <c r="R2691" t="s">
        <v>34</v>
      </c>
      <c r="S2691" t="s">
        <v>34</v>
      </c>
      <c r="T2691" s="117" t="s">
        <v>937</v>
      </c>
      <c r="U2691" s="209" t="s">
        <v>938</v>
      </c>
    </row>
    <row r="2692" spans="1:21" x14ac:dyDescent="0.35">
      <c r="A2692" t="s">
        <v>20</v>
      </c>
      <c r="B2692" t="s">
        <v>25</v>
      </c>
      <c r="C2692" s="1">
        <v>45665</v>
      </c>
      <c r="D2692">
        <f t="shared" si="196"/>
        <v>8</v>
      </c>
      <c r="E2692">
        <f t="shared" si="197"/>
        <v>1</v>
      </c>
      <c r="F2692">
        <f t="shared" si="198"/>
        <v>2025</v>
      </c>
      <c r="G2692" t="s">
        <v>81</v>
      </c>
      <c r="H2692" s="98">
        <v>11608</v>
      </c>
      <c r="I2692" s="29">
        <v>14307.5</v>
      </c>
      <c r="J2692" s="12" t="s">
        <v>31</v>
      </c>
      <c r="K2692" s="76">
        <f t="shared" si="195"/>
        <v>14307.5</v>
      </c>
      <c r="L2692">
        <v>1</v>
      </c>
      <c r="M2692" s="29">
        <v>0</v>
      </c>
      <c r="N2692" t="s">
        <v>42</v>
      </c>
      <c r="O2692" t="s">
        <v>33</v>
      </c>
      <c r="P2692" t="s">
        <v>34</v>
      </c>
      <c r="Q2692" t="s">
        <v>34</v>
      </c>
      <c r="R2692" t="s">
        <v>34</v>
      </c>
      <c r="S2692" t="s">
        <v>34</v>
      </c>
      <c r="T2692" s="117">
        <v>0</v>
      </c>
      <c r="U2692" s="209" t="s">
        <v>838</v>
      </c>
    </row>
    <row r="2693" spans="1:21" x14ac:dyDescent="0.35">
      <c r="A2693" t="s">
        <v>20</v>
      </c>
      <c r="B2693" t="s">
        <v>25</v>
      </c>
      <c r="C2693" s="1">
        <v>45665</v>
      </c>
      <c r="D2693">
        <f t="shared" si="196"/>
        <v>8</v>
      </c>
      <c r="E2693">
        <f t="shared" si="197"/>
        <v>1</v>
      </c>
      <c r="F2693">
        <f t="shared" si="198"/>
        <v>2025</v>
      </c>
      <c r="G2693" t="s">
        <v>81</v>
      </c>
      <c r="H2693" s="98">
        <v>12016</v>
      </c>
      <c r="I2693" s="29">
        <v>1873.4</v>
      </c>
      <c r="J2693" s="12" t="s">
        <v>31</v>
      </c>
      <c r="K2693" s="76">
        <f t="shared" si="195"/>
        <v>1873.4</v>
      </c>
      <c r="L2693">
        <v>1</v>
      </c>
      <c r="M2693" s="29">
        <v>0</v>
      </c>
      <c r="N2693" t="s">
        <v>42</v>
      </c>
      <c r="O2693" t="s">
        <v>33</v>
      </c>
      <c r="P2693" t="s">
        <v>34</v>
      </c>
      <c r="Q2693" t="s">
        <v>34</v>
      </c>
      <c r="R2693" t="s">
        <v>34</v>
      </c>
      <c r="S2693" t="s">
        <v>34</v>
      </c>
      <c r="T2693" s="117">
        <v>0</v>
      </c>
      <c r="U2693" s="209" t="s">
        <v>749</v>
      </c>
    </row>
    <row r="2694" spans="1:21" x14ac:dyDescent="0.35">
      <c r="A2694" t="s">
        <v>20</v>
      </c>
      <c r="B2694" t="s">
        <v>23</v>
      </c>
      <c r="C2694" s="1">
        <v>45665</v>
      </c>
      <c r="D2694">
        <f t="shared" si="196"/>
        <v>8</v>
      </c>
      <c r="E2694">
        <f t="shared" si="197"/>
        <v>1</v>
      </c>
      <c r="F2694">
        <f t="shared" si="198"/>
        <v>2025</v>
      </c>
      <c r="G2694" t="s">
        <v>177</v>
      </c>
      <c r="H2694" s="98">
        <v>11926</v>
      </c>
      <c r="I2694" s="29">
        <v>35.5</v>
      </c>
      <c r="J2694" s="12" t="s">
        <v>31</v>
      </c>
      <c r="K2694" s="76">
        <f t="shared" si="195"/>
        <v>35.5</v>
      </c>
      <c r="L2694">
        <v>1</v>
      </c>
      <c r="M2694" s="29">
        <v>0</v>
      </c>
      <c r="N2694" t="s">
        <v>42</v>
      </c>
      <c r="O2694" t="s">
        <v>33</v>
      </c>
      <c r="P2694" t="s">
        <v>34</v>
      </c>
      <c r="Q2694" t="s">
        <v>34</v>
      </c>
      <c r="R2694" t="s">
        <v>34</v>
      </c>
      <c r="S2694" t="s">
        <v>34</v>
      </c>
      <c r="T2694" s="117">
        <v>0</v>
      </c>
      <c r="U2694" s="209" t="s">
        <v>749</v>
      </c>
    </row>
    <row r="2695" spans="1:21" x14ac:dyDescent="0.35">
      <c r="A2695" t="s">
        <v>20</v>
      </c>
      <c r="B2695" t="s">
        <v>23</v>
      </c>
      <c r="C2695" s="1">
        <v>45665</v>
      </c>
      <c r="D2695">
        <f t="shared" si="196"/>
        <v>8</v>
      </c>
      <c r="E2695">
        <f t="shared" si="197"/>
        <v>1</v>
      </c>
      <c r="F2695">
        <f t="shared" si="198"/>
        <v>2025</v>
      </c>
      <c r="G2695" t="s">
        <v>177</v>
      </c>
      <c r="H2695" s="98">
        <v>11927</v>
      </c>
      <c r="I2695" s="29">
        <v>3195</v>
      </c>
      <c r="J2695" s="12" t="s">
        <v>31</v>
      </c>
      <c r="K2695" s="76">
        <f t="shared" si="195"/>
        <v>3195</v>
      </c>
      <c r="L2695">
        <v>1</v>
      </c>
      <c r="M2695" s="29">
        <v>0</v>
      </c>
      <c r="N2695" t="s">
        <v>42</v>
      </c>
      <c r="O2695" t="s">
        <v>33</v>
      </c>
      <c r="P2695" t="s">
        <v>34</v>
      </c>
      <c r="Q2695" t="s">
        <v>34</v>
      </c>
      <c r="R2695" t="s">
        <v>34</v>
      </c>
      <c r="S2695" t="s">
        <v>34</v>
      </c>
      <c r="T2695" s="117">
        <v>0</v>
      </c>
      <c r="U2695" s="209" t="s">
        <v>749</v>
      </c>
    </row>
    <row r="2696" spans="1:21" x14ac:dyDescent="0.35">
      <c r="A2696" t="s">
        <v>19</v>
      </c>
      <c r="B2696" t="s">
        <v>19</v>
      </c>
      <c r="C2696" s="1">
        <v>45665</v>
      </c>
      <c r="D2696">
        <f t="shared" si="196"/>
        <v>8</v>
      </c>
      <c r="E2696">
        <f t="shared" si="197"/>
        <v>1</v>
      </c>
      <c r="F2696">
        <f t="shared" si="198"/>
        <v>2025</v>
      </c>
      <c r="G2696" t="s">
        <v>56</v>
      </c>
      <c r="H2696" s="121" t="s">
        <v>751</v>
      </c>
      <c r="I2696" s="76">
        <v>211330.12</v>
      </c>
      <c r="J2696" s="12" t="s">
        <v>31</v>
      </c>
      <c r="K2696" s="76">
        <f t="shared" si="195"/>
        <v>211330.12</v>
      </c>
      <c r="L2696">
        <v>1</v>
      </c>
      <c r="M2696" s="29">
        <v>0</v>
      </c>
      <c r="N2696" t="s">
        <v>32</v>
      </c>
      <c r="O2696" t="s">
        <v>33</v>
      </c>
      <c r="P2696" t="s">
        <v>34</v>
      </c>
      <c r="Q2696" t="s">
        <v>34</v>
      </c>
      <c r="R2696" t="s">
        <v>34</v>
      </c>
      <c r="S2696" t="s">
        <v>34</v>
      </c>
      <c r="T2696" s="117">
        <v>0</v>
      </c>
    </row>
    <row r="2697" spans="1:21" x14ac:dyDescent="0.35">
      <c r="A2697" t="s">
        <v>19</v>
      </c>
      <c r="B2697" t="s">
        <v>19</v>
      </c>
      <c r="C2697" s="1">
        <v>45665</v>
      </c>
      <c r="D2697">
        <f t="shared" si="196"/>
        <v>8</v>
      </c>
      <c r="E2697">
        <f t="shared" si="197"/>
        <v>1</v>
      </c>
      <c r="F2697">
        <f t="shared" si="198"/>
        <v>2025</v>
      </c>
      <c r="G2697" t="s">
        <v>125</v>
      </c>
      <c r="H2697" s="121" t="s">
        <v>752</v>
      </c>
      <c r="I2697" s="76">
        <v>21609.65</v>
      </c>
      <c r="J2697" s="12" t="s">
        <v>31</v>
      </c>
      <c r="K2697" s="76">
        <f t="shared" si="195"/>
        <v>21609.65</v>
      </c>
      <c r="L2697">
        <v>1</v>
      </c>
      <c r="M2697" s="29">
        <v>0</v>
      </c>
      <c r="N2697" t="s">
        <v>32</v>
      </c>
      <c r="O2697" t="s">
        <v>33</v>
      </c>
      <c r="P2697" t="s">
        <v>34</v>
      </c>
      <c r="Q2697" t="s">
        <v>34</v>
      </c>
      <c r="R2697" t="s">
        <v>34</v>
      </c>
      <c r="S2697" t="s">
        <v>34</v>
      </c>
      <c r="T2697" s="117">
        <v>0</v>
      </c>
    </row>
    <row r="2698" spans="1:21" x14ac:dyDescent="0.35">
      <c r="A2698" t="s">
        <v>19</v>
      </c>
      <c r="B2698" t="s">
        <v>19</v>
      </c>
      <c r="C2698" s="1">
        <v>45665</v>
      </c>
      <c r="D2698">
        <f t="shared" si="196"/>
        <v>8</v>
      </c>
      <c r="E2698">
        <f t="shared" si="197"/>
        <v>1</v>
      </c>
      <c r="F2698">
        <f t="shared" si="198"/>
        <v>2025</v>
      </c>
      <c r="G2698" t="s">
        <v>321</v>
      </c>
      <c r="H2698" s="121" t="s">
        <v>753</v>
      </c>
      <c r="I2698" s="76">
        <v>8868</v>
      </c>
      <c r="J2698" s="12" t="s">
        <v>31</v>
      </c>
      <c r="K2698" s="76">
        <f t="shared" si="195"/>
        <v>8868</v>
      </c>
      <c r="L2698">
        <v>1</v>
      </c>
      <c r="M2698" s="29">
        <v>0</v>
      </c>
      <c r="N2698" t="s">
        <v>32</v>
      </c>
      <c r="O2698" t="s">
        <v>33</v>
      </c>
      <c r="P2698" t="s">
        <v>34</v>
      </c>
      <c r="Q2698" t="s">
        <v>34</v>
      </c>
      <c r="R2698" t="s">
        <v>34</v>
      </c>
      <c r="S2698" t="s">
        <v>34</v>
      </c>
      <c r="T2698" s="117">
        <v>0</v>
      </c>
    </row>
    <row r="2699" spans="1:21" x14ac:dyDescent="0.35">
      <c r="A2699" t="s">
        <v>19</v>
      </c>
      <c r="B2699" t="s">
        <v>19</v>
      </c>
      <c r="C2699" s="1">
        <v>45665</v>
      </c>
      <c r="D2699">
        <f t="shared" si="196"/>
        <v>8</v>
      </c>
      <c r="E2699">
        <f t="shared" si="197"/>
        <v>1</v>
      </c>
      <c r="F2699">
        <f t="shared" si="198"/>
        <v>2025</v>
      </c>
      <c r="G2699" t="s">
        <v>102</v>
      </c>
      <c r="H2699" s="121" t="s">
        <v>522</v>
      </c>
      <c r="I2699" s="76">
        <v>70485.2</v>
      </c>
      <c r="J2699" s="12" t="s">
        <v>31</v>
      </c>
      <c r="K2699" s="76">
        <f t="shared" si="195"/>
        <v>70485.2</v>
      </c>
      <c r="L2699">
        <v>1</v>
      </c>
      <c r="M2699" s="29">
        <v>0</v>
      </c>
      <c r="N2699" t="s">
        <v>32</v>
      </c>
      <c r="O2699" t="s">
        <v>33</v>
      </c>
      <c r="P2699" t="s">
        <v>34</v>
      </c>
      <c r="Q2699" t="s">
        <v>34</v>
      </c>
      <c r="R2699" t="s">
        <v>34</v>
      </c>
      <c r="S2699" t="s">
        <v>34</v>
      </c>
      <c r="T2699" s="117">
        <v>0</v>
      </c>
    </row>
    <row r="2700" spans="1:21" x14ac:dyDescent="0.35">
      <c r="A2700" t="s">
        <v>19</v>
      </c>
      <c r="B2700" t="s">
        <v>19</v>
      </c>
      <c r="C2700" s="1">
        <v>45665</v>
      </c>
      <c r="D2700">
        <f t="shared" si="196"/>
        <v>8</v>
      </c>
      <c r="E2700">
        <f t="shared" si="197"/>
        <v>1</v>
      </c>
      <c r="F2700">
        <f t="shared" si="198"/>
        <v>2025</v>
      </c>
      <c r="G2700" t="s">
        <v>750</v>
      </c>
      <c r="H2700" s="121" t="s">
        <v>754</v>
      </c>
      <c r="I2700" s="76">
        <v>29794.25</v>
      </c>
      <c r="J2700" s="12" t="s">
        <v>31</v>
      </c>
      <c r="K2700" s="76">
        <f t="shared" si="195"/>
        <v>29794.25</v>
      </c>
      <c r="L2700">
        <v>1</v>
      </c>
      <c r="M2700" s="29">
        <v>0</v>
      </c>
      <c r="N2700" t="s">
        <v>32</v>
      </c>
      <c r="O2700" t="s">
        <v>33</v>
      </c>
      <c r="P2700" t="s">
        <v>34</v>
      </c>
      <c r="Q2700" t="s">
        <v>34</v>
      </c>
      <c r="R2700" t="s">
        <v>34</v>
      </c>
      <c r="S2700" t="s">
        <v>34</v>
      </c>
      <c r="T2700" s="117">
        <v>0</v>
      </c>
    </row>
    <row r="2701" spans="1:21" x14ac:dyDescent="0.35">
      <c r="A2701" t="s">
        <v>19</v>
      </c>
      <c r="B2701" t="s">
        <v>19</v>
      </c>
      <c r="C2701" s="1">
        <v>45665</v>
      </c>
      <c r="D2701">
        <f t="shared" si="196"/>
        <v>8</v>
      </c>
      <c r="E2701">
        <f t="shared" si="197"/>
        <v>1</v>
      </c>
      <c r="F2701">
        <f t="shared" si="198"/>
        <v>2025</v>
      </c>
      <c r="G2701" t="s">
        <v>750</v>
      </c>
      <c r="H2701" s="121" t="s">
        <v>755</v>
      </c>
      <c r="I2701" s="76">
        <v>70411.179999999993</v>
      </c>
      <c r="J2701" s="12" t="s">
        <v>31</v>
      </c>
      <c r="K2701" s="76">
        <f t="shared" si="195"/>
        <v>70411.179999999993</v>
      </c>
      <c r="L2701">
        <v>1</v>
      </c>
      <c r="M2701" s="29">
        <v>0</v>
      </c>
      <c r="N2701" t="s">
        <v>32</v>
      </c>
      <c r="O2701" t="s">
        <v>33</v>
      </c>
      <c r="P2701" t="s">
        <v>34</v>
      </c>
      <c r="Q2701" t="s">
        <v>34</v>
      </c>
      <c r="R2701" t="s">
        <v>34</v>
      </c>
      <c r="S2701" t="s">
        <v>34</v>
      </c>
      <c r="T2701" s="117">
        <v>1900.5</v>
      </c>
    </row>
    <row r="2702" spans="1:21" x14ac:dyDescent="0.35">
      <c r="A2702" t="s">
        <v>19</v>
      </c>
      <c r="B2702" t="s">
        <v>19</v>
      </c>
      <c r="C2702" s="1">
        <v>45665</v>
      </c>
      <c r="D2702">
        <f t="shared" si="196"/>
        <v>8</v>
      </c>
      <c r="E2702">
        <f t="shared" si="197"/>
        <v>1</v>
      </c>
      <c r="F2702">
        <f t="shared" si="198"/>
        <v>2025</v>
      </c>
      <c r="G2702" t="s">
        <v>750</v>
      </c>
      <c r="H2702" s="121" t="s">
        <v>756</v>
      </c>
      <c r="I2702" s="76">
        <v>28613.67</v>
      </c>
      <c r="J2702" s="12" t="s">
        <v>31</v>
      </c>
      <c r="K2702" s="76">
        <f t="shared" si="195"/>
        <v>28613.67</v>
      </c>
      <c r="L2702">
        <v>1</v>
      </c>
      <c r="M2702" s="29">
        <v>0</v>
      </c>
      <c r="N2702" t="s">
        <v>32</v>
      </c>
      <c r="O2702" t="s">
        <v>33</v>
      </c>
      <c r="P2702" t="s">
        <v>34</v>
      </c>
      <c r="Q2702" t="s">
        <v>34</v>
      </c>
      <c r="R2702" t="s">
        <v>34</v>
      </c>
      <c r="S2702" t="s">
        <v>34</v>
      </c>
      <c r="T2702" s="117">
        <v>2106.5300000000002</v>
      </c>
    </row>
    <row r="2703" spans="1:21" x14ac:dyDescent="0.35">
      <c r="A2703" t="s">
        <v>19</v>
      </c>
      <c r="B2703" t="s">
        <v>19</v>
      </c>
      <c r="C2703" s="1">
        <v>45665</v>
      </c>
      <c r="D2703">
        <f t="shared" si="196"/>
        <v>8</v>
      </c>
      <c r="E2703">
        <f t="shared" si="197"/>
        <v>1</v>
      </c>
      <c r="F2703">
        <f t="shared" si="198"/>
        <v>2025</v>
      </c>
      <c r="G2703" t="s">
        <v>120</v>
      </c>
      <c r="H2703" s="121" t="s">
        <v>757</v>
      </c>
      <c r="I2703" s="76">
        <v>83357.759999999995</v>
      </c>
      <c r="J2703" s="12" t="s">
        <v>31</v>
      </c>
      <c r="K2703" s="76">
        <f t="shared" si="195"/>
        <v>83357.759999999995</v>
      </c>
      <c r="L2703">
        <v>1</v>
      </c>
      <c r="M2703" s="29">
        <v>0</v>
      </c>
      <c r="N2703" t="s">
        <v>32</v>
      </c>
      <c r="O2703" t="s">
        <v>33</v>
      </c>
      <c r="P2703" t="s">
        <v>34</v>
      </c>
      <c r="Q2703" t="s">
        <v>34</v>
      </c>
      <c r="R2703" t="s">
        <v>34</v>
      </c>
      <c r="S2703" t="s">
        <v>34</v>
      </c>
      <c r="T2703" s="117">
        <v>0</v>
      </c>
    </row>
    <row r="2704" spans="1:21" x14ac:dyDescent="0.35">
      <c r="A2704" t="s">
        <v>19</v>
      </c>
      <c r="B2704" t="s">
        <v>19</v>
      </c>
      <c r="C2704" s="1">
        <v>45665</v>
      </c>
      <c r="D2704">
        <f t="shared" si="196"/>
        <v>8</v>
      </c>
      <c r="E2704">
        <f t="shared" si="197"/>
        <v>1</v>
      </c>
      <c r="F2704">
        <f t="shared" si="198"/>
        <v>2025</v>
      </c>
      <c r="G2704" t="s">
        <v>124</v>
      </c>
      <c r="H2704" s="121" t="s">
        <v>758</v>
      </c>
      <c r="I2704" s="76">
        <v>16398.84</v>
      </c>
      <c r="J2704" s="12" t="s">
        <v>31</v>
      </c>
      <c r="K2704" s="76">
        <f t="shared" si="195"/>
        <v>16398.84</v>
      </c>
      <c r="L2704">
        <v>1</v>
      </c>
      <c r="M2704" s="29">
        <v>0</v>
      </c>
      <c r="N2704" t="s">
        <v>32</v>
      </c>
      <c r="O2704" t="s">
        <v>33</v>
      </c>
      <c r="P2704" t="s">
        <v>34</v>
      </c>
      <c r="Q2704" t="s">
        <v>34</v>
      </c>
      <c r="R2704" t="s">
        <v>34</v>
      </c>
      <c r="S2704" t="s">
        <v>34</v>
      </c>
      <c r="T2704" s="117">
        <v>0</v>
      </c>
    </row>
    <row r="2705" spans="1:21" x14ac:dyDescent="0.35">
      <c r="A2705" t="s">
        <v>19</v>
      </c>
      <c r="B2705" t="s">
        <v>19</v>
      </c>
      <c r="C2705" s="1">
        <v>45665</v>
      </c>
      <c r="D2705">
        <f t="shared" si="196"/>
        <v>8</v>
      </c>
      <c r="E2705">
        <f t="shared" si="197"/>
        <v>1</v>
      </c>
      <c r="F2705">
        <f t="shared" si="198"/>
        <v>2025</v>
      </c>
      <c r="G2705" t="s">
        <v>122</v>
      </c>
      <c r="H2705" s="121" t="s">
        <v>767</v>
      </c>
      <c r="I2705" s="76">
        <v>21448.6</v>
      </c>
      <c r="J2705" s="12" t="s">
        <v>31</v>
      </c>
      <c r="K2705" s="76">
        <f t="shared" si="195"/>
        <v>21448.6</v>
      </c>
      <c r="L2705">
        <v>1</v>
      </c>
      <c r="M2705" s="29">
        <v>0</v>
      </c>
      <c r="N2705" t="s">
        <v>32</v>
      </c>
      <c r="O2705" t="s">
        <v>33</v>
      </c>
      <c r="P2705" t="s">
        <v>34</v>
      </c>
      <c r="Q2705" t="s">
        <v>34</v>
      </c>
      <c r="R2705" t="s">
        <v>34</v>
      </c>
      <c r="S2705" t="s">
        <v>34</v>
      </c>
      <c r="T2705" s="117">
        <v>0</v>
      </c>
    </row>
    <row r="2706" spans="1:21" x14ac:dyDescent="0.35">
      <c r="A2706" t="s">
        <v>19</v>
      </c>
      <c r="B2706" t="s">
        <v>19</v>
      </c>
      <c r="C2706" s="1">
        <v>45665</v>
      </c>
      <c r="D2706">
        <f t="shared" si="196"/>
        <v>8</v>
      </c>
      <c r="E2706">
        <f t="shared" si="197"/>
        <v>1</v>
      </c>
      <c r="F2706">
        <f t="shared" si="198"/>
        <v>2025</v>
      </c>
      <c r="G2706" t="s">
        <v>127</v>
      </c>
      <c r="H2706" s="98" t="s">
        <v>759</v>
      </c>
      <c r="I2706" s="29">
        <v>27.78</v>
      </c>
      <c r="J2706" s="12" t="s">
        <v>31</v>
      </c>
      <c r="K2706" s="76">
        <f t="shared" si="195"/>
        <v>27.78</v>
      </c>
      <c r="L2706">
        <v>1</v>
      </c>
      <c r="M2706" s="29">
        <v>0</v>
      </c>
      <c r="N2706" t="s">
        <v>32</v>
      </c>
      <c r="O2706" t="s">
        <v>33</v>
      </c>
      <c r="P2706" t="s">
        <v>34</v>
      </c>
      <c r="Q2706" t="s">
        <v>34</v>
      </c>
      <c r="R2706" t="s">
        <v>34</v>
      </c>
      <c r="S2706" t="s">
        <v>34</v>
      </c>
      <c r="T2706" s="117">
        <v>0</v>
      </c>
    </row>
    <row r="2707" spans="1:21" x14ac:dyDescent="0.35">
      <c r="A2707" t="s">
        <v>19</v>
      </c>
      <c r="B2707" t="s">
        <v>19</v>
      </c>
      <c r="C2707" s="1">
        <v>45665</v>
      </c>
      <c r="D2707">
        <f t="shared" si="196"/>
        <v>8</v>
      </c>
      <c r="E2707">
        <f t="shared" si="197"/>
        <v>1</v>
      </c>
      <c r="F2707">
        <f t="shared" si="198"/>
        <v>2025</v>
      </c>
      <c r="G2707" t="s">
        <v>91</v>
      </c>
      <c r="H2707" s="98" t="s">
        <v>760</v>
      </c>
      <c r="I2707" s="29">
        <v>486.45</v>
      </c>
      <c r="J2707" s="12" t="s">
        <v>31</v>
      </c>
      <c r="K2707" s="76">
        <f t="shared" si="195"/>
        <v>486.45</v>
      </c>
      <c r="L2707">
        <v>1</v>
      </c>
      <c r="M2707" s="29">
        <v>0</v>
      </c>
      <c r="N2707" t="s">
        <v>32</v>
      </c>
      <c r="O2707" t="s">
        <v>33</v>
      </c>
      <c r="P2707" t="s">
        <v>34</v>
      </c>
      <c r="Q2707" t="s">
        <v>34</v>
      </c>
      <c r="R2707" t="s">
        <v>34</v>
      </c>
      <c r="S2707" t="s">
        <v>34</v>
      </c>
      <c r="T2707" s="117">
        <v>0</v>
      </c>
    </row>
    <row r="2708" spans="1:21" x14ac:dyDescent="0.35">
      <c r="A2708" t="s">
        <v>19</v>
      </c>
      <c r="B2708" t="s">
        <v>19</v>
      </c>
      <c r="C2708" s="1">
        <v>45665</v>
      </c>
      <c r="D2708">
        <f t="shared" si="196"/>
        <v>8</v>
      </c>
      <c r="E2708">
        <f t="shared" si="197"/>
        <v>1</v>
      </c>
      <c r="F2708">
        <f t="shared" si="198"/>
        <v>2025</v>
      </c>
      <c r="G2708" t="s">
        <v>111</v>
      </c>
      <c r="H2708" s="98" t="s">
        <v>761</v>
      </c>
      <c r="I2708" s="29">
        <v>122445.56</v>
      </c>
      <c r="J2708" s="12" t="s">
        <v>31</v>
      </c>
      <c r="K2708" s="76">
        <f t="shared" si="195"/>
        <v>122445.56</v>
      </c>
      <c r="L2708">
        <v>1</v>
      </c>
      <c r="M2708" s="29">
        <v>0</v>
      </c>
      <c r="N2708" t="s">
        <v>32</v>
      </c>
      <c r="O2708" t="s">
        <v>33</v>
      </c>
      <c r="P2708" t="s">
        <v>34</v>
      </c>
      <c r="Q2708" t="s">
        <v>34</v>
      </c>
      <c r="R2708" t="s">
        <v>34</v>
      </c>
      <c r="S2708" t="s">
        <v>34</v>
      </c>
      <c r="T2708" s="117">
        <v>0</v>
      </c>
    </row>
    <row r="2709" spans="1:21" x14ac:dyDescent="0.35">
      <c r="A2709" t="s">
        <v>19</v>
      </c>
      <c r="B2709" t="s">
        <v>19</v>
      </c>
      <c r="C2709" s="1">
        <v>45665</v>
      </c>
      <c r="D2709">
        <f t="shared" si="196"/>
        <v>8</v>
      </c>
      <c r="E2709">
        <f t="shared" si="197"/>
        <v>1</v>
      </c>
      <c r="F2709">
        <f t="shared" si="198"/>
        <v>2025</v>
      </c>
      <c r="G2709" t="s">
        <v>225</v>
      </c>
      <c r="H2709" s="98" t="s">
        <v>762</v>
      </c>
      <c r="I2709" s="29">
        <v>18616.310000000001</v>
      </c>
      <c r="J2709" s="12" t="s">
        <v>31</v>
      </c>
      <c r="K2709" s="76">
        <f t="shared" si="195"/>
        <v>18616.310000000001</v>
      </c>
      <c r="L2709">
        <v>1</v>
      </c>
      <c r="M2709" s="29">
        <v>0</v>
      </c>
      <c r="N2709" t="s">
        <v>32</v>
      </c>
      <c r="O2709" t="s">
        <v>33</v>
      </c>
      <c r="P2709" t="s">
        <v>34</v>
      </c>
      <c r="Q2709" t="s">
        <v>34</v>
      </c>
      <c r="R2709" t="s">
        <v>34</v>
      </c>
      <c r="S2709" t="s">
        <v>34</v>
      </c>
      <c r="T2709" s="117">
        <v>0</v>
      </c>
    </row>
    <row r="2710" spans="1:21" x14ac:dyDescent="0.35">
      <c r="A2710" t="s">
        <v>19</v>
      </c>
      <c r="B2710" t="s">
        <v>19</v>
      </c>
      <c r="C2710" s="1">
        <v>45665</v>
      </c>
      <c r="D2710">
        <f t="shared" si="196"/>
        <v>8</v>
      </c>
      <c r="E2710">
        <f t="shared" si="197"/>
        <v>1</v>
      </c>
      <c r="F2710">
        <f t="shared" si="198"/>
        <v>2025</v>
      </c>
      <c r="G2710" t="s">
        <v>43</v>
      </c>
      <c r="H2710" s="98" t="s">
        <v>763</v>
      </c>
      <c r="I2710" s="29">
        <v>87.82</v>
      </c>
      <c r="J2710" s="12" t="s">
        <v>31</v>
      </c>
      <c r="K2710" s="76">
        <f t="shared" si="195"/>
        <v>87.82</v>
      </c>
      <c r="L2710">
        <v>1</v>
      </c>
      <c r="M2710" s="29">
        <v>0</v>
      </c>
      <c r="N2710" t="s">
        <v>32</v>
      </c>
      <c r="O2710" t="s">
        <v>33</v>
      </c>
      <c r="P2710" t="s">
        <v>34</v>
      </c>
      <c r="Q2710" t="s">
        <v>34</v>
      </c>
      <c r="R2710" t="s">
        <v>34</v>
      </c>
      <c r="S2710" t="s">
        <v>34</v>
      </c>
      <c r="T2710" s="117">
        <v>0</v>
      </c>
    </row>
    <row r="2711" spans="1:21" x14ac:dyDescent="0.35">
      <c r="A2711" t="s">
        <v>19</v>
      </c>
      <c r="B2711" t="s">
        <v>19</v>
      </c>
      <c r="C2711" s="1">
        <v>45665</v>
      </c>
      <c r="D2711">
        <f t="shared" si="196"/>
        <v>8</v>
      </c>
      <c r="E2711">
        <f t="shared" si="197"/>
        <v>1</v>
      </c>
      <c r="F2711">
        <f t="shared" si="198"/>
        <v>2025</v>
      </c>
      <c r="G2711" t="s">
        <v>126</v>
      </c>
      <c r="H2711" s="98" t="s">
        <v>764</v>
      </c>
      <c r="I2711" s="29">
        <v>33812.949999999997</v>
      </c>
      <c r="J2711" s="12" t="s">
        <v>31</v>
      </c>
      <c r="K2711" s="76">
        <f t="shared" si="195"/>
        <v>33812.949999999997</v>
      </c>
      <c r="L2711">
        <v>1</v>
      </c>
      <c r="M2711" s="29">
        <v>0</v>
      </c>
      <c r="N2711" t="s">
        <v>32</v>
      </c>
      <c r="O2711" t="s">
        <v>33</v>
      </c>
      <c r="P2711" t="s">
        <v>34</v>
      </c>
      <c r="Q2711" t="s">
        <v>34</v>
      </c>
      <c r="R2711" t="s">
        <v>34</v>
      </c>
      <c r="S2711" t="s">
        <v>34</v>
      </c>
      <c r="T2711" s="117">
        <v>0</v>
      </c>
    </row>
    <row r="2712" spans="1:21" x14ac:dyDescent="0.35">
      <c r="A2712" t="s">
        <v>19</v>
      </c>
      <c r="B2712" t="s">
        <v>19</v>
      </c>
      <c r="C2712" s="1">
        <v>45665</v>
      </c>
      <c r="D2712">
        <f t="shared" si="196"/>
        <v>8</v>
      </c>
      <c r="E2712">
        <f t="shared" si="197"/>
        <v>1</v>
      </c>
      <c r="F2712">
        <f t="shared" si="198"/>
        <v>2025</v>
      </c>
      <c r="G2712" t="s">
        <v>555</v>
      </c>
      <c r="H2712" s="98" t="s">
        <v>765</v>
      </c>
      <c r="I2712" s="29">
        <v>7111.89</v>
      </c>
      <c r="J2712" s="12" t="s">
        <v>31</v>
      </c>
      <c r="K2712" s="76">
        <f t="shared" si="195"/>
        <v>7111.89</v>
      </c>
      <c r="L2712">
        <v>1</v>
      </c>
      <c r="M2712" s="29">
        <v>0</v>
      </c>
      <c r="N2712" t="s">
        <v>32</v>
      </c>
      <c r="O2712" t="s">
        <v>33</v>
      </c>
      <c r="P2712" t="s">
        <v>34</v>
      </c>
      <c r="Q2712" t="s">
        <v>34</v>
      </c>
      <c r="R2712" t="s">
        <v>34</v>
      </c>
      <c r="S2712" t="s">
        <v>34</v>
      </c>
      <c r="T2712" s="117">
        <v>0</v>
      </c>
    </row>
    <row r="2713" spans="1:21" x14ac:dyDescent="0.35">
      <c r="A2713" t="s">
        <v>19</v>
      </c>
      <c r="B2713" t="s">
        <v>19</v>
      </c>
      <c r="C2713" s="1">
        <v>45666</v>
      </c>
      <c r="D2713">
        <f t="shared" si="196"/>
        <v>9</v>
      </c>
      <c r="E2713">
        <f t="shared" si="197"/>
        <v>1</v>
      </c>
      <c r="F2713">
        <f t="shared" si="198"/>
        <v>2025</v>
      </c>
      <c r="G2713" t="s">
        <v>121</v>
      </c>
      <c r="H2713" s="98" t="s">
        <v>768</v>
      </c>
      <c r="I2713" s="29">
        <v>18955.14</v>
      </c>
      <c r="J2713" s="12" t="s">
        <v>31</v>
      </c>
      <c r="K2713" s="76">
        <f t="shared" si="195"/>
        <v>18955.14</v>
      </c>
      <c r="L2713">
        <v>1</v>
      </c>
      <c r="M2713" s="29">
        <v>0</v>
      </c>
      <c r="N2713" t="s">
        <v>32</v>
      </c>
      <c r="O2713" t="s">
        <v>33</v>
      </c>
      <c r="P2713" t="s">
        <v>34</v>
      </c>
      <c r="Q2713" t="s">
        <v>34</v>
      </c>
      <c r="R2713" t="s">
        <v>34</v>
      </c>
      <c r="S2713" t="s">
        <v>34</v>
      </c>
      <c r="T2713" s="117">
        <v>0</v>
      </c>
    </row>
    <row r="2714" spans="1:21" x14ac:dyDescent="0.35">
      <c r="A2714" t="s">
        <v>19</v>
      </c>
      <c r="B2714" t="s">
        <v>19</v>
      </c>
      <c r="C2714" s="1">
        <v>45667</v>
      </c>
      <c r="D2714">
        <f t="shared" si="196"/>
        <v>10</v>
      </c>
      <c r="E2714">
        <f t="shared" si="197"/>
        <v>1</v>
      </c>
      <c r="F2714">
        <f t="shared" si="198"/>
        <v>2025</v>
      </c>
      <c r="G2714" t="s">
        <v>225</v>
      </c>
      <c r="H2714" s="98" t="s">
        <v>762</v>
      </c>
      <c r="I2714" s="29">
        <v>5000</v>
      </c>
      <c r="J2714" s="12" t="s">
        <v>31</v>
      </c>
      <c r="K2714" s="76">
        <f t="shared" si="195"/>
        <v>5000</v>
      </c>
      <c r="L2714">
        <v>1</v>
      </c>
      <c r="M2714" s="29">
        <v>0</v>
      </c>
      <c r="N2714" t="s">
        <v>32</v>
      </c>
      <c r="O2714" t="s">
        <v>33</v>
      </c>
      <c r="P2714" t="s">
        <v>34</v>
      </c>
      <c r="Q2714" t="s">
        <v>34</v>
      </c>
      <c r="R2714" t="s">
        <v>34</v>
      </c>
      <c r="S2714" t="s">
        <v>34</v>
      </c>
      <c r="T2714" s="117">
        <v>0</v>
      </c>
    </row>
    <row r="2715" spans="1:21" x14ac:dyDescent="0.35">
      <c r="A2715" t="s">
        <v>19</v>
      </c>
      <c r="B2715" t="s">
        <v>26</v>
      </c>
      <c r="C2715" s="1">
        <v>45667</v>
      </c>
      <c r="D2715">
        <f t="shared" si="196"/>
        <v>10</v>
      </c>
      <c r="E2715">
        <f t="shared" si="197"/>
        <v>1</v>
      </c>
      <c r="F2715">
        <f t="shared" si="198"/>
        <v>2025</v>
      </c>
      <c r="G2715" t="s">
        <v>73</v>
      </c>
      <c r="H2715" s="98">
        <v>11939</v>
      </c>
      <c r="I2715" s="29">
        <v>62876.1</v>
      </c>
      <c r="J2715" s="12" t="s">
        <v>51</v>
      </c>
      <c r="K2715" s="76">
        <f t="shared" si="195"/>
        <v>64510.878599999996</v>
      </c>
      <c r="L2715">
        <v>1.026</v>
      </c>
      <c r="M2715" s="29">
        <v>0</v>
      </c>
      <c r="N2715" t="s">
        <v>32</v>
      </c>
      <c r="O2715" t="s">
        <v>33</v>
      </c>
      <c r="P2715" t="s">
        <v>34</v>
      </c>
      <c r="Q2715" t="s">
        <v>34</v>
      </c>
      <c r="R2715" t="s">
        <v>34</v>
      </c>
      <c r="S2715" t="s">
        <v>34</v>
      </c>
      <c r="T2715" s="117">
        <v>0</v>
      </c>
      <c r="U2715" s="209" t="s">
        <v>94</v>
      </c>
    </row>
    <row r="2716" spans="1:21" x14ac:dyDescent="0.35">
      <c r="A2716" t="s">
        <v>19</v>
      </c>
      <c r="B2716" t="s">
        <v>26</v>
      </c>
      <c r="C2716" s="1">
        <v>45667</v>
      </c>
      <c r="D2716">
        <f t="shared" si="196"/>
        <v>10</v>
      </c>
      <c r="E2716">
        <f t="shared" si="197"/>
        <v>1</v>
      </c>
      <c r="F2716">
        <f t="shared" si="198"/>
        <v>2025</v>
      </c>
      <c r="G2716" t="s">
        <v>73</v>
      </c>
      <c r="H2716" s="98">
        <v>11940</v>
      </c>
      <c r="I2716" s="29">
        <v>33252.269999999997</v>
      </c>
      <c r="J2716" s="12" t="s">
        <v>51</v>
      </c>
      <c r="K2716" s="76">
        <f t="shared" si="195"/>
        <v>34116.829019999997</v>
      </c>
      <c r="L2716">
        <v>1.026</v>
      </c>
      <c r="M2716" s="29">
        <v>0</v>
      </c>
      <c r="N2716" t="s">
        <v>32</v>
      </c>
      <c r="O2716" t="s">
        <v>33</v>
      </c>
      <c r="P2716" t="s">
        <v>34</v>
      </c>
      <c r="Q2716" t="s">
        <v>34</v>
      </c>
      <c r="R2716" t="s">
        <v>34</v>
      </c>
      <c r="S2716" t="s">
        <v>34</v>
      </c>
      <c r="T2716" s="117">
        <v>0</v>
      </c>
      <c r="U2716" s="209" t="s">
        <v>94</v>
      </c>
    </row>
    <row r="2717" spans="1:21" x14ac:dyDescent="0.35">
      <c r="A2717" t="s">
        <v>19</v>
      </c>
      <c r="B2717" t="s">
        <v>26</v>
      </c>
      <c r="C2717" s="1">
        <v>45667</v>
      </c>
      <c r="D2717">
        <f t="shared" si="196"/>
        <v>10</v>
      </c>
      <c r="E2717">
        <f t="shared" si="197"/>
        <v>1</v>
      </c>
      <c r="F2717">
        <f t="shared" si="198"/>
        <v>2025</v>
      </c>
      <c r="G2717" t="s">
        <v>73</v>
      </c>
      <c r="H2717" s="98">
        <v>11667</v>
      </c>
      <c r="I2717" s="29">
        <v>4743.93</v>
      </c>
      <c r="J2717" s="12" t="s">
        <v>51</v>
      </c>
      <c r="K2717" s="76">
        <f t="shared" si="195"/>
        <v>4867.2721800000008</v>
      </c>
      <c r="L2717">
        <v>1.026</v>
      </c>
      <c r="M2717" s="29">
        <v>0</v>
      </c>
      <c r="N2717" t="s">
        <v>32</v>
      </c>
      <c r="O2717" t="s">
        <v>33</v>
      </c>
      <c r="P2717" t="s">
        <v>34</v>
      </c>
      <c r="Q2717" t="s">
        <v>34</v>
      </c>
      <c r="R2717" t="s">
        <v>34</v>
      </c>
      <c r="S2717" t="s">
        <v>34</v>
      </c>
      <c r="T2717" s="117">
        <v>0</v>
      </c>
      <c r="U2717" s="209" t="s">
        <v>94</v>
      </c>
    </row>
    <row r="2718" spans="1:21" x14ac:dyDescent="0.35">
      <c r="A2718" t="s">
        <v>19</v>
      </c>
      <c r="B2718" t="s">
        <v>26</v>
      </c>
      <c r="C2718" s="1">
        <v>45667</v>
      </c>
      <c r="D2718">
        <f t="shared" si="196"/>
        <v>10</v>
      </c>
      <c r="E2718">
        <f t="shared" si="197"/>
        <v>1</v>
      </c>
      <c r="F2718">
        <f t="shared" si="198"/>
        <v>2025</v>
      </c>
      <c r="G2718" t="s">
        <v>73</v>
      </c>
      <c r="H2718" s="98">
        <v>11992</v>
      </c>
      <c r="I2718" s="29">
        <v>76095.66</v>
      </c>
      <c r="J2718" s="12" t="s">
        <v>51</v>
      </c>
      <c r="K2718" s="76">
        <f t="shared" si="195"/>
        <v>78074.147160000008</v>
      </c>
      <c r="L2718">
        <v>1.026</v>
      </c>
      <c r="M2718" s="29">
        <v>0</v>
      </c>
      <c r="N2718" t="s">
        <v>32</v>
      </c>
      <c r="O2718" t="s">
        <v>33</v>
      </c>
      <c r="P2718" t="s">
        <v>34</v>
      </c>
      <c r="Q2718" t="s">
        <v>34</v>
      </c>
      <c r="R2718" t="s">
        <v>34</v>
      </c>
      <c r="S2718" t="s">
        <v>34</v>
      </c>
      <c r="T2718" s="117">
        <v>0</v>
      </c>
      <c r="U2718" s="209" t="s">
        <v>94</v>
      </c>
    </row>
    <row r="2719" spans="1:21" x14ac:dyDescent="0.35">
      <c r="A2719" t="s">
        <v>19</v>
      </c>
      <c r="B2719" t="s">
        <v>26</v>
      </c>
      <c r="C2719" s="1">
        <v>45667</v>
      </c>
      <c r="D2719">
        <f t="shared" si="196"/>
        <v>10</v>
      </c>
      <c r="E2719">
        <f t="shared" si="197"/>
        <v>1</v>
      </c>
      <c r="F2719">
        <f t="shared" si="198"/>
        <v>2025</v>
      </c>
      <c r="G2719" t="s">
        <v>73</v>
      </c>
      <c r="H2719" s="98">
        <v>12026</v>
      </c>
      <c r="I2719" s="29">
        <v>82143.5</v>
      </c>
      <c r="J2719" s="12" t="s">
        <v>51</v>
      </c>
      <c r="K2719" s="76">
        <f t="shared" si="195"/>
        <v>84279.231</v>
      </c>
      <c r="L2719">
        <v>1.026</v>
      </c>
      <c r="M2719" s="29">
        <v>0</v>
      </c>
      <c r="N2719" t="s">
        <v>32</v>
      </c>
      <c r="O2719" t="s">
        <v>33</v>
      </c>
      <c r="P2719" t="s">
        <v>34</v>
      </c>
      <c r="Q2719" t="s">
        <v>34</v>
      </c>
      <c r="R2719" t="s">
        <v>34</v>
      </c>
      <c r="S2719" t="s">
        <v>34</v>
      </c>
      <c r="T2719" s="117">
        <v>0</v>
      </c>
      <c r="U2719" s="209" t="s">
        <v>94</v>
      </c>
    </row>
    <row r="2720" spans="1:21" x14ac:dyDescent="0.35">
      <c r="A2720" t="s">
        <v>19</v>
      </c>
      <c r="B2720" t="s">
        <v>26</v>
      </c>
      <c r="C2720" s="1">
        <v>45667</v>
      </c>
      <c r="D2720">
        <f t="shared" si="196"/>
        <v>10</v>
      </c>
      <c r="E2720">
        <f t="shared" si="197"/>
        <v>1</v>
      </c>
      <c r="F2720">
        <f t="shared" si="198"/>
        <v>2025</v>
      </c>
      <c r="G2720" t="s">
        <v>73</v>
      </c>
      <c r="H2720" s="98">
        <v>12027</v>
      </c>
      <c r="I2720" s="29">
        <v>74899.72</v>
      </c>
      <c r="J2720" s="12" t="s">
        <v>51</v>
      </c>
      <c r="K2720" s="76">
        <f t="shared" si="195"/>
        <v>76847.112720000005</v>
      </c>
      <c r="L2720">
        <v>1.026</v>
      </c>
      <c r="M2720" s="29">
        <v>0</v>
      </c>
      <c r="N2720" t="s">
        <v>32</v>
      </c>
      <c r="O2720" t="s">
        <v>33</v>
      </c>
      <c r="P2720" t="s">
        <v>34</v>
      </c>
      <c r="Q2720" t="s">
        <v>34</v>
      </c>
      <c r="R2720" t="s">
        <v>34</v>
      </c>
      <c r="S2720" t="s">
        <v>34</v>
      </c>
      <c r="T2720" s="117">
        <v>0</v>
      </c>
      <c r="U2720" s="209" t="s">
        <v>94</v>
      </c>
    </row>
    <row r="2721" spans="1:21" x14ac:dyDescent="0.35">
      <c r="A2721" t="s">
        <v>19</v>
      </c>
      <c r="B2721" t="s">
        <v>26</v>
      </c>
      <c r="C2721" s="1">
        <v>45667</v>
      </c>
      <c r="D2721">
        <f t="shared" si="196"/>
        <v>10</v>
      </c>
      <c r="E2721">
        <f t="shared" si="197"/>
        <v>1</v>
      </c>
      <c r="F2721">
        <f t="shared" si="198"/>
        <v>2025</v>
      </c>
      <c r="G2721" t="s">
        <v>73</v>
      </c>
      <c r="H2721" s="98">
        <v>12038</v>
      </c>
      <c r="I2721" s="29">
        <v>86716.53</v>
      </c>
      <c r="J2721" s="12" t="s">
        <v>51</v>
      </c>
      <c r="K2721" s="76">
        <f t="shared" si="195"/>
        <v>88971.159780000002</v>
      </c>
      <c r="L2721">
        <v>1.026</v>
      </c>
      <c r="M2721" s="29">
        <v>0</v>
      </c>
      <c r="N2721" t="s">
        <v>32</v>
      </c>
      <c r="O2721" t="s">
        <v>33</v>
      </c>
      <c r="P2721" t="s">
        <v>34</v>
      </c>
      <c r="Q2721" t="s">
        <v>34</v>
      </c>
      <c r="R2721" t="s">
        <v>34</v>
      </c>
      <c r="S2721" t="s">
        <v>34</v>
      </c>
      <c r="T2721" s="117">
        <v>0</v>
      </c>
      <c r="U2721" s="209" t="s">
        <v>94</v>
      </c>
    </row>
    <row r="2722" spans="1:21" x14ac:dyDescent="0.35">
      <c r="A2722" t="s">
        <v>19</v>
      </c>
      <c r="B2722" t="s">
        <v>26</v>
      </c>
      <c r="C2722" s="1">
        <v>45667</v>
      </c>
      <c r="D2722">
        <f t="shared" si="196"/>
        <v>10</v>
      </c>
      <c r="E2722">
        <f t="shared" si="197"/>
        <v>1</v>
      </c>
      <c r="F2722">
        <f t="shared" si="198"/>
        <v>2025</v>
      </c>
      <c r="G2722" t="s">
        <v>73</v>
      </c>
      <c r="H2722" s="98">
        <v>12039</v>
      </c>
      <c r="I2722" s="29">
        <v>75959.61</v>
      </c>
      <c r="J2722" s="12" t="s">
        <v>51</v>
      </c>
      <c r="K2722" s="76">
        <f t="shared" si="195"/>
        <v>77934.559860000008</v>
      </c>
      <c r="L2722">
        <v>1.026</v>
      </c>
      <c r="M2722" s="29">
        <v>0</v>
      </c>
      <c r="N2722" t="s">
        <v>32</v>
      </c>
      <c r="O2722" t="s">
        <v>33</v>
      </c>
      <c r="P2722" t="s">
        <v>34</v>
      </c>
      <c r="Q2722" t="s">
        <v>34</v>
      </c>
      <c r="R2722" t="s">
        <v>34</v>
      </c>
      <c r="S2722" t="s">
        <v>34</v>
      </c>
      <c r="T2722" s="117">
        <v>0</v>
      </c>
      <c r="U2722" s="209" t="s">
        <v>94</v>
      </c>
    </row>
    <row r="2723" spans="1:21" x14ac:dyDescent="0.35">
      <c r="A2723" t="s">
        <v>19</v>
      </c>
      <c r="B2723" t="s">
        <v>26</v>
      </c>
      <c r="C2723" s="1">
        <v>45667</v>
      </c>
      <c r="D2723">
        <f t="shared" si="196"/>
        <v>10</v>
      </c>
      <c r="E2723">
        <f t="shared" si="197"/>
        <v>1</v>
      </c>
      <c r="F2723">
        <f t="shared" si="198"/>
        <v>2025</v>
      </c>
      <c r="G2723" t="s">
        <v>73</v>
      </c>
      <c r="H2723" s="98">
        <v>11807</v>
      </c>
      <c r="I2723" s="29">
        <v>2308</v>
      </c>
      <c r="J2723" s="12" t="s">
        <v>51</v>
      </c>
      <c r="K2723" s="76">
        <f t="shared" si="195"/>
        <v>2368.0080000000003</v>
      </c>
      <c r="L2723">
        <v>1.026</v>
      </c>
      <c r="M2723" s="29">
        <v>0</v>
      </c>
      <c r="N2723" t="s">
        <v>32</v>
      </c>
      <c r="O2723" t="s">
        <v>33</v>
      </c>
      <c r="P2723" t="s">
        <v>34</v>
      </c>
      <c r="Q2723" t="s">
        <v>34</v>
      </c>
      <c r="R2723" t="s">
        <v>34</v>
      </c>
      <c r="S2723" t="s">
        <v>34</v>
      </c>
      <c r="T2723" s="117">
        <v>0</v>
      </c>
      <c r="U2723" s="209" t="s">
        <v>94</v>
      </c>
    </row>
    <row r="2724" spans="1:21" x14ac:dyDescent="0.35">
      <c r="A2724" t="s">
        <v>19</v>
      </c>
      <c r="B2724" t="s">
        <v>26</v>
      </c>
      <c r="C2724" s="1">
        <v>45667</v>
      </c>
      <c r="D2724">
        <f t="shared" si="196"/>
        <v>10</v>
      </c>
      <c r="E2724">
        <f t="shared" si="197"/>
        <v>1</v>
      </c>
      <c r="F2724">
        <f t="shared" si="198"/>
        <v>2025</v>
      </c>
      <c r="G2724" t="s">
        <v>73</v>
      </c>
      <c r="H2724" s="98">
        <v>12077</v>
      </c>
      <c r="I2724" s="29">
        <v>80726.350000000006</v>
      </c>
      <c r="J2724" s="12" t="s">
        <v>51</v>
      </c>
      <c r="K2724" s="76">
        <f t="shared" si="195"/>
        <v>82825.235100000005</v>
      </c>
      <c r="L2724">
        <v>1.026</v>
      </c>
      <c r="M2724" s="29">
        <v>0</v>
      </c>
      <c r="N2724" t="s">
        <v>32</v>
      </c>
      <c r="O2724" t="s">
        <v>33</v>
      </c>
      <c r="P2724" t="s">
        <v>34</v>
      </c>
      <c r="Q2724" t="s">
        <v>34</v>
      </c>
      <c r="R2724" t="s">
        <v>34</v>
      </c>
      <c r="S2724" t="s">
        <v>34</v>
      </c>
      <c r="T2724" s="117">
        <v>0</v>
      </c>
      <c r="U2724" s="209" t="s">
        <v>94</v>
      </c>
    </row>
    <row r="2725" spans="1:21" x14ac:dyDescent="0.35">
      <c r="A2725" t="s">
        <v>19</v>
      </c>
      <c r="B2725" t="s">
        <v>26</v>
      </c>
      <c r="C2725" s="1">
        <v>45667</v>
      </c>
      <c r="D2725">
        <f t="shared" si="196"/>
        <v>10</v>
      </c>
      <c r="E2725">
        <f t="shared" si="197"/>
        <v>1</v>
      </c>
      <c r="F2725">
        <f t="shared" si="198"/>
        <v>2025</v>
      </c>
      <c r="G2725" t="s">
        <v>73</v>
      </c>
      <c r="H2725" s="98">
        <v>12079</v>
      </c>
      <c r="I2725" s="29">
        <v>13051.62</v>
      </c>
      <c r="J2725" s="12" t="s">
        <v>51</v>
      </c>
      <c r="K2725" s="76">
        <f t="shared" si="195"/>
        <v>13390.962120000002</v>
      </c>
      <c r="L2725">
        <v>1.026</v>
      </c>
      <c r="M2725" s="29">
        <v>0</v>
      </c>
      <c r="N2725" t="s">
        <v>32</v>
      </c>
      <c r="O2725" t="s">
        <v>33</v>
      </c>
      <c r="P2725" t="s">
        <v>34</v>
      </c>
      <c r="Q2725" t="s">
        <v>34</v>
      </c>
      <c r="R2725" t="s">
        <v>34</v>
      </c>
      <c r="S2725" t="s">
        <v>34</v>
      </c>
      <c r="T2725" s="117">
        <v>0</v>
      </c>
      <c r="U2725" s="209" t="s">
        <v>94</v>
      </c>
    </row>
    <row r="2726" spans="1:21" x14ac:dyDescent="0.35">
      <c r="A2726" t="s">
        <v>19</v>
      </c>
      <c r="B2726" t="s">
        <v>27</v>
      </c>
      <c r="C2726" s="1">
        <v>45671</v>
      </c>
      <c r="D2726">
        <f t="shared" si="196"/>
        <v>14</v>
      </c>
      <c r="E2726">
        <f t="shared" si="197"/>
        <v>1</v>
      </c>
      <c r="F2726">
        <f t="shared" si="198"/>
        <v>2025</v>
      </c>
      <c r="G2726" t="s">
        <v>100</v>
      </c>
      <c r="H2726" s="98">
        <v>11622</v>
      </c>
      <c r="I2726" s="29">
        <v>129000</v>
      </c>
      <c r="J2726" s="12" t="s">
        <v>31</v>
      </c>
      <c r="K2726" s="76">
        <f t="shared" si="195"/>
        <v>129000</v>
      </c>
      <c r="L2726">
        <v>1</v>
      </c>
      <c r="M2726" s="29">
        <v>0</v>
      </c>
      <c r="N2726" t="s">
        <v>32</v>
      </c>
      <c r="O2726" t="s">
        <v>33</v>
      </c>
      <c r="P2726" t="s">
        <v>34</v>
      </c>
      <c r="Q2726" t="s">
        <v>34</v>
      </c>
      <c r="R2726" t="s">
        <v>34</v>
      </c>
      <c r="S2726" t="s">
        <v>34</v>
      </c>
      <c r="T2726" s="117">
        <v>0</v>
      </c>
    </row>
    <row r="2727" spans="1:21" x14ac:dyDescent="0.35">
      <c r="A2727" t="s">
        <v>19</v>
      </c>
      <c r="B2727" t="s">
        <v>27</v>
      </c>
      <c r="C2727" s="1">
        <v>45671</v>
      </c>
      <c r="D2727">
        <f t="shared" si="196"/>
        <v>14</v>
      </c>
      <c r="E2727">
        <f t="shared" si="197"/>
        <v>1</v>
      </c>
      <c r="F2727">
        <f t="shared" si="198"/>
        <v>2025</v>
      </c>
      <c r="G2727" t="s">
        <v>100</v>
      </c>
      <c r="H2727" s="98">
        <v>11404</v>
      </c>
      <c r="I2727" s="29">
        <v>330000</v>
      </c>
      <c r="J2727" s="12" t="s">
        <v>31</v>
      </c>
      <c r="K2727" s="76">
        <f t="shared" si="195"/>
        <v>330000</v>
      </c>
      <c r="L2727">
        <v>1</v>
      </c>
      <c r="M2727" s="29">
        <v>0</v>
      </c>
      <c r="N2727" t="s">
        <v>32</v>
      </c>
      <c r="O2727" t="s">
        <v>33</v>
      </c>
      <c r="P2727" t="s">
        <v>34</v>
      </c>
      <c r="Q2727" t="s">
        <v>34</v>
      </c>
      <c r="R2727" t="s">
        <v>34</v>
      </c>
      <c r="S2727" t="s">
        <v>34</v>
      </c>
      <c r="T2727" s="117">
        <v>0</v>
      </c>
    </row>
    <row r="2728" spans="1:21" x14ac:dyDescent="0.35">
      <c r="A2728" t="s">
        <v>19</v>
      </c>
      <c r="B2728" t="s">
        <v>23</v>
      </c>
      <c r="C2728" s="1">
        <v>45672</v>
      </c>
      <c r="D2728">
        <f t="shared" si="196"/>
        <v>15</v>
      </c>
      <c r="E2728">
        <f t="shared" si="197"/>
        <v>1</v>
      </c>
      <c r="F2728">
        <f t="shared" si="198"/>
        <v>2025</v>
      </c>
      <c r="G2728" t="s">
        <v>76</v>
      </c>
      <c r="H2728" s="98">
        <v>11960</v>
      </c>
      <c r="I2728" s="29">
        <v>33934.199999999997</v>
      </c>
      <c r="J2728" s="12" t="s">
        <v>31</v>
      </c>
      <c r="K2728" s="76">
        <f t="shared" si="195"/>
        <v>33934.199999999997</v>
      </c>
      <c r="L2728">
        <v>1</v>
      </c>
      <c r="M2728" s="29">
        <v>0</v>
      </c>
      <c r="N2728" t="s">
        <v>42</v>
      </c>
      <c r="O2728" t="s">
        <v>33</v>
      </c>
      <c r="P2728" t="s">
        <v>34</v>
      </c>
      <c r="Q2728" t="s">
        <v>34</v>
      </c>
      <c r="R2728" t="s">
        <v>34</v>
      </c>
      <c r="S2728" t="s">
        <v>34</v>
      </c>
      <c r="T2728" s="117">
        <v>0</v>
      </c>
    </row>
    <row r="2729" spans="1:21" x14ac:dyDescent="0.35">
      <c r="A2729" t="s">
        <v>19</v>
      </c>
      <c r="B2729" t="s">
        <v>23</v>
      </c>
      <c r="C2729" s="1">
        <v>45672</v>
      </c>
      <c r="D2729">
        <f t="shared" si="196"/>
        <v>15</v>
      </c>
      <c r="E2729">
        <f t="shared" si="197"/>
        <v>1</v>
      </c>
      <c r="F2729">
        <f t="shared" si="198"/>
        <v>2025</v>
      </c>
      <c r="G2729" t="s">
        <v>77</v>
      </c>
      <c r="H2729" s="98">
        <v>11336</v>
      </c>
      <c r="I2729" s="29">
        <v>6312.5</v>
      </c>
      <c r="J2729" s="12" t="s">
        <v>31</v>
      </c>
      <c r="K2729" s="76">
        <f t="shared" si="195"/>
        <v>6312.5</v>
      </c>
      <c r="L2729">
        <v>1</v>
      </c>
      <c r="M2729" s="29">
        <v>0</v>
      </c>
      <c r="N2729" t="s">
        <v>42</v>
      </c>
      <c r="O2729" t="s">
        <v>33</v>
      </c>
      <c r="P2729" t="s">
        <v>34</v>
      </c>
      <c r="Q2729" t="s">
        <v>34</v>
      </c>
      <c r="R2729" t="s">
        <v>34</v>
      </c>
      <c r="S2729" t="s">
        <v>34</v>
      </c>
      <c r="T2729" s="117">
        <v>0</v>
      </c>
    </row>
    <row r="2730" spans="1:21" x14ac:dyDescent="0.35">
      <c r="A2730" t="s">
        <v>19</v>
      </c>
      <c r="B2730" t="s">
        <v>21</v>
      </c>
      <c r="C2730" s="1">
        <v>45672</v>
      </c>
      <c r="D2730">
        <f t="shared" si="196"/>
        <v>15</v>
      </c>
      <c r="E2730">
        <f t="shared" si="197"/>
        <v>1</v>
      </c>
      <c r="F2730">
        <f t="shared" si="198"/>
        <v>2025</v>
      </c>
      <c r="G2730" t="s">
        <v>77</v>
      </c>
      <c r="H2730" s="98">
        <v>11336</v>
      </c>
      <c r="I2730" s="29">
        <v>11785.2</v>
      </c>
      <c r="J2730" s="12" t="s">
        <v>31</v>
      </c>
      <c r="K2730" s="76">
        <f t="shared" si="195"/>
        <v>11785.2</v>
      </c>
      <c r="L2730">
        <v>1</v>
      </c>
      <c r="M2730" s="29">
        <v>0</v>
      </c>
      <c r="N2730" t="s">
        <v>42</v>
      </c>
      <c r="O2730" t="s">
        <v>33</v>
      </c>
      <c r="P2730" t="s">
        <v>34</v>
      </c>
      <c r="Q2730" t="s">
        <v>34</v>
      </c>
      <c r="R2730" t="s">
        <v>34</v>
      </c>
      <c r="S2730" t="s">
        <v>34</v>
      </c>
      <c r="T2730" s="117">
        <v>0</v>
      </c>
    </row>
    <row r="2731" spans="1:21" x14ac:dyDescent="0.35">
      <c r="A2731" t="s">
        <v>19</v>
      </c>
      <c r="B2731" t="s">
        <v>23</v>
      </c>
      <c r="C2731" s="1">
        <v>45672</v>
      </c>
      <c r="D2731">
        <f t="shared" si="196"/>
        <v>15</v>
      </c>
      <c r="E2731">
        <f t="shared" si="197"/>
        <v>1</v>
      </c>
      <c r="F2731">
        <f t="shared" si="198"/>
        <v>2025</v>
      </c>
      <c r="G2731" t="s">
        <v>77</v>
      </c>
      <c r="H2731" s="98">
        <v>12087</v>
      </c>
      <c r="I2731" s="29">
        <v>3690</v>
      </c>
      <c r="J2731" s="12" t="s">
        <v>31</v>
      </c>
      <c r="K2731" s="76">
        <f t="shared" si="195"/>
        <v>3690</v>
      </c>
      <c r="L2731">
        <v>1</v>
      </c>
      <c r="M2731" s="29">
        <v>0</v>
      </c>
      <c r="N2731" t="s">
        <v>42</v>
      </c>
      <c r="O2731" t="s">
        <v>33</v>
      </c>
      <c r="P2731" t="s">
        <v>34</v>
      </c>
      <c r="Q2731" t="s">
        <v>34</v>
      </c>
      <c r="R2731" t="s">
        <v>34</v>
      </c>
      <c r="S2731" t="s">
        <v>34</v>
      </c>
      <c r="T2731" s="117">
        <v>0</v>
      </c>
    </row>
    <row r="2732" spans="1:21" x14ac:dyDescent="0.35">
      <c r="A2732" t="s">
        <v>19</v>
      </c>
      <c r="B2732" t="s">
        <v>21</v>
      </c>
      <c r="C2732" s="1">
        <v>45672</v>
      </c>
      <c r="D2732">
        <f t="shared" si="196"/>
        <v>15</v>
      </c>
      <c r="E2732">
        <f t="shared" si="197"/>
        <v>1</v>
      </c>
      <c r="F2732">
        <f t="shared" si="198"/>
        <v>2025</v>
      </c>
      <c r="G2732" t="s">
        <v>77</v>
      </c>
      <c r="H2732" s="98">
        <v>12089</v>
      </c>
      <c r="I2732" s="29">
        <v>71.400000000000006</v>
      </c>
      <c r="J2732" s="12" t="s">
        <v>31</v>
      </c>
      <c r="K2732" s="76">
        <f t="shared" si="195"/>
        <v>71.400000000000006</v>
      </c>
      <c r="L2732">
        <v>1</v>
      </c>
      <c r="M2732" s="29">
        <v>0</v>
      </c>
      <c r="N2732" t="s">
        <v>42</v>
      </c>
      <c r="O2732" t="s">
        <v>33</v>
      </c>
      <c r="P2732" t="s">
        <v>34</v>
      </c>
      <c r="Q2732" t="s">
        <v>34</v>
      </c>
      <c r="R2732" t="s">
        <v>34</v>
      </c>
      <c r="S2732" t="s">
        <v>34</v>
      </c>
      <c r="T2732" s="117">
        <v>0</v>
      </c>
    </row>
    <row r="2733" spans="1:21" x14ac:dyDescent="0.35">
      <c r="A2733" t="s">
        <v>19</v>
      </c>
      <c r="B2733" t="s">
        <v>21</v>
      </c>
      <c r="C2733" s="1">
        <v>45672</v>
      </c>
      <c r="D2733">
        <f t="shared" si="196"/>
        <v>15</v>
      </c>
      <c r="E2733">
        <f t="shared" si="197"/>
        <v>1</v>
      </c>
      <c r="F2733">
        <f t="shared" si="198"/>
        <v>2025</v>
      </c>
      <c r="G2733" t="s">
        <v>77</v>
      </c>
      <c r="H2733" s="98">
        <v>12088</v>
      </c>
      <c r="I2733" s="29">
        <v>5365.71</v>
      </c>
      <c r="J2733" s="12" t="s">
        <v>31</v>
      </c>
      <c r="K2733" s="76">
        <f t="shared" si="195"/>
        <v>5365.71</v>
      </c>
      <c r="L2733">
        <v>1</v>
      </c>
      <c r="M2733" s="29">
        <v>0</v>
      </c>
      <c r="N2733" t="s">
        <v>42</v>
      </c>
      <c r="O2733" t="s">
        <v>33</v>
      </c>
      <c r="P2733" t="s">
        <v>34</v>
      </c>
      <c r="Q2733" t="s">
        <v>34</v>
      </c>
      <c r="R2733" t="s">
        <v>34</v>
      </c>
      <c r="S2733" t="s">
        <v>34</v>
      </c>
      <c r="T2733" s="117">
        <v>0</v>
      </c>
    </row>
    <row r="2734" spans="1:21" x14ac:dyDescent="0.35">
      <c r="A2734" t="s">
        <v>19</v>
      </c>
      <c r="B2734" t="s">
        <v>27</v>
      </c>
      <c r="C2734" s="1">
        <v>45672</v>
      </c>
      <c r="D2734">
        <f t="shared" si="196"/>
        <v>15</v>
      </c>
      <c r="E2734">
        <f t="shared" si="197"/>
        <v>1</v>
      </c>
      <c r="F2734">
        <f t="shared" si="198"/>
        <v>2025</v>
      </c>
      <c r="G2734" t="s">
        <v>100</v>
      </c>
      <c r="H2734" s="98">
        <v>11622</v>
      </c>
      <c r="I2734" s="29">
        <v>126047.4</v>
      </c>
      <c r="J2734" s="12" t="s">
        <v>31</v>
      </c>
      <c r="K2734" s="76">
        <f t="shared" si="195"/>
        <v>126047.4</v>
      </c>
      <c r="L2734">
        <v>1</v>
      </c>
      <c r="M2734" s="29">
        <v>0</v>
      </c>
      <c r="N2734" t="s">
        <v>32</v>
      </c>
      <c r="O2734" t="s">
        <v>33</v>
      </c>
      <c r="P2734" t="s">
        <v>34</v>
      </c>
      <c r="Q2734" t="s">
        <v>34</v>
      </c>
      <c r="R2734" t="s">
        <v>34</v>
      </c>
      <c r="S2734" t="s">
        <v>34</v>
      </c>
      <c r="T2734" s="117">
        <v>0</v>
      </c>
    </row>
    <row r="2735" spans="1:21" x14ac:dyDescent="0.35">
      <c r="A2735" t="s">
        <v>19</v>
      </c>
      <c r="B2735" t="s">
        <v>23</v>
      </c>
      <c r="C2735" s="1">
        <v>45672</v>
      </c>
      <c r="D2735">
        <f t="shared" si="196"/>
        <v>15</v>
      </c>
      <c r="E2735">
        <f t="shared" si="197"/>
        <v>1</v>
      </c>
      <c r="F2735">
        <f t="shared" si="198"/>
        <v>2025</v>
      </c>
      <c r="G2735" t="s">
        <v>75</v>
      </c>
      <c r="H2735" s="171">
        <v>12007</v>
      </c>
      <c r="I2735" s="90">
        <v>35000</v>
      </c>
      <c r="J2735" s="12" t="s">
        <v>31</v>
      </c>
      <c r="K2735" s="76">
        <f t="shared" si="195"/>
        <v>35000</v>
      </c>
      <c r="L2735">
        <v>1</v>
      </c>
      <c r="M2735" s="29">
        <v>0</v>
      </c>
      <c r="N2735" t="s">
        <v>42</v>
      </c>
      <c r="O2735" t="s">
        <v>33</v>
      </c>
      <c r="P2735" t="s">
        <v>34</v>
      </c>
      <c r="Q2735" t="s">
        <v>34</v>
      </c>
      <c r="R2735" t="s">
        <v>34</v>
      </c>
      <c r="S2735" t="s">
        <v>34</v>
      </c>
      <c r="T2735" s="117">
        <v>0</v>
      </c>
    </row>
    <row r="2736" spans="1:21" x14ac:dyDescent="0.35">
      <c r="A2736" t="s">
        <v>19</v>
      </c>
      <c r="B2736" t="s">
        <v>25</v>
      </c>
      <c r="C2736" s="1">
        <v>45672</v>
      </c>
      <c r="D2736">
        <f t="shared" si="196"/>
        <v>15</v>
      </c>
      <c r="E2736">
        <f t="shared" si="197"/>
        <v>1</v>
      </c>
      <c r="F2736">
        <f t="shared" si="198"/>
        <v>2025</v>
      </c>
      <c r="G2736" t="s">
        <v>36</v>
      </c>
      <c r="H2736" s="98">
        <v>11270</v>
      </c>
      <c r="I2736" s="29">
        <v>46024.97</v>
      </c>
      <c r="J2736" s="12" t="s">
        <v>31</v>
      </c>
      <c r="K2736" s="76">
        <f t="shared" si="195"/>
        <v>46024.97</v>
      </c>
      <c r="L2736">
        <v>1</v>
      </c>
      <c r="M2736" s="29">
        <v>0</v>
      </c>
      <c r="N2736" t="s">
        <v>32</v>
      </c>
      <c r="O2736" t="s">
        <v>33</v>
      </c>
      <c r="P2736" t="s">
        <v>34</v>
      </c>
      <c r="Q2736" t="s">
        <v>34</v>
      </c>
      <c r="R2736" t="s">
        <v>34</v>
      </c>
      <c r="S2736" t="s">
        <v>34</v>
      </c>
      <c r="T2736" s="117">
        <v>0</v>
      </c>
    </row>
    <row r="2737" spans="1:20" x14ac:dyDescent="0.35">
      <c r="A2737" t="s">
        <v>19</v>
      </c>
      <c r="B2737" t="s">
        <v>21</v>
      </c>
      <c r="C2737" s="1">
        <v>45672</v>
      </c>
      <c r="D2737">
        <f t="shared" si="196"/>
        <v>15</v>
      </c>
      <c r="E2737">
        <f t="shared" si="197"/>
        <v>1</v>
      </c>
      <c r="F2737">
        <f t="shared" si="198"/>
        <v>2025</v>
      </c>
      <c r="G2737" t="s">
        <v>36</v>
      </c>
      <c r="H2737" s="98">
        <v>11270</v>
      </c>
      <c r="I2737" s="29">
        <v>16997.03</v>
      </c>
      <c r="J2737" s="12" t="s">
        <v>31</v>
      </c>
      <c r="K2737" s="76">
        <f t="shared" si="195"/>
        <v>16997.03</v>
      </c>
      <c r="L2737">
        <v>1</v>
      </c>
      <c r="M2737" s="29">
        <v>0</v>
      </c>
      <c r="N2737" t="s">
        <v>32</v>
      </c>
      <c r="O2737" t="s">
        <v>33</v>
      </c>
      <c r="P2737" t="s">
        <v>34</v>
      </c>
      <c r="Q2737" t="s">
        <v>34</v>
      </c>
      <c r="R2737" t="s">
        <v>34</v>
      </c>
      <c r="S2737" t="s">
        <v>34</v>
      </c>
      <c r="T2737" s="117">
        <v>0</v>
      </c>
    </row>
    <row r="2738" spans="1:20" x14ac:dyDescent="0.35">
      <c r="A2738" t="s">
        <v>19</v>
      </c>
      <c r="B2738" t="s">
        <v>24</v>
      </c>
      <c r="C2738" s="1">
        <v>45672</v>
      </c>
      <c r="D2738">
        <f t="shared" si="196"/>
        <v>15</v>
      </c>
      <c r="E2738">
        <f t="shared" si="197"/>
        <v>1</v>
      </c>
      <c r="F2738">
        <f t="shared" si="198"/>
        <v>2025</v>
      </c>
      <c r="G2738" t="s">
        <v>36</v>
      </c>
      <c r="H2738" s="98">
        <v>11339</v>
      </c>
      <c r="I2738" s="29">
        <v>28382.79</v>
      </c>
      <c r="J2738" s="12" t="s">
        <v>31</v>
      </c>
      <c r="K2738" s="76">
        <f t="shared" si="195"/>
        <v>28382.79</v>
      </c>
      <c r="L2738">
        <v>1</v>
      </c>
      <c r="M2738" s="29">
        <v>0</v>
      </c>
      <c r="N2738" t="s">
        <v>32</v>
      </c>
      <c r="O2738" t="s">
        <v>33</v>
      </c>
      <c r="P2738" t="s">
        <v>34</v>
      </c>
      <c r="Q2738" t="s">
        <v>34</v>
      </c>
      <c r="R2738" t="s">
        <v>34</v>
      </c>
      <c r="S2738" t="s">
        <v>34</v>
      </c>
      <c r="T2738" s="117">
        <v>0</v>
      </c>
    </row>
    <row r="2739" spans="1:20" x14ac:dyDescent="0.35">
      <c r="A2739" t="s">
        <v>19</v>
      </c>
      <c r="B2739" t="s">
        <v>25</v>
      </c>
      <c r="C2739" s="1">
        <v>45672</v>
      </c>
      <c r="D2739">
        <f t="shared" si="196"/>
        <v>15</v>
      </c>
      <c r="E2739">
        <f t="shared" si="197"/>
        <v>1</v>
      </c>
      <c r="F2739">
        <f t="shared" si="198"/>
        <v>2025</v>
      </c>
      <c r="G2739" t="s">
        <v>36</v>
      </c>
      <c r="H2739" s="98">
        <v>11339</v>
      </c>
      <c r="I2739" s="29">
        <v>9198.48</v>
      </c>
      <c r="J2739" s="12" t="s">
        <v>31</v>
      </c>
      <c r="K2739" s="76">
        <f t="shared" si="195"/>
        <v>9198.48</v>
      </c>
      <c r="L2739">
        <v>1</v>
      </c>
      <c r="M2739" s="29">
        <v>0</v>
      </c>
      <c r="N2739" t="s">
        <v>32</v>
      </c>
      <c r="O2739" t="s">
        <v>33</v>
      </c>
      <c r="P2739" t="s">
        <v>34</v>
      </c>
      <c r="Q2739" t="s">
        <v>34</v>
      </c>
      <c r="R2739" t="s">
        <v>34</v>
      </c>
      <c r="S2739" t="s">
        <v>34</v>
      </c>
      <c r="T2739" s="117">
        <v>0</v>
      </c>
    </row>
    <row r="2740" spans="1:20" x14ac:dyDescent="0.35">
      <c r="A2740" t="s">
        <v>19</v>
      </c>
      <c r="B2740" t="s">
        <v>21</v>
      </c>
      <c r="C2740" s="1">
        <v>45672</v>
      </c>
      <c r="D2740">
        <f t="shared" si="196"/>
        <v>15</v>
      </c>
      <c r="E2740">
        <f t="shared" si="197"/>
        <v>1</v>
      </c>
      <c r="F2740">
        <f t="shared" si="198"/>
        <v>2025</v>
      </c>
      <c r="G2740" t="s">
        <v>36</v>
      </c>
      <c r="H2740" s="98">
        <v>11339</v>
      </c>
      <c r="I2740" s="29">
        <v>58436.28</v>
      </c>
      <c r="J2740" s="12" t="s">
        <v>31</v>
      </c>
      <c r="K2740" s="76">
        <f t="shared" si="195"/>
        <v>58436.28</v>
      </c>
      <c r="L2740">
        <v>1</v>
      </c>
      <c r="M2740" s="29">
        <v>0</v>
      </c>
      <c r="N2740" t="s">
        <v>32</v>
      </c>
      <c r="O2740" t="s">
        <v>33</v>
      </c>
      <c r="P2740" t="s">
        <v>34</v>
      </c>
      <c r="Q2740" t="s">
        <v>34</v>
      </c>
      <c r="R2740" t="s">
        <v>34</v>
      </c>
      <c r="S2740" t="s">
        <v>34</v>
      </c>
      <c r="T2740" s="117">
        <v>0</v>
      </c>
    </row>
    <row r="2741" spans="1:20" x14ac:dyDescent="0.35">
      <c r="A2741" t="s">
        <v>19</v>
      </c>
      <c r="B2741" t="s">
        <v>24</v>
      </c>
      <c r="C2741" s="1">
        <v>45672</v>
      </c>
      <c r="D2741">
        <f t="shared" si="196"/>
        <v>15</v>
      </c>
      <c r="E2741">
        <f t="shared" si="197"/>
        <v>1</v>
      </c>
      <c r="F2741">
        <f t="shared" si="198"/>
        <v>2025</v>
      </c>
      <c r="G2741" t="s">
        <v>39</v>
      </c>
      <c r="H2741" s="98">
        <v>11527</v>
      </c>
      <c r="I2741" s="29">
        <v>81</v>
      </c>
      <c r="J2741" s="12" t="s">
        <v>31</v>
      </c>
      <c r="K2741" s="76">
        <f t="shared" si="195"/>
        <v>81</v>
      </c>
      <c r="L2741">
        <v>1</v>
      </c>
      <c r="M2741" s="29">
        <v>0</v>
      </c>
      <c r="N2741" t="s">
        <v>32</v>
      </c>
      <c r="O2741" t="s">
        <v>33</v>
      </c>
      <c r="P2741" t="s">
        <v>34</v>
      </c>
      <c r="Q2741" t="s">
        <v>34</v>
      </c>
      <c r="R2741" t="s">
        <v>34</v>
      </c>
      <c r="S2741" t="s">
        <v>34</v>
      </c>
      <c r="T2741" s="117">
        <v>0</v>
      </c>
    </row>
    <row r="2742" spans="1:20" x14ac:dyDescent="0.35">
      <c r="A2742" t="s">
        <v>19</v>
      </c>
      <c r="B2742" t="s">
        <v>25</v>
      </c>
      <c r="C2742" s="1">
        <v>45672</v>
      </c>
      <c r="D2742">
        <f t="shared" si="196"/>
        <v>15</v>
      </c>
      <c r="E2742">
        <f t="shared" si="197"/>
        <v>1</v>
      </c>
      <c r="F2742">
        <f t="shared" si="198"/>
        <v>2025</v>
      </c>
      <c r="G2742" t="s">
        <v>39</v>
      </c>
      <c r="H2742" s="98">
        <v>11907</v>
      </c>
      <c r="I2742" s="29">
        <v>9475.74</v>
      </c>
      <c r="J2742" s="12" t="s">
        <v>31</v>
      </c>
      <c r="K2742" s="76">
        <f t="shared" si="195"/>
        <v>9475.74</v>
      </c>
      <c r="L2742">
        <v>1</v>
      </c>
      <c r="M2742" s="29">
        <v>0</v>
      </c>
      <c r="N2742" t="s">
        <v>32</v>
      </c>
      <c r="O2742" t="s">
        <v>33</v>
      </c>
      <c r="P2742" t="s">
        <v>34</v>
      </c>
      <c r="Q2742" t="s">
        <v>34</v>
      </c>
      <c r="R2742" t="s">
        <v>34</v>
      </c>
      <c r="S2742" t="s">
        <v>34</v>
      </c>
      <c r="T2742" s="117">
        <v>0</v>
      </c>
    </row>
    <row r="2743" spans="1:20" x14ac:dyDescent="0.35">
      <c r="A2743" t="s">
        <v>19</v>
      </c>
      <c r="B2743" t="s">
        <v>21</v>
      </c>
      <c r="C2743" s="1">
        <v>45672</v>
      </c>
      <c r="D2743">
        <f t="shared" si="196"/>
        <v>15</v>
      </c>
      <c r="E2743">
        <f t="shared" si="197"/>
        <v>1</v>
      </c>
      <c r="F2743">
        <f t="shared" si="198"/>
        <v>2025</v>
      </c>
      <c r="G2743" t="s">
        <v>39</v>
      </c>
      <c r="H2743" s="98">
        <v>11981</v>
      </c>
      <c r="I2743" s="29">
        <v>19.2</v>
      </c>
      <c r="J2743" s="12" t="s">
        <v>31</v>
      </c>
      <c r="K2743" s="76">
        <f t="shared" si="195"/>
        <v>19.2</v>
      </c>
      <c r="L2743">
        <v>1</v>
      </c>
      <c r="M2743" s="29">
        <v>0</v>
      </c>
      <c r="N2743" t="s">
        <v>32</v>
      </c>
      <c r="O2743" t="s">
        <v>33</v>
      </c>
      <c r="P2743" t="s">
        <v>34</v>
      </c>
      <c r="Q2743" t="s">
        <v>34</v>
      </c>
      <c r="R2743" t="s">
        <v>34</v>
      </c>
      <c r="S2743" t="s">
        <v>34</v>
      </c>
      <c r="T2743" s="117">
        <v>0</v>
      </c>
    </row>
    <row r="2744" spans="1:20" x14ac:dyDescent="0.35">
      <c r="A2744" t="s">
        <v>19</v>
      </c>
      <c r="B2744" t="s">
        <v>25</v>
      </c>
      <c r="C2744" s="1">
        <v>45672</v>
      </c>
      <c r="D2744">
        <f t="shared" si="196"/>
        <v>15</v>
      </c>
      <c r="E2744">
        <f t="shared" si="197"/>
        <v>1</v>
      </c>
      <c r="F2744">
        <f t="shared" si="198"/>
        <v>2025</v>
      </c>
      <c r="G2744" t="s">
        <v>80</v>
      </c>
      <c r="H2744" s="98">
        <v>12036</v>
      </c>
      <c r="I2744" s="29">
        <v>28667.4</v>
      </c>
      <c r="J2744" s="12" t="s">
        <v>31</v>
      </c>
      <c r="K2744" s="76">
        <f t="shared" si="195"/>
        <v>28667.4</v>
      </c>
      <c r="L2744">
        <v>1</v>
      </c>
      <c r="M2744" s="29">
        <v>0</v>
      </c>
      <c r="N2744" t="s">
        <v>42</v>
      </c>
      <c r="O2744" t="s">
        <v>33</v>
      </c>
      <c r="P2744" t="s">
        <v>34</v>
      </c>
      <c r="Q2744" t="s">
        <v>34</v>
      </c>
      <c r="R2744" t="s">
        <v>34</v>
      </c>
      <c r="S2744" t="s">
        <v>34</v>
      </c>
      <c r="T2744" s="117">
        <v>0</v>
      </c>
    </row>
    <row r="2745" spans="1:20" x14ac:dyDescent="0.35">
      <c r="A2745" t="s">
        <v>19</v>
      </c>
      <c r="B2745" t="s">
        <v>25</v>
      </c>
      <c r="C2745" s="1">
        <v>45672</v>
      </c>
      <c r="D2745">
        <f t="shared" si="196"/>
        <v>15</v>
      </c>
      <c r="E2745">
        <f t="shared" si="197"/>
        <v>1</v>
      </c>
      <c r="F2745">
        <f t="shared" si="198"/>
        <v>2025</v>
      </c>
      <c r="G2745" t="s">
        <v>38</v>
      </c>
      <c r="H2745" s="98">
        <v>10828</v>
      </c>
      <c r="I2745" s="29">
        <v>33172.080000000002</v>
      </c>
      <c r="J2745" s="12" t="s">
        <v>31</v>
      </c>
      <c r="K2745" s="76">
        <f t="shared" si="195"/>
        <v>33172.080000000002</v>
      </c>
      <c r="L2745">
        <v>1</v>
      </c>
      <c r="M2745" s="29">
        <v>0</v>
      </c>
      <c r="N2745" t="s">
        <v>32</v>
      </c>
      <c r="O2745" t="s">
        <v>33</v>
      </c>
      <c r="P2745" t="s">
        <v>34</v>
      </c>
      <c r="Q2745" t="s">
        <v>34</v>
      </c>
      <c r="R2745" t="s">
        <v>34</v>
      </c>
      <c r="S2745" t="s">
        <v>34</v>
      </c>
      <c r="T2745" s="117">
        <v>0</v>
      </c>
    </row>
    <row r="2746" spans="1:20" x14ac:dyDescent="0.35">
      <c r="A2746" t="s">
        <v>19</v>
      </c>
      <c r="B2746" t="s">
        <v>24</v>
      </c>
      <c r="C2746" s="1">
        <v>45672</v>
      </c>
      <c r="D2746">
        <f t="shared" si="196"/>
        <v>15</v>
      </c>
      <c r="E2746">
        <f t="shared" si="197"/>
        <v>1</v>
      </c>
      <c r="F2746">
        <f t="shared" si="198"/>
        <v>2025</v>
      </c>
      <c r="G2746" t="s">
        <v>35</v>
      </c>
      <c r="H2746" s="98">
        <v>11113</v>
      </c>
      <c r="I2746" s="90">
        <v>10867.5</v>
      </c>
      <c r="J2746" s="12" t="s">
        <v>31</v>
      </c>
      <c r="K2746" s="76">
        <f t="shared" si="195"/>
        <v>10867.5</v>
      </c>
      <c r="L2746">
        <v>1</v>
      </c>
      <c r="M2746" s="29">
        <v>0</v>
      </c>
      <c r="N2746" t="s">
        <v>32</v>
      </c>
      <c r="O2746" t="s">
        <v>33</v>
      </c>
      <c r="P2746" t="s">
        <v>34</v>
      </c>
      <c r="Q2746" t="s">
        <v>34</v>
      </c>
      <c r="R2746" t="s">
        <v>34</v>
      </c>
      <c r="S2746" t="s">
        <v>34</v>
      </c>
      <c r="T2746" s="117">
        <v>0</v>
      </c>
    </row>
    <row r="2747" spans="1:20" x14ac:dyDescent="0.35">
      <c r="A2747" t="s">
        <v>19</v>
      </c>
      <c r="B2747" t="s">
        <v>25</v>
      </c>
      <c r="C2747" s="1">
        <v>45672</v>
      </c>
      <c r="D2747">
        <f t="shared" si="196"/>
        <v>15</v>
      </c>
      <c r="E2747">
        <f t="shared" si="197"/>
        <v>1</v>
      </c>
      <c r="F2747">
        <f t="shared" si="198"/>
        <v>2025</v>
      </c>
      <c r="G2747" t="s">
        <v>93</v>
      </c>
      <c r="H2747" s="171">
        <v>11115</v>
      </c>
      <c r="I2747" s="90">
        <v>8775</v>
      </c>
      <c r="J2747" s="12" t="s">
        <v>31</v>
      </c>
      <c r="K2747" s="76">
        <f t="shared" si="195"/>
        <v>8775</v>
      </c>
      <c r="L2747">
        <v>1</v>
      </c>
      <c r="M2747" s="29">
        <v>0</v>
      </c>
      <c r="N2747" t="s">
        <v>32</v>
      </c>
      <c r="O2747" t="s">
        <v>33</v>
      </c>
      <c r="P2747" t="s">
        <v>34</v>
      </c>
      <c r="Q2747" t="s">
        <v>34</v>
      </c>
      <c r="R2747" t="s">
        <v>34</v>
      </c>
      <c r="S2747" t="s">
        <v>34</v>
      </c>
      <c r="T2747" s="117">
        <v>0</v>
      </c>
    </row>
    <row r="2748" spans="1:20" x14ac:dyDescent="0.35">
      <c r="A2748" t="s">
        <v>19</v>
      </c>
      <c r="B2748" t="s">
        <v>25</v>
      </c>
      <c r="C2748" s="1">
        <v>45672</v>
      </c>
      <c r="D2748">
        <f t="shared" si="196"/>
        <v>15</v>
      </c>
      <c r="E2748">
        <f t="shared" si="197"/>
        <v>1</v>
      </c>
      <c r="F2748">
        <f t="shared" si="198"/>
        <v>2025</v>
      </c>
      <c r="G2748" t="s">
        <v>93</v>
      </c>
      <c r="H2748" s="171">
        <v>11502</v>
      </c>
      <c r="I2748" s="90">
        <v>40119.870000000003</v>
      </c>
      <c r="J2748" s="12" t="s">
        <v>31</v>
      </c>
      <c r="K2748" s="76">
        <f t="shared" si="195"/>
        <v>40119.870000000003</v>
      </c>
      <c r="L2748">
        <v>1</v>
      </c>
      <c r="M2748" s="29">
        <v>0</v>
      </c>
      <c r="N2748" t="s">
        <v>32</v>
      </c>
      <c r="O2748" t="s">
        <v>33</v>
      </c>
      <c r="P2748" t="s">
        <v>34</v>
      </c>
      <c r="Q2748" t="s">
        <v>34</v>
      </c>
      <c r="R2748" t="s">
        <v>34</v>
      </c>
      <c r="S2748" t="s">
        <v>34</v>
      </c>
      <c r="T2748" s="117">
        <v>0</v>
      </c>
    </row>
    <row r="2749" spans="1:20" x14ac:dyDescent="0.35">
      <c r="A2749" t="s">
        <v>19</v>
      </c>
      <c r="B2749" t="s">
        <v>25</v>
      </c>
      <c r="C2749" s="1">
        <v>45672</v>
      </c>
      <c r="D2749">
        <f t="shared" si="196"/>
        <v>15</v>
      </c>
      <c r="E2749">
        <f t="shared" si="197"/>
        <v>1</v>
      </c>
      <c r="F2749">
        <f t="shared" si="198"/>
        <v>2025</v>
      </c>
      <c r="G2749" t="s">
        <v>93</v>
      </c>
      <c r="H2749" s="171">
        <v>11578</v>
      </c>
      <c r="I2749" s="90">
        <v>19758.689999999999</v>
      </c>
      <c r="J2749" s="12" t="s">
        <v>31</v>
      </c>
      <c r="K2749" s="76">
        <f t="shared" si="195"/>
        <v>19758.689999999999</v>
      </c>
      <c r="L2749">
        <v>1</v>
      </c>
      <c r="M2749" s="29">
        <v>0</v>
      </c>
      <c r="N2749" t="s">
        <v>32</v>
      </c>
      <c r="O2749" t="s">
        <v>33</v>
      </c>
      <c r="P2749" t="s">
        <v>34</v>
      </c>
      <c r="Q2749" t="s">
        <v>34</v>
      </c>
      <c r="R2749" t="s">
        <v>34</v>
      </c>
      <c r="S2749" t="s">
        <v>34</v>
      </c>
      <c r="T2749" s="117">
        <v>0</v>
      </c>
    </row>
    <row r="2750" spans="1:20" x14ac:dyDescent="0.35">
      <c r="A2750" t="s">
        <v>20</v>
      </c>
      <c r="B2750" t="s">
        <v>21</v>
      </c>
      <c r="C2750" s="1">
        <v>45672</v>
      </c>
      <c r="D2750">
        <f t="shared" si="196"/>
        <v>15</v>
      </c>
      <c r="E2750">
        <f t="shared" si="197"/>
        <v>1</v>
      </c>
      <c r="F2750">
        <f t="shared" si="198"/>
        <v>2025</v>
      </c>
      <c r="G2750" t="s">
        <v>299</v>
      </c>
      <c r="H2750" s="98">
        <v>12090</v>
      </c>
      <c r="I2750" s="29">
        <v>2101.8000000000002</v>
      </c>
      <c r="J2750" s="12" t="s">
        <v>31</v>
      </c>
      <c r="K2750" s="76">
        <f t="shared" si="195"/>
        <v>2101.8000000000002</v>
      </c>
      <c r="L2750">
        <v>1</v>
      </c>
      <c r="M2750" s="29">
        <v>0</v>
      </c>
      <c r="N2750" t="s">
        <v>42</v>
      </c>
      <c r="O2750" t="s">
        <v>33</v>
      </c>
      <c r="P2750" t="s">
        <v>34</v>
      </c>
      <c r="Q2750" t="s">
        <v>34</v>
      </c>
      <c r="R2750" t="s">
        <v>34</v>
      </c>
      <c r="S2750" t="s">
        <v>34</v>
      </c>
      <c r="T2750" s="117">
        <v>0</v>
      </c>
    </row>
    <row r="2751" spans="1:20" x14ac:dyDescent="0.35">
      <c r="A2751" t="s">
        <v>20</v>
      </c>
      <c r="B2751" t="s">
        <v>21</v>
      </c>
      <c r="C2751" s="1">
        <v>45672</v>
      </c>
      <c r="D2751">
        <f t="shared" si="196"/>
        <v>15</v>
      </c>
      <c r="E2751">
        <f t="shared" si="197"/>
        <v>1</v>
      </c>
      <c r="F2751">
        <f t="shared" si="198"/>
        <v>2025</v>
      </c>
      <c r="G2751" t="s">
        <v>299</v>
      </c>
      <c r="H2751" s="98">
        <v>12091</v>
      </c>
      <c r="I2751" s="29">
        <v>62</v>
      </c>
      <c r="J2751" s="12" t="s">
        <v>31</v>
      </c>
      <c r="K2751" s="76">
        <f t="shared" si="195"/>
        <v>62</v>
      </c>
      <c r="L2751">
        <v>1</v>
      </c>
      <c r="M2751" s="29">
        <v>0</v>
      </c>
      <c r="N2751" t="s">
        <v>42</v>
      </c>
      <c r="O2751" t="s">
        <v>33</v>
      </c>
      <c r="P2751" t="s">
        <v>34</v>
      </c>
      <c r="Q2751" t="s">
        <v>34</v>
      </c>
      <c r="R2751" t="s">
        <v>34</v>
      </c>
      <c r="S2751" t="s">
        <v>34</v>
      </c>
      <c r="T2751" s="117">
        <v>0</v>
      </c>
    </row>
    <row r="2752" spans="1:20" x14ac:dyDescent="0.35">
      <c r="A2752" t="s">
        <v>20</v>
      </c>
      <c r="B2752" t="s">
        <v>21</v>
      </c>
      <c r="C2752" s="1">
        <v>45672</v>
      </c>
      <c r="D2752">
        <f t="shared" si="196"/>
        <v>15</v>
      </c>
      <c r="E2752">
        <f t="shared" si="197"/>
        <v>1</v>
      </c>
      <c r="F2752">
        <f t="shared" si="198"/>
        <v>2025</v>
      </c>
      <c r="G2752" t="s">
        <v>52</v>
      </c>
      <c r="H2752" s="98">
        <v>11365</v>
      </c>
      <c r="I2752" s="29">
        <v>27117.09</v>
      </c>
      <c r="J2752" s="12" t="s">
        <v>31</v>
      </c>
      <c r="K2752" s="76">
        <f t="shared" si="195"/>
        <v>27117.09</v>
      </c>
      <c r="L2752">
        <v>1</v>
      </c>
      <c r="M2752" s="29">
        <v>0</v>
      </c>
      <c r="N2752" t="s">
        <v>32</v>
      </c>
      <c r="O2752" t="s">
        <v>33</v>
      </c>
      <c r="P2752" t="s">
        <v>34</v>
      </c>
      <c r="Q2752" t="s">
        <v>34</v>
      </c>
      <c r="R2752" t="s">
        <v>34</v>
      </c>
      <c r="S2752" t="s">
        <v>34</v>
      </c>
      <c r="T2752" s="117">
        <v>0</v>
      </c>
    </row>
    <row r="2753" spans="1:21" x14ac:dyDescent="0.35">
      <c r="A2753" t="s">
        <v>20</v>
      </c>
      <c r="B2753" t="s">
        <v>21</v>
      </c>
      <c r="C2753" s="1">
        <v>45672</v>
      </c>
      <c r="D2753">
        <f t="shared" si="196"/>
        <v>15</v>
      </c>
      <c r="E2753">
        <f t="shared" si="197"/>
        <v>1</v>
      </c>
      <c r="F2753">
        <f t="shared" si="198"/>
        <v>2025</v>
      </c>
      <c r="G2753" t="s">
        <v>52</v>
      </c>
      <c r="H2753" s="98">
        <v>11368</v>
      </c>
      <c r="I2753" s="29">
        <v>25805.14</v>
      </c>
      <c r="J2753" s="12" t="s">
        <v>31</v>
      </c>
      <c r="K2753" s="76">
        <f t="shared" si="195"/>
        <v>25805.14</v>
      </c>
      <c r="L2753">
        <v>1</v>
      </c>
      <c r="M2753" s="29">
        <v>0</v>
      </c>
      <c r="N2753" t="s">
        <v>32</v>
      </c>
      <c r="O2753" t="s">
        <v>33</v>
      </c>
      <c r="P2753" t="s">
        <v>34</v>
      </c>
      <c r="Q2753" t="s">
        <v>34</v>
      </c>
      <c r="R2753" t="s">
        <v>34</v>
      </c>
      <c r="S2753" t="s">
        <v>34</v>
      </c>
      <c r="T2753" s="117">
        <v>0</v>
      </c>
    </row>
    <row r="2754" spans="1:21" x14ac:dyDescent="0.35">
      <c r="A2754" t="s">
        <v>20</v>
      </c>
      <c r="B2754" t="s">
        <v>21</v>
      </c>
      <c r="C2754" s="1">
        <v>45672</v>
      </c>
      <c r="D2754">
        <f t="shared" si="196"/>
        <v>15</v>
      </c>
      <c r="E2754">
        <f t="shared" si="197"/>
        <v>1</v>
      </c>
      <c r="F2754">
        <f t="shared" si="198"/>
        <v>2025</v>
      </c>
      <c r="G2754" t="s">
        <v>52</v>
      </c>
      <c r="H2754" s="98">
        <v>11368</v>
      </c>
      <c r="I2754" s="29">
        <v>9905.2800000000007</v>
      </c>
      <c r="J2754" s="12" t="s">
        <v>31</v>
      </c>
      <c r="K2754" s="76">
        <f t="shared" ref="K2754:K2817" si="199">IF(J2754="USD",I2754,I2754*L2754)</f>
        <v>9905.2800000000007</v>
      </c>
      <c r="L2754">
        <v>1</v>
      </c>
      <c r="M2754" s="29">
        <v>0</v>
      </c>
      <c r="N2754" t="s">
        <v>32</v>
      </c>
      <c r="O2754" t="s">
        <v>33</v>
      </c>
      <c r="P2754" t="s">
        <v>34</v>
      </c>
      <c r="Q2754" t="s">
        <v>34</v>
      </c>
      <c r="R2754" t="s">
        <v>34</v>
      </c>
      <c r="S2754" t="s">
        <v>34</v>
      </c>
      <c r="T2754" s="117">
        <v>0</v>
      </c>
    </row>
    <row r="2755" spans="1:21" x14ac:dyDescent="0.35">
      <c r="A2755" t="s">
        <v>20</v>
      </c>
      <c r="B2755" t="s">
        <v>21</v>
      </c>
      <c r="C2755" s="1">
        <v>45672</v>
      </c>
      <c r="D2755">
        <f t="shared" ref="D2755:D2818" si="200">DAY(C2755)</f>
        <v>15</v>
      </c>
      <c r="E2755">
        <f t="shared" ref="E2755:E2818" si="201">MONTH(C2755)</f>
        <v>1</v>
      </c>
      <c r="F2755">
        <f t="shared" ref="F2755:F2818" si="202">YEAR(C2755)</f>
        <v>2025</v>
      </c>
      <c r="G2755" t="s">
        <v>52</v>
      </c>
      <c r="H2755" s="98">
        <v>11747</v>
      </c>
      <c r="I2755" s="29">
        <v>11546.22</v>
      </c>
      <c r="J2755" s="12" t="s">
        <v>31</v>
      </c>
      <c r="K2755" s="76">
        <f t="shared" si="199"/>
        <v>11546.22</v>
      </c>
      <c r="L2755">
        <v>1</v>
      </c>
      <c r="M2755" s="29">
        <v>0</v>
      </c>
      <c r="N2755" t="s">
        <v>32</v>
      </c>
      <c r="O2755" t="s">
        <v>33</v>
      </c>
      <c r="P2755" t="s">
        <v>34</v>
      </c>
      <c r="Q2755" t="s">
        <v>34</v>
      </c>
      <c r="R2755" t="s">
        <v>34</v>
      </c>
      <c r="S2755" t="s">
        <v>34</v>
      </c>
      <c r="T2755" s="117">
        <v>0</v>
      </c>
    </row>
    <row r="2756" spans="1:21" x14ac:dyDescent="0.35">
      <c r="A2756" t="s">
        <v>20</v>
      </c>
      <c r="B2756" t="s">
        <v>21</v>
      </c>
      <c r="C2756" s="1">
        <v>45672</v>
      </c>
      <c r="D2756">
        <f t="shared" si="200"/>
        <v>15</v>
      </c>
      <c r="E2756">
        <f t="shared" si="201"/>
        <v>1</v>
      </c>
      <c r="F2756">
        <f t="shared" si="202"/>
        <v>2025</v>
      </c>
      <c r="G2756" t="s">
        <v>52</v>
      </c>
      <c r="H2756" s="98">
        <v>11439</v>
      </c>
      <c r="I2756" s="29">
        <v>19286.52</v>
      </c>
      <c r="J2756" s="12" t="s">
        <v>31</v>
      </c>
      <c r="K2756" s="76">
        <f t="shared" si="199"/>
        <v>19286.52</v>
      </c>
      <c r="L2756">
        <v>1</v>
      </c>
      <c r="M2756" s="29">
        <v>0</v>
      </c>
      <c r="N2756" t="s">
        <v>32</v>
      </c>
      <c r="O2756" t="s">
        <v>33</v>
      </c>
      <c r="P2756" t="s">
        <v>34</v>
      </c>
      <c r="Q2756" t="s">
        <v>34</v>
      </c>
      <c r="R2756" t="s">
        <v>34</v>
      </c>
      <c r="S2756" t="s">
        <v>34</v>
      </c>
      <c r="T2756" s="117">
        <v>0</v>
      </c>
    </row>
    <row r="2757" spans="1:21" x14ac:dyDescent="0.35">
      <c r="A2757" t="s">
        <v>20</v>
      </c>
      <c r="B2757" t="s">
        <v>25</v>
      </c>
      <c r="C2757" s="1">
        <v>45672</v>
      </c>
      <c r="D2757">
        <f t="shared" si="200"/>
        <v>15</v>
      </c>
      <c r="E2757">
        <f t="shared" si="201"/>
        <v>1</v>
      </c>
      <c r="F2757">
        <f t="shared" si="202"/>
        <v>2025</v>
      </c>
      <c r="G2757" t="s">
        <v>442</v>
      </c>
      <c r="H2757" s="98">
        <v>11598</v>
      </c>
      <c r="I2757" s="29">
        <v>156253.99</v>
      </c>
      <c r="J2757" s="12" t="s">
        <v>51</v>
      </c>
      <c r="K2757" s="76">
        <f t="shared" si="199"/>
        <v>161706.74001911891</v>
      </c>
      <c r="L2757">
        <v>1.0348967090000001</v>
      </c>
      <c r="M2757" s="29">
        <v>0</v>
      </c>
      <c r="N2757" t="s">
        <v>32</v>
      </c>
      <c r="O2757" t="s">
        <v>33</v>
      </c>
      <c r="P2757" t="s">
        <v>34</v>
      </c>
      <c r="Q2757" t="s">
        <v>34</v>
      </c>
      <c r="R2757" t="s">
        <v>34</v>
      </c>
      <c r="S2757" t="s">
        <v>34</v>
      </c>
      <c r="T2757" s="117">
        <v>0</v>
      </c>
    </row>
    <row r="2758" spans="1:21" x14ac:dyDescent="0.35">
      <c r="A2758" t="s">
        <v>20</v>
      </c>
      <c r="B2758" t="s">
        <v>25</v>
      </c>
      <c r="C2758" s="1">
        <v>45672</v>
      </c>
      <c r="D2758">
        <f t="shared" si="200"/>
        <v>15</v>
      </c>
      <c r="E2758">
        <f t="shared" si="201"/>
        <v>1</v>
      </c>
      <c r="F2758">
        <f t="shared" si="202"/>
        <v>2025</v>
      </c>
      <c r="G2758" t="s">
        <v>566</v>
      </c>
      <c r="H2758" s="98">
        <v>11595</v>
      </c>
      <c r="I2758" s="29">
        <v>8809.66</v>
      </c>
      <c r="J2758" s="12" t="s">
        <v>31</v>
      </c>
      <c r="K2758" s="76">
        <f t="shared" si="199"/>
        <v>8809.66</v>
      </c>
      <c r="L2758">
        <v>1</v>
      </c>
      <c r="M2758" s="29">
        <v>0</v>
      </c>
      <c r="N2758" t="s">
        <v>42</v>
      </c>
      <c r="O2758" t="s">
        <v>33</v>
      </c>
      <c r="P2758" t="s">
        <v>34</v>
      </c>
      <c r="Q2758" t="s">
        <v>34</v>
      </c>
      <c r="R2758" t="s">
        <v>34</v>
      </c>
      <c r="S2758" t="s">
        <v>34</v>
      </c>
      <c r="T2758" s="117">
        <v>0</v>
      </c>
    </row>
    <row r="2759" spans="1:21" x14ac:dyDescent="0.35">
      <c r="A2759" t="s">
        <v>20</v>
      </c>
      <c r="B2759" t="s">
        <v>23</v>
      </c>
      <c r="C2759" s="1">
        <v>45672</v>
      </c>
      <c r="D2759">
        <f t="shared" si="200"/>
        <v>15</v>
      </c>
      <c r="E2759">
        <f t="shared" si="201"/>
        <v>1</v>
      </c>
      <c r="F2759">
        <f t="shared" si="202"/>
        <v>2025</v>
      </c>
      <c r="G2759" t="s">
        <v>265</v>
      </c>
      <c r="H2759" s="98">
        <v>12045</v>
      </c>
      <c r="I2759" s="29">
        <v>990</v>
      </c>
      <c r="J2759" s="12" t="s">
        <v>31</v>
      </c>
      <c r="K2759" s="76">
        <f t="shared" si="199"/>
        <v>990</v>
      </c>
      <c r="L2759">
        <v>1</v>
      </c>
      <c r="M2759" s="29">
        <v>0</v>
      </c>
      <c r="N2759" t="s">
        <v>42</v>
      </c>
      <c r="O2759" t="s">
        <v>33</v>
      </c>
      <c r="P2759" t="s">
        <v>34</v>
      </c>
      <c r="Q2759" t="s">
        <v>34</v>
      </c>
      <c r="R2759" t="s">
        <v>34</v>
      </c>
      <c r="S2759" t="s">
        <v>34</v>
      </c>
      <c r="T2759" s="117">
        <v>0</v>
      </c>
    </row>
    <row r="2760" spans="1:21" x14ac:dyDescent="0.35">
      <c r="A2760" t="s">
        <v>20</v>
      </c>
      <c r="B2760" t="s">
        <v>23</v>
      </c>
      <c r="C2760" s="1">
        <v>45672</v>
      </c>
      <c r="D2760">
        <f t="shared" si="200"/>
        <v>15</v>
      </c>
      <c r="E2760">
        <f t="shared" si="201"/>
        <v>1</v>
      </c>
      <c r="F2760">
        <f t="shared" si="202"/>
        <v>2025</v>
      </c>
      <c r="G2760" t="s">
        <v>265</v>
      </c>
      <c r="H2760" s="98">
        <v>12046</v>
      </c>
      <c r="I2760" s="29">
        <v>55</v>
      </c>
      <c r="J2760" s="12" t="s">
        <v>31</v>
      </c>
      <c r="K2760" s="76">
        <f t="shared" si="199"/>
        <v>55</v>
      </c>
      <c r="L2760">
        <v>1</v>
      </c>
      <c r="M2760" s="29">
        <v>0</v>
      </c>
      <c r="N2760" t="s">
        <v>42</v>
      </c>
      <c r="O2760" t="s">
        <v>33</v>
      </c>
      <c r="P2760" t="s">
        <v>34</v>
      </c>
      <c r="Q2760" t="s">
        <v>34</v>
      </c>
      <c r="R2760" t="s">
        <v>34</v>
      </c>
      <c r="S2760" t="s">
        <v>34</v>
      </c>
      <c r="T2760" s="117">
        <v>0</v>
      </c>
    </row>
    <row r="2761" spans="1:21" x14ac:dyDescent="0.35">
      <c r="A2761" t="s">
        <v>20</v>
      </c>
      <c r="B2761" t="s">
        <v>23</v>
      </c>
      <c r="C2761" s="1">
        <v>45672</v>
      </c>
      <c r="D2761">
        <f t="shared" si="200"/>
        <v>15</v>
      </c>
      <c r="E2761">
        <f t="shared" si="201"/>
        <v>1</v>
      </c>
      <c r="F2761">
        <f t="shared" si="202"/>
        <v>2025</v>
      </c>
      <c r="G2761" t="s">
        <v>595</v>
      </c>
      <c r="H2761" s="98">
        <v>12047</v>
      </c>
      <c r="I2761" s="29">
        <v>59</v>
      </c>
      <c r="J2761" s="12" t="s">
        <v>31</v>
      </c>
      <c r="K2761" s="76">
        <f t="shared" si="199"/>
        <v>59</v>
      </c>
      <c r="L2761">
        <v>1</v>
      </c>
      <c r="M2761" s="29">
        <v>0</v>
      </c>
      <c r="N2761" t="s">
        <v>42</v>
      </c>
      <c r="O2761" t="s">
        <v>33</v>
      </c>
      <c r="P2761" t="s">
        <v>34</v>
      </c>
      <c r="Q2761" t="s">
        <v>34</v>
      </c>
      <c r="R2761" t="s">
        <v>34</v>
      </c>
      <c r="S2761" t="s">
        <v>34</v>
      </c>
      <c r="T2761" s="117">
        <v>0</v>
      </c>
    </row>
    <row r="2762" spans="1:21" x14ac:dyDescent="0.35">
      <c r="A2762" t="s">
        <v>20</v>
      </c>
      <c r="B2762" t="s">
        <v>23</v>
      </c>
      <c r="C2762" s="1">
        <v>45672</v>
      </c>
      <c r="D2762">
        <f t="shared" si="200"/>
        <v>15</v>
      </c>
      <c r="E2762">
        <f t="shared" si="201"/>
        <v>1</v>
      </c>
      <c r="F2762">
        <f t="shared" si="202"/>
        <v>2025</v>
      </c>
      <c r="G2762" t="s">
        <v>595</v>
      </c>
      <c r="H2762" s="98">
        <v>11880</v>
      </c>
      <c r="I2762" s="29">
        <v>3645</v>
      </c>
      <c r="J2762" s="12" t="s">
        <v>31</v>
      </c>
      <c r="K2762" s="76">
        <f t="shared" si="199"/>
        <v>3645</v>
      </c>
      <c r="L2762">
        <v>1</v>
      </c>
      <c r="M2762" s="29">
        <v>0</v>
      </c>
      <c r="N2762" t="s">
        <v>42</v>
      </c>
      <c r="O2762" t="s">
        <v>33</v>
      </c>
      <c r="P2762" t="s">
        <v>34</v>
      </c>
      <c r="Q2762" t="s">
        <v>34</v>
      </c>
      <c r="R2762" t="s">
        <v>34</v>
      </c>
      <c r="S2762" t="s">
        <v>34</v>
      </c>
      <c r="T2762" s="117">
        <v>0</v>
      </c>
      <c r="U2762" s="209" t="s">
        <v>1009</v>
      </c>
    </row>
    <row r="2763" spans="1:21" x14ac:dyDescent="0.35">
      <c r="A2763" t="s">
        <v>20</v>
      </c>
      <c r="B2763" t="s">
        <v>21</v>
      </c>
      <c r="C2763" s="1">
        <v>45672</v>
      </c>
      <c r="D2763">
        <f t="shared" si="200"/>
        <v>15</v>
      </c>
      <c r="E2763">
        <f t="shared" si="201"/>
        <v>1</v>
      </c>
      <c r="F2763">
        <f t="shared" si="202"/>
        <v>2025</v>
      </c>
      <c r="G2763" t="s">
        <v>595</v>
      </c>
      <c r="H2763" s="98">
        <v>11687</v>
      </c>
      <c r="I2763" s="29">
        <v>1957.5</v>
      </c>
      <c r="J2763" s="12" t="s">
        <v>31</v>
      </c>
      <c r="K2763" s="76">
        <f t="shared" si="199"/>
        <v>1957.5</v>
      </c>
      <c r="L2763">
        <v>1</v>
      </c>
      <c r="M2763" s="29">
        <v>0</v>
      </c>
      <c r="N2763" t="s">
        <v>42</v>
      </c>
      <c r="O2763" t="s">
        <v>33</v>
      </c>
      <c r="P2763" t="s">
        <v>34</v>
      </c>
      <c r="Q2763" t="s">
        <v>34</v>
      </c>
      <c r="R2763" t="s">
        <v>34</v>
      </c>
      <c r="S2763" t="s">
        <v>34</v>
      </c>
      <c r="T2763" s="117">
        <v>0</v>
      </c>
    </row>
    <row r="2764" spans="1:21" x14ac:dyDescent="0.35">
      <c r="A2764" t="s">
        <v>20</v>
      </c>
      <c r="B2764" t="s">
        <v>21</v>
      </c>
      <c r="C2764" s="1">
        <v>45672</v>
      </c>
      <c r="D2764">
        <f t="shared" si="200"/>
        <v>15</v>
      </c>
      <c r="E2764">
        <f t="shared" si="201"/>
        <v>1</v>
      </c>
      <c r="F2764">
        <f t="shared" si="202"/>
        <v>2025</v>
      </c>
      <c r="G2764" t="s">
        <v>595</v>
      </c>
      <c r="H2764" s="98">
        <v>12052</v>
      </c>
      <c r="I2764" s="29">
        <v>58</v>
      </c>
      <c r="J2764" s="12" t="s">
        <v>31</v>
      </c>
      <c r="K2764" s="76">
        <f t="shared" si="199"/>
        <v>58</v>
      </c>
      <c r="L2764">
        <v>1</v>
      </c>
      <c r="M2764" s="29">
        <v>0</v>
      </c>
      <c r="N2764" t="s">
        <v>42</v>
      </c>
      <c r="O2764" t="s">
        <v>33</v>
      </c>
      <c r="P2764" t="s">
        <v>34</v>
      </c>
      <c r="Q2764" t="s">
        <v>34</v>
      </c>
      <c r="R2764" t="s">
        <v>34</v>
      </c>
      <c r="S2764" t="s">
        <v>34</v>
      </c>
      <c r="T2764" s="117">
        <v>0</v>
      </c>
    </row>
    <row r="2765" spans="1:21" x14ac:dyDescent="0.35">
      <c r="A2765" t="s">
        <v>20</v>
      </c>
      <c r="B2765" t="s">
        <v>21</v>
      </c>
      <c r="C2765" s="1">
        <v>45672</v>
      </c>
      <c r="D2765">
        <f t="shared" si="200"/>
        <v>15</v>
      </c>
      <c r="E2765">
        <f t="shared" si="201"/>
        <v>1</v>
      </c>
      <c r="F2765">
        <f t="shared" si="202"/>
        <v>2025</v>
      </c>
      <c r="G2765" t="s">
        <v>50</v>
      </c>
      <c r="H2765" s="98">
        <v>12446</v>
      </c>
      <c r="I2765" s="29">
        <v>1493.38</v>
      </c>
      <c r="J2765" s="12" t="s">
        <v>31</v>
      </c>
      <c r="K2765" s="76">
        <f t="shared" si="199"/>
        <v>1493.38</v>
      </c>
      <c r="L2765">
        <v>1</v>
      </c>
      <c r="M2765" s="29">
        <v>0</v>
      </c>
      <c r="N2765" t="s">
        <v>42</v>
      </c>
      <c r="O2765" t="s">
        <v>33</v>
      </c>
      <c r="P2765" t="s">
        <v>34</v>
      </c>
      <c r="Q2765" t="s">
        <v>34</v>
      </c>
      <c r="R2765" t="s">
        <v>34</v>
      </c>
      <c r="S2765" t="s">
        <v>34</v>
      </c>
      <c r="T2765" s="117">
        <v>0</v>
      </c>
      <c r="U2765" s="209" t="s">
        <v>1098</v>
      </c>
    </row>
    <row r="2766" spans="1:21" x14ac:dyDescent="0.35">
      <c r="A2766" t="s">
        <v>20</v>
      </c>
      <c r="B2766" t="s">
        <v>21</v>
      </c>
      <c r="C2766" s="1">
        <v>45672</v>
      </c>
      <c r="D2766">
        <f t="shared" si="200"/>
        <v>15</v>
      </c>
      <c r="E2766">
        <f t="shared" si="201"/>
        <v>1</v>
      </c>
      <c r="F2766">
        <f t="shared" si="202"/>
        <v>2025</v>
      </c>
      <c r="G2766" t="s">
        <v>50</v>
      </c>
      <c r="H2766" s="98">
        <v>12888</v>
      </c>
      <c r="I2766" s="29">
        <v>130</v>
      </c>
      <c r="J2766" s="12" t="s">
        <v>31</v>
      </c>
      <c r="K2766" s="76">
        <f t="shared" si="199"/>
        <v>130</v>
      </c>
      <c r="L2766">
        <v>1</v>
      </c>
      <c r="M2766" s="29">
        <v>0</v>
      </c>
      <c r="N2766" t="s">
        <v>42</v>
      </c>
      <c r="O2766" t="s">
        <v>33</v>
      </c>
      <c r="P2766" t="s">
        <v>34</v>
      </c>
      <c r="Q2766" t="s">
        <v>34</v>
      </c>
      <c r="R2766" t="s">
        <v>34</v>
      </c>
      <c r="S2766" t="s">
        <v>34</v>
      </c>
      <c r="T2766" s="117">
        <v>0</v>
      </c>
      <c r="U2766" s="209" t="s">
        <v>1308</v>
      </c>
    </row>
    <row r="2767" spans="1:21" x14ac:dyDescent="0.35">
      <c r="A2767" t="s">
        <v>20</v>
      </c>
      <c r="B2767" t="s">
        <v>21</v>
      </c>
      <c r="C2767" s="1">
        <v>45672</v>
      </c>
      <c r="D2767">
        <f t="shared" si="200"/>
        <v>15</v>
      </c>
      <c r="E2767">
        <f t="shared" si="201"/>
        <v>1</v>
      </c>
      <c r="F2767">
        <f t="shared" si="202"/>
        <v>2025</v>
      </c>
      <c r="G2767" t="s">
        <v>50</v>
      </c>
      <c r="H2767" s="171">
        <v>12053</v>
      </c>
      <c r="I2767" s="29">
        <v>59.8</v>
      </c>
      <c r="J2767" s="12" t="s">
        <v>31</v>
      </c>
      <c r="K2767" s="76">
        <f t="shared" si="199"/>
        <v>59.8</v>
      </c>
      <c r="L2767">
        <v>1</v>
      </c>
      <c r="M2767" s="29">
        <v>0</v>
      </c>
      <c r="N2767" t="s">
        <v>42</v>
      </c>
      <c r="O2767" t="s">
        <v>33</v>
      </c>
      <c r="P2767" t="s">
        <v>34</v>
      </c>
      <c r="Q2767" t="s">
        <v>34</v>
      </c>
      <c r="R2767" t="s">
        <v>34</v>
      </c>
      <c r="S2767" t="s">
        <v>34</v>
      </c>
      <c r="T2767" s="117">
        <v>0</v>
      </c>
    </row>
    <row r="2768" spans="1:21" x14ac:dyDescent="0.35">
      <c r="A2768" t="s">
        <v>20</v>
      </c>
      <c r="B2768" t="s">
        <v>25</v>
      </c>
      <c r="C2768" s="1">
        <v>45672</v>
      </c>
      <c r="D2768">
        <f t="shared" si="200"/>
        <v>15</v>
      </c>
      <c r="E2768">
        <f t="shared" si="201"/>
        <v>1</v>
      </c>
      <c r="F2768">
        <f t="shared" si="202"/>
        <v>2025</v>
      </c>
      <c r="G2768" t="s">
        <v>50</v>
      </c>
      <c r="H2768" s="171">
        <v>11706</v>
      </c>
      <c r="I2768" s="29">
        <v>669.46</v>
      </c>
      <c r="J2768" s="12" t="s">
        <v>31</v>
      </c>
      <c r="K2768" s="76">
        <f t="shared" si="199"/>
        <v>669.46</v>
      </c>
      <c r="L2768">
        <v>1</v>
      </c>
      <c r="M2768" s="29">
        <v>0</v>
      </c>
      <c r="N2768" t="s">
        <v>42</v>
      </c>
      <c r="O2768" t="s">
        <v>33</v>
      </c>
      <c r="P2768" t="s">
        <v>34</v>
      </c>
      <c r="Q2768" t="s">
        <v>34</v>
      </c>
      <c r="R2768" t="s">
        <v>34</v>
      </c>
      <c r="S2768" t="s">
        <v>34</v>
      </c>
      <c r="T2768" s="117">
        <v>0</v>
      </c>
    </row>
    <row r="2769" spans="1:21" x14ac:dyDescent="0.35">
      <c r="A2769" t="s">
        <v>20</v>
      </c>
      <c r="B2769" t="s">
        <v>21</v>
      </c>
      <c r="C2769" s="1">
        <v>45672</v>
      </c>
      <c r="D2769">
        <f t="shared" si="200"/>
        <v>15</v>
      </c>
      <c r="E2769">
        <f t="shared" si="201"/>
        <v>1</v>
      </c>
      <c r="F2769">
        <f t="shared" si="202"/>
        <v>2025</v>
      </c>
      <c r="G2769" t="s">
        <v>50</v>
      </c>
      <c r="H2769" s="171">
        <v>12060</v>
      </c>
      <c r="I2769" s="29">
        <v>897</v>
      </c>
      <c r="J2769" s="12" t="s">
        <v>31</v>
      </c>
      <c r="K2769" s="76">
        <f t="shared" si="199"/>
        <v>897</v>
      </c>
      <c r="L2769">
        <v>1</v>
      </c>
      <c r="M2769" s="29">
        <v>0</v>
      </c>
      <c r="N2769" t="s">
        <v>42</v>
      </c>
      <c r="O2769" t="s">
        <v>33</v>
      </c>
      <c r="P2769" t="s">
        <v>34</v>
      </c>
      <c r="Q2769" t="s">
        <v>34</v>
      </c>
      <c r="R2769" t="s">
        <v>34</v>
      </c>
      <c r="S2769" t="s">
        <v>34</v>
      </c>
      <c r="T2769" s="117">
        <v>0</v>
      </c>
    </row>
    <row r="2770" spans="1:21" x14ac:dyDescent="0.35">
      <c r="A2770" t="s">
        <v>20</v>
      </c>
      <c r="B2770" t="s">
        <v>21</v>
      </c>
      <c r="C2770" s="1">
        <v>45672</v>
      </c>
      <c r="D2770">
        <f t="shared" si="200"/>
        <v>15</v>
      </c>
      <c r="E2770">
        <f t="shared" si="201"/>
        <v>1</v>
      </c>
      <c r="F2770">
        <f t="shared" si="202"/>
        <v>2025</v>
      </c>
      <c r="G2770" t="s">
        <v>118</v>
      </c>
      <c r="H2770" s="98">
        <v>12061</v>
      </c>
      <c r="I2770" s="29">
        <v>55.6</v>
      </c>
      <c r="J2770" s="12" t="s">
        <v>31</v>
      </c>
      <c r="K2770" s="76">
        <f t="shared" si="199"/>
        <v>55.6</v>
      </c>
      <c r="L2770">
        <v>1</v>
      </c>
      <c r="M2770" s="29">
        <v>0</v>
      </c>
      <c r="N2770" t="s">
        <v>42</v>
      </c>
      <c r="O2770" t="s">
        <v>33</v>
      </c>
      <c r="P2770" t="s">
        <v>34</v>
      </c>
      <c r="Q2770" t="s">
        <v>34</v>
      </c>
      <c r="R2770" t="s">
        <v>34</v>
      </c>
      <c r="S2770" t="s">
        <v>34</v>
      </c>
      <c r="T2770" s="117">
        <v>0</v>
      </c>
    </row>
    <row r="2771" spans="1:21" x14ac:dyDescent="0.35">
      <c r="A2771" t="s">
        <v>20</v>
      </c>
      <c r="B2771" t="s">
        <v>21</v>
      </c>
      <c r="C2771" s="1">
        <v>45672</v>
      </c>
      <c r="D2771">
        <f t="shared" si="200"/>
        <v>15</v>
      </c>
      <c r="E2771">
        <f t="shared" si="201"/>
        <v>1</v>
      </c>
      <c r="F2771">
        <f t="shared" si="202"/>
        <v>2025</v>
      </c>
      <c r="G2771" t="s">
        <v>118</v>
      </c>
      <c r="H2771" s="98">
        <v>12357</v>
      </c>
      <c r="I2771" s="29">
        <v>834</v>
      </c>
      <c r="J2771" s="12" t="s">
        <v>31</v>
      </c>
      <c r="K2771" s="76">
        <f t="shared" si="199"/>
        <v>834</v>
      </c>
      <c r="L2771">
        <v>1</v>
      </c>
      <c r="M2771" s="29">
        <v>0</v>
      </c>
      <c r="N2771" t="s">
        <v>42</v>
      </c>
      <c r="O2771" t="s">
        <v>33</v>
      </c>
      <c r="P2771" t="s">
        <v>34</v>
      </c>
      <c r="Q2771" t="s">
        <v>34</v>
      </c>
      <c r="R2771" t="s">
        <v>34</v>
      </c>
      <c r="S2771" t="s">
        <v>34</v>
      </c>
      <c r="T2771" s="117">
        <v>0</v>
      </c>
      <c r="U2771" s="209" t="s">
        <v>1050</v>
      </c>
    </row>
    <row r="2772" spans="1:21" x14ac:dyDescent="0.35">
      <c r="A2772" t="s">
        <v>20</v>
      </c>
      <c r="B2772" t="s">
        <v>21</v>
      </c>
      <c r="C2772" s="1">
        <v>45672</v>
      </c>
      <c r="D2772">
        <f t="shared" si="200"/>
        <v>15</v>
      </c>
      <c r="E2772">
        <f t="shared" si="201"/>
        <v>1</v>
      </c>
      <c r="F2772">
        <f t="shared" si="202"/>
        <v>2025</v>
      </c>
      <c r="G2772" t="s">
        <v>118</v>
      </c>
      <c r="H2772" s="98">
        <v>12066</v>
      </c>
      <c r="I2772" s="29">
        <v>65.2</v>
      </c>
      <c r="J2772" s="12" t="s">
        <v>31</v>
      </c>
      <c r="K2772" s="76">
        <f t="shared" si="199"/>
        <v>65.2</v>
      </c>
      <c r="L2772">
        <v>1</v>
      </c>
      <c r="M2772" s="29">
        <v>0</v>
      </c>
      <c r="N2772" t="s">
        <v>42</v>
      </c>
      <c r="O2772" t="s">
        <v>33</v>
      </c>
      <c r="P2772" t="s">
        <v>34</v>
      </c>
      <c r="Q2772" t="s">
        <v>34</v>
      </c>
      <c r="R2772" t="s">
        <v>34</v>
      </c>
      <c r="S2772" t="s">
        <v>34</v>
      </c>
      <c r="T2772" s="117">
        <v>0</v>
      </c>
    </row>
    <row r="2773" spans="1:21" x14ac:dyDescent="0.35">
      <c r="A2773" t="s">
        <v>20</v>
      </c>
      <c r="B2773" t="s">
        <v>21</v>
      </c>
      <c r="C2773" s="1">
        <v>45672</v>
      </c>
      <c r="D2773">
        <f t="shared" si="200"/>
        <v>15</v>
      </c>
      <c r="E2773">
        <f t="shared" si="201"/>
        <v>1</v>
      </c>
      <c r="F2773">
        <f t="shared" si="202"/>
        <v>2025</v>
      </c>
      <c r="G2773" t="s">
        <v>118</v>
      </c>
      <c r="H2773" s="98">
        <v>12067</v>
      </c>
      <c r="I2773" s="29">
        <v>1838.64</v>
      </c>
      <c r="J2773" s="12" t="s">
        <v>31</v>
      </c>
      <c r="K2773" s="76">
        <f t="shared" si="199"/>
        <v>1838.64</v>
      </c>
      <c r="L2773">
        <v>1</v>
      </c>
      <c r="M2773" s="29">
        <v>0</v>
      </c>
      <c r="N2773" t="s">
        <v>42</v>
      </c>
      <c r="O2773" t="s">
        <v>33</v>
      </c>
      <c r="P2773" t="s">
        <v>34</v>
      </c>
      <c r="Q2773" t="s">
        <v>34</v>
      </c>
      <c r="R2773" t="s">
        <v>34</v>
      </c>
      <c r="S2773" t="s">
        <v>34</v>
      </c>
      <c r="T2773" s="117">
        <v>0</v>
      </c>
    </row>
    <row r="2774" spans="1:21" x14ac:dyDescent="0.35">
      <c r="A2774" t="s">
        <v>20</v>
      </c>
      <c r="B2774" t="s">
        <v>24</v>
      </c>
      <c r="C2774" s="1">
        <v>45672</v>
      </c>
      <c r="D2774">
        <f t="shared" si="200"/>
        <v>15</v>
      </c>
      <c r="E2774">
        <f t="shared" si="201"/>
        <v>1</v>
      </c>
      <c r="F2774">
        <f t="shared" si="202"/>
        <v>2025</v>
      </c>
      <c r="G2774" t="s">
        <v>772</v>
      </c>
      <c r="H2774" s="98">
        <v>11288</v>
      </c>
      <c r="I2774" s="29">
        <v>25246.68</v>
      </c>
      <c r="J2774" s="12" t="s">
        <v>31</v>
      </c>
      <c r="K2774" s="76">
        <f t="shared" si="199"/>
        <v>25246.68</v>
      </c>
      <c r="L2774">
        <v>1</v>
      </c>
      <c r="M2774" s="29">
        <v>0</v>
      </c>
      <c r="N2774" t="s">
        <v>32</v>
      </c>
      <c r="O2774" t="s">
        <v>33</v>
      </c>
      <c r="P2774" t="s">
        <v>34</v>
      </c>
      <c r="Q2774" t="s">
        <v>34</v>
      </c>
      <c r="R2774" t="s">
        <v>34</v>
      </c>
      <c r="S2774" t="s">
        <v>34</v>
      </c>
      <c r="T2774" s="117">
        <v>0</v>
      </c>
    </row>
    <row r="2775" spans="1:21" x14ac:dyDescent="0.35">
      <c r="A2775" t="s">
        <v>20</v>
      </c>
      <c r="B2775" t="s">
        <v>25</v>
      </c>
      <c r="C2775" s="1">
        <v>45672</v>
      </c>
      <c r="D2775">
        <f t="shared" si="200"/>
        <v>15</v>
      </c>
      <c r="E2775">
        <f t="shared" si="201"/>
        <v>1</v>
      </c>
      <c r="F2775">
        <f t="shared" si="202"/>
        <v>2025</v>
      </c>
      <c r="G2775" t="s">
        <v>773</v>
      </c>
      <c r="H2775" s="98">
        <v>11361</v>
      </c>
      <c r="I2775" s="29">
        <v>35974.400000000001</v>
      </c>
      <c r="J2775" s="12" t="s">
        <v>31</v>
      </c>
      <c r="K2775" s="76">
        <f t="shared" si="199"/>
        <v>35974.400000000001</v>
      </c>
      <c r="L2775">
        <v>1</v>
      </c>
      <c r="M2775" s="29">
        <v>0</v>
      </c>
      <c r="N2775" t="s">
        <v>32</v>
      </c>
      <c r="O2775" t="s">
        <v>33</v>
      </c>
      <c r="P2775" t="s">
        <v>34</v>
      </c>
      <c r="Q2775" t="s">
        <v>34</v>
      </c>
      <c r="R2775" t="s">
        <v>34</v>
      </c>
      <c r="S2775" t="s">
        <v>34</v>
      </c>
      <c r="T2775" s="117">
        <v>0</v>
      </c>
    </row>
    <row r="2776" spans="1:21" x14ac:dyDescent="0.35">
      <c r="A2776" t="s">
        <v>20</v>
      </c>
      <c r="B2776" t="s">
        <v>25</v>
      </c>
      <c r="C2776" s="1">
        <v>45672</v>
      </c>
      <c r="D2776">
        <f t="shared" si="200"/>
        <v>15</v>
      </c>
      <c r="E2776">
        <f t="shared" si="201"/>
        <v>1</v>
      </c>
      <c r="F2776">
        <f t="shared" si="202"/>
        <v>2025</v>
      </c>
      <c r="G2776" t="s">
        <v>81</v>
      </c>
      <c r="H2776" s="98">
        <v>11551</v>
      </c>
      <c r="I2776" s="29">
        <v>119821.65</v>
      </c>
      <c r="J2776" s="12" t="s">
        <v>31</v>
      </c>
      <c r="K2776" s="76">
        <f t="shared" si="199"/>
        <v>119821.65</v>
      </c>
      <c r="L2776">
        <v>1</v>
      </c>
      <c r="M2776" s="29">
        <v>0</v>
      </c>
      <c r="N2776" t="s">
        <v>32</v>
      </c>
      <c r="O2776" t="s">
        <v>33</v>
      </c>
      <c r="P2776" t="s">
        <v>34</v>
      </c>
      <c r="Q2776" t="s">
        <v>34</v>
      </c>
      <c r="R2776" t="s">
        <v>34</v>
      </c>
      <c r="S2776" t="s">
        <v>34</v>
      </c>
      <c r="T2776" s="117">
        <v>0</v>
      </c>
    </row>
    <row r="2777" spans="1:21" x14ac:dyDescent="0.35">
      <c r="A2777" t="s">
        <v>20</v>
      </c>
      <c r="B2777" t="s">
        <v>25</v>
      </c>
      <c r="C2777" s="1">
        <v>45672</v>
      </c>
      <c r="D2777">
        <f t="shared" si="200"/>
        <v>15</v>
      </c>
      <c r="E2777">
        <f t="shared" si="201"/>
        <v>1</v>
      </c>
      <c r="F2777">
        <f t="shared" si="202"/>
        <v>2025</v>
      </c>
      <c r="G2777" t="s">
        <v>95</v>
      </c>
      <c r="H2777" s="98">
        <v>12064</v>
      </c>
      <c r="I2777" s="29">
        <v>2017.08</v>
      </c>
      <c r="J2777" s="12" t="s">
        <v>31</v>
      </c>
      <c r="K2777" s="76">
        <f t="shared" si="199"/>
        <v>2017.08</v>
      </c>
      <c r="L2777">
        <v>1</v>
      </c>
      <c r="M2777" s="29">
        <v>0</v>
      </c>
      <c r="N2777" t="s">
        <v>42</v>
      </c>
      <c r="O2777" t="s">
        <v>33</v>
      </c>
      <c r="P2777" t="s">
        <v>34</v>
      </c>
      <c r="Q2777" t="s">
        <v>34</v>
      </c>
      <c r="R2777" t="s">
        <v>34</v>
      </c>
      <c r="S2777" t="s">
        <v>34</v>
      </c>
      <c r="T2777" s="117">
        <v>0</v>
      </c>
    </row>
    <row r="2778" spans="1:21" x14ac:dyDescent="0.35">
      <c r="A2778" t="s">
        <v>19</v>
      </c>
      <c r="B2778" t="s">
        <v>19</v>
      </c>
      <c r="C2778" s="1">
        <v>45672</v>
      </c>
      <c r="D2778">
        <f t="shared" si="200"/>
        <v>15</v>
      </c>
      <c r="E2778">
        <f t="shared" si="201"/>
        <v>1</v>
      </c>
      <c r="F2778">
        <f t="shared" si="202"/>
        <v>2025</v>
      </c>
      <c r="G2778" t="s">
        <v>56</v>
      </c>
      <c r="H2778" s="98" t="s">
        <v>774</v>
      </c>
      <c r="I2778" s="29">
        <v>164293.23000000001</v>
      </c>
      <c r="J2778" s="12" t="s">
        <v>31</v>
      </c>
      <c r="K2778" s="76">
        <f t="shared" si="199"/>
        <v>164293.23000000001</v>
      </c>
      <c r="L2778">
        <v>1</v>
      </c>
      <c r="M2778" s="29">
        <v>0</v>
      </c>
      <c r="N2778" t="s">
        <v>32</v>
      </c>
      <c r="O2778" t="s">
        <v>33</v>
      </c>
      <c r="P2778" t="s">
        <v>34</v>
      </c>
      <c r="Q2778" t="s">
        <v>34</v>
      </c>
      <c r="R2778" t="s">
        <v>34</v>
      </c>
      <c r="S2778" t="s">
        <v>34</v>
      </c>
      <c r="T2778" s="117">
        <v>0</v>
      </c>
    </row>
    <row r="2779" spans="1:21" x14ac:dyDescent="0.35">
      <c r="A2779" t="s">
        <v>19</v>
      </c>
      <c r="B2779" t="s">
        <v>19</v>
      </c>
      <c r="C2779" s="1">
        <v>45672</v>
      </c>
      <c r="D2779">
        <f t="shared" si="200"/>
        <v>15</v>
      </c>
      <c r="E2779">
        <f t="shared" si="201"/>
        <v>1</v>
      </c>
      <c r="F2779">
        <f t="shared" si="202"/>
        <v>2025</v>
      </c>
      <c r="G2779" t="s">
        <v>56</v>
      </c>
      <c r="H2779" s="98" t="s">
        <v>775</v>
      </c>
      <c r="I2779" s="29">
        <v>147235.03</v>
      </c>
      <c r="J2779" s="12" t="s">
        <v>31</v>
      </c>
      <c r="K2779" s="76">
        <f t="shared" si="199"/>
        <v>147235.03</v>
      </c>
      <c r="L2779">
        <v>1</v>
      </c>
      <c r="M2779" s="29">
        <v>0</v>
      </c>
      <c r="N2779" t="s">
        <v>32</v>
      </c>
      <c r="O2779" t="s">
        <v>33</v>
      </c>
      <c r="P2779" t="s">
        <v>34</v>
      </c>
      <c r="Q2779" t="s">
        <v>34</v>
      </c>
      <c r="R2779" t="s">
        <v>34</v>
      </c>
      <c r="S2779" t="s">
        <v>34</v>
      </c>
      <c r="T2779" s="117">
        <v>0</v>
      </c>
    </row>
    <row r="2780" spans="1:21" x14ac:dyDescent="0.35">
      <c r="A2780" t="s">
        <v>19</v>
      </c>
      <c r="B2780" t="s">
        <v>19</v>
      </c>
      <c r="C2780" s="1">
        <v>45672</v>
      </c>
      <c r="D2780">
        <f t="shared" si="200"/>
        <v>15</v>
      </c>
      <c r="E2780">
        <f t="shared" si="201"/>
        <v>1</v>
      </c>
      <c r="F2780">
        <f t="shared" si="202"/>
        <v>2025</v>
      </c>
      <c r="G2780" t="s">
        <v>56</v>
      </c>
      <c r="H2780" s="98" t="s">
        <v>776</v>
      </c>
      <c r="I2780" s="29">
        <v>166826.32</v>
      </c>
      <c r="J2780" s="12" t="s">
        <v>31</v>
      </c>
      <c r="K2780" s="76">
        <f t="shared" si="199"/>
        <v>166826.32</v>
      </c>
      <c r="L2780">
        <v>1</v>
      </c>
      <c r="M2780" s="29">
        <v>0</v>
      </c>
      <c r="N2780" t="s">
        <v>32</v>
      </c>
      <c r="O2780" t="s">
        <v>33</v>
      </c>
      <c r="P2780" t="s">
        <v>34</v>
      </c>
      <c r="Q2780" t="s">
        <v>34</v>
      </c>
      <c r="R2780" t="s">
        <v>34</v>
      </c>
      <c r="S2780" t="s">
        <v>34</v>
      </c>
      <c r="T2780" s="117">
        <v>0</v>
      </c>
    </row>
    <row r="2781" spans="1:21" x14ac:dyDescent="0.35">
      <c r="A2781" t="s">
        <v>19</v>
      </c>
      <c r="B2781" t="s">
        <v>19</v>
      </c>
      <c r="C2781" s="1">
        <v>45672</v>
      </c>
      <c r="D2781">
        <f t="shared" si="200"/>
        <v>15</v>
      </c>
      <c r="E2781">
        <f t="shared" si="201"/>
        <v>1</v>
      </c>
      <c r="F2781">
        <f t="shared" si="202"/>
        <v>2025</v>
      </c>
      <c r="G2781" t="s">
        <v>55</v>
      </c>
      <c r="H2781" s="98" t="s">
        <v>777</v>
      </c>
      <c r="I2781" s="29">
        <v>68720.78</v>
      </c>
      <c r="J2781" s="12" t="s">
        <v>31</v>
      </c>
      <c r="K2781" s="76">
        <f t="shared" si="199"/>
        <v>68720.78</v>
      </c>
      <c r="L2781">
        <v>1</v>
      </c>
      <c r="M2781" s="29">
        <v>0</v>
      </c>
      <c r="N2781" t="s">
        <v>32</v>
      </c>
      <c r="O2781" t="s">
        <v>33</v>
      </c>
      <c r="P2781" t="s">
        <v>34</v>
      </c>
      <c r="Q2781" t="s">
        <v>34</v>
      </c>
      <c r="R2781" t="s">
        <v>34</v>
      </c>
      <c r="S2781" t="s">
        <v>34</v>
      </c>
      <c r="T2781" s="117">
        <v>3852.41</v>
      </c>
    </row>
    <row r="2782" spans="1:21" x14ac:dyDescent="0.35">
      <c r="A2782" t="s">
        <v>19</v>
      </c>
      <c r="B2782" t="s">
        <v>19</v>
      </c>
      <c r="C2782" s="1">
        <v>45672</v>
      </c>
      <c r="D2782">
        <f t="shared" si="200"/>
        <v>15</v>
      </c>
      <c r="E2782">
        <f t="shared" si="201"/>
        <v>1</v>
      </c>
      <c r="F2782">
        <f t="shared" si="202"/>
        <v>2025</v>
      </c>
      <c r="G2782" t="s">
        <v>86</v>
      </c>
      <c r="H2782" s="98" t="s">
        <v>778</v>
      </c>
      <c r="I2782" s="29">
        <v>22358.28</v>
      </c>
      <c r="J2782" s="12" t="s">
        <v>31</v>
      </c>
      <c r="K2782" s="76">
        <f t="shared" si="199"/>
        <v>22358.28</v>
      </c>
      <c r="L2782">
        <v>1</v>
      </c>
      <c r="M2782" s="29">
        <v>0</v>
      </c>
      <c r="N2782" t="s">
        <v>32</v>
      </c>
      <c r="O2782" t="s">
        <v>33</v>
      </c>
      <c r="P2782" t="s">
        <v>34</v>
      </c>
      <c r="Q2782" t="s">
        <v>34</v>
      </c>
      <c r="R2782" t="s">
        <v>34</v>
      </c>
      <c r="S2782" t="s">
        <v>34</v>
      </c>
      <c r="T2782" s="117">
        <v>0</v>
      </c>
    </row>
    <row r="2783" spans="1:21" x14ac:dyDescent="0.35">
      <c r="A2783" t="s">
        <v>19</v>
      </c>
      <c r="B2783" t="s">
        <v>19</v>
      </c>
      <c r="C2783" s="1">
        <v>45672</v>
      </c>
      <c r="D2783">
        <f t="shared" si="200"/>
        <v>15</v>
      </c>
      <c r="E2783">
        <f t="shared" si="201"/>
        <v>1</v>
      </c>
      <c r="F2783">
        <f t="shared" si="202"/>
        <v>2025</v>
      </c>
      <c r="G2783" t="s">
        <v>263</v>
      </c>
      <c r="H2783" s="98" t="s">
        <v>779</v>
      </c>
      <c r="I2783" s="29">
        <v>36895.47</v>
      </c>
      <c r="J2783" s="12" t="s">
        <v>31</v>
      </c>
      <c r="K2783" s="76">
        <f t="shared" si="199"/>
        <v>36895.47</v>
      </c>
      <c r="L2783">
        <v>1</v>
      </c>
      <c r="M2783" s="29">
        <v>0</v>
      </c>
      <c r="N2783" t="s">
        <v>32</v>
      </c>
      <c r="O2783" t="s">
        <v>33</v>
      </c>
      <c r="P2783" t="s">
        <v>34</v>
      </c>
      <c r="Q2783" t="s">
        <v>34</v>
      </c>
      <c r="R2783" t="s">
        <v>34</v>
      </c>
      <c r="S2783" t="s">
        <v>34</v>
      </c>
      <c r="T2783" s="117">
        <v>0</v>
      </c>
    </row>
    <row r="2784" spans="1:21" x14ac:dyDescent="0.35">
      <c r="A2784" t="s">
        <v>19</v>
      </c>
      <c r="B2784" t="s">
        <v>19</v>
      </c>
      <c r="C2784" s="1">
        <v>45672</v>
      </c>
      <c r="D2784">
        <f t="shared" si="200"/>
        <v>15</v>
      </c>
      <c r="E2784">
        <f t="shared" si="201"/>
        <v>1</v>
      </c>
      <c r="F2784">
        <f t="shared" si="202"/>
        <v>2025</v>
      </c>
      <c r="G2784" t="s">
        <v>127</v>
      </c>
      <c r="H2784" s="98" t="s">
        <v>780</v>
      </c>
      <c r="I2784" s="29">
        <v>29749.95</v>
      </c>
      <c r="J2784" s="12" t="s">
        <v>31</v>
      </c>
      <c r="K2784" s="76">
        <f t="shared" si="199"/>
        <v>29749.95</v>
      </c>
      <c r="L2784">
        <v>1</v>
      </c>
      <c r="M2784" s="29">
        <v>0</v>
      </c>
      <c r="N2784" t="s">
        <v>32</v>
      </c>
      <c r="O2784" t="s">
        <v>33</v>
      </c>
      <c r="P2784" t="s">
        <v>34</v>
      </c>
      <c r="Q2784" t="s">
        <v>34</v>
      </c>
      <c r="R2784" t="s">
        <v>34</v>
      </c>
      <c r="S2784" t="s">
        <v>34</v>
      </c>
      <c r="T2784" s="117">
        <v>0</v>
      </c>
    </row>
    <row r="2785" spans="1:21" x14ac:dyDescent="0.35">
      <c r="A2785" t="s">
        <v>19</v>
      </c>
      <c r="B2785" t="s">
        <v>19</v>
      </c>
      <c r="C2785" s="1">
        <v>45672</v>
      </c>
      <c r="D2785">
        <f t="shared" si="200"/>
        <v>15</v>
      </c>
      <c r="E2785">
        <f t="shared" si="201"/>
        <v>1</v>
      </c>
      <c r="F2785">
        <f t="shared" si="202"/>
        <v>2025</v>
      </c>
      <c r="G2785" t="s">
        <v>265</v>
      </c>
      <c r="H2785" s="98" t="s">
        <v>781</v>
      </c>
      <c r="I2785" s="29">
        <v>11733.21</v>
      </c>
      <c r="J2785" s="12" t="s">
        <v>31</v>
      </c>
      <c r="K2785" s="76">
        <f t="shared" si="199"/>
        <v>11733.21</v>
      </c>
      <c r="L2785">
        <v>1</v>
      </c>
      <c r="M2785" s="29">
        <v>0</v>
      </c>
      <c r="N2785" t="s">
        <v>32</v>
      </c>
      <c r="O2785" t="s">
        <v>33</v>
      </c>
      <c r="P2785" t="s">
        <v>34</v>
      </c>
      <c r="Q2785" t="s">
        <v>34</v>
      </c>
      <c r="R2785" t="s">
        <v>34</v>
      </c>
      <c r="S2785" t="s">
        <v>34</v>
      </c>
      <c r="T2785" s="117">
        <v>0</v>
      </c>
    </row>
    <row r="2786" spans="1:21" x14ac:dyDescent="0.35">
      <c r="A2786" t="s">
        <v>19</v>
      </c>
      <c r="B2786" t="s">
        <v>19</v>
      </c>
      <c r="C2786" s="1">
        <v>45672</v>
      </c>
      <c r="D2786">
        <f t="shared" si="200"/>
        <v>15</v>
      </c>
      <c r="E2786">
        <f t="shared" si="201"/>
        <v>1</v>
      </c>
      <c r="F2786">
        <f t="shared" si="202"/>
        <v>2025</v>
      </c>
      <c r="G2786" t="s">
        <v>183</v>
      </c>
      <c r="H2786" s="98" t="s">
        <v>782</v>
      </c>
      <c r="I2786" s="29">
        <v>71485.59</v>
      </c>
      <c r="J2786" s="12" t="s">
        <v>31</v>
      </c>
      <c r="K2786" s="76">
        <f t="shared" si="199"/>
        <v>71485.59</v>
      </c>
      <c r="L2786">
        <v>1</v>
      </c>
      <c r="M2786" s="29">
        <v>0</v>
      </c>
      <c r="N2786" t="s">
        <v>32</v>
      </c>
      <c r="O2786" t="s">
        <v>33</v>
      </c>
      <c r="P2786" t="s">
        <v>34</v>
      </c>
      <c r="Q2786" t="s">
        <v>34</v>
      </c>
      <c r="R2786" t="s">
        <v>34</v>
      </c>
      <c r="S2786" t="s">
        <v>34</v>
      </c>
      <c r="T2786" s="117">
        <v>0</v>
      </c>
    </row>
    <row r="2787" spans="1:21" x14ac:dyDescent="0.35">
      <c r="A2787" t="s">
        <v>19</v>
      </c>
      <c r="B2787" t="s">
        <v>19</v>
      </c>
      <c r="C2787" s="1">
        <v>45672</v>
      </c>
      <c r="D2787">
        <f t="shared" si="200"/>
        <v>15</v>
      </c>
      <c r="E2787">
        <f t="shared" si="201"/>
        <v>1</v>
      </c>
      <c r="F2787">
        <f t="shared" si="202"/>
        <v>2025</v>
      </c>
      <c r="G2787" t="s">
        <v>117</v>
      </c>
      <c r="H2787" s="98" t="s">
        <v>783</v>
      </c>
      <c r="I2787" s="29">
        <v>363244.07</v>
      </c>
      <c r="J2787" s="12" t="s">
        <v>31</v>
      </c>
      <c r="K2787" s="76">
        <f t="shared" si="199"/>
        <v>363244.07</v>
      </c>
      <c r="L2787">
        <v>1</v>
      </c>
      <c r="M2787" s="29">
        <v>0</v>
      </c>
      <c r="N2787" t="s">
        <v>32</v>
      </c>
      <c r="O2787" t="s">
        <v>33</v>
      </c>
      <c r="P2787" t="s">
        <v>34</v>
      </c>
      <c r="Q2787" t="s">
        <v>34</v>
      </c>
      <c r="R2787" t="s">
        <v>34</v>
      </c>
      <c r="S2787" t="s">
        <v>34</v>
      </c>
      <c r="T2787" s="117">
        <v>0</v>
      </c>
    </row>
    <row r="2788" spans="1:21" x14ac:dyDescent="0.35">
      <c r="A2788" t="s">
        <v>19</v>
      </c>
      <c r="B2788" t="s">
        <v>19</v>
      </c>
      <c r="C2788" s="1">
        <v>45672</v>
      </c>
      <c r="D2788">
        <f t="shared" si="200"/>
        <v>15</v>
      </c>
      <c r="E2788">
        <f t="shared" si="201"/>
        <v>1</v>
      </c>
      <c r="F2788">
        <f t="shared" si="202"/>
        <v>2025</v>
      </c>
      <c r="G2788" t="s">
        <v>424</v>
      </c>
      <c r="H2788" s="98" t="s">
        <v>784</v>
      </c>
      <c r="I2788" s="29">
        <v>44351.39</v>
      </c>
      <c r="J2788" s="12" t="s">
        <v>31</v>
      </c>
      <c r="K2788" s="76">
        <f t="shared" si="199"/>
        <v>44351.39</v>
      </c>
      <c r="L2788">
        <v>1</v>
      </c>
      <c r="M2788" s="29">
        <v>0</v>
      </c>
      <c r="N2788" t="s">
        <v>32</v>
      </c>
      <c r="O2788" t="s">
        <v>33</v>
      </c>
      <c r="P2788" t="s">
        <v>34</v>
      </c>
      <c r="Q2788" t="s">
        <v>34</v>
      </c>
      <c r="R2788" t="s">
        <v>34</v>
      </c>
      <c r="S2788" t="s">
        <v>34</v>
      </c>
      <c r="T2788" s="117">
        <v>0</v>
      </c>
    </row>
    <row r="2789" spans="1:21" x14ac:dyDescent="0.35">
      <c r="A2789" t="s">
        <v>19</v>
      </c>
      <c r="B2789" t="s">
        <v>26</v>
      </c>
      <c r="C2789" s="1">
        <v>45674</v>
      </c>
      <c r="D2789">
        <f t="shared" si="200"/>
        <v>17</v>
      </c>
      <c r="E2789">
        <f t="shared" si="201"/>
        <v>1</v>
      </c>
      <c r="F2789">
        <f t="shared" si="202"/>
        <v>2025</v>
      </c>
      <c r="G2789" t="s">
        <v>73</v>
      </c>
      <c r="H2789" s="98">
        <v>12079</v>
      </c>
      <c r="I2789" s="29">
        <v>34361.160000000003</v>
      </c>
      <c r="J2789" s="12" t="s">
        <v>51</v>
      </c>
      <c r="K2789" s="76">
        <f t="shared" si="199"/>
        <v>35388.558684000003</v>
      </c>
      <c r="L2789">
        <v>1.0299</v>
      </c>
      <c r="M2789" s="29">
        <v>0</v>
      </c>
      <c r="N2789" t="s">
        <v>32</v>
      </c>
      <c r="O2789" t="s">
        <v>33</v>
      </c>
      <c r="P2789" t="s">
        <v>34</v>
      </c>
      <c r="Q2789" t="s">
        <v>34</v>
      </c>
      <c r="R2789" t="s">
        <v>34</v>
      </c>
      <c r="S2789" t="s">
        <v>34</v>
      </c>
      <c r="T2789" s="117">
        <v>0</v>
      </c>
      <c r="U2789" s="209" t="s">
        <v>94</v>
      </c>
    </row>
    <row r="2790" spans="1:21" x14ac:dyDescent="0.35">
      <c r="A2790" t="s">
        <v>19</v>
      </c>
      <c r="B2790" t="s">
        <v>26</v>
      </c>
      <c r="C2790" s="1">
        <v>45674</v>
      </c>
      <c r="D2790">
        <f t="shared" si="200"/>
        <v>17</v>
      </c>
      <c r="E2790">
        <f t="shared" si="201"/>
        <v>1</v>
      </c>
      <c r="F2790">
        <f t="shared" si="202"/>
        <v>2025</v>
      </c>
      <c r="G2790" t="s">
        <v>73</v>
      </c>
      <c r="H2790" s="98">
        <v>12100</v>
      </c>
      <c r="I2790" s="29">
        <v>69272.490000000005</v>
      </c>
      <c r="J2790" s="12" t="s">
        <v>51</v>
      </c>
      <c r="K2790" s="76">
        <f t="shared" si="199"/>
        <v>71343.737451000008</v>
      </c>
      <c r="L2790">
        <v>1.0299</v>
      </c>
      <c r="M2790" s="29">
        <v>0</v>
      </c>
      <c r="N2790" t="s">
        <v>32</v>
      </c>
      <c r="O2790" t="s">
        <v>33</v>
      </c>
      <c r="P2790" t="s">
        <v>34</v>
      </c>
      <c r="Q2790" t="s">
        <v>34</v>
      </c>
      <c r="R2790" t="s">
        <v>34</v>
      </c>
      <c r="S2790" t="s">
        <v>34</v>
      </c>
      <c r="T2790" s="117">
        <v>0</v>
      </c>
      <c r="U2790" s="209" t="s">
        <v>94</v>
      </c>
    </row>
    <row r="2791" spans="1:21" x14ac:dyDescent="0.35">
      <c r="A2791" t="s">
        <v>19</v>
      </c>
      <c r="B2791" t="s">
        <v>26</v>
      </c>
      <c r="C2791" s="1">
        <v>45674</v>
      </c>
      <c r="D2791">
        <f t="shared" si="200"/>
        <v>17</v>
      </c>
      <c r="E2791">
        <f t="shared" si="201"/>
        <v>1</v>
      </c>
      <c r="F2791">
        <f t="shared" si="202"/>
        <v>2025</v>
      </c>
      <c r="G2791" t="s">
        <v>73</v>
      </c>
      <c r="H2791" s="98">
        <v>12101</v>
      </c>
      <c r="I2791" s="29">
        <v>20380.03</v>
      </c>
      <c r="J2791" s="12" t="s">
        <v>51</v>
      </c>
      <c r="K2791" s="76">
        <f t="shared" si="199"/>
        <v>20989.392896999998</v>
      </c>
      <c r="L2791">
        <v>1.0299</v>
      </c>
      <c r="M2791" s="29">
        <v>0</v>
      </c>
      <c r="N2791" t="s">
        <v>32</v>
      </c>
      <c r="O2791" t="s">
        <v>33</v>
      </c>
      <c r="P2791" t="s">
        <v>34</v>
      </c>
      <c r="Q2791" t="s">
        <v>34</v>
      </c>
      <c r="R2791" t="s">
        <v>34</v>
      </c>
      <c r="S2791" t="s">
        <v>34</v>
      </c>
      <c r="T2791" s="117">
        <v>0</v>
      </c>
      <c r="U2791" s="209" t="s">
        <v>94</v>
      </c>
    </row>
    <row r="2792" spans="1:21" x14ac:dyDescent="0.35">
      <c r="A2792" t="s">
        <v>19</v>
      </c>
      <c r="B2792" t="s">
        <v>26</v>
      </c>
      <c r="C2792" s="1">
        <v>45674</v>
      </c>
      <c r="D2792">
        <f t="shared" si="200"/>
        <v>17</v>
      </c>
      <c r="E2792">
        <f t="shared" si="201"/>
        <v>1</v>
      </c>
      <c r="F2792">
        <f t="shared" si="202"/>
        <v>2025</v>
      </c>
      <c r="G2792" t="s">
        <v>73</v>
      </c>
      <c r="H2792" s="98">
        <v>12125</v>
      </c>
      <c r="I2792" s="29">
        <v>29079.62</v>
      </c>
      <c r="J2792" s="12" t="s">
        <v>51</v>
      </c>
      <c r="K2792" s="76">
        <f t="shared" si="199"/>
        <v>29949.100638</v>
      </c>
      <c r="L2792">
        <v>1.0299</v>
      </c>
      <c r="M2792" s="29">
        <v>0</v>
      </c>
      <c r="N2792" t="s">
        <v>32</v>
      </c>
      <c r="O2792" t="s">
        <v>33</v>
      </c>
      <c r="P2792" t="s">
        <v>34</v>
      </c>
      <c r="Q2792" t="s">
        <v>34</v>
      </c>
      <c r="R2792" t="s">
        <v>34</v>
      </c>
      <c r="S2792" t="s">
        <v>34</v>
      </c>
      <c r="T2792" s="117">
        <v>0</v>
      </c>
      <c r="U2792" s="209" t="s">
        <v>94</v>
      </c>
    </row>
    <row r="2793" spans="1:21" x14ac:dyDescent="0.35">
      <c r="A2793" t="s">
        <v>19</v>
      </c>
      <c r="B2793" t="s">
        <v>26</v>
      </c>
      <c r="C2793" s="1">
        <v>45674</v>
      </c>
      <c r="D2793">
        <f t="shared" si="200"/>
        <v>17</v>
      </c>
      <c r="E2793">
        <f t="shared" si="201"/>
        <v>1</v>
      </c>
      <c r="F2793">
        <f t="shared" si="202"/>
        <v>2025</v>
      </c>
      <c r="G2793" t="s">
        <v>73</v>
      </c>
      <c r="H2793" s="98">
        <v>12126</v>
      </c>
      <c r="I2793" s="29">
        <v>47612.82</v>
      </c>
      <c r="J2793" s="12" t="s">
        <v>51</v>
      </c>
      <c r="K2793" s="76">
        <f t="shared" si="199"/>
        <v>49036.443318000005</v>
      </c>
      <c r="L2793">
        <v>1.0299</v>
      </c>
      <c r="M2793" s="29">
        <v>0</v>
      </c>
      <c r="N2793" t="s">
        <v>32</v>
      </c>
      <c r="O2793" t="s">
        <v>33</v>
      </c>
      <c r="P2793" t="s">
        <v>34</v>
      </c>
      <c r="Q2793" t="s">
        <v>34</v>
      </c>
      <c r="R2793" t="s">
        <v>34</v>
      </c>
      <c r="S2793" t="s">
        <v>34</v>
      </c>
      <c r="T2793" s="117">
        <v>0</v>
      </c>
      <c r="U2793" s="209" t="s">
        <v>94</v>
      </c>
    </row>
    <row r="2794" spans="1:21" x14ac:dyDescent="0.35">
      <c r="A2794" t="s">
        <v>19</v>
      </c>
      <c r="B2794" t="s">
        <v>26</v>
      </c>
      <c r="C2794" s="1">
        <v>45674</v>
      </c>
      <c r="D2794">
        <f t="shared" si="200"/>
        <v>17</v>
      </c>
      <c r="E2794">
        <f t="shared" si="201"/>
        <v>1</v>
      </c>
      <c r="F2794">
        <f t="shared" si="202"/>
        <v>2025</v>
      </c>
      <c r="G2794" t="s">
        <v>73</v>
      </c>
      <c r="H2794" s="98">
        <v>0</v>
      </c>
      <c r="I2794" s="29">
        <v>15000</v>
      </c>
      <c r="J2794" s="12" t="s">
        <v>51</v>
      </c>
      <c r="K2794" s="76">
        <f t="shared" si="199"/>
        <v>15448.5</v>
      </c>
      <c r="L2794">
        <v>1.0299</v>
      </c>
      <c r="M2794" s="29">
        <v>0</v>
      </c>
      <c r="N2794" t="s">
        <v>32</v>
      </c>
      <c r="O2794" t="s">
        <v>33</v>
      </c>
      <c r="P2794" t="s">
        <v>34</v>
      </c>
      <c r="Q2794" t="s">
        <v>34</v>
      </c>
      <c r="R2794" t="s">
        <v>34</v>
      </c>
      <c r="S2794" t="s">
        <v>34</v>
      </c>
      <c r="T2794" s="117">
        <v>0</v>
      </c>
      <c r="U2794" s="209" t="s">
        <v>785</v>
      </c>
    </row>
    <row r="2795" spans="1:21" x14ac:dyDescent="0.35">
      <c r="A2795" t="s">
        <v>19</v>
      </c>
      <c r="B2795" t="s">
        <v>26</v>
      </c>
      <c r="C2795" s="1">
        <v>45674</v>
      </c>
      <c r="D2795">
        <f t="shared" si="200"/>
        <v>17</v>
      </c>
      <c r="E2795">
        <f t="shared" si="201"/>
        <v>1</v>
      </c>
      <c r="F2795">
        <f t="shared" si="202"/>
        <v>2025</v>
      </c>
      <c r="G2795" t="s">
        <v>73</v>
      </c>
      <c r="H2795" s="121">
        <v>12166</v>
      </c>
      <c r="I2795" s="29">
        <v>87035.07</v>
      </c>
      <c r="J2795" s="12" t="s">
        <v>51</v>
      </c>
      <c r="K2795" s="76">
        <f t="shared" si="199"/>
        <v>89637.418593000009</v>
      </c>
      <c r="L2795">
        <v>1.0299</v>
      </c>
      <c r="M2795" s="29">
        <v>0</v>
      </c>
      <c r="N2795" t="s">
        <v>42</v>
      </c>
      <c r="O2795" t="s">
        <v>33</v>
      </c>
      <c r="P2795" t="s">
        <v>34</v>
      </c>
      <c r="Q2795" t="s">
        <v>34</v>
      </c>
      <c r="R2795" t="s">
        <v>34</v>
      </c>
      <c r="S2795" t="s">
        <v>34</v>
      </c>
      <c r="T2795" s="117">
        <v>0</v>
      </c>
      <c r="U2795" s="209" t="s">
        <v>94</v>
      </c>
    </row>
    <row r="2796" spans="1:21" x14ac:dyDescent="0.35">
      <c r="A2796" t="s">
        <v>19</v>
      </c>
      <c r="B2796" t="s">
        <v>26</v>
      </c>
      <c r="C2796" s="1">
        <v>45674</v>
      </c>
      <c r="D2796">
        <f t="shared" si="200"/>
        <v>17</v>
      </c>
      <c r="E2796">
        <f t="shared" si="201"/>
        <v>1</v>
      </c>
      <c r="F2796">
        <f t="shared" si="202"/>
        <v>2025</v>
      </c>
      <c r="G2796" t="s">
        <v>73</v>
      </c>
      <c r="H2796" s="121">
        <v>12167</v>
      </c>
      <c r="I2796" s="29">
        <v>87651.76</v>
      </c>
      <c r="J2796" s="12" t="s">
        <v>51</v>
      </c>
      <c r="K2796" s="76">
        <f t="shared" si="199"/>
        <v>90272.547623999999</v>
      </c>
      <c r="L2796">
        <v>1.0299</v>
      </c>
      <c r="M2796" s="29">
        <v>0</v>
      </c>
      <c r="N2796" t="s">
        <v>42</v>
      </c>
      <c r="O2796" t="s">
        <v>33</v>
      </c>
      <c r="P2796" t="s">
        <v>34</v>
      </c>
      <c r="Q2796" t="s">
        <v>34</v>
      </c>
      <c r="R2796" t="s">
        <v>34</v>
      </c>
      <c r="S2796" t="s">
        <v>34</v>
      </c>
      <c r="T2796" s="117">
        <v>0</v>
      </c>
      <c r="U2796" s="209" t="s">
        <v>94</v>
      </c>
    </row>
    <row r="2797" spans="1:21" x14ac:dyDescent="0.35">
      <c r="A2797" t="s">
        <v>19</v>
      </c>
      <c r="B2797" t="s">
        <v>26</v>
      </c>
      <c r="C2797" s="1">
        <v>45674</v>
      </c>
      <c r="D2797">
        <f t="shared" si="200"/>
        <v>17</v>
      </c>
      <c r="E2797">
        <f t="shared" si="201"/>
        <v>1</v>
      </c>
      <c r="F2797">
        <f t="shared" si="202"/>
        <v>2025</v>
      </c>
      <c r="G2797" t="s">
        <v>73</v>
      </c>
      <c r="H2797" s="121">
        <v>12168</v>
      </c>
      <c r="I2797" s="29">
        <v>79258.19</v>
      </c>
      <c r="J2797" s="12" t="s">
        <v>51</v>
      </c>
      <c r="K2797" s="76">
        <f t="shared" si="199"/>
        <v>81628.009881000005</v>
      </c>
      <c r="L2797">
        <v>1.0299</v>
      </c>
      <c r="M2797" s="29">
        <v>0</v>
      </c>
      <c r="N2797" t="s">
        <v>42</v>
      </c>
      <c r="O2797" t="s">
        <v>33</v>
      </c>
      <c r="P2797" t="s">
        <v>34</v>
      </c>
      <c r="Q2797" t="s">
        <v>34</v>
      </c>
      <c r="R2797" t="s">
        <v>34</v>
      </c>
      <c r="S2797" t="s">
        <v>34</v>
      </c>
      <c r="T2797" s="117">
        <v>0</v>
      </c>
      <c r="U2797" s="209" t="s">
        <v>94</v>
      </c>
    </row>
    <row r="2798" spans="1:21" x14ac:dyDescent="0.35">
      <c r="A2798" t="s">
        <v>19</v>
      </c>
      <c r="B2798" t="s">
        <v>26</v>
      </c>
      <c r="C2798" s="1">
        <v>45674</v>
      </c>
      <c r="D2798">
        <f t="shared" si="200"/>
        <v>17</v>
      </c>
      <c r="E2798">
        <f t="shared" si="201"/>
        <v>1</v>
      </c>
      <c r="F2798">
        <f t="shared" si="202"/>
        <v>2025</v>
      </c>
      <c r="G2798" t="s">
        <v>73</v>
      </c>
      <c r="H2798" s="121">
        <v>12182</v>
      </c>
      <c r="I2798" s="29">
        <v>63949.48</v>
      </c>
      <c r="J2798" s="12" t="s">
        <v>51</v>
      </c>
      <c r="K2798" s="76">
        <f t="shared" si="199"/>
        <v>65861.569452000011</v>
      </c>
      <c r="L2798">
        <v>1.0299</v>
      </c>
      <c r="M2798" s="29">
        <v>0</v>
      </c>
      <c r="N2798" t="s">
        <v>42</v>
      </c>
      <c r="O2798" t="s">
        <v>33</v>
      </c>
      <c r="P2798" t="s">
        <v>34</v>
      </c>
      <c r="Q2798" t="s">
        <v>34</v>
      </c>
      <c r="R2798" t="s">
        <v>34</v>
      </c>
      <c r="S2798" t="s">
        <v>34</v>
      </c>
      <c r="T2798" s="117">
        <v>0</v>
      </c>
      <c r="U2798" s="209" t="s">
        <v>94</v>
      </c>
    </row>
    <row r="2799" spans="1:21" x14ac:dyDescent="0.35">
      <c r="A2799" t="s">
        <v>19</v>
      </c>
      <c r="B2799" t="s">
        <v>19</v>
      </c>
      <c r="C2799" s="1">
        <v>45678</v>
      </c>
      <c r="D2799">
        <f t="shared" si="200"/>
        <v>21</v>
      </c>
      <c r="E2799">
        <f t="shared" si="201"/>
        <v>1</v>
      </c>
      <c r="F2799">
        <f t="shared" si="202"/>
        <v>2025</v>
      </c>
      <c r="G2799" t="s">
        <v>552</v>
      </c>
      <c r="H2799" s="121" t="s">
        <v>825</v>
      </c>
      <c r="I2799" s="29">
        <v>3178.11</v>
      </c>
      <c r="J2799" s="12" t="s">
        <v>31</v>
      </c>
      <c r="K2799" s="76">
        <f t="shared" si="199"/>
        <v>3178.11</v>
      </c>
      <c r="L2799">
        <v>1</v>
      </c>
      <c r="M2799" s="29">
        <v>0</v>
      </c>
      <c r="N2799" t="s">
        <v>42</v>
      </c>
      <c r="O2799" t="s">
        <v>33</v>
      </c>
      <c r="P2799" t="s">
        <v>34</v>
      </c>
      <c r="Q2799" t="s">
        <v>34</v>
      </c>
      <c r="R2799" t="s">
        <v>34</v>
      </c>
      <c r="S2799" t="s">
        <v>34</v>
      </c>
      <c r="T2799" s="117">
        <v>0</v>
      </c>
    </row>
    <row r="2800" spans="1:21" x14ac:dyDescent="0.35">
      <c r="A2800" t="s">
        <v>19</v>
      </c>
      <c r="B2800" t="s">
        <v>23</v>
      </c>
      <c r="C2800" s="1">
        <v>45679</v>
      </c>
      <c r="D2800">
        <f t="shared" si="200"/>
        <v>22</v>
      </c>
      <c r="E2800">
        <f t="shared" si="201"/>
        <v>1</v>
      </c>
      <c r="F2800">
        <f t="shared" si="202"/>
        <v>2025</v>
      </c>
      <c r="G2800" t="s">
        <v>75</v>
      </c>
      <c r="H2800" s="171">
        <v>12007</v>
      </c>
      <c r="I2800" s="90">
        <v>45474.1</v>
      </c>
      <c r="J2800" s="12" t="s">
        <v>31</v>
      </c>
      <c r="K2800" s="76">
        <f t="shared" si="199"/>
        <v>45474.1</v>
      </c>
      <c r="L2800">
        <v>1</v>
      </c>
      <c r="M2800" s="29">
        <v>0</v>
      </c>
      <c r="N2800" t="s">
        <v>42</v>
      </c>
      <c r="O2800" t="s">
        <v>33</v>
      </c>
      <c r="P2800" t="s">
        <v>34</v>
      </c>
      <c r="Q2800" t="s">
        <v>34</v>
      </c>
      <c r="R2800" t="s">
        <v>34</v>
      </c>
      <c r="S2800" t="s">
        <v>34</v>
      </c>
      <c r="T2800" s="117">
        <v>0</v>
      </c>
      <c r="U2800" s="209" t="s">
        <v>812</v>
      </c>
    </row>
    <row r="2801" spans="1:21" x14ac:dyDescent="0.35">
      <c r="A2801" t="s">
        <v>19</v>
      </c>
      <c r="B2801" t="s">
        <v>23</v>
      </c>
      <c r="C2801" s="1">
        <v>45679</v>
      </c>
      <c r="D2801">
        <f t="shared" si="200"/>
        <v>22</v>
      </c>
      <c r="E2801">
        <f t="shared" si="201"/>
        <v>1</v>
      </c>
      <c r="F2801">
        <f t="shared" si="202"/>
        <v>2025</v>
      </c>
      <c r="G2801" t="s">
        <v>75</v>
      </c>
      <c r="H2801" s="171">
        <v>11192</v>
      </c>
      <c r="I2801" s="90">
        <v>34222.6</v>
      </c>
      <c r="J2801" s="12" t="s">
        <v>31</v>
      </c>
      <c r="K2801" s="76">
        <f t="shared" si="199"/>
        <v>34222.6</v>
      </c>
      <c r="L2801">
        <v>1</v>
      </c>
      <c r="M2801" s="29">
        <v>0</v>
      </c>
      <c r="N2801" t="s">
        <v>42</v>
      </c>
      <c r="O2801" t="s">
        <v>33</v>
      </c>
      <c r="P2801" t="s">
        <v>34</v>
      </c>
      <c r="Q2801" t="s">
        <v>34</v>
      </c>
      <c r="R2801" t="s">
        <v>34</v>
      </c>
      <c r="S2801" t="s">
        <v>34</v>
      </c>
      <c r="T2801" s="117">
        <v>0</v>
      </c>
    </row>
    <row r="2802" spans="1:21" x14ac:dyDescent="0.35">
      <c r="A2802" t="s">
        <v>19</v>
      </c>
      <c r="B2802" t="s">
        <v>23</v>
      </c>
      <c r="C2802" s="1">
        <v>45679</v>
      </c>
      <c r="D2802">
        <f t="shared" si="200"/>
        <v>22</v>
      </c>
      <c r="E2802">
        <f t="shared" si="201"/>
        <v>1</v>
      </c>
      <c r="F2802">
        <f t="shared" si="202"/>
        <v>2025</v>
      </c>
      <c r="G2802" t="s">
        <v>75</v>
      </c>
      <c r="H2802" s="171">
        <v>12140</v>
      </c>
      <c r="I2802" s="90">
        <v>6941.92</v>
      </c>
      <c r="J2802" s="12" t="s">
        <v>31</v>
      </c>
      <c r="K2802" s="76">
        <f t="shared" si="199"/>
        <v>6941.92</v>
      </c>
      <c r="L2802">
        <v>1</v>
      </c>
      <c r="M2802" s="29">
        <v>0</v>
      </c>
      <c r="N2802" t="s">
        <v>42</v>
      </c>
      <c r="O2802" t="s">
        <v>33</v>
      </c>
      <c r="P2802" t="s">
        <v>34</v>
      </c>
      <c r="Q2802" t="s">
        <v>34</v>
      </c>
      <c r="R2802" t="s">
        <v>34</v>
      </c>
      <c r="S2802" t="s">
        <v>34</v>
      </c>
      <c r="T2802" s="117">
        <v>0</v>
      </c>
    </row>
    <row r="2803" spans="1:21" x14ac:dyDescent="0.35">
      <c r="A2803" t="s">
        <v>19</v>
      </c>
      <c r="B2803" t="s">
        <v>23</v>
      </c>
      <c r="C2803" s="1">
        <v>45679</v>
      </c>
      <c r="D2803">
        <f t="shared" si="200"/>
        <v>22</v>
      </c>
      <c r="E2803">
        <f t="shared" si="201"/>
        <v>1</v>
      </c>
      <c r="F2803">
        <f t="shared" si="202"/>
        <v>2025</v>
      </c>
      <c r="G2803" t="s">
        <v>76</v>
      </c>
      <c r="H2803" s="98">
        <v>12029</v>
      </c>
      <c r="I2803" s="29">
        <v>136142.9</v>
      </c>
      <c r="J2803" s="12" t="s">
        <v>31</v>
      </c>
      <c r="K2803" s="76">
        <f t="shared" si="199"/>
        <v>136142.9</v>
      </c>
      <c r="L2803">
        <v>1</v>
      </c>
      <c r="M2803" s="29">
        <v>0</v>
      </c>
      <c r="N2803" t="s">
        <v>42</v>
      </c>
      <c r="O2803" t="s">
        <v>33</v>
      </c>
      <c r="P2803" t="s">
        <v>34</v>
      </c>
      <c r="Q2803" t="s">
        <v>34</v>
      </c>
      <c r="R2803" t="s">
        <v>34</v>
      </c>
      <c r="S2803" t="s">
        <v>34</v>
      </c>
      <c r="T2803" s="117">
        <v>0</v>
      </c>
    </row>
    <row r="2804" spans="1:21" x14ac:dyDescent="0.35">
      <c r="A2804" t="s">
        <v>19</v>
      </c>
      <c r="B2804" t="s">
        <v>21</v>
      </c>
      <c r="C2804" s="1">
        <v>45679</v>
      </c>
      <c r="D2804">
        <f t="shared" si="200"/>
        <v>22</v>
      </c>
      <c r="E2804">
        <f t="shared" si="201"/>
        <v>1</v>
      </c>
      <c r="F2804">
        <f t="shared" si="202"/>
        <v>2025</v>
      </c>
      <c r="G2804" t="s">
        <v>40</v>
      </c>
      <c r="H2804" s="98">
        <v>11996</v>
      </c>
      <c r="I2804" s="29">
        <v>25000</v>
      </c>
      <c r="J2804" s="12" t="s">
        <v>31</v>
      </c>
      <c r="K2804" s="76">
        <f t="shared" si="199"/>
        <v>25000</v>
      </c>
      <c r="L2804">
        <v>1</v>
      </c>
      <c r="M2804" s="29">
        <v>0</v>
      </c>
      <c r="N2804" t="s">
        <v>42</v>
      </c>
      <c r="O2804" t="s">
        <v>33</v>
      </c>
      <c r="P2804" t="s">
        <v>34</v>
      </c>
      <c r="Q2804" t="s">
        <v>34</v>
      </c>
      <c r="R2804" t="s">
        <v>34</v>
      </c>
      <c r="S2804" t="s">
        <v>34</v>
      </c>
      <c r="T2804" s="117">
        <v>0</v>
      </c>
    </row>
    <row r="2805" spans="1:21" x14ac:dyDescent="0.35">
      <c r="A2805" t="s">
        <v>19</v>
      </c>
      <c r="B2805" t="s">
        <v>25</v>
      </c>
      <c r="C2805" s="1">
        <v>45679</v>
      </c>
      <c r="D2805">
        <f t="shared" si="200"/>
        <v>22</v>
      </c>
      <c r="E2805">
        <f t="shared" si="201"/>
        <v>1</v>
      </c>
      <c r="F2805">
        <f t="shared" si="202"/>
        <v>2025</v>
      </c>
      <c r="G2805" t="s">
        <v>351</v>
      </c>
      <c r="H2805" s="98">
        <v>10966</v>
      </c>
      <c r="I2805" s="29">
        <v>2150</v>
      </c>
      <c r="J2805" s="12" t="s">
        <v>31</v>
      </c>
      <c r="K2805" s="76">
        <f t="shared" si="199"/>
        <v>2150</v>
      </c>
      <c r="L2805">
        <v>1</v>
      </c>
      <c r="M2805" s="29">
        <v>0</v>
      </c>
      <c r="N2805" t="s">
        <v>32</v>
      </c>
      <c r="O2805" t="s">
        <v>33</v>
      </c>
      <c r="P2805" t="s">
        <v>34</v>
      </c>
      <c r="Q2805" t="s">
        <v>34</v>
      </c>
      <c r="R2805" t="s">
        <v>34</v>
      </c>
      <c r="S2805" t="s">
        <v>34</v>
      </c>
      <c r="T2805" s="117">
        <v>0</v>
      </c>
    </row>
    <row r="2806" spans="1:21" x14ac:dyDescent="0.35">
      <c r="A2806" t="s">
        <v>19</v>
      </c>
      <c r="B2806" t="s">
        <v>25</v>
      </c>
      <c r="C2806" s="1">
        <v>45679</v>
      </c>
      <c r="D2806">
        <f t="shared" si="200"/>
        <v>22</v>
      </c>
      <c r="E2806">
        <f t="shared" si="201"/>
        <v>1</v>
      </c>
      <c r="F2806">
        <f t="shared" si="202"/>
        <v>2025</v>
      </c>
      <c r="G2806" t="s">
        <v>1146</v>
      </c>
      <c r="H2806" s="98">
        <v>12096</v>
      </c>
      <c r="I2806" s="29">
        <v>18125.82</v>
      </c>
      <c r="J2806" s="12" t="s">
        <v>51</v>
      </c>
      <c r="K2806" s="76">
        <f t="shared" si="199"/>
        <v>19012.170006007742</v>
      </c>
      <c r="L2806">
        <v>1.0488998570000001</v>
      </c>
      <c r="M2806" s="29">
        <v>0</v>
      </c>
      <c r="N2806" t="s">
        <v>42</v>
      </c>
      <c r="O2806" t="s">
        <v>33</v>
      </c>
      <c r="P2806" t="s">
        <v>34</v>
      </c>
      <c r="Q2806" t="s">
        <v>34</v>
      </c>
      <c r="R2806" t="s">
        <v>34</v>
      </c>
      <c r="S2806" t="s">
        <v>34</v>
      </c>
      <c r="T2806" s="117">
        <v>0</v>
      </c>
    </row>
    <row r="2807" spans="1:21" x14ac:dyDescent="0.35">
      <c r="A2807" t="s">
        <v>19</v>
      </c>
      <c r="B2807" t="s">
        <v>25</v>
      </c>
      <c r="C2807" s="1">
        <v>45679</v>
      </c>
      <c r="D2807">
        <f t="shared" si="200"/>
        <v>22</v>
      </c>
      <c r="E2807">
        <f t="shared" si="201"/>
        <v>1</v>
      </c>
      <c r="F2807">
        <f t="shared" si="202"/>
        <v>2025</v>
      </c>
      <c r="G2807" t="s">
        <v>79</v>
      </c>
      <c r="H2807" s="98">
        <v>10858</v>
      </c>
      <c r="I2807" s="29">
        <v>2940</v>
      </c>
      <c r="J2807" s="12" t="s">
        <v>51</v>
      </c>
      <c r="K2807" s="76">
        <f t="shared" si="199"/>
        <v>3083.7700013399999</v>
      </c>
      <c r="L2807">
        <v>1.048901361</v>
      </c>
      <c r="M2807" s="29">
        <v>0</v>
      </c>
      <c r="N2807" t="s">
        <v>32</v>
      </c>
      <c r="O2807" t="s">
        <v>33</v>
      </c>
      <c r="P2807" t="s">
        <v>34</v>
      </c>
      <c r="Q2807" t="s">
        <v>34</v>
      </c>
      <c r="R2807" t="s">
        <v>34</v>
      </c>
      <c r="S2807" t="s">
        <v>34</v>
      </c>
      <c r="T2807" s="117">
        <v>0</v>
      </c>
    </row>
    <row r="2808" spans="1:21" x14ac:dyDescent="0.35">
      <c r="A2808" t="s">
        <v>19</v>
      </c>
      <c r="B2808" t="s">
        <v>25</v>
      </c>
      <c r="C2808" s="1">
        <v>45679</v>
      </c>
      <c r="D2808">
        <f t="shared" si="200"/>
        <v>22</v>
      </c>
      <c r="E2808">
        <f t="shared" si="201"/>
        <v>1</v>
      </c>
      <c r="F2808">
        <f t="shared" si="202"/>
        <v>2025</v>
      </c>
      <c r="G2808" t="s">
        <v>30</v>
      </c>
      <c r="H2808" s="98">
        <v>12095</v>
      </c>
      <c r="I2808" s="29">
        <v>10451.91</v>
      </c>
      <c r="J2808" s="12" t="s">
        <v>31</v>
      </c>
      <c r="K2808" s="76">
        <f t="shared" si="199"/>
        <v>10451.91</v>
      </c>
      <c r="L2808">
        <v>1</v>
      </c>
      <c r="M2808" s="29">
        <v>0</v>
      </c>
      <c r="N2808" t="s">
        <v>42</v>
      </c>
      <c r="O2808" t="s">
        <v>33</v>
      </c>
      <c r="P2808" t="s">
        <v>34</v>
      </c>
      <c r="Q2808" t="s">
        <v>34</v>
      </c>
      <c r="R2808" t="s">
        <v>34</v>
      </c>
      <c r="S2808" t="s">
        <v>34</v>
      </c>
      <c r="T2808" s="117">
        <v>0</v>
      </c>
    </row>
    <row r="2809" spans="1:21" x14ac:dyDescent="0.35">
      <c r="A2809" t="s">
        <v>19</v>
      </c>
      <c r="B2809" t="s">
        <v>27</v>
      </c>
      <c r="C2809" s="1">
        <v>45679</v>
      </c>
      <c r="D2809">
        <f t="shared" si="200"/>
        <v>22</v>
      </c>
      <c r="E2809">
        <f t="shared" si="201"/>
        <v>1</v>
      </c>
      <c r="F2809">
        <f t="shared" si="202"/>
        <v>2025</v>
      </c>
      <c r="G2809" t="s">
        <v>100</v>
      </c>
      <c r="H2809" s="98">
        <v>11404</v>
      </c>
      <c r="I2809" s="29">
        <v>230402.54</v>
      </c>
      <c r="J2809" s="12" t="s">
        <v>31</v>
      </c>
      <c r="K2809" s="76">
        <f t="shared" si="199"/>
        <v>230402.54</v>
      </c>
      <c r="L2809">
        <v>1</v>
      </c>
      <c r="M2809" s="29">
        <v>0</v>
      </c>
      <c r="N2809" t="s">
        <v>32</v>
      </c>
      <c r="O2809" t="s">
        <v>33</v>
      </c>
      <c r="P2809" t="s">
        <v>34</v>
      </c>
      <c r="Q2809" t="s">
        <v>34</v>
      </c>
      <c r="R2809" t="s">
        <v>34</v>
      </c>
      <c r="S2809" t="s">
        <v>34</v>
      </c>
      <c r="T2809" s="117">
        <v>0</v>
      </c>
    </row>
    <row r="2810" spans="1:21" x14ac:dyDescent="0.35">
      <c r="A2810" t="s">
        <v>19</v>
      </c>
      <c r="B2810" t="s">
        <v>27</v>
      </c>
      <c r="C2810" s="1">
        <v>45679</v>
      </c>
      <c r="D2810">
        <f t="shared" si="200"/>
        <v>22</v>
      </c>
      <c r="E2810">
        <f t="shared" si="201"/>
        <v>1</v>
      </c>
      <c r="F2810">
        <f t="shared" si="202"/>
        <v>2025</v>
      </c>
      <c r="G2810" t="s">
        <v>100</v>
      </c>
      <c r="H2810" s="98">
        <v>11653</v>
      </c>
      <c r="I2810" s="29">
        <v>400000</v>
      </c>
      <c r="J2810" s="12" t="s">
        <v>31</v>
      </c>
      <c r="K2810" s="76">
        <f t="shared" si="199"/>
        <v>400000</v>
      </c>
      <c r="L2810">
        <v>1</v>
      </c>
      <c r="M2810" s="29">
        <v>0</v>
      </c>
      <c r="N2810" t="s">
        <v>32</v>
      </c>
      <c r="O2810" t="s">
        <v>33</v>
      </c>
      <c r="P2810" t="s">
        <v>34</v>
      </c>
      <c r="Q2810" t="s">
        <v>34</v>
      </c>
      <c r="R2810" t="s">
        <v>34</v>
      </c>
      <c r="S2810" t="s">
        <v>34</v>
      </c>
      <c r="T2810" s="117">
        <v>0</v>
      </c>
    </row>
    <row r="2811" spans="1:21" x14ac:dyDescent="0.35">
      <c r="A2811" t="s">
        <v>20</v>
      </c>
      <c r="B2811" t="s">
        <v>25</v>
      </c>
      <c r="C2811" s="1">
        <v>45679</v>
      </c>
      <c r="D2811">
        <f t="shared" si="200"/>
        <v>22</v>
      </c>
      <c r="E2811">
        <f t="shared" si="201"/>
        <v>1</v>
      </c>
      <c r="F2811">
        <f t="shared" si="202"/>
        <v>2025</v>
      </c>
      <c r="G2811" t="s">
        <v>491</v>
      </c>
      <c r="H2811" s="98">
        <v>11743</v>
      </c>
      <c r="I2811" s="29">
        <v>329.5</v>
      </c>
      <c r="J2811" s="12" t="s">
        <v>31</v>
      </c>
      <c r="K2811" s="76">
        <f t="shared" si="199"/>
        <v>329.5</v>
      </c>
      <c r="L2811">
        <v>1</v>
      </c>
      <c r="M2811" s="29">
        <v>0</v>
      </c>
      <c r="N2811" t="s">
        <v>42</v>
      </c>
      <c r="O2811" t="s">
        <v>33</v>
      </c>
      <c r="P2811" t="s">
        <v>34</v>
      </c>
      <c r="Q2811" t="s">
        <v>34</v>
      </c>
      <c r="R2811" t="s">
        <v>34</v>
      </c>
      <c r="S2811" t="s">
        <v>34</v>
      </c>
      <c r="T2811" s="117">
        <v>0</v>
      </c>
    </row>
    <row r="2812" spans="1:21" x14ac:dyDescent="0.35">
      <c r="A2812" t="s">
        <v>20</v>
      </c>
      <c r="B2812" t="s">
        <v>23</v>
      </c>
      <c r="C2812" s="1">
        <v>45679</v>
      </c>
      <c r="D2812">
        <f t="shared" si="200"/>
        <v>22</v>
      </c>
      <c r="E2812">
        <f t="shared" si="201"/>
        <v>1</v>
      </c>
      <c r="F2812">
        <f t="shared" si="202"/>
        <v>2025</v>
      </c>
      <c r="G2812" t="s">
        <v>53</v>
      </c>
      <c r="H2812" s="171">
        <v>11524</v>
      </c>
      <c r="I2812" s="90">
        <v>1945.84</v>
      </c>
      <c r="J2812" s="12" t="s">
        <v>31</v>
      </c>
      <c r="K2812" s="76">
        <f t="shared" si="199"/>
        <v>1945.84</v>
      </c>
      <c r="L2812">
        <v>1</v>
      </c>
      <c r="M2812" s="29">
        <v>0</v>
      </c>
      <c r="N2812" t="s">
        <v>32</v>
      </c>
      <c r="O2812" t="s">
        <v>33</v>
      </c>
      <c r="P2812" t="s">
        <v>34</v>
      </c>
      <c r="Q2812" t="s">
        <v>34</v>
      </c>
      <c r="R2812" t="s">
        <v>34</v>
      </c>
      <c r="S2812" t="s">
        <v>34</v>
      </c>
      <c r="T2812" s="117">
        <v>0</v>
      </c>
    </row>
    <row r="2813" spans="1:21" x14ac:dyDescent="0.35">
      <c r="A2813" t="s">
        <v>20</v>
      </c>
      <c r="B2813" t="s">
        <v>21</v>
      </c>
      <c r="C2813" s="1">
        <v>45679</v>
      </c>
      <c r="D2813">
        <f t="shared" si="200"/>
        <v>22</v>
      </c>
      <c r="E2813">
        <f t="shared" si="201"/>
        <v>1</v>
      </c>
      <c r="F2813">
        <f t="shared" si="202"/>
        <v>2025</v>
      </c>
      <c r="G2813" t="s">
        <v>265</v>
      </c>
      <c r="H2813" s="98">
        <v>11375</v>
      </c>
      <c r="I2813" s="29">
        <v>12431.74</v>
      </c>
      <c r="J2813" s="12" t="s">
        <v>31</v>
      </c>
      <c r="K2813" s="76">
        <f t="shared" si="199"/>
        <v>12431.74</v>
      </c>
      <c r="L2813">
        <v>1</v>
      </c>
      <c r="M2813" s="29">
        <v>0</v>
      </c>
      <c r="N2813" t="s">
        <v>32</v>
      </c>
      <c r="O2813" t="s">
        <v>33</v>
      </c>
      <c r="P2813" t="s">
        <v>34</v>
      </c>
      <c r="Q2813" t="s">
        <v>34</v>
      </c>
      <c r="R2813" t="s">
        <v>34</v>
      </c>
      <c r="S2813" t="s">
        <v>34</v>
      </c>
      <c r="T2813" s="117">
        <v>0</v>
      </c>
    </row>
    <row r="2814" spans="1:21" x14ac:dyDescent="0.35">
      <c r="A2814" t="s">
        <v>20</v>
      </c>
      <c r="B2814" t="s">
        <v>25</v>
      </c>
      <c r="C2814" s="1">
        <v>45679</v>
      </c>
      <c r="D2814">
        <f t="shared" si="200"/>
        <v>22</v>
      </c>
      <c r="E2814">
        <f t="shared" si="201"/>
        <v>1</v>
      </c>
      <c r="F2814">
        <f t="shared" si="202"/>
        <v>2025</v>
      </c>
      <c r="G2814" t="s">
        <v>50</v>
      </c>
      <c r="H2814" s="171">
        <v>11206</v>
      </c>
      <c r="I2814" s="29">
        <v>16146</v>
      </c>
      <c r="J2814" s="12" t="s">
        <v>31</v>
      </c>
      <c r="K2814" s="76">
        <f t="shared" si="199"/>
        <v>16146</v>
      </c>
      <c r="L2814">
        <v>1</v>
      </c>
      <c r="M2814" s="29">
        <v>0</v>
      </c>
      <c r="N2814" t="s">
        <v>32</v>
      </c>
      <c r="O2814" t="s">
        <v>33</v>
      </c>
      <c r="P2814" t="s">
        <v>34</v>
      </c>
      <c r="Q2814" t="s">
        <v>34</v>
      </c>
      <c r="R2814" t="s">
        <v>34</v>
      </c>
      <c r="S2814" t="s">
        <v>34</v>
      </c>
      <c r="T2814" s="117">
        <v>0</v>
      </c>
    </row>
    <row r="2815" spans="1:21" x14ac:dyDescent="0.35">
      <c r="A2815" t="s">
        <v>20</v>
      </c>
      <c r="B2815" t="s">
        <v>21</v>
      </c>
      <c r="C2815" s="1">
        <v>45679</v>
      </c>
      <c r="D2815">
        <f t="shared" si="200"/>
        <v>22</v>
      </c>
      <c r="E2815">
        <f t="shared" si="201"/>
        <v>1</v>
      </c>
      <c r="F2815">
        <f t="shared" si="202"/>
        <v>2025</v>
      </c>
      <c r="G2815" t="s">
        <v>50</v>
      </c>
      <c r="H2815" s="171">
        <v>11206</v>
      </c>
      <c r="I2815" s="29">
        <v>29628</v>
      </c>
      <c r="J2815" s="12" t="s">
        <v>31</v>
      </c>
      <c r="K2815" s="76">
        <f t="shared" si="199"/>
        <v>29628</v>
      </c>
      <c r="L2815">
        <v>1</v>
      </c>
      <c r="M2815" s="29">
        <v>0</v>
      </c>
      <c r="N2815" t="s">
        <v>32</v>
      </c>
      <c r="O2815" t="s">
        <v>33</v>
      </c>
      <c r="P2815" t="s">
        <v>34</v>
      </c>
      <c r="Q2815" t="s">
        <v>34</v>
      </c>
      <c r="R2815" t="s">
        <v>34</v>
      </c>
      <c r="S2815" t="s">
        <v>34</v>
      </c>
      <c r="T2815" s="117">
        <v>0</v>
      </c>
    </row>
    <row r="2816" spans="1:21" x14ac:dyDescent="0.35">
      <c r="A2816" t="s">
        <v>20</v>
      </c>
      <c r="B2816" t="s">
        <v>25</v>
      </c>
      <c r="C2816" s="1">
        <v>45679</v>
      </c>
      <c r="D2816">
        <f t="shared" si="200"/>
        <v>22</v>
      </c>
      <c r="E2816">
        <f t="shared" si="201"/>
        <v>1</v>
      </c>
      <c r="F2816">
        <f t="shared" si="202"/>
        <v>2025</v>
      </c>
      <c r="G2816" t="s">
        <v>50</v>
      </c>
      <c r="H2816" s="171">
        <v>11710</v>
      </c>
      <c r="I2816" s="29">
        <v>2433.9</v>
      </c>
      <c r="J2816" s="12" t="s">
        <v>31</v>
      </c>
      <c r="K2816" s="76">
        <f t="shared" si="199"/>
        <v>2433.9</v>
      </c>
      <c r="L2816">
        <v>1</v>
      </c>
      <c r="M2816" s="29">
        <v>0</v>
      </c>
      <c r="N2816" t="s">
        <v>42</v>
      </c>
      <c r="O2816" t="s">
        <v>33</v>
      </c>
      <c r="P2816" t="s">
        <v>34</v>
      </c>
      <c r="Q2816" t="s">
        <v>34</v>
      </c>
      <c r="R2816" t="s">
        <v>34</v>
      </c>
      <c r="S2816" t="s">
        <v>34</v>
      </c>
      <c r="T2816" s="117">
        <v>0</v>
      </c>
      <c r="U2816" s="209" t="s">
        <v>833</v>
      </c>
    </row>
    <row r="2817" spans="1:21" x14ac:dyDescent="0.35">
      <c r="A2817" t="s">
        <v>20</v>
      </c>
      <c r="B2817" t="s">
        <v>25</v>
      </c>
      <c r="C2817" s="1">
        <v>45679</v>
      </c>
      <c r="D2817">
        <f t="shared" si="200"/>
        <v>22</v>
      </c>
      <c r="E2817">
        <f t="shared" si="201"/>
        <v>1</v>
      </c>
      <c r="F2817">
        <f t="shared" si="202"/>
        <v>2025</v>
      </c>
      <c r="G2817" t="s">
        <v>50</v>
      </c>
      <c r="H2817" s="98">
        <v>11710</v>
      </c>
      <c r="I2817" s="29">
        <v>4455.1000000000004</v>
      </c>
      <c r="J2817" s="12" t="s">
        <v>31</v>
      </c>
      <c r="K2817" s="76">
        <f t="shared" si="199"/>
        <v>4455.1000000000004</v>
      </c>
      <c r="L2817">
        <v>1</v>
      </c>
      <c r="M2817" s="29">
        <v>0</v>
      </c>
      <c r="N2817" t="s">
        <v>42</v>
      </c>
      <c r="O2817" t="s">
        <v>33</v>
      </c>
      <c r="P2817" t="s">
        <v>34</v>
      </c>
      <c r="Q2817" t="s">
        <v>34</v>
      </c>
      <c r="R2817" t="s">
        <v>34</v>
      </c>
      <c r="S2817" t="s">
        <v>34</v>
      </c>
      <c r="T2817" s="117">
        <v>0</v>
      </c>
    </row>
    <row r="2818" spans="1:21" x14ac:dyDescent="0.35">
      <c r="A2818" t="s">
        <v>20</v>
      </c>
      <c r="B2818" t="s">
        <v>21</v>
      </c>
      <c r="C2818" s="1">
        <v>45679</v>
      </c>
      <c r="D2818">
        <f t="shared" si="200"/>
        <v>22</v>
      </c>
      <c r="E2818">
        <f t="shared" si="201"/>
        <v>1</v>
      </c>
      <c r="F2818">
        <f t="shared" si="202"/>
        <v>2025</v>
      </c>
      <c r="G2818" t="s">
        <v>91</v>
      </c>
      <c r="H2818" s="98">
        <v>11325</v>
      </c>
      <c r="I2818" s="29">
        <v>11075.84</v>
      </c>
      <c r="J2818" s="12" t="s">
        <v>31</v>
      </c>
      <c r="K2818" s="76">
        <f t="shared" ref="K2818:K2881" si="203">IF(J2818="USD",I2818,I2818*L2818)</f>
        <v>11075.84</v>
      </c>
      <c r="L2818">
        <v>1</v>
      </c>
      <c r="M2818" s="29">
        <v>0</v>
      </c>
      <c r="N2818" t="s">
        <v>32</v>
      </c>
      <c r="O2818" t="s">
        <v>33</v>
      </c>
      <c r="P2818" t="s">
        <v>34</v>
      </c>
      <c r="Q2818" t="s">
        <v>34</v>
      </c>
      <c r="R2818" t="s">
        <v>34</v>
      </c>
      <c r="S2818" t="s">
        <v>34</v>
      </c>
      <c r="T2818" s="117">
        <v>0</v>
      </c>
    </row>
    <row r="2819" spans="1:21" x14ac:dyDescent="0.35">
      <c r="A2819" t="s">
        <v>20</v>
      </c>
      <c r="B2819" t="s">
        <v>25</v>
      </c>
      <c r="C2819" s="1">
        <v>45679</v>
      </c>
      <c r="D2819">
        <f t="shared" ref="D2819:D2882" si="204">DAY(C2819)</f>
        <v>22</v>
      </c>
      <c r="E2819">
        <f t="shared" ref="E2819:E2882" si="205">MONTH(C2819)</f>
        <v>1</v>
      </c>
      <c r="F2819">
        <f t="shared" ref="F2819:F2882" si="206">YEAR(C2819)</f>
        <v>2025</v>
      </c>
      <c r="G2819" t="s">
        <v>43</v>
      </c>
      <c r="H2819" s="98">
        <v>11572</v>
      </c>
      <c r="I2819" s="29">
        <v>1341</v>
      </c>
      <c r="J2819" s="12" t="s">
        <v>31</v>
      </c>
      <c r="K2819" s="76">
        <f t="shared" si="203"/>
        <v>1341</v>
      </c>
      <c r="L2819">
        <v>1</v>
      </c>
      <c r="M2819" s="29">
        <v>0</v>
      </c>
      <c r="N2819" t="s">
        <v>32</v>
      </c>
      <c r="O2819" t="s">
        <v>33</v>
      </c>
      <c r="P2819" t="s">
        <v>34</v>
      </c>
      <c r="Q2819" t="s">
        <v>34</v>
      </c>
      <c r="R2819" t="s">
        <v>34</v>
      </c>
      <c r="S2819" t="s">
        <v>34</v>
      </c>
      <c r="T2819" s="117">
        <v>0</v>
      </c>
    </row>
    <row r="2820" spans="1:21" x14ac:dyDescent="0.35">
      <c r="A2820" t="s">
        <v>20</v>
      </c>
      <c r="B2820" t="s">
        <v>23</v>
      </c>
      <c r="C2820" s="1">
        <v>45679</v>
      </c>
      <c r="D2820">
        <f t="shared" si="204"/>
        <v>22</v>
      </c>
      <c r="E2820">
        <f t="shared" si="205"/>
        <v>1</v>
      </c>
      <c r="F2820">
        <f t="shared" si="206"/>
        <v>2025</v>
      </c>
      <c r="G2820" t="s">
        <v>48</v>
      </c>
      <c r="H2820" s="98">
        <v>12107</v>
      </c>
      <c r="I2820" s="29">
        <v>34.5</v>
      </c>
      <c r="J2820" s="12" t="s">
        <v>31</v>
      </c>
      <c r="K2820" s="76">
        <f t="shared" si="203"/>
        <v>34.5</v>
      </c>
      <c r="L2820">
        <v>1</v>
      </c>
      <c r="M2820" s="29">
        <v>0</v>
      </c>
      <c r="N2820" t="s">
        <v>42</v>
      </c>
      <c r="O2820" t="s">
        <v>33</v>
      </c>
      <c r="P2820" t="s">
        <v>34</v>
      </c>
      <c r="Q2820" t="s">
        <v>34</v>
      </c>
      <c r="R2820" t="s">
        <v>34</v>
      </c>
      <c r="S2820" t="s">
        <v>34</v>
      </c>
      <c r="T2820" s="117">
        <v>0</v>
      </c>
    </row>
    <row r="2821" spans="1:21" x14ac:dyDescent="0.35">
      <c r="A2821" t="s">
        <v>20</v>
      </c>
      <c r="B2821" t="s">
        <v>23</v>
      </c>
      <c r="C2821" s="1">
        <v>45679</v>
      </c>
      <c r="D2821">
        <f t="shared" si="204"/>
        <v>22</v>
      </c>
      <c r="E2821">
        <f t="shared" si="205"/>
        <v>1</v>
      </c>
      <c r="F2821">
        <f t="shared" si="206"/>
        <v>2025</v>
      </c>
      <c r="G2821" t="s">
        <v>48</v>
      </c>
      <c r="H2821" s="98">
        <v>12108</v>
      </c>
      <c r="I2821" s="29">
        <v>3001.5</v>
      </c>
      <c r="J2821" s="12" t="s">
        <v>31</v>
      </c>
      <c r="K2821" s="76">
        <f t="shared" si="203"/>
        <v>3001.5</v>
      </c>
      <c r="L2821">
        <v>1</v>
      </c>
      <c r="M2821" s="29">
        <v>0</v>
      </c>
      <c r="N2821" t="s">
        <v>42</v>
      </c>
      <c r="O2821" t="s">
        <v>33</v>
      </c>
      <c r="P2821" t="s">
        <v>34</v>
      </c>
      <c r="Q2821" t="s">
        <v>34</v>
      </c>
      <c r="R2821" t="s">
        <v>34</v>
      </c>
      <c r="S2821" t="s">
        <v>34</v>
      </c>
      <c r="T2821" s="117">
        <v>0</v>
      </c>
    </row>
    <row r="2822" spans="1:21" x14ac:dyDescent="0.35">
      <c r="A2822" t="s">
        <v>20</v>
      </c>
      <c r="B2822" t="s">
        <v>23</v>
      </c>
      <c r="C2822" s="1">
        <v>45679</v>
      </c>
      <c r="D2822">
        <f t="shared" si="204"/>
        <v>22</v>
      </c>
      <c r="E2822">
        <f t="shared" si="205"/>
        <v>1</v>
      </c>
      <c r="F2822">
        <f t="shared" si="206"/>
        <v>2025</v>
      </c>
      <c r="G2822" t="s">
        <v>595</v>
      </c>
      <c r="H2822" s="98">
        <v>12109</v>
      </c>
      <c r="I2822" s="29">
        <v>37.5</v>
      </c>
      <c r="J2822" s="12" t="s">
        <v>31</v>
      </c>
      <c r="K2822" s="76">
        <f t="shared" si="203"/>
        <v>37.5</v>
      </c>
      <c r="L2822">
        <v>1</v>
      </c>
      <c r="M2822" s="29">
        <v>0</v>
      </c>
      <c r="N2822" t="s">
        <v>42</v>
      </c>
      <c r="O2822" t="s">
        <v>33</v>
      </c>
      <c r="P2822" t="s">
        <v>34</v>
      </c>
      <c r="Q2822" t="s">
        <v>34</v>
      </c>
      <c r="R2822" t="s">
        <v>34</v>
      </c>
      <c r="S2822" t="s">
        <v>34</v>
      </c>
      <c r="T2822" s="117">
        <v>0</v>
      </c>
    </row>
    <row r="2823" spans="1:21" x14ac:dyDescent="0.35">
      <c r="A2823" t="s">
        <v>20</v>
      </c>
      <c r="B2823" t="s">
        <v>23</v>
      </c>
      <c r="C2823" s="1">
        <v>45679</v>
      </c>
      <c r="D2823">
        <f t="shared" si="204"/>
        <v>22</v>
      </c>
      <c r="E2823">
        <f t="shared" si="205"/>
        <v>1</v>
      </c>
      <c r="F2823">
        <f t="shared" si="206"/>
        <v>2025</v>
      </c>
      <c r="G2823" t="s">
        <v>595</v>
      </c>
      <c r="H2823" s="98">
        <v>11880</v>
      </c>
      <c r="I2823" s="29">
        <v>3037.5</v>
      </c>
      <c r="J2823" s="12" t="s">
        <v>31</v>
      </c>
      <c r="K2823" s="76">
        <f t="shared" si="203"/>
        <v>3037.5</v>
      </c>
      <c r="L2823">
        <v>1</v>
      </c>
      <c r="M2823" s="29">
        <v>0</v>
      </c>
      <c r="N2823" t="s">
        <v>42</v>
      </c>
      <c r="O2823" t="s">
        <v>33</v>
      </c>
      <c r="P2823" t="s">
        <v>34</v>
      </c>
      <c r="Q2823" t="s">
        <v>34</v>
      </c>
      <c r="R2823" t="s">
        <v>34</v>
      </c>
      <c r="S2823" t="s">
        <v>34</v>
      </c>
      <c r="T2823" s="117">
        <v>0</v>
      </c>
      <c r="U2823" s="209" t="s">
        <v>1010</v>
      </c>
    </row>
    <row r="2824" spans="1:21" x14ac:dyDescent="0.35">
      <c r="A2824" t="s">
        <v>20</v>
      </c>
      <c r="B2824" t="s">
        <v>23</v>
      </c>
      <c r="C2824" s="1">
        <v>45679</v>
      </c>
      <c r="D2824">
        <f t="shared" si="204"/>
        <v>22</v>
      </c>
      <c r="E2824">
        <f t="shared" si="205"/>
        <v>1</v>
      </c>
      <c r="F2824">
        <f t="shared" si="206"/>
        <v>2025</v>
      </c>
      <c r="G2824" t="s">
        <v>46</v>
      </c>
      <c r="H2824" s="98">
        <v>12124</v>
      </c>
      <c r="I2824" s="29">
        <v>48</v>
      </c>
      <c r="J2824" s="12" t="s">
        <v>31</v>
      </c>
      <c r="K2824" s="76">
        <f t="shared" si="203"/>
        <v>48</v>
      </c>
      <c r="L2824">
        <v>1</v>
      </c>
      <c r="M2824" s="29">
        <v>0</v>
      </c>
      <c r="N2824" t="s">
        <v>42</v>
      </c>
      <c r="O2824" t="s">
        <v>33</v>
      </c>
      <c r="P2824" t="s">
        <v>34</v>
      </c>
      <c r="Q2824" t="s">
        <v>34</v>
      </c>
      <c r="R2824" t="s">
        <v>34</v>
      </c>
      <c r="S2824" t="s">
        <v>34</v>
      </c>
      <c r="T2824" s="117">
        <v>0</v>
      </c>
    </row>
    <row r="2825" spans="1:21" x14ac:dyDescent="0.35">
      <c r="A2825" t="s">
        <v>20</v>
      </c>
      <c r="B2825" t="s">
        <v>23</v>
      </c>
      <c r="C2825" s="1">
        <v>45679</v>
      </c>
      <c r="D2825">
        <f t="shared" si="204"/>
        <v>22</v>
      </c>
      <c r="E2825">
        <f t="shared" si="205"/>
        <v>1</v>
      </c>
      <c r="F2825">
        <f t="shared" si="206"/>
        <v>2025</v>
      </c>
      <c r="G2825" t="s">
        <v>46</v>
      </c>
      <c r="H2825" s="98">
        <v>12123</v>
      </c>
      <c r="I2825" s="29">
        <v>2448</v>
      </c>
      <c r="J2825" s="12" t="s">
        <v>31</v>
      </c>
      <c r="K2825" s="76">
        <f t="shared" si="203"/>
        <v>2448</v>
      </c>
      <c r="L2825">
        <v>1</v>
      </c>
      <c r="M2825" s="29">
        <v>0</v>
      </c>
      <c r="N2825" t="s">
        <v>42</v>
      </c>
      <c r="O2825" t="s">
        <v>33</v>
      </c>
      <c r="P2825" t="s">
        <v>34</v>
      </c>
      <c r="Q2825" t="s">
        <v>34</v>
      </c>
      <c r="R2825" t="s">
        <v>34</v>
      </c>
      <c r="S2825" t="s">
        <v>34</v>
      </c>
      <c r="T2825" s="117">
        <v>0</v>
      </c>
    </row>
    <row r="2826" spans="1:21" x14ac:dyDescent="0.35">
      <c r="A2826" t="s">
        <v>20</v>
      </c>
      <c r="B2826" t="s">
        <v>23</v>
      </c>
      <c r="C2826" s="1">
        <v>45679</v>
      </c>
      <c r="D2826">
        <f t="shared" si="204"/>
        <v>22</v>
      </c>
      <c r="E2826">
        <f t="shared" si="205"/>
        <v>1</v>
      </c>
      <c r="F2826">
        <f t="shared" si="206"/>
        <v>2025</v>
      </c>
      <c r="G2826" t="s">
        <v>177</v>
      </c>
      <c r="H2826" s="98">
        <v>11697</v>
      </c>
      <c r="I2826" s="29">
        <v>34869.449999999997</v>
      </c>
      <c r="J2826" s="12" t="s">
        <v>31</v>
      </c>
      <c r="K2826" s="76">
        <f t="shared" si="203"/>
        <v>34869.449999999997</v>
      </c>
      <c r="L2826">
        <v>1</v>
      </c>
      <c r="M2826" s="29">
        <v>0</v>
      </c>
      <c r="N2826" t="s">
        <v>42</v>
      </c>
      <c r="O2826" t="s">
        <v>33</v>
      </c>
      <c r="P2826" t="s">
        <v>34</v>
      </c>
      <c r="Q2826" t="s">
        <v>34</v>
      </c>
      <c r="R2826" t="s">
        <v>34</v>
      </c>
      <c r="S2826" t="s">
        <v>34</v>
      </c>
      <c r="T2826" s="117">
        <v>0</v>
      </c>
    </row>
    <row r="2827" spans="1:21" x14ac:dyDescent="0.35">
      <c r="A2827" t="s">
        <v>20</v>
      </c>
      <c r="B2827" t="s">
        <v>23</v>
      </c>
      <c r="C2827" s="1">
        <v>45679</v>
      </c>
      <c r="D2827">
        <f t="shared" si="204"/>
        <v>22</v>
      </c>
      <c r="E2827">
        <f t="shared" si="205"/>
        <v>1</v>
      </c>
      <c r="F2827">
        <f t="shared" si="206"/>
        <v>2025</v>
      </c>
      <c r="G2827" t="s">
        <v>177</v>
      </c>
      <c r="H2827" s="98">
        <v>11695</v>
      </c>
      <c r="I2827" s="29">
        <v>25876.639999999999</v>
      </c>
      <c r="J2827" s="12" t="s">
        <v>31</v>
      </c>
      <c r="K2827" s="76">
        <f t="shared" si="203"/>
        <v>25876.639999999999</v>
      </c>
      <c r="L2827">
        <v>1</v>
      </c>
      <c r="M2827" s="29">
        <v>0</v>
      </c>
      <c r="N2827" t="s">
        <v>42</v>
      </c>
      <c r="O2827" t="s">
        <v>33</v>
      </c>
      <c r="P2827" t="s">
        <v>34</v>
      </c>
      <c r="Q2827" t="s">
        <v>34</v>
      </c>
      <c r="R2827" t="s">
        <v>34</v>
      </c>
      <c r="S2827" t="s">
        <v>34</v>
      </c>
      <c r="T2827" s="117">
        <v>0</v>
      </c>
    </row>
    <row r="2828" spans="1:21" x14ac:dyDescent="0.35">
      <c r="A2828" t="s">
        <v>20</v>
      </c>
      <c r="B2828" t="s">
        <v>23</v>
      </c>
      <c r="C2828" s="1">
        <v>45679</v>
      </c>
      <c r="D2828">
        <f t="shared" si="204"/>
        <v>22</v>
      </c>
      <c r="E2828">
        <f t="shared" si="205"/>
        <v>1</v>
      </c>
      <c r="F2828">
        <f t="shared" si="206"/>
        <v>2025</v>
      </c>
      <c r="G2828" t="s">
        <v>177</v>
      </c>
      <c r="H2828" s="98">
        <v>12117</v>
      </c>
      <c r="I2828" s="29">
        <v>38.799999999999997</v>
      </c>
      <c r="J2828" s="12" t="s">
        <v>31</v>
      </c>
      <c r="K2828" s="76">
        <f t="shared" si="203"/>
        <v>38.799999999999997</v>
      </c>
      <c r="L2828">
        <v>1</v>
      </c>
      <c r="M2828" s="29">
        <v>0</v>
      </c>
      <c r="N2828" t="s">
        <v>42</v>
      </c>
      <c r="O2828" t="s">
        <v>33</v>
      </c>
      <c r="P2828" t="s">
        <v>34</v>
      </c>
      <c r="Q2828" t="s">
        <v>34</v>
      </c>
      <c r="R2828" t="s">
        <v>34</v>
      </c>
      <c r="S2828" t="s">
        <v>34</v>
      </c>
      <c r="T2828" s="117">
        <v>0</v>
      </c>
    </row>
    <row r="2829" spans="1:21" x14ac:dyDescent="0.35">
      <c r="A2829" t="s">
        <v>20</v>
      </c>
      <c r="B2829" t="s">
        <v>23</v>
      </c>
      <c r="C2829" s="1">
        <v>45679</v>
      </c>
      <c r="D2829">
        <f t="shared" si="204"/>
        <v>22</v>
      </c>
      <c r="E2829">
        <f t="shared" si="205"/>
        <v>1</v>
      </c>
      <c r="F2829">
        <f t="shared" si="206"/>
        <v>2025</v>
      </c>
      <c r="G2829" t="s">
        <v>177</v>
      </c>
      <c r="H2829" s="98">
        <v>12118</v>
      </c>
      <c r="I2829" s="29">
        <v>2328</v>
      </c>
      <c r="J2829" s="12" t="s">
        <v>31</v>
      </c>
      <c r="K2829" s="76">
        <f t="shared" si="203"/>
        <v>2328</v>
      </c>
      <c r="L2829">
        <v>1</v>
      </c>
      <c r="M2829" s="29">
        <v>0</v>
      </c>
      <c r="N2829" t="s">
        <v>42</v>
      </c>
      <c r="O2829" t="s">
        <v>33</v>
      </c>
      <c r="P2829" t="s">
        <v>34</v>
      </c>
      <c r="Q2829" t="s">
        <v>34</v>
      </c>
      <c r="R2829" t="s">
        <v>34</v>
      </c>
      <c r="S2829" t="s">
        <v>34</v>
      </c>
      <c r="T2829" s="117">
        <v>0</v>
      </c>
    </row>
    <row r="2830" spans="1:21" x14ac:dyDescent="0.35">
      <c r="A2830" t="s">
        <v>20</v>
      </c>
      <c r="B2830" t="s">
        <v>25</v>
      </c>
      <c r="C2830" s="1">
        <v>45679</v>
      </c>
      <c r="D2830">
        <f t="shared" si="204"/>
        <v>22</v>
      </c>
      <c r="E2830">
        <f t="shared" si="205"/>
        <v>1</v>
      </c>
      <c r="F2830">
        <f t="shared" si="206"/>
        <v>2025</v>
      </c>
      <c r="G2830" t="s">
        <v>81</v>
      </c>
      <c r="H2830" s="98">
        <v>11881</v>
      </c>
      <c r="I2830" s="29">
        <v>2158.79</v>
      </c>
      <c r="J2830" s="12" t="s">
        <v>31</v>
      </c>
      <c r="K2830" s="76">
        <f t="shared" si="203"/>
        <v>2158.79</v>
      </c>
      <c r="L2830">
        <v>1</v>
      </c>
      <c r="M2830" s="29">
        <v>0</v>
      </c>
      <c r="N2830" t="s">
        <v>32</v>
      </c>
      <c r="O2830" t="s">
        <v>33</v>
      </c>
      <c r="P2830" t="s">
        <v>34</v>
      </c>
      <c r="Q2830" t="s">
        <v>34</v>
      </c>
      <c r="R2830" t="s">
        <v>34</v>
      </c>
      <c r="S2830" t="s">
        <v>34</v>
      </c>
      <c r="T2830" s="117">
        <v>0</v>
      </c>
    </row>
    <row r="2831" spans="1:21" x14ac:dyDescent="0.35">
      <c r="A2831" t="s">
        <v>20</v>
      </c>
      <c r="B2831" t="s">
        <v>25</v>
      </c>
      <c r="C2831" s="1">
        <v>45679</v>
      </c>
      <c r="D2831">
        <f t="shared" si="204"/>
        <v>22</v>
      </c>
      <c r="E2831">
        <f t="shared" si="205"/>
        <v>1</v>
      </c>
      <c r="F2831">
        <f t="shared" si="206"/>
        <v>2025</v>
      </c>
      <c r="G2831" t="s">
        <v>81</v>
      </c>
      <c r="H2831" s="98">
        <v>11882</v>
      </c>
      <c r="I2831" s="29">
        <v>44772.7</v>
      </c>
      <c r="J2831" s="12" t="s">
        <v>31</v>
      </c>
      <c r="K2831" s="76">
        <f t="shared" si="203"/>
        <v>44772.7</v>
      </c>
      <c r="L2831">
        <v>1</v>
      </c>
      <c r="M2831" s="29">
        <v>0</v>
      </c>
      <c r="N2831" t="s">
        <v>32</v>
      </c>
      <c r="O2831" t="s">
        <v>33</v>
      </c>
      <c r="P2831" t="s">
        <v>34</v>
      </c>
      <c r="Q2831" t="s">
        <v>34</v>
      </c>
      <c r="R2831" t="s">
        <v>34</v>
      </c>
      <c r="S2831" t="s">
        <v>34</v>
      </c>
      <c r="T2831" s="117">
        <v>0</v>
      </c>
    </row>
    <row r="2832" spans="1:21" x14ac:dyDescent="0.35">
      <c r="A2832" t="s">
        <v>20</v>
      </c>
      <c r="B2832" t="s">
        <v>25</v>
      </c>
      <c r="C2832" s="1">
        <v>45679</v>
      </c>
      <c r="D2832">
        <f t="shared" si="204"/>
        <v>22</v>
      </c>
      <c r="E2832">
        <f t="shared" si="205"/>
        <v>1</v>
      </c>
      <c r="F2832">
        <f t="shared" si="206"/>
        <v>2025</v>
      </c>
      <c r="G2832" t="s">
        <v>81</v>
      </c>
      <c r="H2832" s="98">
        <v>12122</v>
      </c>
      <c r="I2832" s="29">
        <v>7181</v>
      </c>
      <c r="J2832" s="12" t="s">
        <v>31</v>
      </c>
      <c r="K2832" s="76">
        <f t="shared" si="203"/>
        <v>7181</v>
      </c>
      <c r="L2832">
        <v>1</v>
      </c>
      <c r="M2832" s="29">
        <v>0</v>
      </c>
      <c r="N2832" t="s">
        <v>42</v>
      </c>
      <c r="O2832" t="s">
        <v>33</v>
      </c>
      <c r="P2832" t="s">
        <v>34</v>
      </c>
      <c r="Q2832" t="s">
        <v>34</v>
      </c>
      <c r="R2832" t="s">
        <v>34</v>
      </c>
      <c r="S2832" t="s">
        <v>34</v>
      </c>
      <c r="T2832" s="117">
        <v>0</v>
      </c>
    </row>
    <row r="2833" spans="1:20" x14ac:dyDescent="0.35">
      <c r="A2833" t="s">
        <v>20</v>
      </c>
      <c r="B2833" t="s">
        <v>25</v>
      </c>
      <c r="C2833" s="1">
        <v>45679</v>
      </c>
      <c r="D2833">
        <f t="shared" si="204"/>
        <v>22</v>
      </c>
      <c r="E2833">
        <f t="shared" si="205"/>
        <v>1</v>
      </c>
      <c r="F2833">
        <f t="shared" si="206"/>
        <v>2025</v>
      </c>
      <c r="G2833" t="s">
        <v>211</v>
      </c>
      <c r="H2833" s="98">
        <v>11296</v>
      </c>
      <c r="I2833" s="29">
        <v>31742.55</v>
      </c>
      <c r="J2833" s="12" t="s">
        <v>31</v>
      </c>
      <c r="K2833" s="76">
        <f t="shared" si="203"/>
        <v>31742.55</v>
      </c>
      <c r="L2833">
        <v>1</v>
      </c>
      <c r="M2833" s="29">
        <v>0</v>
      </c>
      <c r="N2833" t="s">
        <v>32</v>
      </c>
      <c r="O2833" t="s">
        <v>33</v>
      </c>
      <c r="P2833" t="s">
        <v>34</v>
      </c>
      <c r="Q2833" t="s">
        <v>34</v>
      </c>
      <c r="R2833" t="s">
        <v>34</v>
      </c>
      <c r="S2833" t="s">
        <v>34</v>
      </c>
      <c r="T2833" s="117">
        <v>0</v>
      </c>
    </row>
    <row r="2834" spans="1:20" x14ac:dyDescent="0.35">
      <c r="A2834" t="s">
        <v>20</v>
      </c>
      <c r="B2834" t="s">
        <v>21</v>
      </c>
      <c r="C2834" s="1">
        <v>45679</v>
      </c>
      <c r="D2834">
        <f t="shared" si="204"/>
        <v>22</v>
      </c>
      <c r="E2834">
        <f t="shared" si="205"/>
        <v>1</v>
      </c>
      <c r="F2834">
        <f t="shared" si="206"/>
        <v>2025</v>
      </c>
      <c r="G2834" t="s">
        <v>459</v>
      </c>
      <c r="H2834" s="98">
        <v>12120</v>
      </c>
      <c r="I2834" s="29">
        <v>70</v>
      </c>
      <c r="J2834" s="12" t="s">
        <v>31</v>
      </c>
      <c r="K2834" s="76">
        <f t="shared" si="203"/>
        <v>70</v>
      </c>
      <c r="L2834">
        <v>1</v>
      </c>
      <c r="M2834" s="29">
        <v>0</v>
      </c>
      <c r="N2834" t="s">
        <v>42</v>
      </c>
      <c r="O2834" t="s">
        <v>33</v>
      </c>
      <c r="P2834" t="s">
        <v>34</v>
      </c>
      <c r="Q2834" t="s">
        <v>34</v>
      </c>
      <c r="R2834" t="s">
        <v>34</v>
      </c>
      <c r="S2834" t="s">
        <v>34</v>
      </c>
      <c r="T2834" s="117">
        <v>0</v>
      </c>
    </row>
    <row r="2835" spans="1:20" x14ac:dyDescent="0.35">
      <c r="A2835" t="s">
        <v>20</v>
      </c>
      <c r="B2835" t="s">
        <v>21</v>
      </c>
      <c r="C2835" s="1">
        <v>45679</v>
      </c>
      <c r="D2835">
        <f t="shared" si="204"/>
        <v>22</v>
      </c>
      <c r="E2835">
        <f t="shared" si="205"/>
        <v>1</v>
      </c>
      <c r="F2835">
        <f t="shared" si="206"/>
        <v>2025</v>
      </c>
      <c r="G2835" t="s">
        <v>459</v>
      </c>
      <c r="H2835" s="98">
        <v>12121</v>
      </c>
      <c r="I2835" s="29">
        <v>1673</v>
      </c>
      <c r="J2835" s="12" t="s">
        <v>31</v>
      </c>
      <c r="K2835" s="76">
        <f t="shared" si="203"/>
        <v>1673</v>
      </c>
      <c r="L2835">
        <v>1</v>
      </c>
      <c r="M2835" s="29">
        <v>0</v>
      </c>
      <c r="N2835" t="s">
        <v>42</v>
      </c>
      <c r="O2835" t="s">
        <v>33</v>
      </c>
      <c r="P2835" t="s">
        <v>34</v>
      </c>
      <c r="Q2835" t="s">
        <v>34</v>
      </c>
      <c r="R2835" t="s">
        <v>34</v>
      </c>
      <c r="S2835" t="s">
        <v>34</v>
      </c>
      <c r="T2835" s="117">
        <v>0</v>
      </c>
    </row>
    <row r="2836" spans="1:20" x14ac:dyDescent="0.35">
      <c r="A2836" t="s">
        <v>20</v>
      </c>
      <c r="B2836" t="s">
        <v>23</v>
      </c>
      <c r="C2836" s="1">
        <v>45679</v>
      </c>
      <c r="D2836">
        <f t="shared" si="204"/>
        <v>22</v>
      </c>
      <c r="E2836">
        <f t="shared" si="205"/>
        <v>1</v>
      </c>
      <c r="F2836">
        <f t="shared" si="206"/>
        <v>2025</v>
      </c>
      <c r="G2836" t="s">
        <v>97</v>
      </c>
      <c r="H2836" s="98">
        <v>12028</v>
      </c>
      <c r="I2836" s="29">
        <v>118</v>
      </c>
      <c r="J2836" s="12" t="s">
        <v>31</v>
      </c>
      <c r="K2836" s="76">
        <f t="shared" si="203"/>
        <v>118</v>
      </c>
      <c r="L2836">
        <v>1</v>
      </c>
      <c r="M2836" s="29">
        <v>0</v>
      </c>
      <c r="N2836" t="s">
        <v>32</v>
      </c>
      <c r="O2836" t="s">
        <v>33</v>
      </c>
      <c r="P2836" t="s">
        <v>34</v>
      </c>
      <c r="Q2836" t="s">
        <v>34</v>
      </c>
      <c r="R2836" t="s">
        <v>34</v>
      </c>
      <c r="S2836" t="s">
        <v>34</v>
      </c>
      <c r="T2836" s="117">
        <v>0</v>
      </c>
    </row>
    <row r="2837" spans="1:20" x14ac:dyDescent="0.35">
      <c r="A2837" t="s">
        <v>19</v>
      </c>
      <c r="B2837" t="s">
        <v>19</v>
      </c>
      <c r="C2837" s="1">
        <v>45679</v>
      </c>
      <c r="D2837">
        <f t="shared" si="204"/>
        <v>22</v>
      </c>
      <c r="E2837">
        <f t="shared" si="205"/>
        <v>1</v>
      </c>
      <c r="F2837">
        <f t="shared" si="206"/>
        <v>2025</v>
      </c>
      <c r="G2837" t="s">
        <v>56</v>
      </c>
      <c r="H2837" s="98" t="s">
        <v>797</v>
      </c>
      <c r="I2837" s="29">
        <v>81189.73</v>
      </c>
      <c r="J2837" s="12" t="s">
        <v>31</v>
      </c>
      <c r="K2837" s="76">
        <f t="shared" si="203"/>
        <v>81189.73</v>
      </c>
      <c r="L2837">
        <v>1</v>
      </c>
      <c r="M2837" s="29">
        <v>0</v>
      </c>
      <c r="N2837" t="s">
        <v>32</v>
      </c>
      <c r="O2837" t="s">
        <v>33</v>
      </c>
      <c r="P2837" t="s">
        <v>34</v>
      </c>
      <c r="Q2837" t="s">
        <v>34</v>
      </c>
      <c r="R2837" t="s">
        <v>34</v>
      </c>
      <c r="S2837" t="s">
        <v>34</v>
      </c>
      <c r="T2837" s="117">
        <v>0</v>
      </c>
    </row>
    <row r="2838" spans="1:20" x14ac:dyDescent="0.35">
      <c r="A2838" t="s">
        <v>19</v>
      </c>
      <c r="B2838" t="s">
        <v>19</v>
      </c>
      <c r="C2838" s="1">
        <v>45679</v>
      </c>
      <c r="D2838">
        <f t="shared" si="204"/>
        <v>22</v>
      </c>
      <c r="E2838">
        <f t="shared" si="205"/>
        <v>1</v>
      </c>
      <c r="F2838">
        <f t="shared" si="206"/>
        <v>2025</v>
      </c>
      <c r="G2838" t="s">
        <v>54</v>
      </c>
      <c r="H2838" s="98" t="s">
        <v>798</v>
      </c>
      <c r="I2838" s="29">
        <v>159690.23000000001</v>
      </c>
      <c r="J2838" s="12" t="s">
        <v>31</v>
      </c>
      <c r="K2838" s="76">
        <f t="shared" si="203"/>
        <v>159690.23000000001</v>
      </c>
      <c r="L2838">
        <v>1</v>
      </c>
      <c r="M2838" s="29">
        <v>0</v>
      </c>
      <c r="N2838" t="s">
        <v>32</v>
      </c>
      <c r="O2838" t="s">
        <v>33</v>
      </c>
      <c r="P2838" t="s">
        <v>34</v>
      </c>
      <c r="Q2838" t="s">
        <v>34</v>
      </c>
      <c r="R2838" t="s">
        <v>34</v>
      </c>
      <c r="S2838" t="s">
        <v>34</v>
      </c>
      <c r="T2838" s="117">
        <v>0</v>
      </c>
    </row>
    <row r="2839" spans="1:20" x14ac:dyDescent="0.35">
      <c r="A2839" t="s">
        <v>19</v>
      </c>
      <c r="B2839" t="s">
        <v>19</v>
      </c>
      <c r="C2839" s="1">
        <v>45679</v>
      </c>
      <c r="D2839">
        <f t="shared" si="204"/>
        <v>22</v>
      </c>
      <c r="E2839">
        <f t="shared" si="205"/>
        <v>1</v>
      </c>
      <c r="F2839">
        <f t="shared" si="206"/>
        <v>2025</v>
      </c>
      <c r="G2839" t="s">
        <v>228</v>
      </c>
      <c r="H2839" s="98" t="s">
        <v>799</v>
      </c>
      <c r="I2839" s="29">
        <v>75466</v>
      </c>
      <c r="J2839" s="12" t="s">
        <v>31</v>
      </c>
      <c r="K2839" s="76">
        <f t="shared" si="203"/>
        <v>75466</v>
      </c>
      <c r="L2839">
        <v>1</v>
      </c>
      <c r="M2839" s="29">
        <v>0</v>
      </c>
      <c r="N2839" t="s">
        <v>32</v>
      </c>
      <c r="O2839" t="s">
        <v>33</v>
      </c>
      <c r="P2839" t="s">
        <v>34</v>
      </c>
      <c r="Q2839" t="s">
        <v>34</v>
      </c>
      <c r="R2839" t="s">
        <v>34</v>
      </c>
      <c r="S2839" t="s">
        <v>34</v>
      </c>
      <c r="T2839" s="117">
        <v>0</v>
      </c>
    </row>
    <row r="2840" spans="1:20" x14ac:dyDescent="0.35">
      <c r="A2840" t="s">
        <v>19</v>
      </c>
      <c r="B2840" t="s">
        <v>19</v>
      </c>
      <c r="C2840" s="1">
        <v>45679</v>
      </c>
      <c r="D2840">
        <f t="shared" si="204"/>
        <v>22</v>
      </c>
      <c r="E2840">
        <f t="shared" si="205"/>
        <v>1</v>
      </c>
      <c r="F2840">
        <f t="shared" si="206"/>
        <v>2025</v>
      </c>
      <c r="G2840" t="s">
        <v>228</v>
      </c>
      <c r="H2840" s="98" t="s">
        <v>800</v>
      </c>
      <c r="I2840" s="29">
        <v>148260.79999999999</v>
      </c>
      <c r="J2840" s="12" t="s">
        <v>31</v>
      </c>
      <c r="K2840" s="76">
        <f t="shared" si="203"/>
        <v>148260.79999999999</v>
      </c>
      <c r="L2840">
        <v>1</v>
      </c>
      <c r="M2840" s="29">
        <v>0</v>
      </c>
      <c r="N2840" t="s">
        <v>32</v>
      </c>
      <c r="O2840" t="s">
        <v>33</v>
      </c>
      <c r="P2840" t="s">
        <v>34</v>
      </c>
      <c r="Q2840" t="s">
        <v>34</v>
      </c>
      <c r="R2840" t="s">
        <v>34</v>
      </c>
      <c r="S2840" t="s">
        <v>34</v>
      </c>
      <c r="T2840" s="117">
        <v>0</v>
      </c>
    </row>
    <row r="2841" spans="1:20" x14ac:dyDescent="0.35">
      <c r="A2841" t="s">
        <v>19</v>
      </c>
      <c r="B2841" t="s">
        <v>19</v>
      </c>
      <c r="C2841" s="1">
        <v>45679</v>
      </c>
      <c r="D2841">
        <f t="shared" si="204"/>
        <v>22</v>
      </c>
      <c r="E2841">
        <f t="shared" si="205"/>
        <v>1</v>
      </c>
      <c r="F2841">
        <f t="shared" si="206"/>
        <v>2025</v>
      </c>
      <c r="G2841" t="s">
        <v>90</v>
      </c>
      <c r="H2841" s="98" t="s">
        <v>801</v>
      </c>
      <c r="I2841" s="29">
        <v>53468.35</v>
      </c>
      <c r="J2841" s="12" t="s">
        <v>31</v>
      </c>
      <c r="K2841" s="76">
        <f t="shared" si="203"/>
        <v>53468.35</v>
      </c>
      <c r="L2841">
        <v>1</v>
      </c>
      <c r="M2841" s="29">
        <v>0</v>
      </c>
      <c r="N2841" t="s">
        <v>32</v>
      </c>
      <c r="O2841" t="s">
        <v>33</v>
      </c>
      <c r="P2841" t="s">
        <v>34</v>
      </c>
      <c r="Q2841" t="s">
        <v>34</v>
      </c>
      <c r="R2841" t="s">
        <v>34</v>
      </c>
      <c r="S2841" t="s">
        <v>34</v>
      </c>
      <c r="T2841" s="117">
        <v>0</v>
      </c>
    </row>
    <row r="2842" spans="1:20" x14ac:dyDescent="0.35">
      <c r="A2842" t="s">
        <v>19</v>
      </c>
      <c r="B2842" t="s">
        <v>19</v>
      </c>
      <c r="C2842" s="1">
        <v>45679</v>
      </c>
      <c r="D2842">
        <f t="shared" si="204"/>
        <v>22</v>
      </c>
      <c r="E2842">
        <f t="shared" si="205"/>
        <v>1</v>
      </c>
      <c r="F2842">
        <f t="shared" si="206"/>
        <v>2025</v>
      </c>
      <c r="G2842" t="s">
        <v>110</v>
      </c>
      <c r="H2842" s="98" t="s">
        <v>802</v>
      </c>
      <c r="I2842" s="29">
        <v>98544.08</v>
      </c>
      <c r="J2842" s="12" t="s">
        <v>31</v>
      </c>
      <c r="K2842" s="76">
        <f t="shared" si="203"/>
        <v>98544.08</v>
      </c>
      <c r="L2842">
        <v>1</v>
      </c>
      <c r="M2842" s="29">
        <v>0</v>
      </c>
      <c r="N2842" t="s">
        <v>32</v>
      </c>
      <c r="O2842" t="s">
        <v>33</v>
      </c>
      <c r="P2842" t="s">
        <v>34</v>
      </c>
      <c r="Q2842" t="s">
        <v>34</v>
      </c>
      <c r="R2842" t="s">
        <v>34</v>
      </c>
      <c r="S2842" t="s">
        <v>34</v>
      </c>
      <c r="T2842" s="117">
        <v>0</v>
      </c>
    </row>
    <row r="2843" spans="1:20" x14ac:dyDescent="0.35">
      <c r="A2843" t="s">
        <v>19</v>
      </c>
      <c r="B2843" t="s">
        <v>19</v>
      </c>
      <c r="C2843" s="1">
        <v>45679</v>
      </c>
      <c r="D2843">
        <f t="shared" si="204"/>
        <v>22</v>
      </c>
      <c r="E2843">
        <f t="shared" si="205"/>
        <v>1</v>
      </c>
      <c r="F2843">
        <f t="shared" si="206"/>
        <v>2025</v>
      </c>
      <c r="G2843" t="s">
        <v>803</v>
      </c>
      <c r="H2843" s="98" t="s">
        <v>804</v>
      </c>
      <c r="I2843" s="29">
        <v>2156.21</v>
      </c>
      <c r="J2843" s="12" t="s">
        <v>31</v>
      </c>
      <c r="K2843" s="76">
        <f t="shared" si="203"/>
        <v>2156.21</v>
      </c>
      <c r="L2843">
        <v>1</v>
      </c>
      <c r="M2843" s="29">
        <v>0</v>
      </c>
      <c r="N2843" t="s">
        <v>32</v>
      </c>
      <c r="O2843" t="s">
        <v>33</v>
      </c>
      <c r="P2843" t="s">
        <v>34</v>
      </c>
      <c r="Q2843" t="s">
        <v>34</v>
      </c>
      <c r="R2843" t="s">
        <v>34</v>
      </c>
      <c r="S2843" t="s">
        <v>34</v>
      </c>
      <c r="T2843" s="117">
        <v>0</v>
      </c>
    </row>
    <row r="2844" spans="1:20" x14ac:dyDescent="0.35">
      <c r="A2844" t="s">
        <v>19</v>
      </c>
      <c r="B2844" t="s">
        <v>19</v>
      </c>
      <c r="C2844" s="1">
        <v>45679</v>
      </c>
      <c r="D2844">
        <f t="shared" si="204"/>
        <v>22</v>
      </c>
      <c r="E2844">
        <f t="shared" si="205"/>
        <v>1</v>
      </c>
      <c r="F2844">
        <f t="shared" si="206"/>
        <v>2025</v>
      </c>
      <c r="G2844" t="s">
        <v>803</v>
      </c>
      <c r="H2844" s="98" t="s">
        <v>805</v>
      </c>
      <c r="I2844" s="29">
        <v>55670.49</v>
      </c>
      <c r="J2844" s="12" t="s">
        <v>31</v>
      </c>
      <c r="K2844" s="76">
        <f t="shared" si="203"/>
        <v>55670.49</v>
      </c>
      <c r="L2844">
        <v>1</v>
      </c>
      <c r="M2844" s="29">
        <v>0</v>
      </c>
      <c r="N2844" t="s">
        <v>32</v>
      </c>
      <c r="O2844" t="s">
        <v>33</v>
      </c>
      <c r="P2844" t="s">
        <v>34</v>
      </c>
      <c r="Q2844" t="s">
        <v>34</v>
      </c>
      <c r="R2844" t="s">
        <v>34</v>
      </c>
      <c r="S2844" t="s">
        <v>34</v>
      </c>
      <c r="T2844" s="117">
        <v>0</v>
      </c>
    </row>
    <row r="2845" spans="1:20" x14ac:dyDescent="0.35">
      <c r="A2845" t="s">
        <v>19</v>
      </c>
      <c r="B2845" t="s">
        <v>19</v>
      </c>
      <c r="C2845" s="1">
        <v>45679</v>
      </c>
      <c r="D2845">
        <f t="shared" si="204"/>
        <v>22</v>
      </c>
      <c r="E2845">
        <f t="shared" si="205"/>
        <v>1</v>
      </c>
      <c r="F2845">
        <f t="shared" si="206"/>
        <v>2025</v>
      </c>
      <c r="G2845" t="s">
        <v>127</v>
      </c>
      <c r="H2845" s="98" t="s">
        <v>806</v>
      </c>
      <c r="I2845" s="29">
        <v>16270</v>
      </c>
      <c r="J2845" s="12" t="s">
        <v>31</v>
      </c>
      <c r="K2845" s="76">
        <f t="shared" si="203"/>
        <v>16270</v>
      </c>
      <c r="L2845">
        <v>1</v>
      </c>
      <c r="M2845" s="29">
        <v>0</v>
      </c>
      <c r="N2845" t="s">
        <v>32</v>
      </c>
      <c r="O2845" t="s">
        <v>33</v>
      </c>
      <c r="P2845" t="s">
        <v>34</v>
      </c>
      <c r="Q2845" t="s">
        <v>34</v>
      </c>
      <c r="R2845" t="s">
        <v>34</v>
      </c>
      <c r="S2845" t="s">
        <v>34</v>
      </c>
      <c r="T2845" s="117">
        <v>0</v>
      </c>
    </row>
    <row r="2846" spans="1:20" x14ac:dyDescent="0.35">
      <c r="A2846" t="s">
        <v>19</v>
      </c>
      <c r="B2846" t="s">
        <v>19</v>
      </c>
      <c r="C2846" s="1">
        <v>45679</v>
      </c>
      <c r="D2846">
        <f t="shared" si="204"/>
        <v>22</v>
      </c>
      <c r="E2846">
        <f t="shared" si="205"/>
        <v>1</v>
      </c>
      <c r="F2846">
        <f t="shared" si="206"/>
        <v>2025</v>
      </c>
      <c r="G2846" t="s">
        <v>59</v>
      </c>
      <c r="H2846" s="98" t="s">
        <v>807</v>
      </c>
      <c r="I2846" s="29">
        <v>52.8</v>
      </c>
      <c r="J2846" s="12" t="s">
        <v>31</v>
      </c>
      <c r="K2846" s="76">
        <f t="shared" si="203"/>
        <v>52.8</v>
      </c>
      <c r="L2846">
        <v>1</v>
      </c>
      <c r="M2846" s="29">
        <v>0</v>
      </c>
      <c r="N2846" t="s">
        <v>32</v>
      </c>
      <c r="O2846" t="s">
        <v>33</v>
      </c>
      <c r="P2846" t="s">
        <v>34</v>
      </c>
      <c r="Q2846" t="s">
        <v>34</v>
      </c>
      <c r="R2846" t="s">
        <v>34</v>
      </c>
      <c r="S2846" t="s">
        <v>34</v>
      </c>
      <c r="T2846" s="117">
        <v>0</v>
      </c>
    </row>
    <row r="2847" spans="1:20" x14ac:dyDescent="0.35">
      <c r="A2847" t="s">
        <v>19</v>
      </c>
      <c r="B2847" t="s">
        <v>19</v>
      </c>
      <c r="C2847" s="1">
        <v>45679</v>
      </c>
      <c r="D2847">
        <f t="shared" si="204"/>
        <v>22</v>
      </c>
      <c r="E2847">
        <f t="shared" si="205"/>
        <v>1</v>
      </c>
      <c r="F2847">
        <f t="shared" si="206"/>
        <v>2025</v>
      </c>
      <c r="G2847" t="s">
        <v>118</v>
      </c>
      <c r="H2847" s="98" t="s">
        <v>808</v>
      </c>
      <c r="I2847" s="29">
        <v>37586.839999999997</v>
      </c>
      <c r="J2847" s="12" t="s">
        <v>31</v>
      </c>
      <c r="K2847" s="76">
        <f t="shared" si="203"/>
        <v>37586.839999999997</v>
      </c>
      <c r="L2847">
        <v>1</v>
      </c>
      <c r="M2847" s="29">
        <v>0</v>
      </c>
      <c r="N2847" t="s">
        <v>32</v>
      </c>
      <c r="O2847" t="s">
        <v>33</v>
      </c>
      <c r="P2847" t="s">
        <v>34</v>
      </c>
      <c r="Q2847" t="s">
        <v>34</v>
      </c>
      <c r="R2847" t="s">
        <v>34</v>
      </c>
      <c r="S2847" t="s">
        <v>34</v>
      </c>
      <c r="T2847" s="117">
        <v>0</v>
      </c>
    </row>
    <row r="2848" spans="1:20" x14ac:dyDescent="0.35">
      <c r="A2848" t="s">
        <v>19</v>
      </c>
      <c r="B2848" t="s">
        <v>19</v>
      </c>
      <c r="C2848" s="1">
        <v>45679</v>
      </c>
      <c r="D2848">
        <f t="shared" si="204"/>
        <v>22</v>
      </c>
      <c r="E2848">
        <f t="shared" si="205"/>
        <v>1</v>
      </c>
      <c r="F2848">
        <f t="shared" si="206"/>
        <v>2025</v>
      </c>
      <c r="G2848" t="s">
        <v>111</v>
      </c>
      <c r="H2848" s="98" t="s">
        <v>809</v>
      </c>
      <c r="I2848" s="29">
        <v>168423.77</v>
      </c>
      <c r="J2848" s="12" t="s">
        <v>31</v>
      </c>
      <c r="K2848" s="76">
        <f t="shared" si="203"/>
        <v>168423.77</v>
      </c>
      <c r="L2848">
        <v>1</v>
      </c>
      <c r="M2848" s="29">
        <v>0</v>
      </c>
      <c r="N2848" t="s">
        <v>32</v>
      </c>
      <c r="O2848" t="s">
        <v>33</v>
      </c>
      <c r="P2848" t="s">
        <v>34</v>
      </c>
      <c r="Q2848" t="s">
        <v>34</v>
      </c>
      <c r="R2848" t="s">
        <v>34</v>
      </c>
      <c r="S2848" t="s">
        <v>34</v>
      </c>
      <c r="T2848" s="117">
        <v>0</v>
      </c>
    </row>
    <row r="2849" spans="1:21" x14ac:dyDescent="0.35">
      <c r="A2849" t="s">
        <v>19</v>
      </c>
      <c r="B2849" t="s">
        <v>19</v>
      </c>
      <c r="C2849" s="1">
        <v>45679</v>
      </c>
      <c r="D2849">
        <f t="shared" si="204"/>
        <v>22</v>
      </c>
      <c r="E2849">
        <f t="shared" si="205"/>
        <v>1</v>
      </c>
      <c r="F2849">
        <f t="shared" si="206"/>
        <v>2025</v>
      </c>
      <c r="G2849" t="s">
        <v>133</v>
      </c>
      <c r="H2849" s="98" t="s">
        <v>810</v>
      </c>
      <c r="I2849" s="29">
        <v>15684</v>
      </c>
      <c r="J2849" s="12" t="s">
        <v>31</v>
      </c>
      <c r="K2849" s="76">
        <f t="shared" si="203"/>
        <v>15684</v>
      </c>
      <c r="L2849">
        <v>1</v>
      </c>
      <c r="M2849" s="29">
        <v>0</v>
      </c>
      <c r="N2849" t="s">
        <v>42</v>
      </c>
      <c r="O2849" t="s">
        <v>33</v>
      </c>
      <c r="P2849" t="s">
        <v>34</v>
      </c>
      <c r="Q2849" t="s">
        <v>34</v>
      </c>
      <c r="R2849" t="s">
        <v>34</v>
      </c>
      <c r="S2849" t="s">
        <v>34</v>
      </c>
      <c r="T2849" s="117">
        <v>0</v>
      </c>
    </row>
    <row r="2850" spans="1:21" x14ac:dyDescent="0.35">
      <c r="A2850" t="s">
        <v>19</v>
      </c>
      <c r="B2850" t="s">
        <v>27</v>
      </c>
      <c r="C2850" s="1">
        <v>45680</v>
      </c>
      <c r="D2850">
        <f t="shared" si="204"/>
        <v>23</v>
      </c>
      <c r="E2850">
        <f t="shared" si="205"/>
        <v>1</v>
      </c>
      <c r="F2850">
        <f t="shared" si="206"/>
        <v>2025</v>
      </c>
      <c r="G2850" t="s">
        <v>100</v>
      </c>
      <c r="H2850" s="98">
        <v>11404</v>
      </c>
      <c r="I2850" s="29">
        <v>6075.4</v>
      </c>
      <c r="J2850" s="12" t="s">
        <v>31</v>
      </c>
      <c r="K2850" s="76">
        <f t="shared" si="203"/>
        <v>6075.4</v>
      </c>
      <c r="L2850">
        <v>1</v>
      </c>
      <c r="M2850" s="29">
        <v>0</v>
      </c>
      <c r="N2850" t="s">
        <v>32</v>
      </c>
      <c r="O2850" t="s">
        <v>33</v>
      </c>
      <c r="P2850" t="s">
        <v>34</v>
      </c>
      <c r="Q2850" t="s">
        <v>34</v>
      </c>
      <c r="R2850" t="s">
        <v>34</v>
      </c>
      <c r="S2850" t="s">
        <v>34</v>
      </c>
      <c r="T2850" s="117">
        <v>0</v>
      </c>
    </row>
    <row r="2851" spans="1:21" x14ac:dyDescent="0.35">
      <c r="A2851" t="s">
        <v>19</v>
      </c>
      <c r="B2851" t="s">
        <v>27</v>
      </c>
      <c r="C2851" s="1">
        <v>45680</v>
      </c>
      <c r="D2851">
        <f t="shared" si="204"/>
        <v>23</v>
      </c>
      <c r="E2851">
        <f t="shared" si="205"/>
        <v>1</v>
      </c>
      <c r="F2851">
        <f t="shared" si="206"/>
        <v>2025</v>
      </c>
      <c r="G2851" t="s">
        <v>100</v>
      </c>
      <c r="H2851" s="121">
        <v>11653</v>
      </c>
      <c r="I2851" s="29">
        <v>290196.32</v>
      </c>
      <c r="J2851" s="12" t="s">
        <v>31</v>
      </c>
      <c r="K2851" s="76">
        <f t="shared" si="203"/>
        <v>290196.32</v>
      </c>
      <c r="L2851">
        <v>1</v>
      </c>
      <c r="M2851" s="29">
        <v>0</v>
      </c>
      <c r="N2851" t="s">
        <v>32</v>
      </c>
      <c r="O2851" t="s">
        <v>33</v>
      </c>
      <c r="P2851" t="s">
        <v>34</v>
      </c>
      <c r="Q2851" t="s">
        <v>34</v>
      </c>
      <c r="R2851" t="s">
        <v>34</v>
      </c>
      <c r="S2851" t="s">
        <v>34</v>
      </c>
      <c r="T2851" s="117">
        <v>0</v>
      </c>
    </row>
    <row r="2852" spans="1:21" x14ac:dyDescent="0.35">
      <c r="A2852" t="s">
        <v>19</v>
      </c>
      <c r="B2852" t="s">
        <v>26</v>
      </c>
      <c r="C2852" s="1">
        <v>45680</v>
      </c>
      <c r="D2852">
        <f t="shared" si="204"/>
        <v>23</v>
      </c>
      <c r="E2852">
        <f t="shared" si="205"/>
        <v>1</v>
      </c>
      <c r="F2852">
        <f t="shared" si="206"/>
        <v>2025</v>
      </c>
      <c r="G2852" t="s">
        <v>73</v>
      </c>
      <c r="H2852" s="121">
        <v>12182</v>
      </c>
      <c r="I2852" s="29">
        <v>30798.639999999999</v>
      </c>
      <c r="J2852" s="12" t="s">
        <v>51</v>
      </c>
      <c r="K2852" s="76">
        <f t="shared" si="203"/>
        <v>32095.262744</v>
      </c>
      <c r="L2852">
        <v>1.0421</v>
      </c>
      <c r="M2852" s="29">
        <v>0</v>
      </c>
      <c r="N2852" t="s">
        <v>42</v>
      </c>
      <c r="O2852" t="s">
        <v>33</v>
      </c>
      <c r="P2852" t="s">
        <v>34</v>
      </c>
      <c r="Q2852" t="s">
        <v>34</v>
      </c>
      <c r="R2852" t="s">
        <v>34</v>
      </c>
      <c r="S2852" t="s">
        <v>34</v>
      </c>
      <c r="T2852" s="117">
        <v>0</v>
      </c>
      <c r="U2852" s="209" t="s">
        <v>94</v>
      </c>
    </row>
    <row r="2853" spans="1:21" x14ac:dyDescent="0.35">
      <c r="A2853" t="s">
        <v>19</v>
      </c>
      <c r="B2853" t="s">
        <v>26</v>
      </c>
      <c r="C2853" s="1">
        <v>45680</v>
      </c>
      <c r="D2853">
        <f t="shared" si="204"/>
        <v>23</v>
      </c>
      <c r="E2853">
        <f t="shared" si="205"/>
        <v>1</v>
      </c>
      <c r="F2853">
        <f t="shared" si="206"/>
        <v>2025</v>
      </c>
      <c r="G2853" t="s">
        <v>73</v>
      </c>
      <c r="H2853" s="121">
        <v>12183</v>
      </c>
      <c r="I2853" s="29">
        <v>26643.24</v>
      </c>
      <c r="J2853" s="12" t="s">
        <v>51</v>
      </c>
      <c r="K2853" s="76">
        <f t="shared" si="203"/>
        <v>27764.920404000004</v>
      </c>
      <c r="L2853">
        <v>1.0421</v>
      </c>
      <c r="M2853" s="29">
        <v>0</v>
      </c>
      <c r="N2853" t="s">
        <v>42</v>
      </c>
      <c r="O2853" t="s">
        <v>33</v>
      </c>
      <c r="P2853" t="s">
        <v>34</v>
      </c>
      <c r="Q2853" t="s">
        <v>34</v>
      </c>
      <c r="R2853" t="s">
        <v>34</v>
      </c>
      <c r="S2853" t="s">
        <v>34</v>
      </c>
      <c r="T2853" s="117">
        <v>0</v>
      </c>
      <c r="U2853" s="209" t="s">
        <v>94</v>
      </c>
    </row>
    <row r="2854" spans="1:21" x14ac:dyDescent="0.35">
      <c r="A2854" t="s">
        <v>19</v>
      </c>
      <c r="B2854" t="s">
        <v>26</v>
      </c>
      <c r="C2854" s="1">
        <v>45680</v>
      </c>
      <c r="D2854">
        <f t="shared" si="204"/>
        <v>23</v>
      </c>
      <c r="E2854">
        <f t="shared" si="205"/>
        <v>1</v>
      </c>
      <c r="F2854">
        <f t="shared" si="206"/>
        <v>2025</v>
      </c>
      <c r="G2854" t="s">
        <v>73</v>
      </c>
      <c r="H2854" s="121">
        <v>12165</v>
      </c>
      <c r="I2854" s="29">
        <v>12604.18</v>
      </c>
      <c r="J2854" s="12" t="s">
        <v>51</v>
      </c>
      <c r="K2854" s="76">
        <f t="shared" si="203"/>
        <v>13134.815978000001</v>
      </c>
      <c r="L2854">
        <v>1.0421</v>
      </c>
      <c r="M2854" s="29">
        <v>0</v>
      </c>
      <c r="N2854" t="s">
        <v>42</v>
      </c>
      <c r="O2854" t="s">
        <v>33</v>
      </c>
      <c r="P2854" t="s">
        <v>34</v>
      </c>
      <c r="Q2854" t="s">
        <v>34</v>
      </c>
      <c r="R2854" t="s">
        <v>34</v>
      </c>
      <c r="S2854" t="s">
        <v>34</v>
      </c>
      <c r="T2854" s="117">
        <v>0</v>
      </c>
      <c r="U2854" s="209" t="s">
        <v>94</v>
      </c>
    </row>
    <row r="2855" spans="1:21" x14ac:dyDescent="0.35">
      <c r="A2855" t="s">
        <v>19</v>
      </c>
      <c r="B2855" t="s">
        <v>26</v>
      </c>
      <c r="C2855" s="1">
        <v>45680</v>
      </c>
      <c r="D2855">
        <f t="shared" si="204"/>
        <v>23</v>
      </c>
      <c r="E2855">
        <f t="shared" si="205"/>
        <v>1</v>
      </c>
      <c r="F2855">
        <f t="shared" si="206"/>
        <v>2025</v>
      </c>
      <c r="G2855" t="s">
        <v>73</v>
      </c>
      <c r="H2855" s="121">
        <v>12199</v>
      </c>
      <c r="I2855" s="29">
        <v>73294.34</v>
      </c>
      <c r="J2855" s="12" t="s">
        <v>51</v>
      </c>
      <c r="K2855" s="76">
        <f t="shared" si="203"/>
        <v>76380.031713999997</v>
      </c>
      <c r="L2855">
        <v>1.0421</v>
      </c>
      <c r="M2855" s="29">
        <v>0</v>
      </c>
      <c r="N2855" t="s">
        <v>42</v>
      </c>
      <c r="O2855" t="s">
        <v>33</v>
      </c>
      <c r="P2855" t="s">
        <v>34</v>
      </c>
      <c r="Q2855" t="s">
        <v>34</v>
      </c>
      <c r="R2855" t="s">
        <v>34</v>
      </c>
      <c r="S2855" t="s">
        <v>34</v>
      </c>
      <c r="T2855" s="117">
        <v>0</v>
      </c>
      <c r="U2855" s="209" t="s">
        <v>94</v>
      </c>
    </row>
    <row r="2856" spans="1:21" x14ac:dyDescent="0.35">
      <c r="A2856" t="s">
        <v>19</v>
      </c>
      <c r="B2856" t="s">
        <v>26</v>
      </c>
      <c r="C2856" s="1">
        <v>45680</v>
      </c>
      <c r="D2856">
        <f t="shared" si="204"/>
        <v>23</v>
      </c>
      <c r="E2856">
        <f t="shared" si="205"/>
        <v>1</v>
      </c>
      <c r="F2856">
        <f t="shared" si="206"/>
        <v>2025</v>
      </c>
      <c r="G2856" t="s">
        <v>73</v>
      </c>
      <c r="H2856" s="121">
        <v>12209</v>
      </c>
      <c r="I2856" s="29">
        <v>47352.5</v>
      </c>
      <c r="J2856" s="12" t="s">
        <v>51</v>
      </c>
      <c r="K2856" s="76">
        <f t="shared" si="203"/>
        <v>49346.040249999998</v>
      </c>
      <c r="L2856">
        <v>1.0421</v>
      </c>
      <c r="M2856" s="29">
        <v>0</v>
      </c>
      <c r="N2856" t="s">
        <v>42</v>
      </c>
      <c r="O2856" t="s">
        <v>33</v>
      </c>
      <c r="P2856" t="s">
        <v>34</v>
      </c>
      <c r="Q2856" t="s">
        <v>34</v>
      </c>
      <c r="R2856" t="s">
        <v>34</v>
      </c>
      <c r="S2856" t="s">
        <v>34</v>
      </c>
      <c r="T2856" s="117">
        <v>0</v>
      </c>
      <c r="U2856" s="209" t="s">
        <v>94</v>
      </c>
    </row>
    <row r="2857" spans="1:21" x14ac:dyDescent="0.35">
      <c r="A2857" t="s">
        <v>20</v>
      </c>
      <c r="B2857" t="s">
        <v>223</v>
      </c>
      <c r="C2857" s="1">
        <v>45684</v>
      </c>
      <c r="D2857">
        <f t="shared" si="204"/>
        <v>27</v>
      </c>
      <c r="E2857">
        <f t="shared" si="205"/>
        <v>1</v>
      </c>
      <c r="F2857">
        <f t="shared" si="206"/>
        <v>2025</v>
      </c>
      <c r="G2857" t="s">
        <v>223</v>
      </c>
      <c r="H2857" s="98">
        <v>11816</v>
      </c>
      <c r="I2857" s="29">
        <v>5386.6</v>
      </c>
      <c r="J2857" s="12" t="s">
        <v>51</v>
      </c>
      <c r="K2857" s="76">
        <f t="shared" si="203"/>
        <v>5674.7831000000006</v>
      </c>
      <c r="L2857">
        <v>1.0535000000000001</v>
      </c>
      <c r="M2857" s="29">
        <v>0</v>
      </c>
      <c r="N2857" t="s">
        <v>32</v>
      </c>
      <c r="O2857" t="s">
        <v>186</v>
      </c>
      <c r="P2857" s="1">
        <v>45682</v>
      </c>
      <c r="Q2857" t="s">
        <v>34</v>
      </c>
      <c r="R2857">
        <v>10010014706</v>
      </c>
      <c r="S2857" t="s">
        <v>34</v>
      </c>
      <c r="T2857" s="117">
        <v>0</v>
      </c>
    </row>
    <row r="2858" spans="1:21" x14ac:dyDescent="0.35">
      <c r="A2858" t="s">
        <v>19</v>
      </c>
      <c r="B2858" t="s">
        <v>19</v>
      </c>
      <c r="C2858" s="1">
        <v>45684</v>
      </c>
      <c r="D2858">
        <f t="shared" si="204"/>
        <v>27</v>
      </c>
      <c r="E2858">
        <f t="shared" si="205"/>
        <v>1</v>
      </c>
      <c r="F2858">
        <f t="shared" si="206"/>
        <v>2025</v>
      </c>
      <c r="G2858" t="s">
        <v>56</v>
      </c>
      <c r="H2858" s="98" t="s">
        <v>814</v>
      </c>
      <c r="I2858" s="29">
        <v>153591.94</v>
      </c>
      <c r="J2858" s="12" t="s">
        <v>31</v>
      </c>
      <c r="K2858" s="76">
        <f t="shared" si="203"/>
        <v>153591.94</v>
      </c>
      <c r="L2858">
        <v>1</v>
      </c>
      <c r="M2858" s="29">
        <v>0</v>
      </c>
      <c r="N2858" t="s">
        <v>32</v>
      </c>
      <c r="O2858" t="s">
        <v>33</v>
      </c>
      <c r="P2858" t="s">
        <v>34</v>
      </c>
      <c r="Q2858" t="s">
        <v>34</v>
      </c>
      <c r="R2858" t="s">
        <v>34</v>
      </c>
      <c r="S2858" t="s">
        <v>34</v>
      </c>
      <c r="T2858" s="117">
        <v>0</v>
      </c>
    </row>
    <row r="2859" spans="1:21" x14ac:dyDescent="0.35">
      <c r="A2859" t="s">
        <v>19</v>
      </c>
      <c r="B2859" t="s">
        <v>19</v>
      </c>
      <c r="C2859" s="1">
        <v>45684</v>
      </c>
      <c r="D2859">
        <f t="shared" si="204"/>
        <v>27</v>
      </c>
      <c r="E2859">
        <f t="shared" si="205"/>
        <v>1</v>
      </c>
      <c r="F2859">
        <f t="shared" si="206"/>
        <v>2025</v>
      </c>
      <c r="G2859" t="s">
        <v>56</v>
      </c>
      <c r="H2859" s="98" t="s">
        <v>815</v>
      </c>
      <c r="I2859" s="29">
        <v>177180.47</v>
      </c>
      <c r="J2859" s="12" t="s">
        <v>31</v>
      </c>
      <c r="K2859" s="76">
        <f t="shared" si="203"/>
        <v>177180.47</v>
      </c>
      <c r="L2859">
        <v>1</v>
      </c>
      <c r="M2859" s="29">
        <v>0</v>
      </c>
      <c r="N2859" t="s">
        <v>32</v>
      </c>
      <c r="O2859" t="s">
        <v>33</v>
      </c>
      <c r="P2859" t="s">
        <v>34</v>
      </c>
      <c r="Q2859" t="s">
        <v>34</v>
      </c>
      <c r="R2859" t="s">
        <v>34</v>
      </c>
      <c r="S2859" t="s">
        <v>34</v>
      </c>
      <c r="T2859" s="117">
        <v>0</v>
      </c>
    </row>
    <row r="2860" spans="1:21" x14ac:dyDescent="0.35">
      <c r="A2860" t="s">
        <v>19</v>
      </c>
      <c r="B2860" t="s">
        <v>19</v>
      </c>
      <c r="C2860" s="1">
        <v>45685</v>
      </c>
      <c r="D2860">
        <f t="shared" si="204"/>
        <v>28</v>
      </c>
      <c r="E2860">
        <f t="shared" si="205"/>
        <v>1</v>
      </c>
      <c r="F2860">
        <f t="shared" si="206"/>
        <v>2025</v>
      </c>
      <c r="G2860" t="s">
        <v>56</v>
      </c>
      <c r="H2860" s="98" t="s">
        <v>816</v>
      </c>
      <c r="I2860" s="29">
        <v>6595.26</v>
      </c>
      <c r="J2860" s="12" t="s">
        <v>31</v>
      </c>
      <c r="K2860" s="76">
        <f t="shared" si="203"/>
        <v>6595.26</v>
      </c>
      <c r="L2860">
        <v>1</v>
      </c>
      <c r="M2860" s="29">
        <v>0</v>
      </c>
      <c r="N2860" t="s">
        <v>32</v>
      </c>
      <c r="O2860" t="s">
        <v>33</v>
      </c>
      <c r="P2860" t="s">
        <v>34</v>
      </c>
      <c r="Q2860" t="s">
        <v>34</v>
      </c>
      <c r="R2860" t="s">
        <v>34</v>
      </c>
      <c r="S2860" t="s">
        <v>34</v>
      </c>
      <c r="T2860" s="117">
        <v>0</v>
      </c>
    </row>
    <row r="2861" spans="1:21" x14ac:dyDescent="0.35">
      <c r="A2861" t="s">
        <v>19</v>
      </c>
      <c r="B2861" t="s">
        <v>19</v>
      </c>
      <c r="C2861" s="1">
        <v>45685</v>
      </c>
      <c r="D2861">
        <f t="shared" si="204"/>
        <v>28</v>
      </c>
      <c r="E2861">
        <f t="shared" si="205"/>
        <v>1</v>
      </c>
      <c r="F2861">
        <f t="shared" si="206"/>
        <v>2025</v>
      </c>
      <c r="G2861" t="s">
        <v>56</v>
      </c>
      <c r="H2861" s="98" t="s">
        <v>817</v>
      </c>
      <c r="I2861" s="29">
        <v>9441.2800000000007</v>
      </c>
      <c r="J2861" s="12" t="s">
        <v>31</v>
      </c>
      <c r="K2861" s="76">
        <f t="shared" si="203"/>
        <v>9441.2800000000007</v>
      </c>
      <c r="L2861">
        <v>1</v>
      </c>
      <c r="M2861" s="29">
        <v>0</v>
      </c>
      <c r="N2861" t="s">
        <v>32</v>
      </c>
      <c r="O2861" t="s">
        <v>33</v>
      </c>
      <c r="P2861" t="s">
        <v>34</v>
      </c>
      <c r="Q2861" t="s">
        <v>34</v>
      </c>
      <c r="R2861" t="s">
        <v>34</v>
      </c>
      <c r="S2861" t="s">
        <v>34</v>
      </c>
      <c r="T2861" s="117">
        <v>0</v>
      </c>
    </row>
    <row r="2862" spans="1:21" x14ac:dyDescent="0.35">
      <c r="A2862" t="s">
        <v>19</v>
      </c>
      <c r="B2862" t="s">
        <v>19</v>
      </c>
      <c r="C2862" s="1">
        <v>45685</v>
      </c>
      <c r="D2862">
        <f t="shared" si="204"/>
        <v>28</v>
      </c>
      <c r="E2862">
        <f t="shared" si="205"/>
        <v>1</v>
      </c>
      <c r="F2862">
        <f t="shared" si="206"/>
        <v>2025</v>
      </c>
      <c r="G2862" t="s">
        <v>106</v>
      </c>
      <c r="H2862" s="98" t="s">
        <v>818</v>
      </c>
      <c r="I2862" s="29">
        <v>123377.79</v>
      </c>
      <c r="J2862" s="12" t="s">
        <v>31</v>
      </c>
      <c r="K2862" s="76">
        <f t="shared" si="203"/>
        <v>123377.79</v>
      </c>
      <c r="L2862">
        <v>1</v>
      </c>
      <c r="M2862" s="29">
        <v>0</v>
      </c>
      <c r="N2862" t="s">
        <v>32</v>
      </c>
      <c r="O2862" t="s">
        <v>33</v>
      </c>
      <c r="P2862" t="s">
        <v>34</v>
      </c>
      <c r="Q2862" t="s">
        <v>34</v>
      </c>
      <c r="R2862" t="s">
        <v>34</v>
      </c>
      <c r="S2862" t="s">
        <v>34</v>
      </c>
      <c r="T2862" s="117">
        <v>0</v>
      </c>
    </row>
    <row r="2863" spans="1:21" x14ac:dyDescent="0.35">
      <c r="A2863" t="s">
        <v>19</v>
      </c>
      <c r="B2863" t="s">
        <v>19</v>
      </c>
      <c r="C2863" s="1">
        <v>45685</v>
      </c>
      <c r="D2863">
        <f t="shared" si="204"/>
        <v>28</v>
      </c>
      <c r="E2863">
        <f t="shared" si="205"/>
        <v>1</v>
      </c>
      <c r="F2863">
        <f t="shared" si="206"/>
        <v>2025</v>
      </c>
      <c r="G2863" t="s">
        <v>59</v>
      </c>
      <c r="H2863" s="98" t="s">
        <v>819</v>
      </c>
      <c r="I2863" s="29">
        <v>221455.69</v>
      </c>
      <c r="J2863" s="12" t="s">
        <v>31</v>
      </c>
      <c r="K2863" s="76">
        <f t="shared" si="203"/>
        <v>221455.69</v>
      </c>
      <c r="L2863">
        <v>1</v>
      </c>
      <c r="M2863" s="29">
        <v>0</v>
      </c>
      <c r="N2863" t="s">
        <v>32</v>
      </c>
      <c r="O2863" t="s">
        <v>33</v>
      </c>
      <c r="P2863" t="s">
        <v>34</v>
      </c>
      <c r="Q2863" t="s">
        <v>34</v>
      </c>
      <c r="R2863" t="s">
        <v>34</v>
      </c>
      <c r="S2863" t="s">
        <v>34</v>
      </c>
      <c r="T2863" s="117">
        <v>0</v>
      </c>
    </row>
    <row r="2864" spans="1:21" x14ac:dyDescent="0.35">
      <c r="A2864" t="s">
        <v>19</v>
      </c>
      <c r="B2864" t="s">
        <v>19</v>
      </c>
      <c r="C2864" s="1">
        <v>45685</v>
      </c>
      <c r="D2864">
        <f t="shared" si="204"/>
        <v>28</v>
      </c>
      <c r="E2864">
        <f t="shared" si="205"/>
        <v>1</v>
      </c>
      <c r="F2864">
        <f t="shared" si="206"/>
        <v>2025</v>
      </c>
      <c r="G2864" t="s">
        <v>82</v>
      </c>
      <c r="H2864" s="98" t="s">
        <v>820</v>
      </c>
      <c r="I2864" s="29">
        <v>4170.87</v>
      </c>
      <c r="J2864" s="12" t="s">
        <v>31</v>
      </c>
      <c r="K2864" s="76">
        <f t="shared" si="203"/>
        <v>4170.87</v>
      </c>
      <c r="L2864">
        <v>1</v>
      </c>
      <c r="M2864" s="29">
        <v>0</v>
      </c>
      <c r="N2864" t="s">
        <v>32</v>
      </c>
      <c r="O2864" t="s">
        <v>33</v>
      </c>
      <c r="P2864" t="s">
        <v>34</v>
      </c>
      <c r="Q2864" t="s">
        <v>34</v>
      </c>
      <c r="R2864" t="s">
        <v>34</v>
      </c>
      <c r="S2864" t="s">
        <v>34</v>
      </c>
      <c r="T2864" s="117">
        <v>0</v>
      </c>
    </row>
    <row r="2865" spans="1:20" x14ac:dyDescent="0.35">
      <c r="A2865" t="s">
        <v>19</v>
      </c>
      <c r="B2865" t="s">
        <v>19</v>
      </c>
      <c r="C2865" s="1">
        <v>45685</v>
      </c>
      <c r="D2865">
        <f t="shared" si="204"/>
        <v>28</v>
      </c>
      <c r="E2865">
        <f t="shared" si="205"/>
        <v>1</v>
      </c>
      <c r="F2865">
        <f t="shared" si="206"/>
        <v>2025</v>
      </c>
      <c r="G2865" t="s">
        <v>110</v>
      </c>
      <c r="H2865" s="98" t="s">
        <v>821</v>
      </c>
      <c r="I2865" s="29">
        <v>133763.39000000001</v>
      </c>
      <c r="J2865" s="12" t="s">
        <v>31</v>
      </c>
      <c r="K2865" s="76">
        <f t="shared" si="203"/>
        <v>133763.39000000001</v>
      </c>
      <c r="L2865">
        <v>1</v>
      </c>
      <c r="M2865" s="29">
        <v>0</v>
      </c>
      <c r="N2865" t="s">
        <v>32</v>
      </c>
      <c r="O2865" t="s">
        <v>33</v>
      </c>
      <c r="P2865" t="s">
        <v>34</v>
      </c>
      <c r="Q2865" t="s">
        <v>34</v>
      </c>
      <c r="R2865" t="s">
        <v>34</v>
      </c>
      <c r="S2865" t="s">
        <v>34</v>
      </c>
      <c r="T2865" s="117">
        <v>0</v>
      </c>
    </row>
    <row r="2866" spans="1:20" x14ac:dyDescent="0.35">
      <c r="A2866" t="s">
        <v>19</v>
      </c>
      <c r="B2866" t="s">
        <v>19</v>
      </c>
      <c r="C2866" s="1">
        <v>45685</v>
      </c>
      <c r="D2866">
        <f t="shared" si="204"/>
        <v>28</v>
      </c>
      <c r="E2866">
        <f t="shared" si="205"/>
        <v>1</v>
      </c>
      <c r="F2866">
        <f t="shared" si="206"/>
        <v>2025</v>
      </c>
      <c r="G2866" t="s">
        <v>129</v>
      </c>
      <c r="H2866" s="98" t="s">
        <v>822</v>
      </c>
      <c r="I2866" s="29">
        <v>35932.68</v>
      </c>
      <c r="J2866" s="12" t="s">
        <v>31</v>
      </c>
      <c r="K2866" s="76">
        <f t="shared" si="203"/>
        <v>35932.68</v>
      </c>
      <c r="L2866">
        <v>1</v>
      </c>
      <c r="M2866" s="29">
        <v>0</v>
      </c>
      <c r="N2866" t="s">
        <v>32</v>
      </c>
      <c r="O2866" t="s">
        <v>33</v>
      </c>
      <c r="P2866" t="s">
        <v>34</v>
      </c>
      <c r="Q2866" t="s">
        <v>34</v>
      </c>
      <c r="R2866" t="s">
        <v>34</v>
      </c>
      <c r="S2866" t="s">
        <v>34</v>
      </c>
      <c r="T2866" s="117">
        <v>0</v>
      </c>
    </row>
    <row r="2867" spans="1:20" x14ac:dyDescent="0.35">
      <c r="A2867" t="s">
        <v>19</v>
      </c>
      <c r="B2867" t="s">
        <v>21</v>
      </c>
      <c r="C2867" s="1">
        <v>45686</v>
      </c>
      <c r="D2867">
        <f t="shared" si="204"/>
        <v>29</v>
      </c>
      <c r="E2867">
        <f t="shared" si="205"/>
        <v>1</v>
      </c>
      <c r="F2867">
        <f t="shared" si="206"/>
        <v>2025</v>
      </c>
      <c r="G2867" t="s">
        <v>737</v>
      </c>
      <c r="H2867" s="98">
        <v>11959</v>
      </c>
      <c r="I2867" s="29">
        <v>32.799999999999997</v>
      </c>
      <c r="J2867" s="12" t="s">
        <v>31</v>
      </c>
      <c r="K2867" s="76">
        <f t="shared" si="203"/>
        <v>32.799999999999997</v>
      </c>
      <c r="L2867">
        <v>1</v>
      </c>
      <c r="M2867" s="29">
        <v>0</v>
      </c>
      <c r="N2867" t="s">
        <v>32</v>
      </c>
      <c r="O2867" t="s">
        <v>33</v>
      </c>
      <c r="P2867" t="s">
        <v>34</v>
      </c>
      <c r="Q2867" t="s">
        <v>34</v>
      </c>
      <c r="R2867" t="s">
        <v>34</v>
      </c>
      <c r="S2867" t="s">
        <v>34</v>
      </c>
      <c r="T2867" s="117">
        <v>0</v>
      </c>
    </row>
    <row r="2868" spans="1:20" x14ac:dyDescent="0.35">
      <c r="A2868" t="s">
        <v>19</v>
      </c>
      <c r="B2868" t="s">
        <v>21</v>
      </c>
      <c r="C2868" s="1">
        <v>45686</v>
      </c>
      <c r="D2868">
        <f t="shared" si="204"/>
        <v>29</v>
      </c>
      <c r="E2868">
        <f t="shared" si="205"/>
        <v>1</v>
      </c>
      <c r="F2868">
        <f t="shared" si="206"/>
        <v>2025</v>
      </c>
      <c r="G2868" t="s">
        <v>737</v>
      </c>
      <c r="H2868" s="98">
        <v>11958</v>
      </c>
      <c r="I2868" s="29">
        <v>6543.6</v>
      </c>
      <c r="J2868" s="12" t="s">
        <v>31</v>
      </c>
      <c r="K2868" s="76">
        <f t="shared" si="203"/>
        <v>6543.6</v>
      </c>
      <c r="L2868">
        <v>1</v>
      </c>
      <c r="M2868" s="29">
        <v>0</v>
      </c>
      <c r="N2868" t="s">
        <v>32</v>
      </c>
      <c r="O2868" t="s">
        <v>33</v>
      </c>
      <c r="P2868" t="s">
        <v>34</v>
      </c>
      <c r="Q2868" t="s">
        <v>34</v>
      </c>
      <c r="R2868" t="s">
        <v>34</v>
      </c>
      <c r="S2868" t="s">
        <v>34</v>
      </c>
      <c r="T2868" s="117">
        <v>0</v>
      </c>
    </row>
    <row r="2869" spans="1:20" x14ac:dyDescent="0.35">
      <c r="A2869" t="s">
        <v>19</v>
      </c>
      <c r="B2869" t="s">
        <v>21</v>
      </c>
      <c r="C2869" s="1">
        <v>45686</v>
      </c>
      <c r="D2869">
        <f t="shared" si="204"/>
        <v>29</v>
      </c>
      <c r="E2869">
        <f t="shared" si="205"/>
        <v>1</v>
      </c>
      <c r="F2869">
        <f t="shared" si="206"/>
        <v>2025</v>
      </c>
      <c r="G2869" t="s">
        <v>40</v>
      </c>
      <c r="H2869" s="98">
        <v>11996</v>
      </c>
      <c r="I2869" s="29">
        <v>2045.6</v>
      </c>
      <c r="J2869" s="12" t="s">
        <v>31</v>
      </c>
      <c r="K2869" s="76">
        <f t="shared" si="203"/>
        <v>2045.6</v>
      </c>
      <c r="L2869">
        <v>1</v>
      </c>
      <c r="M2869" s="29">
        <v>0</v>
      </c>
      <c r="N2869" t="s">
        <v>32</v>
      </c>
      <c r="O2869" t="s">
        <v>33</v>
      </c>
      <c r="P2869" t="s">
        <v>34</v>
      </c>
      <c r="Q2869" t="s">
        <v>34</v>
      </c>
      <c r="R2869" t="s">
        <v>34</v>
      </c>
      <c r="S2869" t="s">
        <v>34</v>
      </c>
      <c r="T2869" s="117">
        <v>0</v>
      </c>
    </row>
    <row r="2870" spans="1:20" x14ac:dyDescent="0.35">
      <c r="A2870" t="s">
        <v>19</v>
      </c>
      <c r="B2870" t="s">
        <v>21</v>
      </c>
      <c r="C2870" s="1">
        <v>45686</v>
      </c>
      <c r="D2870">
        <f t="shared" si="204"/>
        <v>29</v>
      </c>
      <c r="E2870">
        <f t="shared" si="205"/>
        <v>1</v>
      </c>
      <c r="F2870">
        <f t="shared" si="206"/>
        <v>2025</v>
      </c>
      <c r="G2870" t="s">
        <v>40</v>
      </c>
      <c r="H2870" s="98">
        <v>11997</v>
      </c>
      <c r="I2870" s="29">
        <v>114.3</v>
      </c>
      <c r="J2870" s="12" t="s">
        <v>31</v>
      </c>
      <c r="K2870" s="76">
        <f t="shared" si="203"/>
        <v>114.3</v>
      </c>
      <c r="L2870">
        <v>1</v>
      </c>
      <c r="M2870" s="29">
        <v>0</v>
      </c>
      <c r="N2870" t="s">
        <v>32</v>
      </c>
      <c r="O2870" t="s">
        <v>33</v>
      </c>
      <c r="P2870" t="s">
        <v>34</v>
      </c>
      <c r="Q2870" t="s">
        <v>34</v>
      </c>
      <c r="R2870" t="s">
        <v>34</v>
      </c>
      <c r="S2870" t="s">
        <v>34</v>
      </c>
      <c r="T2870" s="117">
        <v>0</v>
      </c>
    </row>
    <row r="2871" spans="1:20" x14ac:dyDescent="0.35">
      <c r="A2871" t="s">
        <v>19</v>
      </c>
      <c r="B2871" t="s">
        <v>23</v>
      </c>
      <c r="C2871" s="1">
        <v>45686</v>
      </c>
      <c r="D2871">
        <f t="shared" si="204"/>
        <v>29</v>
      </c>
      <c r="E2871">
        <f t="shared" si="205"/>
        <v>1</v>
      </c>
      <c r="F2871">
        <f t="shared" si="206"/>
        <v>2025</v>
      </c>
      <c r="G2871" t="s">
        <v>76</v>
      </c>
      <c r="H2871" s="98">
        <v>11974</v>
      </c>
      <c r="I2871" s="29">
        <v>102847.5</v>
      </c>
      <c r="J2871" s="12" t="s">
        <v>31</v>
      </c>
      <c r="K2871" s="76">
        <f t="shared" si="203"/>
        <v>102847.5</v>
      </c>
      <c r="L2871">
        <v>1</v>
      </c>
      <c r="M2871" s="29">
        <v>0</v>
      </c>
      <c r="N2871" t="s">
        <v>32</v>
      </c>
      <c r="O2871" t="s">
        <v>33</v>
      </c>
      <c r="P2871" t="s">
        <v>34</v>
      </c>
      <c r="Q2871" t="s">
        <v>34</v>
      </c>
      <c r="R2871" t="s">
        <v>34</v>
      </c>
      <c r="S2871" t="s">
        <v>34</v>
      </c>
      <c r="T2871" s="117">
        <v>0</v>
      </c>
    </row>
    <row r="2872" spans="1:20" x14ac:dyDescent="0.35">
      <c r="A2872" t="s">
        <v>19</v>
      </c>
      <c r="B2872" t="s">
        <v>23</v>
      </c>
      <c r="C2872" s="1">
        <v>45686</v>
      </c>
      <c r="D2872">
        <f t="shared" si="204"/>
        <v>29</v>
      </c>
      <c r="E2872">
        <f t="shared" si="205"/>
        <v>1</v>
      </c>
      <c r="F2872">
        <f t="shared" si="206"/>
        <v>2025</v>
      </c>
      <c r="G2872" t="s">
        <v>77</v>
      </c>
      <c r="H2872" s="98">
        <v>11337</v>
      </c>
      <c r="I2872" s="29">
        <v>16131.54</v>
      </c>
      <c r="J2872" s="12" t="s">
        <v>31</v>
      </c>
      <c r="K2872" s="76">
        <f t="shared" si="203"/>
        <v>16131.54</v>
      </c>
      <c r="L2872">
        <v>1</v>
      </c>
      <c r="M2872" s="29">
        <v>0</v>
      </c>
      <c r="N2872" t="s">
        <v>42</v>
      </c>
      <c r="O2872" t="s">
        <v>33</v>
      </c>
      <c r="P2872" t="s">
        <v>34</v>
      </c>
      <c r="Q2872" t="s">
        <v>34</v>
      </c>
      <c r="R2872" t="s">
        <v>34</v>
      </c>
      <c r="S2872" t="s">
        <v>34</v>
      </c>
      <c r="T2872" s="117">
        <v>0</v>
      </c>
    </row>
    <row r="2873" spans="1:20" x14ac:dyDescent="0.35">
      <c r="A2873" t="s">
        <v>19</v>
      </c>
      <c r="B2873" t="s">
        <v>25</v>
      </c>
      <c r="C2873" s="1">
        <v>45686</v>
      </c>
      <c r="D2873">
        <f t="shared" si="204"/>
        <v>29</v>
      </c>
      <c r="E2873">
        <f t="shared" si="205"/>
        <v>1</v>
      </c>
      <c r="F2873">
        <f t="shared" si="206"/>
        <v>2025</v>
      </c>
      <c r="G2873" t="s">
        <v>78</v>
      </c>
      <c r="H2873" s="98">
        <v>12135</v>
      </c>
      <c r="I2873" s="29">
        <v>9360</v>
      </c>
      <c r="J2873" s="12" t="s">
        <v>51</v>
      </c>
      <c r="K2873" s="76">
        <f t="shared" si="203"/>
        <v>9769.0299969599982</v>
      </c>
      <c r="L2873" s="2">
        <v>1.0436997859999999</v>
      </c>
      <c r="M2873" s="76">
        <v>0</v>
      </c>
      <c r="N2873" t="s">
        <v>42</v>
      </c>
      <c r="O2873" t="s">
        <v>33</v>
      </c>
      <c r="P2873" t="s">
        <v>34</v>
      </c>
      <c r="Q2873" t="s">
        <v>34</v>
      </c>
      <c r="R2873" t="s">
        <v>34</v>
      </c>
      <c r="S2873" t="s">
        <v>34</v>
      </c>
      <c r="T2873" s="117">
        <v>0</v>
      </c>
    </row>
    <row r="2874" spans="1:20" x14ac:dyDescent="0.35">
      <c r="A2874" t="s">
        <v>19</v>
      </c>
      <c r="B2874" t="s">
        <v>25</v>
      </c>
      <c r="C2874" s="1">
        <v>45686</v>
      </c>
      <c r="D2874">
        <f t="shared" si="204"/>
        <v>29</v>
      </c>
      <c r="E2874">
        <f t="shared" si="205"/>
        <v>1</v>
      </c>
      <c r="F2874">
        <f t="shared" si="206"/>
        <v>2025</v>
      </c>
      <c r="G2874" t="s">
        <v>1146</v>
      </c>
      <c r="H2874" s="98">
        <v>12157</v>
      </c>
      <c r="I2874" s="29">
        <v>4914</v>
      </c>
      <c r="J2874" s="12" t="s">
        <v>51</v>
      </c>
      <c r="K2874" s="76">
        <f t="shared" si="203"/>
        <v>5128.7400014759996</v>
      </c>
      <c r="L2874" s="2">
        <v>1.043699634</v>
      </c>
      <c r="M2874" s="76">
        <v>0</v>
      </c>
      <c r="N2874" t="s">
        <v>42</v>
      </c>
      <c r="O2874" t="s">
        <v>33</v>
      </c>
      <c r="P2874" t="s">
        <v>34</v>
      </c>
      <c r="Q2874" t="s">
        <v>34</v>
      </c>
      <c r="R2874" t="s">
        <v>34</v>
      </c>
      <c r="S2874" t="s">
        <v>34</v>
      </c>
      <c r="T2874" s="117">
        <v>0</v>
      </c>
    </row>
    <row r="2875" spans="1:20" x14ac:dyDescent="0.35">
      <c r="A2875" t="s">
        <v>19</v>
      </c>
      <c r="B2875" t="s">
        <v>24</v>
      </c>
      <c r="C2875" s="1">
        <v>45686</v>
      </c>
      <c r="D2875">
        <f t="shared" si="204"/>
        <v>29</v>
      </c>
      <c r="E2875">
        <f t="shared" si="205"/>
        <v>1</v>
      </c>
      <c r="F2875">
        <f t="shared" si="206"/>
        <v>2025</v>
      </c>
      <c r="G2875" t="s">
        <v>39</v>
      </c>
      <c r="H2875" s="98">
        <v>11504</v>
      </c>
      <c r="I2875" s="29">
        <v>5828</v>
      </c>
      <c r="J2875" s="12" t="s">
        <v>31</v>
      </c>
      <c r="K2875" s="76">
        <f t="shared" si="203"/>
        <v>5828</v>
      </c>
      <c r="L2875">
        <v>1</v>
      </c>
      <c r="M2875" s="29">
        <v>0</v>
      </c>
      <c r="N2875" t="s">
        <v>32</v>
      </c>
      <c r="O2875" t="s">
        <v>33</v>
      </c>
      <c r="P2875" t="s">
        <v>34</v>
      </c>
      <c r="Q2875" t="s">
        <v>34</v>
      </c>
      <c r="R2875" t="s">
        <v>34</v>
      </c>
      <c r="S2875" t="s">
        <v>34</v>
      </c>
      <c r="T2875" s="117">
        <v>0</v>
      </c>
    </row>
    <row r="2876" spans="1:20" x14ac:dyDescent="0.35">
      <c r="A2876" t="s">
        <v>19</v>
      </c>
      <c r="B2876" t="s">
        <v>21</v>
      </c>
      <c r="C2876" s="1">
        <v>45686</v>
      </c>
      <c r="D2876">
        <f t="shared" si="204"/>
        <v>29</v>
      </c>
      <c r="E2876">
        <f t="shared" si="205"/>
        <v>1</v>
      </c>
      <c r="F2876">
        <f t="shared" si="206"/>
        <v>2025</v>
      </c>
      <c r="G2876" t="s">
        <v>39</v>
      </c>
      <c r="H2876" s="98">
        <v>11547</v>
      </c>
      <c r="I2876" s="29">
        <v>51.2</v>
      </c>
      <c r="J2876" s="12" t="s">
        <v>31</v>
      </c>
      <c r="K2876" s="76">
        <f t="shared" si="203"/>
        <v>51.2</v>
      </c>
      <c r="L2876">
        <v>1</v>
      </c>
      <c r="M2876" s="29">
        <v>0</v>
      </c>
      <c r="N2876" t="s">
        <v>32</v>
      </c>
      <c r="O2876" t="s">
        <v>33</v>
      </c>
      <c r="P2876" t="s">
        <v>34</v>
      </c>
      <c r="Q2876" t="s">
        <v>34</v>
      </c>
      <c r="R2876" t="s">
        <v>34</v>
      </c>
      <c r="S2876" t="s">
        <v>34</v>
      </c>
      <c r="T2876" s="117">
        <v>0</v>
      </c>
    </row>
    <row r="2877" spans="1:20" x14ac:dyDescent="0.35">
      <c r="A2877" t="s">
        <v>19</v>
      </c>
      <c r="B2877" t="s">
        <v>24</v>
      </c>
      <c r="C2877" s="1">
        <v>45686</v>
      </c>
      <c r="D2877">
        <f t="shared" si="204"/>
        <v>29</v>
      </c>
      <c r="E2877">
        <f t="shared" si="205"/>
        <v>1</v>
      </c>
      <c r="F2877">
        <f t="shared" si="206"/>
        <v>2025</v>
      </c>
      <c r="G2877" t="s">
        <v>39</v>
      </c>
      <c r="H2877" s="98">
        <v>11835</v>
      </c>
      <c r="I2877" s="29">
        <v>44</v>
      </c>
      <c r="J2877" s="12" t="s">
        <v>31</v>
      </c>
      <c r="K2877" s="76">
        <f t="shared" si="203"/>
        <v>44</v>
      </c>
      <c r="L2877">
        <v>1</v>
      </c>
      <c r="M2877" s="29">
        <v>0</v>
      </c>
      <c r="N2877" t="s">
        <v>32</v>
      </c>
      <c r="O2877" t="s">
        <v>33</v>
      </c>
      <c r="P2877" t="s">
        <v>34</v>
      </c>
      <c r="Q2877" t="s">
        <v>34</v>
      </c>
      <c r="R2877" t="s">
        <v>34</v>
      </c>
      <c r="S2877" t="s">
        <v>34</v>
      </c>
      <c r="T2877" s="117">
        <v>0</v>
      </c>
    </row>
    <row r="2878" spans="1:20" x14ac:dyDescent="0.35">
      <c r="A2878" t="s">
        <v>19</v>
      </c>
      <c r="B2878" t="s">
        <v>25</v>
      </c>
      <c r="C2878" s="1">
        <v>45686</v>
      </c>
      <c r="D2878">
        <f t="shared" si="204"/>
        <v>29</v>
      </c>
      <c r="E2878">
        <f t="shared" si="205"/>
        <v>1</v>
      </c>
      <c r="F2878">
        <f t="shared" si="206"/>
        <v>2025</v>
      </c>
      <c r="G2878" t="s">
        <v>738</v>
      </c>
      <c r="H2878" s="98">
        <v>11894</v>
      </c>
      <c r="I2878" s="29">
        <v>3080</v>
      </c>
      <c r="J2878" s="12" t="s">
        <v>31</v>
      </c>
      <c r="K2878" s="76">
        <f t="shared" si="203"/>
        <v>3080</v>
      </c>
      <c r="L2878">
        <v>1</v>
      </c>
      <c r="M2878" s="29">
        <v>0</v>
      </c>
      <c r="N2878" t="s">
        <v>32</v>
      </c>
      <c r="O2878" t="s">
        <v>33</v>
      </c>
      <c r="P2878" t="s">
        <v>34</v>
      </c>
      <c r="Q2878" t="s">
        <v>34</v>
      </c>
      <c r="R2878" t="s">
        <v>34</v>
      </c>
      <c r="S2878" t="s">
        <v>34</v>
      </c>
      <c r="T2878" s="117">
        <v>0</v>
      </c>
    </row>
    <row r="2879" spans="1:20" x14ac:dyDescent="0.35">
      <c r="A2879" t="s">
        <v>19</v>
      </c>
      <c r="B2879" t="s">
        <v>25</v>
      </c>
      <c r="C2879" s="1">
        <v>45686</v>
      </c>
      <c r="D2879">
        <f t="shared" si="204"/>
        <v>29</v>
      </c>
      <c r="E2879">
        <f t="shared" si="205"/>
        <v>1</v>
      </c>
      <c r="F2879">
        <f t="shared" si="206"/>
        <v>2025</v>
      </c>
      <c r="G2879" t="s">
        <v>80</v>
      </c>
      <c r="H2879" s="98">
        <v>12159</v>
      </c>
      <c r="I2879" s="29">
        <v>2040</v>
      </c>
      <c r="J2879" s="12" t="s">
        <v>31</v>
      </c>
      <c r="K2879" s="76">
        <f t="shared" si="203"/>
        <v>2040</v>
      </c>
      <c r="L2879">
        <v>1</v>
      </c>
      <c r="M2879" s="29">
        <v>0</v>
      </c>
      <c r="N2879" t="s">
        <v>42</v>
      </c>
      <c r="O2879" t="s">
        <v>33</v>
      </c>
      <c r="P2879" t="s">
        <v>34</v>
      </c>
      <c r="Q2879" t="s">
        <v>34</v>
      </c>
      <c r="R2879" t="s">
        <v>34</v>
      </c>
      <c r="S2879" t="s">
        <v>34</v>
      </c>
      <c r="T2879" s="117">
        <v>0</v>
      </c>
    </row>
    <row r="2880" spans="1:20" x14ac:dyDescent="0.35">
      <c r="A2880" t="s">
        <v>19</v>
      </c>
      <c r="B2880" t="s">
        <v>25</v>
      </c>
      <c r="C2880" s="1">
        <v>45686</v>
      </c>
      <c r="D2880">
        <f t="shared" si="204"/>
        <v>29</v>
      </c>
      <c r="E2880">
        <f t="shared" si="205"/>
        <v>1</v>
      </c>
      <c r="F2880">
        <f t="shared" si="206"/>
        <v>2025</v>
      </c>
      <c r="G2880" t="s">
        <v>38</v>
      </c>
      <c r="H2880" s="98">
        <v>11124</v>
      </c>
      <c r="I2880" s="29">
        <v>219053.74</v>
      </c>
      <c r="J2880" s="12" t="s">
        <v>31</v>
      </c>
      <c r="K2880" s="76">
        <f t="shared" si="203"/>
        <v>219053.74</v>
      </c>
      <c r="L2880">
        <v>1</v>
      </c>
      <c r="M2880" s="29">
        <v>0</v>
      </c>
      <c r="N2880" t="s">
        <v>32</v>
      </c>
      <c r="O2880" t="s">
        <v>33</v>
      </c>
      <c r="P2880" t="s">
        <v>34</v>
      </c>
      <c r="Q2880" t="s">
        <v>34</v>
      </c>
      <c r="R2880" t="s">
        <v>34</v>
      </c>
      <c r="S2880" t="s">
        <v>34</v>
      </c>
      <c r="T2880" s="117">
        <v>0</v>
      </c>
    </row>
    <row r="2881" spans="1:21" x14ac:dyDescent="0.35">
      <c r="A2881" t="s">
        <v>19</v>
      </c>
      <c r="B2881" t="s">
        <v>25</v>
      </c>
      <c r="C2881" s="1">
        <v>45686</v>
      </c>
      <c r="D2881">
        <f t="shared" si="204"/>
        <v>29</v>
      </c>
      <c r="E2881">
        <f t="shared" si="205"/>
        <v>1</v>
      </c>
      <c r="F2881">
        <f t="shared" si="206"/>
        <v>2025</v>
      </c>
      <c r="G2881" t="s">
        <v>113</v>
      </c>
      <c r="H2881" s="98">
        <v>12152</v>
      </c>
      <c r="I2881" s="29">
        <v>209255.2</v>
      </c>
      <c r="J2881" s="12" t="s">
        <v>51</v>
      </c>
      <c r="K2881" s="76">
        <f t="shared" si="203"/>
        <v>218253.17360000001</v>
      </c>
      <c r="L2881">
        <v>1.0429999999999999</v>
      </c>
      <c r="M2881" s="29">
        <v>0</v>
      </c>
      <c r="N2881" t="s">
        <v>42</v>
      </c>
      <c r="O2881" t="s">
        <v>33</v>
      </c>
      <c r="P2881" t="s">
        <v>34</v>
      </c>
      <c r="Q2881" t="s">
        <v>34</v>
      </c>
      <c r="R2881" t="s">
        <v>34</v>
      </c>
      <c r="S2881" t="s">
        <v>34</v>
      </c>
      <c r="T2881" s="117">
        <v>0</v>
      </c>
      <c r="U2881" s="209" t="s">
        <v>94</v>
      </c>
    </row>
    <row r="2882" spans="1:21" x14ac:dyDescent="0.35">
      <c r="A2882" t="s">
        <v>19</v>
      </c>
      <c r="B2882" t="s">
        <v>25</v>
      </c>
      <c r="C2882" s="1">
        <v>45686</v>
      </c>
      <c r="D2882">
        <f t="shared" si="204"/>
        <v>29</v>
      </c>
      <c r="E2882">
        <f t="shared" si="205"/>
        <v>1</v>
      </c>
      <c r="F2882">
        <f t="shared" si="206"/>
        <v>2025</v>
      </c>
      <c r="G2882" t="s">
        <v>93</v>
      </c>
      <c r="H2882" s="171">
        <v>11171</v>
      </c>
      <c r="I2882" s="90">
        <v>11663.19</v>
      </c>
      <c r="J2882" s="12" t="s">
        <v>31</v>
      </c>
      <c r="K2882" s="76">
        <f t="shared" ref="K2882:K2945" si="207">IF(J2882="USD",I2882,I2882*L2882)</f>
        <v>11663.19</v>
      </c>
      <c r="L2882">
        <v>1</v>
      </c>
      <c r="M2882" s="29">
        <v>0</v>
      </c>
      <c r="N2882" t="s">
        <v>42</v>
      </c>
      <c r="O2882" t="s">
        <v>33</v>
      </c>
      <c r="P2882" t="s">
        <v>34</v>
      </c>
      <c r="Q2882" t="s">
        <v>34</v>
      </c>
      <c r="R2882" t="s">
        <v>34</v>
      </c>
      <c r="S2882" t="s">
        <v>34</v>
      </c>
      <c r="T2882" s="117">
        <v>0</v>
      </c>
    </row>
    <row r="2883" spans="1:21" x14ac:dyDescent="0.35">
      <c r="A2883" t="s">
        <v>19</v>
      </c>
      <c r="B2883" t="s">
        <v>24</v>
      </c>
      <c r="C2883" s="1">
        <v>45686</v>
      </c>
      <c r="D2883">
        <f t="shared" ref="D2883:D2946" si="208">DAY(C2883)</f>
        <v>29</v>
      </c>
      <c r="E2883">
        <f t="shared" ref="E2883:E2946" si="209">MONTH(C2883)</f>
        <v>1</v>
      </c>
      <c r="F2883">
        <f t="shared" ref="F2883:F2946" si="210">YEAR(C2883)</f>
        <v>2025</v>
      </c>
      <c r="G2883" t="s">
        <v>37</v>
      </c>
      <c r="H2883" s="98">
        <v>11764</v>
      </c>
      <c r="I2883" s="29">
        <v>8882.5</v>
      </c>
      <c r="J2883" s="12" t="s">
        <v>31</v>
      </c>
      <c r="K2883" s="76">
        <f t="shared" si="207"/>
        <v>8882.5</v>
      </c>
      <c r="L2883">
        <v>1</v>
      </c>
      <c r="M2883" s="29">
        <v>0</v>
      </c>
      <c r="N2883" t="s">
        <v>32</v>
      </c>
      <c r="O2883" t="s">
        <v>33</v>
      </c>
      <c r="P2883" t="s">
        <v>34</v>
      </c>
      <c r="Q2883" t="s">
        <v>34</v>
      </c>
      <c r="R2883" t="s">
        <v>34</v>
      </c>
      <c r="S2883" t="s">
        <v>34</v>
      </c>
      <c r="T2883" s="117">
        <v>0</v>
      </c>
    </row>
    <row r="2884" spans="1:21" x14ac:dyDescent="0.35">
      <c r="A2884" t="s">
        <v>19</v>
      </c>
      <c r="B2884" t="s">
        <v>21</v>
      </c>
      <c r="C2884" s="1">
        <v>45686</v>
      </c>
      <c r="D2884">
        <f t="shared" si="208"/>
        <v>29</v>
      </c>
      <c r="E2884">
        <f t="shared" si="209"/>
        <v>1</v>
      </c>
      <c r="F2884">
        <f t="shared" si="210"/>
        <v>2025</v>
      </c>
      <c r="G2884" t="s">
        <v>37</v>
      </c>
      <c r="H2884" s="98">
        <v>11764</v>
      </c>
      <c r="I2884" s="29">
        <v>19799</v>
      </c>
      <c r="J2884" s="12" t="s">
        <v>31</v>
      </c>
      <c r="K2884" s="76">
        <f t="shared" si="207"/>
        <v>19799</v>
      </c>
      <c r="L2884">
        <v>1</v>
      </c>
      <c r="M2884" s="29">
        <v>0</v>
      </c>
      <c r="N2884" t="s">
        <v>32</v>
      </c>
      <c r="O2884" t="s">
        <v>33</v>
      </c>
      <c r="P2884" t="s">
        <v>34</v>
      </c>
      <c r="Q2884" t="s">
        <v>34</v>
      </c>
      <c r="R2884" t="s">
        <v>34</v>
      </c>
      <c r="S2884" t="s">
        <v>34</v>
      </c>
      <c r="T2884" s="117">
        <v>0</v>
      </c>
    </row>
    <row r="2885" spans="1:21" x14ac:dyDescent="0.35">
      <c r="A2885" t="s">
        <v>19</v>
      </c>
      <c r="B2885" t="s">
        <v>24</v>
      </c>
      <c r="C2885" s="1">
        <v>45686</v>
      </c>
      <c r="D2885">
        <f t="shared" si="208"/>
        <v>29</v>
      </c>
      <c r="E2885">
        <f t="shared" si="209"/>
        <v>1</v>
      </c>
      <c r="F2885">
        <f t="shared" si="210"/>
        <v>2025</v>
      </c>
      <c r="G2885" t="s">
        <v>285</v>
      </c>
      <c r="H2885" s="98">
        <v>12160</v>
      </c>
      <c r="I2885" s="29">
        <v>29</v>
      </c>
      <c r="J2885" s="12" t="s">
        <v>31</v>
      </c>
      <c r="K2885" s="76">
        <f t="shared" si="207"/>
        <v>29</v>
      </c>
      <c r="L2885">
        <v>1</v>
      </c>
      <c r="M2885" s="29">
        <v>0</v>
      </c>
      <c r="N2885" t="s">
        <v>42</v>
      </c>
      <c r="O2885" t="s">
        <v>33</v>
      </c>
      <c r="P2885" t="s">
        <v>34</v>
      </c>
      <c r="Q2885" t="s">
        <v>34</v>
      </c>
      <c r="R2885" t="s">
        <v>34</v>
      </c>
      <c r="S2885" t="s">
        <v>34</v>
      </c>
      <c r="T2885" s="117">
        <v>0</v>
      </c>
    </row>
    <row r="2886" spans="1:21" x14ac:dyDescent="0.35">
      <c r="A2886" t="s">
        <v>19</v>
      </c>
      <c r="B2886" t="s">
        <v>24</v>
      </c>
      <c r="C2886" s="1">
        <v>45686</v>
      </c>
      <c r="D2886">
        <f t="shared" si="208"/>
        <v>29</v>
      </c>
      <c r="E2886">
        <f t="shared" si="209"/>
        <v>1</v>
      </c>
      <c r="F2886">
        <f t="shared" si="210"/>
        <v>2025</v>
      </c>
      <c r="G2886" t="s">
        <v>285</v>
      </c>
      <c r="H2886" s="98">
        <v>12161</v>
      </c>
      <c r="I2886" s="29">
        <v>1987.2</v>
      </c>
      <c r="J2886" s="12" t="s">
        <v>31</v>
      </c>
      <c r="K2886" s="76">
        <f t="shared" si="207"/>
        <v>1987.2</v>
      </c>
      <c r="L2886">
        <v>1</v>
      </c>
      <c r="M2886" s="29">
        <v>0</v>
      </c>
      <c r="N2886" t="s">
        <v>42</v>
      </c>
      <c r="O2886" t="s">
        <v>33</v>
      </c>
      <c r="P2886" t="s">
        <v>34</v>
      </c>
      <c r="Q2886" t="s">
        <v>34</v>
      </c>
      <c r="R2886" t="s">
        <v>34</v>
      </c>
      <c r="S2886" t="s">
        <v>34</v>
      </c>
      <c r="T2886" s="117">
        <v>0</v>
      </c>
    </row>
    <row r="2887" spans="1:21" x14ac:dyDescent="0.35">
      <c r="A2887" t="s">
        <v>20</v>
      </c>
      <c r="B2887" t="s">
        <v>25</v>
      </c>
      <c r="C2887" s="1">
        <v>45686</v>
      </c>
      <c r="D2887">
        <f t="shared" si="208"/>
        <v>29</v>
      </c>
      <c r="E2887">
        <f t="shared" si="209"/>
        <v>1</v>
      </c>
      <c r="F2887">
        <f t="shared" si="210"/>
        <v>2025</v>
      </c>
      <c r="G2887" t="s">
        <v>84</v>
      </c>
      <c r="H2887" s="98">
        <v>11739</v>
      </c>
      <c r="I2887" s="29">
        <v>687.2</v>
      </c>
      <c r="J2887" s="12" t="s">
        <v>31</v>
      </c>
      <c r="K2887" s="76">
        <f t="shared" si="207"/>
        <v>687.2</v>
      </c>
      <c r="L2887">
        <v>1</v>
      </c>
      <c r="M2887" s="29">
        <v>0</v>
      </c>
      <c r="N2887" t="s">
        <v>32</v>
      </c>
      <c r="O2887" t="s">
        <v>33</v>
      </c>
      <c r="P2887" t="s">
        <v>34</v>
      </c>
      <c r="Q2887" t="s">
        <v>34</v>
      </c>
      <c r="R2887" t="s">
        <v>34</v>
      </c>
      <c r="S2887" t="s">
        <v>34</v>
      </c>
      <c r="T2887" s="117">
        <v>0</v>
      </c>
    </row>
    <row r="2888" spans="1:21" x14ac:dyDescent="0.35">
      <c r="A2888" t="s">
        <v>20</v>
      </c>
      <c r="B2888" t="s">
        <v>25</v>
      </c>
      <c r="C2888" s="1">
        <v>45686</v>
      </c>
      <c r="D2888">
        <f t="shared" si="208"/>
        <v>29</v>
      </c>
      <c r="E2888">
        <f t="shared" si="209"/>
        <v>1</v>
      </c>
      <c r="F2888">
        <f t="shared" si="210"/>
        <v>2025</v>
      </c>
      <c r="G2888" t="s">
        <v>565</v>
      </c>
      <c r="H2888" s="98">
        <v>11897</v>
      </c>
      <c r="I2888" s="29">
        <v>229.6</v>
      </c>
      <c r="J2888" s="12" t="s">
        <v>31</v>
      </c>
      <c r="K2888" s="76">
        <f t="shared" si="207"/>
        <v>229.6</v>
      </c>
      <c r="L2888">
        <v>1</v>
      </c>
      <c r="M2888" s="29">
        <v>0</v>
      </c>
      <c r="N2888" t="s">
        <v>32</v>
      </c>
      <c r="O2888" t="s">
        <v>33</v>
      </c>
      <c r="P2888" t="s">
        <v>34</v>
      </c>
      <c r="Q2888" t="s">
        <v>34</v>
      </c>
      <c r="R2888" t="s">
        <v>34</v>
      </c>
      <c r="S2888" t="s">
        <v>34</v>
      </c>
      <c r="T2888" s="117">
        <v>0</v>
      </c>
    </row>
    <row r="2889" spans="1:21" x14ac:dyDescent="0.35">
      <c r="A2889" t="s">
        <v>20</v>
      </c>
      <c r="B2889" t="s">
        <v>25</v>
      </c>
      <c r="C2889" s="1">
        <v>45686</v>
      </c>
      <c r="D2889">
        <f t="shared" si="208"/>
        <v>29</v>
      </c>
      <c r="E2889">
        <f t="shared" si="209"/>
        <v>1</v>
      </c>
      <c r="F2889">
        <f t="shared" si="210"/>
        <v>2025</v>
      </c>
      <c r="G2889" t="s">
        <v>565</v>
      </c>
      <c r="H2889" s="98">
        <v>11898</v>
      </c>
      <c r="I2889" s="29">
        <v>13651.44</v>
      </c>
      <c r="J2889" s="12" t="s">
        <v>31</v>
      </c>
      <c r="K2889" s="76">
        <f t="shared" si="207"/>
        <v>13651.44</v>
      </c>
      <c r="L2889">
        <v>1</v>
      </c>
      <c r="M2889" s="29">
        <v>0</v>
      </c>
      <c r="N2889" t="s">
        <v>42</v>
      </c>
      <c r="O2889" t="s">
        <v>33</v>
      </c>
      <c r="P2889" t="s">
        <v>34</v>
      </c>
      <c r="Q2889" t="s">
        <v>34</v>
      </c>
      <c r="R2889" t="s">
        <v>34</v>
      </c>
      <c r="S2889" t="s">
        <v>34</v>
      </c>
      <c r="T2889" s="117">
        <v>0</v>
      </c>
    </row>
    <row r="2890" spans="1:21" x14ac:dyDescent="0.35">
      <c r="A2890" t="s">
        <v>20</v>
      </c>
      <c r="B2890" t="s">
        <v>23</v>
      </c>
      <c r="C2890" s="1">
        <v>45686</v>
      </c>
      <c r="D2890">
        <f t="shared" si="208"/>
        <v>29</v>
      </c>
      <c r="E2890">
        <f t="shared" si="209"/>
        <v>1</v>
      </c>
      <c r="F2890">
        <f t="shared" si="210"/>
        <v>2025</v>
      </c>
      <c r="G2890" t="s">
        <v>97</v>
      </c>
      <c r="H2890" s="98">
        <v>11954</v>
      </c>
      <c r="I2890" s="29">
        <v>19859.38</v>
      </c>
      <c r="J2890" s="12" t="s">
        <v>31</v>
      </c>
      <c r="K2890" s="76">
        <f t="shared" si="207"/>
        <v>19859.38</v>
      </c>
      <c r="L2890">
        <v>1</v>
      </c>
      <c r="M2890" s="76">
        <v>614.14</v>
      </c>
      <c r="N2890" t="s">
        <v>32</v>
      </c>
      <c r="O2890" t="s">
        <v>33</v>
      </c>
      <c r="P2890" t="s">
        <v>34</v>
      </c>
      <c r="Q2890" t="s">
        <v>34</v>
      </c>
      <c r="R2890" t="s">
        <v>34</v>
      </c>
      <c r="S2890" t="s">
        <v>34</v>
      </c>
      <c r="T2890" s="117">
        <v>1794</v>
      </c>
    </row>
    <row r="2891" spans="1:21" x14ac:dyDescent="0.35">
      <c r="A2891" t="s">
        <v>20</v>
      </c>
      <c r="B2891" t="s">
        <v>25</v>
      </c>
      <c r="C2891" s="1">
        <v>45686</v>
      </c>
      <c r="D2891">
        <f t="shared" si="208"/>
        <v>29</v>
      </c>
      <c r="E2891">
        <f t="shared" si="209"/>
        <v>1</v>
      </c>
      <c r="F2891">
        <f t="shared" si="210"/>
        <v>2025</v>
      </c>
      <c r="G2891" t="s">
        <v>97</v>
      </c>
      <c r="H2891" s="98">
        <v>11954</v>
      </c>
      <c r="I2891" s="29">
        <v>63404.63</v>
      </c>
      <c r="J2891" s="12" t="s">
        <v>31</v>
      </c>
      <c r="K2891" s="76">
        <f t="shared" si="207"/>
        <v>63404.63</v>
      </c>
      <c r="L2891">
        <v>1</v>
      </c>
      <c r="M2891" s="76">
        <v>1959.74</v>
      </c>
      <c r="N2891" t="s">
        <v>32</v>
      </c>
      <c r="O2891" t="s">
        <v>33</v>
      </c>
      <c r="P2891" t="s">
        <v>34</v>
      </c>
      <c r="Q2891" t="s">
        <v>34</v>
      </c>
      <c r="R2891" t="s">
        <v>34</v>
      </c>
      <c r="S2891" t="s">
        <v>34</v>
      </c>
      <c r="T2891" s="117">
        <v>570.42999999999995</v>
      </c>
    </row>
    <row r="2892" spans="1:21" x14ac:dyDescent="0.35">
      <c r="A2892" t="s">
        <v>20</v>
      </c>
      <c r="B2892" t="s">
        <v>23</v>
      </c>
      <c r="C2892" s="1">
        <v>45686</v>
      </c>
      <c r="D2892">
        <f t="shared" si="208"/>
        <v>29</v>
      </c>
      <c r="E2892">
        <f t="shared" si="209"/>
        <v>1</v>
      </c>
      <c r="F2892">
        <f t="shared" si="210"/>
        <v>2025</v>
      </c>
      <c r="G2892" t="s">
        <v>97</v>
      </c>
      <c r="H2892" s="98">
        <v>11993</v>
      </c>
      <c r="I2892" s="29">
        <v>219.5</v>
      </c>
      <c r="J2892" s="12" t="s">
        <v>31</v>
      </c>
      <c r="K2892" s="76">
        <f t="shared" si="207"/>
        <v>219.5</v>
      </c>
      <c r="L2892">
        <v>1</v>
      </c>
      <c r="M2892" s="29">
        <v>0</v>
      </c>
      <c r="N2892" t="s">
        <v>32</v>
      </c>
      <c r="O2892" t="s">
        <v>33</v>
      </c>
      <c r="P2892" t="s">
        <v>34</v>
      </c>
      <c r="Q2892" t="s">
        <v>34</v>
      </c>
      <c r="R2892" t="s">
        <v>34</v>
      </c>
      <c r="S2892" t="s">
        <v>34</v>
      </c>
      <c r="T2892" s="117">
        <v>0</v>
      </c>
    </row>
    <row r="2893" spans="1:21" x14ac:dyDescent="0.35">
      <c r="A2893" t="s">
        <v>20</v>
      </c>
      <c r="B2893" t="s">
        <v>24</v>
      </c>
      <c r="C2893" s="1">
        <v>45686</v>
      </c>
      <c r="D2893">
        <f t="shared" si="208"/>
        <v>29</v>
      </c>
      <c r="E2893">
        <f t="shared" si="209"/>
        <v>1</v>
      </c>
      <c r="F2893">
        <f t="shared" si="210"/>
        <v>2025</v>
      </c>
      <c r="G2893" t="s">
        <v>97</v>
      </c>
      <c r="H2893" s="98">
        <v>11993</v>
      </c>
      <c r="I2893" s="29">
        <v>280.20999999999998</v>
      </c>
      <c r="J2893" s="12" t="s">
        <v>31</v>
      </c>
      <c r="K2893" s="76">
        <f t="shared" si="207"/>
        <v>280.20999999999998</v>
      </c>
      <c r="L2893">
        <v>1</v>
      </c>
      <c r="M2893" s="29">
        <v>0</v>
      </c>
      <c r="N2893" t="s">
        <v>32</v>
      </c>
      <c r="O2893" t="s">
        <v>33</v>
      </c>
      <c r="P2893" t="s">
        <v>34</v>
      </c>
      <c r="Q2893" t="s">
        <v>34</v>
      </c>
      <c r="R2893" t="s">
        <v>34</v>
      </c>
      <c r="S2893" t="s">
        <v>34</v>
      </c>
      <c r="T2893" s="117">
        <v>1673.79</v>
      </c>
    </row>
    <row r="2894" spans="1:21" x14ac:dyDescent="0.35">
      <c r="A2894" t="s">
        <v>20</v>
      </c>
      <c r="B2894" t="s">
        <v>25</v>
      </c>
      <c r="C2894" s="1">
        <v>45686</v>
      </c>
      <c r="D2894">
        <f t="shared" si="208"/>
        <v>29</v>
      </c>
      <c r="E2894">
        <f t="shared" si="209"/>
        <v>1</v>
      </c>
      <c r="F2894">
        <f t="shared" si="210"/>
        <v>2025</v>
      </c>
      <c r="G2894" t="s">
        <v>97</v>
      </c>
      <c r="H2894" s="98">
        <v>11993</v>
      </c>
      <c r="I2894" s="29">
        <v>2345</v>
      </c>
      <c r="J2894" s="12" t="s">
        <v>31</v>
      </c>
      <c r="K2894" s="76">
        <f t="shared" si="207"/>
        <v>2345</v>
      </c>
      <c r="L2894">
        <v>1</v>
      </c>
      <c r="M2894" s="29">
        <v>0</v>
      </c>
      <c r="N2894" t="s">
        <v>32</v>
      </c>
      <c r="O2894" t="s">
        <v>33</v>
      </c>
      <c r="P2894" t="s">
        <v>34</v>
      </c>
      <c r="Q2894" t="s">
        <v>34</v>
      </c>
      <c r="R2894" t="s">
        <v>34</v>
      </c>
      <c r="S2894" t="s">
        <v>34</v>
      </c>
      <c r="T2894" s="117">
        <v>0</v>
      </c>
    </row>
    <row r="2895" spans="1:21" x14ac:dyDescent="0.35">
      <c r="A2895" t="s">
        <v>20</v>
      </c>
      <c r="B2895" t="s">
        <v>21</v>
      </c>
      <c r="C2895" s="1">
        <v>45686</v>
      </c>
      <c r="D2895">
        <f t="shared" si="208"/>
        <v>29</v>
      </c>
      <c r="E2895">
        <f t="shared" si="209"/>
        <v>1</v>
      </c>
      <c r="F2895">
        <f t="shared" si="210"/>
        <v>2025</v>
      </c>
      <c r="G2895" t="s">
        <v>118</v>
      </c>
      <c r="H2895" s="98">
        <v>11310</v>
      </c>
      <c r="I2895" s="29">
        <v>4930.0600000000004</v>
      </c>
      <c r="J2895" s="12" t="s">
        <v>31</v>
      </c>
      <c r="K2895" s="76">
        <f t="shared" si="207"/>
        <v>4930.0600000000004</v>
      </c>
      <c r="L2895">
        <v>1</v>
      </c>
      <c r="M2895" s="29">
        <v>0</v>
      </c>
      <c r="N2895" t="s">
        <v>32</v>
      </c>
      <c r="O2895" t="s">
        <v>33</v>
      </c>
      <c r="P2895" t="s">
        <v>34</v>
      </c>
      <c r="Q2895" t="s">
        <v>34</v>
      </c>
      <c r="R2895" t="s">
        <v>34</v>
      </c>
      <c r="S2895" t="s">
        <v>34</v>
      </c>
      <c r="T2895" s="117">
        <v>0</v>
      </c>
    </row>
    <row r="2896" spans="1:21" x14ac:dyDescent="0.35">
      <c r="A2896" t="s">
        <v>20</v>
      </c>
      <c r="B2896" t="s">
        <v>21</v>
      </c>
      <c r="C2896" s="1">
        <v>45686</v>
      </c>
      <c r="D2896">
        <f t="shared" si="208"/>
        <v>29</v>
      </c>
      <c r="E2896">
        <f t="shared" si="209"/>
        <v>1</v>
      </c>
      <c r="F2896">
        <f t="shared" si="210"/>
        <v>2025</v>
      </c>
      <c r="G2896" t="s">
        <v>89</v>
      </c>
      <c r="H2896" s="98">
        <v>11373</v>
      </c>
      <c r="I2896" s="29">
        <v>8349.68</v>
      </c>
      <c r="J2896" s="12" t="s">
        <v>31</v>
      </c>
      <c r="K2896" s="76">
        <f t="shared" si="207"/>
        <v>8349.68</v>
      </c>
      <c r="L2896">
        <v>1</v>
      </c>
      <c r="M2896" s="29">
        <v>0</v>
      </c>
      <c r="N2896" t="s">
        <v>32</v>
      </c>
      <c r="O2896" t="s">
        <v>33</v>
      </c>
      <c r="P2896" t="s">
        <v>34</v>
      </c>
      <c r="Q2896" t="s">
        <v>34</v>
      </c>
      <c r="R2896" t="s">
        <v>34</v>
      </c>
      <c r="S2896" t="s">
        <v>34</v>
      </c>
      <c r="T2896" s="117">
        <v>0</v>
      </c>
    </row>
    <row r="2897" spans="1:21" x14ac:dyDescent="0.35">
      <c r="A2897" t="s">
        <v>20</v>
      </c>
      <c r="B2897" t="s">
        <v>23</v>
      </c>
      <c r="C2897" s="1">
        <v>45686</v>
      </c>
      <c r="D2897">
        <f t="shared" si="208"/>
        <v>29</v>
      </c>
      <c r="E2897">
        <f t="shared" si="209"/>
        <v>1</v>
      </c>
      <c r="F2897">
        <f t="shared" si="210"/>
        <v>2025</v>
      </c>
      <c r="G2897" t="s">
        <v>82</v>
      </c>
      <c r="H2897" s="98">
        <v>11434</v>
      </c>
      <c r="I2897" s="29">
        <v>9733.07</v>
      </c>
      <c r="J2897" s="12" t="s">
        <v>31</v>
      </c>
      <c r="K2897" s="76">
        <f t="shared" si="207"/>
        <v>9733.07</v>
      </c>
      <c r="L2897">
        <v>1</v>
      </c>
      <c r="M2897" s="29">
        <v>0</v>
      </c>
      <c r="N2897" t="s">
        <v>32</v>
      </c>
      <c r="O2897" t="s">
        <v>33</v>
      </c>
      <c r="P2897" t="s">
        <v>34</v>
      </c>
      <c r="Q2897" t="s">
        <v>34</v>
      </c>
      <c r="R2897" t="s">
        <v>34</v>
      </c>
      <c r="S2897" t="s">
        <v>34</v>
      </c>
      <c r="T2897" s="117">
        <v>0</v>
      </c>
    </row>
    <row r="2898" spans="1:21" x14ac:dyDescent="0.35">
      <c r="A2898" t="s">
        <v>20</v>
      </c>
      <c r="B2898" t="s">
        <v>23</v>
      </c>
      <c r="C2898" s="1">
        <v>45686</v>
      </c>
      <c r="D2898">
        <f t="shared" si="208"/>
        <v>29</v>
      </c>
      <c r="E2898">
        <f t="shared" si="209"/>
        <v>1</v>
      </c>
      <c r="F2898">
        <f t="shared" si="210"/>
        <v>2025</v>
      </c>
      <c r="G2898" t="s">
        <v>82</v>
      </c>
      <c r="H2898" s="98">
        <v>11624</v>
      </c>
      <c r="I2898" s="29">
        <v>25.8</v>
      </c>
      <c r="J2898" s="12" t="s">
        <v>31</v>
      </c>
      <c r="K2898" s="76">
        <f t="shared" si="207"/>
        <v>25.8</v>
      </c>
      <c r="L2898">
        <v>1</v>
      </c>
      <c r="M2898" s="29">
        <v>0</v>
      </c>
      <c r="N2898" t="s">
        <v>32</v>
      </c>
      <c r="O2898" t="s">
        <v>33</v>
      </c>
      <c r="P2898" t="s">
        <v>34</v>
      </c>
      <c r="Q2898" t="s">
        <v>34</v>
      </c>
      <c r="R2898" t="s">
        <v>34</v>
      </c>
      <c r="S2898" t="s">
        <v>34</v>
      </c>
      <c r="T2898" s="117">
        <v>0</v>
      </c>
    </row>
    <row r="2899" spans="1:21" x14ac:dyDescent="0.35">
      <c r="A2899" t="s">
        <v>20</v>
      </c>
      <c r="B2899" t="s">
        <v>23</v>
      </c>
      <c r="C2899" s="1">
        <v>45686</v>
      </c>
      <c r="D2899">
        <f t="shared" si="208"/>
        <v>29</v>
      </c>
      <c r="E2899">
        <f t="shared" si="209"/>
        <v>1</v>
      </c>
      <c r="F2899">
        <f t="shared" si="210"/>
        <v>2025</v>
      </c>
      <c r="G2899" t="s">
        <v>82</v>
      </c>
      <c r="H2899" s="98">
        <v>11626</v>
      </c>
      <c r="I2899" s="29">
        <v>27.8</v>
      </c>
      <c r="J2899" s="12" t="s">
        <v>31</v>
      </c>
      <c r="K2899" s="76">
        <f t="shared" si="207"/>
        <v>27.8</v>
      </c>
      <c r="L2899">
        <v>1</v>
      </c>
      <c r="M2899" s="29">
        <v>0</v>
      </c>
      <c r="N2899" t="s">
        <v>32</v>
      </c>
      <c r="O2899" t="s">
        <v>33</v>
      </c>
      <c r="P2899" t="s">
        <v>34</v>
      </c>
      <c r="Q2899" t="s">
        <v>34</v>
      </c>
      <c r="R2899" t="s">
        <v>34</v>
      </c>
      <c r="S2899" t="s">
        <v>34</v>
      </c>
      <c r="T2899" s="117">
        <v>0</v>
      </c>
    </row>
    <row r="2900" spans="1:21" x14ac:dyDescent="0.35">
      <c r="A2900" t="s">
        <v>20</v>
      </c>
      <c r="B2900" t="s">
        <v>25</v>
      </c>
      <c r="C2900" s="1">
        <v>45686</v>
      </c>
      <c r="D2900">
        <f t="shared" si="208"/>
        <v>29</v>
      </c>
      <c r="E2900">
        <f t="shared" si="209"/>
        <v>1</v>
      </c>
      <c r="F2900">
        <f t="shared" si="210"/>
        <v>2025</v>
      </c>
      <c r="G2900" t="s">
        <v>87</v>
      </c>
      <c r="H2900" s="98">
        <v>11318</v>
      </c>
      <c r="I2900" s="29">
        <v>35533</v>
      </c>
      <c r="J2900" s="12" t="s">
        <v>31</v>
      </c>
      <c r="K2900" s="76">
        <f t="shared" si="207"/>
        <v>35533</v>
      </c>
      <c r="L2900">
        <v>1</v>
      </c>
      <c r="M2900" s="29">
        <v>0</v>
      </c>
      <c r="N2900" t="s">
        <v>32</v>
      </c>
      <c r="O2900" t="s">
        <v>33</v>
      </c>
      <c r="P2900" t="s">
        <v>34</v>
      </c>
      <c r="Q2900" t="s">
        <v>34</v>
      </c>
      <c r="R2900" t="s">
        <v>34</v>
      </c>
      <c r="S2900" t="s">
        <v>34</v>
      </c>
      <c r="T2900" s="117">
        <v>0</v>
      </c>
    </row>
    <row r="2901" spans="1:21" x14ac:dyDescent="0.35">
      <c r="A2901" t="s">
        <v>20</v>
      </c>
      <c r="B2901" t="s">
        <v>24</v>
      </c>
      <c r="C2901" s="1">
        <v>45686</v>
      </c>
      <c r="D2901">
        <f t="shared" si="208"/>
        <v>29</v>
      </c>
      <c r="E2901">
        <f t="shared" si="209"/>
        <v>1</v>
      </c>
      <c r="F2901">
        <f t="shared" si="210"/>
        <v>2025</v>
      </c>
      <c r="G2901" t="s">
        <v>50</v>
      </c>
      <c r="H2901" s="98">
        <v>12060</v>
      </c>
      <c r="I2901" s="29">
        <v>3300</v>
      </c>
      <c r="J2901" s="12" t="s">
        <v>31</v>
      </c>
      <c r="K2901" s="76">
        <f t="shared" si="207"/>
        <v>3300</v>
      </c>
      <c r="L2901">
        <v>1</v>
      </c>
      <c r="M2901" s="29">
        <v>0</v>
      </c>
      <c r="N2901" t="s">
        <v>42</v>
      </c>
      <c r="O2901" t="s">
        <v>33</v>
      </c>
      <c r="P2901" t="s">
        <v>34</v>
      </c>
      <c r="Q2901" t="s">
        <v>34</v>
      </c>
      <c r="R2901" t="s">
        <v>34</v>
      </c>
      <c r="S2901" t="s">
        <v>34</v>
      </c>
      <c r="T2901" s="117">
        <v>0</v>
      </c>
      <c r="U2901" s="209" t="s">
        <v>1052</v>
      </c>
    </row>
    <row r="2902" spans="1:21" x14ac:dyDescent="0.35">
      <c r="A2902" t="s">
        <v>20</v>
      </c>
      <c r="B2902" t="s">
        <v>21</v>
      </c>
      <c r="C2902" s="1">
        <v>45686</v>
      </c>
      <c r="D2902">
        <f t="shared" si="208"/>
        <v>29</v>
      </c>
      <c r="E2902">
        <f t="shared" si="209"/>
        <v>1</v>
      </c>
      <c r="F2902">
        <f t="shared" si="210"/>
        <v>2025</v>
      </c>
      <c r="G2902" t="s">
        <v>265</v>
      </c>
      <c r="H2902" s="98">
        <v>12162</v>
      </c>
      <c r="I2902" s="29">
        <v>110</v>
      </c>
      <c r="J2902" s="12" t="s">
        <v>31</v>
      </c>
      <c r="K2902" s="76">
        <f t="shared" si="207"/>
        <v>110</v>
      </c>
      <c r="L2902">
        <v>1</v>
      </c>
      <c r="M2902" s="29">
        <v>0</v>
      </c>
      <c r="N2902" t="s">
        <v>42</v>
      </c>
      <c r="O2902" t="s">
        <v>33</v>
      </c>
      <c r="P2902" t="s">
        <v>34</v>
      </c>
      <c r="Q2902" t="s">
        <v>34</v>
      </c>
      <c r="R2902" t="s">
        <v>34</v>
      </c>
      <c r="S2902" t="s">
        <v>34</v>
      </c>
      <c r="T2902" s="117">
        <v>0</v>
      </c>
    </row>
    <row r="2903" spans="1:21" x14ac:dyDescent="0.35">
      <c r="A2903" t="s">
        <v>20</v>
      </c>
      <c r="B2903" t="s">
        <v>21</v>
      </c>
      <c r="C2903" s="1">
        <v>45686</v>
      </c>
      <c r="D2903">
        <f t="shared" si="208"/>
        <v>29</v>
      </c>
      <c r="E2903">
        <f t="shared" si="209"/>
        <v>1</v>
      </c>
      <c r="F2903">
        <f t="shared" si="210"/>
        <v>2025</v>
      </c>
      <c r="G2903" t="s">
        <v>265</v>
      </c>
      <c r="H2903" s="98">
        <v>12163</v>
      </c>
      <c r="I2903" s="29">
        <v>2072.1</v>
      </c>
      <c r="J2903" s="12" t="s">
        <v>31</v>
      </c>
      <c r="K2903" s="76">
        <f t="shared" si="207"/>
        <v>2072.1</v>
      </c>
      <c r="L2903">
        <v>1</v>
      </c>
      <c r="M2903" s="29">
        <v>0</v>
      </c>
      <c r="N2903" t="s">
        <v>42</v>
      </c>
      <c r="O2903" t="s">
        <v>33</v>
      </c>
      <c r="P2903" t="s">
        <v>34</v>
      </c>
      <c r="Q2903" t="s">
        <v>34</v>
      </c>
      <c r="R2903" t="s">
        <v>34</v>
      </c>
      <c r="S2903" t="s">
        <v>34</v>
      </c>
      <c r="T2903" s="117">
        <v>0</v>
      </c>
    </row>
    <row r="2904" spans="1:21" x14ac:dyDescent="0.35">
      <c r="A2904" t="s">
        <v>20</v>
      </c>
      <c r="B2904" t="s">
        <v>23</v>
      </c>
      <c r="C2904" s="1">
        <v>45686</v>
      </c>
      <c r="D2904">
        <f t="shared" si="208"/>
        <v>29</v>
      </c>
      <c r="E2904">
        <f t="shared" si="209"/>
        <v>1</v>
      </c>
      <c r="F2904">
        <f t="shared" si="210"/>
        <v>2025</v>
      </c>
      <c r="G2904" t="s">
        <v>109</v>
      </c>
      <c r="H2904" s="98">
        <v>12176</v>
      </c>
      <c r="I2904" s="29">
        <v>4446</v>
      </c>
      <c r="J2904" s="12" t="s">
        <v>31</v>
      </c>
      <c r="K2904" s="76">
        <f t="shared" si="207"/>
        <v>4446</v>
      </c>
      <c r="L2904">
        <v>1</v>
      </c>
      <c r="M2904" s="29">
        <v>0</v>
      </c>
      <c r="N2904" t="s">
        <v>42</v>
      </c>
      <c r="O2904" t="s">
        <v>33</v>
      </c>
      <c r="P2904" t="s">
        <v>34</v>
      </c>
      <c r="Q2904" t="s">
        <v>34</v>
      </c>
      <c r="R2904" t="s">
        <v>34</v>
      </c>
      <c r="S2904" t="s">
        <v>34</v>
      </c>
      <c r="T2904" s="117">
        <v>0</v>
      </c>
    </row>
    <row r="2905" spans="1:21" x14ac:dyDescent="0.35">
      <c r="A2905" t="s">
        <v>20</v>
      </c>
      <c r="B2905" t="s">
        <v>25</v>
      </c>
      <c r="C2905" s="1">
        <v>45686</v>
      </c>
      <c r="D2905">
        <f t="shared" si="208"/>
        <v>29</v>
      </c>
      <c r="E2905">
        <f t="shared" si="209"/>
        <v>1</v>
      </c>
      <c r="F2905">
        <f t="shared" si="210"/>
        <v>2025</v>
      </c>
      <c r="G2905" t="s">
        <v>41</v>
      </c>
      <c r="H2905" s="98">
        <v>11737</v>
      </c>
      <c r="I2905" s="29">
        <v>2638.01</v>
      </c>
      <c r="J2905" s="12" t="s">
        <v>31</v>
      </c>
      <c r="K2905" s="76">
        <f t="shared" si="207"/>
        <v>2638.01</v>
      </c>
      <c r="L2905">
        <v>1</v>
      </c>
      <c r="M2905" s="29">
        <v>0</v>
      </c>
      <c r="N2905" t="s">
        <v>42</v>
      </c>
      <c r="O2905" t="s">
        <v>33</v>
      </c>
      <c r="P2905" t="s">
        <v>34</v>
      </c>
      <c r="Q2905" t="s">
        <v>34</v>
      </c>
      <c r="R2905" t="s">
        <v>34</v>
      </c>
      <c r="S2905" t="s">
        <v>34</v>
      </c>
      <c r="T2905" s="117">
        <v>0</v>
      </c>
    </row>
    <row r="2906" spans="1:21" x14ac:dyDescent="0.35">
      <c r="A2906" t="s">
        <v>20</v>
      </c>
      <c r="B2906" t="s">
        <v>25</v>
      </c>
      <c r="C2906" s="1">
        <v>45686</v>
      </c>
      <c r="D2906">
        <f t="shared" si="208"/>
        <v>29</v>
      </c>
      <c r="E2906">
        <f t="shared" si="209"/>
        <v>1</v>
      </c>
      <c r="F2906">
        <f t="shared" si="210"/>
        <v>2025</v>
      </c>
      <c r="G2906" t="s">
        <v>91</v>
      </c>
      <c r="H2906" s="98">
        <v>11210</v>
      </c>
      <c r="I2906" s="29">
        <v>3620.35</v>
      </c>
      <c r="J2906" s="12" t="s">
        <v>31</v>
      </c>
      <c r="K2906" s="76">
        <f t="shared" si="207"/>
        <v>3620.35</v>
      </c>
      <c r="L2906">
        <v>1</v>
      </c>
      <c r="M2906" s="29">
        <v>0</v>
      </c>
      <c r="N2906" t="s">
        <v>32</v>
      </c>
      <c r="O2906" t="s">
        <v>33</v>
      </c>
      <c r="P2906" t="s">
        <v>34</v>
      </c>
      <c r="Q2906" t="s">
        <v>34</v>
      </c>
      <c r="R2906" t="s">
        <v>34</v>
      </c>
      <c r="S2906" t="s">
        <v>34</v>
      </c>
      <c r="T2906" s="117">
        <v>0</v>
      </c>
    </row>
    <row r="2907" spans="1:21" x14ac:dyDescent="0.35">
      <c r="A2907" t="s">
        <v>20</v>
      </c>
      <c r="B2907" t="s">
        <v>21</v>
      </c>
      <c r="C2907" s="1">
        <v>45686</v>
      </c>
      <c r="D2907">
        <f t="shared" si="208"/>
        <v>29</v>
      </c>
      <c r="E2907">
        <f t="shared" si="209"/>
        <v>1</v>
      </c>
      <c r="F2907">
        <f t="shared" si="210"/>
        <v>2025</v>
      </c>
      <c r="G2907" t="s">
        <v>91</v>
      </c>
      <c r="H2907" s="98">
        <v>11210</v>
      </c>
      <c r="I2907" s="29">
        <v>11155.2</v>
      </c>
      <c r="J2907" s="12" t="s">
        <v>31</v>
      </c>
      <c r="K2907" s="76">
        <f t="shared" si="207"/>
        <v>11155.2</v>
      </c>
      <c r="L2907">
        <v>1</v>
      </c>
      <c r="M2907" s="29">
        <v>0</v>
      </c>
      <c r="N2907" t="s">
        <v>32</v>
      </c>
      <c r="O2907" t="s">
        <v>33</v>
      </c>
      <c r="P2907" t="s">
        <v>34</v>
      </c>
      <c r="Q2907" t="s">
        <v>34</v>
      </c>
      <c r="R2907" t="s">
        <v>34</v>
      </c>
      <c r="S2907" t="s">
        <v>34</v>
      </c>
      <c r="T2907" s="117">
        <v>0</v>
      </c>
    </row>
    <row r="2908" spans="1:21" x14ac:dyDescent="0.35">
      <c r="A2908" t="s">
        <v>20</v>
      </c>
      <c r="B2908" t="s">
        <v>25</v>
      </c>
      <c r="C2908" s="1">
        <v>45686</v>
      </c>
      <c r="D2908">
        <f t="shared" si="208"/>
        <v>29</v>
      </c>
      <c r="E2908">
        <f t="shared" si="209"/>
        <v>1</v>
      </c>
      <c r="F2908">
        <f t="shared" si="210"/>
        <v>2025</v>
      </c>
      <c r="G2908" t="s">
        <v>99</v>
      </c>
      <c r="H2908" s="98">
        <v>11613</v>
      </c>
      <c r="I2908" s="76">
        <v>31511.919999999998</v>
      </c>
      <c r="J2908" s="12" t="s">
        <v>31</v>
      </c>
      <c r="K2908" s="76">
        <f t="shared" si="207"/>
        <v>31511.919999999998</v>
      </c>
      <c r="L2908">
        <v>1</v>
      </c>
      <c r="M2908" s="29">
        <v>0</v>
      </c>
      <c r="N2908" t="s">
        <v>32</v>
      </c>
      <c r="O2908" t="s">
        <v>33</v>
      </c>
      <c r="P2908" t="s">
        <v>34</v>
      </c>
      <c r="Q2908" t="s">
        <v>34</v>
      </c>
      <c r="R2908" t="s">
        <v>34</v>
      </c>
      <c r="S2908" t="s">
        <v>34</v>
      </c>
      <c r="T2908" s="117">
        <v>0</v>
      </c>
    </row>
    <row r="2909" spans="1:21" x14ac:dyDescent="0.35">
      <c r="A2909" t="s">
        <v>20</v>
      </c>
      <c r="B2909" t="s">
        <v>25</v>
      </c>
      <c r="C2909" s="1">
        <v>45687</v>
      </c>
      <c r="D2909">
        <f t="shared" si="208"/>
        <v>30</v>
      </c>
      <c r="E2909">
        <f t="shared" si="209"/>
        <v>1</v>
      </c>
      <c r="F2909">
        <f t="shared" si="210"/>
        <v>2025</v>
      </c>
      <c r="G2909" t="s">
        <v>831</v>
      </c>
      <c r="H2909" s="98">
        <v>12188</v>
      </c>
      <c r="I2909" s="76">
        <v>1510.5</v>
      </c>
      <c r="J2909" s="12" t="s">
        <v>31</v>
      </c>
      <c r="K2909" s="76">
        <f t="shared" si="207"/>
        <v>1510.5</v>
      </c>
      <c r="L2909">
        <v>1</v>
      </c>
      <c r="M2909" s="29">
        <v>0</v>
      </c>
      <c r="N2909" t="s">
        <v>42</v>
      </c>
      <c r="O2909" t="s">
        <v>33</v>
      </c>
      <c r="P2909" t="s">
        <v>34</v>
      </c>
      <c r="Q2909" t="s">
        <v>34</v>
      </c>
      <c r="R2909" t="s">
        <v>34</v>
      </c>
      <c r="S2909" t="s">
        <v>34</v>
      </c>
      <c r="T2909" s="117">
        <v>0</v>
      </c>
    </row>
    <row r="2910" spans="1:21" x14ac:dyDescent="0.35">
      <c r="A2910" t="s">
        <v>20</v>
      </c>
      <c r="B2910" t="s">
        <v>25</v>
      </c>
      <c r="C2910" s="1">
        <v>45687</v>
      </c>
      <c r="D2910">
        <f t="shared" si="208"/>
        <v>30</v>
      </c>
      <c r="E2910">
        <f t="shared" si="209"/>
        <v>1</v>
      </c>
      <c r="F2910">
        <f t="shared" si="210"/>
        <v>2025</v>
      </c>
      <c r="G2910" t="s">
        <v>831</v>
      </c>
      <c r="H2910" s="98">
        <v>12188</v>
      </c>
      <c r="I2910" s="76">
        <v>4302</v>
      </c>
      <c r="J2910" s="12" t="s">
        <v>31</v>
      </c>
      <c r="K2910" s="76">
        <f t="shared" si="207"/>
        <v>4302</v>
      </c>
      <c r="L2910">
        <v>1</v>
      </c>
      <c r="M2910" s="29">
        <v>0</v>
      </c>
      <c r="N2910" t="s">
        <v>42</v>
      </c>
      <c r="O2910" t="s">
        <v>33</v>
      </c>
      <c r="P2910" t="s">
        <v>34</v>
      </c>
      <c r="Q2910" t="s">
        <v>34</v>
      </c>
      <c r="R2910" t="s">
        <v>34</v>
      </c>
      <c r="S2910" t="s">
        <v>34</v>
      </c>
      <c r="T2910" s="117">
        <v>0</v>
      </c>
      <c r="U2910" s="209" t="s">
        <v>1043</v>
      </c>
    </row>
    <row r="2911" spans="1:21" x14ac:dyDescent="0.35">
      <c r="A2911" t="s">
        <v>19</v>
      </c>
      <c r="B2911" t="s">
        <v>26</v>
      </c>
      <c r="C2911" s="1">
        <v>45687</v>
      </c>
      <c r="D2911">
        <f t="shared" si="208"/>
        <v>30</v>
      </c>
      <c r="E2911">
        <f t="shared" si="209"/>
        <v>1</v>
      </c>
      <c r="F2911">
        <f t="shared" si="210"/>
        <v>2025</v>
      </c>
      <c r="G2911" t="s">
        <v>187</v>
      </c>
      <c r="H2911" s="98">
        <v>0</v>
      </c>
      <c r="I2911" s="29">
        <v>15902.85</v>
      </c>
      <c r="J2911" s="12" t="s">
        <v>51</v>
      </c>
      <c r="K2911" s="76">
        <f t="shared" si="207"/>
        <v>16610.526825000001</v>
      </c>
      <c r="L2911">
        <v>1.0445</v>
      </c>
      <c r="M2911" s="29">
        <v>0</v>
      </c>
      <c r="N2911" t="s">
        <v>32</v>
      </c>
      <c r="O2911" t="s">
        <v>33</v>
      </c>
      <c r="P2911" t="s">
        <v>34</v>
      </c>
      <c r="Q2911" t="s">
        <v>34</v>
      </c>
      <c r="R2911" t="s">
        <v>34</v>
      </c>
      <c r="S2911" t="s">
        <v>34</v>
      </c>
      <c r="T2911" s="117">
        <v>0</v>
      </c>
      <c r="U2911" s="209" t="s">
        <v>827</v>
      </c>
    </row>
    <row r="2912" spans="1:21" x14ac:dyDescent="0.35">
      <c r="A2912" t="s">
        <v>19</v>
      </c>
      <c r="B2912" t="s">
        <v>26</v>
      </c>
      <c r="C2912" s="1">
        <v>45687</v>
      </c>
      <c r="D2912">
        <f t="shared" si="208"/>
        <v>30</v>
      </c>
      <c r="E2912">
        <f t="shared" si="209"/>
        <v>1</v>
      </c>
      <c r="F2912">
        <f t="shared" si="210"/>
        <v>2025</v>
      </c>
      <c r="G2912" t="s">
        <v>187</v>
      </c>
      <c r="H2912" s="98">
        <v>0</v>
      </c>
      <c r="I2912" s="29">
        <v>9707.4</v>
      </c>
      <c r="J2912" s="12" t="s">
        <v>51</v>
      </c>
      <c r="K2912" s="76">
        <f t="shared" si="207"/>
        <v>10139.379299999999</v>
      </c>
      <c r="L2912">
        <v>1.0445</v>
      </c>
      <c r="M2912" s="29">
        <v>0</v>
      </c>
      <c r="N2912" t="s">
        <v>32</v>
      </c>
      <c r="O2912" t="s">
        <v>33</v>
      </c>
      <c r="P2912" t="s">
        <v>34</v>
      </c>
      <c r="Q2912" t="s">
        <v>34</v>
      </c>
      <c r="R2912" t="s">
        <v>34</v>
      </c>
      <c r="S2912" t="s">
        <v>34</v>
      </c>
      <c r="T2912" s="117">
        <v>0</v>
      </c>
      <c r="U2912" s="209" t="s">
        <v>828</v>
      </c>
    </row>
    <row r="2913" spans="1:21" x14ac:dyDescent="0.35">
      <c r="A2913" t="s">
        <v>19</v>
      </c>
      <c r="B2913" t="s">
        <v>26</v>
      </c>
      <c r="C2913" s="1">
        <v>45687</v>
      </c>
      <c r="D2913">
        <f t="shared" si="208"/>
        <v>30</v>
      </c>
      <c r="E2913">
        <f t="shared" si="209"/>
        <v>1</v>
      </c>
      <c r="F2913">
        <f t="shared" si="210"/>
        <v>2025</v>
      </c>
      <c r="G2913" t="s">
        <v>187</v>
      </c>
      <c r="H2913" s="98">
        <v>0</v>
      </c>
      <c r="I2913" s="29">
        <v>6426</v>
      </c>
      <c r="J2913" s="12" t="s">
        <v>51</v>
      </c>
      <c r="K2913" s="76">
        <f t="shared" si="207"/>
        <v>6711.9570000000003</v>
      </c>
      <c r="L2913">
        <v>1.0445</v>
      </c>
      <c r="M2913" s="29">
        <v>0</v>
      </c>
      <c r="N2913" t="s">
        <v>32</v>
      </c>
      <c r="O2913" t="s">
        <v>33</v>
      </c>
      <c r="P2913" t="s">
        <v>34</v>
      </c>
      <c r="Q2913" t="s">
        <v>34</v>
      </c>
      <c r="R2913" t="s">
        <v>34</v>
      </c>
      <c r="S2913" t="s">
        <v>34</v>
      </c>
      <c r="T2913" s="117">
        <v>0</v>
      </c>
      <c r="U2913" s="209" t="s">
        <v>829</v>
      </c>
    </row>
    <row r="2914" spans="1:21" x14ac:dyDescent="0.35">
      <c r="A2914" t="s">
        <v>19</v>
      </c>
      <c r="B2914" t="s">
        <v>26</v>
      </c>
      <c r="C2914" s="1">
        <v>45687</v>
      </c>
      <c r="D2914">
        <f t="shared" si="208"/>
        <v>30</v>
      </c>
      <c r="E2914">
        <f t="shared" si="209"/>
        <v>1</v>
      </c>
      <c r="F2914">
        <f t="shared" si="210"/>
        <v>2025</v>
      </c>
      <c r="G2914" t="s">
        <v>73</v>
      </c>
      <c r="H2914" s="121">
        <v>12209</v>
      </c>
      <c r="I2914" s="29">
        <v>19785.669999999998</v>
      </c>
      <c r="J2914" s="12" t="s">
        <v>51</v>
      </c>
      <c r="K2914" s="76">
        <f t="shared" si="207"/>
        <v>20666.132314999999</v>
      </c>
      <c r="L2914">
        <v>1.0445</v>
      </c>
      <c r="M2914" s="29">
        <v>0</v>
      </c>
      <c r="N2914" t="s">
        <v>42</v>
      </c>
      <c r="O2914" t="s">
        <v>33</v>
      </c>
      <c r="P2914" t="s">
        <v>34</v>
      </c>
      <c r="Q2914" t="s">
        <v>34</v>
      </c>
      <c r="R2914" t="s">
        <v>34</v>
      </c>
      <c r="S2914" t="s">
        <v>34</v>
      </c>
      <c r="T2914" s="117">
        <v>0</v>
      </c>
      <c r="U2914" s="209" t="s">
        <v>94</v>
      </c>
    </row>
    <row r="2915" spans="1:21" x14ac:dyDescent="0.35">
      <c r="A2915" t="s">
        <v>19</v>
      </c>
      <c r="B2915" t="s">
        <v>26</v>
      </c>
      <c r="C2915" s="1">
        <v>45687</v>
      </c>
      <c r="D2915">
        <f t="shared" si="208"/>
        <v>30</v>
      </c>
      <c r="E2915">
        <f t="shared" si="209"/>
        <v>1</v>
      </c>
      <c r="F2915">
        <f t="shared" si="210"/>
        <v>2025</v>
      </c>
      <c r="G2915" t="s">
        <v>73</v>
      </c>
      <c r="H2915" s="121">
        <v>12210</v>
      </c>
      <c r="I2915" s="29">
        <v>91771.76</v>
      </c>
      <c r="J2915" s="12" t="s">
        <v>51</v>
      </c>
      <c r="K2915" s="76">
        <f t="shared" si="207"/>
        <v>95855.603319999995</v>
      </c>
      <c r="L2915">
        <v>1.0445</v>
      </c>
      <c r="M2915" s="29">
        <v>0</v>
      </c>
      <c r="N2915" t="s">
        <v>42</v>
      </c>
      <c r="O2915" t="s">
        <v>33</v>
      </c>
      <c r="P2915" t="s">
        <v>34</v>
      </c>
      <c r="Q2915" t="s">
        <v>34</v>
      </c>
      <c r="R2915" t="s">
        <v>34</v>
      </c>
      <c r="S2915" t="s">
        <v>34</v>
      </c>
      <c r="T2915" s="117">
        <v>0</v>
      </c>
      <c r="U2915" s="209" t="s">
        <v>94</v>
      </c>
    </row>
    <row r="2916" spans="1:21" x14ac:dyDescent="0.35">
      <c r="A2916" t="s">
        <v>19</v>
      </c>
      <c r="B2916" t="s">
        <v>26</v>
      </c>
      <c r="C2916" s="1">
        <v>45687</v>
      </c>
      <c r="D2916">
        <f t="shared" si="208"/>
        <v>30</v>
      </c>
      <c r="E2916">
        <f t="shared" si="209"/>
        <v>1</v>
      </c>
      <c r="F2916">
        <f t="shared" si="210"/>
        <v>2025</v>
      </c>
      <c r="G2916" t="s">
        <v>73</v>
      </c>
      <c r="H2916" s="121">
        <v>12217</v>
      </c>
      <c r="I2916" s="29">
        <v>49925.96</v>
      </c>
      <c r="J2916" s="12" t="s">
        <v>51</v>
      </c>
      <c r="K2916" s="76">
        <f t="shared" si="207"/>
        <v>52147.665219999995</v>
      </c>
      <c r="L2916">
        <v>1.0445</v>
      </c>
      <c r="M2916" s="29">
        <v>0</v>
      </c>
      <c r="N2916" t="s">
        <v>42</v>
      </c>
      <c r="O2916" t="s">
        <v>33</v>
      </c>
      <c r="P2916" t="s">
        <v>34</v>
      </c>
      <c r="Q2916" t="s">
        <v>34</v>
      </c>
      <c r="R2916" t="s">
        <v>34</v>
      </c>
      <c r="S2916" t="s">
        <v>34</v>
      </c>
      <c r="T2916" s="117">
        <v>0</v>
      </c>
      <c r="U2916" s="209" t="s">
        <v>94</v>
      </c>
    </row>
    <row r="2917" spans="1:21" x14ac:dyDescent="0.35">
      <c r="A2917" t="s">
        <v>19</v>
      </c>
      <c r="B2917" t="s">
        <v>26</v>
      </c>
      <c r="C2917" s="1">
        <v>45687</v>
      </c>
      <c r="D2917">
        <f t="shared" si="208"/>
        <v>30</v>
      </c>
      <c r="E2917">
        <f t="shared" si="209"/>
        <v>1</v>
      </c>
      <c r="F2917">
        <f t="shared" si="210"/>
        <v>2025</v>
      </c>
      <c r="G2917" t="s">
        <v>73</v>
      </c>
      <c r="H2917" s="121">
        <v>12221</v>
      </c>
      <c r="I2917" s="29">
        <v>25623.119999999999</v>
      </c>
      <c r="J2917" s="12" t="s">
        <v>51</v>
      </c>
      <c r="K2917" s="76">
        <f t="shared" si="207"/>
        <v>26763.348839999999</v>
      </c>
      <c r="L2917">
        <v>1.0445</v>
      </c>
      <c r="M2917" s="29">
        <v>0</v>
      </c>
      <c r="N2917" t="s">
        <v>42</v>
      </c>
      <c r="O2917" t="s">
        <v>33</v>
      </c>
      <c r="P2917" t="s">
        <v>34</v>
      </c>
      <c r="Q2917" t="s">
        <v>34</v>
      </c>
      <c r="R2917" t="s">
        <v>34</v>
      </c>
      <c r="S2917" t="s">
        <v>34</v>
      </c>
      <c r="T2917" s="117">
        <v>0</v>
      </c>
      <c r="U2917" s="209" t="s">
        <v>94</v>
      </c>
    </row>
    <row r="2918" spans="1:21" x14ac:dyDescent="0.35">
      <c r="A2918" t="s">
        <v>19</v>
      </c>
      <c r="B2918" t="s">
        <v>23</v>
      </c>
      <c r="C2918" s="1">
        <v>45693</v>
      </c>
      <c r="D2918">
        <f t="shared" si="208"/>
        <v>5</v>
      </c>
      <c r="E2918">
        <f t="shared" si="209"/>
        <v>2</v>
      </c>
      <c r="F2918">
        <f t="shared" si="210"/>
        <v>2025</v>
      </c>
      <c r="G2918" t="s">
        <v>74</v>
      </c>
      <c r="H2918" s="121">
        <v>12043</v>
      </c>
      <c r="I2918" s="29">
        <v>31770.3</v>
      </c>
      <c r="J2918" s="12" t="s">
        <v>31</v>
      </c>
      <c r="K2918" s="76">
        <f t="shared" si="207"/>
        <v>31770.3</v>
      </c>
      <c r="L2918">
        <v>1</v>
      </c>
      <c r="M2918" s="29">
        <v>0</v>
      </c>
      <c r="N2918" t="s">
        <v>32</v>
      </c>
      <c r="O2918" t="s">
        <v>33</v>
      </c>
      <c r="P2918" t="s">
        <v>34</v>
      </c>
      <c r="Q2918" t="s">
        <v>34</v>
      </c>
      <c r="R2918" t="s">
        <v>34</v>
      </c>
      <c r="S2918" t="s">
        <v>34</v>
      </c>
      <c r="T2918" s="117">
        <v>0</v>
      </c>
    </row>
    <row r="2919" spans="1:21" x14ac:dyDescent="0.35">
      <c r="A2919" t="s">
        <v>19</v>
      </c>
      <c r="B2919" t="s">
        <v>23</v>
      </c>
      <c r="C2919" s="1">
        <v>45693</v>
      </c>
      <c r="D2919">
        <f t="shared" si="208"/>
        <v>5</v>
      </c>
      <c r="E2919">
        <f t="shared" si="209"/>
        <v>2</v>
      </c>
      <c r="F2919">
        <f t="shared" si="210"/>
        <v>2025</v>
      </c>
      <c r="G2919" t="s">
        <v>77</v>
      </c>
      <c r="H2919" s="98">
        <v>12201</v>
      </c>
      <c r="I2919" s="29">
        <v>12474.9</v>
      </c>
      <c r="J2919" s="12" t="s">
        <v>31</v>
      </c>
      <c r="K2919" s="76">
        <f t="shared" si="207"/>
        <v>12474.9</v>
      </c>
      <c r="L2919">
        <v>1</v>
      </c>
      <c r="M2919" s="29">
        <v>0</v>
      </c>
      <c r="N2919" t="s">
        <v>42</v>
      </c>
      <c r="O2919" t="s">
        <v>33</v>
      </c>
      <c r="P2919" t="s">
        <v>34</v>
      </c>
      <c r="Q2919" t="s">
        <v>34</v>
      </c>
      <c r="R2919" t="s">
        <v>34</v>
      </c>
      <c r="S2919" t="s">
        <v>34</v>
      </c>
      <c r="T2919" s="117">
        <v>0</v>
      </c>
    </row>
    <row r="2920" spans="1:21" x14ac:dyDescent="0.35">
      <c r="A2920" t="s">
        <v>19</v>
      </c>
      <c r="B2920" t="s">
        <v>23</v>
      </c>
      <c r="C2920" s="1">
        <v>45693</v>
      </c>
      <c r="D2920">
        <f t="shared" si="208"/>
        <v>5</v>
      </c>
      <c r="E2920">
        <f t="shared" si="209"/>
        <v>2</v>
      </c>
      <c r="F2920">
        <f t="shared" si="210"/>
        <v>2025</v>
      </c>
      <c r="G2920" t="s">
        <v>77</v>
      </c>
      <c r="H2920" s="98">
        <v>13565</v>
      </c>
      <c r="I2920" s="29">
        <v>183.01</v>
      </c>
      <c r="J2920" s="12" t="s">
        <v>31</v>
      </c>
      <c r="K2920" s="76">
        <f t="shared" si="207"/>
        <v>183.01</v>
      </c>
      <c r="L2920">
        <v>1</v>
      </c>
      <c r="M2920" s="29">
        <v>0</v>
      </c>
      <c r="N2920" t="s">
        <v>42</v>
      </c>
      <c r="O2920" t="s">
        <v>33</v>
      </c>
      <c r="P2920" t="s">
        <v>34</v>
      </c>
      <c r="Q2920" t="s">
        <v>34</v>
      </c>
      <c r="R2920" t="s">
        <v>34</v>
      </c>
      <c r="S2920" t="s">
        <v>34</v>
      </c>
      <c r="T2920" s="117">
        <v>0</v>
      </c>
    </row>
    <row r="2921" spans="1:21" x14ac:dyDescent="0.35">
      <c r="A2921" t="s">
        <v>19</v>
      </c>
      <c r="B2921" t="s">
        <v>21</v>
      </c>
      <c r="C2921" s="1">
        <v>45693</v>
      </c>
      <c r="D2921">
        <f t="shared" si="208"/>
        <v>5</v>
      </c>
      <c r="E2921">
        <f t="shared" si="209"/>
        <v>2</v>
      </c>
      <c r="F2921">
        <f t="shared" si="210"/>
        <v>2025</v>
      </c>
      <c r="G2921" t="s">
        <v>77</v>
      </c>
      <c r="H2921" s="98">
        <v>13390</v>
      </c>
      <c r="I2921" s="29">
        <v>3138.75</v>
      </c>
      <c r="J2921" s="12" t="s">
        <v>31</v>
      </c>
      <c r="K2921" s="76">
        <f t="shared" si="207"/>
        <v>3138.75</v>
      </c>
      <c r="L2921">
        <v>1</v>
      </c>
      <c r="M2921" s="29">
        <v>0</v>
      </c>
      <c r="N2921" t="s">
        <v>42</v>
      </c>
      <c r="O2921" t="s">
        <v>33</v>
      </c>
      <c r="P2921" t="s">
        <v>34</v>
      </c>
      <c r="Q2921" t="s">
        <v>34</v>
      </c>
      <c r="R2921" t="s">
        <v>34</v>
      </c>
      <c r="S2921" t="s">
        <v>34</v>
      </c>
      <c r="T2921" s="117">
        <v>0</v>
      </c>
      <c r="U2921" s="209" t="s">
        <v>1289</v>
      </c>
    </row>
    <row r="2922" spans="1:21" x14ac:dyDescent="0.35">
      <c r="A2922" t="s">
        <v>19</v>
      </c>
      <c r="B2922" t="s">
        <v>21</v>
      </c>
      <c r="C2922" s="1">
        <v>45693</v>
      </c>
      <c r="D2922">
        <f t="shared" si="208"/>
        <v>5</v>
      </c>
      <c r="E2922">
        <f t="shared" si="209"/>
        <v>2</v>
      </c>
      <c r="F2922">
        <f t="shared" si="210"/>
        <v>2025</v>
      </c>
      <c r="G2922" t="s">
        <v>77</v>
      </c>
      <c r="H2922" s="98">
        <v>12202</v>
      </c>
      <c r="I2922" s="29">
        <v>49.8</v>
      </c>
      <c r="J2922" s="12" t="s">
        <v>31</v>
      </c>
      <c r="K2922" s="76">
        <f t="shared" si="207"/>
        <v>49.8</v>
      </c>
      <c r="L2922">
        <v>1</v>
      </c>
      <c r="M2922" s="29">
        <v>0</v>
      </c>
      <c r="N2922" t="s">
        <v>42</v>
      </c>
      <c r="O2922" t="s">
        <v>33</v>
      </c>
      <c r="P2922" t="s">
        <v>34</v>
      </c>
      <c r="Q2922" t="s">
        <v>34</v>
      </c>
      <c r="R2922" t="s">
        <v>34</v>
      </c>
      <c r="S2922" t="s">
        <v>34</v>
      </c>
      <c r="T2922" s="117">
        <v>0</v>
      </c>
    </row>
    <row r="2923" spans="1:21" x14ac:dyDescent="0.35">
      <c r="A2923" t="s">
        <v>19</v>
      </c>
      <c r="B2923" t="s">
        <v>23</v>
      </c>
      <c r="C2923" s="1">
        <v>45693</v>
      </c>
      <c r="D2923">
        <f t="shared" si="208"/>
        <v>5</v>
      </c>
      <c r="E2923">
        <f t="shared" si="209"/>
        <v>2</v>
      </c>
      <c r="F2923">
        <f t="shared" si="210"/>
        <v>2025</v>
      </c>
      <c r="G2923" t="s">
        <v>77</v>
      </c>
      <c r="H2923" s="98">
        <v>11173</v>
      </c>
      <c r="I2923" s="29">
        <v>18117.599999999999</v>
      </c>
      <c r="J2923" s="12" t="s">
        <v>31</v>
      </c>
      <c r="K2923" s="76">
        <f t="shared" si="207"/>
        <v>18117.599999999999</v>
      </c>
      <c r="L2923">
        <v>1</v>
      </c>
      <c r="M2923" s="29">
        <v>0</v>
      </c>
      <c r="N2923" t="s">
        <v>32</v>
      </c>
      <c r="O2923" t="s">
        <v>33</v>
      </c>
      <c r="P2923" t="s">
        <v>34</v>
      </c>
      <c r="Q2923" t="s">
        <v>34</v>
      </c>
      <c r="R2923" t="s">
        <v>34</v>
      </c>
      <c r="S2923" t="s">
        <v>34</v>
      </c>
      <c r="T2923" s="117">
        <v>0</v>
      </c>
    </row>
    <row r="2924" spans="1:21" x14ac:dyDescent="0.35">
      <c r="A2924" t="s">
        <v>19</v>
      </c>
      <c r="B2924" t="s">
        <v>27</v>
      </c>
      <c r="C2924" s="1">
        <v>45693</v>
      </c>
      <c r="D2924">
        <f t="shared" si="208"/>
        <v>5</v>
      </c>
      <c r="E2924">
        <f t="shared" si="209"/>
        <v>2</v>
      </c>
      <c r="F2924">
        <f t="shared" si="210"/>
        <v>2025</v>
      </c>
      <c r="G2924" t="s">
        <v>100</v>
      </c>
      <c r="H2924" s="98">
        <v>11490</v>
      </c>
      <c r="I2924" s="29">
        <v>210000</v>
      </c>
      <c r="J2924" s="12" t="s">
        <v>31</v>
      </c>
      <c r="K2924" s="76">
        <f t="shared" si="207"/>
        <v>210000</v>
      </c>
      <c r="L2924">
        <v>1</v>
      </c>
      <c r="M2924" s="29">
        <v>0</v>
      </c>
      <c r="N2924" t="s">
        <v>32</v>
      </c>
      <c r="O2924" t="s">
        <v>33</v>
      </c>
      <c r="P2924" t="s">
        <v>34</v>
      </c>
      <c r="Q2924" t="s">
        <v>34</v>
      </c>
      <c r="R2924" t="s">
        <v>34</v>
      </c>
      <c r="S2924" t="s">
        <v>34</v>
      </c>
      <c r="T2924" s="117">
        <v>0</v>
      </c>
    </row>
    <row r="2925" spans="1:21" x14ac:dyDescent="0.35">
      <c r="A2925" t="s">
        <v>19</v>
      </c>
      <c r="B2925" t="s">
        <v>21</v>
      </c>
      <c r="C2925" s="1">
        <v>45693</v>
      </c>
      <c r="D2925">
        <f t="shared" si="208"/>
        <v>5</v>
      </c>
      <c r="E2925">
        <f t="shared" si="209"/>
        <v>2</v>
      </c>
      <c r="F2925">
        <f t="shared" si="210"/>
        <v>2025</v>
      </c>
      <c r="G2925" t="s">
        <v>36</v>
      </c>
      <c r="H2925" s="98">
        <v>11515</v>
      </c>
      <c r="I2925" s="29">
        <v>55869.7</v>
      </c>
      <c r="J2925" s="12" t="s">
        <v>31</v>
      </c>
      <c r="K2925" s="76">
        <f t="shared" si="207"/>
        <v>55869.7</v>
      </c>
      <c r="L2925">
        <v>1</v>
      </c>
      <c r="M2925" s="29">
        <v>0</v>
      </c>
      <c r="N2925" t="s">
        <v>32</v>
      </c>
      <c r="O2925" t="s">
        <v>33</v>
      </c>
      <c r="P2925" t="s">
        <v>34</v>
      </c>
      <c r="Q2925" t="s">
        <v>34</v>
      </c>
      <c r="R2925" t="s">
        <v>34</v>
      </c>
      <c r="S2925" t="s">
        <v>34</v>
      </c>
      <c r="T2925" s="117">
        <v>0</v>
      </c>
    </row>
    <row r="2926" spans="1:21" x14ac:dyDescent="0.35">
      <c r="A2926" t="s">
        <v>19</v>
      </c>
      <c r="B2926" t="s">
        <v>24</v>
      </c>
      <c r="C2926" s="1">
        <v>45693</v>
      </c>
      <c r="D2926">
        <f t="shared" si="208"/>
        <v>5</v>
      </c>
      <c r="E2926">
        <f t="shared" si="209"/>
        <v>2</v>
      </c>
      <c r="F2926">
        <f t="shared" si="210"/>
        <v>2025</v>
      </c>
      <c r="G2926" t="s">
        <v>36</v>
      </c>
      <c r="H2926" s="98">
        <v>11515</v>
      </c>
      <c r="I2926" s="29">
        <v>2411.48</v>
      </c>
      <c r="J2926" s="12" t="s">
        <v>31</v>
      </c>
      <c r="K2926" s="76">
        <f t="shared" si="207"/>
        <v>2411.48</v>
      </c>
      <c r="L2926">
        <v>1</v>
      </c>
      <c r="M2926" s="29">
        <v>0</v>
      </c>
      <c r="N2926" t="s">
        <v>32</v>
      </c>
      <c r="O2926" t="s">
        <v>33</v>
      </c>
      <c r="P2926" t="s">
        <v>34</v>
      </c>
      <c r="Q2926" t="s">
        <v>34</v>
      </c>
      <c r="R2926" t="s">
        <v>34</v>
      </c>
      <c r="S2926" t="s">
        <v>34</v>
      </c>
      <c r="T2926" s="117">
        <v>0</v>
      </c>
    </row>
    <row r="2927" spans="1:21" x14ac:dyDescent="0.35">
      <c r="A2927" t="s">
        <v>19</v>
      </c>
      <c r="B2927" t="s">
        <v>25</v>
      </c>
      <c r="C2927" s="1">
        <v>45693</v>
      </c>
      <c r="D2927">
        <f t="shared" si="208"/>
        <v>5</v>
      </c>
      <c r="E2927">
        <f t="shared" si="209"/>
        <v>2</v>
      </c>
      <c r="F2927">
        <f t="shared" si="210"/>
        <v>2025</v>
      </c>
      <c r="G2927" t="s">
        <v>36</v>
      </c>
      <c r="H2927" s="98">
        <v>11515</v>
      </c>
      <c r="I2927" s="29">
        <v>51331.72</v>
      </c>
      <c r="J2927" s="12" t="s">
        <v>31</v>
      </c>
      <c r="K2927" s="76">
        <f t="shared" si="207"/>
        <v>51331.72</v>
      </c>
      <c r="L2927">
        <v>1</v>
      </c>
      <c r="M2927" s="29">
        <v>0</v>
      </c>
      <c r="N2927" t="s">
        <v>32</v>
      </c>
      <c r="O2927" t="s">
        <v>33</v>
      </c>
      <c r="P2927" t="s">
        <v>34</v>
      </c>
      <c r="Q2927" t="s">
        <v>34</v>
      </c>
      <c r="R2927" t="s">
        <v>34</v>
      </c>
      <c r="S2927" t="s">
        <v>34</v>
      </c>
      <c r="T2927" s="117">
        <v>0</v>
      </c>
    </row>
    <row r="2928" spans="1:21" x14ac:dyDescent="0.35">
      <c r="A2928" t="s">
        <v>19</v>
      </c>
      <c r="B2928" t="s">
        <v>21</v>
      </c>
      <c r="C2928" s="1">
        <v>45693</v>
      </c>
      <c r="D2928">
        <f t="shared" si="208"/>
        <v>5</v>
      </c>
      <c r="E2928">
        <f t="shared" si="209"/>
        <v>2</v>
      </c>
      <c r="F2928">
        <f t="shared" si="210"/>
        <v>2025</v>
      </c>
      <c r="G2928" t="s">
        <v>36</v>
      </c>
      <c r="H2928" s="98">
        <v>11541</v>
      </c>
      <c r="I2928" s="29">
        <v>133.80000000000001</v>
      </c>
      <c r="J2928" s="12" t="s">
        <v>31</v>
      </c>
      <c r="K2928" s="76">
        <f t="shared" si="207"/>
        <v>133.80000000000001</v>
      </c>
      <c r="L2928">
        <v>1</v>
      </c>
      <c r="M2928" s="29">
        <v>0</v>
      </c>
      <c r="N2928" t="s">
        <v>32</v>
      </c>
      <c r="O2928" t="s">
        <v>33</v>
      </c>
      <c r="P2928" t="s">
        <v>34</v>
      </c>
      <c r="Q2928" t="s">
        <v>34</v>
      </c>
      <c r="R2928" t="s">
        <v>34</v>
      </c>
      <c r="S2928" t="s">
        <v>34</v>
      </c>
      <c r="T2928" s="117">
        <v>0</v>
      </c>
    </row>
    <row r="2929" spans="1:21" x14ac:dyDescent="0.35">
      <c r="A2929" t="s">
        <v>19</v>
      </c>
      <c r="B2929" t="s">
        <v>25</v>
      </c>
      <c r="C2929" s="1">
        <v>45693</v>
      </c>
      <c r="D2929">
        <f t="shared" si="208"/>
        <v>5</v>
      </c>
      <c r="E2929">
        <f t="shared" si="209"/>
        <v>2</v>
      </c>
      <c r="F2929">
        <f t="shared" si="210"/>
        <v>2025</v>
      </c>
      <c r="G2929" t="s">
        <v>29</v>
      </c>
      <c r="H2929" s="98">
        <v>11136</v>
      </c>
      <c r="I2929" s="29">
        <v>22242.99</v>
      </c>
      <c r="J2929" s="12" t="s">
        <v>31</v>
      </c>
      <c r="K2929" s="76">
        <f t="shared" si="207"/>
        <v>22242.99</v>
      </c>
      <c r="L2929">
        <v>1</v>
      </c>
      <c r="M2929" s="29">
        <v>0</v>
      </c>
      <c r="N2929" t="s">
        <v>32</v>
      </c>
      <c r="O2929" t="s">
        <v>33</v>
      </c>
      <c r="P2929" t="s">
        <v>34</v>
      </c>
      <c r="Q2929" t="s">
        <v>34</v>
      </c>
      <c r="R2929" t="s">
        <v>34</v>
      </c>
      <c r="S2929" t="s">
        <v>34</v>
      </c>
      <c r="T2929" s="117">
        <v>0</v>
      </c>
    </row>
    <row r="2930" spans="1:21" x14ac:dyDescent="0.35">
      <c r="A2930" t="s">
        <v>20</v>
      </c>
      <c r="B2930" t="s">
        <v>25</v>
      </c>
      <c r="C2930" s="1">
        <v>45693</v>
      </c>
      <c r="D2930">
        <f t="shared" si="208"/>
        <v>5</v>
      </c>
      <c r="E2930">
        <f t="shared" si="209"/>
        <v>2</v>
      </c>
      <c r="F2930">
        <f t="shared" si="210"/>
        <v>2025</v>
      </c>
      <c r="G2930" t="s">
        <v>831</v>
      </c>
      <c r="H2930" s="98">
        <v>12187</v>
      </c>
      <c r="I2930" s="29">
        <v>525.79999999999995</v>
      </c>
      <c r="J2930" s="12" t="s">
        <v>31</v>
      </c>
      <c r="K2930" s="76">
        <f t="shared" si="207"/>
        <v>525.79999999999995</v>
      </c>
      <c r="L2930">
        <v>1</v>
      </c>
      <c r="M2930" s="29">
        <v>0</v>
      </c>
      <c r="N2930" t="s">
        <v>42</v>
      </c>
      <c r="O2930" t="s">
        <v>33</v>
      </c>
      <c r="P2930" t="s">
        <v>34</v>
      </c>
      <c r="Q2930" t="s">
        <v>34</v>
      </c>
      <c r="R2930" t="s">
        <v>34</v>
      </c>
      <c r="S2930" t="s">
        <v>34</v>
      </c>
      <c r="T2930" s="117">
        <v>0</v>
      </c>
    </row>
    <row r="2931" spans="1:21" x14ac:dyDescent="0.35">
      <c r="A2931" t="s">
        <v>20</v>
      </c>
      <c r="B2931" t="s">
        <v>21</v>
      </c>
      <c r="C2931" s="1">
        <v>45693</v>
      </c>
      <c r="D2931">
        <f t="shared" si="208"/>
        <v>5</v>
      </c>
      <c r="E2931">
        <f t="shared" si="209"/>
        <v>2</v>
      </c>
      <c r="F2931">
        <f t="shared" si="210"/>
        <v>2025</v>
      </c>
      <c r="G2931" t="s">
        <v>265</v>
      </c>
      <c r="H2931" s="98">
        <v>11219</v>
      </c>
      <c r="I2931" s="29">
        <v>5430.36</v>
      </c>
      <c r="J2931" s="12" t="s">
        <v>31</v>
      </c>
      <c r="K2931" s="76">
        <f t="shared" si="207"/>
        <v>5430.36</v>
      </c>
      <c r="L2931">
        <v>1</v>
      </c>
      <c r="M2931" s="29">
        <v>0</v>
      </c>
      <c r="N2931" t="s">
        <v>32</v>
      </c>
      <c r="O2931" t="s">
        <v>33</v>
      </c>
      <c r="P2931" t="s">
        <v>34</v>
      </c>
      <c r="Q2931" t="s">
        <v>34</v>
      </c>
      <c r="R2931" t="s">
        <v>34</v>
      </c>
      <c r="S2931" t="s">
        <v>34</v>
      </c>
      <c r="T2931" s="117">
        <v>0</v>
      </c>
    </row>
    <row r="2932" spans="1:21" x14ac:dyDescent="0.35">
      <c r="A2932" t="s">
        <v>20</v>
      </c>
      <c r="B2932" t="s">
        <v>21</v>
      </c>
      <c r="C2932" s="1">
        <v>45693</v>
      </c>
      <c r="D2932">
        <f t="shared" si="208"/>
        <v>5</v>
      </c>
      <c r="E2932">
        <f t="shared" si="209"/>
        <v>2</v>
      </c>
      <c r="F2932">
        <f t="shared" si="210"/>
        <v>2025</v>
      </c>
      <c r="G2932" t="s">
        <v>265</v>
      </c>
      <c r="H2932" s="98">
        <v>11584</v>
      </c>
      <c r="I2932" s="29">
        <v>27450.41</v>
      </c>
      <c r="J2932" s="12" t="s">
        <v>31</v>
      </c>
      <c r="K2932" s="76">
        <f t="shared" si="207"/>
        <v>27450.41</v>
      </c>
      <c r="L2932">
        <v>1</v>
      </c>
      <c r="M2932" s="29">
        <v>0</v>
      </c>
      <c r="N2932" t="s">
        <v>32</v>
      </c>
      <c r="O2932" t="s">
        <v>33</v>
      </c>
      <c r="P2932" t="s">
        <v>34</v>
      </c>
      <c r="Q2932" t="s">
        <v>34</v>
      </c>
      <c r="R2932" t="s">
        <v>34</v>
      </c>
      <c r="S2932" t="s">
        <v>34</v>
      </c>
      <c r="T2932" s="117">
        <v>0</v>
      </c>
    </row>
    <row r="2933" spans="1:21" x14ac:dyDescent="0.35">
      <c r="A2933" t="s">
        <v>20</v>
      </c>
      <c r="B2933" t="s">
        <v>21</v>
      </c>
      <c r="C2933" s="1">
        <v>45693</v>
      </c>
      <c r="D2933">
        <f t="shared" si="208"/>
        <v>5</v>
      </c>
      <c r="E2933">
        <f t="shared" si="209"/>
        <v>2</v>
      </c>
      <c r="F2933">
        <f t="shared" si="210"/>
        <v>2025</v>
      </c>
      <c r="G2933" t="s">
        <v>46</v>
      </c>
      <c r="H2933" s="98">
        <v>11519</v>
      </c>
      <c r="I2933" s="29">
        <v>10044.43</v>
      </c>
      <c r="J2933" s="12" t="s">
        <v>31</v>
      </c>
      <c r="K2933" s="76">
        <f t="shared" si="207"/>
        <v>10044.43</v>
      </c>
      <c r="L2933">
        <v>1</v>
      </c>
      <c r="M2933" s="29">
        <v>0</v>
      </c>
      <c r="N2933" t="s">
        <v>32</v>
      </c>
      <c r="O2933" t="s">
        <v>33</v>
      </c>
      <c r="P2933" t="s">
        <v>34</v>
      </c>
      <c r="Q2933" t="s">
        <v>34</v>
      </c>
      <c r="R2933" t="s">
        <v>34</v>
      </c>
      <c r="S2933" t="s">
        <v>34</v>
      </c>
      <c r="T2933" s="117">
        <v>0</v>
      </c>
    </row>
    <row r="2934" spans="1:21" x14ac:dyDescent="0.35">
      <c r="A2934" t="s">
        <v>20</v>
      </c>
      <c r="B2934" t="s">
        <v>23</v>
      </c>
      <c r="C2934" s="1">
        <v>45693</v>
      </c>
      <c r="D2934">
        <f t="shared" si="208"/>
        <v>5</v>
      </c>
      <c r="E2934">
        <f t="shared" si="209"/>
        <v>2</v>
      </c>
      <c r="F2934">
        <f t="shared" si="210"/>
        <v>2025</v>
      </c>
      <c r="G2934" t="s">
        <v>46</v>
      </c>
      <c r="H2934" s="98">
        <v>11519</v>
      </c>
      <c r="I2934" s="29">
        <v>8631.9500000000007</v>
      </c>
      <c r="J2934" s="12" t="s">
        <v>31</v>
      </c>
      <c r="K2934" s="76">
        <f t="shared" si="207"/>
        <v>8631.9500000000007</v>
      </c>
      <c r="L2934">
        <v>1</v>
      </c>
      <c r="M2934" s="29">
        <v>0</v>
      </c>
      <c r="N2934" t="s">
        <v>32</v>
      </c>
      <c r="O2934" t="s">
        <v>33</v>
      </c>
      <c r="P2934" t="s">
        <v>34</v>
      </c>
      <c r="Q2934" t="s">
        <v>34</v>
      </c>
      <c r="R2934" t="s">
        <v>34</v>
      </c>
      <c r="S2934" t="s">
        <v>34</v>
      </c>
      <c r="T2934" s="117">
        <v>0</v>
      </c>
    </row>
    <row r="2935" spans="1:21" x14ac:dyDescent="0.35">
      <c r="A2935" t="s">
        <v>20</v>
      </c>
      <c r="B2935" t="s">
        <v>25</v>
      </c>
      <c r="C2935" s="1">
        <v>45693</v>
      </c>
      <c r="D2935">
        <f t="shared" si="208"/>
        <v>5</v>
      </c>
      <c r="E2935">
        <f t="shared" si="209"/>
        <v>2</v>
      </c>
      <c r="F2935">
        <f t="shared" si="210"/>
        <v>2025</v>
      </c>
      <c r="G2935" t="s">
        <v>50</v>
      </c>
      <c r="H2935" s="98">
        <v>11507</v>
      </c>
      <c r="I2935" s="29">
        <v>9418.5</v>
      </c>
      <c r="J2935" s="12" t="s">
        <v>31</v>
      </c>
      <c r="K2935" s="76">
        <f t="shared" si="207"/>
        <v>9418.5</v>
      </c>
      <c r="L2935">
        <v>1</v>
      </c>
      <c r="M2935" s="29">
        <v>0</v>
      </c>
      <c r="N2935" t="s">
        <v>32</v>
      </c>
      <c r="O2935" t="s">
        <v>33</v>
      </c>
      <c r="P2935" t="s">
        <v>34</v>
      </c>
      <c r="Q2935" t="s">
        <v>34</v>
      </c>
      <c r="R2935" t="s">
        <v>34</v>
      </c>
      <c r="S2935" t="s">
        <v>34</v>
      </c>
      <c r="T2935" s="117">
        <v>0</v>
      </c>
    </row>
    <row r="2936" spans="1:21" x14ac:dyDescent="0.35">
      <c r="A2936" t="s">
        <v>20</v>
      </c>
      <c r="B2936" t="s">
        <v>23</v>
      </c>
      <c r="C2936" s="1">
        <v>45693</v>
      </c>
      <c r="D2936">
        <f t="shared" si="208"/>
        <v>5</v>
      </c>
      <c r="E2936">
        <f t="shared" si="209"/>
        <v>2</v>
      </c>
      <c r="F2936">
        <f t="shared" si="210"/>
        <v>2025</v>
      </c>
      <c r="G2936" t="s">
        <v>50</v>
      </c>
      <c r="H2936" s="98">
        <v>11507</v>
      </c>
      <c r="I2936" s="29">
        <v>14850</v>
      </c>
      <c r="J2936" s="12" t="s">
        <v>31</v>
      </c>
      <c r="K2936" s="76">
        <f t="shared" si="207"/>
        <v>14850</v>
      </c>
      <c r="L2936">
        <v>1</v>
      </c>
      <c r="M2936" s="29">
        <v>0</v>
      </c>
      <c r="N2936" t="s">
        <v>32</v>
      </c>
      <c r="O2936" t="s">
        <v>33</v>
      </c>
      <c r="P2936" t="s">
        <v>34</v>
      </c>
      <c r="Q2936" t="s">
        <v>34</v>
      </c>
      <c r="R2936" t="s">
        <v>34</v>
      </c>
      <c r="S2936" t="s">
        <v>34</v>
      </c>
      <c r="T2936" s="117">
        <v>0</v>
      </c>
    </row>
    <row r="2937" spans="1:21" x14ac:dyDescent="0.35">
      <c r="A2937" t="s">
        <v>20</v>
      </c>
      <c r="B2937" t="s">
        <v>21</v>
      </c>
      <c r="C2937" s="1">
        <v>45693</v>
      </c>
      <c r="D2937">
        <f t="shared" si="208"/>
        <v>5</v>
      </c>
      <c r="E2937">
        <f t="shared" si="209"/>
        <v>2</v>
      </c>
      <c r="F2937">
        <f t="shared" si="210"/>
        <v>2025</v>
      </c>
      <c r="G2937" t="s">
        <v>50</v>
      </c>
      <c r="H2937" s="98">
        <v>11920</v>
      </c>
      <c r="I2937" s="29">
        <v>1136.2</v>
      </c>
      <c r="J2937" s="12" t="s">
        <v>31</v>
      </c>
      <c r="K2937" s="76">
        <f t="shared" si="207"/>
        <v>1136.2</v>
      </c>
      <c r="L2937">
        <v>1</v>
      </c>
      <c r="M2937" s="29">
        <v>0</v>
      </c>
      <c r="N2937" t="s">
        <v>42</v>
      </c>
      <c r="O2937" t="s">
        <v>33</v>
      </c>
      <c r="P2937" t="s">
        <v>34</v>
      </c>
      <c r="Q2937" t="s">
        <v>34</v>
      </c>
      <c r="R2937" t="s">
        <v>34</v>
      </c>
      <c r="S2937" t="s">
        <v>34</v>
      </c>
      <c r="T2937" s="117">
        <v>0</v>
      </c>
      <c r="U2937" s="209" t="s">
        <v>851</v>
      </c>
    </row>
    <row r="2938" spans="1:21" x14ac:dyDescent="0.35">
      <c r="A2938" t="s">
        <v>20</v>
      </c>
      <c r="B2938" t="s">
        <v>25</v>
      </c>
      <c r="C2938" s="1">
        <v>45693</v>
      </c>
      <c r="D2938">
        <f t="shared" si="208"/>
        <v>5</v>
      </c>
      <c r="E2938">
        <f t="shared" si="209"/>
        <v>2</v>
      </c>
      <c r="F2938">
        <f t="shared" si="210"/>
        <v>2025</v>
      </c>
      <c r="G2938" t="s">
        <v>50</v>
      </c>
      <c r="H2938" s="98">
        <v>11952</v>
      </c>
      <c r="I2938" s="29">
        <v>1247</v>
      </c>
      <c r="J2938" s="12" t="s">
        <v>31</v>
      </c>
      <c r="K2938" s="76">
        <f t="shared" si="207"/>
        <v>1247</v>
      </c>
      <c r="L2938">
        <v>1</v>
      </c>
      <c r="M2938" s="29">
        <v>0</v>
      </c>
      <c r="N2938" t="s">
        <v>42</v>
      </c>
      <c r="O2938" t="s">
        <v>33</v>
      </c>
      <c r="P2938" t="s">
        <v>34</v>
      </c>
      <c r="Q2938" t="s">
        <v>34</v>
      </c>
      <c r="R2938" t="s">
        <v>34</v>
      </c>
      <c r="S2938" t="s">
        <v>34</v>
      </c>
      <c r="T2938" s="117">
        <v>0</v>
      </c>
      <c r="U2938" s="209" t="s">
        <v>918</v>
      </c>
    </row>
    <row r="2939" spans="1:21" x14ac:dyDescent="0.35">
      <c r="A2939" t="s">
        <v>20</v>
      </c>
      <c r="B2939" t="s">
        <v>24</v>
      </c>
      <c r="C2939" s="1">
        <v>45693</v>
      </c>
      <c r="D2939">
        <f t="shared" si="208"/>
        <v>5</v>
      </c>
      <c r="E2939">
        <f t="shared" si="209"/>
        <v>2</v>
      </c>
      <c r="F2939">
        <f t="shared" si="210"/>
        <v>2025</v>
      </c>
      <c r="G2939" t="s">
        <v>50</v>
      </c>
      <c r="H2939" s="98">
        <v>11952</v>
      </c>
      <c r="I2939" s="29">
        <v>3300</v>
      </c>
      <c r="J2939" s="12" t="s">
        <v>31</v>
      </c>
      <c r="K2939" s="76">
        <f t="shared" si="207"/>
        <v>3300</v>
      </c>
      <c r="L2939">
        <v>1</v>
      </c>
      <c r="M2939" s="29">
        <v>0</v>
      </c>
      <c r="N2939" t="s">
        <v>42</v>
      </c>
      <c r="O2939" t="s">
        <v>33</v>
      </c>
      <c r="P2939" t="s">
        <v>34</v>
      </c>
      <c r="Q2939" t="s">
        <v>34</v>
      </c>
      <c r="R2939" t="s">
        <v>34</v>
      </c>
      <c r="S2939" t="s">
        <v>34</v>
      </c>
      <c r="T2939" s="117">
        <v>0</v>
      </c>
    </row>
    <row r="2940" spans="1:21" x14ac:dyDescent="0.35">
      <c r="A2940" t="s">
        <v>20</v>
      </c>
      <c r="B2940" t="s">
        <v>24</v>
      </c>
      <c r="C2940" s="1">
        <v>45693</v>
      </c>
      <c r="D2940">
        <f t="shared" si="208"/>
        <v>5</v>
      </c>
      <c r="E2940">
        <f t="shared" si="209"/>
        <v>2</v>
      </c>
      <c r="F2940">
        <f t="shared" si="210"/>
        <v>2025</v>
      </c>
      <c r="G2940" t="s">
        <v>50</v>
      </c>
      <c r="H2940" s="98">
        <v>11930</v>
      </c>
      <c r="I2940" s="29">
        <v>4667</v>
      </c>
      <c r="J2940" s="12" t="s">
        <v>31</v>
      </c>
      <c r="K2940" s="76">
        <f t="shared" si="207"/>
        <v>4667</v>
      </c>
      <c r="L2940">
        <v>1</v>
      </c>
      <c r="M2940" s="29">
        <v>0</v>
      </c>
      <c r="N2940" t="s">
        <v>42</v>
      </c>
      <c r="O2940" t="s">
        <v>33</v>
      </c>
      <c r="P2940" t="s">
        <v>34</v>
      </c>
      <c r="Q2940" t="s">
        <v>34</v>
      </c>
      <c r="R2940" t="s">
        <v>34</v>
      </c>
      <c r="S2940" t="s">
        <v>34</v>
      </c>
      <c r="T2940" s="117">
        <v>0</v>
      </c>
    </row>
    <row r="2941" spans="1:21" x14ac:dyDescent="0.35">
      <c r="A2941" t="s">
        <v>20</v>
      </c>
      <c r="B2941" t="s">
        <v>21</v>
      </c>
      <c r="C2941" s="1">
        <v>45693</v>
      </c>
      <c r="D2941">
        <f t="shared" si="208"/>
        <v>5</v>
      </c>
      <c r="E2941">
        <f t="shared" si="209"/>
        <v>2</v>
      </c>
      <c r="F2941">
        <f t="shared" si="210"/>
        <v>2025</v>
      </c>
      <c r="G2941" t="s">
        <v>82</v>
      </c>
      <c r="H2941" s="98">
        <v>11589</v>
      </c>
      <c r="I2941" s="29">
        <v>4006.69</v>
      </c>
      <c r="J2941" s="12" t="s">
        <v>31</v>
      </c>
      <c r="K2941" s="76">
        <f t="shared" si="207"/>
        <v>4006.69</v>
      </c>
      <c r="L2941">
        <v>1</v>
      </c>
      <c r="M2941" s="29">
        <v>0</v>
      </c>
      <c r="N2941" t="s">
        <v>32</v>
      </c>
      <c r="O2941" t="s">
        <v>33</v>
      </c>
      <c r="P2941" t="s">
        <v>34</v>
      </c>
      <c r="Q2941" t="s">
        <v>34</v>
      </c>
      <c r="R2941" t="s">
        <v>34</v>
      </c>
      <c r="S2941" t="s">
        <v>34</v>
      </c>
      <c r="T2941" s="117">
        <v>0</v>
      </c>
    </row>
    <row r="2942" spans="1:21" x14ac:dyDescent="0.35">
      <c r="A2942" t="s">
        <v>20</v>
      </c>
      <c r="B2942" t="s">
        <v>21</v>
      </c>
      <c r="C2942" s="1">
        <v>45693</v>
      </c>
      <c r="D2942">
        <f t="shared" si="208"/>
        <v>5</v>
      </c>
      <c r="E2942">
        <f t="shared" si="209"/>
        <v>2</v>
      </c>
      <c r="F2942">
        <f t="shared" si="210"/>
        <v>2025</v>
      </c>
      <c r="G2942" t="s">
        <v>90</v>
      </c>
      <c r="H2942" s="98">
        <v>11590</v>
      </c>
      <c r="I2942" s="29">
        <v>2189.1</v>
      </c>
      <c r="J2942" s="12" t="s">
        <v>31</v>
      </c>
      <c r="K2942" s="76">
        <f t="shared" si="207"/>
        <v>2189.1</v>
      </c>
      <c r="L2942">
        <v>1</v>
      </c>
      <c r="M2942" s="29">
        <v>0</v>
      </c>
      <c r="N2942" t="s">
        <v>32</v>
      </c>
      <c r="O2942" t="s">
        <v>33</v>
      </c>
      <c r="P2942" t="s">
        <v>34</v>
      </c>
      <c r="Q2942" t="s">
        <v>34</v>
      </c>
      <c r="R2942" t="s">
        <v>34</v>
      </c>
      <c r="S2942" t="s">
        <v>34</v>
      </c>
      <c r="T2942" s="117">
        <v>0</v>
      </c>
    </row>
    <row r="2943" spans="1:21" x14ac:dyDescent="0.35">
      <c r="A2943" t="s">
        <v>20</v>
      </c>
      <c r="B2943" t="s">
        <v>23</v>
      </c>
      <c r="C2943" s="1">
        <v>45693</v>
      </c>
      <c r="D2943">
        <f t="shared" si="208"/>
        <v>5</v>
      </c>
      <c r="E2943">
        <f t="shared" si="209"/>
        <v>2</v>
      </c>
      <c r="F2943">
        <f t="shared" si="210"/>
        <v>2025</v>
      </c>
      <c r="G2943" t="s">
        <v>90</v>
      </c>
      <c r="H2943" s="98">
        <v>11590</v>
      </c>
      <c r="I2943" s="29">
        <v>2939.4</v>
      </c>
      <c r="J2943" s="12" t="s">
        <v>31</v>
      </c>
      <c r="K2943" s="76">
        <f t="shared" si="207"/>
        <v>2939.4</v>
      </c>
      <c r="L2943">
        <v>1</v>
      </c>
      <c r="M2943" s="29">
        <v>0</v>
      </c>
      <c r="N2943" t="s">
        <v>32</v>
      </c>
      <c r="O2943" t="s">
        <v>33</v>
      </c>
      <c r="P2943" t="s">
        <v>34</v>
      </c>
      <c r="Q2943" t="s">
        <v>34</v>
      </c>
      <c r="R2943" t="s">
        <v>34</v>
      </c>
      <c r="S2943" t="s">
        <v>34</v>
      </c>
      <c r="T2943" s="117">
        <v>0</v>
      </c>
    </row>
    <row r="2944" spans="1:21" x14ac:dyDescent="0.35">
      <c r="A2944" t="s">
        <v>20</v>
      </c>
      <c r="B2944" t="s">
        <v>24</v>
      </c>
      <c r="C2944" s="1">
        <v>45693</v>
      </c>
      <c r="D2944">
        <f t="shared" si="208"/>
        <v>5</v>
      </c>
      <c r="E2944">
        <f t="shared" si="209"/>
        <v>2</v>
      </c>
      <c r="F2944">
        <f t="shared" si="210"/>
        <v>2025</v>
      </c>
      <c r="G2944" t="s">
        <v>45</v>
      </c>
      <c r="H2944" s="98">
        <v>11798</v>
      </c>
      <c r="I2944" s="29">
        <v>61.8</v>
      </c>
      <c r="J2944" s="12" t="s">
        <v>31</v>
      </c>
      <c r="K2944" s="76">
        <f t="shared" si="207"/>
        <v>61.8</v>
      </c>
      <c r="L2944">
        <v>1</v>
      </c>
      <c r="M2944" s="29">
        <v>0</v>
      </c>
      <c r="N2944" t="s">
        <v>32</v>
      </c>
      <c r="O2944" t="s">
        <v>33</v>
      </c>
      <c r="P2944" t="s">
        <v>34</v>
      </c>
      <c r="Q2944" t="s">
        <v>34</v>
      </c>
      <c r="R2944" t="s">
        <v>34</v>
      </c>
      <c r="S2944" t="s">
        <v>34</v>
      </c>
      <c r="T2944" s="117">
        <v>0</v>
      </c>
    </row>
    <row r="2945" spans="1:20" x14ac:dyDescent="0.35">
      <c r="A2945" t="s">
        <v>20</v>
      </c>
      <c r="B2945" t="s">
        <v>24</v>
      </c>
      <c r="C2945" s="1">
        <v>45693</v>
      </c>
      <c r="D2945">
        <f t="shared" si="208"/>
        <v>5</v>
      </c>
      <c r="E2945">
        <f t="shared" si="209"/>
        <v>2</v>
      </c>
      <c r="F2945">
        <f t="shared" si="210"/>
        <v>2025</v>
      </c>
      <c r="G2945" t="s">
        <v>45</v>
      </c>
      <c r="H2945" s="98">
        <v>11083</v>
      </c>
      <c r="I2945" s="29">
        <v>20958.66</v>
      </c>
      <c r="J2945" s="12" t="s">
        <v>31</v>
      </c>
      <c r="K2945" s="76">
        <f t="shared" si="207"/>
        <v>20958.66</v>
      </c>
      <c r="L2945">
        <v>1</v>
      </c>
      <c r="M2945" s="29">
        <v>0</v>
      </c>
      <c r="N2945" t="s">
        <v>32</v>
      </c>
      <c r="O2945" t="s">
        <v>33</v>
      </c>
      <c r="P2945" t="s">
        <v>34</v>
      </c>
      <c r="Q2945" t="s">
        <v>34</v>
      </c>
      <c r="R2945" t="s">
        <v>34</v>
      </c>
      <c r="S2945" t="s">
        <v>34</v>
      </c>
      <c r="T2945" s="117">
        <v>0</v>
      </c>
    </row>
    <row r="2946" spans="1:20" x14ac:dyDescent="0.35">
      <c r="A2946" t="s">
        <v>20</v>
      </c>
      <c r="B2946" t="s">
        <v>21</v>
      </c>
      <c r="C2946" s="1">
        <v>45693</v>
      </c>
      <c r="D2946">
        <f t="shared" si="208"/>
        <v>5</v>
      </c>
      <c r="E2946">
        <f t="shared" si="209"/>
        <v>2</v>
      </c>
      <c r="F2946">
        <f t="shared" si="210"/>
        <v>2025</v>
      </c>
      <c r="G2946" t="s">
        <v>45</v>
      </c>
      <c r="H2946" s="98">
        <v>11083</v>
      </c>
      <c r="I2946" s="29">
        <v>82412.399999999994</v>
      </c>
      <c r="J2946" s="12" t="s">
        <v>31</v>
      </c>
      <c r="K2946" s="76">
        <f t="shared" ref="K2946:K3009" si="211">IF(J2946="USD",I2946,I2946*L2946)</f>
        <v>82412.399999999994</v>
      </c>
      <c r="L2946">
        <v>1</v>
      </c>
      <c r="M2946" s="29">
        <v>0</v>
      </c>
      <c r="N2946" t="s">
        <v>32</v>
      </c>
      <c r="O2946" t="s">
        <v>33</v>
      </c>
      <c r="P2946" t="s">
        <v>34</v>
      </c>
      <c r="Q2946" t="s">
        <v>34</v>
      </c>
      <c r="R2946" t="s">
        <v>34</v>
      </c>
      <c r="S2946" t="s">
        <v>34</v>
      </c>
      <c r="T2946" s="117">
        <v>0</v>
      </c>
    </row>
    <row r="2947" spans="1:20" x14ac:dyDescent="0.35">
      <c r="A2947" t="s">
        <v>20</v>
      </c>
      <c r="B2947" t="s">
        <v>25</v>
      </c>
      <c r="C2947" s="1">
        <v>45693</v>
      </c>
      <c r="D2947">
        <f t="shared" ref="D2947:D3010" si="212">DAY(C2947)</f>
        <v>5</v>
      </c>
      <c r="E2947">
        <f t="shared" ref="E2947:E3010" si="213">MONTH(C2947)</f>
        <v>2</v>
      </c>
      <c r="F2947">
        <f t="shared" ref="F2947:F3010" si="214">YEAR(C2947)</f>
        <v>2025</v>
      </c>
      <c r="G2947" t="s">
        <v>45</v>
      </c>
      <c r="H2947" s="98">
        <v>11083</v>
      </c>
      <c r="I2947" s="29">
        <v>49064.3</v>
      </c>
      <c r="J2947" s="12" t="s">
        <v>31</v>
      </c>
      <c r="K2947" s="76">
        <f t="shared" si="211"/>
        <v>49064.3</v>
      </c>
      <c r="L2947">
        <v>1</v>
      </c>
      <c r="M2947" s="29">
        <v>0</v>
      </c>
      <c r="N2947" t="s">
        <v>32</v>
      </c>
      <c r="O2947" t="s">
        <v>33</v>
      </c>
      <c r="P2947" t="s">
        <v>34</v>
      </c>
      <c r="Q2947" t="s">
        <v>34</v>
      </c>
      <c r="R2947" t="s">
        <v>34</v>
      </c>
      <c r="S2947" t="s">
        <v>34</v>
      </c>
      <c r="T2947" s="117">
        <v>0</v>
      </c>
    </row>
    <row r="2948" spans="1:20" x14ac:dyDescent="0.35">
      <c r="A2948" t="s">
        <v>20</v>
      </c>
      <c r="B2948" t="s">
        <v>21</v>
      </c>
      <c r="C2948" s="1">
        <v>45693</v>
      </c>
      <c r="D2948">
        <f t="shared" si="212"/>
        <v>5</v>
      </c>
      <c r="E2948">
        <f t="shared" si="213"/>
        <v>2</v>
      </c>
      <c r="F2948">
        <f t="shared" si="214"/>
        <v>2025</v>
      </c>
      <c r="G2948" t="s">
        <v>45</v>
      </c>
      <c r="H2948" s="98">
        <v>11510</v>
      </c>
      <c r="I2948" s="29">
        <v>60.8</v>
      </c>
      <c r="J2948" s="12" t="s">
        <v>31</v>
      </c>
      <c r="K2948" s="76">
        <f t="shared" si="211"/>
        <v>60.8</v>
      </c>
      <c r="L2948">
        <v>1</v>
      </c>
      <c r="M2948" s="29">
        <v>0</v>
      </c>
      <c r="N2948" t="s">
        <v>32</v>
      </c>
      <c r="O2948" t="s">
        <v>33</v>
      </c>
      <c r="P2948" t="s">
        <v>34</v>
      </c>
      <c r="Q2948" t="s">
        <v>34</v>
      </c>
      <c r="R2948" t="s">
        <v>34</v>
      </c>
      <c r="S2948" t="s">
        <v>34</v>
      </c>
      <c r="T2948" s="117">
        <v>0</v>
      </c>
    </row>
    <row r="2949" spans="1:20" x14ac:dyDescent="0.35">
      <c r="A2949" t="s">
        <v>20</v>
      </c>
      <c r="B2949" t="s">
        <v>25</v>
      </c>
      <c r="C2949" s="1">
        <v>45693</v>
      </c>
      <c r="D2949">
        <f t="shared" si="212"/>
        <v>5</v>
      </c>
      <c r="E2949">
        <f t="shared" si="213"/>
        <v>2</v>
      </c>
      <c r="F2949">
        <f t="shared" si="214"/>
        <v>2025</v>
      </c>
      <c r="G2949" t="s">
        <v>45</v>
      </c>
      <c r="H2949" s="98">
        <v>12010</v>
      </c>
      <c r="I2949" s="29">
        <v>69.8</v>
      </c>
      <c r="J2949" s="12" t="s">
        <v>31</v>
      </c>
      <c r="K2949" s="76">
        <f t="shared" si="211"/>
        <v>69.8</v>
      </c>
      <c r="L2949">
        <v>1</v>
      </c>
      <c r="M2949" s="29">
        <v>0</v>
      </c>
      <c r="N2949" t="s">
        <v>32</v>
      </c>
      <c r="O2949" t="s">
        <v>33</v>
      </c>
      <c r="P2949" t="s">
        <v>34</v>
      </c>
      <c r="Q2949" t="s">
        <v>34</v>
      </c>
      <c r="R2949" t="s">
        <v>34</v>
      </c>
      <c r="S2949" t="s">
        <v>34</v>
      </c>
      <c r="T2949" s="117">
        <v>0</v>
      </c>
    </row>
    <row r="2950" spans="1:20" x14ac:dyDescent="0.35">
      <c r="A2950" t="s">
        <v>20</v>
      </c>
      <c r="B2950" t="s">
        <v>21</v>
      </c>
      <c r="C2950" s="1">
        <v>45693</v>
      </c>
      <c r="D2950">
        <f t="shared" si="212"/>
        <v>5</v>
      </c>
      <c r="E2950">
        <f t="shared" si="213"/>
        <v>2</v>
      </c>
      <c r="F2950">
        <f t="shared" si="214"/>
        <v>2025</v>
      </c>
      <c r="G2950" t="s">
        <v>45</v>
      </c>
      <c r="H2950" s="98">
        <v>11814</v>
      </c>
      <c r="I2950" s="29">
        <v>301.60000000000002</v>
      </c>
      <c r="J2950" s="12" t="s">
        <v>31</v>
      </c>
      <c r="K2950" s="76">
        <f t="shared" si="211"/>
        <v>301.60000000000002</v>
      </c>
      <c r="L2950">
        <v>1</v>
      </c>
      <c r="M2950" s="29">
        <v>0</v>
      </c>
      <c r="N2950" t="s">
        <v>32</v>
      </c>
      <c r="O2950" t="s">
        <v>33</v>
      </c>
      <c r="P2950" t="s">
        <v>34</v>
      </c>
      <c r="Q2950" t="s">
        <v>34</v>
      </c>
      <c r="R2950" t="s">
        <v>34</v>
      </c>
      <c r="S2950" t="s">
        <v>34</v>
      </c>
      <c r="T2950" s="117">
        <v>0</v>
      </c>
    </row>
    <row r="2951" spans="1:20" x14ac:dyDescent="0.35">
      <c r="A2951" t="s">
        <v>20</v>
      </c>
      <c r="B2951" t="s">
        <v>24</v>
      </c>
      <c r="C2951" s="1">
        <v>45693</v>
      </c>
      <c r="D2951">
        <f t="shared" si="212"/>
        <v>5</v>
      </c>
      <c r="E2951">
        <f t="shared" si="213"/>
        <v>2</v>
      </c>
      <c r="F2951">
        <f t="shared" si="214"/>
        <v>2025</v>
      </c>
      <c r="G2951" t="s">
        <v>45</v>
      </c>
      <c r="H2951" s="98">
        <v>11814</v>
      </c>
      <c r="I2951" s="29">
        <v>918.4</v>
      </c>
      <c r="J2951" s="12" t="s">
        <v>31</v>
      </c>
      <c r="K2951" s="76">
        <f t="shared" si="211"/>
        <v>918.4</v>
      </c>
      <c r="L2951">
        <v>1</v>
      </c>
      <c r="M2951" s="29">
        <v>0</v>
      </c>
      <c r="N2951" t="s">
        <v>32</v>
      </c>
      <c r="O2951" t="s">
        <v>33</v>
      </c>
      <c r="P2951" t="s">
        <v>34</v>
      </c>
      <c r="Q2951" t="s">
        <v>34</v>
      </c>
      <c r="R2951" t="s">
        <v>34</v>
      </c>
      <c r="S2951" t="s">
        <v>34</v>
      </c>
      <c r="T2951" s="117">
        <v>0</v>
      </c>
    </row>
    <row r="2952" spans="1:20" x14ac:dyDescent="0.35">
      <c r="A2952" t="s">
        <v>20</v>
      </c>
      <c r="B2952" t="s">
        <v>25</v>
      </c>
      <c r="C2952" s="1">
        <v>45693</v>
      </c>
      <c r="D2952">
        <f t="shared" si="212"/>
        <v>5</v>
      </c>
      <c r="E2952">
        <f t="shared" si="213"/>
        <v>2</v>
      </c>
      <c r="F2952">
        <f t="shared" si="214"/>
        <v>2025</v>
      </c>
      <c r="G2952" t="s">
        <v>45</v>
      </c>
      <c r="H2952" s="98">
        <v>11814</v>
      </c>
      <c r="I2952" s="29">
        <v>715</v>
      </c>
      <c r="J2952" s="12" t="s">
        <v>31</v>
      </c>
      <c r="K2952" s="76">
        <f t="shared" si="211"/>
        <v>715</v>
      </c>
      <c r="L2952">
        <v>1</v>
      </c>
      <c r="M2952" s="29">
        <v>0</v>
      </c>
      <c r="N2952" t="s">
        <v>32</v>
      </c>
      <c r="O2952" t="s">
        <v>33</v>
      </c>
      <c r="P2952" t="s">
        <v>34</v>
      </c>
      <c r="Q2952" t="s">
        <v>34</v>
      </c>
      <c r="R2952" t="s">
        <v>34</v>
      </c>
      <c r="S2952" t="s">
        <v>34</v>
      </c>
      <c r="T2952" s="117">
        <v>0</v>
      </c>
    </row>
    <row r="2953" spans="1:20" x14ac:dyDescent="0.35">
      <c r="A2953" t="s">
        <v>20</v>
      </c>
      <c r="B2953" t="s">
        <v>23</v>
      </c>
      <c r="C2953" s="1">
        <v>45693</v>
      </c>
      <c r="D2953">
        <f t="shared" si="212"/>
        <v>5</v>
      </c>
      <c r="E2953">
        <f t="shared" si="213"/>
        <v>2</v>
      </c>
      <c r="F2953">
        <f t="shared" si="214"/>
        <v>2025</v>
      </c>
      <c r="G2953" t="s">
        <v>483</v>
      </c>
      <c r="H2953" s="98">
        <v>12000</v>
      </c>
      <c r="I2953" s="29">
        <v>249.65</v>
      </c>
      <c r="J2953" s="12" t="s">
        <v>31</v>
      </c>
      <c r="K2953" s="76">
        <f t="shared" si="211"/>
        <v>249.65</v>
      </c>
      <c r="L2953">
        <v>1</v>
      </c>
      <c r="M2953" s="29">
        <v>0</v>
      </c>
      <c r="N2953" t="s">
        <v>32</v>
      </c>
      <c r="O2953" t="s">
        <v>33</v>
      </c>
      <c r="P2953" t="s">
        <v>34</v>
      </c>
      <c r="Q2953" t="s">
        <v>34</v>
      </c>
      <c r="R2953" t="s">
        <v>34</v>
      </c>
      <c r="S2953" t="s">
        <v>34</v>
      </c>
      <c r="T2953" s="117">
        <v>0</v>
      </c>
    </row>
    <row r="2954" spans="1:20" x14ac:dyDescent="0.35">
      <c r="A2954" t="s">
        <v>20</v>
      </c>
      <c r="B2954" t="s">
        <v>23</v>
      </c>
      <c r="C2954" s="1">
        <v>45693</v>
      </c>
      <c r="D2954">
        <f t="shared" si="212"/>
        <v>5</v>
      </c>
      <c r="E2954">
        <f t="shared" si="213"/>
        <v>2</v>
      </c>
      <c r="F2954">
        <f t="shared" si="214"/>
        <v>2025</v>
      </c>
      <c r="G2954" t="s">
        <v>483</v>
      </c>
      <c r="H2954" s="98">
        <v>12001</v>
      </c>
      <c r="I2954" s="29">
        <v>10939.35</v>
      </c>
      <c r="J2954" s="12" t="s">
        <v>31</v>
      </c>
      <c r="K2954" s="76">
        <f t="shared" si="211"/>
        <v>10939.35</v>
      </c>
      <c r="L2954">
        <v>1</v>
      </c>
      <c r="M2954" s="29">
        <v>0</v>
      </c>
      <c r="N2954" t="s">
        <v>42</v>
      </c>
      <c r="O2954" t="s">
        <v>33</v>
      </c>
      <c r="P2954" t="s">
        <v>34</v>
      </c>
      <c r="Q2954" t="s">
        <v>34</v>
      </c>
      <c r="R2954" t="s">
        <v>34</v>
      </c>
      <c r="S2954" t="s">
        <v>34</v>
      </c>
      <c r="T2954" s="117">
        <v>0</v>
      </c>
    </row>
    <row r="2955" spans="1:20" x14ac:dyDescent="0.35">
      <c r="A2955" t="s">
        <v>20</v>
      </c>
      <c r="B2955" t="s">
        <v>21</v>
      </c>
      <c r="C2955" s="1">
        <v>45693</v>
      </c>
      <c r="D2955">
        <f t="shared" si="212"/>
        <v>5</v>
      </c>
      <c r="E2955">
        <f t="shared" si="213"/>
        <v>2</v>
      </c>
      <c r="F2955">
        <f t="shared" si="214"/>
        <v>2025</v>
      </c>
      <c r="G2955" t="s">
        <v>299</v>
      </c>
      <c r="H2955" s="98">
        <v>11262</v>
      </c>
      <c r="I2955" s="29">
        <v>10282.85</v>
      </c>
      <c r="J2955" s="12" t="s">
        <v>31</v>
      </c>
      <c r="K2955" s="76">
        <f t="shared" si="211"/>
        <v>10282.85</v>
      </c>
      <c r="L2955">
        <v>1</v>
      </c>
      <c r="M2955" s="29">
        <v>0</v>
      </c>
      <c r="N2955" t="s">
        <v>32</v>
      </c>
      <c r="O2955" t="s">
        <v>33</v>
      </c>
      <c r="P2955" t="s">
        <v>34</v>
      </c>
      <c r="Q2955" t="s">
        <v>34</v>
      </c>
      <c r="R2955" t="s">
        <v>34</v>
      </c>
      <c r="S2955" t="s">
        <v>34</v>
      </c>
      <c r="T2955" s="117">
        <v>0</v>
      </c>
    </row>
    <row r="2956" spans="1:20" x14ac:dyDescent="0.35">
      <c r="A2956" t="s">
        <v>20</v>
      </c>
      <c r="B2956" t="s">
        <v>24</v>
      </c>
      <c r="C2956" s="1">
        <v>45693</v>
      </c>
      <c r="D2956">
        <f t="shared" si="212"/>
        <v>5</v>
      </c>
      <c r="E2956">
        <f t="shared" si="213"/>
        <v>2</v>
      </c>
      <c r="F2956">
        <f t="shared" si="214"/>
        <v>2025</v>
      </c>
      <c r="G2956" t="s">
        <v>202</v>
      </c>
      <c r="H2956" s="98">
        <v>11462</v>
      </c>
      <c r="I2956" s="29">
        <v>54249.86</v>
      </c>
      <c r="J2956" s="12" t="s">
        <v>31</v>
      </c>
      <c r="K2956" s="76">
        <f t="shared" si="211"/>
        <v>54249.86</v>
      </c>
      <c r="L2956">
        <v>1</v>
      </c>
      <c r="M2956" s="29">
        <v>0</v>
      </c>
      <c r="N2956" t="s">
        <v>32</v>
      </c>
      <c r="O2956" t="s">
        <v>33</v>
      </c>
      <c r="P2956" t="s">
        <v>34</v>
      </c>
      <c r="Q2956" t="s">
        <v>34</v>
      </c>
      <c r="R2956" t="s">
        <v>34</v>
      </c>
      <c r="S2956" t="s">
        <v>34</v>
      </c>
      <c r="T2956" s="117">
        <v>0</v>
      </c>
    </row>
    <row r="2957" spans="1:20" x14ac:dyDescent="0.35">
      <c r="A2957" t="s">
        <v>20</v>
      </c>
      <c r="B2957" t="s">
        <v>25</v>
      </c>
      <c r="C2957" s="1">
        <v>45693</v>
      </c>
      <c r="D2957">
        <f t="shared" si="212"/>
        <v>5</v>
      </c>
      <c r="E2957">
        <f t="shared" si="213"/>
        <v>2</v>
      </c>
      <c r="F2957">
        <f t="shared" si="214"/>
        <v>2025</v>
      </c>
      <c r="G2957" t="s">
        <v>84</v>
      </c>
      <c r="H2957" s="98">
        <v>11741</v>
      </c>
      <c r="I2957" s="29">
        <v>85804.25</v>
      </c>
      <c r="J2957" s="12" t="s">
        <v>31</v>
      </c>
      <c r="K2957" s="76">
        <f t="shared" si="211"/>
        <v>85804.25</v>
      </c>
      <c r="L2957">
        <v>1</v>
      </c>
      <c r="M2957" s="29">
        <v>0</v>
      </c>
      <c r="N2957" t="s">
        <v>32</v>
      </c>
      <c r="O2957" t="s">
        <v>33</v>
      </c>
      <c r="P2957" t="s">
        <v>34</v>
      </c>
      <c r="Q2957" t="s">
        <v>34</v>
      </c>
      <c r="R2957" t="s">
        <v>34</v>
      </c>
      <c r="S2957" t="s">
        <v>34</v>
      </c>
      <c r="T2957" s="117">
        <v>0</v>
      </c>
    </row>
    <row r="2958" spans="1:20" x14ac:dyDescent="0.35">
      <c r="A2958" t="s">
        <v>20</v>
      </c>
      <c r="B2958" t="s">
        <v>24</v>
      </c>
      <c r="C2958" s="1">
        <v>45693</v>
      </c>
      <c r="D2958">
        <f t="shared" si="212"/>
        <v>5</v>
      </c>
      <c r="E2958">
        <f t="shared" si="213"/>
        <v>2</v>
      </c>
      <c r="F2958">
        <f t="shared" si="214"/>
        <v>2025</v>
      </c>
      <c r="G2958" t="s">
        <v>81</v>
      </c>
      <c r="H2958" s="98">
        <v>11607</v>
      </c>
      <c r="I2958" s="29">
        <v>391.86</v>
      </c>
      <c r="J2958" s="12" t="s">
        <v>31</v>
      </c>
      <c r="K2958" s="76">
        <f t="shared" si="211"/>
        <v>391.86</v>
      </c>
      <c r="L2958">
        <v>1</v>
      </c>
      <c r="M2958" s="29">
        <v>0</v>
      </c>
      <c r="N2958" t="s">
        <v>32</v>
      </c>
      <c r="O2958" t="s">
        <v>33</v>
      </c>
      <c r="P2958" t="s">
        <v>34</v>
      </c>
      <c r="Q2958" t="s">
        <v>34</v>
      </c>
      <c r="R2958" t="s">
        <v>34</v>
      </c>
      <c r="S2958" t="s">
        <v>34</v>
      </c>
      <c r="T2958" s="117">
        <v>0</v>
      </c>
    </row>
    <row r="2959" spans="1:20" x14ac:dyDescent="0.35">
      <c r="A2959" t="s">
        <v>20</v>
      </c>
      <c r="B2959" t="s">
        <v>223</v>
      </c>
      <c r="C2959" s="1">
        <v>45693</v>
      </c>
      <c r="D2959">
        <f t="shared" si="212"/>
        <v>5</v>
      </c>
      <c r="E2959">
        <f t="shared" si="213"/>
        <v>2</v>
      </c>
      <c r="F2959">
        <f t="shared" si="214"/>
        <v>2025</v>
      </c>
      <c r="G2959" t="s">
        <v>223</v>
      </c>
      <c r="H2959" s="98">
        <v>11987</v>
      </c>
      <c r="I2959" s="29">
        <v>13057.06</v>
      </c>
      <c r="J2959" s="12" t="s">
        <v>51</v>
      </c>
      <c r="K2959" s="76">
        <f t="shared" si="211"/>
        <v>13672.034468939999</v>
      </c>
      <c r="L2959">
        <v>1.047099</v>
      </c>
      <c r="M2959" s="29">
        <v>0</v>
      </c>
      <c r="N2959" t="s">
        <v>32</v>
      </c>
      <c r="O2959" t="s">
        <v>33</v>
      </c>
      <c r="P2959" t="s">
        <v>34</v>
      </c>
      <c r="Q2959" t="s">
        <v>34</v>
      </c>
      <c r="R2959" t="s">
        <v>34</v>
      </c>
      <c r="S2959" t="s">
        <v>34</v>
      </c>
      <c r="T2959" s="117">
        <v>0</v>
      </c>
    </row>
    <row r="2960" spans="1:20" x14ac:dyDescent="0.35">
      <c r="A2960" t="s">
        <v>19</v>
      </c>
      <c r="B2960" t="s">
        <v>19</v>
      </c>
      <c r="C2960" s="1">
        <v>45693</v>
      </c>
      <c r="D2960">
        <f t="shared" si="212"/>
        <v>5</v>
      </c>
      <c r="E2960">
        <f t="shared" si="213"/>
        <v>2</v>
      </c>
      <c r="F2960">
        <f t="shared" si="214"/>
        <v>2025</v>
      </c>
      <c r="G2960" t="s">
        <v>90</v>
      </c>
      <c r="H2960" s="98" t="s">
        <v>864</v>
      </c>
      <c r="I2960" s="29">
        <v>162169.93</v>
      </c>
      <c r="J2960" s="12" t="s">
        <v>31</v>
      </c>
      <c r="K2960" s="76">
        <f t="shared" si="211"/>
        <v>162169.93</v>
      </c>
      <c r="L2960">
        <v>1</v>
      </c>
      <c r="M2960" s="29">
        <v>0</v>
      </c>
      <c r="N2960" t="s">
        <v>32</v>
      </c>
      <c r="O2960" t="s">
        <v>33</v>
      </c>
      <c r="P2960" t="s">
        <v>34</v>
      </c>
      <c r="Q2960" t="s">
        <v>34</v>
      </c>
      <c r="R2960" t="s">
        <v>34</v>
      </c>
      <c r="S2960" t="s">
        <v>34</v>
      </c>
      <c r="T2960" s="117">
        <v>0</v>
      </c>
    </row>
    <row r="2961" spans="1:21" x14ac:dyDescent="0.35">
      <c r="A2961" t="s">
        <v>19</v>
      </c>
      <c r="B2961" t="s">
        <v>19</v>
      </c>
      <c r="C2961" s="1">
        <v>45693</v>
      </c>
      <c r="D2961">
        <f t="shared" si="212"/>
        <v>5</v>
      </c>
      <c r="E2961">
        <f t="shared" si="213"/>
        <v>2</v>
      </c>
      <c r="F2961">
        <f t="shared" si="214"/>
        <v>2025</v>
      </c>
      <c r="G2961" t="s">
        <v>91</v>
      </c>
      <c r="H2961" s="98" t="s">
        <v>865</v>
      </c>
      <c r="I2961" s="29">
        <v>106023.35</v>
      </c>
      <c r="J2961" s="12" t="s">
        <v>31</v>
      </c>
      <c r="K2961" s="76">
        <f t="shared" si="211"/>
        <v>106023.35</v>
      </c>
      <c r="L2961">
        <v>1</v>
      </c>
      <c r="M2961" s="29">
        <v>0</v>
      </c>
      <c r="N2961" t="s">
        <v>32</v>
      </c>
      <c r="O2961" t="s">
        <v>33</v>
      </c>
      <c r="P2961" t="s">
        <v>34</v>
      </c>
      <c r="Q2961" t="s">
        <v>34</v>
      </c>
      <c r="R2961" t="s">
        <v>34</v>
      </c>
      <c r="S2961" t="s">
        <v>34</v>
      </c>
      <c r="T2961" s="117">
        <v>0</v>
      </c>
    </row>
    <row r="2962" spans="1:21" x14ac:dyDescent="0.35">
      <c r="A2962" t="s">
        <v>19</v>
      </c>
      <c r="B2962" t="s">
        <v>19</v>
      </c>
      <c r="C2962" s="1">
        <v>45693</v>
      </c>
      <c r="D2962">
        <f t="shared" si="212"/>
        <v>5</v>
      </c>
      <c r="E2962">
        <f t="shared" si="213"/>
        <v>2</v>
      </c>
      <c r="F2962">
        <f t="shared" si="214"/>
        <v>2025</v>
      </c>
      <c r="G2962" t="s">
        <v>125</v>
      </c>
      <c r="H2962" s="98" t="s">
        <v>865</v>
      </c>
      <c r="I2962" s="29">
        <v>266688.52</v>
      </c>
      <c r="J2962" s="12" t="s">
        <v>31</v>
      </c>
      <c r="K2962" s="76">
        <f t="shared" si="211"/>
        <v>266688.52</v>
      </c>
      <c r="L2962">
        <v>1</v>
      </c>
      <c r="M2962" s="29">
        <v>0</v>
      </c>
      <c r="N2962" t="s">
        <v>32</v>
      </c>
      <c r="O2962" t="s">
        <v>33</v>
      </c>
      <c r="P2962" t="s">
        <v>34</v>
      </c>
      <c r="Q2962" t="s">
        <v>34</v>
      </c>
      <c r="R2962" t="s">
        <v>34</v>
      </c>
      <c r="S2962" t="s">
        <v>34</v>
      </c>
      <c r="T2962" s="117">
        <v>0</v>
      </c>
    </row>
    <row r="2963" spans="1:21" x14ac:dyDescent="0.35">
      <c r="A2963" t="s">
        <v>19</v>
      </c>
      <c r="B2963" t="s">
        <v>19</v>
      </c>
      <c r="C2963" s="1">
        <v>45693</v>
      </c>
      <c r="D2963">
        <f t="shared" si="212"/>
        <v>5</v>
      </c>
      <c r="E2963">
        <f t="shared" si="213"/>
        <v>2</v>
      </c>
      <c r="F2963">
        <f t="shared" si="214"/>
        <v>2025</v>
      </c>
      <c r="G2963" t="s">
        <v>120</v>
      </c>
      <c r="H2963" s="98" t="s">
        <v>866</v>
      </c>
      <c r="I2963" s="29">
        <v>111124.24</v>
      </c>
      <c r="J2963" s="12" t="s">
        <v>31</v>
      </c>
      <c r="K2963" s="76">
        <f t="shared" si="211"/>
        <v>111124.24</v>
      </c>
      <c r="L2963">
        <v>1</v>
      </c>
      <c r="M2963" s="29">
        <v>0</v>
      </c>
      <c r="N2963" t="s">
        <v>32</v>
      </c>
      <c r="O2963" t="s">
        <v>33</v>
      </c>
      <c r="P2963" t="s">
        <v>34</v>
      </c>
      <c r="Q2963" t="s">
        <v>34</v>
      </c>
      <c r="R2963" t="s">
        <v>34</v>
      </c>
      <c r="S2963" t="s">
        <v>34</v>
      </c>
      <c r="T2963" s="117">
        <v>0</v>
      </c>
    </row>
    <row r="2964" spans="1:21" x14ac:dyDescent="0.35">
      <c r="A2964" t="s">
        <v>19</v>
      </c>
      <c r="B2964" t="s">
        <v>19</v>
      </c>
      <c r="C2964" s="1">
        <v>45693</v>
      </c>
      <c r="D2964">
        <f t="shared" si="212"/>
        <v>5</v>
      </c>
      <c r="E2964">
        <f t="shared" si="213"/>
        <v>2</v>
      </c>
      <c r="F2964">
        <f t="shared" si="214"/>
        <v>2025</v>
      </c>
      <c r="G2964" t="s">
        <v>59</v>
      </c>
      <c r="H2964" s="98" t="s">
        <v>867</v>
      </c>
      <c r="I2964" s="29">
        <v>119285.19</v>
      </c>
      <c r="J2964" s="12" t="s">
        <v>31</v>
      </c>
      <c r="K2964" s="76">
        <f t="shared" si="211"/>
        <v>119285.19</v>
      </c>
      <c r="L2964">
        <v>1</v>
      </c>
      <c r="M2964" s="29">
        <v>0</v>
      </c>
      <c r="N2964" t="s">
        <v>32</v>
      </c>
      <c r="O2964" t="s">
        <v>33</v>
      </c>
      <c r="P2964" t="s">
        <v>34</v>
      </c>
      <c r="Q2964" t="s">
        <v>34</v>
      </c>
      <c r="R2964" t="s">
        <v>34</v>
      </c>
      <c r="S2964" t="s">
        <v>34</v>
      </c>
      <c r="T2964" s="117">
        <v>0</v>
      </c>
    </row>
    <row r="2965" spans="1:21" x14ac:dyDescent="0.35">
      <c r="A2965" t="s">
        <v>19</v>
      </c>
      <c r="B2965" t="s">
        <v>19</v>
      </c>
      <c r="C2965" s="1">
        <v>45693</v>
      </c>
      <c r="D2965">
        <f t="shared" si="212"/>
        <v>5</v>
      </c>
      <c r="E2965">
        <f t="shared" si="213"/>
        <v>2</v>
      </c>
      <c r="F2965">
        <f t="shared" si="214"/>
        <v>2025</v>
      </c>
      <c r="G2965" t="s">
        <v>750</v>
      </c>
      <c r="H2965" s="98" t="s">
        <v>868</v>
      </c>
      <c r="I2965" s="29">
        <v>79844.55</v>
      </c>
      <c r="J2965" s="12" t="s">
        <v>31</v>
      </c>
      <c r="K2965" s="76">
        <f t="shared" si="211"/>
        <v>79844.55</v>
      </c>
      <c r="L2965">
        <v>1</v>
      </c>
      <c r="M2965" s="29">
        <v>0</v>
      </c>
      <c r="N2965" t="s">
        <v>32</v>
      </c>
      <c r="O2965" t="s">
        <v>33</v>
      </c>
      <c r="P2965" t="s">
        <v>34</v>
      </c>
      <c r="Q2965" t="s">
        <v>34</v>
      </c>
      <c r="R2965" t="s">
        <v>34</v>
      </c>
      <c r="S2965" t="s">
        <v>34</v>
      </c>
      <c r="T2965" s="117">
        <v>2222.02</v>
      </c>
    </row>
    <row r="2966" spans="1:21" x14ac:dyDescent="0.35">
      <c r="A2966" t="s">
        <v>19</v>
      </c>
      <c r="B2966" t="s">
        <v>19</v>
      </c>
      <c r="C2966" s="1">
        <v>45693</v>
      </c>
      <c r="D2966">
        <f t="shared" si="212"/>
        <v>5</v>
      </c>
      <c r="E2966">
        <f t="shared" si="213"/>
        <v>2</v>
      </c>
      <c r="F2966">
        <f t="shared" si="214"/>
        <v>2025</v>
      </c>
      <c r="G2966" t="s">
        <v>127</v>
      </c>
      <c r="H2966" s="98" t="s">
        <v>869</v>
      </c>
      <c r="I2966" s="29">
        <v>32075.74</v>
      </c>
      <c r="J2966" s="12" t="s">
        <v>31</v>
      </c>
      <c r="K2966" s="76">
        <f t="shared" si="211"/>
        <v>32075.74</v>
      </c>
      <c r="L2966">
        <v>1</v>
      </c>
      <c r="M2966" s="29">
        <v>0</v>
      </c>
      <c r="N2966" t="s">
        <v>32</v>
      </c>
      <c r="O2966" t="s">
        <v>33</v>
      </c>
      <c r="P2966" t="s">
        <v>34</v>
      </c>
      <c r="Q2966" t="s">
        <v>34</v>
      </c>
      <c r="R2966" t="s">
        <v>34</v>
      </c>
      <c r="S2966" t="s">
        <v>34</v>
      </c>
      <c r="T2966" s="117">
        <v>0</v>
      </c>
    </row>
    <row r="2967" spans="1:21" x14ac:dyDescent="0.35">
      <c r="A2967" t="s">
        <v>19</v>
      </c>
      <c r="B2967" t="s">
        <v>19</v>
      </c>
      <c r="C2967" s="1">
        <v>45693</v>
      </c>
      <c r="D2967">
        <f t="shared" si="212"/>
        <v>5</v>
      </c>
      <c r="E2967">
        <f t="shared" si="213"/>
        <v>2</v>
      </c>
      <c r="F2967">
        <f t="shared" si="214"/>
        <v>2025</v>
      </c>
      <c r="G2967" t="s">
        <v>582</v>
      </c>
      <c r="H2967" s="98" t="s">
        <v>870</v>
      </c>
      <c r="I2967" s="29">
        <v>38950.19</v>
      </c>
      <c r="J2967" s="12" t="s">
        <v>31</v>
      </c>
      <c r="K2967" s="76">
        <f t="shared" si="211"/>
        <v>38950.19</v>
      </c>
      <c r="L2967">
        <v>1</v>
      </c>
      <c r="M2967" s="29">
        <v>0</v>
      </c>
      <c r="N2967" t="s">
        <v>32</v>
      </c>
      <c r="O2967" t="s">
        <v>33</v>
      </c>
      <c r="P2967" t="s">
        <v>34</v>
      </c>
      <c r="Q2967" t="s">
        <v>34</v>
      </c>
      <c r="R2967" t="s">
        <v>34</v>
      </c>
      <c r="S2967" t="s">
        <v>34</v>
      </c>
      <c r="T2967" s="117">
        <v>0</v>
      </c>
    </row>
    <row r="2968" spans="1:21" x14ac:dyDescent="0.35">
      <c r="A2968" t="s">
        <v>19</v>
      </c>
      <c r="B2968" t="s">
        <v>19</v>
      </c>
      <c r="C2968" s="1">
        <v>45693</v>
      </c>
      <c r="D2968">
        <f t="shared" si="212"/>
        <v>5</v>
      </c>
      <c r="E2968">
        <f t="shared" si="213"/>
        <v>2</v>
      </c>
      <c r="F2968">
        <f t="shared" si="214"/>
        <v>2025</v>
      </c>
      <c r="G2968" t="s">
        <v>183</v>
      </c>
      <c r="H2968" s="98" t="s">
        <v>871</v>
      </c>
      <c r="I2968" s="29">
        <v>5975.2</v>
      </c>
      <c r="J2968" s="12" t="s">
        <v>31</v>
      </c>
      <c r="K2968" s="76">
        <f t="shared" si="211"/>
        <v>5975.2</v>
      </c>
      <c r="L2968">
        <v>1</v>
      </c>
      <c r="M2968" s="29">
        <v>0</v>
      </c>
      <c r="N2968" t="s">
        <v>32</v>
      </c>
      <c r="O2968" t="s">
        <v>33</v>
      </c>
      <c r="P2968" t="s">
        <v>34</v>
      </c>
      <c r="Q2968" t="s">
        <v>34</v>
      </c>
      <c r="R2968" t="s">
        <v>34</v>
      </c>
      <c r="S2968" t="s">
        <v>34</v>
      </c>
      <c r="T2968" s="117">
        <v>0</v>
      </c>
    </row>
    <row r="2969" spans="1:21" x14ac:dyDescent="0.35">
      <c r="A2969" t="s">
        <v>19</v>
      </c>
      <c r="B2969" t="s">
        <v>27</v>
      </c>
      <c r="C2969" s="1">
        <v>45694</v>
      </c>
      <c r="D2969">
        <f t="shared" si="212"/>
        <v>6</v>
      </c>
      <c r="E2969">
        <f t="shared" si="213"/>
        <v>2</v>
      </c>
      <c r="F2969">
        <f t="shared" si="214"/>
        <v>2025</v>
      </c>
      <c r="G2969" t="s">
        <v>100</v>
      </c>
      <c r="H2969" s="98">
        <v>11408</v>
      </c>
      <c r="I2969" s="29">
        <v>17128.849999999999</v>
      </c>
      <c r="J2969" s="12" t="s">
        <v>31</v>
      </c>
      <c r="K2969" s="76">
        <f t="shared" si="211"/>
        <v>17128.849999999999</v>
      </c>
      <c r="L2969">
        <v>1</v>
      </c>
      <c r="M2969" s="29">
        <v>0</v>
      </c>
      <c r="N2969" t="s">
        <v>32</v>
      </c>
      <c r="O2969" t="s">
        <v>33</v>
      </c>
      <c r="P2969" t="s">
        <v>34</v>
      </c>
      <c r="Q2969" t="s">
        <v>34</v>
      </c>
      <c r="R2969" t="s">
        <v>34</v>
      </c>
      <c r="S2969" t="s">
        <v>34</v>
      </c>
      <c r="T2969" s="117">
        <v>0</v>
      </c>
    </row>
    <row r="2970" spans="1:21" x14ac:dyDescent="0.35">
      <c r="A2970" t="s">
        <v>19</v>
      </c>
      <c r="B2970" t="s">
        <v>27</v>
      </c>
      <c r="C2970" s="1">
        <v>45694</v>
      </c>
      <c r="D2970">
        <f t="shared" si="212"/>
        <v>6</v>
      </c>
      <c r="E2970">
        <f t="shared" si="213"/>
        <v>2</v>
      </c>
      <c r="F2970">
        <f t="shared" si="214"/>
        <v>2025</v>
      </c>
      <c r="G2970" t="s">
        <v>100</v>
      </c>
      <c r="H2970" s="98">
        <v>11406</v>
      </c>
      <c r="I2970" s="29">
        <v>32413.96</v>
      </c>
      <c r="J2970" s="12" t="s">
        <v>31</v>
      </c>
      <c r="K2970" s="76">
        <f t="shared" si="211"/>
        <v>32413.96</v>
      </c>
      <c r="L2970">
        <v>1</v>
      </c>
      <c r="M2970" s="29">
        <v>0</v>
      </c>
      <c r="N2970" t="s">
        <v>32</v>
      </c>
      <c r="O2970" t="s">
        <v>33</v>
      </c>
      <c r="P2970" t="s">
        <v>34</v>
      </c>
      <c r="Q2970" t="s">
        <v>34</v>
      </c>
      <c r="R2970" t="s">
        <v>34</v>
      </c>
      <c r="S2970" t="s">
        <v>34</v>
      </c>
      <c r="T2970" s="117">
        <v>0</v>
      </c>
    </row>
    <row r="2971" spans="1:21" x14ac:dyDescent="0.35">
      <c r="A2971" t="s">
        <v>19</v>
      </c>
      <c r="B2971" t="s">
        <v>27</v>
      </c>
      <c r="C2971" s="1">
        <v>45694</v>
      </c>
      <c r="D2971">
        <f t="shared" si="212"/>
        <v>6</v>
      </c>
      <c r="E2971">
        <f t="shared" si="213"/>
        <v>2</v>
      </c>
      <c r="F2971">
        <f t="shared" si="214"/>
        <v>2025</v>
      </c>
      <c r="G2971" t="s">
        <v>100</v>
      </c>
      <c r="H2971" s="98">
        <v>11490</v>
      </c>
      <c r="I2971" s="29">
        <v>54680.06</v>
      </c>
      <c r="J2971" s="12" t="s">
        <v>31</v>
      </c>
      <c r="K2971" s="76">
        <f t="shared" si="211"/>
        <v>54680.06</v>
      </c>
      <c r="L2971">
        <v>1</v>
      </c>
      <c r="M2971" s="29">
        <v>0</v>
      </c>
      <c r="N2971" t="s">
        <v>32</v>
      </c>
      <c r="O2971" t="s">
        <v>33</v>
      </c>
      <c r="P2971" t="s">
        <v>34</v>
      </c>
      <c r="Q2971" t="s">
        <v>34</v>
      </c>
      <c r="R2971" t="s">
        <v>34</v>
      </c>
      <c r="S2971" t="s">
        <v>34</v>
      </c>
      <c r="T2971" s="117">
        <v>0</v>
      </c>
    </row>
    <row r="2972" spans="1:21" x14ac:dyDescent="0.35">
      <c r="A2972" t="s">
        <v>19</v>
      </c>
      <c r="B2972" t="s">
        <v>27</v>
      </c>
      <c r="C2972" s="1">
        <v>45694</v>
      </c>
      <c r="D2972">
        <f t="shared" si="212"/>
        <v>6</v>
      </c>
      <c r="E2972">
        <f t="shared" si="213"/>
        <v>2</v>
      </c>
      <c r="F2972">
        <f t="shared" si="214"/>
        <v>2025</v>
      </c>
      <c r="G2972" t="s">
        <v>100</v>
      </c>
      <c r="H2972" s="98">
        <v>11410</v>
      </c>
      <c r="I2972" s="29">
        <v>18047.82</v>
      </c>
      <c r="J2972" s="12" t="s">
        <v>31</v>
      </c>
      <c r="K2972" s="76">
        <f t="shared" si="211"/>
        <v>18047.82</v>
      </c>
      <c r="L2972">
        <v>1</v>
      </c>
      <c r="M2972" s="29">
        <v>0</v>
      </c>
      <c r="N2972" t="s">
        <v>32</v>
      </c>
      <c r="O2972" t="s">
        <v>33</v>
      </c>
      <c r="P2972" t="s">
        <v>34</v>
      </c>
      <c r="Q2972" t="s">
        <v>34</v>
      </c>
      <c r="R2972" t="s">
        <v>34</v>
      </c>
      <c r="S2972" t="s">
        <v>34</v>
      </c>
      <c r="T2972" s="117">
        <v>0</v>
      </c>
    </row>
    <row r="2973" spans="1:21" x14ac:dyDescent="0.35">
      <c r="A2973" t="s">
        <v>19</v>
      </c>
      <c r="B2973" t="s">
        <v>26</v>
      </c>
      <c r="C2973" s="1">
        <v>45694</v>
      </c>
      <c r="D2973">
        <f t="shared" si="212"/>
        <v>6</v>
      </c>
      <c r="E2973">
        <f t="shared" si="213"/>
        <v>2</v>
      </c>
      <c r="F2973">
        <f t="shared" si="214"/>
        <v>2025</v>
      </c>
      <c r="G2973" t="s">
        <v>73</v>
      </c>
      <c r="H2973" s="121">
        <v>12221</v>
      </c>
      <c r="I2973" s="29">
        <v>62539.23</v>
      </c>
      <c r="J2973" s="12" t="s">
        <v>51</v>
      </c>
      <c r="K2973" s="76">
        <f t="shared" si="211"/>
        <v>64915.720740000004</v>
      </c>
      <c r="L2973">
        <v>1.038</v>
      </c>
      <c r="M2973" s="29">
        <v>0</v>
      </c>
      <c r="N2973" t="s">
        <v>42</v>
      </c>
      <c r="O2973" t="s">
        <v>33</v>
      </c>
      <c r="P2973" t="s">
        <v>34</v>
      </c>
      <c r="Q2973" t="s">
        <v>34</v>
      </c>
      <c r="R2973" t="s">
        <v>34</v>
      </c>
      <c r="S2973" t="s">
        <v>34</v>
      </c>
      <c r="T2973" s="117">
        <v>0</v>
      </c>
      <c r="U2973" s="209" t="s">
        <v>94</v>
      </c>
    </row>
    <row r="2974" spans="1:21" x14ac:dyDescent="0.35">
      <c r="A2974" t="s">
        <v>19</v>
      </c>
      <c r="B2974" t="s">
        <v>26</v>
      </c>
      <c r="C2974" s="1">
        <v>45694</v>
      </c>
      <c r="D2974">
        <f t="shared" si="212"/>
        <v>6</v>
      </c>
      <c r="E2974">
        <f t="shared" si="213"/>
        <v>2</v>
      </c>
      <c r="F2974">
        <f t="shared" si="214"/>
        <v>2025</v>
      </c>
      <c r="G2974" t="s">
        <v>73</v>
      </c>
      <c r="H2974" s="98">
        <v>12222</v>
      </c>
      <c r="I2974" s="29">
        <v>88609.34</v>
      </c>
      <c r="J2974" s="12" t="s">
        <v>51</v>
      </c>
      <c r="K2974" s="76">
        <f t="shared" si="211"/>
        <v>91976.494919999997</v>
      </c>
      <c r="L2974">
        <v>1.038</v>
      </c>
      <c r="M2974" s="29">
        <v>0</v>
      </c>
      <c r="N2974" t="s">
        <v>42</v>
      </c>
      <c r="O2974" t="s">
        <v>33</v>
      </c>
      <c r="P2974" t="s">
        <v>34</v>
      </c>
      <c r="Q2974" t="s">
        <v>34</v>
      </c>
      <c r="R2974" t="s">
        <v>34</v>
      </c>
      <c r="S2974" t="s">
        <v>34</v>
      </c>
      <c r="T2974" s="117">
        <v>0</v>
      </c>
      <c r="U2974" s="209" t="s">
        <v>94</v>
      </c>
    </row>
    <row r="2975" spans="1:21" x14ac:dyDescent="0.35">
      <c r="A2975" t="s">
        <v>19</v>
      </c>
      <c r="B2975" t="s">
        <v>26</v>
      </c>
      <c r="C2975" s="1">
        <v>45694</v>
      </c>
      <c r="D2975">
        <f t="shared" si="212"/>
        <v>6</v>
      </c>
      <c r="E2975">
        <f t="shared" si="213"/>
        <v>2</v>
      </c>
      <c r="F2975">
        <f t="shared" si="214"/>
        <v>2025</v>
      </c>
      <c r="G2975" t="s">
        <v>73</v>
      </c>
      <c r="H2975" s="98">
        <v>12223</v>
      </c>
      <c r="I2975" s="29">
        <v>25023.69</v>
      </c>
      <c r="J2975" s="12" t="s">
        <v>51</v>
      </c>
      <c r="K2975" s="76">
        <f t="shared" si="211"/>
        <v>25974.590219999998</v>
      </c>
      <c r="L2975">
        <v>1.038</v>
      </c>
      <c r="M2975" s="29">
        <v>0</v>
      </c>
      <c r="N2975" t="s">
        <v>42</v>
      </c>
      <c r="O2975" t="s">
        <v>33</v>
      </c>
      <c r="P2975" t="s">
        <v>34</v>
      </c>
      <c r="Q2975" t="s">
        <v>34</v>
      </c>
      <c r="R2975" t="s">
        <v>34</v>
      </c>
      <c r="S2975" t="s">
        <v>34</v>
      </c>
      <c r="T2975" s="117">
        <v>0</v>
      </c>
      <c r="U2975" s="209" t="s">
        <v>94</v>
      </c>
    </row>
    <row r="2976" spans="1:21" x14ac:dyDescent="0.35">
      <c r="A2976" t="s">
        <v>19</v>
      </c>
      <c r="B2976" t="s">
        <v>23</v>
      </c>
      <c r="C2976" s="1">
        <v>45700</v>
      </c>
      <c r="D2976">
        <f t="shared" si="212"/>
        <v>12</v>
      </c>
      <c r="E2976">
        <f t="shared" si="213"/>
        <v>2</v>
      </c>
      <c r="F2976">
        <f t="shared" si="214"/>
        <v>2025</v>
      </c>
      <c r="G2976" t="s">
        <v>74</v>
      </c>
      <c r="H2976" s="98">
        <v>12106</v>
      </c>
      <c r="I2976" s="29">
        <v>65157.05</v>
      </c>
      <c r="J2976" s="12" t="s">
        <v>31</v>
      </c>
      <c r="K2976" s="76">
        <f t="shared" si="211"/>
        <v>65157.05</v>
      </c>
      <c r="L2976">
        <v>1</v>
      </c>
      <c r="M2976" s="29">
        <v>0</v>
      </c>
      <c r="N2976" t="s">
        <v>42</v>
      </c>
      <c r="O2976" t="s">
        <v>33</v>
      </c>
      <c r="P2976" t="s">
        <v>34</v>
      </c>
      <c r="Q2976" t="s">
        <v>34</v>
      </c>
      <c r="R2976" t="s">
        <v>34</v>
      </c>
      <c r="S2976" t="s">
        <v>34</v>
      </c>
      <c r="T2976" s="117">
        <v>0</v>
      </c>
    </row>
    <row r="2977" spans="1:20" x14ac:dyDescent="0.35">
      <c r="A2977" t="s">
        <v>19</v>
      </c>
      <c r="B2977" t="s">
        <v>21</v>
      </c>
      <c r="C2977" s="1">
        <v>45700</v>
      </c>
      <c r="D2977">
        <f t="shared" si="212"/>
        <v>12</v>
      </c>
      <c r="E2977">
        <f t="shared" si="213"/>
        <v>2</v>
      </c>
      <c r="F2977">
        <f t="shared" si="214"/>
        <v>2025</v>
      </c>
      <c r="G2977" t="s">
        <v>75</v>
      </c>
      <c r="H2977" s="171">
        <v>12226</v>
      </c>
      <c r="I2977" s="90">
        <v>46135.01</v>
      </c>
      <c r="J2977" s="12" t="s">
        <v>31</v>
      </c>
      <c r="K2977" s="76">
        <f t="shared" si="211"/>
        <v>46135.01</v>
      </c>
      <c r="L2977">
        <v>1</v>
      </c>
      <c r="M2977" s="29">
        <v>0</v>
      </c>
      <c r="N2977" t="s">
        <v>32</v>
      </c>
      <c r="O2977" t="s">
        <v>33</v>
      </c>
      <c r="P2977" t="s">
        <v>34</v>
      </c>
      <c r="Q2977" t="s">
        <v>34</v>
      </c>
      <c r="R2977" t="s">
        <v>34</v>
      </c>
      <c r="S2977" t="s">
        <v>34</v>
      </c>
      <c r="T2977" s="117">
        <v>0</v>
      </c>
    </row>
    <row r="2978" spans="1:20" x14ac:dyDescent="0.35">
      <c r="A2978" t="s">
        <v>19</v>
      </c>
      <c r="B2978" t="s">
        <v>23</v>
      </c>
      <c r="C2978" s="1">
        <v>45700</v>
      </c>
      <c r="D2978">
        <f t="shared" si="212"/>
        <v>12</v>
      </c>
      <c r="E2978">
        <f t="shared" si="213"/>
        <v>2</v>
      </c>
      <c r="F2978">
        <f t="shared" si="214"/>
        <v>2025</v>
      </c>
      <c r="G2978" t="s">
        <v>75</v>
      </c>
      <c r="H2978" s="171">
        <v>12226</v>
      </c>
      <c r="I2978" s="90">
        <v>29338</v>
      </c>
      <c r="J2978" s="12" t="s">
        <v>31</v>
      </c>
      <c r="K2978" s="76">
        <f t="shared" si="211"/>
        <v>29338</v>
      </c>
      <c r="L2978">
        <v>1</v>
      </c>
      <c r="M2978" s="29">
        <v>0</v>
      </c>
      <c r="N2978" t="s">
        <v>32</v>
      </c>
      <c r="O2978" t="s">
        <v>33</v>
      </c>
      <c r="P2978" t="s">
        <v>34</v>
      </c>
      <c r="Q2978" t="s">
        <v>34</v>
      </c>
      <c r="R2978" t="s">
        <v>34</v>
      </c>
      <c r="S2978" t="s">
        <v>34</v>
      </c>
      <c r="T2978" s="117">
        <v>0</v>
      </c>
    </row>
    <row r="2979" spans="1:20" x14ac:dyDescent="0.35">
      <c r="A2979" t="s">
        <v>19</v>
      </c>
      <c r="B2979" t="s">
        <v>21</v>
      </c>
      <c r="C2979" s="1">
        <v>45700</v>
      </c>
      <c r="D2979">
        <f t="shared" si="212"/>
        <v>12</v>
      </c>
      <c r="E2979">
        <f t="shared" si="213"/>
        <v>2</v>
      </c>
      <c r="F2979">
        <f t="shared" si="214"/>
        <v>2025</v>
      </c>
      <c r="G2979" t="s">
        <v>36</v>
      </c>
      <c r="H2979" s="98">
        <v>11512</v>
      </c>
      <c r="I2979" s="29">
        <v>252.6</v>
      </c>
      <c r="J2979" s="12" t="s">
        <v>31</v>
      </c>
      <c r="K2979" s="76">
        <f t="shared" si="211"/>
        <v>252.6</v>
      </c>
      <c r="L2979">
        <v>1</v>
      </c>
      <c r="M2979" s="29">
        <v>0</v>
      </c>
      <c r="N2979" t="s">
        <v>32</v>
      </c>
      <c r="O2979" t="s">
        <v>33</v>
      </c>
      <c r="P2979" t="s">
        <v>34</v>
      </c>
      <c r="Q2979" t="s">
        <v>34</v>
      </c>
      <c r="R2979" t="s">
        <v>34</v>
      </c>
      <c r="S2979" t="s">
        <v>34</v>
      </c>
      <c r="T2979" s="117">
        <v>0</v>
      </c>
    </row>
    <row r="2980" spans="1:20" x14ac:dyDescent="0.35">
      <c r="A2980" t="s">
        <v>19</v>
      </c>
      <c r="B2980" t="s">
        <v>25</v>
      </c>
      <c r="C2980" s="1">
        <v>45700</v>
      </c>
      <c r="D2980">
        <f t="shared" si="212"/>
        <v>12</v>
      </c>
      <c r="E2980">
        <f t="shared" si="213"/>
        <v>2</v>
      </c>
      <c r="F2980">
        <f t="shared" si="214"/>
        <v>2025</v>
      </c>
      <c r="G2980" t="s">
        <v>36</v>
      </c>
      <c r="H2980" s="98">
        <v>11559</v>
      </c>
      <c r="I2980" s="29">
        <v>66365.509999999995</v>
      </c>
      <c r="J2980" s="12" t="s">
        <v>31</v>
      </c>
      <c r="K2980" s="76">
        <f t="shared" si="211"/>
        <v>66365.509999999995</v>
      </c>
      <c r="L2980">
        <v>1</v>
      </c>
      <c r="M2980" s="29">
        <v>0</v>
      </c>
      <c r="N2980" t="s">
        <v>32</v>
      </c>
      <c r="O2980" t="s">
        <v>33</v>
      </c>
      <c r="P2980" t="s">
        <v>34</v>
      </c>
      <c r="Q2980" t="s">
        <v>34</v>
      </c>
      <c r="R2980" t="s">
        <v>34</v>
      </c>
      <c r="S2980" t="s">
        <v>34</v>
      </c>
      <c r="T2980" s="117">
        <v>0</v>
      </c>
    </row>
    <row r="2981" spans="1:20" x14ac:dyDescent="0.35">
      <c r="A2981" t="s">
        <v>19</v>
      </c>
      <c r="B2981" t="s">
        <v>21</v>
      </c>
      <c r="C2981" s="1">
        <v>45700</v>
      </c>
      <c r="D2981">
        <f t="shared" si="212"/>
        <v>12</v>
      </c>
      <c r="E2981">
        <f t="shared" si="213"/>
        <v>2</v>
      </c>
      <c r="F2981">
        <f t="shared" si="214"/>
        <v>2025</v>
      </c>
      <c r="G2981" t="s">
        <v>36</v>
      </c>
      <c r="H2981" s="98">
        <v>11559</v>
      </c>
      <c r="I2981" s="29">
        <v>10803.69</v>
      </c>
      <c r="J2981" s="12" t="s">
        <v>31</v>
      </c>
      <c r="K2981" s="76">
        <f t="shared" si="211"/>
        <v>10803.69</v>
      </c>
      <c r="L2981">
        <v>1</v>
      </c>
      <c r="M2981" s="29">
        <v>0</v>
      </c>
      <c r="N2981" t="s">
        <v>32</v>
      </c>
      <c r="O2981" t="s">
        <v>33</v>
      </c>
      <c r="P2981" t="s">
        <v>34</v>
      </c>
      <c r="Q2981" t="s">
        <v>34</v>
      </c>
      <c r="R2981" t="s">
        <v>34</v>
      </c>
      <c r="S2981" t="s">
        <v>34</v>
      </c>
      <c r="T2981" s="117">
        <v>0</v>
      </c>
    </row>
    <row r="2982" spans="1:20" x14ac:dyDescent="0.35">
      <c r="A2982" t="s">
        <v>19</v>
      </c>
      <c r="B2982" t="s">
        <v>25</v>
      </c>
      <c r="C2982" s="1">
        <v>45700</v>
      </c>
      <c r="D2982">
        <f t="shared" si="212"/>
        <v>12</v>
      </c>
      <c r="E2982">
        <f t="shared" si="213"/>
        <v>2</v>
      </c>
      <c r="F2982">
        <f t="shared" si="214"/>
        <v>2025</v>
      </c>
      <c r="G2982" t="s">
        <v>36</v>
      </c>
      <c r="H2982" s="98">
        <v>11560</v>
      </c>
      <c r="I2982" s="29">
        <v>126180</v>
      </c>
      <c r="J2982" s="12" t="s">
        <v>31</v>
      </c>
      <c r="K2982" s="76">
        <f t="shared" si="211"/>
        <v>126180</v>
      </c>
      <c r="L2982">
        <v>1</v>
      </c>
      <c r="M2982" s="29">
        <v>0</v>
      </c>
      <c r="N2982" t="s">
        <v>32</v>
      </c>
      <c r="O2982" t="s">
        <v>33</v>
      </c>
      <c r="P2982" t="s">
        <v>34</v>
      </c>
      <c r="Q2982" t="s">
        <v>34</v>
      </c>
      <c r="R2982" t="s">
        <v>34</v>
      </c>
      <c r="S2982" t="s">
        <v>34</v>
      </c>
      <c r="T2982" s="117">
        <v>0</v>
      </c>
    </row>
    <row r="2983" spans="1:20" x14ac:dyDescent="0.35">
      <c r="A2983" t="s">
        <v>19</v>
      </c>
      <c r="B2983" t="s">
        <v>21</v>
      </c>
      <c r="C2983" s="1">
        <v>45700</v>
      </c>
      <c r="D2983">
        <f t="shared" si="212"/>
        <v>12</v>
      </c>
      <c r="E2983">
        <f t="shared" si="213"/>
        <v>2</v>
      </c>
      <c r="F2983">
        <f t="shared" si="214"/>
        <v>2025</v>
      </c>
      <c r="G2983" t="s">
        <v>36</v>
      </c>
      <c r="H2983" s="98">
        <v>11563</v>
      </c>
      <c r="I2983" s="29">
        <v>64</v>
      </c>
      <c r="J2983" s="12" t="s">
        <v>31</v>
      </c>
      <c r="K2983" s="76">
        <f t="shared" si="211"/>
        <v>64</v>
      </c>
      <c r="L2983">
        <v>1</v>
      </c>
      <c r="M2983" s="29">
        <v>0</v>
      </c>
      <c r="N2983" t="s">
        <v>32</v>
      </c>
      <c r="O2983" t="s">
        <v>33</v>
      </c>
      <c r="P2983" t="s">
        <v>34</v>
      </c>
      <c r="Q2983" t="s">
        <v>34</v>
      </c>
      <c r="R2983" t="s">
        <v>34</v>
      </c>
      <c r="S2983" t="s">
        <v>34</v>
      </c>
      <c r="T2983" s="117">
        <v>0</v>
      </c>
    </row>
    <row r="2984" spans="1:20" x14ac:dyDescent="0.35">
      <c r="A2984" t="s">
        <v>19</v>
      </c>
      <c r="B2984" t="s">
        <v>25</v>
      </c>
      <c r="C2984" s="1">
        <v>45700</v>
      </c>
      <c r="D2984">
        <f t="shared" si="212"/>
        <v>12</v>
      </c>
      <c r="E2984">
        <f t="shared" si="213"/>
        <v>2</v>
      </c>
      <c r="F2984">
        <f t="shared" si="214"/>
        <v>2025</v>
      </c>
      <c r="G2984" t="s">
        <v>29</v>
      </c>
      <c r="H2984" s="98">
        <v>11852</v>
      </c>
      <c r="I2984" s="29">
        <v>85.8</v>
      </c>
      <c r="J2984" s="12" t="s">
        <v>31</v>
      </c>
      <c r="K2984" s="76">
        <f t="shared" si="211"/>
        <v>85.8</v>
      </c>
      <c r="L2984">
        <v>1</v>
      </c>
      <c r="M2984" s="29">
        <v>0</v>
      </c>
      <c r="N2984" t="s">
        <v>32</v>
      </c>
      <c r="O2984" t="s">
        <v>33</v>
      </c>
      <c r="P2984" t="s">
        <v>34</v>
      </c>
      <c r="Q2984" t="s">
        <v>34</v>
      </c>
      <c r="R2984" t="s">
        <v>34</v>
      </c>
      <c r="S2984" t="s">
        <v>34</v>
      </c>
      <c r="T2984" s="117">
        <v>0</v>
      </c>
    </row>
    <row r="2985" spans="1:20" x14ac:dyDescent="0.35">
      <c r="A2985" t="s">
        <v>19</v>
      </c>
      <c r="B2985" t="s">
        <v>25</v>
      </c>
      <c r="C2985" s="1">
        <v>45700</v>
      </c>
      <c r="D2985">
        <f t="shared" si="212"/>
        <v>12</v>
      </c>
      <c r="E2985">
        <f t="shared" si="213"/>
        <v>2</v>
      </c>
      <c r="F2985">
        <f t="shared" si="214"/>
        <v>2025</v>
      </c>
      <c r="G2985" t="s">
        <v>29</v>
      </c>
      <c r="H2985" s="98">
        <v>11855</v>
      </c>
      <c r="I2985" s="29">
        <v>9685.39</v>
      </c>
      <c r="J2985" s="12" t="s">
        <v>31</v>
      </c>
      <c r="K2985" s="76">
        <f t="shared" si="211"/>
        <v>9685.39</v>
      </c>
      <c r="L2985">
        <v>1</v>
      </c>
      <c r="M2985" s="29">
        <v>0</v>
      </c>
      <c r="N2985" t="s">
        <v>32</v>
      </c>
      <c r="O2985" t="s">
        <v>33</v>
      </c>
      <c r="P2985" t="s">
        <v>34</v>
      </c>
      <c r="Q2985" t="s">
        <v>34</v>
      </c>
      <c r="R2985" t="s">
        <v>34</v>
      </c>
      <c r="S2985" t="s">
        <v>34</v>
      </c>
      <c r="T2985" s="117">
        <v>0</v>
      </c>
    </row>
    <row r="2986" spans="1:20" x14ac:dyDescent="0.35">
      <c r="A2986" t="s">
        <v>19</v>
      </c>
      <c r="B2986" t="s">
        <v>24</v>
      </c>
      <c r="C2986" s="1">
        <v>45700</v>
      </c>
      <c r="D2986">
        <f t="shared" si="212"/>
        <v>12</v>
      </c>
      <c r="E2986">
        <f t="shared" si="213"/>
        <v>2</v>
      </c>
      <c r="F2986">
        <f t="shared" si="214"/>
        <v>2025</v>
      </c>
      <c r="G2986" t="s">
        <v>39</v>
      </c>
      <c r="H2986" s="98">
        <v>11528</v>
      </c>
      <c r="I2986" s="29">
        <v>13378.5</v>
      </c>
      <c r="J2986" s="12" t="s">
        <v>31</v>
      </c>
      <c r="K2986" s="76">
        <f t="shared" si="211"/>
        <v>13378.5</v>
      </c>
      <c r="L2986">
        <v>1</v>
      </c>
      <c r="M2986" s="29">
        <v>0</v>
      </c>
      <c r="N2986" t="s">
        <v>32</v>
      </c>
      <c r="O2986" t="s">
        <v>33</v>
      </c>
      <c r="P2986" t="s">
        <v>34</v>
      </c>
      <c r="Q2986" t="s">
        <v>34</v>
      </c>
      <c r="R2986" t="s">
        <v>34</v>
      </c>
      <c r="S2986" t="s">
        <v>34</v>
      </c>
      <c r="T2986" s="117">
        <v>0</v>
      </c>
    </row>
    <row r="2987" spans="1:20" x14ac:dyDescent="0.35">
      <c r="A2987" t="s">
        <v>19</v>
      </c>
      <c r="B2987" t="s">
        <v>24</v>
      </c>
      <c r="C2987" s="1">
        <v>45700</v>
      </c>
      <c r="D2987">
        <f t="shared" si="212"/>
        <v>12</v>
      </c>
      <c r="E2987">
        <f t="shared" si="213"/>
        <v>2</v>
      </c>
      <c r="F2987">
        <f t="shared" si="214"/>
        <v>2025</v>
      </c>
      <c r="G2987" t="s">
        <v>39</v>
      </c>
      <c r="H2987" s="98">
        <v>11786</v>
      </c>
      <c r="I2987" s="29">
        <v>35.6</v>
      </c>
      <c r="J2987" s="12" t="s">
        <v>31</v>
      </c>
      <c r="K2987" s="76">
        <f t="shared" si="211"/>
        <v>35.6</v>
      </c>
      <c r="L2987">
        <v>1</v>
      </c>
      <c r="M2987" s="29">
        <v>0</v>
      </c>
      <c r="N2987" t="s">
        <v>32</v>
      </c>
      <c r="O2987" t="s">
        <v>33</v>
      </c>
      <c r="P2987" t="s">
        <v>34</v>
      </c>
      <c r="Q2987" t="s">
        <v>34</v>
      </c>
      <c r="R2987" t="s">
        <v>34</v>
      </c>
      <c r="S2987" t="s">
        <v>34</v>
      </c>
      <c r="T2987" s="117">
        <v>0</v>
      </c>
    </row>
    <row r="2988" spans="1:20" x14ac:dyDescent="0.35">
      <c r="A2988" t="s">
        <v>19</v>
      </c>
      <c r="B2988" t="s">
        <v>24</v>
      </c>
      <c r="C2988" s="1">
        <v>45700</v>
      </c>
      <c r="D2988">
        <f t="shared" si="212"/>
        <v>12</v>
      </c>
      <c r="E2988">
        <f t="shared" si="213"/>
        <v>2</v>
      </c>
      <c r="F2988">
        <f t="shared" si="214"/>
        <v>2025</v>
      </c>
      <c r="G2988" t="s">
        <v>39</v>
      </c>
      <c r="H2988" s="98">
        <v>12132</v>
      </c>
      <c r="I2988" s="29">
        <v>60.6</v>
      </c>
      <c r="J2988" s="12" t="s">
        <v>31</v>
      </c>
      <c r="K2988" s="76">
        <f t="shared" si="211"/>
        <v>60.6</v>
      </c>
      <c r="L2988">
        <v>1</v>
      </c>
      <c r="M2988" s="29">
        <v>0</v>
      </c>
      <c r="N2988" t="s">
        <v>32</v>
      </c>
      <c r="O2988" t="s">
        <v>33</v>
      </c>
      <c r="P2988" t="s">
        <v>34</v>
      </c>
      <c r="Q2988" t="s">
        <v>34</v>
      </c>
      <c r="R2988" t="s">
        <v>34</v>
      </c>
      <c r="S2988" t="s">
        <v>34</v>
      </c>
      <c r="T2988" s="117">
        <v>0</v>
      </c>
    </row>
    <row r="2989" spans="1:20" x14ac:dyDescent="0.35">
      <c r="A2989" t="s">
        <v>19</v>
      </c>
      <c r="B2989" t="s">
        <v>25</v>
      </c>
      <c r="C2989" s="1">
        <v>45700</v>
      </c>
      <c r="D2989">
        <f t="shared" si="212"/>
        <v>12</v>
      </c>
      <c r="E2989">
        <f t="shared" si="213"/>
        <v>2</v>
      </c>
      <c r="F2989">
        <f t="shared" si="214"/>
        <v>2025</v>
      </c>
      <c r="G2989" t="s">
        <v>93</v>
      </c>
      <c r="H2989" s="98">
        <v>11502</v>
      </c>
      <c r="I2989" s="29">
        <v>17194.23</v>
      </c>
      <c r="J2989" s="12" t="s">
        <v>31</v>
      </c>
      <c r="K2989" s="76">
        <f t="shared" si="211"/>
        <v>17194.23</v>
      </c>
      <c r="L2989">
        <v>1</v>
      </c>
      <c r="M2989" s="29">
        <v>0</v>
      </c>
      <c r="N2989" t="s">
        <v>32</v>
      </c>
      <c r="O2989" t="s">
        <v>33</v>
      </c>
      <c r="P2989" t="s">
        <v>34</v>
      </c>
      <c r="Q2989" t="s">
        <v>34</v>
      </c>
      <c r="R2989" t="s">
        <v>34</v>
      </c>
      <c r="S2989" t="s">
        <v>34</v>
      </c>
      <c r="T2989" s="117">
        <v>0</v>
      </c>
    </row>
    <row r="2990" spans="1:20" x14ac:dyDescent="0.35">
      <c r="A2990" t="s">
        <v>19</v>
      </c>
      <c r="B2990" t="s">
        <v>21</v>
      </c>
      <c r="C2990" s="1">
        <v>45700</v>
      </c>
      <c r="D2990">
        <f t="shared" si="212"/>
        <v>12</v>
      </c>
      <c r="E2990">
        <f t="shared" si="213"/>
        <v>2</v>
      </c>
      <c r="F2990">
        <f t="shared" si="214"/>
        <v>2025</v>
      </c>
      <c r="G2990" t="s">
        <v>92</v>
      </c>
      <c r="H2990" s="98">
        <v>11811</v>
      </c>
      <c r="I2990" s="29">
        <v>6304.05</v>
      </c>
      <c r="J2990" s="12" t="s">
        <v>31</v>
      </c>
      <c r="K2990" s="76">
        <f t="shared" si="211"/>
        <v>6304.05</v>
      </c>
      <c r="L2990">
        <v>1</v>
      </c>
      <c r="M2990" s="29">
        <v>0</v>
      </c>
      <c r="N2990" t="s">
        <v>32</v>
      </c>
      <c r="O2990" t="s">
        <v>33</v>
      </c>
      <c r="P2990" t="s">
        <v>34</v>
      </c>
      <c r="Q2990" t="s">
        <v>34</v>
      </c>
      <c r="R2990" t="s">
        <v>34</v>
      </c>
      <c r="S2990" t="s">
        <v>34</v>
      </c>
      <c r="T2990" s="117">
        <v>720</v>
      </c>
    </row>
    <row r="2991" spans="1:20" x14ac:dyDescent="0.35">
      <c r="A2991" t="s">
        <v>19</v>
      </c>
      <c r="B2991" t="s">
        <v>19</v>
      </c>
      <c r="C2991" s="1">
        <v>45700</v>
      </c>
      <c r="D2991">
        <f t="shared" si="212"/>
        <v>12</v>
      </c>
      <c r="E2991">
        <f t="shared" si="213"/>
        <v>2</v>
      </c>
      <c r="F2991">
        <f t="shared" si="214"/>
        <v>2025</v>
      </c>
      <c r="G2991" t="s">
        <v>56</v>
      </c>
      <c r="H2991" s="98" t="s">
        <v>852</v>
      </c>
      <c r="I2991" s="29">
        <v>2878.6</v>
      </c>
      <c r="J2991" s="12" t="s">
        <v>31</v>
      </c>
      <c r="K2991" s="76">
        <f t="shared" si="211"/>
        <v>2878.6</v>
      </c>
      <c r="L2991">
        <v>1</v>
      </c>
      <c r="M2991" s="29">
        <v>0</v>
      </c>
      <c r="N2991" t="s">
        <v>32</v>
      </c>
      <c r="O2991" t="s">
        <v>33</v>
      </c>
      <c r="P2991" t="s">
        <v>34</v>
      </c>
      <c r="Q2991" t="s">
        <v>34</v>
      </c>
      <c r="R2991" t="s">
        <v>34</v>
      </c>
      <c r="S2991" t="s">
        <v>34</v>
      </c>
      <c r="T2991" s="117">
        <v>0</v>
      </c>
    </row>
    <row r="2992" spans="1:20" x14ac:dyDescent="0.35">
      <c r="A2992" t="s">
        <v>19</v>
      </c>
      <c r="B2992" t="s">
        <v>19</v>
      </c>
      <c r="C2992" s="1">
        <v>45700</v>
      </c>
      <c r="D2992">
        <f t="shared" si="212"/>
        <v>12</v>
      </c>
      <c r="E2992">
        <f t="shared" si="213"/>
        <v>2</v>
      </c>
      <c r="F2992">
        <f t="shared" si="214"/>
        <v>2025</v>
      </c>
      <c r="G2992" t="s">
        <v>56</v>
      </c>
      <c r="H2992" s="98" t="s">
        <v>853</v>
      </c>
      <c r="I2992" s="29">
        <v>1316.29</v>
      </c>
      <c r="J2992" s="12" t="s">
        <v>31</v>
      </c>
      <c r="K2992" s="76">
        <f t="shared" si="211"/>
        <v>1316.29</v>
      </c>
      <c r="L2992">
        <v>1</v>
      </c>
      <c r="M2992" s="29">
        <v>0</v>
      </c>
      <c r="N2992" t="s">
        <v>32</v>
      </c>
      <c r="O2992" t="s">
        <v>33</v>
      </c>
      <c r="P2992" t="s">
        <v>34</v>
      </c>
      <c r="Q2992" t="s">
        <v>34</v>
      </c>
      <c r="R2992" t="s">
        <v>34</v>
      </c>
      <c r="S2992" t="s">
        <v>34</v>
      </c>
      <c r="T2992" s="117">
        <v>0</v>
      </c>
    </row>
    <row r="2993" spans="1:20" x14ac:dyDescent="0.35">
      <c r="A2993" t="s">
        <v>19</v>
      </c>
      <c r="B2993" t="s">
        <v>19</v>
      </c>
      <c r="C2993" s="1">
        <v>45700</v>
      </c>
      <c r="D2993">
        <f t="shared" si="212"/>
        <v>12</v>
      </c>
      <c r="E2993">
        <f t="shared" si="213"/>
        <v>2</v>
      </c>
      <c r="F2993">
        <f t="shared" si="214"/>
        <v>2025</v>
      </c>
      <c r="G2993" t="s">
        <v>56</v>
      </c>
      <c r="H2993" s="98" t="s">
        <v>854</v>
      </c>
      <c r="I2993" s="29">
        <v>164143.62</v>
      </c>
      <c r="J2993" s="12" t="s">
        <v>31</v>
      </c>
      <c r="K2993" s="76">
        <f t="shared" si="211"/>
        <v>164143.62</v>
      </c>
      <c r="L2993">
        <v>1</v>
      </c>
      <c r="M2993" s="29">
        <v>0</v>
      </c>
      <c r="N2993" t="s">
        <v>32</v>
      </c>
      <c r="O2993" t="s">
        <v>33</v>
      </c>
      <c r="P2993" t="s">
        <v>34</v>
      </c>
      <c r="Q2993" t="s">
        <v>34</v>
      </c>
      <c r="R2993" t="s">
        <v>34</v>
      </c>
      <c r="S2993" t="s">
        <v>34</v>
      </c>
      <c r="T2993" s="117">
        <v>0</v>
      </c>
    </row>
    <row r="2994" spans="1:20" x14ac:dyDescent="0.35">
      <c r="A2994" t="s">
        <v>19</v>
      </c>
      <c r="B2994" t="s">
        <v>19</v>
      </c>
      <c r="C2994" s="1">
        <v>45700</v>
      </c>
      <c r="D2994">
        <f t="shared" si="212"/>
        <v>12</v>
      </c>
      <c r="E2994">
        <f t="shared" si="213"/>
        <v>2</v>
      </c>
      <c r="F2994">
        <f t="shared" si="214"/>
        <v>2025</v>
      </c>
      <c r="G2994" t="s">
        <v>56</v>
      </c>
      <c r="H2994" s="98" t="s">
        <v>855</v>
      </c>
      <c r="I2994" s="29">
        <v>174639.22</v>
      </c>
      <c r="J2994" s="12" t="s">
        <v>31</v>
      </c>
      <c r="K2994" s="76">
        <f t="shared" si="211"/>
        <v>174639.22</v>
      </c>
      <c r="L2994">
        <v>1</v>
      </c>
      <c r="M2994" s="29">
        <v>0</v>
      </c>
      <c r="N2994" t="s">
        <v>32</v>
      </c>
      <c r="O2994" t="s">
        <v>33</v>
      </c>
      <c r="P2994" t="s">
        <v>34</v>
      </c>
      <c r="Q2994" t="s">
        <v>34</v>
      </c>
      <c r="R2994" t="s">
        <v>34</v>
      </c>
      <c r="S2994" t="s">
        <v>34</v>
      </c>
      <c r="T2994" s="117">
        <v>0</v>
      </c>
    </row>
    <row r="2995" spans="1:20" x14ac:dyDescent="0.35">
      <c r="A2995" t="s">
        <v>19</v>
      </c>
      <c r="B2995" t="s">
        <v>19</v>
      </c>
      <c r="C2995" s="1">
        <v>45700</v>
      </c>
      <c r="D2995">
        <f t="shared" si="212"/>
        <v>12</v>
      </c>
      <c r="E2995">
        <f t="shared" si="213"/>
        <v>2</v>
      </c>
      <c r="F2995">
        <f t="shared" si="214"/>
        <v>2025</v>
      </c>
      <c r="G2995" t="s">
        <v>56</v>
      </c>
      <c r="H2995" s="98" t="s">
        <v>856</v>
      </c>
      <c r="I2995" s="29">
        <v>177905.51</v>
      </c>
      <c r="J2995" s="12" t="s">
        <v>31</v>
      </c>
      <c r="K2995" s="76">
        <f t="shared" si="211"/>
        <v>177905.51</v>
      </c>
      <c r="L2995">
        <v>1</v>
      </c>
      <c r="M2995" s="29">
        <v>0</v>
      </c>
      <c r="N2995" t="s">
        <v>32</v>
      </c>
      <c r="O2995" t="s">
        <v>33</v>
      </c>
      <c r="P2995" t="s">
        <v>34</v>
      </c>
      <c r="Q2995" t="s">
        <v>34</v>
      </c>
      <c r="R2995" t="s">
        <v>34</v>
      </c>
      <c r="S2995" t="s">
        <v>34</v>
      </c>
      <c r="T2995" s="117">
        <v>0</v>
      </c>
    </row>
    <row r="2996" spans="1:20" x14ac:dyDescent="0.35">
      <c r="A2996" t="s">
        <v>19</v>
      </c>
      <c r="B2996" t="s">
        <v>19</v>
      </c>
      <c r="C2996" s="1">
        <v>45700</v>
      </c>
      <c r="D2996">
        <f t="shared" si="212"/>
        <v>12</v>
      </c>
      <c r="E2996">
        <f t="shared" si="213"/>
        <v>2</v>
      </c>
      <c r="F2996">
        <f t="shared" si="214"/>
        <v>2025</v>
      </c>
      <c r="G2996" t="s">
        <v>125</v>
      </c>
      <c r="H2996" s="98" t="s">
        <v>857</v>
      </c>
      <c r="I2996" s="29">
        <v>113069.35</v>
      </c>
      <c r="J2996" s="12" t="s">
        <v>31</v>
      </c>
      <c r="K2996" s="76">
        <f t="shared" si="211"/>
        <v>113069.35</v>
      </c>
      <c r="L2996">
        <v>1</v>
      </c>
      <c r="M2996" s="29">
        <v>0</v>
      </c>
      <c r="N2996" t="s">
        <v>32</v>
      </c>
      <c r="O2996" t="s">
        <v>33</v>
      </c>
      <c r="P2996" t="s">
        <v>34</v>
      </c>
      <c r="Q2996" t="s">
        <v>34</v>
      </c>
      <c r="R2996" t="s">
        <v>34</v>
      </c>
      <c r="S2996" t="s">
        <v>34</v>
      </c>
      <c r="T2996" s="117">
        <v>0</v>
      </c>
    </row>
    <row r="2997" spans="1:20" x14ac:dyDescent="0.35">
      <c r="A2997" t="s">
        <v>19</v>
      </c>
      <c r="B2997" t="s">
        <v>19</v>
      </c>
      <c r="C2997" s="1">
        <v>45700</v>
      </c>
      <c r="D2997">
        <f t="shared" si="212"/>
        <v>12</v>
      </c>
      <c r="E2997">
        <f t="shared" si="213"/>
        <v>2</v>
      </c>
      <c r="F2997">
        <f t="shared" si="214"/>
        <v>2025</v>
      </c>
      <c r="G2997" t="s">
        <v>55</v>
      </c>
      <c r="H2997" s="98" t="s">
        <v>858</v>
      </c>
      <c r="I2997" s="29">
        <v>36782.239999999998</v>
      </c>
      <c r="J2997" s="12" t="s">
        <v>31</v>
      </c>
      <c r="K2997" s="76">
        <f t="shared" si="211"/>
        <v>36782.239999999998</v>
      </c>
      <c r="L2997">
        <v>1</v>
      </c>
      <c r="M2997" s="29">
        <v>0</v>
      </c>
      <c r="N2997" t="s">
        <v>32</v>
      </c>
      <c r="O2997" t="s">
        <v>33</v>
      </c>
      <c r="P2997" t="s">
        <v>34</v>
      </c>
      <c r="Q2997" t="s">
        <v>34</v>
      </c>
      <c r="R2997" t="s">
        <v>34</v>
      </c>
      <c r="S2997" t="s">
        <v>34</v>
      </c>
      <c r="T2997" s="117">
        <v>0</v>
      </c>
    </row>
    <row r="2998" spans="1:20" x14ac:dyDescent="0.35">
      <c r="A2998" t="s">
        <v>19</v>
      </c>
      <c r="B2998" t="s">
        <v>19</v>
      </c>
      <c r="C2998" s="1">
        <v>45700</v>
      </c>
      <c r="D2998">
        <f t="shared" si="212"/>
        <v>12</v>
      </c>
      <c r="E2998">
        <f t="shared" si="213"/>
        <v>2</v>
      </c>
      <c r="F2998">
        <f t="shared" si="214"/>
        <v>2025</v>
      </c>
      <c r="G2998" t="s">
        <v>554</v>
      </c>
      <c r="H2998" s="98" t="s">
        <v>859</v>
      </c>
      <c r="I2998" s="29">
        <v>31684.69</v>
      </c>
      <c r="J2998" s="12" t="s">
        <v>31</v>
      </c>
      <c r="K2998" s="76">
        <f t="shared" si="211"/>
        <v>31684.69</v>
      </c>
      <c r="L2998">
        <v>1</v>
      </c>
      <c r="M2998" s="29">
        <v>0</v>
      </c>
      <c r="N2998" t="s">
        <v>32</v>
      </c>
      <c r="O2998" t="s">
        <v>33</v>
      </c>
      <c r="P2998" t="s">
        <v>34</v>
      </c>
      <c r="Q2998" t="s">
        <v>34</v>
      </c>
      <c r="R2998" t="s">
        <v>34</v>
      </c>
      <c r="S2998" t="s">
        <v>34</v>
      </c>
      <c r="T2998" s="117">
        <v>0</v>
      </c>
    </row>
    <row r="2999" spans="1:20" x14ac:dyDescent="0.35">
      <c r="A2999" t="s">
        <v>19</v>
      </c>
      <c r="B2999" t="s">
        <v>19</v>
      </c>
      <c r="C2999" s="1">
        <v>45700</v>
      </c>
      <c r="D2999">
        <f t="shared" si="212"/>
        <v>12</v>
      </c>
      <c r="E2999">
        <f t="shared" si="213"/>
        <v>2</v>
      </c>
      <c r="F2999">
        <f t="shared" si="214"/>
        <v>2025</v>
      </c>
      <c r="G2999" t="s">
        <v>82</v>
      </c>
      <c r="H2999" s="98" t="s">
        <v>860</v>
      </c>
      <c r="I2999" s="29">
        <v>13599.31</v>
      </c>
      <c r="J2999" s="12" t="s">
        <v>31</v>
      </c>
      <c r="K2999" s="76">
        <f t="shared" si="211"/>
        <v>13599.31</v>
      </c>
      <c r="L2999">
        <v>1</v>
      </c>
      <c r="M2999" s="29">
        <v>0</v>
      </c>
      <c r="N2999" t="s">
        <v>32</v>
      </c>
      <c r="O2999" t="s">
        <v>33</v>
      </c>
      <c r="P2999" t="s">
        <v>34</v>
      </c>
      <c r="Q2999" t="s">
        <v>34</v>
      </c>
      <c r="R2999" t="s">
        <v>34</v>
      </c>
      <c r="S2999" t="s">
        <v>34</v>
      </c>
      <c r="T2999" s="117">
        <v>0</v>
      </c>
    </row>
    <row r="3000" spans="1:20" x14ac:dyDescent="0.35">
      <c r="A3000" t="s">
        <v>19</v>
      </c>
      <c r="B3000" t="s">
        <v>19</v>
      </c>
      <c r="C3000" s="1">
        <v>45700</v>
      </c>
      <c r="D3000">
        <f t="shared" si="212"/>
        <v>12</v>
      </c>
      <c r="E3000">
        <f t="shared" si="213"/>
        <v>2</v>
      </c>
      <c r="F3000">
        <f t="shared" si="214"/>
        <v>2025</v>
      </c>
      <c r="G3000" t="s">
        <v>263</v>
      </c>
      <c r="H3000" s="98" t="s">
        <v>861</v>
      </c>
      <c r="I3000" s="29">
        <v>21428.29</v>
      </c>
      <c r="J3000" s="12" t="s">
        <v>31</v>
      </c>
      <c r="K3000" s="76">
        <f t="shared" si="211"/>
        <v>21428.29</v>
      </c>
      <c r="L3000">
        <v>1</v>
      </c>
      <c r="M3000" s="29">
        <v>0</v>
      </c>
      <c r="N3000" t="s">
        <v>32</v>
      </c>
      <c r="O3000" t="s">
        <v>33</v>
      </c>
      <c r="P3000" t="s">
        <v>34</v>
      </c>
      <c r="Q3000" t="s">
        <v>34</v>
      </c>
      <c r="R3000" t="s">
        <v>34</v>
      </c>
      <c r="S3000" t="s">
        <v>34</v>
      </c>
      <c r="T3000" s="117">
        <v>0</v>
      </c>
    </row>
    <row r="3001" spans="1:20" x14ac:dyDescent="0.35">
      <c r="A3001" t="s">
        <v>19</v>
      </c>
      <c r="B3001" t="s">
        <v>19</v>
      </c>
      <c r="C3001" s="1">
        <v>45700</v>
      </c>
      <c r="D3001">
        <f t="shared" si="212"/>
        <v>12</v>
      </c>
      <c r="E3001">
        <f t="shared" si="213"/>
        <v>2</v>
      </c>
      <c r="F3001">
        <f t="shared" si="214"/>
        <v>2025</v>
      </c>
      <c r="G3001" t="s">
        <v>124</v>
      </c>
      <c r="H3001" s="98" t="s">
        <v>862</v>
      </c>
      <c r="I3001" s="29">
        <v>26719.26</v>
      </c>
      <c r="J3001" s="12" t="s">
        <v>31</v>
      </c>
      <c r="K3001" s="76">
        <f t="shared" si="211"/>
        <v>26719.26</v>
      </c>
      <c r="L3001">
        <v>1</v>
      </c>
      <c r="M3001" s="29">
        <v>0</v>
      </c>
      <c r="N3001" t="s">
        <v>32</v>
      </c>
      <c r="O3001" t="s">
        <v>33</v>
      </c>
      <c r="P3001" t="s">
        <v>34</v>
      </c>
      <c r="Q3001" t="s">
        <v>34</v>
      </c>
      <c r="R3001" t="s">
        <v>34</v>
      </c>
      <c r="S3001" t="s">
        <v>34</v>
      </c>
      <c r="T3001" s="117">
        <v>0</v>
      </c>
    </row>
    <row r="3002" spans="1:20" x14ac:dyDescent="0.35">
      <c r="A3002" t="s">
        <v>19</v>
      </c>
      <c r="B3002" t="s">
        <v>19</v>
      </c>
      <c r="C3002" s="1">
        <v>45700</v>
      </c>
      <c r="D3002">
        <f t="shared" si="212"/>
        <v>12</v>
      </c>
      <c r="E3002">
        <f t="shared" si="213"/>
        <v>2</v>
      </c>
      <c r="F3002">
        <f t="shared" si="214"/>
        <v>2025</v>
      </c>
      <c r="G3002" t="s">
        <v>126</v>
      </c>
      <c r="H3002" s="98" t="s">
        <v>863</v>
      </c>
      <c r="I3002" s="29">
        <v>40814.1</v>
      </c>
      <c r="J3002" s="12" t="s">
        <v>31</v>
      </c>
      <c r="K3002" s="76">
        <f t="shared" si="211"/>
        <v>40814.1</v>
      </c>
      <c r="L3002">
        <v>1</v>
      </c>
      <c r="M3002" s="29">
        <v>0</v>
      </c>
      <c r="N3002" t="s">
        <v>32</v>
      </c>
      <c r="O3002" t="s">
        <v>33</v>
      </c>
      <c r="P3002" t="s">
        <v>34</v>
      </c>
      <c r="Q3002" t="s">
        <v>34</v>
      </c>
      <c r="R3002" t="s">
        <v>34</v>
      </c>
      <c r="S3002" t="s">
        <v>34</v>
      </c>
      <c r="T3002" s="117">
        <v>0</v>
      </c>
    </row>
    <row r="3003" spans="1:20" x14ac:dyDescent="0.35">
      <c r="A3003" t="s">
        <v>19</v>
      </c>
      <c r="B3003" t="s">
        <v>19</v>
      </c>
      <c r="C3003" s="1">
        <v>45700</v>
      </c>
      <c r="D3003">
        <f t="shared" si="212"/>
        <v>12</v>
      </c>
      <c r="E3003">
        <f t="shared" si="213"/>
        <v>2</v>
      </c>
      <c r="F3003">
        <f t="shared" si="214"/>
        <v>2025</v>
      </c>
      <c r="G3003" t="s">
        <v>129</v>
      </c>
      <c r="H3003" s="98" t="s">
        <v>822</v>
      </c>
      <c r="I3003" s="29">
        <v>35932.68</v>
      </c>
      <c r="J3003" s="12" t="s">
        <v>31</v>
      </c>
      <c r="K3003" s="76">
        <f t="shared" si="211"/>
        <v>35932.68</v>
      </c>
      <c r="L3003">
        <v>1</v>
      </c>
      <c r="M3003" s="29">
        <v>0</v>
      </c>
      <c r="N3003" t="s">
        <v>32</v>
      </c>
      <c r="O3003" t="s">
        <v>33</v>
      </c>
      <c r="P3003" t="s">
        <v>34</v>
      </c>
      <c r="Q3003" t="s">
        <v>34</v>
      </c>
      <c r="R3003" t="s">
        <v>34</v>
      </c>
      <c r="S3003" t="s">
        <v>34</v>
      </c>
      <c r="T3003" s="117">
        <v>0</v>
      </c>
    </row>
    <row r="3004" spans="1:20" x14ac:dyDescent="0.35">
      <c r="A3004" t="s">
        <v>20</v>
      </c>
      <c r="B3004" t="s">
        <v>23</v>
      </c>
      <c r="C3004" s="1">
        <v>45700</v>
      </c>
      <c r="D3004">
        <f t="shared" si="212"/>
        <v>12</v>
      </c>
      <c r="E3004">
        <f t="shared" si="213"/>
        <v>2</v>
      </c>
      <c r="F3004">
        <f t="shared" si="214"/>
        <v>2025</v>
      </c>
      <c r="G3004" t="s">
        <v>118</v>
      </c>
      <c r="H3004" s="98">
        <v>11636</v>
      </c>
      <c r="I3004" s="29">
        <v>5082</v>
      </c>
      <c r="J3004" s="12" t="s">
        <v>31</v>
      </c>
      <c r="K3004" s="76">
        <f t="shared" si="211"/>
        <v>5082</v>
      </c>
      <c r="L3004">
        <v>1</v>
      </c>
      <c r="M3004" s="29">
        <v>0</v>
      </c>
      <c r="N3004" t="s">
        <v>32</v>
      </c>
      <c r="O3004" t="s">
        <v>33</v>
      </c>
      <c r="P3004" t="s">
        <v>34</v>
      </c>
      <c r="Q3004" t="s">
        <v>34</v>
      </c>
      <c r="R3004" t="s">
        <v>34</v>
      </c>
      <c r="S3004" t="s">
        <v>34</v>
      </c>
      <c r="T3004" s="117">
        <v>0</v>
      </c>
    </row>
    <row r="3005" spans="1:20" x14ac:dyDescent="0.35">
      <c r="A3005" t="s">
        <v>20</v>
      </c>
      <c r="B3005" t="s">
        <v>21</v>
      </c>
      <c r="C3005" s="1">
        <v>45700</v>
      </c>
      <c r="D3005">
        <f t="shared" si="212"/>
        <v>12</v>
      </c>
      <c r="E3005">
        <f t="shared" si="213"/>
        <v>2</v>
      </c>
      <c r="F3005">
        <f t="shared" si="214"/>
        <v>2025</v>
      </c>
      <c r="G3005" t="s">
        <v>118</v>
      </c>
      <c r="H3005" s="98">
        <v>11636</v>
      </c>
      <c r="I3005" s="29">
        <v>32783.699999999997</v>
      </c>
      <c r="J3005" s="12" t="s">
        <v>31</v>
      </c>
      <c r="K3005" s="76">
        <f t="shared" si="211"/>
        <v>32783.699999999997</v>
      </c>
      <c r="L3005">
        <v>1</v>
      </c>
      <c r="M3005" s="29">
        <v>0</v>
      </c>
      <c r="N3005" t="s">
        <v>32</v>
      </c>
      <c r="O3005" t="s">
        <v>33</v>
      </c>
      <c r="P3005" t="s">
        <v>34</v>
      </c>
      <c r="Q3005" t="s">
        <v>34</v>
      </c>
      <c r="R3005" t="s">
        <v>34</v>
      </c>
      <c r="S3005" t="s">
        <v>34</v>
      </c>
      <c r="T3005" s="117">
        <v>0</v>
      </c>
    </row>
    <row r="3006" spans="1:20" x14ac:dyDescent="0.35">
      <c r="A3006" t="s">
        <v>20</v>
      </c>
      <c r="B3006" t="s">
        <v>25</v>
      </c>
      <c r="C3006" s="1">
        <v>45700</v>
      </c>
      <c r="D3006">
        <f t="shared" si="212"/>
        <v>12</v>
      </c>
      <c r="E3006">
        <f t="shared" si="213"/>
        <v>2</v>
      </c>
      <c r="F3006">
        <f t="shared" si="214"/>
        <v>2025</v>
      </c>
      <c r="G3006" t="s">
        <v>99</v>
      </c>
      <c r="H3006" s="98">
        <v>11611</v>
      </c>
      <c r="I3006" s="29">
        <v>19011.53</v>
      </c>
      <c r="J3006" s="12" t="s">
        <v>31</v>
      </c>
      <c r="K3006" s="76">
        <f t="shared" si="211"/>
        <v>19011.53</v>
      </c>
      <c r="L3006">
        <v>1</v>
      </c>
      <c r="M3006" s="29">
        <v>0</v>
      </c>
      <c r="N3006" t="s">
        <v>32</v>
      </c>
      <c r="O3006" t="s">
        <v>33</v>
      </c>
      <c r="P3006" t="s">
        <v>34</v>
      </c>
      <c r="Q3006" t="s">
        <v>34</v>
      </c>
      <c r="R3006" t="s">
        <v>34</v>
      </c>
      <c r="S3006" t="s">
        <v>34</v>
      </c>
      <c r="T3006" s="117">
        <v>0</v>
      </c>
    </row>
    <row r="3007" spans="1:20" x14ac:dyDescent="0.35">
      <c r="A3007" t="s">
        <v>20</v>
      </c>
      <c r="B3007" t="s">
        <v>21</v>
      </c>
      <c r="C3007" s="1">
        <v>45700</v>
      </c>
      <c r="D3007">
        <f t="shared" si="212"/>
        <v>12</v>
      </c>
      <c r="E3007">
        <f t="shared" si="213"/>
        <v>2</v>
      </c>
      <c r="F3007">
        <f t="shared" si="214"/>
        <v>2025</v>
      </c>
      <c r="G3007" t="s">
        <v>45</v>
      </c>
      <c r="H3007" s="98">
        <v>11509</v>
      </c>
      <c r="I3007" s="29">
        <v>6636.32</v>
      </c>
      <c r="J3007" s="12" t="s">
        <v>31</v>
      </c>
      <c r="K3007" s="76">
        <f t="shared" si="211"/>
        <v>6636.32</v>
      </c>
      <c r="L3007">
        <v>1</v>
      </c>
      <c r="M3007" s="29">
        <v>0</v>
      </c>
      <c r="N3007" t="s">
        <v>32</v>
      </c>
      <c r="O3007" t="s">
        <v>33</v>
      </c>
      <c r="P3007" t="s">
        <v>34</v>
      </c>
      <c r="Q3007" t="s">
        <v>34</v>
      </c>
      <c r="R3007" t="s">
        <v>34</v>
      </c>
      <c r="S3007" t="s">
        <v>34</v>
      </c>
      <c r="T3007" s="117">
        <v>0</v>
      </c>
    </row>
    <row r="3008" spans="1:20" x14ac:dyDescent="0.35">
      <c r="A3008" t="s">
        <v>20</v>
      </c>
      <c r="B3008" t="s">
        <v>25</v>
      </c>
      <c r="C3008" s="1">
        <v>45700</v>
      </c>
      <c r="D3008">
        <f t="shared" si="212"/>
        <v>12</v>
      </c>
      <c r="E3008">
        <f t="shared" si="213"/>
        <v>2</v>
      </c>
      <c r="F3008">
        <f t="shared" si="214"/>
        <v>2025</v>
      </c>
      <c r="G3008" t="s">
        <v>43</v>
      </c>
      <c r="H3008" s="98">
        <v>11918</v>
      </c>
      <c r="I3008" s="29">
        <v>15206.34</v>
      </c>
      <c r="J3008" s="12" t="s">
        <v>31</v>
      </c>
      <c r="K3008" s="76">
        <f t="shared" si="211"/>
        <v>15206.34</v>
      </c>
      <c r="L3008">
        <v>1</v>
      </c>
      <c r="M3008" s="29">
        <v>0</v>
      </c>
      <c r="N3008" t="s">
        <v>32</v>
      </c>
      <c r="O3008" t="s">
        <v>33</v>
      </c>
      <c r="P3008" t="s">
        <v>34</v>
      </c>
      <c r="Q3008" t="s">
        <v>34</v>
      </c>
      <c r="R3008" t="s">
        <v>34</v>
      </c>
      <c r="S3008" t="s">
        <v>34</v>
      </c>
      <c r="T3008" s="117">
        <v>0</v>
      </c>
    </row>
    <row r="3009" spans="1:21" x14ac:dyDescent="0.35">
      <c r="A3009" t="s">
        <v>20</v>
      </c>
      <c r="B3009" t="s">
        <v>23</v>
      </c>
      <c r="C3009" s="1">
        <v>45700</v>
      </c>
      <c r="D3009">
        <f t="shared" si="212"/>
        <v>12</v>
      </c>
      <c r="E3009">
        <f t="shared" si="213"/>
        <v>2</v>
      </c>
      <c r="F3009">
        <f t="shared" si="214"/>
        <v>2025</v>
      </c>
      <c r="G3009" t="s">
        <v>86</v>
      </c>
      <c r="H3009" s="98">
        <v>11631</v>
      </c>
      <c r="I3009" s="29">
        <v>7275.5</v>
      </c>
      <c r="J3009" s="12" t="s">
        <v>31</v>
      </c>
      <c r="K3009" s="76">
        <f t="shared" si="211"/>
        <v>7275.5</v>
      </c>
      <c r="L3009">
        <v>1</v>
      </c>
      <c r="M3009" s="29">
        <v>0</v>
      </c>
      <c r="N3009" t="s">
        <v>32</v>
      </c>
      <c r="O3009" t="s">
        <v>33</v>
      </c>
      <c r="P3009" t="s">
        <v>34</v>
      </c>
      <c r="Q3009" t="s">
        <v>34</v>
      </c>
      <c r="R3009" t="s">
        <v>34</v>
      </c>
      <c r="S3009" t="s">
        <v>34</v>
      </c>
      <c r="T3009" s="117">
        <v>0</v>
      </c>
    </row>
    <row r="3010" spans="1:21" x14ac:dyDescent="0.35">
      <c r="A3010" t="s">
        <v>20</v>
      </c>
      <c r="B3010" t="s">
        <v>23</v>
      </c>
      <c r="C3010" s="1">
        <v>45700</v>
      </c>
      <c r="D3010">
        <f t="shared" si="212"/>
        <v>12</v>
      </c>
      <c r="E3010">
        <f t="shared" si="213"/>
        <v>2</v>
      </c>
      <c r="F3010">
        <f t="shared" si="214"/>
        <v>2025</v>
      </c>
      <c r="G3010" t="s">
        <v>86</v>
      </c>
      <c r="H3010" s="98">
        <v>11630</v>
      </c>
      <c r="I3010" s="29">
        <v>25</v>
      </c>
      <c r="J3010" s="12" t="s">
        <v>31</v>
      </c>
      <c r="K3010" s="76">
        <f t="shared" ref="K3010:K3073" si="215">IF(J3010="USD",I3010,I3010*L3010)</f>
        <v>25</v>
      </c>
      <c r="L3010">
        <v>1</v>
      </c>
      <c r="M3010" s="29">
        <v>0</v>
      </c>
      <c r="N3010" t="s">
        <v>32</v>
      </c>
      <c r="O3010" t="s">
        <v>33</v>
      </c>
      <c r="P3010" t="s">
        <v>34</v>
      </c>
      <c r="Q3010" t="s">
        <v>34</v>
      </c>
      <c r="R3010" t="s">
        <v>34</v>
      </c>
      <c r="S3010" t="s">
        <v>34</v>
      </c>
      <c r="T3010" s="117">
        <v>0</v>
      </c>
    </row>
    <row r="3011" spans="1:21" x14ac:dyDescent="0.35">
      <c r="A3011" t="s">
        <v>20</v>
      </c>
      <c r="B3011" t="s">
        <v>21</v>
      </c>
      <c r="C3011" s="1">
        <v>45700</v>
      </c>
      <c r="D3011">
        <f t="shared" ref="D3011:D3074" si="216">DAY(C3011)</f>
        <v>12</v>
      </c>
      <c r="E3011">
        <f t="shared" ref="E3011:E3074" si="217">MONTH(C3011)</f>
        <v>2</v>
      </c>
      <c r="F3011">
        <f t="shared" ref="F3011:F3074" si="218">YEAR(C3011)</f>
        <v>2025</v>
      </c>
      <c r="G3011" t="s">
        <v>86</v>
      </c>
      <c r="H3011" s="98">
        <v>11417</v>
      </c>
      <c r="I3011" s="29">
        <v>88.62</v>
      </c>
      <c r="J3011" s="12" t="s">
        <v>31</v>
      </c>
      <c r="K3011" s="76">
        <f t="shared" si="215"/>
        <v>88.62</v>
      </c>
      <c r="L3011">
        <v>1</v>
      </c>
      <c r="M3011" s="29">
        <v>0</v>
      </c>
      <c r="N3011" t="s">
        <v>32</v>
      </c>
      <c r="O3011" t="s">
        <v>33</v>
      </c>
      <c r="P3011" t="s">
        <v>34</v>
      </c>
      <c r="Q3011" t="s">
        <v>34</v>
      </c>
      <c r="R3011" t="s">
        <v>34</v>
      </c>
      <c r="S3011" t="s">
        <v>34</v>
      </c>
      <c r="T3011" s="117">
        <v>0</v>
      </c>
    </row>
    <row r="3012" spans="1:21" x14ac:dyDescent="0.35">
      <c r="A3012" t="s">
        <v>20</v>
      </c>
      <c r="B3012" t="s">
        <v>21</v>
      </c>
      <c r="C3012" s="1">
        <v>45700</v>
      </c>
      <c r="D3012">
        <f t="shared" si="216"/>
        <v>12</v>
      </c>
      <c r="E3012">
        <f t="shared" si="217"/>
        <v>2</v>
      </c>
      <c r="F3012">
        <f t="shared" si="218"/>
        <v>2025</v>
      </c>
      <c r="G3012" t="s">
        <v>86</v>
      </c>
      <c r="H3012" s="98">
        <v>11418</v>
      </c>
      <c r="I3012" s="29">
        <v>10203.77</v>
      </c>
      <c r="J3012" s="12" t="s">
        <v>31</v>
      </c>
      <c r="K3012" s="76">
        <f t="shared" si="215"/>
        <v>10203.77</v>
      </c>
      <c r="L3012">
        <v>1</v>
      </c>
      <c r="M3012" s="29">
        <v>0</v>
      </c>
      <c r="N3012" t="s">
        <v>32</v>
      </c>
      <c r="O3012" t="s">
        <v>33</v>
      </c>
      <c r="P3012" t="s">
        <v>34</v>
      </c>
      <c r="Q3012" t="s">
        <v>34</v>
      </c>
      <c r="R3012" t="s">
        <v>34</v>
      </c>
      <c r="S3012" t="s">
        <v>34</v>
      </c>
      <c r="T3012" s="117">
        <v>0</v>
      </c>
    </row>
    <row r="3013" spans="1:21" x14ac:dyDescent="0.35">
      <c r="A3013" t="s">
        <v>20</v>
      </c>
      <c r="B3013" t="s">
        <v>23</v>
      </c>
      <c r="C3013" s="1">
        <v>45700</v>
      </c>
      <c r="D3013">
        <f t="shared" si="216"/>
        <v>12</v>
      </c>
      <c r="E3013">
        <f t="shared" si="217"/>
        <v>2</v>
      </c>
      <c r="F3013">
        <f t="shared" si="218"/>
        <v>2025</v>
      </c>
      <c r="G3013" t="s">
        <v>483</v>
      </c>
      <c r="H3013" s="98">
        <v>12001</v>
      </c>
      <c r="I3013" s="29">
        <v>30449.84</v>
      </c>
      <c r="J3013" s="12" t="s">
        <v>31</v>
      </c>
      <c r="K3013" s="76">
        <f t="shared" si="215"/>
        <v>30449.84</v>
      </c>
      <c r="L3013">
        <v>1</v>
      </c>
      <c r="M3013" s="29">
        <v>0</v>
      </c>
      <c r="N3013" t="s">
        <v>32</v>
      </c>
      <c r="O3013" t="s">
        <v>33</v>
      </c>
      <c r="P3013" t="s">
        <v>34</v>
      </c>
      <c r="Q3013" t="s">
        <v>34</v>
      </c>
      <c r="R3013" t="s">
        <v>34</v>
      </c>
      <c r="S3013" t="s">
        <v>34</v>
      </c>
      <c r="T3013" s="117">
        <v>0</v>
      </c>
    </row>
    <row r="3014" spans="1:21" x14ac:dyDescent="0.35">
      <c r="A3014" t="s">
        <v>20</v>
      </c>
      <c r="B3014" t="s">
        <v>25</v>
      </c>
      <c r="C3014" s="1">
        <v>45700</v>
      </c>
      <c r="D3014">
        <f t="shared" si="216"/>
        <v>12</v>
      </c>
      <c r="E3014">
        <f t="shared" si="217"/>
        <v>2</v>
      </c>
      <c r="F3014">
        <f t="shared" si="218"/>
        <v>2025</v>
      </c>
      <c r="G3014" t="s">
        <v>41</v>
      </c>
      <c r="H3014" s="98">
        <v>11736</v>
      </c>
      <c r="I3014" s="29">
        <v>141.22999999999999</v>
      </c>
      <c r="J3014" s="12" t="s">
        <v>31</v>
      </c>
      <c r="K3014" s="76">
        <f t="shared" si="215"/>
        <v>141.22999999999999</v>
      </c>
      <c r="L3014">
        <v>1</v>
      </c>
      <c r="M3014" s="29">
        <v>0</v>
      </c>
      <c r="N3014" t="s">
        <v>32</v>
      </c>
      <c r="O3014" t="s">
        <v>33</v>
      </c>
      <c r="P3014" t="s">
        <v>34</v>
      </c>
      <c r="Q3014" t="s">
        <v>34</v>
      </c>
      <c r="R3014" t="s">
        <v>34</v>
      </c>
      <c r="S3014" t="s">
        <v>34</v>
      </c>
      <c r="T3014" s="117">
        <v>0</v>
      </c>
    </row>
    <row r="3015" spans="1:21" x14ac:dyDescent="0.35">
      <c r="A3015" t="s">
        <v>20</v>
      </c>
      <c r="B3015" t="s">
        <v>23</v>
      </c>
      <c r="C3015" s="1">
        <v>45700</v>
      </c>
      <c r="D3015">
        <f t="shared" si="216"/>
        <v>12</v>
      </c>
      <c r="E3015">
        <f t="shared" si="217"/>
        <v>2</v>
      </c>
      <c r="F3015">
        <f t="shared" si="218"/>
        <v>2025</v>
      </c>
      <c r="G3015" t="s">
        <v>177</v>
      </c>
      <c r="H3015" s="98">
        <v>11927</v>
      </c>
      <c r="I3015" s="29">
        <v>7470.98</v>
      </c>
      <c r="J3015" s="12" t="s">
        <v>31</v>
      </c>
      <c r="K3015" s="76">
        <f t="shared" si="215"/>
        <v>7470.98</v>
      </c>
      <c r="L3015">
        <v>1</v>
      </c>
      <c r="M3015" s="29">
        <v>0</v>
      </c>
      <c r="N3015" t="s">
        <v>42</v>
      </c>
      <c r="O3015" t="s">
        <v>33</v>
      </c>
      <c r="P3015" t="s">
        <v>34</v>
      </c>
      <c r="Q3015" t="s">
        <v>34</v>
      </c>
      <c r="R3015" t="s">
        <v>34</v>
      </c>
      <c r="S3015" t="s">
        <v>34</v>
      </c>
      <c r="T3015" s="117">
        <v>0</v>
      </c>
    </row>
    <row r="3016" spans="1:21" x14ac:dyDescent="0.35">
      <c r="A3016" t="s">
        <v>20</v>
      </c>
      <c r="B3016" t="s">
        <v>25</v>
      </c>
      <c r="C3016" s="1">
        <v>45700</v>
      </c>
      <c r="D3016">
        <f t="shared" si="216"/>
        <v>12</v>
      </c>
      <c r="E3016">
        <f t="shared" si="217"/>
        <v>2</v>
      </c>
      <c r="F3016">
        <f t="shared" si="218"/>
        <v>2025</v>
      </c>
      <c r="G3016" t="s">
        <v>211</v>
      </c>
      <c r="H3016" s="98">
        <v>11678</v>
      </c>
      <c r="I3016" s="29">
        <v>40985.550000000003</v>
      </c>
      <c r="J3016" s="12" t="s">
        <v>31</v>
      </c>
      <c r="K3016" s="76">
        <f t="shared" si="215"/>
        <v>40985.550000000003</v>
      </c>
      <c r="L3016">
        <v>1</v>
      </c>
      <c r="M3016" s="29">
        <v>0</v>
      </c>
      <c r="N3016" t="s">
        <v>42</v>
      </c>
      <c r="O3016" t="s">
        <v>33</v>
      </c>
      <c r="P3016" t="s">
        <v>34</v>
      </c>
      <c r="Q3016" t="s">
        <v>34</v>
      </c>
      <c r="R3016" t="s">
        <v>34</v>
      </c>
      <c r="S3016" t="s">
        <v>34</v>
      </c>
      <c r="T3016" s="117">
        <v>0</v>
      </c>
    </row>
    <row r="3017" spans="1:21" x14ac:dyDescent="0.35">
      <c r="A3017" t="s">
        <v>20</v>
      </c>
      <c r="B3017" t="s">
        <v>25</v>
      </c>
      <c r="C3017" s="1">
        <v>45700</v>
      </c>
      <c r="D3017">
        <f t="shared" si="216"/>
        <v>12</v>
      </c>
      <c r="E3017">
        <f t="shared" si="217"/>
        <v>2</v>
      </c>
      <c r="F3017">
        <f t="shared" si="218"/>
        <v>2025</v>
      </c>
      <c r="G3017" s="4" t="s">
        <v>96</v>
      </c>
      <c r="H3017" s="98">
        <v>12084</v>
      </c>
      <c r="I3017" s="29">
        <v>382</v>
      </c>
      <c r="J3017" s="12" t="s">
        <v>31</v>
      </c>
      <c r="K3017" s="76">
        <f t="shared" si="215"/>
        <v>382</v>
      </c>
      <c r="L3017">
        <v>1</v>
      </c>
      <c r="M3017" s="29">
        <v>0</v>
      </c>
      <c r="N3017" t="s">
        <v>32</v>
      </c>
      <c r="O3017" t="s">
        <v>33</v>
      </c>
      <c r="P3017" t="s">
        <v>34</v>
      </c>
      <c r="Q3017" t="s">
        <v>34</v>
      </c>
      <c r="R3017" t="s">
        <v>34</v>
      </c>
      <c r="S3017" t="s">
        <v>34</v>
      </c>
      <c r="T3017" s="117">
        <v>0</v>
      </c>
    </row>
    <row r="3018" spans="1:21" x14ac:dyDescent="0.35">
      <c r="A3018" t="s">
        <v>19</v>
      </c>
      <c r="B3018" t="s">
        <v>26</v>
      </c>
      <c r="C3018" s="1">
        <v>45701</v>
      </c>
      <c r="D3018">
        <f t="shared" si="216"/>
        <v>13</v>
      </c>
      <c r="E3018">
        <f t="shared" si="217"/>
        <v>2</v>
      </c>
      <c r="F3018">
        <f t="shared" si="218"/>
        <v>2025</v>
      </c>
      <c r="G3018" t="s">
        <v>187</v>
      </c>
      <c r="H3018" s="98">
        <v>0</v>
      </c>
      <c r="I3018" s="29">
        <v>15902.85</v>
      </c>
      <c r="J3018" s="12" t="s">
        <v>51</v>
      </c>
      <c r="K3018" s="76">
        <f t="shared" si="215"/>
        <v>16602.575400000002</v>
      </c>
      <c r="L3018">
        <v>1.044</v>
      </c>
      <c r="M3018" s="29">
        <v>0</v>
      </c>
      <c r="N3018" t="s">
        <v>32</v>
      </c>
      <c r="O3018" t="s">
        <v>33</v>
      </c>
      <c r="P3018" t="s">
        <v>34</v>
      </c>
      <c r="Q3018" t="s">
        <v>34</v>
      </c>
      <c r="R3018" t="s">
        <v>34</v>
      </c>
      <c r="S3018" t="s">
        <v>34</v>
      </c>
      <c r="T3018" s="117">
        <v>0</v>
      </c>
      <c r="U3018" s="209" t="s">
        <v>94</v>
      </c>
    </row>
    <row r="3019" spans="1:21" x14ac:dyDescent="0.35">
      <c r="A3019" t="s">
        <v>19</v>
      </c>
      <c r="B3019" t="s">
        <v>26</v>
      </c>
      <c r="C3019" s="1">
        <v>45701</v>
      </c>
      <c r="D3019">
        <f t="shared" si="216"/>
        <v>13</v>
      </c>
      <c r="E3019">
        <f t="shared" si="217"/>
        <v>2</v>
      </c>
      <c r="F3019">
        <f t="shared" si="218"/>
        <v>2025</v>
      </c>
      <c r="G3019" t="s">
        <v>73</v>
      </c>
      <c r="H3019" s="98">
        <v>12223</v>
      </c>
      <c r="I3019" s="29">
        <v>9566.92</v>
      </c>
      <c r="J3019" s="12" t="s">
        <v>51</v>
      </c>
      <c r="K3019" s="76">
        <f t="shared" si="215"/>
        <v>9987.8644800000002</v>
      </c>
      <c r="L3019">
        <v>1.044</v>
      </c>
      <c r="M3019" s="29">
        <v>0</v>
      </c>
      <c r="N3019" t="s">
        <v>32</v>
      </c>
      <c r="O3019" t="s">
        <v>33</v>
      </c>
      <c r="P3019" t="s">
        <v>34</v>
      </c>
      <c r="Q3019" t="s">
        <v>34</v>
      </c>
      <c r="R3019" t="s">
        <v>34</v>
      </c>
      <c r="S3019" t="s">
        <v>34</v>
      </c>
      <c r="T3019" s="117">
        <v>0</v>
      </c>
      <c r="U3019" s="209" t="s">
        <v>94</v>
      </c>
    </row>
    <row r="3020" spans="1:21" x14ac:dyDescent="0.35">
      <c r="A3020" t="s">
        <v>19</v>
      </c>
      <c r="B3020" t="s">
        <v>26</v>
      </c>
      <c r="C3020" s="1">
        <v>45701</v>
      </c>
      <c r="D3020">
        <f t="shared" si="216"/>
        <v>13</v>
      </c>
      <c r="E3020">
        <f t="shared" si="217"/>
        <v>2</v>
      </c>
      <c r="F3020">
        <f t="shared" si="218"/>
        <v>2025</v>
      </c>
      <c r="G3020" t="s">
        <v>73</v>
      </c>
      <c r="H3020" s="121">
        <v>12240</v>
      </c>
      <c r="I3020" s="29">
        <v>54839.08</v>
      </c>
      <c r="J3020" s="12" t="s">
        <v>51</v>
      </c>
      <c r="K3020" s="76">
        <f t="shared" si="215"/>
        <v>57251.999520000005</v>
      </c>
      <c r="L3020">
        <v>1.044</v>
      </c>
      <c r="M3020" s="29">
        <v>0</v>
      </c>
      <c r="N3020" t="s">
        <v>42</v>
      </c>
      <c r="O3020" t="s">
        <v>33</v>
      </c>
      <c r="P3020" t="s">
        <v>34</v>
      </c>
      <c r="Q3020" t="s">
        <v>34</v>
      </c>
      <c r="R3020" t="s">
        <v>34</v>
      </c>
      <c r="S3020" t="s">
        <v>34</v>
      </c>
      <c r="T3020" s="117">
        <v>0</v>
      </c>
      <c r="U3020" s="209" t="s">
        <v>94</v>
      </c>
    </row>
    <row r="3021" spans="1:21" x14ac:dyDescent="0.35">
      <c r="A3021" t="s">
        <v>19</v>
      </c>
      <c r="B3021" t="s">
        <v>26</v>
      </c>
      <c r="C3021" s="1">
        <v>45701</v>
      </c>
      <c r="D3021">
        <f t="shared" si="216"/>
        <v>13</v>
      </c>
      <c r="E3021">
        <f t="shared" si="217"/>
        <v>2</v>
      </c>
      <c r="F3021">
        <f t="shared" si="218"/>
        <v>2025</v>
      </c>
      <c r="G3021" t="s">
        <v>73</v>
      </c>
      <c r="H3021" s="121">
        <v>12250</v>
      </c>
      <c r="I3021" s="29">
        <v>90090.84</v>
      </c>
      <c r="J3021" s="12" t="s">
        <v>51</v>
      </c>
      <c r="K3021" s="76">
        <f t="shared" si="215"/>
        <v>94054.836960000001</v>
      </c>
      <c r="L3021">
        <v>1.044</v>
      </c>
      <c r="M3021" s="29">
        <v>0</v>
      </c>
      <c r="N3021" t="s">
        <v>42</v>
      </c>
      <c r="O3021" t="s">
        <v>33</v>
      </c>
      <c r="P3021" t="s">
        <v>34</v>
      </c>
      <c r="Q3021" t="s">
        <v>34</v>
      </c>
      <c r="R3021" t="s">
        <v>34</v>
      </c>
      <c r="S3021" t="s">
        <v>34</v>
      </c>
      <c r="T3021" s="117">
        <v>0</v>
      </c>
      <c r="U3021" s="209" t="s">
        <v>94</v>
      </c>
    </row>
    <row r="3022" spans="1:21" x14ac:dyDescent="0.35">
      <c r="A3022" t="s">
        <v>19</v>
      </c>
      <c r="B3022" t="s">
        <v>26</v>
      </c>
      <c r="C3022" s="1">
        <v>45701</v>
      </c>
      <c r="D3022">
        <f t="shared" si="216"/>
        <v>13</v>
      </c>
      <c r="E3022">
        <f t="shared" si="217"/>
        <v>2</v>
      </c>
      <c r="F3022">
        <f t="shared" si="218"/>
        <v>2025</v>
      </c>
      <c r="G3022" t="s">
        <v>73</v>
      </c>
      <c r="H3022" s="121">
        <v>12251</v>
      </c>
      <c r="I3022" s="29">
        <v>4416.2</v>
      </c>
      <c r="J3022" s="12" t="s">
        <v>51</v>
      </c>
      <c r="K3022" s="76">
        <f t="shared" si="215"/>
        <v>4610.5128000000004</v>
      </c>
      <c r="L3022">
        <v>1.044</v>
      </c>
      <c r="M3022" s="29">
        <v>0</v>
      </c>
      <c r="N3022" t="s">
        <v>42</v>
      </c>
      <c r="O3022" t="s">
        <v>33</v>
      </c>
      <c r="P3022" t="s">
        <v>34</v>
      </c>
      <c r="Q3022" t="s">
        <v>34</v>
      </c>
      <c r="R3022" t="s">
        <v>34</v>
      </c>
      <c r="S3022" t="s">
        <v>34</v>
      </c>
      <c r="T3022" s="117">
        <v>0</v>
      </c>
      <c r="U3022" s="209" t="s">
        <v>94</v>
      </c>
    </row>
    <row r="3023" spans="1:21" x14ac:dyDescent="0.35">
      <c r="A3023" t="s">
        <v>19</v>
      </c>
      <c r="B3023" t="s">
        <v>26</v>
      </c>
      <c r="C3023" s="1">
        <v>45701</v>
      </c>
      <c r="D3023">
        <f t="shared" si="216"/>
        <v>13</v>
      </c>
      <c r="E3023">
        <f t="shared" si="217"/>
        <v>2</v>
      </c>
      <c r="F3023">
        <f t="shared" si="218"/>
        <v>2025</v>
      </c>
      <c r="G3023" t="s">
        <v>73</v>
      </c>
      <c r="H3023" s="121">
        <v>12249</v>
      </c>
      <c r="I3023" s="29">
        <v>44346.44</v>
      </c>
      <c r="J3023" s="12" t="s">
        <v>51</v>
      </c>
      <c r="K3023" s="76">
        <f t="shared" si="215"/>
        <v>46297.683360000003</v>
      </c>
      <c r="L3023">
        <v>1.044</v>
      </c>
      <c r="M3023" s="29">
        <v>0</v>
      </c>
      <c r="N3023" t="s">
        <v>42</v>
      </c>
      <c r="O3023" t="s">
        <v>33</v>
      </c>
      <c r="P3023" t="s">
        <v>34</v>
      </c>
      <c r="Q3023" t="s">
        <v>34</v>
      </c>
      <c r="R3023" t="s">
        <v>34</v>
      </c>
      <c r="S3023" t="s">
        <v>34</v>
      </c>
      <c r="T3023" s="117">
        <v>0</v>
      </c>
      <c r="U3023" s="209" t="s">
        <v>94</v>
      </c>
    </row>
    <row r="3024" spans="1:21" x14ac:dyDescent="0.35">
      <c r="A3024" t="s">
        <v>19</v>
      </c>
      <c r="B3024" t="s">
        <v>26</v>
      </c>
      <c r="C3024" s="1">
        <v>45701</v>
      </c>
      <c r="D3024">
        <f t="shared" si="216"/>
        <v>13</v>
      </c>
      <c r="E3024">
        <f t="shared" si="217"/>
        <v>2</v>
      </c>
      <c r="F3024">
        <f t="shared" si="218"/>
        <v>2025</v>
      </c>
      <c r="G3024" t="s">
        <v>73</v>
      </c>
      <c r="H3024" s="121">
        <v>12267</v>
      </c>
      <c r="I3024" s="29">
        <v>3524.19</v>
      </c>
      <c r="J3024" s="12" t="s">
        <v>51</v>
      </c>
      <c r="K3024" s="76">
        <f t="shared" si="215"/>
        <v>3679.2543600000004</v>
      </c>
      <c r="L3024">
        <v>1.044</v>
      </c>
      <c r="M3024" s="29">
        <v>0</v>
      </c>
      <c r="N3024" t="s">
        <v>42</v>
      </c>
      <c r="O3024" t="s">
        <v>33</v>
      </c>
      <c r="P3024" t="s">
        <v>34</v>
      </c>
      <c r="Q3024" t="s">
        <v>34</v>
      </c>
      <c r="R3024" t="s">
        <v>34</v>
      </c>
      <c r="S3024" t="s">
        <v>34</v>
      </c>
      <c r="T3024" s="117">
        <v>0</v>
      </c>
      <c r="U3024" s="209" t="s">
        <v>94</v>
      </c>
    </row>
    <row r="3025" spans="1:20" x14ac:dyDescent="0.35">
      <c r="A3025" t="s">
        <v>20</v>
      </c>
      <c r="B3025" t="s">
        <v>23</v>
      </c>
      <c r="C3025" s="1">
        <v>45701</v>
      </c>
      <c r="D3025">
        <f t="shared" si="216"/>
        <v>13</v>
      </c>
      <c r="E3025">
        <f t="shared" si="217"/>
        <v>2</v>
      </c>
      <c r="F3025">
        <f t="shared" si="218"/>
        <v>2025</v>
      </c>
      <c r="G3025" t="s">
        <v>109</v>
      </c>
      <c r="H3025" s="121">
        <v>12176</v>
      </c>
      <c r="I3025" s="29">
        <v>10596.22</v>
      </c>
      <c r="J3025" s="12" t="s">
        <v>31</v>
      </c>
      <c r="K3025" s="76">
        <f t="shared" si="215"/>
        <v>10596.22</v>
      </c>
      <c r="L3025">
        <v>1</v>
      </c>
      <c r="M3025" s="29">
        <v>0</v>
      </c>
      <c r="N3025" t="s">
        <v>42</v>
      </c>
      <c r="O3025" t="s">
        <v>33</v>
      </c>
      <c r="P3025" t="s">
        <v>34</v>
      </c>
      <c r="Q3025" t="s">
        <v>34</v>
      </c>
      <c r="R3025" t="s">
        <v>34</v>
      </c>
      <c r="S3025" t="s">
        <v>34</v>
      </c>
      <c r="T3025" s="117">
        <v>0</v>
      </c>
    </row>
    <row r="3026" spans="1:20" x14ac:dyDescent="0.35">
      <c r="A3026" t="s">
        <v>20</v>
      </c>
      <c r="B3026" t="s">
        <v>23</v>
      </c>
      <c r="C3026" s="1">
        <v>45701</v>
      </c>
      <c r="D3026">
        <f t="shared" si="216"/>
        <v>13</v>
      </c>
      <c r="E3026">
        <f t="shared" si="217"/>
        <v>2</v>
      </c>
      <c r="F3026">
        <f t="shared" si="218"/>
        <v>2025</v>
      </c>
      <c r="G3026" t="s">
        <v>109</v>
      </c>
      <c r="H3026" s="121">
        <v>12181</v>
      </c>
      <c r="I3026" s="29">
        <v>39</v>
      </c>
      <c r="J3026" s="12" t="s">
        <v>31</v>
      </c>
      <c r="K3026" s="76">
        <f t="shared" si="215"/>
        <v>39</v>
      </c>
      <c r="L3026">
        <v>1</v>
      </c>
      <c r="M3026" s="29">
        <v>0</v>
      </c>
      <c r="N3026" t="s">
        <v>32</v>
      </c>
      <c r="O3026" t="s">
        <v>33</v>
      </c>
      <c r="P3026" t="s">
        <v>34</v>
      </c>
      <c r="Q3026" t="s">
        <v>34</v>
      </c>
      <c r="R3026" t="s">
        <v>34</v>
      </c>
      <c r="S3026" t="s">
        <v>34</v>
      </c>
      <c r="T3026" s="117">
        <v>0</v>
      </c>
    </row>
    <row r="3027" spans="1:20" x14ac:dyDescent="0.35">
      <c r="A3027" t="s">
        <v>19</v>
      </c>
      <c r="B3027" t="s">
        <v>27</v>
      </c>
      <c r="C3027" s="1">
        <v>45702</v>
      </c>
      <c r="D3027">
        <f t="shared" si="216"/>
        <v>14</v>
      </c>
      <c r="E3027">
        <f t="shared" si="217"/>
        <v>2</v>
      </c>
      <c r="F3027">
        <f t="shared" si="218"/>
        <v>2025</v>
      </c>
      <c r="G3027" t="s">
        <v>100</v>
      </c>
      <c r="H3027" s="98">
        <v>11014</v>
      </c>
      <c r="I3027" s="29">
        <v>18503.75</v>
      </c>
      <c r="J3027" s="12" t="s">
        <v>31</v>
      </c>
      <c r="K3027" s="76">
        <f t="shared" si="215"/>
        <v>18503.75</v>
      </c>
      <c r="L3027">
        <v>1</v>
      </c>
      <c r="M3027" s="29">
        <v>0</v>
      </c>
      <c r="N3027" t="s">
        <v>32</v>
      </c>
      <c r="O3027" t="s">
        <v>33</v>
      </c>
      <c r="P3027" t="s">
        <v>34</v>
      </c>
      <c r="Q3027" t="s">
        <v>34</v>
      </c>
      <c r="R3027" t="s">
        <v>34</v>
      </c>
      <c r="S3027" t="s">
        <v>34</v>
      </c>
      <c r="T3027" s="117">
        <v>0</v>
      </c>
    </row>
    <row r="3028" spans="1:20" x14ac:dyDescent="0.35">
      <c r="A3028" t="s">
        <v>19</v>
      </c>
      <c r="B3028" t="s">
        <v>19</v>
      </c>
      <c r="C3028" s="1">
        <v>45707</v>
      </c>
      <c r="D3028">
        <f t="shared" si="216"/>
        <v>19</v>
      </c>
      <c r="E3028">
        <f t="shared" si="217"/>
        <v>2</v>
      </c>
      <c r="F3028">
        <f t="shared" si="218"/>
        <v>2025</v>
      </c>
      <c r="G3028" t="s">
        <v>523</v>
      </c>
      <c r="H3028" s="98" t="s">
        <v>524</v>
      </c>
      <c r="I3028" s="29">
        <v>48621.84</v>
      </c>
      <c r="J3028" s="12" t="s">
        <v>31</v>
      </c>
      <c r="K3028" s="76">
        <f t="shared" si="215"/>
        <v>48621.84</v>
      </c>
      <c r="L3028">
        <v>1</v>
      </c>
      <c r="M3028" s="29">
        <v>0</v>
      </c>
      <c r="N3028" t="s">
        <v>32</v>
      </c>
      <c r="O3028" t="s">
        <v>33</v>
      </c>
      <c r="P3028" t="s">
        <v>34</v>
      </c>
      <c r="Q3028" t="s">
        <v>34</v>
      </c>
      <c r="R3028" t="s">
        <v>34</v>
      </c>
      <c r="S3028" t="s">
        <v>34</v>
      </c>
      <c r="T3028" s="117">
        <v>0</v>
      </c>
    </row>
    <row r="3029" spans="1:20" x14ac:dyDescent="0.35">
      <c r="A3029" t="s">
        <v>19</v>
      </c>
      <c r="B3029" t="s">
        <v>19</v>
      </c>
      <c r="C3029" s="1">
        <v>45707</v>
      </c>
      <c r="D3029">
        <f t="shared" si="216"/>
        <v>19</v>
      </c>
      <c r="E3029">
        <f t="shared" si="217"/>
        <v>2</v>
      </c>
      <c r="F3029">
        <f t="shared" si="218"/>
        <v>2025</v>
      </c>
      <c r="G3029" t="s">
        <v>106</v>
      </c>
      <c r="H3029" s="98" t="s">
        <v>818</v>
      </c>
      <c r="I3029" s="29">
        <v>96118.2</v>
      </c>
      <c r="J3029" s="12" t="s">
        <v>31</v>
      </c>
      <c r="K3029" s="76">
        <f t="shared" si="215"/>
        <v>96118.2</v>
      </c>
      <c r="L3029">
        <v>1</v>
      </c>
      <c r="M3029" s="29">
        <v>0</v>
      </c>
      <c r="N3029" t="s">
        <v>32</v>
      </c>
      <c r="O3029" t="s">
        <v>33</v>
      </c>
      <c r="P3029" t="s">
        <v>34</v>
      </c>
      <c r="Q3029" t="s">
        <v>34</v>
      </c>
      <c r="R3029" t="s">
        <v>34</v>
      </c>
      <c r="S3029" t="s">
        <v>34</v>
      </c>
      <c r="T3029" s="117">
        <v>0</v>
      </c>
    </row>
    <row r="3030" spans="1:20" x14ac:dyDescent="0.35">
      <c r="A3030" t="s">
        <v>19</v>
      </c>
      <c r="B3030" t="s">
        <v>19</v>
      </c>
      <c r="C3030" s="1">
        <v>45707</v>
      </c>
      <c r="D3030">
        <f t="shared" si="216"/>
        <v>19</v>
      </c>
      <c r="E3030">
        <f t="shared" si="217"/>
        <v>2</v>
      </c>
      <c r="F3030">
        <f t="shared" si="218"/>
        <v>2025</v>
      </c>
      <c r="G3030" t="s">
        <v>56</v>
      </c>
      <c r="H3030" s="98" t="s">
        <v>873</v>
      </c>
      <c r="I3030" s="29">
        <v>154849.47</v>
      </c>
      <c r="J3030" s="12" t="s">
        <v>31</v>
      </c>
      <c r="K3030" s="76">
        <f t="shared" si="215"/>
        <v>154849.47</v>
      </c>
      <c r="L3030">
        <v>1</v>
      </c>
      <c r="M3030" s="29">
        <v>0</v>
      </c>
      <c r="N3030" t="s">
        <v>32</v>
      </c>
      <c r="O3030" t="s">
        <v>33</v>
      </c>
      <c r="P3030" t="s">
        <v>34</v>
      </c>
      <c r="Q3030" t="s">
        <v>34</v>
      </c>
      <c r="R3030" t="s">
        <v>34</v>
      </c>
      <c r="S3030" t="s">
        <v>34</v>
      </c>
      <c r="T3030" s="117">
        <v>0</v>
      </c>
    </row>
    <row r="3031" spans="1:20" x14ac:dyDescent="0.35">
      <c r="A3031" t="s">
        <v>19</v>
      </c>
      <c r="B3031" t="s">
        <v>19</v>
      </c>
      <c r="C3031" s="1">
        <v>45707</v>
      </c>
      <c r="D3031">
        <f t="shared" si="216"/>
        <v>19</v>
      </c>
      <c r="E3031">
        <f t="shared" si="217"/>
        <v>2</v>
      </c>
      <c r="F3031">
        <f t="shared" si="218"/>
        <v>2025</v>
      </c>
      <c r="G3031" t="s">
        <v>56</v>
      </c>
      <c r="H3031" s="98" t="s">
        <v>874</v>
      </c>
      <c r="I3031" s="29">
        <v>186533.21</v>
      </c>
      <c r="J3031" s="12" t="s">
        <v>31</v>
      </c>
      <c r="K3031" s="76">
        <f t="shared" si="215"/>
        <v>186533.21</v>
      </c>
      <c r="L3031">
        <v>1</v>
      </c>
      <c r="M3031" s="29">
        <v>0</v>
      </c>
      <c r="N3031" t="s">
        <v>32</v>
      </c>
      <c r="O3031" t="s">
        <v>33</v>
      </c>
      <c r="P3031" t="s">
        <v>34</v>
      </c>
      <c r="Q3031" t="s">
        <v>34</v>
      </c>
      <c r="R3031" t="s">
        <v>34</v>
      </c>
      <c r="S3031" t="s">
        <v>34</v>
      </c>
      <c r="T3031" s="117">
        <v>0</v>
      </c>
    </row>
    <row r="3032" spans="1:20" x14ac:dyDescent="0.35">
      <c r="A3032" t="s">
        <v>19</v>
      </c>
      <c r="B3032" t="s">
        <v>19</v>
      </c>
      <c r="C3032" s="1">
        <v>45707</v>
      </c>
      <c r="D3032">
        <f t="shared" si="216"/>
        <v>19</v>
      </c>
      <c r="E3032">
        <f t="shared" si="217"/>
        <v>2</v>
      </c>
      <c r="F3032">
        <f t="shared" si="218"/>
        <v>2025</v>
      </c>
      <c r="G3032" t="s">
        <v>110</v>
      </c>
      <c r="H3032" s="98" t="s">
        <v>875</v>
      </c>
      <c r="I3032" s="29">
        <v>99734.49</v>
      </c>
      <c r="J3032" s="12" t="s">
        <v>31</v>
      </c>
      <c r="K3032" s="76">
        <f t="shared" si="215"/>
        <v>99734.49</v>
      </c>
      <c r="L3032">
        <v>1</v>
      </c>
      <c r="M3032" s="29">
        <v>0</v>
      </c>
      <c r="N3032" t="s">
        <v>32</v>
      </c>
      <c r="O3032" t="s">
        <v>33</v>
      </c>
      <c r="P3032" t="s">
        <v>34</v>
      </c>
      <c r="Q3032" t="s">
        <v>34</v>
      </c>
      <c r="R3032" t="s">
        <v>34</v>
      </c>
      <c r="S3032" t="s">
        <v>34</v>
      </c>
      <c r="T3032" s="117">
        <v>0</v>
      </c>
    </row>
    <row r="3033" spans="1:20" x14ac:dyDescent="0.35">
      <c r="A3033" t="s">
        <v>19</v>
      </c>
      <c r="B3033" t="s">
        <v>19</v>
      </c>
      <c r="C3033" s="1">
        <v>45707</v>
      </c>
      <c r="D3033">
        <f t="shared" si="216"/>
        <v>19</v>
      </c>
      <c r="E3033">
        <f t="shared" si="217"/>
        <v>2</v>
      </c>
      <c r="F3033">
        <f t="shared" si="218"/>
        <v>2025</v>
      </c>
      <c r="G3033" t="s">
        <v>803</v>
      </c>
      <c r="H3033" s="98" t="s">
        <v>569</v>
      </c>
      <c r="I3033" s="29">
        <v>319.83999999999997</v>
      </c>
      <c r="J3033" s="12" t="s">
        <v>31</v>
      </c>
      <c r="K3033" s="76">
        <f t="shared" si="215"/>
        <v>319.83999999999997</v>
      </c>
      <c r="L3033">
        <v>1</v>
      </c>
      <c r="M3033" s="29">
        <v>0</v>
      </c>
      <c r="N3033" t="s">
        <v>32</v>
      </c>
      <c r="O3033" t="s">
        <v>33</v>
      </c>
      <c r="P3033" t="s">
        <v>34</v>
      </c>
      <c r="Q3033" t="s">
        <v>34</v>
      </c>
      <c r="R3033" t="s">
        <v>34</v>
      </c>
      <c r="S3033" t="s">
        <v>34</v>
      </c>
      <c r="T3033" s="117">
        <v>0</v>
      </c>
    </row>
    <row r="3034" spans="1:20" x14ac:dyDescent="0.35">
      <c r="A3034" t="s">
        <v>19</v>
      </c>
      <c r="B3034" t="s">
        <v>19</v>
      </c>
      <c r="C3034" s="1">
        <v>45707</v>
      </c>
      <c r="D3034">
        <f t="shared" si="216"/>
        <v>19</v>
      </c>
      <c r="E3034">
        <f t="shared" si="217"/>
        <v>2</v>
      </c>
      <c r="F3034">
        <f t="shared" si="218"/>
        <v>2025</v>
      </c>
      <c r="G3034" t="s">
        <v>750</v>
      </c>
      <c r="H3034" s="98" t="s">
        <v>876</v>
      </c>
      <c r="I3034" s="29">
        <v>14065.87</v>
      </c>
      <c r="J3034" s="12" t="s">
        <v>31</v>
      </c>
      <c r="K3034" s="76">
        <f t="shared" si="215"/>
        <v>14065.87</v>
      </c>
      <c r="L3034">
        <v>1</v>
      </c>
      <c r="M3034" s="29">
        <v>0</v>
      </c>
      <c r="N3034" t="s">
        <v>32</v>
      </c>
      <c r="O3034" t="s">
        <v>33</v>
      </c>
      <c r="P3034" t="s">
        <v>34</v>
      </c>
      <c r="Q3034" t="s">
        <v>34</v>
      </c>
      <c r="R3034" t="s">
        <v>34</v>
      </c>
      <c r="S3034" t="s">
        <v>34</v>
      </c>
      <c r="T3034" s="117">
        <v>0</v>
      </c>
    </row>
    <row r="3035" spans="1:20" x14ac:dyDescent="0.35">
      <c r="A3035" t="s">
        <v>19</v>
      </c>
      <c r="B3035" t="s">
        <v>19</v>
      </c>
      <c r="C3035" s="1">
        <v>45707</v>
      </c>
      <c r="D3035">
        <f t="shared" si="216"/>
        <v>19</v>
      </c>
      <c r="E3035">
        <f t="shared" si="217"/>
        <v>2</v>
      </c>
      <c r="F3035">
        <f t="shared" si="218"/>
        <v>2025</v>
      </c>
      <c r="G3035" t="s">
        <v>750</v>
      </c>
      <c r="H3035" s="98" t="s">
        <v>877</v>
      </c>
      <c r="I3035" s="29">
        <v>80744.429999999993</v>
      </c>
      <c r="J3035" s="12" t="s">
        <v>31</v>
      </c>
      <c r="K3035" s="76">
        <f t="shared" si="215"/>
        <v>80744.429999999993</v>
      </c>
      <c r="L3035">
        <v>1</v>
      </c>
      <c r="M3035" s="29">
        <v>0</v>
      </c>
      <c r="N3035" t="s">
        <v>32</v>
      </c>
      <c r="O3035" t="s">
        <v>33</v>
      </c>
      <c r="P3035" t="s">
        <v>34</v>
      </c>
      <c r="Q3035" t="s">
        <v>34</v>
      </c>
      <c r="R3035" t="s">
        <v>34</v>
      </c>
      <c r="S3035" t="s">
        <v>34</v>
      </c>
      <c r="T3035" s="117">
        <v>2102.1799999999998</v>
      </c>
    </row>
    <row r="3036" spans="1:20" x14ac:dyDescent="0.35">
      <c r="A3036" t="s">
        <v>19</v>
      </c>
      <c r="B3036" t="s">
        <v>19</v>
      </c>
      <c r="C3036" s="1">
        <v>45707</v>
      </c>
      <c r="D3036">
        <f t="shared" si="216"/>
        <v>19</v>
      </c>
      <c r="E3036">
        <f t="shared" si="217"/>
        <v>2</v>
      </c>
      <c r="F3036">
        <f t="shared" si="218"/>
        <v>2025</v>
      </c>
      <c r="G3036" t="s">
        <v>57</v>
      </c>
      <c r="H3036" s="171" t="s">
        <v>878</v>
      </c>
      <c r="I3036" s="90">
        <v>78225.429999999993</v>
      </c>
      <c r="J3036" s="12" t="s">
        <v>31</v>
      </c>
      <c r="K3036" s="76">
        <f t="shared" si="215"/>
        <v>78225.429999999993</v>
      </c>
      <c r="L3036">
        <v>1</v>
      </c>
      <c r="M3036" s="29">
        <v>0</v>
      </c>
      <c r="N3036" t="s">
        <v>32</v>
      </c>
      <c r="O3036" t="s">
        <v>33</v>
      </c>
      <c r="P3036" t="s">
        <v>34</v>
      </c>
      <c r="Q3036" t="s">
        <v>34</v>
      </c>
      <c r="R3036" t="s">
        <v>34</v>
      </c>
      <c r="S3036" t="s">
        <v>34</v>
      </c>
      <c r="T3036" s="117">
        <v>0</v>
      </c>
    </row>
    <row r="3037" spans="1:20" x14ac:dyDescent="0.35">
      <c r="A3037" t="s">
        <v>19</v>
      </c>
      <c r="B3037" t="s">
        <v>19</v>
      </c>
      <c r="C3037" s="1">
        <v>45707</v>
      </c>
      <c r="D3037">
        <f t="shared" si="216"/>
        <v>19</v>
      </c>
      <c r="E3037">
        <f t="shared" si="217"/>
        <v>2</v>
      </c>
      <c r="F3037">
        <f t="shared" si="218"/>
        <v>2025</v>
      </c>
      <c r="G3037" t="s">
        <v>59</v>
      </c>
      <c r="H3037" s="98" t="s">
        <v>879</v>
      </c>
      <c r="I3037" s="29">
        <v>115036.32</v>
      </c>
      <c r="J3037" s="12" t="s">
        <v>31</v>
      </c>
      <c r="K3037" s="76">
        <f t="shared" si="215"/>
        <v>115036.32</v>
      </c>
      <c r="L3037">
        <v>1</v>
      </c>
      <c r="M3037" s="29">
        <v>0</v>
      </c>
      <c r="N3037" t="s">
        <v>32</v>
      </c>
      <c r="O3037" t="s">
        <v>33</v>
      </c>
      <c r="P3037" t="s">
        <v>34</v>
      </c>
      <c r="Q3037" t="s">
        <v>34</v>
      </c>
      <c r="R3037" t="s">
        <v>34</v>
      </c>
      <c r="S3037" t="s">
        <v>34</v>
      </c>
      <c r="T3037" s="117">
        <v>0</v>
      </c>
    </row>
    <row r="3038" spans="1:20" x14ac:dyDescent="0.35">
      <c r="A3038" t="s">
        <v>19</v>
      </c>
      <c r="B3038" t="s">
        <v>19</v>
      </c>
      <c r="C3038" s="1">
        <v>45707</v>
      </c>
      <c r="D3038">
        <f t="shared" si="216"/>
        <v>19</v>
      </c>
      <c r="E3038">
        <f t="shared" si="217"/>
        <v>2</v>
      </c>
      <c r="F3038">
        <f t="shared" si="218"/>
        <v>2025</v>
      </c>
      <c r="G3038" t="s">
        <v>59</v>
      </c>
      <c r="H3038" s="98" t="s">
        <v>880</v>
      </c>
      <c r="I3038" s="29">
        <v>114831.37</v>
      </c>
      <c r="J3038" s="12" t="s">
        <v>31</v>
      </c>
      <c r="K3038" s="76">
        <f t="shared" si="215"/>
        <v>114831.37</v>
      </c>
      <c r="L3038">
        <v>1</v>
      </c>
      <c r="M3038" s="29">
        <v>0</v>
      </c>
      <c r="N3038" t="s">
        <v>32</v>
      </c>
      <c r="O3038" t="s">
        <v>33</v>
      </c>
      <c r="P3038" t="s">
        <v>34</v>
      </c>
      <c r="Q3038" t="s">
        <v>34</v>
      </c>
      <c r="R3038" t="s">
        <v>34</v>
      </c>
      <c r="S3038" t="s">
        <v>34</v>
      </c>
      <c r="T3038" s="117">
        <v>0</v>
      </c>
    </row>
    <row r="3039" spans="1:20" x14ac:dyDescent="0.35">
      <c r="A3039" t="s">
        <v>19</v>
      </c>
      <c r="B3039" t="s">
        <v>19</v>
      </c>
      <c r="C3039" s="1">
        <v>45707</v>
      </c>
      <c r="D3039">
        <f t="shared" si="216"/>
        <v>19</v>
      </c>
      <c r="E3039">
        <f t="shared" si="217"/>
        <v>2</v>
      </c>
      <c r="F3039">
        <f t="shared" si="218"/>
        <v>2025</v>
      </c>
      <c r="G3039" t="s">
        <v>225</v>
      </c>
      <c r="H3039" s="98" t="s">
        <v>881</v>
      </c>
      <c r="I3039" s="29">
        <v>11311.23</v>
      </c>
      <c r="J3039" s="12" t="s">
        <v>31</v>
      </c>
      <c r="K3039" s="76">
        <f t="shared" si="215"/>
        <v>11311.23</v>
      </c>
      <c r="L3039">
        <v>1</v>
      </c>
      <c r="M3039" s="29">
        <v>0</v>
      </c>
      <c r="N3039" t="s">
        <v>32</v>
      </c>
      <c r="O3039" t="s">
        <v>33</v>
      </c>
      <c r="P3039" t="s">
        <v>34</v>
      </c>
      <c r="Q3039" t="s">
        <v>34</v>
      </c>
      <c r="R3039" t="s">
        <v>34</v>
      </c>
      <c r="S3039" t="s">
        <v>34</v>
      </c>
      <c r="T3039" s="117">
        <v>0</v>
      </c>
    </row>
    <row r="3040" spans="1:20" x14ac:dyDescent="0.35">
      <c r="A3040" t="s">
        <v>19</v>
      </c>
      <c r="B3040" t="s">
        <v>21</v>
      </c>
      <c r="C3040" s="1">
        <v>45707</v>
      </c>
      <c r="D3040">
        <f t="shared" si="216"/>
        <v>19</v>
      </c>
      <c r="E3040">
        <f t="shared" si="217"/>
        <v>2</v>
      </c>
      <c r="F3040">
        <f t="shared" si="218"/>
        <v>2025</v>
      </c>
      <c r="G3040" t="s">
        <v>882</v>
      </c>
      <c r="H3040" s="98">
        <v>12241</v>
      </c>
      <c r="I3040" s="29">
        <v>21</v>
      </c>
      <c r="J3040" s="12" t="s">
        <v>31</v>
      </c>
      <c r="K3040" s="76">
        <f t="shared" si="215"/>
        <v>21</v>
      </c>
      <c r="L3040">
        <v>1</v>
      </c>
      <c r="M3040" s="29">
        <v>0</v>
      </c>
      <c r="N3040" t="s">
        <v>42</v>
      </c>
      <c r="O3040" t="s">
        <v>33</v>
      </c>
      <c r="P3040" t="s">
        <v>34</v>
      </c>
      <c r="Q3040" t="s">
        <v>34</v>
      </c>
      <c r="R3040" t="s">
        <v>34</v>
      </c>
      <c r="S3040" t="s">
        <v>34</v>
      </c>
      <c r="T3040" s="117">
        <v>0</v>
      </c>
    </row>
    <row r="3041" spans="1:21" x14ac:dyDescent="0.35">
      <c r="A3041" t="s">
        <v>19</v>
      </c>
      <c r="B3041" t="s">
        <v>21</v>
      </c>
      <c r="C3041" s="1">
        <v>45707</v>
      </c>
      <c r="D3041">
        <f t="shared" si="216"/>
        <v>19</v>
      </c>
      <c r="E3041">
        <f t="shared" si="217"/>
        <v>2</v>
      </c>
      <c r="F3041">
        <f t="shared" si="218"/>
        <v>2025</v>
      </c>
      <c r="G3041" t="s">
        <v>882</v>
      </c>
      <c r="H3041" s="98">
        <v>12242</v>
      </c>
      <c r="I3041" s="29">
        <v>1578.15</v>
      </c>
      <c r="J3041" s="12" t="s">
        <v>31</v>
      </c>
      <c r="K3041" s="76">
        <f t="shared" si="215"/>
        <v>1578.15</v>
      </c>
      <c r="L3041">
        <v>1</v>
      </c>
      <c r="M3041" s="29">
        <v>0</v>
      </c>
      <c r="N3041" t="s">
        <v>42</v>
      </c>
      <c r="O3041" t="s">
        <v>33</v>
      </c>
      <c r="P3041" t="s">
        <v>34</v>
      </c>
      <c r="Q3041" t="s">
        <v>34</v>
      </c>
      <c r="R3041" t="s">
        <v>34</v>
      </c>
      <c r="S3041" t="s">
        <v>34</v>
      </c>
      <c r="T3041" s="117">
        <v>0</v>
      </c>
    </row>
    <row r="3042" spans="1:21" x14ac:dyDescent="0.35">
      <c r="A3042" t="s">
        <v>19</v>
      </c>
      <c r="B3042" t="s">
        <v>27</v>
      </c>
      <c r="C3042" s="1">
        <v>45707</v>
      </c>
      <c r="D3042">
        <f t="shared" si="216"/>
        <v>19</v>
      </c>
      <c r="E3042">
        <f t="shared" si="217"/>
        <v>2</v>
      </c>
      <c r="F3042">
        <f t="shared" si="218"/>
        <v>2025</v>
      </c>
      <c r="G3042" t="s">
        <v>100</v>
      </c>
      <c r="H3042" s="98">
        <v>11774</v>
      </c>
      <c r="I3042" s="29">
        <v>511215.54</v>
      </c>
      <c r="J3042" s="12" t="s">
        <v>31</v>
      </c>
      <c r="K3042" s="76">
        <f t="shared" si="215"/>
        <v>511215.54</v>
      </c>
      <c r="L3042">
        <v>1</v>
      </c>
      <c r="M3042" s="29">
        <v>0</v>
      </c>
      <c r="N3042" t="s">
        <v>32</v>
      </c>
      <c r="O3042" t="s">
        <v>33</v>
      </c>
      <c r="P3042" t="s">
        <v>34</v>
      </c>
      <c r="Q3042" t="s">
        <v>34</v>
      </c>
      <c r="R3042" t="s">
        <v>34</v>
      </c>
      <c r="S3042" t="s">
        <v>34</v>
      </c>
      <c r="T3042" s="117">
        <v>0</v>
      </c>
    </row>
    <row r="3043" spans="1:21" x14ac:dyDescent="0.35">
      <c r="A3043" t="s">
        <v>19</v>
      </c>
      <c r="B3043" t="s">
        <v>25</v>
      </c>
      <c r="C3043" s="1">
        <v>45707</v>
      </c>
      <c r="D3043">
        <f t="shared" si="216"/>
        <v>19</v>
      </c>
      <c r="E3043">
        <f t="shared" si="217"/>
        <v>2</v>
      </c>
      <c r="F3043">
        <f t="shared" si="218"/>
        <v>2025</v>
      </c>
      <c r="G3043" t="s">
        <v>80</v>
      </c>
      <c r="H3043" s="98">
        <v>10958</v>
      </c>
      <c r="I3043" s="29">
        <v>9352.0499999999993</v>
      </c>
      <c r="J3043" s="12" t="s">
        <v>31</v>
      </c>
      <c r="K3043" s="76">
        <f t="shared" si="215"/>
        <v>9352.0499999999993</v>
      </c>
      <c r="L3043">
        <v>1</v>
      </c>
      <c r="M3043" s="29">
        <v>0</v>
      </c>
      <c r="N3043" t="s">
        <v>32</v>
      </c>
      <c r="O3043" t="s">
        <v>33</v>
      </c>
      <c r="P3043" t="s">
        <v>34</v>
      </c>
      <c r="Q3043" t="s">
        <v>34</v>
      </c>
      <c r="R3043" t="s">
        <v>34</v>
      </c>
      <c r="S3043" t="s">
        <v>34</v>
      </c>
      <c r="T3043" s="117">
        <v>0</v>
      </c>
    </row>
    <row r="3044" spans="1:21" x14ac:dyDescent="0.35">
      <c r="A3044" t="s">
        <v>19</v>
      </c>
      <c r="B3044" t="s">
        <v>25</v>
      </c>
      <c r="C3044" s="1">
        <v>45707</v>
      </c>
      <c r="D3044">
        <f t="shared" si="216"/>
        <v>19</v>
      </c>
      <c r="E3044">
        <f t="shared" si="217"/>
        <v>2</v>
      </c>
      <c r="F3044">
        <f t="shared" si="218"/>
        <v>2025</v>
      </c>
      <c r="G3044" t="s">
        <v>80</v>
      </c>
      <c r="H3044" s="98">
        <v>12006</v>
      </c>
      <c r="I3044" s="29">
        <v>8050</v>
      </c>
      <c r="J3044" s="12" t="s">
        <v>31</v>
      </c>
      <c r="K3044" s="76">
        <f t="shared" si="215"/>
        <v>8050</v>
      </c>
      <c r="L3044">
        <v>1</v>
      </c>
      <c r="M3044" s="29">
        <v>0</v>
      </c>
      <c r="N3044" t="s">
        <v>42</v>
      </c>
      <c r="O3044" t="s">
        <v>33</v>
      </c>
      <c r="P3044" t="s">
        <v>34</v>
      </c>
      <c r="Q3044" t="s">
        <v>34</v>
      </c>
      <c r="R3044" t="s">
        <v>34</v>
      </c>
      <c r="S3044" t="s">
        <v>34</v>
      </c>
      <c r="T3044" s="117">
        <v>0</v>
      </c>
    </row>
    <row r="3045" spans="1:21" x14ac:dyDescent="0.35">
      <c r="A3045" t="s">
        <v>19</v>
      </c>
      <c r="B3045" t="s">
        <v>19</v>
      </c>
      <c r="C3045" s="1">
        <v>45707</v>
      </c>
      <c r="D3045">
        <f t="shared" si="216"/>
        <v>19</v>
      </c>
      <c r="E3045">
        <f t="shared" si="217"/>
        <v>2</v>
      </c>
      <c r="F3045">
        <f t="shared" si="218"/>
        <v>2025</v>
      </c>
      <c r="G3045" t="s">
        <v>45</v>
      </c>
      <c r="H3045" s="98" t="s">
        <v>883</v>
      </c>
      <c r="I3045" s="29">
        <v>15807.96</v>
      </c>
      <c r="J3045" s="12" t="s">
        <v>31</v>
      </c>
      <c r="K3045" s="76">
        <f t="shared" si="215"/>
        <v>15807.96</v>
      </c>
      <c r="L3045">
        <v>1</v>
      </c>
      <c r="M3045" s="29">
        <v>0</v>
      </c>
      <c r="N3045" t="s">
        <v>32</v>
      </c>
      <c r="O3045" t="s">
        <v>33</v>
      </c>
      <c r="P3045" t="s">
        <v>34</v>
      </c>
      <c r="Q3045" t="s">
        <v>34</v>
      </c>
      <c r="R3045" t="s">
        <v>34</v>
      </c>
      <c r="S3045" t="s">
        <v>34</v>
      </c>
      <c r="T3045" s="117">
        <v>0</v>
      </c>
    </row>
    <row r="3046" spans="1:21" x14ac:dyDescent="0.35">
      <c r="A3046" t="s">
        <v>19</v>
      </c>
      <c r="B3046" t="s">
        <v>19</v>
      </c>
      <c r="C3046" s="1">
        <v>45707</v>
      </c>
      <c r="D3046">
        <f t="shared" si="216"/>
        <v>19</v>
      </c>
      <c r="E3046">
        <f t="shared" si="217"/>
        <v>2</v>
      </c>
      <c r="F3046">
        <f t="shared" si="218"/>
        <v>2025</v>
      </c>
      <c r="G3046" t="s">
        <v>91</v>
      </c>
      <c r="H3046" s="98" t="s">
        <v>884</v>
      </c>
      <c r="I3046" s="29">
        <v>65380.05</v>
      </c>
      <c r="J3046" s="12" t="s">
        <v>31</v>
      </c>
      <c r="K3046" s="76">
        <f t="shared" si="215"/>
        <v>65380.05</v>
      </c>
      <c r="L3046">
        <v>1</v>
      </c>
      <c r="M3046" s="29">
        <v>0</v>
      </c>
      <c r="N3046" t="s">
        <v>32</v>
      </c>
      <c r="O3046" t="s">
        <v>33</v>
      </c>
      <c r="P3046" t="s">
        <v>34</v>
      </c>
      <c r="Q3046" t="s">
        <v>34</v>
      </c>
      <c r="R3046" t="s">
        <v>34</v>
      </c>
      <c r="S3046" t="s">
        <v>34</v>
      </c>
      <c r="T3046" s="117">
        <v>0</v>
      </c>
    </row>
    <row r="3047" spans="1:21" x14ac:dyDescent="0.35">
      <c r="A3047" t="s">
        <v>20</v>
      </c>
      <c r="B3047" t="s">
        <v>23</v>
      </c>
      <c r="C3047" s="1">
        <v>45707</v>
      </c>
      <c r="D3047">
        <f t="shared" si="216"/>
        <v>19</v>
      </c>
      <c r="E3047">
        <f t="shared" si="217"/>
        <v>2</v>
      </c>
      <c r="F3047">
        <f t="shared" si="218"/>
        <v>2025</v>
      </c>
      <c r="G3047" t="s">
        <v>53</v>
      </c>
      <c r="H3047" s="171">
        <v>11600</v>
      </c>
      <c r="I3047" s="90">
        <v>35528.19</v>
      </c>
      <c r="J3047" s="12" t="s">
        <v>31</v>
      </c>
      <c r="K3047" s="76">
        <f t="shared" si="215"/>
        <v>35528.19</v>
      </c>
      <c r="L3047">
        <v>1</v>
      </c>
      <c r="M3047" s="29">
        <v>0</v>
      </c>
      <c r="N3047" t="s">
        <v>32</v>
      </c>
      <c r="O3047" t="s">
        <v>33</v>
      </c>
      <c r="P3047" t="s">
        <v>34</v>
      </c>
      <c r="Q3047" t="s">
        <v>34</v>
      </c>
      <c r="R3047" t="s">
        <v>34</v>
      </c>
      <c r="S3047" t="s">
        <v>34</v>
      </c>
      <c r="T3047" s="117">
        <v>0</v>
      </c>
    </row>
    <row r="3048" spans="1:21" x14ac:dyDescent="0.35">
      <c r="A3048" t="s">
        <v>20</v>
      </c>
      <c r="B3048" t="s">
        <v>23</v>
      </c>
      <c r="C3048" s="1">
        <v>45707</v>
      </c>
      <c r="D3048">
        <f t="shared" si="216"/>
        <v>19</v>
      </c>
      <c r="E3048">
        <f t="shared" si="217"/>
        <v>2</v>
      </c>
      <c r="F3048">
        <f t="shared" si="218"/>
        <v>2025</v>
      </c>
      <c r="G3048" t="s">
        <v>53</v>
      </c>
      <c r="H3048" s="171">
        <v>12056</v>
      </c>
      <c r="I3048" s="90">
        <v>21676.07</v>
      </c>
      <c r="J3048" s="12" t="s">
        <v>31</v>
      </c>
      <c r="K3048" s="76">
        <f t="shared" si="215"/>
        <v>21676.07</v>
      </c>
      <c r="L3048">
        <v>1</v>
      </c>
      <c r="M3048" s="29">
        <v>0</v>
      </c>
      <c r="N3048" t="s">
        <v>32</v>
      </c>
      <c r="O3048" t="s">
        <v>33</v>
      </c>
      <c r="P3048" t="s">
        <v>34</v>
      </c>
      <c r="Q3048" t="s">
        <v>34</v>
      </c>
      <c r="R3048" t="s">
        <v>34</v>
      </c>
      <c r="S3048" t="s">
        <v>34</v>
      </c>
      <c r="T3048" s="117">
        <v>0</v>
      </c>
    </row>
    <row r="3049" spans="1:21" x14ac:dyDescent="0.35">
      <c r="A3049" t="s">
        <v>20</v>
      </c>
      <c r="B3049" t="s">
        <v>21</v>
      </c>
      <c r="C3049" s="1">
        <v>45707</v>
      </c>
      <c r="D3049">
        <f t="shared" si="216"/>
        <v>19</v>
      </c>
      <c r="E3049">
        <f t="shared" si="217"/>
        <v>2</v>
      </c>
      <c r="F3049">
        <f t="shared" si="218"/>
        <v>2025</v>
      </c>
      <c r="G3049" t="s">
        <v>50</v>
      </c>
      <c r="H3049" s="98">
        <v>12233</v>
      </c>
      <c r="I3049" s="29">
        <v>136</v>
      </c>
      <c r="J3049" s="12" t="s">
        <v>31</v>
      </c>
      <c r="K3049" s="76">
        <f t="shared" si="215"/>
        <v>136</v>
      </c>
      <c r="L3049">
        <v>1</v>
      </c>
      <c r="M3049" s="29">
        <v>0</v>
      </c>
      <c r="N3049" t="s">
        <v>42</v>
      </c>
      <c r="O3049" t="s">
        <v>33</v>
      </c>
      <c r="P3049" t="s">
        <v>34</v>
      </c>
      <c r="Q3049" t="s">
        <v>34</v>
      </c>
      <c r="R3049" t="s">
        <v>34</v>
      </c>
      <c r="S3049" t="s">
        <v>34</v>
      </c>
      <c r="T3049" s="117">
        <v>0</v>
      </c>
    </row>
    <row r="3050" spans="1:21" x14ac:dyDescent="0.35">
      <c r="A3050" t="s">
        <v>20</v>
      </c>
      <c r="B3050" t="s">
        <v>25</v>
      </c>
      <c r="C3050" s="1">
        <v>45707</v>
      </c>
      <c r="D3050">
        <f t="shared" si="216"/>
        <v>19</v>
      </c>
      <c r="E3050">
        <f t="shared" si="217"/>
        <v>2</v>
      </c>
      <c r="F3050">
        <f t="shared" si="218"/>
        <v>2025</v>
      </c>
      <c r="G3050" t="s">
        <v>50</v>
      </c>
      <c r="H3050" s="98">
        <v>11706</v>
      </c>
      <c r="I3050" s="29">
        <v>1749.3</v>
      </c>
      <c r="J3050" s="12" t="s">
        <v>31</v>
      </c>
      <c r="K3050" s="76">
        <f t="shared" si="215"/>
        <v>1749.3</v>
      </c>
      <c r="L3050">
        <v>1</v>
      </c>
      <c r="M3050" s="29">
        <v>0</v>
      </c>
      <c r="N3050" t="s">
        <v>42</v>
      </c>
      <c r="O3050" t="s">
        <v>33</v>
      </c>
      <c r="P3050" t="s">
        <v>34</v>
      </c>
      <c r="Q3050" t="s">
        <v>34</v>
      </c>
      <c r="R3050" t="s">
        <v>34</v>
      </c>
      <c r="S3050" t="s">
        <v>34</v>
      </c>
      <c r="T3050" s="117">
        <v>0</v>
      </c>
    </row>
    <row r="3051" spans="1:21" x14ac:dyDescent="0.35">
      <c r="A3051" t="s">
        <v>20</v>
      </c>
      <c r="B3051" t="s">
        <v>21</v>
      </c>
      <c r="C3051" s="1">
        <v>45707</v>
      </c>
      <c r="D3051">
        <f t="shared" si="216"/>
        <v>19</v>
      </c>
      <c r="E3051">
        <f t="shared" si="217"/>
        <v>2</v>
      </c>
      <c r="F3051">
        <f t="shared" si="218"/>
        <v>2025</v>
      </c>
      <c r="G3051" t="s">
        <v>50</v>
      </c>
      <c r="H3051" s="98">
        <v>12235</v>
      </c>
      <c r="I3051" s="29">
        <v>59.8</v>
      </c>
      <c r="J3051" s="12" t="s">
        <v>31</v>
      </c>
      <c r="K3051" s="76">
        <f t="shared" si="215"/>
        <v>59.8</v>
      </c>
      <c r="L3051">
        <v>1</v>
      </c>
      <c r="M3051" s="29">
        <v>0</v>
      </c>
      <c r="N3051" t="s">
        <v>42</v>
      </c>
      <c r="O3051" t="s">
        <v>33</v>
      </c>
      <c r="P3051" t="s">
        <v>34</v>
      </c>
      <c r="Q3051" t="s">
        <v>34</v>
      </c>
      <c r="R3051" t="s">
        <v>34</v>
      </c>
      <c r="S3051" t="s">
        <v>34</v>
      </c>
      <c r="T3051" s="117">
        <v>0</v>
      </c>
    </row>
    <row r="3052" spans="1:21" x14ac:dyDescent="0.35">
      <c r="A3052" t="s">
        <v>20</v>
      </c>
      <c r="B3052" t="s">
        <v>25</v>
      </c>
      <c r="C3052" s="1">
        <v>45707</v>
      </c>
      <c r="D3052">
        <f t="shared" si="216"/>
        <v>19</v>
      </c>
      <c r="E3052">
        <f t="shared" si="217"/>
        <v>2</v>
      </c>
      <c r="F3052">
        <f t="shared" si="218"/>
        <v>2025</v>
      </c>
      <c r="G3052" t="s">
        <v>50</v>
      </c>
      <c r="H3052" s="98">
        <v>11706</v>
      </c>
      <c r="I3052" s="29">
        <v>897</v>
      </c>
      <c r="J3052" s="12" t="s">
        <v>31</v>
      </c>
      <c r="K3052" s="76">
        <f t="shared" si="215"/>
        <v>897</v>
      </c>
      <c r="L3052">
        <v>1</v>
      </c>
      <c r="M3052" s="29">
        <v>0</v>
      </c>
      <c r="N3052" t="s">
        <v>42</v>
      </c>
      <c r="O3052" t="s">
        <v>33</v>
      </c>
      <c r="P3052" t="s">
        <v>34</v>
      </c>
      <c r="Q3052" t="s">
        <v>34</v>
      </c>
      <c r="R3052" t="s">
        <v>34</v>
      </c>
      <c r="S3052" t="s">
        <v>34</v>
      </c>
      <c r="T3052" s="117">
        <v>0</v>
      </c>
    </row>
    <row r="3053" spans="1:21" x14ac:dyDescent="0.35">
      <c r="A3053" t="s">
        <v>20</v>
      </c>
      <c r="B3053" t="s">
        <v>21</v>
      </c>
      <c r="C3053" s="1">
        <v>45707</v>
      </c>
      <c r="D3053">
        <f t="shared" si="216"/>
        <v>19</v>
      </c>
      <c r="E3053">
        <f t="shared" si="217"/>
        <v>2</v>
      </c>
      <c r="F3053">
        <f t="shared" si="218"/>
        <v>2025</v>
      </c>
      <c r="G3053" t="s">
        <v>50</v>
      </c>
      <c r="H3053" s="98">
        <v>12237</v>
      </c>
      <c r="I3053" s="29">
        <v>122</v>
      </c>
      <c r="J3053" s="12" t="s">
        <v>31</v>
      </c>
      <c r="K3053" s="76">
        <f t="shared" si="215"/>
        <v>122</v>
      </c>
      <c r="L3053">
        <v>1</v>
      </c>
      <c r="M3053" s="29">
        <v>0</v>
      </c>
      <c r="N3053" t="s">
        <v>42</v>
      </c>
      <c r="O3053" t="s">
        <v>33</v>
      </c>
      <c r="P3053" t="s">
        <v>34</v>
      </c>
      <c r="Q3053" t="s">
        <v>34</v>
      </c>
      <c r="R3053" t="s">
        <v>34</v>
      </c>
      <c r="S3053" t="s">
        <v>34</v>
      </c>
      <c r="T3053" s="117">
        <v>0</v>
      </c>
    </row>
    <row r="3054" spans="1:21" x14ac:dyDescent="0.35">
      <c r="A3054" t="s">
        <v>20</v>
      </c>
      <c r="B3054" t="s">
        <v>25</v>
      </c>
      <c r="C3054" s="1">
        <v>45707</v>
      </c>
      <c r="D3054">
        <f t="shared" si="216"/>
        <v>19</v>
      </c>
      <c r="E3054">
        <f t="shared" si="217"/>
        <v>2</v>
      </c>
      <c r="F3054">
        <f t="shared" si="218"/>
        <v>2025</v>
      </c>
      <c r="G3054" t="s">
        <v>50</v>
      </c>
      <c r="H3054" s="98">
        <v>11706</v>
      </c>
      <c r="I3054" s="29">
        <v>1384.7</v>
      </c>
      <c r="J3054" s="12" t="s">
        <v>31</v>
      </c>
      <c r="K3054" s="76">
        <f t="shared" si="215"/>
        <v>1384.7</v>
      </c>
      <c r="L3054">
        <v>1</v>
      </c>
      <c r="M3054" s="29">
        <v>0</v>
      </c>
      <c r="N3054" t="s">
        <v>42</v>
      </c>
      <c r="O3054" t="s">
        <v>33</v>
      </c>
      <c r="P3054" t="s">
        <v>34</v>
      </c>
      <c r="Q3054" t="s">
        <v>34</v>
      </c>
      <c r="R3054" t="s">
        <v>34</v>
      </c>
      <c r="S3054" t="s">
        <v>34</v>
      </c>
      <c r="T3054" s="117">
        <v>0</v>
      </c>
    </row>
    <row r="3055" spans="1:21" x14ac:dyDescent="0.35">
      <c r="A3055" t="s">
        <v>20</v>
      </c>
      <c r="B3055" t="s">
        <v>25</v>
      </c>
      <c r="C3055" s="1">
        <v>45707</v>
      </c>
      <c r="D3055">
        <f t="shared" si="216"/>
        <v>19</v>
      </c>
      <c r="E3055">
        <f t="shared" si="217"/>
        <v>2</v>
      </c>
      <c r="F3055">
        <f t="shared" si="218"/>
        <v>2025</v>
      </c>
      <c r="G3055" t="s">
        <v>50</v>
      </c>
      <c r="H3055" s="98">
        <v>11909</v>
      </c>
      <c r="I3055" s="29">
        <v>926.9</v>
      </c>
      <c r="J3055" s="12" t="s">
        <v>31</v>
      </c>
      <c r="K3055" s="76">
        <f t="shared" si="215"/>
        <v>926.9</v>
      </c>
      <c r="L3055">
        <v>1</v>
      </c>
      <c r="M3055" s="29">
        <v>0</v>
      </c>
      <c r="N3055" t="s">
        <v>42</v>
      </c>
      <c r="O3055" t="s">
        <v>33</v>
      </c>
      <c r="P3055" t="s">
        <v>34</v>
      </c>
      <c r="Q3055" t="s">
        <v>34</v>
      </c>
      <c r="R3055" t="s">
        <v>34</v>
      </c>
      <c r="S3055" t="s">
        <v>34</v>
      </c>
      <c r="T3055" s="117">
        <v>0</v>
      </c>
      <c r="U3055" s="209" t="s">
        <v>940</v>
      </c>
    </row>
    <row r="3056" spans="1:21" x14ac:dyDescent="0.35">
      <c r="A3056" t="s">
        <v>20</v>
      </c>
      <c r="B3056" t="s">
        <v>25</v>
      </c>
      <c r="C3056" s="1">
        <v>45707</v>
      </c>
      <c r="D3056">
        <f t="shared" si="216"/>
        <v>19</v>
      </c>
      <c r="E3056">
        <f t="shared" si="217"/>
        <v>2</v>
      </c>
      <c r="F3056">
        <f t="shared" si="218"/>
        <v>2025</v>
      </c>
      <c r="G3056" t="s">
        <v>50</v>
      </c>
      <c r="H3056" s="98">
        <v>11706</v>
      </c>
      <c r="I3056" s="29">
        <v>1496.25</v>
      </c>
      <c r="J3056" s="12" t="s">
        <v>31</v>
      </c>
      <c r="K3056" s="76">
        <f t="shared" si="215"/>
        <v>1496.25</v>
      </c>
      <c r="L3056">
        <v>1</v>
      </c>
      <c r="M3056" s="29">
        <v>0</v>
      </c>
      <c r="N3056" t="s">
        <v>42</v>
      </c>
      <c r="O3056" t="s">
        <v>33</v>
      </c>
      <c r="P3056" t="s">
        <v>34</v>
      </c>
      <c r="Q3056" t="s">
        <v>34</v>
      </c>
      <c r="R3056" t="s">
        <v>34</v>
      </c>
      <c r="S3056" t="s">
        <v>34</v>
      </c>
      <c r="T3056" s="117">
        <v>0</v>
      </c>
    </row>
    <row r="3057" spans="1:21" x14ac:dyDescent="0.35">
      <c r="A3057" t="s">
        <v>20</v>
      </c>
      <c r="B3057" t="s">
        <v>24</v>
      </c>
      <c r="C3057" s="1">
        <v>45707</v>
      </c>
      <c r="D3057">
        <f t="shared" si="216"/>
        <v>19</v>
      </c>
      <c r="E3057">
        <f t="shared" si="217"/>
        <v>2</v>
      </c>
      <c r="F3057">
        <f t="shared" si="218"/>
        <v>2025</v>
      </c>
      <c r="G3057" t="s">
        <v>50</v>
      </c>
      <c r="H3057" s="98">
        <v>11932</v>
      </c>
      <c r="I3057" s="29">
        <v>6251</v>
      </c>
      <c r="J3057" s="12" t="s">
        <v>31</v>
      </c>
      <c r="K3057" s="76">
        <f t="shared" si="215"/>
        <v>6251</v>
      </c>
      <c r="L3057">
        <v>1</v>
      </c>
      <c r="M3057" s="29">
        <v>0</v>
      </c>
      <c r="N3057" t="s">
        <v>42</v>
      </c>
      <c r="O3057" t="s">
        <v>33</v>
      </c>
      <c r="P3057" t="s">
        <v>34</v>
      </c>
      <c r="Q3057" t="s">
        <v>34</v>
      </c>
      <c r="R3057" t="s">
        <v>34</v>
      </c>
      <c r="S3057" t="s">
        <v>34</v>
      </c>
      <c r="T3057" s="117">
        <v>0</v>
      </c>
    </row>
    <row r="3058" spans="1:21" x14ac:dyDescent="0.35">
      <c r="A3058" t="s">
        <v>20</v>
      </c>
      <c r="B3058" t="s">
        <v>21</v>
      </c>
      <c r="C3058" s="1">
        <v>45707</v>
      </c>
      <c r="D3058">
        <f t="shared" si="216"/>
        <v>19</v>
      </c>
      <c r="E3058">
        <f t="shared" si="217"/>
        <v>2</v>
      </c>
      <c r="F3058">
        <f t="shared" si="218"/>
        <v>2025</v>
      </c>
      <c r="G3058" t="s">
        <v>50</v>
      </c>
      <c r="H3058" s="98">
        <v>11906</v>
      </c>
      <c r="I3058" s="29">
        <v>119.6</v>
      </c>
      <c r="J3058" s="12" t="s">
        <v>31</v>
      </c>
      <c r="K3058" s="76">
        <f t="shared" si="215"/>
        <v>119.6</v>
      </c>
      <c r="L3058">
        <v>1</v>
      </c>
      <c r="M3058" s="29">
        <v>0</v>
      </c>
      <c r="N3058" t="s">
        <v>42</v>
      </c>
      <c r="O3058" t="s">
        <v>33</v>
      </c>
      <c r="P3058" t="s">
        <v>34</v>
      </c>
      <c r="Q3058" t="s">
        <v>34</v>
      </c>
      <c r="R3058" t="s">
        <v>34</v>
      </c>
      <c r="S3058" t="s">
        <v>34</v>
      </c>
      <c r="T3058" s="117">
        <v>0</v>
      </c>
    </row>
    <row r="3059" spans="1:21" x14ac:dyDescent="0.35">
      <c r="A3059" t="s">
        <v>20</v>
      </c>
      <c r="B3059" t="s">
        <v>21</v>
      </c>
      <c r="C3059" s="1">
        <v>45707</v>
      </c>
      <c r="D3059">
        <f t="shared" si="216"/>
        <v>19</v>
      </c>
      <c r="E3059">
        <f t="shared" si="217"/>
        <v>2</v>
      </c>
      <c r="F3059">
        <f t="shared" si="218"/>
        <v>2025</v>
      </c>
      <c r="G3059" t="s">
        <v>50</v>
      </c>
      <c r="H3059" s="98">
        <v>11952</v>
      </c>
      <c r="I3059" s="29">
        <v>1148.1600000000001</v>
      </c>
      <c r="J3059" s="12" t="s">
        <v>31</v>
      </c>
      <c r="K3059" s="76">
        <f t="shared" si="215"/>
        <v>1148.1600000000001</v>
      </c>
      <c r="L3059">
        <v>1</v>
      </c>
      <c r="M3059" s="29">
        <v>0</v>
      </c>
      <c r="N3059" t="s">
        <v>42</v>
      </c>
      <c r="O3059" t="s">
        <v>33</v>
      </c>
      <c r="P3059" t="s">
        <v>34</v>
      </c>
      <c r="Q3059" t="s">
        <v>34</v>
      </c>
      <c r="R3059" t="s">
        <v>34</v>
      </c>
      <c r="S3059" t="s">
        <v>34</v>
      </c>
      <c r="T3059" s="117">
        <v>0</v>
      </c>
      <c r="U3059" s="209" t="s">
        <v>919</v>
      </c>
    </row>
    <row r="3060" spans="1:21" x14ac:dyDescent="0.35">
      <c r="A3060" t="s">
        <v>20</v>
      </c>
      <c r="B3060" t="s">
        <v>21</v>
      </c>
      <c r="C3060" s="1">
        <v>45707</v>
      </c>
      <c r="D3060">
        <f t="shared" si="216"/>
        <v>19</v>
      </c>
      <c r="E3060">
        <f t="shared" si="217"/>
        <v>2</v>
      </c>
      <c r="F3060">
        <f t="shared" si="218"/>
        <v>2025</v>
      </c>
      <c r="G3060" t="s">
        <v>50</v>
      </c>
      <c r="H3060" s="98">
        <v>11906</v>
      </c>
      <c r="I3060" s="29">
        <v>177</v>
      </c>
      <c r="J3060" s="12" t="s">
        <v>31</v>
      </c>
      <c r="K3060" s="76">
        <f t="shared" si="215"/>
        <v>177</v>
      </c>
      <c r="L3060">
        <v>1</v>
      </c>
      <c r="M3060" s="29">
        <v>0</v>
      </c>
      <c r="N3060" t="s">
        <v>42</v>
      </c>
      <c r="O3060" t="s">
        <v>33</v>
      </c>
      <c r="P3060" t="s">
        <v>34</v>
      </c>
      <c r="Q3060" t="s">
        <v>34</v>
      </c>
      <c r="R3060" t="s">
        <v>34</v>
      </c>
      <c r="S3060" t="s">
        <v>34</v>
      </c>
      <c r="T3060" s="117">
        <v>0</v>
      </c>
      <c r="U3060" s="209" t="s">
        <v>1307</v>
      </c>
    </row>
    <row r="3061" spans="1:21" x14ac:dyDescent="0.35">
      <c r="A3061" t="s">
        <v>20</v>
      </c>
      <c r="B3061" t="s">
        <v>21</v>
      </c>
      <c r="C3061" s="1">
        <v>45707</v>
      </c>
      <c r="D3061">
        <f t="shared" si="216"/>
        <v>19</v>
      </c>
      <c r="E3061">
        <f t="shared" si="217"/>
        <v>2</v>
      </c>
      <c r="F3061">
        <f t="shared" si="218"/>
        <v>2025</v>
      </c>
      <c r="G3061" t="s">
        <v>50</v>
      </c>
      <c r="H3061" s="98">
        <v>12446</v>
      </c>
      <c r="I3061" s="29">
        <v>1937.86</v>
      </c>
      <c r="J3061" s="12" t="s">
        <v>31</v>
      </c>
      <c r="K3061" s="76">
        <f t="shared" si="215"/>
        <v>1937.86</v>
      </c>
      <c r="L3061">
        <v>1</v>
      </c>
      <c r="M3061" s="29">
        <v>0</v>
      </c>
      <c r="N3061" t="s">
        <v>42</v>
      </c>
      <c r="O3061" t="s">
        <v>33</v>
      </c>
      <c r="P3061" t="s">
        <v>34</v>
      </c>
      <c r="Q3061" t="s">
        <v>34</v>
      </c>
      <c r="R3061" t="s">
        <v>34</v>
      </c>
      <c r="S3061" t="s">
        <v>34</v>
      </c>
      <c r="T3061" s="117">
        <v>0</v>
      </c>
      <c r="U3061" s="209" t="s">
        <v>1099</v>
      </c>
    </row>
    <row r="3062" spans="1:21" x14ac:dyDescent="0.35">
      <c r="A3062" t="s">
        <v>20</v>
      </c>
      <c r="B3062" t="s">
        <v>21</v>
      </c>
      <c r="C3062" s="1">
        <v>45707</v>
      </c>
      <c r="D3062">
        <f t="shared" si="216"/>
        <v>19</v>
      </c>
      <c r="E3062">
        <f t="shared" si="217"/>
        <v>2</v>
      </c>
      <c r="F3062">
        <f t="shared" si="218"/>
        <v>2025</v>
      </c>
      <c r="G3062" t="s">
        <v>50</v>
      </c>
      <c r="H3062" s="98">
        <v>11909</v>
      </c>
      <c r="I3062" s="29">
        <v>702.65</v>
      </c>
      <c r="J3062" s="12" t="s">
        <v>31</v>
      </c>
      <c r="K3062" s="76">
        <f t="shared" si="215"/>
        <v>702.65</v>
      </c>
      <c r="L3062">
        <v>1</v>
      </c>
      <c r="M3062" s="29">
        <v>0</v>
      </c>
      <c r="N3062" t="s">
        <v>42</v>
      </c>
      <c r="O3062" t="s">
        <v>33</v>
      </c>
      <c r="P3062" t="s">
        <v>34</v>
      </c>
      <c r="Q3062" t="s">
        <v>34</v>
      </c>
      <c r="R3062" t="s">
        <v>34</v>
      </c>
      <c r="S3062" t="s">
        <v>34</v>
      </c>
      <c r="T3062" s="117">
        <v>0</v>
      </c>
    </row>
    <row r="3063" spans="1:21" x14ac:dyDescent="0.35">
      <c r="A3063" t="s">
        <v>20</v>
      </c>
      <c r="B3063" t="s">
        <v>21</v>
      </c>
      <c r="C3063" s="1">
        <v>45707</v>
      </c>
      <c r="D3063">
        <f t="shared" si="216"/>
        <v>19</v>
      </c>
      <c r="E3063">
        <f t="shared" si="217"/>
        <v>2</v>
      </c>
      <c r="F3063">
        <f t="shared" si="218"/>
        <v>2025</v>
      </c>
      <c r="G3063" t="s">
        <v>50</v>
      </c>
      <c r="H3063" s="98">
        <v>12446</v>
      </c>
      <c r="I3063" s="29">
        <v>693.25</v>
      </c>
      <c r="J3063" s="12" t="s">
        <v>31</v>
      </c>
      <c r="K3063" s="76">
        <f t="shared" si="215"/>
        <v>693.25</v>
      </c>
      <c r="L3063">
        <v>1</v>
      </c>
      <c r="M3063" s="29">
        <v>0</v>
      </c>
      <c r="N3063" t="s">
        <v>42</v>
      </c>
      <c r="O3063" t="s">
        <v>33</v>
      </c>
      <c r="P3063" t="s">
        <v>34</v>
      </c>
      <c r="Q3063" t="s">
        <v>34</v>
      </c>
      <c r="R3063" t="s">
        <v>34</v>
      </c>
      <c r="S3063" t="s">
        <v>34</v>
      </c>
      <c r="T3063" s="117">
        <v>0</v>
      </c>
      <c r="U3063" s="209" t="s">
        <v>1100</v>
      </c>
    </row>
    <row r="3064" spans="1:21" x14ac:dyDescent="0.35">
      <c r="A3064" t="s">
        <v>20</v>
      </c>
      <c r="B3064" t="s">
        <v>25</v>
      </c>
      <c r="C3064" s="1">
        <v>45707</v>
      </c>
      <c r="D3064">
        <f t="shared" si="216"/>
        <v>19</v>
      </c>
      <c r="E3064">
        <f t="shared" si="217"/>
        <v>2</v>
      </c>
      <c r="F3064">
        <f t="shared" si="218"/>
        <v>2025</v>
      </c>
      <c r="G3064" t="s">
        <v>50</v>
      </c>
      <c r="H3064" s="98">
        <v>11706</v>
      </c>
      <c r="I3064" s="29">
        <v>7260</v>
      </c>
      <c r="J3064" s="12" t="s">
        <v>31</v>
      </c>
      <c r="K3064" s="76">
        <f t="shared" si="215"/>
        <v>7260</v>
      </c>
      <c r="L3064">
        <v>1</v>
      </c>
      <c r="M3064" s="29">
        <v>0</v>
      </c>
      <c r="N3064" t="s">
        <v>42</v>
      </c>
      <c r="O3064" t="s">
        <v>33</v>
      </c>
      <c r="P3064" t="s">
        <v>34</v>
      </c>
      <c r="Q3064" t="s">
        <v>34</v>
      </c>
      <c r="R3064" t="s">
        <v>34</v>
      </c>
      <c r="S3064" t="s">
        <v>34</v>
      </c>
      <c r="T3064" s="117">
        <v>0</v>
      </c>
    </row>
    <row r="3065" spans="1:21" x14ac:dyDescent="0.35">
      <c r="A3065" t="s">
        <v>20</v>
      </c>
      <c r="B3065" t="s">
        <v>21</v>
      </c>
      <c r="C3065" s="1">
        <v>45707</v>
      </c>
      <c r="D3065">
        <f t="shared" si="216"/>
        <v>19</v>
      </c>
      <c r="E3065">
        <f t="shared" si="217"/>
        <v>2</v>
      </c>
      <c r="F3065">
        <f t="shared" si="218"/>
        <v>2025</v>
      </c>
      <c r="G3065" t="s">
        <v>50</v>
      </c>
      <c r="H3065" s="98">
        <v>11905</v>
      </c>
      <c r="I3065" s="29">
        <v>59.8</v>
      </c>
      <c r="J3065" s="12" t="s">
        <v>31</v>
      </c>
      <c r="K3065" s="76">
        <f t="shared" si="215"/>
        <v>59.8</v>
      </c>
      <c r="L3065">
        <v>1</v>
      </c>
      <c r="M3065" s="29">
        <v>0</v>
      </c>
      <c r="N3065" t="s">
        <v>42</v>
      </c>
      <c r="O3065" t="s">
        <v>33</v>
      </c>
      <c r="P3065" t="s">
        <v>34</v>
      </c>
      <c r="Q3065" t="s">
        <v>34</v>
      </c>
      <c r="R3065" t="s">
        <v>34</v>
      </c>
      <c r="S3065" t="s">
        <v>34</v>
      </c>
      <c r="T3065" s="117">
        <v>0</v>
      </c>
    </row>
    <row r="3066" spans="1:21" x14ac:dyDescent="0.35">
      <c r="A3066" t="s">
        <v>20</v>
      </c>
      <c r="B3066" t="s">
        <v>21</v>
      </c>
      <c r="C3066" s="1">
        <v>45707</v>
      </c>
      <c r="D3066">
        <f t="shared" si="216"/>
        <v>19</v>
      </c>
      <c r="E3066">
        <f t="shared" si="217"/>
        <v>2</v>
      </c>
      <c r="F3066">
        <f t="shared" si="218"/>
        <v>2025</v>
      </c>
      <c r="G3066" t="s">
        <v>50</v>
      </c>
      <c r="H3066" s="98">
        <v>11910</v>
      </c>
      <c r="I3066" s="29">
        <v>59</v>
      </c>
      <c r="J3066" s="12" t="s">
        <v>31</v>
      </c>
      <c r="K3066" s="76">
        <f t="shared" si="215"/>
        <v>59</v>
      </c>
      <c r="L3066">
        <v>1</v>
      </c>
      <c r="M3066" s="29">
        <v>0</v>
      </c>
      <c r="N3066" t="s">
        <v>42</v>
      </c>
      <c r="O3066" t="s">
        <v>33</v>
      </c>
      <c r="P3066" t="s">
        <v>34</v>
      </c>
      <c r="Q3066" t="s">
        <v>34</v>
      </c>
      <c r="R3066" t="s">
        <v>34</v>
      </c>
      <c r="S3066" t="s">
        <v>34</v>
      </c>
      <c r="T3066" s="117">
        <v>0</v>
      </c>
    </row>
    <row r="3067" spans="1:21" x14ac:dyDescent="0.35">
      <c r="A3067" t="s">
        <v>20</v>
      </c>
      <c r="B3067" t="s">
        <v>25</v>
      </c>
      <c r="C3067" s="1">
        <v>45707</v>
      </c>
      <c r="D3067">
        <f t="shared" si="216"/>
        <v>19</v>
      </c>
      <c r="E3067">
        <f t="shared" si="217"/>
        <v>2</v>
      </c>
      <c r="F3067">
        <f t="shared" si="218"/>
        <v>2025</v>
      </c>
      <c r="G3067" t="s">
        <v>50</v>
      </c>
      <c r="H3067" s="98">
        <v>11706</v>
      </c>
      <c r="I3067" s="29">
        <v>1838.85</v>
      </c>
      <c r="J3067" s="12" t="s">
        <v>31</v>
      </c>
      <c r="K3067" s="76">
        <f t="shared" si="215"/>
        <v>1838.85</v>
      </c>
      <c r="L3067">
        <v>1</v>
      </c>
      <c r="M3067" s="29">
        <v>0</v>
      </c>
      <c r="N3067" t="s">
        <v>42</v>
      </c>
      <c r="O3067" t="s">
        <v>33</v>
      </c>
      <c r="P3067" t="s">
        <v>34</v>
      </c>
      <c r="Q3067" t="s">
        <v>34</v>
      </c>
      <c r="R3067" t="s">
        <v>34</v>
      </c>
      <c r="S3067" t="s">
        <v>34</v>
      </c>
      <c r="T3067" s="117">
        <v>0</v>
      </c>
    </row>
    <row r="3068" spans="1:21" x14ac:dyDescent="0.35">
      <c r="A3068" t="s">
        <v>20</v>
      </c>
      <c r="B3068" t="s">
        <v>21</v>
      </c>
      <c r="C3068" s="1">
        <v>45707</v>
      </c>
      <c r="D3068">
        <f t="shared" si="216"/>
        <v>19</v>
      </c>
      <c r="E3068">
        <f t="shared" si="217"/>
        <v>2</v>
      </c>
      <c r="F3068">
        <f t="shared" si="218"/>
        <v>2025</v>
      </c>
      <c r="G3068" t="s">
        <v>299</v>
      </c>
      <c r="H3068" s="98">
        <v>11453</v>
      </c>
      <c r="I3068" s="29">
        <v>7601.22</v>
      </c>
      <c r="J3068" s="12" t="s">
        <v>31</v>
      </c>
      <c r="K3068" s="76">
        <f t="shared" si="215"/>
        <v>7601.22</v>
      </c>
      <c r="L3068">
        <v>1</v>
      </c>
      <c r="M3068" s="29">
        <v>0</v>
      </c>
      <c r="N3068" t="s">
        <v>42</v>
      </c>
      <c r="O3068" t="s">
        <v>33</v>
      </c>
      <c r="P3068" t="s">
        <v>34</v>
      </c>
      <c r="Q3068" t="s">
        <v>34</v>
      </c>
      <c r="R3068" t="s">
        <v>34</v>
      </c>
      <c r="S3068" t="s">
        <v>34</v>
      </c>
      <c r="T3068" s="117">
        <v>0</v>
      </c>
    </row>
    <row r="3069" spans="1:21" x14ac:dyDescent="0.35">
      <c r="A3069" t="s">
        <v>20</v>
      </c>
      <c r="B3069" t="s">
        <v>23</v>
      </c>
      <c r="C3069" s="1">
        <v>45707</v>
      </c>
      <c r="D3069">
        <f t="shared" si="216"/>
        <v>19</v>
      </c>
      <c r="E3069">
        <f t="shared" si="217"/>
        <v>2</v>
      </c>
      <c r="F3069">
        <f t="shared" si="218"/>
        <v>2025</v>
      </c>
      <c r="G3069" t="s">
        <v>177</v>
      </c>
      <c r="H3069" s="98">
        <v>12118</v>
      </c>
      <c r="I3069" s="29">
        <v>5761.8</v>
      </c>
      <c r="J3069" s="12" t="s">
        <v>31</v>
      </c>
      <c r="K3069" s="76">
        <f t="shared" si="215"/>
        <v>5761.8</v>
      </c>
      <c r="L3069">
        <v>1</v>
      </c>
      <c r="M3069" s="29">
        <v>0</v>
      </c>
      <c r="N3069" t="s">
        <v>42</v>
      </c>
      <c r="O3069" t="s">
        <v>33</v>
      </c>
      <c r="P3069" t="s">
        <v>34</v>
      </c>
      <c r="Q3069" t="s">
        <v>34</v>
      </c>
      <c r="R3069" t="s">
        <v>34</v>
      </c>
      <c r="S3069" t="s">
        <v>34</v>
      </c>
      <c r="T3069" s="117">
        <v>0</v>
      </c>
    </row>
    <row r="3070" spans="1:21" x14ac:dyDescent="0.35">
      <c r="A3070" t="s">
        <v>20</v>
      </c>
      <c r="B3070" t="s">
        <v>21</v>
      </c>
      <c r="C3070" s="1">
        <v>45707</v>
      </c>
      <c r="D3070">
        <f t="shared" si="216"/>
        <v>19</v>
      </c>
      <c r="E3070">
        <f t="shared" si="217"/>
        <v>2</v>
      </c>
      <c r="F3070">
        <f t="shared" si="218"/>
        <v>2025</v>
      </c>
      <c r="G3070" t="s">
        <v>91</v>
      </c>
      <c r="H3070" s="98">
        <v>11576</v>
      </c>
      <c r="I3070" s="29">
        <v>201</v>
      </c>
      <c r="J3070" s="12" t="s">
        <v>31</v>
      </c>
      <c r="K3070" s="76">
        <f t="shared" si="215"/>
        <v>201</v>
      </c>
      <c r="L3070">
        <v>1</v>
      </c>
      <c r="M3070" s="29">
        <v>0</v>
      </c>
      <c r="N3070" t="s">
        <v>32</v>
      </c>
      <c r="O3070" t="s">
        <v>33</v>
      </c>
      <c r="P3070" t="s">
        <v>34</v>
      </c>
      <c r="Q3070" t="s">
        <v>34</v>
      </c>
      <c r="R3070" t="s">
        <v>34</v>
      </c>
      <c r="S3070" t="s">
        <v>34</v>
      </c>
      <c r="T3070" s="117">
        <v>0</v>
      </c>
    </row>
    <row r="3071" spans="1:21" x14ac:dyDescent="0.35">
      <c r="A3071" t="s">
        <v>20</v>
      </c>
      <c r="B3071" t="s">
        <v>24</v>
      </c>
      <c r="C3071" s="1">
        <v>45707</v>
      </c>
      <c r="D3071">
        <f t="shared" si="216"/>
        <v>19</v>
      </c>
      <c r="E3071">
        <f t="shared" si="217"/>
        <v>2</v>
      </c>
      <c r="F3071">
        <f t="shared" si="218"/>
        <v>2025</v>
      </c>
      <c r="G3071" t="s">
        <v>91</v>
      </c>
      <c r="H3071" s="98">
        <v>11936</v>
      </c>
      <c r="I3071" s="29">
        <v>283.25</v>
      </c>
      <c r="J3071" s="12" t="s">
        <v>31</v>
      </c>
      <c r="K3071" s="76">
        <f t="shared" si="215"/>
        <v>283.25</v>
      </c>
      <c r="L3071">
        <v>1</v>
      </c>
      <c r="M3071" s="29">
        <v>0</v>
      </c>
      <c r="N3071" t="s">
        <v>32</v>
      </c>
      <c r="O3071" t="s">
        <v>33</v>
      </c>
      <c r="P3071" t="s">
        <v>34</v>
      </c>
      <c r="Q3071" t="s">
        <v>34</v>
      </c>
      <c r="R3071" t="s">
        <v>34</v>
      </c>
      <c r="S3071" t="s">
        <v>34</v>
      </c>
      <c r="T3071" s="117">
        <v>0</v>
      </c>
    </row>
    <row r="3072" spans="1:21" x14ac:dyDescent="0.35">
      <c r="A3072" t="s">
        <v>20</v>
      </c>
      <c r="B3072" t="s">
        <v>21</v>
      </c>
      <c r="C3072" s="1">
        <v>45707</v>
      </c>
      <c r="D3072">
        <f t="shared" si="216"/>
        <v>19</v>
      </c>
      <c r="E3072">
        <f t="shared" si="217"/>
        <v>2</v>
      </c>
      <c r="F3072">
        <f t="shared" si="218"/>
        <v>2025</v>
      </c>
      <c r="G3072" t="s">
        <v>104</v>
      </c>
      <c r="H3072" s="98">
        <v>11731</v>
      </c>
      <c r="I3072" s="29">
        <v>4224.5</v>
      </c>
      <c r="J3072" s="12" t="s">
        <v>31</v>
      </c>
      <c r="K3072" s="76">
        <f t="shared" si="215"/>
        <v>4224.5</v>
      </c>
      <c r="L3072">
        <v>1</v>
      </c>
      <c r="M3072" s="29">
        <v>0</v>
      </c>
      <c r="N3072" t="s">
        <v>32</v>
      </c>
      <c r="O3072" t="s">
        <v>33</v>
      </c>
      <c r="P3072" t="s">
        <v>34</v>
      </c>
      <c r="Q3072" t="s">
        <v>34</v>
      </c>
      <c r="R3072" t="s">
        <v>34</v>
      </c>
      <c r="S3072" t="s">
        <v>34</v>
      </c>
      <c r="T3072" s="117">
        <v>0</v>
      </c>
    </row>
    <row r="3073" spans="1:21" x14ac:dyDescent="0.35">
      <c r="A3073" t="s">
        <v>20</v>
      </c>
      <c r="B3073" t="s">
        <v>25</v>
      </c>
      <c r="C3073" s="1">
        <v>45707</v>
      </c>
      <c r="D3073">
        <f t="shared" si="216"/>
        <v>19</v>
      </c>
      <c r="E3073">
        <f t="shared" si="217"/>
        <v>2</v>
      </c>
      <c r="F3073">
        <f t="shared" si="218"/>
        <v>2025</v>
      </c>
      <c r="G3073" t="s">
        <v>99</v>
      </c>
      <c r="H3073" s="98">
        <v>11593</v>
      </c>
      <c r="I3073" s="29">
        <v>9889.36</v>
      </c>
      <c r="J3073" s="12" t="s">
        <v>31</v>
      </c>
      <c r="K3073" s="76">
        <f t="shared" si="215"/>
        <v>9889.36</v>
      </c>
      <c r="L3073">
        <v>1</v>
      </c>
      <c r="M3073" s="29">
        <v>0</v>
      </c>
      <c r="N3073" t="s">
        <v>32</v>
      </c>
      <c r="O3073" t="s">
        <v>33</v>
      </c>
      <c r="P3073" t="s">
        <v>34</v>
      </c>
      <c r="Q3073" t="s">
        <v>34</v>
      </c>
      <c r="R3073" t="s">
        <v>34</v>
      </c>
      <c r="S3073" t="s">
        <v>34</v>
      </c>
      <c r="T3073" s="117">
        <v>0</v>
      </c>
    </row>
    <row r="3074" spans="1:21" x14ac:dyDescent="0.35">
      <c r="A3074" t="s">
        <v>20</v>
      </c>
      <c r="B3074" t="s">
        <v>24</v>
      </c>
      <c r="C3074" s="1">
        <v>45707</v>
      </c>
      <c r="D3074">
        <f t="shared" si="216"/>
        <v>19</v>
      </c>
      <c r="E3074">
        <f t="shared" si="217"/>
        <v>2</v>
      </c>
      <c r="F3074">
        <f t="shared" si="218"/>
        <v>2025</v>
      </c>
      <c r="G3074" t="s">
        <v>85</v>
      </c>
      <c r="H3074" s="98">
        <v>12071</v>
      </c>
      <c r="I3074" s="29">
        <v>36972.83</v>
      </c>
      <c r="J3074" s="12" t="s">
        <v>31</v>
      </c>
      <c r="K3074" s="76">
        <f t="shared" ref="K3074:K3137" si="219">IF(J3074="USD",I3074,I3074*L3074)</f>
        <v>36972.83</v>
      </c>
      <c r="L3074">
        <v>1</v>
      </c>
      <c r="M3074" s="29">
        <v>0</v>
      </c>
      <c r="N3074" t="s">
        <v>32</v>
      </c>
      <c r="O3074" t="s">
        <v>33</v>
      </c>
      <c r="P3074" t="s">
        <v>34</v>
      </c>
      <c r="Q3074" t="s">
        <v>34</v>
      </c>
      <c r="R3074" t="s">
        <v>34</v>
      </c>
      <c r="S3074" t="s">
        <v>34</v>
      </c>
      <c r="T3074" s="117">
        <v>0</v>
      </c>
    </row>
    <row r="3075" spans="1:21" x14ac:dyDescent="0.35">
      <c r="A3075" t="s">
        <v>19</v>
      </c>
      <c r="B3075" t="s">
        <v>26</v>
      </c>
      <c r="C3075" s="1">
        <v>45708</v>
      </c>
      <c r="D3075">
        <f t="shared" ref="D3075:D3138" si="220">DAY(C3075)</f>
        <v>20</v>
      </c>
      <c r="E3075">
        <f t="shared" ref="E3075:E3138" si="221">MONTH(C3075)</f>
        <v>2</v>
      </c>
      <c r="F3075">
        <f t="shared" ref="F3075:F3138" si="222">YEAR(C3075)</f>
        <v>2025</v>
      </c>
      <c r="G3075" t="s">
        <v>73</v>
      </c>
      <c r="H3075" s="121">
        <v>12267</v>
      </c>
      <c r="I3075" s="29">
        <v>59650.11</v>
      </c>
      <c r="J3075" s="12" t="s">
        <v>51</v>
      </c>
      <c r="K3075" s="76">
        <f t="shared" si="219"/>
        <v>62483.490225000009</v>
      </c>
      <c r="L3075">
        <v>1.0475000000000001</v>
      </c>
      <c r="M3075" s="29">
        <v>0</v>
      </c>
      <c r="N3075" t="s">
        <v>42</v>
      </c>
      <c r="O3075" t="s">
        <v>33</v>
      </c>
      <c r="P3075" t="s">
        <v>34</v>
      </c>
      <c r="Q3075" t="s">
        <v>34</v>
      </c>
      <c r="R3075" t="s">
        <v>34</v>
      </c>
      <c r="S3075" t="s">
        <v>34</v>
      </c>
      <c r="T3075" s="117">
        <v>0</v>
      </c>
      <c r="U3075" s="209" t="s">
        <v>94</v>
      </c>
    </row>
    <row r="3076" spans="1:21" x14ac:dyDescent="0.35">
      <c r="A3076" t="s">
        <v>19</v>
      </c>
      <c r="B3076" t="s">
        <v>26</v>
      </c>
      <c r="C3076" s="1">
        <v>45708</v>
      </c>
      <c r="D3076">
        <f t="shared" si="220"/>
        <v>20</v>
      </c>
      <c r="E3076">
        <f t="shared" si="221"/>
        <v>2</v>
      </c>
      <c r="F3076">
        <f t="shared" si="222"/>
        <v>2025</v>
      </c>
      <c r="G3076" t="s">
        <v>73</v>
      </c>
      <c r="H3076" s="121">
        <v>12278</v>
      </c>
      <c r="I3076" s="29">
        <v>125876.56</v>
      </c>
      <c r="J3076" s="12" t="s">
        <v>51</v>
      </c>
      <c r="K3076" s="76">
        <f t="shared" si="219"/>
        <v>131855.6966</v>
      </c>
      <c r="L3076">
        <v>1.0475000000000001</v>
      </c>
      <c r="M3076" s="29">
        <v>0</v>
      </c>
      <c r="N3076" t="s">
        <v>42</v>
      </c>
      <c r="O3076" t="s">
        <v>33</v>
      </c>
      <c r="P3076" t="s">
        <v>34</v>
      </c>
      <c r="Q3076" t="s">
        <v>34</v>
      </c>
      <c r="R3076" t="s">
        <v>34</v>
      </c>
      <c r="S3076" t="s">
        <v>34</v>
      </c>
      <c r="T3076" s="117">
        <v>0</v>
      </c>
      <c r="U3076" s="209" t="s">
        <v>94</v>
      </c>
    </row>
    <row r="3077" spans="1:21" x14ac:dyDescent="0.35">
      <c r="A3077" t="s">
        <v>19</v>
      </c>
      <c r="B3077" t="s">
        <v>26</v>
      </c>
      <c r="C3077" s="1">
        <v>45708</v>
      </c>
      <c r="D3077">
        <f t="shared" si="220"/>
        <v>20</v>
      </c>
      <c r="E3077">
        <f t="shared" si="221"/>
        <v>2</v>
      </c>
      <c r="F3077">
        <f t="shared" si="222"/>
        <v>2025</v>
      </c>
      <c r="G3077" t="s">
        <v>73</v>
      </c>
      <c r="H3077" s="121">
        <v>12297</v>
      </c>
      <c r="I3077" s="29">
        <v>246.38</v>
      </c>
      <c r="J3077" s="12" t="s">
        <v>51</v>
      </c>
      <c r="K3077" s="76">
        <f t="shared" si="219"/>
        <v>258.08305000000001</v>
      </c>
      <c r="L3077">
        <v>1.0475000000000001</v>
      </c>
      <c r="M3077" s="29">
        <v>0</v>
      </c>
      <c r="N3077" t="s">
        <v>42</v>
      </c>
      <c r="O3077" t="s">
        <v>33</v>
      </c>
      <c r="P3077" t="s">
        <v>34</v>
      </c>
      <c r="Q3077" t="s">
        <v>34</v>
      </c>
      <c r="R3077" t="s">
        <v>34</v>
      </c>
      <c r="S3077" t="s">
        <v>34</v>
      </c>
      <c r="T3077" s="117">
        <v>0</v>
      </c>
      <c r="U3077" s="209" t="s">
        <v>94</v>
      </c>
    </row>
    <row r="3078" spans="1:21" x14ac:dyDescent="0.35">
      <c r="A3078" t="s">
        <v>19</v>
      </c>
      <c r="B3078" t="s">
        <v>25</v>
      </c>
      <c r="C3078" s="1">
        <v>45709</v>
      </c>
      <c r="D3078">
        <f t="shared" si="220"/>
        <v>21</v>
      </c>
      <c r="E3078">
        <f t="shared" si="221"/>
        <v>2</v>
      </c>
      <c r="F3078">
        <f t="shared" si="222"/>
        <v>2025</v>
      </c>
      <c r="G3078" t="s">
        <v>36</v>
      </c>
      <c r="H3078" s="98">
        <v>11559</v>
      </c>
      <c r="I3078" s="29">
        <v>66365.509999999995</v>
      </c>
      <c r="J3078" s="12" t="s">
        <v>31</v>
      </c>
      <c r="K3078" s="76">
        <f t="shared" si="219"/>
        <v>66365.509999999995</v>
      </c>
      <c r="L3078">
        <v>1</v>
      </c>
      <c r="M3078" s="29">
        <v>0</v>
      </c>
      <c r="N3078" t="s">
        <v>32</v>
      </c>
      <c r="O3078" t="s">
        <v>33</v>
      </c>
      <c r="P3078" t="s">
        <v>34</v>
      </c>
      <c r="Q3078" t="s">
        <v>34</v>
      </c>
      <c r="R3078" t="s">
        <v>34</v>
      </c>
      <c r="S3078" t="s">
        <v>34</v>
      </c>
      <c r="T3078" s="117">
        <v>0</v>
      </c>
    </row>
    <row r="3079" spans="1:21" x14ac:dyDescent="0.35">
      <c r="A3079" t="s">
        <v>19</v>
      </c>
      <c r="B3079" t="s">
        <v>21</v>
      </c>
      <c r="C3079" s="1">
        <v>45709</v>
      </c>
      <c r="D3079">
        <f t="shared" si="220"/>
        <v>21</v>
      </c>
      <c r="E3079">
        <f t="shared" si="221"/>
        <v>2</v>
      </c>
      <c r="F3079">
        <f t="shared" si="222"/>
        <v>2025</v>
      </c>
      <c r="G3079" t="s">
        <v>36</v>
      </c>
      <c r="H3079" s="98">
        <v>11559</v>
      </c>
      <c r="I3079" s="29">
        <v>10803.69</v>
      </c>
      <c r="J3079" s="12" t="s">
        <v>31</v>
      </c>
      <c r="K3079" s="76">
        <f t="shared" si="219"/>
        <v>10803.69</v>
      </c>
      <c r="L3079">
        <v>1</v>
      </c>
      <c r="M3079" s="29">
        <v>0</v>
      </c>
      <c r="N3079" t="s">
        <v>32</v>
      </c>
      <c r="O3079" t="s">
        <v>33</v>
      </c>
      <c r="P3079" t="s">
        <v>34</v>
      </c>
      <c r="Q3079" t="s">
        <v>34</v>
      </c>
      <c r="R3079" t="s">
        <v>34</v>
      </c>
      <c r="S3079" t="s">
        <v>34</v>
      </c>
      <c r="T3079" s="117">
        <v>0</v>
      </c>
    </row>
    <row r="3080" spans="1:21" x14ac:dyDescent="0.35">
      <c r="A3080" t="s">
        <v>19</v>
      </c>
      <c r="B3080" t="s">
        <v>24</v>
      </c>
      <c r="C3080" s="1">
        <v>45709</v>
      </c>
      <c r="D3080">
        <f t="shared" si="220"/>
        <v>21</v>
      </c>
      <c r="E3080">
        <f t="shared" si="221"/>
        <v>2</v>
      </c>
      <c r="F3080">
        <f t="shared" si="222"/>
        <v>2025</v>
      </c>
      <c r="G3080" t="s">
        <v>39</v>
      </c>
      <c r="H3080" s="98">
        <v>11836</v>
      </c>
      <c r="I3080" s="29">
        <v>10319.280000000001</v>
      </c>
      <c r="J3080" s="12" t="s">
        <v>31</v>
      </c>
      <c r="K3080" s="76">
        <f t="shared" si="219"/>
        <v>10319.280000000001</v>
      </c>
      <c r="L3080">
        <v>1</v>
      </c>
      <c r="M3080" s="29">
        <v>0</v>
      </c>
      <c r="N3080" t="s">
        <v>32</v>
      </c>
      <c r="O3080" t="s">
        <v>33</v>
      </c>
      <c r="P3080" t="s">
        <v>34</v>
      </c>
      <c r="Q3080" t="s">
        <v>34</v>
      </c>
      <c r="R3080" t="s">
        <v>34</v>
      </c>
      <c r="S3080" t="s">
        <v>34</v>
      </c>
      <c r="T3080" s="117">
        <v>0</v>
      </c>
    </row>
    <row r="3081" spans="1:21" x14ac:dyDescent="0.35">
      <c r="A3081" t="s">
        <v>19</v>
      </c>
      <c r="B3081" t="s">
        <v>21</v>
      </c>
      <c r="C3081" s="1">
        <v>45709</v>
      </c>
      <c r="D3081">
        <f t="shared" si="220"/>
        <v>21</v>
      </c>
      <c r="E3081">
        <f t="shared" si="221"/>
        <v>2</v>
      </c>
      <c r="F3081">
        <f t="shared" si="222"/>
        <v>2025</v>
      </c>
      <c r="G3081" t="s">
        <v>39</v>
      </c>
      <c r="H3081" s="98">
        <v>11836</v>
      </c>
      <c r="I3081" s="29">
        <v>22968.720000000001</v>
      </c>
      <c r="J3081" s="12" t="s">
        <v>31</v>
      </c>
      <c r="K3081" s="76">
        <f t="shared" si="219"/>
        <v>22968.720000000001</v>
      </c>
      <c r="L3081">
        <v>1</v>
      </c>
      <c r="M3081" s="29">
        <v>0</v>
      </c>
      <c r="N3081" t="s">
        <v>32</v>
      </c>
      <c r="O3081" t="s">
        <v>33</v>
      </c>
      <c r="P3081" t="s">
        <v>34</v>
      </c>
      <c r="Q3081" t="s">
        <v>34</v>
      </c>
      <c r="R3081" t="s">
        <v>34</v>
      </c>
      <c r="S3081" t="s">
        <v>34</v>
      </c>
      <c r="T3081" s="117">
        <v>0</v>
      </c>
    </row>
    <row r="3082" spans="1:21" x14ac:dyDescent="0.35">
      <c r="A3082" t="s">
        <v>19</v>
      </c>
      <c r="B3082" t="s">
        <v>25</v>
      </c>
      <c r="C3082" s="1">
        <v>45709</v>
      </c>
      <c r="D3082">
        <f t="shared" si="220"/>
        <v>21</v>
      </c>
      <c r="E3082">
        <f t="shared" si="221"/>
        <v>2</v>
      </c>
      <c r="F3082">
        <f t="shared" si="222"/>
        <v>2025</v>
      </c>
      <c r="G3082" t="s">
        <v>38</v>
      </c>
      <c r="H3082" s="98">
        <v>11127</v>
      </c>
      <c r="I3082" s="29">
        <v>164591.54999999999</v>
      </c>
      <c r="J3082" s="12" t="s">
        <v>31</v>
      </c>
      <c r="K3082" s="76">
        <f t="shared" si="219"/>
        <v>164591.54999999999</v>
      </c>
      <c r="L3082">
        <v>1</v>
      </c>
      <c r="M3082" s="29">
        <v>0</v>
      </c>
      <c r="N3082" t="s">
        <v>32</v>
      </c>
      <c r="O3082" t="s">
        <v>33</v>
      </c>
      <c r="P3082" t="s">
        <v>34</v>
      </c>
      <c r="Q3082" t="s">
        <v>34</v>
      </c>
      <c r="R3082" t="s">
        <v>34</v>
      </c>
      <c r="S3082" t="s">
        <v>34</v>
      </c>
      <c r="T3082" s="117">
        <v>0</v>
      </c>
    </row>
    <row r="3083" spans="1:21" x14ac:dyDescent="0.35">
      <c r="A3083" t="s">
        <v>19</v>
      </c>
      <c r="B3083" t="s">
        <v>25</v>
      </c>
      <c r="C3083" s="1">
        <v>45709</v>
      </c>
      <c r="D3083">
        <f t="shared" si="220"/>
        <v>21</v>
      </c>
      <c r="E3083">
        <f t="shared" si="221"/>
        <v>2</v>
      </c>
      <c r="F3083">
        <f t="shared" si="222"/>
        <v>2025</v>
      </c>
      <c r="G3083" t="s">
        <v>38</v>
      </c>
      <c r="H3083" s="98">
        <v>12097</v>
      </c>
      <c r="I3083" s="29">
        <v>26.4</v>
      </c>
      <c r="J3083" s="12" t="s">
        <v>31</v>
      </c>
      <c r="K3083" s="76">
        <f t="shared" si="219"/>
        <v>26.4</v>
      </c>
      <c r="L3083">
        <v>1</v>
      </c>
      <c r="M3083" s="29">
        <v>0</v>
      </c>
      <c r="N3083" t="s">
        <v>32</v>
      </c>
      <c r="O3083" t="s">
        <v>33</v>
      </c>
      <c r="P3083" t="s">
        <v>34</v>
      </c>
      <c r="Q3083" t="s">
        <v>34</v>
      </c>
      <c r="R3083" t="s">
        <v>34</v>
      </c>
      <c r="S3083" t="s">
        <v>34</v>
      </c>
      <c r="T3083" s="117">
        <v>0</v>
      </c>
    </row>
    <row r="3084" spans="1:21" x14ac:dyDescent="0.35">
      <c r="A3084" t="s">
        <v>19</v>
      </c>
      <c r="B3084" t="s">
        <v>25</v>
      </c>
      <c r="C3084" s="1">
        <v>45709</v>
      </c>
      <c r="D3084">
        <f t="shared" si="220"/>
        <v>21</v>
      </c>
      <c r="E3084">
        <f t="shared" si="221"/>
        <v>2</v>
      </c>
      <c r="F3084">
        <f t="shared" si="222"/>
        <v>2025</v>
      </c>
      <c r="G3084" t="s">
        <v>38</v>
      </c>
      <c r="H3084" s="98">
        <v>12200</v>
      </c>
      <c r="I3084" s="29">
        <v>85.44</v>
      </c>
      <c r="J3084" s="12" t="s">
        <v>31</v>
      </c>
      <c r="K3084" s="76">
        <f t="shared" si="219"/>
        <v>85.44</v>
      </c>
      <c r="L3084">
        <v>1</v>
      </c>
      <c r="M3084" s="29">
        <v>0</v>
      </c>
      <c r="N3084" t="s">
        <v>32</v>
      </c>
      <c r="O3084" t="s">
        <v>33</v>
      </c>
      <c r="P3084" t="s">
        <v>34</v>
      </c>
      <c r="Q3084" t="s">
        <v>34</v>
      </c>
      <c r="R3084" t="s">
        <v>34</v>
      </c>
      <c r="S3084" t="s">
        <v>34</v>
      </c>
      <c r="T3084" s="117">
        <v>0</v>
      </c>
    </row>
    <row r="3085" spans="1:21" x14ac:dyDescent="0.35">
      <c r="A3085" t="s">
        <v>19</v>
      </c>
      <c r="B3085" t="s">
        <v>21</v>
      </c>
      <c r="C3085" s="1">
        <v>45709</v>
      </c>
      <c r="D3085">
        <f t="shared" si="220"/>
        <v>21</v>
      </c>
      <c r="E3085">
        <f t="shared" si="221"/>
        <v>2</v>
      </c>
      <c r="F3085">
        <f t="shared" si="222"/>
        <v>2025</v>
      </c>
      <c r="G3085" t="s">
        <v>37</v>
      </c>
      <c r="H3085" s="98">
        <v>11762</v>
      </c>
      <c r="I3085" s="29">
        <v>53970.8</v>
      </c>
      <c r="J3085" s="12" t="s">
        <v>31</v>
      </c>
      <c r="K3085" s="76">
        <f t="shared" si="219"/>
        <v>53970.8</v>
      </c>
      <c r="L3085">
        <v>1</v>
      </c>
      <c r="M3085" s="29">
        <v>0</v>
      </c>
      <c r="N3085" t="s">
        <v>32</v>
      </c>
      <c r="O3085" t="s">
        <v>33</v>
      </c>
      <c r="P3085" t="s">
        <v>34</v>
      </c>
      <c r="Q3085" t="s">
        <v>34</v>
      </c>
      <c r="R3085" t="s">
        <v>34</v>
      </c>
      <c r="S3085" t="s">
        <v>34</v>
      </c>
      <c r="T3085" s="117">
        <v>0</v>
      </c>
    </row>
    <row r="3086" spans="1:21" x14ac:dyDescent="0.35">
      <c r="A3086" t="s">
        <v>19</v>
      </c>
      <c r="B3086" t="s">
        <v>24</v>
      </c>
      <c r="C3086" s="1">
        <v>45709</v>
      </c>
      <c r="D3086">
        <f t="shared" si="220"/>
        <v>21</v>
      </c>
      <c r="E3086">
        <f t="shared" si="221"/>
        <v>2</v>
      </c>
      <c r="F3086">
        <f t="shared" si="222"/>
        <v>2025</v>
      </c>
      <c r="G3086" t="s">
        <v>37</v>
      </c>
      <c r="H3086" s="98">
        <v>11762</v>
      </c>
      <c r="I3086" s="29">
        <v>12207</v>
      </c>
      <c r="J3086" s="12" t="s">
        <v>31</v>
      </c>
      <c r="K3086" s="76">
        <f t="shared" si="219"/>
        <v>12207</v>
      </c>
      <c r="L3086">
        <v>1</v>
      </c>
      <c r="M3086" s="29">
        <v>0</v>
      </c>
      <c r="N3086" t="s">
        <v>32</v>
      </c>
      <c r="O3086" t="s">
        <v>33</v>
      </c>
      <c r="P3086" t="s">
        <v>34</v>
      </c>
      <c r="Q3086" t="s">
        <v>34</v>
      </c>
      <c r="R3086" t="s">
        <v>34</v>
      </c>
      <c r="S3086" t="s">
        <v>34</v>
      </c>
      <c r="T3086" s="117">
        <v>0</v>
      </c>
    </row>
    <row r="3087" spans="1:21" x14ac:dyDescent="0.35">
      <c r="A3087" t="s">
        <v>19</v>
      </c>
      <c r="B3087" t="s">
        <v>23</v>
      </c>
      <c r="C3087" s="1">
        <v>45714</v>
      </c>
      <c r="D3087">
        <f t="shared" si="220"/>
        <v>26</v>
      </c>
      <c r="E3087">
        <f t="shared" si="221"/>
        <v>2</v>
      </c>
      <c r="F3087">
        <f t="shared" si="222"/>
        <v>2025</v>
      </c>
      <c r="G3087" t="s">
        <v>76</v>
      </c>
      <c r="H3087" s="98">
        <v>12103</v>
      </c>
      <c r="I3087" s="29">
        <v>7314.4</v>
      </c>
      <c r="J3087" s="12" t="s">
        <v>31</v>
      </c>
      <c r="K3087" s="76">
        <f t="shared" si="219"/>
        <v>7314.4</v>
      </c>
      <c r="L3087">
        <v>1</v>
      </c>
      <c r="M3087" s="29">
        <v>0</v>
      </c>
      <c r="N3087" t="s">
        <v>32</v>
      </c>
      <c r="O3087" t="s">
        <v>33</v>
      </c>
      <c r="P3087" t="s">
        <v>34</v>
      </c>
      <c r="Q3087" t="s">
        <v>34</v>
      </c>
      <c r="R3087" t="s">
        <v>34</v>
      </c>
      <c r="S3087" t="s">
        <v>34</v>
      </c>
      <c r="T3087" s="117">
        <v>0</v>
      </c>
    </row>
    <row r="3088" spans="1:21" x14ac:dyDescent="0.35">
      <c r="A3088" t="s">
        <v>19</v>
      </c>
      <c r="B3088" t="s">
        <v>23</v>
      </c>
      <c r="C3088" s="1">
        <v>45714</v>
      </c>
      <c r="D3088">
        <f t="shared" si="220"/>
        <v>26</v>
      </c>
      <c r="E3088">
        <f t="shared" si="221"/>
        <v>2</v>
      </c>
      <c r="F3088">
        <f t="shared" si="222"/>
        <v>2025</v>
      </c>
      <c r="G3088" t="s">
        <v>885</v>
      </c>
      <c r="H3088" s="98">
        <v>12571</v>
      </c>
      <c r="I3088" s="29">
        <v>15464</v>
      </c>
      <c r="J3088" s="12" t="s">
        <v>31</v>
      </c>
      <c r="K3088" s="76">
        <f t="shared" si="219"/>
        <v>15464</v>
      </c>
      <c r="L3088">
        <v>1</v>
      </c>
      <c r="M3088" s="29">
        <v>0</v>
      </c>
      <c r="N3088" t="s">
        <v>32</v>
      </c>
      <c r="O3088" t="s">
        <v>33</v>
      </c>
      <c r="P3088" t="s">
        <v>34</v>
      </c>
      <c r="Q3088" t="s">
        <v>34</v>
      </c>
      <c r="R3088" t="s">
        <v>34</v>
      </c>
      <c r="S3088" t="s">
        <v>34</v>
      </c>
      <c r="T3088" s="117">
        <v>0</v>
      </c>
      <c r="U3088" s="209" t="s">
        <v>1306</v>
      </c>
    </row>
    <row r="3089" spans="1:21" x14ac:dyDescent="0.35">
      <c r="A3089" t="s">
        <v>19</v>
      </c>
      <c r="B3089" t="s">
        <v>25</v>
      </c>
      <c r="C3089" s="1">
        <v>45714</v>
      </c>
      <c r="D3089">
        <f t="shared" si="220"/>
        <v>26</v>
      </c>
      <c r="E3089">
        <f t="shared" si="221"/>
        <v>2</v>
      </c>
      <c r="F3089">
        <f t="shared" si="222"/>
        <v>2025</v>
      </c>
      <c r="G3089" t="s">
        <v>78</v>
      </c>
      <c r="H3089" s="98">
        <v>12257</v>
      </c>
      <c r="I3089" s="29">
        <v>30168</v>
      </c>
      <c r="J3089" s="12" t="s">
        <v>51</v>
      </c>
      <c r="K3089" s="76">
        <f t="shared" si="219"/>
        <v>31709.584799999997</v>
      </c>
      <c r="L3089">
        <v>1.0510999999999999</v>
      </c>
      <c r="M3089" s="29">
        <v>0</v>
      </c>
      <c r="N3089" t="s">
        <v>42</v>
      </c>
      <c r="O3089" t="s">
        <v>33</v>
      </c>
      <c r="P3089" t="s">
        <v>34</v>
      </c>
      <c r="Q3089" t="s">
        <v>34</v>
      </c>
      <c r="R3089" t="s">
        <v>34</v>
      </c>
      <c r="S3089" t="s">
        <v>34</v>
      </c>
      <c r="T3089" s="117">
        <v>0</v>
      </c>
      <c r="U3089" s="209" t="s">
        <v>94</v>
      </c>
    </row>
    <row r="3090" spans="1:21" x14ac:dyDescent="0.35">
      <c r="A3090" t="s">
        <v>19</v>
      </c>
      <c r="B3090" t="s">
        <v>21</v>
      </c>
      <c r="C3090" s="1">
        <v>45714</v>
      </c>
      <c r="D3090">
        <f t="shared" si="220"/>
        <v>26</v>
      </c>
      <c r="E3090">
        <f t="shared" si="221"/>
        <v>2</v>
      </c>
      <c r="F3090">
        <f t="shared" si="222"/>
        <v>2025</v>
      </c>
      <c r="G3090" t="s">
        <v>39</v>
      </c>
      <c r="H3090" s="98">
        <v>11549</v>
      </c>
      <c r="I3090" s="29">
        <v>5673.6</v>
      </c>
      <c r="J3090" s="12" t="s">
        <v>31</v>
      </c>
      <c r="K3090" s="76">
        <f t="shared" si="219"/>
        <v>5673.6</v>
      </c>
      <c r="L3090">
        <v>1</v>
      </c>
      <c r="M3090" s="29">
        <v>0</v>
      </c>
      <c r="N3090" t="s">
        <v>32</v>
      </c>
      <c r="O3090" t="s">
        <v>33</v>
      </c>
      <c r="P3090" t="s">
        <v>34</v>
      </c>
      <c r="Q3090" t="s">
        <v>34</v>
      </c>
      <c r="R3090" t="s">
        <v>34</v>
      </c>
      <c r="S3090" t="s">
        <v>34</v>
      </c>
      <c r="T3090" s="117">
        <v>0</v>
      </c>
    </row>
    <row r="3091" spans="1:21" x14ac:dyDescent="0.35">
      <c r="A3091" t="s">
        <v>19</v>
      </c>
      <c r="B3091" t="s">
        <v>25</v>
      </c>
      <c r="C3091" s="1">
        <v>45714</v>
      </c>
      <c r="D3091">
        <f t="shared" si="220"/>
        <v>26</v>
      </c>
      <c r="E3091">
        <f t="shared" si="221"/>
        <v>2</v>
      </c>
      <c r="F3091">
        <f t="shared" si="222"/>
        <v>2025</v>
      </c>
      <c r="G3091" t="s">
        <v>93</v>
      </c>
      <c r="H3091" s="171">
        <v>11616</v>
      </c>
      <c r="I3091" s="90">
        <v>196.83</v>
      </c>
      <c r="J3091" s="12" t="s">
        <v>31</v>
      </c>
      <c r="K3091" s="76">
        <f t="shared" si="219"/>
        <v>196.83</v>
      </c>
      <c r="L3091">
        <v>1</v>
      </c>
      <c r="M3091" s="29">
        <v>0</v>
      </c>
      <c r="N3091" t="s">
        <v>32</v>
      </c>
      <c r="O3091" t="s">
        <v>33</v>
      </c>
      <c r="P3091" t="s">
        <v>34</v>
      </c>
      <c r="Q3091" t="s">
        <v>34</v>
      </c>
      <c r="R3091" t="s">
        <v>34</v>
      </c>
      <c r="S3091" t="s">
        <v>34</v>
      </c>
      <c r="T3091" s="117">
        <v>0</v>
      </c>
    </row>
    <row r="3092" spans="1:21" x14ac:dyDescent="0.35">
      <c r="A3092" t="s">
        <v>19</v>
      </c>
      <c r="B3092" t="s">
        <v>25</v>
      </c>
      <c r="C3092" s="1">
        <v>45714</v>
      </c>
      <c r="D3092">
        <f t="shared" si="220"/>
        <v>26</v>
      </c>
      <c r="E3092">
        <f t="shared" si="221"/>
        <v>2</v>
      </c>
      <c r="F3092">
        <f t="shared" si="222"/>
        <v>2025</v>
      </c>
      <c r="G3092" t="s">
        <v>93</v>
      </c>
      <c r="H3092" s="171">
        <v>11618</v>
      </c>
      <c r="I3092" s="90">
        <v>18876</v>
      </c>
      <c r="J3092" s="12" t="s">
        <v>31</v>
      </c>
      <c r="K3092" s="76">
        <f t="shared" si="219"/>
        <v>18876</v>
      </c>
      <c r="L3092">
        <v>1</v>
      </c>
      <c r="M3092" s="29">
        <v>0</v>
      </c>
      <c r="N3092" t="s">
        <v>32</v>
      </c>
      <c r="O3092" t="s">
        <v>33</v>
      </c>
      <c r="P3092" t="s">
        <v>34</v>
      </c>
      <c r="Q3092" t="s">
        <v>34</v>
      </c>
      <c r="R3092" t="s">
        <v>34</v>
      </c>
      <c r="S3092" t="s">
        <v>34</v>
      </c>
      <c r="T3092" s="117">
        <v>0</v>
      </c>
    </row>
    <row r="3093" spans="1:21" x14ac:dyDescent="0.35">
      <c r="A3093" t="s">
        <v>20</v>
      </c>
      <c r="B3093" t="s">
        <v>25</v>
      </c>
      <c r="C3093" s="1">
        <v>45714</v>
      </c>
      <c r="D3093">
        <f t="shared" si="220"/>
        <v>26</v>
      </c>
      <c r="E3093">
        <f t="shared" si="221"/>
        <v>2</v>
      </c>
      <c r="F3093">
        <f t="shared" si="222"/>
        <v>2025</v>
      </c>
      <c r="G3093" t="s">
        <v>442</v>
      </c>
      <c r="H3093" s="98">
        <v>11315</v>
      </c>
      <c r="I3093" s="29">
        <v>20396.03</v>
      </c>
      <c r="J3093" s="12" t="s">
        <v>51</v>
      </c>
      <c r="K3093" s="76">
        <f t="shared" si="219"/>
        <v>21493.259520966898</v>
      </c>
      <c r="L3093" s="2">
        <v>1.0537962299999999</v>
      </c>
      <c r="M3093" s="29">
        <v>0</v>
      </c>
      <c r="N3093" t="s">
        <v>32</v>
      </c>
      <c r="O3093" t="s">
        <v>33</v>
      </c>
      <c r="P3093" t="s">
        <v>34</v>
      </c>
      <c r="Q3093" t="s">
        <v>34</v>
      </c>
      <c r="R3093" t="s">
        <v>34</v>
      </c>
      <c r="S3093" t="s">
        <v>34</v>
      </c>
      <c r="T3093" s="117">
        <v>0</v>
      </c>
    </row>
    <row r="3094" spans="1:21" x14ac:dyDescent="0.35">
      <c r="A3094" t="s">
        <v>20</v>
      </c>
      <c r="B3094" t="s">
        <v>25</v>
      </c>
      <c r="C3094" s="1">
        <v>45714</v>
      </c>
      <c r="D3094">
        <f t="shared" si="220"/>
        <v>26</v>
      </c>
      <c r="E3094">
        <f t="shared" si="221"/>
        <v>2</v>
      </c>
      <c r="F3094">
        <f t="shared" si="222"/>
        <v>2025</v>
      </c>
      <c r="G3094" t="s">
        <v>442</v>
      </c>
      <c r="H3094" s="98">
        <v>12119</v>
      </c>
      <c r="I3094" s="29">
        <v>407.1</v>
      </c>
      <c r="J3094" s="12" t="s">
        <v>51</v>
      </c>
      <c r="K3094" s="76">
        <f t="shared" si="219"/>
        <v>429.00044523299999</v>
      </c>
      <c r="L3094" s="2">
        <v>1.0537962299999999</v>
      </c>
      <c r="M3094" s="29">
        <v>0</v>
      </c>
      <c r="N3094" t="s">
        <v>32</v>
      </c>
      <c r="O3094" t="s">
        <v>33</v>
      </c>
      <c r="P3094" t="s">
        <v>34</v>
      </c>
      <c r="Q3094" t="s">
        <v>34</v>
      </c>
      <c r="R3094" t="s">
        <v>34</v>
      </c>
      <c r="S3094" t="s">
        <v>34</v>
      </c>
      <c r="T3094" s="117">
        <v>0</v>
      </c>
    </row>
    <row r="3095" spans="1:21" x14ac:dyDescent="0.35">
      <c r="A3095" t="s">
        <v>20</v>
      </c>
      <c r="B3095" t="s">
        <v>25</v>
      </c>
      <c r="C3095" s="1">
        <v>45714</v>
      </c>
      <c r="D3095">
        <f t="shared" si="220"/>
        <v>26</v>
      </c>
      <c r="E3095">
        <f t="shared" si="221"/>
        <v>2</v>
      </c>
      <c r="F3095">
        <f t="shared" si="222"/>
        <v>2025</v>
      </c>
      <c r="G3095" t="s">
        <v>43</v>
      </c>
      <c r="H3095" s="98">
        <v>11902</v>
      </c>
      <c r="I3095" s="29">
        <v>1077.02</v>
      </c>
      <c r="J3095" s="12" t="s">
        <v>31</v>
      </c>
      <c r="K3095" s="76">
        <f t="shared" si="219"/>
        <v>1077.02</v>
      </c>
      <c r="L3095">
        <v>1</v>
      </c>
      <c r="M3095" s="29">
        <v>0</v>
      </c>
      <c r="N3095" t="s">
        <v>32</v>
      </c>
      <c r="O3095" t="s">
        <v>33</v>
      </c>
      <c r="P3095" t="s">
        <v>34</v>
      </c>
      <c r="Q3095" t="s">
        <v>34</v>
      </c>
      <c r="R3095" t="s">
        <v>34</v>
      </c>
      <c r="S3095" t="s">
        <v>34</v>
      </c>
      <c r="T3095" s="117">
        <v>0</v>
      </c>
    </row>
    <row r="3096" spans="1:21" x14ac:dyDescent="0.35">
      <c r="A3096" t="s">
        <v>20</v>
      </c>
      <c r="B3096" t="s">
        <v>24</v>
      </c>
      <c r="C3096" s="1">
        <v>45714</v>
      </c>
      <c r="D3096">
        <f t="shared" si="220"/>
        <v>26</v>
      </c>
      <c r="E3096">
        <f t="shared" si="221"/>
        <v>2</v>
      </c>
      <c r="F3096">
        <f t="shared" si="222"/>
        <v>2025</v>
      </c>
      <c r="G3096" t="s">
        <v>43</v>
      </c>
      <c r="H3096" s="98">
        <v>11902</v>
      </c>
      <c r="I3096" s="29">
        <v>994.18</v>
      </c>
      <c r="J3096" s="12" t="s">
        <v>31</v>
      </c>
      <c r="K3096" s="76">
        <f t="shared" si="219"/>
        <v>994.18</v>
      </c>
      <c r="L3096">
        <v>1</v>
      </c>
      <c r="M3096" s="29">
        <v>0</v>
      </c>
      <c r="N3096" t="s">
        <v>32</v>
      </c>
      <c r="O3096" t="s">
        <v>33</v>
      </c>
      <c r="P3096" t="s">
        <v>34</v>
      </c>
      <c r="Q3096" t="s">
        <v>34</v>
      </c>
      <c r="R3096" t="s">
        <v>34</v>
      </c>
      <c r="S3096" t="s">
        <v>34</v>
      </c>
      <c r="T3096" s="117">
        <v>0</v>
      </c>
    </row>
    <row r="3097" spans="1:21" x14ac:dyDescent="0.35">
      <c r="A3097" t="s">
        <v>20</v>
      </c>
      <c r="B3097" t="s">
        <v>23</v>
      </c>
      <c r="C3097" s="1">
        <v>45714</v>
      </c>
      <c r="D3097">
        <f t="shared" si="220"/>
        <v>26</v>
      </c>
      <c r="E3097">
        <f t="shared" si="221"/>
        <v>2</v>
      </c>
      <c r="F3097">
        <f t="shared" si="222"/>
        <v>2025</v>
      </c>
      <c r="G3097" t="s">
        <v>82</v>
      </c>
      <c r="H3097" s="98">
        <v>11433</v>
      </c>
      <c r="I3097" s="29">
        <v>28010.52</v>
      </c>
      <c r="J3097" s="12" t="s">
        <v>31</v>
      </c>
      <c r="K3097" s="76">
        <f t="shared" si="219"/>
        <v>28010.52</v>
      </c>
      <c r="L3097">
        <v>1</v>
      </c>
      <c r="M3097" s="29">
        <v>0</v>
      </c>
      <c r="N3097" t="s">
        <v>32</v>
      </c>
      <c r="O3097" t="s">
        <v>33</v>
      </c>
      <c r="P3097" t="s">
        <v>34</v>
      </c>
      <c r="Q3097" t="s">
        <v>34</v>
      </c>
      <c r="R3097" t="s">
        <v>34</v>
      </c>
      <c r="S3097" t="s">
        <v>34</v>
      </c>
      <c r="T3097" s="117">
        <v>0</v>
      </c>
    </row>
    <row r="3098" spans="1:21" x14ac:dyDescent="0.35">
      <c r="A3098" t="s">
        <v>20</v>
      </c>
      <c r="B3098" t="s">
        <v>21</v>
      </c>
      <c r="C3098" s="1">
        <v>45714</v>
      </c>
      <c r="D3098">
        <f t="shared" si="220"/>
        <v>26</v>
      </c>
      <c r="E3098">
        <f t="shared" si="221"/>
        <v>2</v>
      </c>
      <c r="F3098">
        <f t="shared" si="222"/>
        <v>2025</v>
      </c>
      <c r="G3098" t="s">
        <v>82</v>
      </c>
      <c r="H3098" s="98">
        <v>11433</v>
      </c>
      <c r="I3098" s="29">
        <v>19212.48</v>
      </c>
      <c r="J3098" s="12" t="s">
        <v>31</v>
      </c>
      <c r="K3098" s="76">
        <f t="shared" si="219"/>
        <v>19212.48</v>
      </c>
      <c r="L3098">
        <v>1</v>
      </c>
      <c r="M3098" s="29">
        <v>0</v>
      </c>
      <c r="N3098" t="s">
        <v>32</v>
      </c>
      <c r="O3098" t="s">
        <v>33</v>
      </c>
      <c r="P3098" t="s">
        <v>34</v>
      </c>
      <c r="Q3098" t="s">
        <v>34</v>
      </c>
      <c r="R3098" t="s">
        <v>34</v>
      </c>
      <c r="S3098" t="s">
        <v>34</v>
      </c>
      <c r="T3098" s="117">
        <v>0</v>
      </c>
    </row>
    <row r="3099" spans="1:21" x14ac:dyDescent="0.35">
      <c r="A3099" t="s">
        <v>20</v>
      </c>
      <c r="B3099" t="s">
        <v>21</v>
      </c>
      <c r="C3099" s="1">
        <v>45714</v>
      </c>
      <c r="D3099">
        <f t="shared" si="220"/>
        <v>26</v>
      </c>
      <c r="E3099">
        <f t="shared" si="221"/>
        <v>2</v>
      </c>
      <c r="F3099">
        <f t="shared" si="222"/>
        <v>2025</v>
      </c>
      <c r="G3099" t="s">
        <v>82</v>
      </c>
      <c r="H3099" s="98">
        <v>11717</v>
      </c>
      <c r="I3099" s="29">
        <v>45.6</v>
      </c>
      <c r="J3099" s="12" t="s">
        <v>31</v>
      </c>
      <c r="K3099" s="76">
        <f t="shared" si="219"/>
        <v>45.6</v>
      </c>
      <c r="L3099">
        <v>1</v>
      </c>
      <c r="M3099" s="29">
        <v>0</v>
      </c>
      <c r="N3099" t="s">
        <v>32</v>
      </c>
      <c r="O3099" t="s">
        <v>33</v>
      </c>
      <c r="P3099" t="s">
        <v>34</v>
      </c>
      <c r="Q3099" t="s">
        <v>34</v>
      </c>
      <c r="R3099" t="s">
        <v>34</v>
      </c>
      <c r="S3099" t="s">
        <v>34</v>
      </c>
      <c r="T3099" s="117">
        <v>0</v>
      </c>
    </row>
    <row r="3100" spans="1:21" x14ac:dyDescent="0.35">
      <c r="A3100" t="s">
        <v>20</v>
      </c>
      <c r="B3100" t="s">
        <v>21</v>
      </c>
      <c r="C3100" s="1">
        <v>45714</v>
      </c>
      <c r="D3100">
        <f t="shared" si="220"/>
        <v>26</v>
      </c>
      <c r="E3100">
        <f t="shared" si="221"/>
        <v>2</v>
      </c>
      <c r="F3100">
        <f t="shared" si="222"/>
        <v>2025</v>
      </c>
      <c r="G3100" t="s">
        <v>45</v>
      </c>
      <c r="H3100" s="98">
        <v>12116</v>
      </c>
      <c r="I3100" s="29">
        <v>354.6</v>
      </c>
      <c r="J3100" s="12" t="s">
        <v>31</v>
      </c>
      <c r="K3100" s="76">
        <f t="shared" si="219"/>
        <v>354.6</v>
      </c>
      <c r="L3100">
        <v>1</v>
      </c>
      <c r="M3100" s="29">
        <v>0</v>
      </c>
      <c r="N3100" t="s">
        <v>32</v>
      </c>
      <c r="O3100" t="s">
        <v>33</v>
      </c>
      <c r="P3100" t="s">
        <v>34</v>
      </c>
      <c r="Q3100" t="s">
        <v>34</v>
      </c>
      <c r="R3100" t="s">
        <v>34</v>
      </c>
      <c r="S3100" t="s">
        <v>34</v>
      </c>
      <c r="T3100" s="117">
        <v>0</v>
      </c>
    </row>
    <row r="3101" spans="1:21" x14ac:dyDescent="0.35">
      <c r="A3101" t="s">
        <v>20</v>
      </c>
      <c r="B3101" t="s">
        <v>25</v>
      </c>
      <c r="C3101" s="1">
        <v>45714</v>
      </c>
      <c r="D3101">
        <f t="shared" si="220"/>
        <v>26</v>
      </c>
      <c r="E3101">
        <f t="shared" si="221"/>
        <v>2</v>
      </c>
      <c r="F3101">
        <f t="shared" si="222"/>
        <v>2025</v>
      </c>
      <c r="G3101" t="s">
        <v>45</v>
      </c>
      <c r="H3101" s="98">
        <v>12139</v>
      </c>
      <c r="I3101" s="29">
        <v>143.80000000000001</v>
      </c>
      <c r="J3101" s="12" t="s">
        <v>31</v>
      </c>
      <c r="K3101" s="76">
        <f t="shared" si="219"/>
        <v>143.80000000000001</v>
      </c>
      <c r="L3101">
        <v>1</v>
      </c>
      <c r="M3101" s="29">
        <v>0</v>
      </c>
      <c r="N3101" t="s">
        <v>32</v>
      </c>
      <c r="O3101" t="s">
        <v>33</v>
      </c>
      <c r="P3101" t="s">
        <v>34</v>
      </c>
      <c r="Q3101" t="s">
        <v>34</v>
      </c>
      <c r="R3101" t="s">
        <v>34</v>
      </c>
      <c r="S3101" t="s">
        <v>34</v>
      </c>
      <c r="T3101" s="117">
        <v>0</v>
      </c>
    </row>
    <row r="3102" spans="1:21" x14ac:dyDescent="0.35">
      <c r="A3102" t="s">
        <v>20</v>
      </c>
      <c r="B3102" t="s">
        <v>21</v>
      </c>
      <c r="C3102" s="1">
        <v>45714</v>
      </c>
      <c r="D3102">
        <f t="shared" si="220"/>
        <v>26</v>
      </c>
      <c r="E3102">
        <f t="shared" si="221"/>
        <v>2</v>
      </c>
      <c r="F3102">
        <f t="shared" si="222"/>
        <v>2025</v>
      </c>
      <c r="G3102" t="s">
        <v>45</v>
      </c>
      <c r="H3102" s="98">
        <v>11565</v>
      </c>
      <c r="I3102" s="29">
        <v>106</v>
      </c>
      <c r="J3102" s="12" t="s">
        <v>31</v>
      </c>
      <c r="K3102" s="76">
        <f t="shared" si="219"/>
        <v>106</v>
      </c>
      <c r="L3102">
        <v>1</v>
      </c>
      <c r="M3102" s="29">
        <v>0</v>
      </c>
      <c r="N3102" t="s">
        <v>32</v>
      </c>
      <c r="O3102" t="s">
        <v>33</v>
      </c>
      <c r="P3102" t="s">
        <v>34</v>
      </c>
      <c r="Q3102" t="s">
        <v>34</v>
      </c>
      <c r="R3102" t="s">
        <v>34</v>
      </c>
      <c r="S3102" t="s">
        <v>34</v>
      </c>
      <c r="T3102" s="117">
        <v>0</v>
      </c>
    </row>
    <row r="3103" spans="1:21" x14ac:dyDescent="0.35">
      <c r="A3103" t="s">
        <v>20</v>
      </c>
      <c r="B3103" t="s">
        <v>21</v>
      </c>
      <c r="C3103" s="1">
        <v>45714</v>
      </c>
      <c r="D3103">
        <f t="shared" si="220"/>
        <v>26</v>
      </c>
      <c r="E3103">
        <f t="shared" si="221"/>
        <v>2</v>
      </c>
      <c r="F3103">
        <f t="shared" si="222"/>
        <v>2025</v>
      </c>
      <c r="G3103" t="s">
        <v>118</v>
      </c>
      <c r="H3103" s="98">
        <v>12259</v>
      </c>
      <c r="I3103" s="29">
        <v>45.8</v>
      </c>
      <c r="J3103" s="12" t="s">
        <v>31</v>
      </c>
      <c r="K3103" s="76">
        <f t="shared" si="219"/>
        <v>45.8</v>
      </c>
      <c r="L3103">
        <v>1</v>
      </c>
      <c r="M3103" s="29">
        <v>0</v>
      </c>
      <c r="N3103" t="s">
        <v>42</v>
      </c>
      <c r="O3103" t="s">
        <v>33</v>
      </c>
      <c r="P3103" t="s">
        <v>34</v>
      </c>
      <c r="Q3103" t="s">
        <v>34</v>
      </c>
      <c r="R3103" t="s">
        <v>34</v>
      </c>
      <c r="S3103" t="s">
        <v>34</v>
      </c>
      <c r="T3103" s="117">
        <v>0</v>
      </c>
      <c r="U3103" s="209" t="s">
        <v>1394</v>
      </c>
    </row>
    <row r="3104" spans="1:21" x14ac:dyDescent="0.35">
      <c r="A3104" t="s">
        <v>20</v>
      </c>
      <c r="B3104" t="s">
        <v>21</v>
      </c>
      <c r="C3104" s="1">
        <v>45714</v>
      </c>
      <c r="D3104">
        <f t="shared" si="220"/>
        <v>26</v>
      </c>
      <c r="E3104">
        <f t="shared" si="221"/>
        <v>2</v>
      </c>
      <c r="F3104">
        <f t="shared" si="222"/>
        <v>2025</v>
      </c>
      <c r="G3104" t="s">
        <v>118</v>
      </c>
      <c r="H3104" s="98">
        <v>12753</v>
      </c>
      <c r="I3104" s="29">
        <v>19.399999999999999</v>
      </c>
      <c r="J3104" s="12" t="s">
        <v>31</v>
      </c>
      <c r="K3104" s="76">
        <f t="shared" si="219"/>
        <v>19.399999999999999</v>
      </c>
      <c r="L3104">
        <v>1</v>
      </c>
      <c r="M3104" s="29">
        <v>0</v>
      </c>
      <c r="N3104" t="s">
        <v>42</v>
      </c>
      <c r="O3104" t="s">
        <v>33</v>
      </c>
      <c r="P3104" t="s">
        <v>34</v>
      </c>
      <c r="Q3104" t="s">
        <v>34</v>
      </c>
      <c r="R3104" t="s">
        <v>34</v>
      </c>
      <c r="S3104" t="s">
        <v>34</v>
      </c>
      <c r="T3104" s="117">
        <v>0</v>
      </c>
    </row>
    <row r="3105" spans="1:21" x14ac:dyDescent="0.35">
      <c r="A3105" t="s">
        <v>20</v>
      </c>
      <c r="B3105" t="s">
        <v>21</v>
      </c>
      <c r="C3105" s="1">
        <v>45714</v>
      </c>
      <c r="D3105">
        <f t="shared" si="220"/>
        <v>26</v>
      </c>
      <c r="E3105">
        <f t="shared" si="221"/>
        <v>2</v>
      </c>
      <c r="F3105">
        <f t="shared" si="222"/>
        <v>2025</v>
      </c>
      <c r="G3105" t="s">
        <v>118</v>
      </c>
      <c r="H3105" s="98">
        <v>12357</v>
      </c>
      <c r="I3105" s="29">
        <v>858.75</v>
      </c>
      <c r="J3105" s="12" t="s">
        <v>31</v>
      </c>
      <c r="K3105" s="76">
        <f t="shared" si="219"/>
        <v>858.75</v>
      </c>
      <c r="L3105">
        <v>1</v>
      </c>
      <c r="M3105" s="29">
        <v>0</v>
      </c>
      <c r="N3105" t="s">
        <v>42</v>
      </c>
      <c r="O3105" t="s">
        <v>33</v>
      </c>
      <c r="P3105" t="s">
        <v>34</v>
      </c>
      <c r="Q3105" t="s">
        <v>34</v>
      </c>
      <c r="R3105" t="s">
        <v>34</v>
      </c>
      <c r="S3105" t="s">
        <v>34</v>
      </c>
      <c r="T3105" s="117">
        <v>0</v>
      </c>
      <c r="U3105" s="209">
        <v>12258</v>
      </c>
    </row>
    <row r="3106" spans="1:21" x14ac:dyDescent="0.35">
      <c r="A3106" t="s">
        <v>20</v>
      </c>
      <c r="B3106" t="s">
        <v>24</v>
      </c>
      <c r="C3106" s="1">
        <v>45714</v>
      </c>
      <c r="D3106">
        <f t="shared" si="220"/>
        <v>26</v>
      </c>
      <c r="E3106">
        <f t="shared" si="221"/>
        <v>2</v>
      </c>
      <c r="F3106">
        <f t="shared" si="222"/>
        <v>2025</v>
      </c>
      <c r="G3106" t="s">
        <v>118</v>
      </c>
      <c r="H3106" s="98">
        <v>11681</v>
      </c>
      <c r="I3106" s="29">
        <v>7296</v>
      </c>
      <c r="J3106" s="12" t="s">
        <v>31</v>
      </c>
      <c r="K3106" s="76">
        <f t="shared" si="219"/>
        <v>7296</v>
      </c>
      <c r="L3106">
        <v>1</v>
      </c>
      <c r="M3106" s="29">
        <v>0</v>
      </c>
      <c r="N3106" t="s">
        <v>42</v>
      </c>
      <c r="O3106" t="s">
        <v>33</v>
      </c>
      <c r="P3106" t="s">
        <v>34</v>
      </c>
      <c r="Q3106" t="s">
        <v>34</v>
      </c>
      <c r="R3106" t="s">
        <v>34</v>
      </c>
      <c r="S3106" t="s">
        <v>34</v>
      </c>
      <c r="T3106" s="117">
        <v>0</v>
      </c>
    </row>
    <row r="3107" spans="1:21" x14ac:dyDescent="0.35">
      <c r="A3107" t="s">
        <v>20</v>
      </c>
      <c r="B3107" t="s">
        <v>24</v>
      </c>
      <c r="C3107" s="1">
        <v>45714</v>
      </c>
      <c r="D3107">
        <f t="shared" si="220"/>
        <v>26</v>
      </c>
      <c r="E3107">
        <f t="shared" si="221"/>
        <v>2</v>
      </c>
      <c r="F3107">
        <f t="shared" si="222"/>
        <v>2025</v>
      </c>
      <c r="G3107" t="s">
        <v>321</v>
      </c>
      <c r="H3107" s="98">
        <v>11933</v>
      </c>
      <c r="I3107" s="29">
        <v>14100</v>
      </c>
      <c r="J3107" s="12" t="s">
        <v>31</v>
      </c>
      <c r="K3107" s="76">
        <f t="shared" si="219"/>
        <v>14100</v>
      </c>
      <c r="L3107">
        <v>1</v>
      </c>
      <c r="M3107" s="29">
        <v>0</v>
      </c>
      <c r="N3107" t="s">
        <v>42</v>
      </c>
      <c r="O3107" t="s">
        <v>33</v>
      </c>
      <c r="P3107" t="s">
        <v>34</v>
      </c>
      <c r="Q3107" t="s">
        <v>34</v>
      </c>
      <c r="R3107" t="s">
        <v>34</v>
      </c>
      <c r="S3107" t="s">
        <v>34</v>
      </c>
      <c r="T3107" s="117">
        <v>0</v>
      </c>
    </row>
    <row r="3108" spans="1:21" x14ac:dyDescent="0.35">
      <c r="A3108" t="s">
        <v>20</v>
      </c>
      <c r="B3108" t="s">
        <v>21</v>
      </c>
      <c r="C3108" s="1">
        <v>45714</v>
      </c>
      <c r="D3108">
        <f t="shared" si="220"/>
        <v>26</v>
      </c>
      <c r="E3108">
        <f t="shared" si="221"/>
        <v>2</v>
      </c>
      <c r="F3108">
        <f t="shared" si="222"/>
        <v>2025</v>
      </c>
      <c r="G3108" t="s">
        <v>81</v>
      </c>
      <c r="H3108" s="98">
        <v>11608</v>
      </c>
      <c r="I3108" s="29">
        <v>17955</v>
      </c>
      <c r="J3108" s="12" t="s">
        <v>31</v>
      </c>
      <c r="K3108" s="76">
        <f t="shared" si="219"/>
        <v>17955</v>
      </c>
      <c r="L3108">
        <v>1</v>
      </c>
      <c r="M3108" s="29">
        <v>0</v>
      </c>
      <c r="N3108" t="s">
        <v>32</v>
      </c>
      <c r="O3108" t="s">
        <v>33</v>
      </c>
      <c r="P3108" t="s">
        <v>34</v>
      </c>
      <c r="Q3108" t="s">
        <v>34</v>
      </c>
      <c r="R3108" t="s">
        <v>34</v>
      </c>
      <c r="S3108" t="s">
        <v>34</v>
      </c>
      <c r="T3108" s="117">
        <v>0</v>
      </c>
    </row>
    <row r="3109" spans="1:21" x14ac:dyDescent="0.35">
      <c r="A3109" t="s">
        <v>20</v>
      </c>
      <c r="B3109" t="s">
        <v>24</v>
      </c>
      <c r="C3109" s="1">
        <v>45714</v>
      </c>
      <c r="D3109">
        <f t="shared" si="220"/>
        <v>26</v>
      </c>
      <c r="E3109">
        <f t="shared" si="221"/>
        <v>2</v>
      </c>
      <c r="F3109">
        <f t="shared" si="222"/>
        <v>2025</v>
      </c>
      <c r="G3109" t="s">
        <v>81</v>
      </c>
      <c r="H3109" s="98">
        <v>11608</v>
      </c>
      <c r="I3109" s="29">
        <v>29024.1</v>
      </c>
      <c r="J3109" s="12" t="s">
        <v>31</v>
      </c>
      <c r="K3109" s="76">
        <f t="shared" si="219"/>
        <v>29024.1</v>
      </c>
      <c r="L3109">
        <v>1</v>
      </c>
      <c r="M3109" s="29">
        <v>0</v>
      </c>
      <c r="N3109" t="s">
        <v>32</v>
      </c>
      <c r="O3109" t="s">
        <v>33</v>
      </c>
      <c r="P3109" t="s">
        <v>34</v>
      </c>
      <c r="Q3109" t="s">
        <v>34</v>
      </c>
      <c r="R3109" t="s">
        <v>34</v>
      </c>
      <c r="S3109" t="s">
        <v>34</v>
      </c>
      <c r="T3109" s="117">
        <v>0</v>
      </c>
    </row>
    <row r="3110" spans="1:21" x14ac:dyDescent="0.35">
      <c r="A3110" t="s">
        <v>20</v>
      </c>
      <c r="B3110" t="s">
        <v>25</v>
      </c>
      <c r="C3110" s="1">
        <v>45714</v>
      </c>
      <c r="D3110">
        <f t="shared" si="220"/>
        <v>26</v>
      </c>
      <c r="E3110">
        <f t="shared" si="221"/>
        <v>2</v>
      </c>
      <c r="F3110">
        <f t="shared" si="222"/>
        <v>2025</v>
      </c>
      <c r="G3110" t="s">
        <v>81</v>
      </c>
      <c r="H3110" s="98">
        <v>11608</v>
      </c>
      <c r="I3110" s="29">
        <v>146582.85</v>
      </c>
      <c r="J3110" s="12" t="s">
        <v>31</v>
      </c>
      <c r="K3110" s="76">
        <f t="shared" si="219"/>
        <v>146582.85</v>
      </c>
      <c r="L3110">
        <v>1</v>
      </c>
      <c r="M3110" s="29">
        <v>0</v>
      </c>
      <c r="N3110" t="s">
        <v>32</v>
      </c>
      <c r="O3110" t="s">
        <v>33</v>
      </c>
      <c r="P3110" t="s">
        <v>34</v>
      </c>
      <c r="Q3110" t="s">
        <v>34</v>
      </c>
      <c r="R3110" t="s">
        <v>34</v>
      </c>
      <c r="S3110" t="s">
        <v>34</v>
      </c>
      <c r="T3110" s="117">
        <v>0</v>
      </c>
    </row>
    <row r="3111" spans="1:21" x14ac:dyDescent="0.35">
      <c r="A3111" t="s">
        <v>20</v>
      </c>
      <c r="B3111" t="s">
        <v>21</v>
      </c>
      <c r="C3111" s="1">
        <v>45714</v>
      </c>
      <c r="D3111">
        <f t="shared" si="220"/>
        <v>26</v>
      </c>
      <c r="E3111">
        <f t="shared" si="221"/>
        <v>2</v>
      </c>
      <c r="F3111">
        <f t="shared" si="222"/>
        <v>2025</v>
      </c>
      <c r="G3111" t="s">
        <v>46</v>
      </c>
      <c r="H3111" s="98">
        <v>11876</v>
      </c>
      <c r="I3111" s="29">
        <v>7737.75</v>
      </c>
      <c r="J3111" s="12" t="s">
        <v>31</v>
      </c>
      <c r="K3111" s="76">
        <f t="shared" si="219"/>
        <v>7737.75</v>
      </c>
      <c r="L3111">
        <v>1</v>
      </c>
      <c r="M3111" s="29">
        <v>0</v>
      </c>
      <c r="N3111" t="s">
        <v>32</v>
      </c>
      <c r="O3111" t="s">
        <v>33</v>
      </c>
      <c r="P3111" t="s">
        <v>34</v>
      </c>
      <c r="Q3111" t="s">
        <v>34</v>
      </c>
      <c r="R3111" t="s">
        <v>34</v>
      </c>
      <c r="S3111" t="s">
        <v>34</v>
      </c>
      <c r="T3111" s="117">
        <v>0</v>
      </c>
    </row>
    <row r="3112" spans="1:21" x14ac:dyDescent="0.35">
      <c r="A3112" t="s">
        <v>20</v>
      </c>
      <c r="B3112" t="s">
        <v>23</v>
      </c>
      <c r="C3112" s="1">
        <v>45714</v>
      </c>
      <c r="D3112">
        <f t="shared" si="220"/>
        <v>26</v>
      </c>
      <c r="E3112">
        <f t="shared" si="221"/>
        <v>2</v>
      </c>
      <c r="F3112">
        <f t="shared" si="222"/>
        <v>2025</v>
      </c>
      <c r="G3112" t="s">
        <v>46</v>
      </c>
      <c r="H3112" s="98">
        <v>11876</v>
      </c>
      <c r="I3112" s="29">
        <v>3549.69</v>
      </c>
      <c r="J3112" s="12" t="s">
        <v>31</v>
      </c>
      <c r="K3112" s="76">
        <f t="shared" si="219"/>
        <v>3549.69</v>
      </c>
      <c r="L3112">
        <v>1</v>
      </c>
      <c r="M3112" s="29">
        <v>0</v>
      </c>
      <c r="N3112" t="s">
        <v>32</v>
      </c>
      <c r="O3112" t="s">
        <v>33</v>
      </c>
      <c r="P3112" t="s">
        <v>34</v>
      </c>
      <c r="Q3112" t="s">
        <v>34</v>
      </c>
      <c r="R3112" t="s">
        <v>34</v>
      </c>
      <c r="S3112" t="s">
        <v>34</v>
      </c>
      <c r="T3112" s="117">
        <v>0</v>
      </c>
    </row>
    <row r="3113" spans="1:21" x14ac:dyDescent="0.35">
      <c r="A3113" t="s">
        <v>20</v>
      </c>
      <c r="B3113" t="s">
        <v>25</v>
      </c>
      <c r="C3113" s="1">
        <v>45714</v>
      </c>
      <c r="D3113">
        <f t="shared" si="220"/>
        <v>26</v>
      </c>
      <c r="E3113">
        <f t="shared" si="221"/>
        <v>2</v>
      </c>
      <c r="F3113">
        <f t="shared" si="222"/>
        <v>2025</v>
      </c>
      <c r="G3113" t="s">
        <v>46</v>
      </c>
      <c r="H3113" s="98">
        <v>11876</v>
      </c>
      <c r="I3113" s="29">
        <v>20811.400000000001</v>
      </c>
      <c r="J3113" s="12" t="s">
        <v>31</v>
      </c>
      <c r="K3113" s="76">
        <f t="shared" si="219"/>
        <v>20811.400000000001</v>
      </c>
      <c r="L3113">
        <v>1</v>
      </c>
      <c r="M3113" s="29">
        <v>0</v>
      </c>
      <c r="N3113" t="s">
        <v>32</v>
      </c>
      <c r="O3113" t="s">
        <v>33</v>
      </c>
      <c r="P3113" t="s">
        <v>34</v>
      </c>
      <c r="Q3113" t="s">
        <v>34</v>
      </c>
      <c r="R3113" t="s">
        <v>34</v>
      </c>
      <c r="S3113" t="s">
        <v>34</v>
      </c>
      <c r="T3113" s="117">
        <v>0</v>
      </c>
    </row>
    <row r="3114" spans="1:21" x14ac:dyDescent="0.35">
      <c r="A3114" t="s">
        <v>20</v>
      </c>
      <c r="B3114" t="s">
        <v>23</v>
      </c>
      <c r="C3114" s="1">
        <v>45714</v>
      </c>
      <c r="D3114">
        <f t="shared" si="220"/>
        <v>26</v>
      </c>
      <c r="E3114">
        <f t="shared" si="221"/>
        <v>2</v>
      </c>
      <c r="F3114">
        <f t="shared" si="222"/>
        <v>2025</v>
      </c>
      <c r="G3114" t="s">
        <v>265</v>
      </c>
      <c r="H3114" s="98">
        <v>12045</v>
      </c>
      <c r="I3114" s="29">
        <v>4597.18</v>
      </c>
      <c r="J3114" s="12" t="s">
        <v>31</v>
      </c>
      <c r="K3114" s="76">
        <f t="shared" si="219"/>
        <v>4597.18</v>
      </c>
      <c r="L3114">
        <v>1</v>
      </c>
      <c r="M3114" s="29">
        <v>0</v>
      </c>
      <c r="N3114" t="s">
        <v>42</v>
      </c>
      <c r="O3114" t="s">
        <v>33</v>
      </c>
      <c r="P3114" t="s">
        <v>34</v>
      </c>
      <c r="Q3114" t="s">
        <v>34</v>
      </c>
      <c r="R3114" t="s">
        <v>34</v>
      </c>
      <c r="S3114" t="s">
        <v>34</v>
      </c>
      <c r="T3114" s="117">
        <v>0</v>
      </c>
    </row>
    <row r="3115" spans="1:21" x14ac:dyDescent="0.35">
      <c r="A3115" t="s">
        <v>20</v>
      </c>
      <c r="B3115" t="s">
        <v>21</v>
      </c>
      <c r="C3115" s="1">
        <v>45714</v>
      </c>
      <c r="D3115">
        <f t="shared" si="220"/>
        <v>26</v>
      </c>
      <c r="E3115">
        <f t="shared" si="221"/>
        <v>2</v>
      </c>
      <c r="F3115">
        <f t="shared" si="222"/>
        <v>2025</v>
      </c>
      <c r="G3115" t="s">
        <v>209</v>
      </c>
      <c r="H3115" s="98">
        <v>11363</v>
      </c>
      <c r="I3115" s="29">
        <v>594.92999999999995</v>
      </c>
      <c r="J3115" s="12" t="s">
        <v>31</v>
      </c>
      <c r="K3115" s="76">
        <f t="shared" si="219"/>
        <v>594.92999999999995</v>
      </c>
      <c r="L3115">
        <v>1</v>
      </c>
      <c r="M3115" s="29">
        <v>0</v>
      </c>
      <c r="N3115" t="s">
        <v>32</v>
      </c>
      <c r="O3115" t="s">
        <v>33</v>
      </c>
      <c r="P3115" t="s">
        <v>34</v>
      </c>
      <c r="Q3115" t="s">
        <v>34</v>
      </c>
      <c r="R3115" t="s">
        <v>34</v>
      </c>
      <c r="S3115" t="s">
        <v>34</v>
      </c>
      <c r="T3115" s="117">
        <v>0</v>
      </c>
    </row>
    <row r="3116" spans="1:21" x14ac:dyDescent="0.35">
      <c r="A3116" t="s">
        <v>20</v>
      </c>
      <c r="B3116" t="s">
        <v>21</v>
      </c>
      <c r="C3116" s="1">
        <v>45714</v>
      </c>
      <c r="D3116">
        <f t="shared" si="220"/>
        <v>26</v>
      </c>
      <c r="E3116">
        <f t="shared" si="221"/>
        <v>2</v>
      </c>
      <c r="F3116">
        <f t="shared" si="222"/>
        <v>2025</v>
      </c>
      <c r="G3116" t="s">
        <v>209</v>
      </c>
      <c r="H3116" s="98">
        <v>11364</v>
      </c>
      <c r="I3116" s="29">
        <v>42397.81</v>
      </c>
      <c r="J3116" s="12" t="s">
        <v>31</v>
      </c>
      <c r="K3116" s="76">
        <f t="shared" si="219"/>
        <v>42397.81</v>
      </c>
      <c r="L3116">
        <v>1</v>
      </c>
      <c r="M3116" s="29">
        <v>0</v>
      </c>
      <c r="N3116" t="s">
        <v>32</v>
      </c>
      <c r="O3116" t="s">
        <v>33</v>
      </c>
      <c r="P3116" t="s">
        <v>34</v>
      </c>
      <c r="Q3116" t="s">
        <v>34</v>
      </c>
      <c r="R3116" t="s">
        <v>34</v>
      </c>
      <c r="S3116" t="s">
        <v>34</v>
      </c>
      <c r="T3116" s="117">
        <v>0</v>
      </c>
    </row>
    <row r="3117" spans="1:21" x14ac:dyDescent="0.35">
      <c r="A3117" t="s">
        <v>20</v>
      </c>
      <c r="B3117" t="s">
        <v>21</v>
      </c>
      <c r="C3117" s="1">
        <v>45714</v>
      </c>
      <c r="D3117">
        <f t="shared" si="220"/>
        <v>26</v>
      </c>
      <c r="E3117">
        <f t="shared" si="221"/>
        <v>2</v>
      </c>
      <c r="F3117">
        <f t="shared" si="222"/>
        <v>2025</v>
      </c>
      <c r="G3117" t="s">
        <v>209</v>
      </c>
      <c r="H3117" s="98">
        <v>11649</v>
      </c>
      <c r="I3117" s="29">
        <v>209.38</v>
      </c>
      <c r="J3117" s="12" t="s">
        <v>31</v>
      </c>
      <c r="K3117" s="76">
        <f t="shared" si="219"/>
        <v>209.38</v>
      </c>
      <c r="L3117">
        <v>1</v>
      </c>
      <c r="M3117" s="29">
        <v>0</v>
      </c>
      <c r="N3117" t="s">
        <v>32</v>
      </c>
      <c r="O3117" t="s">
        <v>33</v>
      </c>
      <c r="P3117" t="s">
        <v>34</v>
      </c>
      <c r="Q3117" t="s">
        <v>34</v>
      </c>
      <c r="R3117" t="s">
        <v>34</v>
      </c>
      <c r="S3117" t="s">
        <v>34</v>
      </c>
      <c r="T3117" s="117">
        <v>0</v>
      </c>
    </row>
    <row r="3118" spans="1:21" x14ac:dyDescent="0.35">
      <c r="A3118" t="s">
        <v>20</v>
      </c>
      <c r="B3118" t="s">
        <v>21</v>
      </c>
      <c r="C3118" s="1">
        <v>45714</v>
      </c>
      <c r="D3118">
        <f t="shared" si="220"/>
        <v>26</v>
      </c>
      <c r="E3118">
        <f t="shared" si="221"/>
        <v>2</v>
      </c>
      <c r="F3118">
        <f t="shared" si="222"/>
        <v>2025</v>
      </c>
      <c r="G3118" t="s">
        <v>53</v>
      </c>
      <c r="H3118" s="171">
        <v>11602</v>
      </c>
      <c r="I3118" s="90">
        <v>2900.23</v>
      </c>
      <c r="J3118" s="12" t="s">
        <v>31</v>
      </c>
      <c r="K3118" s="76">
        <f t="shared" si="219"/>
        <v>2900.23</v>
      </c>
      <c r="L3118">
        <v>1</v>
      </c>
      <c r="M3118" s="29">
        <v>0</v>
      </c>
      <c r="N3118" t="s">
        <v>32</v>
      </c>
      <c r="O3118" t="s">
        <v>33</v>
      </c>
      <c r="P3118" t="s">
        <v>34</v>
      </c>
      <c r="Q3118" t="s">
        <v>34</v>
      </c>
      <c r="R3118" t="s">
        <v>34</v>
      </c>
      <c r="S3118" t="s">
        <v>34</v>
      </c>
      <c r="T3118" s="117">
        <v>88.97</v>
      </c>
    </row>
    <row r="3119" spans="1:21" x14ac:dyDescent="0.35">
      <c r="A3119" t="s">
        <v>19</v>
      </c>
      <c r="B3119" t="s">
        <v>19</v>
      </c>
      <c r="C3119" s="1">
        <v>45714</v>
      </c>
      <c r="D3119">
        <f t="shared" si="220"/>
        <v>26</v>
      </c>
      <c r="E3119">
        <f t="shared" si="221"/>
        <v>2</v>
      </c>
      <c r="F3119">
        <f t="shared" si="222"/>
        <v>2025</v>
      </c>
      <c r="G3119" t="s">
        <v>54</v>
      </c>
      <c r="H3119" s="98" t="s">
        <v>886</v>
      </c>
      <c r="I3119" s="29">
        <v>81048.179999999993</v>
      </c>
      <c r="J3119" s="12" t="s">
        <v>31</v>
      </c>
      <c r="K3119" s="76">
        <f t="shared" si="219"/>
        <v>81048.179999999993</v>
      </c>
      <c r="L3119">
        <v>1</v>
      </c>
      <c r="M3119" s="29">
        <v>0</v>
      </c>
      <c r="N3119" t="s">
        <v>32</v>
      </c>
      <c r="O3119" t="s">
        <v>33</v>
      </c>
      <c r="P3119" t="s">
        <v>34</v>
      </c>
      <c r="Q3119" t="s">
        <v>34</v>
      </c>
      <c r="R3119" t="s">
        <v>34</v>
      </c>
      <c r="S3119" t="s">
        <v>34</v>
      </c>
      <c r="T3119" s="117">
        <v>0</v>
      </c>
    </row>
    <row r="3120" spans="1:21" x14ac:dyDescent="0.35">
      <c r="A3120" t="s">
        <v>19</v>
      </c>
      <c r="B3120" t="s">
        <v>19</v>
      </c>
      <c r="C3120" s="1">
        <v>45714</v>
      </c>
      <c r="D3120">
        <f t="shared" si="220"/>
        <v>26</v>
      </c>
      <c r="E3120">
        <f t="shared" si="221"/>
        <v>2</v>
      </c>
      <c r="F3120">
        <f t="shared" si="222"/>
        <v>2025</v>
      </c>
      <c r="G3120" t="s">
        <v>56</v>
      </c>
      <c r="H3120" s="98" t="s">
        <v>887</v>
      </c>
      <c r="I3120" s="29">
        <v>176788.73</v>
      </c>
      <c r="J3120" s="12" t="s">
        <v>31</v>
      </c>
      <c r="K3120" s="76">
        <f t="shared" si="219"/>
        <v>176788.73</v>
      </c>
      <c r="L3120">
        <v>1</v>
      </c>
      <c r="M3120" s="29">
        <v>0</v>
      </c>
      <c r="N3120" t="s">
        <v>32</v>
      </c>
      <c r="O3120" t="s">
        <v>33</v>
      </c>
      <c r="P3120" t="s">
        <v>34</v>
      </c>
      <c r="Q3120" t="s">
        <v>34</v>
      </c>
      <c r="R3120" t="s">
        <v>34</v>
      </c>
      <c r="S3120" t="s">
        <v>34</v>
      </c>
      <c r="T3120" s="117">
        <v>0</v>
      </c>
    </row>
    <row r="3121" spans="1:21" x14ac:dyDescent="0.35">
      <c r="A3121" t="s">
        <v>19</v>
      </c>
      <c r="B3121" t="s">
        <v>19</v>
      </c>
      <c r="C3121" s="1">
        <v>45714</v>
      </c>
      <c r="D3121">
        <f t="shared" si="220"/>
        <v>26</v>
      </c>
      <c r="E3121">
        <f t="shared" si="221"/>
        <v>2</v>
      </c>
      <c r="F3121">
        <f t="shared" si="222"/>
        <v>2025</v>
      </c>
      <c r="G3121" t="s">
        <v>56</v>
      </c>
      <c r="H3121" s="98" t="s">
        <v>888</v>
      </c>
      <c r="I3121" s="29">
        <v>161494.21</v>
      </c>
      <c r="J3121" s="12" t="s">
        <v>31</v>
      </c>
      <c r="K3121" s="76">
        <f t="shared" si="219"/>
        <v>161494.21</v>
      </c>
      <c r="L3121">
        <v>1</v>
      </c>
      <c r="M3121" s="29">
        <v>0</v>
      </c>
      <c r="N3121" t="s">
        <v>32</v>
      </c>
      <c r="O3121" t="s">
        <v>33</v>
      </c>
      <c r="P3121" t="s">
        <v>34</v>
      </c>
      <c r="Q3121" t="s">
        <v>34</v>
      </c>
      <c r="R3121" t="s">
        <v>34</v>
      </c>
      <c r="S3121" t="s">
        <v>34</v>
      </c>
      <c r="T3121" s="117">
        <v>0</v>
      </c>
    </row>
    <row r="3122" spans="1:21" x14ac:dyDescent="0.35">
      <c r="A3122" t="s">
        <v>19</v>
      </c>
      <c r="B3122" t="s">
        <v>19</v>
      </c>
      <c r="C3122" s="1">
        <v>45714</v>
      </c>
      <c r="D3122">
        <f t="shared" si="220"/>
        <v>26</v>
      </c>
      <c r="E3122">
        <f t="shared" si="221"/>
        <v>2</v>
      </c>
      <c r="F3122">
        <f t="shared" si="222"/>
        <v>2025</v>
      </c>
      <c r="G3122" t="s">
        <v>57</v>
      </c>
      <c r="H3122" s="171" t="s">
        <v>889</v>
      </c>
      <c r="I3122" s="90">
        <v>38599</v>
      </c>
      <c r="J3122" s="12" t="s">
        <v>31</v>
      </c>
      <c r="K3122" s="76">
        <f t="shared" si="219"/>
        <v>38599</v>
      </c>
      <c r="L3122">
        <v>1</v>
      </c>
      <c r="M3122" s="29">
        <v>0</v>
      </c>
      <c r="N3122" t="s">
        <v>32</v>
      </c>
      <c r="O3122" t="s">
        <v>33</v>
      </c>
      <c r="P3122" t="s">
        <v>34</v>
      </c>
      <c r="Q3122" t="s">
        <v>34</v>
      </c>
      <c r="R3122" t="s">
        <v>34</v>
      </c>
      <c r="S3122" t="s">
        <v>34</v>
      </c>
      <c r="T3122" s="117">
        <v>0</v>
      </c>
    </row>
    <row r="3123" spans="1:21" x14ac:dyDescent="0.35">
      <c r="A3123" t="s">
        <v>19</v>
      </c>
      <c r="B3123" t="s">
        <v>19</v>
      </c>
      <c r="C3123" s="1">
        <v>45714</v>
      </c>
      <c r="D3123">
        <f t="shared" si="220"/>
        <v>26</v>
      </c>
      <c r="E3123">
        <f t="shared" si="221"/>
        <v>2</v>
      </c>
      <c r="F3123">
        <f t="shared" si="222"/>
        <v>2025</v>
      </c>
      <c r="G3123" t="s">
        <v>57</v>
      </c>
      <c r="H3123" s="171" t="s">
        <v>890</v>
      </c>
      <c r="I3123" s="90">
        <v>10700.8</v>
      </c>
      <c r="J3123" s="12" t="s">
        <v>31</v>
      </c>
      <c r="K3123" s="76">
        <f t="shared" si="219"/>
        <v>10700.8</v>
      </c>
      <c r="L3123">
        <v>1</v>
      </c>
      <c r="M3123" s="29">
        <v>0</v>
      </c>
      <c r="N3123" t="s">
        <v>32</v>
      </c>
      <c r="O3123" t="s">
        <v>33</v>
      </c>
      <c r="P3123" t="s">
        <v>34</v>
      </c>
      <c r="Q3123" t="s">
        <v>34</v>
      </c>
      <c r="R3123" t="s">
        <v>34</v>
      </c>
      <c r="S3123" t="s">
        <v>34</v>
      </c>
      <c r="T3123" s="117">
        <v>0</v>
      </c>
    </row>
    <row r="3124" spans="1:21" x14ac:dyDescent="0.35">
      <c r="A3124" t="s">
        <v>19</v>
      </c>
      <c r="B3124" t="s">
        <v>19</v>
      </c>
      <c r="C3124" s="1">
        <v>45715</v>
      </c>
      <c r="D3124">
        <f t="shared" si="220"/>
        <v>27</v>
      </c>
      <c r="E3124">
        <f t="shared" si="221"/>
        <v>2</v>
      </c>
      <c r="F3124">
        <f t="shared" si="222"/>
        <v>2025</v>
      </c>
      <c r="G3124" t="s">
        <v>891</v>
      </c>
      <c r="H3124" s="98" t="s">
        <v>892</v>
      </c>
      <c r="I3124" s="29">
        <v>53.75</v>
      </c>
      <c r="J3124" s="12" t="s">
        <v>31</v>
      </c>
      <c r="K3124" s="76">
        <f t="shared" si="219"/>
        <v>53.75</v>
      </c>
      <c r="L3124">
        <v>1</v>
      </c>
      <c r="M3124" s="29">
        <v>0</v>
      </c>
      <c r="N3124" t="s">
        <v>32</v>
      </c>
      <c r="O3124" t="s">
        <v>33</v>
      </c>
      <c r="P3124" t="s">
        <v>34</v>
      </c>
      <c r="Q3124" t="s">
        <v>34</v>
      </c>
      <c r="R3124" t="s">
        <v>34</v>
      </c>
      <c r="S3124" t="s">
        <v>34</v>
      </c>
      <c r="T3124" s="117">
        <v>0</v>
      </c>
    </row>
    <row r="3125" spans="1:21" x14ac:dyDescent="0.35">
      <c r="A3125" t="s">
        <v>19</v>
      </c>
      <c r="B3125" t="s">
        <v>26</v>
      </c>
      <c r="C3125" s="1">
        <v>45715</v>
      </c>
      <c r="D3125">
        <f t="shared" si="220"/>
        <v>27</v>
      </c>
      <c r="E3125">
        <f t="shared" si="221"/>
        <v>2</v>
      </c>
      <c r="F3125">
        <f t="shared" si="222"/>
        <v>2025</v>
      </c>
      <c r="G3125" t="s">
        <v>73</v>
      </c>
      <c r="H3125" s="121">
        <v>12297</v>
      </c>
      <c r="I3125" s="29">
        <v>116043.76</v>
      </c>
      <c r="J3125" s="12" t="s">
        <v>51</v>
      </c>
      <c r="K3125" s="76">
        <f t="shared" si="219"/>
        <v>121184.498568</v>
      </c>
      <c r="L3125">
        <v>1.0443</v>
      </c>
      <c r="M3125" s="29">
        <v>0</v>
      </c>
      <c r="N3125" t="s">
        <v>42</v>
      </c>
      <c r="O3125" t="s">
        <v>33</v>
      </c>
      <c r="P3125" t="s">
        <v>34</v>
      </c>
      <c r="Q3125" t="s">
        <v>34</v>
      </c>
      <c r="R3125" t="s">
        <v>34</v>
      </c>
      <c r="S3125" t="s">
        <v>34</v>
      </c>
      <c r="T3125" s="117">
        <v>0</v>
      </c>
      <c r="U3125" s="209" t="s">
        <v>94</v>
      </c>
    </row>
    <row r="3126" spans="1:21" x14ac:dyDescent="0.35">
      <c r="A3126" t="s">
        <v>19</v>
      </c>
      <c r="B3126" t="s">
        <v>26</v>
      </c>
      <c r="C3126" s="1">
        <v>45715</v>
      </c>
      <c r="D3126">
        <f t="shared" si="220"/>
        <v>27</v>
      </c>
      <c r="E3126">
        <f t="shared" si="221"/>
        <v>2</v>
      </c>
      <c r="F3126">
        <f t="shared" si="222"/>
        <v>2025</v>
      </c>
      <c r="G3126" t="s">
        <v>73</v>
      </c>
      <c r="H3126" s="121">
        <v>12298</v>
      </c>
      <c r="I3126" s="29">
        <v>44965.74</v>
      </c>
      <c r="J3126" s="12" t="s">
        <v>51</v>
      </c>
      <c r="K3126" s="76">
        <f t="shared" si="219"/>
        <v>46957.722281999995</v>
      </c>
      <c r="L3126">
        <v>1.0443</v>
      </c>
      <c r="M3126" s="29">
        <v>0</v>
      </c>
      <c r="N3126" t="s">
        <v>42</v>
      </c>
      <c r="O3126" t="s">
        <v>33</v>
      </c>
      <c r="P3126" t="s">
        <v>34</v>
      </c>
      <c r="Q3126" t="s">
        <v>34</v>
      </c>
      <c r="R3126" t="s">
        <v>34</v>
      </c>
      <c r="S3126" t="s">
        <v>34</v>
      </c>
      <c r="T3126" s="117">
        <v>0</v>
      </c>
      <c r="U3126" s="209" t="s">
        <v>94</v>
      </c>
    </row>
    <row r="3127" spans="1:21" x14ac:dyDescent="0.35">
      <c r="A3127" t="s">
        <v>20</v>
      </c>
      <c r="B3127" t="s">
        <v>223</v>
      </c>
      <c r="C3127" s="1">
        <v>45716</v>
      </c>
      <c r="D3127">
        <f t="shared" si="220"/>
        <v>28</v>
      </c>
      <c r="E3127">
        <f t="shared" si="221"/>
        <v>2</v>
      </c>
      <c r="F3127">
        <f t="shared" si="222"/>
        <v>2025</v>
      </c>
      <c r="G3127" t="s">
        <v>223</v>
      </c>
      <c r="H3127" s="98">
        <v>11381</v>
      </c>
      <c r="I3127" s="29">
        <v>35113.599999999999</v>
      </c>
      <c r="J3127" s="12" t="s">
        <v>51</v>
      </c>
      <c r="K3127" s="76">
        <f t="shared" si="219"/>
        <v>36721.639988009592</v>
      </c>
      <c r="L3127" s="2">
        <v>1.0457953609999999</v>
      </c>
      <c r="M3127" s="29">
        <v>0</v>
      </c>
      <c r="N3127" t="s">
        <v>32</v>
      </c>
      <c r="O3127" t="s">
        <v>33</v>
      </c>
      <c r="P3127" t="s">
        <v>34</v>
      </c>
      <c r="Q3127" t="s">
        <v>34</v>
      </c>
      <c r="R3127" t="s">
        <v>34</v>
      </c>
      <c r="S3127" t="s">
        <v>34</v>
      </c>
      <c r="T3127" s="117">
        <v>0</v>
      </c>
    </row>
    <row r="3128" spans="1:21" x14ac:dyDescent="0.35">
      <c r="A3128" t="s">
        <v>20</v>
      </c>
      <c r="B3128" t="s">
        <v>223</v>
      </c>
      <c r="C3128" s="1">
        <v>45719</v>
      </c>
      <c r="D3128">
        <f t="shared" si="220"/>
        <v>3</v>
      </c>
      <c r="E3128">
        <f t="shared" si="221"/>
        <v>3</v>
      </c>
      <c r="F3128">
        <f t="shared" si="222"/>
        <v>2025</v>
      </c>
      <c r="G3128" t="s">
        <v>223</v>
      </c>
      <c r="H3128" s="98">
        <v>12102</v>
      </c>
      <c r="I3128" s="29">
        <v>47623.64</v>
      </c>
      <c r="J3128" s="12" t="s">
        <v>51</v>
      </c>
      <c r="K3128" s="76">
        <f t="shared" si="219"/>
        <v>49981.010180000005</v>
      </c>
      <c r="L3128">
        <v>1.0495000000000001</v>
      </c>
      <c r="M3128" s="29">
        <v>0</v>
      </c>
      <c r="N3128" t="s">
        <v>32</v>
      </c>
      <c r="O3128" t="s">
        <v>186</v>
      </c>
      <c r="P3128" s="1">
        <v>45716</v>
      </c>
      <c r="Q3128" t="s">
        <v>34</v>
      </c>
      <c r="R3128" t="s">
        <v>34</v>
      </c>
      <c r="S3128" t="s">
        <v>34</v>
      </c>
      <c r="T3128" s="117">
        <v>0</v>
      </c>
    </row>
    <row r="3129" spans="1:21" x14ac:dyDescent="0.35">
      <c r="A3129" t="s">
        <v>19</v>
      </c>
      <c r="B3129" t="s">
        <v>21</v>
      </c>
      <c r="C3129" s="1">
        <v>45721</v>
      </c>
      <c r="D3129">
        <f t="shared" si="220"/>
        <v>5</v>
      </c>
      <c r="E3129">
        <f t="shared" si="221"/>
        <v>3</v>
      </c>
      <c r="F3129">
        <f t="shared" si="222"/>
        <v>2025</v>
      </c>
      <c r="G3129" t="s">
        <v>36</v>
      </c>
      <c r="H3129" s="98">
        <v>11515</v>
      </c>
      <c r="I3129" s="29">
        <v>55869.7</v>
      </c>
      <c r="J3129" s="12" t="s">
        <v>31</v>
      </c>
      <c r="K3129" s="76">
        <f t="shared" si="219"/>
        <v>55869.7</v>
      </c>
      <c r="L3129">
        <v>1</v>
      </c>
      <c r="M3129" s="29">
        <v>0</v>
      </c>
      <c r="N3129" t="s">
        <v>32</v>
      </c>
      <c r="O3129" t="s">
        <v>33</v>
      </c>
      <c r="P3129" t="s">
        <v>34</v>
      </c>
      <c r="Q3129" t="s">
        <v>34</v>
      </c>
      <c r="R3129" t="s">
        <v>34</v>
      </c>
      <c r="S3129" t="s">
        <v>34</v>
      </c>
      <c r="T3129" s="117">
        <v>0</v>
      </c>
    </row>
    <row r="3130" spans="1:21" x14ac:dyDescent="0.35">
      <c r="A3130" t="s">
        <v>19</v>
      </c>
      <c r="B3130" t="s">
        <v>24</v>
      </c>
      <c r="C3130" s="1">
        <v>45721</v>
      </c>
      <c r="D3130">
        <f t="shared" si="220"/>
        <v>5</v>
      </c>
      <c r="E3130">
        <f t="shared" si="221"/>
        <v>3</v>
      </c>
      <c r="F3130">
        <f t="shared" si="222"/>
        <v>2025</v>
      </c>
      <c r="G3130" t="s">
        <v>36</v>
      </c>
      <c r="H3130" s="98">
        <v>11515</v>
      </c>
      <c r="I3130" s="29">
        <v>2411.48</v>
      </c>
      <c r="J3130" s="12" t="s">
        <v>31</v>
      </c>
      <c r="K3130" s="76">
        <f t="shared" si="219"/>
        <v>2411.48</v>
      </c>
      <c r="L3130">
        <v>1</v>
      </c>
      <c r="M3130" s="29">
        <v>0</v>
      </c>
      <c r="N3130" t="s">
        <v>32</v>
      </c>
      <c r="O3130" t="s">
        <v>33</v>
      </c>
      <c r="P3130" t="s">
        <v>34</v>
      </c>
      <c r="Q3130" t="s">
        <v>34</v>
      </c>
      <c r="R3130" t="s">
        <v>34</v>
      </c>
      <c r="S3130" t="s">
        <v>34</v>
      </c>
      <c r="T3130" s="117">
        <v>0</v>
      </c>
    </row>
    <row r="3131" spans="1:21" x14ac:dyDescent="0.35">
      <c r="A3131" t="s">
        <v>19</v>
      </c>
      <c r="B3131" t="s">
        <v>25</v>
      </c>
      <c r="C3131" s="1">
        <v>45721</v>
      </c>
      <c r="D3131">
        <f t="shared" si="220"/>
        <v>5</v>
      </c>
      <c r="E3131">
        <f t="shared" si="221"/>
        <v>3</v>
      </c>
      <c r="F3131">
        <f t="shared" si="222"/>
        <v>2025</v>
      </c>
      <c r="G3131" t="s">
        <v>36</v>
      </c>
      <c r="H3131" s="98">
        <v>11515</v>
      </c>
      <c r="I3131" s="29">
        <v>51331.72</v>
      </c>
      <c r="J3131" s="12" t="s">
        <v>31</v>
      </c>
      <c r="K3131" s="76">
        <f t="shared" si="219"/>
        <v>51331.72</v>
      </c>
      <c r="L3131">
        <v>1</v>
      </c>
      <c r="M3131" s="29">
        <v>0</v>
      </c>
      <c r="N3131" t="s">
        <v>32</v>
      </c>
      <c r="O3131" t="s">
        <v>33</v>
      </c>
      <c r="P3131" t="s">
        <v>34</v>
      </c>
      <c r="Q3131" t="s">
        <v>34</v>
      </c>
      <c r="R3131" t="s">
        <v>34</v>
      </c>
      <c r="S3131" t="s">
        <v>34</v>
      </c>
      <c r="T3131" s="117">
        <v>0</v>
      </c>
    </row>
    <row r="3132" spans="1:21" x14ac:dyDescent="0.35">
      <c r="A3132" t="s">
        <v>19</v>
      </c>
      <c r="B3132" t="s">
        <v>25</v>
      </c>
      <c r="C3132" s="1">
        <v>45721</v>
      </c>
      <c r="D3132">
        <f t="shared" si="220"/>
        <v>5</v>
      </c>
      <c r="E3132">
        <f t="shared" si="221"/>
        <v>3</v>
      </c>
      <c r="F3132">
        <f t="shared" si="222"/>
        <v>2025</v>
      </c>
      <c r="G3132" t="s">
        <v>36</v>
      </c>
      <c r="H3132" s="98">
        <v>12031</v>
      </c>
      <c r="I3132" s="29">
        <v>444</v>
      </c>
      <c r="J3132" s="12" t="s">
        <v>31</v>
      </c>
      <c r="K3132" s="76">
        <f t="shared" si="219"/>
        <v>444</v>
      </c>
      <c r="L3132">
        <v>1</v>
      </c>
      <c r="M3132" s="29">
        <v>0</v>
      </c>
      <c r="N3132" t="s">
        <v>32</v>
      </c>
      <c r="O3132" t="s">
        <v>33</v>
      </c>
      <c r="P3132" t="s">
        <v>34</v>
      </c>
      <c r="Q3132" t="s">
        <v>34</v>
      </c>
      <c r="R3132" t="s">
        <v>34</v>
      </c>
      <c r="S3132" t="s">
        <v>34</v>
      </c>
      <c r="T3132" s="117">
        <v>0</v>
      </c>
    </row>
    <row r="3133" spans="1:21" x14ac:dyDescent="0.35">
      <c r="A3133" t="s">
        <v>19</v>
      </c>
      <c r="B3133" t="s">
        <v>24</v>
      </c>
      <c r="C3133" s="1">
        <v>45721</v>
      </c>
      <c r="D3133">
        <f t="shared" si="220"/>
        <v>5</v>
      </c>
      <c r="E3133">
        <f t="shared" si="221"/>
        <v>3</v>
      </c>
      <c r="F3133">
        <f t="shared" si="222"/>
        <v>2025</v>
      </c>
      <c r="G3133" t="s">
        <v>36</v>
      </c>
      <c r="H3133" s="98">
        <v>12033</v>
      </c>
      <c r="I3133" s="29">
        <v>70</v>
      </c>
      <c r="J3133" s="12" t="s">
        <v>31</v>
      </c>
      <c r="K3133" s="76">
        <f t="shared" si="219"/>
        <v>70</v>
      </c>
      <c r="L3133">
        <v>1</v>
      </c>
      <c r="M3133" s="29">
        <v>0</v>
      </c>
      <c r="N3133" t="s">
        <v>32</v>
      </c>
      <c r="O3133" t="s">
        <v>33</v>
      </c>
      <c r="P3133" t="s">
        <v>34</v>
      </c>
      <c r="Q3133" t="s">
        <v>34</v>
      </c>
      <c r="R3133" t="s">
        <v>34</v>
      </c>
      <c r="S3133" t="s">
        <v>34</v>
      </c>
      <c r="T3133" s="117">
        <v>0</v>
      </c>
    </row>
    <row r="3134" spans="1:21" x14ac:dyDescent="0.35">
      <c r="A3134" t="s">
        <v>19</v>
      </c>
      <c r="B3134" t="s">
        <v>25</v>
      </c>
      <c r="C3134" s="1">
        <v>45721</v>
      </c>
      <c r="D3134">
        <f t="shared" si="220"/>
        <v>5</v>
      </c>
      <c r="E3134">
        <f t="shared" si="221"/>
        <v>3</v>
      </c>
      <c r="F3134">
        <f t="shared" si="222"/>
        <v>2025</v>
      </c>
      <c r="G3134" t="s">
        <v>36</v>
      </c>
      <c r="H3134" s="98">
        <v>12231</v>
      </c>
      <c r="I3134" s="29">
        <v>102</v>
      </c>
      <c r="J3134" s="12" t="s">
        <v>31</v>
      </c>
      <c r="K3134" s="76">
        <f t="shared" si="219"/>
        <v>102</v>
      </c>
      <c r="L3134">
        <v>1</v>
      </c>
      <c r="M3134" s="29">
        <v>0</v>
      </c>
      <c r="N3134" t="s">
        <v>32</v>
      </c>
      <c r="O3134" t="s">
        <v>33</v>
      </c>
      <c r="P3134" t="s">
        <v>34</v>
      </c>
      <c r="Q3134" t="s">
        <v>34</v>
      </c>
      <c r="R3134" t="s">
        <v>34</v>
      </c>
      <c r="S3134" t="s">
        <v>34</v>
      </c>
      <c r="T3134" s="117">
        <v>0</v>
      </c>
    </row>
    <row r="3135" spans="1:21" x14ac:dyDescent="0.35">
      <c r="A3135" t="s">
        <v>19</v>
      </c>
      <c r="B3135" t="s">
        <v>24</v>
      </c>
      <c r="C3135" s="1">
        <v>45721</v>
      </c>
      <c r="D3135">
        <f t="shared" si="220"/>
        <v>5</v>
      </c>
      <c r="E3135">
        <f t="shared" si="221"/>
        <v>3</v>
      </c>
      <c r="F3135">
        <f t="shared" si="222"/>
        <v>2025</v>
      </c>
      <c r="G3135" t="s">
        <v>39</v>
      </c>
      <c r="H3135" s="98">
        <v>12144</v>
      </c>
      <c r="I3135" s="29">
        <v>15515.1</v>
      </c>
      <c r="J3135" s="12" t="s">
        <v>31</v>
      </c>
      <c r="K3135" s="76">
        <f t="shared" si="219"/>
        <v>15515.1</v>
      </c>
      <c r="L3135">
        <v>1</v>
      </c>
      <c r="M3135" s="29">
        <v>0</v>
      </c>
      <c r="N3135" t="s">
        <v>32</v>
      </c>
      <c r="O3135" t="s">
        <v>33</v>
      </c>
      <c r="P3135" t="s">
        <v>34</v>
      </c>
      <c r="Q3135" t="s">
        <v>34</v>
      </c>
      <c r="R3135" t="s">
        <v>34</v>
      </c>
      <c r="S3135" t="s">
        <v>34</v>
      </c>
      <c r="T3135" s="117">
        <v>0</v>
      </c>
    </row>
    <row r="3136" spans="1:21" x14ac:dyDescent="0.35">
      <c r="A3136" t="s">
        <v>19</v>
      </c>
      <c r="B3136" t="s">
        <v>25</v>
      </c>
      <c r="C3136" s="1">
        <v>45721</v>
      </c>
      <c r="D3136">
        <f t="shared" si="220"/>
        <v>5</v>
      </c>
      <c r="E3136">
        <f t="shared" si="221"/>
        <v>3</v>
      </c>
      <c r="F3136">
        <f t="shared" si="222"/>
        <v>2025</v>
      </c>
      <c r="G3136" t="s">
        <v>80</v>
      </c>
      <c r="H3136" s="98">
        <v>12005</v>
      </c>
      <c r="I3136" s="29">
        <v>639</v>
      </c>
      <c r="J3136" s="12" t="s">
        <v>31</v>
      </c>
      <c r="K3136" s="76">
        <f t="shared" si="219"/>
        <v>639</v>
      </c>
      <c r="L3136">
        <v>1</v>
      </c>
      <c r="M3136" s="29">
        <v>0</v>
      </c>
      <c r="N3136" t="s">
        <v>32</v>
      </c>
      <c r="O3136" t="s">
        <v>33</v>
      </c>
      <c r="P3136" t="s">
        <v>34</v>
      </c>
      <c r="Q3136" t="s">
        <v>34</v>
      </c>
      <c r="R3136" t="s">
        <v>34</v>
      </c>
      <c r="S3136" t="s">
        <v>34</v>
      </c>
      <c r="T3136" s="117">
        <v>0</v>
      </c>
    </row>
    <row r="3137" spans="1:21" x14ac:dyDescent="0.35">
      <c r="A3137" t="s">
        <v>19</v>
      </c>
      <c r="B3137" t="s">
        <v>25</v>
      </c>
      <c r="C3137" s="1">
        <v>45721</v>
      </c>
      <c r="D3137">
        <f t="shared" si="220"/>
        <v>5</v>
      </c>
      <c r="E3137">
        <f t="shared" si="221"/>
        <v>3</v>
      </c>
      <c r="F3137">
        <f t="shared" si="222"/>
        <v>2025</v>
      </c>
      <c r="G3137" t="s">
        <v>38</v>
      </c>
      <c r="H3137" s="98">
        <v>11401</v>
      </c>
      <c r="I3137" s="29">
        <v>30755.9</v>
      </c>
      <c r="J3137" s="12" t="s">
        <v>31</v>
      </c>
      <c r="K3137" s="76">
        <f t="shared" si="219"/>
        <v>30755.9</v>
      </c>
      <c r="L3137">
        <v>1</v>
      </c>
      <c r="M3137" s="29">
        <v>0</v>
      </c>
      <c r="N3137" t="s">
        <v>32</v>
      </c>
      <c r="O3137" t="s">
        <v>33</v>
      </c>
      <c r="P3137" t="s">
        <v>34</v>
      </c>
      <c r="Q3137" t="s">
        <v>34</v>
      </c>
      <c r="R3137" t="s">
        <v>34</v>
      </c>
      <c r="S3137" t="s">
        <v>34</v>
      </c>
      <c r="T3137" s="117">
        <v>0</v>
      </c>
    </row>
    <row r="3138" spans="1:21" x14ac:dyDescent="0.35">
      <c r="A3138" t="s">
        <v>19</v>
      </c>
      <c r="B3138" t="s">
        <v>25</v>
      </c>
      <c r="C3138" s="1">
        <v>45721</v>
      </c>
      <c r="D3138">
        <f t="shared" si="220"/>
        <v>5</v>
      </c>
      <c r="E3138">
        <f t="shared" si="221"/>
        <v>3</v>
      </c>
      <c r="F3138">
        <f t="shared" si="222"/>
        <v>2025</v>
      </c>
      <c r="G3138" t="s">
        <v>38</v>
      </c>
      <c r="H3138" s="98">
        <v>12171</v>
      </c>
      <c r="I3138" s="29">
        <v>344.1</v>
      </c>
      <c r="J3138" s="12" t="s">
        <v>31</v>
      </c>
      <c r="K3138" s="76">
        <f t="shared" ref="K3138:K3201" si="223">IF(J3138="USD",I3138,I3138*L3138)</f>
        <v>344.1</v>
      </c>
      <c r="L3138">
        <v>1</v>
      </c>
      <c r="M3138" s="29">
        <v>0</v>
      </c>
      <c r="N3138" t="s">
        <v>32</v>
      </c>
      <c r="O3138" t="s">
        <v>33</v>
      </c>
      <c r="P3138" t="s">
        <v>34</v>
      </c>
      <c r="Q3138" t="s">
        <v>34</v>
      </c>
      <c r="R3138" t="s">
        <v>34</v>
      </c>
      <c r="S3138" t="s">
        <v>34</v>
      </c>
      <c r="T3138" s="117">
        <v>0</v>
      </c>
    </row>
    <row r="3139" spans="1:21" x14ac:dyDescent="0.35">
      <c r="A3139" t="s">
        <v>19</v>
      </c>
      <c r="B3139" t="s">
        <v>24</v>
      </c>
      <c r="C3139" s="1">
        <v>45721</v>
      </c>
      <c r="D3139">
        <f t="shared" ref="D3139:D3202" si="224">DAY(C3139)</f>
        <v>5</v>
      </c>
      <c r="E3139">
        <f t="shared" ref="E3139:E3202" si="225">MONTH(C3139)</f>
        <v>3</v>
      </c>
      <c r="F3139">
        <f t="shared" ref="F3139:F3202" si="226">YEAR(C3139)</f>
        <v>2025</v>
      </c>
      <c r="G3139" t="s">
        <v>35</v>
      </c>
      <c r="H3139" s="98">
        <v>11113</v>
      </c>
      <c r="I3139" s="90">
        <v>10867.5</v>
      </c>
      <c r="J3139" s="12" t="s">
        <v>31</v>
      </c>
      <c r="K3139" s="76">
        <f t="shared" si="223"/>
        <v>10867.5</v>
      </c>
      <c r="L3139">
        <v>1</v>
      </c>
      <c r="M3139" s="29">
        <v>0</v>
      </c>
      <c r="N3139" t="s">
        <v>32</v>
      </c>
      <c r="O3139" t="s">
        <v>33</v>
      </c>
      <c r="P3139" t="s">
        <v>34</v>
      </c>
      <c r="Q3139" t="s">
        <v>34</v>
      </c>
      <c r="R3139" t="s">
        <v>34</v>
      </c>
      <c r="S3139" t="s">
        <v>34</v>
      </c>
      <c r="T3139" s="117">
        <v>0</v>
      </c>
    </row>
    <row r="3140" spans="1:21" x14ac:dyDescent="0.35">
      <c r="A3140" t="s">
        <v>19</v>
      </c>
      <c r="B3140" t="s">
        <v>25</v>
      </c>
      <c r="C3140" s="1">
        <v>45721</v>
      </c>
      <c r="D3140">
        <f t="shared" si="224"/>
        <v>5</v>
      </c>
      <c r="E3140">
        <f t="shared" si="225"/>
        <v>3</v>
      </c>
      <c r="F3140">
        <f t="shared" si="226"/>
        <v>2025</v>
      </c>
      <c r="G3140" t="s">
        <v>285</v>
      </c>
      <c r="H3140" s="98">
        <v>12285</v>
      </c>
      <c r="I3140" s="29">
        <v>26.31</v>
      </c>
      <c r="J3140" s="12" t="s">
        <v>31</v>
      </c>
      <c r="K3140" s="76">
        <f t="shared" si="223"/>
        <v>26.31</v>
      </c>
      <c r="L3140">
        <v>1</v>
      </c>
      <c r="M3140" s="29">
        <v>0</v>
      </c>
      <c r="N3140" t="s">
        <v>42</v>
      </c>
      <c r="O3140" t="s">
        <v>33</v>
      </c>
      <c r="P3140" t="s">
        <v>34</v>
      </c>
      <c r="Q3140" t="s">
        <v>34</v>
      </c>
      <c r="R3140" t="s">
        <v>34</v>
      </c>
      <c r="S3140" t="s">
        <v>34</v>
      </c>
      <c r="T3140" s="117">
        <v>0</v>
      </c>
    </row>
    <row r="3141" spans="1:21" x14ac:dyDescent="0.35">
      <c r="A3141" t="s">
        <v>19</v>
      </c>
      <c r="B3141" t="s">
        <v>25</v>
      </c>
      <c r="C3141" s="1">
        <v>45721</v>
      </c>
      <c r="D3141">
        <f t="shared" si="224"/>
        <v>5</v>
      </c>
      <c r="E3141">
        <f t="shared" si="225"/>
        <v>3</v>
      </c>
      <c r="F3141">
        <f t="shared" si="226"/>
        <v>2025</v>
      </c>
      <c r="G3141" t="s">
        <v>285</v>
      </c>
      <c r="H3141" s="98">
        <v>12286</v>
      </c>
      <c r="I3141" s="29">
        <v>2631</v>
      </c>
      <c r="J3141" s="12" t="s">
        <v>31</v>
      </c>
      <c r="K3141" s="76">
        <f t="shared" si="223"/>
        <v>2631</v>
      </c>
      <c r="L3141">
        <v>1</v>
      </c>
      <c r="M3141" s="29">
        <v>0</v>
      </c>
      <c r="N3141" t="s">
        <v>42</v>
      </c>
      <c r="O3141" t="s">
        <v>33</v>
      </c>
      <c r="P3141" t="s">
        <v>34</v>
      </c>
      <c r="Q3141" t="s">
        <v>34</v>
      </c>
      <c r="R3141" t="s">
        <v>34</v>
      </c>
      <c r="S3141" t="s">
        <v>34</v>
      </c>
      <c r="T3141" s="117">
        <v>0</v>
      </c>
    </row>
    <row r="3142" spans="1:21" x14ac:dyDescent="0.35">
      <c r="A3142" t="s">
        <v>20</v>
      </c>
      <c r="B3142" t="s">
        <v>25</v>
      </c>
      <c r="C3142" s="1">
        <v>45721</v>
      </c>
      <c r="D3142">
        <f t="shared" si="224"/>
        <v>5</v>
      </c>
      <c r="E3142">
        <f t="shared" si="225"/>
        <v>3</v>
      </c>
      <c r="F3142">
        <f t="shared" si="226"/>
        <v>2025</v>
      </c>
      <c r="G3142" t="s">
        <v>696</v>
      </c>
      <c r="H3142" s="98">
        <v>11664</v>
      </c>
      <c r="I3142" s="29">
        <v>12277.64</v>
      </c>
      <c r="J3142" s="12" t="s">
        <v>31</v>
      </c>
      <c r="K3142" s="76">
        <f t="shared" si="223"/>
        <v>12277.64</v>
      </c>
      <c r="L3142">
        <v>1</v>
      </c>
      <c r="M3142" s="29">
        <v>0</v>
      </c>
      <c r="N3142" t="s">
        <v>32</v>
      </c>
      <c r="O3142" t="s">
        <v>33</v>
      </c>
      <c r="P3142" t="s">
        <v>34</v>
      </c>
      <c r="Q3142" t="s">
        <v>34</v>
      </c>
      <c r="R3142" t="s">
        <v>34</v>
      </c>
      <c r="S3142" t="s">
        <v>34</v>
      </c>
      <c r="T3142" s="117">
        <v>0</v>
      </c>
    </row>
    <row r="3143" spans="1:21" x14ac:dyDescent="0.35">
      <c r="A3143" t="s">
        <v>20</v>
      </c>
      <c r="B3143" t="s">
        <v>25</v>
      </c>
      <c r="C3143" s="1">
        <v>45721</v>
      </c>
      <c r="D3143">
        <f t="shared" si="224"/>
        <v>5</v>
      </c>
      <c r="E3143">
        <f t="shared" si="225"/>
        <v>3</v>
      </c>
      <c r="F3143">
        <f t="shared" si="226"/>
        <v>2025</v>
      </c>
      <c r="G3143" t="s">
        <v>183</v>
      </c>
      <c r="H3143" s="98">
        <v>11872</v>
      </c>
      <c r="I3143" s="29">
        <v>3518.17</v>
      </c>
      <c r="J3143" s="12" t="s">
        <v>31</v>
      </c>
      <c r="K3143" s="76">
        <f t="shared" si="223"/>
        <v>3518.17</v>
      </c>
      <c r="L3143">
        <v>1</v>
      </c>
      <c r="M3143" s="29">
        <v>0</v>
      </c>
      <c r="N3143" t="s">
        <v>32</v>
      </c>
      <c r="O3143" t="s">
        <v>33</v>
      </c>
      <c r="P3143" t="s">
        <v>34</v>
      </c>
      <c r="Q3143" t="s">
        <v>34</v>
      </c>
      <c r="R3143" t="s">
        <v>34</v>
      </c>
      <c r="S3143" t="s">
        <v>34</v>
      </c>
      <c r="T3143" s="117">
        <v>0</v>
      </c>
    </row>
    <row r="3144" spans="1:21" x14ac:dyDescent="0.35">
      <c r="A3144" t="s">
        <v>20</v>
      </c>
      <c r="B3144" t="s">
        <v>25</v>
      </c>
      <c r="C3144" s="1">
        <v>45721</v>
      </c>
      <c r="D3144">
        <f t="shared" si="224"/>
        <v>5</v>
      </c>
      <c r="E3144">
        <f t="shared" si="225"/>
        <v>3</v>
      </c>
      <c r="F3144">
        <f t="shared" si="226"/>
        <v>2025</v>
      </c>
      <c r="G3144" t="s">
        <v>50</v>
      </c>
      <c r="H3144" s="98">
        <v>11909</v>
      </c>
      <c r="I3144" s="29">
        <v>897</v>
      </c>
      <c r="J3144" s="12" t="s">
        <v>31</v>
      </c>
      <c r="K3144" s="76">
        <f t="shared" si="223"/>
        <v>897</v>
      </c>
      <c r="L3144">
        <v>1</v>
      </c>
      <c r="M3144" s="29">
        <v>0</v>
      </c>
      <c r="N3144" t="s">
        <v>42</v>
      </c>
      <c r="O3144" t="s">
        <v>33</v>
      </c>
      <c r="P3144" t="s">
        <v>34</v>
      </c>
      <c r="Q3144" t="s">
        <v>34</v>
      </c>
      <c r="R3144" t="s">
        <v>34</v>
      </c>
      <c r="S3144" t="s">
        <v>34</v>
      </c>
      <c r="T3144" s="117">
        <v>0</v>
      </c>
      <c r="U3144" s="209" t="s">
        <v>941</v>
      </c>
    </row>
    <row r="3145" spans="1:21" x14ac:dyDescent="0.35">
      <c r="A3145" t="s">
        <v>20</v>
      </c>
      <c r="B3145" t="s">
        <v>25</v>
      </c>
      <c r="C3145" s="1">
        <v>45721</v>
      </c>
      <c r="D3145">
        <f t="shared" si="224"/>
        <v>5</v>
      </c>
      <c r="E3145">
        <f t="shared" si="225"/>
        <v>3</v>
      </c>
      <c r="F3145">
        <f t="shared" si="226"/>
        <v>2025</v>
      </c>
      <c r="G3145" t="s">
        <v>50</v>
      </c>
      <c r="H3145" s="98">
        <v>11952</v>
      </c>
      <c r="I3145" s="29">
        <v>7400.25</v>
      </c>
      <c r="J3145" s="12" t="s">
        <v>31</v>
      </c>
      <c r="K3145" s="76">
        <f t="shared" si="223"/>
        <v>7400.25</v>
      </c>
      <c r="L3145">
        <v>1</v>
      </c>
      <c r="M3145" s="29">
        <v>0</v>
      </c>
      <c r="N3145" t="s">
        <v>42</v>
      </c>
      <c r="O3145" t="s">
        <v>33</v>
      </c>
      <c r="P3145" t="s">
        <v>34</v>
      </c>
      <c r="Q3145" t="s">
        <v>34</v>
      </c>
      <c r="R3145" t="s">
        <v>34</v>
      </c>
      <c r="S3145" t="s">
        <v>34</v>
      </c>
      <c r="T3145" s="117">
        <v>0</v>
      </c>
      <c r="U3145" s="209" t="s">
        <v>920</v>
      </c>
    </row>
    <row r="3146" spans="1:21" x14ac:dyDescent="0.35">
      <c r="A3146" t="s">
        <v>20</v>
      </c>
      <c r="B3146" t="s">
        <v>23</v>
      </c>
      <c r="C3146" s="1">
        <v>45721</v>
      </c>
      <c r="D3146">
        <f t="shared" si="224"/>
        <v>5</v>
      </c>
      <c r="E3146">
        <f t="shared" si="225"/>
        <v>3</v>
      </c>
      <c r="F3146">
        <f t="shared" si="226"/>
        <v>2025</v>
      </c>
      <c r="G3146" t="s">
        <v>595</v>
      </c>
      <c r="H3146" s="139">
        <v>11880</v>
      </c>
      <c r="I3146" s="29">
        <v>26.5</v>
      </c>
      <c r="J3146" s="12" t="s">
        <v>31</v>
      </c>
      <c r="K3146" s="76">
        <f t="shared" si="223"/>
        <v>26.5</v>
      </c>
      <c r="L3146">
        <v>1</v>
      </c>
      <c r="M3146" s="29">
        <v>0</v>
      </c>
      <c r="N3146" t="s">
        <v>42</v>
      </c>
      <c r="O3146" t="s">
        <v>33</v>
      </c>
      <c r="P3146" t="s">
        <v>34</v>
      </c>
      <c r="Q3146" t="s">
        <v>34</v>
      </c>
      <c r="R3146" t="s">
        <v>34</v>
      </c>
      <c r="S3146" t="s">
        <v>34</v>
      </c>
      <c r="T3146" s="117">
        <v>0</v>
      </c>
    </row>
    <row r="3147" spans="1:21" x14ac:dyDescent="0.35">
      <c r="A3147" t="s">
        <v>20</v>
      </c>
      <c r="B3147" t="s">
        <v>23</v>
      </c>
      <c r="C3147" s="1">
        <v>45721</v>
      </c>
      <c r="D3147">
        <f t="shared" si="224"/>
        <v>5</v>
      </c>
      <c r="E3147">
        <f t="shared" si="225"/>
        <v>3</v>
      </c>
      <c r="F3147">
        <f t="shared" si="226"/>
        <v>2025</v>
      </c>
      <c r="G3147" t="s">
        <v>595</v>
      </c>
      <c r="H3147" s="139">
        <v>11880</v>
      </c>
      <c r="I3147" s="29">
        <v>1987.5</v>
      </c>
      <c r="J3147" s="12" t="s">
        <v>31</v>
      </c>
      <c r="K3147" s="76">
        <f t="shared" si="223"/>
        <v>1987.5</v>
      </c>
      <c r="L3147">
        <v>1</v>
      </c>
      <c r="M3147" s="29">
        <v>0</v>
      </c>
      <c r="N3147" t="s">
        <v>42</v>
      </c>
      <c r="O3147" t="s">
        <v>33</v>
      </c>
      <c r="P3147" t="s">
        <v>34</v>
      </c>
      <c r="Q3147" t="s">
        <v>34</v>
      </c>
      <c r="R3147" t="s">
        <v>34</v>
      </c>
      <c r="S3147" t="s">
        <v>34</v>
      </c>
      <c r="T3147" s="117">
        <v>0</v>
      </c>
      <c r="U3147" s="209" t="s">
        <v>1007</v>
      </c>
    </row>
    <row r="3148" spans="1:21" x14ac:dyDescent="0.35">
      <c r="A3148" t="s">
        <v>20</v>
      </c>
      <c r="B3148" t="s">
        <v>21</v>
      </c>
      <c r="C3148" s="1">
        <v>45721</v>
      </c>
      <c r="D3148">
        <f t="shared" si="224"/>
        <v>5</v>
      </c>
      <c r="E3148">
        <f t="shared" si="225"/>
        <v>3</v>
      </c>
      <c r="F3148">
        <f t="shared" si="226"/>
        <v>2025</v>
      </c>
      <c r="G3148" t="s">
        <v>299</v>
      </c>
      <c r="H3148" s="139">
        <v>11452</v>
      </c>
      <c r="I3148" s="29">
        <v>37552.870000000003</v>
      </c>
      <c r="J3148" s="12" t="s">
        <v>31</v>
      </c>
      <c r="K3148" s="76">
        <f t="shared" si="223"/>
        <v>37552.870000000003</v>
      </c>
      <c r="L3148">
        <v>1</v>
      </c>
      <c r="M3148" s="29">
        <v>0</v>
      </c>
      <c r="N3148" t="s">
        <v>32</v>
      </c>
      <c r="O3148" t="s">
        <v>33</v>
      </c>
      <c r="P3148" t="s">
        <v>34</v>
      </c>
      <c r="Q3148" t="s">
        <v>34</v>
      </c>
      <c r="R3148" t="s">
        <v>34</v>
      </c>
      <c r="S3148" t="s">
        <v>34</v>
      </c>
      <c r="T3148" s="117">
        <v>0</v>
      </c>
    </row>
    <row r="3149" spans="1:21" x14ac:dyDescent="0.35">
      <c r="A3149" t="s">
        <v>20</v>
      </c>
      <c r="B3149" t="s">
        <v>21</v>
      </c>
      <c r="C3149" s="1">
        <v>45721</v>
      </c>
      <c r="D3149">
        <f t="shared" si="224"/>
        <v>5</v>
      </c>
      <c r="E3149">
        <f t="shared" si="225"/>
        <v>3</v>
      </c>
      <c r="F3149">
        <f t="shared" si="226"/>
        <v>2025</v>
      </c>
      <c r="G3149" t="s">
        <v>88</v>
      </c>
      <c r="H3149" s="139">
        <v>11436</v>
      </c>
      <c r="I3149" s="29">
        <v>15731.76</v>
      </c>
      <c r="J3149" s="12" t="s">
        <v>31</v>
      </c>
      <c r="K3149" s="76">
        <f t="shared" si="223"/>
        <v>15731.76</v>
      </c>
      <c r="L3149">
        <v>1</v>
      </c>
      <c r="M3149" s="29">
        <v>0</v>
      </c>
      <c r="N3149" t="s">
        <v>32</v>
      </c>
      <c r="O3149" t="s">
        <v>33</v>
      </c>
      <c r="P3149" t="s">
        <v>34</v>
      </c>
      <c r="Q3149" t="s">
        <v>34</v>
      </c>
      <c r="R3149" t="s">
        <v>34</v>
      </c>
      <c r="S3149" t="s">
        <v>34</v>
      </c>
      <c r="T3149" s="117">
        <v>0</v>
      </c>
    </row>
    <row r="3150" spans="1:21" x14ac:dyDescent="0.35">
      <c r="A3150" t="s">
        <v>20</v>
      </c>
      <c r="B3150" t="s">
        <v>21</v>
      </c>
      <c r="C3150" s="1">
        <v>45721</v>
      </c>
      <c r="D3150">
        <f t="shared" si="224"/>
        <v>5</v>
      </c>
      <c r="E3150">
        <f t="shared" si="225"/>
        <v>3</v>
      </c>
      <c r="F3150">
        <f t="shared" si="226"/>
        <v>2025</v>
      </c>
      <c r="G3150" t="s">
        <v>88</v>
      </c>
      <c r="H3150" s="139">
        <v>11437</v>
      </c>
      <c r="I3150" s="29">
        <v>161.6</v>
      </c>
      <c r="J3150" s="12" t="s">
        <v>31</v>
      </c>
      <c r="K3150" s="76">
        <f t="shared" si="223"/>
        <v>161.6</v>
      </c>
      <c r="L3150">
        <v>1</v>
      </c>
      <c r="M3150" s="29">
        <v>0</v>
      </c>
      <c r="N3150" t="s">
        <v>32</v>
      </c>
      <c r="O3150" t="s">
        <v>33</v>
      </c>
      <c r="P3150" t="s">
        <v>34</v>
      </c>
      <c r="Q3150" t="s">
        <v>34</v>
      </c>
      <c r="R3150" t="s">
        <v>34</v>
      </c>
      <c r="S3150" t="s">
        <v>34</v>
      </c>
      <c r="T3150" s="117">
        <v>0</v>
      </c>
    </row>
    <row r="3151" spans="1:21" x14ac:dyDescent="0.35">
      <c r="A3151" t="s">
        <v>20</v>
      </c>
      <c r="B3151" t="s">
        <v>21</v>
      </c>
      <c r="C3151" s="1">
        <v>45721</v>
      </c>
      <c r="D3151">
        <f t="shared" si="224"/>
        <v>5</v>
      </c>
      <c r="E3151">
        <f t="shared" si="225"/>
        <v>3</v>
      </c>
      <c r="F3151">
        <f t="shared" si="226"/>
        <v>2025</v>
      </c>
      <c r="G3151" t="s">
        <v>88</v>
      </c>
      <c r="H3151" s="139">
        <v>11628</v>
      </c>
      <c r="I3151" s="29">
        <v>9254.6</v>
      </c>
      <c r="J3151" s="12" t="s">
        <v>31</v>
      </c>
      <c r="K3151" s="76">
        <f t="shared" si="223"/>
        <v>9254.6</v>
      </c>
      <c r="L3151">
        <v>1</v>
      </c>
      <c r="M3151" s="29">
        <v>0</v>
      </c>
      <c r="N3151" t="s">
        <v>32</v>
      </c>
      <c r="O3151" t="s">
        <v>33</v>
      </c>
      <c r="P3151" t="s">
        <v>34</v>
      </c>
      <c r="Q3151" t="s">
        <v>34</v>
      </c>
      <c r="R3151" t="s">
        <v>34</v>
      </c>
      <c r="S3151" t="s">
        <v>34</v>
      </c>
      <c r="T3151" s="117">
        <v>0</v>
      </c>
    </row>
    <row r="3152" spans="1:21" x14ac:dyDescent="0.35">
      <c r="A3152" t="s">
        <v>20</v>
      </c>
      <c r="B3152" t="s">
        <v>21</v>
      </c>
      <c r="C3152" s="1">
        <v>45721</v>
      </c>
      <c r="D3152">
        <f t="shared" si="224"/>
        <v>5</v>
      </c>
      <c r="E3152">
        <f t="shared" si="225"/>
        <v>3</v>
      </c>
      <c r="F3152">
        <f t="shared" si="226"/>
        <v>2025</v>
      </c>
      <c r="G3152" t="s">
        <v>88</v>
      </c>
      <c r="H3152" s="139">
        <v>11629</v>
      </c>
      <c r="I3152" s="29">
        <v>75.400000000000006</v>
      </c>
      <c r="J3152" s="12" t="s">
        <v>31</v>
      </c>
      <c r="K3152" s="76">
        <f t="shared" si="223"/>
        <v>75.400000000000006</v>
      </c>
      <c r="L3152">
        <v>1</v>
      </c>
      <c r="M3152" s="29">
        <v>0</v>
      </c>
      <c r="N3152" t="s">
        <v>32</v>
      </c>
      <c r="O3152" t="s">
        <v>33</v>
      </c>
      <c r="P3152" t="s">
        <v>34</v>
      </c>
      <c r="Q3152" t="s">
        <v>34</v>
      </c>
      <c r="R3152" t="s">
        <v>34</v>
      </c>
      <c r="S3152" t="s">
        <v>34</v>
      </c>
      <c r="T3152" s="117">
        <v>0</v>
      </c>
    </row>
    <row r="3153" spans="1:20" x14ac:dyDescent="0.35">
      <c r="A3153" t="s">
        <v>20</v>
      </c>
      <c r="B3153" t="s">
        <v>25</v>
      </c>
      <c r="C3153" s="1">
        <v>45721</v>
      </c>
      <c r="D3153">
        <f t="shared" si="224"/>
        <v>5</v>
      </c>
      <c r="E3153">
        <f t="shared" si="225"/>
        <v>3</v>
      </c>
      <c r="F3153">
        <f t="shared" si="226"/>
        <v>2025</v>
      </c>
      <c r="G3153" t="s">
        <v>174</v>
      </c>
      <c r="H3153" s="139">
        <v>11869</v>
      </c>
      <c r="I3153" s="29">
        <v>12218.47</v>
      </c>
      <c r="J3153" s="12" t="s">
        <v>31</v>
      </c>
      <c r="K3153" s="76">
        <f t="shared" si="223"/>
        <v>12218.47</v>
      </c>
      <c r="L3153">
        <v>1</v>
      </c>
      <c r="M3153" s="29">
        <v>0</v>
      </c>
      <c r="N3153" t="s">
        <v>32</v>
      </c>
      <c r="O3153" t="s">
        <v>33</v>
      </c>
      <c r="P3153" t="s">
        <v>34</v>
      </c>
      <c r="Q3153" t="s">
        <v>34</v>
      </c>
      <c r="R3153" t="s">
        <v>34</v>
      </c>
      <c r="S3153" t="s">
        <v>34</v>
      </c>
      <c r="T3153" s="117">
        <v>0</v>
      </c>
    </row>
    <row r="3154" spans="1:20" x14ac:dyDescent="0.35">
      <c r="A3154" t="s">
        <v>20</v>
      </c>
      <c r="B3154" t="s">
        <v>25</v>
      </c>
      <c r="C3154" s="1">
        <v>45721</v>
      </c>
      <c r="D3154">
        <f t="shared" si="224"/>
        <v>5</v>
      </c>
      <c r="E3154">
        <f t="shared" si="225"/>
        <v>3</v>
      </c>
      <c r="F3154">
        <f t="shared" si="226"/>
        <v>2025</v>
      </c>
      <c r="G3154" t="s">
        <v>84</v>
      </c>
      <c r="H3154" s="139">
        <v>11742</v>
      </c>
      <c r="I3154" s="29">
        <v>9949.5</v>
      </c>
      <c r="J3154" s="12" t="s">
        <v>31</v>
      </c>
      <c r="K3154" s="76">
        <f t="shared" si="223"/>
        <v>9949.5</v>
      </c>
      <c r="L3154">
        <v>1</v>
      </c>
      <c r="M3154" s="29">
        <v>0</v>
      </c>
      <c r="N3154" t="s">
        <v>42</v>
      </c>
      <c r="O3154" t="s">
        <v>33</v>
      </c>
      <c r="P3154" t="s">
        <v>34</v>
      </c>
      <c r="Q3154" t="s">
        <v>34</v>
      </c>
      <c r="R3154" t="s">
        <v>34</v>
      </c>
      <c r="S3154" t="s">
        <v>34</v>
      </c>
      <c r="T3154" s="117">
        <v>0</v>
      </c>
    </row>
    <row r="3155" spans="1:20" x14ac:dyDescent="0.35">
      <c r="A3155" t="s">
        <v>20</v>
      </c>
      <c r="B3155" t="s">
        <v>25</v>
      </c>
      <c r="C3155" s="1">
        <v>45721</v>
      </c>
      <c r="D3155">
        <f t="shared" si="224"/>
        <v>5</v>
      </c>
      <c r="E3155">
        <f t="shared" si="225"/>
        <v>3</v>
      </c>
      <c r="F3155">
        <f t="shared" si="226"/>
        <v>2025</v>
      </c>
      <c r="G3155" t="s">
        <v>81</v>
      </c>
      <c r="H3155" s="139">
        <v>11884</v>
      </c>
      <c r="I3155" s="29">
        <v>118357.27</v>
      </c>
      <c r="J3155" s="12" t="s">
        <v>31</v>
      </c>
      <c r="K3155" s="76">
        <f t="shared" si="223"/>
        <v>118357.27</v>
      </c>
      <c r="L3155">
        <v>1</v>
      </c>
      <c r="M3155" s="29">
        <v>0</v>
      </c>
      <c r="N3155" t="s">
        <v>32</v>
      </c>
      <c r="O3155" t="s">
        <v>33</v>
      </c>
      <c r="P3155" t="s">
        <v>34</v>
      </c>
      <c r="Q3155" t="s">
        <v>34</v>
      </c>
      <c r="R3155" t="s">
        <v>34</v>
      </c>
      <c r="S3155" t="s">
        <v>34</v>
      </c>
      <c r="T3155" s="117">
        <v>0</v>
      </c>
    </row>
    <row r="3156" spans="1:20" x14ac:dyDescent="0.35">
      <c r="A3156" t="s">
        <v>20</v>
      </c>
      <c r="B3156" t="s">
        <v>25</v>
      </c>
      <c r="C3156" s="1">
        <v>45721</v>
      </c>
      <c r="D3156">
        <f t="shared" si="224"/>
        <v>5</v>
      </c>
      <c r="E3156">
        <f t="shared" si="225"/>
        <v>3</v>
      </c>
      <c r="F3156">
        <f t="shared" si="226"/>
        <v>2025</v>
      </c>
      <c r="G3156" t="s">
        <v>99</v>
      </c>
      <c r="H3156" s="98">
        <v>11922</v>
      </c>
      <c r="I3156" s="29">
        <v>10492.36</v>
      </c>
      <c r="J3156" s="12" t="s">
        <v>31</v>
      </c>
      <c r="K3156" s="76">
        <f t="shared" si="223"/>
        <v>10492.36</v>
      </c>
      <c r="L3156">
        <v>1</v>
      </c>
      <c r="M3156" s="29">
        <v>0</v>
      </c>
      <c r="N3156" t="s">
        <v>32</v>
      </c>
      <c r="O3156" t="s">
        <v>33</v>
      </c>
      <c r="P3156" t="s">
        <v>34</v>
      </c>
      <c r="Q3156" t="s">
        <v>34</v>
      </c>
      <c r="R3156" t="s">
        <v>34</v>
      </c>
      <c r="S3156" t="s">
        <v>34</v>
      </c>
      <c r="T3156" s="117">
        <v>0</v>
      </c>
    </row>
    <row r="3157" spans="1:20" x14ac:dyDescent="0.35">
      <c r="A3157" t="s">
        <v>20</v>
      </c>
      <c r="B3157" t="s">
        <v>25</v>
      </c>
      <c r="C3157" s="1">
        <v>45721</v>
      </c>
      <c r="D3157">
        <f t="shared" si="224"/>
        <v>5</v>
      </c>
      <c r="E3157">
        <f t="shared" si="225"/>
        <v>3</v>
      </c>
      <c r="F3157">
        <f t="shared" si="226"/>
        <v>2025</v>
      </c>
      <c r="G3157" t="s">
        <v>97</v>
      </c>
      <c r="H3157" s="98">
        <v>12112</v>
      </c>
      <c r="I3157" s="29">
        <v>290</v>
      </c>
      <c r="J3157" s="12" t="s">
        <v>31</v>
      </c>
      <c r="K3157" s="76">
        <f t="shared" si="223"/>
        <v>290</v>
      </c>
      <c r="L3157">
        <v>1</v>
      </c>
      <c r="M3157" s="29">
        <v>0</v>
      </c>
      <c r="N3157" t="s">
        <v>32</v>
      </c>
      <c r="O3157" t="s">
        <v>33</v>
      </c>
      <c r="P3157" t="s">
        <v>34</v>
      </c>
      <c r="Q3157" t="s">
        <v>34</v>
      </c>
      <c r="R3157" t="s">
        <v>34</v>
      </c>
      <c r="S3157" t="s">
        <v>34</v>
      </c>
      <c r="T3157" s="117">
        <v>0</v>
      </c>
    </row>
    <row r="3158" spans="1:20" x14ac:dyDescent="0.35">
      <c r="A3158" t="s">
        <v>20</v>
      </c>
      <c r="B3158" t="s">
        <v>23</v>
      </c>
      <c r="C3158" s="1">
        <v>45721</v>
      </c>
      <c r="D3158">
        <f t="shared" si="224"/>
        <v>5</v>
      </c>
      <c r="E3158">
        <f t="shared" si="225"/>
        <v>3</v>
      </c>
      <c r="F3158">
        <f t="shared" si="226"/>
        <v>2025</v>
      </c>
      <c r="G3158" t="s">
        <v>97</v>
      </c>
      <c r="H3158" s="98">
        <v>12179</v>
      </c>
      <c r="I3158" s="29">
        <v>51149.933299999997</v>
      </c>
      <c r="J3158" s="12" t="s">
        <v>31</v>
      </c>
      <c r="K3158" s="76">
        <f t="shared" si="223"/>
        <v>51149.933299999997</v>
      </c>
      <c r="L3158">
        <v>1</v>
      </c>
      <c r="M3158" s="29">
        <v>1581.6088500000001</v>
      </c>
      <c r="N3158" t="s">
        <v>32</v>
      </c>
      <c r="O3158" t="s">
        <v>33</v>
      </c>
      <c r="P3158" t="s">
        <v>34</v>
      </c>
      <c r="Q3158" t="s">
        <v>34</v>
      </c>
      <c r="R3158" t="s">
        <v>34</v>
      </c>
      <c r="S3158" t="s">
        <v>34</v>
      </c>
      <c r="T3158" s="117">
        <v>0</v>
      </c>
    </row>
    <row r="3159" spans="1:20" x14ac:dyDescent="0.35">
      <c r="A3159" t="s">
        <v>20</v>
      </c>
      <c r="B3159" t="s">
        <v>24</v>
      </c>
      <c r="C3159" s="1">
        <v>45721</v>
      </c>
      <c r="D3159">
        <f t="shared" si="224"/>
        <v>5</v>
      </c>
      <c r="E3159">
        <f t="shared" si="225"/>
        <v>3</v>
      </c>
      <c r="F3159">
        <f t="shared" si="226"/>
        <v>2025</v>
      </c>
      <c r="G3159" t="s">
        <v>97</v>
      </c>
      <c r="H3159" s="98">
        <v>12179</v>
      </c>
      <c r="I3159" s="29">
        <v>81467.089300000007</v>
      </c>
      <c r="J3159" s="12" t="s">
        <v>31</v>
      </c>
      <c r="K3159" s="76">
        <f t="shared" si="223"/>
        <v>81467.089300000007</v>
      </c>
      <c r="L3159">
        <v>1</v>
      </c>
      <c r="M3159" s="29">
        <v>2519.4666780000002</v>
      </c>
      <c r="N3159" t="s">
        <v>32</v>
      </c>
      <c r="O3159" t="s">
        <v>33</v>
      </c>
      <c r="P3159" t="s">
        <v>34</v>
      </c>
      <c r="Q3159" t="s">
        <v>34</v>
      </c>
      <c r="R3159" t="s">
        <v>34</v>
      </c>
      <c r="S3159" t="s">
        <v>34</v>
      </c>
      <c r="T3159" s="117">
        <v>0</v>
      </c>
    </row>
    <row r="3160" spans="1:20" x14ac:dyDescent="0.35">
      <c r="A3160" t="s">
        <v>20</v>
      </c>
      <c r="B3160" t="s">
        <v>25</v>
      </c>
      <c r="C3160" s="1">
        <v>45721</v>
      </c>
      <c r="D3160">
        <f t="shared" si="224"/>
        <v>5</v>
      </c>
      <c r="E3160">
        <f t="shared" si="225"/>
        <v>3</v>
      </c>
      <c r="F3160">
        <f t="shared" si="226"/>
        <v>2025</v>
      </c>
      <c r="G3160" t="s">
        <v>97</v>
      </c>
      <c r="H3160" s="98">
        <v>12179</v>
      </c>
      <c r="I3160" s="29">
        <v>11452.081899999999</v>
      </c>
      <c r="J3160" s="12" t="s">
        <v>31</v>
      </c>
      <c r="K3160" s="76">
        <f t="shared" si="223"/>
        <v>11452.081899999999</v>
      </c>
      <c r="L3160">
        <v>1</v>
      </c>
      <c r="M3160" s="29">
        <v>353.99062200000003</v>
      </c>
      <c r="N3160" t="s">
        <v>32</v>
      </c>
      <c r="O3160" t="s">
        <v>33</v>
      </c>
      <c r="P3160" t="s">
        <v>34</v>
      </c>
      <c r="Q3160" t="s">
        <v>34</v>
      </c>
      <c r="R3160" t="s">
        <v>34</v>
      </c>
      <c r="S3160" t="s">
        <v>34</v>
      </c>
      <c r="T3160" s="117">
        <v>0</v>
      </c>
    </row>
    <row r="3161" spans="1:20" x14ac:dyDescent="0.35">
      <c r="A3161" t="s">
        <v>20</v>
      </c>
      <c r="B3161" t="s">
        <v>21</v>
      </c>
      <c r="C3161" s="1">
        <v>45721</v>
      </c>
      <c r="D3161">
        <f t="shared" si="224"/>
        <v>5</v>
      </c>
      <c r="E3161">
        <f t="shared" si="225"/>
        <v>3</v>
      </c>
      <c r="F3161">
        <f t="shared" si="226"/>
        <v>2025</v>
      </c>
      <c r="G3161" t="s">
        <v>97</v>
      </c>
      <c r="H3161" s="98">
        <v>12179</v>
      </c>
      <c r="I3161" s="29">
        <v>11944.75</v>
      </c>
      <c r="J3161" s="12" t="s">
        <v>31</v>
      </c>
      <c r="K3161" s="76">
        <f t="shared" si="223"/>
        <v>11944.75</v>
      </c>
      <c r="L3161">
        <v>1</v>
      </c>
      <c r="M3161" s="29">
        <v>368.96157599999998</v>
      </c>
      <c r="N3161" t="s">
        <v>32</v>
      </c>
      <c r="O3161" t="s">
        <v>33</v>
      </c>
      <c r="P3161" t="s">
        <v>34</v>
      </c>
      <c r="Q3161" t="s">
        <v>34</v>
      </c>
      <c r="R3161" t="s">
        <v>34</v>
      </c>
      <c r="S3161" t="s">
        <v>34</v>
      </c>
      <c r="T3161" s="117">
        <v>134.66</v>
      </c>
    </row>
    <row r="3162" spans="1:20" x14ac:dyDescent="0.35">
      <c r="A3162" t="s">
        <v>20</v>
      </c>
      <c r="B3162" t="s">
        <v>23</v>
      </c>
      <c r="C3162" s="1">
        <v>45721</v>
      </c>
      <c r="D3162">
        <f t="shared" si="224"/>
        <v>5</v>
      </c>
      <c r="E3162">
        <f t="shared" si="225"/>
        <v>3</v>
      </c>
      <c r="F3162">
        <f t="shared" si="226"/>
        <v>2025</v>
      </c>
      <c r="G3162" t="s">
        <v>97</v>
      </c>
      <c r="H3162" s="98">
        <v>12111</v>
      </c>
      <c r="I3162" s="29">
        <v>227</v>
      </c>
      <c r="J3162" s="12" t="s">
        <v>31</v>
      </c>
      <c r="K3162" s="76">
        <f t="shared" si="223"/>
        <v>227</v>
      </c>
      <c r="L3162">
        <v>1</v>
      </c>
      <c r="M3162" s="29">
        <v>0</v>
      </c>
      <c r="N3162" t="s">
        <v>32</v>
      </c>
      <c r="O3162" t="s">
        <v>33</v>
      </c>
      <c r="P3162" t="s">
        <v>34</v>
      </c>
      <c r="Q3162" t="s">
        <v>34</v>
      </c>
      <c r="R3162" t="s">
        <v>34</v>
      </c>
      <c r="S3162" t="s">
        <v>34</v>
      </c>
      <c r="T3162" s="117">
        <v>0</v>
      </c>
    </row>
    <row r="3163" spans="1:20" x14ac:dyDescent="0.35">
      <c r="A3163" t="s">
        <v>19</v>
      </c>
      <c r="B3163" t="s">
        <v>19</v>
      </c>
      <c r="C3163" s="1">
        <v>45721</v>
      </c>
      <c r="D3163">
        <f t="shared" si="224"/>
        <v>5</v>
      </c>
      <c r="E3163">
        <f t="shared" si="225"/>
        <v>3</v>
      </c>
      <c r="F3163">
        <f t="shared" si="226"/>
        <v>2025</v>
      </c>
      <c r="G3163" t="s">
        <v>120</v>
      </c>
      <c r="H3163" s="98" t="s">
        <v>896</v>
      </c>
      <c r="I3163" s="29">
        <v>150905.10999999999</v>
      </c>
      <c r="J3163" s="12" t="s">
        <v>31</v>
      </c>
      <c r="K3163" s="76">
        <f t="shared" si="223"/>
        <v>150905.10999999999</v>
      </c>
      <c r="L3163">
        <v>1</v>
      </c>
      <c r="M3163" s="29">
        <v>0</v>
      </c>
      <c r="N3163" t="s">
        <v>32</v>
      </c>
      <c r="O3163" t="s">
        <v>33</v>
      </c>
      <c r="P3163" t="s">
        <v>34</v>
      </c>
      <c r="Q3163" t="s">
        <v>34</v>
      </c>
      <c r="R3163" t="s">
        <v>34</v>
      </c>
      <c r="S3163" t="s">
        <v>34</v>
      </c>
      <c r="T3163" s="117">
        <v>0</v>
      </c>
    </row>
    <row r="3164" spans="1:20" x14ac:dyDescent="0.35">
      <c r="A3164" t="s">
        <v>19</v>
      </c>
      <c r="B3164" t="s">
        <v>19</v>
      </c>
      <c r="C3164" s="1">
        <v>45721</v>
      </c>
      <c r="D3164">
        <f t="shared" si="224"/>
        <v>5</v>
      </c>
      <c r="E3164">
        <f t="shared" si="225"/>
        <v>3</v>
      </c>
      <c r="F3164">
        <f t="shared" si="226"/>
        <v>2025</v>
      </c>
      <c r="G3164" t="s">
        <v>56</v>
      </c>
      <c r="H3164" s="98" t="s">
        <v>897</v>
      </c>
      <c r="I3164" s="29">
        <v>193931.51</v>
      </c>
      <c r="J3164" s="12" t="s">
        <v>31</v>
      </c>
      <c r="K3164" s="76">
        <f t="shared" si="223"/>
        <v>193931.51</v>
      </c>
      <c r="L3164">
        <v>1</v>
      </c>
      <c r="M3164" s="29">
        <v>0</v>
      </c>
      <c r="N3164" t="s">
        <v>32</v>
      </c>
      <c r="O3164" t="s">
        <v>33</v>
      </c>
      <c r="P3164" t="s">
        <v>34</v>
      </c>
      <c r="Q3164" t="s">
        <v>34</v>
      </c>
      <c r="R3164" t="s">
        <v>34</v>
      </c>
      <c r="S3164" t="s">
        <v>34</v>
      </c>
      <c r="T3164" s="117">
        <v>0</v>
      </c>
    </row>
    <row r="3165" spans="1:20" x14ac:dyDescent="0.35">
      <c r="A3165" t="s">
        <v>19</v>
      </c>
      <c r="B3165" t="s">
        <v>19</v>
      </c>
      <c r="C3165" s="1">
        <v>45721</v>
      </c>
      <c r="D3165">
        <f t="shared" si="224"/>
        <v>5</v>
      </c>
      <c r="E3165">
        <f t="shared" si="225"/>
        <v>3</v>
      </c>
      <c r="F3165">
        <f t="shared" si="226"/>
        <v>2025</v>
      </c>
      <c r="G3165" t="s">
        <v>56</v>
      </c>
      <c r="H3165" s="98" t="s">
        <v>898</v>
      </c>
      <c r="I3165" s="29">
        <v>165650.31</v>
      </c>
      <c r="J3165" s="12" t="s">
        <v>31</v>
      </c>
      <c r="K3165" s="76">
        <f t="shared" si="223"/>
        <v>165650.31</v>
      </c>
      <c r="L3165">
        <v>1</v>
      </c>
      <c r="M3165" s="29">
        <v>0</v>
      </c>
      <c r="N3165" t="s">
        <v>32</v>
      </c>
      <c r="O3165" t="s">
        <v>33</v>
      </c>
      <c r="P3165" t="s">
        <v>34</v>
      </c>
      <c r="Q3165" t="s">
        <v>34</v>
      </c>
      <c r="R3165" t="s">
        <v>34</v>
      </c>
      <c r="S3165" t="s">
        <v>34</v>
      </c>
      <c r="T3165" s="117">
        <v>0</v>
      </c>
    </row>
    <row r="3166" spans="1:20" x14ac:dyDescent="0.35">
      <c r="A3166" t="s">
        <v>19</v>
      </c>
      <c r="B3166" t="s">
        <v>19</v>
      </c>
      <c r="C3166" s="1">
        <v>45721</v>
      </c>
      <c r="D3166">
        <f t="shared" si="224"/>
        <v>5</v>
      </c>
      <c r="E3166">
        <f t="shared" si="225"/>
        <v>3</v>
      </c>
      <c r="F3166">
        <f t="shared" si="226"/>
        <v>2025</v>
      </c>
      <c r="G3166" t="s">
        <v>56</v>
      </c>
      <c r="H3166" s="98" t="s">
        <v>899</v>
      </c>
      <c r="I3166" s="29">
        <v>174580.58</v>
      </c>
      <c r="J3166" s="12" t="s">
        <v>31</v>
      </c>
      <c r="K3166" s="76">
        <f t="shared" si="223"/>
        <v>174580.58</v>
      </c>
      <c r="L3166">
        <v>1</v>
      </c>
      <c r="M3166" s="29">
        <v>0</v>
      </c>
      <c r="N3166" t="s">
        <v>32</v>
      </c>
      <c r="O3166" t="s">
        <v>33</v>
      </c>
      <c r="P3166" t="s">
        <v>34</v>
      </c>
      <c r="Q3166" t="s">
        <v>34</v>
      </c>
      <c r="R3166" t="s">
        <v>34</v>
      </c>
      <c r="S3166" t="s">
        <v>34</v>
      </c>
      <c r="T3166" s="117">
        <v>0</v>
      </c>
    </row>
    <row r="3167" spans="1:20" x14ac:dyDescent="0.35">
      <c r="A3167" t="s">
        <v>19</v>
      </c>
      <c r="B3167" t="s">
        <v>19</v>
      </c>
      <c r="C3167" s="1">
        <v>45721</v>
      </c>
      <c r="D3167">
        <f t="shared" si="224"/>
        <v>5</v>
      </c>
      <c r="E3167">
        <f t="shared" si="225"/>
        <v>3</v>
      </c>
      <c r="F3167">
        <f t="shared" si="226"/>
        <v>2025</v>
      </c>
      <c r="G3167" t="s">
        <v>56</v>
      </c>
      <c r="H3167" s="98" t="s">
        <v>900</v>
      </c>
      <c r="I3167" s="29">
        <v>174580.68</v>
      </c>
      <c r="J3167" s="12" t="s">
        <v>31</v>
      </c>
      <c r="K3167" s="76">
        <f t="shared" si="223"/>
        <v>174580.68</v>
      </c>
      <c r="L3167">
        <v>1</v>
      </c>
      <c r="M3167" s="29">
        <v>0</v>
      </c>
      <c r="N3167" t="s">
        <v>32</v>
      </c>
      <c r="O3167" t="s">
        <v>33</v>
      </c>
      <c r="P3167" t="s">
        <v>34</v>
      </c>
      <c r="Q3167" t="s">
        <v>34</v>
      </c>
      <c r="R3167" t="s">
        <v>34</v>
      </c>
      <c r="S3167" t="s">
        <v>34</v>
      </c>
      <c r="T3167" s="117">
        <v>0</v>
      </c>
    </row>
    <row r="3168" spans="1:20" x14ac:dyDescent="0.35">
      <c r="A3168" t="s">
        <v>19</v>
      </c>
      <c r="B3168" t="s">
        <v>19</v>
      </c>
      <c r="C3168" s="1">
        <v>45721</v>
      </c>
      <c r="D3168">
        <f t="shared" si="224"/>
        <v>5</v>
      </c>
      <c r="E3168">
        <f t="shared" si="225"/>
        <v>3</v>
      </c>
      <c r="F3168">
        <f t="shared" si="226"/>
        <v>2025</v>
      </c>
      <c r="G3168" t="s">
        <v>553</v>
      </c>
      <c r="H3168" s="98" t="s">
        <v>901</v>
      </c>
      <c r="I3168" s="29">
        <v>27440.93</v>
      </c>
      <c r="J3168" s="12" t="s">
        <v>31</v>
      </c>
      <c r="K3168" s="76">
        <f t="shared" si="223"/>
        <v>27440.93</v>
      </c>
      <c r="L3168">
        <v>1</v>
      </c>
      <c r="M3168" s="29">
        <v>0</v>
      </c>
      <c r="N3168" t="s">
        <v>32</v>
      </c>
      <c r="O3168" t="s">
        <v>33</v>
      </c>
      <c r="P3168" t="s">
        <v>34</v>
      </c>
      <c r="Q3168" t="s">
        <v>34</v>
      </c>
      <c r="R3168" t="s">
        <v>34</v>
      </c>
      <c r="S3168" t="s">
        <v>34</v>
      </c>
      <c r="T3168" s="117">
        <v>0</v>
      </c>
    </row>
    <row r="3169" spans="1:21" x14ac:dyDescent="0.35">
      <c r="A3169" t="s">
        <v>19</v>
      </c>
      <c r="B3169" t="s">
        <v>19</v>
      </c>
      <c r="C3169" s="1">
        <v>45721</v>
      </c>
      <c r="D3169">
        <f t="shared" si="224"/>
        <v>5</v>
      </c>
      <c r="E3169">
        <f t="shared" si="225"/>
        <v>3</v>
      </c>
      <c r="F3169">
        <f t="shared" si="226"/>
        <v>2025</v>
      </c>
      <c r="G3169" t="s">
        <v>117</v>
      </c>
      <c r="H3169" s="98" t="s">
        <v>902</v>
      </c>
      <c r="I3169" s="29">
        <v>14800.5</v>
      </c>
      <c r="J3169" s="12" t="s">
        <v>31</v>
      </c>
      <c r="K3169" s="76">
        <f t="shared" si="223"/>
        <v>14800.5</v>
      </c>
      <c r="L3169">
        <v>1</v>
      </c>
      <c r="M3169" s="29">
        <v>0</v>
      </c>
      <c r="N3169" t="s">
        <v>42</v>
      </c>
      <c r="O3169" t="s">
        <v>33</v>
      </c>
      <c r="P3169" t="s">
        <v>34</v>
      </c>
      <c r="Q3169" t="s">
        <v>34</v>
      </c>
      <c r="R3169" t="s">
        <v>34</v>
      </c>
      <c r="S3169" t="s">
        <v>34</v>
      </c>
      <c r="T3169" s="117">
        <v>0</v>
      </c>
    </row>
    <row r="3170" spans="1:21" x14ac:dyDescent="0.35">
      <c r="A3170" t="s">
        <v>19</v>
      </c>
      <c r="B3170" t="s">
        <v>19</v>
      </c>
      <c r="C3170" s="1">
        <v>45721</v>
      </c>
      <c r="D3170">
        <f t="shared" si="224"/>
        <v>5</v>
      </c>
      <c r="E3170">
        <f t="shared" si="225"/>
        <v>3</v>
      </c>
      <c r="F3170">
        <f t="shared" si="226"/>
        <v>2025</v>
      </c>
      <c r="G3170" t="s">
        <v>117</v>
      </c>
      <c r="H3170" s="98" t="s">
        <v>903</v>
      </c>
      <c r="I3170" s="29">
        <v>12825</v>
      </c>
      <c r="J3170" s="12" t="s">
        <v>31</v>
      </c>
      <c r="K3170" s="76">
        <f t="shared" si="223"/>
        <v>12825</v>
      </c>
      <c r="L3170">
        <v>1</v>
      </c>
      <c r="M3170" s="29">
        <v>0</v>
      </c>
      <c r="N3170" t="s">
        <v>42</v>
      </c>
      <c r="O3170" t="s">
        <v>33</v>
      </c>
      <c r="P3170" t="s">
        <v>34</v>
      </c>
      <c r="Q3170" t="s">
        <v>34</v>
      </c>
      <c r="R3170" t="s">
        <v>34</v>
      </c>
      <c r="S3170" t="s">
        <v>34</v>
      </c>
      <c r="T3170" s="117">
        <v>0</v>
      </c>
    </row>
    <row r="3171" spans="1:21" x14ac:dyDescent="0.35">
      <c r="A3171" t="s">
        <v>19</v>
      </c>
      <c r="B3171" t="s">
        <v>26</v>
      </c>
      <c r="C3171" s="1">
        <v>45723</v>
      </c>
      <c r="D3171">
        <f t="shared" si="224"/>
        <v>7</v>
      </c>
      <c r="E3171">
        <f t="shared" si="225"/>
        <v>3</v>
      </c>
      <c r="F3171">
        <f t="shared" si="226"/>
        <v>2025</v>
      </c>
      <c r="G3171" t="s">
        <v>73</v>
      </c>
      <c r="H3171" s="98">
        <v>12298</v>
      </c>
      <c r="I3171" s="29">
        <v>51424.82</v>
      </c>
      <c r="J3171" s="12" t="s">
        <v>51</v>
      </c>
      <c r="K3171" s="76">
        <f t="shared" si="223"/>
        <v>55991.344016000003</v>
      </c>
      <c r="L3171">
        <v>1.0888</v>
      </c>
      <c r="M3171" s="29">
        <v>0</v>
      </c>
      <c r="N3171" t="s">
        <v>32</v>
      </c>
      <c r="O3171" t="s">
        <v>33</v>
      </c>
      <c r="P3171" t="s">
        <v>34</v>
      </c>
      <c r="Q3171" t="s">
        <v>34</v>
      </c>
      <c r="R3171" t="s">
        <v>34</v>
      </c>
      <c r="S3171" t="s">
        <v>34</v>
      </c>
      <c r="T3171" s="117">
        <v>0</v>
      </c>
      <c r="U3171" s="209" t="s">
        <v>94</v>
      </c>
    </row>
    <row r="3172" spans="1:21" x14ac:dyDescent="0.35">
      <c r="A3172" t="s">
        <v>19</v>
      </c>
      <c r="B3172" t="s">
        <v>26</v>
      </c>
      <c r="C3172" s="1">
        <v>45723</v>
      </c>
      <c r="D3172">
        <f t="shared" si="224"/>
        <v>7</v>
      </c>
      <c r="E3172">
        <f t="shared" si="225"/>
        <v>3</v>
      </c>
      <c r="F3172">
        <f t="shared" si="226"/>
        <v>2025</v>
      </c>
      <c r="G3172" t="s">
        <v>73</v>
      </c>
      <c r="H3172" s="98">
        <v>12304</v>
      </c>
      <c r="I3172" s="29">
        <v>91995.199999999997</v>
      </c>
      <c r="J3172" s="12" t="s">
        <v>51</v>
      </c>
      <c r="K3172" s="76">
        <f t="shared" si="223"/>
        <v>100164.37376</v>
      </c>
      <c r="L3172">
        <v>1.0888</v>
      </c>
      <c r="M3172" s="29">
        <v>0</v>
      </c>
      <c r="N3172" t="s">
        <v>32</v>
      </c>
      <c r="O3172" t="s">
        <v>33</v>
      </c>
      <c r="P3172" t="s">
        <v>34</v>
      </c>
      <c r="Q3172" t="s">
        <v>34</v>
      </c>
      <c r="R3172" t="s">
        <v>34</v>
      </c>
      <c r="S3172" t="s">
        <v>34</v>
      </c>
      <c r="T3172" s="117">
        <v>0</v>
      </c>
      <c r="U3172" s="209" t="s">
        <v>94</v>
      </c>
    </row>
    <row r="3173" spans="1:21" x14ac:dyDescent="0.35">
      <c r="A3173" t="s">
        <v>19</v>
      </c>
      <c r="B3173" t="s">
        <v>26</v>
      </c>
      <c r="C3173" s="1">
        <v>45723</v>
      </c>
      <c r="D3173">
        <f t="shared" si="224"/>
        <v>7</v>
      </c>
      <c r="E3173">
        <f t="shared" si="225"/>
        <v>3</v>
      </c>
      <c r="F3173">
        <f t="shared" si="226"/>
        <v>2025</v>
      </c>
      <c r="G3173" t="s">
        <v>73</v>
      </c>
      <c r="H3173" s="98">
        <v>12305</v>
      </c>
      <c r="I3173" s="29">
        <v>15093.26</v>
      </c>
      <c r="J3173" s="12" t="s">
        <v>51</v>
      </c>
      <c r="K3173" s="76">
        <f t="shared" si="223"/>
        <v>16433.541487999999</v>
      </c>
      <c r="L3173">
        <v>1.0888</v>
      </c>
      <c r="M3173" s="29">
        <v>0</v>
      </c>
      <c r="N3173" t="s">
        <v>32</v>
      </c>
      <c r="O3173" t="s">
        <v>33</v>
      </c>
      <c r="P3173" t="s">
        <v>34</v>
      </c>
      <c r="Q3173" t="s">
        <v>34</v>
      </c>
      <c r="R3173" t="s">
        <v>34</v>
      </c>
      <c r="S3173" t="s">
        <v>34</v>
      </c>
      <c r="T3173" s="117">
        <v>0</v>
      </c>
      <c r="U3173" s="209" t="s">
        <v>94</v>
      </c>
    </row>
    <row r="3174" spans="1:21" x14ac:dyDescent="0.35">
      <c r="A3174" t="s">
        <v>19</v>
      </c>
      <c r="B3174" t="s">
        <v>26</v>
      </c>
      <c r="C3174" s="1">
        <v>45723</v>
      </c>
      <c r="D3174">
        <f t="shared" si="224"/>
        <v>7</v>
      </c>
      <c r="E3174">
        <f t="shared" si="225"/>
        <v>3</v>
      </c>
      <c r="F3174">
        <f t="shared" si="226"/>
        <v>2025</v>
      </c>
      <c r="G3174" t="s">
        <v>187</v>
      </c>
      <c r="H3174" s="98">
        <v>0</v>
      </c>
      <c r="I3174" s="29">
        <v>15902.85</v>
      </c>
      <c r="J3174" s="12" t="s">
        <v>51</v>
      </c>
      <c r="K3174" s="76">
        <f t="shared" si="223"/>
        <v>17315.023079999999</v>
      </c>
      <c r="L3174">
        <v>1.0888</v>
      </c>
      <c r="M3174" s="29">
        <v>0</v>
      </c>
      <c r="N3174" t="s">
        <v>32</v>
      </c>
      <c r="O3174" t="s">
        <v>33</v>
      </c>
      <c r="P3174" t="s">
        <v>34</v>
      </c>
      <c r="Q3174" t="s">
        <v>34</v>
      </c>
      <c r="R3174" t="s">
        <v>34</v>
      </c>
      <c r="S3174" t="s">
        <v>34</v>
      </c>
      <c r="T3174" s="117">
        <v>0</v>
      </c>
      <c r="U3174" s="209" t="s">
        <v>94</v>
      </c>
    </row>
    <row r="3175" spans="1:21" x14ac:dyDescent="0.35">
      <c r="A3175" t="s">
        <v>19</v>
      </c>
      <c r="B3175" t="s">
        <v>23</v>
      </c>
      <c r="C3175" s="1">
        <v>45728</v>
      </c>
      <c r="D3175">
        <f t="shared" si="224"/>
        <v>12</v>
      </c>
      <c r="E3175">
        <f t="shared" si="225"/>
        <v>3</v>
      </c>
      <c r="F3175">
        <f t="shared" si="226"/>
        <v>2025</v>
      </c>
      <c r="G3175" s="4" t="s">
        <v>74</v>
      </c>
      <c r="H3175" s="98">
        <v>12044</v>
      </c>
      <c r="I3175" s="29">
        <v>132956.39000000001</v>
      </c>
      <c r="J3175" s="12" t="s">
        <v>31</v>
      </c>
      <c r="K3175" s="76">
        <f t="shared" si="223"/>
        <v>132956.39000000001</v>
      </c>
      <c r="L3175">
        <v>1</v>
      </c>
      <c r="M3175" s="29">
        <v>0</v>
      </c>
      <c r="N3175" t="s">
        <v>32</v>
      </c>
      <c r="O3175" t="s">
        <v>33</v>
      </c>
      <c r="P3175" t="s">
        <v>34</v>
      </c>
      <c r="Q3175" t="s">
        <v>34</v>
      </c>
      <c r="R3175" t="s">
        <v>34</v>
      </c>
      <c r="S3175" t="s">
        <v>34</v>
      </c>
      <c r="T3175" s="117">
        <v>0</v>
      </c>
    </row>
    <row r="3176" spans="1:21" x14ac:dyDescent="0.35">
      <c r="A3176" t="s">
        <v>19</v>
      </c>
      <c r="B3176" t="s">
        <v>21</v>
      </c>
      <c r="C3176" s="1">
        <v>45728</v>
      </c>
      <c r="D3176">
        <f t="shared" si="224"/>
        <v>12</v>
      </c>
      <c r="E3176">
        <f t="shared" si="225"/>
        <v>3</v>
      </c>
      <c r="F3176">
        <f t="shared" si="226"/>
        <v>2025</v>
      </c>
      <c r="G3176" s="4" t="s">
        <v>75</v>
      </c>
      <c r="H3176" s="171">
        <v>12589</v>
      </c>
      <c r="I3176" s="90">
        <v>54.36</v>
      </c>
      <c r="J3176" s="12" t="s">
        <v>31</v>
      </c>
      <c r="K3176" s="76">
        <f t="shared" si="223"/>
        <v>54.36</v>
      </c>
      <c r="L3176">
        <v>1</v>
      </c>
      <c r="M3176" s="29">
        <v>0</v>
      </c>
      <c r="N3176" t="s">
        <v>32</v>
      </c>
      <c r="O3176" t="s">
        <v>33</v>
      </c>
      <c r="P3176" t="s">
        <v>34</v>
      </c>
      <c r="Q3176" t="s">
        <v>34</v>
      </c>
      <c r="R3176" t="s">
        <v>34</v>
      </c>
      <c r="S3176" t="s">
        <v>34</v>
      </c>
      <c r="T3176" s="117">
        <v>0</v>
      </c>
      <c r="U3176" s="209" t="s">
        <v>1398</v>
      </c>
    </row>
    <row r="3177" spans="1:21" x14ac:dyDescent="0.35">
      <c r="A3177" t="s">
        <v>19</v>
      </c>
      <c r="B3177" t="s">
        <v>21</v>
      </c>
      <c r="C3177" s="1">
        <v>45728</v>
      </c>
      <c r="D3177">
        <f t="shared" si="224"/>
        <v>12</v>
      </c>
      <c r="E3177">
        <f t="shared" si="225"/>
        <v>3</v>
      </c>
      <c r="F3177">
        <f t="shared" si="226"/>
        <v>2025</v>
      </c>
      <c r="G3177" s="4" t="s">
        <v>75</v>
      </c>
      <c r="H3177" s="171">
        <v>12590</v>
      </c>
      <c r="I3177" s="90">
        <v>11434.02</v>
      </c>
      <c r="J3177" s="12" t="s">
        <v>31</v>
      </c>
      <c r="K3177" s="76">
        <f t="shared" si="223"/>
        <v>11434.02</v>
      </c>
      <c r="L3177">
        <v>1</v>
      </c>
      <c r="M3177" s="29">
        <v>0</v>
      </c>
      <c r="N3177" t="s">
        <v>32</v>
      </c>
      <c r="O3177" t="s">
        <v>33</v>
      </c>
      <c r="P3177" t="s">
        <v>34</v>
      </c>
      <c r="Q3177" t="s">
        <v>34</v>
      </c>
      <c r="R3177" t="s">
        <v>34</v>
      </c>
      <c r="S3177" t="s">
        <v>34</v>
      </c>
      <c r="T3177" s="117">
        <v>0</v>
      </c>
      <c r="U3177" s="209" t="s">
        <v>1397</v>
      </c>
    </row>
    <row r="3178" spans="1:21" x14ac:dyDescent="0.35">
      <c r="A3178" t="s">
        <v>19</v>
      </c>
      <c r="B3178" t="s">
        <v>22</v>
      </c>
      <c r="C3178" s="1">
        <v>45728</v>
      </c>
      <c r="D3178">
        <f t="shared" si="224"/>
        <v>12</v>
      </c>
      <c r="E3178">
        <f t="shared" si="225"/>
        <v>3</v>
      </c>
      <c r="F3178">
        <f t="shared" si="226"/>
        <v>2025</v>
      </c>
      <c r="G3178" t="s">
        <v>98</v>
      </c>
      <c r="H3178" s="171">
        <v>12291</v>
      </c>
      <c r="I3178" s="90">
        <v>36900</v>
      </c>
      <c r="J3178" s="12" t="s">
        <v>31</v>
      </c>
      <c r="K3178" s="76">
        <f t="shared" si="223"/>
        <v>36900</v>
      </c>
      <c r="L3178">
        <v>1</v>
      </c>
      <c r="M3178" s="29">
        <v>0</v>
      </c>
      <c r="N3178" t="s">
        <v>42</v>
      </c>
      <c r="O3178" t="s">
        <v>33</v>
      </c>
      <c r="P3178" t="s">
        <v>34</v>
      </c>
      <c r="Q3178" t="s">
        <v>34</v>
      </c>
      <c r="R3178" t="s">
        <v>34</v>
      </c>
      <c r="S3178" t="s">
        <v>34</v>
      </c>
      <c r="T3178" s="117">
        <v>0</v>
      </c>
    </row>
    <row r="3179" spans="1:21" x14ac:dyDescent="0.35">
      <c r="A3179" t="s">
        <v>19</v>
      </c>
      <c r="B3179" t="s">
        <v>25</v>
      </c>
      <c r="C3179" s="1">
        <v>45728</v>
      </c>
      <c r="D3179">
        <f t="shared" si="224"/>
        <v>12</v>
      </c>
      <c r="E3179">
        <f t="shared" si="225"/>
        <v>3</v>
      </c>
      <c r="F3179">
        <f t="shared" si="226"/>
        <v>2025</v>
      </c>
      <c r="G3179" t="s">
        <v>36</v>
      </c>
      <c r="H3179" s="98">
        <v>12032</v>
      </c>
      <c r="I3179" s="29">
        <v>23902</v>
      </c>
      <c r="J3179" s="12" t="s">
        <v>31</v>
      </c>
      <c r="K3179" s="76">
        <f t="shared" si="223"/>
        <v>23902</v>
      </c>
      <c r="L3179">
        <v>1</v>
      </c>
      <c r="M3179" s="29">
        <v>0</v>
      </c>
      <c r="N3179" t="s">
        <v>42</v>
      </c>
      <c r="O3179" t="s">
        <v>33</v>
      </c>
      <c r="P3179" t="s">
        <v>34</v>
      </c>
      <c r="Q3179" t="s">
        <v>34</v>
      </c>
      <c r="R3179" t="s">
        <v>34</v>
      </c>
      <c r="S3179" t="s">
        <v>34</v>
      </c>
      <c r="T3179" s="117">
        <v>0</v>
      </c>
    </row>
    <row r="3180" spans="1:21" x14ac:dyDescent="0.35">
      <c r="A3180" t="s">
        <v>19</v>
      </c>
      <c r="B3180" t="s">
        <v>25</v>
      </c>
      <c r="C3180" s="1">
        <v>45728</v>
      </c>
      <c r="D3180">
        <f t="shared" si="224"/>
        <v>12</v>
      </c>
      <c r="E3180">
        <f t="shared" si="225"/>
        <v>3</v>
      </c>
      <c r="F3180">
        <f t="shared" si="226"/>
        <v>2025</v>
      </c>
      <c r="G3180" t="s">
        <v>36</v>
      </c>
      <c r="H3180" s="98">
        <v>11564</v>
      </c>
      <c r="I3180" s="29">
        <v>46306.28</v>
      </c>
      <c r="J3180" s="12" t="s">
        <v>31</v>
      </c>
      <c r="K3180" s="76">
        <f t="shared" si="223"/>
        <v>46306.28</v>
      </c>
      <c r="L3180">
        <v>1</v>
      </c>
      <c r="M3180" s="29">
        <v>0</v>
      </c>
      <c r="N3180" t="s">
        <v>32</v>
      </c>
      <c r="O3180" t="s">
        <v>33</v>
      </c>
      <c r="P3180" t="s">
        <v>34</v>
      </c>
      <c r="Q3180" t="s">
        <v>34</v>
      </c>
      <c r="R3180" t="s">
        <v>34</v>
      </c>
      <c r="S3180" t="s">
        <v>34</v>
      </c>
      <c r="T3180" s="117">
        <v>0</v>
      </c>
    </row>
    <row r="3181" spans="1:21" x14ac:dyDescent="0.35">
      <c r="A3181" t="s">
        <v>19</v>
      </c>
      <c r="B3181" t="s">
        <v>21</v>
      </c>
      <c r="C3181" s="1">
        <v>45728</v>
      </c>
      <c r="D3181">
        <f t="shared" si="224"/>
        <v>12</v>
      </c>
      <c r="E3181">
        <f t="shared" si="225"/>
        <v>3</v>
      </c>
      <c r="F3181">
        <f t="shared" si="226"/>
        <v>2025</v>
      </c>
      <c r="G3181" t="s">
        <v>36</v>
      </c>
      <c r="H3181" s="98">
        <v>11564</v>
      </c>
      <c r="I3181" s="29">
        <v>2955.72</v>
      </c>
      <c r="J3181" s="12" t="s">
        <v>31</v>
      </c>
      <c r="K3181" s="76">
        <f t="shared" si="223"/>
        <v>2955.72</v>
      </c>
      <c r="L3181">
        <v>1</v>
      </c>
      <c r="M3181" s="29">
        <v>0</v>
      </c>
      <c r="N3181" t="s">
        <v>32</v>
      </c>
      <c r="O3181" t="s">
        <v>33</v>
      </c>
      <c r="P3181" t="s">
        <v>34</v>
      </c>
      <c r="Q3181" t="s">
        <v>34</v>
      </c>
      <c r="R3181" t="s">
        <v>34</v>
      </c>
      <c r="S3181" t="s">
        <v>34</v>
      </c>
      <c r="T3181" s="117">
        <v>0</v>
      </c>
    </row>
    <row r="3182" spans="1:21" x14ac:dyDescent="0.35">
      <c r="A3182" t="s">
        <v>19</v>
      </c>
      <c r="B3182" t="s">
        <v>25</v>
      </c>
      <c r="C3182" s="1">
        <v>45728</v>
      </c>
      <c r="D3182">
        <f t="shared" si="224"/>
        <v>12</v>
      </c>
      <c r="E3182">
        <f t="shared" si="225"/>
        <v>3</v>
      </c>
      <c r="F3182">
        <f t="shared" si="226"/>
        <v>2025</v>
      </c>
      <c r="G3182" t="s">
        <v>36</v>
      </c>
      <c r="H3182" s="98">
        <v>11380</v>
      </c>
      <c r="I3182" s="29">
        <v>155309</v>
      </c>
      <c r="J3182" s="12" t="s">
        <v>31</v>
      </c>
      <c r="K3182" s="76">
        <f t="shared" si="223"/>
        <v>155309</v>
      </c>
      <c r="L3182">
        <v>1</v>
      </c>
      <c r="M3182" s="29">
        <v>0</v>
      </c>
      <c r="N3182" t="s">
        <v>32</v>
      </c>
      <c r="O3182" t="s">
        <v>33</v>
      </c>
      <c r="P3182" t="s">
        <v>34</v>
      </c>
      <c r="Q3182" t="s">
        <v>34</v>
      </c>
      <c r="R3182" t="s">
        <v>34</v>
      </c>
      <c r="S3182" t="s">
        <v>34</v>
      </c>
      <c r="T3182" s="117">
        <v>0</v>
      </c>
    </row>
    <row r="3183" spans="1:21" x14ac:dyDescent="0.35">
      <c r="A3183" t="s">
        <v>19</v>
      </c>
      <c r="B3183" t="s">
        <v>25</v>
      </c>
      <c r="C3183" s="1">
        <v>45728</v>
      </c>
      <c r="D3183">
        <f t="shared" si="224"/>
        <v>12</v>
      </c>
      <c r="E3183">
        <f t="shared" si="225"/>
        <v>3</v>
      </c>
      <c r="F3183">
        <f t="shared" si="226"/>
        <v>2025</v>
      </c>
      <c r="G3183" t="s">
        <v>38</v>
      </c>
      <c r="H3183" s="98">
        <v>11557</v>
      </c>
      <c r="I3183" s="29">
        <v>3590.4</v>
      </c>
      <c r="J3183" s="12" t="s">
        <v>31</v>
      </c>
      <c r="K3183" s="76">
        <f t="shared" si="223"/>
        <v>3590.4</v>
      </c>
      <c r="L3183">
        <v>1</v>
      </c>
      <c r="M3183" s="29">
        <v>0</v>
      </c>
      <c r="N3183" t="s">
        <v>32</v>
      </c>
      <c r="O3183" t="s">
        <v>33</v>
      </c>
      <c r="P3183" t="s">
        <v>34</v>
      </c>
      <c r="Q3183" t="s">
        <v>34</v>
      </c>
      <c r="R3183" t="s">
        <v>34</v>
      </c>
      <c r="S3183" t="s">
        <v>34</v>
      </c>
      <c r="T3183" s="117">
        <v>0</v>
      </c>
    </row>
    <row r="3184" spans="1:21" x14ac:dyDescent="0.35">
      <c r="A3184" t="s">
        <v>19</v>
      </c>
      <c r="B3184" t="s">
        <v>25</v>
      </c>
      <c r="C3184" s="1">
        <v>45728</v>
      </c>
      <c r="D3184">
        <f t="shared" si="224"/>
        <v>12</v>
      </c>
      <c r="E3184">
        <f t="shared" si="225"/>
        <v>3</v>
      </c>
      <c r="F3184">
        <f t="shared" si="226"/>
        <v>2025</v>
      </c>
      <c r="G3184" t="s">
        <v>38</v>
      </c>
      <c r="H3184" s="98">
        <v>12228</v>
      </c>
      <c r="I3184" s="29">
        <v>52.95</v>
      </c>
      <c r="J3184" s="12" t="s">
        <v>31</v>
      </c>
      <c r="K3184" s="76">
        <f t="shared" si="223"/>
        <v>52.95</v>
      </c>
      <c r="L3184">
        <v>1</v>
      </c>
      <c r="M3184" s="29">
        <v>0</v>
      </c>
      <c r="N3184" t="s">
        <v>32</v>
      </c>
      <c r="O3184" t="s">
        <v>33</v>
      </c>
      <c r="P3184" t="s">
        <v>34</v>
      </c>
      <c r="Q3184" t="s">
        <v>34</v>
      </c>
      <c r="R3184" t="s">
        <v>34</v>
      </c>
      <c r="S3184" t="s">
        <v>34</v>
      </c>
      <c r="T3184" s="117">
        <v>0</v>
      </c>
    </row>
    <row r="3185" spans="1:21" x14ac:dyDescent="0.35">
      <c r="A3185" t="s">
        <v>19</v>
      </c>
      <c r="B3185" t="s">
        <v>25</v>
      </c>
      <c r="C3185" s="1">
        <v>45728</v>
      </c>
      <c r="D3185">
        <f t="shared" si="224"/>
        <v>12</v>
      </c>
      <c r="E3185">
        <f t="shared" si="225"/>
        <v>3</v>
      </c>
      <c r="F3185">
        <f t="shared" si="226"/>
        <v>2025</v>
      </c>
      <c r="G3185" t="s">
        <v>38</v>
      </c>
      <c r="H3185" s="98">
        <v>12254</v>
      </c>
      <c r="I3185" s="29">
        <v>98.43</v>
      </c>
      <c r="J3185" s="12" t="s">
        <v>31</v>
      </c>
      <c r="K3185" s="76">
        <f t="shared" si="223"/>
        <v>98.43</v>
      </c>
      <c r="L3185">
        <v>1</v>
      </c>
      <c r="M3185" s="29">
        <v>0</v>
      </c>
      <c r="N3185" t="s">
        <v>32</v>
      </c>
      <c r="O3185" t="s">
        <v>33</v>
      </c>
      <c r="P3185" t="s">
        <v>34</v>
      </c>
      <c r="Q3185" t="s">
        <v>34</v>
      </c>
      <c r="R3185" t="s">
        <v>34</v>
      </c>
      <c r="S3185" t="s">
        <v>34</v>
      </c>
      <c r="T3185" s="117">
        <v>0</v>
      </c>
    </row>
    <row r="3186" spans="1:21" x14ac:dyDescent="0.35">
      <c r="A3186" t="s">
        <v>19</v>
      </c>
      <c r="B3186" t="s">
        <v>25</v>
      </c>
      <c r="C3186" s="1">
        <v>45728</v>
      </c>
      <c r="D3186">
        <f t="shared" si="224"/>
        <v>12</v>
      </c>
      <c r="E3186">
        <f t="shared" si="225"/>
        <v>3</v>
      </c>
      <c r="F3186">
        <f t="shared" si="226"/>
        <v>2025</v>
      </c>
      <c r="G3186" t="s">
        <v>35</v>
      </c>
      <c r="H3186" s="98">
        <v>11145</v>
      </c>
      <c r="I3186" s="90">
        <v>6015.75</v>
      </c>
      <c r="J3186" s="12" t="s">
        <v>31</v>
      </c>
      <c r="K3186" s="76">
        <f t="shared" si="223"/>
        <v>6015.75</v>
      </c>
      <c r="L3186">
        <v>1</v>
      </c>
      <c r="M3186" s="29">
        <v>0</v>
      </c>
      <c r="N3186" t="s">
        <v>32</v>
      </c>
      <c r="O3186" t="s">
        <v>33</v>
      </c>
      <c r="P3186" t="s">
        <v>34</v>
      </c>
      <c r="Q3186" t="s">
        <v>34</v>
      </c>
      <c r="R3186" t="s">
        <v>34</v>
      </c>
      <c r="S3186" t="s">
        <v>34</v>
      </c>
      <c r="T3186" s="117">
        <v>0</v>
      </c>
    </row>
    <row r="3187" spans="1:21" x14ac:dyDescent="0.35">
      <c r="A3187" t="s">
        <v>19</v>
      </c>
      <c r="B3187" t="s">
        <v>25</v>
      </c>
      <c r="C3187" s="1">
        <v>45728</v>
      </c>
      <c r="D3187">
        <f t="shared" si="224"/>
        <v>12</v>
      </c>
      <c r="E3187">
        <f t="shared" si="225"/>
        <v>3</v>
      </c>
      <c r="F3187">
        <f t="shared" si="226"/>
        <v>2025</v>
      </c>
      <c r="G3187" t="s">
        <v>93</v>
      </c>
      <c r="H3187" s="171">
        <v>12093</v>
      </c>
      <c r="I3187" s="90">
        <v>224.4</v>
      </c>
      <c r="J3187" s="12" t="s">
        <v>31</v>
      </c>
      <c r="K3187" s="76">
        <f t="shared" si="223"/>
        <v>224.4</v>
      </c>
      <c r="L3187">
        <v>1</v>
      </c>
      <c r="M3187" s="29">
        <v>0</v>
      </c>
      <c r="N3187" t="s">
        <v>32</v>
      </c>
      <c r="O3187" t="s">
        <v>33</v>
      </c>
      <c r="P3187" t="s">
        <v>34</v>
      </c>
      <c r="Q3187" t="s">
        <v>34</v>
      </c>
      <c r="R3187" t="s">
        <v>34</v>
      </c>
      <c r="S3187" t="s">
        <v>34</v>
      </c>
      <c r="T3187" s="117">
        <v>0</v>
      </c>
    </row>
    <row r="3188" spans="1:21" x14ac:dyDescent="0.35">
      <c r="A3188" t="s">
        <v>20</v>
      </c>
      <c r="B3188" t="s">
        <v>21</v>
      </c>
      <c r="C3188" s="1">
        <v>45728</v>
      </c>
      <c r="D3188">
        <f t="shared" si="224"/>
        <v>12</v>
      </c>
      <c r="E3188">
        <f t="shared" si="225"/>
        <v>3</v>
      </c>
      <c r="F3188">
        <f t="shared" si="226"/>
        <v>2025</v>
      </c>
      <c r="G3188" t="s">
        <v>53</v>
      </c>
      <c r="H3188" s="171">
        <v>12113</v>
      </c>
      <c r="I3188" s="90">
        <v>9748.98</v>
      </c>
      <c r="J3188" s="12" t="s">
        <v>31</v>
      </c>
      <c r="K3188" s="76">
        <f t="shared" si="223"/>
        <v>9748.98</v>
      </c>
      <c r="L3188">
        <v>1</v>
      </c>
      <c r="M3188" s="29">
        <v>0</v>
      </c>
      <c r="N3188" t="s">
        <v>32</v>
      </c>
      <c r="O3188" t="s">
        <v>33</v>
      </c>
      <c r="P3188" t="s">
        <v>34</v>
      </c>
      <c r="Q3188" t="s">
        <v>34</v>
      </c>
      <c r="R3188" t="s">
        <v>34</v>
      </c>
      <c r="S3188" t="s">
        <v>34</v>
      </c>
      <c r="T3188" s="117">
        <v>0</v>
      </c>
    </row>
    <row r="3189" spans="1:21" x14ac:dyDescent="0.35">
      <c r="A3189" t="s">
        <v>20</v>
      </c>
      <c r="B3189" t="s">
        <v>25</v>
      </c>
      <c r="C3189" s="1">
        <v>45728</v>
      </c>
      <c r="D3189">
        <f t="shared" si="224"/>
        <v>12</v>
      </c>
      <c r="E3189">
        <f t="shared" si="225"/>
        <v>3</v>
      </c>
      <c r="F3189">
        <f t="shared" si="226"/>
        <v>2025</v>
      </c>
      <c r="G3189" t="s">
        <v>50</v>
      </c>
      <c r="H3189" s="98">
        <v>11592</v>
      </c>
      <c r="I3189" s="29">
        <v>37674</v>
      </c>
      <c r="J3189" s="12" t="s">
        <v>31</v>
      </c>
      <c r="K3189" s="76">
        <f t="shared" si="223"/>
        <v>37674</v>
      </c>
      <c r="L3189">
        <v>1</v>
      </c>
      <c r="M3189" s="29">
        <v>0</v>
      </c>
      <c r="N3189" t="s">
        <v>32</v>
      </c>
      <c r="O3189" t="s">
        <v>33</v>
      </c>
      <c r="P3189" t="s">
        <v>34</v>
      </c>
      <c r="Q3189" t="s">
        <v>34</v>
      </c>
      <c r="R3189" t="s">
        <v>34</v>
      </c>
      <c r="S3189" t="s">
        <v>34</v>
      </c>
      <c r="T3189" s="117">
        <v>0</v>
      </c>
    </row>
    <row r="3190" spans="1:21" x14ac:dyDescent="0.35">
      <c r="A3190" t="s">
        <v>20</v>
      </c>
      <c r="B3190" t="s">
        <v>25</v>
      </c>
      <c r="C3190" s="1">
        <v>45728</v>
      </c>
      <c r="D3190">
        <f t="shared" si="224"/>
        <v>12</v>
      </c>
      <c r="E3190">
        <f t="shared" si="225"/>
        <v>3</v>
      </c>
      <c r="F3190">
        <f t="shared" si="226"/>
        <v>2025</v>
      </c>
      <c r="G3190" t="s">
        <v>50</v>
      </c>
      <c r="H3190" s="98">
        <v>11715</v>
      </c>
      <c r="I3190" s="29">
        <v>48438</v>
      </c>
      <c r="J3190" s="12" t="s">
        <v>31</v>
      </c>
      <c r="K3190" s="76">
        <f t="shared" si="223"/>
        <v>48438</v>
      </c>
      <c r="L3190">
        <v>1</v>
      </c>
      <c r="M3190" s="29">
        <v>0</v>
      </c>
      <c r="N3190" t="s">
        <v>32</v>
      </c>
      <c r="O3190" t="s">
        <v>33</v>
      </c>
      <c r="P3190" t="s">
        <v>34</v>
      </c>
      <c r="Q3190" t="s">
        <v>34</v>
      </c>
      <c r="R3190" t="s">
        <v>34</v>
      </c>
      <c r="S3190" t="s">
        <v>34</v>
      </c>
      <c r="T3190" s="117">
        <v>0</v>
      </c>
    </row>
    <row r="3191" spans="1:21" x14ac:dyDescent="0.35">
      <c r="A3191" t="s">
        <v>20</v>
      </c>
      <c r="B3191" t="s">
        <v>21</v>
      </c>
      <c r="C3191" s="1">
        <v>45728</v>
      </c>
      <c r="D3191">
        <f t="shared" si="224"/>
        <v>12</v>
      </c>
      <c r="E3191">
        <f t="shared" si="225"/>
        <v>3</v>
      </c>
      <c r="F3191">
        <f t="shared" si="226"/>
        <v>2025</v>
      </c>
      <c r="G3191" t="s">
        <v>45</v>
      </c>
      <c r="H3191" s="98">
        <v>11570</v>
      </c>
      <c r="I3191" s="29">
        <v>197.2</v>
      </c>
      <c r="J3191" s="12" t="s">
        <v>31</v>
      </c>
      <c r="K3191" s="76">
        <f t="shared" si="223"/>
        <v>197.2</v>
      </c>
      <c r="L3191">
        <v>1</v>
      </c>
      <c r="M3191" s="29">
        <v>0</v>
      </c>
      <c r="N3191" t="s">
        <v>32</v>
      </c>
      <c r="O3191" t="s">
        <v>33</v>
      </c>
      <c r="P3191" t="s">
        <v>34</v>
      </c>
      <c r="Q3191" t="s">
        <v>34</v>
      </c>
      <c r="R3191" t="s">
        <v>34</v>
      </c>
      <c r="S3191" t="s">
        <v>34</v>
      </c>
      <c r="T3191" s="117">
        <v>0</v>
      </c>
    </row>
    <row r="3192" spans="1:21" x14ac:dyDescent="0.35">
      <c r="A3192" t="s">
        <v>20</v>
      </c>
      <c r="B3192" t="s">
        <v>25</v>
      </c>
      <c r="C3192" s="1">
        <v>45728</v>
      </c>
      <c r="D3192">
        <f t="shared" si="224"/>
        <v>12</v>
      </c>
      <c r="E3192">
        <f t="shared" si="225"/>
        <v>3</v>
      </c>
      <c r="F3192">
        <f t="shared" si="226"/>
        <v>2025</v>
      </c>
      <c r="G3192" t="s">
        <v>45</v>
      </c>
      <c r="H3192" s="98">
        <v>11817</v>
      </c>
      <c r="I3192" s="29">
        <v>310.8</v>
      </c>
      <c r="J3192" s="12" t="s">
        <v>31</v>
      </c>
      <c r="K3192" s="76">
        <f t="shared" si="223"/>
        <v>310.8</v>
      </c>
      <c r="L3192">
        <v>1</v>
      </c>
      <c r="M3192" s="29">
        <v>0</v>
      </c>
      <c r="N3192" t="s">
        <v>32</v>
      </c>
      <c r="O3192" t="s">
        <v>33</v>
      </c>
      <c r="P3192" t="s">
        <v>34</v>
      </c>
      <c r="Q3192" t="s">
        <v>34</v>
      </c>
      <c r="R3192" t="s">
        <v>34</v>
      </c>
      <c r="S3192" t="s">
        <v>34</v>
      </c>
      <c r="T3192" s="117">
        <v>0</v>
      </c>
    </row>
    <row r="3193" spans="1:21" x14ac:dyDescent="0.35">
      <c r="A3193" t="s">
        <v>20</v>
      </c>
      <c r="B3193" t="s">
        <v>25</v>
      </c>
      <c r="C3193" s="1">
        <v>45728</v>
      </c>
      <c r="D3193">
        <f t="shared" si="224"/>
        <v>12</v>
      </c>
      <c r="E3193">
        <f t="shared" si="225"/>
        <v>3</v>
      </c>
      <c r="F3193">
        <f t="shared" si="226"/>
        <v>2025</v>
      </c>
      <c r="G3193" t="s">
        <v>45</v>
      </c>
      <c r="H3193" s="98">
        <v>11818</v>
      </c>
      <c r="I3193" s="29">
        <v>54084.7</v>
      </c>
      <c r="J3193" s="12" t="s">
        <v>31</v>
      </c>
      <c r="K3193" s="76">
        <f t="shared" si="223"/>
        <v>54084.7</v>
      </c>
      <c r="L3193">
        <v>1</v>
      </c>
      <c r="M3193" s="29">
        <v>0</v>
      </c>
      <c r="N3193" t="s">
        <v>32</v>
      </c>
      <c r="O3193" t="s">
        <v>33</v>
      </c>
      <c r="P3193" t="s">
        <v>34</v>
      </c>
      <c r="Q3193" t="s">
        <v>34</v>
      </c>
      <c r="R3193" t="s">
        <v>34</v>
      </c>
      <c r="S3193" t="s">
        <v>34</v>
      </c>
      <c r="T3193" s="117">
        <v>0</v>
      </c>
    </row>
    <row r="3194" spans="1:21" x14ac:dyDescent="0.35">
      <c r="A3194" t="s">
        <v>20</v>
      </c>
      <c r="B3194" t="s">
        <v>21</v>
      </c>
      <c r="C3194" s="1">
        <v>45728</v>
      </c>
      <c r="D3194">
        <f t="shared" si="224"/>
        <v>12</v>
      </c>
      <c r="E3194">
        <f t="shared" si="225"/>
        <v>3</v>
      </c>
      <c r="F3194">
        <f t="shared" si="226"/>
        <v>2025</v>
      </c>
      <c r="G3194" t="s">
        <v>45</v>
      </c>
      <c r="H3194" s="98">
        <v>11799</v>
      </c>
      <c r="I3194" s="29">
        <v>241.8</v>
      </c>
      <c r="J3194" s="12" t="s">
        <v>31</v>
      </c>
      <c r="K3194" s="76">
        <f t="shared" si="223"/>
        <v>241.8</v>
      </c>
      <c r="L3194">
        <v>1</v>
      </c>
      <c r="M3194" s="29">
        <v>0</v>
      </c>
      <c r="N3194" t="s">
        <v>32</v>
      </c>
      <c r="O3194" t="s">
        <v>33</v>
      </c>
      <c r="P3194" t="s">
        <v>34</v>
      </c>
      <c r="Q3194" t="s">
        <v>34</v>
      </c>
      <c r="R3194" t="s">
        <v>34</v>
      </c>
      <c r="S3194" t="s">
        <v>34</v>
      </c>
      <c r="T3194" s="117">
        <v>0</v>
      </c>
    </row>
    <row r="3195" spans="1:21" x14ac:dyDescent="0.35">
      <c r="A3195" t="s">
        <v>20</v>
      </c>
      <c r="B3195" t="s">
        <v>24</v>
      </c>
      <c r="C3195" s="1">
        <v>45728</v>
      </c>
      <c r="D3195">
        <f t="shared" si="224"/>
        <v>12</v>
      </c>
      <c r="E3195">
        <f t="shared" si="225"/>
        <v>3</v>
      </c>
      <c r="F3195">
        <f t="shared" si="226"/>
        <v>2025</v>
      </c>
      <c r="G3195" t="s">
        <v>45</v>
      </c>
      <c r="H3195" s="98">
        <v>11818</v>
      </c>
      <c r="I3195" s="29">
        <v>79464.02</v>
      </c>
      <c r="J3195" s="12" t="s">
        <v>31</v>
      </c>
      <c r="K3195" s="76">
        <f t="shared" si="223"/>
        <v>79464.02</v>
      </c>
      <c r="L3195">
        <v>1</v>
      </c>
      <c r="M3195" s="29">
        <v>0</v>
      </c>
      <c r="N3195" t="s">
        <v>32</v>
      </c>
      <c r="O3195" t="s">
        <v>33</v>
      </c>
      <c r="P3195" t="s">
        <v>34</v>
      </c>
      <c r="Q3195" t="s">
        <v>34</v>
      </c>
      <c r="R3195" t="s">
        <v>34</v>
      </c>
      <c r="S3195" t="s">
        <v>34</v>
      </c>
      <c r="T3195" s="117">
        <v>0</v>
      </c>
    </row>
    <row r="3196" spans="1:21" x14ac:dyDescent="0.35">
      <c r="A3196" t="s">
        <v>20</v>
      </c>
      <c r="B3196" t="s">
        <v>21</v>
      </c>
      <c r="C3196" s="1">
        <v>45728</v>
      </c>
      <c r="D3196">
        <f t="shared" si="224"/>
        <v>12</v>
      </c>
      <c r="E3196">
        <f t="shared" si="225"/>
        <v>3</v>
      </c>
      <c r="F3196">
        <f t="shared" si="226"/>
        <v>2025</v>
      </c>
      <c r="G3196" t="s">
        <v>45</v>
      </c>
      <c r="H3196" s="98">
        <v>11818</v>
      </c>
      <c r="I3196" s="29">
        <v>34061.49</v>
      </c>
      <c r="J3196" s="12" t="s">
        <v>31</v>
      </c>
      <c r="K3196" s="76">
        <f t="shared" si="223"/>
        <v>34061.49</v>
      </c>
      <c r="L3196">
        <v>1</v>
      </c>
      <c r="M3196" s="29">
        <v>0</v>
      </c>
      <c r="N3196" t="s">
        <v>32</v>
      </c>
      <c r="O3196" t="s">
        <v>33</v>
      </c>
      <c r="P3196" t="s">
        <v>34</v>
      </c>
      <c r="Q3196" t="s">
        <v>34</v>
      </c>
      <c r="R3196" t="s">
        <v>34</v>
      </c>
      <c r="S3196" t="s">
        <v>34</v>
      </c>
      <c r="T3196" s="117">
        <v>0</v>
      </c>
    </row>
    <row r="3197" spans="1:21" x14ac:dyDescent="0.35">
      <c r="A3197" t="s">
        <v>20</v>
      </c>
      <c r="B3197" t="s">
        <v>23</v>
      </c>
      <c r="C3197" s="1">
        <v>45728</v>
      </c>
      <c r="D3197">
        <f t="shared" si="224"/>
        <v>12</v>
      </c>
      <c r="E3197">
        <f t="shared" si="225"/>
        <v>3</v>
      </c>
      <c r="F3197">
        <f t="shared" si="226"/>
        <v>2025</v>
      </c>
      <c r="G3197" t="s">
        <v>595</v>
      </c>
      <c r="H3197" s="98">
        <v>12671</v>
      </c>
      <c r="I3197" s="29">
        <v>81.5</v>
      </c>
      <c r="J3197" s="12" t="s">
        <v>31</v>
      </c>
      <c r="K3197" s="76">
        <f t="shared" si="223"/>
        <v>81.5</v>
      </c>
      <c r="L3197">
        <v>1</v>
      </c>
      <c r="M3197" s="29">
        <v>0</v>
      </c>
      <c r="N3197" t="s">
        <v>42</v>
      </c>
      <c r="O3197" t="s">
        <v>33</v>
      </c>
      <c r="P3197" t="s">
        <v>34</v>
      </c>
      <c r="Q3197" t="s">
        <v>34</v>
      </c>
      <c r="R3197" t="s">
        <v>34</v>
      </c>
      <c r="S3197" t="s">
        <v>34</v>
      </c>
      <c r="T3197" s="117">
        <v>0</v>
      </c>
      <c r="U3197" s="209" t="s">
        <v>948</v>
      </c>
    </row>
    <row r="3198" spans="1:21" x14ac:dyDescent="0.35">
      <c r="A3198" t="s">
        <v>20</v>
      </c>
      <c r="B3198" t="s">
        <v>23</v>
      </c>
      <c r="C3198" s="1">
        <v>45728</v>
      </c>
      <c r="D3198">
        <f t="shared" si="224"/>
        <v>12</v>
      </c>
      <c r="E3198">
        <f t="shared" si="225"/>
        <v>3</v>
      </c>
      <c r="F3198">
        <f t="shared" si="226"/>
        <v>2025</v>
      </c>
      <c r="G3198" t="s">
        <v>595</v>
      </c>
      <c r="H3198" s="98">
        <v>12671</v>
      </c>
      <c r="I3198" s="29">
        <v>6457.5</v>
      </c>
      <c r="J3198" s="12" t="s">
        <v>31</v>
      </c>
      <c r="K3198" s="76">
        <f t="shared" si="223"/>
        <v>6457.5</v>
      </c>
      <c r="L3198">
        <v>1</v>
      </c>
      <c r="M3198" s="29">
        <v>0</v>
      </c>
      <c r="N3198" t="s">
        <v>42</v>
      </c>
      <c r="O3198" t="s">
        <v>33</v>
      </c>
      <c r="P3198" t="s">
        <v>34</v>
      </c>
      <c r="Q3198" t="s">
        <v>34</v>
      </c>
      <c r="R3198" t="s">
        <v>34</v>
      </c>
      <c r="S3198" t="s">
        <v>34</v>
      </c>
      <c r="T3198" s="117">
        <v>0</v>
      </c>
      <c r="U3198" s="209" t="s">
        <v>1143</v>
      </c>
    </row>
    <row r="3199" spans="1:21" x14ac:dyDescent="0.35">
      <c r="A3199" t="s">
        <v>20</v>
      </c>
      <c r="B3199" t="s">
        <v>25</v>
      </c>
      <c r="C3199" s="1">
        <v>45728</v>
      </c>
      <c r="D3199">
        <f t="shared" si="224"/>
        <v>12</v>
      </c>
      <c r="E3199">
        <f t="shared" si="225"/>
        <v>3</v>
      </c>
      <c r="F3199">
        <f t="shared" si="226"/>
        <v>2025</v>
      </c>
      <c r="G3199" t="s">
        <v>274</v>
      </c>
      <c r="H3199" s="98">
        <v>11895</v>
      </c>
      <c r="I3199" s="29">
        <v>9976.73</v>
      </c>
      <c r="J3199" s="12" t="s">
        <v>31</v>
      </c>
      <c r="K3199" s="76">
        <f t="shared" si="223"/>
        <v>9976.73</v>
      </c>
      <c r="L3199">
        <v>1</v>
      </c>
      <c r="M3199" s="29">
        <v>0</v>
      </c>
      <c r="N3199" t="s">
        <v>42</v>
      </c>
      <c r="O3199" t="s">
        <v>33</v>
      </c>
      <c r="P3199" t="s">
        <v>34</v>
      </c>
      <c r="Q3199" t="s">
        <v>34</v>
      </c>
      <c r="R3199" t="s">
        <v>34</v>
      </c>
      <c r="S3199" t="s">
        <v>34</v>
      </c>
      <c r="T3199" s="117">
        <v>0</v>
      </c>
    </row>
    <row r="3200" spans="1:21" x14ac:dyDescent="0.35">
      <c r="A3200" t="s">
        <v>20</v>
      </c>
      <c r="B3200" t="s">
        <v>25</v>
      </c>
      <c r="C3200" s="1">
        <v>45728</v>
      </c>
      <c r="D3200">
        <f t="shared" si="224"/>
        <v>12</v>
      </c>
      <c r="E3200">
        <f t="shared" si="225"/>
        <v>3</v>
      </c>
      <c r="F3200">
        <f t="shared" si="226"/>
        <v>2025</v>
      </c>
      <c r="G3200" t="s">
        <v>81</v>
      </c>
      <c r="H3200" s="98">
        <v>12122</v>
      </c>
      <c r="I3200" s="29">
        <v>64625.4</v>
      </c>
      <c r="J3200" s="12" t="s">
        <v>31</v>
      </c>
      <c r="K3200" s="76">
        <f t="shared" si="223"/>
        <v>64625.4</v>
      </c>
      <c r="L3200">
        <v>1</v>
      </c>
      <c r="M3200" s="29">
        <v>0</v>
      </c>
      <c r="N3200" t="s">
        <v>32</v>
      </c>
      <c r="O3200" t="s">
        <v>33</v>
      </c>
      <c r="P3200" t="s">
        <v>34</v>
      </c>
      <c r="Q3200" t="s">
        <v>34</v>
      </c>
      <c r="R3200" t="s">
        <v>34</v>
      </c>
      <c r="S3200" t="s">
        <v>34</v>
      </c>
      <c r="T3200" s="117">
        <v>0</v>
      </c>
    </row>
    <row r="3201" spans="1:21" x14ac:dyDescent="0.35">
      <c r="A3201" t="s">
        <v>20</v>
      </c>
      <c r="B3201" t="s">
        <v>25</v>
      </c>
      <c r="C3201" s="1">
        <v>45728</v>
      </c>
      <c r="D3201">
        <f t="shared" si="224"/>
        <v>12</v>
      </c>
      <c r="E3201">
        <f t="shared" si="225"/>
        <v>3</v>
      </c>
      <c r="F3201">
        <f t="shared" si="226"/>
        <v>2025</v>
      </c>
      <c r="G3201" t="s">
        <v>81</v>
      </c>
      <c r="H3201" s="98">
        <v>11887</v>
      </c>
      <c r="I3201" s="29">
        <v>680</v>
      </c>
      <c r="J3201" s="12" t="s">
        <v>31</v>
      </c>
      <c r="K3201" s="76">
        <f t="shared" si="223"/>
        <v>680</v>
      </c>
      <c r="L3201">
        <v>1</v>
      </c>
      <c r="M3201" s="29">
        <v>0</v>
      </c>
      <c r="N3201" t="s">
        <v>42</v>
      </c>
      <c r="O3201" t="s">
        <v>33</v>
      </c>
      <c r="P3201" t="s">
        <v>34</v>
      </c>
      <c r="Q3201" t="s">
        <v>34</v>
      </c>
      <c r="R3201" t="s">
        <v>34</v>
      </c>
      <c r="S3201" t="s">
        <v>34</v>
      </c>
      <c r="T3201" s="117">
        <v>0</v>
      </c>
      <c r="U3201" s="209" t="s">
        <v>939</v>
      </c>
    </row>
    <row r="3202" spans="1:21" x14ac:dyDescent="0.35">
      <c r="A3202" t="s">
        <v>20</v>
      </c>
      <c r="B3202" t="s">
        <v>23</v>
      </c>
      <c r="C3202" s="1">
        <v>45728</v>
      </c>
      <c r="D3202">
        <f t="shared" si="224"/>
        <v>12</v>
      </c>
      <c r="E3202">
        <f t="shared" si="225"/>
        <v>3</v>
      </c>
      <c r="F3202">
        <f t="shared" si="226"/>
        <v>2025</v>
      </c>
      <c r="G3202" t="s">
        <v>46</v>
      </c>
      <c r="H3202" s="139">
        <v>12320</v>
      </c>
      <c r="I3202" s="140">
        <v>51.3</v>
      </c>
      <c r="J3202" s="12" t="s">
        <v>31</v>
      </c>
      <c r="K3202" s="76">
        <f t="shared" ref="K3202:K3265" si="227">IF(J3202="USD",I3202,I3202*L3202)</f>
        <v>51.3</v>
      </c>
      <c r="L3202">
        <v>1</v>
      </c>
      <c r="M3202" s="29">
        <v>0</v>
      </c>
      <c r="N3202" t="s">
        <v>42</v>
      </c>
      <c r="O3202" t="s">
        <v>33</v>
      </c>
      <c r="P3202" t="s">
        <v>34</v>
      </c>
      <c r="Q3202" t="s">
        <v>34</v>
      </c>
      <c r="R3202" t="s">
        <v>34</v>
      </c>
      <c r="S3202" t="s">
        <v>34</v>
      </c>
      <c r="T3202" s="117">
        <v>0</v>
      </c>
    </row>
    <row r="3203" spans="1:21" x14ac:dyDescent="0.35">
      <c r="A3203" t="s">
        <v>20</v>
      </c>
      <c r="B3203" t="s">
        <v>23</v>
      </c>
      <c r="C3203" s="1">
        <v>45728</v>
      </c>
      <c r="D3203">
        <f t="shared" ref="D3203:D3266" si="228">DAY(C3203)</f>
        <v>12</v>
      </c>
      <c r="E3203">
        <f t="shared" ref="E3203:E3266" si="229">MONTH(C3203)</f>
        <v>3</v>
      </c>
      <c r="F3203">
        <f t="shared" ref="F3203:F3266" si="230">YEAR(C3203)</f>
        <v>2025</v>
      </c>
      <c r="G3203" t="s">
        <v>46</v>
      </c>
      <c r="H3203" s="139">
        <v>12321</v>
      </c>
      <c r="I3203" s="140">
        <v>3438</v>
      </c>
      <c r="J3203" s="12" t="s">
        <v>31</v>
      </c>
      <c r="K3203" s="76">
        <f t="shared" si="227"/>
        <v>3438</v>
      </c>
      <c r="L3203">
        <v>1</v>
      </c>
      <c r="M3203" s="29">
        <v>0</v>
      </c>
      <c r="N3203" t="s">
        <v>42</v>
      </c>
      <c r="O3203" t="s">
        <v>33</v>
      </c>
      <c r="P3203" t="s">
        <v>34</v>
      </c>
      <c r="Q3203" t="s">
        <v>34</v>
      </c>
      <c r="R3203" t="s">
        <v>34</v>
      </c>
      <c r="S3203" t="s">
        <v>34</v>
      </c>
      <c r="T3203" s="117">
        <v>0</v>
      </c>
    </row>
    <row r="3204" spans="1:21" x14ac:dyDescent="0.35">
      <c r="A3204" t="s">
        <v>20</v>
      </c>
      <c r="B3204" t="s">
        <v>25</v>
      </c>
      <c r="C3204" s="1">
        <v>45728</v>
      </c>
      <c r="D3204">
        <f t="shared" si="228"/>
        <v>12</v>
      </c>
      <c r="E3204">
        <f t="shared" si="229"/>
        <v>3</v>
      </c>
      <c r="F3204">
        <f t="shared" si="230"/>
        <v>2025</v>
      </c>
      <c r="G3204" t="s">
        <v>97</v>
      </c>
      <c r="H3204" s="98">
        <v>12227</v>
      </c>
      <c r="I3204" s="29">
        <v>169783.67</v>
      </c>
      <c r="J3204" s="12" t="s">
        <v>31</v>
      </c>
      <c r="K3204" s="76">
        <f t="shared" si="227"/>
        <v>169783.67</v>
      </c>
      <c r="L3204">
        <v>1</v>
      </c>
      <c r="M3204" s="29">
        <v>0</v>
      </c>
      <c r="N3204" t="s">
        <v>32</v>
      </c>
      <c r="O3204" t="s">
        <v>33</v>
      </c>
      <c r="P3204" t="s">
        <v>34</v>
      </c>
      <c r="Q3204" t="s">
        <v>34</v>
      </c>
      <c r="R3204" t="s">
        <v>34</v>
      </c>
      <c r="S3204" t="s">
        <v>34</v>
      </c>
      <c r="T3204" s="117">
        <v>0</v>
      </c>
    </row>
    <row r="3205" spans="1:21" x14ac:dyDescent="0.35">
      <c r="A3205" t="s">
        <v>19</v>
      </c>
      <c r="B3205" t="s">
        <v>19</v>
      </c>
      <c r="C3205" s="1">
        <v>45728</v>
      </c>
      <c r="D3205">
        <f t="shared" si="228"/>
        <v>12</v>
      </c>
      <c r="E3205">
        <f t="shared" si="229"/>
        <v>3</v>
      </c>
      <c r="F3205">
        <f t="shared" si="230"/>
        <v>2025</v>
      </c>
      <c r="G3205" t="s">
        <v>54</v>
      </c>
      <c r="H3205" s="98" t="s">
        <v>909</v>
      </c>
      <c r="I3205" s="29">
        <v>101119</v>
      </c>
      <c r="J3205" s="12" t="s">
        <v>31</v>
      </c>
      <c r="K3205" s="76">
        <f t="shared" si="227"/>
        <v>101119</v>
      </c>
      <c r="L3205">
        <v>1</v>
      </c>
      <c r="M3205" s="29">
        <v>0</v>
      </c>
      <c r="N3205" t="s">
        <v>32</v>
      </c>
      <c r="O3205" t="s">
        <v>33</v>
      </c>
      <c r="P3205" t="s">
        <v>34</v>
      </c>
      <c r="Q3205" t="s">
        <v>34</v>
      </c>
      <c r="R3205" t="s">
        <v>34</v>
      </c>
      <c r="S3205" t="s">
        <v>34</v>
      </c>
      <c r="T3205" s="117">
        <v>0</v>
      </c>
    </row>
    <row r="3206" spans="1:21" x14ac:dyDescent="0.35">
      <c r="A3206" t="s">
        <v>19</v>
      </c>
      <c r="B3206" t="s">
        <v>19</v>
      </c>
      <c r="C3206" s="1">
        <v>45728</v>
      </c>
      <c r="D3206">
        <f t="shared" si="228"/>
        <v>12</v>
      </c>
      <c r="E3206">
        <f t="shared" si="229"/>
        <v>3</v>
      </c>
      <c r="F3206">
        <f t="shared" si="230"/>
        <v>2025</v>
      </c>
      <c r="G3206" t="s">
        <v>56</v>
      </c>
      <c r="H3206" s="98" t="s">
        <v>910</v>
      </c>
      <c r="I3206" s="29">
        <v>2719.95</v>
      </c>
      <c r="J3206" s="12" t="s">
        <v>31</v>
      </c>
      <c r="K3206" s="76">
        <f t="shared" si="227"/>
        <v>2719.95</v>
      </c>
      <c r="L3206">
        <v>1</v>
      </c>
      <c r="M3206" s="29">
        <v>0</v>
      </c>
      <c r="N3206" t="s">
        <v>32</v>
      </c>
      <c r="O3206" t="s">
        <v>33</v>
      </c>
      <c r="P3206" t="s">
        <v>34</v>
      </c>
      <c r="Q3206" t="s">
        <v>34</v>
      </c>
      <c r="R3206" t="s">
        <v>34</v>
      </c>
      <c r="S3206" t="s">
        <v>34</v>
      </c>
      <c r="T3206" s="117">
        <v>0</v>
      </c>
    </row>
    <row r="3207" spans="1:21" x14ac:dyDescent="0.35">
      <c r="A3207" t="s">
        <v>19</v>
      </c>
      <c r="B3207" t="s">
        <v>19</v>
      </c>
      <c r="C3207" s="1">
        <v>45728</v>
      </c>
      <c r="D3207">
        <f t="shared" si="228"/>
        <v>12</v>
      </c>
      <c r="E3207">
        <f t="shared" si="229"/>
        <v>3</v>
      </c>
      <c r="F3207">
        <f t="shared" si="230"/>
        <v>2025</v>
      </c>
      <c r="G3207" t="s">
        <v>56</v>
      </c>
      <c r="H3207" s="98" t="s">
        <v>911</v>
      </c>
      <c r="I3207" s="29">
        <v>1514.06</v>
      </c>
      <c r="J3207" s="12" t="s">
        <v>31</v>
      </c>
      <c r="K3207" s="76">
        <f t="shared" si="227"/>
        <v>1514.06</v>
      </c>
      <c r="L3207">
        <v>1</v>
      </c>
      <c r="M3207" s="29">
        <v>0</v>
      </c>
      <c r="N3207" t="s">
        <v>32</v>
      </c>
      <c r="O3207" t="s">
        <v>33</v>
      </c>
      <c r="P3207" t="s">
        <v>34</v>
      </c>
      <c r="Q3207" t="s">
        <v>34</v>
      </c>
      <c r="R3207" t="s">
        <v>34</v>
      </c>
      <c r="S3207" t="s">
        <v>34</v>
      </c>
      <c r="T3207" s="117">
        <v>0</v>
      </c>
    </row>
    <row r="3208" spans="1:21" x14ac:dyDescent="0.35">
      <c r="A3208" t="s">
        <v>19</v>
      </c>
      <c r="B3208" t="s">
        <v>19</v>
      </c>
      <c r="C3208" s="1">
        <v>45728</v>
      </c>
      <c r="D3208">
        <f t="shared" si="228"/>
        <v>12</v>
      </c>
      <c r="E3208">
        <f t="shared" si="229"/>
        <v>3</v>
      </c>
      <c r="F3208">
        <f t="shared" si="230"/>
        <v>2025</v>
      </c>
      <c r="G3208" t="s">
        <v>56</v>
      </c>
      <c r="H3208" s="98" t="s">
        <v>569</v>
      </c>
      <c r="I3208" s="29">
        <v>146.76</v>
      </c>
      <c r="J3208" s="12" t="s">
        <v>31</v>
      </c>
      <c r="K3208" s="76">
        <f t="shared" si="227"/>
        <v>146.76</v>
      </c>
      <c r="L3208">
        <v>1</v>
      </c>
      <c r="M3208" s="29">
        <v>0</v>
      </c>
      <c r="N3208" t="s">
        <v>32</v>
      </c>
      <c r="O3208" t="s">
        <v>33</v>
      </c>
      <c r="P3208" t="s">
        <v>34</v>
      </c>
      <c r="Q3208" t="s">
        <v>34</v>
      </c>
      <c r="R3208" t="s">
        <v>34</v>
      </c>
      <c r="S3208" t="s">
        <v>34</v>
      </c>
      <c r="T3208" s="117">
        <v>0</v>
      </c>
    </row>
    <row r="3209" spans="1:21" x14ac:dyDescent="0.35">
      <c r="A3209" t="s">
        <v>19</v>
      </c>
      <c r="B3209" t="s">
        <v>19</v>
      </c>
      <c r="C3209" s="1">
        <v>45728</v>
      </c>
      <c r="D3209">
        <f t="shared" si="228"/>
        <v>12</v>
      </c>
      <c r="E3209">
        <f t="shared" si="229"/>
        <v>3</v>
      </c>
      <c r="F3209">
        <f t="shared" si="230"/>
        <v>2025</v>
      </c>
      <c r="G3209" t="s">
        <v>523</v>
      </c>
      <c r="H3209" s="98" t="s">
        <v>912</v>
      </c>
      <c r="I3209" s="29">
        <v>345922.52999999997</v>
      </c>
      <c r="J3209" s="12" t="s">
        <v>31</v>
      </c>
      <c r="K3209" s="76">
        <f t="shared" si="227"/>
        <v>345922.52999999997</v>
      </c>
      <c r="L3209">
        <v>1</v>
      </c>
      <c r="M3209" s="29">
        <v>0</v>
      </c>
      <c r="N3209" t="s">
        <v>32</v>
      </c>
      <c r="O3209" t="s">
        <v>33</v>
      </c>
      <c r="P3209" t="s">
        <v>34</v>
      </c>
      <c r="Q3209" t="s">
        <v>34</v>
      </c>
      <c r="R3209" t="s">
        <v>34</v>
      </c>
      <c r="S3209" t="s">
        <v>34</v>
      </c>
      <c r="T3209" s="117">
        <v>0</v>
      </c>
    </row>
    <row r="3210" spans="1:21" x14ac:dyDescent="0.35">
      <c r="A3210" t="s">
        <v>19</v>
      </c>
      <c r="B3210" t="s">
        <v>19</v>
      </c>
      <c r="C3210" s="1">
        <v>45728</v>
      </c>
      <c r="D3210">
        <f t="shared" si="228"/>
        <v>12</v>
      </c>
      <c r="E3210">
        <f t="shared" si="229"/>
        <v>3</v>
      </c>
      <c r="F3210">
        <f t="shared" si="230"/>
        <v>2025</v>
      </c>
      <c r="G3210" t="s">
        <v>908</v>
      </c>
      <c r="H3210" s="98" t="s">
        <v>913</v>
      </c>
      <c r="I3210" s="29">
        <v>43008.6</v>
      </c>
      <c r="J3210" s="12" t="s">
        <v>31</v>
      </c>
      <c r="K3210" s="76">
        <f t="shared" si="227"/>
        <v>43008.6</v>
      </c>
      <c r="L3210">
        <v>1</v>
      </c>
      <c r="M3210" s="29">
        <v>0</v>
      </c>
      <c r="N3210" t="s">
        <v>32</v>
      </c>
      <c r="O3210" t="s">
        <v>33</v>
      </c>
      <c r="P3210" t="s">
        <v>34</v>
      </c>
      <c r="Q3210" t="s">
        <v>34</v>
      </c>
      <c r="R3210" t="s">
        <v>34</v>
      </c>
      <c r="S3210" t="s">
        <v>34</v>
      </c>
      <c r="T3210" s="117">
        <v>0</v>
      </c>
    </row>
    <row r="3211" spans="1:21" x14ac:dyDescent="0.35">
      <c r="A3211" t="s">
        <v>19</v>
      </c>
      <c r="B3211" t="s">
        <v>19</v>
      </c>
      <c r="C3211" s="1">
        <v>45728</v>
      </c>
      <c r="D3211">
        <f t="shared" si="228"/>
        <v>12</v>
      </c>
      <c r="E3211">
        <f t="shared" si="229"/>
        <v>3</v>
      </c>
      <c r="F3211">
        <f t="shared" si="230"/>
        <v>2025</v>
      </c>
      <c r="G3211" t="s">
        <v>601</v>
      </c>
      <c r="H3211" s="98" t="s">
        <v>914</v>
      </c>
      <c r="I3211" s="29">
        <v>116004.72</v>
      </c>
      <c r="J3211" s="12" t="s">
        <v>31</v>
      </c>
      <c r="K3211" s="76">
        <f t="shared" si="227"/>
        <v>116004.72</v>
      </c>
      <c r="L3211">
        <v>1</v>
      </c>
      <c r="M3211" s="29">
        <v>0</v>
      </c>
      <c r="N3211" t="s">
        <v>32</v>
      </c>
      <c r="O3211" t="s">
        <v>33</v>
      </c>
      <c r="P3211" t="s">
        <v>34</v>
      </c>
      <c r="Q3211" t="s">
        <v>34</v>
      </c>
      <c r="R3211" t="s">
        <v>34</v>
      </c>
      <c r="S3211" t="s">
        <v>34</v>
      </c>
      <c r="T3211" s="117">
        <v>0</v>
      </c>
    </row>
    <row r="3212" spans="1:21" x14ac:dyDescent="0.35">
      <c r="A3212" t="s">
        <v>19</v>
      </c>
      <c r="B3212" t="s">
        <v>19</v>
      </c>
      <c r="C3212" s="1">
        <v>45728</v>
      </c>
      <c r="D3212">
        <f t="shared" si="228"/>
        <v>12</v>
      </c>
      <c r="E3212">
        <f t="shared" si="229"/>
        <v>3</v>
      </c>
      <c r="F3212">
        <f t="shared" si="230"/>
        <v>2025</v>
      </c>
      <c r="G3212" t="s">
        <v>91</v>
      </c>
      <c r="H3212" s="98" t="s">
        <v>915</v>
      </c>
      <c r="I3212" s="29">
        <v>155700.63</v>
      </c>
      <c r="J3212" s="12" t="s">
        <v>31</v>
      </c>
      <c r="K3212" s="76">
        <f t="shared" si="227"/>
        <v>155700.63</v>
      </c>
      <c r="L3212">
        <v>1</v>
      </c>
      <c r="M3212" s="29">
        <v>0</v>
      </c>
      <c r="N3212" t="s">
        <v>32</v>
      </c>
      <c r="O3212" t="s">
        <v>33</v>
      </c>
      <c r="P3212" t="s">
        <v>34</v>
      </c>
      <c r="Q3212" t="s">
        <v>34</v>
      </c>
      <c r="R3212" t="s">
        <v>34</v>
      </c>
      <c r="S3212" t="s">
        <v>34</v>
      </c>
      <c r="T3212" s="117">
        <v>0</v>
      </c>
    </row>
    <row r="3213" spans="1:21" x14ac:dyDescent="0.35">
      <c r="A3213" t="s">
        <v>19</v>
      </c>
      <c r="B3213" t="s">
        <v>26</v>
      </c>
      <c r="C3213" s="1">
        <v>45729</v>
      </c>
      <c r="D3213">
        <f t="shared" si="228"/>
        <v>13</v>
      </c>
      <c r="E3213">
        <f t="shared" si="229"/>
        <v>3</v>
      </c>
      <c r="F3213">
        <f t="shared" si="230"/>
        <v>2025</v>
      </c>
      <c r="G3213" t="s">
        <v>73</v>
      </c>
      <c r="H3213" s="98">
        <v>12305</v>
      </c>
      <c r="I3213" s="29">
        <v>68206.149999999994</v>
      </c>
      <c r="J3213" s="12" t="s">
        <v>51</v>
      </c>
      <c r="K3213" s="76">
        <f t="shared" si="227"/>
        <v>74242.394274999999</v>
      </c>
      <c r="L3213">
        <v>1.0885</v>
      </c>
      <c r="M3213" s="29">
        <v>0</v>
      </c>
      <c r="N3213" t="s">
        <v>32</v>
      </c>
      <c r="O3213" t="s">
        <v>33</v>
      </c>
      <c r="P3213" t="s">
        <v>34</v>
      </c>
      <c r="Q3213" t="s">
        <v>34</v>
      </c>
      <c r="R3213" t="s">
        <v>34</v>
      </c>
      <c r="S3213" t="s">
        <v>34</v>
      </c>
      <c r="T3213" s="117">
        <v>0</v>
      </c>
    </row>
    <row r="3214" spans="1:21" x14ac:dyDescent="0.35">
      <c r="A3214" t="s">
        <v>19</v>
      </c>
      <c r="B3214" t="s">
        <v>26</v>
      </c>
      <c r="C3214" s="1">
        <v>45729</v>
      </c>
      <c r="D3214">
        <f t="shared" si="228"/>
        <v>13</v>
      </c>
      <c r="E3214">
        <f t="shared" si="229"/>
        <v>3</v>
      </c>
      <c r="F3214">
        <f t="shared" si="230"/>
        <v>2025</v>
      </c>
      <c r="G3214" t="s">
        <v>73</v>
      </c>
      <c r="H3214" s="98">
        <v>12326</v>
      </c>
      <c r="I3214" s="29">
        <v>79534.5</v>
      </c>
      <c r="J3214" s="12" t="s">
        <v>51</v>
      </c>
      <c r="K3214" s="76">
        <f t="shared" si="227"/>
        <v>86573.303249999997</v>
      </c>
      <c r="L3214">
        <v>1.0885</v>
      </c>
      <c r="M3214" s="29">
        <v>0</v>
      </c>
      <c r="N3214" t="s">
        <v>32</v>
      </c>
      <c r="O3214" t="s">
        <v>33</v>
      </c>
      <c r="P3214" t="s">
        <v>34</v>
      </c>
      <c r="Q3214" t="s">
        <v>34</v>
      </c>
      <c r="R3214" t="s">
        <v>34</v>
      </c>
      <c r="S3214" t="s">
        <v>34</v>
      </c>
      <c r="T3214" s="117">
        <v>0</v>
      </c>
    </row>
    <row r="3215" spans="1:21" x14ac:dyDescent="0.35">
      <c r="A3215" t="s">
        <v>19</v>
      </c>
      <c r="B3215" t="s">
        <v>19</v>
      </c>
      <c r="C3215" s="1">
        <v>45729</v>
      </c>
      <c r="D3215">
        <f t="shared" si="228"/>
        <v>13</v>
      </c>
      <c r="E3215">
        <f t="shared" si="229"/>
        <v>3</v>
      </c>
      <c r="F3215">
        <f t="shared" si="230"/>
        <v>2025</v>
      </c>
      <c r="G3215" t="s">
        <v>263</v>
      </c>
      <c r="H3215" s="98" t="s">
        <v>916</v>
      </c>
      <c r="I3215" s="29">
        <v>10164</v>
      </c>
      <c r="J3215" s="12" t="s">
        <v>31</v>
      </c>
      <c r="K3215" s="76">
        <f t="shared" si="227"/>
        <v>10164</v>
      </c>
      <c r="L3215">
        <v>1</v>
      </c>
      <c r="M3215" s="29">
        <v>0</v>
      </c>
      <c r="N3215" t="s">
        <v>42</v>
      </c>
      <c r="O3215" t="s">
        <v>33</v>
      </c>
      <c r="P3215" t="s">
        <v>34</v>
      </c>
      <c r="Q3215" t="s">
        <v>34</v>
      </c>
      <c r="R3215" t="s">
        <v>34</v>
      </c>
      <c r="S3215" t="s">
        <v>34</v>
      </c>
      <c r="T3215" s="117">
        <v>0</v>
      </c>
    </row>
    <row r="3216" spans="1:21" x14ac:dyDescent="0.35">
      <c r="A3216" t="s">
        <v>19</v>
      </c>
      <c r="B3216" t="s">
        <v>19</v>
      </c>
      <c r="C3216" s="1">
        <v>45729</v>
      </c>
      <c r="D3216">
        <f t="shared" si="228"/>
        <v>13</v>
      </c>
      <c r="E3216">
        <f t="shared" si="229"/>
        <v>3</v>
      </c>
      <c r="F3216">
        <f t="shared" si="230"/>
        <v>2025</v>
      </c>
      <c r="G3216" t="s">
        <v>263</v>
      </c>
      <c r="H3216" s="98" t="s">
        <v>917</v>
      </c>
      <c r="I3216" s="29">
        <v>14086</v>
      </c>
      <c r="J3216" s="12" t="s">
        <v>31</v>
      </c>
      <c r="K3216" s="76">
        <f t="shared" si="227"/>
        <v>14086</v>
      </c>
      <c r="L3216">
        <v>1</v>
      </c>
      <c r="M3216" s="29">
        <v>0</v>
      </c>
      <c r="N3216" t="s">
        <v>42</v>
      </c>
      <c r="O3216" t="s">
        <v>33</v>
      </c>
      <c r="P3216" t="s">
        <v>34</v>
      </c>
      <c r="Q3216" t="s">
        <v>34</v>
      </c>
      <c r="R3216" t="s">
        <v>34</v>
      </c>
      <c r="S3216" t="s">
        <v>34</v>
      </c>
      <c r="T3216" s="117">
        <v>0</v>
      </c>
    </row>
    <row r="3217" spans="1:20" x14ac:dyDescent="0.35">
      <c r="A3217" t="s">
        <v>20</v>
      </c>
      <c r="B3217" t="s">
        <v>25</v>
      </c>
      <c r="C3217" s="1">
        <v>45733</v>
      </c>
      <c r="D3217">
        <f t="shared" si="228"/>
        <v>17</v>
      </c>
      <c r="E3217">
        <f t="shared" si="229"/>
        <v>3</v>
      </c>
      <c r="F3217">
        <f t="shared" si="230"/>
        <v>2025</v>
      </c>
      <c r="G3217" t="s">
        <v>121</v>
      </c>
      <c r="H3217" s="98">
        <v>11313</v>
      </c>
      <c r="I3217" s="29">
        <v>14102.88</v>
      </c>
      <c r="J3217" s="12" t="s">
        <v>31</v>
      </c>
      <c r="K3217" s="76">
        <f t="shared" si="227"/>
        <v>14102.88</v>
      </c>
      <c r="L3217">
        <v>1</v>
      </c>
      <c r="M3217" s="29">
        <v>0</v>
      </c>
      <c r="N3217" t="s">
        <v>32</v>
      </c>
      <c r="O3217" t="s">
        <v>33</v>
      </c>
      <c r="P3217" t="s">
        <v>34</v>
      </c>
      <c r="Q3217" t="s">
        <v>34</v>
      </c>
      <c r="R3217" t="s">
        <v>34</v>
      </c>
      <c r="S3217" t="s">
        <v>34</v>
      </c>
      <c r="T3217" s="117">
        <v>0</v>
      </c>
    </row>
    <row r="3218" spans="1:20" x14ac:dyDescent="0.35">
      <c r="A3218" t="s">
        <v>19</v>
      </c>
      <c r="B3218" t="s">
        <v>19</v>
      </c>
      <c r="C3218" s="1">
        <v>45734</v>
      </c>
      <c r="D3218">
        <f t="shared" si="228"/>
        <v>18</v>
      </c>
      <c r="E3218">
        <f t="shared" si="229"/>
        <v>3</v>
      </c>
      <c r="F3218">
        <f t="shared" si="230"/>
        <v>2025</v>
      </c>
      <c r="G3218" t="s">
        <v>59</v>
      </c>
      <c r="H3218" s="98" t="s">
        <v>921</v>
      </c>
      <c r="I3218" s="29">
        <v>764.5</v>
      </c>
      <c r="J3218" s="12" t="s">
        <v>31</v>
      </c>
      <c r="K3218" s="76">
        <f t="shared" si="227"/>
        <v>764.5</v>
      </c>
      <c r="L3218">
        <v>1</v>
      </c>
      <c r="M3218" s="29">
        <v>0</v>
      </c>
      <c r="N3218" t="s">
        <v>32</v>
      </c>
      <c r="O3218" t="s">
        <v>33</v>
      </c>
      <c r="P3218" t="s">
        <v>34</v>
      </c>
      <c r="Q3218" t="s">
        <v>34</v>
      </c>
      <c r="R3218" t="s">
        <v>34</v>
      </c>
      <c r="S3218" t="s">
        <v>34</v>
      </c>
      <c r="T3218" s="117">
        <v>0</v>
      </c>
    </row>
    <row r="3219" spans="1:20" x14ac:dyDescent="0.35">
      <c r="A3219" t="s">
        <v>20</v>
      </c>
      <c r="B3219" t="s">
        <v>21</v>
      </c>
      <c r="C3219" s="1">
        <v>45735</v>
      </c>
      <c r="D3219">
        <f t="shared" si="228"/>
        <v>19</v>
      </c>
      <c r="E3219">
        <f t="shared" si="229"/>
        <v>3</v>
      </c>
      <c r="F3219">
        <f t="shared" si="230"/>
        <v>2025</v>
      </c>
      <c r="G3219" t="s">
        <v>52</v>
      </c>
      <c r="H3219" s="98">
        <v>11443</v>
      </c>
      <c r="I3219" s="29">
        <v>101944.55</v>
      </c>
      <c r="J3219" s="12" t="s">
        <v>31</v>
      </c>
      <c r="K3219" s="76">
        <f t="shared" si="227"/>
        <v>101944.55</v>
      </c>
      <c r="L3219">
        <v>1</v>
      </c>
      <c r="M3219" s="29">
        <v>0</v>
      </c>
      <c r="N3219" t="s">
        <v>32</v>
      </c>
      <c r="O3219" t="s">
        <v>33</v>
      </c>
      <c r="P3219" t="s">
        <v>34</v>
      </c>
      <c r="Q3219" t="s">
        <v>34</v>
      </c>
      <c r="R3219" t="s">
        <v>34</v>
      </c>
      <c r="S3219" t="s">
        <v>34</v>
      </c>
      <c r="T3219" s="117">
        <v>0</v>
      </c>
    </row>
    <row r="3220" spans="1:20" x14ac:dyDescent="0.35">
      <c r="A3220" t="s">
        <v>20</v>
      </c>
      <c r="B3220" t="s">
        <v>21</v>
      </c>
      <c r="C3220" s="1">
        <v>45735</v>
      </c>
      <c r="D3220">
        <f t="shared" si="228"/>
        <v>19</v>
      </c>
      <c r="E3220">
        <f t="shared" si="229"/>
        <v>3</v>
      </c>
      <c r="F3220">
        <f t="shared" si="230"/>
        <v>2025</v>
      </c>
      <c r="G3220" t="s">
        <v>52</v>
      </c>
      <c r="H3220" s="98">
        <v>11444</v>
      </c>
      <c r="I3220" s="29">
        <v>971.88</v>
      </c>
      <c r="J3220" s="12" t="s">
        <v>31</v>
      </c>
      <c r="K3220" s="76">
        <f t="shared" si="227"/>
        <v>971.88</v>
      </c>
      <c r="L3220">
        <v>1</v>
      </c>
      <c r="M3220" s="29">
        <v>0</v>
      </c>
      <c r="N3220" t="s">
        <v>32</v>
      </c>
      <c r="O3220" t="s">
        <v>33</v>
      </c>
      <c r="P3220" t="s">
        <v>34</v>
      </c>
      <c r="Q3220" t="s">
        <v>34</v>
      </c>
      <c r="R3220" t="s">
        <v>34</v>
      </c>
      <c r="S3220" t="s">
        <v>34</v>
      </c>
      <c r="T3220" s="117">
        <v>0</v>
      </c>
    </row>
    <row r="3221" spans="1:20" x14ac:dyDescent="0.35">
      <c r="A3221" t="s">
        <v>20</v>
      </c>
      <c r="B3221" t="s">
        <v>21</v>
      </c>
      <c r="C3221" s="1">
        <v>45735</v>
      </c>
      <c r="D3221">
        <f t="shared" si="228"/>
        <v>19</v>
      </c>
      <c r="E3221">
        <f t="shared" si="229"/>
        <v>3</v>
      </c>
      <c r="F3221">
        <f t="shared" si="230"/>
        <v>2025</v>
      </c>
      <c r="G3221" t="s">
        <v>52</v>
      </c>
      <c r="H3221" s="98">
        <v>12198</v>
      </c>
      <c r="I3221" s="29">
        <v>66</v>
      </c>
      <c r="J3221" s="12" t="s">
        <v>31</v>
      </c>
      <c r="K3221" s="76">
        <f t="shared" si="227"/>
        <v>66</v>
      </c>
      <c r="L3221">
        <v>1</v>
      </c>
      <c r="M3221" s="29">
        <v>0</v>
      </c>
      <c r="N3221" t="s">
        <v>32</v>
      </c>
      <c r="O3221" t="s">
        <v>33</v>
      </c>
      <c r="P3221" t="s">
        <v>34</v>
      </c>
      <c r="Q3221" t="s">
        <v>34</v>
      </c>
      <c r="R3221" t="s">
        <v>34</v>
      </c>
      <c r="S3221" t="s">
        <v>34</v>
      </c>
      <c r="T3221" s="117">
        <v>0</v>
      </c>
    </row>
    <row r="3222" spans="1:20" x14ac:dyDescent="0.35">
      <c r="A3222" t="s">
        <v>20</v>
      </c>
      <c r="B3222" t="s">
        <v>21</v>
      </c>
      <c r="C3222" s="1">
        <v>45735</v>
      </c>
      <c r="D3222">
        <f t="shared" si="228"/>
        <v>19</v>
      </c>
      <c r="E3222">
        <f t="shared" si="229"/>
        <v>3</v>
      </c>
      <c r="F3222">
        <f t="shared" si="230"/>
        <v>2025</v>
      </c>
      <c r="G3222" t="s">
        <v>52</v>
      </c>
      <c r="H3222" s="98">
        <v>11553</v>
      </c>
      <c r="I3222" s="29">
        <v>90.34</v>
      </c>
      <c r="J3222" s="12" t="s">
        <v>31</v>
      </c>
      <c r="K3222" s="76">
        <f t="shared" si="227"/>
        <v>90.34</v>
      </c>
      <c r="L3222">
        <v>1</v>
      </c>
      <c r="M3222" s="29">
        <v>0</v>
      </c>
      <c r="N3222" t="s">
        <v>32</v>
      </c>
      <c r="O3222" t="s">
        <v>33</v>
      </c>
      <c r="P3222" t="s">
        <v>34</v>
      </c>
      <c r="Q3222" t="s">
        <v>34</v>
      </c>
      <c r="R3222" t="s">
        <v>34</v>
      </c>
      <c r="S3222" t="s">
        <v>34</v>
      </c>
      <c r="T3222" s="117">
        <v>0</v>
      </c>
    </row>
    <row r="3223" spans="1:20" x14ac:dyDescent="0.35">
      <c r="A3223" t="s">
        <v>20</v>
      </c>
      <c r="B3223" t="s">
        <v>21</v>
      </c>
      <c r="C3223" s="1">
        <v>45735</v>
      </c>
      <c r="D3223">
        <f t="shared" si="228"/>
        <v>19</v>
      </c>
      <c r="E3223">
        <f t="shared" si="229"/>
        <v>3</v>
      </c>
      <c r="F3223">
        <f t="shared" si="230"/>
        <v>2025</v>
      </c>
      <c r="G3223" t="s">
        <v>53</v>
      </c>
      <c r="H3223" s="171">
        <v>12114</v>
      </c>
      <c r="I3223" s="90">
        <v>15734.28</v>
      </c>
      <c r="J3223" s="12" t="s">
        <v>31</v>
      </c>
      <c r="K3223" s="76">
        <f t="shared" si="227"/>
        <v>15734.28</v>
      </c>
      <c r="L3223">
        <v>1</v>
      </c>
      <c r="M3223" s="29">
        <v>0</v>
      </c>
      <c r="N3223" t="s">
        <v>32</v>
      </c>
      <c r="O3223" t="s">
        <v>33</v>
      </c>
      <c r="P3223" t="s">
        <v>34</v>
      </c>
      <c r="Q3223" t="s">
        <v>34</v>
      </c>
      <c r="R3223" t="s">
        <v>34</v>
      </c>
      <c r="S3223" t="s">
        <v>34</v>
      </c>
      <c r="T3223" s="117">
        <v>0</v>
      </c>
    </row>
    <row r="3224" spans="1:20" x14ac:dyDescent="0.35">
      <c r="A3224" t="s">
        <v>20</v>
      </c>
      <c r="B3224" t="s">
        <v>23</v>
      </c>
      <c r="C3224" s="1">
        <v>45735</v>
      </c>
      <c r="D3224">
        <f t="shared" si="228"/>
        <v>19</v>
      </c>
      <c r="E3224">
        <f t="shared" si="229"/>
        <v>3</v>
      </c>
      <c r="F3224">
        <f t="shared" si="230"/>
        <v>2025</v>
      </c>
      <c r="G3224" t="s">
        <v>53</v>
      </c>
      <c r="H3224" s="171">
        <v>12037</v>
      </c>
      <c r="I3224" s="90">
        <v>80.5</v>
      </c>
      <c r="J3224" s="12" t="s">
        <v>31</v>
      </c>
      <c r="K3224" s="76">
        <f t="shared" si="227"/>
        <v>80.5</v>
      </c>
      <c r="L3224">
        <v>1</v>
      </c>
      <c r="M3224" s="29">
        <v>0</v>
      </c>
      <c r="N3224" t="s">
        <v>32</v>
      </c>
      <c r="O3224" t="s">
        <v>33</v>
      </c>
      <c r="P3224" t="s">
        <v>34</v>
      </c>
      <c r="Q3224" t="s">
        <v>34</v>
      </c>
      <c r="R3224" t="s">
        <v>34</v>
      </c>
      <c r="S3224" t="s">
        <v>34</v>
      </c>
      <c r="T3224" s="117">
        <v>134</v>
      </c>
    </row>
    <row r="3225" spans="1:20" x14ac:dyDescent="0.35">
      <c r="A3225" t="s">
        <v>20</v>
      </c>
      <c r="B3225" t="s">
        <v>21</v>
      </c>
      <c r="C3225" s="1">
        <v>45735</v>
      </c>
      <c r="D3225">
        <f t="shared" si="228"/>
        <v>19</v>
      </c>
      <c r="E3225">
        <f t="shared" si="229"/>
        <v>3</v>
      </c>
      <c r="F3225">
        <f t="shared" si="230"/>
        <v>2025</v>
      </c>
      <c r="G3225" t="s">
        <v>53</v>
      </c>
      <c r="H3225" s="171">
        <v>12218</v>
      </c>
      <c r="I3225" s="90">
        <v>116</v>
      </c>
      <c r="J3225" s="12" t="s">
        <v>31</v>
      </c>
      <c r="K3225" s="76">
        <f t="shared" si="227"/>
        <v>116</v>
      </c>
      <c r="L3225">
        <v>1</v>
      </c>
      <c r="M3225" s="29">
        <v>0</v>
      </c>
      <c r="N3225" t="s">
        <v>32</v>
      </c>
      <c r="O3225" t="s">
        <v>33</v>
      </c>
      <c r="P3225" t="s">
        <v>34</v>
      </c>
      <c r="Q3225" t="s">
        <v>34</v>
      </c>
      <c r="R3225" t="s">
        <v>34</v>
      </c>
      <c r="S3225" t="s">
        <v>34</v>
      </c>
      <c r="T3225" s="117">
        <v>0</v>
      </c>
    </row>
    <row r="3226" spans="1:20" x14ac:dyDescent="0.35">
      <c r="A3226" t="s">
        <v>20</v>
      </c>
      <c r="B3226" t="s">
        <v>25</v>
      </c>
      <c r="C3226" s="1">
        <v>45735</v>
      </c>
      <c r="D3226">
        <f t="shared" si="228"/>
        <v>19</v>
      </c>
      <c r="E3226">
        <f t="shared" si="229"/>
        <v>3</v>
      </c>
      <c r="F3226">
        <f t="shared" si="230"/>
        <v>2025</v>
      </c>
      <c r="G3226" t="s">
        <v>53</v>
      </c>
      <c r="H3226" s="171">
        <v>12211</v>
      </c>
      <c r="I3226" s="90">
        <v>38</v>
      </c>
      <c r="J3226" s="12" t="s">
        <v>31</v>
      </c>
      <c r="K3226" s="76">
        <f t="shared" si="227"/>
        <v>38</v>
      </c>
      <c r="L3226">
        <v>1</v>
      </c>
      <c r="M3226" s="29">
        <v>0</v>
      </c>
      <c r="N3226" t="s">
        <v>32</v>
      </c>
      <c r="O3226" t="s">
        <v>33</v>
      </c>
      <c r="P3226" t="s">
        <v>34</v>
      </c>
      <c r="Q3226" t="s">
        <v>34</v>
      </c>
      <c r="R3226" t="s">
        <v>34</v>
      </c>
      <c r="S3226" t="s">
        <v>34</v>
      </c>
      <c r="T3226" s="117">
        <v>0</v>
      </c>
    </row>
    <row r="3227" spans="1:20" x14ac:dyDescent="0.35">
      <c r="A3227" t="s">
        <v>20</v>
      </c>
      <c r="B3227" t="s">
        <v>24</v>
      </c>
      <c r="C3227" s="1">
        <v>45735</v>
      </c>
      <c r="D3227">
        <f t="shared" si="228"/>
        <v>19</v>
      </c>
      <c r="E3227">
        <f t="shared" si="229"/>
        <v>3</v>
      </c>
      <c r="F3227">
        <f t="shared" si="230"/>
        <v>2025</v>
      </c>
      <c r="G3227" t="s">
        <v>82</v>
      </c>
      <c r="H3227" s="98">
        <v>11821</v>
      </c>
      <c r="I3227" s="29">
        <v>44.4</v>
      </c>
      <c r="J3227" s="12" t="s">
        <v>31</v>
      </c>
      <c r="K3227" s="76">
        <f t="shared" si="227"/>
        <v>44.4</v>
      </c>
      <c r="L3227">
        <v>1</v>
      </c>
      <c r="M3227" s="29">
        <v>0</v>
      </c>
      <c r="N3227" t="s">
        <v>32</v>
      </c>
      <c r="O3227" t="s">
        <v>33</v>
      </c>
      <c r="P3227" t="s">
        <v>34</v>
      </c>
      <c r="Q3227" t="s">
        <v>34</v>
      </c>
      <c r="R3227" t="s">
        <v>34</v>
      </c>
      <c r="S3227" t="s">
        <v>34</v>
      </c>
      <c r="T3227" s="117">
        <v>0</v>
      </c>
    </row>
    <row r="3228" spans="1:20" x14ac:dyDescent="0.35">
      <c r="A3228" t="s">
        <v>20</v>
      </c>
      <c r="B3228" t="s">
        <v>24</v>
      </c>
      <c r="C3228" s="1">
        <v>45735</v>
      </c>
      <c r="D3228">
        <f t="shared" si="228"/>
        <v>19</v>
      </c>
      <c r="E3228">
        <f t="shared" si="229"/>
        <v>3</v>
      </c>
      <c r="F3228">
        <f t="shared" si="230"/>
        <v>2025</v>
      </c>
      <c r="G3228" t="s">
        <v>82</v>
      </c>
      <c r="H3228" s="98">
        <v>11826</v>
      </c>
      <c r="I3228" s="29">
        <v>146</v>
      </c>
      <c r="J3228" s="12" t="s">
        <v>31</v>
      </c>
      <c r="K3228" s="76">
        <f t="shared" si="227"/>
        <v>146</v>
      </c>
      <c r="L3228">
        <v>1</v>
      </c>
      <c r="M3228" s="29">
        <v>0</v>
      </c>
      <c r="N3228" t="s">
        <v>32</v>
      </c>
      <c r="O3228" t="s">
        <v>33</v>
      </c>
      <c r="P3228" t="s">
        <v>34</v>
      </c>
      <c r="Q3228" t="s">
        <v>34</v>
      </c>
      <c r="R3228" t="s">
        <v>34</v>
      </c>
      <c r="S3228" t="s">
        <v>34</v>
      </c>
      <c r="T3228" s="117">
        <v>0</v>
      </c>
    </row>
    <row r="3229" spans="1:20" x14ac:dyDescent="0.35">
      <c r="A3229" t="s">
        <v>20</v>
      </c>
      <c r="B3229" t="s">
        <v>23</v>
      </c>
      <c r="C3229" s="1">
        <v>45735</v>
      </c>
      <c r="D3229">
        <f t="shared" si="228"/>
        <v>19</v>
      </c>
      <c r="E3229">
        <f t="shared" si="229"/>
        <v>3</v>
      </c>
      <c r="F3229">
        <f t="shared" si="230"/>
        <v>2025</v>
      </c>
      <c r="G3229" t="s">
        <v>82</v>
      </c>
      <c r="H3229" s="98">
        <v>11627</v>
      </c>
      <c r="I3229" s="29">
        <v>19031.259999999998</v>
      </c>
      <c r="J3229" s="12" t="s">
        <v>31</v>
      </c>
      <c r="K3229" s="76">
        <f t="shared" si="227"/>
        <v>19031.259999999998</v>
      </c>
      <c r="L3229">
        <v>1</v>
      </c>
      <c r="M3229" s="29">
        <v>0</v>
      </c>
      <c r="N3229" t="s">
        <v>32</v>
      </c>
      <c r="O3229" t="s">
        <v>33</v>
      </c>
      <c r="P3229" t="s">
        <v>34</v>
      </c>
      <c r="Q3229" t="s">
        <v>34</v>
      </c>
      <c r="R3229" t="s">
        <v>34</v>
      </c>
      <c r="S3229" t="s">
        <v>34</v>
      </c>
      <c r="T3229" s="117">
        <v>0</v>
      </c>
    </row>
    <row r="3230" spans="1:20" x14ac:dyDescent="0.35">
      <c r="A3230" t="s">
        <v>20</v>
      </c>
      <c r="B3230" t="s">
        <v>21</v>
      </c>
      <c r="C3230" s="1">
        <v>45735</v>
      </c>
      <c r="D3230">
        <f t="shared" si="228"/>
        <v>19</v>
      </c>
      <c r="E3230">
        <f t="shared" si="229"/>
        <v>3</v>
      </c>
      <c r="F3230">
        <f t="shared" si="230"/>
        <v>2025</v>
      </c>
      <c r="G3230" t="s">
        <v>82</v>
      </c>
      <c r="H3230" s="98">
        <v>11627</v>
      </c>
      <c r="I3230" s="29">
        <v>8971.69</v>
      </c>
      <c r="J3230" s="12" t="s">
        <v>31</v>
      </c>
      <c r="K3230" s="76">
        <f t="shared" si="227"/>
        <v>8971.69</v>
      </c>
      <c r="L3230">
        <v>1</v>
      </c>
      <c r="M3230" s="29">
        <v>0</v>
      </c>
      <c r="N3230" t="s">
        <v>32</v>
      </c>
      <c r="O3230" t="s">
        <v>33</v>
      </c>
      <c r="P3230" t="s">
        <v>34</v>
      </c>
      <c r="Q3230" t="s">
        <v>34</v>
      </c>
      <c r="R3230" t="s">
        <v>34</v>
      </c>
      <c r="S3230" t="s">
        <v>34</v>
      </c>
      <c r="T3230" s="117">
        <v>0</v>
      </c>
    </row>
    <row r="3231" spans="1:20" x14ac:dyDescent="0.35">
      <c r="A3231" t="s">
        <v>20</v>
      </c>
      <c r="B3231" t="s">
        <v>21</v>
      </c>
      <c r="C3231" s="1">
        <v>45735</v>
      </c>
      <c r="D3231">
        <f t="shared" si="228"/>
        <v>19</v>
      </c>
      <c r="E3231">
        <f t="shared" si="229"/>
        <v>3</v>
      </c>
      <c r="F3231">
        <f t="shared" si="230"/>
        <v>2025</v>
      </c>
      <c r="G3231" t="s">
        <v>118</v>
      </c>
      <c r="H3231" s="98">
        <v>12067</v>
      </c>
      <c r="I3231" s="29">
        <v>64222.53</v>
      </c>
      <c r="J3231" s="12" t="s">
        <v>31</v>
      </c>
      <c r="K3231" s="76">
        <f t="shared" si="227"/>
        <v>64222.53</v>
      </c>
      <c r="L3231">
        <v>1</v>
      </c>
      <c r="M3231" s="29">
        <v>0</v>
      </c>
      <c r="N3231" t="s">
        <v>32</v>
      </c>
      <c r="O3231" t="s">
        <v>33</v>
      </c>
      <c r="P3231" t="s">
        <v>34</v>
      </c>
      <c r="Q3231" t="s">
        <v>34</v>
      </c>
      <c r="R3231" t="s">
        <v>34</v>
      </c>
      <c r="S3231" t="s">
        <v>34</v>
      </c>
      <c r="T3231" s="117">
        <v>0</v>
      </c>
    </row>
    <row r="3232" spans="1:20" x14ac:dyDescent="0.35">
      <c r="A3232" t="s">
        <v>20</v>
      </c>
      <c r="B3232" t="s">
        <v>23</v>
      </c>
      <c r="C3232" s="1">
        <v>45735</v>
      </c>
      <c r="D3232">
        <f t="shared" si="228"/>
        <v>19</v>
      </c>
      <c r="E3232">
        <f t="shared" si="229"/>
        <v>3</v>
      </c>
      <c r="F3232">
        <f t="shared" si="230"/>
        <v>2025</v>
      </c>
      <c r="G3232" t="s">
        <v>118</v>
      </c>
      <c r="H3232" s="98">
        <v>12330</v>
      </c>
      <c r="I3232" s="29">
        <v>8577.7999999999993</v>
      </c>
      <c r="J3232" s="12" t="s">
        <v>31</v>
      </c>
      <c r="K3232" s="76">
        <f t="shared" si="227"/>
        <v>8577.7999999999993</v>
      </c>
      <c r="L3232">
        <v>1</v>
      </c>
      <c r="M3232" s="29">
        <v>0</v>
      </c>
      <c r="N3232" t="s">
        <v>42</v>
      </c>
      <c r="O3232" t="s">
        <v>33</v>
      </c>
      <c r="P3232" t="s">
        <v>34</v>
      </c>
      <c r="Q3232" t="s">
        <v>34</v>
      </c>
      <c r="R3232" t="s">
        <v>34</v>
      </c>
      <c r="S3232" t="s">
        <v>34</v>
      </c>
      <c r="T3232" s="117">
        <v>0</v>
      </c>
    </row>
    <row r="3233" spans="1:21" x14ac:dyDescent="0.35">
      <c r="A3233" t="s">
        <v>20</v>
      </c>
      <c r="B3233" t="s">
        <v>23</v>
      </c>
      <c r="C3233" s="1">
        <v>45735</v>
      </c>
      <c r="D3233">
        <f t="shared" si="228"/>
        <v>19</v>
      </c>
      <c r="E3233">
        <f t="shared" si="229"/>
        <v>3</v>
      </c>
      <c r="F3233">
        <f t="shared" si="230"/>
        <v>2025</v>
      </c>
      <c r="G3233" t="s">
        <v>118</v>
      </c>
      <c r="H3233" s="98">
        <v>12331</v>
      </c>
      <c r="I3233" s="29">
        <v>142.80000000000001</v>
      </c>
      <c r="J3233" s="12" t="s">
        <v>31</v>
      </c>
      <c r="K3233" s="76">
        <f t="shared" si="227"/>
        <v>142.80000000000001</v>
      </c>
      <c r="L3233">
        <v>1</v>
      </c>
      <c r="M3233" s="29">
        <v>0</v>
      </c>
      <c r="N3233" t="s">
        <v>42</v>
      </c>
      <c r="O3233" t="s">
        <v>33</v>
      </c>
      <c r="P3233" t="s">
        <v>34</v>
      </c>
      <c r="Q3233" t="s">
        <v>34</v>
      </c>
      <c r="R3233" t="s">
        <v>34</v>
      </c>
      <c r="S3233" t="s">
        <v>34</v>
      </c>
      <c r="T3233" s="117">
        <v>0</v>
      </c>
    </row>
    <row r="3234" spans="1:21" x14ac:dyDescent="0.35">
      <c r="A3234" t="s">
        <v>20</v>
      </c>
      <c r="B3234" t="s">
        <v>25</v>
      </c>
      <c r="C3234" s="1">
        <v>45735</v>
      </c>
      <c r="D3234">
        <f t="shared" si="228"/>
        <v>19</v>
      </c>
      <c r="E3234">
        <f t="shared" si="229"/>
        <v>3</v>
      </c>
      <c r="F3234">
        <f t="shared" si="230"/>
        <v>2025</v>
      </c>
      <c r="G3234" t="s">
        <v>118</v>
      </c>
      <c r="H3234" s="98">
        <v>12067</v>
      </c>
      <c r="I3234" s="29">
        <v>9596.4699999999993</v>
      </c>
      <c r="J3234" s="12" t="s">
        <v>31</v>
      </c>
      <c r="K3234" s="76">
        <f t="shared" si="227"/>
        <v>9596.4699999999993</v>
      </c>
      <c r="L3234">
        <v>1</v>
      </c>
      <c r="M3234" s="29">
        <v>0</v>
      </c>
      <c r="N3234" t="s">
        <v>32</v>
      </c>
      <c r="O3234" t="s">
        <v>33</v>
      </c>
      <c r="P3234" t="s">
        <v>34</v>
      </c>
      <c r="Q3234" t="s">
        <v>34</v>
      </c>
      <c r="R3234" t="s">
        <v>34</v>
      </c>
      <c r="S3234" t="s">
        <v>34</v>
      </c>
      <c r="T3234" s="117">
        <v>0</v>
      </c>
    </row>
    <row r="3235" spans="1:21" x14ac:dyDescent="0.35">
      <c r="A3235" t="s">
        <v>20</v>
      </c>
      <c r="B3235" t="s">
        <v>23</v>
      </c>
      <c r="C3235" s="1">
        <v>45735</v>
      </c>
      <c r="D3235">
        <f t="shared" si="228"/>
        <v>19</v>
      </c>
      <c r="E3235">
        <f t="shared" si="229"/>
        <v>3</v>
      </c>
      <c r="F3235">
        <f t="shared" si="230"/>
        <v>2025</v>
      </c>
      <c r="G3235" t="s">
        <v>48</v>
      </c>
      <c r="H3235" s="98">
        <v>12108</v>
      </c>
      <c r="I3235" s="29">
        <v>8004</v>
      </c>
      <c r="J3235" s="12" t="s">
        <v>31</v>
      </c>
      <c r="K3235" s="76">
        <f t="shared" si="227"/>
        <v>8004</v>
      </c>
      <c r="L3235">
        <v>1</v>
      </c>
      <c r="M3235" s="29">
        <v>0</v>
      </c>
      <c r="N3235" t="s">
        <v>42</v>
      </c>
      <c r="O3235" t="s">
        <v>33</v>
      </c>
      <c r="P3235" t="s">
        <v>34</v>
      </c>
      <c r="Q3235" t="s">
        <v>34</v>
      </c>
      <c r="R3235" t="s">
        <v>34</v>
      </c>
      <c r="S3235" t="s">
        <v>34</v>
      </c>
      <c r="T3235" s="117">
        <v>0</v>
      </c>
    </row>
    <row r="3236" spans="1:21" x14ac:dyDescent="0.35">
      <c r="A3236" t="s">
        <v>20</v>
      </c>
      <c r="B3236" t="s">
        <v>24</v>
      </c>
      <c r="C3236" s="1">
        <v>45735</v>
      </c>
      <c r="D3236">
        <f t="shared" si="228"/>
        <v>19</v>
      </c>
      <c r="E3236">
        <f t="shared" si="229"/>
        <v>3</v>
      </c>
      <c r="F3236">
        <f t="shared" si="230"/>
        <v>2025</v>
      </c>
      <c r="G3236" t="s">
        <v>50</v>
      </c>
      <c r="H3236" s="98">
        <v>12358</v>
      </c>
      <c r="I3236" s="29">
        <v>6600</v>
      </c>
      <c r="J3236" s="12" t="s">
        <v>31</v>
      </c>
      <c r="K3236" s="76">
        <f t="shared" si="227"/>
        <v>6600</v>
      </c>
      <c r="L3236">
        <v>1</v>
      </c>
      <c r="M3236" s="29">
        <v>0</v>
      </c>
      <c r="N3236" t="s">
        <v>42</v>
      </c>
      <c r="O3236" t="s">
        <v>33</v>
      </c>
      <c r="P3236" t="s">
        <v>34</v>
      </c>
      <c r="Q3236" t="s">
        <v>34</v>
      </c>
      <c r="R3236" t="s">
        <v>34</v>
      </c>
      <c r="S3236" t="s">
        <v>34</v>
      </c>
      <c r="T3236" s="117">
        <v>0</v>
      </c>
    </row>
    <row r="3237" spans="1:21" x14ac:dyDescent="0.35">
      <c r="A3237" t="s">
        <v>20</v>
      </c>
      <c r="B3237" t="s">
        <v>23</v>
      </c>
      <c r="C3237" s="1">
        <v>45735</v>
      </c>
      <c r="D3237">
        <f t="shared" si="228"/>
        <v>19</v>
      </c>
      <c r="E3237">
        <f t="shared" si="229"/>
        <v>3</v>
      </c>
      <c r="F3237">
        <f t="shared" si="230"/>
        <v>2025</v>
      </c>
      <c r="G3237" t="s">
        <v>595</v>
      </c>
      <c r="H3237" s="98">
        <v>12440</v>
      </c>
      <c r="I3237" s="29">
        <v>6457.15</v>
      </c>
      <c r="J3237" s="12" t="s">
        <v>31</v>
      </c>
      <c r="K3237" s="76">
        <f t="shared" si="227"/>
        <v>6457.15</v>
      </c>
      <c r="L3237">
        <v>1</v>
      </c>
      <c r="M3237" s="29">
        <v>0</v>
      </c>
      <c r="N3237" t="s">
        <v>42</v>
      </c>
      <c r="O3237" t="s">
        <v>33</v>
      </c>
      <c r="P3237" t="s">
        <v>34</v>
      </c>
      <c r="Q3237" t="s">
        <v>34</v>
      </c>
      <c r="R3237" t="s">
        <v>34</v>
      </c>
      <c r="S3237" t="s">
        <v>34</v>
      </c>
      <c r="T3237" s="117">
        <v>0</v>
      </c>
      <c r="U3237" s="209" t="s">
        <v>949</v>
      </c>
    </row>
    <row r="3238" spans="1:21" x14ac:dyDescent="0.35">
      <c r="A3238" t="s">
        <v>20</v>
      </c>
      <c r="B3238" t="s">
        <v>23</v>
      </c>
      <c r="C3238" s="1">
        <v>45735</v>
      </c>
      <c r="D3238">
        <f t="shared" si="228"/>
        <v>19</v>
      </c>
      <c r="E3238">
        <f t="shared" si="229"/>
        <v>3</v>
      </c>
      <c r="F3238">
        <f t="shared" si="230"/>
        <v>2025</v>
      </c>
      <c r="G3238" t="s">
        <v>595</v>
      </c>
      <c r="H3238" s="98">
        <v>12671</v>
      </c>
      <c r="I3238" s="29">
        <v>0.35</v>
      </c>
      <c r="J3238" s="12" t="s">
        <v>31</v>
      </c>
      <c r="K3238" s="76">
        <f t="shared" si="227"/>
        <v>0.35</v>
      </c>
      <c r="L3238">
        <v>1</v>
      </c>
      <c r="M3238" s="29">
        <v>0</v>
      </c>
      <c r="N3238" t="s">
        <v>42</v>
      </c>
      <c r="O3238" t="s">
        <v>33</v>
      </c>
      <c r="P3238" t="s">
        <v>34</v>
      </c>
      <c r="Q3238" t="s">
        <v>34</v>
      </c>
      <c r="R3238" t="s">
        <v>34</v>
      </c>
      <c r="S3238" t="s">
        <v>34</v>
      </c>
      <c r="T3238" s="117">
        <v>0</v>
      </c>
      <c r="U3238" s="209" t="s">
        <v>1142</v>
      </c>
    </row>
    <row r="3239" spans="1:21" x14ac:dyDescent="0.35">
      <c r="A3239" t="s">
        <v>20</v>
      </c>
      <c r="B3239" t="s">
        <v>23</v>
      </c>
      <c r="C3239" s="1">
        <v>45735</v>
      </c>
      <c r="D3239">
        <f t="shared" si="228"/>
        <v>19</v>
      </c>
      <c r="E3239">
        <f t="shared" si="229"/>
        <v>3</v>
      </c>
      <c r="F3239">
        <f t="shared" si="230"/>
        <v>2025</v>
      </c>
      <c r="G3239" t="s">
        <v>595</v>
      </c>
      <c r="H3239" s="98">
        <v>12360</v>
      </c>
      <c r="I3239" s="29">
        <v>81.5</v>
      </c>
      <c r="J3239" s="12" t="s">
        <v>31</v>
      </c>
      <c r="K3239" s="76">
        <f t="shared" si="227"/>
        <v>81.5</v>
      </c>
      <c r="L3239">
        <v>1</v>
      </c>
      <c r="M3239" s="29">
        <v>0</v>
      </c>
      <c r="N3239" t="s">
        <v>42</v>
      </c>
      <c r="O3239" t="s">
        <v>33</v>
      </c>
      <c r="P3239" t="s">
        <v>34</v>
      </c>
      <c r="Q3239" t="s">
        <v>34</v>
      </c>
      <c r="R3239" t="s">
        <v>34</v>
      </c>
      <c r="S3239" t="s">
        <v>34</v>
      </c>
      <c r="T3239" s="117">
        <v>0</v>
      </c>
    </row>
    <row r="3240" spans="1:21" x14ac:dyDescent="0.35">
      <c r="A3240" t="s">
        <v>20</v>
      </c>
      <c r="B3240" t="s">
        <v>21</v>
      </c>
      <c r="C3240" s="1">
        <v>45735</v>
      </c>
      <c r="D3240">
        <f t="shared" si="228"/>
        <v>19</v>
      </c>
      <c r="E3240">
        <f t="shared" si="229"/>
        <v>3</v>
      </c>
      <c r="F3240">
        <f t="shared" si="230"/>
        <v>2025</v>
      </c>
      <c r="G3240" t="s">
        <v>595</v>
      </c>
      <c r="H3240" s="98">
        <v>11640</v>
      </c>
      <c r="I3240" s="29">
        <v>2223.5300000000002</v>
      </c>
      <c r="J3240" s="12" t="s">
        <v>31</v>
      </c>
      <c r="K3240" s="76">
        <f t="shared" si="227"/>
        <v>2223.5300000000002</v>
      </c>
      <c r="L3240">
        <v>1</v>
      </c>
      <c r="M3240" s="29">
        <v>0</v>
      </c>
      <c r="N3240" t="s">
        <v>32</v>
      </c>
      <c r="O3240" t="s">
        <v>33</v>
      </c>
      <c r="P3240" t="s">
        <v>34</v>
      </c>
      <c r="Q3240" t="s">
        <v>34</v>
      </c>
      <c r="R3240" t="s">
        <v>34</v>
      </c>
      <c r="S3240" t="s">
        <v>34</v>
      </c>
      <c r="T3240" s="117">
        <v>0</v>
      </c>
    </row>
    <row r="3241" spans="1:21" x14ac:dyDescent="0.35">
      <c r="A3241" t="s">
        <v>20</v>
      </c>
      <c r="B3241" t="s">
        <v>21</v>
      </c>
      <c r="C3241" s="1">
        <v>45735</v>
      </c>
      <c r="D3241">
        <f t="shared" si="228"/>
        <v>19</v>
      </c>
      <c r="E3241">
        <f t="shared" si="229"/>
        <v>3</v>
      </c>
      <c r="F3241">
        <f t="shared" si="230"/>
        <v>2025</v>
      </c>
      <c r="G3241" t="s">
        <v>104</v>
      </c>
      <c r="H3241" s="98">
        <v>12345</v>
      </c>
      <c r="I3241" s="29">
        <v>122</v>
      </c>
      <c r="J3241" s="12" t="s">
        <v>31</v>
      </c>
      <c r="K3241" s="76">
        <f t="shared" si="227"/>
        <v>122</v>
      </c>
      <c r="L3241">
        <v>1</v>
      </c>
      <c r="M3241" s="29">
        <v>0</v>
      </c>
      <c r="N3241" t="s">
        <v>42</v>
      </c>
      <c r="O3241" t="s">
        <v>33</v>
      </c>
      <c r="P3241" t="s">
        <v>34</v>
      </c>
      <c r="Q3241" t="s">
        <v>34</v>
      </c>
      <c r="R3241" t="s">
        <v>34</v>
      </c>
      <c r="S3241" t="s">
        <v>34</v>
      </c>
      <c r="T3241" s="117">
        <v>0</v>
      </c>
      <c r="U3241" s="209" t="s">
        <v>922</v>
      </c>
    </row>
    <row r="3242" spans="1:21" x14ac:dyDescent="0.35">
      <c r="A3242" t="s">
        <v>20</v>
      </c>
      <c r="B3242" t="s">
        <v>21</v>
      </c>
      <c r="C3242" s="1">
        <v>45735</v>
      </c>
      <c r="D3242">
        <f t="shared" si="228"/>
        <v>19</v>
      </c>
      <c r="E3242">
        <f t="shared" si="229"/>
        <v>3</v>
      </c>
      <c r="F3242">
        <f t="shared" si="230"/>
        <v>2025</v>
      </c>
      <c r="G3242" t="s">
        <v>104</v>
      </c>
      <c r="H3242" s="98">
        <v>12345</v>
      </c>
      <c r="I3242" s="29">
        <v>132</v>
      </c>
      <c r="J3242" s="12" t="s">
        <v>31</v>
      </c>
      <c r="K3242" s="76">
        <f t="shared" si="227"/>
        <v>132</v>
      </c>
      <c r="L3242">
        <v>1</v>
      </c>
      <c r="M3242" s="29">
        <v>0</v>
      </c>
      <c r="N3242" t="s">
        <v>42</v>
      </c>
      <c r="O3242" t="s">
        <v>33</v>
      </c>
      <c r="P3242" t="s">
        <v>34</v>
      </c>
      <c r="Q3242" t="s">
        <v>34</v>
      </c>
      <c r="R3242" t="s">
        <v>34</v>
      </c>
      <c r="S3242" t="s">
        <v>34</v>
      </c>
      <c r="T3242" s="117">
        <v>0</v>
      </c>
      <c r="U3242" s="209" t="s">
        <v>1206</v>
      </c>
    </row>
    <row r="3243" spans="1:21" x14ac:dyDescent="0.35">
      <c r="A3243" t="s">
        <v>20</v>
      </c>
      <c r="B3243" t="s">
        <v>25</v>
      </c>
      <c r="C3243" s="1">
        <v>45735</v>
      </c>
      <c r="D3243">
        <f t="shared" si="228"/>
        <v>19</v>
      </c>
      <c r="E3243">
        <f t="shared" si="229"/>
        <v>3</v>
      </c>
      <c r="F3243">
        <f t="shared" si="230"/>
        <v>2025</v>
      </c>
      <c r="G3243" t="s">
        <v>87</v>
      </c>
      <c r="H3243" s="98">
        <v>11843</v>
      </c>
      <c r="I3243" s="29">
        <v>690.6</v>
      </c>
      <c r="J3243" s="12" t="s">
        <v>31</v>
      </c>
      <c r="K3243" s="76">
        <f t="shared" si="227"/>
        <v>690.6</v>
      </c>
      <c r="L3243">
        <v>1</v>
      </c>
      <c r="M3243" s="29">
        <v>0</v>
      </c>
      <c r="N3243" t="s">
        <v>32</v>
      </c>
      <c r="O3243" t="s">
        <v>33</v>
      </c>
      <c r="P3243" t="s">
        <v>34</v>
      </c>
      <c r="Q3243" t="s">
        <v>34</v>
      </c>
      <c r="R3243" t="s">
        <v>34</v>
      </c>
      <c r="S3243" t="s">
        <v>34</v>
      </c>
      <c r="T3243" s="117">
        <v>0</v>
      </c>
    </row>
    <row r="3244" spans="1:21" x14ac:dyDescent="0.35">
      <c r="A3244" t="s">
        <v>20</v>
      </c>
      <c r="B3244" t="s">
        <v>25</v>
      </c>
      <c r="C3244" s="1">
        <v>45735</v>
      </c>
      <c r="D3244">
        <f t="shared" si="228"/>
        <v>19</v>
      </c>
      <c r="E3244">
        <f t="shared" si="229"/>
        <v>3</v>
      </c>
      <c r="F3244">
        <f t="shared" si="230"/>
        <v>2025</v>
      </c>
      <c r="G3244" t="s">
        <v>95</v>
      </c>
      <c r="H3244" s="98">
        <v>11235</v>
      </c>
      <c r="I3244" s="29">
        <v>4371.75</v>
      </c>
      <c r="J3244" s="12" t="s">
        <v>31</v>
      </c>
      <c r="K3244" s="76">
        <f t="shared" si="227"/>
        <v>4371.75</v>
      </c>
      <c r="L3244">
        <v>1</v>
      </c>
      <c r="M3244" s="29">
        <v>0</v>
      </c>
      <c r="N3244" t="s">
        <v>32</v>
      </c>
      <c r="O3244" t="s">
        <v>33</v>
      </c>
      <c r="P3244" t="s">
        <v>34</v>
      </c>
      <c r="Q3244" t="s">
        <v>34</v>
      </c>
      <c r="R3244" t="s">
        <v>34</v>
      </c>
      <c r="S3244" t="s">
        <v>34</v>
      </c>
      <c r="T3244" s="117">
        <v>0</v>
      </c>
    </row>
    <row r="3245" spans="1:21" x14ac:dyDescent="0.35">
      <c r="A3245" t="s">
        <v>20</v>
      </c>
      <c r="B3245" t="s">
        <v>25</v>
      </c>
      <c r="C3245" s="1">
        <v>45735</v>
      </c>
      <c r="D3245">
        <f t="shared" si="228"/>
        <v>19</v>
      </c>
      <c r="E3245">
        <f t="shared" si="229"/>
        <v>3</v>
      </c>
      <c r="F3245">
        <f t="shared" si="230"/>
        <v>2025</v>
      </c>
      <c r="G3245" t="s">
        <v>99</v>
      </c>
      <c r="H3245" s="98">
        <v>11919</v>
      </c>
      <c r="I3245" s="29">
        <v>8902.74</v>
      </c>
      <c r="J3245" s="12" t="s">
        <v>31</v>
      </c>
      <c r="K3245" s="76">
        <f t="shared" si="227"/>
        <v>8902.74</v>
      </c>
      <c r="L3245">
        <v>1</v>
      </c>
      <c r="M3245" s="29">
        <v>0</v>
      </c>
      <c r="N3245" t="s">
        <v>32</v>
      </c>
      <c r="O3245" t="s">
        <v>33</v>
      </c>
      <c r="P3245" t="s">
        <v>34</v>
      </c>
      <c r="Q3245" t="s">
        <v>34</v>
      </c>
      <c r="R3245" t="s">
        <v>34</v>
      </c>
      <c r="S3245" t="s">
        <v>34</v>
      </c>
      <c r="T3245" s="117">
        <v>0</v>
      </c>
    </row>
    <row r="3246" spans="1:21" x14ac:dyDescent="0.35">
      <c r="A3246" t="s">
        <v>20</v>
      </c>
      <c r="B3246" t="s">
        <v>21</v>
      </c>
      <c r="C3246" s="1">
        <v>45735</v>
      </c>
      <c r="D3246">
        <f t="shared" si="228"/>
        <v>19</v>
      </c>
      <c r="E3246">
        <f t="shared" si="229"/>
        <v>3</v>
      </c>
      <c r="F3246">
        <f t="shared" si="230"/>
        <v>2025</v>
      </c>
      <c r="G3246" t="s">
        <v>46</v>
      </c>
      <c r="H3246" s="98">
        <v>12363</v>
      </c>
      <c r="I3246" s="29">
        <v>59.8</v>
      </c>
      <c r="J3246" s="12" t="s">
        <v>31</v>
      </c>
      <c r="K3246" s="76">
        <f t="shared" si="227"/>
        <v>59.8</v>
      </c>
      <c r="L3246">
        <v>1</v>
      </c>
      <c r="M3246" s="29">
        <v>0</v>
      </c>
      <c r="N3246" t="s">
        <v>42</v>
      </c>
      <c r="O3246" t="s">
        <v>33</v>
      </c>
      <c r="P3246" t="s">
        <v>34</v>
      </c>
      <c r="Q3246" t="s">
        <v>34</v>
      </c>
      <c r="R3246" t="s">
        <v>34</v>
      </c>
      <c r="S3246" t="s">
        <v>34</v>
      </c>
      <c r="T3246" s="117">
        <v>0</v>
      </c>
    </row>
    <row r="3247" spans="1:21" x14ac:dyDescent="0.35">
      <c r="A3247" t="s">
        <v>20</v>
      </c>
      <c r="B3247" t="s">
        <v>21</v>
      </c>
      <c r="C3247" s="1">
        <v>45735</v>
      </c>
      <c r="D3247">
        <f t="shared" si="228"/>
        <v>19</v>
      </c>
      <c r="E3247">
        <f t="shared" si="229"/>
        <v>3</v>
      </c>
      <c r="F3247">
        <f t="shared" si="230"/>
        <v>2025</v>
      </c>
      <c r="G3247" t="s">
        <v>46</v>
      </c>
      <c r="H3247" s="98">
        <v>12364</v>
      </c>
      <c r="I3247" s="29">
        <v>1584.7</v>
      </c>
      <c r="J3247" s="12" t="s">
        <v>31</v>
      </c>
      <c r="K3247" s="76">
        <f t="shared" si="227"/>
        <v>1584.7</v>
      </c>
      <c r="L3247">
        <v>1</v>
      </c>
      <c r="M3247" s="29">
        <v>0</v>
      </c>
      <c r="N3247" t="s">
        <v>42</v>
      </c>
      <c r="O3247" t="s">
        <v>33</v>
      </c>
      <c r="P3247" t="s">
        <v>34</v>
      </c>
      <c r="Q3247" t="s">
        <v>34</v>
      </c>
      <c r="R3247" t="s">
        <v>34</v>
      </c>
      <c r="S3247" t="s">
        <v>34</v>
      </c>
      <c r="T3247" s="117">
        <v>0</v>
      </c>
    </row>
    <row r="3248" spans="1:21" x14ac:dyDescent="0.35">
      <c r="A3248" t="s">
        <v>20</v>
      </c>
      <c r="B3248" t="s">
        <v>223</v>
      </c>
      <c r="C3248" s="1">
        <v>45735</v>
      </c>
      <c r="D3248">
        <f t="shared" si="228"/>
        <v>19</v>
      </c>
      <c r="E3248">
        <f t="shared" si="229"/>
        <v>3</v>
      </c>
      <c r="F3248">
        <f t="shared" si="230"/>
        <v>2025</v>
      </c>
      <c r="G3248" t="s">
        <v>223</v>
      </c>
      <c r="H3248" s="98">
        <v>12216</v>
      </c>
      <c r="I3248" s="29">
        <v>31125.8</v>
      </c>
      <c r="J3248" s="12" t="s">
        <v>51</v>
      </c>
      <c r="K3248" s="76">
        <f t="shared" si="227"/>
        <v>34020.499400000001</v>
      </c>
      <c r="L3248">
        <v>1.093</v>
      </c>
      <c r="M3248" s="29">
        <v>0</v>
      </c>
      <c r="N3248" t="s">
        <v>32</v>
      </c>
      <c r="O3248" t="s">
        <v>186</v>
      </c>
      <c r="P3248" t="s">
        <v>34</v>
      </c>
      <c r="Q3248" t="s">
        <v>34</v>
      </c>
      <c r="R3248" t="s">
        <v>34</v>
      </c>
      <c r="S3248" t="s">
        <v>34</v>
      </c>
      <c r="T3248" s="117">
        <v>0</v>
      </c>
    </row>
    <row r="3249" spans="1:20" x14ac:dyDescent="0.35">
      <c r="A3249" t="s">
        <v>19</v>
      </c>
      <c r="B3249" t="s">
        <v>21</v>
      </c>
      <c r="C3249" s="1">
        <v>45735</v>
      </c>
      <c r="D3249">
        <f t="shared" si="228"/>
        <v>19</v>
      </c>
      <c r="E3249">
        <f t="shared" si="229"/>
        <v>3</v>
      </c>
      <c r="F3249">
        <f t="shared" si="230"/>
        <v>2025</v>
      </c>
      <c r="G3249" t="s">
        <v>882</v>
      </c>
      <c r="H3249" s="98">
        <v>12307</v>
      </c>
      <c r="I3249" s="29">
        <v>1728.45</v>
      </c>
      <c r="J3249" s="12" t="s">
        <v>31</v>
      </c>
      <c r="K3249" s="76">
        <f t="shared" si="227"/>
        <v>1728.45</v>
      </c>
      <c r="L3249">
        <v>1</v>
      </c>
      <c r="M3249" s="29">
        <v>0</v>
      </c>
      <c r="N3249" t="s">
        <v>42</v>
      </c>
      <c r="O3249" t="s">
        <v>33</v>
      </c>
      <c r="P3249" t="s">
        <v>34</v>
      </c>
      <c r="Q3249" t="s">
        <v>34</v>
      </c>
      <c r="R3249" t="s">
        <v>34</v>
      </c>
      <c r="S3249" t="s">
        <v>34</v>
      </c>
      <c r="T3249" s="117">
        <v>0</v>
      </c>
    </row>
    <row r="3250" spans="1:20" x14ac:dyDescent="0.35">
      <c r="A3250" t="s">
        <v>19</v>
      </c>
      <c r="B3250" t="s">
        <v>21</v>
      </c>
      <c r="C3250" s="1">
        <v>45735</v>
      </c>
      <c r="D3250">
        <f t="shared" si="228"/>
        <v>19</v>
      </c>
      <c r="E3250">
        <f t="shared" si="229"/>
        <v>3</v>
      </c>
      <c r="F3250">
        <f t="shared" si="230"/>
        <v>2025</v>
      </c>
      <c r="G3250" t="s">
        <v>882</v>
      </c>
      <c r="H3250" s="98">
        <v>12306</v>
      </c>
      <c r="I3250" s="29">
        <v>23</v>
      </c>
      <c r="J3250" s="12" t="s">
        <v>31</v>
      </c>
      <c r="K3250" s="76">
        <f t="shared" si="227"/>
        <v>23</v>
      </c>
      <c r="L3250">
        <v>1</v>
      </c>
      <c r="M3250" s="29">
        <v>0</v>
      </c>
      <c r="N3250" t="s">
        <v>42</v>
      </c>
      <c r="O3250" t="s">
        <v>33</v>
      </c>
      <c r="P3250" t="s">
        <v>34</v>
      </c>
      <c r="Q3250" t="s">
        <v>34</v>
      </c>
      <c r="R3250" t="s">
        <v>34</v>
      </c>
      <c r="S3250" t="s">
        <v>34</v>
      </c>
      <c r="T3250" s="117">
        <v>0</v>
      </c>
    </row>
    <row r="3251" spans="1:20" x14ac:dyDescent="0.35">
      <c r="A3251" t="s">
        <v>19</v>
      </c>
      <c r="B3251" t="s">
        <v>25</v>
      </c>
      <c r="C3251" s="1">
        <v>45735</v>
      </c>
      <c r="D3251">
        <f t="shared" si="228"/>
        <v>19</v>
      </c>
      <c r="E3251">
        <f t="shared" si="229"/>
        <v>3</v>
      </c>
      <c r="F3251">
        <f t="shared" si="230"/>
        <v>2025</v>
      </c>
      <c r="G3251" t="s">
        <v>36</v>
      </c>
      <c r="H3251" s="98">
        <v>11564</v>
      </c>
      <c r="I3251" s="29">
        <v>46306.28</v>
      </c>
      <c r="J3251" s="12" t="s">
        <v>31</v>
      </c>
      <c r="K3251" s="76">
        <f t="shared" si="227"/>
        <v>46306.28</v>
      </c>
      <c r="L3251">
        <v>1</v>
      </c>
      <c r="M3251" s="29">
        <v>0</v>
      </c>
      <c r="N3251" t="s">
        <v>32</v>
      </c>
      <c r="O3251" t="s">
        <v>33</v>
      </c>
      <c r="P3251" t="s">
        <v>34</v>
      </c>
      <c r="Q3251" t="s">
        <v>34</v>
      </c>
      <c r="R3251" t="s">
        <v>34</v>
      </c>
      <c r="S3251" t="s">
        <v>34</v>
      </c>
      <c r="T3251" s="117">
        <v>0</v>
      </c>
    </row>
    <row r="3252" spans="1:20" x14ac:dyDescent="0.35">
      <c r="A3252" t="s">
        <v>19</v>
      </c>
      <c r="B3252" t="s">
        <v>21</v>
      </c>
      <c r="C3252" s="1">
        <v>45735</v>
      </c>
      <c r="D3252">
        <f t="shared" si="228"/>
        <v>19</v>
      </c>
      <c r="E3252">
        <f t="shared" si="229"/>
        <v>3</v>
      </c>
      <c r="F3252">
        <f t="shared" si="230"/>
        <v>2025</v>
      </c>
      <c r="G3252" t="s">
        <v>36</v>
      </c>
      <c r="H3252" s="98">
        <v>11564</v>
      </c>
      <c r="I3252" s="29">
        <v>2955.72</v>
      </c>
      <c r="J3252" s="12" t="s">
        <v>31</v>
      </c>
      <c r="K3252" s="76">
        <f t="shared" si="227"/>
        <v>2955.72</v>
      </c>
      <c r="L3252">
        <v>1</v>
      </c>
      <c r="M3252" s="29">
        <v>0</v>
      </c>
      <c r="N3252" t="s">
        <v>32</v>
      </c>
      <c r="O3252" t="s">
        <v>33</v>
      </c>
      <c r="P3252" t="s">
        <v>34</v>
      </c>
      <c r="Q3252" t="s">
        <v>34</v>
      </c>
      <c r="R3252" t="s">
        <v>34</v>
      </c>
      <c r="S3252" t="s">
        <v>34</v>
      </c>
      <c r="T3252" s="117">
        <v>0</v>
      </c>
    </row>
    <row r="3253" spans="1:20" x14ac:dyDescent="0.35">
      <c r="A3253" t="s">
        <v>19</v>
      </c>
      <c r="B3253" t="s">
        <v>21</v>
      </c>
      <c r="C3253" s="1">
        <v>45735</v>
      </c>
      <c r="D3253">
        <f t="shared" si="228"/>
        <v>19</v>
      </c>
      <c r="E3253">
        <f t="shared" si="229"/>
        <v>3</v>
      </c>
      <c r="F3253">
        <f t="shared" si="230"/>
        <v>2025</v>
      </c>
      <c r="G3253" t="s">
        <v>36</v>
      </c>
      <c r="H3253" s="98">
        <v>11856</v>
      </c>
      <c r="I3253" s="29">
        <v>109.2</v>
      </c>
      <c r="J3253" s="12" t="s">
        <v>31</v>
      </c>
      <c r="K3253" s="76">
        <f t="shared" si="227"/>
        <v>109.2</v>
      </c>
      <c r="L3253">
        <v>1</v>
      </c>
      <c r="M3253" s="29">
        <v>0</v>
      </c>
      <c r="N3253" t="s">
        <v>32</v>
      </c>
      <c r="O3253" t="s">
        <v>33</v>
      </c>
      <c r="P3253" t="s">
        <v>34</v>
      </c>
      <c r="Q3253" t="s">
        <v>34</v>
      </c>
      <c r="R3253" t="s">
        <v>34</v>
      </c>
      <c r="S3253" t="s">
        <v>34</v>
      </c>
      <c r="T3253" s="117">
        <v>0</v>
      </c>
    </row>
    <row r="3254" spans="1:20" x14ac:dyDescent="0.35">
      <c r="A3254" t="s">
        <v>19</v>
      </c>
      <c r="B3254" t="s">
        <v>21</v>
      </c>
      <c r="C3254" s="1">
        <v>45735</v>
      </c>
      <c r="D3254">
        <f t="shared" si="228"/>
        <v>19</v>
      </c>
      <c r="E3254">
        <f t="shared" si="229"/>
        <v>3</v>
      </c>
      <c r="F3254">
        <f t="shared" si="230"/>
        <v>2025</v>
      </c>
      <c r="G3254" t="s">
        <v>39</v>
      </c>
      <c r="H3254" s="98">
        <v>11548</v>
      </c>
      <c r="I3254" s="29">
        <v>5827.2</v>
      </c>
      <c r="J3254" s="12" t="s">
        <v>31</v>
      </c>
      <c r="K3254" s="76">
        <f t="shared" si="227"/>
        <v>5827.2</v>
      </c>
      <c r="L3254">
        <v>1</v>
      </c>
      <c r="M3254" s="29">
        <v>0</v>
      </c>
      <c r="N3254" t="s">
        <v>32</v>
      </c>
      <c r="O3254" t="s">
        <v>33</v>
      </c>
      <c r="P3254" t="s">
        <v>34</v>
      </c>
      <c r="Q3254" t="s">
        <v>34</v>
      </c>
      <c r="R3254" t="s">
        <v>34</v>
      </c>
      <c r="S3254" t="s">
        <v>34</v>
      </c>
      <c r="T3254" s="117">
        <v>0</v>
      </c>
    </row>
    <row r="3255" spans="1:20" x14ac:dyDescent="0.35">
      <c r="A3255" t="s">
        <v>19</v>
      </c>
      <c r="B3255" t="s">
        <v>24</v>
      </c>
      <c r="C3255" s="1">
        <v>45735</v>
      </c>
      <c r="D3255">
        <f t="shared" si="228"/>
        <v>19</v>
      </c>
      <c r="E3255">
        <f t="shared" si="229"/>
        <v>3</v>
      </c>
      <c r="F3255">
        <f t="shared" si="230"/>
        <v>2025</v>
      </c>
      <c r="G3255" t="s">
        <v>39</v>
      </c>
      <c r="H3255" s="98">
        <v>12143</v>
      </c>
      <c r="I3255" s="29">
        <v>36.799999999999997</v>
      </c>
      <c r="J3255" s="12" t="s">
        <v>31</v>
      </c>
      <c r="K3255" s="76">
        <f t="shared" si="227"/>
        <v>36.799999999999997</v>
      </c>
      <c r="L3255">
        <v>1</v>
      </c>
      <c r="M3255" s="29">
        <v>0</v>
      </c>
      <c r="N3255" t="s">
        <v>32</v>
      </c>
      <c r="O3255" t="s">
        <v>33</v>
      </c>
      <c r="P3255" t="s">
        <v>34</v>
      </c>
      <c r="Q3255" t="s">
        <v>34</v>
      </c>
      <c r="R3255" t="s">
        <v>34</v>
      </c>
      <c r="S3255" t="s">
        <v>34</v>
      </c>
      <c r="T3255" s="117">
        <v>0</v>
      </c>
    </row>
    <row r="3256" spans="1:20" x14ac:dyDescent="0.35">
      <c r="A3256" t="s">
        <v>19</v>
      </c>
      <c r="B3256" t="s">
        <v>25</v>
      </c>
      <c r="C3256" s="1">
        <v>45735</v>
      </c>
      <c r="D3256">
        <f t="shared" si="228"/>
        <v>19</v>
      </c>
      <c r="E3256">
        <f t="shared" si="229"/>
        <v>3</v>
      </c>
      <c r="F3256">
        <f t="shared" si="230"/>
        <v>2025</v>
      </c>
      <c r="G3256" t="s">
        <v>39</v>
      </c>
      <c r="H3256" s="98">
        <v>12145</v>
      </c>
      <c r="I3256" s="29">
        <v>28.5</v>
      </c>
      <c r="J3256" s="12" t="s">
        <v>31</v>
      </c>
      <c r="K3256" s="76">
        <f t="shared" si="227"/>
        <v>28.5</v>
      </c>
      <c r="L3256">
        <v>1</v>
      </c>
      <c r="M3256" s="29">
        <v>0</v>
      </c>
      <c r="N3256" t="s">
        <v>32</v>
      </c>
      <c r="O3256" t="s">
        <v>33</v>
      </c>
      <c r="P3256" t="s">
        <v>34</v>
      </c>
      <c r="Q3256" t="s">
        <v>34</v>
      </c>
      <c r="R3256" t="s">
        <v>34</v>
      </c>
      <c r="S3256" t="s">
        <v>34</v>
      </c>
      <c r="T3256" s="117">
        <v>0</v>
      </c>
    </row>
    <row r="3257" spans="1:20" x14ac:dyDescent="0.35">
      <c r="A3257" t="s">
        <v>19</v>
      </c>
      <c r="B3257" t="s">
        <v>25</v>
      </c>
      <c r="C3257" s="1">
        <v>45735</v>
      </c>
      <c r="D3257">
        <f t="shared" si="228"/>
        <v>19</v>
      </c>
      <c r="E3257">
        <f t="shared" si="229"/>
        <v>3</v>
      </c>
      <c r="F3257">
        <f t="shared" si="230"/>
        <v>2025</v>
      </c>
      <c r="G3257" t="s">
        <v>38</v>
      </c>
      <c r="H3257" s="98">
        <v>12229</v>
      </c>
      <c r="I3257" s="29">
        <v>248148.14</v>
      </c>
      <c r="J3257" s="12" t="s">
        <v>31</v>
      </c>
      <c r="K3257" s="76">
        <f t="shared" si="227"/>
        <v>248148.14</v>
      </c>
      <c r="L3257">
        <v>1</v>
      </c>
      <c r="M3257" s="29">
        <v>0</v>
      </c>
      <c r="N3257" t="s">
        <v>32</v>
      </c>
      <c r="O3257" t="s">
        <v>33</v>
      </c>
      <c r="P3257" t="s">
        <v>34</v>
      </c>
      <c r="Q3257" t="s">
        <v>34</v>
      </c>
      <c r="R3257" t="s">
        <v>34</v>
      </c>
      <c r="S3257" t="s">
        <v>34</v>
      </c>
      <c r="T3257" s="117">
        <v>0</v>
      </c>
    </row>
    <row r="3258" spans="1:20" x14ac:dyDescent="0.35">
      <c r="A3258" t="s">
        <v>19</v>
      </c>
      <c r="B3258" t="s">
        <v>25</v>
      </c>
      <c r="C3258" s="1">
        <v>45735</v>
      </c>
      <c r="D3258">
        <f t="shared" si="228"/>
        <v>19</v>
      </c>
      <c r="E3258">
        <f t="shared" si="229"/>
        <v>3</v>
      </c>
      <c r="F3258">
        <f t="shared" si="230"/>
        <v>2025</v>
      </c>
      <c r="G3258" t="s">
        <v>113</v>
      </c>
      <c r="H3258" s="98">
        <v>12151</v>
      </c>
      <c r="I3258" s="29">
        <v>4013.04</v>
      </c>
      <c r="J3258" s="12" t="s">
        <v>51</v>
      </c>
      <c r="K3258" s="76">
        <f t="shared" si="227"/>
        <v>4393.0909401599993</v>
      </c>
      <c r="L3258">
        <v>1.0947039999999999</v>
      </c>
      <c r="M3258" s="29">
        <v>0</v>
      </c>
      <c r="N3258" t="s">
        <v>32</v>
      </c>
      <c r="O3258" t="s">
        <v>33</v>
      </c>
      <c r="P3258" t="s">
        <v>34</v>
      </c>
      <c r="Q3258" t="s">
        <v>34</v>
      </c>
      <c r="R3258" t="s">
        <v>34</v>
      </c>
      <c r="S3258" t="s">
        <v>34</v>
      </c>
      <c r="T3258" s="117">
        <v>0</v>
      </c>
    </row>
    <row r="3259" spans="1:20" x14ac:dyDescent="0.35">
      <c r="A3259" t="s">
        <v>19</v>
      </c>
      <c r="B3259" t="s">
        <v>25</v>
      </c>
      <c r="C3259" s="1">
        <v>45735</v>
      </c>
      <c r="D3259">
        <f t="shared" si="228"/>
        <v>19</v>
      </c>
      <c r="E3259">
        <f t="shared" si="229"/>
        <v>3</v>
      </c>
      <c r="F3259">
        <f t="shared" si="230"/>
        <v>2025</v>
      </c>
      <c r="G3259" t="s">
        <v>285</v>
      </c>
      <c r="H3259" s="98">
        <v>12361</v>
      </c>
      <c r="I3259" s="29">
        <v>277.548</v>
      </c>
      <c r="J3259" s="12" t="s">
        <v>31</v>
      </c>
      <c r="K3259" s="76">
        <f t="shared" si="227"/>
        <v>277.548</v>
      </c>
      <c r="L3259">
        <v>1</v>
      </c>
      <c r="M3259" s="29">
        <v>0</v>
      </c>
      <c r="N3259" t="s">
        <v>42</v>
      </c>
      <c r="O3259" t="s">
        <v>33</v>
      </c>
      <c r="P3259" t="s">
        <v>34</v>
      </c>
      <c r="Q3259" t="s">
        <v>34</v>
      </c>
      <c r="R3259" t="s">
        <v>34</v>
      </c>
      <c r="S3259" t="s">
        <v>34</v>
      </c>
      <c r="T3259" s="117">
        <v>0</v>
      </c>
    </row>
    <row r="3260" spans="1:20" x14ac:dyDescent="0.35">
      <c r="A3260" t="s">
        <v>19</v>
      </c>
      <c r="B3260" t="s">
        <v>25</v>
      </c>
      <c r="C3260" s="1">
        <v>45735</v>
      </c>
      <c r="D3260">
        <f t="shared" si="228"/>
        <v>19</v>
      </c>
      <c r="E3260">
        <f t="shared" si="229"/>
        <v>3</v>
      </c>
      <c r="F3260">
        <f t="shared" si="230"/>
        <v>2025</v>
      </c>
      <c r="G3260" t="s">
        <v>285</v>
      </c>
      <c r="H3260" s="98">
        <v>12362</v>
      </c>
      <c r="I3260" s="29">
        <v>3355.44</v>
      </c>
      <c r="J3260" s="12" t="s">
        <v>31</v>
      </c>
      <c r="K3260" s="76">
        <f t="shared" si="227"/>
        <v>3355.44</v>
      </c>
      <c r="L3260">
        <v>1</v>
      </c>
      <c r="M3260" s="29">
        <v>0</v>
      </c>
      <c r="N3260" t="s">
        <v>42</v>
      </c>
      <c r="O3260" t="s">
        <v>33</v>
      </c>
      <c r="P3260" t="s">
        <v>34</v>
      </c>
      <c r="Q3260" t="s">
        <v>34</v>
      </c>
      <c r="R3260" t="s">
        <v>34</v>
      </c>
      <c r="S3260" t="s">
        <v>34</v>
      </c>
      <c r="T3260" s="117">
        <v>0</v>
      </c>
    </row>
    <row r="3261" spans="1:20" x14ac:dyDescent="0.35">
      <c r="A3261" t="s">
        <v>19</v>
      </c>
      <c r="B3261" t="s">
        <v>19</v>
      </c>
      <c r="C3261" s="1">
        <v>45735</v>
      </c>
      <c r="D3261">
        <f t="shared" si="228"/>
        <v>19</v>
      </c>
      <c r="E3261">
        <f t="shared" si="229"/>
        <v>3</v>
      </c>
      <c r="F3261">
        <f t="shared" si="230"/>
        <v>2025</v>
      </c>
      <c r="G3261" t="s">
        <v>54</v>
      </c>
      <c r="H3261" s="98" t="s">
        <v>909</v>
      </c>
      <c r="I3261" s="29">
        <v>48118.14</v>
      </c>
      <c r="J3261" s="12" t="s">
        <v>31</v>
      </c>
      <c r="K3261" s="76">
        <f t="shared" si="227"/>
        <v>48118.14</v>
      </c>
      <c r="L3261">
        <v>1</v>
      </c>
      <c r="M3261" s="29">
        <v>0</v>
      </c>
      <c r="N3261" t="s">
        <v>32</v>
      </c>
      <c r="O3261" t="s">
        <v>33</v>
      </c>
      <c r="P3261" t="s">
        <v>34</v>
      </c>
      <c r="Q3261" t="s">
        <v>34</v>
      </c>
      <c r="R3261" t="s">
        <v>34</v>
      </c>
      <c r="S3261" t="s">
        <v>34</v>
      </c>
      <c r="T3261" s="117">
        <v>0</v>
      </c>
    </row>
    <row r="3262" spans="1:20" x14ac:dyDescent="0.35">
      <c r="A3262" t="s">
        <v>19</v>
      </c>
      <c r="B3262" t="s">
        <v>19</v>
      </c>
      <c r="C3262" s="1">
        <v>45735</v>
      </c>
      <c r="D3262">
        <f t="shared" si="228"/>
        <v>19</v>
      </c>
      <c r="E3262">
        <f t="shared" si="229"/>
        <v>3</v>
      </c>
      <c r="F3262">
        <f t="shared" si="230"/>
        <v>2025</v>
      </c>
      <c r="G3262" t="s">
        <v>54</v>
      </c>
      <c r="H3262" s="98" t="s">
        <v>923</v>
      </c>
      <c r="I3262" s="29">
        <v>59353.51</v>
      </c>
      <c r="J3262" s="12" t="s">
        <v>31</v>
      </c>
      <c r="K3262" s="76">
        <f t="shared" si="227"/>
        <v>59353.51</v>
      </c>
      <c r="L3262">
        <v>1</v>
      </c>
      <c r="M3262" s="29">
        <v>0</v>
      </c>
      <c r="N3262" t="s">
        <v>32</v>
      </c>
      <c r="O3262" t="s">
        <v>33</v>
      </c>
      <c r="P3262" t="s">
        <v>34</v>
      </c>
      <c r="Q3262" t="s">
        <v>34</v>
      </c>
      <c r="R3262" t="s">
        <v>34</v>
      </c>
      <c r="S3262" t="s">
        <v>34</v>
      </c>
      <c r="T3262" s="117">
        <v>0</v>
      </c>
    </row>
    <row r="3263" spans="1:20" x14ac:dyDescent="0.35">
      <c r="A3263" t="s">
        <v>19</v>
      </c>
      <c r="B3263" t="s">
        <v>19</v>
      </c>
      <c r="C3263" s="1">
        <v>45735</v>
      </c>
      <c r="D3263">
        <f t="shared" si="228"/>
        <v>19</v>
      </c>
      <c r="E3263">
        <f t="shared" si="229"/>
        <v>3</v>
      </c>
      <c r="F3263">
        <f t="shared" si="230"/>
        <v>2025</v>
      </c>
      <c r="G3263" t="s">
        <v>90</v>
      </c>
      <c r="H3263" s="98" t="s">
        <v>924</v>
      </c>
      <c r="I3263" s="29">
        <v>157228.79999999999</v>
      </c>
      <c r="J3263" s="12" t="s">
        <v>31</v>
      </c>
      <c r="K3263" s="76">
        <f t="shared" si="227"/>
        <v>157228.79999999999</v>
      </c>
      <c r="L3263">
        <v>1</v>
      </c>
      <c r="M3263" s="29">
        <v>0</v>
      </c>
      <c r="N3263" t="s">
        <v>32</v>
      </c>
      <c r="O3263" t="s">
        <v>33</v>
      </c>
      <c r="P3263" t="s">
        <v>34</v>
      </c>
      <c r="Q3263" t="s">
        <v>34</v>
      </c>
      <c r="R3263" t="s">
        <v>34</v>
      </c>
      <c r="S3263" t="s">
        <v>34</v>
      </c>
      <c r="T3263" s="117">
        <v>0</v>
      </c>
    </row>
    <row r="3264" spans="1:20" x14ac:dyDescent="0.35">
      <c r="A3264" t="s">
        <v>19</v>
      </c>
      <c r="B3264" t="s">
        <v>19</v>
      </c>
      <c r="C3264" s="1">
        <v>45735</v>
      </c>
      <c r="D3264">
        <f t="shared" si="228"/>
        <v>19</v>
      </c>
      <c r="E3264">
        <f t="shared" si="229"/>
        <v>3</v>
      </c>
      <c r="F3264">
        <f t="shared" si="230"/>
        <v>2025</v>
      </c>
      <c r="G3264" t="s">
        <v>56</v>
      </c>
      <c r="H3264" s="98" t="s">
        <v>925</v>
      </c>
      <c r="I3264" s="29">
        <v>192.93</v>
      </c>
      <c r="J3264" s="12" t="s">
        <v>31</v>
      </c>
      <c r="K3264" s="76">
        <f t="shared" si="227"/>
        <v>192.93</v>
      </c>
      <c r="L3264">
        <v>1</v>
      </c>
      <c r="M3264" s="29">
        <v>0</v>
      </c>
      <c r="N3264" t="s">
        <v>32</v>
      </c>
      <c r="O3264" t="s">
        <v>33</v>
      </c>
      <c r="P3264" t="s">
        <v>34</v>
      </c>
      <c r="Q3264" t="s">
        <v>34</v>
      </c>
      <c r="R3264" t="s">
        <v>34</v>
      </c>
      <c r="S3264" t="s">
        <v>34</v>
      </c>
      <c r="T3264" s="117">
        <v>0</v>
      </c>
    </row>
    <row r="3265" spans="1:21" x14ac:dyDescent="0.35">
      <c r="A3265" t="s">
        <v>19</v>
      </c>
      <c r="B3265" t="s">
        <v>19</v>
      </c>
      <c r="C3265" s="1">
        <v>45735</v>
      </c>
      <c r="D3265">
        <f t="shared" si="228"/>
        <v>19</v>
      </c>
      <c r="E3265">
        <f t="shared" si="229"/>
        <v>3</v>
      </c>
      <c r="F3265">
        <f t="shared" si="230"/>
        <v>2025</v>
      </c>
      <c r="G3265" t="s">
        <v>228</v>
      </c>
      <c r="H3265" s="98" t="s">
        <v>926</v>
      </c>
      <c r="I3265" s="29">
        <v>34344.42</v>
      </c>
      <c r="J3265" s="12" t="s">
        <v>31</v>
      </c>
      <c r="K3265" s="76">
        <f t="shared" si="227"/>
        <v>34344.42</v>
      </c>
      <c r="L3265">
        <v>1</v>
      </c>
      <c r="M3265" s="29">
        <v>0</v>
      </c>
      <c r="N3265" t="s">
        <v>32</v>
      </c>
      <c r="O3265" t="s">
        <v>33</v>
      </c>
      <c r="P3265" t="s">
        <v>34</v>
      </c>
      <c r="Q3265" t="s">
        <v>34</v>
      </c>
      <c r="R3265" t="s">
        <v>34</v>
      </c>
      <c r="S3265" t="s">
        <v>34</v>
      </c>
      <c r="T3265" s="117">
        <v>0</v>
      </c>
    </row>
    <row r="3266" spans="1:21" x14ac:dyDescent="0.35">
      <c r="A3266" t="s">
        <v>19</v>
      </c>
      <c r="B3266" t="s">
        <v>19</v>
      </c>
      <c r="C3266" s="1">
        <v>45735</v>
      </c>
      <c r="D3266">
        <f t="shared" si="228"/>
        <v>19</v>
      </c>
      <c r="E3266">
        <f t="shared" si="229"/>
        <v>3</v>
      </c>
      <c r="F3266">
        <f t="shared" si="230"/>
        <v>2025</v>
      </c>
      <c r="G3266" t="s">
        <v>88</v>
      </c>
      <c r="H3266" s="98" t="s">
        <v>927</v>
      </c>
      <c r="I3266" s="29">
        <v>22769.31</v>
      </c>
      <c r="J3266" s="12" t="s">
        <v>31</v>
      </c>
      <c r="K3266" s="76">
        <f t="shared" ref="K3266:K3329" si="231">IF(J3266="USD",I3266,I3266*L3266)</f>
        <v>22769.31</v>
      </c>
      <c r="L3266">
        <v>1</v>
      </c>
      <c r="M3266" s="29">
        <v>0</v>
      </c>
      <c r="N3266" t="s">
        <v>32</v>
      </c>
      <c r="O3266" t="s">
        <v>33</v>
      </c>
      <c r="P3266" t="s">
        <v>34</v>
      </c>
      <c r="Q3266" t="s">
        <v>34</v>
      </c>
      <c r="R3266" t="s">
        <v>34</v>
      </c>
      <c r="S3266" t="s">
        <v>34</v>
      </c>
      <c r="T3266" s="117">
        <v>0</v>
      </c>
    </row>
    <row r="3267" spans="1:21" x14ac:dyDescent="0.35">
      <c r="A3267" t="s">
        <v>19</v>
      </c>
      <c r="B3267" t="s">
        <v>19</v>
      </c>
      <c r="C3267" s="1">
        <v>45735</v>
      </c>
      <c r="D3267">
        <f t="shared" ref="D3267:D3330" si="232">DAY(C3267)</f>
        <v>19</v>
      </c>
      <c r="E3267">
        <f t="shared" ref="E3267:E3330" si="233">MONTH(C3267)</f>
        <v>3</v>
      </c>
      <c r="F3267">
        <f t="shared" ref="F3267:F3330" si="234">YEAR(C3267)</f>
        <v>2025</v>
      </c>
      <c r="G3267" t="s">
        <v>124</v>
      </c>
      <c r="H3267" s="98" t="s">
        <v>928</v>
      </c>
      <c r="I3267" s="29">
        <v>42417.93</v>
      </c>
      <c r="J3267" s="12" t="s">
        <v>31</v>
      </c>
      <c r="K3267" s="76">
        <f t="shared" si="231"/>
        <v>42417.93</v>
      </c>
      <c r="L3267">
        <v>1</v>
      </c>
      <c r="M3267" s="29">
        <v>0</v>
      </c>
      <c r="N3267" t="s">
        <v>32</v>
      </c>
      <c r="O3267" t="s">
        <v>33</v>
      </c>
      <c r="P3267" t="s">
        <v>34</v>
      </c>
      <c r="Q3267" t="s">
        <v>34</v>
      </c>
      <c r="R3267" t="s">
        <v>34</v>
      </c>
      <c r="S3267" t="s">
        <v>34</v>
      </c>
      <c r="T3267" s="117">
        <v>0</v>
      </c>
    </row>
    <row r="3268" spans="1:21" x14ac:dyDescent="0.35">
      <c r="A3268" t="s">
        <v>19</v>
      </c>
      <c r="B3268" t="s">
        <v>19</v>
      </c>
      <c r="C3268" s="1">
        <v>45735</v>
      </c>
      <c r="D3268">
        <f t="shared" si="232"/>
        <v>19</v>
      </c>
      <c r="E3268">
        <f t="shared" si="233"/>
        <v>3</v>
      </c>
      <c r="F3268">
        <f t="shared" si="234"/>
        <v>2025</v>
      </c>
      <c r="G3268" t="s">
        <v>59</v>
      </c>
      <c r="H3268" s="98" t="s">
        <v>929</v>
      </c>
      <c r="I3268" s="29">
        <v>102778.35</v>
      </c>
      <c r="J3268" s="12" t="s">
        <v>31</v>
      </c>
      <c r="K3268" s="76">
        <f t="shared" si="231"/>
        <v>102778.35</v>
      </c>
      <c r="L3268">
        <v>1</v>
      </c>
      <c r="M3268" s="29">
        <v>0</v>
      </c>
      <c r="N3268" t="s">
        <v>32</v>
      </c>
      <c r="O3268" t="s">
        <v>33</v>
      </c>
      <c r="P3268" t="s">
        <v>34</v>
      </c>
      <c r="Q3268" t="s">
        <v>34</v>
      </c>
      <c r="R3268" t="s">
        <v>34</v>
      </c>
      <c r="S3268" t="s">
        <v>34</v>
      </c>
      <c r="T3268" s="117">
        <v>0</v>
      </c>
    </row>
    <row r="3269" spans="1:21" x14ac:dyDescent="0.35">
      <c r="A3269" t="s">
        <v>19</v>
      </c>
      <c r="B3269" t="s">
        <v>19</v>
      </c>
      <c r="C3269" s="1">
        <v>45735</v>
      </c>
      <c r="D3269">
        <f t="shared" si="232"/>
        <v>19</v>
      </c>
      <c r="E3269">
        <f t="shared" si="233"/>
        <v>3</v>
      </c>
      <c r="F3269">
        <f t="shared" si="234"/>
        <v>2025</v>
      </c>
      <c r="G3269" t="s">
        <v>120</v>
      </c>
      <c r="H3269" s="98" t="s">
        <v>930</v>
      </c>
      <c r="I3269" s="29">
        <v>142702.32</v>
      </c>
      <c r="J3269" s="12" t="s">
        <v>31</v>
      </c>
      <c r="K3269" s="76">
        <f t="shared" si="231"/>
        <v>142702.32</v>
      </c>
      <c r="L3269">
        <v>1</v>
      </c>
      <c r="M3269" s="29">
        <v>0</v>
      </c>
      <c r="N3269" t="s">
        <v>32</v>
      </c>
      <c r="O3269" t="s">
        <v>33</v>
      </c>
      <c r="P3269" t="s">
        <v>34</v>
      </c>
      <c r="Q3269" t="s">
        <v>34</v>
      </c>
      <c r="R3269" t="s">
        <v>34</v>
      </c>
      <c r="S3269" t="s">
        <v>34</v>
      </c>
      <c r="T3269" s="117">
        <v>0</v>
      </c>
    </row>
    <row r="3270" spans="1:21" x14ac:dyDescent="0.35">
      <c r="A3270" t="s">
        <v>19</v>
      </c>
      <c r="B3270" t="s">
        <v>19</v>
      </c>
      <c r="C3270" s="1">
        <v>45735</v>
      </c>
      <c r="D3270">
        <f t="shared" si="232"/>
        <v>19</v>
      </c>
      <c r="E3270">
        <f t="shared" si="233"/>
        <v>3</v>
      </c>
      <c r="F3270">
        <f t="shared" si="234"/>
        <v>2025</v>
      </c>
      <c r="G3270" t="s">
        <v>86</v>
      </c>
      <c r="H3270" s="98" t="s">
        <v>931</v>
      </c>
      <c r="I3270" s="29">
        <v>39190.6</v>
      </c>
      <c r="J3270" s="12" t="s">
        <v>31</v>
      </c>
      <c r="K3270" s="76">
        <f t="shared" si="231"/>
        <v>39190.6</v>
      </c>
      <c r="L3270">
        <v>1</v>
      </c>
      <c r="M3270" s="29">
        <v>0</v>
      </c>
      <c r="N3270" t="s">
        <v>32</v>
      </c>
      <c r="O3270" t="s">
        <v>33</v>
      </c>
      <c r="P3270" t="s">
        <v>34</v>
      </c>
      <c r="Q3270" t="s">
        <v>34</v>
      </c>
      <c r="R3270" t="s">
        <v>34</v>
      </c>
      <c r="S3270" t="s">
        <v>34</v>
      </c>
      <c r="T3270" s="117">
        <v>0</v>
      </c>
    </row>
    <row r="3271" spans="1:21" x14ac:dyDescent="0.35">
      <c r="A3271" t="s">
        <v>19</v>
      </c>
      <c r="B3271" t="s">
        <v>19</v>
      </c>
      <c r="C3271" s="1">
        <v>45735</v>
      </c>
      <c r="D3271">
        <f t="shared" si="232"/>
        <v>19</v>
      </c>
      <c r="E3271">
        <f t="shared" si="233"/>
        <v>3</v>
      </c>
      <c r="F3271">
        <f t="shared" si="234"/>
        <v>2025</v>
      </c>
      <c r="G3271" t="s">
        <v>424</v>
      </c>
      <c r="H3271" s="98" t="s">
        <v>932</v>
      </c>
      <c r="I3271" s="29">
        <f>51371.45+104027.57</f>
        <v>155399.02000000002</v>
      </c>
      <c r="J3271" s="12" t="s">
        <v>31</v>
      </c>
      <c r="K3271" s="76">
        <f t="shared" si="231"/>
        <v>155399.02000000002</v>
      </c>
      <c r="L3271">
        <v>1</v>
      </c>
      <c r="M3271" s="29">
        <v>0</v>
      </c>
      <c r="N3271" t="s">
        <v>32</v>
      </c>
      <c r="O3271" t="s">
        <v>33</v>
      </c>
      <c r="P3271" t="s">
        <v>34</v>
      </c>
      <c r="Q3271" t="s">
        <v>34</v>
      </c>
      <c r="R3271" t="s">
        <v>34</v>
      </c>
      <c r="S3271" t="s">
        <v>34</v>
      </c>
      <c r="T3271" s="117">
        <v>0</v>
      </c>
    </row>
    <row r="3272" spans="1:21" x14ac:dyDescent="0.35">
      <c r="A3272" t="s">
        <v>19</v>
      </c>
      <c r="B3272" t="s">
        <v>19</v>
      </c>
      <c r="C3272" s="1">
        <v>45735</v>
      </c>
      <c r="D3272">
        <f t="shared" si="232"/>
        <v>19</v>
      </c>
      <c r="E3272">
        <f t="shared" si="233"/>
        <v>3</v>
      </c>
      <c r="F3272">
        <f t="shared" si="234"/>
        <v>2025</v>
      </c>
      <c r="G3272" t="s">
        <v>43</v>
      </c>
      <c r="H3272" s="98" t="s">
        <v>933</v>
      </c>
      <c r="I3272" s="29">
        <v>25914.99</v>
      </c>
      <c r="J3272" s="12" t="s">
        <v>31</v>
      </c>
      <c r="K3272" s="76">
        <f t="shared" si="231"/>
        <v>25914.99</v>
      </c>
      <c r="L3272">
        <v>1</v>
      </c>
      <c r="M3272" s="29">
        <v>0</v>
      </c>
      <c r="N3272" t="s">
        <v>32</v>
      </c>
      <c r="O3272" t="s">
        <v>33</v>
      </c>
      <c r="P3272" t="s">
        <v>34</v>
      </c>
      <c r="Q3272" t="s">
        <v>34</v>
      </c>
      <c r="R3272" t="s">
        <v>34</v>
      </c>
      <c r="S3272" t="s">
        <v>34</v>
      </c>
      <c r="T3272" s="117">
        <v>0</v>
      </c>
    </row>
    <row r="3273" spans="1:21" x14ac:dyDescent="0.35">
      <c r="A3273" t="s">
        <v>19</v>
      </c>
      <c r="B3273" t="s">
        <v>27</v>
      </c>
      <c r="C3273" s="1">
        <v>45736</v>
      </c>
      <c r="D3273">
        <f t="shared" si="232"/>
        <v>20</v>
      </c>
      <c r="E3273">
        <f t="shared" si="233"/>
        <v>3</v>
      </c>
      <c r="F3273">
        <f t="shared" si="234"/>
        <v>2025</v>
      </c>
      <c r="G3273" t="s">
        <v>100</v>
      </c>
      <c r="H3273" s="98">
        <v>12057</v>
      </c>
      <c r="I3273" s="29">
        <v>2725.44</v>
      </c>
      <c r="J3273" s="12" t="s">
        <v>31</v>
      </c>
      <c r="K3273" s="76">
        <f t="shared" si="231"/>
        <v>2725.44</v>
      </c>
      <c r="L3273">
        <v>1</v>
      </c>
      <c r="M3273" s="29">
        <v>0</v>
      </c>
      <c r="N3273" t="s">
        <v>32</v>
      </c>
      <c r="O3273" t="s">
        <v>33</v>
      </c>
      <c r="P3273" t="s">
        <v>34</v>
      </c>
      <c r="Q3273" t="s">
        <v>34</v>
      </c>
      <c r="R3273" t="s">
        <v>34</v>
      </c>
      <c r="S3273" t="s">
        <v>34</v>
      </c>
      <c r="T3273" s="117">
        <v>0</v>
      </c>
    </row>
    <row r="3274" spans="1:21" x14ac:dyDescent="0.35">
      <c r="A3274" t="s">
        <v>19</v>
      </c>
      <c r="B3274" t="s">
        <v>19</v>
      </c>
      <c r="C3274" s="1">
        <v>45736</v>
      </c>
      <c r="D3274">
        <f t="shared" si="232"/>
        <v>20</v>
      </c>
      <c r="E3274">
        <f t="shared" si="233"/>
        <v>3</v>
      </c>
      <c r="F3274">
        <f t="shared" si="234"/>
        <v>2025</v>
      </c>
      <c r="G3274" t="s">
        <v>264</v>
      </c>
      <c r="H3274" s="98" t="s">
        <v>958</v>
      </c>
      <c r="I3274" s="29">
        <v>3789</v>
      </c>
      <c r="J3274" s="12" t="s">
        <v>31</v>
      </c>
      <c r="K3274" s="76">
        <f t="shared" si="231"/>
        <v>3789</v>
      </c>
      <c r="L3274">
        <v>1</v>
      </c>
      <c r="M3274" s="29">
        <v>0</v>
      </c>
      <c r="N3274" t="s">
        <v>42</v>
      </c>
      <c r="O3274" t="s">
        <v>33</v>
      </c>
      <c r="P3274" t="s">
        <v>34</v>
      </c>
      <c r="Q3274" t="s">
        <v>34</v>
      </c>
      <c r="R3274" t="s">
        <v>34</v>
      </c>
      <c r="S3274" t="s">
        <v>34</v>
      </c>
      <c r="T3274" s="117">
        <v>0</v>
      </c>
    </row>
    <row r="3275" spans="1:21" x14ac:dyDescent="0.35">
      <c r="A3275" t="s">
        <v>19</v>
      </c>
      <c r="B3275" t="s">
        <v>19</v>
      </c>
      <c r="C3275" s="1">
        <v>45736</v>
      </c>
      <c r="D3275">
        <f t="shared" si="232"/>
        <v>20</v>
      </c>
      <c r="E3275">
        <f t="shared" si="233"/>
        <v>3</v>
      </c>
      <c r="F3275">
        <f t="shared" si="234"/>
        <v>2025</v>
      </c>
      <c r="G3275" t="s">
        <v>126</v>
      </c>
      <c r="H3275" s="98" t="s">
        <v>934</v>
      </c>
      <c r="I3275" s="29">
        <v>4116</v>
      </c>
      <c r="J3275" s="12" t="s">
        <v>31</v>
      </c>
      <c r="K3275" s="76">
        <f t="shared" si="231"/>
        <v>4116</v>
      </c>
      <c r="L3275">
        <v>1</v>
      </c>
      <c r="M3275" s="29">
        <v>0</v>
      </c>
      <c r="N3275" t="s">
        <v>42</v>
      </c>
      <c r="O3275" t="s">
        <v>33</v>
      </c>
      <c r="P3275" t="s">
        <v>34</v>
      </c>
      <c r="Q3275" t="s">
        <v>34</v>
      </c>
      <c r="R3275" t="s">
        <v>34</v>
      </c>
      <c r="S3275" t="s">
        <v>34</v>
      </c>
      <c r="T3275" s="117">
        <v>0</v>
      </c>
    </row>
    <row r="3276" spans="1:21" x14ac:dyDescent="0.35">
      <c r="A3276" t="s">
        <v>19</v>
      </c>
      <c r="B3276" t="s">
        <v>19</v>
      </c>
      <c r="C3276" s="1">
        <v>45736</v>
      </c>
      <c r="D3276">
        <f t="shared" si="232"/>
        <v>20</v>
      </c>
      <c r="E3276">
        <f t="shared" si="233"/>
        <v>3</v>
      </c>
      <c r="F3276">
        <f t="shared" si="234"/>
        <v>2025</v>
      </c>
      <c r="G3276" t="s">
        <v>126</v>
      </c>
      <c r="H3276" s="98" t="s">
        <v>935</v>
      </c>
      <c r="I3276" s="29">
        <v>2640</v>
      </c>
      <c r="J3276" s="12" t="s">
        <v>31</v>
      </c>
      <c r="K3276" s="76">
        <f t="shared" si="231"/>
        <v>2640</v>
      </c>
      <c r="L3276">
        <v>1</v>
      </c>
      <c r="M3276" s="29">
        <v>0</v>
      </c>
      <c r="N3276" t="s">
        <v>42</v>
      </c>
      <c r="O3276" t="s">
        <v>33</v>
      </c>
      <c r="P3276" t="s">
        <v>34</v>
      </c>
      <c r="Q3276" t="s">
        <v>34</v>
      </c>
      <c r="R3276" t="s">
        <v>34</v>
      </c>
      <c r="S3276" t="s">
        <v>34</v>
      </c>
      <c r="T3276" s="117">
        <v>0</v>
      </c>
    </row>
    <row r="3277" spans="1:21" x14ac:dyDescent="0.35">
      <c r="A3277" t="s">
        <v>19</v>
      </c>
      <c r="B3277" t="s">
        <v>19</v>
      </c>
      <c r="C3277" s="1">
        <v>45736</v>
      </c>
      <c r="D3277">
        <f t="shared" si="232"/>
        <v>20</v>
      </c>
      <c r="E3277">
        <f t="shared" si="233"/>
        <v>3</v>
      </c>
      <c r="F3277">
        <f t="shared" si="234"/>
        <v>2025</v>
      </c>
      <c r="G3277" t="s">
        <v>553</v>
      </c>
      <c r="H3277" s="98" t="s">
        <v>984</v>
      </c>
      <c r="I3277" s="29">
        <v>2700</v>
      </c>
      <c r="J3277" s="12" t="s">
        <v>31</v>
      </c>
      <c r="K3277" s="76">
        <f t="shared" si="231"/>
        <v>2700</v>
      </c>
      <c r="L3277">
        <v>1</v>
      </c>
      <c r="M3277" s="29">
        <v>0</v>
      </c>
      <c r="N3277" t="s">
        <v>42</v>
      </c>
      <c r="O3277" t="s">
        <v>33</v>
      </c>
      <c r="P3277" t="s">
        <v>34</v>
      </c>
      <c r="Q3277" t="s">
        <v>34</v>
      </c>
      <c r="R3277" t="s">
        <v>34</v>
      </c>
      <c r="S3277" t="s">
        <v>34</v>
      </c>
      <c r="T3277" s="117">
        <v>0</v>
      </c>
    </row>
    <row r="3278" spans="1:21" x14ac:dyDescent="0.35">
      <c r="A3278" t="s">
        <v>19</v>
      </c>
      <c r="B3278" t="s">
        <v>26</v>
      </c>
      <c r="C3278" s="1">
        <v>45737</v>
      </c>
      <c r="D3278">
        <f t="shared" si="232"/>
        <v>21</v>
      </c>
      <c r="E3278">
        <f t="shared" si="233"/>
        <v>3</v>
      </c>
      <c r="F3278">
        <f t="shared" si="234"/>
        <v>2025</v>
      </c>
      <c r="G3278" t="s">
        <v>73</v>
      </c>
      <c r="H3278" s="98">
        <v>12326</v>
      </c>
      <c r="I3278" s="29">
        <v>36383.49</v>
      </c>
      <c r="J3278" s="12" t="s">
        <v>51</v>
      </c>
      <c r="K3278" s="76">
        <f t="shared" si="231"/>
        <v>39465.171602999995</v>
      </c>
      <c r="L3278">
        <v>1.0847</v>
      </c>
      <c r="M3278" s="29">
        <v>0</v>
      </c>
      <c r="N3278" t="s">
        <v>32</v>
      </c>
      <c r="O3278" t="s">
        <v>33</v>
      </c>
      <c r="P3278" t="s">
        <v>34</v>
      </c>
      <c r="Q3278" t="s">
        <v>34</v>
      </c>
      <c r="R3278" t="s">
        <v>34</v>
      </c>
      <c r="S3278" t="s">
        <v>34</v>
      </c>
      <c r="T3278" s="117">
        <v>0</v>
      </c>
      <c r="U3278" s="209" t="s">
        <v>94</v>
      </c>
    </row>
    <row r="3279" spans="1:21" x14ac:dyDescent="0.35">
      <c r="A3279" t="s">
        <v>19</v>
      </c>
      <c r="B3279" t="s">
        <v>26</v>
      </c>
      <c r="C3279" s="1">
        <v>45737</v>
      </c>
      <c r="D3279">
        <f t="shared" si="232"/>
        <v>21</v>
      </c>
      <c r="E3279">
        <f t="shared" si="233"/>
        <v>3</v>
      </c>
      <c r="F3279">
        <f t="shared" si="234"/>
        <v>2025</v>
      </c>
      <c r="G3279" t="s">
        <v>73</v>
      </c>
      <c r="H3279" s="98">
        <v>12337</v>
      </c>
      <c r="I3279" s="29">
        <v>87583.63</v>
      </c>
      <c r="J3279" s="12" t="s">
        <v>51</v>
      </c>
      <c r="K3279" s="76">
        <f t="shared" si="231"/>
        <v>95001.963461000007</v>
      </c>
      <c r="L3279">
        <v>1.0847</v>
      </c>
      <c r="M3279" s="29">
        <v>0</v>
      </c>
      <c r="N3279" t="s">
        <v>32</v>
      </c>
      <c r="O3279" t="s">
        <v>33</v>
      </c>
      <c r="P3279" t="s">
        <v>34</v>
      </c>
      <c r="Q3279" t="s">
        <v>34</v>
      </c>
      <c r="R3279" t="s">
        <v>34</v>
      </c>
      <c r="S3279" t="s">
        <v>34</v>
      </c>
      <c r="T3279" s="117">
        <v>0</v>
      </c>
      <c r="U3279" s="209" t="s">
        <v>94</v>
      </c>
    </row>
    <row r="3280" spans="1:21" x14ac:dyDescent="0.35">
      <c r="A3280" t="s">
        <v>19</v>
      </c>
      <c r="B3280" t="s">
        <v>26</v>
      </c>
      <c r="C3280" s="1">
        <v>45737</v>
      </c>
      <c r="D3280">
        <f t="shared" si="232"/>
        <v>21</v>
      </c>
      <c r="E3280">
        <f t="shared" si="233"/>
        <v>3</v>
      </c>
      <c r="F3280">
        <f t="shared" si="234"/>
        <v>2025</v>
      </c>
      <c r="G3280" t="s">
        <v>73</v>
      </c>
      <c r="H3280" s="98">
        <v>12338</v>
      </c>
      <c r="I3280" s="29">
        <v>31130.5</v>
      </c>
      <c r="J3280" s="12" t="s">
        <v>51</v>
      </c>
      <c r="K3280" s="76">
        <f t="shared" si="231"/>
        <v>33767.253349999999</v>
      </c>
      <c r="L3280">
        <v>1.0847</v>
      </c>
      <c r="M3280" s="29">
        <v>0</v>
      </c>
      <c r="N3280" t="s">
        <v>32</v>
      </c>
      <c r="O3280" t="s">
        <v>33</v>
      </c>
      <c r="P3280" t="s">
        <v>34</v>
      </c>
      <c r="Q3280" t="s">
        <v>34</v>
      </c>
      <c r="R3280" t="s">
        <v>34</v>
      </c>
      <c r="S3280" t="s">
        <v>34</v>
      </c>
      <c r="T3280" s="117">
        <v>0</v>
      </c>
      <c r="U3280" s="209" t="s">
        <v>94</v>
      </c>
    </row>
    <row r="3281" spans="1:21" x14ac:dyDescent="0.35">
      <c r="A3281" t="s">
        <v>19</v>
      </c>
      <c r="B3281" t="s">
        <v>27</v>
      </c>
      <c r="C3281" s="1">
        <v>45741</v>
      </c>
      <c r="D3281">
        <f t="shared" si="232"/>
        <v>25</v>
      </c>
      <c r="E3281">
        <f t="shared" si="233"/>
        <v>3</v>
      </c>
      <c r="F3281">
        <f t="shared" si="234"/>
        <v>2025</v>
      </c>
      <c r="G3281" t="s">
        <v>100</v>
      </c>
      <c r="H3281" s="98">
        <v>11047</v>
      </c>
      <c r="I3281" s="29">
        <v>206579.13</v>
      </c>
      <c r="J3281" s="12" t="s">
        <v>31</v>
      </c>
      <c r="K3281" s="76">
        <f t="shared" si="231"/>
        <v>206579.13</v>
      </c>
      <c r="L3281">
        <v>1</v>
      </c>
      <c r="M3281" s="29">
        <v>0</v>
      </c>
      <c r="N3281" t="s">
        <v>32</v>
      </c>
      <c r="O3281" t="s">
        <v>33</v>
      </c>
      <c r="P3281" t="s">
        <v>34</v>
      </c>
      <c r="Q3281" t="s">
        <v>34</v>
      </c>
      <c r="R3281" t="s">
        <v>34</v>
      </c>
      <c r="S3281" t="s">
        <v>34</v>
      </c>
      <c r="T3281" s="117">
        <v>0</v>
      </c>
      <c r="U3281" s="209" t="s">
        <v>501</v>
      </c>
    </row>
    <row r="3282" spans="1:21" x14ac:dyDescent="0.35">
      <c r="A3282" t="s">
        <v>20</v>
      </c>
      <c r="B3282" t="s">
        <v>25</v>
      </c>
      <c r="C3282" s="1">
        <v>45742</v>
      </c>
      <c r="D3282">
        <f t="shared" si="232"/>
        <v>26</v>
      </c>
      <c r="E3282">
        <f t="shared" si="233"/>
        <v>3</v>
      </c>
      <c r="F3282">
        <f t="shared" si="234"/>
        <v>2025</v>
      </c>
      <c r="G3282" t="s">
        <v>442</v>
      </c>
      <c r="H3282" s="98">
        <v>12018</v>
      </c>
      <c r="I3282" s="29">
        <v>100000</v>
      </c>
      <c r="J3282" s="12" t="s">
        <v>51</v>
      </c>
      <c r="K3282" s="76">
        <f t="shared" si="231"/>
        <v>107939.99999999999</v>
      </c>
      <c r="L3282">
        <v>1.0793999999999999</v>
      </c>
      <c r="M3282" s="29">
        <v>0</v>
      </c>
      <c r="N3282" t="s">
        <v>32</v>
      </c>
      <c r="O3282" t="s">
        <v>33</v>
      </c>
      <c r="P3282" t="s">
        <v>34</v>
      </c>
      <c r="Q3282" t="s">
        <v>34</v>
      </c>
      <c r="R3282" t="s">
        <v>34</v>
      </c>
      <c r="S3282" t="s">
        <v>34</v>
      </c>
      <c r="T3282" s="117">
        <v>0</v>
      </c>
      <c r="U3282" s="209" t="s">
        <v>94</v>
      </c>
    </row>
    <row r="3283" spans="1:21" x14ac:dyDescent="0.35">
      <c r="A3283" t="s">
        <v>20</v>
      </c>
      <c r="B3283" t="s">
        <v>25</v>
      </c>
      <c r="C3283" s="1">
        <v>45742</v>
      </c>
      <c r="D3283">
        <f t="shared" si="232"/>
        <v>26</v>
      </c>
      <c r="E3283">
        <f t="shared" si="233"/>
        <v>3</v>
      </c>
      <c r="F3283">
        <f t="shared" si="234"/>
        <v>2025</v>
      </c>
      <c r="G3283" t="s">
        <v>831</v>
      </c>
      <c r="H3283" s="98">
        <v>12188</v>
      </c>
      <c r="I3283" s="29">
        <v>4534.68</v>
      </c>
      <c r="J3283" s="12" t="s">
        <v>31</v>
      </c>
      <c r="K3283" s="76">
        <f t="shared" si="231"/>
        <v>4534.68</v>
      </c>
      <c r="L3283">
        <v>1</v>
      </c>
      <c r="M3283" s="29">
        <v>0</v>
      </c>
      <c r="N3283" t="s">
        <v>42</v>
      </c>
      <c r="O3283" t="s">
        <v>33</v>
      </c>
      <c r="P3283" t="s">
        <v>34</v>
      </c>
      <c r="Q3283" t="s">
        <v>34</v>
      </c>
      <c r="R3283" t="s">
        <v>34</v>
      </c>
      <c r="S3283" t="s">
        <v>34</v>
      </c>
      <c r="T3283" s="117">
        <v>0</v>
      </c>
    </row>
    <row r="3284" spans="1:21" x14ac:dyDescent="0.35">
      <c r="A3284" t="s">
        <v>20</v>
      </c>
      <c r="B3284" t="s">
        <v>25</v>
      </c>
      <c r="C3284" s="1">
        <v>45742</v>
      </c>
      <c r="D3284">
        <f t="shared" si="232"/>
        <v>26</v>
      </c>
      <c r="E3284">
        <f t="shared" si="233"/>
        <v>3</v>
      </c>
      <c r="F3284">
        <f t="shared" si="234"/>
        <v>2025</v>
      </c>
      <c r="G3284" t="s">
        <v>43</v>
      </c>
      <c r="H3284" s="98">
        <v>12013</v>
      </c>
      <c r="I3284" s="29">
        <v>270.2</v>
      </c>
      <c r="J3284" s="12" t="s">
        <v>31</v>
      </c>
      <c r="K3284" s="76">
        <f t="shared" si="231"/>
        <v>270.2</v>
      </c>
      <c r="L3284">
        <v>1</v>
      </c>
      <c r="M3284" s="29">
        <v>0</v>
      </c>
      <c r="N3284" t="s">
        <v>32</v>
      </c>
      <c r="O3284" t="s">
        <v>33</v>
      </c>
      <c r="P3284" t="s">
        <v>34</v>
      </c>
      <c r="Q3284" t="s">
        <v>34</v>
      </c>
      <c r="R3284" t="s">
        <v>34</v>
      </c>
      <c r="S3284" t="s">
        <v>34</v>
      </c>
      <c r="T3284" s="117">
        <v>0</v>
      </c>
    </row>
    <row r="3285" spans="1:21" x14ac:dyDescent="0.35">
      <c r="A3285" t="s">
        <v>20</v>
      </c>
      <c r="B3285" t="s">
        <v>23</v>
      </c>
      <c r="C3285" s="1">
        <v>45742</v>
      </c>
      <c r="D3285">
        <f t="shared" si="232"/>
        <v>26</v>
      </c>
      <c r="E3285">
        <f t="shared" si="233"/>
        <v>3</v>
      </c>
      <c r="F3285">
        <f t="shared" si="234"/>
        <v>2025</v>
      </c>
      <c r="G3285" t="s">
        <v>82</v>
      </c>
      <c r="H3285" s="98">
        <v>11493</v>
      </c>
      <c r="I3285" s="29">
        <v>15582.32</v>
      </c>
      <c r="J3285" s="12" t="s">
        <v>31</v>
      </c>
      <c r="K3285" s="76">
        <f t="shared" si="231"/>
        <v>15582.32</v>
      </c>
      <c r="L3285">
        <v>1</v>
      </c>
      <c r="M3285" s="29">
        <v>0</v>
      </c>
      <c r="N3285" t="s">
        <v>32</v>
      </c>
      <c r="O3285" t="s">
        <v>33</v>
      </c>
      <c r="P3285" t="s">
        <v>34</v>
      </c>
      <c r="Q3285" t="s">
        <v>34</v>
      </c>
      <c r="R3285" t="s">
        <v>34</v>
      </c>
      <c r="S3285" t="s">
        <v>34</v>
      </c>
      <c r="T3285" s="117">
        <v>0</v>
      </c>
    </row>
    <row r="3286" spans="1:21" x14ac:dyDescent="0.35">
      <c r="A3286" t="s">
        <v>20</v>
      </c>
      <c r="B3286" t="s">
        <v>23</v>
      </c>
      <c r="C3286" s="1">
        <v>45742</v>
      </c>
      <c r="D3286">
        <f t="shared" si="232"/>
        <v>26</v>
      </c>
      <c r="E3286">
        <f t="shared" si="233"/>
        <v>3</v>
      </c>
      <c r="F3286">
        <f t="shared" si="234"/>
        <v>2025</v>
      </c>
      <c r="G3286" t="s">
        <v>265</v>
      </c>
      <c r="H3286" s="98">
        <v>12375</v>
      </c>
      <c r="I3286" s="29">
        <v>16.5</v>
      </c>
      <c r="J3286" s="12" t="s">
        <v>31</v>
      </c>
      <c r="K3286" s="76">
        <f t="shared" si="231"/>
        <v>16.5</v>
      </c>
      <c r="L3286">
        <v>1</v>
      </c>
      <c r="M3286" s="29">
        <v>0</v>
      </c>
      <c r="N3286" t="s">
        <v>42</v>
      </c>
      <c r="O3286" t="s">
        <v>33</v>
      </c>
      <c r="P3286" t="s">
        <v>34</v>
      </c>
      <c r="Q3286" t="s">
        <v>34</v>
      </c>
      <c r="R3286" t="s">
        <v>34</v>
      </c>
      <c r="S3286" t="s">
        <v>34</v>
      </c>
      <c r="T3286" s="117">
        <v>0</v>
      </c>
    </row>
    <row r="3287" spans="1:21" x14ac:dyDescent="0.35">
      <c r="A3287" t="s">
        <v>20</v>
      </c>
      <c r="B3287" t="s">
        <v>23</v>
      </c>
      <c r="C3287" s="1">
        <v>45742</v>
      </c>
      <c r="D3287">
        <f t="shared" si="232"/>
        <v>26</v>
      </c>
      <c r="E3287">
        <f t="shared" si="233"/>
        <v>3</v>
      </c>
      <c r="F3287">
        <f t="shared" si="234"/>
        <v>2025</v>
      </c>
      <c r="G3287" t="s">
        <v>265</v>
      </c>
      <c r="H3287" s="98">
        <v>12376</v>
      </c>
      <c r="I3287" s="29">
        <v>627</v>
      </c>
      <c r="J3287" s="12" t="s">
        <v>31</v>
      </c>
      <c r="K3287" s="76">
        <f t="shared" si="231"/>
        <v>627</v>
      </c>
      <c r="L3287">
        <v>1</v>
      </c>
      <c r="M3287" s="29">
        <v>0</v>
      </c>
      <c r="N3287" t="s">
        <v>42</v>
      </c>
      <c r="O3287" t="s">
        <v>33</v>
      </c>
      <c r="P3287" t="s">
        <v>34</v>
      </c>
      <c r="Q3287" t="s">
        <v>34</v>
      </c>
      <c r="R3287" t="s">
        <v>34</v>
      </c>
      <c r="S3287" t="s">
        <v>34</v>
      </c>
      <c r="T3287" s="117">
        <v>0</v>
      </c>
    </row>
    <row r="3288" spans="1:21" x14ac:dyDescent="0.35">
      <c r="A3288" t="s">
        <v>20</v>
      </c>
      <c r="B3288" t="s">
        <v>23</v>
      </c>
      <c r="C3288" s="1">
        <v>45742</v>
      </c>
      <c r="D3288">
        <f t="shared" si="232"/>
        <v>26</v>
      </c>
      <c r="E3288">
        <f t="shared" si="233"/>
        <v>3</v>
      </c>
      <c r="F3288">
        <f t="shared" si="234"/>
        <v>2025</v>
      </c>
      <c r="G3288" t="s">
        <v>118</v>
      </c>
      <c r="H3288" s="98">
        <v>12377</v>
      </c>
      <c r="I3288" s="29">
        <v>39.799999999999997</v>
      </c>
      <c r="J3288" s="12" t="s">
        <v>31</v>
      </c>
      <c r="K3288" s="76">
        <f t="shared" si="231"/>
        <v>39.799999999999997</v>
      </c>
      <c r="L3288">
        <v>1</v>
      </c>
      <c r="M3288" s="29">
        <v>0</v>
      </c>
      <c r="N3288" t="s">
        <v>42</v>
      </c>
      <c r="O3288" t="s">
        <v>33</v>
      </c>
      <c r="P3288" t="s">
        <v>34</v>
      </c>
      <c r="Q3288" t="s">
        <v>34</v>
      </c>
      <c r="R3288" t="s">
        <v>34</v>
      </c>
      <c r="S3288" t="s">
        <v>34</v>
      </c>
      <c r="T3288" s="117">
        <v>0</v>
      </c>
    </row>
    <row r="3289" spans="1:21" x14ac:dyDescent="0.35">
      <c r="A3289" t="s">
        <v>20</v>
      </c>
      <c r="B3289" t="s">
        <v>23</v>
      </c>
      <c r="C3289" s="1">
        <v>45742</v>
      </c>
      <c r="D3289">
        <f t="shared" si="232"/>
        <v>26</v>
      </c>
      <c r="E3289">
        <f t="shared" si="233"/>
        <v>3</v>
      </c>
      <c r="F3289">
        <f t="shared" si="234"/>
        <v>2025</v>
      </c>
      <c r="G3289" t="s">
        <v>118</v>
      </c>
      <c r="H3289" s="98">
        <v>12330</v>
      </c>
      <c r="I3289" s="29">
        <v>716.4</v>
      </c>
      <c r="J3289" s="12" t="s">
        <v>31</v>
      </c>
      <c r="K3289" s="76">
        <f t="shared" si="231"/>
        <v>716.4</v>
      </c>
      <c r="L3289">
        <v>1</v>
      </c>
      <c r="M3289" s="29">
        <v>0</v>
      </c>
      <c r="N3289" t="s">
        <v>42</v>
      </c>
      <c r="O3289" t="s">
        <v>33</v>
      </c>
      <c r="P3289" t="s">
        <v>34</v>
      </c>
      <c r="Q3289" t="s">
        <v>34</v>
      </c>
      <c r="R3289" t="s">
        <v>34</v>
      </c>
      <c r="S3289" t="s">
        <v>34</v>
      </c>
      <c r="T3289" s="117">
        <v>0</v>
      </c>
      <c r="U3289" s="209" t="s">
        <v>1044</v>
      </c>
    </row>
    <row r="3290" spans="1:21" x14ac:dyDescent="0.35">
      <c r="A3290" t="s">
        <v>20</v>
      </c>
      <c r="B3290" t="s">
        <v>21</v>
      </c>
      <c r="C3290" s="1">
        <v>45742</v>
      </c>
      <c r="D3290">
        <f t="shared" si="232"/>
        <v>26</v>
      </c>
      <c r="E3290">
        <f t="shared" si="233"/>
        <v>3</v>
      </c>
      <c r="F3290">
        <f t="shared" si="234"/>
        <v>2025</v>
      </c>
      <c r="G3290" t="s">
        <v>118</v>
      </c>
      <c r="H3290" s="98">
        <v>12347</v>
      </c>
      <c r="I3290" s="29">
        <v>65.2</v>
      </c>
      <c r="J3290" s="12" t="s">
        <v>31</v>
      </c>
      <c r="K3290" s="76">
        <f t="shared" si="231"/>
        <v>65.2</v>
      </c>
      <c r="L3290">
        <v>1</v>
      </c>
      <c r="M3290" s="29">
        <v>0</v>
      </c>
      <c r="N3290" t="s">
        <v>42</v>
      </c>
      <c r="O3290" t="s">
        <v>33</v>
      </c>
      <c r="P3290" t="s">
        <v>34</v>
      </c>
      <c r="Q3290" t="s">
        <v>34</v>
      </c>
      <c r="R3290" t="s">
        <v>34</v>
      </c>
      <c r="S3290" t="s">
        <v>34</v>
      </c>
      <c r="T3290" s="117">
        <v>0</v>
      </c>
    </row>
    <row r="3291" spans="1:21" x14ac:dyDescent="0.35">
      <c r="A3291" t="s">
        <v>20</v>
      </c>
      <c r="B3291" t="s">
        <v>23</v>
      </c>
      <c r="C3291" s="1">
        <v>45742</v>
      </c>
      <c r="D3291">
        <f t="shared" si="232"/>
        <v>26</v>
      </c>
      <c r="E3291">
        <f t="shared" si="233"/>
        <v>3</v>
      </c>
      <c r="F3291">
        <f t="shared" si="234"/>
        <v>2025</v>
      </c>
      <c r="G3291" t="s">
        <v>118</v>
      </c>
      <c r="H3291" s="98">
        <v>12355</v>
      </c>
      <c r="I3291" s="29">
        <v>35</v>
      </c>
      <c r="J3291" s="12" t="s">
        <v>31</v>
      </c>
      <c r="K3291" s="76">
        <f t="shared" si="231"/>
        <v>35</v>
      </c>
      <c r="L3291">
        <v>1</v>
      </c>
      <c r="M3291" s="29">
        <v>0</v>
      </c>
      <c r="N3291" t="s">
        <v>42</v>
      </c>
      <c r="O3291" t="s">
        <v>33</v>
      </c>
      <c r="P3291" t="s">
        <v>34</v>
      </c>
      <c r="Q3291" t="s">
        <v>34</v>
      </c>
      <c r="R3291" t="s">
        <v>34</v>
      </c>
      <c r="S3291" t="s">
        <v>34</v>
      </c>
      <c r="T3291" s="117">
        <v>0</v>
      </c>
    </row>
    <row r="3292" spans="1:21" x14ac:dyDescent="0.35">
      <c r="A3292" t="s">
        <v>20</v>
      </c>
      <c r="B3292" t="s">
        <v>21</v>
      </c>
      <c r="C3292" s="1">
        <v>45742</v>
      </c>
      <c r="D3292">
        <f t="shared" si="232"/>
        <v>26</v>
      </c>
      <c r="E3292">
        <f t="shared" si="233"/>
        <v>3</v>
      </c>
      <c r="F3292">
        <f t="shared" si="234"/>
        <v>2025</v>
      </c>
      <c r="G3292" t="s">
        <v>118</v>
      </c>
      <c r="H3292" s="98">
        <v>12357</v>
      </c>
      <c r="I3292" s="29">
        <v>1330</v>
      </c>
      <c r="J3292" s="12" t="s">
        <v>31</v>
      </c>
      <c r="K3292" s="76">
        <f t="shared" si="231"/>
        <v>1330</v>
      </c>
      <c r="L3292">
        <v>1</v>
      </c>
      <c r="M3292" s="29">
        <v>0</v>
      </c>
      <c r="N3292" t="s">
        <v>42</v>
      </c>
      <c r="O3292" t="s">
        <v>33</v>
      </c>
      <c r="P3292" t="s">
        <v>34</v>
      </c>
      <c r="Q3292" t="s">
        <v>34</v>
      </c>
      <c r="R3292" t="s">
        <v>34</v>
      </c>
      <c r="S3292" t="s">
        <v>34</v>
      </c>
      <c r="T3292" s="117">
        <v>0</v>
      </c>
    </row>
    <row r="3293" spans="1:21" x14ac:dyDescent="0.35">
      <c r="A3293" t="s">
        <v>20</v>
      </c>
      <c r="B3293" t="s">
        <v>21</v>
      </c>
      <c r="C3293" s="1">
        <v>45742</v>
      </c>
      <c r="D3293">
        <f t="shared" si="232"/>
        <v>26</v>
      </c>
      <c r="E3293">
        <f t="shared" si="233"/>
        <v>3</v>
      </c>
      <c r="F3293">
        <f t="shared" si="234"/>
        <v>2025</v>
      </c>
      <c r="G3293" t="s">
        <v>118</v>
      </c>
      <c r="H3293" s="98">
        <v>12357</v>
      </c>
      <c r="I3293" s="29">
        <v>1346.52</v>
      </c>
      <c r="J3293" s="12" t="s">
        <v>31</v>
      </c>
      <c r="K3293" s="76">
        <f t="shared" si="231"/>
        <v>1346.52</v>
      </c>
      <c r="L3293">
        <v>1</v>
      </c>
      <c r="M3293" s="29">
        <v>0</v>
      </c>
      <c r="N3293" t="s">
        <v>42</v>
      </c>
      <c r="O3293" t="s">
        <v>33</v>
      </c>
      <c r="P3293" t="s">
        <v>34</v>
      </c>
      <c r="Q3293" t="s">
        <v>34</v>
      </c>
      <c r="R3293" t="s">
        <v>34</v>
      </c>
      <c r="S3293" t="s">
        <v>34</v>
      </c>
      <c r="T3293" s="117">
        <v>0</v>
      </c>
      <c r="U3293" s="209" t="s">
        <v>1051</v>
      </c>
    </row>
    <row r="3294" spans="1:21" x14ac:dyDescent="0.35">
      <c r="A3294" t="s">
        <v>20</v>
      </c>
      <c r="B3294" t="s">
        <v>24</v>
      </c>
      <c r="C3294" s="1">
        <v>45742</v>
      </c>
      <c r="D3294">
        <f t="shared" si="232"/>
        <v>26</v>
      </c>
      <c r="E3294">
        <f t="shared" si="233"/>
        <v>3</v>
      </c>
      <c r="F3294">
        <f t="shared" si="234"/>
        <v>2025</v>
      </c>
      <c r="G3294" t="s">
        <v>81</v>
      </c>
      <c r="H3294" s="98">
        <v>11767</v>
      </c>
      <c r="I3294" s="29">
        <v>37561.870000000003</v>
      </c>
      <c r="J3294" s="12" t="s">
        <v>31</v>
      </c>
      <c r="K3294" s="76">
        <f t="shared" si="231"/>
        <v>37561.870000000003</v>
      </c>
      <c r="L3294">
        <v>1</v>
      </c>
      <c r="M3294" s="29">
        <v>0</v>
      </c>
      <c r="N3294" t="s">
        <v>32</v>
      </c>
      <c r="O3294" t="s">
        <v>33</v>
      </c>
      <c r="P3294" t="s">
        <v>34</v>
      </c>
      <c r="Q3294" t="s">
        <v>34</v>
      </c>
      <c r="R3294" t="s">
        <v>34</v>
      </c>
      <c r="S3294" t="s">
        <v>34</v>
      </c>
      <c r="T3294" s="117">
        <v>0</v>
      </c>
    </row>
    <row r="3295" spans="1:21" x14ac:dyDescent="0.35">
      <c r="A3295" t="s">
        <v>20</v>
      </c>
      <c r="B3295" t="s">
        <v>25</v>
      </c>
      <c r="C3295" s="1">
        <v>45742</v>
      </c>
      <c r="D3295">
        <f t="shared" si="232"/>
        <v>26</v>
      </c>
      <c r="E3295">
        <f t="shared" si="233"/>
        <v>3</v>
      </c>
      <c r="F3295">
        <f t="shared" si="234"/>
        <v>2025</v>
      </c>
      <c r="G3295" t="s">
        <v>81</v>
      </c>
      <c r="H3295" s="98">
        <v>11886</v>
      </c>
      <c r="I3295" s="29">
        <v>45187.15</v>
      </c>
      <c r="J3295" s="12" t="s">
        <v>31</v>
      </c>
      <c r="K3295" s="76">
        <f t="shared" si="231"/>
        <v>45187.15</v>
      </c>
      <c r="L3295">
        <v>1</v>
      </c>
      <c r="M3295" s="29">
        <v>0</v>
      </c>
      <c r="N3295" t="s">
        <v>32</v>
      </c>
      <c r="O3295" t="s">
        <v>33</v>
      </c>
      <c r="P3295" t="s">
        <v>34</v>
      </c>
      <c r="Q3295" t="s">
        <v>34</v>
      </c>
      <c r="R3295" t="s">
        <v>34</v>
      </c>
      <c r="S3295" t="s">
        <v>34</v>
      </c>
      <c r="T3295" s="117">
        <v>0</v>
      </c>
    </row>
    <row r="3296" spans="1:21" x14ac:dyDescent="0.35">
      <c r="A3296" t="s">
        <v>20</v>
      </c>
      <c r="B3296" t="s">
        <v>25</v>
      </c>
      <c r="C3296" s="1">
        <v>45742</v>
      </c>
      <c r="D3296">
        <f t="shared" si="232"/>
        <v>26</v>
      </c>
      <c r="E3296">
        <f t="shared" si="233"/>
        <v>3</v>
      </c>
      <c r="F3296">
        <f t="shared" si="234"/>
        <v>2025</v>
      </c>
      <c r="G3296" t="s">
        <v>81</v>
      </c>
      <c r="H3296" s="98">
        <v>11887</v>
      </c>
      <c r="I3296" s="29">
        <v>46552</v>
      </c>
      <c r="J3296" s="12" t="s">
        <v>31</v>
      </c>
      <c r="K3296" s="76">
        <f t="shared" si="231"/>
        <v>46552</v>
      </c>
      <c r="L3296">
        <v>1</v>
      </c>
      <c r="M3296" s="29">
        <v>0</v>
      </c>
      <c r="N3296" t="s">
        <v>32</v>
      </c>
      <c r="O3296" t="s">
        <v>33</v>
      </c>
      <c r="P3296" t="s">
        <v>34</v>
      </c>
      <c r="Q3296" t="s">
        <v>34</v>
      </c>
      <c r="R3296" t="s">
        <v>34</v>
      </c>
      <c r="S3296" t="s">
        <v>34</v>
      </c>
      <c r="T3296" s="117">
        <v>0</v>
      </c>
    </row>
    <row r="3297" spans="1:21" x14ac:dyDescent="0.35">
      <c r="A3297" t="s">
        <v>20</v>
      </c>
      <c r="B3297" t="s">
        <v>25</v>
      </c>
      <c r="C3297" s="1">
        <v>45742</v>
      </c>
      <c r="D3297">
        <f t="shared" si="232"/>
        <v>26</v>
      </c>
      <c r="E3297">
        <f t="shared" si="233"/>
        <v>3</v>
      </c>
      <c r="F3297">
        <f t="shared" si="234"/>
        <v>2025</v>
      </c>
      <c r="G3297" t="s">
        <v>90</v>
      </c>
      <c r="H3297" s="98">
        <v>11840</v>
      </c>
      <c r="I3297" s="29">
        <v>52661.54</v>
      </c>
      <c r="J3297" s="12" t="s">
        <v>31</v>
      </c>
      <c r="K3297" s="76">
        <f t="shared" si="231"/>
        <v>52661.54</v>
      </c>
      <c r="L3297">
        <v>1</v>
      </c>
      <c r="M3297" s="29">
        <v>0</v>
      </c>
      <c r="N3297" t="s">
        <v>32</v>
      </c>
      <c r="O3297" t="s">
        <v>33</v>
      </c>
      <c r="P3297" t="s">
        <v>34</v>
      </c>
      <c r="Q3297" t="s">
        <v>34</v>
      </c>
      <c r="R3297" t="s">
        <v>34</v>
      </c>
      <c r="S3297" t="s">
        <v>34</v>
      </c>
      <c r="T3297" s="117">
        <v>0</v>
      </c>
    </row>
    <row r="3298" spans="1:21" x14ac:dyDescent="0.35">
      <c r="A3298" t="s">
        <v>20</v>
      </c>
      <c r="B3298" t="s">
        <v>25</v>
      </c>
      <c r="C3298" s="1">
        <v>45742</v>
      </c>
      <c r="D3298">
        <f t="shared" si="232"/>
        <v>26</v>
      </c>
      <c r="E3298">
        <f t="shared" si="233"/>
        <v>3</v>
      </c>
      <c r="F3298">
        <f t="shared" si="234"/>
        <v>2025</v>
      </c>
      <c r="G3298" s="4" t="s">
        <v>96</v>
      </c>
      <c r="H3298" s="98">
        <v>12180</v>
      </c>
      <c r="I3298" s="29">
        <v>88</v>
      </c>
      <c r="J3298" s="12" t="s">
        <v>31</v>
      </c>
      <c r="K3298" s="76">
        <f t="shared" si="231"/>
        <v>88</v>
      </c>
      <c r="L3298">
        <v>1</v>
      </c>
      <c r="M3298" s="29">
        <v>0</v>
      </c>
      <c r="N3298" t="s">
        <v>32</v>
      </c>
      <c r="O3298" t="s">
        <v>33</v>
      </c>
      <c r="P3298" t="s">
        <v>34</v>
      </c>
      <c r="Q3298" t="s">
        <v>34</v>
      </c>
      <c r="R3298" t="s">
        <v>34</v>
      </c>
      <c r="S3298" t="s">
        <v>34</v>
      </c>
      <c r="T3298" s="117">
        <v>0</v>
      </c>
    </row>
    <row r="3299" spans="1:21" x14ac:dyDescent="0.35">
      <c r="A3299" t="s">
        <v>20</v>
      </c>
      <c r="B3299" t="s">
        <v>25</v>
      </c>
      <c r="C3299" s="1">
        <v>45742</v>
      </c>
      <c r="D3299">
        <f t="shared" si="232"/>
        <v>26</v>
      </c>
      <c r="E3299">
        <f t="shared" si="233"/>
        <v>3</v>
      </c>
      <c r="F3299">
        <f t="shared" si="234"/>
        <v>2025</v>
      </c>
      <c r="G3299" s="4" t="s">
        <v>96</v>
      </c>
      <c r="H3299" s="98">
        <v>12085</v>
      </c>
      <c r="I3299" s="29">
        <v>31458</v>
      </c>
      <c r="J3299" s="12" t="s">
        <v>31</v>
      </c>
      <c r="K3299" s="76">
        <f t="shared" si="231"/>
        <v>31458</v>
      </c>
      <c r="L3299">
        <v>1</v>
      </c>
      <c r="M3299" s="29">
        <v>0</v>
      </c>
      <c r="N3299" t="s">
        <v>32</v>
      </c>
      <c r="O3299" t="s">
        <v>33</v>
      </c>
      <c r="P3299" t="s">
        <v>34</v>
      </c>
      <c r="Q3299" t="s">
        <v>34</v>
      </c>
      <c r="R3299" t="s">
        <v>34</v>
      </c>
      <c r="S3299" t="s">
        <v>34</v>
      </c>
      <c r="T3299" s="117">
        <v>0</v>
      </c>
    </row>
    <row r="3300" spans="1:21" x14ac:dyDescent="0.35">
      <c r="A3300" t="s">
        <v>20</v>
      </c>
      <c r="B3300" t="s">
        <v>23</v>
      </c>
      <c r="C3300" s="1">
        <v>45742</v>
      </c>
      <c r="D3300">
        <f t="shared" si="232"/>
        <v>26</v>
      </c>
      <c r="E3300">
        <f t="shared" si="233"/>
        <v>3</v>
      </c>
      <c r="F3300">
        <f t="shared" si="234"/>
        <v>2025</v>
      </c>
      <c r="G3300" t="s">
        <v>46</v>
      </c>
      <c r="H3300" s="98">
        <v>12123</v>
      </c>
      <c r="I3300" s="29">
        <v>9509.2800000000007</v>
      </c>
      <c r="J3300" s="12" t="s">
        <v>31</v>
      </c>
      <c r="K3300" s="76">
        <f t="shared" si="231"/>
        <v>9509.2800000000007</v>
      </c>
      <c r="L3300">
        <v>1</v>
      </c>
      <c r="M3300" s="29">
        <v>0</v>
      </c>
      <c r="N3300" t="s">
        <v>32</v>
      </c>
      <c r="O3300" t="s">
        <v>33</v>
      </c>
      <c r="P3300" t="s">
        <v>34</v>
      </c>
      <c r="Q3300" t="s">
        <v>34</v>
      </c>
      <c r="R3300" t="s">
        <v>34</v>
      </c>
      <c r="S3300" t="s">
        <v>34</v>
      </c>
      <c r="T3300" s="117">
        <v>0</v>
      </c>
    </row>
    <row r="3301" spans="1:21" x14ac:dyDescent="0.35">
      <c r="A3301" t="s">
        <v>20</v>
      </c>
      <c r="B3301" t="s">
        <v>23</v>
      </c>
      <c r="C3301" s="1">
        <v>45742</v>
      </c>
      <c r="D3301">
        <f t="shared" si="232"/>
        <v>26</v>
      </c>
      <c r="E3301">
        <f t="shared" si="233"/>
        <v>3</v>
      </c>
      <c r="F3301">
        <f t="shared" si="234"/>
        <v>2025</v>
      </c>
      <c r="G3301" t="s">
        <v>46</v>
      </c>
      <c r="H3301" s="98">
        <v>12368</v>
      </c>
      <c r="I3301" s="29">
        <v>38.799999999999997</v>
      </c>
      <c r="J3301" s="12" t="s">
        <v>31</v>
      </c>
      <c r="K3301" s="76">
        <f t="shared" si="231"/>
        <v>38.799999999999997</v>
      </c>
      <c r="L3301">
        <v>1</v>
      </c>
      <c r="M3301" s="29">
        <v>0</v>
      </c>
      <c r="N3301" t="s">
        <v>42</v>
      </c>
      <c r="O3301" t="s">
        <v>33</v>
      </c>
      <c r="P3301" t="s">
        <v>34</v>
      </c>
      <c r="Q3301" t="s">
        <v>34</v>
      </c>
      <c r="R3301" t="s">
        <v>34</v>
      </c>
      <c r="S3301" t="s">
        <v>34</v>
      </c>
      <c r="T3301" s="117">
        <v>0</v>
      </c>
    </row>
    <row r="3302" spans="1:21" x14ac:dyDescent="0.35">
      <c r="A3302" t="s">
        <v>20</v>
      </c>
      <c r="B3302" t="s">
        <v>23</v>
      </c>
      <c r="C3302" s="1">
        <v>45742</v>
      </c>
      <c r="D3302">
        <f t="shared" si="232"/>
        <v>26</v>
      </c>
      <c r="E3302">
        <f t="shared" si="233"/>
        <v>3</v>
      </c>
      <c r="F3302">
        <f t="shared" si="234"/>
        <v>2025</v>
      </c>
      <c r="G3302" t="s">
        <v>46</v>
      </c>
      <c r="H3302" s="98">
        <v>12364</v>
      </c>
      <c r="I3302" s="29">
        <v>776</v>
      </c>
      <c r="J3302" s="12" t="s">
        <v>31</v>
      </c>
      <c r="K3302" s="76">
        <f t="shared" si="231"/>
        <v>776</v>
      </c>
      <c r="L3302">
        <v>1</v>
      </c>
      <c r="M3302" s="29">
        <v>0</v>
      </c>
      <c r="N3302" t="s">
        <v>42</v>
      </c>
      <c r="O3302" t="s">
        <v>33</v>
      </c>
      <c r="P3302" t="s">
        <v>34</v>
      </c>
      <c r="Q3302" t="s">
        <v>34</v>
      </c>
      <c r="R3302" t="s">
        <v>34</v>
      </c>
      <c r="S3302" t="s">
        <v>34</v>
      </c>
      <c r="T3302" s="117">
        <v>0</v>
      </c>
      <c r="U3302" s="209">
        <v>12369</v>
      </c>
    </row>
    <row r="3303" spans="1:21" x14ac:dyDescent="0.35">
      <c r="A3303" t="s">
        <v>20</v>
      </c>
      <c r="B3303" t="s">
        <v>23</v>
      </c>
      <c r="C3303" s="1">
        <v>45742</v>
      </c>
      <c r="D3303">
        <f t="shared" si="232"/>
        <v>26</v>
      </c>
      <c r="E3303">
        <f t="shared" si="233"/>
        <v>3</v>
      </c>
      <c r="F3303">
        <f t="shared" si="234"/>
        <v>2025</v>
      </c>
      <c r="G3303" t="s">
        <v>46</v>
      </c>
      <c r="H3303" s="98">
        <v>12370</v>
      </c>
      <c r="I3303" s="29">
        <v>38.5</v>
      </c>
      <c r="J3303" s="12" t="s">
        <v>31</v>
      </c>
      <c r="K3303" s="76">
        <f t="shared" si="231"/>
        <v>38.5</v>
      </c>
      <c r="L3303">
        <v>1</v>
      </c>
      <c r="M3303" s="29">
        <v>0</v>
      </c>
      <c r="N3303" t="s">
        <v>42</v>
      </c>
      <c r="O3303" t="s">
        <v>33</v>
      </c>
      <c r="P3303" t="s">
        <v>34</v>
      </c>
      <c r="Q3303" t="s">
        <v>34</v>
      </c>
      <c r="R3303" t="s">
        <v>34</v>
      </c>
      <c r="S3303" t="s">
        <v>34</v>
      </c>
      <c r="T3303" s="117">
        <v>0</v>
      </c>
    </row>
    <row r="3304" spans="1:21" x14ac:dyDescent="0.35">
      <c r="A3304" t="s">
        <v>20</v>
      </c>
      <c r="B3304" t="s">
        <v>23</v>
      </c>
      <c r="C3304" s="1">
        <v>45742</v>
      </c>
      <c r="D3304">
        <f t="shared" si="232"/>
        <v>26</v>
      </c>
      <c r="E3304">
        <f t="shared" si="233"/>
        <v>3</v>
      </c>
      <c r="F3304">
        <f t="shared" si="234"/>
        <v>2025</v>
      </c>
      <c r="G3304" t="s">
        <v>46</v>
      </c>
      <c r="H3304" s="98">
        <v>12371</v>
      </c>
      <c r="I3304" s="29">
        <v>1155</v>
      </c>
      <c r="J3304" s="12" t="s">
        <v>31</v>
      </c>
      <c r="K3304" s="76">
        <f t="shared" si="231"/>
        <v>1155</v>
      </c>
      <c r="L3304">
        <v>1</v>
      </c>
      <c r="M3304" s="29">
        <v>0</v>
      </c>
      <c r="N3304" t="s">
        <v>42</v>
      </c>
      <c r="O3304" t="s">
        <v>33</v>
      </c>
      <c r="P3304" t="s">
        <v>34</v>
      </c>
      <c r="Q3304" t="s">
        <v>34</v>
      </c>
      <c r="R3304" t="s">
        <v>34</v>
      </c>
      <c r="S3304" t="s">
        <v>34</v>
      </c>
      <c r="T3304" s="117">
        <v>0</v>
      </c>
    </row>
    <row r="3305" spans="1:21" x14ac:dyDescent="0.35">
      <c r="A3305" t="s">
        <v>19</v>
      </c>
      <c r="B3305" t="s">
        <v>23</v>
      </c>
      <c r="C3305" s="1">
        <v>45742</v>
      </c>
      <c r="D3305">
        <f t="shared" si="232"/>
        <v>26</v>
      </c>
      <c r="E3305">
        <f t="shared" si="233"/>
        <v>3</v>
      </c>
      <c r="F3305">
        <f t="shared" si="234"/>
        <v>2025</v>
      </c>
      <c r="G3305" t="s">
        <v>76</v>
      </c>
      <c r="H3305" s="139">
        <v>12261</v>
      </c>
      <c r="I3305" s="140">
        <v>32623.5</v>
      </c>
      <c r="J3305" s="139" t="s">
        <v>31</v>
      </c>
      <c r="K3305" s="76">
        <f t="shared" si="231"/>
        <v>32623.5</v>
      </c>
      <c r="L3305">
        <v>1</v>
      </c>
      <c r="M3305" s="29">
        <v>0</v>
      </c>
      <c r="N3305" t="s">
        <v>32</v>
      </c>
      <c r="O3305" t="s">
        <v>33</v>
      </c>
      <c r="P3305" t="s">
        <v>34</v>
      </c>
      <c r="Q3305" t="s">
        <v>34</v>
      </c>
      <c r="R3305" t="s">
        <v>34</v>
      </c>
      <c r="S3305" t="s">
        <v>34</v>
      </c>
      <c r="T3305" s="117">
        <v>0</v>
      </c>
    </row>
    <row r="3306" spans="1:21" x14ac:dyDescent="0.35">
      <c r="A3306" t="s">
        <v>19</v>
      </c>
      <c r="B3306" t="s">
        <v>21</v>
      </c>
      <c r="C3306" s="1">
        <v>45742</v>
      </c>
      <c r="D3306">
        <f t="shared" si="232"/>
        <v>26</v>
      </c>
      <c r="E3306">
        <f t="shared" si="233"/>
        <v>3</v>
      </c>
      <c r="F3306">
        <f t="shared" si="234"/>
        <v>2025</v>
      </c>
      <c r="G3306" t="s">
        <v>76</v>
      </c>
      <c r="H3306" s="139">
        <v>12261</v>
      </c>
      <c r="I3306" s="143">
        <v>10234</v>
      </c>
      <c r="J3306" s="139" t="s">
        <v>31</v>
      </c>
      <c r="K3306" s="76">
        <f t="shared" si="231"/>
        <v>10234</v>
      </c>
      <c r="L3306">
        <v>1</v>
      </c>
      <c r="M3306" s="29">
        <v>0</v>
      </c>
      <c r="N3306" t="s">
        <v>32</v>
      </c>
      <c r="O3306" t="s">
        <v>33</v>
      </c>
      <c r="P3306" t="s">
        <v>34</v>
      </c>
      <c r="Q3306" t="s">
        <v>34</v>
      </c>
      <c r="R3306" t="s">
        <v>34</v>
      </c>
      <c r="S3306" t="s">
        <v>34</v>
      </c>
      <c r="T3306" s="117">
        <v>0</v>
      </c>
    </row>
    <row r="3307" spans="1:21" x14ac:dyDescent="0.35">
      <c r="A3307" t="s">
        <v>19</v>
      </c>
      <c r="B3307" t="s">
        <v>24</v>
      </c>
      <c r="C3307" s="1">
        <v>45742</v>
      </c>
      <c r="D3307">
        <f t="shared" si="232"/>
        <v>26</v>
      </c>
      <c r="E3307">
        <f t="shared" si="233"/>
        <v>3</v>
      </c>
      <c r="F3307">
        <f t="shared" si="234"/>
        <v>2025</v>
      </c>
      <c r="G3307" t="s">
        <v>76</v>
      </c>
      <c r="H3307" s="139">
        <v>12261</v>
      </c>
      <c r="I3307" s="143">
        <v>15226.09</v>
      </c>
      <c r="J3307" s="139" t="s">
        <v>31</v>
      </c>
      <c r="K3307" s="76">
        <f t="shared" si="231"/>
        <v>15226.09</v>
      </c>
      <c r="L3307">
        <v>1</v>
      </c>
      <c r="M3307" s="29">
        <v>0</v>
      </c>
      <c r="N3307" t="s">
        <v>32</v>
      </c>
      <c r="O3307" t="s">
        <v>33</v>
      </c>
      <c r="P3307" t="s">
        <v>34</v>
      </c>
      <c r="Q3307" t="s">
        <v>34</v>
      </c>
      <c r="R3307" t="s">
        <v>34</v>
      </c>
      <c r="S3307" t="s">
        <v>34</v>
      </c>
      <c r="T3307" s="117">
        <v>0</v>
      </c>
    </row>
    <row r="3308" spans="1:21" x14ac:dyDescent="0.35">
      <c r="A3308" t="s">
        <v>19</v>
      </c>
      <c r="B3308" t="s">
        <v>23</v>
      </c>
      <c r="C3308" s="1">
        <v>45742</v>
      </c>
      <c r="D3308">
        <f t="shared" si="232"/>
        <v>26</v>
      </c>
      <c r="E3308">
        <f t="shared" si="233"/>
        <v>3</v>
      </c>
      <c r="F3308">
        <f t="shared" si="234"/>
        <v>2025</v>
      </c>
      <c r="G3308" t="s">
        <v>77</v>
      </c>
      <c r="H3308" s="98">
        <v>11903</v>
      </c>
      <c r="I3308" s="29">
        <v>4848.8999999999996</v>
      </c>
      <c r="J3308" s="12" t="s">
        <v>31</v>
      </c>
      <c r="K3308" s="76">
        <f t="shared" si="231"/>
        <v>4848.8999999999996</v>
      </c>
      <c r="L3308">
        <v>1</v>
      </c>
      <c r="M3308" s="29">
        <v>0</v>
      </c>
      <c r="N3308" t="s">
        <v>32</v>
      </c>
      <c r="O3308" t="s">
        <v>33</v>
      </c>
      <c r="P3308" t="s">
        <v>34</v>
      </c>
      <c r="Q3308" t="s">
        <v>34</v>
      </c>
      <c r="R3308" t="s">
        <v>34</v>
      </c>
      <c r="S3308" t="s">
        <v>34</v>
      </c>
      <c r="T3308" s="117">
        <v>0</v>
      </c>
    </row>
    <row r="3309" spans="1:21" x14ac:dyDescent="0.35">
      <c r="A3309" t="s">
        <v>19</v>
      </c>
      <c r="B3309" t="s">
        <v>21</v>
      </c>
      <c r="C3309" s="1">
        <v>45742</v>
      </c>
      <c r="D3309">
        <f t="shared" si="232"/>
        <v>26</v>
      </c>
      <c r="E3309">
        <f t="shared" si="233"/>
        <v>3</v>
      </c>
      <c r="F3309">
        <f t="shared" si="234"/>
        <v>2025</v>
      </c>
      <c r="G3309" t="s">
        <v>40</v>
      </c>
      <c r="H3309" s="98">
        <v>12131</v>
      </c>
      <c r="I3309" s="29">
        <v>20151.099999999999</v>
      </c>
      <c r="J3309" s="12" t="s">
        <v>31</v>
      </c>
      <c r="K3309" s="76">
        <f t="shared" si="231"/>
        <v>20151.099999999999</v>
      </c>
      <c r="L3309">
        <v>1</v>
      </c>
      <c r="M3309" s="29">
        <v>0</v>
      </c>
      <c r="N3309" t="s">
        <v>42</v>
      </c>
      <c r="O3309" t="s">
        <v>33</v>
      </c>
      <c r="P3309" t="s">
        <v>34</v>
      </c>
      <c r="Q3309" t="s">
        <v>34</v>
      </c>
      <c r="R3309" t="s">
        <v>34</v>
      </c>
      <c r="S3309" t="s">
        <v>34</v>
      </c>
      <c r="T3309" s="117">
        <v>0</v>
      </c>
    </row>
    <row r="3310" spans="1:21" x14ac:dyDescent="0.35">
      <c r="A3310" t="s">
        <v>19</v>
      </c>
      <c r="B3310" t="s">
        <v>25</v>
      </c>
      <c r="C3310" s="1">
        <v>45742</v>
      </c>
      <c r="D3310">
        <f t="shared" si="232"/>
        <v>26</v>
      </c>
      <c r="E3310">
        <f t="shared" si="233"/>
        <v>3</v>
      </c>
      <c r="F3310">
        <f t="shared" si="234"/>
        <v>2025</v>
      </c>
      <c r="G3310" t="s">
        <v>78</v>
      </c>
      <c r="H3310" s="98">
        <v>12135</v>
      </c>
      <c r="I3310" s="29">
        <v>21840</v>
      </c>
      <c r="J3310" s="12" t="s">
        <v>51</v>
      </c>
      <c r="K3310" s="76">
        <f t="shared" si="231"/>
        <v>23574.095999999998</v>
      </c>
      <c r="L3310">
        <v>1.0793999999999999</v>
      </c>
      <c r="M3310" s="29">
        <v>0</v>
      </c>
      <c r="N3310" t="s">
        <v>32</v>
      </c>
      <c r="O3310" t="s">
        <v>33</v>
      </c>
      <c r="P3310" t="s">
        <v>34</v>
      </c>
      <c r="Q3310" t="s">
        <v>34</v>
      </c>
      <c r="R3310" t="s">
        <v>34</v>
      </c>
      <c r="S3310" t="s">
        <v>34</v>
      </c>
      <c r="T3310" s="117">
        <v>0</v>
      </c>
      <c r="U3310" s="209" t="s">
        <v>94</v>
      </c>
    </row>
    <row r="3311" spans="1:21" x14ac:dyDescent="0.35">
      <c r="A3311" t="s">
        <v>19</v>
      </c>
      <c r="B3311" t="s">
        <v>25</v>
      </c>
      <c r="C3311" s="1">
        <v>45742</v>
      </c>
      <c r="D3311">
        <f t="shared" si="232"/>
        <v>26</v>
      </c>
      <c r="E3311">
        <f t="shared" si="233"/>
        <v>3</v>
      </c>
      <c r="F3311">
        <f t="shared" si="234"/>
        <v>2025</v>
      </c>
      <c r="G3311" t="s">
        <v>1146</v>
      </c>
      <c r="H3311" s="98">
        <v>12096</v>
      </c>
      <c r="I3311" s="29">
        <v>60780.480000000003</v>
      </c>
      <c r="J3311" s="12" t="s">
        <v>51</v>
      </c>
      <c r="K3311" s="76">
        <f t="shared" si="231"/>
        <v>65606.450111999991</v>
      </c>
      <c r="L3311">
        <v>1.0793999999999999</v>
      </c>
      <c r="M3311" s="29">
        <v>0</v>
      </c>
      <c r="N3311" t="s">
        <v>42</v>
      </c>
      <c r="O3311" t="s">
        <v>33</v>
      </c>
      <c r="P3311" t="s">
        <v>34</v>
      </c>
      <c r="Q3311" t="s">
        <v>34</v>
      </c>
      <c r="R3311" t="s">
        <v>34</v>
      </c>
      <c r="S3311" t="s">
        <v>34</v>
      </c>
      <c r="T3311" s="117">
        <v>0</v>
      </c>
      <c r="U3311" s="209" t="s">
        <v>94</v>
      </c>
    </row>
    <row r="3312" spans="1:21" x14ac:dyDescent="0.35">
      <c r="A3312" t="s">
        <v>19</v>
      </c>
      <c r="B3312" t="s">
        <v>25</v>
      </c>
      <c r="C3312" s="1">
        <v>45742</v>
      </c>
      <c r="D3312">
        <f t="shared" si="232"/>
        <v>26</v>
      </c>
      <c r="E3312">
        <f t="shared" si="233"/>
        <v>3</v>
      </c>
      <c r="F3312">
        <f t="shared" si="234"/>
        <v>2025</v>
      </c>
      <c r="G3312" t="s">
        <v>1146</v>
      </c>
      <c r="H3312" s="98">
        <v>12354</v>
      </c>
      <c r="I3312" s="29">
        <v>54103.93</v>
      </c>
      <c r="J3312" s="12" t="s">
        <v>51</v>
      </c>
      <c r="K3312" s="76">
        <f t="shared" si="231"/>
        <v>58399.782041999999</v>
      </c>
      <c r="L3312">
        <v>1.0793999999999999</v>
      </c>
      <c r="M3312" s="29">
        <v>0</v>
      </c>
      <c r="N3312" t="s">
        <v>42</v>
      </c>
      <c r="O3312" t="s">
        <v>33</v>
      </c>
      <c r="P3312" t="s">
        <v>34</v>
      </c>
      <c r="Q3312" t="s">
        <v>34</v>
      </c>
      <c r="R3312" t="s">
        <v>34</v>
      </c>
      <c r="S3312" t="s">
        <v>34</v>
      </c>
      <c r="T3312" s="117">
        <v>0</v>
      </c>
      <c r="U3312" s="209" t="s">
        <v>94</v>
      </c>
    </row>
    <row r="3313" spans="1:21" x14ac:dyDescent="0.35">
      <c r="A3313" t="s">
        <v>19</v>
      </c>
      <c r="B3313" t="s">
        <v>25</v>
      </c>
      <c r="C3313" s="1">
        <v>45742</v>
      </c>
      <c r="D3313">
        <f t="shared" si="232"/>
        <v>26</v>
      </c>
      <c r="E3313">
        <f t="shared" si="233"/>
        <v>3</v>
      </c>
      <c r="F3313">
        <f t="shared" si="234"/>
        <v>2025</v>
      </c>
      <c r="G3313" t="s">
        <v>1146</v>
      </c>
      <c r="H3313" s="98">
        <v>12374</v>
      </c>
      <c r="I3313" s="29">
        <v>183104.52</v>
      </c>
      <c r="J3313" s="12" t="s">
        <v>51</v>
      </c>
      <c r="K3313" s="76">
        <f t="shared" si="231"/>
        <v>197643.01888799996</v>
      </c>
      <c r="L3313">
        <v>1.0793999999999999</v>
      </c>
      <c r="M3313" s="29">
        <v>0</v>
      </c>
      <c r="N3313" t="s">
        <v>42</v>
      </c>
      <c r="O3313" t="s">
        <v>33</v>
      </c>
      <c r="P3313" t="s">
        <v>34</v>
      </c>
      <c r="Q3313" t="s">
        <v>34</v>
      </c>
      <c r="R3313" t="s">
        <v>34</v>
      </c>
      <c r="S3313" t="s">
        <v>34</v>
      </c>
      <c r="T3313" s="117">
        <v>0</v>
      </c>
      <c r="U3313" s="209" t="s">
        <v>94</v>
      </c>
    </row>
    <row r="3314" spans="1:21" x14ac:dyDescent="0.35">
      <c r="A3314" t="s">
        <v>19</v>
      </c>
      <c r="B3314" t="s">
        <v>24</v>
      </c>
      <c r="C3314" s="1">
        <v>45742</v>
      </c>
      <c r="D3314">
        <f t="shared" si="232"/>
        <v>26</v>
      </c>
      <c r="E3314">
        <f t="shared" si="233"/>
        <v>3</v>
      </c>
      <c r="F3314">
        <f t="shared" si="234"/>
        <v>2025</v>
      </c>
      <c r="G3314" t="s">
        <v>36</v>
      </c>
      <c r="H3314" s="98">
        <v>12148</v>
      </c>
      <c r="I3314" s="29">
        <v>7125.18</v>
      </c>
      <c r="J3314" s="12" t="s">
        <v>31</v>
      </c>
      <c r="K3314" s="76">
        <f t="shared" si="231"/>
        <v>7125.18</v>
      </c>
      <c r="L3314">
        <v>1</v>
      </c>
      <c r="M3314" s="29">
        <v>0</v>
      </c>
      <c r="N3314" t="s">
        <v>42</v>
      </c>
      <c r="O3314" t="s">
        <v>33</v>
      </c>
      <c r="P3314" t="s">
        <v>34</v>
      </c>
      <c r="Q3314" t="s">
        <v>34</v>
      </c>
      <c r="R3314" t="s">
        <v>34</v>
      </c>
      <c r="S3314" t="s">
        <v>34</v>
      </c>
      <c r="T3314" s="117">
        <v>0</v>
      </c>
    </row>
    <row r="3315" spans="1:21" x14ac:dyDescent="0.35">
      <c r="A3315" t="s">
        <v>19</v>
      </c>
      <c r="B3315" t="s">
        <v>25</v>
      </c>
      <c r="C3315" s="1">
        <v>45742</v>
      </c>
      <c r="D3315">
        <f t="shared" si="232"/>
        <v>26</v>
      </c>
      <c r="E3315">
        <f t="shared" si="233"/>
        <v>3</v>
      </c>
      <c r="F3315">
        <f t="shared" si="234"/>
        <v>2025</v>
      </c>
      <c r="G3315" t="s">
        <v>36</v>
      </c>
      <c r="H3315" s="98">
        <v>12148</v>
      </c>
      <c r="I3315" s="29">
        <v>105452.59</v>
      </c>
      <c r="J3315" s="12" t="s">
        <v>31</v>
      </c>
      <c r="K3315" s="76">
        <f t="shared" si="231"/>
        <v>105452.59</v>
      </c>
      <c r="L3315">
        <v>1</v>
      </c>
      <c r="M3315" s="29">
        <v>0</v>
      </c>
      <c r="N3315" t="s">
        <v>42</v>
      </c>
      <c r="O3315" t="s">
        <v>33</v>
      </c>
      <c r="P3315" t="s">
        <v>34</v>
      </c>
      <c r="Q3315" t="s">
        <v>34</v>
      </c>
      <c r="R3315" t="s">
        <v>34</v>
      </c>
      <c r="S3315" t="s">
        <v>34</v>
      </c>
      <c r="T3315" s="117">
        <v>0</v>
      </c>
    </row>
    <row r="3316" spans="1:21" x14ac:dyDescent="0.35">
      <c r="A3316" t="s">
        <v>19</v>
      </c>
      <c r="B3316" t="s">
        <v>21</v>
      </c>
      <c r="C3316" s="1">
        <v>45742</v>
      </c>
      <c r="D3316">
        <f t="shared" si="232"/>
        <v>26</v>
      </c>
      <c r="E3316">
        <f t="shared" si="233"/>
        <v>3</v>
      </c>
      <c r="F3316">
        <f t="shared" si="234"/>
        <v>2025</v>
      </c>
      <c r="G3316" t="s">
        <v>36</v>
      </c>
      <c r="H3316" s="98">
        <v>12148</v>
      </c>
      <c r="I3316" s="29">
        <v>29925.74</v>
      </c>
      <c r="J3316" s="12" t="s">
        <v>31</v>
      </c>
      <c r="K3316" s="76">
        <f t="shared" si="231"/>
        <v>29925.74</v>
      </c>
      <c r="L3316">
        <v>1</v>
      </c>
      <c r="M3316" s="29">
        <v>0</v>
      </c>
      <c r="N3316" t="s">
        <v>42</v>
      </c>
      <c r="O3316" t="s">
        <v>33</v>
      </c>
      <c r="P3316" t="s">
        <v>34</v>
      </c>
      <c r="Q3316" t="s">
        <v>34</v>
      </c>
      <c r="R3316" t="s">
        <v>34</v>
      </c>
      <c r="S3316" t="s">
        <v>34</v>
      </c>
      <c r="T3316" s="117">
        <v>0</v>
      </c>
    </row>
    <row r="3317" spans="1:21" x14ac:dyDescent="0.35">
      <c r="A3317" t="s">
        <v>19</v>
      </c>
      <c r="B3317" t="s">
        <v>25</v>
      </c>
      <c r="C3317" s="1">
        <v>45742</v>
      </c>
      <c r="D3317">
        <f t="shared" si="232"/>
        <v>26</v>
      </c>
      <c r="E3317">
        <f t="shared" si="233"/>
        <v>3</v>
      </c>
      <c r="F3317">
        <f t="shared" si="234"/>
        <v>2025</v>
      </c>
      <c r="G3317" t="s">
        <v>29</v>
      </c>
      <c r="H3317" s="98">
        <v>11855</v>
      </c>
      <c r="I3317" s="29">
        <v>5215.21</v>
      </c>
      <c r="J3317" s="12" t="s">
        <v>31</v>
      </c>
      <c r="K3317" s="76">
        <f t="shared" si="231"/>
        <v>5215.21</v>
      </c>
      <c r="L3317">
        <v>1</v>
      </c>
      <c r="M3317" s="29">
        <v>0</v>
      </c>
      <c r="N3317" t="s">
        <v>32</v>
      </c>
      <c r="O3317" t="s">
        <v>33</v>
      </c>
      <c r="P3317" t="s">
        <v>34</v>
      </c>
      <c r="Q3317" t="s">
        <v>34</v>
      </c>
      <c r="R3317" t="s">
        <v>34</v>
      </c>
      <c r="S3317" t="s">
        <v>34</v>
      </c>
      <c r="T3317" s="117">
        <v>0</v>
      </c>
    </row>
    <row r="3318" spans="1:21" x14ac:dyDescent="0.35">
      <c r="A3318" t="s">
        <v>19</v>
      </c>
      <c r="B3318" t="s">
        <v>25</v>
      </c>
      <c r="C3318" s="1">
        <v>45742</v>
      </c>
      <c r="D3318">
        <f t="shared" si="232"/>
        <v>26</v>
      </c>
      <c r="E3318">
        <f t="shared" si="233"/>
        <v>3</v>
      </c>
      <c r="F3318">
        <f t="shared" si="234"/>
        <v>2025</v>
      </c>
      <c r="G3318" t="s">
        <v>936</v>
      </c>
      <c r="H3318" s="98">
        <v>11777</v>
      </c>
      <c r="I3318" s="29">
        <v>275.5</v>
      </c>
      <c r="J3318" s="12" t="s">
        <v>31</v>
      </c>
      <c r="K3318" s="76">
        <f t="shared" si="231"/>
        <v>275.5</v>
      </c>
      <c r="L3318">
        <v>1</v>
      </c>
      <c r="M3318" s="29">
        <v>0</v>
      </c>
      <c r="N3318" t="s">
        <v>32</v>
      </c>
      <c r="O3318" t="s">
        <v>33</v>
      </c>
      <c r="P3318" t="s">
        <v>34</v>
      </c>
      <c r="Q3318" t="s">
        <v>34</v>
      </c>
      <c r="R3318" t="s">
        <v>34</v>
      </c>
      <c r="S3318" t="s">
        <v>34</v>
      </c>
      <c r="T3318" s="117">
        <v>0</v>
      </c>
    </row>
    <row r="3319" spans="1:21" x14ac:dyDescent="0.35">
      <c r="A3319" t="s">
        <v>19</v>
      </c>
      <c r="B3319" t="s">
        <v>25</v>
      </c>
      <c r="C3319" s="1">
        <v>45742</v>
      </c>
      <c r="D3319">
        <f t="shared" si="232"/>
        <v>26</v>
      </c>
      <c r="E3319">
        <f t="shared" si="233"/>
        <v>3</v>
      </c>
      <c r="F3319">
        <f t="shared" si="234"/>
        <v>2025</v>
      </c>
      <c r="G3319" t="s">
        <v>38</v>
      </c>
      <c r="H3319" s="98">
        <v>12230</v>
      </c>
      <c r="I3319" s="29">
        <v>36506.25</v>
      </c>
      <c r="J3319" s="12" t="s">
        <v>31</v>
      </c>
      <c r="K3319" s="76">
        <f t="shared" si="231"/>
        <v>36506.25</v>
      </c>
      <c r="L3319">
        <v>1</v>
      </c>
      <c r="M3319" s="29">
        <v>0</v>
      </c>
      <c r="N3319" t="s">
        <v>32</v>
      </c>
      <c r="O3319" t="s">
        <v>33</v>
      </c>
      <c r="P3319" t="s">
        <v>34</v>
      </c>
      <c r="Q3319" t="s">
        <v>34</v>
      </c>
      <c r="R3319" t="s">
        <v>34</v>
      </c>
      <c r="S3319" t="s">
        <v>34</v>
      </c>
      <c r="T3319" s="117">
        <v>0</v>
      </c>
    </row>
    <row r="3320" spans="1:21" x14ac:dyDescent="0.35">
      <c r="A3320" t="s">
        <v>19</v>
      </c>
      <c r="B3320" t="s">
        <v>25</v>
      </c>
      <c r="C3320" s="1">
        <v>45742</v>
      </c>
      <c r="D3320">
        <f t="shared" si="232"/>
        <v>26</v>
      </c>
      <c r="E3320">
        <f t="shared" si="233"/>
        <v>3</v>
      </c>
      <c r="F3320">
        <f t="shared" si="234"/>
        <v>2025</v>
      </c>
      <c r="G3320" t="s">
        <v>93</v>
      </c>
      <c r="H3320" s="171">
        <v>11618</v>
      </c>
      <c r="I3320" s="90">
        <v>8089.71</v>
      </c>
      <c r="J3320" s="12" t="s">
        <v>31</v>
      </c>
      <c r="K3320" s="76">
        <f t="shared" si="231"/>
        <v>8089.71</v>
      </c>
      <c r="L3320">
        <v>1</v>
      </c>
      <c r="M3320" s="29">
        <v>0</v>
      </c>
      <c r="N3320" t="s">
        <v>32</v>
      </c>
      <c r="O3320" t="s">
        <v>33</v>
      </c>
      <c r="P3320" t="s">
        <v>34</v>
      </c>
      <c r="Q3320" t="s">
        <v>34</v>
      </c>
      <c r="R3320" t="s">
        <v>34</v>
      </c>
      <c r="S3320" t="s">
        <v>34</v>
      </c>
      <c r="T3320" s="117">
        <v>0</v>
      </c>
    </row>
    <row r="3321" spans="1:21" x14ac:dyDescent="0.35">
      <c r="A3321" t="s">
        <v>19</v>
      </c>
      <c r="B3321" t="s">
        <v>25</v>
      </c>
      <c r="C3321" s="1">
        <v>45742</v>
      </c>
      <c r="D3321">
        <f t="shared" si="232"/>
        <v>26</v>
      </c>
      <c r="E3321">
        <f t="shared" si="233"/>
        <v>3</v>
      </c>
      <c r="F3321">
        <f t="shared" si="234"/>
        <v>2025</v>
      </c>
      <c r="G3321" t="s">
        <v>93</v>
      </c>
      <c r="H3321" s="171">
        <v>12213</v>
      </c>
      <c r="I3321" s="90">
        <v>24347.4</v>
      </c>
      <c r="J3321" s="12" t="s">
        <v>31</v>
      </c>
      <c r="K3321" s="76">
        <f t="shared" si="231"/>
        <v>24347.4</v>
      </c>
      <c r="L3321">
        <v>1</v>
      </c>
      <c r="M3321" s="29">
        <v>0</v>
      </c>
      <c r="N3321" t="s">
        <v>32</v>
      </c>
      <c r="O3321" t="s">
        <v>33</v>
      </c>
      <c r="P3321" t="s">
        <v>34</v>
      </c>
      <c r="Q3321" t="s">
        <v>34</v>
      </c>
      <c r="R3321" t="s">
        <v>34</v>
      </c>
      <c r="S3321" t="s">
        <v>34</v>
      </c>
      <c r="T3321" s="117">
        <v>0</v>
      </c>
    </row>
    <row r="3322" spans="1:21" x14ac:dyDescent="0.35">
      <c r="A3322" t="s">
        <v>19</v>
      </c>
      <c r="B3322" t="s">
        <v>19</v>
      </c>
      <c r="C3322" s="1">
        <v>45742</v>
      </c>
      <c r="D3322">
        <f t="shared" si="232"/>
        <v>26</v>
      </c>
      <c r="E3322">
        <f t="shared" si="233"/>
        <v>3</v>
      </c>
      <c r="F3322">
        <f t="shared" si="234"/>
        <v>2025</v>
      </c>
      <c r="G3322" t="s">
        <v>106</v>
      </c>
      <c r="H3322" s="98" t="s">
        <v>942</v>
      </c>
      <c r="I3322" s="29">
        <v>274362.26</v>
      </c>
      <c r="J3322" s="12" t="s">
        <v>31</v>
      </c>
      <c r="K3322" s="76">
        <f t="shared" si="231"/>
        <v>274362.26</v>
      </c>
      <c r="L3322">
        <v>1</v>
      </c>
      <c r="M3322" s="29">
        <v>0</v>
      </c>
      <c r="N3322" t="s">
        <v>32</v>
      </c>
      <c r="O3322" t="s">
        <v>33</v>
      </c>
      <c r="P3322" t="s">
        <v>34</v>
      </c>
      <c r="Q3322" t="s">
        <v>34</v>
      </c>
      <c r="R3322" t="s">
        <v>34</v>
      </c>
      <c r="S3322" t="s">
        <v>34</v>
      </c>
      <c r="T3322" s="117">
        <v>0</v>
      </c>
    </row>
    <row r="3323" spans="1:21" x14ac:dyDescent="0.35">
      <c r="A3323" t="s">
        <v>19</v>
      </c>
      <c r="B3323" t="s">
        <v>19</v>
      </c>
      <c r="C3323" s="1">
        <v>45742</v>
      </c>
      <c r="D3323">
        <f t="shared" si="232"/>
        <v>26</v>
      </c>
      <c r="E3323">
        <f t="shared" si="233"/>
        <v>3</v>
      </c>
      <c r="F3323">
        <f t="shared" si="234"/>
        <v>2025</v>
      </c>
      <c r="G3323" t="s">
        <v>90</v>
      </c>
      <c r="H3323" s="98" t="s">
        <v>943</v>
      </c>
      <c r="I3323" s="29">
        <v>137821.91</v>
      </c>
      <c r="J3323" s="12" t="s">
        <v>31</v>
      </c>
      <c r="K3323" s="76">
        <f t="shared" si="231"/>
        <v>137821.91</v>
      </c>
      <c r="L3323">
        <v>1</v>
      </c>
      <c r="M3323" s="29">
        <v>0</v>
      </c>
      <c r="N3323" t="s">
        <v>32</v>
      </c>
      <c r="O3323" t="s">
        <v>33</v>
      </c>
      <c r="P3323" t="s">
        <v>34</v>
      </c>
      <c r="Q3323" t="s">
        <v>34</v>
      </c>
      <c r="R3323" t="s">
        <v>34</v>
      </c>
      <c r="S3323" t="s">
        <v>34</v>
      </c>
      <c r="T3323" s="117">
        <v>0</v>
      </c>
    </row>
    <row r="3324" spans="1:21" x14ac:dyDescent="0.35">
      <c r="A3324" t="s">
        <v>19</v>
      </c>
      <c r="B3324" t="s">
        <v>19</v>
      </c>
      <c r="C3324" s="1">
        <v>45742</v>
      </c>
      <c r="D3324">
        <f t="shared" si="232"/>
        <v>26</v>
      </c>
      <c r="E3324">
        <f t="shared" si="233"/>
        <v>3</v>
      </c>
      <c r="F3324">
        <f t="shared" si="234"/>
        <v>2025</v>
      </c>
      <c r="G3324" t="s">
        <v>111</v>
      </c>
      <c r="H3324" s="98" t="s">
        <v>944</v>
      </c>
      <c r="I3324" s="29">
        <v>151287.87</v>
      </c>
      <c r="J3324" s="12" t="s">
        <v>31</v>
      </c>
      <c r="K3324" s="76">
        <f t="shared" si="231"/>
        <v>151287.87</v>
      </c>
      <c r="L3324">
        <v>1</v>
      </c>
      <c r="M3324" s="29">
        <v>0</v>
      </c>
      <c r="N3324" t="s">
        <v>32</v>
      </c>
      <c r="O3324" t="s">
        <v>33</v>
      </c>
      <c r="P3324" t="s">
        <v>34</v>
      </c>
      <c r="Q3324" t="s">
        <v>34</v>
      </c>
      <c r="R3324" t="s">
        <v>34</v>
      </c>
      <c r="S3324" t="s">
        <v>34</v>
      </c>
      <c r="T3324" s="117">
        <v>0</v>
      </c>
    </row>
    <row r="3325" spans="1:21" x14ac:dyDescent="0.35">
      <c r="A3325" t="s">
        <v>19</v>
      </c>
      <c r="B3325" t="s">
        <v>19</v>
      </c>
      <c r="C3325" s="1">
        <v>45742</v>
      </c>
      <c r="D3325">
        <f t="shared" si="232"/>
        <v>26</v>
      </c>
      <c r="E3325">
        <f t="shared" si="233"/>
        <v>3</v>
      </c>
      <c r="F3325">
        <f t="shared" si="234"/>
        <v>2025</v>
      </c>
      <c r="G3325" t="s">
        <v>55</v>
      </c>
      <c r="H3325" s="98" t="s">
        <v>945</v>
      </c>
      <c r="I3325" s="29">
        <v>63134.09</v>
      </c>
      <c r="J3325" s="12" t="s">
        <v>31</v>
      </c>
      <c r="K3325" s="76">
        <f t="shared" si="231"/>
        <v>63134.09</v>
      </c>
      <c r="L3325">
        <v>1</v>
      </c>
      <c r="M3325" s="29">
        <v>0</v>
      </c>
      <c r="N3325" t="s">
        <v>32</v>
      </c>
      <c r="O3325" t="s">
        <v>33</v>
      </c>
      <c r="P3325" t="s">
        <v>34</v>
      </c>
      <c r="Q3325" t="s">
        <v>34</v>
      </c>
      <c r="R3325" t="s">
        <v>34</v>
      </c>
      <c r="S3325" t="s">
        <v>34</v>
      </c>
      <c r="T3325" s="117">
        <v>1855.61</v>
      </c>
    </row>
    <row r="3326" spans="1:21" x14ac:dyDescent="0.35">
      <c r="A3326" t="s">
        <v>19</v>
      </c>
      <c r="B3326" t="s">
        <v>19</v>
      </c>
      <c r="C3326" s="1">
        <v>45742</v>
      </c>
      <c r="D3326">
        <f t="shared" si="232"/>
        <v>26</v>
      </c>
      <c r="E3326">
        <f t="shared" si="233"/>
        <v>3</v>
      </c>
      <c r="F3326">
        <f t="shared" si="234"/>
        <v>2025</v>
      </c>
      <c r="G3326" t="s">
        <v>803</v>
      </c>
      <c r="H3326" s="98" t="s">
        <v>946</v>
      </c>
      <c r="I3326" s="29">
        <v>120189.7</v>
      </c>
      <c r="J3326" s="12" t="s">
        <v>31</v>
      </c>
      <c r="K3326" s="76">
        <f t="shared" si="231"/>
        <v>120189.7</v>
      </c>
      <c r="L3326">
        <v>1</v>
      </c>
      <c r="M3326" s="29">
        <v>0</v>
      </c>
      <c r="N3326" t="s">
        <v>32</v>
      </c>
      <c r="O3326" t="s">
        <v>33</v>
      </c>
      <c r="P3326" t="s">
        <v>34</v>
      </c>
      <c r="Q3326" t="s">
        <v>34</v>
      </c>
      <c r="R3326" t="s">
        <v>34</v>
      </c>
      <c r="S3326" t="s">
        <v>34</v>
      </c>
      <c r="T3326" s="117">
        <v>0</v>
      </c>
    </row>
    <row r="3327" spans="1:21" x14ac:dyDescent="0.35">
      <c r="A3327" t="s">
        <v>19</v>
      </c>
      <c r="B3327" t="s">
        <v>19</v>
      </c>
      <c r="C3327" s="1">
        <v>45742</v>
      </c>
      <c r="D3327">
        <f t="shared" si="232"/>
        <v>26</v>
      </c>
      <c r="E3327">
        <f t="shared" si="233"/>
        <v>3</v>
      </c>
      <c r="F3327">
        <f t="shared" si="234"/>
        <v>2025</v>
      </c>
      <c r="G3327" t="s">
        <v>126</v>
      </c>
      <c r="H3327" s="98" t="s">
        <v>947</v>
      </c>
      <c r="I3327" s="29">
        <v>8510</v>
      </c>
      <c r="J3327" s="12" t="s">
        <v>31</v>
      </c>
      <c r="K3327" s="76">
        <f t="shared" si="231"/>
        <v>8510</v>
      </c>
      <c r="L3327">
        <v>1</v>
      </c>
      <c r="M3327" s="29">
        <v>0</v>
      </c>
      <c r="N3327" t="s">
        <v>42</v>
      </c>
      <c r="O3327" t="s">
        <v>33</v>
      </c>
      <c r="P3327" t="s">
        <v>34</v>
      </c>
      <c r="Q3327" t="s">
        <v>34</v>
      </c>
      <c r="R3327" t="s">
        <v>34</v>
      </c>
      <c r="S3327" t="s">
        <v>34</v>
      </c>
      <c r="T3327" s="117">
        <v>0</v>
      </c>
    </row>
    <row r="3328" spans="1:21" x14ac:dyDescent="0.35">
      <c r="A3328" t="s">
        <v>19</v>
      </c>
      <c r="B3328" t="s">
        <v>26</v>
      </c>
      <c r="C3328" s="1">
        <v>45743</v>
      </c>
      <c r="D3328">
        <f t="shared" si="232"/>
        <v>27</v>
      </c>
      <c r="E3328">
        <f t="shared" si="233"/>
        <v>3</v>
      </c>
      <c r="F3328">
        <f t="shared" si="234"/>
        <v>2025</v>
      </c>
      <c r="G3328" t="s">
        <v>73</v>
      </c>
      <c r="H3328" s="98">
        <v>12338</v>
      </c>
      <c r="I3328" s="29">
        <v>11851.8</v>
      </c>
      <c r="J3328" s="12" t="s">
        <v>51</v>
      </c>
      <c r="K3328" s="76">
        <f t="shared" si="231"/>
        <v>12797.573640000001</v>
      </c>
      <c r="L3328">
        <v>1.0798000000000001</v>
      </c>
      <c r="M3328" s="29">
        <v>0</v>
      </c>
      <c r="N3328" t="s">
        <v>32</v>
      </c>
      <c r="O3328" t="s">
        <v>33</v>
      </c>
      <c r="P3328" t="s">
        <v>34</v>
      </c>
      <c r="Q3328" t="s">
        <v>34</v>
      </c>
      <c r="R3328" t="s">
        <v>34</v>
      </c>
      <c r="S3328" t="s">
        <v>34</v>
      </c>
      <c r="T3328" s="117">
        <v>0</v>
      </c>
      <c r="U3328" s="209" t="s">
        <v>94</v>
      </c>
    </row>
    <row r="3329" spans="1:21" x14ac:dyDescent="0.35">
      <c r="A3329" t="s">
        <v>19</v>
      </c>
      <c r="B3329" t="s">
        <v>26</v>
      </c>
      <c r="C3329" s="1">
        <v>45743</v>
      </c>
      <c r="D3329">
        <f t="shared" si="232"/>
        <v>27</v>
      </c>
      <c r="E3329">
        <f t="shared" si="233"/>
        <v>3</v>
      </c>
      <c r="F3329">
        <f t="shared" si="234"/>
        <v>2025</v>
      </c>
      <c r="G3329" t="s">
        <v>73</v>
      </c>
      <c r="H3329" s="98">
        <v>12365</v>
      </c>
      <c r="I3329" s="29">
        <v>107174.53</v>
      </c>
      <c r="J3329" s="12" t="s">
        <v>51</v>
      </c>
      <c r="K3329" s="76">
        <f t="shared" si="231"/>
        <v>115727.05749400001</v>
      </c>
      <c r="L3329">
        <v>1.0798000000000001</v>
      </c>
      <c r="M3329" s="29">
        <v>0</v>
      </c>
      <c r="N3329" t="s">
        <v>32</v>
      </c>
      <c r="O3329" t="s">
        <v>33</v>
      </c>
      <c r="P3329" t="s">
        <v>34</v>
      </c>
      <c r="Q3329" t="s">
        <v>34</v>
      </c>
      <c r="R3329" t="s">
        <v>34</v>
      </c>
      <c r="S3329" t="s">
        <v>34</v>
      </c>
      <c r="T3329" s="117">
        <v>0</v>
      </c>
      <c r="U3329" s="209" t="s">
        <v>94</v>
      </c>
    </row>
    <row r="3330" spans="1:21" x14ac:dyDescent="0.35">
      <c r="A3330" t="s">
        <v>19</v>
      </c>
      <c r="B3330" t="s">
        <v>26</v>
      </c>
      <c r="C3330" s="1">
        <v>45743</v>
      </c>
      <c r="D3330">
        <f t="shared" si="232"/>
        <v>27</v>
      </c>
      <c r="E3330">
        <f t="shared" si="233"/>
        <v>3</v>
      </c>
      <c r="F3330">
        <f t="shared" si="234"/>
        <v>2025</v>
      </c>
      <c r="G3330" t="s">
        <v>73</v>
      </c>
      <c r="H3330" s="98">
        <v>12379</v>
      </c>
      <c r="I3330" s="29">
        <v>8788.69</v>
      </c>
      <c r="J3330" s="12" t="s">
        <v>51</v>
      </c>
      <c r="K3330" s="76">
        <f t="shared" ref="K3330:K3393" si="235">IF(J3330="USD",I3330,I3330*L3330)</f>
        <v>9490.0274620000018</v>
      </c>
      <c r="L3330">
        <v>1.0798000000000001</v>
      </c>
      <c r="M3330" s="29">
        <v>0</v>
      </c>
      <c r="N3330" t="s">
        <v>32</v>
      </c>
      <c r="O3330" t="s">
        <v>33</v>
      </c>
      <c r="P3330" t="s">
        <v>34</v>
      </c>
      <c r="Q3330" t="s">
        <v>34</v>
      </c>
      <c r="R3330" t="s">
        <v>34</v>
      </c>
      <c r="S3330" t="s">
        <v>34</v>
      </c>
      <c r="T3330" s="117">
        <v>0</v>
      </c>
      <c r="U3330" s="209" t="s">
        <v>94</v>
      </c>
    </row>
    <row r="3331" spans="1:21" x14ac:dyDescent="0.35">
      <c r="A3331" t="s">
        <v>20</v>
      </c>
      <c r="B3331" t="s">
        <v>25</v>
      </c>
      <c r="C3331" s="1">
        <v>45748</v>
      </c>
      <c r="D3331">
        <f t="shared" ref="D3331:D3394" si="236">DAY(C3331)</f>
        <v>1</v>
      </c>
      <c r="E3331">
        <f t="shared" ref="E3331:E3394" si="237">MONTH(C3331)</f>
        <v>4</v>
      </c>
      <c r="F3331">
        <f t="shared" ref="F3331:F3394" si="238">YEAR(C3331)</f>
        <v>2025</v>
      </c>
      <c r="G3331" t="s">
        <v>566</v>
      </c>
      <c r="H3331" s="98">
        <v>12414</v>
      </c>
      <c r="I3331" s="29">
        <v>548.64</v>
      </c>
      <c r="J3331" s="12" t="s">
        <v>31</v>
      </c>
      <c r="K3331" s="76">
        <f t="shared" si="235"/>
        <v>548.64</v>
      </c>
      <c r="L3331">
        <v>1</v>
      </c>
      <c r="M3331" s="29">
        <v>0</v>
      </c>
      <c r="N3331" t="s">
        <v>42</v>
      </c>
      <c r="O3331" t="s">
        <v>33</v>
      </c>
      <c r="P3331" t="s">
        <v>34</v>
      </c>
      <c r="Q3331" t="s">
        <v>34</v>
      </c>
      <c r="R3331" t="s">
        <v>34</v>
      </c>
      <c r="S3331" t="s">
        <v>34</v>
      </c>
      <c r="T3331" s="117">
        <v>0</v>
      </c>
    </row>
    <row r="3332" spans="1:21" x14ac:dyDescent="0.35">
      <c r="A3332" t="s">
        <v>20</v>
      </c>
      <c r="B3332" t="s">
        <v>25</v>
      </c>
      <c r="C3332" s="1">
        <v>45748</v>
      </c>
      <c r="D3332">
        <f t="shared" si="236"/>
        <v>1</v>
      </c>
      <c r="E3332">
        <f t="shared" si="237"/>
        <v>4</v>
      </c>
      <c r="F3332">
        <f t="shared" si="238"/>
        <v>2025</v>
      </c>
      <c r="G3332" t="s">
        <v>566</v>
      </c>
      <c r="H3332" s="98">
        <v>12413</v>
      </c>
      <c r="I3332" s="29">
        <v>6567.3839999999991</v>
      </c>
      <c r="J3332" s="12" t="s">
        <v>31</v>
      </c>
      <c r="K3332" s="76">
        <f t="shared" si="235"/>
        <v>6567.3839999999991</v>
      </c>
      <c r="L3332">
        <v>1</v>
      </c>
      <c r="M3332" s="29">
        <v>0</v>
      </c>
      <c r="N3332" t="s">
        <v>42</v>
      </c>
      <c r="O3332" t="s">
        <v>33</v>
      </c>
      <c r="P3332" t="s">
        <v>34</v>
      </c>
      <c r="Q3332" t="s">
        <v>34</v>
      </c>
      <c r="R3332" t="s">
        <v>34</v>
      </c>
      <c r="S3332" t="s">
        <v>34</v>
      </c>
      <c r="T3332" s="117">
        <v>0</v>
      </c>
    </row>
    <row r="3333" spans="1:21" x14ac:dyDescent="0.35">
      <c r="A3333" t="s">
        <v>19</v>
      </c>
      <c r="B3333" t="s">
        <v>21</v>
      </c>
      <c r="C3333" s="1">
        <v>45749</v>
      </c>
      <c r="D3333">
        <f t="shared" si="236"/>
        <v>2</v>
      </c>
      <c r="E3333">
        <f t="shared" si="237"/>
        <v>4</v>
      </c>
      <c r="F3333">
        <f t="shared" si="238"/>
        <v>2025</v>
      </c>
      <c r="G3333" t="s">
        <v>40</v>
      </c>
      <c r="H3333" s="98">
        <v>12131</v>
      </c>
      <c r="I3333" s="29">
        <v>6959.7</v>
      </c>
      <c r="J3333" s="12" t="s">
        <v>31</v>
      </c>
      <c r="K3333" s="76">
        <f t="shared" si="235"/>
        <v>6959.7</v>
      </c>
      <c r="L3333">
        <v>1</v>
      </c>
      <c r="M3333" s="29">
        <v>0</v>
      </c>
      <c r="N3333" t="s">
        <v>32</v>
      </c>
      <c r="O3333" t="s">
        <v>33</v>
      </c>
      <c r="P3333" t="s">
        <v>34</v>
      </c>
      <c r="Q3333" t="s">
        <v>34</v>
      </c>
      <c r="R3333" t="s">
        <v>34</v>
      </c>
      <c r="S3333" t="s">
        <v>34</v>
      </c>
      <c r="T3333" s="117">
        <v>0</v>
      </c>
    </row>
    <row r="3334" spans="1:21" x14ac:dyDescent="0.35">
      <c r="A3334" t="s">
        <v>19</v>
      </c>
      <c r="B3334" t="s">
        <v>21</v>
      </c>
      <c r="C3334" s="1">
        <v>45749</v>
      </c>
      <c r="D3334">
        <f t="shared" si="236"/>
        <v>2</v>
      </c>
      <c r="E3334">
        <f t="shared" si="237"/>
        <v>4</v>
      </c>
      <c r="F3334">
        <f t="shared" si="238"/>
        <v>2025</v>
      </c>
      <c r="G3334" t="s">
        <v>76</v>
      </c>
      <c r="H3334" s="98">
        <v>11830</v>
      </c>
      <c r="I3334" s="29">
        <v>30128.799999999999</v>
      </c>
      <c r="J3334" s="12" t="s">
        <v>31</v>
      </c>
      <c r="K3334" s="76">
        <f t="shared" si="235"/>
        <v>30128.799999999999</v>
      </c>
      <c r="L3334">
        <v>1</v>
      </c>
      <c r="M3334" s="29">
        <v>0</v>
      </c>
      <c r="N3334" t="s">
        <v>42</v>
      </c>
      <c r="O3334" t="s">
        <v>33</v>
      </c>
      <c r="P3334" t="s">
        <v>34</v>
      </c>
      <c r="Q3334" t="s">
        <v>34</v>
      </c>
      <c r="R3334" t="s">
        <v>34</v>
      </c>
      <c r="S3334" t="s">
        <v>34</v>
      </c>
      <c r="T3334" s="117">
        <v>0</v>
      </c>
    </row>
    <row r="3335" spans="1:21" x14ac:dyDescent="0.35">
      <c r="A3335" t="s">
        <v>19</v>
      </c>
      <c r="B3335" t="s">
        <v>23</v>
      </c>
      <c r="C3335" s="1">
        <v>45749</v>
      </c>
      <c r="D3335">
        <f t="shared" si="236"/>
        <v>2</v>
      </c>
      <c r="E3335">
        <f t="shared" si="237"/>
        <v>4</v>
      </c>
      <c r="F3335">
        <f t="shared" si="238"/>
        <v>2025</v>
      </c>
      <c r="G3335" t="s">
        <v>76</v>
      </c>
      <c r="H3335" s="98">
        <v>11830</v>
      </c>
      <c r="I3335" s="29">
        <v>24276.6</v>
      </c>
      <c r="J3335" s="12" t="s">
        <v>31</v>
      </c>
      <c r="K3335" s="76">
        <f t="shared" si="235"/>
        <v>24276.6</v>
      </c>
      <c r="L3335">
        <v>1</v>
      </c>
      <c r="M3335" s="29">
        <v>0</v>
      </c>
      <c r="N3335" t="s">
        <v>42</v>
      </c>
      <c r="O3335" t="s">
        <v>33</v>
      </c>
      <c r="P3335" t="s">
        <v>34</v>
      </c>
      <c r="Q3335" t="s">
        <v>34</v>
      </c>
      <c r="R3335" t="s">
        <v>34</v>
      </c>
      <c r="S3335" t="s">
        <v>34</v>
      </c>
      <c r="T3335" s="117">
        <v>0</v>
      </c>
    </row>
    <row r="3336" spans="1:21" x14ac:dyDescent="0.35">
      <c r="A3336" t="s">
        <v>19</v>
      </c>
      <c r="B3336" t="s">
        <v>25</v>
      </c>
      <c r="C3336" s="1">
        <v>45749</v>
      </c>
      <c r="D3336">
        <f t="shared" si="236"/>
        <v>2</v>
      </c>
      <c r="E3336">
        <f t="shared" si="237"/>
        <v>4</v>
      </c>
      <c r="F3336">
        <f t="shared" si="238"/>
        <v>2025</v>
      </c>
      <c r="G3336" t="s">
        <v>1146</v>
      </c>
      <c r="H3336" s="139">
        <v>12157</v>
      </c>
      <c r="I3336" s="91">
        <v>22236</v>
      </c>
      <c r="J3336" s="12" t="s">
        <v>51</v>
      </c>
      <c r="K3336" s="76">
        <f t="shared" si="235"/>
        <v>24101.600400000003</v>
      </c>
      <c r="L3336">
        <v>1.0839000000000001</v>
      </c>
      <c r="M3336" s="29">
        <v>0</v>
      </c>
      <c r="N3336" t="s">
        <v>42</v>
      </c>
      <c r="O3336" t="s">
        <v>33</v>
      </c>
      <c r="P3336" t="s">
        <v>34</v>
      </c>
      <c r="Q3336" t="s">
        <v>34</v>
      </c>
      <c r="R3336" t="s">
        <v>34</v>
      </c>
      <c r="S3336" t="s">
        <v>34</v>
      </c>
      <c r="T3336" s="117">
        <v>0</v>
      </c>
      <c r="U3336" s="209" t="s">
        <v>94</v>
      </c>
    </row>
    <row r="3337" spans="1:21" x14ac:dyDescent="0.35">
      <c r="A3337" t="s">
        <v>19</v>
      </c>
      <c r="B3337" t="s">
        <v>25</v>
      </c>
      <c r="C3337" s="1">
        <v>45749</v>
      </c>
      <c r="D3337">
        <f t="shared" si="236"/>
        <v>2</v>
      </c>
      <c r="E3337">
        <f t="shared" si="237"/>
        <v>4</v>
      </c>
      <c r="F3337">
        <f t="shared" si="238"/>
        <v>2025</v>
      </c>
      <c r="G3337" t="s">
        <v>1146</v>
      </c>
      <c r="H3337" s="139">
        <v>12327</v>
      </c>
      <c r="I3337" s="91">
        <v>100</v>
      </c>
      <c r="J3337" s="12" t="s">
        <v>51</v>
      </c>
      <c r="K3337" s="76">
        <f t="shared" si="235"/>
        <v>108.39000000000001</v>
      </c>
      <c r="L3337">
        <v>1.0839000000000001</v>
      </c>
      <c r="M3337" s="29">
        <v>0</v>
      </c>
      <c r="N3337" t="s">
        <v>32</v>
      </c>
      <c r="O3337" t="s">
        <v>33</v>
      </c>
      <c r="P3337" t="s">
        <v>34</v>
      </c>
      <c r="Q3337" t="s">
        <v>34</v>
      </c>
      <c r="R3337" t="s">
        <v>34</v>
      </c>
      <c r="S3337" t="s">
        <v>34</v>
      </c>
      <c r="T3337" s="117">
        <v>0</v>
      </c>
      <c r="U3337" s="209" t="s">
        <v>94</v>
      </c>
    </row>
    <row r="3338" spans="1:21" x14ac:dyDescent="0.35">
      <c r="A3338" t="s">
        <v>19</v>
      </c>
      <c r="B3338" t="s">
        <v>25</v>
      </c>
      <c r="C3338" s="1">
        <v>45749</v>
      </c>
      <c r="D3338">
        <f t="shared" si="236"/>
        <v>2</v>
      </c>
      <c r="E3338">
        <f t="shared" si="237"/>
        <v>4</v>
      </c>
      <c r="F3338">
        <f t="shared" si="238"/>
        <v>2025</v>
      </c>
      <c r="G3338" t="s">
        <v>36</v>
      </c>
      <c r="H3338" s="98">
        <v>12032</v>
      </c>
      <c r="I3338" s="29">
        <v>24361</v>
      </c>
      <c r="J3338" s="12" t="s">
        <v>31</v>
      </c>
      <c r="K3338" s="76">
        <f t="shared" si="235"/>
        <v>24361</v>
      </c>
      <c r="L3338">
        <v>1</v>
      </c>
      <c r="M3338" s="29">
        <v>0</v>
      </c>
      <c r="N3338" t="s">
        <v>32</v>
      </c>
      <c r="O3338" t="s">
        <v>33</v>
      </c>
      <c r="P3338" t="s">
        <v>34</v>
      </c>
      <c r="Q3338" t="s">
        <v>34</v>
      </c>
      <c r="R3338" t="s">
        <v>34</v>
      </c>
      <c r="S3338" t="s">
        <v>34</v>
      </c>
      <c r="T3338" s="117">
        <v>0</v>
      </c>
    </row>
    <row r="3339" spans="1:21" x14ac:dyDescent="0.35">
      <c r="A3339" t="s">
        <v>19</v>
      </c>
      <c r="B3339" t="s">
        <v>25</v>
      </c>
      <c r="C3339" s="1">
        <v>45749</v>
      </c>
      <c r="D3339">
        <f t="shared" si="236"/>
        <v>2</v>
      </c>
      <c r="E3339">
        <f t="shared" si="237"/>
        <v>4</v>
      </c>
      <c r="F3339">
        <f t="shared" si="238"/>
        <v>2025</v>
      </c>
      <c r="G3339" t="s">
        <v>39</v>
      </c>
      <c r="H3339" s="98">
        <v>11956</v>
      </c>
      <c r="I3339" s="29">
        <v>6774.66</v>
      </c>
      <c r="J3339" s="12" t="s">
        <v>31</v>
      </c>
      <c r="K3339" s="76">
        <f t="shared" si="235"/>
        <v>6774.66</v>
      </c>
      <c r="L3339">
        <v>1</v>
      </c>
      <c r="M3339" s="29">
        <v>0</v>
      </c>
      <c r="N3339" t="s">
        <v>32</v>
      </c>
      <c r="O3339" t="s">
        <v>33</v>
      </c>
      <c r="P3339" t="s">
        <v>34</v>
      </c>
      <c r="Q3339" t="s">
        <v>34</v>
      </c>
      <c r="R3339" t="s">
        <v>34</v>
      </c>
      <c r="S3339" t="s">
        <v>34</v>
      </c>
      <c r="T3339" s="117">
        <v>0</v>
      </c>
    </row>
    <row r="3340" spans="1:21" x14ac:dyDescent="0.35">
      <c r="A3340" t="s">
        <v>19</v>
      </c>
      <c r="B3340" t="s">
        <v>25</v>
      </c>
      <c r="C3340" s="1">
        <v>45749</v>
      </c>
      <c r="D3340">
        <f t="shared" si="236"/>
        <v>2</v>
      </c>
      <c r="E3340">
        <f t="shared" si="237"/>
        <v>4</v>
      </c>
      <c r="F3340">
        <f t="shared" si="238"/>
        <v>2025</v>
      </c>
      <c r="G3340" t="s">
        <v>39</v>
      </c>
      <c r="H3340" s="98">
        <v>12172</v>
      </c>
      <c r="I3340" s="29">
        <v>77.400000000000006</v>
      </c>
      <c r="J3340" s="12" t="s">
        <v>31</v>
      </c>
      <c r="K3340" s="76">
        <f t="shared" si="235"/>
        <v>77.400000000000006</v>
      </c>
      <c r="L3340">
        <v>1</v>
      </c>
      <c r="M3340" s="29">
        <v>0</v>
      </c>
      <c r="N3340" t="s">
        <v>32</v>
      </c>
      <c r="O3340" t="s">
        <v>33</v>
      </c>
      <c r="P3340" t="s">
        <v>34</v>
      </c>
      <c r="Q3340" t="s">
        <v>34</v>
      </c>
      <c r="R3340" t="s">
        <v>34</v>
      </c>
      <c r="S3340" t="s">
        <v>34</v>
      </c>
      <c r="T3340" s="117">
        <v>0</v>
      </c>
    </row>
    <row r="3341" spans="1:21" x14ac:dyDescent="0.35">
      <c r="A3341" t="s">
        <v>19</v>
      </c>
      <c r="B3341" t="s">
        <v>25</v>
      </c>
      <c r="C3341" s="1">
        <v>45749</v>
      </c>
      <c r="D3341">
        <f t="shared" si="236"/>
        <v>2</v>
      </c>
      <c r="E3341">
        <f t="shared" si="237"/>
        <v>4</v>
      </c>
      <c r="F3341">
        <f t="shared" si="238"/>
        <v>2025</v>
      </c>
      <c r="G3341" t="s">
        <v>80</v>
      </c>
      <c r="H3341" s="98">
        <v>12036</v>
      </c>
      <c r="I3341" s="29">
        <v>8373.4</v>
      </c>
      <c r="J3341" s="12" t="s">
        <v>31</v>
      </c>
      <c r="K3341" s="76">
        <f t="shared" si="235"/>
        <v>8373.4</v>
      </c>
      <c r="L3341">
        <v>1</v>
      </c>
      <c r="M3341" s="29">
        <v>0</v>
      </c>
      <c r="N3341" t="s">
        <v>42</v>
      </c>
      <c r="O3341" t="s">
        <v>33</v>
      </c>
      <c r="P3341" t="s">
        <v>34</v>
      </c>
      <c r="Q3341" t="s">
        <v>34</v>
      </c>
      <c r="R3341" t="s">
        <v>34</v>
      </c>
      <c r="S3341" t="s">
        <v>34</v>
      </c>
      <c r="T3341" s="117">
        <v>0</v>
      </c>
    </row>
    <row r="3342" spans="1:21" x14ac:dyDescent="0.35">
      <c r="A3342" t="s">
        <v>19</v>
      </c>
      <c r="B3342" t="s">
        <v>25</v>
      </c>
      <c r="C3342" s="1">
        <v>45749</v>
      </c>
      <c r="D3342">
        <f t="shared" si="236"/>
        <v>2</v>
      </c>
      <c r="E3342">
        <f t="shared" si="237"/>
        <v>4</v>
      </c>
      <c r="F3342">
        <f t="shared" si="238"/>
        <v>2025</v>
      </c>
      <c r="G3342" t="s">
        <v>80</v>
      </c>
      <c r="H3342" s="98">
        <v>12159</v>
      </c>
      <c r="I3342" s="29">
        <v>42805.599999999999</v>
      </c>
      <c r="J3342" s="12" t="s">
        <v>31</v>
      </c>
      <c r="K3342" s="76">
        <f t="shared" si="235"/>
        <v>42805.599999999999</v>
      </c>
      <c r="L3342">
        <v>1</v>
      </c>
      <c r="M3342" s="29">
        <v>0</v>
      </c>
      <c r="N3342" t="s">
        <v>42</v>
      </c>
      <c r="O3342" t="s">
        <v>33</v>
      </c>
      <c r="P3342" t="s">
        <v>34</v>
      </c>
      <c r="Q3342" t="s">
        <v>34</v>
      </c>
      <c r="R3342" t="s">
        <v>34</v>
      </c>
      <c r="S3342" t="s">
        <v>34</v>
      </c>
      <c r="T3342" s="117">
        <v>0</v>
      </c>
    </row>
    <row r="3343" spans="1:21" x14ac:dyDescent="0.35">
      <c r="A3343" t="s">
        <v>19</v>
      </c>
      <c r="B3343" t="s">
        <v>25</v>
      </c>
      <c r="C3343" s="1">
        <v>45749</v>
      </c>
      <c r="D3343">
        <f t="shared" si="236"/>
        <v>2</v>
      </c>
      <c r="E3343">
        <f t="shared" si="237"/>
        <v>4</v>
      </c>
      <c r="F3343">
        <f t="shared" si="238"/>
        <v>2025</v>
      </c>
      <c r="G3343" t="s">
        <v>113</v>
      </c>
      <c r="H3343" s="98">
        <v>12152</v>
      </c>
      <c r="I3343" s="29">
        <v>79245.759999999995</v>
      </c>
      <c r="J3343" s="12" t="s">
        <v>51</v>
      </c>
      <c r="K3343" s="76">
        <f t="shared" si="235"/>
        <v>85894.479263999994</v>
      </c>
      <c r="L3343">
        <v>1.0839000000000001</v>
      </c>
      <c r="M3343" s="29">
        <v>0</v>
      </c>
      <c r="N3343" t="s">
        <v>32</v>
      </c>
      <c r="O3343" t="s">
        <v>33</v>
      </c>
      <c r="P3343" t="s">
        <v>34</v>
      </c>
      <c r="Q3343" t="s">
        <v>34</v>
      </c>
      <c r="R3343" t="s">
        <v>34</v>
      </c>
      <c r="S3343" t="s">
        <v>34</v>
      </c>
      <c r="T3343" s="117">
        <v>0</v>
      </c>
      <c r="U3343" s="209" t="s">
        <v>94</v>
      </c>
    </row>
    <row r="3344" spans="1:21" x14ac:dyDescent="0.35">
      <c r="A3344" t="s">
        <v>19</v>
      </c>
      <c r="B3344" t="s">
        <v>22</v>
      </c>
      <c r="C3344" s="1">
        <v>45749</v>
      </c>
      <c r="D3344">
        <f t="shared" si="236"/>
        <v>2</v>
      </c>
      <c r="E3344">
        <f t="shared" si="237"/>
        <v>4</v>
      </c>
      <c r="F3344">
        <f t="shared" si="238"/>
        <v>2025</v>
      </c>
      <c r="G3344" t="s">
        <v>35</v>
      </c>
      <c r="H3344" s="98">
        <v>11931</v>
      </c>
      <c r="I3344" s="90">
        <v>41297.449999999997</v>
      </c>
      <c r="J3344" s="12" t="s">
        <v>31</v>
      </c>
      <c r="K3344" s="76">
        <f t="shared" si="235"/>
        <v>41297.449999999997</v>
      </c>
      <c r="L3344">
        <v>1</v>
      </c>
      <c r="M3344" s="29">
        <v>0</v>
      </c>
      <c r="N3344" t="s">
        <v>32</v>
      </c>
      <c r="O3344" t="s">
        <v>33</v>
      </c>
      <c r="P3344" t="s">
        <v>34</v>
      </c>
      <c r="Q3344" t="s">
        <v>34</v>
      </c>
      <c r="R3344" t="s">
        <v>34</v>
      </c>
      <c r="S3344" t="s">
        <v>34</v>
      </c>
      <c r="T3344" s="117">
        <v>0</v>
      </c>
    </row>
    <row r="3345" spans="1:21" x14ac:dyDescent="0.35">
      <c r="A3345" t="s">
        <v>19</v>
      </c>
      <c r="B3345" t="s">
        <v>25</v>
      </c>
      <c r="C3345" s="1">
        <v>45749</v>
      </c>
      <c r="D3345">
        <f t="shared" si="236"/>
        <v>2</v>
      </c>
      <c r="E3345">
        <f t="shared" si="237"/>
        <v>4</v>
      </c>
      <c r="F3345">
        <f t="shared" si="238"/>
        <v>2025</v>
      </c>
      <c r="G3345" t="s">
        <v>30</v>
      </c>
      <c r="H3345" s="98">
        <v>12095</v>
      </c>
      <c r="I3345" s="29">
        <v>2982</v>
      </c>
      <c r="J3345" s="12" t="s">
        <v>31</v>
      </c>
      <c r="K3345" s="76">
        <f t="shared" si="235"/>
        <v>2982</v>
      </c>
      <c r="L3345">
        <v>1</v>
      </c>
      <c r="M3345" s="29">
        <v>0</v>
      </c>
      <c r="N3345" t="s">
        <v>42</v>
      </c>
      <c r="O3345" t="s">
        <v>33</v>
      </c>
      <c r="P3345" t="s">
        <v>34</v>
      </c>
      <c r="Q3345" t="s">
        <v>34</v>
      </c>
      <c r="R3345" t="s">
        <v>34</v>
      </c>
      <c r="S3345" t="s">
        <v>34</v>
      </c>
      <c r="T3345" s="117">
        <v>0</v>
      </c>
      <c r="U3345" s="209" t="s">
        <v>972</v>
      </c>
    </row>
    <row r="3346" spans="1:21" x14ac:dyDescent="0.35">
      <c r="A3346" t="s">
        <v>20</v>
      </c>
      <c r="B3346" t="s">
        <v>25</v>
      </c>
      <c r="C3346" s="1">
        <v>45749</v>
      </c>
      <c r="D3346">
        <f t="shared" si="236"/>
        <v>2</v>
      </c>
      <c r="E3346">
        <f t="shared" si="237"/>
        <v>4</v>
      </c>
      <c r="F3346">
        <f t="shared" si="238"/>
        <v>2025</v>
      </c>
      <c r="G3346" t="s">
        <v>831</v>
      </c>
      <c r="H3346" s="98">
        <v>12188</v>
      </c>
      <c r="I3346" s="29">
        <v>8566.25</v>
      </c>
      <c r="J3346" s="12" t="s">
        <v>31</v>
      </c>
      <c r="K3346" s="76">
        <f t="shared" si="235"/>
        <v>8566.25</v>
      </c>
      <c r="L3346">
        <v>1</v>
      </c>
      <c r="M3346" s="29">
        <v>0</v>
      </c>
      <c r="N3346" t="s">
        <v>42</v>
      </c>
      <c r="O3346" t="s">
        <v>33</v>
      </c>
      <c r="P3346" t="s">
        <v>34</v>
      </c>
      <c r="Q3346" t="s">
        <v>34</v>
      </c>
      <c r="R3346" t="s">
        <v>34</v>
      </c>
      <c r="S3346" t="s">
        <v>34</v>
      </c>
      <c r="T3346" s="117">
        <v>0</v>
      </c>
      <c r="U3346" s="209" t="s">
        <v>1012</v>
      </c>
    </row>
    <row r="3347" spans="1:21" x14ac:dyDescent="0.35">
      <c r="A3347" t="s">
        <v>20</v>
      </c>
      <c r="B3347" t="s">
        <v>25</v>
      </c>
      <c r="C3347" s="1">
        <v>45749</v>
      </c>
      <c r="D3347">
        <f t="shared" si="236"/>
        <v>2</v>
      </c>
      <c r="E3347">
        <f t="shared" si="237"/>
        <v>4</v>
      </c>
      <c r="F3347">
        <f t="shared" si="238"/>
        <v>2025</v>
      </c>
      <c r="G3347" t="s">
        <v>491</v>
      </c>
      <c r="H3347" s="98">
        <v>11744</v>
      </c>
      <c r="I3347" s="29">
        <v>11343.25</v>
      </c>
      <c r="J3347" s="12" t="s">
        <v>31</v>
      </c>
      <c r="K3347" s="76">
        <f t="shared" si="235"/>
        <v>11343.25</v>
      </c>
      <c r="L3347">
        <v>1</v>
      </c>
      <c r="M3347" s="29">
        <v>0</v>
      </c>
      <c r="N3347" t="s">
        <v>32</v>
      </c>
      <c r="O3347" t="s">
        <v>33</v>
      </c>
      <c r="P3347" t="s">
        <v>34</v>
      </c>
      <c r="Q3347" t="s">
        <v>34</v>
      </c>
      <c r="R3347" t="s">
        <v>34</v>
      </c>
      <c r="S3347" t="s">
        <v>34</v>
      </c>
      <c r="T3347" s="117">
        <v>0</v>
      </c>
    </row>
    <row r="3348" spans="1:21" x14ac:dyDescent="0.35">
      <c r="A3348" t="s">
        <v>20</v>
      </c>
      <c r="B3348" t="s">
        <v>25</v>
      </c>
      <c r="C3348" s="1">
        <v>45749</v>
      </c>
      <c r="D3348">
        <f t="shared" si="236"/>
        <v>2</v>
      </c>
      <c r="E3348">
        <f t="shared" si="237"/>
        <v>4</v>
      </c>
      <c r="F3348">
        <f t="shared" si="238"/>
        <v>2025</v>
      </c>
      <c r="G3348" t="s">
        <v>491</v>
      </c>
      <c r="H3348" s="98">
        <v>11745</v>
      </c>
      <c r="I3348" s="29">
        <v>15292.25</v>
      </c>
      <c r="J3348" s="12" t="s">
        <v>31</v>
      </c>
      <c r="K3348" s="76">
        <f t="shared" si="235"/>
        <v>15292.25</v>
      </c>
      <c r="L3348">
        <v>1</v>
      </c>
      <c r="M3348" s="29">
        <v>0</v>
      </c>
      <c r="N3348" t="s">
        <v>32</v>
      </c>
      <c r="O3348" t="s">
        <v>33</v>
      </c>
      <c r="P3348" t="s">
        <v>34</v>
      </c>
      <c r="Q3348" t="s">
        <v>34</v>
      </c>
      <c r="R3348" t="s">
        <v>34</v>
      </c>
      <c r="S3348" t="s">
        <v>34</v>
      </c>
      <c r="T3348" s="117">
        <v>0</v>
      </c>
    </row>
    <row r="3349" spans="1:21" x14ac:dyDescent="0.35">
      <c r="A3349" t="s">
        <v>20</v>
      </c>
      <c r="B3349" t="s">
        <v>24</v>
      </c>
      <c r="C3349" s="1">
        <v>45749</v>
      </c>
      <c r="D3349">
        <f t="shared" si="236"/>
        <v>2</v>
      </c>
      <c r="E3349">
        <f t="shared" si="237"/>
        <v>4</v>
      </c>
      <c r="F3349">
        <f t="shared" si="238"/>
        <v>2025</v>
      </c>
      <c r="G3349" t="s">
        <v>50</v>
      </c>
      <c r="H3349" s="98">
        <v>12060</v>
      </c>
      <c r="I3349" s="29">
        <v>29700</v>
      </c>
      <c r="J3349" s="12" t="s">
        <v>31</v>
      </c>
      <c r="K3349" s="76">
        <f t="shared" si="235"/>
        <v>29700</v>
      </c>
      <c r="L3349">
        <v>1</v>
      </c>
      <c r="M3349" s="29">
        <v>0</v>
      </c>
      <c r="N3349" t="s">
        <v>32</v>
      </c>
      <c r="O3349" t="s">
        <v>33</v>
      </c>
      <c r="P3349" t="s">
        <v>34</v>
      </c>
      <c r="Q3349" t="s">
        <v>34</v>
      </c>
      <c r="R3349" t="s">
        <v>34</v>
      </c>
      <c r="S3349" t="s">
        <v>34</v>
      </c>
      <c r="T3349" s="117">
        <v>0</v>
      </c>
    </row>
    <row r="3350" spans="1:21" x14ac:dyDescent="0.35">
      <c r="A3350" t="s">
        <v>20</v>
      </c>
      <c r="B3350" t="s">
        <v>21</v>
      </c>
      <c r="C3350" s="1">
        <v>45749</v>
      </c>
      <c r="D3350">
        <f t="shared" si="236"/>
        <v>2</v>
      </c>
      <c r="E3350">
        <f t="shared" si="237"/>
        <v>4</v>
      </c>
      <c r="F3350">
        <f t="shared" si="238"/>
        <v>2025</v>
      </c>
      <c r="G3350" t="s">
        <v>50</v>
      </c>
      <c r="H3350" s="98">
        <v>12060</v>
      </c>
      <c r="I3350" s="29">
        <v>8073</v>
      </c>
      <c r="J3350" s="12" t="s">
        <v>31</v>
      </c>
      <c r="K3350" s="76">
        <f t="shared" si="235"/>
        <v>8073</v>
      </c>
      <c r="L3350">
        <v>1</v>
      </c>
      <c r="M3350" s="29">
        <v>0</v>
      </c>
      <c r="N3350" t="s">
        <v>32</v>
      </c>
      <c r="O3350" t="s">
        <v>33</v>
      </c>
      <c r="P3350" t="s">
        <v>34</v>
      </c>
      <c r="Q3350" t="s">
        <v>34</v>
      </c>
      <c r="R3350" t="s">
        <v>34</v>
      </c>
      <c r="S3350" t="s">
        <v>34</v>
      </c>
      <c r="T3350" s="117">
        <v>0</v>
      </c>
    </row>
    <row r="3351" spans="1:21" x14ac:dyDescent="0.35">
      <c r="A3351" t="s">
        <v>20</v>
      </c>
      <c r="B3351" t="s">
        <v>21</v>
      </c>
      <c r="C3351" s="1">
        <v>45749</v>
      </c>
      <c r="D3351">
        <f t="shared" si="236"/>
        <v>2</v>
      </c>
      <c r="E3351">
        <f t="shared" si="237"/>
        <v>4</v>
      </c>
      <c r="F3351">
        <f t="shared" si="238"/>
        <v>2025</v>
      </c>
      <c r="G3351" t="s">
        <v>50</v>
      </c>
      <c r="H3351" s="98">
        <v>12387</v>
      </c>
      <c r="I3351" s="29">
        <v>119.6</v>
      </c>
      <c r="J3351" s="12" t="s">
        <v>31</v>
      </c>
      <c r="K3351" s="76">
        <f t="shared" si="235"/>
        <v>119.6</v>
      </c>
      <c r="L3351">
        <v>1</v>
      </c>
      <c r="M3351" s="29">
        <v>0</v>
      </c>
      <c r="N3351" t="s">
        <v>32</v>
      </c>
      <c r="O3351" t="s">
        <v>33</v>
      </c>
      <c r="P3351" t="s">
        <v>34</v>
      </c>
      <c r="Q3351" t="s">
        <v>34</v>
      </c>
      <c r="R3351" t="s">
        <v>34</v>
      </c>
      <c r="S3351" t="s">
        <v>34</v>
      </c>
      <c r="T3351" s="117">
        <v>0</v>
      </c>
    </row>
    <row r="3352" spans="1:21" x14ac:dyDescent="0.35">
      <c r="A3352" t="s">
        <v>20</v>
      </c>
      <c r="B3352" t="s">
        <v>21</v>
      </c>
      <c r="C3352" s="1">
        <v>45749</v>
      </c>
      <c r="D3352">
        <f t="shared" si="236"/>
        <v>2</v>
      </c>
      <c r="E3352">
        <f t="shared" si="237"/>
        <v>4</v>
      </c>
      <c r="F3352">
        <f t="shared" si="238"/>
        <v>2025</v>
      </c>
      <c r="G3352" t="s">
        <v>50</v>
      </c>
      <c r="H3352" s="98">
        <v>12388</v>
      </c>
      <c r="I3352" s="29">
        <v>897</v>
      </c>
      <c r="J3352" s="12" t="s">
        <v>31</v>
      </c>
      <c r="K3352" s="76">
        <f t="shared" si="235"/>
        <v>897</v>
      </c>
      <c r="L3352">
        <v>1</v>
      </c>
      <c r="M3352" s="29">
        <v>0</v>
      </c>
      <c r="N3352" t="s">
        <v>32</v>
      </c>
      <c r="O3352" t="s">
        <v>33</v>
      </c>
      <c r="P3352" t="s">
        <v>34</v>
      </c>
      <c r="Q3352" t="s">
        <v>34</v>
      </c>
      <c r="R3352" t="s">
        <v>34</v>
      </c>
      <c r="S3352" t="s">
        <v>34</v>
      </c>
      <c r="T3352" s="117">
        <v>0</v>
      </c>
    </row>
    <row r="3353" spans="1:21" x14ac:dyDescent="0.35">
      <c r="A3353" t="s">
        <v>20</v>
      </c>
      <c r="B3353" t="s">
        <v>23</v>
      </c>
      <c r="C3353" s="1">
        <v>45749</v>
      </c>
      <c r="D3353">
        <f t="shared" si="236"/>
        <v>2</v>
      </c>
      <c r="E3353">
        <f t="shared" si="237"/>
        <v>4</v>
      </c>
      <c r="F3353">
        <f t="shared" si="238"/>
        <v>2025</v>
      </c>
      <c r="G3353" t="s">
        <v>118</v>
      </c>
      <c r="H3353" s="98">
        <v>12409</v>
      </c>
      <c r="I3353" s="29">
        <v>31.9</v>
      </c>
      <c r="J3353" s="12" t="s">
        <v>31</v>
      </c>
      <c r="K3353" s="76">
        <f t="shared" si="235"/>
        <v>31.9</v>
      </c>
      <c r="L3353">
        <v>1</v>
      </c>
      <c r="M3353" s="29">
        <v>0</v>
      </c>
      <c r="N3353" t="s">
        <v>42</v>
      </c>
      <c r="O3353" t="s">
        <v>33</v>
      </c>
      <c r="P3353" t="s">
        <v>34</v>
      </c>
      <c r="Q3353" t="s">
        <v>34</v>
      </c>
      <c r="R3353" t="s">
        <v>34</v>
      </c>
      <c r="S3353" t="s">
        <v>34</v>
      </c>
      <c r="T3353" s="117">
        <v>0</v>
      </c>
    </row>
    <row r="3354" spans="1:21" x14ac:dyDescent="0.35">
      <c r="A3354" t="s">
        <v>20</v>
      </c>
      <c r="B3354" t="s">
        <v>23</v>
      </c>
      <c r="C3354" s="1">
        <v>45749</v>
      </c>
      <c r="D3354">
        <f t="shared" si="236"/>
        <v>2</v>
      </c>
      <c r="E3354">
        <f t="shared" si="237"/>
        <v>4</v>
      </c>
      <c r="F3354">
        <f t="shared" si="238"/>
        <v>2025</v>
      </c>
      <c r="G3354" t="s">
        <v>118</v>
      </c>
      <c r="H3354" s="98">
        <v>12330</v>
      </c>
      <c r="I3354" s="29">
        <v>893.2</v>
      </c>
      <c r="J3354" s="12" t="s">
        <v>31</v>
      </c>
      <c r="K3354" s="76">
        <f t="shared" si="235"/>
        <v>893.2</v>
      </c>
      <c r="L3354">
        <v>1</v>
      </c>
      <c r="M3354" s="29">
        <v>0</v>
      </c>
      <c r="N3354" t="s">
        <v>42</v>
      </c>
      <c r="O3354" t="s">
        <v>33</v>
      </c>
      <c r="P3354" t="s">
        <v>34</v>
      </c>
      <c r="Q3354" t="s">
        <v>34</v>
      </c>
      <c r="R3354" t="s">
        <v>34</v>
      </c>
      <c r="S3354" t="s">
        <v>34</v>
      </c>
      <c r="T3354" s="117">
        <v>0</v>
      </c>
      <c r="U3354" s="209" t="s">
        <v>1045</v>
      </c>
    </row>
    <row r="3355" spans="1:21" x14ac:dyDescent="0.35">
      <c r="A3355" t="s">
        <v>20</v>
      </c>
      <c r="B3355" t="s">
        <v>23</v>
      </c>
      <c r="C3355" s="1">
        <v>45749</v>
      </c>
      <c r="D3355">
        <f t="shared" si="236"/>
        <v>2</v>
      </c>
      <c r="E3355">
        <f t="shared" si="237"/>
        <v>4</v>
      </c>
      <c r="F3355">
        <f t="shared" si="238"/>
        <v>2025</v>
      </c>
      <c r="G3355" t="s">
        <v>595</v>
      </c>
      <c r="H3355" s="98">
        <v>12440</v>
      </c>
      <c r="I3355" s="29">
        <v>3237</v>
      </c>
      <c r="J3355" s="12" t="s">
        <v>31</v>
      </c>
      <c r="K3355" s="76">
        <f t="shared" si="235"/>
        <v>3237</v>
      </c>
      <c r="L3355">
        <v>1</v>
      </c>
      <c r="M3355" s="29">
        <v>0</v>
      </c>
      <c r="N3355" t="s">
        <v>42</v>
      </c>
      <c r="O3355" t="s">
        <v>33</v>
      </c>
      <c r="P3355" t="s">
        <v>34</v>
      </c>
      <c r="Q3355" t="s">
        <v>34</v>
      </c>
      <c r="R3355" t="s">
        <v>34</v>
      </c>
      <c r="S3355" t="s">
        <v>34</v>
      </c>
      <c r="T3355" s="117">
        <v>0</v>
      </c>
      <c r="U3355" s="209" t="s">
        <v>1095</v>
      </c>
    </row>
    <row r="3356" spans="1:21" x14ac:dyDescent="0.35">
      <c r="A3356" t="s">
        <v>20</v>
      </c>
      <c r="B3356" t="s">
        <v>23</v>
      </c>
      <c r="C3356" s="1">
        <v>45749</v>
      </c>
      <c r="D3356">
        <f t="shared" si="236"/>
        <v>2</v>
      </c>
      <c r="E3356">
        <f t="shared" si="237"/>
        <v>4</v>
      </c>
      <c r="F3356">
        <f t="shared" si="238"/>
        <v>2025</v>
      </c>
      <c r="G3356" t="s">
        <v>595</v>
      </c>
      <c r="H3356" s="98">
        <v>12381</v>
      </c>
      <c r="I3356" s="29">
        <v>41.5</v>
      </c>
      <c r="J3356" s="12" t="s">
        <v>31</v>
      </c>
      <c r="K3356" s="76">
        <f t="shared" si="235"/>
        <v>41.5</v>
      </c>
      <c r="L3356">
        <v>1</v>
      </c>
      <c r="M3356" s="29">
        <v>0</v>
      </c>
      <c r="N3356" t="s">
        <v>42</v>
      </c>
      <c r="O3356" t="s">
        <v>33</v>
      </c>
      <c r="P3356" t="s">
        <v>34</v>
      </c>
      <c r="Q3356" t="s">
        <v>34</v>
      </c>
      <c r="R3356" t="s">
        <v>34</v>
      </c>
      <c r="S3356" t="s">
        <v>34</v>
      </c>
      <c r="T3356" s="117">
        <v>0</v>
      </c>
    </row>
    <row r="3357" spans="1:21" x14ac:dyDescent="0.35">
      <c r="A3357" t="s">
        <v>20</v>
      </c>
      <c r="B3357" t="s">
        <v>25</v>
      </c>
      <c r="C3357" s="1">
        <v>45749</v>
      </c>
      <c r="D3357">
        <f t="shared" si="236"/>
        <v>2</v>
      </c>
      <c r="E3357">
        <f t="shared" si="237"/>
        <v>4</v>
      </c>
      <c r="F3357">
        <f t="shared" si="238"/>
        <v>2025</v>
      </c>
      <c r="G3357" t="s">
        <v>87</v>
      </c>
      <c r="H3357" s="98">
        <v>11847</v>
      </c>
      <c r="I3357" s="29">
        <v>51249.65</v>
      </c>
      <c r="J3357" s="12" t="s">
        <v>31</v>
      </c>
      <c r="K3357" s="76">
        <f t="shared" si="235"/>
        <v>51249.65</v>
      </c>
      <c r="L3357">
        <v>1</v>
      </c>
      <c r="M3357" s="29">
        <v>0</v>
      </c>
      <c r="N3357" t="s">
        <v>32</v>
      </c>
      <c r="O3357" t="s">
        <v>33</v>
      </c>
      <c r="P3357" t="s">
        <v>34</v>
      </c>
      <c r="Q3357" t="s">
        <v>34</v>
      </c>
      <c r="R3357" t="s">
        <v>34</v>
      </c>
      <c r="S3357" t="s">
        <v>34</v>
      </c>
      <c r="T3357" s="117">
        <v>0</v>
      </c>
    </row>
    <row r="3358" spans="1:21" x14ac:dyDescent="0.35">
      <c r="A3358" t="s">
        <v>20</v>
      </c>
      <c r="B3358" t="s">
        <v>25</v>
      </c>
      <c r="C3358" s="1">
        <v>45749</v>
      </c>
      <c r="D3358">
        <f t="shared" si="236"/>
        <v>2</v>
      </c>
      <c r="E3358">
        <f t="shared" si="237"/>
        <v>4</v>
      </c>
      <c r="F3358">
        <f t="shared" si="238"/>
        <v>2025</v>
      </c>
      <c r="G3358" t="s">
        <v>174</v>
      </c>
      <c r="H3358" s="98">
        <v>11870</v>
      </c>
      <c r="I3358" s="29">
        <v>9270.57</v>
      </c>
      <c r="J3358" s="12" t="s">
        <v>31</v>
      </c>
      <c r="K3358" s="76">
        <f t="shared" si="235"/>
        <v>9270.57</v>
      </c>
      <c r="L3358">
        <v>1</v>
      </c>
      <c r="M3358" s="29">
        <v>0</v>
      </c>
      <c r="N3358" t="s">
        <v>42</v>
      </c>
      <c r="O3358" t="s">
        <v>33</v>
      </c>
      <c r="P3358" t="s">
        <v>34</v>
      </c>
      <c r="Q3358" t="s">
        <v>34</v>
      </c>
      <c r="R3358" t="s">
        <v>34</v>
      </c>
      <c r="S3358" t="s">
        <v>34</v>
      </c>
      <c r="T3358" s="117">
        <v>0</v>
      </c>
    </row>
    <row r="3359" spans="1:21" x14ac:dyDescent="0.35">
      <c r="A3359" t="s">
        <v>20</v>
      </c>
      <c r="B3359" t="s">
        <v>25</v>
      </c>
      <c r="C3359" s="1">
        <v>45749</v>
      </c>
      <c r="D3359">
        <f t="shared" si="236"/>
        <v>2</v>
      </c>
      <c r="E3359">
        <f t="shared" si="237"/>
        <v>4</v>
      </c>
      <c r="F3359">
        <f t="shared" si="238"/>
        <v>2025</v>
      </c>
      <c r="G3359" t="s">
        <v>99</v>
      </c>
      <c r="H3359" s="98">
        <v>11810</v>
      </c>
      <c r="I3359" s="29">
        <v>633.45000000000005</v>
      </c>
      <c r="J3359" s="12" t="s">
        <v>31</v>
      </c>
      <c r="K3359" s="76">
        <f t="shared" si="235"/>
        <v>633.45000000000005</v>
      </c>
      <c r="L3359">
        <v>1</v>
      </c>
      <c r="M3359" s="29">
        <v>0</v>
      </c>
      <c r="N3359" t="s">
        <v>32</v>
      </c>
      <c r="O3359" t="s">
        <v>33</v>
      </c>
      <c r="P3359" t="s">
        <v>34</v>
      </c>
      <c r="Q3359" t="s">
        <v>34</v>
      </c>
      <c r="R3359" t="s">
        <v>34</v>
      </c>
      <c r="S3359" t="s">
        <v>34</v>
      </c>
      <c r="T3359" s="117">
        <v>0</v>
      </c>
    </row>
    <row r="3360" spans="1:21" x14ac:dyDescent="0.35">
      <c r="A3360" t="s">
        <v>19</v>
      </c>
      <c r="B3360" t="s">
        <v>25</v>
      </c>
      <c r="C3360" s="1">
        <v>45749</v>
      </c>
      <c r="D3360">
        <f t="shared" si="236"/>
        <v>2</v>
      </c>
      <c r="E3360">
        <f t="shared" si="237"/>
        <v>4</v>
      </c>
      <c r="F3360">
        <f t="shared" si="238"/>
        <v>2025</v>
      </c>
      <c r="G3360" t="s">
        <v>54</v>
      </c>
      <c r="H3360" s="98">
        <v>11749</v>
      </c>
      <c r="I3360" s="29">
        <v>11876.72</v>
      </c>
      <c r="J3360" s="12" t="s">
        <v>31</v>
      </c>
      <c r="K3360" s="76">
        <f t="shared" si="235"/>
        <v>11876.72</v>
      </c>
      <c r="L3360">
        <v>1</v>
      </c>
      <c r="M3360" s="29">
        <v>0</v>
      </c>
      <c r="N3360" t="s">
        <v>32</v>
      </c>
      <c r="O3360" t="s">
        <v>33</v>
      </c>
      <c r="P3360" t="s">
        <v>34</v>
      </c>
      <c r="Q3360" t="s">
        <v>34</v>
      </c>
      <c r="R3360" t="s">
        <v>34</v>
      </c>
      <c r="S3360" t="s">
        <v>34</v>
      </c>
      <c r="T3360" s="117">
        <v>0</v>
      </c>
    </row>
    <row r="3361" spans="1:21" x14ac:dyDescent="0.35">
      <c r="A3361" t="s">
        <v>20</v>
      </c>
      <c r="B3361" t="s">
        <v>25</v>
      </c>
      <c r="C3361" s="1">
        <v>45749</v>
      </c>
      <c r="D3361">
        <f t="shared" si="236"/>
        <v>2</v>
      </c>
      <c r="E3361">
        <f t="shared" si="237"/>
        <v>4</v>
      </c>
      <c r="F3361">
        <f t="shared" si="238"/>
        <v>2025</v>
      </c>
      <c r="G3361" t="s">
        <v>211</v>
      </c>
      <c r="H3361" s="98">
        <v>11677</v>
      </c>
      <c r="I3361" s="29">
        <v>135</v>
      </c>
      <c r="J3361" s="12" t="s">
        <v>31</v>
      </c>
      <c r="K3361" s="76">
        <f t="shared" si="235"/>
        <v>135</v>
      </c>
      <c r="L3361">
        <v>1</v>
      </c>
      <c r="M3361" s="29">
        <v>0</v>
      </c>
      <c r="N3361" t="s">
        <v>32</v>
      </c>
      <c r="O3361" t="s">
        <v>33</v>
      </c>
      <c r="P3361" t="s">
        <v>34</v>
      </c>
      <c r="Q3361" t="s">
        <v>34</v>
      </c>
      <c r="R3361" t="s">
        <v>34</v>
      </c>
      <c r="S3361" t="s">
        <v>34</v>
      </c>
      <c r="T3361" s="117">
        <v>0</v>
      </c>
      <c r="U3361" s="209" t="s">
        <v>749</v>
      </c>
    </row>
    <row r="3362" spans="1:21" x14ac:dyDescent="0.35">
      <c r="A3362" t="s">
        <v>20</v>
      </c>
      <c r="B3362" t="s">
        <v>25</v>
      </c>
      <c r="C3362" s="1">
        <v>45749</v>
      </c>
      <c r="D3362">
        <f t="shared" si="236"/>
        <v>2</v>
      </c>
      <c r="E3362">
        <f t="shared" si="237"/>
        <v>4</v>
      </c>
      <c r="F3362">
        <f t="shared" si="238"/>
        <v>2025</v>
      </c>
      <c r="G3362" t="s">
        <v>211</v>
      </c>
      <c r="H3362" s="98">
        <v>11679</v>
      </c>
      <c r="I3362" s="29">
        <v>59863.5</v>
      </c>
      <c r="J3362" s="12" t="s">
        <v>31</v>
      </c>
      <c r="K3362" s="76">
        <f t="shared" si="235"/>
        <v>59863.5</v>
      </c>
      <c r="L3362">
        <v>1</v>
      </c>
      <c r="M3362" s="29">
        <v>0</v>
      </c>
      <c r="N3362" t="s">
        <v>32</v>
      </c>
      <c r="O3362" t="s">
        <v>33</v>
      </c>
      <c r="P3362" t="s">
        <v>34</v>
      </c>
      <c r="Q3362" t="s">
        <v>34</v>
      </c>
      <c r="R3362" t="s">
        <v>34</v>
      </c>
      <c r="S3362" t="s">
        <v>34</v>
      </c>
      <c r="T3362" s="117">
        <v>0</v>
      </c>
      <c r="U3362" s="209" t="s">
        <v>749</v>
      </c>
    </row>
    <row r="3363" spans="1:21" x14ac:dyDescent="0.35">
      <c r="A3363" t="s">
        <v>20</v>
      </c>
      <c r="B3363" t="s">
        <v>21</v>
      </c>
      <c r="C3363" s="1">
        <v>45749</v>
      </c>
      <c r="D3363">
        <f t="shared" si="236"/>
        <v>2</v>
      </c>
      <c r="E3363">
        <f t="shared" si="237"/>
        <v>4</v>
      </c>
      <c r="F3363">
        <f t="shared" si="238"/>
        <v>2025</v>
      </c>
      <c r="G3363" t="s">
        <v>81</v>
      </c>
      <c r="H3363" s="98">
        <v>12406</v>
      </c>
      <c r="I3363" s="29">
        <v>904.88</v>
      </c>
      <c r="J3363" s="12" t="s">
        <v>31</v>
      </c>
      <c r="K3363" s="76">
        <f t="shared" si="235"/>
        <v>904.88</v>
      </c>
      <c r="L3363">
        <v>1</v>
      </c>
      <c r="M3363" s="29">
        <v>0</v>
      </c>
      <c r="N3363" t="s">
        <v>32</v>
      </c>
      <c r="O3363" t="s">
        <v>33</v>
      </c>
      <c r="P3363" t="s">
        <v>34</v>
      </c>
      <c r="Q3363" t="s">
        <v>34</v>
      </c>
      <c r="R3363" t="s">
        <v>34</v>
      </c>
      <c r="S3363" t="s">
        <v>34</v>
      </c>
      <c r="T3363" s="117">
        <v>0</v>
      </c>
    </row>
    <row r="3364" spans="1:21" x14ac:dyDescent="0.35">
      <c r="A3364" t="s">
        <v>20</v>
      </c>
      <c r="B3364" t="s">
        <v>21</v>
      </c>
      <c r="C3364" s="1">
        <v>45749</v>
      </c>
      <c r="D3364">
        <f t="shared" si="236"/>
        <v>2</v>
      </c>
      <c r="E3364">
        <f t="shared" si="237"/>
        <v>4</v>
      </c>
      <c r="F3364">
        <f t="shared" si="238"/>
        <v>2025</v>
      </c>
      <c r="G3364" t="s">
        <v>46</v>
      </c>
      <c r="H3364" s="98">
        <v>12407</v>
      </c>
      <c r="I3364" s="29">
        <v>147.78</v>
      </c>
      <c r="J3364" s="12" t="s">
        <v>31</v>
      </c>
      <c r="K3364" s="76">
        <f t="shared" si="235"/>
        <v>147.78</v>
      </c>
      <c r="L3364">
        <v>1</v>
      </c>
      <c r="M3364" s="29">
        <v>0</v>
      </c>
      <c r="N3364" t="s">
        <v>42</v>
      </c>
      <c r="O3364" t="s">
        <v>33</v>
      </c>
      <c r="P3364" t="s">
        <v>34</v>
      </c>
      <c r="Q3364" t="s">
        <v>34</v>
      </c>
      <c r="R3364" t="s">
        <v>34</v>
      </c>
      <c r="S3364" t="s">
        <v>34</v>
      </c>
      <c r="T3364" s="117">
        <v>0</v>
      </c>
    </row>
    <row r="3365" spans="1:21" x14ac:dyDescent="0.35">
      <c r="A3365" t="s">
        <v>20</v>
      </c>
      <c r="B3365" t="s">
        <v>21</v>
      </c>
      <c r="C3365" s="1">
        <v>45749</v>
      </c>
      <c r="D3365">
        <f t="shared" si="236"/>
        <v>2</v>
      </c>
      <c r="E3365">
        <f t="shared" si="237"/>
        <v>4</v>
      </c>
      <c r="F3365">
        <f t="shared" si="238"/>
        <v>2025</v>
      </c>
      <c r="G3365" t="s">
        <v>46</v>
      </c>
      <c r="H3365" s="98">
        <v>12408</v>
      </c>
      <c r="I3365" s="29">
        <v>2446.3200000000002</v>
      </c>
      <c r="J3365" s="12" t="s">
        <v>31</v>
      </c>
      <c r="K3365" s="76">
        <f t="shared" si="235"/>
        <v>2446.3200000000002</v>
      </c>
      <c r="L3365">
        <v>1</v>
      </c>
      <c r="M3365" s="29">
        <v>0</v>
      </c>
      <c r="N3365" t="s">
        <v>42</v>
      </c>
      <c r="O3365" t="s">
        <v>33</v>
      </c>
      <c r="P3365" t="s">
        <v>34</v>
      </c>
      <c r="Q3365" t="s">
        <v>34</v>
      </c>
      <c r="R3365" t="s">
        <v>34</v>
      </c>
      <c r="S3365" t="s">
        <v>34</v>
      </c>
      <c r="T3365" s="117">
        <v>0</v>
      </c>
    </row>
    <row r="3366" spans="1:21" x14ac:dyDescent="0.35">
      <c r="A3366" t="s">
        <v>19</v>
      </c>
      <c r="B3366" t="s">
        <v>19</v>
      </c>
      <c r="C3366" s="1">
        <v>45749</v>
      </c>
      <c r="D3366">
        <f t="shared" si="236"/>
        <v>2</v>
      </c>
      <c r="E3366">
        <f t="shared" si="237"/>
        <v>4</v>
      </c>
      <c r="F3366">
        <f t="shared" si="238"/>
        <v>2025</v>
      </c>
      <c r="G3366" t="s">
        <v>523</v>
      </c>
      <c r="H3366" s="98" t="s">
        <v>950</v>
      </c>
      <c r="I3366" s="29">
        <v>107762.87</v>
      </c>
      <c r="J3366" s="12" t="s">
        <v>31</v>
      </c>
      <c r="K3366" s="76">
        <f t="shared" si="235"/>
        <v>107762.87</v>
      </c>
      <c r="L3366">
        <v>1</v>
      </c>
      <c r="M3366" s="29">
        <v>0</v>
      </c>
      <c r="N3366" t="s">
        <v>32</v>
      </c>
      <c r="O3366" t="s">
        <v>33</v>
      </c>
      <c r="P3366" t="s">
        <v>34</v>
      </c>
      <c r="Q3366" t="s">
        <v>34</v>
      </c>
      <c r="R3366" t="s">
        <v>34</v>
      </c>
      <c r="S3366" t="s">
        <v>34</v>
      </c>
      <c r="T3366" s="117">
        <v>0</v>
      </c>
    </row>
    <row r="3367" spans="1:21" x14ac:dyDescent="0.35">
      <c r="A3367" t="s">
        <v>19</v>
      </c>
      <c r="B3367" t="s">
        <v>19</v>
      </c>
      <c r="C3367" s="1">
        <v>45749</v>
      </c>
      <c r="D3367">
        <f t="shared" si="236"/>
        <v>2</v>
      </c>
      <c r="E3367">
        <f t="shared" si="237"/>
        <v>4</v>
      </c>
      <c r="F3367">
        <f t="shared" si="238"/>
        <v>2025</v>
      </c>
      <c r="G3367" t="s">
        <v>56</v>
      </c>
      <c r="H3367" s="98" t="s">
        <v>951</v>
      </c>
      <c r="I3367" s="29">
        <v>146.76</v>
      </c>
      <c r="J3367" s="12" t="s">
        <v>31</v>
      </c>
      <c r="K3367" s="76">
        <f t="shared" si="235"/>
        <v>146.76</v>
      </c>
      <c r="L3367">
        <v>1</v>
      </c>
      <c r="M3367" s="29">
        <v>0</v>
      </c>
      <c r="N3367" t="s">
        <v>32</v>
      </c>
      <c r="O3367" t="s">
        <v>33</v>
      </c>
      <c r="P3367" t="s">
        <v>34</v>
      </c>
      <c r="Q3367" t="s">
        <v>34</v>
      </c>
      <c r="R3367" t="s">
        <v>34</v>
      </c>
      <c r="S3367" t="s">
        <v>34</v>
      </c>
      <c r="T3367" s="117">
        <v>0</v>
      </c>
    </row>
    <row r="3368" spans="1:21" x14ac:dyDescent="0.35">
      <c r="A3368" t="s">
        <v>19</v>
      </c>
      <c r="B3368" t="s">
        <v>19</v>
      </c>
      <c r="C3368" s="1">
        <v>45749</v>
      </c>
      <c r="D3368">
        <f t="shared" si="236"/>
        <v>2</v>
      </c>
      <c r="E3368">
        <f t="shared" si="237"/>
        <v>4</v>
      </c>
      <c r="F3368">
        <f t="shared" si="238"/>
        <v>2025</v>
      </c>
      <c r="G3368" t="s">
        <v>102</v>
      </c>
      <c r="H3368" s="98" t="s">
        <v>952</v>
      </c>
      <c r="I3368" s="29">
        <v>33216.199999999997</v>
      </c>
      <c r="J3368" s="12" t="s">
        <v>31</v>
      </c>
      <c r="K3368" s="76">
        <f t="shared" si="235"/>
        <v>33216.199999999997</v>
      </c>
      <c r="L3368">
        <v>1</v>
      </c>
      <c r="M3368" s="29">
        <v>0</v>
      </c>
      <c r="N3368" t="s">
        <v>32</v>
      </c>
      <c r="O3368" t="s">
        <v>33</v>
      </c>
      <c r="P3368" t="s">
        <v>34</v>
      </c>
      <c r="Q3368" t="s">
        <v>34</v>
      </c>
      <c r="R3368" t="s">
        <v>34</v>
      </c>
      <c r="S3368" t="s">
        <v>34</v>
      </c>
      <c r="T3368" s="117">
        <v>0</v>
      </c>
    </row>
    <row r="3369" spans="1:21" x14ac:dyDescent="0.35">
      <c r="A3369" t="s">
        <v>19</v>
      </c>
      <c r="B3369" t="s">
        <v>19</v>
      </c>
      <c r="C3369" s="1">
        <v>45749</v>
      </c>
      <c r="D3369">
        <f t="shared" si="236"/>
        <v>2</v>
      </c>
      <c r="E3369">
        <f t="shared" si="237"/>
        <v>4</v>
      </c>
      <c r="F3369">
        <f t="shared" si="238"/>
        <v>2025</v>
      </c>
      <c r="G3369" t="s">
        <v>125</v>
      </c>
      <c r="H3369" s="98" t="s">
        <v>953</v>
      </c>
      <c r="I3369" s="29">
        <v>222848.64000000001</v>
      </c>
      <c r="J3369" s="12" t="s">
        <v>31</v>
      </c>
      <c r="K3369" s="76">
        <f t="shared" si="235"/>
        <v>222848.64000000001</v>
      </c>
      <c r="L3369">
        <v>1</v>
      </c>
      <c r="M3369" s="29">
        <v>0</v>
      </c>
      <c r="N3369" t="s">
        <v>32</v>
      </c>
      <c r="O3369" t="s">
        <v>33</v>
      </c>
      <c r="P3369" t="s">
        <v>34</v>
      </c>
      <c r="Q3369" t="s">
        <v>34</v>
      </c>
      <c r="R3369" t="s">
        <v>34</v>
      </c>
      <c r="S3369" t="s">
        <v>34</v>
      </c>
      <c r="T3369" s="117">
        <v>0</v>
      </c>
    </row>
    <row r="3370" spans="1:21" x14ac:dyDescent="0.35">
      <c r="A3370" t="s">
        <v>19</v>
      </c>
      <c r="B3370" t="s">
        <v>19</v>
      </c>
      <c r="C3370" s="1">
        <v>45749</v>
      </c>
      <c r="D3370">
        <f t="shared" si="236"/>
        <v>2</v>
      </c>
      <c r="E3370">
        <f t="shared" si="237"/>
        <v>4</v>
      </c>
      <c r="F3370">
        <f t="shared" si="238"/>
        <v>2025</v>
      </c>
      <c r="G3370" t="s">
        <v>111</v>
      </c>
      <c r="H3370" s="98" t="s">
        <v>954</v>
      </c>
      <c r="I3370" s="29">
        <v>77481.09</v>
      </c>
      <c r="J3370" s="12" t="s">
        <v>31</v>
      </c>
      <c r="K3370" s="76">
        <f t="shared" si="235"/>
        <v>77481.09</v>
      </c>
      <c r="L3370">
        <v>1</v>
      </c>
      <c r="M3370" s="29">
        <v>0</v>
      </c>
      <c r="N3370" t="s">
        <v>32</v>
      </c>
      <c r="O3370" t="s">
        <v>33</v>
      </c>
      <c r="P3370" t="s">
        <v>34</v>
      </c>
      <c r="Q3370" t="s">
        <v>34</v>
      </c>
      <c r="R3370" t="s">
        <v>34</v>
      </c>
      <c r="S3370" t="s">
        <v>34</v>
      </c>
      <c r="T3370" s="117">
        <v>0</v>
      </c>
    </row>
    <row r="3371" spans="1:21" x14ac:dyDescent="0.35">
      <c r="A3371" t="s">
        <v>19</v>
      </c>
      <c r="B3371" t="s">
        <v>19</v>
      </c>
      <c r="C3371" s="1">
        <v>45749</v>
      </c>
      <c r="D3371">
        <f t="shared" si="236"/>
        <v>2</v>
      </c>
      <c r="E3371">
        <f t="shared" si="237"/>
        <v>4</v>
      </c>
      <c r="F3371">
        <f t="shared" si="238"/>
        <v>2025</v>
      </c>
      <c r="G3371" t="s">
        <v>117</v>
      </c>
      <c r="H3371" s="98" t="s">
        <v>955</v>
      </c>
      <c r="I3371" s="29">
        <v>221163.29</v>
      </c>
      <c r="J3371" s="12" t="s">
        <v>31</v>
      </c>
      <c r="K3371" s="76">
        <f t="shared" si="235"/>
        <v>221163.29</v>
      </c>
      <c r="L3371">
        <v>1</v>
      </c>
      <c r="M3371" s="29">
        <v>0</v>
      </c>
      <c r="N3371" t="s">
        <v>32</v>
      </c>
      <c r="O3371" t="s">
        <v>33</v>
      </c>
      <c r="P3371" t="s">
        <v>34</v>
      </c>
      <c r="Q3371" t="s">
        <v>34</v>
      </c>
      <c r="R3371" t="s">
        <v>34</v>
      </c>
      <c r="S3371" t="s">
        <v>34</v>
      </c>
      <c r="T3371" s="117">
        <v>0</v>
      </c>
    </row>
    <row r="3372" spans="1:21" x14ac:dyDescent="0.35">
      <c r="A3372" t="s">
        <v>19</v>
      </c>
      <c r="B3372" t="s">
        <v>19</v>
      </c>
      <c r="C3372" s="1">
        <v>45749</v>
      </c>
      <c r="D3372">
        <f t="shared" si="236"/>
        <v>2</v>
      </c>
      <c r="E3372">
        <f t="shared" si="237"/>
        <v>4</v>
      </c>
      <c r="F3372">
        <f t="shared" si="238"/>
        <v>2025</v>
      </c>
      <c r="G3372" t="s">
        <v>59</v>
      </c>
      <c r="H3372" s="171" t="s">
        <v>929</v>
      </c>
      <c r="I3372" s="90">
        <v>104506.61</v>
      </c>
      <c r="J3372" s="12" t="s">
        <v>31</v>
      </c>
      <c r="K3372" s="76">
        <f t="shared" si="235"/>
        <v>104506.61</v>
      </c>
      <c r="L3372">
        <v>1</v>
      </c>
      <c r="M3372" s="29">
        <v>0</v>
      </c>
      <c r="N3372" t="s">
        <v>32</v>
      </c>
      <c r="O3372" t="s">
        <v>33</v>
      </c>
      <c r="P3372" t="s">
        <v>34</v>
      </c>
      <c r="Q3372" t="s">
        <v>34</v>
      </c>
      <c r="R3372" t="s">
        <v>34</v>
      </c>
      <c r="S3372" t="s">
        <v>34</v>
      </c>
      <c r="T3372" s="117">
        <v>0</v>
      </c>
    </row>
    <row r="3373" spans="1:21" x14ac:dyDescent="0.35">
      <c r="A3373" t="s">
        <v>19</v>
      </c>
      <c r="B3373" t="s">
        <v>27</v>
      </c>
      <c r="C3373" s="1">
        <v>45750</v>
      </c>
      <c r="D3373">
        <f t="shared" si="236"/>
        <v>3</v>
      </c>
      <c r="E3373">
        <f t="shared" si="237"/>
        <v>4</v>
      </c>
      <c r="F3373">
        <f t="shared" si="238"/>
        <v>2025</v>
      </c>
      <c r="G3373" t="s">
        <v>100</v>
      </c>
      <c r="H3373" s="98">
        <v>12169</v>
      </c>
      <c r="I3373" s="29">
        <v>50000</v>
      </c>
      <c r="J3373" s="12" t="s">
        <v>31</v>
      </c>
      <c r="K3373" s="76">
        <f t="shared" si="235"/>
        <v>50000</v>
      </c>
      <c r="L3373">
        <v>1</v>
      </c>
      <c r="M3373" s="29">
        <v>0</v>
      </c>
      <c r="N3373" t="s">
        <v>32</v>
      </c>
      <c r="O3373" t="s">
        <v>33</v>
      </c>
      <c r="P3373" t="s">
        <v>34</v>
      </c>
      <c r="Q3373" t="s">
        <v>34</v>
      </c>
      <c r="R3373" t="s">
        <v>34</v>
      </c>
      <c r="S3373" t="s">
        <v>34</v>
      </c>
      <c r="T3373" s="117">
        <v>0</v>
      </c>
    </row>
    <row r="3374" spans="1:21" x14ac:dyDescent="0.35">
      <c r="A3374" t="s">
        <v>19</v>
      </c>
      <c r="B3374" t="s">
        <v>26</v>
      </c>
      <c r="C3374" s="1">
        <v>45751</v>
      </c>
      <c r="D3374">
        <f t="shared" si="236"/>
        <v>4</v>
      </c>
      <c r="E3374">
        <f t="shared" si="237"/>
        <v>4</v>
      </c>
      <c r="F3374">
        <f t="shared" si="238"/>
        <v>2025</v>
      </c>
      <c r="G3374" t="s">
        <v>73</v>
      </c>
      <c r="H3374" s="98">
        <v>12379</v>
      </c>
      <c r="I3374" s="29">
        <v>77140.44</v>
      </c>
      <c r="J3374" s="12" t="s">
        <v>51</v>
      </c>
      <c r="K3374" s="76">
        <f t="shared" si="235"/>
        <v>85008.764880000002</v>
      </c>
      <c r="L3374">
        <v>1.1020000000000001</v>
      </c>
      <c r="M3374" s="29">
        <v>0</v>
      </c>
      <c r="N3374" t="s">
        <v>32</v>
      </c>
      <c r="O3374" t="s">
        <v>33</v>
      </c>
      <c r="P3374" t="s">
        <v>34</v>
      </c>
      <c r="Q3374" t="s">
        <v>34</v>
      </c>
      <c r="R3374" t="s">
        <v>34</v>
      </c>
      <c r="S3374" t="s">
        <v>34</v>
      </c>
      <c r="T3374" s="117">
        <v>0</v>
      </c>
      <c r="U3374" s="209" t="s">
        <v>94</v>
      </c>
    </row>
    <row r="3375" spans="1:21" x14ac:dyDescent="0.35">
      <c r="A3375" t="s">
        <v>19</v>
      </c>
      <c r="B3375" t="s">
        <v>26</v>
      </c>
      <c r="C3375" s="1">
        <v>45751</v>
      </c>
      <c r="D3375">
        <f t="shared" si="236"/>
        <v>4</v>
      </c>
      <c r="E3375">
        <f t="shared" si="237"/>
        <v>4</v>
      </c>
      <c r="F3375">
        <f t="shared" si="238"/>
        <v>2025</v>
      </c>
      <c r="G3375" t="s">
        <v>73</v>
      </c>
      <c r="H3375" s="98">
        <v>12380</v>
      </c>
      <c r="I3375" s="29">
        <v>68995.25</v>
      </c>
      <c r="J3375" s="12" t="s">
        <v>51</v>
      </c>
      <c r="K3375" s="76">
        <f t="shared" si="235"/>
        <v>76032.765500000009</v>
      </c>
      <c r="L3375">
        <v>1.1020000000000001</v>
      </c>
      <c r="M3375" s="29">
        <v>0</v>
      </c>
      <c r="N3375" t="s">
        <v>32</v>
      </c>
      <c r="O3375" t="s">
        <v>33</v>
      </c>
      <c r="P3375" t="s">
        <v>34</v>
      </c>
      <c r="Q3375" t="s">
        <v>34</v>
      </c>
      <c r="R3375" t="s">
        <v>34</v>
      </c>
      <c r="S3375" t="s">
        <v>34</v>
      </c>
      <c r="T3375" s="117">
        <v>0</v>
      </c>
      <c r="U3375" s="209" t="s">
        <v>94</v>
      </c>
    </row>
    <row r="3376" spans="1:21" x14ac:dyDescent="0.35">
      <c r="A3376" t="s">
        <v>19</v>
      </c>
      <c r="B3376" t="s">
        <v>26</v>
      </c>
      <c r="C3376" s="1">
        <v>45751</v>
      </c>
      <c r="D3376">
        <f t="shared" si="236"/>
        <v>4</v>
      </c>
      <c r="E3376">
        <f t="shared" si="237"/>
        <v>4</v>
      </c>
      <c r="F3376">
        <f t="shared" si="238"/>
        <v>2025</v>
      </c>
      <c r="G3376" t="s">
        <v>73</v>
      </c>
      <c r="H3376" s="98">
        <v>12390</v>
      </c>
      <c r="I3376" s="29">
        <v>21566.65</v>
      </c>
      <c r="J3376" s="12" t="s">
        <v>51</v>
      </c>
      <c r="K3376" s="76">
        <f t="shared" si="235"/>
        <v>23766.448300000004</v>
      </c>
      <c r="L3376">
        <v>1.1020000000000001</v>
      </c>
      <c r="M3376" s="29">
        <v>0</v>
      </c>
      <c r="N3376" t="s">
        <v>32</v>
      </c>
      <c r="O3376" t="s">
        <v>33</v>
      </c>
      <c r="P3376" t="s">
        <v>34</v>
      </c>
      <c r="Q3376" t="s">
        <v>34</v>
      </c>
      <c r="R3376" t="s">
        <v>34</v>
      </c>
      <c r="S3376" t="s">
        <v>34</v>
      </c>
      <c r="T3376" s="117">
        <v>0</v>
      </c>
      <c r="U3376" s="209" t="s">
        <v>94</v>
      </c>
    </row>
    <row r="3377" spans="1:21" x14ac:dyDescent="0.35">
      <c r="A3377" t="s">
        <v>19</v>
      </c>
      <c r="B3377" t="s">
        <v>25</v>
      </c>
      <c r="C3377" s="1">
        <v>45751</v>
      </c>
      <c r="D3377">
        <f t="shared" si="236"/>
        <v>4</v>
      </c>
      <c r="E3377">
        <f t="shared" si="237"/>
        <v>4</v>
      </c>
      <c r="F3377">
        <f t="shared" si="238"/>
        <v>2025</v>
      </c>
      <c r="G3377" t="s">
        <v>29</v>
      </c>
      <c r="H3377" s="98">
        <v>11853</v>
      </c>
      <c r="I3377" s="29">
        <v>23516.68</v>
      </c>
      <c r="J3377" s="12" t="s">
        <v>31</v>
      </c>
      <c r="K3377" s="76">
        <f t="shared" si="235"/>
        <v>23516.68</v>
      </c>
      <c r="L3377">
        <v>1</v>
      </c>
      <c r="M3377" s="29">
        <v>0</v>
      </c>
      <c r="N3377" t="s">
        <v>42</v>
      </c>
      <c r="O3377" t="s">
        <v>33</v>
      </c>
      <c r="P3377" t="s">
        <v>34</v>
      </c>
      <c r="Q3377" t="s">
        <v>34</v>
      </c>
      <c r="R3377" t="s">
        <v>34</v>
      </c>
      <c r="S3377" t="s">
        <v>34</v>
      </c>
      <c r="T3377" s="117">
        <v>0</v>
      </c>
    </row>
    <row r="3378" spans="1:21" x14ac:dyDescent="0.35">
      <c r="A3378" t="s">
        <v>20</v>
      </c>
      <c r="B3378" t="s">
        <v>25</v>
      </c>
      <c r="C3378" s="1">
        <v>45754</v>
      </c>
      <c r="D3378">
        <f t="shared" si="236"/>
        <v>7</v>
      </c>
      <c r="E3378">
        <f t="shared" si="237"/>
        <v>4</v>
      </c>
      <c r="F3378">
        <f t="shared" si="238"/>
        <v>2025</v>
      </c>
      <c r="G3378" t="s">
        <v>43</v>
      </c>
      <c r="H3378" s="98">
        <v>12015</v>
      </c>
      <c r="I3378" s="29">
        <v>87265.4</v>
      </c>
      <c r="J3378" s="12" t="s">
        <v>31</v>
      </c>
      <c r="K3378" s="76">
        <f t="shared" si="235"/>
        <v>87265.4</v>
      </c>
      <c r="L3378">
        <v>1</v>
      </c>
      <c r="M3378" s="29">
        <v>0</v>
      </c>
      <c r="N3378" t="s">
        <v>32</v>
      </c>
      <c r="O3378" t="s">
        <v>33</v>
      </c>
      <c r="P3378" t="s">
        <v>34</v>
      </c>
      <c r="Q3378" t="s">
        <v>34</v>
      </c>
      <c r="R3378" t="s">
        <v>34</v>
      </c>
      <c r="S3378" t="s">
        <v>34</v>
      </c>
      <c r="T3378" s="117">
        <v>0</v>
      </c>
    </row>
    <row r="3379" spans="1:21" x14ac:dyDescent="0.35">
      <c r="A3379" t="s">
        <v>20</v>
      </c>
      <c r="B3379" t="s">
        <v>23</v>
      </c>
      <c r="C3379" s="1">
        <v>45754</v>
      </c>
      <c r="D3379">
        <f t="shared" si="236"/>
        <v>7</v>
      </c>
      <c r="E3379">
        <f t="shared" si="237"/>
        <v>4</v>
      </c>
      <c r="F3379">
        <f t="shared" si="238"/>
        <v>2025</v>
      </c>
      <c r="G3379" t="s">
        <v>121</v>
      </c>
      <c r="H3379" s="98">
        <v>12099</v>
      </c>
      <c r="I3379" s="29">
        <v>42765.24</v>
      </c>
      <c r="J3379" s="12" t="s">
        <v>31</v>
      </c>
      <c r="K3379" s="76">
        <f t="shared" si="235"/>
        <v>42765.24</v>
      </c>
      <c r="L3379">
        <v>1</v>
      </c>
      <c r="M3379" s="29">
        <v>0</v>
      </c>
      <c r="N3379" t="s">
        <v>32</v>
      </c>
      <c r="O3379" t="s">
        <v>33</v>
      </c>
      <c r="P3379" t="s">
        <v>34</v>
      </c>
      <c r="Q3379" t="s">
        <v>34</v>
      </c>
      <c r="R3379" t="s">
        <v>34</v>
      </c>
      <c r="S3379" t="s">
        <v>34</v>
      </c>
      <c r="T3379" s="117">
        <v>0</v>
      </c>
    </row>
    <row r="3380" spans="1:21" x14ac:dyDescent="0.35">
      <c r="A3380" t="s">
        <v>20</v>
      </c>
      <c r="B3380" t="s">
        <v>23</v>
      </c>
      <c r="C3380" s="1">
        <v>45754</v>
      </c>
      <c r="D3380">
        <f t="shared" si="236"/>
        <v>7</v>
      </c>
      <c r="E3380">
        <f t="shared" si="237"/>
        <v>4</v>
      </c>
      <c r="F3380">
        <f t="shared" si="238"/>
        <v>2025</v>
      </c>
      <c r="G3380" t="s">
        <v>595</v>
      </c>
      <c r="H3380" s="98">
        <v>12436</v>
      </c>
      <c r="I3380" s="29">
        <v>189</v>
      </c>
      <c r="J3380" s="12" t="s">
        <v>31</v>
      </c>
      <c r="K3380" s="76">
        <f t="shared" si="235"/>
        <v>189</v>
      </c>
      <c r="L3380">
        <v>1</v>
      </c>
      <c r="M3380" s="29">
        <v>0</v>
      </c>
      <c r="N3380" t="s">
        <v>42</v>
      </c>
      <c r="O3380" t="s">
        <v>33</v>
      </c>
      <c r="P3380" t="s">
        <v>34</v>
      </c>
      <c r="Q3380" t="s">
        <v>34</v>
      </c>
      <c r="R3380" t="s">
        <v>34</v>
      </c>
      <c r="S3380" t="s">
        <v>34</v>
      </c>
      <c r="T3380" s="117">
        <v>0</v>
      </c>
    </row>
    <row r="3381" spans="1:21" x14ac:dyDescent="0.35">
      <c r="A3381" t="s">
        <v>20</v>
      </c>
      <c r="B3381" t="s">
        <v>23</v>
      </c>
      <c r="C3381" s="1">
        <v>45754</v>
      </c>
      <c r="D3381">
        <f t="shared" si="236"/>
        <v>7</v>
      </c>
      <c r="E3381">
        <f t="shared" si="237"/>
        <v>4</v>
      </c>
      <c r="F3381">
        <f t="shared" si="238"/>
        <v>2025</v>
      </c>
      <c r="G3381" t="s">
        <v>595</v>
      </c>
      <c r="H3381" s="98">
        <v>12440</v>
      </c>
      <c r="I3381" s="29">
        <v>11890.5</v>
      </c>
      <c r="J3381" s="12" t="s">
        <v>31</v>
      </c>
      <c r="K3381" s="76">
        <f t="shared" si="235"/>
        <v>11890.5</v>
      </c>
      <c r="L3381">
        <v>1</v>
      </c>
      <c r="M3381" s="29">
        <v>0</v>
      </c>
      <c r="N3381" t="s">
        <v>42</v>
      </c>
      <c r="O3381" t="s">
        <v>33</v>
      </c>
      <c r="P3381" t="s">
        <v>34</v>
      </c>
      <c r="Q3381" t="s">
        <v>34</v>
      </c>
      <c r="R3381" t="s">
        <v>34</v>
      </c>
      <c r="S3381" t="s">
        <v>34</v>
      </c>
      <c r="T3381" s="117">
        <v>0</v>
      </c>
      <c r="U3381" s="209" t="s">
        <v>1096</v>
      </c>
    </row>
    <row r="3382" spans="1:21" x14ac:dyDescent="0.35">
      <c r="A3382" t="s">
        <v>20</v>
      </c>
      <c r="B3382" t="s">
        <v>23</v>
      </c>
      <c r="C3382" s="1">
        <v>45754</v>
      </c>
      <c r="D3382">
        <f t="shared" si="236"/>
        <v>7</v>
      </c>
      <c r="E3382">
        <f t="shared" si="237"/>
        <v>4</v>
      </c>
      <c r="F3382">
        <f t="shared" si="238"/>
        <v>2025</v>
      </c>
      <c r="G3382" t="s">
        <v>595</v>
      </c>
      <c r="H3382" s="98">
        <v>12439</v>
      </c>
      <c r="I3382" s="29">
        <v>41.5</v>
      </c>
      <c r="J3382" s="12" t="s">
        <v>31</v>
      </c>
      <c r="K3382" s="76">
        <f t="shared" si="235"/>
        <v>41.5</v>
      </c>
      <c r="L3382">
        <v>1</v>
      </c>
      <c r="M3382" s="29">
        <v>0</v>
      </c>
      <c r="N3382" t="s">
        <v>42</v>
      </c>
      <c r="O3382" t="s">
        <v>33</v>
      </c>
      <c r="P3382" t="s">
        <v>34</v>
      </c>
      <c r="Q3382" t="s">
        <v>34</v>
      </c>
      <c r="R3382" t="s">
        <v>34</v>
      </c>
      <c r="S3382" t="s">
        <v>34</v>
      </c>
      <c r="T3382" s="117">
        <v>0</v>
      </c>
    </row>
    <row r="3383" spans="1:21" x14ac:dyDescent="0.35">
      <c r="A3383" t="s">
        <v>20</v>
      </c>
      <c r="B3383" t="s">
        <v>23</v>
      </c>
      <c r="C3383" s="1">
        <v>45754</v>
      </c>
      <c r="D3383">
        <f t="shared" si="236"/>
        <v>7</v>
      </c>
      <c r="E3383">
        <f t="shared" si="237"/>
        <v>4</v>
      </c>
      <c r="F3383">
        <f t="shared" si="238"/>
        <v>2025</v>
      </c>
      <c r="G3383" t="s">
        <v>595</v>
      </c>
      <c r="H3383" s="98">
        <v>12440</v>
      </c>
      <c r="I3383" s="29">
        <v>2988</v>
      </c>
      <c r="J3383" s="12" t="s">
        <v>31</v>
      </c>
      <c r="K3383" s="76">
        <f t="shared" si="235"/>
        <v>2988</v>
      </c>
      <c r="L3383">
        <v>1</v>
      </c>
      <c r="M3383" s="29">
        <v>0</v>
      </c>
      <c r="N3383" t="s">
        <v>42</v>
      </c>
      <c r="O3383" t="s">
        <v>33</v>
      </c>
      <c r="P3383" t="s">
        <v>34</v>
      </c>
      <c r="Q3383" t="s">
        <v>34</v>
      </c>
      <c r="R3383" t="s">
        <v>34</v>
      </c>
      <c r="S3383" t="s">
        <v>34</v>
      </c>
      <c r="T3383" s="117">
        <v>0</v>
      </c>
    </row>
    <row r="3384" spans="1:21" x14ac:dyDescent="0.35">
      <c r="A3384" t="s">
        <v>19</v>
      </c>
      <c r="B3384" t="s">
        <v>23</v>
      </c>
      <c r="C3384" s="1">
        <v>45756</v>
      </c>
      <c r="D3384">
        <f t="shared" si="236"/>
        <v>9</v>
      </c>
      <c r="E3384">
        <f t="shared" si="237"/>
        <v>4</v>
      </c>
      <c r="F3384">
        <f t="shared" si="238"/>
        <v>2025</v>
      </c>
      <c r="G3384" t="s">
        <v>75</v>
      </c>
      <c r="H3384" s="171">
        <v>12353</v>
      </c>
      <c r="I3384" s="90">
        <v>14848</v>
      </c>
      <c r="J3384" s="12" t="s">
        <v>31</v>
      </c>
      <c r="K3384" s="76">
        <f t="shared" si="235"/>
        <v>14848</v>
      </c>
      <c r="L3384">
        <v>1</v>
      </c>
      <c r="M3384" s="29">
        <v>0</v>
      </c>
      <c r="N3384" t="s">
        <v>42</v>
      </c>
      <c r="O3384" t="s">
        <v>33</v>
      </c>
      <c r="P3384" t="s">
        <v>34</v>
      </c>
      <c r="Q3384" t="s">
        <v>34</v>
      </c>
      <c r="R3384" t="s">
        <v>34</v>
      </c>
      <c r="S3384" t="s">
        <v>34</v>
      </c>
      <c r="T3384" s="117">
        <v>0</v>
      </c>
    </row>
    <row r="3385" spans="1:21" x14ac:dyDescent="0.35">
      <c r="A3385" t="s">
        <v>19</v>
      </c>
      <c r="B3385" t="s">
        <v>23</v>
      </c>
      <c r="C3385" s="1">
        <v>45756</v>
      </c>
      <c r="D3385">
        <f t="shared" si="236"/>
        <v>9</v>
      </c>
      <c r="E3385">
        <f t="shared" si="237"/>
        <v>4</v>
      </c>
      <c r="F3385">
        <f t="shared" si="238"/>
        <v>2025</v>
      </c>
      <c r="G3385" t="s">
        <v>75</v>
      </c>
      <c r="H3385" s="171">
        <v>11988</v>
      </c>
      <c r="I3385" s="90">
        <v>17598.5</v>
      </c>
      <c r="J3385" s="12" t="s">
        <v>31</v>
      </c>
      <c r="K3385" s="76">
        <f t="shared" si="235"/>
        <v>17598.5</v>
      </c>
      <c r="L3385">
        <v>1</v>
      </c>
      <c r="M3385" s="29">
        <v>0</v>
      </c>
      <c r="N3385" t="s">
        <v>42</v>
      </c>
      <c r="O3385" t="s">
        <v>33</v>
      </c>
      <c r="P3385" t="s">
        <v>34</v>
      </c>
      <c r="Q3385" t="s">
        <v>34</v>
      </c>
      <c r="R3385" t="s">
        <v>34</v>
      </c>
      <c r="S3385" t="s">
        <v>34</v>
      </c>
      <c r="T3385" s="117">
        <v>0</v>
      </c>
    </row>
    <row r="3386" spans="1:21" x14ac:dyDescent="0.35">
      <c r="A3386" t="s">
        <v>19</v>
      </c>
      <c r="B3386" t="s">
        <v>21</v>
      </c>
      <c r="C3386" s="1">
        <v>45756</v>
      </c>
      <c r="D3386">
        <f t="shared" si="236"/>
        <v>9</v>
      </c>
      <c r="E3386">
        <f t="shared" si="237"/>
        <v>4</v>
      </c>
      <c r="F3386">
        <f t="shared" si="238"/>
        <v>2025</v>
      </c>
      <c r="G3386" t="s">
        <v>882</v>
      </c>
      <c r="H3386" s="98">
        <v>12478</v>
      </c>
      <c r="I3386" s="29">
        <v>32</v>
      </c>
      <c r="J3386" s="12" t="s">
        <v>31</v>
      </c>
      <c r="K3386" s="76">
        <f t="shared" si="235"/>
        <v>32</v>
      </c>
      <c r="L3386">
        <v>1</v>
      </c>
      <c r="M3386" s="29">
        <v>0</v>
      </c>
      <c r="N3386" t="s">
        <v>42</v>
      </c>
      <c r="O3386" t="s">
        <v>33</v>
      </c>
      <c r="P3386" t="s">
        <v>34</v>
      </c>
      <c r="Q3386" t="s">
        <v>34</v>
      </c>
      <c r="R3386" t="s">
        <v>34</v>
      </c>
      <c r="S3386" t="s">
        <v>34</v>
      </c>
      <c r="T3386" s="117">
        <v>0</v>
      </c>
    </row>
    <row r="3387" spans="1:21" x14ac:dyDescent="0.35">
      <c r="A3387" t="s">
        <v>19</v>
      </c>
      <c r="B3387" t="s">
        <v>21</v>
      </c>
      <c r="C3387" s="1">
        <v>45756</v>
      </c>
      <c r="D3387">
        <f t="shared" si="236"/>
        <v>9</v>
      </c>
      <c r="E3387">
        <f t="shared" si="237"/>
        <v>4</v>
      </c>
      <c r="F3387">
        <f t="shared" si="238"/>
        <v>2025</v>
      </c>
      <c r="G3387" t="s">
        <v>882</v>
      </c>
      <c r="H3387" s="98">
        <v>14080</v>
      </c>
      <c r="I3387" s="29">
        <v>2400</v>
      </c>
      <c r="J3387" s="12" t="s">
        <v>31</v>
      </c>
      <c r="K3387" s="76">
        <f t="shared" si="235"/>
        <v>2400</v>
      </c>
      <c r="L3387">
        <v>1</v>
      </c>
      <c r="M3387" s="29">
        <v>0</v>
      </c>
      <c r="N3387" t="s">
        <v>42</v>
      </c>
      <c r="O3387" t="s">
        <v>33</v>
      </c>
      <c r="P3387" t="s">
        <v>34</v>
      </c>
      <c r="Q3387" t="s">
        <v>34</v>
      </c>
      <c r="R3387" t="s">
        <v>34</v>
      </c>
      <c r="S3387" t="s">
        <v>34</v>
      </c>
      <c r="T3387" s="117">
        <v>0</v>
      </c>
      <c r="U3387" s="209" t="s">
        <v>1471</v>
      </c>
    </row>
    <row r="3388" spans="1:21" x14ac:dyDescent="0.35">
      <c r="A3388" t="s">
        <v>19</v>
      </c>
      <c r="B3388" t="s">
        <v>21</v>
      </c>
      <c r="C3388" s="1">
        <v>45756</v>
      </c>
      <c r="D3388">
        <f t="shared" si="236"/>
        <v>9</v>
      </c>
      <c r="E3388">
        <f t="shared" si="237"/>
        <v>4</v>
      </c>
      <c r="F3388">
        <f t="shared" si="238"/>
        <v>2025</v>
      </c>
      <c r="G3388" t="s">
        <v>882</v>
      </c>
      <c r="H3388" s="98">
        <v>12480</v>
      </c>
      <c r="I3388" s="29">
        <v>216</v>
      </c>
      <c r="J3388" s="12" t="s">
        <v>31</v>
      </c>
      <c r="K3388" s="76">
        <f t="shared" si="235"/>
        <v>216</v>
      </c>
      <c r="L3388">
        <v>1</v>
      </c>
      <c r="M3388" s="29">
        <v>0</v>
      </c>
      <c r="N3388" t="s">
        <v>42</v>
      </c>
      <c r="O3388" t="s">
        <v>33</v>
      </c>
      <c r="P3388" t="s">
        <v>34</v>
      </c>
      <c r="Q3388" t="s">
        <v>34</v>
      </c>
      <c r="R3388" t="s">
        <v>34</v>
      </c>
      <c r="S3388" t="s">
        <v>34</v>
      </c>
      <c r="T3388" s="117">
        <v>0</v>
      </c>
    </row>
    <row r="3389" spans="1:21" x14ac:dyDescent="0.35">
      <c r="A3389" t="s">
        <v>19</v>
      </c>
      <c r="B3389" t="s">
        <v>21</v>
      </c>
      <c r="C3389" s="1">
        <v>45756</v>
      </c>
      <c r="D3389">
        <f t="shared" si="236"/>
        <v>9</v>
      </c>
      <c r="E3389">
        <f t="shared" si="237"/>
        <v>4</v>
      </c>
      <c r="F3389">
        <f t="shared" si="238"/>
        <v>2025</v>
      </c>
      <c r="G3389" t="s">
        <v>882</v>
      </c>
      <c r="H3389" s="98">
        <v>12479</v>
      </c>
      <c r="I3389" s="29">
        <v>32229</v>
      </c>
      <c r="J3389" s="12" t="s">
        <v>31</v>
      </c>
      <c r="K3389" s="76">
        <f t="shared" si="235"/>
        <v>32229</v>
      </c>
      <c r="L3389">
        <v>1</v>
      </c>
      <c r="M3389" s="29">
        <v>0</v>
      </c>
      <c r="N3389" t="s">
        <v>42</v>
      </c>
      <c r="O3389" t="s">
        <v>33</v>
      </c>
      <c r="P3389" t="s">
        <v>34</v>
      </c>
      <c r="Q3389" t="s">
        <v>34</v>
      </c>
      <c r="R3389" t="s">
        <v>34</v>
      </c>
      <c r="S3389" t="s">
        <v>34</v>
      </c>
      <c r="T3389" s="117">
        <v>0</v>
      </c>
    </row>
    <row r="3390" spans="1:21" x14ac:dyDescent="0.35">
      <c r="A3390" t="s">
        <v>19</v>
      </c>
      <c r="B3390" t="s">
        <v>27</v>
      </c>
      <c r="C3390" s="1">
        <v>45756</v>
      </c>
      <c r="D3390">
        <f t="shared" si="236"/>
        <v>9</v>
      </c>
      <c r="E3390">
        <f t="shared" si="237"/>
        <v>4</v>
      </c>
      <c r="F3390">
        <f t="shared" si="238"/>
        <v>2025</v>
      </c>
      <c r="G3390" t="s">
        <v>100</v>
      </c>
      <c r="H3390" s="98">
        <v>12169</v>
      </c>
      <c r="I3390" s="29">
        <v>100000</v>
      </c>
      <c r="J3390" s="12" t="s">
        <v>31</v>
      </c>
      <c r="K3390" s="76">
        <f t="shared" si="235"/>
        <v>100000</v>
      </c>
      <c r="L3390">
        <v>1</v>
      </c>
      <c r="M3390" s="29">
        <v>0</v>
      </c>
      <c r="N3390" t="s">
        <v>32</v>
      </c>
      <c r="O3390" t="s">
        <v>33</v>
      </c>
      <c r="P3390" t="s">
        <v>34</v>
      </c>
      <c r="Q3390" t="s">
        <v>34</v>
      </c>
      <c r="R3390" t="s">
        <v>34</v>
      </c>
      <c r="S3390" t="s">
        <v>34</v>
      </c>
      <c r="T3390" s="117">
        <v>0</v>
      </c>
    </row>
    <row r="3391" spans="1:21" x14ac:dyDescent="0.35">
      <c r="A3391" t="s">
        <v>19</v>
      </c>
      <c r="B3391" t="s">
        <v>25</v>
      </c>
      <c r="C3391" s="1">
        <v>45756</v>
      </c>
      <c r="D3391">
        <f t="shared" si="236"/>
        <v>9</v>
      </c>
      <c r="E3391">
        <f t="shared" si="237"/>
        <v>4</v>
      </c>
      <c r="F3391">
        <f t="shared" si="238"/>
        <v>2025</v>
      </c>
      <c r="G3391" t="s">
        <v>36</v>
      </c>
      <c r="H3391" s="98">
        <v>12149</v>
      </c>
      <c r="I3391" s="29">
        <v>101778.22</v>
      </c>
      <c r="J3391" s="12" t="s">
        <v>31</v>
      </c>
      <c r="K3391" s="76">
        <f t="shared" si="235"/>
        <v>101778.22</v>
      </c>
      <c r="L3391">
        <v>1</v>
      </c>
      <c r="M3391" s="29">
        <v>0</v>
      </c>
      <c r="N3391" t="s">
        <v>32</v>
      </c>
      <c r="O3391" t="s">
        <v>33</v>
      </c>
      <c r="P3391" t="s">
        <v>34</v>
      </c>
      <c r="Q3391" t="s">
        <v>34</v>
      </c>
      <c r="R3391" t="s">
        <v>34</v>
      </c>
      <c r="S3391" t="s">
        <v>34</v>
      </c>
      <c r="T3391" s="117">
        <v>0</v>
      </c>
    </row>
    <row r="3392" spans="1:21" x14ac:dyDescent="0.35">
      <c r="A3392" t="s">
        <v>19</v>
      </c>
      <c r="B3392" t="s">
        <v>25</v>
      </c>
      <c r="C3392" s="1">
        <v>45756</v>
      </c>
      <c r="D3392">
        <f t="shared" si="236"/>
        <v>9</v>
      </c>
      <c r="E3392">
        <f t="shared" si="237"/>
        <v>4</v>
      </c>
      <c r="F3392">
        <f t="shared" si="238"/>
        <v>2025</v>
      </c>
      <c r="G3392" t="s">
        <v>39</v>
      </c>
      <c r="H3392" s="98">
        <v>12146</v>
      </c>
      <c r="I3392" s="29">
        <v>6089.5</v>
      </c>
      <c r="J3392" s="12" t="s">
        <v>31</v>
      </c>
      <c r="K3392" s="76">
        <f t="shared" si="235"/>
        <v>6089.5</v>
      </c>
      <c r="L3392">
        <v>1</v>
      </c>
      <c r="M3392" s="29">
        <v>0</v>
      </c>
      <c r="N3392" t="s">
        <v>32</v>
      </c>
      <c r="O3392" t="s">
        <v>33</v>
      </c>
      <c r="P3392" t="s">
        <v>34</v>
      </c>
      <c r="Q3392" t="s">
        <v>34</v>
      </c>
      <c r="R3392" t="s">
        <v>34</v>
      </c>
      <c r="S3392" t="s">
        <v>34</v>
      </c>
      <c r="T3392" s="117">
        <v>0</v>
      </c>
    </row>
    <row r="3393" spans="1:20" x14ac:dyDescent="0.35">
      <c r="A3393" t="s">
        <v>19</v>
      </c>
      <c r="B3393" t="s">
        <v>25</v>
      </c>
      <c r="C3393" s="1">
        <v>45756</v>
      </c>
      <c r="D3393">
        <f t="shared" si="236"/>
        <v>9</v>
      </c>
      <c r="E3393">
        <f t="shared" si="237"/>
        <v>4</v>
      </c>
      <c r="F3393">
        <f t="shared" si="238"/>
        <v>2025</v>
      </c>
      <c r="G3393" t="s">
        <v>39</v>
      </c>
      <c r="H3393" s="98">
        <v>12173</v>
      </c>
      <c r="I3393" s="29">
        <v>5958.4</v>
      </c>
      <c r="J3393" s="12" t="s">
        <v>31</v>
      </c>
      <c r="K3393" s="76">
        <f t="shared" si="235"/>
        <v>5958.4</v>
      </c>
      <c r="L3393">
        <v>1</v>
      </c>
      <c r="M3393" s="29">
        <v>0</v>
      </c>
      <c r="N3393" t="s">
        <v>32</v>
      </c>
      <c r="O3393" t="s">
        <v>33</v>
      </c>
      <c r="P3393" t="s">
        <v>34</v>
      </c>
      <c r="Q3393" t="s">
        <v>34</v>
      </c>
      <c r="R3393" t="s">
        <v>34</v>
      </c>
      <c r="S3393" t="s">
        <v>34</v>
      </c>
      <c r="T3393" s="117">
        <v>0</v>
      </c>
    </row>
    <row r="3394" spans="1:20" x14ac:dyDescent="0.35">
      <c r="A3394" t="s">
        <v>19</v>
      </c>
      <c r="B3394" t="s">
        <v>25</v>
      </c>
      <c r="C3394" s="1">
        <v>45756</v>
      </c>
      <c r="D3394">
        <f t="shared" si="236"/>
        <v>9</v>
      </c>
      <c r="E3394">
        <f t="shared" si="237"/>
        <v>4</v>
      </c>
      <c r="F3394">
        <f t="shared" si="238"/>
        <v>2025</v>
      </c>
      <c r="G3394" t="s">
        <v>39</v>
      </c>
      <c r="H3394" s="98">
        <v>12275</v>
      </c>
      <c r="I3394" s="29">
        <v>118.42</v>
      </c>
      <c r="J3394" s="12" t="s">
        <v>31</v>
      </c>
      <c r="K3394" s="76">
        <f t="shared" ref="K3394:K3458" si="239">IF(J3394="USD",I3394,I3394*L3394)</f>
        <v>118.42</v>
      </c>
      <c r="L3394">
        <v>1</v>
      </c>
      <c r="M3394" s="29">
        <v>0</v>
      </c>
      <c r="N3394" t="s">
        <v>32</v>
      </c>
      <c r="O3394" t="s">
        <v>33</v>
      </c>
      <c r="P3394" t="s">
        <v>34</v>
      </c>
      <c r="Q3394" t="s">
        <v>34</v>
      </c>
      <c r="R3394" t="s">
        <v>34</v>
      </c>
      <c r="S3394" t="s">
        <v>34</v>
      </c>
      <c r="T3394" s="117">
        <v>0</v>
      </c>
    </row>
    <row r="3395" spans="1:20" x14ac:dyDescent="0.35">
      <c r="A3395" t="s">
        <v>19</v>
      </c>
      <c r="B3395" t="s">
        <v>25</v>
      </c>
      <c r="C3395" s="1">
        <v>45756</v>
      </c>
      <c r="D3395">
        <f t="shared" ref="D3395:D3459" si="240">DAY(C3395)</f>
        <v>9</v>
      </c>
      <c r="E3395">
        <f t="shared" ref="E3395:E3459" si="241">MONTH(C3395)</f>
        <v>4</v>
      </c>
      <c r="F3395">
        <f t="shared" ref="F3395:F3459" si="242">YEAR(C3395)</f>
        <v>2025</v>
      </c>
      <c r="G3395" t="s">
        <v>80</v>
      </c>
      <c r="H3395" s="98">
        <v>12035</v>
      </c>
      <c r="I3395" s="29">
        <v>987</v>
      </c>
      <c r="J3395" s="12" t="s">
        <v>31</v>
      </c>
      <c r="K3395" s="76">
        <f t="shared" si="239"/>
        <v>987</v>
      </c>
      <c r="L3395">
        <v>1</v>
      </c>
      <c r="M3395" s="29">
        <v>0</v>
      </c>
      <c r="N3395" t="s">
        <v>32</v>
      </c>
      <c r="O3395" t="s">
        <v>33</v>
      </c>
      <c r="P3395" t="s">
        <v>34</v>
      </c>
      <c r="Q3395" t="s">
        <v>34</v>
      </c>
      <c r="R3395" t="s">
        <v>34</v>
      </c>
      <c r="S3395" t="s">
        <v>34</v>
      </c>
      <c r="T3395" s="117">
        <v>0</v>
      </c>
    </row>
    <row r="3396" spans="1:20" x14ac:dyDescent="0.35">
      <c r="A3396" t="s">
        <v>19</v>
      </c>
      <c r="B3396" t="s">
        <v>25</v>
      </c>
      <c r="C3396" s="1">
        <v>45756</v>
      </c>
      <c r="D3396">
        <f t="shared" si="240"/>
        <v>9</v>
      </c>
      <c r="E3396">
        <f t="shared" si="241"/>
        <v>4</v>
      </c>
      <c r="F3396">
        <f t="shared" si="242"/>
        <v>2025</v>
      </c>
      <c r="G3396" t="s">
        <v>80</v>
      </c>
      <c r="H3396" s="98">
        <v>12423</v>
      </c>
      <c r="I3396" s="29">
        <v>7926</v>
      </c>
      <c r="J3396" s="12" t="s">
        <v>31</v>
      </c>
      <c r="K3396" s="76">
        <f t="shared" si="239"/>
        <v>7926</v>
      </c>
      <c r="L3396">
        <v>1</v>
      </c>
      <c r="M3396" s="29">
        <v>0</v>
      </c>
      <c r="N3396" t="s">
        <v>42</v>
      </c>
      <c r="O3396" t="s">
        <v>33</v>
      </c>
      <c r="P3396" t="s">
        <v>34</v>
      </c>
      <c r="Q3396" t="s">
        <v>34</v>
      </c>
      <c r="R3396" t="s">
        <v>34</v>
      </c>
      <c r="S3396" t="s">
        <v>34</v>
      </c>
      <c r="T3396" s="117">
        <v>0</v>
      </c>
    </row>
    <row r="3397" spans="1:20" x14ac:dyDescent="0.35">
      <c r="A3397" t="s">
        <v>19</v>
      </c>
      <c r="B3397" t="s">
        <v>25</v>
      </c>
      <c r="C3397" s="1">
        <v>45756</v>
      </c>
      <c r="D3397">
        <f t="shared" si="240"/>
        <v>9</v>
      </c>
      <c r="E3397">
        <f t="shared" si="241"/>
        <v>4</v>
      </c>
      <c r="F3397">
        <f t="shared" si="242"/>
        <v>2025</v>
      </c>
      <c r="G3397" t="s">
        <v>38</v>
      </c>
      <c r="H3397" s="98">
        <v>11738</v>
      </c>
      <c r="I3397" s="29">
        <v>391167.09</v>
      </c>
      <c r="J3397" s="12" t="s">
        <v>31</v>
      </c>
      <c r="K3397" s="76">
        <f t="shared" si="239"/>
        <v>391167.09</v>
      </c>
      <c r="L3397">
        <v>1</v>
      </c>
      <c r="M3397" s="29">
        <v>0</v>
      </c>
      <c r="N3397" t="s">
        <v>32</v>
      </c>
      <c r="O3397" t="s">
        <v>33</v>
      </c>
      <c r="P3397" t="s">
        <v>34</v>
      </c>
      <c r="Q3397" t="s">
        <v>34</v>
      </c>
      <c r="R3397" t="s">
        <v>34</v>
      </c>
      <c r="S3397" t="s">
        <v>34</v>
      </c>
      <c r="T3397" s="117">
        <v>0</v>
      </c>
    </row>
    <row r="3398" spans="1:20" x14ac:dyDescent="0.35">
      <c r="A3398" t="s">
        <v>19</v>
      </c>
      <c r="B3398" t="s">
        <v>25</v>
      </c>
      <c r="C3398" s="1">
        <v>45756</v>
      </c>
      <c r="D3398">
        <f t="shared" si="240"/>
        <v>9</v>
      </c>
      <c r="E3398">
        <f t="shared" si="241"/>
        <v>4</v>
      </c>
      <c r="F3398">
        <f t="shared" si="242"/>
        <v>2025</v>
      </c>
      <c r="G3398" t="s">
        <v>1146</v>
      </c>
      <c r="H3398" s="98">
        <v>12487</v>
      </c>
      <c r="I3398" s="29">
        <v>23928</v>
      </c>
      <c r="J3398" s="12" t="s">
        <v>51</v>
      </c>
      <c r="K3398" s="76">
        <f t="shared" si="239"/>
        <v>26473.939200000001</v>
      </c>
      <c r="L3398">
        <v>1.1064000000000001</v>
      </c>
      <c r="M3398" s="29">
        <v>0</v>
      </c>
      <c r="N3398" t="s">
        <v>42</v>
      </c>
      <c r="O3398" t="s">
        <v>33</v>
      </c>
      <c r="P3398" t="s">
        <v>34</v>
      </c>
      <c r="Q3398" t="s">
        <v>34</v>
      </c>
      <c r="R3398" t="s">
        <v>34</v>
      </c>
      <c r="S3398" t="s">
        <v>34</v>
      </c>
      <c r="T3398" s="117">
        <v>0</v>
      </c>
    </row>
    <row r="3399" spans="1:20" x14ac:dyDescent="0.35">
      <c r="A3399" t="s">
        <v>20</v>
      </c>
      <c r="B3399" t="s">
        <v>25</v>
      </c>
      <c r="C3399" s="1">
        <v>45756</v>
      </c>
      <c r="D3399">
        <f t="shared" si="240"/>
        <v>9</v>
      </c>
      <c r="E3399">
        <f t="shared" si="241"/>
        <v>4</v>
      </c>
      <c r="F3399">
        <f t="shared" si="242"/>
        <v>2025</v>
      </c>
      <c r="G3399" t="s">
        <v>442</v>
      </c>
      <c r="H3399" s="98">
        <v>12018</v>
      </c>
      <c r="I3399" s="29">
        <v>107945.18</v>
      </c>
      <c r="J3399" s="12" t="s">
        <v>51</v>
      </c>
      <c r="K3399" s="76">
        <f t="shared" si="239"/>
        <v>120035.1200394332</v>
      </c>
      <c r="L3399" s="144">
        <v>1.11200074</v>
      </c>
      <c r="M3399" s="29">
        <v>0</v>
      </c>
      <c r="N3399" t="s">
        <v>42</v>
      </c>
      <c r="O3399" t="s">
        <v>33</v>
      </c>
      <c r="P3399" t="s">
        <v>34</v>
      </c>
      <c r="Q3399" t="s">
        <v>34</v>
      </c>
      <c r="R3399" t="s">
        <v>34</v>
      </c>
      <c r="S3399" t="s">
        <v>34</v>
      </c>
      <c r="T3399" s="117">
        <v>0</v>
      </c>
    </row>
    <row r="3400" spans="1:20" x14ac:dyDescent="0.35">
      <c r="A3400" t="s">
        <v>20</v>
      </c>
      <c r="B3400" t="s">
        <v>23</v>
      </c>
      <c r="C3400" s="1">
        <v>45756</v>
      </c>
      <c r="D3400">
        <f t="shared" si="240"/>
        <v>9</v>
      </c>
      <c r="E3400">
        <f t="shared" si="241"/>
        <v>4</v>
      </c>
      <c r="F3400">
        <f t="shared" si="242"/>
        <v>2025</v>
      </c>
      <c r="G3400" t="s">
        <v>53</v>
      </c>
      <c r="H3400" s="171">
        <v>12212</v>
      </c>
      <c r="I3400" s="90">
        <v>4456.75</v>
      </c>
      <c r="J3400" s="12" t="s">
        <v>31</v>
      </c>
      <c r="K3400" s="76">
        <f t="shared" si="239"/>
        <v>4456.75</v>
      </c>
      <c r="L3400">
        <v>1</v>
      </c>
      <c r="M3400" s="29">
        <v>0</v>
      </c>
      <c r="N3400" t="s">
        <v>32</v>
      </c>
      <c r="O3400" t="s">
        <v>33</v>
      </c>
      <c r="P3400" t="s">
        <v>34</v>
      </c>
      <c r="Q3400" t="s">
        <v>34</v>
      </c>
      <c r="R3400" t="s">
        <v>34</v>
      </c>
      <c r="S3400" t="s">
        <v>34</v>
      </c>
      <c r="T3400" s="117">
        <v>0</v>
      </c>
    </row>
    <row r="3401" spans="1:20" x14ac:dyDescent="0.35">
      <c r="A3401" t="s">
        <v>20</v>
      </c>
      <c r="B3401" t="s">
        <v>21</v>
      </c>
      <c r="C3401" s="1">
        <v>45756</v>
      </c>
      <c r="D3401">
        <f t="shared" si="240"/>
        <v>9</v>
      </c>
      <c r="E3401">
        <f t="shared" si="241"/>
        <v>4</v>
      </c>
      <c r="F3401">
        <f t="shared" si="242"/>
        <v>2025</v>
      </c>
      <c r="G3401" t="s">
        <v>696</v>
      </c>
      <c r="H3401" s="98">
        <v>12455</v>
      </c>
      <c r="I3401" s="29">
        <v>27.6</v>
      </c>
      <c r="J3401" s="12" t="s">
        <v>31</v>
      </c>
      <c r="K3401" s="76">
        <f t="shared" si="239"/>
        <v>27.6</v>
      </c>
      <c r="L3401">
        <v>1</v>
      </c>
      <c r="M3401" s="29">
        <v>0</v>
      </c>
      <c r="N3401" t="s">
        <v>42</v>
      </c>
      <c r="O3401" t="s">
        <v>33</v>
      </c>
      <c r="P3401" t="s">
        <v>34</v>
      </c>
      <c r="Q3401" t="s">
        <v>34</v>
      </c>
      <c r="R3401" t="s">
        <v>34</v>
      </c>
      <c r="S3401" t="s">
        <v>34</v>
      </c>
      <c r="T3401" s="117">
        <v>0</v>
      </c>
    </row>
    <row r="3402" spans="1:20" x14ac:dyDescent="0.35">
      <c r="A3402" t="s">
        <v>20</v>
      </c>
      <c r="B3402" t="s">
        <v>21</v>
      </c>
      <c r="C3402" s="1">
        <v>45756</v>
      </c>
      <c r="D3402">
        <f t="shared" si="240"/>
        <v>9</v>
      </c>
      <c r="E3402">
        <f t="shared" si="241"/>
        <v>4</v>
      </c>
      <c r="F3402">
        <f t="shared" si="242"/>
        <v>2025</v>
      </c>
      <c r="G3402" t="s">
        <v>696</v>
      </c>
      <c r="H3402" s="98">
        <v>12456</v>
      </c>
      <c r="I3402" s="29">
        <v>389</v>
      </c>
      <c r="J3402" s="12" t="s">
        <v>31</v>
      </c>
      <c r="K3402" s="76">
        <f t="shared" si="239"/>
        <v>389</v>
      </c>
      <c r="L3402">
        <v>1</v>
      </c>
      <c r="M3402" s="29">
        <v>0</v>
      </c>
      <c r="N3402" t="s">
        <v>42</v>
      </c>
      <c r="O3402" t="s">
        <v>33</v>
      </c>
      <c r="P3402" t="s">
        <v>34</v>
      </c>
      <c r="Q3402" t="s">
        <v>34</v>
      </c>
      <c r="R3402" t="s">
        <v>34</v>
      </c>
      <c r="S3402" t="s">
        <v>34</v>
      </c>
      <c r="T3402" s="117">
        <v>0</v>
      </c>
    </row>
    <row r="3403" spans="1:20" x14ac:dyDescent="0.35">
      <c r="A3403" t="s">
        <v>20</v>
      </c>
      <c r="B3403" t="s">
        <v>25</v>
      </c>
      <c r="C3403" s="1">
        <v>45756</v>
      </c>
      <c r="D3403">
        <f t="shared" si="240"/>
        <v>9</v>
      </c>
      <c r="E3403">
        <f t="shared" si="241"/>
        <v>4</v>
      </c>
      <c r="F3403">
        <f t="shared" si="242"/>
        <v>2025</v>
      </c>
      <c r="G3403" t="s">
        <v>50</v>
      </c>
      <c r="H3403" s="98">
        <v>11920</v>
      </c>
      <c r="I3403" s="29">
        <v>60996</v>
      </c>
      <c r="J3403" s="12" t="s">
        <v>31</v>
      </c>
      <c r="K3403" s="76">
        <f t="shared" si="239"/>
        <v>60996</v>
      </c>
      <c r="L3403">
        <v>1</v>
      </c>
      <c r="M3403" s="29">
        <v>0</v>
      </c>
      <c r="N3403" t="s">
        <v>32</v>
      </c>
      <c r="O3403" t="s">
        <v>33</v>
      </c>
      <c r="P3403" t="s">
        <v>34</v>
      </c>
      <c r="Q3403" t="s">
        <v>34</v>
      </c>
      <c r="R3403" t="s">
        <v>34</v>
      </c>
      <c r="S3403" t="s">
        <v>34</v>
      </c>
      <c r="T3403" s="117">
        <v>0</v>
      </c>
    </row>
    <row r="3404" spans="1:20" x14ac:dyDescent="0.35">
      <c r="A3404" t="s">
        <v>20</v>
      </c>
      <c r="B3404" t="s">
        <v>21</v>
      </c>
      <c r="C3404" s="1">
        <v>45756</v>
      </c>
      <c r="D3404">
        <f t="shared" si="240"/>
        <v>9</v>
      </c>
      <c r="E3404">
        <f t="shared" si="241"/>
        <v>4</v>
      </c>
      <c r="F3404">
        <f t="shared" si="242"/>
        <v>2025</v>
      </c>
      <c r="G3404" t="s">
        <v>50</v>
      </c>
      <c r="H3404" s="98">
        <v>11920</v>
      </c>
      <c r="I3404" s="29">
        <v>37266.500000000007</v>
      </c>
      <c r="J3404" s="12" t="s">
        <v>31</v>
      </c>
      <c r="K3404" s="76">
        <f t="shared" si="239"/>
        <v>37266.500000000007</v>
      </c>
      <c r="L3404">
        <v>1</v>
      </c>
      <c r="M3404" s="29">
        <v>0</v>
      </c>
      <c r="N3404" t="s">
        <v>32</v>
      </c>
      <c r="O3404" t="s">
        <v>33</v>
      </c>
      <c r="P3404" t="s">
        <v>34</v>
      </c>
      <c r="Q3404" t="s">
        <v>34</v>
      </c>
      <c r="R3404" t="s">
        <v>34</v>
      </c>
      <c r="S3404" t="s">
        <v>34</v>
      </c>
      <c r="T3404" s="117">
        <v>0</v>
      </c>
    </row>
    <row r="3405" spans="1:20" x14ac:dyDescent="0.35">
      <c r="A3405" t="s">
        <v>20</v>
      </c>
      <c r="B3405" t="s">
        <v>25</v>
      </c>
      <c r="C3405" s="1">
        <v>45756</v>
      </c>
      <c r="D3405">
        <f t="shared" si="240"/>
        <v>9</v>
      </c>
      <c r="E3405">
        <f t="shared" si="241"/>
        <v>4</v>
      </c>
      <c r="F3405">
        <f t="shared" si="242"/>
        <v>2025</v>
      </c>
      <c r="G3405" t="s">
        <v>50</v>
      </c>
      <c r="H3405" s="98">
        <v>11710</v>
      </c>
      <c r="I3405" s="29">
        <v>61058.949500000002</v>
      </c>
      <c r="J3405" s="12" t="s">
        <v>31</v>
      </c>
      <c r="K3405" s="76">
        <f t="shared" si="239"/>
        <v>61058.949500000002</v>
      </c>
      <c r="L3405">
        <v>1</v>
      </c>
      <c r="M3405" s="29">
        <v>0</v>
      </c>
      <c r="N3405" t="s">
        <v>32</v>
      </c>
      <c r="O3405" t="s">
        <v>33</v>
      </c>
      <c r="P3405" t="s">
        <v>34</v>
      </c>
      <c r="Q3405" t="s">
        <v>34</v>
      </c>
      <c r="R3405" t="s">
        <v>34</v>
      </c>
      <c r="S3405" t="s">
        <v>34</v>
      </c>
      <c r="T3405" s="117">
        <v>0</v>
      </c>
    </row>
    <row r="3406" spans="1:20" x14ac:dyDescent="0.35">
      <c r="A3406" t="s">
        <v>20</v>
      </c>
      <c r="B3406" t="s">
        <v>24</v>
      </c>
      <c r="C3406" s="1">
        <v>45756</v>
      </c>
      <c r="D3406">
        <f t="shared" si="240"/>
        <v>9</v>
      </c>
      <c r="E3406">
        <f t="shared" si="241"/>
        <v>4</v>
      </c>
      <c r="F3406">
        <f t="shared" si="242"/>
        <v>2025</v>
      </c>
      <c r="G3406" t="s">
        <v>50</v>
      </c>
      <c r="H3406" s="98">
        <v>11710</v>
      </c>
      <c r="I3406" s="29">
        <v>30020.900500000003</v>
      </c>
      <c r="J3406" s="12" t="s">
        <v>31</v>
      </c>
      <c r="K3406" s="76">
        <f t="shared" si="239"/>
        <v>30020.900500000003</v>
      </c>
      <c r="L3406">
        <v>1</v>
      </c>
      <c r="M3406" s="29">
        <v>0</v>
      </c>
      <c r="N3406" t="s">
        <v>32</v>
      </c>
      <c r="O3406" t="s">
        <v>33</v>
      </c>
      <c r="P3406" t="s">
        <v>34</v>
      </c>
      <c r="Q3406" t="s">
        <v>34</v>
      </c>
      <c r="R3406" t="s">
        <v>34</v>
      </c>
      <c r="S3406" t="s">
        <v>34</v>
      </c>
      <c r="T3406" s="117">
        <v>0</v>
      </c>
    </row>
    <row r="3407" spans="1:20" x14ac:dyDescent="0.35">
      <c r="A3407" t="s">
        <v>20</v>
      </c>
      <c r="B3407" t="s">
        <v>21</v>
      </c>
      <c r="C3407" s="1">
        <v>45756</v>
      </c>
      <c r="D3407">
        <f t="shared" si="240"/>
        <v>9</v>
      </c>
      <c r="E3407">
        <f t="shared" si="241"/>
        <v>4</v>
      </c>
      <c r="F3407">
        <f t="shared" si="242"/>
        <v>2025</v>
      </c>
      <c r="G3407" t="s">
        <v>50</v>
      </c>
      <c r="H3407" s="98">
        <v>12446</v>
      </c>
      <c r="I3407" s="29">
        <v>2392</v>
      </c>
      <c r="J3407" s="12" t="s">
        <v>31</v>
      </c>
      <c r="K3407" s="76">
        <f t="shared" si="239"/>
        <v>2392</v>
      </c>
      <c r="L3407">
        <v>1</v>
      </c>
      <c r="M3407" s="29">
        <v>0</v>
      </c>
      <c r="N3407" t="s">
        <v>42</v>
      </c>
      <c r="O3407" t="s">
        <v>33</v>
      </c>
      <c r="P3407" t="s">
        <v>34</v>
      </c>
      <c r="Q3407" t="s">
        <v>34</v>
      </c>
      <c r="R3407" t="s">
        <v>34</v>
      </c>
      <c r="S3407" t="s">
        <v>34</v>
      </c>
      <c r="T3407" s="117">
        <v>0</v>
      </c>
    </row>
    <row r="3408" spans="1:20" x14ac:dyDescent="0.35">
      <c r="A3408" t="s">
        <v>20</v>
      </c>
      <c r="B3408" t="s">
        <v>25</v>
      </c>
      <c r="C3408" s="1">
        <v>45756</v>
      </c>
      <c r="D3408">
        <f t="shared" si="240"/>
        <v>9</v>
      </c>
      <c r="E3408">
        <f t="shared" si="241"/>
        <v>4</v>
      </c>
      <c r="F3408">
        <f t="shared" si="242"/>
        <v>2025</v>
      </c>
      <c r="G3408" t="s">
        <v>265</v>
      </c>
      <c r="H3408" s="98">
        <v>11874</v>
      </c>
      <c r="I3408" s="29">
        <v>12934</v>
      </c>
      <c r="J3408" s="12" t="s">
        <v>31</v>
      </c>
      <c r="K3408" s="76">
        <f t="shared" si="239"/>
        <v>12934</v>
      </c>
      <c r="L3408">
        <v>1</v>
      </c>
      <c r="M3408" s="29">
        <v>0</v>
      </c>
      <c r="N3408" t="s">
        <v>32</v>
      </c>
      <c r="O3408" t="s">
        <v>33</v>
      </c>
      <c r="P3408" t="s">
        <v>34</v>
      </c>
      <c r="Q3408" t="s">
        <v>34</v>
      </c>
      <c r="R3408" t="s">
        <v>34</v>
      </c>
      <c r="S3408" t="s">
        <v>34</v>
      </c>
      <c r="T3408" s="117">
        <v>0</v>
      </c>
    </row>
    <row r="3409" spans="1:21" x14ac:dyDescent="0.35">
      <c r="A3409" t="s">
        <v>20</v>
      </c>
      <c r="B3409" t="s">
        <v>21</v>
      </c>
      <c r="C3409" s="1">
        <v>45756</v>
      </c>
      <c r="D3409">
        <f t="shared" si="240"/>
        <v>9</v>
      </c>
      <c r="E3409">
        <f t="shared" si="241"/>
        <v>4</v>
      </c>
      <c r="F3409">
        <f t="shared" si="242"/>
        <v>2025</v>
      </c>
      <c r="G3409" t="s">
        <v>91</v>
      </c>
      <c r="H3409" s="98">
        <v>11574</v>
      </c>
      <c r="I3409" s="29">
        <v>109.44</v>
      </c>
      <c r="J3409" s="12" t="s">
        <v>31</v>
      </c>
      <c r="K3409" s="76">
        <f t="shared" si="239"/>
        <v>109.44</v>
      </c>
      <c r="L3409">
        <v>1</v>
      </c>
      <c r="M3409" s="29">
        <v>0</v>
      </c>
      <c r="N3409" t="s">
        <v>32</v>
      </c>
      <c r="O3409" t="s">
        <v>33</v>
      </c>
      <c r="P3409" t="s">
        <v>34</v>
      </c>
      <c r="Q3409" t="s">
        <v>34</v>
      </c>
      <c r="R3409" t="s">
        <v>34</v>
      </c>
      <c r="S3409" t="s">
        <v>34</v>
      </c>
      <c r="T3409" s="117">
        <v>0</v>
      </c>
    </row>
    <row r="3410" spans="1:21" x14ac:dyDescent="0.35">
      <c r="A3410" t="s">
        <v>20</v>
      </c>
      <c r="B3410" t="s">
        <v>23</v>
      </c>
      <c r="C3410" s="1">
        <v>45756</v>
      </c>
      <c r="D3410">
        <f t="shared" si="240"/>
        <v>9</v>
      </c>
      <c r="E3410">
        <f t="shared" si="241"/>
        <v>4</v>
      </c>
      <c r="F3410">
        <f t="shared" si="242"/>
        <v>2025</v>
      </c>
      <c r="G3410" t="s">
        <v>82</v>
      </c>
      <c r="H3410" s="98">
        <v>12190</v>
      </c>
      <c r="I3410" s="29">
        <v>110</v>
      </c>
      <c r="J3410" s="12" t="s">
        <v>31</v>
      </c>
      <c r="K3410" s="76">
        <f t="shared" si="239"/>
        <v>110</v>
      </c>
      <c r="L3410">
        <v>1</v>
      </c>
      <c r="M3410" s="29">
        <v>0</v>
      </c>
      <c r="N3410" t="s">
        <v>32</v>
      </c>
      <c r="O3410" t="s">
        <v>33</v>
      </c>
      <c r="P3410" t="s">
        <v>34</v>
      </c>
      <c r="Q3410" t="s">
        <v>34</v>
      </c>
      <c r="R3410" t="s">
        <v>34</v>
      </c>
      <c r="S3410" t="s">
        <v>34</v>
      </c>
      <c r="T3410" s="117">
        <v>0</v>
      </c>
    </row>
    <row r="3411" spans="1:21" x14ac:dyDescent="0.35">
      <c r="A3411" t="s">
        <v>20</v>
      </c>
      <c r="B3411" t="s">
        <v>21</v>
      </c>
      <c r="C3411" s="1">
        <v>45756</v>
      </c>
      <c r="D3411">
        <f t="shared" si="240"/>
        <v>9</v>
      </c>
      <c r="E3411">
        <f t="shared" si="241"/>
        <v>4</v>
      </c>
      <c r="F3411">
        <f t="shared" si="242"/>
        <v>2025</v>
      </c>
      <c r="G3411" t="s">
        <v>299</v>
      </c>
      <c r="H3411" s="98">
        <v>12980</v>
      </c>
      <c r="I3411" s="29">
        <v>140</v>
      </c>
      <c r="J3411" s="12" t="s">
        <v>31</v>
      </c>
      <c r="K3411" s="76">
        <f t="shared" si="239"/>
        <v>140</v>
      </c>
      <c r="L3411">
        <v>1</v>
      </c>
      <c r="M3411" s="29">
        <v>0</v>
      </c>
      <c r="N3411" t="s">
        <v>42</v>
      </c>
      <c r="O3411" t="s">
        <v>33</v>
      </c>
      <c r="P3411" t="s">
        <v>34</v>
      </c>
      <c r="Q3411" t="s">
        <v>34</v>
      </c>
      <c r="R3411" t="s">
        <v>34</v>
      </c>
      <c r="S3411" t="s">
        <v>34</v>
      </c>
      <c r="T3411" s="117">
        <v>0</v>
      </c>
    </row>
    <row r="3412" spans="1:21" x14ac:dyDescent="0.35">
      <c r="A3412" t="s">
        <v>20</v>
      </c>
      <c r="B3412" t="s">
        <v>21</v>
      </c>
      <c r="C3412" s="1">
        <v>45756</v>
      </c>
      <c r="D3412">
        <f t="shared" si="240"/>
        <v>9</v>
      </c>
      <c r="E3412">
        <f t="shared" si="241"/>
        <v>4</v>
      </c>
      <c r="F3412">
        <f t="shared" si="242"/>
        <v>2025</v>
      </c>
      <c r="G3412" t="s">
        <v>299</v>
      </c>
      <c r="H3412" s="98">
        <v>12484</v>
      </c>
      <c r="I3412" s="29">
        <v>380</v>
      </c>
      <c r="J3412" s="12" t="s">
        <v>31</v>
      </c>
      <c r="K3412" s="76">
        <f t="shared" si="239"/>
        <v>380</v>
      </c>
      <c r="L3412">
        <v>1</v>
      </c>
      <c r="M3412" s="29">
        <v>0</v>
      </c>
      <c r="N3412" t="s">
        <v>42</v>
      </c>
      <c r="O3412" t="s">
        <v>33</v>
      </c>
      <c r="P3412" t="s">
        <v>34</v>
      </c>
      <c r="Q3412" t="s">
        <v>34</v>
      </c>
      <c r="R3412" t="s">
        <v>34</v>
      </c>
      <c r="S3412" t="s">
        <v>34</v>
      </c>
      <c r="T3412" s="117">
        <v>0</v>
      </c>
    </row>
    <row r="3413" spans="1:21" x14ac:dyDescent="0.35">
      <c r="A3413" t="s">
        <v>20</v>
      </c>
      <c r="B3413" t="s">
        <v>21</v>
      </c>
      <c r="C3413" s="1">
        <v>45756</v>
      </c>
      <c r="D3413">
        <f t="shared" ref="D3413" si="243">DAY(C3413)</f>
        <v>9</v>
      </c>
      <c r="E3413">
        <f t="shared" ref="E3413" si="244">MONTH(C3413)</f>
        <v>4</v>
      </c>
      <c r="F3413">
        <f t="shared" ref="F3413" si="245">YEAR(C3413)</f>
        <v>2025</v>
      </c>
      <c r="G3413" t="s">
        <v>299</v>
      </c>
      <c r="H3413" s="98">
        <v>12980</v>
      </c>
      <c r="I3413" s="29">
        <v>4525</v>
      </c>
      <c r="J3413" s="12" t="s">
        <v>31</v>
      </c>
      <c r="K3413" s="76">
        <f t="shared" ref="K3413" si="246">IF(J3413="USD",I3413,I3413*L3413)</f>
        <v>4525</v>
      </c>
      <c r="L3413">
        <v>1</v>
      </c>
      <c r="M3413" s="29">
        <v>0</v>
      </c>
      <c r="N3413" t="s">
        <v>42</v>
      </c>
      <c r="O3413" t="s">
        <v>33</v>
      </c>
      <c r="P3413" t="s">
        <v>34</v>
      </c>
      <c r="Q3413" t="s">
        <v>34</v>
      </c>
      <c r="R3413" t="s">
        <v>34</v>
      </c>
      <c r="S3413" t="s">
        <v>34</v>
      </c>
      <c r="T3413" s="117">
        <v>0</v>
      </c>
    </row>
    <row r="3414" spans="1:21" x14ac:dyDescent="0.35">
      <c r="A3414" t="s">
        <v>20</v>
      </c>
      <c r="B3414" t="s">
        <v>21</v>
      </c>
      <c r="C3414" s="1">
        <v>45756</v>
      </c>
      <c r="D3414">
        <f t="shared" si="240"/>
        <v>9</v>
      </c>
      <c r="E3414">
        <f t="shared" si="241"/>
        <v>4</v>
      </c>
      <c r="F3414">
        <f t="shared" si="242"/>
        <v>2025</v>
      </c>
      <c r="G3414" t="s">
        <v>299</v>
      </c>
      <c r="H3414" s="98">
        <v>12485</v>
      </c>
      <c r="I3414" s="29">
        <v>5929.95</v>
      </c>
      <c r="J3414" s="12" t="s">
        <v>31</v>
      </c>
      <c r="K3414" s="76">
        <f t="shared" si="239"/>
        <v>5929.95</v>
      </c>
      <c r="L3414">
        <v>1</v>
      </c>
      <c r="M3414" s="29">
        <v>0</v>
      </c>
      <c r="N3414" t="s">
        <v>42</v>
      </c>
      <c r="O3414" t="s">
        <v>33</v>
      </c>
      <c r="P3414" t="s">
        <v>34</v>
      </c>
      <c r="Q3414" t="s">
        <v>34</v>
      </c>
      <c r="R3414" t="s">
        <v>34</v>
      </c>
      <c r="S3414" t="s">
        <v>34</v>
      </c>
      <c r="T3414" s="117">
        <v>0</v>
      </c>
    </row>
    <row r="3415" spans="1:21" x14ac:dyDescent="0.35">
      <c r="A3415" t="s">
        <v>20</v>
      </c>
      <c r="B3415" t="s">
        <v>21</v>
      </c>
      <c r="C3415" s="1">
        <v>45756</v>
      </c>
      <c r="D3415">
        <f t="shared" si="240"/>
        <v>9</v>
      </c>
      <c r="E3415">
        <f t="shared" si="241"/>
        <v>4</v>
      </c>
      <c r="F3415">
        <f t="shared" si="242"/>
        <v>2025</v>
      </c>
      <c r="G3415" t="s">
        <v>46</v>
      </c>
      <c r="H3415" s="98">
        <v>12407</v>
      </c>
      <c r="I3415" s="29">
        <v>102.88</v>
      </c>
      <c r="J3415" s="12" t="s">
        <v>31</v>
      </c>
      <c r="K3415" s="76">
        <f t="shared" si="239"/>
        <v>102.88</v>
      </c>
      <c r="L3415">
        <v>1</v>
      </c>
      <c r="M3415" s="29">
        <v>0</v>
      </c>
      <c r="N3415" t="s">
        <v>42</v>
      </c>
      <c r="O3415" t="s">
        <v>33</v>
      </c>
      <c r="P3415" t="s">
        <v>34</v>
      </c>
      <c r="Q3415" t="s">
        <v>34</v>
      </c>
      <c r="R3415" t="s">
        <v>34</v>
      </c>
      <c r="S3415" t="s">
        <v>34</v>
      </c>
      <c r="T3415" s="117">
        <v>0</v>
      </c>
      <c r="U3415" s="209" t="s">
        <v>1175</v>
      </c>
    </row>
    <row r="3416" spans="1:21" x14ac:dyDescent="0.35">
      <c r="A3416" t="s">
        <v>20</v>
      </c>
      <c r="B3416" t="s">
        <v>21</v>
      </c>
      <c r="C3416" s="1">
        <v>45756</v>
      </c>
      <c r="D3416">
        <f t="shared" si="240"/>
        <v>9</v>
      </c>
      <c r="E3416">
        <f t="shared" si="241"/>
        <v>4</v>
      </c>
      <c r="F3416">
        <f t="shared" si="242"/>
        <v>2025</v>
      </c>
      <c r="G3416" t="s">
        <v>46</v>
      </c>
      <c r="H3416" s="98">
        <v>12408</v>
      </c>
      <c r="I3416" s="29">
        <v>11463.66</v>
      </c>
      <c r="J3416" s="12" t="s">
        <v>31</v>
      </c>
      <c r="K3416" s="76">
        <f t="shared" si="239"/>
        <v>11463.66</v>
      </c>
      <c r="L3416">
        <v>1</v>
      </c>
      <c r="M3416" s="29">
        <v>0</v>
      </c>
      <c r="N3416" t="s">
        <v>42</v>
      </c>
      <c r="O3416" t="s">
        <v>33</v>
      </c>
      <c r="P3416" t="s">
        <v>34</v>
      </c>
      <c r="Q3416" t="s">
        <v>34</v>
      </c>
      <c r="R3416" t="s">
        <v>34</v>
      </c>
      <c r="S3416" t="s">
        <v>34</v>
      </c>
      <c r="T3416" s="117">
        <v>0</v>
      </c>
      <c r="U3416" s="209" t="s">
        <v>1122</v>
      </c>
    </row>
    <row r="3417" spans="1:21" x14ac:dyDescent="0.35">
      <c r="A3417" t="s">
        <v>20</v>
      </c>
      <c r="B3417" t="s">
        <v>21</v>
      </c>
      <c r="C3417" s="1">
        <v>45756</v>
      </c>
      <c r="D3417">
        <f t="shared" si="240"/>
        <v>9</v>
      </c>
      <c r="E3417">
        <f t="shared" si="241"/>
        <v>4</v>
      </c>
      <c r="F3417">
        <f t="shared" si="242"/>
        <v>2025</v>
      </c>
      <c r="G3417" t="s">
        <v>46</v>
      </c>
      <c r="H3417" s="98">
        <v>12463</v>
      </c>
      <c r="I3417" s="29">
        <v>41.120000000000005</v>
      </c>
      <c r="J3417" s="12" t="s">
        <v>31</v>
      </c>
      <c r="K3417" s="76">
        <f t="shared" si="239"/>
        <v>41.120000000000005</v>
      </c>
      <c r="L3417">
        <v>1</v>
      </c>
      <c r="M3417" s="29">
        <v>0</v>
      </c>
      <c r="N3417" t="s">
        <v>42</v>
      </c>
      <c r="O3417" t="s">
        <v>33</v>
      </c>
      <c r="P3417" t="s">
        <v>34</v>
      </c>
      <c r="Q3417" t="s">
        <v>34</v>
      </c>
      <c r="R3417" t="s">
        <v>34</v>
      </c>
      <c r="S3417" t="s">
        <v>34</v>
      </c>
      <c r="T3417" s="117">
        <v>0</v>
      </c>
    </row>
    <row r="3418" spans="1:21" x14ac:dyDescent="0.35">
      <c r="A3418" t="s">
        <v>20</v>
      </c>
      <c r="B3418" t="s">
        <v>21</v>
      </c>
      <c r="C3418" s="1">
        <v>45756</v>
      </c>
      <c r="D3418">
        <f t="shared" si="240"/>
        <v>9</v>
      </c>
      <c r="E3418">
        <f t="shared" si="241"/>
        <v>4</v>
      </c>
      <c r="F3418">
        <f t="shared" si="242"/>
        <v>2025</v>
      </c>
      <c r="G3418" t="s">
        <v>46</v>
      </c>
      <c r="H3418" s="98">
        <v>12465</v>
      </c>
      <c r="I3418" s="29">
        <v>5450.97</v>
      </c>
      <c r="J3418" s="12" t="s">
        <v>31</v>
      </c>
      <c r="K3418" s="76">
        <f t="shared" si="239"/>
        <v>5450.97</v>
      </c>
      <c r="L3418">
        <v>1</v>
      </c>
      <c r="M3418" s="29">
        <v>0</v>
      </c>
      <c r="N3418" t="s">
        <v>42</v>
      </c>
      <c r="O3418" t="s">
        <v>33</v>
      </c>
      <c r="P3418" t="s">
        <v>34</v>
      </c>
      <c r="Q3418" t="s">
        <v>34</v>
      </c>
      <c r="R3418" t="s">
        <v>34</v>
      </c>
      <c r="S3418" t="s">
        <v>34</v>
      </c>
      <c r="T3418" s="117">
        <v>0</v>
      </c>
    </row>
    <row r="3419" spans="1:21" x14ac:dyDescent="0.35">
      <c r="A3419" t="s">
        <v>20</v>
      </c>
      <c r="B3419" t="s">
        <v>24</v>
      </c>
      <c r="C3419" s="1">
        <v>45756</v>
      </c>
      <c r="D3419">
        <f t="shared" si="240"/>
        <v>9</v>
      </c>
      <c r="E3419">
        <f t="shared" si="241"/>
        <v>4</v>
      </c>
      <c r="F3419">
        <f t="shared" si="242"/>
        <v>2025</v>
      </c>
      <c r="G3419" t="s">
        <v>81</v>
      </c>
      <c r="H3419" s="98">
        <v>12457</v>
      </c>
      <c r="I3419" s="29">
        <v>47.05</v>
      </c>
      <c r="J3419" s="12" t="s">
        <v>31</v>
      </c>
      <c r="K3419" s="76">
        <f t="shared" si="239"/>
        <v>47.05</v>
      </c>
      <c r="L3419">
        <v>1</v>
      </c>
      <c r="M3419" s="29">
        <v>0</v>
      </c>
      <c r="N3419" t="s">
        <v>42</v>
      </c>
      <c r="O3419" t="s">
        <v>33</v>
      </c>
      <c r="P3419" t="s">
        <v>34</v>
      </c>
      <c r="Q3419" t="s">
        <v>34</v>
      </c>
      <c r="R3419" t="s">
        <v>34</v>
      </c>
      <c r="S3419" t="s">
        <v>34</v>
      </c>
      <c r="T3419" s="117">
        <v>0</v>
      </c>
    </row>
    <row r="3420" spans="1:21" x14ac:dyDescent="0.35">
      <c r="A3420" t="s">
        <v>20</v>
      </c>
      <c r="B3420" t="s">
        <v>24</v>
      </c>
      <c r="C3420" s="1">
        <v>45756</v>
      </c>
      <c r="D3420">
        <f t="shared" si="240"/>
        <v>9</v>
      </c>
      <c r="E3420">
        <f t="shared" si="241"/>
        <v>4</v>
      </c>
      <c r="F3420">
        <f t="shared" si="242"/>
        <v>2025</v>
      </c>
      <c r="G3420" t="s">
        <v>81</v>
      </c>
      <c r="H3420" s="98">
        <v>12458</v>
      </c>
      <c r="I3420" s="29">
        <v>5544.8</v>
      </c>
      <c r="J3420" s="12" t="s">
        <v>31</v>
      </c>
      <c r="K3420" s="76">
        <f t="shared" si="239"/>
        <v>5544.8</v>
      </c>
      <c r="L3420">
        <v>1</v>
      </c>
      <c r="M3420" s="29">
        <v>0</v>
      </c>
      <c r="N3420" t="s">
        <v>42</v>
      </c>
      <c r="O3420" t="s">
        <v>33</v>
      </c>
      <c r="P3420" t="s">
        <v>34</v>
      </c>
      <c r="Q3420" t="s">
        <v>34</v>
      </c>
      <c r="R3420" t="s">
        <v>34</v>
      </c>
      <c r="S3420" t="s">
        <v>34</v>
      </c>
      <c r="T3420" s="117">
        <v>0</v>
      </c>
    </row>
    <row r="3421" spans="1:21" x14ac:dyDescent="0.35">
      <c r="A3421" t="s">
        <v>20</v>
      </c>
      <c r="B3421" t="s">
        <v>25</v>
      </c>
      <c r="C3421" s="1">
        <v>45756</v>
      </c>
      <c r="D3421">
        <f t="shared" si="240"/>
        <v>9</v>
      </c>
      <c r="E3421">
        <f t="shared" si="241"/>
        <v>4</v>
      </c>
      <c r="F3421">
        <f t="shared" si="242"/>
        <v>2025</v>
      </c>
      <c r="G3421" t="s">
        <v>90</v>
      </c>
      <c r="H3421" s="98">
        <v>12294</v>
      </c>
      <c r="I3421" s="29">
        <v>351.95</v>
      </c>
      <c r="J3421" s="12" t="s">
        <v>31</v>
      </c>
      <c r="K3421" s="76">
        <f t="shared" si="239"/>
        <v>351.95</v>
      </c>
      <c r="L3421">
        <v>1</v>
      </c>
      <c r="M3421" s="29">
        <v>0</v>
      </c>
      <c r="N3421" t="s">
        <v>32</v>
      </c>
      <c r="O3421" t="s">
        <v>33</v>
      </c>
      <c r="P3421" t="s">
        <v>34</v>
      </c>
      <c r="Q3421" t="s">
        <v>34</v>
      </c>
      <c r="R3421" t="s">
        <v>34</v>
      </c>
      <c r="S3421" t="s">
        <v>34</v>
      </c>
      <c r="T3421" s="117">
        <v>0</v>
      </c>
    </row>
    <row r="3422" spans="1:21" x14ac:dyDescent="0.35">
      <c r="A3422" t="s">
        <v>19</v>
      </c>
      <c r="B3422" t="s">
        <v>19</v>
      </c>
      <c r="C3422" s="1">
        <v>45756</v>
      </c>
      <c r="D3422">
        <f t="shared" si="240"/>
        <v>9</v>
      </c>
      <c r="E3422">
        <f t="shared" si="241"/>
        <v>4</v>
      </c>
      <c r="F3422">
        <f t="shared" si="242"/>
        <v>2025</v>
      </c>
      <c r="G3422" t="s">
        <v>59</v>
      </c>
      <c r="H3422" s="171" t="s">
        <v>960</v>
      </c>
      <c r="I3422" s="90">
        <v>206589.31</v>
      </c>
      <c r="J3422" s="12" t="s">
        <v>31</v>
      </c>
      <c r="K3422" s="76">
        <f t="shared" si="239"/>
        <v>206589.31</v>
      </c>
      <c r="L3422">
        <v>1</v>
      </c>
      <c r="M3422" s="29">
        <v>0</v>
      </c>
      <c r="N3422" t="s">
        <v>32</v>
      </c>
      <c r="O3422" t="s">
        <v>33</v>
      </c>
      <c r="P3422" t="s">
        <v>34</v>
      </c>
      <c r="Q3422" t="s">
        <v>34</v>
      </c>
      <c r="R3422" t="s">
        <v>34</v>
      </c>
      <c r="S3422" t="s">
        <v>34</v>
      </c>
      <c r="T3422" s="117">
        <v>0</v>
      </c>
    </row>
    <row r="3423" spans="1:21" x14ac:dyDescent="0.35">
      <c r="A3423" t="s">
        <v>19</v>
      </c>
      <c r="B3423" t="s">
        <v>19</v>
      </c>
      <c r="C3423" s="1">
        <v>45756</v>
      </c>
      <c r="D3423">
        <f t="shared" si="240"/>
        <v>9</v>
      </c>
      <c r="E3423">
        <f t="shared" si="241"/>
        <v>4</v>
      </c>
      <c r="F3423">
        <f t="shared" si="242"/>
        <v>2025</v>
      </c>
      <c r="G3423" t="s">
        <v>90</v>
      </c>
      <c r="H3423" s="98" t="s">
        <v>961</v>
      </c>
      <c r="I3423" s="29">
        <v>65616.100000000006</v>
      </c>
      <c r="J3423" s="12" t="s">
        <v>31</v>
      </c>
      <c r="K3423" s="76">
        <f t="shared" si="239"/>
        <v>65616.100000000006</v>
      </c>
      <c r="L3423">
        <v>1</v>
      </c>
      <c r="M3423" s="29">
        <v>0</v>
      </c>
      <c r="N3423" t="s">
        <v>32</v>
      </c>
      <c r="O3423" t="s">
        <v>33</v>
      </c>
      <c r="P3423" t="s">
        <v>34</v>
      </c>
      <c r="Q3423" t="s">
        <v>34</v>
      </c>
      <c r="R3423" t="s">
        <v>34</v>
      </c>
      <c r="S3423" t="s">
        <v>34</v>
      </c>
      <c r="T3423" s="117">
        <v>0</v>
      </c>
    </row>
    <row r="3424" spans="1:21" x14ac:dyDescent="0.35">
      <c r="A3424" t="s">
        <v>19</v>
      </c>
      <c r="B3424" t="s">
        <v>19</v>
      </c>
      <c r="C3424" s="1">
        <v>45756</v>
      </c>
      <c r="D3424">
        <f t="shared" si="240"/>
        <v>9</v>
      </c>
      <c r="E3424">
        <f t="shared" si="241"/>
        <v>4</v>
      </c>
      <c r="F3424">
        <f t="shared" si="242"/>
        <v>2025</v>
      </c>
      <c r="G3424" t="s">
        <v>125</v>
      </c>
      <c r="H3424" s="98" t="s">
        <v>962</v>
      </c>
      <c r="I3424" s="15">
        <v>216696.85</v>
      </c>
      <c r="J3424" s="12" t="s">
        <v>31</v>
      </c>
      <c r="K3424" s="76">
        <f t="shared" si="239"/>
        <v>216696.85</v>
      </c>
      <c r="L3424">
        <v>1</v>
      </c>
      <c r="M3424" s="29">
        <v>0</v>
      </c>
      <c r="N3424" t="s">
        <v>32</v>
      </c>
      <c r="O3424" t="s">
        <v>33</v>
      </c>
      <c r="P3424" t="s">
        <v>34</v>
      </c>
      <c r="Q3424" t="s">
        <v>34</v>
      </c>
      <c r="R3424" t="s">
        <v>34</v>
      </c>
      <c r="S3424" t="s">
        <v>34</v>
      </c>
      <c r="T3424" s="117">
        <v>0</v>
      </c>
    </row>
    <row r="3425" spans="1:21" x14ac:dyDescent="0.35">
      <c r="A3425" t="s">
        <v>19</v>
      </c>
      <c r="B3425" t="s">
        <v>19</v>
      </c>
      <c r="C3425" s="1">
        <v>45756</v>
      </c>
      <c r="D3425">
        <f t="shared" si="240"/>
        <v>9</v>
      </c>
      <c r="E3425">
        <f t="shared" si="241"/>
        <v>4</v>
      </c>
      <c r="F3425">
        <f t="shared" si="242"/>
        <v>2025</v>
      </c>
      <c r="G3425" t="s">
        <v>56</v>
      </c>
      <c r="H3425" s="98" t="s">
        <v>963</v>
      </c>
      <c r="I3425" s="15">
        <v>174.96</v>
      </c>
      <c r="J3425" s="12" t="s">
        <v>31</v>
      </c>
      <c r="K3425" s="76">
        <f t="shared" si="239"/>
        <v>174.96</v>
      </c>
      <c r="L3425">
        <v>1</v>
      </c>
      <c r="M3425" s="29">
        <v>0</v>
      </c>
      <c r="N3425" t="s">
        <v>32</v>
      </c>
      <c r="O3425" t="s">
        <v>33</v>
      </c>
      <c r="P3425" t="s">
        <v>34</v>
      </c>
      <c r="Q3425" t="s">
        <v>34</v>
      </c>
      <c r="R3425" t="s">
        <v>34</v>
      </c>
      <c r="S3425" t="s">
        <v>34</v>
      </c>
      <c r="T3425" s="117">
        <v>0</v>
      </c>
    </row>
    <row r="3426" spans="1:21" x14ac:dyDescent="0.35">
      <c r="A3426" t="s">
        <v>19</v>
      </c>
      <c r="B3426" t="s">
        <v>19</v>
      </c>
      <c r="C3426" s="1">
        <v>45756</v>
      </c>
      <c r="D3426">
        <f t="shared" si="240"/>
        <v>9</v>
      </c>
      <c r="E3426">
        <f t="shared" si="241"/>
        <v>4</v>
      </c>
      <c r="F3426">
        <f t="shared" si="242"/>
        <v>2025</v>
      </c>
      <c r="G3426" t="s">
        <v>56</v>
      </c>
      <c r="H3426" s="98" t="s">
        <v>964</v>
      </c>
      <c r="I3426" s="15">
        <v>168985.58</v>
      </c>
      <c r="J3426" s="12" t="s">
        <v>31</v>
      </c>
      <c r="K3426" s="76">
        <f t="shared" si="239"/>
        <v>168985.58</v>
      </c>
      <c r="L3426">
        <v>1</v>
      </c>
      <c r="M3426" s="29">
        <v>0</v>
      </c>
      <c r="N3426" t="s">
        <v>32</v>
      </c>
      <c r="O3426" t="s">
        <v>33</v>
      </c>
      <c r="P3426" t="s">
        <v>34</v>
      </c>
      <c r="Q3426" t="s">
        <v>34</v>
      </c>
      <c r="R3426" t="s">
        <v>34</v>
      </c>
      <c r="S3426" t="s">
        <v>34</v>
      </c>
      <c r="T3426" s="117">
        <v>0</v>
      </c>
    </row>
    <row r="3427" spans="1:21" x14ac:dyDescent="0.35">
      <c r="A3427" t="s">
        <v>19</v>
      </c>
      <c r="B3427" t="s">
        <v>19</v>
      </c>
      <c r="C3427" s="1">
        <v>45756</v>
      </c>
      <c r="D3427">
        <f t="shared" si="240"/>
        <v>9</v>
      </c>
      <c r="E3427">
        <f t="shared" si="241"/>
        <v>4</v>
      </c>
      <c r="F3427">
        <f t="shared" si="242"/>
        <v>2025</v>
      </c>
      <c r="G3427" t="s">
        <v>56</v>
      </c>
      <c r="H3427" s="98" t="s">
        <v>965</v>
      </c>
      <c r="I3427" s="15">
        <v>169084.79999999999</v>
      </c>
      <c r="J3427" s="12" t="s">
        <v>31</v>
      </c>
      <c r="K3427" s="76">
        <f t="shared" si="239"/>
        <v>169084.79999999999</v>
      </c>
      <c r="L3427">
        <v>1</v>
      </c>
      <c r="M3427" s="29">
        <v>0</v>
      </c>
      <c r="N3427" t="s">
        <v>32</v>
      </c>
      <c r="O3427" t="s">
        <v>33</v>
      </c>
      <c r="P3427" t="s">
        <v>34</v>
      </c>
      <c r="Q3427" t="s">
        <v>34</v>
      </c>
      <c r="R3427" t="s">
        <v>34</v>
      </c>
      <c r="S3427" t="s">
        <v>34</v>
      </c>
      <c r="T3427" s="117">
        <v>0</v>
      </c>
    </row>
    <row r="3428" spans="1:21" x14ac:dyDescent="0.35">
      <c r="A3428" t="s">
        <v>19</v>
      </c>
      <c r="B3428" t="s">
        <v>19</v>
      </c>
      <c r="C3428" s="1">
        <v>45756</v>
      </c>
      <c r="D3428">
        <f t="shared" si="240"/>
        <v>9</v>
      </c>
      <c r="E3428">
        <f t="shared" si="241"/>
        <v>4</v>
      </c>
      <c r="F3428">
        <f t="shared" si="242"/>
        <v>2025</v>
      </c>
      <c r="G3428" t="s">
        <v>56</v>
      </c>
      <c r="H3428" s="98" t="s">
        <v>966</v>
      </c>
      <c r="I3428" s="15">
        <v>191529.65</v>
      </c>
      <c r="J3428" s="12" t="s">
        <v>31</v>
      </c>
      <c r="K3428" s="76">
        <f t="shared" si="239"/>
        <v>191529.65</v>
      </c>
      <c r="L3428">
        <v>1</v>
      </c>
      <c r="M3428" s="29">
        <v>0</v>
      </c>
      <c r="N3428" t="s">
        <v>32</v>
      </c>
      <c r="O3428" t="s">
        <v>33</v>
      </c>
      <c r="P3428" t="s">
        <v>34</v>
      </c>
      <c r="Q3428" t="s">
        <v>34</v>
      </c>
      <c r="R3428" t="s">
        <v>34</v>
      </c>
      <c r="S3428" t="s">
        <v>34</v>
      </c>
      <c r="T3428" s="117">
        <v>0</v>
      </c>
    </row>
    <row r="3429" spans="1:21" x14ac:dyDescent="0.35">
      <c r="A3429" t="s">
        <v>19</v>
      </c>
      <c r="B3429" t="s">
        <v>19</v>
      </c>
      <c r="C3429" s="1">
        <v>45756</v>
      </c>
      <c r="D3429">
        <f t="shared" si="240"/>
        <v>9</v>
      </c>
      <c r="E3429">
        <f t="shared" si="241"/>
        <v>4</v>
      </c>
      <c r="F3429">
        <f t="shared" si="242"/>
        <v>2025</v>
      </c>
      <c r="G3429" t="s">
        <v>118</v>
      </c>
      <c r="H3429" s="98" t="s">
        <v>967</v>
      </c>
      <c r="I3429" s="15">
        <v>83116.679999999993</v>
      </c>
      <c r="J3429" s="12" t="s">
        <v>31</v>
      </c>
      <c r="K3429" s="76">
        <f t="shared" si="239"/>
        <v>83116.679999999993</v>
      </c>
      <c r="L3429">
        <v>1</v>
      </c>
      <c r="M3429" s="29">
        <v>0</v>
      </c>
      <c r="N3429" t="s">
        <v>32</v>
      </c>
      <c r="O3429" t="s">
        <v>33</v>
      </c>
      <c r="P3429" t="s">
        <v>34</v>
      </c>
      <c r="Q3429" t="s">
        <v>34</v>
      </c>
      <c r="R3429" t="s">
        <v>34</v>
      </c>
      <c r="S3429" t="s">
        <v>34</v>
      </c>
      <c r="T3429" s="117">
        <v>0</v>
      </c>
    </row>
    <row r="3430" spans="1:21" x14ac:dyDescent="0.35">
      <c r="A3430" t="s">
        <v>19</v>
      </c>
      <c r="B3430" t="s">
        <v>19</v>
      </c>
      <c r="C3430" s="1">
        <v>45756</v>
      </c>
      <c r="D3430">
        <f t="shared" si="240"/>
        <v>9</v>
      </c>
      <c r="E3430">
        <f t="shared" si="241"/>
        <v>4</v>
      </c>
      <c r="F3430">
        <f t="shared" si="242"/>
        <v>2025</v>
      </c>
      <c r="G3430" t="s">
        <v>55</v>
      </c>
      <c r="H3430" s="98" t="s">
        <v>968</v>
      </c>
      <c r="I3430" s="15">
        <v>7141.58</v>
      </c>
      <c r="J3430" s="12" t="s">
        <v>31</v>
      </c>
      <c r="K3430" s="76">
        <f t="shared" si="239"/>
        <v>7141.58</v>
      </c>
      <c r="L3430">
        <v>1</v>
      </c>
      <c r="M3430" s="29">
        <v>0</v>
      </c>
      <c r="N3430" t="s">
        <v>32</v>
      </c>
      <c r="O3430" t="s">
        <v>33</v>
      </c>
      <c r="P3430" t="s">
        <v>34</v>
      </c>
      <c r="Q3430" t="s">
        <v>34</v>
      </c>
      <c r="R3430" t="s">
        <v>34</v>
      </c>
      <c r="S3430" t="s">
        <v>34</v>
      </c>
      <c r="T3430" s="117">
        <v>0</v>
      </c>
    </row>
    <row r="3431" spans="1:21" x14ac:dyDescent="0.35">
      <c r="A3431" t="s">
        <v>19</v>
      </c>
      <c r="B3431" t="s">
        <v>19</v>
      </c>
      <c r="C3431" s="1">
        <v>45756</v>
      </c>
      <c r="D3431">
        <f t="shared" si="240"/>
        <v>9</v>
      </c>
      <c r="E3431">
        <f t="shared" si="241"/>
        <v>4</v>
      </c>
      <c r="F3431">
        <f t="shared" si="242"/>
        <v>2025</v>
      </c>
      <c r="G3431" t="s">
        <v>554</v>
      </c>
      <c r="H3431" s="98" t="s">
        <v>969</v>
      </c>
      <c r="I3431" s="15">
        <v>19066</v>
      </c>
      <c r="J3431" s="12" t="s">
        <v>31</v>
      </c>
      <c r="K3431" s="76">
        <f t="shared" si="239"/>
        <v>19066</v>
      </c>
      <c r="L3431">
        <v>1</v>
      </c>
      <c r="M3431" s="29">
        <v>0</v>
      </c>
      <c r="N3431" t="s">
        <v>42</v>
      </c>
      <c r="O3431" t="s">
        <v>33</v>
      </c>
      <c r="P3431" t="s">
        <v>34</v>
      </c>
      <c r="Q3431" t="s">
        <v>34</v>
      </c>
      <c r="R3431" t="s">
        <v>34</v>
      </c>
      <c r="S3431" t="s">
        <v>34</v>
      </c>
      <c r="T3431" s="117">
        <v>0</v>
      </c>
    </row>
    <row r="3432" spans="1:21" x14ac:dyDescent="0.35">
      <c r="A3432" t="s">
        <v>19</v>
      </c>
      <c r="B3432" t="s">
        <v>26</v>
      </c>
      <c r="C3432" s="1">
        <v>45757</v>
      </c>
      <c r="D3432">
        <f t="shared" si="240"/>
        <v>10</v>
      </c>
      <c r="E3432">
        <f t="shared" si="241"/>
        <v>4</v>
      </c>
      <c r="F3432">
        <f t="shared" si="242"/>
        <v>2025</v>
      </c>
      <c r="G3432" t="s">
        <v>73</v>
      </c>
      <c r="H3432" s="98">
        <v>12390</v>
      </c>
      <c r="I3432" s="29">
        <v>60811.9</v>
      </c>
      <c r="J3432" s="12" t="s">
        <v>51</v>
      </c>
      <c r="K3432" s="76">
        <f t="shared" si="239"/>
        <v>67866.080400000006</v>
      </c>
      <c r="L3432">
        <v>1.1160000000000001</v>
      </c>
      <c r="M3432" s="29">
        <v>0</v>
      </c>
      <c r="N3432" t="s">
        <v>32</v>
      </c>
      <c r="O3432" t="s">
        <v>33</v>
      </c>
      <c r="P3432" t="s">
        <v>34</v>
      </c>
      <c r="Q3432" t="s">
        <v>34</v>
      </c>
      <c r="R3432" t="s">
        <v>34</v>
      </c>
      <c r="S3432" t="s">
        <v>34</v>
      </c>
      <c r="T3432" s="117">
        <v>0</v>
      </c>
      <c r="U3432" s="209" t="s">
        <v>94</v>
      </c>
    </row>
    <row r="3433" spans="1:21" x14ac:dyDescent="0.35">
      <c r="A3433" t="s">
        <v>19</v>
      </c>
      <c r="B3433" t="s">
        <v>26</v>
      </c>
      <c r="C3433" s="1">
        <v>45757</v>
      </c>
      <c r="D3433">
        <f t="shared" si="240"/>
        <v>10</v>
      </c>
      <c r="E3433">
        <f t="shared" si="241"/>
        <v>4</v>
      </c>
      <c r="F3433">
        <f t="shared" si="242"/>
        <v>2025</v>
      </c>
      <c r="G3433" t="s">
        <v>73</v>
      </c>
      <c r="H3433" s="98">
        <v>12399</v>
      </c>
      <c r="I3433" s="29">
        <v>62828.639999999999</v>
      </c>
      <c r="J3433" s="12" t="s">
        <v>51</v>
      </c>
      <c r="K3433" s="76">
        <f t="shared" si="239"/>
        <v>70116.762240000011</v>
      </c>
      <c r="L3433">
        <v>1.1160000000000001</v>
      </c>
      <c r="M3433" s="29">
        <v>0</v>
      </c>
      <c r="N3433" t="s">
        <v>32</v>
      </c>
      <c r="O3433" t="s">
        <v>33</v>
      </c>
      <c r="P3433" t="s">
        <v>34</v>
      </c>
      <c r="Q3433" t="s">
        <v>34</v>
      </c>
      <c r="R3433" t="s">
        <v>34</v>
      </c>
      <c r="S3433" t="s">
        <v>34</v>
      </c>
      <c r="T3433" s="117">
        <v>0</v>
      </c>
      <c r="U3433" s="209" t="s">
        <v>94</v>
      </c>
    </row>
    <row r="3434" spans="1:21" x14ac:dyDescent="0.35">
      <c r="A3434" t="s">
        <v>19</v>
      </c>
      <c r="B3434" t="s">
        <v>26</v>
      </c>
      <c r="C3434" s="1">
        <v>45757</v>
      </c>
      <c r="D3434">
        <f t="shared" si="240"/>
        <v>10</v>
      </c>
      <c r="E3434">
        <f t="shared" si="241"/>
        <v>4</v>
      </c>
      <c r="F3434">
        <f t="shared" si="242"/>
        <v>2025</v>
      </c>
      <c r="G3434" t="s">
        <v>187</v>
      </c>
      <c r="H3434" s="98">
        <v>0</v>
      </c>
      <c r="I3434" s="29">
        <v>15902.85</v>
      </c>
      <c r="J3434" s="12" t="s">
        <v>51</v>
      </c>
      <c r="K3434" s="76">
        <f t="shared" si="239"/>
        <v>17747.580600000001</v>
      </c>
      <c r="L3434">
        <v>1.1160000000000001</v>
      </c>
      <c r="M3434" s="29">
        <v>0</v>
      </c>
      <c r="N3434" t="s">
        <v>32</v>
      </c>
      <c r="O3434" t="s">
        <v>33</v>
      </c>
      <c r="P3434" t="s">
        <v>34</v>
      </c>
      <c r="Q3434" t="s">
        <v>34</v>
      </c>
      <c r="R3434" t="s">
        <v>34</v>
      </c>
      <c r="S3434" t="s">
        <v>34</v>
      </c>
      <c r="T3434" s="117">
        <v>0</v>
      </c>
      <c r="U3434" s="209" t="s">
        <v>94</v>
      </c>
    </row>
    <row r="3435" spans="1:21" x14ac:dyDescent="0.35">
      <c r="A3435" t="s">
        <v>19</v>
      </c>
      <c r="B3435" t="s">
        <v>23</v>
      </c>
      <c r="C3435" s="1">
        <v>45763</v>
      </c>
      <c r="D3435">
        <f t="shared" si="240"/>
        <v>16</v>
      </c>
      <c r="E3435">
        <f t="shared" si="241"/>
        <v>4</v>
      </c>
      <c r="F3435">
        <f t="shared" si="242"/>
        <v>2025</v>
      </c>
      <c r="G3435" t="s">
        <v>77</v>
      </c>
      <c r="H3435" s="98">
        <v>12443</v>
      </c>
      <c r="I3435" s="29">
        <v>10258.799999999999</v>
      </c>
      <c r="J3435" s="12" t="s">
        <v>31</v>
      </c>
      <c r="K3435" s="76">
        <f t="shared" si="239"/>
        <v>10258.799999999999</v>
      </c>
      <c r="L3435">
        <v>1</v>
      </c>
      <c r="M3435" s="29">
        <v>0</v>
      </c>
      <c r="N3435" t="s">
        <v>42</v>
      </c>
      <c r="O3435" t="s">
        <v>33</v>
      </c>
      <c r="P3435" t="s">
        <v>34</v>
      </c>
      <c r="Q3435" t="s">
        <v>34</v>
      </c>
      <c r="R3435" t="s">
        <v>34</v>
      </c>
      <c r="S3435" t="s">
        <v>34</v>
      </c>
      <c r="T3435" s="117">
        <v>0</v>
      </c>
    </row>
    <row r="3436" spans="1:21" x14ac:dyDescent="0.35">
      <c r="A3436" t="s">
        <v>19</v>
      </c>
      <c r="B3436" t="s">
        <v>25</v>
      </c>
      <c r="C3436" s="1">
        <v>45763</v>
      </c>
      <c r="D3436">
        <f t="shared" si="240"/>
        <v>16</v>
      </c>
      <c r="E3436">
        <f t="shared" si="241"/>
        <v>4</v>
      </c>
      <c r="F3436">
        <f t="shared" si="242"/>
        <v>2025</v>
      </c>
      <c r="G3436" t="s">
        <v>1146</v>
      </c>
      <c r="H3436" s="98">
        <v>11680</v>
      </c>
      <c r="I3436" s="29">
        <v>100</v>
      </c>
      <c r="J3436" s="12" t="s">
        <v>51</v>
      </c>
      <c r="K3436" s="76">
        <f t="shared" si="239"/>
        <v>114.07067310000001</v>
      </c>
      <c r="L3436" s="2">
        <v>1.1407067310000001</v>
      </c>
      <c r="M3436" s="29">
        <v>0</v>
      </c>
      <c r="N3436" t="s">
        <v>42</v>
      </c>
      <c r="O3436" t="s">
        <v>33</v>
      </c>
      <c r="P3436" t="s">
        <v>34</v>
      </c>
      <c r="Q3436" t="s">
        <v>34</v>
      </c>
      <c r="R3436" t="s">
        <v>34</v>
      </c>
      <c r="S3436" t="s">
        <v>34</v>
      </c>
      <c r="T3436" s="117">
        <v>0</v>
      </c>
    </row>
    <row r="3437" spans="1:21" x14ac:dyDescent="0.35">
      <c r="A3437" t="s">
        <v>19</v>
      </c>
      <c r="B3437" t="s">
        <v>25</v>
      </c>
      <c r="C3437" s="1">
        <v>45763</v>
      </c>
      <c r="D3437">
        <f t="shared" si="240"/>
        <v>16</v>
      </c>
      <c r="E3437">
        <f t="shared" si="241"/>
        <v>4</v>
      </c>
      <c r="F3437">
        <f t="shared" si="242"/>
        <v>2025</v>
      </c>
      <c r="G3437" t="s">
        <v>1146</v>
      </c>
      <c r="H3437" s="98">
        <v>12486</v>
      </c>
      <c r="I3437" s="29">
        <v>7782.21</v>
      </c>
      <c r="J3437" s="12" t="s">
        <v>51</v>
      </c>
      <c r="K3437" s="76">
        <f t="shared" si="239"/>
        <v>8877.2193290555115</v>
      </c>
      <c r="L3437" s="2">
        <v>1.1407067310000001</v>
      </c>
      <c r="M3437" s="29">
        <v>0</v>
      </c>
      <c r="N3437" t="s">
        <v>42</v>
      </c>
      <c r="O3437" t="s">
        <v>33</v>
      </c>
      <c r="P3437" t="s">
        <v>34</v>
      </c>
      <c r="Q3437" t="s">
        <v>34</v>
      </c>
      <c r="R3437" t="s">
        <v>34</v>
      </c>
      <c r="S3437" t="s">
        <v>34</v>
      </c>
      <c r="T3437" s="117">
        <v>0</v>
      </c>
    </row>
    <row r="3438" spans="1:21" x14ac:dyDescent="0.35">
      <c r="A3438" t="s">
        <v>19</v>
      </c>
      <c r="B3438" t="s">
        <v>27</v>
      </c>
      <c r="C3438" s="1">
        <v>45763</v>
      </c>
      <c r="D3438">
        <f t="shared" si="240"/>
        <v>16</v>
      </c>
      <c r="E3438">
        <f t="shared" si="241"/>
        <v>4</v>
      </c>
      <c r="F3438">
        <f t="shared" si="242"/>
        <v>2025</v>
      </c>
      <c r="G3438" t="s">
        <v>100</v>
      </c>
      <c r="H3438" s="98">
        <v>12169</v>
      </c>
      <c r="I3438" s="29">
        <v>124540.35999999999</v>
      </c>
      <c r="J3438" s="12" t="s">
        <v>31</v>
      </c>
      <c r="K3438" s="76">
        <f t="shared" si="239"/>
        <v>124540.35999999999</v>
      </c>
      <c r="L3438">
        <v>1</v>
      </c>
      <c r="M3438" s="29">
        <v>0</v>
      </c>
      <c r="N3438" t="s">
        <v>32</v>
      </c>
      <c r="O3438" t="s">
        <v>33</v>
      </c>
      <c r="P3438" t="s">
        <v>34</v>
      </c>
      <c r="Q3438" t="s">
        <v>34</v>
      </c>
      <c r="R3438" t="s">
        <v>34</v>
      </c>
      <c r="S3438" t="s">
        <v>34</v>
      </c>
      <c r="T3438" s="117">
        <v>0</v>
      </c>
    </row>
    <row r="3439" spans="1:21" x14ac:dyDescent="0.35">
      <c r="A3439" t="s">
        <v>19</v>
      </c>
      <c r="B3439" t="s">
        <v>24</v>
      </c>
      <c r="C3439" s="1">
        <v>45763</v>
      </c>
      <c r="D3439">
        <f t="shared" si="240"/>
        <v>16</v>
      </c>
      <c r="E3439">
        <f t="shared" si="241"/>
        <v>4</v>
      </c>
      <c r="F3439">
        <f t="shared" si="242"/>
        <v>2025</v>
      </c>
      <c r="G3439" t="s">
        <v>36</v>
      </c>
      <c r="H3439" s="98">
        <v>12148</v>
      </c>
      <c r="I3439" s="29">
        <v>7189.95</v>
      </c>
      <c r="J3439" s="12" t="s">
        <v>31</v>
      </c>
      <c r="K3439" s="76">
        <f t="shared" si="239"/>
        <v>7189.95</v>
      </c>
      <c r="L3439">
        <v>1</v>
      </c>
      <c r="M3439" s="29">
        <v>0</v>
      </c>
      <c r="N3439" t="s">
        <v>32</v>
      </c>
      <c r="O3439" t="s">
        <v>33</v>
      </c>
      <c r="P3439" t="s">
        <v>34</v>
      </c>
      <c r="Q3439" t="s">
        <v>34</v>
      </c>
      <c r="R3439" t="s">
        <v>34</v>
      </c>
      <c r="S3439" t="s">
        <v>34</v>
      </c>
      <c r="T3439" s="117">
        <v>0</v>
      </c>
    </row>
    <row r="3440" spans="1:21" x14ac:dyDescent="0.35">
      <c r="A3440" t="s">
        <v>19</v>
      </c>
      <c r="B3440" t="s">
        <v>25</v>
      </c>
      <c r="C3440" s="1">
        <v>45763</v>
      </c>
      <c r="D3440">
        <f t="shared" si="240"/>
        <v>16</v>
      </c>
      <c r="E3440">
        <f t="shared" si="241"/>
        <v>4</v>
      </c>
      <c r="F3440">
        <f t="shared" si="242"/>
        <v>2025</v>
      </c>
      <c r="G3440" t="s">
        <v>36</v>
      </c>
      <c r="H3440" s="98">
        <v>12148</v>
      </c>
      <c r="I3440" s="29">
        <v>106411.33399999996</v>
      </c>
      <c r="J3440" s="12" t="s">
        <v>31</v>
      </c>
      <c r="K3440" s="76">
        <f t="shared" si="239"/>
        <v>106411.33399999996</v>
      </c>
      <c r="L3440">
        <v>1</v>
      </c>
      <c r="M3440" s="29">
        <v>0</v>
      </c>
      <c r="N3440" t="s">
        <v>32</v>
      </c>
      <c r="O3440" t="s">
        <v>33</v>
      </c>
      <c r="P3440" t="s">
        <v>34</v>
      </c>
      <c r="Q3440" t="s">
        <v>34</v>
      </c>
      <c r="R3440" t="s">
        <v>34</v>
      </c>
      <c r="S3440" t="s">
        <v>34</v>
      </c>
      <c r="T3440" s="117">
        <v>0</v>
      </c>
    </row>
    <row r="3441" spans="1:21" x14ac:dyDescent="0.35">
      <c r="A3441" t="s">
        <v>19</v>
      </c>
      <c r="B3441" t="s">
        <v>21</v>
      </c>
      <c r="C3441" s="1">
        <v>45763</v>
      </c>
      <c r="D3441">
        <f t="shared" si="240"/>
        <v>16</v>
      </c>
      <c r="E3441">
        <f t="shared" si="241"/>
        <v>4</v>
      </c>
      <c r="F3441">
        <f t="shared" si="242"/>
        <v>2025</v>
      </c>
      <c r="G3441" t="s">
        <v>36</v>
      </c>
      <c r="H3441" s="98">
        <v>12148</v>
      </c>
      <c r="I3441" s="29">
        <v>30197.805999999993</v>
      </c>
      <c r="J3441" s="12" t="s">
        <v>31</v>
      </c>
      <c r="K3441" s="76">
        <f t="shared" si="239"/>
        <v>30197.805999999993</v>
      </c>
      <c r="L3441">
        <v>1</v>
      </c>
      <c r="M3441" s="29">
        <v>0</v>
      </c>
      <c r="N3441" t="s">
        <v>32</v>
      </c>
      <c r="O3441" t="s">
        <v>33</v>
      </c>
      <c r="P3441" t="s">
        <v>34</v>
      </c>
      <c r="Q3441" t="s">
        <v>34</v>
      </c>
      <c r="R3441" t="s">
        <v>34</v>
      </c>
      <c r="S3441" t="s">
        <v>34</v>
      </c>
      <c r="T3441" s="117">
        <v>0</v>
      </c>
    </row>
    <row r="3442" spans="1:21" x14ac:dyDescent="0.35">
      <c r="A3442" t="s">
        <v>19</v>
      </c>
      <c r="B3442" t="s">
        <v>25</v>
      </c>
      <c r="C3442" s="1">
        <v>45763</v>
      </c>
      <c r="D3442">
        <f t="shared" si="240"/>
        <v>16</v>
      </c>
      <c r="E3442">
        <f t="shared" si="241"/>
        <v>4</v>
      </c>
      <c r="F3442">
        <f t="shared" si="242"/>
        <v>2025</v>
      </c>
      <c r="G3442" t="s">
        <v>36</v>
      </c>
      <c r="H3442" s="98">
        <v>12150</v>
      </c>
      <c r="I3442" s="29">
        <v>105420</v>
      </c>
      <c r="J3442" s="12" t="s">
        <v>31</v>
      </c>
      <c r="K3442" s="76">
        <f t="shared" si="239"/>
        <v>105420</v>
      </c>
      <c r="L3442">
        <v>1</v>
      </c>
      <c r="M3442" s="29">
        <v>0</v>
      </c>
      <c r="N3442" t="s">
        <v>42</v>
      </c>
      <c r="O3442" t="s">
        <v>33</v>
      </c>
      <c r="P3442" t="s">
        <v>34</v>
      </c>
      <c r="Q3442" t="s">
        <v>34</v>
      </c>
      <c r="R3442" t="s">
        <v>34</v>
      </c>
      <c r="S3442" t="s">
        <v>34</v>
      </c>
      <c r="T3442" s="117">
        <v>0</v>
      </c>
    </row>
    <row r="3443" spans="1:21" x14ac:dyDescent="0.35">
      <c r="A3443" t="s">
        <v>19</v>
      </c>
      <c r="B3443" t="s">
        <v>21</v>
      </c>
      <c r="C3443" s="1">
        <v>45763</v>
      </c>
      <c r="D3443">
        <f t="shared" si="240"/>
        <v>16</v>
      </c>
      <c r="E3443">
        <f t="shared" si="241"/>
        <v>4</v>
      </c>
      <c r="F3443">
        <f t="shared" si="242"/>
        <v>2025</v>
      </c>
      <c r="G3443" t="s">
        <v>36</v>
      </c>
      <c r="H3443" s="98">
        <v>12342</v>
      </c>
      <c r="I3443" s="29">
        <v>5287</v>
      </c>
      <c r="J3443" s="12" t="s">
        <v>31</v>
      </c>
      <c r="K3443" s="76">
        <f t="shared" si="239"/>
        <v>5287</v>
      </c>
      <c r="L3443">
        <v>1</v>
      </c>
      <c r="M3443" s="29">
        <v>0</v>
      </c>
      <c r="N3443" t="s">
        <v>42</v>
      </c>
      <c r="O3443" t="s">
        <v>33</v>
      </c>
      <c r="P3443" t="s">
        <v>34</v>
      </c>
      <c r="Q3443" t="s">
        <v>34</v>
      </c>
      <c r="R3443" t="s">
        <v>34</v>
      </c>
      <c r="S3443" t="s">
        <v>34</v>
      </c>
      <c r="T3443" s="117">
        <v>0</v>
      </c>
    </row>
    <row r="3444" spans="1:21" x14ac:dyDescent="0.35">
      <c r="A3444" t="s">
        <v>19</v>
      </c>
      <c r="B3444" t="s">
        <v>25</v>
      </c>
      <c r="C3444" s="1">
        <v>45763</v>
      </c>
      <c r="D3444">
        <f t="shared" si="240"/>
        <v>16</v>
      </c>
      <c r="E3444">
        <f t="shared" si="241"/>
        <v>4</v>
      </c>
      <c r="F3444">
        <f t="shared" si="242"/>
        <v>2025</v>
      </c>
      <c r="G3444" t="s">
        <v>936</v>
      </c>
      <c r="H3444" s="98">
        <v>11778</v>
      </c>
      <c r="I3444" s="29">
        <v>38570</v>
      </c>
      <c r="J3444" s="12" t="s">
        <v>31</v>
      </c>
      <c r="K3444" s="76">
        <f t="shared" si="239"/>
        <v>38570</v>
      </c>
      <c r="L3444">
        <v>1</v>
      </c>
      <c r="M3444" s="29">
        <v>0</v>
      </c>
      <c r="N3444" t="s">
        <v>32</v>
      </c>
      <c r="O3444" t="s">
        <v>33</v>
      </c>
      <c r="P3444" t="s">
        <v>34</v>
      </c>
      <c r="Q3444" t="s">
        <v>34</v>
      </c>
      <c r="R3444" t="s">
        <v>34</v>
      </c>
      <c r="S3444" t="s">
        <v>34</v>
      </c>
      <c r="T3444" s="117">
        <v>0</v>
      </c>
    </row>
    <row r="3445" spans="1:21" x14ac:dyDescent="0.35">
      <c r="A3445" t="s">
        <v>19</v>
      </c>
      <c r="B3445" t="s">
        <v>25</v>
      </c>
      <c r="C3445" s="1">
        <v>45763</v>
      </c>
      <c r="D3445">
        <f t="shared" si="240"/>
        <v>16</v>
      </c>
      <c r="E3445">
        <f t="shared" si="241"/>
        <v>4</v>
      </c>
      <c r="F3445">
        <f t="shared" si="242"/>
        <v>2025</v>
      </c>
      <c r="G3445" t="s">
        <v>93</v>
      </c>
      <c r="H3445" s="171">
        <v>12213</v>
      </c>
      <c r="I3445" s="90">
        <v>10434.6</v>
      </c>
      <c r="J3445" s="12" t="s">
        <v>31</v>
      </c>
      <c r="K3445" s="76">
        <f t="shared" si="239"/>
        <v>10434.6</v>
      </c>
      <c r="L3445">
        <v>1</v>
      </c>
      <c r="M3445" s="29">
        <v>0</v>
      </c>
      <c r="N3445" t="s">
        <v>32</v>
      </c>
      <c r="O3445" t="s">
        <v>33</v>
      </c>
      <c r="P3445" t="s">
        <v>34</v>
      </c>
      <c r="Q3445" t="s">
        <v>34</v>
      </c>
      <c r="R3445" t="s">
        <v>34</v>
      </c>
      <c r="S3445" t="s">
        <v>34</v>
      </c>
      <c r="T3445" s="117">
        <v>0</v>
      </c>
    </row>
    <row r="3446" spans="1:21" x14ac:dyDescent="0.35">
      <c r="A3446" t="s">
        <v>19</v>
      </c>
      <c r="B3446" t="s">
        <v>25</v>
      </c>
      <c r="C3446" s="1">
        <v>45763</v>
      </c>
      <c r="D3446">
        <f t="shared" si="240"/>
        <v>16</v>
      </c>
      <c r="E3446">
        <f t="shared" si="241"/>
        <v>4</v>
      </c>
      <c r="F3446">
        <f t="shared" si="242"/>
        <v>2025</v>
      </c>
      <c r="G3446" t="s">
        <v>285</v>
      </c>
      <c r="H3446" s="98">
        <v>12361</v>
      </c>
      <c r="I3446" s="29">
        <v>64.53</v>
      </c>
      <c r="J3446" s="12" t="s">
        <v>31</v>
      </c>
      <c r="K3446" s="76">
        <f t="shared" si="239"/>
        <v>64.53</v>
      </c>
      <c r="L3446">
        <v>1</v>
      </c>
      <c r="M3446" s="29">
        <v>0</v>
      </c>
      <c r="N3446" t="s">
        <v>42</v>
      </c>
      <c r="O3446" t="s">
        <v>33</v>
      </c>
      <c r="P3446" t="s">
        <v>34</v>
      </c>
      <c r="Q3446" t="s">
        <v>34</v>
      </c>
      <c r="R3446" t="s">
        <v>34</v>
      </c>
      <c r="S3446" t="s">
        <v>34</v>
      </c>
      <c r="T3446" s="117">
        <v>0</v>
      </c>
      <c r="U3446" s="209" t="s">
        <v>1127</v>
      </c>
    </row>
    <row r="3447" spans="1:21" x14ac:dyDescent="0.35">
      <c r="A3447" t="s">
        <v>19</v>
      </c>
      <c r="B3447" t="s">
        <v>25</v>
      </c>
      <c r="C3447" s="1">
        <v>45763</v>
      </c>
      <c r="D3447">
        <f t="shared" si="240"/>
        <v>16</v>
      </c>
      <c r="E3447">
        <f t="shared" si="241"/>
        <v>4</v>
      </c>
      <c r="F3447">
        <f t="shared" si="242"/>
        <v>2025</v>
      </c>
      <c r="G3447" t="s">
        <v>285</v>
      </c>
      <c r="H3447" s="98">
        <v>12520</v>
      </c>
      <c r="I3447" s="29">
        <v>3871.8</v>
      </c>
      <c r="J3447" s="12" t="s">
        <v>31</v>
      </c>
      <c r="K3447" s="76">
        <f t="shared" si="239"/>
        <v>3871.8</v>
      </c>
      <c r="L3447">
        <v>1</v>
      </c>
      <c r="M3447" s="29">
        <v>0</v>
      </c>
      <c r="N3447" t="s">
        <v>42</v>
      </c>
      <c r="O3447" t="s">
        <v>33</v>
      </c>
      <c r="P3447" t="s">
        <v>34</v>
      </c>
      <c r="Q3447" t="s">
        <v>34</v>
      </c>
      <c r="R3447" t="s">
        <v>34</v>
      </c>
      <c r="S3447" t="s">
        <v>34</v>
      </c>
      <c r="T3447" s="117">
        <v>0</v>
      </c>
    </row>
    <row r="3448" spans="1:21" x14ac:dyDescent="0.35">
      <c r="A3448" t="s">
        <v>20</v>
      </c>
      <c r="B3448" t="s">
        <v>25</v>
      </c>
      <c r="C3448" s="1">
        <v>45763</v>
      </c>
      <c r="D3448">
        <f t="shared" si="240"/>
        <v>16</v>
      </c>
      <c r="E3448">
        <f t="shared" si="241"/>
        <v>4</v>
      </c>
      <c r="F3448">
        <f t="shared" si="242"/>
        <v>2025</v>
      </c>
      <c r="G3448" t="s">
        <v>45</v>
      </c>
      <c r="H3448" s="98">
        <v>12138</v>
      </c>
      <c r="I3448" s="29">
        <v>58395.098299999998</v>
      </c>
      <c r="J3448" s="12" t="s">
        <v>31</v>
      </c>
      <c r="K3448" s="76">
        <f t="shared" si="239"/>
        <v>58395.098299999998</v>
      </c>
      <c r="L3448">
        <v>1</v>
      </c>
      <c r="M3448" s="29">
        <v>0</v>
      </c>
      <c r="N3448" t="s">
        <v>32</v>
      </c>
      <c r="O3448" t="s">
        <v>33</v>
      </c>
      <c r="P3448" t="s">
        <v>34</v>
      </c>
      <c r="Q3448" t="s">
        <v>34</v>
      </c>
      <c r="R3448" t="s">
        <v>34</v>
      </c>
      <c r="S3448" t="s">
        <v>34</v>
      </c>
      <c r="T3448" s="117">
        <v>0</v>
      </c>
    </row>
    <row r="3449" spans="1:21" x14ac:dyDescent="0.35">
      <c r="A3449" t="s">
        <v>20</v>
      </c>
      <c r="B3449" t="s">
        <v>21</v>
      </c>
      <c r="C3449" s="1">
        <v>45763</v>
      </c>
      <c r="D3449">
        <f t="shared" si="240"/>
        <v>16</v>
      </c>
      <c r="E3449">
        <f t="shared" si="241"/>
        <v>4</v>
      </c>
      <c r="F3449">
        <f t="shared" si="242"/>
        <v>2025</v>
      </c>
      <c r="G3449" t="s">
        <v>45</v>
      </c>
      <c r="H3449" s="98">
        <v>12138</v>
      </c>
      <c r="I3449" s="29">
        <v>29818.7736</v>
      </c>
      <c r="J3449" s="12" t="s">
        <v>31</v>
      </c>
      <c r="K3449" s="76">
        <f t="shared" si="239"/>
        <v>29818.7736</v>
      </c>
      <c r="L3449">
        <v>1</v>
      </c>
      <c r="M3449" s="29">
        <v>0</v>
      </c>
      <c r="N3449" t="s">
        <v>32</v>
      </c>
      <c r="O3449" t="s">
        <v>33</v>
      </c>
      <c r="P3449" t="s">
        <v>34</v>
      </c>
      <c r="Q3449" t="s">
        <v>34</v>
      </c>
      <c r="R3449" t="s">
        <v>34</v>
      </c>
      <c r="S3449" t="s">
        <v>34</v>
      </c>
      <c r="T3449" s="117">
        <v>0</v>
      </c>
    </row>
    <row r="3450" spans="1:21" x14ac:dyDescent="0.35">
      <c r="A3450" t="s">
        <v>20</v>
      </c>
      <c r="B3450" t="s">
        <v>24</v>
      </c>
      <c r="C3450" s="1">
        <v>45763</v>
      </c>
      <c r="D3450">
        <f t="shared" si="240"/>
        <v>16</v>
      </c>
      <c r="E3450">
        <f t="shared" si="241"/>
        <v>4</v>
      </c>
      <c r="F3450">
        <f t="shared" si="242"/>
        <v>2025</v>
      </c>
      <c r="G3450" t="s">
        <v>45</v>
      </c>
      <c r="H3450" s="98">
        <v>12138</v>
      </c>
      <c r="I3450" s="29">
        <v>36031.018099999994</v>
      </c>
      <c r="J3450" s="12" t="s">
        <v>31</v>
      </c>
      <c r="K3450" s="76">
        <f t="shared" si="239"/>
        <v>36031.018099999994</v>
      </c>
      <c r="L3450">
        <v>1</v>
      </c>
      <c r="M3450" s="29">
        <v>0</v>
      </c>
      <c r="N3450" t="s">
        <v>32</v>
      </c>
      <c r="O3450" t="s">
        <v>33</v>
      </c>
      <c r="P3450" t="s">
        <v>34</v>
      </c>
      <c r="Q3450" t="s">
        <v>34</v>
      </c>
      <c r="R3450" t="s">
        <v>34</v>
      </c>
      <c r="S3450" t="s">
        <v>34</v>
      </c>
      <c r="T3450" s="117">
        <v>0</v>
      </c>
    </row>
    <row r="3451" spans="1:21" x14ac:dyDescent="0.35">
      <c r="A3451" t="s">
        <v>20</v>
      </c>
      <c r="B3451" t="s">
        <v>24</v>
      </c>
      <c r="C3451" s="1">
        <v>45763</v>
      </c>
      <c r="D3451">
        <f t="shared" si="240"/>
        <v>16</v>
      </c>
      <c r="E3451">
        <f t="shared" si="241"/>
        <v>4</v>
      </c>
      <c r="F3451">
        <f t="shared" si="242"/>
        <v>2025</v>
      </c>
      <c r="G3451" t="s">
        <v>50</v>
      </c>
      <c r="H3451" s="98">
        <v>12510</v>
      </c>
      <c r="I3451" s="29">
        <v>330</v>
      </c>
      <c r="J3451" s="12" t="s">
        <v>31</v>
      </c>
      <c r="K3451" s="76">
        <f t="shared" si="239"/>
        <v>330</v>
      </c>
      <c r="L3451">
        <v>1</v>
      </c>
      <c r="M3451" s="29">
        <v>0</v>
      </c>
      <c r="N3451" t="s">
        <v>42</v>
      </c>
      <c r="O3451" t="s">
        <v>33</v>
      </c>
      <c r="P3451" t="s">
        <v>34</v>
      </c>
      <c r="Q3451" t="s">
        <v>34</v>
      </c>
      <c r="R3451" t="s">
        <v>34</v>
      </c>
      <c r="S3451" t="s">
        <v>34</v>
      </c>
      <c r="T3451" s="117">
        <v>0</v>
      </c>
    </row>
    <row r="3452" spans="1:21" x14ac:dyDescent="0.35">
      <c r="A3452" t="s">
        <v>20</v>
      </c>
      <c r="B3452" t="s">
        <v>24</v>
      </c>
      <c r="C3452" s="1">
        <v>45763</v>
      </c>
      <c r="D3452">
        <f t="shared" si="240"/>
        <v>16</v>
      </c>
      <c r="E3452">
        <f t="shared" si="241"/>
        <v>4</v>
      </c>
      <c r="F3452">
        <f t="shared" si="242"/>
        <v>2025</v>
      </c>
      <c r="G3452" t="s">
        <v>50</v>
      </c>
      <c r="H3452" s="98">
        <v>12511</v>
      </c>
      <c r="I3452" s="29">
        <v>3069</v>
      </c>
      <c r="J3452" s="12" t="s">
        <v>31</v>
      </c>
      <c r="K3452" s="76">
        <f t="shared" si="239"/>
        <v>3069</v>
      </c>
      <c r="L3452">
        <v>1</v>
      </c>
      <c r="M3452" s="29">
        <v>0</v>
      </c>
      <c r="N3452" t="s">
        <v>42</v>
      </c>
      <c r="O3452" t="s">
        <v>33</v>
      </c>
      <c r="P3452" t="s">
        <v>34</v>
      </c>
      <c r="Q3452" t="s">
        <v>34</v>
      </c>
      <c r="R3452" t="s">
        <v>34</v>
      </c>
      <c r="S3452" t="s">
        <v>34</v>
      </c>
      <c r="T3452" s="117">
        <v>0</v>
      </c>
    </row>
    <row r="3453" spans="1:21" x14ac:dyDescent="0.35">
      <c r="A3453" t="s">
        <v>20</v>
      </c>
      <c r="B3453" t="s">
        <v>24</v>
      </c>
      <c r="C3453" s="1">
        <v>45763</v>
      </c>
      <c r="D3453">
        <f t="shared" si="240"/>
        <v>16</v>
      </c>
      <c r="E3453">
        <f t="shared" si="241"/>
        <v>4</v>
      </c>
      <c r="F3453">
        <f t="shared" si="242"/>
        <v>2025</v>
      </c>
      <c r="G3453" t="s">
        <v>50</v>
      </c>
      <c r="H3453" s="98">
        <v>12513</v>
      </c>
      <c r="I3453" s="29">
        <v>2574</v>
      </c>
      <c r="J3453" s="12" t="s">
        <v>31</v>
      </c>
      <c r="K3453" s="76">
        <f t="shared" si="239"/>
        <v>2574</v>
      </c>
      <c r="L3453">
        <v>1</v>
      </c>
      <c r="M3453" s="29">
        <v>0</v>
      </c>
      <c r="N3453" t="s">
        <v>42</v>
      </c>
      <c r="O3453" t="s">
        <v>33</v>
      </c>
      <c r="P3453" t="s">
        <v>34</v>
      </c>
      <c r="Q3453" t="s">
        <v>34</v>
      </c>
      <c r="R3453" t="s">
        <v>34</v>
      </c>
      <c r="S3453" t="s">
        <v>34</v>
      </c>
      <c r="T3453" s="117">
        <v>0</v>
      </c>
    </row>
    <row r="3454" spans="1:21" x14ac:dyDescent="0.35">
      <c r="A3454" t="s">
        <v>20</v>
      </c>
      <c r="B3454" t="s">
        <v>24</v>
      </c>
      <c r="C3454" s="1">
        <v>45763</v>
      </c>
      <c r="D3454">
        <f t="shared" si="240"/>
        <v>16</v>
      </c>
      <c r="E3454">
        <f t="shared" si="241"/>
        <v>4</v>
      </c>
      <c r="F3454">
        <f t="shared" si="242"/>
        <v>2025</v>
      </c>
      <c r="G3454" t="s">
        <v>50</v>
      </c>
      <c r="H3454" s="98">
        <v>12510</v>
      </c>
      <c r="I3454" s="29">
        <v>594</v>
      </c>
      <c r="J3454" s="12" t="s">
        <v>31</v>
      </c>
      <c r="K3454" s="76">
        <f t="shared" si="239"/>
        <v>594</v>
      </c>
      <c r="L3454">
        <v>1</v>
      </c>
      <c r="M3454" s="29">
        <v>0</v>
      </c>
      <c r="N3454" t="s">
        <v>42</v>
      </c>
      <c r="O3454" t="s">
        <v>33</v>
      </c>
      <c r="P3454" t="s">
        <v>34</v>
      </c>
      <c r="Q3454" t="s">
        <v>34</v>
      </c>
      <c r="R3454" t="s">
        <v>34</v>
      </c>
      <c r="S3454" t="s">
        <v>34</v>
      </c>
      <c r="T3454" s="117">
        <v>0</v>
      </c>
    </row>
    <row r="3455" spans="1:21" x14ac:dyDescent="0.35">
      <c r="A3455" t="s">
        <v>20</v>
      </c>
      <c r="B3455" t="s">
        <v>24</v>
      </c>
      <c r="C3455" s="1">
        <v>45763</v>
      </c>
      <c r="D3455">
        <f t="shared" si="240"/>
        <v>16</v>
      </c>
      <c r="E3455">
        <f t="shared" si="241"/>
        <v>4</v>
      </c>
      <c r="F3455">
        <f t="shared" si="242"/>
        <v>2025</v>
      </c>
      <c r="G3455" t="s">
        <v>202</v>
      </c>
      <c r="H3455" s="98">
        <v>11951</v>
      </c>
      <c r="I3455" s="29">
        <v>38713.040000000001</v>
      </c>
      <c r="J3455" s="12" t="s">
        <v>31</v>
      </c>
      <c r="K3455" s="76">
        <f t="shared" si="239"/>
        <v>38713.040000000001</v>
      </c>
      <c r="L3455">
        <v>1</v>
      </c>
      <c r="M3455" s="29">
        <v>0</v>
      </c>
      <c r="N3455" t="s">
        <v>32</v>
      </c>
      <c r="O3455" t="s">
        <v>33</v>
      </c>
      <c r="P3455" t="s">
        <v>34</v>
      </c>
      <c r="Q3455" t="s">
        <v>34</v>
      </c>
      <c r="R3455" t="s">
        <v>34</v>
      </c>
      <c r="S3455" t="s">
        <v>34</v>
      </c>
      <c r="T3455" s="117">
        <v>0</v>
      </c>
    </row>
    <row r="3456" spans="1:21" x14ac:dyDescent="0.35">
      <c r="A3456" t="s">
        <v>20</v>
      </c>
      <c r="B3456" t="s">
        <v>25</v>
      </c>
      <c r="C3456" s="1">
        <v>45763</v>
      </c>
      <c r="D3456">
        <f t="shared" si="240"/>
        <v>16</v>
      </c>
      <c r="E3456">
        <f t="shared" si="241"/>
        <v>4</v>
      </c>
      <c r="F3456">
        <f t="shared" si="242"/>
        <v>2025</v>
      </c>
      <c r="G3456" t="s">
        <v>81</v>
      </c>
      <c r="H3456" s="98">
        <v>11888</v>
      </c>
      <c r="I3456" s="29">
        <v>61674.3</v>
      </c>
      <c r="J3456" s="12" t="s">
        <v>31</v>
      </c>
      <c r="K3456" s="76">
        <f t="shared" si="239"/>
        <v>61674.3</v>
      </c>
      <c r="L3456">
        <v>1</v>
      </c>
      <c r="M3456" s="29">
        <v>0</v>
      </c>
      <c r="N3456" t="s">
        <v>32</v>
      </c>
      <c r="O3456" t="s">
        <v>33</v>
      </c>
      <c r="P3456" t="s">
        <v>34</v>
      </c>
      <c r="Q3456" t="s">
        <v>34</v>
      </c>
      <c r="R3456" t="s">
        <v>34</v>
      </c>
      <c r="S3456" t="s">
        <v>34</v>
      </c>
      <c r="T3456" s="117">
        <v>0</v>
      </c>
    </row>
    <row r="3457" spans="1:21" x14ac:dyDescent="0.35">
      <c r="A3457" t="s">
        <v>20</v>
      </c>
      <c r="B3457" t="s">
        <v>25</v>
      </c>
      <c r="C3457" s="1">
        <v>45763</v>
      </c>
      <c r="D3457">
        <f t="shared" si="240"/>
        <v>16</v>
      </c>
      <c r="E3457">
        <f t="shared" si="241"/>
        <v>4</v>
      </c>
      <c r="F3457">
        <f t="shared" si="242"/>
        <v>2025</v>
      </c>
      <c r="G3457" t="s">
        <v>81</v>
      </c>
      <c r="H3457" s="98">
        <v>12016</v>
      </c>
      <c r="I3457" s="29">
        <v>16860.599999999999</v>
      </c>
      <c r="J3457" s="12" t="s">
        <v>31</v>
      </c>
      <c r="K3457" s="76">
        <f t="shared" si="239"/>
        <v>16860.599999999999</v>
      </c>
      <c r="L3457">
        <v>1</v>
      </c>
      <c r="M3457" s="29">
        <v>0</v>
      </c>
      <c r="N3457" t="s">
        <v>32</v>
      </c>
      <c r="O3457" t="s">
        <v>33</v>
      </c>
      <c r="P3457" t="s">
        <v>34</v>
      </c>
      <c r="Q3457" t="s">
        <v>34</v>
      </c>
      <c r="R3457" t="s">
        <v>34</v>
      </c>
      <c r="S3457" t="s">
        <v>34</v>
      </c>
      <c r="T3457" s="117">
        <v>0</v>
      </c>
    </row>
    <row r="3458" spans="1:21" x14ac:dyDescent="0.35">
      <c r="A3458" t="s">
        <v>20</v>
      </c>
      <c r="B3458" t="s">
        <v>23</v>
      </c>
      <c r="C3458" s="1">
        <v>45763</v>
      </c>
      <c r="D3458">
        <f t="shared" si="240"/>
        <v>16</v>
      </c>
      <c r="E3458">
        <f t="shared" si="241"/>
        <v>4</v>
      </c>
      <c r="F3458">
        <f t="shared" si="242"/>
        <v>2025</v>
      </c>
      <c r="G3458" t="s">
        <v>177</v>
      </c>
      <c r="H3458" s="98">
        <v>12322</v>
      </c>
      <c r="I3458" s="29">
        <v>253.15</v>
      </c>
      <c r="J3458" s="12" t="s">
        <v>31</v>
      </c>
      <c r="K3458" s="76">
        <f t="shared" si="239"/>
        <v>253.15</v>
      </c>
      <c r="L3458">
        <v>1</v>
      </c>
      <c r="M3458" s="29">
        <v>0</v>
      </c>
      <c r="N3458" t="s">
        <v>32</v>
      </c>
      <c r="O3458" t="s">
        <v>33</v>
      </c>
      <c r="P3458" t="s">
        <v>34</v>
      </c>
      <c r="Q3458" t="s">
        <v>34</v>
      </c>
      <c r="R3458" t="s">
        <v>34</v>
      </c>
      <c r="S3458" t="s">
        <v>34</v>
      </c>
      <c r="T3458" s="117">
        <v>0</v>
      </c>
    </row>
    <row r="3459" spans="1:21" x14ac:dyDescent="0.35">
      <c r="A3459" t="s">
        <v>20</v>
      </c>
      <c r="B3459" t="s">
        <v>23</v>
      </c>
      <c r="C3459" s="1">
        <v>45763</v>
      </c>
      <c r="D3459">
        <f t="shared" si="240"/>
        <v>16</v>
      </c>
      <c r="E3459">
        <f t="shared" si="241"/>
        <v>4</v>
      </c>
      <c r="F3459">
        <f t="shared" si="242"/>
        <v>2025</v>
      </c>
      <c r="G3459" t="s">
        <v>177</v>
      </c>
      <c r="H3459" s="98">
        <v>12323</v>
      </c>
      <c r="I3459" s="29">
        <v>44168.37</v>
      </c>
      <c r="J3459" s="12" t="s">
        <v>31</v>
      </c>
      <c r="K3459" s="76">
        <f t="shared" ref="K3459:K3522" si="247">IF(J3459="USD",I3459,I3459*L3459)</f>
        <v>44168.37</v>
      </c>
      <c r="L3459">
        <v>1</v>
      </c>
      <c r="M3459" s="29">
        <v>0</v>
      </c>
      <c r="N3459" t="s">
        <v>32</v>
      </c>
      <c r="O3459" t="s">
        <v>33</v>
      </c>
      <c r="P3459" t="s">
        <v>34</v>
      </c>
      <c r="Q3459" t="s">
        <v>34</v>
      </c>
      <c r="R3459" t="s">
        <v>34</v>
      </c>
      <c r="S3459" t="s">
        <v>34</v>
      </c>
      <c r="T3459" s="117">
        <v>779.76</v>
      </c>
    </row>
    <row r="3460" spans="1:21" x14ac:dyDescent="0.35">
      <c r="A3460" t="s">
        <v>20</v>
      </c>
      <c r="B3460" t="s">
        <v>23</v>
      </c>
      <c r="C3460" s="1">
        <v>45763</v>
      </c>
      <c r="D3460">
        <f t="shared" ref="D3460:D3523" si="248">DAY(C3460)</f>
        <v>16</v>
      </c>
      <c r="E3460">
        <f t="shared" ref="E3460:E3523" si="249">MONTH(C3460)</f>
        <v>4</v>
      </c>
      <c r="F3460">
        <f t="shared" ref="F3460:F3523" si="250">YEAR(C3460)</f>
        <v>2025</v>
      </c>
      <c r="G3460" t="s">
        <v>108</v>
      </c>
      <c r="H3460" s="98">
        <v>12521</v>
      </c>
      <c r="I3460" s="29">
        <v>15.5</v>
      </c>
      <c r="J3460" s="12" t="s">
        <v>31</v>
      </c>
      <c r="K3460" s="76">
        <f t="shared" si="247"/>
        <v>15.5</v>
      </c>
      <c r="L3460">
        <v>1</v>
      </c>
      <c r="M3460" s="29">
        <v>0</v>
      </c>
      <c r="N3460" t="s">
        <v>42</v>
      </c>
      <c r="O3460" t="s">
        <v>33</v>
      </c>
      <c r="P3460" t="s">
        <v>34</v>
      </c>
      <c r="Q3460" t="s">
        <v>34</v>
      </c>
      <c r="R3460" t="s">
        <v>34</v>
      </c>
      <c r="S3460" t="s">
        <v>34</v>
      </c>
      <c r="T3460" s="117">
        <v>0</v>
      </c>
    </row>
    <row r="3461" spans="1:21" x14ac:dyDescent="0.35">
      <c r="A3461" t="s">
        <v>20</v>
      </c>
      <c r="B3461" t="s">
        <v>23</v>
      </c>
      <c r="C3461" s="1">
        <v>45763</v>
      </c>
      <c r="D3461">
        <f t="shared" si="248"/>
        <v>16</v>
      </c>
      <c r="E3461">
        <f t="shared" si="249"/>
        <v>4</v>
      </c>
      <c r="F3461">
        <f t="shared" si="250"/>
        <v>2025</v>
      </c>
      <c r="G3461" t="s">
        <v>108</v>
      </c>
      <c r="H3461" s="98">
        <v>12522</v>
      </c>
      <c r="I3461" s="29">
        <v>682</v>
      </c>
      <c r="J3461" s="12" t="s">
        <v>31</v>
      </c>
      <c r="K3461" s="76">
        <f t="shared" si="247"/>
        <v>682</v>
      </c>
      <c r="L3461">
        <v>1</v>
      </c>
      <c r="M3461" s="29">
        <v>0</v>
      </c>
      <c r="N3461" t="s">
        <v>42</v>
      </c>
      <c r="O3461" t="s">
        <v>33</v>
      </c>
      <c r="P3461" t="s">
        <v>34</v>
      </c>
      <c r="Q3461" t="s">
        <v>34</v>
      </c>
      <c r="R3461" t="s">
        <v>34</v>
      </c>
      <c r="S3461" t="s">
        <v>34</v>
      </c>
      <c r="T3461" s="117">
        <v>0</v>
      </c>
    </row>
    <row r="3462" spans="1:21" x14ac:dyDescent="0.35">
      <c r="A3462" t="s">
        <v>19</v>
      </c>
      <c r="B3462" t="s">
        <v>26</v>
      </c>
      <c r="C3462" s="1">
        <v>45763</v>
      </c>
      <c r="D3462">
        <f t="shared" si="248"/>
        <v>16</v>
      </c>
      <c r="E3462">
        <f t="shared" si="249"/>
        <v>4</v>
      </c>
      <c r="F3462">
        <f t="shared" si="250"/>
        <v>2025</v>
      </c>
      <c r="G3462" t="s">
        <v>73</v>
      </c>
      <c r="H3462" s="98">
        <v>12399</v>
      </c>
      <c r="I3462" s="29">
        <v>16056.05</v>
      </c>
      <c r="J3462" s="12" t="s">
        <v>51</v>
      </c>
      <c r="K3462" s="76">
        <f t="shared" si="247"/>
        <v>18273.390504999996</v>
      </c>
      <c r="L3462">
        <v>1.1380999999999999</v>
      </c>
      <c r="M3462" s="29">
        <v>0</v>
      </c>
      <c r="N3462" t="s">
        <v>32</v>
      </c>
      <c r="O3462" t="s">
        <v>33</v>
      </c>
      <c r="P3462" t="s">
        <v>34</v>
      </c>
      <c r="Q3462" t="s">
        <v>34</v>
      </c>
      <c r="R3462" t="s">
        <v>34</v>
      </c>
      <c r="S3462" t="s">
        <v>34</v>
      </c>
      <c r="T3462" s="117">
        <v>0</v>
      </c>
      <c r="U3462" s="209" t="s">
        <v>94</v>
      </c>
    </row>
    <row r="3463" spans="1:21" x14ac:dyDescent="0.35">
      <c r="A3463" t="s">
        <v>19</v>
      </c>
      <c r="B3463" t="s">
        <v>26</v>
      </c>
      <c r="C3463" s="1">
        <v>45763</v>
      </c>
      <c r="D3463">
        <f t="shared" si="248"/>
        <v>16</v>
      </c>
      <c r="E3463">
        <f t="shared" si="249"/>
        <v>4</v>
      </c>
      <c r="F3463">
        <f t="shared" si="250"/>
        <v>2025</v>
      </c>
      <c r="G3463" t="s">
        <v>73</v>
      </c>
      <c r="H3463" s="98">
        <v>12401</v>
      </c>
      <c r="I3463" s="29">
        <v>40436.120000000003</v>
      </c>
      <c r="J3463" s="12" t="s">
        <v>51</v>
      </c>
      <c r="K3463" s="76">
        <f t="shared" si="247"/>
        <v>46020.348171999998</v>
      </c>
      <c r="L3463">
        <v>1.1380999999999999</v>
      </c>
      <c r="M3463" s="29">
        <v>0</v>
      </c>
      <c r="N3463" t="s">
        <v>32</v>
      </c>
      <c r="O3463" t="s">
        <v>33</v>
      </c>
      <c r="P3463" t="s">
        <v>34</v>
      </c>
      <c r="Q3463" t="s">
        <v>34</v>
      </c>
      <c r="R3463" t="s">
        <v>34</v>
      </c>
      <c r="S3463" t="s">
        <v>34</v>
      </c>
      <c r="T3463" s="117">
        <v>0</v>
      </c>
      <c r="U3463" s="209" t="s">
        <v>94</v>
      </c>
    </row>
    <row r="3464" spans="1:21" x14ac:dyDescent="0.35">
      <c r="A3464" t="s">
        <v>19</v>
      </c>
      <c r="B3464" t="s">
        <v>26</v>
      </c>
      <c r="C3464" s="1">
        <v>45763</v>
      </c>
      <c r="D3464">
        <f t="shared" si="248"/>
        <v>16</v>
      </c>
      <c r="E3464">
        <f t="shared" si="249"/>
        <v>4</v>
      </c>
      <c r="F3464">
        <f t="shared" si="250"/>
        <v>2025</v>
      </c>
      <c r="G3464" t="s">
        <v>73</v>
      </c>
      <c r="H3464" s="98">
        <v>12296</v>
      </c>
      <c r="I3464" s="29">
        <v>39711.75</v>
      </c>
      <c r="J3464" s="12" t="s">
        <v>51</v>
      </c>
      <c r="K3464" s="76">
        <f t="shared" si="247"/>
        <v>45195.942674999998</v>
      </c>
      <c r="L3464">
        <v>1.1380999999999999</v>
      </c>
      <c r="M3464" s="29">
        <v>0</v>
      </c>
      <c r="N3464" t="s">
        <v>32</v>
      </c>
      <c r="O3464" t="s">
        <v>33</v>
      </c>
      <c r="P3464" t="s">
        <v>34</v>
      </c>
      <c r="Q3464" t="s">
        <v>34</v>
      </c>
      <c r="R3464" t="s">
        <v>34</v>
      </c>
      <c r="S3464" t="s">
        <v>34</v>
      </c>
      <c r="T3464" s="117">
        <v>0</v>
      </c>
      <c r="U3464" s="209" t="s">
        <v>94</v>
      </c>
    </row>
    <row r="3465" spans="1:21" x14ac:dyDescent="0.35">
      <c r="A3465" t="s">
        <v>19</v>
      </c>
      <c r="B3465" t="s">
        <v>26</v>
      </c>
      <c r="C3465" s="1">
        <v>45763</v>
      </c>
      <c r="D3465">
        <f t="shared" si="248"/>
        <v>16</v>
      </c>
      <c r="E3465">
        <f t="shared" si="249"/>
        <v>4</v>
      </c>
      <c r="F3465">
        <f t="shared" si="250"/>
        <v>2025</v>
      </c>
      <c r="G3465" t="s">
        <v>73</v>
      </c>
      <c r="H3465" s="98">
        <v>12417</v>
      </c>
      <c r="I3465" s="29">
        <v>80399.360000000001</v>
      </c>
      <c r="J3465" s="12" t="s">
        <v>51</v>
      </c>
      <c r="K3465" s="76">
        <f t="shared" si="247"/>
        <v>91502.511615999989</v>
      </c>
      <c r="L3465">
        <v>1.1380999999999999</v>
      </c>
      <c r="M3465" s="29">
        <v>0</v>
      </c>
      <c r="N3465" t="s">
        <v>32</v>
      </c>
      <c r="O3465" t="s">
        <v>33</v>
      </c>
      <c r="P3465" t="s">
        <v>34</v>
      </c>
      <c r="Q3465" t="s">
        <v>34</v>
      </c>
      <c r="R3465" t="s">
        <v>34</v>
      </c>
      <c r="S3465" t="s">
        <v>34</v>
      </c>
      <c r="T3465" s="117">
        <v>0</v>
      </c>
      <c r="U3465" s="209" t="s">
        <v>94</v>
      </c>
    </row>
    <row r="3466" spans="1:21" x14ac:dyDescent="0.35">
      <c r="A3466" t="s">
        <v>19</v>
      </c>
      <c r="B3466" t="s">
        <v>26</v>
      </c>
      <c r="C3466" s="1">
        <v>45763</v>
      </c>
      <c r="D3466">
        <f t="shared" si="248"/>
        <v>16</v>
      </c>
      <c r="E3466">
        <f t="shared" si="249"/>
        <v>4</v>
      </c>
      <c r="F3466">
        <f t="shared" si="250"/>
        <v>2025</v>
      </c>
      <c r="G3466" t="s">
        <v>73</v>
      </c>
      <c r="H3466" s="98">
        <v>12441</v>
      </c>
      <c r="I3466" s="29">
        <v>5021.1000000000004</v>
      </c>
      <c r="J3466" s="12" t="s">
        <v>51</v>
      </c>
      <c r="K3466" s="76">
        <f t="shared" si="247"/>
        <v>5714.5139099999997</v>
      </c>
      <c r="L3466">
        <v>1.1380999999999999</v>
      </c>
      <c r="M3466" s="29">
        <v>0</v>
      </c>
      <c r="N3466" t="s">
        <v>32</v>
      </c>
      <c r="O3466" t="s">
        <v>33</v>
      </c>
      <c r="P3466" t="s">
        <v>34</v>
      </c>
      <c r="Q3466" t="s">
        <v>34</v>
      </c>
      <c r="R3466" t="s">
        <v>34</v>
      </c>
      <c r="S3466" t="s">
        <v>34</v>
      </c>
      <c r="T3466" s="117">
        <v>0</v>
      </c>
      <c r="U3466" s="209" t="s">
        <v>94</v>
      </c>
    </row>
    <row r="3467" spans="1:21" x14ac:dyDescent="0.35">
      <c r="A3467" t="s">
        <v>19</v>
      </c>
      <c r="B3467" t="s">
        <v>19</v>
      </c>
      <c r="C3467" s="1">
        <v>45763</v>
      </c>
      <c r="D3467">
        <f t="shared" si="248"/>
        <v>16</v>
      </c>
      <c r="E3467">
        <f t="shared" si="249"/>
        <v>4</v>
      </c>
      <c r="F3467">
        <f t="shared" si="250"/>
        <v>2025</v>
      </c>
      <c r="G3467" t="s">
        <v>111</v>
      </c>
      <c r="H3467" s="98" t="s">
        <v>973</v>
      </c>
      <c r="I3467" s="29">
        <v>265135.59000000003</v>
      </c>
      <c r="J3467" s="12" t="s">
        <v>31</v>
      </c>
      <c r="K3467" s="76">
        <f t="shared" si="247"/>
        <v>265135.59000000003</v>
      </c>
      <c r="L3467">
        <v>1</v>
      </c>
      <c r="M3467" s="29">
        <v>0</v>
      </c>
      <c r="N3467" t="s">
        <v>32</v>
      </c>
      <c r="O3467" t="s">
        <v>33</v>
      </c>
      <c r="P3467" t="s">
        <v>34</v>
      </c>
      <c r="Q3467" t="s">
        <v>34</v>
      </c>
      <c r="R3467" t="s">
        <v>34</v>
      </c>
      <c r="S3467" t="s">
        <v>34</v>
      </c>
      <c r="T3467" s="117">
        <f>2230.16+4433.7+1912.93</f>
        <v>8576.7899999999991</v>
      </c>
    </row>
    <row r="3468" spans="1:21" x14ac:dyDescent="0.35">
      <c r="A3468" t="s">
        <v>19</v>
      </c>
      <c r="B3468" t="s">
        <v>19</v>
      </c>
      <c r="C3468" s="1">
        <v>45763</v>
      </c>
      <c r="D3468">
        <f t="shared" si="248"/>
        <v>16</v>
      </c>
      <c r="E3468">
        <f t="shared" si="249"/>
        <v>4</v>
      </c>
      <c r="F3468">
        <f t="shared" si="250"/>
        <v>2025</v>
      </c>
      <c r="G3468" t="s">
        <v>129</v>
      </c>
      <c r="H3468" s="98" t="s">
        <v>974</v>
      </c>
      <c r="I3468" s="29">
        <v>121135.81</v>
      </c>
      <c r="J3468" s="12" t="s">
        <v>31</v>
      </c>
      <c r="K3468" s="76">
        <f t="shared" si="247"/>
        <v>121135.81</v>
      </c>
      <c r="L3468">
        <v>1</v>
      </c>
      <c r="M3468" s="29">
        <v>0</v>
      </c>
      <c r="N3468" t="s">
        <v>32</v>
      </c>
      <c r="O3468" t="s">
        <v>33</v>
      </c>
      <c r="P3468" t="s">
        <v>34</v>
      </c>
      <c r="Q3468" t="s">
        <v>34</v>
      </c>
      <c r="R3468" t="s">
        <v>34</v>
      </c>
      <c r="S3468" t="s">
        <v>34</v>
      </c>
      <c r="T3468" s="117">
        <v>0</v>
      </c>
    </row>
    <row r="3469" spans="1:21" x14ac:dyDescent="0.35">
      <c r="A3469" t="s">
        <v>19</v>
      </c>
      <c r="B3469" t="s">
        <v>19</v>
      </c>
      <c r="C3469" s="1">
        <v>45763</v>
      </c>
      <c r="D3469">
        <f t="shared" si="248"/>
        <v>16</v>
      </c>
      <c r="E3469">
        <f t="shared" si="249"/>
        <v>4</v>
      </c>
      <c r="F3469">
        <f t="shared" si="250"/>
        <v>2025</v>
      </c>
      <c r="G3469" t="s">
        <v>56</v>
      </c>
      <c r="H3469" s="98" t="s">
        <v>975</v>
      </c>
      <c r="I3469" s="29">
        <v>155905.57999999999</v>
      </c>
      <c r="J3469" s="12" t="s">
        <v>31</v>
      </c>
      <c r="K3469" s="76">
        <f t="shared" si="247"/>
        <v>155905.57999999999</v>
      </c>
      <c r="L3469">
        <v>1</v>
      </c>
      <c r="M3469" s="29">
        <v>0</v>
      </c>
      <c r="N3469" t="s">
        <v>32</v>
      </c>
      <c r="O3469" t="s">
        <v>33</v>
      </c>
      <c r="P3469" t="s">
        <v>34</v>
      </c>
      <c r="Q3469" t="s">
        <v>34</v>
      </c>
      <c r="R3469" t="s">
        <v>34</v>
      </c>
      <c r="S3469" t="s">
        <v>34</v>
      </c>
      <c r="T3469" s="117">
        <v>0</v>
      </c>
    </row>
    <row r="3470" spans="1:21" x14ac:dyDescent="0.35">
      <c r="A3470" t="s">
        <v>19</v>
      </c>
      <c r="B3470" t="s">
        <v>19</v>
      </c>
      <c r="C3470" s="1">
        <v>45763</v>
      </c>
      <c r="D3470">
        <f t="shared" si="248"/>
        <v>16</v>
      </c>
      <c r="E3470">
        <f t="shared" si="249"/>
        <v>4</v>
      </c>
      <c r="F3470">
        <f t="shared" si="250"/>
        <v>2025</v>
      </c>
      <c r="G3470" t="s">
        <v>56</v>
      </c>
      <c r="H3470" s="98" t="s">
        <v>976</v>
      </c>
      <c r="I3470" s="29">
        <v>80444.94</v>
      </c>
      <c r="J3470" s="12" t="s">
        <v>31</v>
      </c>
      <c r="K3470" s="76">
        <f t="shared" si="247"/>
        <v>80444.94</v>
      </c>
      <c r="L3470">
        <v>1</v>
      </c>
      <c r="M3470" s="29">
        <v>0</v>
      </c>
      <c r="N3470" t="s">
        <v>32</v>
      </c>
      <c r="O3470" t="s">
        <v>33</v>
      </c>
      <c r="P3470" t="s">
        <v>34</v>
      </c>
      <c r="Q3470" t="s">
        <v>34</v>
      </c>
      <c r="R3470" t="s">
        <v>34</v>
      </c>
      <c r="S3470" t="s">
        <v>34</v>
      </c>
      <c r="T3470" s="117">
        <v>0</v>
      </c>
    </row>
    <row r="3471" spans="1:21" x14ac:dyDescent="0.35">
      <c r="A3471" t="s">
        <v>19</v>
      </c>
      <c r="B3471" t="s">
        <v>19</v>
      </c>
      <c r="C3471" s="1">
        <v>45763</v>
      </c>
      <c r="D3471">
        <f t="shared" si="248"/>
        <v>16</v>
      </c>
      <c r="E3471">
        <f t="shared" si="249"/>
        <v>4</v>
      </c>
      <c r="F3471">
        <f t="shared" si="250"/>
        <v>2025</v>
      </c>
      <c r="G3471" t="s">
        <v>750</v>
      </c>
      <c r="H3471" s="98" t="s">
        <v>977</v>
      </c>
      <c r="I3471" s="29">
        <v>80957.13</v>
      </c>
      <c r="J3471" s="12" t="s">
        <v>31</v>
      </c>
      <c r="K3471" s="76">
        <f t="shared" si="247"/>
        <v>80957.13</v>
      </c>
      <c r="L3471">
        <v>1</v>
      </c>
      <c r="M3471" s="29">
        <v>0</v>
      </c>
      <c r="N3471" t="s">
        <v>32</v>
      </c>
      <c r="O3471" t="s">
        <v>33</v>
      </c>
      <c r="P3471" t="s">
        <v>34</v>
      </c>
      <c r="Q3471" t="s">
        <v>34</v>
      </c>
      <c r="R3471" t="s">
        <v>34</v>
      </c>
      <c r="S3471" t="s">
        <v>34</v>
      </c>
      <c r="T3471" s="117">
        <v>2112.5</v>
      </c>
    </row>
    <row r="3472" spans="1:21" x14ac:dyDescent="0.35">
      <c r="A3472" t="s">
        <v>19</v>
      </c>
      <c r="B3472" t="s">
        <v>19</v>
      </c>
      <c r="C3472" s="1">
        <v>45763</v>
      </c>
      <c r="D3472">
        <f t="shared" si="248"/>
        <v>16</v>
      </c>
      <c r="E3472">
        <f t="shared" si="249"/>
        <v>4</v>
      </c>
      <c r="F3472">
        <f t="shared" si="250"/>
        <v>2025</v>
      </c>
      <c r="G3472" t="s">
        <v>91</v>
      </c>
      <c r="H3472" s="98" t="s">
        <v>978</v>
      </c>
      <c r="I3472" s="29">
        <v>15654.8</v>
      </c>
      <c r="J3472" s="12" t="s">
        <v>31</v>
      </c>
      <c r="K3472" s="76">
        <f t="shared" si="247"/>
        <v>15654.8</v>
      </c>
      <c r="L3472">
        <v>1</v>
      </c>
      <c r="M3472" s="29">
        <v>0</v>
      </c>
      <c r="N3472" t="s">
        <v>32</v>
      </c>
      <c r="O3472" t="s">
        <v>33</v>
      </c>
      <c r="P3472" t="s">
        <v>34</v>
      </c>
      <c r="Q3472" t="s">
        <v>34</v>
      </c>
      <c r="R3472" t="s">
        <v>34</v>
      </c>
      <c r="S3472" t="s">
        <v>34</v>
      </c>
      <c r="T3472" s="117">
        <v>0</v>
      </c>
    </row>
    <row r="3473" spans="1:21" x14ac:dyDescent="0.35">
      <c r="A3473" t="s">
        <v>20</v>
      </c>
      <c r="B3473" t="s">
        <v>223</v>
      </c>
      <c r="C3473" s="1">
        <v>45769</v>
      </c>
      <c r="D3473">
        <f t="shared" si="248"/>
        <v>22</v>
      </c>
      <c r="E3473">
        <f t="shared" si="249"/>
        <v>4</v>
      </c>
      <c r="F3473">
        <f t="shared" si="250"/>
        <v>2025</v>
      </c>
      <c r="G3473" t="s">
        <v>223</v>
      </c>
      <c r="H3473" s="121">
        <v>12319</v>
      </c>
      <c r="I3473" s="76">
        <v>9650.7000000000007</v>
      </c>
      <c r="J3473" s="12" t="s">
        <v>51</v>
      </c>
      <c r="K3473" s="76">
        <f t="shared" si="247"/>
        <v>11097.33993</v>
      </c>
      <c r="L3473">
        <v>1.1498999999999999</v>
      </c>
      <c r="M3473" s="76">
        <v>0</v>
      </c>
      <c r="N3473" t="s">
        <v>32</v>
      </c>
      <c r="O3473" t="s">
        <v>186</v>
      </c>
      <c r="P3473" s="1">
        <v>45768</v>
      </c>
      <c r="Q3473" t="s">
        <v>34</v>
      </c>
      <c r="R3473" t="s">
        <v>34</v>
      </c>
      <c r="S3473" t="s">
        <v>34</v>
      </c>
      <c r="T3473" s="117">
        <v>0</v>
      </c>
    </row>
    <row r="3474" spans="1:21" x14ac:dyDescent="0.35">
      <c r="A3474" t="s">
        <v>19</v>
      </c>
      <c r="B3474" t="s">
        <v>23</v>
      </c>
      <c r="C3474" s="1">
        <v>45770</v>
      </c>
      <c r="D3474">
        <f t="shared" si="248"/>
        <v>23</v>
      </c>
      <c r="E3474">
        <f t="shared" si="249"/>
        <v>4</v>
      </c>
      <c r="F3474">
        <f t="shared" si="250"/>
        <v>2025</v>
      </c>
      <c r="G3474" t="s">
        <v>885</v>
      </c>
      <c r="H3474" s="98">
        <v>12571</v>
      </c>
      <c r="I3474" s="29">
        <v>5484.32</v>
      </c>
      <c r="J3474" s="12" t="s">
        <v>31</v>
      </c>
      <c r="K3474" s="76">
        <f t="shared" si="247"/>
        <v>5484.32</v>
      </c>
      <c r="L3474">
        <v>1</v>
      </c>
      <c r="M3474" s="29">
        <v>0</v>
      </c>
      <c r="N3474" t="s">
        <v>42</v>
      </c>
      <c r="O3474" t="s">
        <v>33</v>
      </c>
      <c r="P3474" t="s">
        <v>34</v>
      </c>
      <c r="Q3474" t="s">
        <v>34</v>
      </c>
      <c r="R3474" t="s">
        <v>34</v>
      </c>
      <c r="S3474" t="s">
        <v>34</v>
      </c>
      <c r="T3474" s="117">
        <v>0</v>
      </c>
    </row>
    <row r="3475" spans="1:21" x14ac:dyDescent="0.35">
      <c r="A3475" t="s">
        <v>19</v>
      </c>
      <c r="B3475" t="s">
        <v>23</v>
      </c>
      <c r="C3475" s="1">
        <v>45770</v>
      </c>
      <c r="D3475">
        <f t="shared" si="248"/>
        <v>23</v>
      </c>
      <c r="E3475">
        <f t="shared" si="249"/>
        <v>4</v>
      </c>
      <c r="F3475">
        <f t="shared" si="250"/>
        <v>2025</v>
      </c>
      <c r="G3475" t="s">
        <v>39</v>
      </c>
      <c r="H3475" s="98">
        <v>11957</v>
      </c>
      <c r="I3475" s="29">
        <v>16790.900000000001</v>
      </c>
      <c r="J3475" s="12" t="s">
        <v>31</v>
      </c>
      <c r="K3475" s="76">
        <f t="shared" si="247"/>
        <v>16790.900000000001</v>
      </c>
      <c r="L3475">
        <v>1</v>
      </c>
      <c r="M3475" s="29">
        <v>0</v>
      </c>
      <c r="N3475" t="s">
        <v>32</v>
      </c>
      <c r="O3475" t="s">
        <v>33</v>
      </c>
      <c r="P3475" t="s">
        <v>34</v>
      </c>
      <c r="Q3475" t="s">
        <v>34</v>
      </c>
      <c r="R3475" t="s">
        <v>34</v>
      </c>
      <c r="S3475" t="s">
        <v>34</v>
      </c>
      <c r="T3475" s="117">
        <v>0</v>
      </c>
    </row>
    <row r="3476" spans="1:21" x14ac:dyDescent="0.35">
      <c r="A3476" t="s">
        <v>19</v>
      </c>
      <c r="B3476" t="s">
        <v>23</v>
      </c>
      <c r="C3476" s="1">
        <v>45770</v>
      </c>
      <c r="D3476">
        <f t="shared" si="248"/>
        <v>23</v>
      </c>
      <c r="E3476">
        <f t="shared" si="249"/>
        <v>4</v>
      </c>
      <c r="F3476">
        <f t="shared" si="250"/>
        <v>2025</v>
      </c>
      <c r="G3476" t="s">
        <v>979</v>
      </c>
      <c r="H3476" s="98">
        <v>12544</v>
      </c>
      <c r="I3476" s="29">
        <v>1365</v>
      </c>
      <c r="J3476" s="12" t="s">
        <v>31</v>
      </c>
      <c r="K3476" s="76">
        <f t="shared" si="247"/>
        <v>1365</v>
      </c>
      <c r="L3476">
        <v>1</v>
      </c>
      <c r="M3476" s="29">
        <v>0</v>
      </c>
      <c r="N3476" t="s">
        <v>42</v>
      </c>
      <c r="O3476" t="s">
        <v>33</v>
      </c>
      <c r="P3476" t="s">
        <v>34</v>
      </c>
      <c r="Q3476" t="s">
        <v>34</v>
      </c>
      <c r="R3476" t="s">
        <v>34</v>
      </c>
      <c r="S3476" t="s">
        <v>34</v>
      </c>
      <c r="T3476" s="117">
        <v>0</v>
      </c>
    </row>
    <row r="3477" spans="1:21" x14ac:dyDescent="0.35">
      <c r="A3477" t="s">
        <v>19</v>
      </c>
      <c r="B3477" t="s">
        <v>25</v>
      </c>
      <c r="C3477" s="1">
        <v>45770</v>
      </c>
      <c r="D3477">
        <f t="shared" si="248"/>
        <v>23</v>
      </c>
      <c r="E3477">
        <f t="shared" si="249"/>
        <v>4</v>
      </c>
      <c r="F3477">
        <f t="shared" si="250"/>
        <v>2025</v>
      </c>
      <c r="G3477" t="s">
        <v>980</v>
      </c>
      <c r="H3477" s="98">
        <v>12490</v>
      </c>
      <c r="I3477" s="29">
        <v>8590.5</v>
      </c>
      <c r="J3477" s="12" t="s">
        <v>51</v>
      </c>
      <c r="K3477" s="76">
        <f t="shared" si="247"/>
        <v>9841.2199996140007</v>
      </c>
      <c r="L3477" s="2">
        <v>1.145593388</v>
      </c>
      <c r="M3477" s="29">
        <v>0</v>
      </c>
      <c r="N3477" t="s">
        <v>42</v>
      </c>
      <c r="O3477" t="s">
        <v>33</v>
      </c>
      <c r="P3477" t="s">
        <v>34</v>
      </c>
      <c r="Q3477" t="s">
        <v>34</v>
      </c>
      <c r="R3477" t="s">
        <v>34</v>
      </c>
      <c r="S3477" t="s">
        <v>34</v>
      </c>
      <c r="T3477" s="117">
        <v>0</v>
      </c>
    </row>
    <row r="3478" spans="1:21" x14ac:dyDescent="0.35">
      <c r="A3478" t="s">
        <v>19</v>
      </c>
      <c r="B3478" t="s">
        <v>25</v>
      </c>
      <c r="C3478" s="1">
        <v>45770</v>
      </c>
      <c r="D3478">
        <f t="shared" si="248"/>
        <v>23</v>
      </c>
      <c r="E3478">
        <f t="shared" si="249"/>
        <v>4</v>
      </c>
      <c r="F3478">
        <f t="shared" si="250"/>
        <v>2025</v>
      </c>
      <c r="G3478" t="s">
        <v>80</v>
      </c>
      <c r="H3478" s="98">
        <v>12536</v>
      </c>
      <c r="I3478" s="29">
        <v>33156</v>
      </c>
      <c r="J3478" s="12" t="s">
        <v>31</v>
      </c>
      <c r="K3478" s="76">
        <f t="shared" si="247"/>
        <v>33156</v>
      </c>
      <c r="L3478">
        <v>1</v>
      </c>
      <c r="M3478" s="29">
        <v>0</v>
      </c>
      <c r="N3478" t="s">
        <v>42</v>
      </c>
      <c r="O3478" t="s">
        <v>33</v>
      </c>
      <c r="P3478" t="s">
        <v>34</v>
      </c>
      <c r="Q3478" t="s">
        <v>34</v>
      </c>
      <c r="R3478" t="s">
        <v>34</v>
      </c>
      <c r="S3478" t="s">
        <v>34</v>
      </c>
      <c r="T3478" s="117">
        <v>0</v>
      </c>
    </row>
    <row r="3479" spans="1:21" x14ac:dyDescent="0.35">
      <c r="A3479" t="s">
        <v>19</v>
      </c>
      <c r="B3479" t="s">
        <v>25</v>
      </c>
      <c r="C3479" s="1">
        <v>45770</v>
      </c>
      <c r="D3479">
        <f t="shared" si="248"/>
        <v>23</v>
      </c>
      <c r="E3479">
        <f t="shared" si="249"/>
        <v>4</v>
      </c>
      <c r="F3479">
        <f t="shared" si="250"/>
        <v>2025</v>
      </c>
      <c r="G3479" t="s">
        <v>80</v>
      </c>
      <c r="H3479" s="98">
        <v>12538</v>
      </c>
      <c r="I3479" s="29">
        <v>35730</v>
      </c>
      <c r="J3479" s="12" t="s">
        <v>31</v>
      </c>
      <c r="K3479" s="76">
        <f t="shared" si="247"/>
        <v>35730</v>
      </c>
      <c r="L3479">
        <v>1</v>
      </c>
      <c r="M3479" s="29">
        <v>0</v>
      </c>
      <c r="N3479" t="s">
        <v>42</v>
      </c>
      <c r="O3479" t="s">
        <v>33</v>
      </c>
      <c r="P3479" t="s">
        <v>34</v>
      </c>
      <c r="Q3479" t="s">
        <v>34</v>
      </c>
      <c r="R3479" t="s">
        <v>34</v>
      </c>
      <c r="S3479" t="s">
        <v>34</v>
      </c>
      <c r="T3479" s="117">
        <v>0</v>
      </c>
    </row>
    <row r="3480" spans="1:21" x14ac:dyDescent="0.35">
      <c r="A3480" t="s">
        <v>19</v>
      </c>
      <c r="B3480" t="s">
        <v>25</v>
      </c>
      <c r="C3480" s="1">
        <v>45770</v>
      </c>
      <c r="D3480">
        <f t="shared" si="248"/>
        <v>23</v>
      </c>
      <c r="E3480">
        <f t="shared" si="249"/>
        <v>4</v>
      </c>
      <c r="F3480">
        <f t="shared" si="250"/>
        <v>2025</v>
      </c>
      <c r="G3480" t="s">
        <v>38</v>
      </c>
      <c r="H3480" s="98">
        <v>12293</v>
      </c>
      <c r="I3480" s="29">
        <v>71509.25</v>
      </c>
      <c r="J3480" s="12" t="s">
        <v>31</v>
      </c>
      <c r="K3480" s="76">
        <f t="shared" si="247"/>
        <v>71509.25</v>
      </c>
      <c r="L3480">
        <v>1</v>
      </c>
      <c r="M3480" s="29">
        <v>0</v>
      </c>
      <c r="N3480" t="s">
        <v>32</v>
      </c>
      <c r="O3480" t="s">
        <v>33</v>
      </c>
      <c r="P3480" t="s">
        <v>34</v>
      </c>
      <c r="Q3480" t="s">
        <v>34</v>
      </c>
      <c r="R3480" t="s">
        <v>34</v>
      </c>
      <c r="S3480" t="s">
        <v>34</v>
      </c>
      <c r="T3480" s="117">
        <v>0</v>
      </c>
    </row>
    <row r="3481" spans="1:21" x14ac:dyDescent="0.35">
      <c r="A3481" t="s">
        <v>19</v>
      </c>
      <c r="B3481" t="s">
        <v>24</v>
      </c>
      <c r="C3481" s="1">
        <v>45770</v>
      </c>
      <c r="D3481">
        <f t="shared" si="248"/>
        <v>23</v>
      </c>
      <c r="E3481">
        <f t="shared" si="249"/>
        <v>4</v>
      </c>
      <c r="F3481">
        <f t="shared" si="250"/>
        <v>2025</v>
      </c>
      <c r="G3481" t="s">
        <v>285</v>
      </c>
      <c r="H3481" s="98">
        <v>12161</v>
      </c>
      <c r="I3481" s="29">
        <v>4826.62</v>
      </c>
      <c r="J3481" s="12" t="s">
        <v>31</v>
      </c>
      <c r="K3481" s="76">
        <f t="shared" si="247"/>
        <v>4826.62</v>
      </c>
      <c r="L3481">
        <v>1</v>
      </c>
      <c r="M3481" s="29">
        <v>0</v>
      </c>
      <c r="N3481" t="s">
        <v>32</v>
      </c>
      <c r="O3481" t="s">
        <v>33</v>
      </c>
      <c r="P3481" t="s">
        <v>34</v>
      </c>
      <c r="Q3481" t="s">
        <v>34</v>
      </c>
      <c r="R3481" t="s">
        <v>34</v>
      </c>
      <c r="S3481" t="s">
        <v>34</v>
      </c>
      <c r="T3481" s="117">
        <v>0</v>
      </c>
    </row>
    <row r="3482" spans="1:21" x14ac:dyDescent="0.35">
      <c r="A3482" t="s">
        <v>19</v>
      </c>
      <c r="B3482" t="s">
        <v>25</v>
      </c>
      <c r="C3482" s="1">
        <v>45770</v>
      </c>
      <c r="D3482">
        <f t="shared" si="248"/>
        <v>23</v>
      </c>
      <c r="E3482">
        <f t="shared" si="249"/>
        <v>4</v>
      </c>
      <c r="F3482">
        <f t="shared" si="250"/>
        <v>2025</v>
      </c>
      <c r="G3482" t="s">
        <v>285</v>
      </c>
      <c r="H3482" s="98">
        <v>12361</v>
      </c>
      <c r="I3482" s="29">
        <v>64.53</v>
      </c>
      <c r="J3482" s="12" t="s">
        <v>31</v>
      </c>
      <c r="K3482" s="76">
        <f t="shared" si="247"/>
        <v>64.53</v>
      </c>
      <c r="L3482">
        <v>1</v>
      </c>
      <c r="M3482" s="29">
        <v>0</v>
      </c>
      <c r="N3482" t="s">
        <v>42</v>
      </c>
      <c r="O3482" t="s">
        <v>33</v>
      </c>
      <c r="P3482" t="s">
        <v>34</v>
      </c>
      <c r="Q3482" t="s">
        <v>34</v>
      </c>
      <c r="R3482" t="s">
        <v>34</v>
      </c>
      <c r="S3482" t="s">
        <v>34</v>
      </c>
      <c r="T3482" s="117">
        <v>0</v>
      </c>
      <c r="U3482" s="209" t="s">
        <v>1128</v>
      </c>
    </row>
    <row r="3483" spans="1:21" x14ac:dyDescent="0.35">
      <c r="A3483" t="s">
        <v>19</v>
      </c>
      <c r="B3483" t="s">
        <v>25</v>
      </c>
      <c r="C3483" s="1">
        <v>45770</v>
      </c>
      <c r="D3483">
        <f t="shared" si="248"/>
        <v>23</v>
      </c>
      <c r="E3483">
        <f t="shared" si="249"/>
        <v>4</v>
      </c>
      <c r="F3483">
        <f t="shared" si="250"/>
        <v>2025</v>
      </c>
      <c r="G3483" t="s">
        <v>285</v>
      </c>
      <c r="H3483" s="98">
        <v>12520</v>
      </c>
      <c r="I3483" s="29">
        <v>3871.8</v>
      </c>
      <c r="J3483" s="12" t="s">
        <v>31</v>
      </c>
      <c r="K3483" s="76">
        <f t="shared" si="247"/>
        <v>3871.8</v>
      </c>
      <c r="L3483">
        <v>1</v>
      </c>
      <c r="M3483" s="29">
        <v>0</v>
      </c>
      <c r="N3483" t="s">
        <v>42</v>
      </c>
      <c r="O3483" t="s">
        <v>33</v>
      </c>
      <c r="P3483" t="s">
        <v>34</v>
      </c>
      <c r="Q3483" t="s">
        <v>34</v>
      </c>
      <c r="R3483" t="s">
        <v>34</v>
      </c>
      <c r="S3483" t="s">
        <v>34</v>
      </c>
      <c r="T3483" s="117">
        <v>0</v>
      </c>
      <c r="U3483" s="209" t="s">
        <v>1197</v>
      </c>
    </row>
    <row r="3484" spans="1:21" x14ac:dyDescent="0.35">
      <c r="A3484" t="s">
        <v>20</v>
      </c>
      <c r="B3484" t="s">
        <v>24</v>
      </c>
      <c r="C3484" s="1">
        <v>45770</v>
      </c>
      <c r="D3484">
        <f t="shared" si="248"/>
        <v>23</v>
      </c>
      <c r="E3484">
        <f t="shared" si="249"/>
        <v>4</v>
      </c>
      <c r="F3484">
        <f t="shared" si="250"/>
        <v>2025</v>
      </c>
      <c r="G3484" t="s">
        <v>90</v>
      </c>
      <c r="H3484" s="98">
        <v>11809</v>
      </c>
      <c r="I3484" s="29">
        <v>66.06</v>
      </c>
      <c r="J3484" s="12" t="s">
        <v>31</v>
      </c>
      <c r="K3484" s="76">
        <f t="shared" si="247"/>
        <v>66.06</v>
      </c>
      <c r="L3484">
        <v>1</v>
      </c>
      <c r="M3484" s="29">
        <v>0</v>
      </c>
      <c r="N3484" t="s">
        <v>32</v>
      </c>
      <c r="O3484" t="s">
        <v>33</v>
      </c>
      <c r="P3484" t="s">
        <v>34</v>
      </c>
      <c r="Q3484" t="s">
        <v>34</v>
      </c>
      <c r="R3484" t="s">
        <v>34</v>
      </c>
      <c r="S3484" t="s">
        <v>34</v>
      </c>
      <c r="T3484" s="117">
        <v>0</v>
      </c>
    </row>
    <row r="3485" spans="1:21" x14ac:dyDescent="0.35">
      <c r="A3485" t="s">
        <v>20</v>
      </c>
      <c r="B3485" t="s">
        <v>25</v>
      </c>
      <c r="C3485" s="1">
        <v>45770</v>
      </c>
      <c r="D3485">
        <f t="shared" si="248"/>
        <v>23</v>
      </c>
      <c r="E3485">
        <f t="shared" si="249"/>
        <v>4</v>
      </c>
      <c r="F3485">
        <f t="shared" si="250"/>
        <v>2025</v>
      </c>
      <c r="G3485" t="s">
        <v>90</v>
      </c>
      <c r="H3485" s="98">
        <v>11734</v>
      </c>
      <c r="I3485" s="29">
        <v>623.91999999999996</v>
      </c>
      <c r="J3485" s="12" t="s">
        <v>31</v>
      </c>
      <c r="K3485" s="76">
        <f t="shared" si="247"/>
        <v>623.91999999999996</v>
      </c>
      <c r="L3485">
        <v>1</v>
      </c>
      <c r="M3485" s="29">
        <v>0</v>
      </c>
      <c r="N3485" t="s">
        <v>32</v>
      </c>
      <c r="O3485" t="s">
        <v>33</v>
      </c>
      <c r="P3485" t="s">
        <v>34</v>
      </c>
      <c r="Q3485" t="s">
        <v>34</v>
      </c>
      <c r="R3485" t="s">
        <v>34</v>
      </c>
      <c r="S3485" t="s">
        <v>34</v>
      </c>
      <c r="T3485" s="117">
        <v>0</v>
      </c>
    </row>
    <row r="3486" spans="1:21" x14ac:dyDescent="0.35">
      <c r="A3486" t="s">
        <v>20</v>
      </c>
      <c r="B3486" t="s">
        <v>24</v>
      </c>
      <c r="C3486" s="1">
        <v>45770</v>
      </c>
      <c r="D3486">
        <f t="shared" si="248"/>
        <v>23</v>
      </c>
      <c r="E3486">
        <f t="shared" si="249"/>
        <v>4</v>
      </c>
      <c r="F3486">
        <f t="shared" si="250"/>
        <v>2025</v>
      </c>
      <c r="G3486" t="s">
        <v>90</v>
      </c>
      <c r="H3486" s="98">
        <v>11269</v>
      </c>
      <c r="I3486" s="29">
        <v>7803.43</v>
      </c>
      <c r="J3486" s="12" t="s">
        <v>31</v>
      </c>
      <c r="K3486" s="76">
        <f t="shared" si="247"/>
        <v>7803.43</v>
      </c>
      <c r="L3486">
        <v>1</v>
      </c>
      <c r="M3486" s="29">
        <v>0</v>
      </c>
      <c r="N3486" t="s">
        <v>32</v>
      </c>
      <c r="O3486" t="s">
        <v>33</v>
      </c>
      <c r="P3486" t="s">
        <v>34</v>
      </c>
      <c r="Q3486" t="s">
        <v>34</v>
      </c>
      <c r="R3486" t="s">
        <v>34</v>
      </c>
      <c r="S3486" t="s">
        <v>34</v>
      </c>
      <c r="T3486" s="117">
        <v>0</v>
      </c>
    </row>
    <row r="3487" spans="1:21" x14ac:dyDescent="0.35">
      <c r="A3487" t="s">
        <v>20</v>
      </c>
      <c r="B3487" t="s">
        <v>21</v>
      </c>
      <c r="C3487" s="1">
        <v>45770</v>
      </c>
      <c r="D3487">
        <f t="shared" si="248"/>
        <v>23</v>
      </c>
      <c r="E3487">
        <f t="shared" si="249"/>
        <v>4</v>
      </c>
      <c r="F3487">
        <f t="shared" si="250"/>
        <v>2025</v>
      </c>
      <c r="G3487" t="s">
        <v>82</v>
      </c>
      <c r="H3487" s="98">
        <v>11723</v>
      </c>
      <c r="I3487" s="29">
        <v>252.4</v>
      </c>
      <c r="J3487" s="12" t="s">
        <v>31</v>
      </c>
      <c r="K3487" s="76">
        <f t="shared" si="247"/>
        <v>252.4</v>
      </c>
      <c r="L3487">
        <v>1</v>
      </c>
      <c r="M3487" s="29">
        <v>0</v>
      </c>
      <c r="N3487" t="s">
        <v>32</v>
      </c>
      <c r="O3487" t="s">
        <v>33</v>
      </c>
      <c r="P3487" t="s">
        <v>34</v>
      </c>
      <c r="Q3487" t="s">
        <v>34</v>
      </c>
      <c r="R3487" t="s">
        <v>34</v>
      </c>
      <c r="S3487" t="s">
        <v>34</v>
      </c>
      <c r="T3487" s="117">
        <v>0</v>
      </c>
    </row>
    <row r="3488" spans="1:21" x14ac:dyDescent="0.35">
      <c r="A3488" t="s">
        <v>20</v>
      </c>
      <c r="B3488" t="s">
        <v>23</v>
      </c>
      <c r="C3488" s="1">
        <v>45770</v>
      </c>
      <c r="D3488">
        <f t="shared" si="248"/>
        <v>23</v>
      </c>
      <c r="E3488">
        <f t="shared" si="249"/>
        <v>4</v>
      </c>
      <c r="F3488">
        <f t="shared" si="250"/>
        <v>2025</v>
      </c>
      <c r="G3488" t="s">
        <v>265</v>
      </c>
      <c r="H3488" s="98">
        <v>12556</v>
      </c>
      <c r="I3488" s="29">
        <v>42</v>
      </c>
      <c r="J3488" s="12" t="s">
        <v>31</v>
      </c>
      <c r="K3488" s="76">
        <f t="shared" si="247"/>
        <v>42</v>
      </c>
      <c r="L3488">
        <v>1</v>
      </c>
      <c r="M3488" s="29">
        <v>0</v>
      </c>
      <c r="N3488" t="s">
        <v>42</v>
      </c>
      <c r="O3488" t="s">
        <v>33</v>
      </c>
      <c r="P3488" t="s">
        <v>34</v>
      </c>
      <c r="Q3488" t="s">
        <v>34</v>
      </c>
      <c r="R3488" t="s">
        <v>34</v>
      </c>
      <c r="S3488" t="s">
        <v>34</v>
      </c>
      <c r="T3488" s="117">
        <v>0</v>
      </c>
    </row>
    <row r="3489" spans="1:21" x14ac:dyDescent="0.35">
      <c r="A3489" t="s">
        <v>20</v>
      </c>
      <c r="B3489" t="s">
        <v>23</v>
      </c>
      <c r="C3489" s="1">
        <v>45770</v>
      </c>
      <c r="D3489">
        <f t="shared" si="248"/>
        <v>23</v>
      </c>
      <c r="E3489">
        <f t="shared" si="249"/>
        <v>4</v>
      </c>
      <c r="F3489">
        <f t="shared" si="250"/>
        <v>2025</v>
      </c>
      <c r="G3489" t="s">
        <v>265</v>
      </c>
      <c r="H3489" s="98">
        <v>12557</v>
      </c>
      <c r="I3489" s="29">
        <v>2016</v>
      </c>
      <c r="J3489" s="12" t="s">
        <v>31</v>
      </c>
      <c r="K3489" s="76">
        <f t="shared" si="247"/>
        <v>2016</v>
      </c>
      <c r="L3489">
        <v>1</v>
      </c>
      <c r="M3489" s="29">
        <v>0</v>
      </c>
      <c r="N3489" t="s">
        <v>42</v>
      </c>
      <c r="O3489" t="s">
        <v>33</v>
      </c>
      <c r="P3489" t="s">
        <v>34</v>
      </c>
      <c r="Q3489" t="s">
        <v>34</v>
      </c>
      <c r="R3489" t="s">
        <v>34</v>
      </c>
      <c r="S3489" t="s">
        <v>34</v>
      </c>
      <c r="T3489" s="117">
        <v>0</v>
      </c>
    </row>
    <row r="3490" spans="1:21" x14ac:dyDescent="0.35">
      <c r="A3490" t="s">
        <v>20</v>
      </c>
      <c r="B3490" t="s">
        <v>21</v>
      </c>
      <c r="C3490" s="1">
        <v>45770</v>
      </c>
      <c r="D3490">
        <f t="shared" si="248"/>
        <v>23</v>
      </c>
      <c r="E3490">
        <f t="shared" si="249"/>
        <v>4</v>
      </c>
      <c r="F3490">
        <f t="shared" si="250"/>
        <v>2025</v>
      </c>
      <c r="G3490" t="s">
        <v>118</v>
      </c>
      <c r="H3490" s="98">
        <v>12558</v>
      </c>
      <c r="I3490" s="29">
        <v>159.6</v>
      </c>
      <c r="J3490" s="12" t="s">
        <v>31</v>
      </c>
      <c r="K3490" s="76">
        <f t="shared" si="247"/>
        <v>159.6</v>
      </c>
      <c r="L3490">
        <v>1</v>
      </c>
      <c r="M3490" s="29">
        <v>0</v>
      </c>
      <c r="N3490" t="s">
        <v>42</v>
      </c>
      <c r="O3490" t="s">
        <v>33</v>
      </c>
      <c r="P3490" t="s">
        <v>34</v>
      </c>
      <c r="Q3490" t="s">
        <v>34</v>
      </c>
      <c r="R3490" t="s">
        <v>34</v>
      </c>
      <c r="S3490" t="s">
        <v>34</v>
      </c>
      <c r="T3490" s="117">
        <v>0</v>
      </c>
    </row>
    <row r="3491" spans="1:21" x14ac:dyDescent="0.35">
      <c r="A3491" t="s">
        <v>20</v>
      </c>
      <c r="B3491" t="s">
        <v>21</v>
      </c>
      <c r="C3491" s="1">
        <v>45770</v>
      </c>
      <c r="D3491">
        <f t="shared" si="248"/>
        <v>23</v>
      </c>
      <c r="E3491">
        <f t="shared" si="249"/>
        <v>4</v>
      </c>
      <c r="F3491">
        <f t="shared" si="250"/>
        <v>2025</v>
      </c>
      <c r="G3491" t="s">
        <v>118</v>
      </c>
      <c r="H3491" s="98">
        <v>12330</v>
      </c>
      <c r="I3491" s="29">
        <v>4515.24</v>
      </c>
      <c r="J3491" s="12" t="s">
        <v>31</v>
      </c>
      <c r="K3491" s="76">
        <f t="shared" si="247"/>
        <v>4515.24</v>
      </c>
      <c r="L3491">
        <v>1</v>
      </c>
      <c r="M3491" s="29">
        <v>0</v>
      </c>
      <c r="N3491" t="s">
        <v>42</v>
      </c>
      <c r="O3491" t="s">
        <v>33</v>
      </c>
      <c r="P3491" t="s">
        <v>34</v>
      </c>
      <c r="Q3491" t="s">
        <v>34</v>
      </c>
      <c r="R3491" t="s">
        <v>34</v>
      </c>
      <c r="S3491" t="s">
        <v>34</v>
      </c>
      <c r="T3491" s="117">
        <v>0</v>
      </c>
      <c r="U3491" s="209" t="s">
        <v>1046</v>
      </c>
    </row>
    <row r="3492" spans="1:21" x14ac:dyDescent="0.35">
      <c r="A3492" t="s">
        <v>20</v>
      </c>
      <c r="B3492" t="s">
        <v>21</v>
      </c>
      <c r="C3492" s="1">
        <v>45770</v>
      </c>
      <c r="D3492">
        <f t="shared" si="248"/>
        <v>23</v>
      </c>
      <c r="E3492">
        <f t="shared" si="249"/>
        <v>4</v>
      </c>
      <c r="F3492">
        <f t="shared" si="250"/>
        <v>2025</v>
      </c>
      <c r="G3492" t="s">
        <v>118</v>
      </c>
      <c r="H3492" s="98">
        <v>12330</v>
      </c>
      <c r="I3492" s="29">
        <v>907.625</v>
      </c>
      <c r="J3492" s="12" t="s">
        <v>31</v>
      </c>
      <c r="K3492" s="76">
        <f t="shared" si="247"/>
        <v>907.625</v>
      </c>
      <c r="L3492">
        <v>1</v>
      </c>
      <c r="M3492" s="29">
        <v>0</v>
      </c>
      <c r="N3492" t="s">
        <v>42</v>
      </c>
      <c r="O3492" t="s">
        <v>33</v>
      </c>
      <c r="P3492" t="s">
        <v>34</v>
      </c>
      <c r="Q3492" t="s">
        <v>34</v>
      </c>
      <c r="R3492" t="s">
        <v>34</v>
      </c>
      <c r="S3492" t="s">
        <v>34</v>
      </c>
      <c r="T3492" s="117">
        <v>0</v>
      </c>
      <c r="U3492" s="209" t="s">
        <v>1047</v>
      </c>
    </row>
    <row r="3493" spans="1:21" x14ac:dyDescent="0.35">
      <c r="A3493" t="s">
        <v>20</v>
      </c>
      <c r="B3493" t="s">
        <v>21</v>
      </c>
      <c r="C3493" s="1">
        <v>45770</v>
      </c>
      <c r="D3493">
        <f t="shared" si="248"/>
        <v>23</v>
      </c>
      <c r="E3493">
        <f t="shared" si="249"/>
        <v>4</v>
      </c>
      <c r="F3493">
        <f t="shared" si="250"/>
        <v>2025</v>
      </c>
      <c r="G3493" t="s">
        <v>50</v>
      </c>
      <c r="H3493" s="98">
        <v>12561</v>
      </c>
      <c r="I3493" s="29">
        <v>627.90000000000009</v>
      </c>
      <c r="J3493" s="12" t="s">
        <v>31</v>
      </c>
      <c r="K3493" s="76">
        <f t="shared" si="247"/>
        <v>627.90000000000009</v>
      </c>
      <c r="L3493">
        <v>1</v>
      </c>
      <c r="M3493" s="29">
        <v>0</v>
      </c>
      <c r="N3493" t="s">
        <v>42</v>
      </c>
      <c r="O3493" t="s">
        <v>33</v>
      </c>
      <c r="P3493" t="s">
        <v>34</v>
      </c>
      <c r="Q3493" t="s">
        <v>34</v>
      </c>
      <c r="R3493" t="s">
        <v>34</v>
      </c>
      <c r="S3493" t="s">
        <v>34</v>
      </c>
      <c r="T3493" s="117">
        <v>0</v>
      </c>
    </row>
    <row r="3494" spans="1:21" x14ac:dyDescent="0.35">
      <c r="A3494" t="s">
        <v>20</v>
      </c>
      <c r="B3494" t="s">
        <v>21</v>
      </c>
      <c r="C3494" s="1">
        <v>45770</v>
      </c>
      <c r="D3494">
        <f t="shared" si="248"/>
        <v>23</v>
      </c>
      <c r="E3494">
        <f t="shared" si="249"/>
        <v>4</v>
      </c>
      <c r="F3494">
        <f t="shared" si="250"/>
        <v>2025</v>
      </c>
      <c r="G3494" t="s">
        <v>459</v>
      </c>
      <c r="H3494" s="98">
        <v>11353</v>
      </c>
      <c r="I3494" s="29">
        <v>2.61</v>
      </c>
      <c r="J3494" s="12" t="s">
        <v>31</v>
      </c>
      <c r="K3494" s="76">
        <f t="shared" si="247"/>
        <v>2.61</v>
      </c>
      <c r="L3494">
        <v>1</v>
      </c>
      <c r="M3494" s="29">
        <v>0</v>
      </c>
      <c r="N3494" t="s">
        <v>32</v>
      </c>
      <c r="O3494" t="s">
        <v>33</v>
      </c>
      <c r="P3494" t="s">
        <v>34</v>
      </c>
      <c r="Q3494" t="s">
        <v>34</v>
      </c>
      <c r="R3494" t="s">
        <v>34</v>
      </c>
      <c r="S3494" t="s">
        <v>34</v>
      </c>
      <c r="T3494" s="117">
        <v>0</v>
      </c>
    </row>
    <row r="3495" spans="1:21" x14ac:dyDescent="0.35">
      <c r="A3495" t="s">
        <v>20</v>
      </c>
      <c r="B3495" t="s">
        <v>21</v>
      </c>
      <c r="C3495" s="1">
        <v>45770</v>
      </c>
      <c r="D3495">
        <f t="shared" si="248"/>
        <v>23</v>
      </c>
      <c r="E3495">
        <f t="shared" si="249"/>
        <v>4</v>
      </c>
      <c r="F3495">
        <f t="shared" si="250"/>
        <v>2025</v>
      </c>
      <c r="G3495" t="s">
        <v>459</v>
      </c>
      <c r="H3495" s="98">
        <v>11357</v>
      </c>
      <c r="I3495" s="29">
        <v>18825.61</v>
      </c>
      <c r="J3495" s="12" t="s">
        <v>31</v>
      </c>
      <c r="K3495" s="76">
        <f t="shared" si="247"/>
        <v>18825.61</v>
      </c>
      <c r="L3495">
        <v>1</v>
      </c>
      <c r="M3495" s="29">
        <v>0</v>
      </c>
      <c r="N3495" t="s">
        <v>32</v>
      </c>
      <c r="O3495" t="s">
        <v>33</v>
      </c>
      <c r="P3495" t="s">
        <v>34</v>
      </c>
      <c r="Q3495" t="s">
        <v>34</v>
      </c>
      <c r="R3495" t="s">
        <v>34</v>
      </c>
      <c r="S3495" t="s">
        <v>34</v>
      </c>
      <c r="T3495" s="117">
        <v>0</v>
      </c>
    </row>
    <row r="3496" spans="1:21" x14ac:dyDescent="0.35">
      <c r="A3496" t="s">
        <v>20</v>
      </c>
      <c r="B3496" t="s">
        <v>21</v>
      </c>
      <c r="C3496" s="1">
        <v>45770</v>
      </c>
      <c r="D3496">
        <f t="shared" si="248"/>
        <v>23</v>
      </c>
      <c r="E3496">
        <f t="shared" si="249"/>
        <v>4</v>
      </c>
      <c r="F3496">
        <f t="shared" si="250"/>
        <v>2025</v>
      </c>
      <c r="G3496" t="s">
        <v>273</v>
      </c>
      <c r="H3496" s="98">
        <v>11487</v>
      </c>
      <c r="I3496" s="29">
        <v>14510.29</v>
      </c>
      <c r="J3496" s="12" t="s">
        <v>31</v>
      </c>
      <c r="K3496" s="76">
        <f t="shared" si="247"/>
        <v>14510.29</v>
      </c>
      <c r="L3496">
        <v>1</v>
      </c>
      <c r="M3496" s="29">
        <v>0</v>
      </c>
      <c r="N3496" t="s">
        <v>32</v>
      </c>
      <c r="O3496" t="s">
        <v>33</v>
      </c>
      <c r="P3496" t="s">
        <v>34</v>
      </c>
      <c r="Q3496" t="s">
        <v>34</v>
      </c>
      <c r="R3496" t="s">
        <v>34</v>
      </c>
      <c r="S3496" t="s">
        <v>34</v>
      </c>
      <c r="T3496" s="117">
        <v>0</v>
      </c>
    </row>
    <row r="3497" spans="1:21" x14ac:dyDescent="0.35">
      <c r="A3497" t="s">
        <v>20</v>
      </c>
      <c r="B3497" t="s">
        <v>25</v>
      </c>
      <c r="C3497" s="1">
        <v>45770</v>
      </c>
      <c r="D3497">
        <f t="shared" si="248"/>
        <v>23</v>
      </c>
      <c r="E3497">
        <f t="shared" si="249"/>
        <v>4</v>
      </c>
      <c r="F3497">
        <f t="shared" si="250"/>
        <v>2025</v>
      </c>
      <c r="G3497" t="s">
        <v>99</v>
      </c>
      <c r="H3497" s="98">
        <v>12204</v>
      </c>
      <c r="I3497" s="29">
        <v>14760.67</v>
      </c>
      <c r="J3497" s="12" t="s">
        <v>31</v>
      </c>
      <c r="K3497" s="76">
        <f t="shared" si="247"/>
        <v>14760.67</v>
      </c>
      <c r="L3497">
        <v>1</v>
      </c>
      <c r="M3497" s="29">
        <v>0</v>
      </c>
      <c r="N3497" t="s">
        <v>32</v>
      </c>
      <c r="O3497" t="s">
        <v>33</v>
      </c>
      <c r="P3497" t="s">
        <v>34</v>
      </c>
      <c r="Q3497" t="s">
        <v>34</v>
      </c>
      <c r="R3497" t="s">
        <v>34</v>
      </c>
      <c r="S3497" t="s">
        <v>34</v>
      </c>
      <c r="T3497" s="117">
        <v>0</v>
      </c>
    </row>
    <row r="3498" spans="1:21" x14ac:dyDescent="0.35">
      <c r="A3498" t="s">
        <v>20</v>
      </c>
      <c r="B3498" t="s">
        <v>24</v>
      </c>
      <c r="C3498" s="1">
        <v>45770</v>
      </c>
      <c r="D3498">
        <f t="shared" si="248"/>
        <v>23</v>
      </c>
      <c r="E3498">
        <f t="shared" si="249"/>
        <v>4</v>
      </c>
      <c r="F3498">
        <f t="shared" si="250"/>
        <v>2025</v>
      </c>
      <c r="G3498" t="s">
        <v>99</v>
      </c>
      <c r="H3498" s="98">
        <v>12072</v>
      </c>
      <c r="I3498" s="29">
        <v>12712.53</v>
      </c>
      <c r="J3498" s="12" t="s">
        <v>31</v>
      </c>
      <c r="K3498" s="76">
        <f t="shared" si="247"/>
        <v>12712.53</v>
      </c>
      <c r="L3498">
        <v>1</v>
      </c>
      <c r="M3498" s="29">
        <v>0</v>
      </c>
      <c r="N3498" t="s">
        <v>32</v>
      </c>
      <c r="O3498" t="s">
        <v>33</v>
      </c>
      <c r="P3498" t="s">
        <v>34</v>
      </c>
      <c r="Q3498" t="s">
        <v>34</v>
      </c>
      <c r="R3498" t="s">
        <v>34</v>
      </c>
      <c r="S3498" t="s">
        <v>34</v>
      </c>
      <c r="T3498" s="117">
        <v>0</v>
      </c>
    </row>
    <row r="3499" spans="1:21" x14ac:dyDescent="0.35">
      <c r="A3499" t="s">
        <v>20</v>
      </c>
      <c r="B3499" t="s">
        <v>25</v>
      </c>
      <c r="C3499" s="1">
        <v>45770</v>
      </c>
      <c r="D3499">
        <f t="shared" si="248"/>
        <v>23</v>
      </c>
      <c r="E3499">
        <f t="shared" si="249"/>
        <v>4</v>
      </c>
      <c r="F3499">
        <f t="shared" si="250"/>
        <v>2025</v>
      </c>
      <c r="G3499" t="s">
        <v>99</v>
      </c>
      <c r="H3499" s="98">
        <v>12072</v>
      </c>
      <c r="I3499" s="29">
        <v>8016.08</v>
      </c>
      <c r="J3499" s="12" t="s">
        <v>31</v>
      </c>
      <c r="K3499" s="76">
        <f t="shared" si="247"/>
        <v>8016.08</v>
      </c>
      <c r="L3499">
        <v>1</v>
      </c>
      <c r="M3499" s="29">
        <v>0</v>
      </c>
      <c r="N3499" t="s">
        <v>32</v>
      </c>
      <c r="O3499" t="s">
        <v>33</v>
      </c>
      <c r="P3499" t="s">
        <v>34</v>
      </c>
      <c r="Q3499" t="s">
        <v>34</v>
      </c>
      <c r="R3499" t="s">
        <v>34</v>
      </c>
      <c r="S3499" t="s">
        <v>34</v>
      </c>
      <c r="T3499" s="117">
        <v>0</v>
      </c>
    </row>
    <row r="3500" spans="1:21" x14ac:dyDescent="0.35">
      <c r="A3500" t="s">
        <v>20</v>
      </c>
      <c r="B3500" t="s">
        <v>23</v>
      </c>
      <c r="C3500" s="1">
        <v>45770</v>
      </c>
      <c r="D3500">
        <f t="shared" si="248"/>
        <v>23</v>
      </c>
      <c r="E3500">
        <f t="shared" si="249"/>
        <v>4</v>
      </c>
      <c r="F3500">
        <f t="shared" si="250"/>
        <v>2025</v>
      </c>
      <c r="G3500" t="s">
        <v>97</v>
      </c>
      <c r="H3500" s="98">
        <v>12284</v>
      </c>
      <c r="I3500" s="29">
        <v>24607.289799999999</v>
      </c>
      <c r="J3500" s="12" t="s">
        <v>31</v>
      </c>
      <c r="K3500" s="76">
        <f t="shared" si="247"/>
        <v>24607.289799999999</v>
      </c>
      <c r="L3500">
        <v>1</v>
      </c>
      <c r="M3500" s="29">
        <v>761.06560500000001</v>
      </c>
      <c r="N3500" t="s">
        <v>32</v>
      </c>
      <c r="O3500" t="s">
        <v>33</v>
      </c>
      <c r="P3500" t="s">
        <v>34</v>
      </c>
      <c r="Q3500" t="s">
        <v>34</v>
      </c>
      <c r="R3500" t="s">
        <v>34</v>
      </c>
      <c r="S3500" t="s">
        <v>34</v>
      </c>
      <c r="T3500" s="117">
        <v>0</v>
      </c>
    </row>
    <row r="3501" spans="1:21" x14ac:dyDescent="0.35">
      <c r="A3501" t="s">
        <v>20</v>
      </c>
      <c r="B3501" t="s">
        <v>24</v>
      </c>
      <c r="C3501" s="1">
        <v>45770</v>
      </c>
      <c r="D3501">
        <f t="shared" si="248"/>
        <v>23</v>
      </c>
      <c r="E3501">
        <f t="shared" si="249"/>
        <v>4</v>
      </c>
      <c r="F3501">
        <f t="shared" si="250"/>
        <v>2025</v>
      </c>
      <c r="G3501" t="s">
        <v>97</v>
      </c>
      <c r="H3501" s="98">
        <v>12284</v>
      </c>
      <c r="I3501" s="29">
        <v>10313.428</v>
      </c>
      <c r="J3501" s="12" t="s">
        <v>31</v>
      </c>
      <c r="K3501" s="76">
        <f t="shared" si="247"/>
        <v>10313.428</v>
      </c>
      <c r="L3501">
        <v>1</v>
      </c>
      <c r="M3501" s="29">
        <v>318.99797100000001</v>
      </c>
      <c r="N3501" t="s">
        <v>32</v>
      </c>
      <c r="O3501" t="s">
        <v>33</v>
      </c>
      <c r="P3501" t="s">
        <v>34</v>
      </c>
      <c r="Q3501" t="s">
        <v>34</v>
      </c>
      <c r="R3501" t="s">
        <v>34</v>
      </c>
      <c r="S3501" t="s">
        <v>34</v>
      </c>
      <c r="T3501" s="117">
        <v>0</v>
      </c>
    </row>
    <row r="3502" spans="1:21" x14ac:dyDescent="0.35">
      <c r="A3502" t="s">
        <v>20</v>
      </c>
      <c r="B3502" t="s">
        <v>21</v>
      </c>
      <c r="C3502" s="1">
        <v>45770</v>
      </c>
      <c r="D3502">
        <f t="shared" si="248"/>
        <v>23</v>
      </c>
      <c r="E3502">
        <f t="shared" si="249"/>
        <v>4</v>
      </c>
      <c r="F3502">
        <f t="shared" si="250"/>
        <v>2025</v>
      </c>
      <c r="G3502" t="s">
        <v>97</v>
      </c>
      <c r="H3502" s="98">
        <v>12284</v>
      </c>
      <c r="I3502" s="29">
        <v>21844.788</v>
      </c>
      <c r="J3502" s="12" t="s">
        <v>31</v>
      </c>
      <c r="K3502" s="76">
        <f t="shared" si="247"/>
        <v>21844.788</v>
      </c>
      <c r="L3502">
        <v>1</v>
      </c>
      <c r="M3502" s="29">
        <v>675.56642399999998</v>
      </c>
      <c r="N3502" t="s">
        <v>32</v>
      </c>
      <c r="O3502" t="s">
        <v>33</v>
      </c>
      <c r="P3502" t="s">
        <v>34</v>
      </c>
      <c r="Q3502" t="s">
        <v>34</v>
      </c>
      <c r="R3502" t="s">
        <v>34</v>
      </c>
      <c r="S3502" t="s">
        <v>34</v>
      </c>
      <c r="T3502" s="117">
        <v>0</v>
      </c>
    </row>
    <row r="3503" spans="1:21" x14ac:dyDescent="0.35">
      <c r="A3503" t="s">
        <v>20</v>
      </c>
      <c r="B3503" t="s">
        <v>23</v>
      </c>
      <c r="C3503" s="1">
        <v>45770</v>
      </c>
      <c r="D3503">
        <f t="shared" si="248"/>
        <v>23</v>
      </c>
      <c r="E3503">
        <f t="shared" si="249"/>
        <v>4</v>
      </c>
      <c r="F3503">
        <f t="shared" si="250"/>
        <v>2025</v>
      </c>
      <c r="G3503" t="s">
        <v>97</v>
      </c>
      <c r="H3503" s="98">
        <v>12295</v>
      </c>
      <c r="I3503" s="29">
        <v>144</v>
      </c>
      <c r="J3503" s="12" t="s">
        <v>31</v>
      </c>
      <c r="K3503" s="76">
        <f t="shared" si="247"/>
        <v>144</v>
      </c>
      <c r="L3503">
        <v>1</v>
      </c>
      <c r="M3503" s="29">
        <v>0</v>
      </c>
      <c r="N3503" t="s">
        <v>32</v>
      </c>
      <c r="O3503" t="s">
        <v>33</v>
      </c>
      <c r="P3503" t="s">
        <v>34</v>
      </c>
      <c r="Q3503" t="s">
        <v>34</v>
      </c>
      <c r="R3503" t="s">
        <v>34</v>
      </c>
      <c r="S3503" t="s">
        <v>34</v>
      </c>
      <c r="T3503" s="117">
        <v>0</v>
      </c>
    </row>
    <row r="3504" spans="1:21" x14ac:dyDescent="0.35">
      <c r="A3504" t="s">
        <v>19</v>
      </c>
      <c r="B3504" t="s">
        <v>19</v>
      </c>
      <c r="C3504" s="1">
        <v>45770</v>
      </c>
      <c r="D3504">
        <f t="shared" si="248"/>
        <v>23</v>
      </c>
      <c r="E3504">
        <f t="shared" si="249"/>
        <v>4</v>
      </c>
      <c r="F3504">
        <f t="shared" si="250"/>
        <v>2025</v>
      </c>
      <c r="G3504" t="s">
        <v>228</v>
      </c>
      <c r="H3504" s="98" t="s">
        <v>982</v>
      </c>
      <c r="I3504" s="29">
        <v>138711.41999999998</v>
      </c>
      <c r="J3504" s="12" t="s">
        <v>31</v>
      </c>
      <c r="K3504" s="76">
        <f t="shared" si="247"/>
        <v>138711.41999999998</v>
      </c>
      <c r="L3504">
        <v>1</v>
      </c>
      <c r="M3504" s="29">
        <v>0</v>
      </c>
      <c r="N3504" t="s">
        <v>32</v>
      </c>
      <c r="O3504" t="s">
        <v>33</v>
      </c>
      <c r="P3504" t="s">
        <v>34</v>
      </c>
      <c r="Q3504" t="s">
        <v>34</v>
      </c>
      <c r="R3504" t="s">
        <v>34</v>
      </c>
      <c r="S3504" t="s">
        <v>34</v>
      </c>
      <c r="T3504" s="117">
        <f>11383.2+11672.96</f>
        <v>23056.16</v>
      </c>
    </row>
    <row r="3505" spans="1:21" x14ac:dyDescent="0.35">
      <c r="A3505" t="s">
        <v>19</v>
      </c>
      <c r="B3505" t="s">
        <v>19</v>
      </c>
      <c r="C3505" s="1">
        <v>45770</v>
      </c>
      <c r="D3505">
        <f t="shared" si="248"/>
        <v>23</v>
      </c>
      <c r="E3505">
        <f t="shared" si="249"/>
        <v>4</v>
      </c>
      <c r="F3505">
        <f t="shared" si="250"/>
        <v>2025</v>
      </c>
      <c r="G3505" t="s">
        <v>553</v>
      </c>
      <c r="H3505" s="98" t="s">
        <v>983</v>
      </c>
      <c r="I3505" s="29">
        <v>6346.2</v>
      </c>
      <c r="J3505" s="12" t="s">
        <v>31</v>
      </c>
      <c r="K3505" s="76">
        <f t="shared" si="247"/>
        <v>6346.2</v>
      </c>
      <c r="L3505">
        <v>1</v>
      </c>
      <c r="M3505" s="29">
        <v>0</v>
      </c>
      <c r="N3505" t="s">
        <v>32</v>
      </c>
      <c r="O3505" t="s">
        <v>33</v>
      </c>
      <c r="P3505" t="s">
        <v>34</v>
      </c>
      <c r="Q3505" t="s">
        <v>34</v>
      </c>
      <c r="R3505" t="s">
        <v>34</v>
      </c>
      <c r="S3505" t="s">
        <v>34</v>
      </c>
      <c r="T3505" s="117">
        <v>0</v>
      </c>
    </row>
    <row r="3506" spans="1:21" x14ac:dyDescent="0.35">
      <c r="A3506" t="s">
        <v>19</v>
      </c>
      <c r="B3506" t="s">
        <v>19</v>
      </c>
      <c r="C3506" s="1">
        <v>45770</v>
      </c>
      <c r="D3506">
        <f t="shared" si="248"/>
        <v>23</v>
      </c>
      <c r="E3506">
        <f t="shared" si="249"/>
        <v>4</v>
      </c>
      <c r="F3506">
        <f t="shared" si="250"/>
        <v>2025</v>
      </c>
      <c r="G3506" t="s">
        <v>110</v>
      </c>
      <c r="H3506" s="98" t="s">
        <v>985</v>
      </c>
      <c r="I3506" s="29">
        <v>115415.36000000002</v>
      </c>
      <c r="J3506" s="12" t="s">
        <v>31</v>
      </c>
      <c r="K3506" s="76">
        <f t="shared" si="247"/>
        <v>115415.36000000002</v>
      </c>
      <c r="L3506">
        <v>1</v>
      </c>
      <c r="M3506" s="29">
        <v>0</v>
      </c>
      <c r="N3506" t="s">
        <v>32</v>
      </c>
      <c r="O3506" t="s">
        <v>33</v>
      </c>
      <c r="P3506" t="s">
        <v>34</v>
      </c>
      <c r="Q3506" t="s">
        <v>34</v>
      </c>
      <c r="R3506" t="s">
        <v>34</v>
      </c>
      <c r="S3506" t="s">
        <v>34</v>
      </c>
      <c r="T3506" s="117">
        <v>8828.4</v>
      </c>
    </row>
    <row r="3507" spans="1:21" x14ac:dyDescent="0.35">
      <c r="A3507" t="s">
        <v>19</v>
      </c>
      <c r="B3507" t="s">
        <v>19</v>
      </c>
      <c r="C3507" s="1">
        <v>45770</v>
      </c>
      <c r="D3507">
        <f t="shared" si="248"/>
        <v>23</v>
      </c>
      <c r="E3507">
        <f t="shared" si="249"/>
        <v>4</v>
      </c>
      <c r="F3507">
        <f t="shared" si="250"/>
        <v>2025</v>
      </c>
      <c r="G3507" t="s">
        <v>119</v>
      </c>
      <c r="H3507" s="98" t="s">
        <v>986</v>
      </c>
      <c r="I3507" s="29">
        <v>15654.8</v>
      </c>
      <c r="J3507" s="12" t="s">
        <v>31</v>
      </c>
      <c r="K3507" s="76">
        <f t="shared" si="247"/>
        <v>15654.8</v>
      </c>
      <c r="L3507">
        <v>1</v>
      </c>
      <c r="M3507" s="29">
        <v>0</v>
      </c>
      <c r="N3507" t="s">
        <v>32</v>
      </c>
      <c r="O3507" t="s">
        <v>33</v>
      </c>
      <c r="P3507" t="s">
        <v>34</v>
      </c>
      <c r="Q3507" t="s">
        <v>34</v>
      </c>
      <c r="R3507" t="s">
        <v>34</v>
      </c>
      <c r="S3507" t="s">
        <v>34</v>
      </c>
      <c r="T3507" s="117">
        <v>0</v>
      </c>
    </row>
    <row r="3508" spans="1:21" x14ac:dyDescent="0.35">
      <c r="A3508" t="s">
        <v>19</v>
      </c>
      <c r="B3508" t="s">
        <v>19</v>
      </c>
      <c r="C3508" s="1">
        <v>45770</v>
      </c>
      <c r="D3508">
        <f t="shared" si="248"/>
        <v>23</v>
      </c>
      <c r="E3508">
        <f t="shared" si="249"/>
        <v>4</v>
      </c>
      <c r="F3508">
        <f t="shared" si="250"/>
        <v>2025</v>
      </c>
      <c r="G3508" t="s">
        <v>601</v>
      </c>
      <c r="H3508" s="171" t="s">
        <v>987</v>
      </c>
      <c r="I3508" s="90">
        <v>55790.559999999998</v>
      </c>
      <c r="J3508" s="12" t="s">
        <v>31</v>
      </c>
      <c r="K3508" s="76">
        <f t="shared" si="247"/>
        <v>55790.559999999998</v>
      </c>
      <c r="L3508">
        <v>1</v>
      </c>
      <c r="M3508" s="29">
        <v>0</v>
      </c>
      <c r="N3508" t="s">
        <v>32</v>
      </c>
      <c r="O3508" t="s">
        <v>33</v>
      </c>
      <c r="P3508" t="s">
        <v>34</v>
      </c>
      <c r="Q3508" t="s">
        <v>34</v>
      </c>
      <c r="R3508" t="s">
        <v>34</v>
      </c>
      <c r="S3508" t="s">
        <v>34</v>
      </c>
      <c r="T3508" s="117">
        <v>0</v>
      </c>
    </row>
    <row r="3509" spans="1:21" x14ac:dyDescent="0.35">
      <c r="A3509" t="s">
        <v>19</v>
      </c>
      <c r="B3509" t="s">
        <v>19</v>
      </c>
      <c r="C3509" s="1">
        <v>45770</v>
      </c>
      <c r="D3509">
        <f t="shared" si="248"/>
        <v>23</v>
      </c>
      <c r="E3509">
        <f t="shared" si="249"/>
        <v>4</v>
      </c>
      <c r="F3509">
        <f t="shared" si="250"/>
        <v>2025</v>
      </c>
      <c r="G3509" t="s">
        <v>54</v>
      </c>
      <c r="H3509" s="98" t="s">
        <v>923</v>
      </c>
      <c r="I3509" s="29">
        <v>130655.51</v>
      </c>
      <c r="J3509" s="12" t="s">
        <v>31</v>
      </c>
      <c r="K3509" s="76">
        <f t="shared" si="247"/>
        <v>130655.51</v>
      </c>
      <c r="L3509">
        <v>1</v>
      </c>
      <c r="M3509" s="29">
        <v>0</v>
      </c>
      <c r="N3509" t="s">
        <v>32</v>
      </c>
      <c r="O3509" t="s">
        <v>33</v>
      </c>
      <c r="P3509" t="s">
        <v>34</v>
      </c>
      <c r="Q3509" t="s">
        <v>34</v>
      </c>
      <c r="R3509" t="s">
        <v>34</v>
      </c>
      <c r="S3509" t="s">
        <v>34</v>
      </c>
      <c r="T3509" s="117">
        <v>0</v>
      </c>
    </row>
    <row r="3510" spans="1:21" x14ac:dyDescent="0.35">
      <c r="A3510" t="s">
        <v>19</v>
      </c>
      <c r="B3510" t="s">
        <v>19</v>
      </c>
      <c r="C3510" s="1">
        <v>45770</v>
      </c>
      <c r="D3510">
        <f t="shared" si="248"/>
        <v>23</v>
      </c>
      <c r="E3510">
        <f t="shared" si="249"/>
        <v>4</v>
      </c>
      <c r="F3510">
        <f t="shared" si="250"/>
        <v>2025</v>
      </c>
      <c r="G3510" t="s">
        <v>582</v>
      </c>
      <c r="H3510" s="98" t="s">
        <v>988</v>
      </c>
      <c r="I3510" s="29">
        <v>16486.5</v>
      </c>
      <c r="J3510" s="12" t="s">
        <v>31</v>
      </c>
      <c r="K3510" s="76">
        <f t="shared" si="247"/>
        <v>16486.5</v>
      </c>
      <c r="L3510">
        <v>1</v>
      </c>
      <c r="M3510" s="29">
        <v>0</v>
      </c>
      <c r="N3510" t="s">
        <v>42</v>
      </c>
      <c r="O3510" t="s">
        <v>33</v>
      </c>
      <c r="P3510" t="s">
        <v>34</v>
      </c>
      <c r="Q3510" t="s">
        <v>34</v>
      </c>
      <c r="R3510" t="s">
        <v>34</v>
      </c>
      <c r="S3510" t="s">
        <v>34</v>
      </c>
      <c r="T3510" s="117">
        <v>0</v>
      </c>
    </row>
    <row r="3511" spans="1:21" x14ac:dyDescent="0.35">
      <c r="A3511" t="s">
        <v>19</v>
      </c>
      <c r="B3511" t="s">
        <v>26</v>
      </c>
      <c r="C3511" s="1">
        <v>45771</v>
      </c>
      <c r="D3511">
        <f t="shared" si="248"/>
        <v>24</v>
      </c>
      <c r="E3511">
        <f t="shared" si="249"/>
        <v>4</v>
      </c>
      <c r="F3511">
        <f t="shared" si="250"/>
        <v>2025</v>
      </c>
      <c r="G3511" t="s">
        <v>73</v>
      </c>
      <c r="H3511" s="98">
        <v>12399</v>
      </c>
      <c r="I3511" s="29">
        <v>61287.47</v>
      </c>
      <c r="J3511" s="12" t="s">
        <v>51</v>
      </c>
      <c r="K3511" s="76">
        <f t="shared" si="247"/>
        <v>69745.14086</v>
      </c>
      <c r="L3511">
        <v>1.1379999999999999</v>
      </c>
      <c r="M3511" s="29">
        <v>0</v>
      </c>
      <c r="N3511" t="s">
        <v>32</v>
      </c>
      <c r="O3511" t="s">
        <v>33</v>
      </c>
      <c r="P3511" t="s">
        <v>34</v>
      </c>
      <c r="Q3511" t="s">
        <v>34</v>
      </c>
      <c r="R3511" t="s">
        <v>34</v>
      </c>
      <c r="S3511" t="s">
        <v>34</v>
      </c>
      <c r="T3511" s="117">
        <v>0</v>
      </c>
      <c r="U3511" s="209" t="s">
        <v>94</v>
      </c>
    </row>
    <row r="3512" spans="1:21" x14ac:dyDescent="0.35">
      <c r="A3512" t="s">
        <v>19</v>
      </c>
      <c r="B3512" t="s">
        <v>26</v>
      </c>
      <c r="C3512" s="1">
        <v>45771</v>
      </c>
      <c r="D3512">
        <f t="shared" si="248"/>
        <v>24</v>
      </c>
      <c r="E3512">
        <f t="shared" si="249"/>
        <v>4</v>
      </c>
      <c r="F3512">
        <f t="shared" si="250"/>
        <v>2025</v>
      </c>
      <c r="G3512" t="s">
        <v>73</v>
      </c>
      <c r="H3512" s="98">
        <v>12401</v>
      </c>
      <c r="I3512" s="29">
        <v>29835.11</v>
      </c>
      <c r="J3512" s="12" t="s">
        <v>51</v>
      </c>
      <c r="K3512" s="76">
        <f t="shared" si="247"/>
        <v>33952.355179999999</v>
      </c>
      <c r="L3512">
        <v>1.1379999999999999</v>
      </c>
      <c r="M3512" s="29">
        <v>0</v>
      </c>
      <c r="N3512" t="s">
        <v>32</v>
      </c>
      <c r="O3512" t="s">
        <v>33</v>
      </c>
      <c r="P3512" t="s">
        <v>34</v>
      </c>
      <c r="Q3512" t="s">
        <v>34</v>
      </c>
      <c r="R3512" t="s">
        <v>34</v>
      </c>
      <c r="S3512" t="s">
        <v>34</v>
      </c>
      <c r="T3512" s="117">
        <v>0</v>
      </c>
      <c r="U3512" s="209" t="s">
        <v>94</v>
      </c>
    </row>
    <row r="3513" spans="1:21" x14ac:dyDescent="0.35">
      <c r="A3513" t="s">
        <v>19</v>
      </c>
      <c r="B3513" t="s">
        <v>26</v>
      </c>
      <c r="C3513" s="1">
        <v>45771</v>
      </c>
      <c r="D3513">
        <f t="shared" si="248"/>
        <v>24</v>
      </c>
      <c r="E3513">
        <f t="shared" si="249"/>
        <v>4</v>
      </c>
      <c r="F3513">
        <f t="shared" si="250"/>
        <v>2025</v>
      </c>
      <c r="G3513" t="s">
        <v>73</v>
      </c>
      <c r="H3513" s="98">
        <v>0</v>
      </c>
      <c r="I3513" s="29">
        <v>60449.42</v>
      </c>
      <c r="J3513" s="12" t="s">
        <v>51</v>
      </c>
      <c r="K3513" s="76">
        <f t="shared" si="247"/>
        <v>68791.439959999989</v>
      </c>
      <c r="L3513">
        <v>1.1379999999999999</v>
      </c>
      <c r="M3513" s="29">
        <v>0</v>
      </c>
      <c r="N3513" t="s">
        <v>32</v>
      </c>
      <c r="O3513" t="s">
        <v>33</v>
      </c>
      <c r="P3513" t="s">
        <v>34</v>
      </c>
      <c r="Q3513" t="s">
        <v>34</v>
      </c>
      <c r="R3513" t="s">
        <v>34</v>
      </c>
      <c r="S3513" t="s">
        <v>34</v>
      </c>
      <c r="T3513" s="117">
        <v>0</v>
      </c>
      <c r="U3513" s="209" t="s">
        <v>94</v>
      </c>
    </row>
    <row r="3514" spans="1:21" x14ac:dyDescent="0.35">
      <c r="A3514" t="s">
        <v>20</v>
      </c>
      <c r="B3514" t="s">
        <v>21</v>
      </c>
      <c r="C3514" s="1">
        <v>45771</v>
      </c>
      <c r="D3514">
        <f t="shared" si="248"/>
        <v>24</v>
      </c>
      <c r="E3514">
        <f t="shared" si="249"/>
        <v>4</v>
      </c>
      <c r="F3514">
        <f t="shared" si="250"/>
        <v>2025</v>
      </c>
      <c r="G3514" t="s">
        <v>595</v>
      </c>
      <c r="H3514" s="98">
        <v>11640</v>
      </c>
      <c r="I3514" s="29">
        <v>1324.8</v>
      </c>
      <c r="J3514" s="12" t="s">
        <v>31</v>
      </c>
      <c r="K3514" s="76">
        <f t="shared" si="247"/>
        <v>1324.8</v>
      </c>
      <c r="L3514">
        <v>1</v>
      </c>
      <c r="M3514" s="29">
        <v>0</v>
      </c>
      <c r="N3514" t="s">
        <v>32</v>
      </c>
      <c r="O3514" t="s">
        <v>33</v>
      </c>
      <c r="P3514" t="s">
        <v>34</v>
      </c>
      <c r="Q3514" t="s">
        <v>34</v>
      </c>
      <c r="R3514" t="s">
        <v>34</v>
      </c>
      <c r="S3514" t="s">
        <v>34</v>
      </c>
      <c r="T3514" s="117">
        <v>0</v>
      </c>
    </row>
    <row r="3515" spans="1:21" x14ac:dyDescent="0.35">
      <c r="A3515" t="s">
        <v>20</v>
      </c>
      <c r="B3515" t="s">
        <v>21</v>
      </c>
      <c r="C3515" s="1">
        <v>45771</v>
      </c>
      <c r="D3515">
        <f t="shared" si="248"/>
        <v>24</v>
      </c>
      <c r="E3515">
        <f t="shared" si="249"/>
        <v>4</v>
      </c>
      <c r="F3515">
        <f t="shared" si="250"/>
        <v>2025</v>
      </c>
      <c r="G3515" t="s">
        <v>595</v>
      </c>
      <c r="H3515" s="98">
        <v>11880</v>
      </c>
      <c r="I3515" s="29">
        <v>9539.7900000000009</v>
      </c>
      <c r="J3515" s="12" t="s">
        <v>31</v>
      </c>
      <c r="K3515" s="76">
        <f t="shared" si="247"/>
        <v>9539.7900000000009</v>
      </c>
      <c r="L3515">
        <v>1</v>
      </c>
      <c r="M3515" s="29">
        <v>0</v>
      </c>
      <c r="N3515" t="s">
        <v>32</v>
      </c>
      <c r="O3515" t="s">
        <v>33</v>
      </c>
      <c r="P3515" t="s">
        <v>34</v>
      </c>
      <c r="Q3515" t="s">
        <v>34</v>
      </c>
      <c r="R3515" t="s">
        <v>34</v>
      </c>
      <c r="S3515" t="s">
        <v>34</v>
      </c>
      <c r="T3515" s="117">
        <v>0</v>
      </c>
    </row>
    <row r="3516" spans="1:21" x14ac:dyDescent="0.35">
      <c r="A3516" t="s">
        <v>20</v>
      </c>
      <c r="B3516" t="s">
        <v>23</v>
      </c>
      <c r="C3516" s="1">
        <v>45771</v>
      </c>
      <c r="D3516">
        <f t="shared" si="248"/>
        <v>24</v>
      </c>
      <c r="E3516">
        <f t="shared" si="249"/>
        <v>4</v>
      </c>
      <c r="F3516">
        <f t="shared" si="250"/>
        <v>2025</v>
      </c>
      <c r="G3516" t="s">
        <v>595</v>
      </c>
      <c r="H3516" s="98">
        <v>11880</v>
      </c>
      <c r="I3516" s="29">
        <v>29131.75</v>
      </c>
      <c r="J3516" s="12" t="s">
        <v>31</v>
      </c>
      <c r="K3516" s="76">
        <f t="shared" si="247"/>
        <v>29131.75</v>
      </c>
      <c r="L3516">
        <v>1</v>
      </c>
      <c r="M3516" s="29">
        <v>0</v>
      </c>
      <c r="N3516" t="s">
        <v>32</v>
      </c>
      <c r="O3516" t="s">
        <v>33</v>
      </c>
      <c r="P3516" t="s">
        <v>34</v>
      </c>
      <c r="Q3516" t="s">
        <v>34</v>
      </c>
      <c r="R3516" t="s">
        <v>34</v>
      </c>
      <c r="S3516" t="s">
        <v>34</v>
      </c>
      <c r="T3516" s="117">
        <v>0</v>
      </c>
    </row>
    <row r="3517" spans="1:21" x14ac:dyDescent="0.35">
      <c r="A3517" t="s">
        <v>19</v>
      </c>
      <c r="B3517" t="s">
        <v>25</v>
      </c>
      <c r="C3517" s="1">
        <v>45779</v>
      </c>
      <c r="D3517">
        <f t="shared" si="248"/>
        <v>2</v>
      </c>
      <c r="E3517">
        <f t="shared" si="249"/>
        <v>5</v>
      </c>
      <c r="F3517">
        <f t="shared" si="250"/>
        <v>2025</v>
      </c>
      <c r="G3517" t="s">
        <v>78</v>
      </c>
      <c r="H3517" s="98">
        <v>12134</v>
      </c>
      <c r="I3517" s="29">
        <v>195</v>
      </c>
      <c r="J3517" s="12" t="s">
        <v>51</v>
      </c>
      <c r="K3517" s="76">
        <f t="shared" si="247"/>
        <v>221.79300000000001</v>
      </c>
      <c r="L3517">
        <v>1.1374</v>
      </c>
      <c r="M3517" s="29">
        <v>0</v>
      </c>
      <c r="N3517" t="s">
        <v>32</v>
      </c>
      <c r="O3517" t="s">
        <v>33</v>
      </c>
      <c r="P3517" t="s">
        <v>34</v>
      </c>
      <c r="Q3517" t="s">
        <v>34</v>
      </c>
      <c r="R3517" t="s">
        <v>34</v>
      </c>
      <c r="S3517" t="s">
        <v>34</v>
      </c>
      <c r="T3517" s="117">
        <v>0</v>
      </c>
    </row>
    <row r="3518" spans="1:21" x14ac:dyDescent="0.35">
      <c r="A3518" t="s">
        <v>19</v>
      </c>
      <c r="B3518" t="s">
        <v>25</v>
      </c>
      <c r="C3518" s="1">
        <v>45779</v>
      </c>
      <c r="D3518">
        <f t="shared" si="248"/>
        <v>2</v>
      </c>
      <c r="E3518">
        <f t="shared" si="249"/>
        <v>5</v>
      </c>
      <c r="F3518">
        <f t="shared" si="250"/>
        <v>2025</v>
      </c>
      <c r="G3518" t="s">
        <v>78</v>
      </c>
      <c r="H3518" s="98">
        <v>12256</v>
      </c>
      <c r="I3518" s="29">
        <v>600</v>
      </c>
      <c r="J3518" s="12" t="s">
        <v>51</v>
      </c>
      <c r="K3518" s="76">
        <f t="shared" si="247"/>
        <v>682.43999999999994</v>
      </c>
      <c r="L3518">
        <v>1.1374</v>
      </c>
      <c r="M3518" s="29">
        <v>0</v>
      </c>
      <c r="N3518" t="s">
        <v>32</v>
      </c>
      <c r="O3518" t="s">
        <v>33</v>
      </c>
      <c r="P3518" t="s">
        <v>34</v>
      </c>
      <c r="Q3518" t="s">
        <v>34</v>
      </c>
      <c r="R3518" t="s">
        <v>34</v>
      </c>
      <c r="S3518" t="s">
        <v>34</v>
      </c>
      <c r="T3518" s="117">
        <v>0</v>
      </c>
    </row>
    <row r="3519" spans="1:21" x14ac:dyDescent="0.35">
      <c r="A3519" t="s">
        <v>19</v>
      </c>
      <c r="B3519" t="s">
        <v>25</v>
      </c>
      <c r="C3519" s="1">
        <v>45779</v>
      </c>
      <c r="D3519">
        <f t="shared" si="248"/>
        <v>2</v>
      </c>
      <c r="E3519">
        <f t="shared" si="249"/>
        <v>5</v>
      </c>
      <c r="F3519">
        <f t="shared" si="250"/>
        <v>2025</v>
      </c>
      <c r="G3519" t="s">
        <v>1146</v>
      </c>
      <c r="H3519" s="98">
        <v>12487</v>
      </c>
      <c r="I3519" s="29">
        <v>23072</v>
      </c>
      <c r="J3519" s="12" t="s">
        <v>51</v>
      </c>
      <c r="K3519" s="76">
        <f t="shared" si="247"/>
        <v>26279.008000000002</v>
      </c>
      <c r="L3519">
        <v>1.139</v>
      </c>
      <c r="M3519" s="29">
        <v>0</v>
      </c>
      <c r="N3519" t="s">
        <v>42</v>
      </c>
      <c r="O3519" t="s">
        <v>33</v>
      </c>
      <c r="P3519" t="s">
        <v>34</v>
      </c>
      <c r="Q3519" t="s">
        <v>34</v>
      </c>
      <c r="R3519" t="s">
        <v>34</v>
      </c>
      <c r="S3519" t="s">
        <v>34</v>
      </c>
      <c r="T3519" s="117">
        <v>0</v>
      </c>
      <c r="U3519" s="209" t="s">
        <v>94</v>
      </c>
    </row>
    <row r="3520" spans="1:21" x14ac:dyDescent="0.35">
      <c r="A3520" t="s">
        <v>19</v>
      </c>
      <c r="B3520" t="s">
        <v>25</v>
      </c>
      <c r="C3520" s="1">
        <v>45779</v>
      </c>
      <c r="D3520">
        <f t="shared" si="248"/>
        <v>2</v>
      </c>
      <c r="E3520">
        <f t="shared" si="249"/>
        <v>5</v>
      </c>
      <c r="F3520">
        <f t="shared" si="250"/>
        <v>2025</v>
      </c>
      <c r="G3520" t="s">
        <v>36</v>
      </c>
      <c r="H3520" s="98">
        <v>12149</v>
      </c>
      <c r="I3520" s="29">
        <v>101523.78</v>
      </c>
      <c r="J3520" s="12" t="s">
        <v>31</v>
      </c>
      <c r="K3520" s="76">
        <f t="shared" si="247"/>
        <v>101523.78</v>
      </c>
      <c r="L3520">
        <v>1</v>
      </c>
      <c r="M3520" s="29">
        <v>0</v>
      </c>
      <c r="N3520" t="s">
        <v>32</v>
      </c>
      <c r="O3520" t="s">
        <v>33</v>
      </c>
      <c r="P3520" t="s">
        <v>34</v>
      </c>
      <c r="Q3520" t="s">
        <v>34</v>
      </c>
      <c r="R3520" t="s">
        <v>34</v>
      </c>
      <c r="S3520" t="s">
        <v>34</v>
      </c>
      <c r="T3520" s="117">
        <v>0</v>
      </c>
    </row>
    <row r="3521" spans="1:20" x14ac:dyDescent="0.35">
      <c r="A3521" t="s">
        <v>19</v>
      </c>
      <c r="B3521" t="s">
        <v>21</v>
      </c>
      <c r="C3521" s="1">
        <v>45779</v>
      </c>
      <c r="D3521">
        <f t="shared" si="248"/>
        <v>2</v>
      </c>
      <c r="E3521">
        <f t="shared" si="249"/>
        <v>5</v>
      </c>
      <c r="F3521">
        <f t="shared" si="250"/>
        <v>2025</v>
      </c>
      <c r="G3521" t="s">
        <v>36</v>
      </c>
      <c r="H3521" s="98">
        <v>12341</v>
      </c>
      <c r="I3521" s="29">
        <v>17</v>
      </c>
      <c r="J3521" s="12" t="s">
        <v>31</v>
      </c>
      <c r="K3521" s="76">
        <f t="shared" si="247"/>
        <v>17</v>
      </c>
      <c r="L3521">
        <v>1</v>
      </c>
      <c r="M3521" s="29">
        <v>0</v>
      </c>
      <c r="N3521" t="s">
        <v>32</v>
      </c>
      <c r="O3521" t="s">
        <v>33</v>
      </c>
      <c r="P3521" t="s">
        <v>34</v>
      </c>
      <c r="Q3521" t="s">
        <v>34</v>
      </c>
      <c r="R3521" t="s">
        <v>34</v>
      </c>
      <c r="S3521" t="s">
        <v>34</v>
      </c>
      <c r="T3521" s="117">
        <v>0</v>
      </c>
    </row>
    <row r="3522" spans="1:20" x14ac:dyDescent="0.35">
      <c r="A3522" t="s">
        <v>19</v>
      </c>
      <c r="B3522" t="s">
        <v>27</v>
      </c>
      <c r="C3522" s="1">
        <v>45779</v>
      </c>
      <c r="D3522">
        <f t="shared" si="248"/>
        <v>2</v>
      </c>
      <c r="E3522">
        <f t="shared" si="249"/>
        <v>5</v>
      </c>
      <c r="F3522">
        <f t="shared" si="250"/>
        <v>2025</v>
      </c>
      <c r="G3522" t="s">
        <v>100</v>
      </c>
      <c r="H3522" s="98">
        <v>12245</v>
      </c>
      <c r="I3522" s="29">
        <v>400000</v>
      </c>
      <c r="J3522" s="12" t="s">
        <v>31</v>
      </c>
      <c r="K3522" s="76">
        <f t="shared" si="247"/>
        <v>400000</v>
      </c>
      <c r="L3522">
        <v>1</v>
      </c>
      <c r="M3522" s="29">
        <v>0</v>
      </c>
      <c r="N3522" t="s">
        <v>32</v>
      </c>
      <c r="O3522" t="s">
        <v>33</v>
      </c>
      <c r="P3522" t="s">
        <v>34</v>
      </c>
      <c r="Q3522" t="s">
        <v>34</v>
      </c>
      <c r="R3522" t="s">
        <v>34</v>
      </c>
      <c r="S3522" t="s">
        <v>34</v>
      </c>
      <c r="T3522" s="117">
        <v>0</v>
      </c>
    </row>
    <row r="3523" spans="1:20" x14ac:dyDescent="0.35">
      <c r="A3523" t="s">
        <v>19</v>
      </c>
      <c r="B3523" t="s">
        <v>23</v>
      </c>
      <c r="C3523" s="1">
        <v>45779</v>
      </c>
      <c r="D3523">
        <f t="shared" si="248"/>
        <v>2</v>
      </c>
      <c r="E3523">
        <f t="shared" si="249"/>
        <v>5</v>
      </c>
      <c r="F3523">
        <f t="shared" si="250"/>
        <v>2025</v>
      </c>
      <c r="G3523" t="s">
        <v>989</v>
      </c>
      <c r="H3523" s="98">
        <v>12602</v>
      </c>
      <c r="I3523" s="29">
        <v>438</v>
      </c>
      <c r="J3523" s="12" t="s">
        <v>31</v>
      </c>
      <c r="K3523" s="76">
        <f t="shared" ref="K3523:K3586" si="251">IF(J3523="USD",I3523,I3523*L3523)</f>
        <v>438</v>
      </c>
      <c r="L3523">
        <v>1</v>
      </c>
      <c r="M3523" s="29">
        <v>0</v>
      </c>
      <c r="N3523" t="s">
        <v>42</v>
      </c>
      <c r="O3523" t="s">
        <v>33</v>
      </c>
      <c r="P3523" t="s">
        <v>34</v>
      </c>
      <c r="Q3523" t="s">
        <v>34</v>
      </c>
      <c r="R3523" t="s">
        <v>34</v>
      </c>
      <c r="S3523" t="s">
        <v>34</v>
      </c>
      <c r="T3523" s="117">
        <v>0</v>
      </c>
    </row>
    <row r="3524" spans="1:20" x14ac:dyDescent="0.35">
      <c r="A3524" t="s">
        <v>19</v>
      </c>
      <c r="B3524" t="s">
        <v>25</v>
      </c>
      <c r="C3524" s="1">
        <v>45779</v>
      </c>
      <c r="D3524">
        <f t="shared" ref="D3524:D3587" si="252">DAY(C3524)</f>
        <v>2</v>
      </c>
      <c r="E3524">
        <f t="shared" ref="E3524:E3587" si="253">MONTH(C3524)</f>
        <v>5</v>
      </c>
      <c r="F3524">
        <f t="shared" ref="F3524:F3587" si="254">YEAR(C3524)</f>
        <v>2025</v>
      </c>
      <c r="G3524" t="s">
        <v>30</v>
      </c>
      <c r="H3524" s="98">
        <v>12094</v>
      </c>
      <c r="I3524" s="29">
        <v>74.55</v>
      </c>
      <c r="J3524" s="12" t="s">
        <v>31</v>
      </c>
      <c r="K3524" s="76">
        <f t="shared" si="251"/>
        <v>74.55</v>
      </c>
      <c r="L3524">
        <v>1</v>
      </c>
      <c r="M3524" s="29">
        <v>0</v>
      </c>
      <c r="N3524" t="s">
        <v>32</v>
      </c>
      <c r="O3524" t="s">
        <v>33</v>
      </c>
      <c r="P3524" t="s">
        <v>34</v>
      </c>
      <c r="Q3524" t="s">
        <v>34</v>
      </c>
      <c r="R3524" t="s">
        <v>34</v>
      </c>
      <c r="S3524" t="s">
        <v>34</v>
      </c>
      <c r="T3524" s="117">
        <v>0</v>
      </c>
    </row>
    <row r="3525" spans="1:20" x14ac:dyDescent="0.35">
      <c r="A3525" t="s">
        <v>19</v>
      </c>
      <c r="B3525" t="s">
        <v>25</v>
      </c>
      <c r="C3525" s="1">
        <v>45779</v>
      </c>
      <c r="D3525">
        <f t="shared" si="252"/>
        <v>2</v>
      </c>
      <c r="E3525">
        <f t="shared" si="253"/>
        <v>5</v>
      </c>
      <c r="F3525">
        <f t="shared" si="254"/>
        <v>2025</v>
      </c>
      <c r="G3525" t="s">
        <v>30</v>
      </c>
      <c r="H3525" s="98">
        <v>12397</v>
      </c>
      <c r="I3525" s="29">
        <v>298.2</v>
      </c>
      <c r="J3525" s="12" t="s">
        <v>31</v>
      </c>
      <c r="K3525" s="76">
        <f t="shared" si="251"/>
        <v>298.2</v>
      </c>
      <c r="L3525">
        <v>1</v>
      </c>
      <c r="M3525" s="29">
        <v>0</v>
      </c>
      <c r="N3525" t="s">
        <v>32</v>
      </c>
      <c r="O3525" t="s">
        <v>33</v>
      </c>
      <c r="P3525" t="s">
        <v>34</v>
      </c>
      <c r="Q3525" t="s">
        <v>34</v>
      </c>
      <c r="R3525" t="s">
        <v>34</v>
      </c>
      <c r="S3525" t="s">
        <v>34</v>
      </c>
      <c r="T3525" s="117">
        <v>0</v>
      </c>
    </row>
    <row r="3526" spans="1:20" x14ac:dyDescent="0.35">
      <c r="A3526" t="s">
        <v>20</v>
      </c>
      <c r="B3526" t="s">
        <v>21</v>
      </c>
      <c r="C3526" s="1">
        <v>45779</v>
      </c>
      <c r="D3526">
        <f t="shared" si="252"/>
        <v>2</v>
      </c>
      <c r="E3526">
        <f t="shared" si="253"/>
        <v>5</v>
      </c>
      <c r="F3526">
        <f t="shared" si="254"/>
        <v>2025</v>
      </c>
      <c r="G3526" t="s">
        <v>52</v>
      </c>
      <c r="H3526" s="98">
        <v>11962</v>
      </c>
      <c r="I3526" s="29">
        <v>6197.15</v>
      </c>
      <c r="J3526" s="12" t="s">
        <v>31</v>
      </c>
      <c r="K3526" s="76">
        <f t="shared" si="251"/>
        <v>6197.15</v>
      </c>
      <c r="L3526">
        <v>1</v>
      </c>
      <c r="M3526" s="29">
        <v>0</v>
      </c>
      <c r="N3526" t="s">
        <v>32</v>
      </c>
      <c r="O3526" t="s">
        <v>33</v>
      </c>
      <c r="P3526" t="s">
        <v>34</v>
      </c>
      <c r="Q3526" t="s">
        <v>34</v>
      </c>
      <c r="R3526" t="s">
        <v>34</v>
      </c>
      <c r="S3526" t="s">
        <v>34</v>
      </c>
      <c r="T3526" s="117">
        <v>9470.92</v>
      </c>
    </row>
    <row r="3527" spans="1:20" x14ac:dyDescent="0.35">
      <c r="A3527" t="s">
        <v>20</v>
      </c>
      <c r="B3527" t="s">
        <v>21</v>
      </c>
      <c r="C3527" s="1">
        <v>45779</v>
      </c>
      <c r="D3527">
        <f t="shared" si="252"/>
        <v>2</v>
      </c>
      <c r="E3527">
        <f t="shared" si="253"/>
        <v>5</v>
      </c>
      <c r="F3527">
        <f t="shared" si="254"/>
        <v>2025</v>
      </c>
      <c r="G3527" t="s">
        <v>52</v>
      </c>
      <c r="H3527" s="98">
        <v>12325</v>
      </c>
      <c r="I3527" s="29">
        <v>26822.73</v>
      </c>
      <c r="J3527" s="12" t="s">
        <v>31</v>
      </c>
      <c r="K3527" s="76">
        <f t="shared" si="251"/>
        <v>26822.73</v>
      </c>
      <c r="L3527">
        <v>1</v>
      </c>
      <c r="M3527" s="29">
        <v>0</v>
      </c>
      <c r="N3527" t="s">
        <v>32</v>
      </c>
      <c r="O3527" t="s">
        <v>33</v>
      </c>
      <c r="P3527" t="s">
        <v>34</v>
      </c>
      <c r="Q3527" t="s">
        <v>34</v>
      </c>
      <c r="R3527" t="s">
        <v>34</v>
      </c>
      <c r="S3527" t="s">
        <v>34</v>
      </c>
      <c r="T3527" s="117">
        <v>0</v>
      </c>
    </row>
    <row r="3528" spans="1:20" x14ac:dyDescent="0.35">
      <c r="A3528" t="s">
        <v>20</v>
      </c>
      <c r="B3528" t="s">
        <v>21</v>
      </c>
      <c r="C3528" s="1">
        <v>45779</v>
      </c>
      <c r="D3528">
        <f t="shared" si="252"/>
        <v>2</v>
      </c>
      <c r="E3528">
        <f t="shared" si="253"/>
        <v>5</v>
      </c>
      <c r="F3528">
        <f t="shared" si="254"/>
        <v>2025</v>
      </c>
      <c r="G3528" t="s">
        <v>52</v>
      </c>
      <c r="H3528" s="98">
        <v>12356</v>
      </c>
      <c r="I3528" s="29">
        <v>11759.22</v>
      </c>
      <c r="J3528" s="12" t="s">
        <v>31</v>
      </c>
      <c r="K3528" s="76">
        <f t="shared" si="251"/>
        <v>11759.22</v>
      </c>
      <c r="L3528">
        <v>1</v>
      </c>
      <c r="M3528" s="29">
        <v>0</v>
      </c>
      <c r="N3528" t="s">
        <v>32</v>
      </c>
      <c r="O3528" t="s">
        <v>33</v>
      </c>
      <c r="P3528" t="s">
        <v>34</v>
      </c>
      <c r="Q3528" t="s">
        <v>34</v>
      </c>
      <c r="R3528" t="s">
        <v>34</v>
      </c>
      <c r="S3528" t="s">
        <v>34</v>
      </c>
      <c r="T3528" s="117">
        <v>0</v>
      </c>
    </row>
    <row r="3529" spans="1:20" x14ac:dyDescent="0.35">
      <c r="A3529" t="s">
        <v>20</v>
      </c>
      <c r="B3529" t="s">
        <v>21</v>
      </c>
      <c r="C3529" s="1">
        <v>45779</v>
      </c>
      <c r="D3529">
        <f t="shared" si="252"/>
        <v>2</v>
      </c>
      <c r="E3529">
        <f t="shared" si="253"/>
        <v>5</v>
      </c>
      <c r="F3529">
        <f t="shared" si="254"/>
        <v>2025</v>
      </c>
      <c r="G3529" t="s">
        <v>82</v>
      </c>
      <c r="H3529" s="98">
        <v>11823</v>
      </c>
      <c r="I3529" s="29">
        <v>26092.560000000001</v>
      </c>
      <c r="J3529" s="12" t="s">
        <v>31</v>
      </c>
      <c r="K3529" s="76">
        <f t="shared" si="251"/>
        <v>26092.560000000001</v>
      </c>
      <c r="L3529">
        <v>1</v>
      </c>
      <c r="M3529" s="29">
        <v>0</v>
      </c>
      <c r="N3529" t="s">
        <v>32</v>
      </c>
      <c r="O3529" t="s">
        <v>33</v>
      </c>
      <c r="P3529" t="s">
        <v>34</v>
      </c>
      <c r="Q3529" t="s">
        <v>34</v>
      </c>
      <c r="R3529" t="s">
        <v>34</v>
      </c>
      <c r="S3529" t="s">
        <v>34</v>
      </c>
      <c r="T3529" s="117">
        <v>0</v>
      </c>
    </row>
    <row r="3530" spans="1:20" x14ac:dyDescent="0.35">
      <c r="A3530" t="s">
        <v>20</v>
      </c>
      <c r="B3530" t="s">
        <v>24</v>
      </c>
      <c r="C3530" s="1">
        <v>45779</v>
      </c>
      <c r="D3530">
        <f t="shared" si="252"/>
        <v>2</v>
      </c>
      <c r="E3530">
        <f t="shared" si="253"/>
        <v>5</v>
      </c>
      <c r="F3530">
        <f t="shared" si="254"/>
        <v>2025</v>
      </c>
      <c r="G3530" t="s">
        <v>82</v>
      </c>
      <c r="H3530" s="98">
        <v>11823</v>
      </c>
      <c r="I3530" s="29">
        <v>13585.18</v>
      </c>
      <c r="J3530" s="12" t="s">
        <v>31</v>
      </c>
      <c r="K3530" s="76">
        <f t="shared" si="251"/>
        <v>13585.18</v>
      </c>
      <c r="L3530">
        <v>1</v>
      </c>
      <c r="M3530" s="29">
        <v>0</v>
      </c>
      <c r="N3530" t="s">
        <v>32</v>
      </c>
      <c r="O3530" t="s">
        <v>33</v>
      </c>
      <c r="P3530" t="s">
        <v>34</v>
      </c>
      <c r="Q3530" t="s">
        <v>34</v>
      </c>
      <c r="R3530" t="s">
        <v>34</v>
      </c>
      <c r="S3530" t="s">
        <v>34</v>
      </c>
      <c r="T3530" s="117">
        <v>0</v>
      </c>
    </row>
    <row r="3531" spans="1:20" x14ac:dyDescent="0.35">
      <c r="A3531" t="s">
        <v>20</v>
      </c>
      <c r="B3531" t="s">
        <v>23</v>
      </c>
      <c r="C3531" s="1">
        <v>45779</v>
      </c>
      <c r="D3531">
        <f t="shared" si="252"/>
        <v>2</v>
      </c>
      <c r="E3531">
        <f t="shared" si="253"/>
        <v>5</v>
      </c>
      <c r="F3531">
        <f t="shared" si="254"/>
        <v>2025</v>
      </c>
      <c r="G3531" t="s">
        <v>82</v>
      </c>
      <c r="H3531" s="98">
        <v>12195</v>
      </c>
      <c r="I3531" s="29">
        <v>81.400000000000006</v>
      </c>
      <c r="J3531" s="12" t="s">
        <v>31</v>
      </c>
      <c r="K3531" s="76">
        <f t="shared" si="251"/>
        <v>81.400000000000006</v>
      </c>
      <c r="L3531">
        <v>1</v>
      </c>
      <c r="M3531" s="29">
        <v>0</v>
      </c>
      <c r="N3531" t="s">
        <v>32</v>
      </c>
      <c r="O3531" t="s">
        <v>33</v>
      </c>
      <c r="P3531" t="s">
        <v>34</v>
      </c>
      <c r="Q3531" t="s">
        <v>34</v>
      </c>
      <c r="R3531" t="s">
        <v>34</v>
      </c>
      <c r="S3531" t="s">
        <v>34</v>
      </c>
      <c r="T3531" s="117">
        <v>0</v>
      </c>
    </row>
    <row r="3532" spans="1:20" x14ac:dyDescent="0.35">
      <c r="A3532" t="s">
        <v>20</v>
      </c>
      <c r="B3532" t="s">
        <v>21</v>
      </c>
      <c r="C3532" s="1">
        <v>45779</v>
      </c>
      <c r="D3532">
        <f t="shared" si="252"/>
        <v>2</v>
      </c>
      <c r="E3532">
        <f t="shared" si="253"/>
        <v>5</v>
      </c>
      <c r="F3532">
        <f t="shared" si="254"/>
        <v>2025</v>
      </c>
      <c r="G3532" t="s">
        <v>82</v>
      </c>
      <c r="H3532" s="98">
        <v>11923</v>
      </c>
      <c r="I3532" s="29">
        <v>45.6</v>
      </c>
      <c r="J3532" s="12" t="s">
        <v>31</v>
      </c>
      <c r="K3532" s="76">
        <f t="shared" si="251"/>
        <v>45.6</v>
      </c>
      <c r="L3532">
        <v>1</v>
      </c>
      <c r="M3532" s="29">
        <v>0</v>
      </c>
      <c r="N3532" t="s">
        <v>32</v>
      </c>
      <c r="O3532" t="s">
        <v>33</v>
      </c>
      <c r="P3532" t="s">
        <v>34</v>
      </c>
      <c r="Q3532" t="s">
        <v>34</v>
      </c>
      <c r="R3532" t="s">
        <v>34</v>
      </c>
      <c r="S3532" t="s">
        <v>34</v>
      </c>
      <c r="T3532" s="117">
        <v>0</v>
      </c>
    </row>
    <row r="3533" spans="1:20" x14ac:dyDescent="0.35">
      <c r="A3533" t="s">
        <v>20</v>
      </c>
      <c r="B3533" t="s">
        <v>24</v>
      </c>
      <c r="C3533" s="1">
        <v>45779</v>
      </c>
      <c r="D3533">
        <f t="shared" si="252"/>
        <v>2</v>
      </c>
      <c r="E3533">
        <f t="shared" si="253"/>
        <v>5</v>
      </c>
      <c r="F3533">
        <f t="shared" si="254"/>
        <v>2025</v>
      </c>
      <c r="G3533" t="s">
        <v>50</v>
      </c>
      <c r="H3533" s="98">
        <v>11930</v>
      </c>
      <c r="I3533" s="29">
        <v>42003</v>
      </c>
      <c r="J3533" s="12" t="s">
        <v>31</v>
      </c>
      <c r="K3533" s="76">
        <f t="shared" si="251"/>
        <v>42003</v>
      </c>
      <c r="L3533">
        <v>1</v>
      </c>
      <c r="M3533" s="29">
        <v>0</v>
      </c>
      <c r="N3533" t="s">
        <v>32</v>
      </c>
      <c r="O3533" t="s">
        <v>33</v>
      </c>
      <c r="P3533" t="s">
        <v>34</v>
      </c>
      <c r="Q3533" t="s">
        <v>34</v>
      </c>
      <c r="R3533" t="s">
        <v>34</v>
      </c>
      <c r="S3533" t="s">
        <v>34</v>
      </c>
      <c r="T3533" s="117">
        <v>0</v>
      </c>
    </row>
    <row r="3534" spans="1:20" x14ac:dyDescent="0.35">
      <c r="A3534" t="s">
        <v>20</v>
      </c>
      <c r="B3534" t="s">
        <v>21</v>
      </c>
      <c r="C3534" s="1">
        <v>45779</v>
      </c>
      <c r="D3534">
        <f t="shared" si="252"/>
        <v>2</v>
      </c>
      <c r="E3534">
        <f t="shared" si="253"/>
        <v>5</v>
      </c>
      <c r="F3534">
        <f t="shared" si="254"/>
        <v>2025</v>
      </c>
      <c r="G3534" t="s">
        <v>91</v>
      </c>
      <c r="H3534" s="98">
        <v>11942</v>
      </c>
      <c r="I3534" s="29">
        <v>201</v>
      </c>
      <c r="J3534" s="12" t="s">
        <v>31</v>
      </c>
      <c r="K3534" s="76">
        <f t="shared" si="251"/>
        <v>201</v>
      </c>
      <c r="L3534">
        <v>1</v>
      </c>
      <c r="M3534" s="29">
        <v>0</v>
      </c>
      <c r="N3534" t="s">
        <v>32</v>
      </c>
      <c r="O3534" t="s">
        <v>33</v>
      </c>
      <c r="P3534" t="s">
        <v>34</v>
      </c>
      <c r="Q3534" t="s">
        <v>34</v>
      </c>
      <c r="R3534" t="s">
        <v>34</v>
      </c>
      <c r="S3534" t="s">
        <v>34</v>
      </c>
      <c r="T3534" s="117">
        <v>0</v>
      </c>
    </row>
    <row r="3535" spans="1:20" x14ac:dyDescent="0.35">
      <c r="A3535" t="s">
        <v>20</v>
      </c>
      <c r="B3535" t="s">
        <v>24</v>
      </c>
      <c r="C3535" s="1">
        <v>45779</v>
      </c>
      <c r="D3535">
        <f t="shared" si="252"/>
        <v>2</v>
      </c>
      <c r="E3535">
        <f t="shared" si="253"/>
        <v>5</v>
      </c>
      <c r="F3535">
        <f t="shared" si="254"/>
        <v>2025</v>
      </c>
      <c r="G3535" t="s">
        <v>85</v>
      </c>
      <c r="H3535" s="98">
        <v>12255</v>
      </c>
      <c r="I3535" s="29">
        <v>93540.145000000004</v>
      </c>
      <c r="J3535" s="12" t="s">
        <v>31</v>
      </c>
      <c r="K3535" s="76">
        <f t="shared" si="251"/>
        <v>93540.145000000004</v>
      </c>
      <c r="L3535">
        <v>1</v>
      </c>
      <c r="M3535" s="29">
        <v>0</v>
      </c>
      <c r="N3535" t="s">
        <v>42</v>
      </c>
      <c r="O3535" t="s">
        <v>33</v>
      </c>
      <c r="P3535" t="s">
        <v>34</v>
      </c>
      <c r="Q3535" t="s">
        <v>34</v>
      </c>
      <c r="R3535" t="s">
        <v>34</v>
      </c>
      <c r="S3535" t="s">
        <v>34</v>
      </c>
      <c r="T3535" s="117">
        <v>0</v>
      </c>
    </row>
    <row r="3536" spans="1:20" x14ac:dyDescent="0.35">
      <c r="A3536" t="s">
        <v>20</v>
      </c>
      <c r="B3536" t="s">
        <v>21</v>
      </c>
      <c r="C3536" s="1">
        <v>45779</v>
      </c>
      <c r="D3536">
        <f t="shared" si="252"/>
        <v>2</v>
      </c>
      <c r="E3536">
        <f t="shared" si="253"/>
        <v>5</v>
      </c>
      <c r="F3536">
        <f t="shared" si="254"/>
        <v>2025</v>
      </c>
      <c r="G3536" t="s">
        <v>265</v>
      </c>
      <c r="H3536" s="98">
        <v>12610</v>
      </c>
      <c r="I3536" s="29">
        <v>268</v>
      </c>
      <c r="J3536" s="12" t="s">
        <v>31</v>
      </c>
      <c r="K3536" s="76">
        <f t="shared" si="251"/>
        <v>268</v>
      </c>
      <c r="L3536">
        <v>1</v>
      </c>
      <c r="M3536" s="29">
        <v>0</v>
      </c>
      <c r="N3536" t="s">
        <v>42</v>
      </c>
      <c r="O3536" t="s">
        <v>33</v>
      </c>
      <c r="P3536" t="s">
        <v>34</v>
      </c>
      <c r="Q3536" t="s">
        <v>34</v>
      </c>
      <c r="R3536" t="s">
        <v>34</v>
      </c>
      <c r="S3536" t="s">
        <v>34</v>
      </c>
      <c r="T3536" s="117">
        <v>0</v>
      </c>
    </row>
    <row r="3537" spans="1:21" x14ac:dyDescent="0.35">
      <c r="A3537" t="s">
        <v>20</v>
      </c>
      <c r="B3537" t="s">
        <v>21</v>
      </c>
      <c r="C3537" s="1">
        <v>45779</v>
      </c>
      <c r="D3537">
        <f t="shared" si="252"/>
        <v>2</v>
      </c>
      <c r="E3537">
        <f t="shared" si="253"/>
        <v>5</v>
      </c>
      <c r="F3537">
        <f t="shared" si="254"/>
        <v>2025</v>
      </c>
      <c r="G3537" t="s">
        <v>265</v>
      </c>
      <c r="H3537" s="98">
        <v>12557</v>
      </c>
      <c r="I3537" s="29">
        <v>20</v>
      </c>
      <c r="J3537" s="12" t="s">
        <v>31</v>
      </c>
      <c r="K3537" s="76">
        <f t="shared" si="251"/>
        <v>20</v>
      </c>
      <c r="L3537">
        <v>1</v>
      </c>
      <c r="M3537" s="29">
        <v>0</v>
      </c>
      <c r="N3537" t="s">
        <v>42</v>
      </c>
      <c r="O3537" t="s">
        <v>33</v>
      </c>
      <c r="P3537" t="s">
        <v>34</v>
      </c>
      <c r="Q3537" t="s">
        <v>34</v>
      </c>
      <c r="R3537" t="s">
        <v>34</v>
      </c>
      <c r="S3537" t="s">
        <v>34</v>
      </c>
      <c r="T3537" s="117">
        <v>0</v>
      </c>
    </row>
    <row r="3538" spans="1:21" ht="13" customHeight="1" x14ac:dyDescent="0.35">
      <c r="A3538" t="s">
        <v>20</v>
      </c>
      <c r="B3538" t="s">
        <v>21</v>
      </c>
      <c r="C3538" s="1">
        <v>45779</v>
      </c>
      <c r="D3538">
        <f t="shared" si="252"/>
        <v>2</v>
      </c>
      <c r="E3538">
        <f t="shared" si="253"/>
        <v>5</v>
      </c>
      <c r="F3538">
        <f t="shared" si="254"/>
        <v>2025</v>
      </c>
      <c r="G3538" t="s">
        <v>265</v>
      </c>
      <c r="H3538" s="98">
        <v>12611</v>
      </c>
      <c r="I3538" s="29">
        <v>5326.09</v>
      </c>
      <c r="J3538" s="12" t="s">
        <v>31</v>
      </c>
      <c r="K3538" s="76">
        <f t="shared" si="251"/>
        <v>5326.09</v>
      </c>
      <c r="L3538">
        <v>1</v>
      </c>
      <c r="M3538" s="29">
        <v>0</v>
      </c>
      <c r="N3538" t="s">
        <v>42</v>
      </c>
      <c r="O3538" t="s">
        <v>33</v>
      </c>
      <c r="P3538" t="s">
        <v>34</v>
      </c>
      <c r="Q3538" t="s">
        <v>34</v>
      </c>
      <c r="R3538" t="s">
        <v>34</v>
      </c>
      <c r="S3538" t="s">
        <v>34</v>
      </c>
      <c r="T3538" s="117">
        <v>0</v>
      </c>
    </row>
    <row r="3539" spans="1:21" x14ac:dyDescent="0.35">
      <c r="A3539" t="s">
        <v>20</v>
      </c>
      <c r="B3539" t="s">
        <v>23</v>
      </c>
      <c r="C3539" s="1">
        <v>45779</v>
      </c>
      <c r="D3539">
        <f t="shared" si="252"/>
        <v>2</v>
      </c>
      <c r="E3539">
        <f t="shared" si="253"/>
        <v>5</v>
      </c>
      <c r="F3539">
        <f t="shared" si="254"/>
        <v>2025</v>
      </c>
      <c r="G3539" t="s">
        <v>595</v>
      </c>
      <c r="H3539" s="98">
        <v>12621</v>
      </c>
      <c r="I3539" s="29">
        <v>83</v>
      </c>
      <c r="J3539" s="12" t="s">
        <v>31</v>
      </c>
      <c r="K3539" s="76">
        <f t="shared" si="251"/>
        <v>83</v>
      </c>
      <c r="L3539">
        <v>1</v>
      </c>
      <c r="M3539" s="29">
        <v>0</v>
      </c>
      <c r="N3539" t="s">
        <v>42</v>
      </c>
      <c r="O3539" t="s">
        <v>33</v>
      </c>
      <c r="P3539" t="s">
        <v>34</v>
      </c>
      <c r="Q3539" t="s">
        <v>34</v>
      </c>
      <c r="R3539" t="s">
        <v>34</v>
      </c>
      <c r="S3539" t="s">
        <v>34</v>
      </c>
      <c r="T3539" s="117">
        <v>0</v>
      </c>
    </row>
    <row r="3540" spans="1:21" x14ac:dyDescent="0.35">
      <c r="A3540" t="s">
        <v>20</v>
      </c>
      <c r="B3540" t="s">
        <v>23</v>
      </c>
      <c r="C3540" s="1">
        <v>45779</v>
      </c>
      <c r="D3540">
        <f t="shared" si="252"/>
        <v>2</v>
      </c>
      <c r="E3540">
        <f t="shared" si="253"/>
        <v>5</v>
      </c>
      <c r="F3540">
        <f t="shared" si="254"/>
        <v>2025</v>
      </c>
      <c r="G3540" t="s">
        <v>595</v>
      </c>
      <c r="H3540" s="98">
        <v>12622</v>
      </c>
      <c r="I3540" s="29">
        <v>5104.5</v>
      </c>
      <c r="J3540" s="12" t="s">
        <v>31</v>
      </c>
      <c r="K3540" s="76">
        <f t="shared" si="251"/>
        <v>5104.5</v>
      </c>
      <c r="L3540">
        <v>1</v>
      </c>
      <c r="M3540" s="29">
        <v>0</v>
      </c>
      <c r="N3540" t="s">
        <v>42</v>
      </c>
      <c r="O3540" t="s">
        <v>33</v>
      </c>
      <c r="P3540" t="s">
        <v>34</v>
      </c>
      <c r="Q3540" t="s">
        <v>34</v>
      </c>
      <c r="R3540" t="s">
        <v>34</v>
      </c>
      <c r="S3540" t="s">
        <v>34</v>
      </c>
      <c r="T3540" s="117">
        <v>0</v>
      </c>
    </row>
    <row r="3541" spans="1:21" x14ac:dyDescent="0.35">
      <c r="A3541" t="s">
        <v>20</v>
      </c>
      <c r="B3541" t="s">
        <v>25</v>
      </c>
      <c r="C3541" s="1">
        <v>45779</v>
      </c>
      <c r="D3541">
        <f t="shared" si="252"/>
        <v>2</v>
      </c>
      <c r="E3541">
        <f t="shared" si="253"/>
        <v>5</v>
      </c>
      <c r="F3541">
        <f t="shared" si="254"/>
        <v>2025</v>
      </c>
      <c r="G3541" t="s">
        <v>595</v>
      </c>
      <c r="H3541" s="171">
        <v>11866</v>
      </c>
      <c r="I3541" s="90">
        <v>1502.07</v>
      </c>
      <c r="J3541" s="12" t="s">
        <v>31</v>
      </c>
      <c r="K3541" s="76">
        <f t="shared" si="251"/>
        <v>1502.07</v>
      </c>
      <c r="L3541">
        <v>1</v>
      </c>
      <c r="M3541" s="29">
        <v>0</v>
      </c>
      <c r="N3541" t="s">
        <v>32</v>
      </c>
      <c r="O3541" t="s">
        <v>33</v>
      </c>
      <c r="P3541" t="s">
        <v>34</v>
      </c>
      <c r="Q3541" t="s">
        <v>34</v>
      </c>
      <c r="R3541" t="s">
        <v>34</v>
      </c>
      <c r="S3541" t="s">
        <v>34</v>
      </c>
      <c r="T3541" s="117">
        <v>0</v>
      </c>
    </row>
    <row r="3542" spans="1:21" x14ac:dyDescent="0.35">
      <c r="A3542" t="s">
        <v>20</v>
      </c>
      <c r="B3542" t="s">
        <v>23</v>
      </c>
      <c r="C3542" s="1">
        <v>45779</v>
      </c>
      <c r="D3542">
        <f t="shared" si="252"/>
        <v>2</v>
      </c>
      <c r="E3542">
        <f t="shared" si="253"/>
        <v>5</v>
      </c>
      <c r="F3542">
        <f t="shared" si="254"/>
        <v>2025</v>
      </c>
      <c r="G3542" t="s">
        <v>118</v>
      </c>
      <c r="H3542" s="98">
        <v>12617</v>
      </c>
      <c r="I3542" s="29">
        <v>21.6</v>
      </c>
      <c r="J3542" s="12" t="s">
        <v>31</v>
      </c>
      <c r="K3542" s="76">
        <f t="shared" si="251"/>
        <v>21.6</v>
      </c>
      <c r="L3542">
        <v>1</v>
      </c>
      <c r="M3542" s="29">
        <v>0</v>
      </c>
      <c r="N3542" t="s">
        <v>42</v>
      </c>
      <c r="O3542" t="s">
        <v>33</v>
      </c>
      <c r="P3542" t="s">
        <v>34</v>
      </c>
      <c r="Q3542" t="s">
        <v>34</v>
      </c>
      <c r="R3542" t="s">
        <v>34</v>
      </c>
      <c r="S3542" t="s">
        <v>34</v>
      </c>
      <c r="T3542" s="117">
        <v>0</v>
      </c>
    </row>
    <row r="3543" spans="1:21" x14ac:dyDescent="0.35">
      <c r="A3543" t="s">
        <v>20</v>
      </c>
      <c r="B3543" t="s">
        <v>23</v>
      </c>
      <c r="C3543" s="1">
        <v>45779</v>
      </c>
      <c r="D3543">
        <f t="shared" si="252"/>
        <v>2</v>
      </c>
      <c r="E3543">
        <f t="shared" si="253"/>
        <v>5</v>
      </c>
      <c r="F3543">
        <f t="shared" si="254"/>
        <v>2025</v>
      </c>
      <c r="G3543" t="s">
        <v>118</v>
      </c>
      <c r="H3543" s="98">
        <v>12618</v>
      </c>
      <c r="I3543" s="29">
        <v>1512</v>
      </c>
      <c r="J3543" s="12" t="s">
        <v>31</v>
      </c>
      <c r="K3543" s="76">
        <f t="shared" si="251"/>
        <v>1512</v>
      </c>
      <c r="L3543">
        <v>1</v>
      </c>
      <c r="M3543" s="29">
        <v>0</v>
      </c>
      <c r="N3543" t="s">
        <v>42</v>
      </c>
      <c r="O3543" t="s">
        <v>33</v>
      </c>
      <c r="P3543" t="s">
        <v>34</v>
      </c>
      <c r="Q3543" t="s">
        <v>34</v>
      </c>
      <c r="R3543" t="s">
        <v>34</v>
      </c>
      <c r="S3543" t="s">
        <v>34</v>
      </c>
      <c r="T3543" s="117">
        <v>0</v>
      </c>
    </row>
    <row r="3544" spans="1:21" x14ac:dyDescent="0.35">
      <c r="A3544" t="s">
        <v>20</v>
      </c>
      <c r="B3544" t="s">
        <v>25</v>
      </c>
      <c r="C3544" s="1">
        <v>45779</v>
      </c>
      <c r="D3544">
        <f t="shared" si="252"/>
        <v>2</v>
      </c>
      <c r="E3544">
        <f t="shared" si="253"/>
        <v>5</v>
      </c>
      <c r="F3544">
        <f t="shared" si="254"/>
        <v>2025</v>
      </c>
      <c r="G3544" t="s">
        <v>87</v>
      </c>
      <c r="H3544" s="98">
        <v>11849</v>
      </c>
      <c r="I3544" s="29">
        <v>14616.6</v>
      </c>
      <c r="J3544" s="12" t="s">
        <v>31</v>
      </c>
      <c r="K3544" s="76">
        <f t="shared" si="251"/>
        <v>14616.6</v>
      </c>
      <c r="L3544">
        <v>1</v>
      </c>
      <c r="M3544" s="29">
        <v>0</v>
      </c>
      <c r="N3544" t="s">
        <v>32</v>
      </c>
      <c r="O3544" t="s">
        <v>33</v>
      </c>
      <c r="P3544" t="s">
        <v>34</v>
      </c>
      <c r="Q3544" t="s">
        <v>34</v>
      </c>
      <c r="R3544" t="s">
        <v>34</v>
      </c>
      <c r="S3544" t="s">
        <v>34</v>
      </c>
      <c r="T3544" s="117">
        <v>0</v>
      </c>
    </row>
    <row r="3545" spans="1:21" x14ac:dyDescent="0.35">
      <c r="A3545" t="s">
        <v>20</v>
      </c>
      <c r="B3545" t="s">
        <v>25</v>
      </c>
      <c r="C3545" s="1">
        <v>45779</v>
      </c>
      <c r="D3545">
        <f t="shared" si="252"/>
        <v>2</v>
      </c>
      <c r="E3545">
        <f t="shared" si="253"/>
        <v>5</v>
      </c>
      <c r="F3545">
        <f t="shared" si="254"/>
        <v>2025</v>
      </c>
      <c r="G3545" t="s">
        <v>442</v>
      </c>
      <c r="H3545" s="98">
        <v>12185</v>
      </c>
      <c r="I3545" s="29">
        <v>54754.02</v>
      </c>
      <c r="J3545" s="12" t="s">
        <v>51</v>
      </c>
      <c r="K3545" s="76">
        <f t="shared" si="251"/>
        <v>62277.089843271599</v>
      </c>
      <c r="L3545" s="124">
        <v>1.13739758</v>
      </c>
      <c r="M3545" s="29">
        <v>0</v>
      </c>
      <c r="N3545" t="s">
        <v>32</v>
      </c>
      <c r="O3545" t="s">
        <v>33</v>
      </c>
      <c r="P3545" t="s">
        <v>34</v>
      </c>
      <c r="Q3545" t="s">
        <v>34</v>
      </c>
      <c r="R3545" t="s">
        <v>34</v>
      </c>
      <c r="S3545" t="s">
        <v>34</v>
      </c>
      <c r="T3545" s="117">
        <v>0</v>
      </c>
    </row>
    <row r="3546" spans="1:21" x14ac:dyDescent="0.35">
      <c r="A3546" t="s">
        <v>20</v>
      </c>
      <c r="B3546" t="s">
        <v>25</v>
      </c>
      <c r="C3546" s="1">
        <v>45779</v>
      </c>
      <c r="D3546">
        <f t="shared" si="252"/>
        <v>2</v>
      </c>
      <c r="E3546">
        <f t="shared" si="253"/>
        <v>5</v>
      </c>
      <c r="F3546">
        <f t="shared" si="254"/>
        <v>2025</v>
      </c>
      <c r="G3546" t="s">
        <v>442</v>
      </c>
      <c r="H3546" s="98">
        <v>12185</v>
      </c>
      <c r="I3546" s="29">
        <v>20944.84</v>
      </c>
      <c r="J3546" s="12" t="s">
        <v>31</v>
      </c>
      <c r="K3546" s="76">
        <f t="shared" si="251"/>
        <v>20944.84</v>
      </c>
      <c r="L3546">
        <v>1</v>
      </c>
      <c r="M3546" s="29">
        <v>0</v>
      </c>
      <c r="N3546" t="s">
        <v>32</v>
      </c>
      <c r="O3546" t="s">
        <v>33</v>
      </c>
      <c r="P3546" t="s">
        <v>34</v>
      </c>
      <c r="Q3546" t="s">
        <v>34</v>
      </c>
      <c r="R3546" t="s">
        <v>34</v>
      </c>
      <c r="S3546" t="s">
        <v>34</v>
      </c>
      <c r="T3546" s="117">
        <v>0</v>
      </c>
    </row>
    <row r="3547" spans="1:21" x14ac:dyDescent="0.35">
      <c r="A3547" t="s">
        <v>20</v>
      </c>
      <c r="B3547" t="s">
        <v>21</v>
      </c>
      <c r="C3547" s="1">
        <v>45779</v>
      </c>
      <c r="D3547">
        <f t="shared" si="252"/>
        <v>2</v>
      </c>
      <c r="E3547">
        <f t="shared" si="253"/>
        <v>5</v>
      </c>
      <c r="F3547">
        <f t="shared" si="254"/>
        <v>2025</v>
      </c>
      <c r="G3547" t="s">
        <v>46</v>
      </c>
      <c r="H3547" s="98">
        <v>12599</v>
      </c>
      <c r="I3547" s="29">
        <v>79.2</v>
      </c>
      <c r="J3547" s="12" t="s">
        <v>31</v>
      </c>
      <c r="K3547" s="76">
        <f t="shared" si="251"/>
        <v>79.2</v>
      </c>
      <c r="L3547">
        <v>1</v>
      </c>
      <c r="M3547" s="29">
        <v>0</v>
      </c>
      <c r="N3547" t="s">
        <v>42</v>
      </c>
      <c r="O3547" t="s">
        <v>33</v>
      </c>
      <c r="P3547" t="s">
        <v>34</v>
      </c>
      <c r="Q3547" t="s">
        <v>34</v>
      </c>
      <c r="R3547" t="s">
        <v>34</v>
      </c>
      <c r="S3547" t="s">
        <v>34</v>
      </c>
      <c r="T3547" s="117">
        <v>0</v>
      </c>
    </row>
    <row r="3548" spans="1:21" x14ac:dyDescent="0.35">
      <c r="A3548" t="s">
        <v>20</v>
      </c>
      <c r="B3548" t="s">
        <v>21</v>
      </c>
      <c r="C3548" s="1">
        <v>45779</v>
      </c>
      <c r="D3548">
        <f t="shared" si="252"/>
        <v>2</v>
      </c>
      <c r="E3548">
        <f t="shared" si="253"/>
        <v>5</v>
      </c>
      <c r="F3548">
        <f t="shared" si="254"/>
        <v>2025</v>
      </c>
      <c r="G3548" t="s">
        <v>46</v>
      </c>
      <c r="H3548" s="98">
        <v>12408</v>
      </c>
      <c r="I3548" s="29">
        <v>23.4</v>
      </c>
      <c r="J3548" s="12" t="s">
        <v>31</v>
      </c>
      <c r="K3548" s="76">
        <f t="shared" si="251"/>
        <v>23.4</v>
      </c>
      <c r="L3548">
        <v>1</v>
      </c>
      <c r="M3548" s="29">
        <v>0</v>
      </c>
      <c r="N3548" t="s">
        <v>42</v>
      </c>
      <c r="O3548" t="s">
        <v>33</v>
      </c>
      <c r="P3548" t="s">
        <v>34</v>
      </c>
      <c r="Q3548" t="s">
        <v>34</v>
      </c>
      <c r="R3548" t="s">
        <v>34</v>
      </c>
      <c r="S3548" t="s">
        <v>34</v>
      </c>
      <c r="T3548" s="117">
        <v>0</v>
      </c>
    </row>
    <row r="3549" spans="1:21" x14ac:dyDescent="0.35">
      <c r="A3549" t="s">
        <v>20</v>
      </c>
      <c r="B3549" t="s">
        <v>21</v>
      </c>
      <c r="C3549" s="1">
        <v>45779</v>
      </c>
      <c r="D3549">
        <f t="shared" si="252"/>
        <v>2</v>
      </c>
      <c r="E3549">
        <f t="shared" si="253"/>
        <v>5</v>
      </c>
      <c r="F3549">
        <f t="shared" si="254"/>
        <v>2025</v>
      </c>
      <c r="G3549" t="s">
        <v>46</v>
      </c>
      <c r="H3549" s="98">
        <v>12408</v>
      </c>
      <c r="I3549" s="29">
        <v>2042.568</v>
      </c>
      <c r="J3549" s="12" t="s">
        <v>31</v>
      </c>
      <c r="K3549" s="76">
        <f t="shared" si="251"/>
        <v>2042.568</v>
      </c>
      <c r="L3549">
        <v>1</v>
      </c>
      <c r="M3549" s="29">
        <v>0</v>
      </c>
      <c r="N3549" t="s">
        <v>42</v>
      </c>
      <c r="O3549" t="s">
        <v>33</v>
      </c>
      <c r="P3549" t="s">
        <v>34</v>
      </c>
      <c r="Q3549" t="s">
        <v>34</v>
      </c>
      <c r="R3549" t="s">
        <v>34</v>
      </c>
      <c r="S3549" t="s">
        <v>34</v>
      </c>
      <c r="T3549" s="117">
        <v>0</v>
      </c>
      <c r="U3549" s="209" t="s">
        <v>1123</v>
      </c>
    </row>
    <row r="3550" spans="1:21" x14ac:dyDescent="0.35">
      <c r="A3550" t="s">
        <v>20</v>
      </c>
      <c r="B3550" t="s">
        <v>23</v>
      </c>
      <c r="C3550" s="1">
        <v>45779</v>
      </c>
      <c r="D3550">
        <f t="shared" si="252"/>
        <v>2</v>
      </c>
      <c r="E3550">
        <f t="shared" si="253"/>
        <v>5</v>
      </c>
      <c r="F3550">
        <f t="shared" si="254"/>
        <v>2025</v>
      </c>
      <c r="G3550" t="s">
        <v>46</v>
      </c>
      <c r="H3550" s="98">
        <v>12601</v>
      </c>
      <c r="I3550" s="29">
        <v>98.4</v>
      </c>
      <c r="J3550" s="12" t="s">
        <v>31</v>
      </c>
      <c r="K3550" s="76">
        <f t="shared" si="251"/>
        <v>98.4</v>
      </c>
      <c r="L3550">
        <v>1</v>
      </c>
      <c r="M3550" s="29">
        <v>0</v>
      </c>
      <c r="N3550" t="s">
        <v>42</v>
      </c>
      <c r="O3550" t="s">
        <v>33</v>
      </c>
      <c r="P3550" t="s">
        <v>34</v>
      </c>
      <c r="Q3550" t="s">
        <v>34</v>
      </c>
      <c r="R3550" t="s">
        <v>34</v>
      </c>
      <c r="S3550" t="s">
        <v>34</v>
      </c>
      <c r="T3550" s="117">
        <v>0</v>
      </c>
    </row>
    <row r="3551" spans="1:21" x14ac:dyDescent="0.35">
      <c r="A3551" t="s">
        <v>20</v>
      </c>
      <c r="B3551" t="s">
        <v>23</v>
      </c>
      <c r="C3551" s="1">
        <v>45779</v>
      </c>
      <c r="D3551">
        <f t="shared" si="252"/>
        <v>2</v>
      </c>
      <c r="E3551">
        <f t="shared" si="253"/>
        <v>5</v>
      </c>
      <c r="F3551">
        <f t="shared" si="254"/>
        <v>2025</v>
      </c>
      <c r="G3551" t="s">
        <v>46</v>
      </c>
      <c r="H3551" s="98">
        <v>12603</v>
      </c>
      <c r="I3551" s="29">
        <v>984</v>
      </c>
      <c r="J3551" s="12" t="s">
        <v>31</v>
      </c>
      <c r="K3551" s="76">
        <f t="shared" si="251"/>
        <v>984</v>
      </c>
      <c r="L3551">
        <v>1</v>
      </c>
      <c r="M3551" s="29">
        <v>0</v>
      </c>
      <c r="N3551" t="s">
        <v>42</v>
      </c>
      <c r="O3551" t="s">
        <v>33</v>
      </c>
      <c r="P3551" t="s">
        <v>34</v>
      </c>
      <c r="Q3551" t="s">
        <v>34</v>
      </c>
      <c r="R3551" t="s">
        <v>34</v>
      </c>
      <c r="S3551" t="s">
        <v>34</v>
      </c>
      <c r="T3551" s="117">
        <v>0</v>
      </c>
    </row>
    <row r="3552" spans="1:21" x14ac:dyDescent="0.35">
      <c r="A3552" t="s">
        <v>20</v>
      </c>
      <c r="B3552" t="s">
        <v>23</v>
      </c>
      <c r="C3552" s="1">
        <v>45779</v>
      </c>
      <c r="D3552">
        <f t="shared" si="252"/>
        <v>2</v>
      </c>
      <c r="E3552">
        <f t="shared" si="253"/>
        <v>5</v>
      </c>
      <c r="F3552">
        <f t="shared" si="254"/>
        <v>2025</v>
      </c>
      <c r="G3552" t="s">
        <v>46</v>
      </c>
      <c r="H3552" s="98">
        <v>12609</v>
      </c>
      <c r="I3552" s="29">
        <v>39.5</v>
      </c>
      <c r="J3552" s="12" t="s">
        <v>31</v>
      </c>
      <c r="K3552" s="76">
        <f t="shared" si="251"/>
        <v>39.5</v>
      </c>
      <c r="L3552">
        <v>1</v>
      </c>
      <c r="M3552" s="29">
        <v>0</v>
      </c>
      <c r="N3552" t="s">
        <v>42</v>
      </c>
      <c r="O3552" t="s">
        <v>33</v>
      </c>
      <c r="P3552" t="s">
        <v>34</v>
      </c>
      <c r="Q3552" t="s">
        <v>34</v>
      </c>
      <c r="R3552" t="s">
        <v>34</v>
      </c>
      <c r="S3552" t="s">
        <v>34</v>
      </c>
      <c r="T3552" s="117">
        <v>0</v>
      </c>
    </row>
    <row r="3553" spans="1:20" x14ac:dyDescent="0.35">
      <c r="A3553" t="s">
        <v>20</v>
      </c>
      <c r="B3553" t="s">
        <v>23</v>
      </c>
      <c r="C3553" s="1">
        <v>45779</v>
      </c>
      <c r="D3553">
        <f t="shared" si="252"/>
        <v>2</v>
      </c>
      <c r="E3553">
        <f t="shared" si="253"/>
        <v>5</v>
      </c>
      <c r="F3553">
        <f t="shared" si="254"/>
        <v>2025</v>
      </c>
      <c r="G3553" t="s">
        <v>46</v>
      </c>
      <c r="H3553" s="98">
        <v>12612</v>
      </c>
      <c r="I3553" s="29">
        <v>2212</v>
      </c>
      <c r="J3553" s="12" t="s">
        <v>31</v>
      </c>
      <c r="K3553" s="76">
        <f t="shared" si="251"/>
        <v>2212</v>
      </c>
      <c r="L3553">
        <v>1</v>
      </c>
      <c r="M3553" s="29">
        <v>0</v>
      </c>
      <c r="N3553" t="s">
        <v>42</v>
      </c>
      <c r="O3553" t="s">
        <v>33</v>
      </c>
      <c r="P3553" t="s">
        <v>34</v>
      </c>
      <c r="Q3553" t="s">
        <v>34</v>
      </c>
      <c r="R3553" t="s">
        <v>34</v>
      </c>
      <c r="S3553" t="s">
        <v>34</v>
      </c>
      <c r="T3553" s="117">
        <v>0</v>
      </c>
    </row>
    <row r="3554" spans="1:20" x14ac:dyDescent="0.35">
      <c r="A3554" t="s">
        <v>20</v>
      </c>
      <c r="B3554" t="s">
        <v>24</v>
      </c>
      <c r="C3554" s="1">
        <v>45779</v>
      </c>
      <c r="D3554">
        <f t="shared" si="252"/>
        <v>2</v>
      </c>
      <c r="E3554">
        <f t="shared" si="253"/>
        <v>5</v>
      </c>
      <c r="F3554">
        <f t="shared" si="254"/>
        <v>2025</v>
      </c>
      <c r="G3554" t="s">
        <v>48</v>
      </c>
      <c r="H3554" s="98">
        <v>12650</v>
      </c>
      <c r="I3554" s="29">
        <v>486.8</v>
      </c>
      <c r="J3554" s="12" t="s">
        <v>31</v>
      </c>
      <c r="K3554" s="76">
        <f t="shared" si="251"/>
        <v>486.8</v>
      </c>
      <c r="L3554">
        <v>1</v>
      </c>
      <c r="M3554" s="29">
        <v>0</v>
      </c>
      <c r="N3554" t="s">
        <v>42</v>
      </c>
      <c r="O3554" t="s">
        <v>33</v>
      </c>
      <c r="P3554" t="s">
        <v>34</v>
      </c>
      <c r="Q3554" t="s">
        <v>34</v>
      </c>
      <c r="R3554" t="s">
        <v>34</v>
      </c>
      <c r="S3554" t="s">
        <v>34</v>
      </c>
      <c r="T3554" s="117">
        <v>0</v>
      </c>
    </row>
    <row r="3555" spans="1:20" x14ac:dyDescent="0.35">
      <c r="A3555" t="s">
        <v>20</v>
      </c>
      <c r="B3555" t="s">
        <v>24</v>
      </c>
      <c r="C3555" s="1">
        <v>45779</v>
      </c>
      <c r="D3555">
        <f t="shared" si="252"/>
        <v>2</v>
      </c>
      <c r="E3555">
        <f t="shared" si="253"/>
        <v>5</v>
      </c>
      <c r="F3555">
        <f t="shared" si="254"/>
        <v>2025</v>
      </c>
      <c r="G3555" t="s">
        <v>48</v>
      </c>
      <c r="H3555" s="98">
        <v>12651</v>
      </c>
      <c r="I3555" s="29">
        <v>5905.2</v>
      </c>
      <c r="J3555" s="12" t="s">
        <v>31</v>
      </c>
      <c r="K3555" s="76">
        <f t="shared" si="251"/>
        <v>5905.2</v>
      </c>
      <c r="L3555">
        <v>1</v>
      </c>
      <c r="M3555" s="29">
        <v>0</v>
      </c>
      <c r="N3555" t="s">
        <v>42</v>
      </c>
      <c r="O3555" t="s">
        <v>33</v>
      </c>
      <c r="P3555" t="s">
        <v>34</v>
      </c>
      <c r="Q3555" t="s">
        <v>34</v>
      </c>
      <c r="R3555" t="s">
        <v>34</v>
      </c>
      <c r="S3555" t="s">
        <v>34</v>
      </c>
      <c r="T3555" s="117">
        <v>0</v>
      </c>
    </row>
    <row r="3556" spans="1:20" x14ac:dyDescent="0.35">
      <c r="A3556" t="s">
        <v>19</v>
      </c>
      <c r="B3556" t="s">
        <v>19</v>
      </c>
      <c r="C3556" s="1">
        <v>45779</v>
      </c>
      <c r="D3556">
        <f t="shared" si="252"/>
        <v>2</v>
      </c>
      <c r="E3556">
        <f t="shared" si="253"/>
        <v>5</v>
      </c>
      <c r="F3556">
        <f t="shared" si="254"/>
        <v>2025</v>
      </c>
      <c r="G3556" t="s">
        <v>56</v>
      </c>
      <c r="H3556" s="98" t="s">
        <v>990</v>
      </c>
      <c r="I3556" s="29">
        <v>171094.25</v>
      </c>
      <c r="J3556" s="12" t="s">
        <v>31</v>
      </c>
      <c r="K3556" s="76">
        <f t="shared" si="251"/>
        <v>171094.25</v>
      </c>
      <c r="L3556">
        <v>1</v>
      </c>
      <c r="M3556" s="29">
        <v>0</v>
      </c>
      <c r="N3556" t="s">
        <v>32</v>
      </c>
      <c r="O3556" t="s">
        <v>33</v>
      </c>
      <c r="P3556" t="s">
        <v>34</v>
      </c>
      <c r="Q3556" t="s">
        <v>34</v>
      </c>
      <c r="R3556" t="s">
        <v>34</v>
      </c>
      <c r="S3556" t="s">
        <v>34</v>
      </c>
      <c r="T3556" s="117">
        <v>0</v>
      </c>
    </row>
    <row r="3557" spans="1:20" x14ac:dyDescent="0.35">
      <c r="A3557" t="s">
        <v>19</v>
      </c>
      <c r="B3557" t="s">
        <v>19</v>
      </c>
      <c r="C3557" s="1">
        <v>45779</v>
      </c>
      <c r="D3557">
        <f t="shared" si="252"/>
        <v>2</v>
      </c>
      <c r="E3557">
        <f t="shared" si="253"/>
        <v>5</v>
      </c>
      <c r="F3557">
        <f t="shared" si="254"/>
        <v>2025</v>
      </c>
      <c r="G3557" t="s">
        <v>213</v>
      </c>
      <c r="H3557" s="98" t="s">
        <v>991</v>
      </c>
      <c r="I3557" s="29">
        <v>163858.03</v>
      </c>
      <c r="J3557" s="12" t="s">
        <v>31</v>
      </c>
      <c r="K3557" s="76">
        <f t="shared" si="251"/>
        <v>163858.03</v>
      </c>
      <c r="L3557">
        <v>1</v>
      </c>
      <c r="M3557" s="29">
        <v>0</v>
      </c>
      <c r="N3557" t="s">
        <v>32</v>
      </c>
      <c r="O3557" t="s">
        <v>33</v>
      </c>
      <c r="P3557" t="s">
        <v>34</v>
      </c>
      <c r="Q3557" t="s">
        <v>34</v>
      </c>
      <c r="R3557" t="s">
        <v>34</v>
      </c>
      <c r="S3557" t="s">
        <v>34</v>
      </c>
      <c r="T3557" s="117">
        <v>0</v>
      </c>
    </row>
    <row r="3558" spans="1:20" x14ac:dyDescent="0.35">
      <c r="A3558" t="s">
        <v>19</v>
      </c>
      <c r="B3558" t="s">
        <v>19</v>
      </c>
      <c r="C3558" s="1">
        <v>45779</v>
      </c>
      <c r="D3558">
        <f t="shared" si="252"/>
        <v>2</v>
      </c>
      <c r="E3558">
        <f t="shared" si="253"/>
        <v>5</v>
      </c>
      <c r="F3558">
        <f t="shared" si="254"/>
        <v>2025</v>
      </c>
      <c r="G3558" t="s">
        <v>213</v>
      </c>
      <c r="H3558" s="98" t="s">
        <v>991</v>
      </c>
      <c r="I3558" s="29">
        <v>31131.35</v>
      </c>
      <c r="J3558" s="12" t="s">
        <v>31</v>
      </c>
      <c r="K3558" s="76">
        <f t="shared" si="251"/>
        <v>31131.35</v>
      </c>
      <c r="L3558">
        <v>1</v>
      </c>
      <c r="M3558" s="29">
        <v>0</v>
      </c>
      <c r="N3558" t="s">
        <v>32</v>
      </c>
      <c r="O3558" t="s">
        <v>33</v>
      </c>
      <c r="P3558" t="s">
        <v>34</v>
      </c>
      <c r="Q3558" t="s">
        <v>34</v>
      </c>
      <c r="R3558" t="s">
        <v>34</v>
      </c>
      <c r="S3558" t="s">
        <v>34</v>
      </c>
      <c r="T3558" s="117">
        <v>0</v>
      </c>
    </row>
    <row r="3559" spans="1:20" x14ac:dyDescent="0.35">
      <c r="A3559" t="s">
        <v>19</v>
      </c>
      <c r="B3559" t="s">
        <v>19</v>
      </c>
      <c r="C3559" s="1">
        <v>45779</v>
      </c>
      <c r="D3559">
        <f t="shared" si="252"/>
        <v>2</v>
      </c>
      <c r="E3559">
        <f t="shared" si="253"/>
        <v>5</v>
      </c>
      <c r="F3559">
        <f t="shared" si="254"/>
        <v>2025</v>
      </c>
      <c r="G3559" t="s">
        <v>106</v>
      </c>
      <c r="H3559" s="98" t="s">
        <v>992</v>
      </c>
      <c r="I3559" s="29">
        <v>171264.41999999998</v>
      </c>
      <c r="J3559" s="12" t="s">
        <v>31</v>
      </c>
      <c r="K3559" s="76">
        <f t="shared" si="251"/>
        <v>171264.41999999998</v>
      </c>
      <c r="L3559">
        <v>1</v>
      </c>
      <c r="M3559" s="29">
        <v>0</v>
      </c>
      <c r="N3559" t="s">
        <v>32</v>
      </c>
      <c r="O3559" t="s">
        <v>33</v>
      </c>
      <c r="P3559" t="s">
        <v>34</v>
      </c>
      <c r="Q3559" t="s">
        <v>34</v>
      </c>
      <c r="R3559" t="s">
        <v>34</v>
      </c>
      <c r="S3559" t="s">
        <v>34</v>
      </c>
      <c r="T3559" s="117">
        <v>0</v>
      </c>
    </row>
    <row r="3560" spans="1:20" x14ac:dyDescent="0.35">
      <c r="A3560" t="s">
        <v>19</v>
      </c>
      <c r="B3560" t="s">
        <v>19</v>
      </c>
      <c r="C3560" s="1">
        <v>45779</v>
      </c>
      <c r="D3560">
        <f t="shared" si="252"/>
        <v>2</v>
      </c>
      <c r="E3560">
        <f t="shared" si="253"/>
        <v>5</v>
      </c>
      <c r="F3560">
        <f t="shared" si="254"/>
        <v>2025</v>
      </c>
      <c r="G3560" t="s">
        <v>59</v>
      </c>
      <c r="H3560" s="171" t="s">
        <v>993</v>
      </c>
      <c r="I3560" s="90">
        <v>102382</v>
      </c>
      <c r="J3560" s="12" t="s">
        <v>31</v>
      </c>
      <c r="K3560" s="76">
        <f t="shared" si="251"/>
        <v>102382</v>
      </c>
      <c r="L3560">
        <v>1</v>
      </c>
      <c r="M3560" s="29">
        <v>0</v>
      </c>
      <c r="N3560" t="s">
        <v>32</v>
      </c>
      <c r="O3560" t="s">
        <v>33</v>
      </c>
      <c r="P3560" t="s">
        <v>34</v>
      </c>
      <c r="Q3560" t="s">
        <v>34</v>
      </c>
      <c r="R3560" t="s">
        <v>34</v>
      </c>
      <c r="S3560" t="s">
        <v>34</v>
      </c>
      <c r="T3560" s="117">
        <v>0</v>
      </c>
    </row>
    <row r="3561" spans="1:20" x14ac:dyDescent="0.35">
      <c r="A3561" t="s">
        <v>19</v>
      </c>
      <c r="B3561" t="s">
        <v>19</v>
      </c>
      <c r="C3561" s="1">
        <v>45779</v>
      </c>
      <c r="D3561">
        <f t="shared" si="252"/>
        <v>2</v>
      </c>
      <c r="E3561">
        <f t="shared" si="253"/>
        <v>5</v>
      </c>
      <c r="F3561">
        <f t="shared" si="254"/>
        <v>2025</v>
      </c>
      <c r="G3561" t="s">
        <v>102</v>
      </c>
      <c r="H3561" s="98" t="s">
        <v>994</v>
      </c>
      <c r="I3561" s="29">
        <v>30701.88</v>
      </c>
      <c r="J3561" s="12" t="s">
        <v>31</v>
      </c>
      <c r="K3561" s="76">
        <f t="shared" si="251"/>
        <v>30701.88</v>
      </c>
      <c r="L3561">
        <v>1</v>
      </c>
      <c r="M3561" s="29">
        <v>0</v>
      </c>
      <c r="N3561" t="s">
        <v>32</v>
      </c>
      <c r="O3561" t="s">
        <v>33</v>
      </c>
      <c r="P3561" t="s">
        <v>34</v>
      </c>
      <c r="Q3561" t="s">
        <v>34</v>
      </c>
      <c r="R3561" t="s">
        <v>34</v>
      </c>
      <c r="S3561" t="s">
        <v>34</v>
      </c>
      <c r="T3561" s="117">
        <v>0</v>
      </c>
    </row>
    <row r="3562" spans="1:20" x14ac:dyDescent="0.35">
      <c r="A3562" t="s">
        <v>19</v>
      </c>
      <c r="B3562" t="s">
        <v>19</v>
      </c>
      <c r="C3562" s="1">
        <v>45779</v>
      </c>
      <c r="D3562">
        <f t="shared" si="252"/>
        <v>2</v>
      </c>
      <c r="E3562">
        <f t="shared" si="253"/>
        <v>5</v>
      </c>
      <c r="F3562">
        <f t="shared" si="254"/>
        <v>2025</v>
      </c>
      <c r="G3562" t="s">
        <v>750</v>
      </c>
      <c r="H3562" s="171" t="s">
        <v>995</v>
      </c>
      <c r="I3562" s="90">
        <v>39487.880000000005</v>
      </c>
      <c r="J3562" s="12" t="s">
        <v>31</v>
      </c>
      <c r="K3562" s="76">
        <f t="shared" si="251"/>
        <v>39487.880000000005</v>
      </c>
      <c r="L3562">
        <v>1</v>
      </c>
      <c r="M3562" s="29">
        <v>0</v>
      </c>
      <c r="N3562" t="s">
        <v>32</v>
      </c>
      <c r="O3562" t="s">
        <v>33</v>
      </c>
      <c r="P3562" t="s">
        <v>34</v>
      </c>
      <c r="Q3562" t="s">
        <v>34</v>
      </c>
      <c r="R3562" t="s">
        <v>34</v>
      </c>
      <c r="S3562" t="s">
        <v>34</v>
      </c>
      <c r="T3562" s="117">
        <v>2273.9899999999998</v>
      </c>
    </row>
    <row r="3563" spans="1:20" x14ac:dyDescent="0.35">
      <c r="A3563" t="s">
        <v>19</v>
      </c>
      <c r="B3563" t="s">
        <v>19</v>
      </c>
      <c r="C3563" s="1">
        <v>45779</v>
      </c>
      <c r="D3563">
        <f t="shared" si="252"/>
        <v>2</v>
      </c>
      <c r="E3563">
        <f t="shared" si="253"/>
        <v>5</v>
      </c>
      <c r="F3563">
        <f t="shared" si="254"/>
        <v>2025</v>
      </c>
      <c r="G3563" t="s">
        <v>91</v>
      </c>
      <c r="H3563" s="98" t="s">
        <v>978</v>
      </c>
      <c r="I3563" s="29">
        <v>93619.97</v>
      </c>
      <c r="J3563" s="12" t="s">
        <v>31</v>
      </c>
      <c r="K3563" s="76">
        <f t="shared" si="251"/>
        <v>93619.97</v>
      </c>
      <c r="L3563">
        <v>1</v>
      </c>
      <c r="M3563" s="29">
        <v>0</v>
      </c>
      <c r="N3563" t="s">
        <v>32</v>
      </c>
      <c r="O3563" t="s">
        <v>33</v>
      </c>
      <c r="P3563" t="s">
        <v>34</v>
      </c>
      <c r="Q3563" t="s">
        <v>34</v>
      </c>
      <c r="R3563" t="s">
        <v>34</v>
      </c>
      <c r="S3563" t="s">
        <v>34</v>
      </c>
      <c r="T3563" s="117">
        <v>0</v>
      </c>
    </row>
    <row r="3564" spans="1:20" x14ac:dyDescent="0.35">
      <c r="A3564" t="s">
        <v>19</v>
      </c>
      <c r="B3564" t="s">
        <v>19</v>
      </c>
      <c r="C3564" s="1">
        <v>45779</v>
      </c>
      <c r="D3564">
        <f t="shared" si="252"/>
        <v>2</v>
      </c>
      <c r="E3564">
        <f t="shared" si="253"/>
        <v>5</v>
      </c>
      <c r="F3564">
        <f t="shared" si="254"/>
        <v>2025</v>
      </c>
      <c r="G3564" t="s">
        <v>803</v>
      </c>
      <c r="H3564" s="98" t="s">
        <v>996</v>
      </c>
      <c r="I3564" s="29">
        <v>53725.7</v>
      </c>
      <c r="J3564" s="12" t="s">
        <v>31</v>
      </c>
      <c r="K3564" s="76">
        <f t="shared" si="251"/>
        <v>53725.7</v>
      </c>
      <c r="L3564">
        <v>1</v>
      </c>
      <c r="M3564" s="29">
        <v>0</v>
      </c>
      <c r="N3564" t="s">
        <v>32</v>
      </c>
      <c r="O3564" t="s">
        <v>33</v>
      </c>
      <c r="P3564" t="s">
        <v>34</v>
      </c>
      <c r="Q3564" t="s">
        <v>34</v>
      </c>
      <c r="R3564" t="s">
        <v>34</v>
      </c>
      <c r="S3564" t="s">
        <v>34</v>
      </c>
      <c r="T3564" s="117">
        <v>0</v>
      </c>
    </row>
    <row r="3565" spans="1:20" x14ac:dyDescent="0.35">
      <c r="A3565" t="s">
        <v>19</v>
      </c>
      <c r="B3565" t="s">
        <v>19</v>
      </c>
      <c r="C3565" s="1">
        <v>45779</v>
      </c>
      <c r="D3565">
        <f t="shared" si="252"/>
        <v>2</v>
      </c>
      <c r="E3565">
        <f t="shared" si="253"/>
        <v>5</v>
      </c>
      <c r="F3565">
        <f t="shared" si="254"/>
        <v>2025</v>
      </c>
      <c r="G3565" t="s">
        <v>119</v>
      </c>
      <c r="H3565" s="98" t="s">
        <v>997</v>
      </c>
      <c r="I3565" s="29">
        <v>13997.69</v>
      </c>
      <c r="J3565" s="12" t="s">
        <v>31</v>
      </c>
      <c r="K3565" s="76">
        <f t="shared" si="251"/>
        <v>13997.69</v>
      </c>
      <c r="L3565">
        <v>1</v>
      </c>
      <c r="M3565" s="29">
        <v>0</v>
      </c>
      <c r="N3565" t="s">
        <v>32</v>
      </c>
      <c r="O3565" t="s">
        <v>33</v>
      </c>
      <c r="P3565" t="s">
        <v>34</v>
      </c>
      <c r="Q3565" t="s">
        <v>34</v>
      </c>
      <c r="R3565" t="s">
        <v>34</v>
      </c>
      <c r="S3565" t="s">
        <v>34</v>
      </c>
      <c r="T3565" s="117">
        <v>0</v>
      </c>
    </row>
    <row r="3566" spans="1:20" x14ac:dyDescent="0.35">
      <c r="A3566" t="s">
        <v>19</v>
      </c>
      <c r="B3566" t="s">
        <v>19</v>
      </c>
      <c r="C3566" s="1">
        <v>45779</v>
      </c>
      <c r="D3566">
        <f t="shared" si="252"/>
        <v>2</v>
      </c>
      <c r="E3566">
        <f t="shared" si="253"/>
        <v>5</v>
      </c>
      <c r="F3566">
        <f t="shared" si="254"/>
        <v>2025</v>
      </c>
      <c r="G3566" t="s">
        <v>122</v>
      </c>
      <c r="H3566" s="98" t="s">
        <v>998</v>
      </c>
      <c r="I3566" s="29">
        <v>25400.04</v>
      </c>
      <c r="J3566" s="12" t="s">
        <v>31</v>
      </c>
      <c r="K3566" s="76">
        <f t="shared" si="251"/>
        <v>25400.04</v>
      </c>
      <c r="L3566">
        <v>1</v>
      </c>
      <c r="M3566" s="29">
        <v>0</v>
      </c>
      <c r="N3566" t="s">
        <v>32</v>
      </c>
      <c r="O3566" t="s">
        <v>33</v>
      </c>
      <c r="P3566" t="s">
        <v>34</v>
      </c>
      <c r="Q3566" t="s">
        <v>34</v>
      </c>
      <c r="R3566" t="s">
        <v>34</v>
      </c>
      <c r="S3566" t="s">
        <v>34</v>
      </c>
      <c r="T3566" s="117">
        <v>0</v>
      </c>
    </row>
    <row r="3567" spans="1:20" x14ac:dyDescent="0.35">
      <c r="A3567" t="s">
        <v>19</v>
      </c>
      <c r="B3567" t="s">
        <v>19</v>
      </c>
      <c r="C3567" s="1">
        <v>45779</v>
      </c>
      <c r="D3567">
        <f t="shared" si="252"/>
        <v>2</v>
      </c>
      <c r="E3567">
        <f t="shared" si="253"/>
        <v>5</v>
      </c>
      <c r="F3567">
        <f t="shared" si="254"/>
        <v>2025</v>
      </c>
      <c r="G3567" t="s">
        <v>523</v>
      </c>
      <c r="H3567" s="98" t="s">
        <v>999</v>
      </c>
      <c r="I3567" s="29">
        <v>14086</v>
      </c>
      <c r="J3567" s="12" t="s">
        <v>31</v>
      </c>
      <c r="K3567" s="76">
        <f t="shared" si="251"/>
        <v>14086</v>
      </c>
      <c r="L3567">
        <v>1</v>
      </c>
      <c r="M3567" s="29">
        <v>0</v>
      </c>
      <c r="N3567" t="s">
        <v>42</v>
      </c>
      <c r="O3567" t="s">
        <v>33</v>
      </c>
      <c r="P3567" t="s">
        <v>34</v>
      </c>
      <c r="Q3567" t="s">
        <v>34</v>
      </c>
      <c r="R3567" t="s">
        <v>34</v>
      </c>
      <c r="S3567" t="s">
        <v>34</v>
      </c>
      <c r="T3567" s="117">
        <v>0</v>
      </c>
    </row>
    <row r="3568" spans="1:20" x14ac:dyDescent="0.35">
      <c r="A3568" t="s">
        <v>19</v>
      </c>
      <c r="B3568" t="s">
        <v>19</v>
      </c>
      <c r="C3568" s="1">
        <v>45779</v>
      </c>
      <c r="D3568">
        <f t="shared" si="252"/>
        <v>2</v>
      </c>
      <c r="E3568">
        <f t="shared" si="253"/>
        <v>5</v>
      </c>
      <c r="F3568">
        <f t="shared" si="254"/>
        <v>2025</v>
      </c>
      <c r="G3568" t="s">
        <v>523</v>
      </c>
      <c r="H3568" s="98" t="s">
        <v>1000</v>
      </c>
      <c r="I3568" s="29">
        <v>11100</v>
      </c>
      <c r="J3568" s="12" t="s">
        <v>31</v>
      </c>
      <c r="K3568" s="76">
        <f t="shared" si="251"/>
        <v>11100</v>
      </c>
      <c r="L3568">
        <v>1</v>
      </c>
      <c r="M3568" s="29">
        <v>0</v>
      </c>
      <c r="N3568" t="s">
        <v>42</v>
      </c>
      <c r="O3568" t="s">
        <v>33</v>
      </c>
      <c r="P3568" t="s">
        <v>34</v>
      </c>
      <c r="Q3568" t="s">
        <v>34</v>
      </c>
      <c r="R3568" t="s">
        <v>34</v>
      </c>
      <c r="S3568" t="s">
        <v>34</v>
      </c>
      <c r="T3568" s="117">
        <v>0</v>
      </c>
    </row>
    <row r="3569" spans="1:20" x14ac:dyDescent="0.35">
      <c r="A3569" t="s">
        <v>19</v>
      </c>
      <c r="B3569" t="s">
        <v>19</v>
      </c>
      <c r="C3569" s="1">
        <v>45779</v>
      </c>
      <c r="D3569">
        <f t="shared" si="252"/>
        <v>2</v>
      </c>
      <c r="E3569">
        <f t="shared" si="253"/>
        <v>5</v>
      </c>
      <c r="F3569">
        <f t="shared" si="254"/>
        <v>2025</v>
      </c>
      <c r="G3569" t="s">
        <v>523</v>
      </c>
      <c r="H3569" s="100">
        <v>0</v>
      </c>
      <c r="I3569" s="29">
        <v>840</v>
      </c>
      <c r="J3569" s="12" t="s">
        <v>31</v>
      </c>
      <c r="K3569" s="76">
        <f t="shared" si="251"/>
        <v>840</v>
      </c>
      <c r="L3569">
        <v>1</v>
      </c>
      <c r="M3569" s="29">
        <v>0</v>
      </c>
      <c r="N3569" t="s">
        <v>42</v>
      </c>
      <c r="O3569" t="s">
        <v>33</v>
      </c>
      <c r="P3569" t="s">
        <v>34</v>
      </c>
      <c r="Q3569" t="s">
        <v>34</v>
      </c>
      <c r="R3569" t="s">
        <v>34</v>
      </c>
      <c r="S3569" t="s">
        <v>34</v>
      </c>
      <c r="T3569" s="117">
        <v>0</v>
      </c>
    </row>
    <row r="3570" spans="1:20" x14ac:dyDescent="0.35">
      <c r="A3570" t="s">
        <v>19</v>
      </c>
      <c r="B3570" t="s">
        <v>19</v>
      </c>
      <c r="C3570" s="1">
        <v>45779</v>
      </c>
      <c r="D3570">
        <f t="shared" si="252"/>
        <v>2</v>
      </c>
      <c r="E3570">
        <f t="shared" si="253"/>
        <v>5</v>
      </c>
      <c r="F3570">
        <f t="shared" si="254"/>
        <v>2025</v>
      </c>
      <c r="G3570" t="s">
        <v>523</v>
      </c>
      <c r="H3570" s="100">
        <v>0</v>
      </c>
      <c r="I3570" s="29">
        <v>5040</v>
      </c>
      <c r="J3570" s="12" t="s">
        <v>31</v>
      </c>
      <c r="K3570" s="76">
        <f t="shared" si="251"/>
        <v>5040</v>
      </c>
      <c r="L3570">
        <v>1</v>
      </c>
      <c r="M3570" s="29">
        <v>0</v>
      </c>
      <c r="N3570" t="s">
        <v>42</v>
      </c>
      <c r="O3570" t="s">
        <v>33</v>
      </c>
      <c r="P3570" t="s">
        <v>34</v>
      </c>
      <c r="Q3570" t="s">
        <v>34</v>
      </c>
      <c r="R3570" t="s">
        <v>34</v>
      </c>
      <c r="S3570" t="s">
        <v>34</v>
      </c>
      <c r="T3570" s="117">
        <v>0</v>
      </c>
    </row>
    <row r="3571" spans="1:20" x14ac:dyDescent="0.35">
      <c r="A3571" t="s">
        <v>19</v>
      </c>
      <c r="B3571" t="s">
        <v>19</v>
      </c>
      <c r="C3571" s="1">
        <v>45779</v>
      </c>
      <c r="D3571">
        <f t="shared" si="252"/>
        <v>2</v>
      </c>
      <c r="E3571">
        <f t="shared" si="253"/>
        <v>5</v>
      </c>
      <c r="F3571">
        <f t="shared" si="254"/>
        <v>2025</v>
      </c>
      <c r="G3571" t="s">
        <v>118</v>
      </c>
      <c r="H3571" s="98" t="s">
        <v>1004</v>
      </c>
      <c r="I3571" s="29">
        <v>15410</v>
      </c>
      <c r="J3571" s="12" t="s">
        <v>31</v>
      </c>
      <c r="K3571" s="76">
        <f t="shared" si="251"/>
        <v>15410</v>
      </c>
      <c r="L3571">
        <v>1</v>
      </c>
      <c r="M3571" s="29">
        <v>0</v>
      </c>
      <c r="N3571" t="s">
        <v>42</v>
      </c>
      <c r="O3571" t="s">
        <v>33</v>
      </c>
      <c r="P3571" t="s">
        <v>34</v>
      </c>
      <c r="Q3571" t="s">
        <v>34</v>
      </c>
      <c r="R3571" t="s">
        <v>34</v>
      </c>
      <c r="S3571" t="s">
        <v>34</v>
      </c>
      <c r="T3571" s="117">
        <v>0</v>
      </c>
    </row>
    <row r="3572" spans="1:20" x14ac:dyDescent="0.35">
      <c r="A3572" t="s">
        <v>19</v>
      </c>
      <c r="B3572" t="s">
        <v>19</v>
      </c>
      <c r="C3572" s="1">
        <v>45779</v>
      </c>
      <c r="D3572">
        <f t="shared" si="252"/>
        <v>2</v>
      </c>
      <c r="E3572">
        <f t="shared" si="253"/>
        <v>5</v>
      </c>
      <c r="F3572">
        <f t="shared" si="254"/>
        <v>2025</v>
      </c>
      <c r="G3572" t="s">
        <v>1001</v>
      </c>
      <c r="H3572" s="171" t="s">
        <v>1554</v>
      </c>
      <c r="I3572" s="29">
        <v>1260</v>
      </c>
      <c r="J3572" s="12" t="s">
        <v>31</v>
      </c>
      <c r="K3572" s="76">
        <f t="shared" si="251"/>
        <v>1260</v>
      </c>
      <c r="L3572">
        <v>1</v>
      </c>
      <c r="M3572" s="29">
        <v>0</v>
      </c>
      <c r="N3572" t="s">
        <v>42</v>
      </c>
      <c r="O3572" t="s">
        <v>33</v>
      </c>
      <c r="P3572" t="s">
        <v>34</v>
      </c>
      <c r="Q3572" t="s">
        <v>34</v>
      </c>
      <c r="R3572" t="s">
        <v>34</v>
      </c>
      <c r="S3572" t="s">
        <v>34</v>
      </c>
      <c r="T3572" s="117">
        <v>0</v>
      </c>
    </row>
    <row r="3573" spans="1:20" x14ac:dyDescent="0.35">
      <c r="A3573" t="s">
        <v>19</v>
      </c>
      <c r="B3573" t="s">
        <v>19</v>
      </c>
      <c r="C3573" s="1">
        <v>45779</v>
      </c>
      <c r="D3573">
        <f t="shared" si="252"/>
        <v>2</v>
      </c>
      <c r="E3573">
        <f t="shared" si="253"/>
        <v>5</v>
      </c>
      <c r="F3573">
        <f t="shared" si="254"/>
        <v>2025</v>
      </c>
      <c r="G3573" t="s">
        <v>1001</v>
      </c>
      <c r="H3573" s="171" t="s">
        <v>1196</v>
      </c>
      <c r="I3573" s="29">
        <v>756</v>
      </c>
      <c r="J3573" s="12" t="s">
        <v>31</v>
      </c>
      <c r="K3573" s="76">
        <f t="shared" si="251"/>
        <v>756</v>
      </c>
      <c r="L3573">
        <v>1</v>
      </c>
      <c r="M3573" s="29">
        <v>0</v>
      </c>
      <c r="N3573" t="s">
        <v>42</v>
      </c>
      <c r="O3573" t="s">
        <v>33</v>
      </c>
      <c r="P3573" t="s">
        <v>34</v>
      </c>
      <c r="Q3573" t="s">
        <v>34</v>
      </c>
      <c r="R3573" t="s">
        <v>34</v>
      </c>
      <c r="S3573" t="s">
        <v>34</v>
      </c>
      <c r="T3573" s="117">
        <v>0</v>
      </c>
    </row>
    <row r="3574" spans="1:20" x14ac:dyDescent="0.35">
      <c r="A3574" t="s">
        <v>19</v>
      </c>
      <c r="B3574" t="s">
        <v>19</v>
      </c>
      <c r="C3574" s="1">
        <v>45779</v>
      </c>
      <c r="D3574">
        <f t="shared" si="252"/>
        <v>2</v>
      </c>
      <c r="E3574">
        <f t="shared" si="253"/>
        <v>5</v>
      </c>
      <c r="F3574">
        <f t="shared" si="254"/>
        <v>2025</v>
      </c>
      <c r="G3574" t="s">
        <v>1002</v>
      </c>
      <c r="H3574" s="98" t="s">
        <v>1555</v>
      </c>
      <c r="I3574" s="29">
        <v>4770</v>
      </c>
      <c r="J3574" s="12" t="s">
        <v>31</v>
      </c>
      <c r="K3574" s="76">
        <f t="shared" si="251"/>
        <v>4770</v>
      </c>
      <c r="L3574">
        <v>1</v>
      </c>
      <c r="M3574" s="29">
        <v>0</v>
      </c>
      <c r="N3574" t="s">
        <v>42</v>
      </c>
      <c r="O3574" t="s">
        <v>33</v>
      </c>
      <c r="P3574" t="s">
        <v>34</v>
      </c>
      <c r="Q3574" t="s">
        <v>34</v>
      </c>
      <c r="R3574" t="s">
        <v>34</v>
      </c>
      <c r="S3574" t="s">
        <v>34</v>
      </c>
      <c r="T3574" s="117">
        <v>0</v>
      </c>
    </row>
    <row r="3575" spans="1:20" x14ac:dyDescent="0.35">
      <c r="A3575" t="s">
        <v>19</v>
      </c>
      <c r="B3575" t="s">
        <v>19</v>
      </c>
      <c r="C3575" s="1">
        <v>45779</v>
      </c>
      <c r="D3575">
        <f t="shared" si="252"/>
        <v>2</v>
      </c>
      <c r="E3575">
        <f t="shared" si="253"/>
        <v>5</v>
      </c>
      <c r="F3575">
        <f t="shared" si="254"/>
        <v>2025</v>
      </c>
      <c r="G3575" t="s">
        <v>1003</v>
      </c>
      <c r="H3575" s="100">
        <v>0</v>
      </c>
      <c r="I3575" s="29">
        <v>4723.2</v>
      </c>
      <c r="J3575" s="12" t="s">
        <v>31</v>
      </c>
      <c r="K3575" s="76">
        <f t="shared" si="251"/>
        <v>4723.2</v>
      </c>
      <c r="L3575">
        <v>1</v>
      </c>
      <c r="M3575" s="29">
        <v>0</v>
      </c>
      <c r="N3575" t="s">
        <v>42</v>
      </c>
      <c r="O3575" t="s">
        <v>33</v>
      </c>
      <c r="P3575" t="s">
        <v>34</v>
      </c>
      <c r="Q3575" t="s">
        <v>34</v>
      </c>
      <c r="R3575" t="s">
        <v>34</v>
      </c>
      <c r="S3575" t="s">
        <v>34</v>
      </c>
      <c r="T3575" s="117">
        <v>0</v>
      </c>
    </row>
    <row r="3576" spans="1:20" x14ac:dyDescent="0.35">
      <c r="A3576" t="s">
        <v>19</v>
      </c>
      <c r="B3576" t="s">
        <v>26</v>
      </c>
      <c r="C3576" s="1">
        <v>45779</v>
      </c>
      <c r="D3576">
        <f t="shared" si="252"/>
        <v>2</v>
      </c>
      <c r="E3576">
        <f t="shared" si="253"/>
        <v>5</v>
      </c>
      <c r="F3576">
        <f t="shared" si="254"/>
        <v>2025</v>
      </c>
      <c r="G3576" t="s">
        <v>73</v>
      </c>
      <c r="H3576" s="98">
        <v>12442</v>
      </c>
      <c r="I3576" s="29">
        <v>67679.960000000006</v>
      </c>
      <c r="J3576" s="12" t="s">
        <v>51</v>
      </c>
      <c r="K3576" s="76">
        <f t="shared" si="251"/>
        <v>77087.474440000005</v>
      </c>
      <c r="L3576">
        <v>1.139</v>
      </c>
      <c r="M3576" s="29">
        <v>0</v>
      </c>
      <c r="N3576" t="s">
        <v>32</v>
      </c>
      <c r="O3576" t="s">
        <v>33</v>
      </c>
      <c r="P3576" t="s">
        <v>34</v>
      </c>
      <c r="Q3576" t="s">
        <v>34</v>
      </c>
      <c r="R3576" t="s">
        <v>34</v>
      </c>
      <c r="S3576" t="s">
        <v>34</v>
      </c>
      <c r="T3576" s="117">
        <v>0</v>
      </c>
    </row>
    <row r="3577" spans="1:20" x14ac:dyDescent="0.35">
      <c r="A3577" t="s">
        <v>19</v>
      </c>
      <c r="B3577" t="s">
        <v>26</v>
      </c>
      <c r="C3577" s="1">
        <v>45779</v>
      </c>
      <c r="D3577">
        <f t="shared" si="252"/>
        <v>2</v>
      </c>
      <c r="E3577">
        <f t="shared" si="253"/>
        <v>5</v>
      </c>
      <c r="F3577">
        <f t="shared" si="254"/>
        <v>2025</v>
      </c>
      <c r="G3577" t="s">
        <v>73</v>
      </c>
      <c r="H3577" s="98">
        <v>12460</v>
      </c>
      <c r="I3577" s="29">
        <v>83951.63</v>
      </c>
      <c r="J3577" s="12" t="s">
        <v>51</v>
      </c>
      <c r="K3577" s="76">
        <f t="shared" si="251"/>
        <v>95620.906570000006</v>
      </c>
      <c r="L3577">
        <v>1.139</v>
      </c>
      <c r="M3577" s="29">
        <v>0</v>
      </c>
      <c r="N3577" t="s">
        <v>32</v>
      </c>
      <c r="O3577" t="s">
        <v>33</v>
      </c>
      <c r="P3577" t="s">
        <v>34</v>
      </c>
      <c r="Q3577" t="s">
        <v>34</v>
      </c>
      <c r="R3577" t="s">
        <v>34</v>
      </c>
      <c r="S3577" t="s">
        <v>34</v>
      </c>
      <c r="T3577" s="117">
        <v>0</v>
      </c>
    </row>
    <row r="3578" spans="1:20" x14ac:dyDescent="0.35">
      <c r="A3578" t="s">
        <v>19</v>
      </c>
      <c r="B3578" t="s">
        <v>27</v>
      </c>
      <c r="C3578" s="1">
        <v>45782</v>
      </c>
      <c r="D3578">
        <f t="shared" si="252"/>
        <v>5</v>
      </c>
      <c r="E3578">
        <f t="shared" si="253"/>
        <v>5</v>
      </c>
      <c r="F3578">
        <f t="shared" si="254"/>
        <v>2025</v>
      </c>
      <c r="G3578" t="s">
        <v>100</v>
      </c>
      <c r="H3578" s="98">
        <v>12245</v>
      </c>
      <c r="I3578" s="29">
        <v>100000</v>
      </c>
      <c r="J3578" s="12" t="s">
        <v>31</v>
      </c>
      <c r="K3578" s="76">
        <f t="shared" si="251"/>
        <v>100000</v>
      </c>
      <c r="L3578">
        <v>1</v>
      </c>
      <c r="M3578" s="29">
        <v>0</v>
      </c>
      <c r="N3578" t="s">
        <v>32</v>
      </c>
      <c r="O3578" t="s">
        <v>33</v>
      </c>
      <c r="P3578" t="s">
        <v>34</v>
      </c>
      <c r="Q3578" t="s">
        <v>34</v>
      </c>
      <c r="R3578" t="s">
        <v>34</v>
      </c>
      <c r="S3578" t="s">
        <v>34</v>
      </c>
      <c r="T3578" s="117">
        <v>0</v>
      </c>
    </row>
    <row r="3579" spans="1:20" x14ac:dyDescent="0.35">
      <c r="A3579" t="s">
        <v>19</v>
      </c>
      <c r="B3579" t="s">
        <v>23</v>
      </c>
      <c r="C3579" s="1">
        <v>45784</v>
      </c>
      <c r="D3579">
        <f t="shared" si="252"/>
        <v>7</v>
      </c>
      <c r="E3579">
        <f t="shared" si="253"/>
        <v>5</v>
      </c>
      <c r="F3579">
        <f t="shared" si="254"/>
        <v>2025</v>
      </c>
      <c r="G3579" t="s">
        <v>75</v>
      </c>
      <c r="H3579" s="171">
        <v>12416</v>
      </c>
      <c r="I3579" s="90">
        <v>36301.599999999999</v>
      </c>
      <c r="J3579" s="12" t="s">
        <v>31</v>
      </c>
      <c r="K3579" s="76">
        <f t="shared" si="251"/>
        <v>36301.599999999999</v>
      </c>
      <c r="L3579">
        <v>1</v>
      </c>
      <c r="M3579" s="29">
        <v>0</v>
      </c>
      <c r="N3579" t="s">
        <v>32</v>
      </c>
      <c r="O3579" t="s">
        <v>33</v>
      </c>
      <c r="P3579" t="s">
        <v>34</v>
      </c>
      <c r="Q3579" t="s">
        <v>34</v>
      </c>
      <c r="R3579" t="s">
        <v>34</v>
      </c>
      <c r="S3579" t="s">
        <v>34</v>
      </c>
      <c r="T3579" s="117">
        <v>0</v>
      </c>
    </row>
    <row r="3580" spans="1:20" x14ac:dyDescent="0.35">
      <c r="A3580" t="s">
        <v>19</v>
      </c>
      <c r="B3580" t="s">
        <v>21</v>
      </c>
      <c r="C3580" s="1">
        <v>45784</v>
      </c>
      <c r="D3580">
        <f t="shared" si="252"/>
        <v>7</v>
      </c>
      <c r="E3580">
        <f t="shared" si="253"/>
        <v>5</v>
      </c>
      <c r="F3580">
        <f t="shared" si="254"/>
        <v>2025</v>
      </c>
      <c r="G3580" t="s">
        <v>75</v>
      </c>
      <c r="H3580" s="171">
        <v>12416</v>
      </c>
      <c r="I3580" s="90">
        <v>24722</v>
      </c>
      <c r="J3580" s="12" t="s">
        <v>31</v>
      </c>
      <c r="K3580" s="76">
        <f t="shared" si="251"/>
        <v>24722</v>
      </c>
      <c r="L3580">
        <v>1</v>
      </c>
      <c r="M3580" s="29">
        <v>0</v>
      </c>
      <c r="N3580" t="s">
        <v>32</v>
      </c>
      <c r="O3580" t="s">
        <v>33</v>
      </c>
      <c r="P3580" t="s">
        <v>34</v>
      </c>
      <c r="Q3580" t="s">
        <v>34</v>
      </c>
      <c r="R3580" t="s">
        <v>34</v>
      </c>
      <c r="S3580" t="s">
        <v>34</v>
      </c>
      <c r="T3580" s="117">
        <v>0</v>
      </c>
    </row>
    <row r="3581" spans="1:20" x14ac:dyDescent="0.35">
      <c r="A3581" t="s">
        <v>19</v>
      </c>
      <c r="B3581" t="s">
        <v>21</v>
      </c>
      <c r="C3581" s="1">
        <v>45784</v>
      </c>
      <c r="D3581">
        <f t="shared" si="252"/>
        <v>7</v>
      </c>
      <c r="E3581">
        <f t="shared" si="253"/>
        <v>5</v>
      </c>
      <c r="F3581">
        <f t="shared" si="254"/>
        <v>2025</v>
      </c>
      <c r="G3581" t="s">
        <v>75</v>
      </c>
      <c r="H3581" s="171">
        <v>12568</v>
      </c>
      <c r="I3581" s="90">
        <v>11067.77</v>
      </c>
      <c r="J3581" s="12" t="s">
        <v>31</v>
      </c>
      <c r="K3581" s="76">
        <f t="shared" si="251"/>
        <v>11067.77</v>
      </c>
      <c r="L3581">
        <v>1</v>
      </c>
      <c r="M3581" s="29">
        <v>0</v>
      </c>
      <c r="N3581" t="s">
        <v>32</v>
      </c>
      <c r="O3581" t="s">
        <v>33</v>
      </c>
      <c r="P3581" t="s">
        <v>34</v>
      </c>
      <c r="Q3581" t="s">
        <v>34</v>
      </c>
      <c r="R3581" t="s">
        <v>34</v>
      </c>
      <c r="S3581" t="s">
        <v>34</v>
      </c>
      <c r="T3581" s="117">
        <v>0</v>
      </c>
    </row>
    <row r="3582" spans="1:20" x14ac:dyDescent="0.35">
      <c r="A3582" t="s">
        <v>19</v>
      </c>
      <c r="B3582" t="s">
        <v>21</v>
      </c>
      <c r="C3582" s="1">
        <v>45784</v>
      </c>
      <c r="D3582">
        <f t="shared" si="252"/>
        <v>7</v>
      </c>
      <c r="E3582">
        <f t="shared" si="253"/>
        <v>5</v>
      </c>
      <c r="F3582">
        <f t="shared" si="254"/>
        <v>2025</v>
      </c>
      <c r="G3582" t="s">
        <v>75</v>
      </c>
      <c r="H3582" s="171">
        <v>11988</v>
      </c>
      <c r="I3582" s="90">
        <v>7487</v>
      </c>
      <c r="J3582" s="12" t="s">
        <v>31</v>
      </c>
      <c r="K3582" s="76">
        <f t="shared" si="251"/>
        <v>7487</v>
      </c>
      <c r="L3582">
        <v>1</v>
      </c>
      <c r="M3582" s="29">
        <v>0</v>
      </c>
      <c r="N3582" t="s">
        <v>32</v>
      </c>
      <c r="O3582" t="s">
        <v>33</v>
      </c>
      <c r="P3582" t="s">
        <v>34</v>
      </c>
      <c r="Q3582" t="s">
        <v>34</v>
      </c>
      <c r="R3582" t="s">
        <v>34</v>
      </c>
      <c r="S3582" t="s">
        <v>34</v>
      </c>
      <c r="T3582" s="117">
        <v>0</v>
      </c>
    </row>
    <row r="3583" spans="1:20" x14ac:dyDescent="0.35">
      <c r="A3583" t="s">
        <v>19</v>
      </c>
      <c r="B3583" t="s">
        <v>21</v>
      </c>
      <c r="C3583" s="1">
        <v>45784</v>
      </c>
      <c r="D3583">
        <f t="shared" si="252"/>
        <v>7</v>
      </c>
      <c r="E3583">
        <f t="shared" si="253"/>
        <v>5</v>
      </c>
      <c r="F3583">
        <f t="shared" si="254"/>
        <v>2025</v>
      </c>
      <c r="G3583" t="s">
        <v>75</v>
      </c>
      <c r="H3583" s="171">
        <v>11727</v>
      </c>
      <c r="I3583" s="90">
        <v>36596.6</v>
      </c>
      <c r="J3583" s="12" t="s">
        <v>31</v>
      </c>
      <c r="K3583" s="76">
        <f t="shared" si="251"/>
        <v>36596.6</v>
      </c>
      <c r="L3583">
        <v>1</v>
      </c>
      <c r="M3583" s="29">
        <v>0</v>
      </c>
      <c r="N3583" t="s">
        <v>32</v>
      </c>
      <c r="O3583" t="s">
        <v>33</v>
      </c>
      <c r="P3583" t="s">
        <v>34</v>
      </c>
      <c r="Q3583" t="s">
        <v>34</v>
      </c>
      <c r="R3583" t="s">
        <v>34</v>
      </c>
      <c r="S3583" t="s">
        <v>34</v>
      </c>
      <c r="T3583" s="117">
        <v>0</v>
      </c>
    </row>
    <row r="3584" spans="1:20" x14ac:dyDescent="0.35">
      <c r="A3584" t="s">
        <v>19</v>
      </c>
      <c r="B3584" t="s">
        <v>21</v>
      </c>
      <c r="C3584" s="1">
        <v>45784</v>
      </c>
      <c r="D3584">
        <f t="shared" si="252"/>
        <v>7</v>
      </c>
      <c r="E3584">
        <f t="shared" si="253"/>
        <v>5</v>
      </c>
      <c r="F3584">
        <f t="shared" si="254"/>
        <v>2025</v>
      </c>
      <c r="G3584" t="s">
        <v>75</v>
      </c>
      <c r="H3584" s="171">
        <v>11727</v>
      </c>
      <c r="I3584" s="90">
        <v>19220.349999999999</v>
      </c>
      <c r="J3584" s="12" t="s">
        <v>31</v>
      </c>
      <c r="K3584" s="76">
        <f t="shared" si="251"/>
        <v>19220.349999999999</v>
      </c>
      <c r="L3584">
        <v>1</v>
      </c>
      <c r="M3584" s="29">
        <v>0</v>
      </c>
      <c r="N3584" t="s">
        <v>32</v>
      </c>
      <c r="O3584" t="s">
        <v>33</v>
      </c>
      <c r="P3584" t="s">
        <v>34</v>
      </c>
      <c r="Q3584" t="s">
        <v>34</v>
      </c>
      <c r="R3584" t="s">
        <v>34</v>
      </c>
      <c r="S3584" t="s">
        <v>34</v>
      </c>
      <c r="T3584" s="117">
        <v>0</v>
      </c>
    </row>
    <row r="3585" spans="1:21" x14ac:dyDescent="0.35">
      <c r="A3585" t="s">
        <v>19</v>
      </c>
      <c r="B3585" t="s">
        <v>23</v>
      </c>
      <c r="C3585" s="1">
        <v>45784</v>
      </c>
      <c r="D3585">
        <f t="shared" si="252"/>
        <v>7</v>
      </c>
      <c r="E3585">
        <f t="shared" si="253"/>
        <v>5</v>
      </c>
      <c r="F3585">
        <f t="shared" si="254"/>
        <v>2025</v>
      </c>
      <c r="G3585" t="s">
        <v>76</v>
      </c>
      <c r="H3585" s="98">
        <v>12492</v>
      </c>
      <c r="I3585" s="29">
        <v>51935.4</v>
      </c>
      <c r="J3585" s="12" t="s">
        <v>31</v>
      </c>
      <c r="K3585" s="76">
        <f t="shared" si="251"/>
        <v>51935.4</v>
      </c>
      <c r="L3585">
        <v>1</v>
      </c>
      <c r="M3585" s="29">
        <v>0</v>
      </c>
      <c r="N3585" t="s">
        <v>32</v>
      </c>
      <c r="O3585" t="s">
        <v>33</v>
      </c>
      <c r="P3585" t="s">
        <v>34</v>
      </c>
      <c r="Q3585" t="s">
        <v>34</v>
      </c>
      <c r="R3585" t="s">
        <v>34</v>
      </c>
      <c r="S3585" t="s">
        <v>34</v>
      </c>
      <c r="T3585" s="117">
        <v>0</v>
      </c>
    </row>
    <row r="3586" spans="1:21" x14ac:dyDescent="0.35">
      <c r="A3586" t="s">
        <v>19</v>
      </c>
      <c r="B3586" t="s">
        <v>21</v>
      </c>
      <c r="C3586" s="1">
        <v>45784</v>
      </c>
      <c r="D3586">
        <f t="shared" si="252"/>
        <v>7</v>
      </c>
      <c r="E3586">
        <f t="shared" si="253"/>
        <v>5</v>
      </c>
      <c r="F3586">
        <f t="shared" si="254"/>
        <v>2025</v>
      </c>
      <c r="G3586" t="s">
        <v>76</v>
      </c>
      <c r="H3586" s="98">
        <v>12492</v>
      </c>
      <c r="I3586" s="29">
        <v>9954</v>
      </c>
      <c r="J3586" s="12" t="s">
        <v>31</v>
      </c>
      <c r="K3586" s="76">
        <f t="shared" si="251"/>
        <v>9954</v>
      </c>
      <c r="L3586">
        <v>1</v>
      </c>
      <c r="M3586" s="29">
        <v>0</v>
      </c>
      <c r="N3586" t="s">
        <v>32</v>
      </c>
      <c r="O3586" t="s">
        <v>33</v>
      </c>
      <c r="P3586" t="s">
        <v>34</v>
      </c>
      <c r="Q3586" t="s">
        <v>34</v>
      </c>
      <c r="R3586" t="s">
        <v>34</v>
      </c>
      <c r="S3586" t="s">
        <v>34</v>
      </c>
      <c r="T3586" s="117">
        <v>0</v>
      </c>
    </row>
    <row r="3587" spans="1:21" x14ac:dyDescent="0.35">
      <c r="A3587" t="s">
        <v>19</v>
      </c>
      <c r="B3587" t="s">
        <v>23</v>
      </c>
      <c r="C3587" s="1">
        <v>45784</v>
      </c>
      <c r="D3587">
        <f t="shared" si="252"/>
        <v>7</v>
      </c>
      <c r="E3587">
        <f t="shared" si="253"/>
        <v>5</v>
      </c>
      <c r="F3587">
        <f t="shared" si="254"/>
        <v>2025</v>
      </c>
      <c r="G3587" t="s">
        <v>76</v>
      </c>
      <c r="H3587" s="98">
        <v>12264</v>
      </c>
      <c r="I3587" s="29">
        <v>23918.3</v>
      </c>
      <c r="J3587" s="12" t="s">
        <v>31</v>
      </c>
      <c r="K3587" s="76">
        <f t="shared" ref="K3587:K3651" si="255">IF(J3587="USD",I3587,I3587*L3587)</f>
        <v>23918.3</v>
      </c>
      <c r="L3587">
        <v>1</v>
      </c>
      <c r="M3587" s="29">
        <v>0</v>
      </c>
      <c r="N3587" t="s">
        <v>32</v>
      </c>
      <c r="O3587" t="s">
        <v>33</v>
      </c>
      <c r="P3587" t="s">
        <v>34</v>
      </c>
      <c r="Q3587" t="s">
        <v>34</v>
      </c>
      <c r="R3587" t="s">
        <v>34</v>
      </c>
      <c r="S3587" t="s">
        <v>34</v>
      </c>
      <c r="T3587" s="117">
        <v>0</v>
      </c>
    </row>
    <row r="3588" spans="1:21" x14ac:dyDescent="0.35">
      <c r="A3588" t="s">
        <v>19</v>
      </c>
      <c r="B3588" t="s">
        <v>21</v>
      </c>
      <c r="C3588" s="1">
        <v>45784</v>
      </c>
      <c r="D3588">
        <f t="shared" ref="D3588:D3652" si="256">DAY(C3588)</f>
        <v>7</v>
      </c>
      <c r="E3588">
        <f t="shared" ref="E3588:E3652" si="257">MONTH(C3588)</f>
        <v>5</v>
      </c>
      <c r="F3588">
        <f t="shared" ref="F3588:F3652" si="258">YEAR(C3588)</f>
        <v>2025</v>
      </c>
      <c r="G3588" t="s">
        <v>76</v>
      </c>
      <c r="H3588" s="98">
        <v>12264</v>
      </c>
      <c r="I3588" s="29">
        <v>14388.9</v>
      </c>
      <c r="J3588" s="12" t="s">
        <v>31</v>
      </c>
      <c r="K3588" s="76">
        <f t="shared" si="255"/>
        <v>14388.9</v>
      </c>
      <c r="L3588">
        <v>1</v>
      </c>
      <c r="M3588" s="29">
        <v>0</v>
      </c>
      <c r="N3588" t="s">
        <v>32</v>
      </c>
      <c r="O3588" t="s">
        <v>33</v>
      </c>
      <c r="P3588" t="s">
        <v>34</v>
      </c>
      <c r="Q3588" t="s">
        <v>34</v>
      </c>
      <c r="R3588" t="s">
        <v>34</v>
      </c>
      <c r="S3588" t="s">
        <v>34</v>
      </c>
      <c r="T3588" s="117">
        <v>0</v>
      </c>
    </row>
    <row r="3589" spans="1:21" x14ac:dyDescent="0.35">
      <c r="A3589" t="s">
        <v>19</v>
      </c>
      <c r="B3589" t="s">
        <v>21</v>
      </c>
      <c r="C3589" s="1">
        <v>45784</v>
      </c>
      <c r="D3589">
        <f t="shared" si="256"/>
        <v>7</v>
      </c>
      <c r="E3589">
        <f t="shared" si="257"/>
        <v>5</v>
      </c>
      <c r="F3589">
        <f t="shared" si="258"/>
        <v>2025</v>
      </c>
      <c r="G3589" t="s">
        <v>76</v>
      </c>
      <c r="H3589" s="98">
        <v>12472</v>
      </c>
      <c r="I3589" s="29">
        <v>70</v>
      </c>
      <c r="J3589" s="12" t="s">
        <v>31</v>
      </c>
      <c r="K3589" s="76">
        <f t="shared" si="255"/>
        <v>70</v>
      </c>
      <c r="L3589">
        <v>1</v>
      </c>
      <c r="M3589" s="29">
        <v>0</v>
      </c>
      <c r="N3589" t="s">
        <v>32</v>
      </c>
      <c r="O3589" t="s">
        <v>33</v>
      </c>
      <c r="P3589" t="s">
        <v>34</v>
      </c>
      <c r="Q3589" t="s">
        <v>34</v>
      </c>
      <c r="R3589" t="s">
        <v>34</v>
      </c>
      <c r="S3589" t="s">
        <v>34</v>
      </c>
      <c r="T3589" s="117">
        <v>0</v>
      </c>
    </row>
    <row r="3590" spans="1:21" x14ac:dyDescent="0.35">
      <c r="A3590" t="s">
        <v>19</v>
      </c>
      <c r="B3590" t="s">
        <v>27</v>
      </c>
      <c r="C3590" s="1">
        <v>45784</v>
      </c>
      <c r="D3590">
        <f t="shared" si="256"/>
        <v>7</v>
      </c>
      <c r="E3590">
        <f t="shared" si="257"/>
        <v>5</v>
      </c>
      <c r="F3590">
        <f t="shared" si="258"/>
        <v>2025</v>
      </c>
      <c r="G3590" t="s">
        <v>100</v>
      </c>
      <c r="H3590" s="98">
        <v>12245</v>
      </c>
      <c r="I3590" s="29">
        <v>100000</v>
      </c>
      <c r="J3590" s="12" t="s">
        <v>31</v>
      </c>
      <c r="K3590" s="76">
        <f t="shared" si="255"/>
        <v>100000</v>
      </c>
      <c r="L3590">
        <v>1</v>
      </c>
      <c r="M3590" s="29">
        <v>0</v>
      </c>
      <c r="N3590" t="s">
        <v>32</v>
      </c>
      <c r="O3590" t="s">
        <v>33</v>
      </c>
      <c r="P3590" t="s">
        <v>34</v>
      </c>
      <c r="Q3590" t="s">
        <v>34</v>
      </c>
      <c r="R3590" t="s">
        <v>34</v>
      </c>
      <c r="S3590" t="s">
        <v>34</v>
      </c>
      <c r="T3590" s="117">
        <v>0</v>
      </c>
    </row>
    <row r="3591" spans="1:21" x14ac:dyDescent="0.35">
      <c r="A3591" t="s">
        <v>19</v>
      </c>
      <c r="B3591" t="s">
        <v>27</v>
      </c>
      <c r="C3591" s="1">
        <v>45784</v>
      </c>
      <c r="D3591">
        <f t="shared" si="256"/>
        <v>7</v>
      </c>
      <c r="E3591">
        <f t="shared" si="257"/>
        <v>5</v>
      </c>
      <c r="F3591">
        <f t="shared" si="258"/>
        <v>2025</v>
      </c>
      <c r="G3591" t="s">
        <v>100</v>
      </c>
      <c r="H3591" s="98">
        <v>12308</v>
      </c>
      <c r="I3591" s="29">
        <v>100000</v>
      </c>
      <c r="J3591" s="12" t="s">
        <v>31</v>
      </c>
      <c r="K3591" s="76">
        <f t="shared" si="255"/>
        <v>100000</v>
      </c>
      <c r="L3591">
        <v>1</v>
      </c>
      <c r="M3591" s="29">
        <v>0</v>
      </c>
      <c r="N3591" t="s">
        <v>32</v>
      </c>
      <c r="O3591" t="s">
        <v>33</v>
      </c>
      <c r="P3591" t="s">
        <v>34</v>
      </c>
      <c r="Q3591" t="s">
        <v>34</v>
      </c>
      <c r="R3591" t="s">
        <v>34</v>
      </c>
      <c r="S3591" t="s">
        <v>34</v>
      </c>
      <c r="T3591" s="117">
        <v>0</v>
      </c>
    </row>
    <row r="3592" spans="1:21" x14ac:dyDescent="0.35">
      <c r="A3592" t="s">
        <v>19</v>
      </c>
      <c r="B3592" t="s">
        <v>24</v>
      </c>
      <c r="C3592" s="1">
        <v>45784</v>
      </c>
      <c r="D3592">
        <f t="shared" si="256"/>
        <v>7</v>
      </c>
      <c r="E3592">
        <f t="shared" si="257"/>
        <v>5</v>
      </c>
      <c r="F3592">
        <f t="shared" si="258"/>
        <v>2025</v>
      </c>
      <c r="G3592" t="s">
        <v>39</v>
      </c>
      <c r="H3592" s="98">
        <v>12481</v>
      </c>
      <c r="I3592" s="29">
        <v>5750</v>
      </c>
      <c r="J3592" s="12" t="s">
        <v>31</v>
      </c>
      <c r="K3592" s="76">
        <f t="shared" si="255"/>
        <v>5750</v>
      </c>
      <c r="L3592">
        <v>1</v>
      </c>
      <c r="M3592" s="29">
        <v>0</v>
      </c>
      <c r="N3592" t="s">
        <v>32</v>
      </c>
      <c r="O3592" t="s">
        <v>33</v>
      </c>
      <c r="P3592" t="s">
        <v>34</v>
      </c>
      <c r="Q3592" t="s">
        <v>34</v>
      </c>
      <c r="R3592" t="s">
        <v>34</v>
      </c>
      <c r="S3592" t="s">
        <v>34</v>
      </c>
      <c r="T3592" s="117">
        <v>0</v>
      </c>
    </row>
    <row r="3593" spans="1:21" x14ac:dyDescent="0.35">
      <c r="A3593" t="s">
        <v>19</v>
      </c>
      <c r="B3593" t="s">
        <v>25</v>
      </c>
      <c r="C3593" s="1">
        <v>45784</v>
      </c>
      <c r="D3593">
        <f t="shared" si="256"/>
        <v>7</v>
      </c>
      <c r="E3593">
        <f t="shared" si="257"/>
        <v>5</v>
      </c>
      <c r="F3593">
        <f t="shared" si="258"/>
        <v>2025</v>
      </c>
      <c r="G3593" t="s">
        <v>39</v>
      </c>
      <c r="H3593" s="98">
        <v>12481</v>
      </c>
      <c r="I3593" s="29">
        <v>18701</v>
      </c>
      <c r="J3593" s="12" t="s">
        <v>31</v>
      </c>
      <c r="K3593" s="76">
        <f t="shared" si="255"/>
        <v>18701</v>
      </c>
      <c r="L3593">
        <v>1</v>
      </c>
      <c r="M3593" s="29">
        <v>0</v>
      </c>
      <c r="N3593" t="s">
        <v>32</v>
      </c>
      <c r="O3593" t="s">
        <v>33</v>
      </c>
      <c r="P3593" t="s">
        <v>34</v>
      </c>
      <c r="Q3593" t="s">
        <v>34</v>
      </c>
      <c r="R3593" t="s">
        <v>34</v>
      </c>
      <c r="S3593" t="s">
        <v>34</v>
      </c>
      <c r="T3593" s="117">
        <v>0</v>
      </c>
    </row>
    <row r="3594" spans="1:21" x14ac:dyDescent="0.35">
      <c r="A3594" t="s">
        <v>19</v>
      </c>
      <c r="B3594" t="s">
        <v>24</v>
      </c>
      <c r="C3594" s="1">
        <v>45784</v>
      </c>
      <c r="D3594">
        <f t="shared" si="256"/>
        <v>7</v>
      </c>
      <c r="E3594">
        <f t="shared" si="257"/>
        <v>5</v>
      </c>
      <c r="F3594">
        <f t="shared" si="258"/>
        <v>2025</v>
      </c>
      <c r="G3594" t="s">
        <v>77</v>
      </c>
      <c r="H3594" s="98">
        <v>12580</v>
      </c>
      <c r="I3594" s="29">
        <v>14676</v>
      </c>
      <c r="J3594" s="12" t="s">
        <v>31</v>
      </c>
      <c r="K3594" s="76">
        <f t="shared" si="255"/>
        <v>14676</v>
      </c>
      <c r="L3594">
        <v>1</v>
      </c>
      <c r="M3594" s="29">
        <v>0</v>
      </c>
      <c r="N3594" t="s">
        <v>42</v>
      </c>
      <c r="O3594" t="s">
        <v>33</v>
      </c>
      <c r="P3594" t="s">
        <v>34</v>
      </c>
      <c r="Q3594" t="s">
        <v>34</v>
      </c>
      <c r="R3594" t="s">
        <v>34</v>
      </c>
      <c r="S3594" t="s">
        <v>34</v>
      </c>
      <c r="T3594" s="117">
        <v>0</v>
      </c>
    </row>
    <row r="3595" spans="1:21" x14ac:dyDescent="0.35">
      <c r="A3595" t="s">
        <v>19</v>
      </c>
      <c r="B3595" t="s">
        <v>24</v>
      </c>
      <c r="C3595" s="1">
        <v>45784</v>
      </c>
      <c r="D3595">
        <f t="shared" si="256"/>
        <v>7</v>
      </c>
      <c r="E3595">
        <f t="shared" si="257"/>
        <v>5</v>
      </c>
      <c r="F3595">
        <f t="shared" si="258"/>
        <v>2025</v>
      </c>
      <c r="G3595" t="s">
        <v>77</v>
      </c>
      <c r="H3595" s="98">
        <v>13064</v>
      </c>
      <c r="I3595" s="29">
        <v>69.599999999999994</v>
      </c>
      <c r="J3595" s="12" t="s">
        <v>31</v>
      </c>
      <c r="K3595" s="76">
        <f t="shared" si="255"/>
        <v>69.599999999999994</v>
      </c>
      <c r="L3595">
        <v>1</v>
      </c>
      <c r="M3595" s="29">
        <v>0</v>
      </c>
      <c r="N3595" t="s">
        <v>42</v>
      </c>
      <c r="O3595" t="s">
        <v>33</v>
      </c>
      <c r="P3595" t="s">
        <v>34</v>
      </c>
      <c r="Q3595" t="s">
        <v>34</v>
      </c>
      <c r="R3595" t="s">
        <v>34</v>
      </c>
      <c r="S3595" t="s">
        <v>34</v>
      </c>
      <c r="T3595" s="117">
        <v>0</v>
      </c>
      <c r="U3595" s="209" t="s">
        <v>1399</v>
      </c>
    </row>
    <row r="3596" spans="1:21" x14ac:dyDescent="0.35">
      <c r="A3596" t="s">
        <v>19</v>
      </c>
      <c r="B3596" t="s">
        <v>25</v>
      </c>
      <c r="C3596" s="1">
        <v>45784</v>
      </c>
      <c r="D3596">
        <f t="shared" si="256"/>
        <v>7</v>
      </c>
      <c r="E3596">
        <f t="shared" si="257"/>
        <v>5</v>
      </c>
      <c r="F3596">
        <f t="shared" si="258"/>
        <v>2025</v>
      </c>
      <c r="G3596" t="s">
        <v>77</v>
      </c>
      <c r="H3596" s="98">
        <v>12578</v>
      </c>
      <c r="I3596" s="29">
        <v>13510.05</v>
      </c>
      <c r="J3596" s="12" t="s">
        <v>31</v>
      </c>
      <c r="K3596" s="76">
        <f t="shared" si="255"/>
        <v>13510.05</v>
      </c>
      <c r="L3596">
        <v>1</v>
      </c>
      <c r="M3596" s="29">
        <v>0</v>
      </c>
      <c r="N3596" t="s">
        <v>42</v>
      </c>
      <c r="O3596" t="s">
        <v>33</v>
      </c>
      <c r="P3596" t="s">
        <v>34</v>
      </c>
      <c r="Q3596" t="s">
        <v>34</v>
      </c>
      <c r="R3596" t="s">
        <v>34</v>
      </c>
      <c r="S3596" t="s">
        <v>34</v>
      </c>
      <c r="T3596" s="117">
        <v>0</v>
      </c>
    </row>
    <row r="3597" spans="1:21" x14ac:dyDescent="0.35">
      <c r="A3597" t="s">
        <v>19</v>
      </c>
      <c r="B3597" t="s">
        <v>25</v>
      </c>
      <c r="C3597" s="1">
        <v>45784</v>
      </c>
      <c r="D3597">
        <f t="shared" si="256"/>
        <v>7</v>
      </c>
      <c r="E3597">
        <f t="shared" si="257"/>
        <v>5</v>
      </c>
      <c r="F3597">
        <f t="shared" si="258"/>
        <v>2025</v>
      </c>
      <c r="G3597" t="s">
        <v>77</v>
      </c>
      <c r="H3597" s="98">
        <v>12577</v>
      </c>
      <c r="I3597" s="29">
        <v>71.7</v>
      </c>
      <c r="J3597" s="12" t="s">
        <v>31</v>
      </c>
      <c r="K3597" s="76">
        <f t="shared" si="255"/>
        <v>71.7</v>
      </c>
      <c r="L3597">
        <v>1</v>
      </c>
      <c r="M3597" s="29">
        <v>0</v>
      </c>
      <c r="N3597" t="s">
        <v>42</v>
      </c>
      <c r="O3597" t="s">
        <v>33</v>
      </c>
      <c r="P3597" t="s">
        <v>34</v>
      </c>
      <c r="Q3597" t="s">
        <v>34</v>
      </c>
      <c r="R3597" t="s">
        <v>34</v>
      </c>
      <c r="S3597" t="s">
        <v>34</v>
      </c>
      <c r="T3597" s="117">
        <v>0</v>
      </c>
      <c r="U3597" s="209" t="s">
        <v>1394</v>
      </c>
    </row>
    <row r="3598" spans="1:21" x14ac:dyDescent="0.35">
      <c r="A3598" t="s">
        <v>19</v>
      </c>
      <c r="B3598" t="s">
        <v>21</v>
      </c>
      <c r="C3598" s="1">
        <v>45784</v>
      </c>
      <c r="D3598">
        <f t="shared" ref="D3598" si="259">DAY(C3598)</f>
        <v>7</v>
      </c>
      <c r="E3598">
        <f t="shared" ref="E3598" si="260">MONTH(C3598)</f>
        <v>5</v>
      </c>
      <c r="F3598">
        <f t="shared" ref="F3598" si="261">YEAR(C3598)</f>
        <v>2025</v>
      </c>
      <c r="G3598" t="s">
        <v>77</v>
      </c>
      <c r="H3598" s="98">
        <v>13064</v>
      </c>
      <c r="I3598" s="29">
        <v>70.2</v>
      </c>
      <c r="J3598" s="12" t="s">
        <v>31</v>
      </c>
      <c r="K3598" s="76">
        <f t="shared" ref="K3598" si="262">IF(J3598="USD",I3598,I3598*L3598)</f>
        <v>70.2</v>
      </c>
      <c r="L3598">
        <v>1</v>
      </c>
      <c r="M3598" s="29">
        <v>0</v>
      </c>
      <c r="N3598" t="s">
        <v>42</v>
      </c>
      <c r="O3598" t="s">
        <v>33</v>
      </c>
      <c r="P3598" t="s">
        <v>34</v>
      </c>
      <c r="Q3598" t="s">
        <v>34</v>
      </c>
      <c r="R3598" t="s">
        <v>34</v>
      </c>
      <c r="S3598" t="s">
        <v>34</v>
      </c>
      <c r="T3598" s="117">
        <v>0</v>
      </c>
      <c r="U3598" s="209">
        <v>12577</v>
      </c>
    </row>
    <row r="3599" spans="1:21" x14ac:dyDescent="0.35">
      <c r="A3599" t="s">
        <v>19</v>
      </c>
      <c r="B3599" t="s">
        <v>21</v>
      </c>
      <c r="C3599" s="1">
        <v>45784</v>
      </c>
      <c r="D3599">
        <f t="shared" si="256"/>
        <v>7</v>
      </c>
      <c r="E3599">
        <f t="shared" si="257"/>
        <v>5</v>
      </c>
      <c r="F3599">
        <f t="shared" si="258"/>
        <v>2025</v>
      </c>
      <c r="G3599" t="s">
        <v>40</v>
      </c>
      <c r="H3599" s="98">
        <v>12253</v>
      </c>
      <c r="I3599" s="29">
        <v>33232</v>
      </c>
      <c r="J3599" s="12" t="s">
        <v>31</v>
      </c>
      <c r="K3599" s="76">
        <f t="shared" si="255"/>
        <v>33232</v>
      </c>
      <c r="L3599">
        <v>1</v>
      </c>
      <c r="M3599" s="29">
        <v>0</v>
      </c>
      <c r="N3599" t="s">
        <v>32</v>
      </c>
      <c r="O3599" t="s">
        <v>33</v>
      </c>
      <c r="P3599" t="s">
        <v>34</v>
      </c>
      <c r="Q3599" t="s">
        <v>34</v>
      </c>
      <c r="R3599" t="s">
        <v>34</v>
      </c>
      <c r="S3599" t="s">
        <v>34</v>
      </c>
      <c r="T3599" s="117">
        <v>0</v>
      </c>
    </row>
    <row r="3600" spans="1:21" x14ac:dyDescent="0.35">
      <c r="A3600" t="s">
        <v>19</v>
      </c>
      <c r="B3600" t="s">
        <v>23</v>
      </c>
      <c r="C3600" s="1">
        <v>45784</v>
      </c>
      <c r="D3600">
        <f t="shared" si="256"/>
        <v>7</v>
      </c>
      <c r="E3600">
        <f t="shared" si="257"/>
        <v>5</v>
      </c>
      <c r="F3600">
        <f t="shared" si="258"/>
        <v>2025</v>
      </c>
      <c r="G3600" t="s">
        <v>979</v>
      </c>
      <c r="H3600" s="98">
        <v>12630</v>
      </c>
      <c r="I3600" s="29">
        <v>1035</v>
      </c>
      <c r="J3600" s="12" t="s">
        <v>31</v>
      </c>
      <c r="K3600" s="76">
        <f t="shared" si="255"/>
        <v>1035</v>
      </c>
      <c r="L3600">
        <v>1</v>
      </c>
      <c r="M3600" s="29">
        <v>0</v>
      </c>
      <c r="N3600" t="s">
        <v>42</v>
      </c>
      <c r="O3600" t="s">
        <v>33</v>
      </c>
      <c r="P3600" t="s">
        <v>34</v>
      </c>
      <c r="Q3600" t="s">
        <v>34</v>
      </c>
      <c r="R3600" t="s">
        <v>34</v>
      </c>
      <c r="S3600" t="s">
        <v>34</v>
      </c>
      <c r="T3600" s="117">
        <v>0</v>
      </c>
    </row>
    <row r="3601" spans="1:20" x14ac:dyDescent="0.35">
      <c r="A3601" t="s">
        <v>19</v>
      </c>
      <c r="B3601" t="s">
        <v>25</v>
      </c>
      <c r="C3601" s="1">
        <v>45784</v>
      </c>
      <c r="D3601">
        <f t="shared" si="256"/>
        <v>7</v>
      </c>
      <c r="E3601">
        <f t="shared" si="257"/>
        <v>5</v>
      </c>
      <c r="F3601">
        <f t="shared" si="258"/>
        <v>2025</v>
      </c>
      <c r="G3601" t="s">
        <v>38</v>
      </c>
      <c r="H3601" s="98">
        <v>12272</v>
      </c>
      <c r="I3601" s="29">
        <v>39700.639999999999</v>
      </c>
      <c r="J3601" s="12" t="s">
        <v>31</v>
      </c>
      <c r="K3601" s="76">
        <f t="shared" si="255"/>
        <v>39700.639999999999</v>
      </c>
      <c r="L3601">
        <v>1</v>
      </c>
      <c r="M3601" s="29">
        <v>0</v>
      </c>
      <c r="N3601" t="s">
        <v>32</v>
      </c>
      <c r="O3601" t="s">
        <v>33</v>
      </c>
      <c r="P3601" t="s">
        <v>34</v>
      </c>
      <c r="Q3601" t="s">
        <v>34</v>
      </c>
      <c r="R3601" t="s">
        <v>34</v>
      </c>
      <c r="S3601" t="s">
        <v>34</v>
      </c>
      <c r="T3601" s="117">
        <v>0</v>
      </c>
    </row>
    <row r="3602" spans="1:20" x14ac:dyDescent="0.35">
      <c r="A3602" t="s">
        <v>19</v>
      </c>
      <c r="B3602" t="s">
        <v>23</v>
      </c>
      <c r="C3602" s="1">
        <v>45784</v>
      </c>
      <c r="D3602">
        <f t="shared" si="256"/>
        <v>7</v>
      </c>
      <c r="E3602">
        <f t="shared" si="257"/>
        <v>5</v>
      </c>
      <c r="F3602">
        <f t="shared" si="258"/>
        <v>2025</v>
      </c>
      <c r="G3602" t="s">
        <v>74</v>
      </c>
      <c r="H3602" s="98">
        <v>11824</v>
      </c>
      <c r="I3602" s="29">
        <v>32685</v>
      </c>
      <c r="J3602" s="12" t="s">
        <v>31</v>
      </c>
      <c r="K3602" s="76">
        <f t="shared" si="255"/>
        <v>32685</v>
      </c>
      <c r="L3602">
        <v>1</v>
      </c>
      <c r="M3602" s="29">
        <v>0</v>
      </c>
      <c r="N3602" t="s">
        <v>32</v>
      </c>
      <c r="O3602" t="s">
        <v>33</v>
      </c>
      <c r="P3602" t="s">
        <v>34</v>
      </c>
      <c r="Q3602" t="s">
        <v>34</v>
      </c>
      <c r="R3602" t="s">
        <v>34</v>
      </c>
      <c r="S3602" t="s">
        <v>34</v>
      </c>
      <c r="T3602" s="117">
        <v>0</v>
      </c>
    </row>
    <row r="3603" spans="1:20" x14ac:dyDescent="0.35">
      <c r="A3603" t="s">
        <v>19</v>
      </c>
      <c r="B3603" t="s">
        <v>23</v>
      </c>
      <c r="C3603" s="1">
        <v>45784</v>
      </c>
      <c r="D3603">
        <f t="shared" si="256"/>
        <v>7</v>
      </c>
      <c r="E3603">
        <f t="shared" si="257"/>
        <v>5</v>
      </c>
      <c r="F3603">
        <f t="shared" si="258"/>
        <v>2025</v>
      </c>
      <c r="G3603" t="s">
        <v>74</v>
      </c>
      <c r="H3603" s="98">
        <v>11822</v>
      </c>
      <c r="I3603" s="29">
        <v>122789.95</v>
      </c>
      <c r="J3603" s="12" t="s">
        <v>31</v>
      </c>
      <c r="K3603" s="76">
        <f t="shared" si="255"/>
        <v>122789.95</v>
      </c>
      <c r="L3603">
        <v>1</v>
      </c>
      <c r="M3603" s="29">
        <v>0</v>
      </c>
      <c r="N3603" t="s">
        <v>32</v>
      </c>
      <c r="O3603" t="s">
        <v>33</v>
      </c>
      <c r="P3603" t="s">
        <v>34</v>
      </c>
      <c r="Q3603" t="s">
        <v>34</v>
      </c>
      <c r="R3603" t="s">
        <v>34</v>
      </c>
      <c r="S3603" t="s">
        <v>34</v>
      </c>
      <c r="T3603" s="117">
        <v>0</v>
      </c>
    </row>
    <row r="3604" spans="1:20" x14ac:dyDescent="0.35">
      <c r="A3604" t="s">
        <v>19</v>
      </c>
      <c r="B3604" t="s">
        <v>24</v>
      </c>
      <c r="C3604" s="1">
        <v>45784</v>
      </c>
      <c r="D3604">
        <f t="shared" si="256"/>
        <v>7</v>
      </c>
      <c r="E3604">
        <f t="shared" si="257"/>
        <v>5</v>
      </c>
      <c r="F3604">
        <f t="shared" si="258"/>
        <v>2025</v>
      </c>
      <c r="G3604" t="s">
        <v>37</v>
      </c>
      <c r="H3604" s="98">
        <v>11761</v>
      </c>
      <c r="I3604" s="29">
        <v>39</v>
      </c>
      <c r="J3604" s="12" t="s">
        <v>31</v>
      </c>
      <c r="K3604" s="76">
        <f t="shared" si="255"/>
        <v>39</v>
      </c>
      <c r="L3604">
        <v>1</v>
      </c>
      <c r="M3604" s="29">
        <v>0</v>
      </c>
      <c r="N3604" t="s">
        <v>32</v>
      </c>
      <c r="O3604" t="s">
        <v>33</v>
      </c>
      <c r="P3604" t="s">
        <v>34</v>
      </c>
      <c r="Q3604" t="s">
        <v>34</v>
      </c>
      <c r="R3604" t="s">
        <v>34</v>
      </c>
      <c r="S3604" t="s">
        <v>34</v>
      </c>
      <c r="T3604" s="117">
        <v>0</v>
      </c>
    </row>
    <row r="3605" spans="1:20" x14ac:dyDescent="0.35">
      <c r="A3605" t="s">
        <v>19</v>
      </c>
      <c r="B3605" t="s">
        <v>21</v>
      </c>
      <c r="C3605" s="1">
        <v>45784</v>
      </c>
      <c r="D3605">
        <f t="shared" si="256"/>
        <v>7</v>
      </c>
      <c r="E3605">
        <f t="shared" si="257"/>
        <v>5</v>
      </c>
      <c r="F3605">
        <f t="shared" si="258"/>
        <v>2025</v>
      </c>
      <c r="G3605" t="s">
        <v>37</v>
      </c>
      <c r="H3605" s="98">
        <v>11761</v>
      </c>
      <c r="I3605" s="29">
        <v>116.3</v>
      </c>
      <c r="J3605" s="12" t="s">
        <v>31</v>
      </c>
      <c r="K3605" s="76">
        <f t="shared" si="255"/>
        <v>116.3</v>
      </c>
      <c r="L3605">
        <v>1</v>
      </c>
      <c r="M3605" s="29">
        <v>0</v>
      </c>
      <c r="N3605" t="s">
        <v>32</v>
      </c>
      <c r="O3605" t="s">
        <v>33</v>
      </c>
      <c r="P3605" t="s">
        <v>34</v>
      </c>
      <c r="Q3605" t="s">
        <v>34</v>
      </c>
      <c r="R3605" t="s">
        <v>34</v>
      </c>
      <c r="S3605" t="s">
        <v>34</v>
      </c>
      <c r="T3605" s="117">
        <v>0</v>
      </c>
    </row>
    <row r="3606" spans="1:20" x14ac:dyDescent="0.35">
      <c r="A3606" t="s">
        <v>19</v>
      </c>
      <c r="B3606" t="s">
        <v>24</v>
      </c>
      <c r="C3606" s="1">
        <v>45784</v>
      </c>
      <c r="D3606">
        <f t="shared" si="256"/>
        <v>7</v>
      </c>
      <c r="E3606">
        <f t="shared" si="257"/>
        <v>5</v>
      </c>
      <c r="F3606">
        <f t="shared" si="258"/>
        <v>2025</v>
      </c>
      <c r="G3606" t="s">
        <v>37</v>
      </c>
      <c r="H3606" s="98">
        <v>12024</v>
      </c>
      <c r="I3606" s="29">
        <v>20</v>
      </c>
      <c r="J3606" s="12" t="s">
        <v>31</v>
      </c>
      <c r="K3606" s="76">
        <f t="shared" si="255"/>
        <v>20</v>
      </c>
      <c r="L3606">
        <v>1</v>
      </c>
      <c r="M3606" s="29">
        <v>0</v>
      </c>
      <c r="N3606" t="s">
        <v>32</v>
      </c>
      <c r="O3606" t="s">
        <v>33</v>
      </c>
      <c r="P3606" t="s">
        <v>34</v>
      </c>
      <c r="Q3606" t="s">
        <v>34</v>
      </c>
      <c r="R3606" t="s">
        <v>34</v>
      </c>
      <c r="S3606" t="s">
        <v>34</v>
      </c>
      <c r="T3606" s="117">
        <v>0</v>
      </c>
    </row>
    <row r="3607" spans="1:20" x14ac:dyDescent="0.35">
      <c r="A3607" t="s">
        <v>19</v>
      </c>
      <c r="B3607" t="s">
        <v>21</v>
      </c>
      <c r="C3607" s="1">
        <v>45784</v>
      </c>
      <c r="D3607">
        <f t="shared" si="256"/>
        <v>7</v>
      </c>
      <c r="E3607">
        <f t="shared" si="257"/>
        <v>5</v>
      </c>
      <c r="F3607">
        <f t="shared" si="258"/>
        <v>2025</v>
      </c>
      <c r="G3607" t="s">
        <v>37</v>
      </c>
      <c r="H3607" s="98">
        <v>12024</v>
      </c>
      <c r="I3607" s="29">
        <v>20</v>
      </c>
      <c r="J3607" s="12" t="s">
        <v>31</v>
      </c>
      <c r="K3607" s="76">
        <f t="shared" si="255"/>
        <v>20</v>
      </c>
      <c r="L3607">
        <v>1</v>
      </c>
      <c r="M3607" s="29">
        <v>0</v>
      </c>
      <c r="N3607" t="s">
        <v>32</v>
      </c>
      <c r="O3607" t="s">
        <v>33</v>
      </c>
      <c r="P3607" t="s">
        <v>34</v>
      </c>
      <c r="Q3607" t="s">
        <v>34</v>
      </c>
      <c r="R3607" t="s">
        <v>34</v>
      </c>
      <c r="S3607" t="s">
        <v>34</v>
      </c>
      <c r="T3607" s="117">
        <v>0</v>
      </c>
    </row>
    <row r="3608" spans="1:20" x14ac:dyDescent="0.35">
      <c r="A3608" t="s">
        <v>19</v>
      </c>
      <c r="B3608" t="s">
        <v>21</v>
      </c>
      <c r="C3608" s="1">
        <v>45784</v>
      </c>
      <c r="D3608">
        <f t="shared" si="256"/>
        <v>7</v>
      </c>
      <c r="E3608">
        <f t="shared" si="257"/>
        <v>5</v>
      </c>
      <c r="F3608">
        <f t="shared" si="258"/>
        <v>2025</v>
      </c>
      <c r="G3608" t="s">
        <v>37</v>
      </c>
      <c r="H3608" s="98">
        <v>12205</v>
      </c>
      <c r="I3608" s="29">
        <v>27.7</v>
      </c>
      <c r="J3608" s="12" t="s">
        <v>31</v>
      </c>
      <c r="K3608" s="76">
        <f t="shared" si="255"/>
        <v>27.7</v>
      </c>
      <c r="L3608">
        <v>1</v>
      </c>
      <c r="M3608" s="29">
        <v>0</v>
      </c>
      <c r="N3608" t="s">
        <v>32</v>
      </c>
      <c r="O3608" t="s">
        <v>33</v>
      </c>
      <c r="P3608" t="s">
        <v>34</v>
      </c>
      <c r="Q3608" t="s">
        <v>34</v>
      </c>
      <c r="R3608" t="s">
        <v>34</v>
      </c>
      <c r="S3608" t="s">
        <v>34</v>
      </c>
      <c r="T3608" s="117">
        <v>0</v>
      </c>
    </row>
    <row r="3609" spans="1:20" x14ac:dyDescent="0.35">
      <c r="A3609" t="s">
        <v>19</v>
      </c>
      <c r="B3609" t="s">
        <v>21</v>
      </c>
      <c r="C3609" s="1">
        <v>45784</v>
      </c>
      <c r="D3609">
        <f t="shared" si="256"/>
        <v>7</v>
      </c>
      <c r="E3609">
        <f t="shared" si="257"/>
        <v>5</v>
      </c>
      <c r="F3609">
        <f t="shared" si="258"/>
        <v>2025</v>
      </c>
      <c r="G3609" t="s">
        <v>37</v>
      </c>
      <c r="H3609" s="98">
        <v>11654</v>
      </c>
      <c r="I3609" s="29">
        <v>12.7</v>
      </c>
      <c r="J3609" s="12" t="s">
        <v>31</v>
      </c>
      <c r="K3609" s="76">
        <f t="shared" si="255"/>
        <v>12.7</v>
      </c>
      <c r="L3609">
        <v>1</v>
      </c>
      <c r="M3609" s="29">
        <v>0</v>
      </c>
      <c r="N3609" t="s">
        <v>32</v>
      </c>
      <c r="O3609" t="s">
        <v>33</v>
      </c>
      <c r="P3609" t="s">
        <v>34</v>
      </c>
      <c r="Q3609" t="s">
        <v>34</v>
      </c>
      <c r="R3609" t="s">
        <v>34</v>
      </c>
      <c r="S3609" t="s">
        <v>34</v>
      </c>
      <c r="T3609" s="117">
        <v>0</v>
      </c>
    </row>
    <row r="3610" spans="1:20" x14ac:dyDescent="0.35">
      <c r="A3610" t="s">
        <v>19</v>
      </c>
      <c r="B3610" t="s">
        <v>24</v>
      </c>
      <c r="C3610" s="1">
        <v>45784</v>
      </c>
      <c r="D3610">
        <f t="shared" si="256"/>
        <v>7</v>
      </c>
      <c r="E3610">
        <f t="shared" si="257"/>
        <v>5</v>
      </c>
      <c r="F3610">
        <f t="shared" si="258"/>
        <v>2025</v>
      </c>
      <c r="G3610" t="s">
        <v>37</v>
      </c>
      <c r="H3610" s="98">
        <v>11654</v>
      </c>
      <c r="I3610" s="29">
        <v>32</v>
      </c>
      <c r="J3610" s="12" t="s">
        <v>31</v>
      </c>
      <c r="K3610" s="76">
        <f t="shared" si="255"/>
        <v>32</v>
      </c>
      <c r="L3610">
        <v>1</v>
      </c>
      <c r="M3610" s="29">
        <v>0</v>
      </c>
      <c r="N3610" t="s">
        <v>32</v>
      </c>
      <c r="O3610" t="s">
        <v>33</v>
      </c>
      <c r="P3610" t="s">
        <v>34</v>
      </c>
      <c r="Q3610" t="s">
        <v>34</v>
      </c>
      <c r="R3610" t="s">
        <v>34</v>
      </c>
      <c r="S3610" t="s">
        <v>34</v>
      </c>
      <c r="T3610" s="117">
        <v>0</v>
      </c>
    </row>
    <row r="3611" spans="1:20" x14ac:dyDescent="0.35">
      <c r="A3611" t="s">
        <v>19</v>
      </c>
      <c r="B3611" t="s">
        <v>25</v>
      </c>
      <c r="C3611" s="1">
        <v>45784</v>
      </c>
      <c r="D3611">
        <f t="shared" si="256"/>
        <v>7</v>
      </c>
      <c r="E3611">
        <f t="shared" si="257"/>
        <v>5</v>
      </c>
      <c r="F3611">
        <f t="shared" si="258"/>
        <v>2025</v>
      </c>
      <c r="G3611" t="s">
        <v>37</v>
      </c>
      <c r="H3611" s="98">
        <v>12247</v>
      </c>
      <c r="I3611" s="29">
        <v>25.8</v>
      </c>
      <c r="J3611" s="12" t="s">
        <v>31</v>
      </c>
      <c r="K3611" s="76">
        <f t="shared" si="255"/>
        <v>25.8</v>
      </c>
      <c r="L3611">
        <v>1</v>
      </c>
      <c r="M3611" s="29">
        <v>0</v>
      </c>
      <c r="N3611" t="s">
        <v>32</v>
      </c>
      <c r="O3611" t="s">
        <v>33</v>
      </c>
      <c r="P3611" t="s">
        <v>34</v>
      </c>
      <c r="Q3611" t="s">
        <v>34</v>
      </c>
      <c r="R3611" t="s">
        <v>34</v>
      </c>
      <c r="S3611" t="s">
        <v>34</v>
      </c>
      <c r="T3611" s="117">
        <v>0</v>
      </c>
    </row>
    <row r="3612" spans="1:20" x14ac:dyDescent="0.35">
      <c r="A3612" t="s">
        <v>19</v>
      </c>
      <c r="B3612" t="s">
        <v>24</v>
      </c>
      <c r="C3612" s="1">
        <v>45784</v>
      </c>
      <c r="D3612">
        <f t="shared" si="256"/>
        <v>7</v>
      </c>
      <c r="E3612">
        <f t="shared" si="257"/>
        <v>5</v>
      </c>
      <c r="F3612">
        <f t="shared" si="258"/>
        <v>2025</v>
      </c>
      <c r="G3612" t="s">
        <v>37</v>
      </c>
      <c r="H3612" s="98">
        <v>12025</v>
      </c>
      <c r="I3612" s="29">
        <v>16832</v>
      </c>
      <c r="J3612" s="12" t="s">
        <v>31</v>
      </c>
      <c r="K3612" s="76">
        <f t="shared" si="255"/>
        <v>16832</v>
      </c>
      <c r="L3612">
        <v>1</v>
      </c>
      <c r="M3612" s="29">
        <v>0</v>
      </c>
      <c r="N3612" t="s">
        <v>32</v>
      </c>
      <c r="O3612" t="s">
        <v>33</v>
      </c>
      <c r="P3612" t="s">
        <v>34</v>
      </c>
      <c r="Q3612" t="s">
        <v>34</v>
      </c>
      <c r="R3612" t="s">
        <v>34</v>
      </c>
      <c r="S3612" t="s">
        <v>34</v>
      </c>
      <c r="T3612" s="117">
        <v>0</v>
      </c>
    </row>
    <row r="3613" spans="1:20" x14ac:dyDescent="0.35">
      <c r="A3613" t="s">
        <v>19</v>
      </c>
      <c r="B3613" t="s">
        <v>25</v>
      </c>
      <c r="C3613" s="1">
        <v>45784</v>
      </c>
      <c r="D3613">
        <f t="shared" si="256"/>
        <v>7</v>
      </c>
      <c r="E3613">
        <f t="shared" si="257"/>
        <v>5</v>
      </c>
      <c r="F3613">
        <f t="shared" si="258"/>
        <v>2025</v>
      </c>
      <c r="G3613" t="s">
        <v>36</v>
      </c>
      <c r="H3613" s="98">
        <v>12150</v>
      </c>
      <c r="I3613" s="29">
        <v>105336</v>
      </c>
      <c r="J3613" s="12" t="s">
        <v>31</v>
      </c>
      <c r="K3613" s="76">
        <f t="shared" si="255"/>
        <v>105336</v>
      </c>
      <c r="L3613">
        <v>1</v>
      </c>
      <c r="M3613" s="29">
        <v>0</v>
      </c>
      <c r="N3613" t="s">
        <v>32</v>
      </c>
      <c r="O3613" t="s">
        <v>33</v>
      </c>
      <c r="P3613" t="s">
        <v>34</v>
      </c>
      <c r="Q3613" t="s">
        <v>34</v>
      </c>
      <c r="R3613" t="s">
        <v>34</v>
      </c>
      <c r="S3613" t="s">
        <v>34</v>
      </c>
      <c r="T3613" s="117">
        <v>0</v>
      </c>
    </row>
    <row r="3614" spans="1:20" x14ac:dyDescent="0.35">
      <c r="A3614" t="s">
        <v>20</v>
      </c>
      <c r="B3614" t="s">
        <v>25</v>
      </c>
      <c r="C3614" s="1">
        <v>45784</v>
      </c>
      <c r="D3614">
        <f t="shared" si="256"/>
        <v>7</v>
      </c>
      <c r="E3614">
        <f t="shared" si="257"/>
        <v>5</v>
      </c>
      <c r="F3614">
        <f t="shared" si="258"/>
        <v>2025</v>
      </c>
      <c r="G3614" t="s">
        <v>81</v>
      </c>
      <c r="H3614" s="98">
        <v>12662</v>
      </c>
      <c r="I3614" s="29">
        <v>3417</v>
      </c>
      <c r="J3614" s="12" t="s">
        <v>31</v>
      </c>
      <c r="K3614" s="76">
        <f t="shared" si="255"/>
        <v>3417</v>
      </c>
      <c r="L3614">
        <v>1</v>
      </c>
      <c r="M3614" s="29">
        <v>0</v>
      </c>
      <c r="N3614" t="s">
        <v>42</v>
      </c>
      <c r="O3614" t="s">
        <v>33</v>
      </c>
      <c r="P3614" t="s">
        <v>34</v>
      </c>
      <c r="Q3614" t="s">
        <v>34</v>
      </c>
      <c r="R3614" t="s">
        <v>34</v>
      </c>
      <c r="S3614" t="s">
        <v>34</v>
      </c>
      <c r="T3614" s="117">
        <v>0</v>
      </c>
    </row>
    <row r="3615" spans="1:20" x14ac:dyDescent="0.35">
      <c r="A3615" t="s">
        <v>20</v>
      </c>
      <c r="B3615" t="s">
        <v>25</v>
      </c>
      <c r="C3615" s="1">
        <v>45784</v>
      </c>
      <c r="D3615">
        <f t="shared" si="256"/>
        <v>7</v>
      </c>
      <c r="E3615">
        <f t="shared" si="257"/>
        <v>5</v>
      </c>
      <c r="F3615">
        <f t="shared" si="258"/>
        <v>2025</v>
      </c>
      <c r="G3615" t="s">
        <v>81</v>
      </c>
      <c r="H3615" s="98">
        <v>12668</v>
      </c>
      <c r="I3615" s="29">
        <v>122.7</v>
      </c>
      <c r="J3615" s="12" t="s">
        <v>31</v>
      </c>
      <c r="K3615" s="76">
        <f t="shared" si="255"/>
        <v>122.7</v>
      </c>
      <c r="L3615">
        <v>1</v>
      </c>
      <c r="M3615" s="29">
        <v>0</v>
      </c>
      <c r="N3615" t="s">
        <v>42</v>
      </c>
      <c r="O3615" t="s">
        <v>33</v>
      </c>
      <c r="P3615" t="s">
        <v>34</v>
      </c>
      <c r="Q3615" t="s">
        <v>34</v>
      </c>
      <c r="R3615" t="s">
        <v>34</v>
      </c>
      <c r="S3615" t="s">
        <v>34</v>
      </c>
      <c r="T3615" s="117">
        <v>0</v>
      </c>
    </row>
    <row r="3616" spans="1:20" x14ac:dyDescent="0.35">
      <c r="A3616" t="s">
        <v>20</v>
      </c>
      <c r="B3616" t="s">
        <v>25</v>
      </c>
      <c r="C3616" s="1">
        <v>45784</v>
      </c>
      <c r="D3616">
        <f t="shared" si="256"/>
        <v>7</v>
      </c>
      <c r="E3616">
        <f t="shared" si="257"/>
        <v>5</v>
      </c>
      <c r="F3616">
        <f t="shared" si="258"/>
        <v>2025</v>
      </c>
      <c r="G3616" t="s">
        <v>81</v>
      </c>
      <c r="H3616" s="98">
        <v>12669</v>
      </c>
      <c r="I3616" s="29">
        <v>5916.2</v>
      </c>
      <c r="J3616" s="12" t="s">
        <v>31</v>
      </c>
      <c r="K3616" s="76">
        <f t="shared" si="255"/>
        <v>5916.2</v>
      </c>
      <c r="L3616">
        <v>1</v>
      </c>
      <c r="M3616" s="29">
        <v>0</v>
      </c>
      <c r="N3616" t="s">
        <v>42</v>
      </c>
      <c r="O3616" t="s">
        <v>33</v>
      </c>
      <c r="P3616" t="s">
        <v>34</v>
      </c>
      <c r="Q3616" t="s">
        <v>34</v>
      </c>
      <c r="R3616" t="s">
        <v>34</v>
      </c>
      <c r="S3616" t="s">
        <v>34</v>
      </c>
      <c r="T3616" s="117">
        <v>0</v>
      </c>
    </row>
    <row r="3617" spans="1:21" x14ac:dyDescent="0.35">
      <c r="A3617" t="s">
        <v>20</v>
      </c>
      <c r="B3617" t="s">
        <v>25</v>
      </c>
      <c r="C3617" s="1">
        <v>45784</v>
      </c>
      <c r="D3617">
        <f t="shared" si="256"/>
        <v>7</v>
      </c>
      <c r="E3617">
        <f t="shared" si="257"/>
        <v>5</v>
      </c>
      <c r="F3617">
        <f t="shared" si="258"/>
        <v>2025</v>
      </c>
      <c r="G3617" t="s">
        <v>81</v>
      </c>
      <c r="H3617" s="98">
        <v>12678</v>
      </c>
      <c r="I3617" s="29">
        <v>5745.5</v>
      </c>
      <c r="J3617" s="12" t="s">
        <v>31</v>
      </c>
      <c r="K3617" s="76">
        <f t="shared" si="255"/>
        <v>5745.5</v>
      </c>
      <c r="L3617">
        <v>1</v>
      </c>
      <c r="M3617" s="29">
        <v>0</v>
      </c>
      <c r="N3617" t="s">
        <v>42</v>
      </c>
      <c r="O3617" t="s">
        <v>33</v>
      </c>
      <c r="P3617" t="s">
        <v>34</v>
      </c>
      <c r="Q3617" t="s">
        <v>34</v>
      </c>
      <c r="R3617" t="s">
        <v>34</v>
      </c>
      <c r="S3617" t="s">
        <v>34</v>
      </c>
      <c r="T3617" s="117">
        <v>0</v>
      </c>
    </row>
    <row r="3618" spans="1:21" x14ac:dyDescent="0.35">
      <c r="A3618" t="s">
        <v>20</v>
      </c>
      <c r="B3618" t="s">
        <v>24</v>
      </c>
      <c r="C3618" s="1">
        <v>45784</v>
      </c>
      <c r="D3618">
        <f t="shared" si="256"/>
        <v>7</v>
      </c>
      <c r="E3618">
        <f t="shared" si="257"/>
        <v>5</v>
      </c>
      <c r="F3618">
        <f t="shared" si="258"/>
        <v>2025</v>
      </c>
      <c r="G3618" t="s">
        <v>50</v>
      </c>
      <c r="H3618" s="98">
        <v>11932</v>
      </c>
      <c r="I3618" s="29">
        <v>56199.6</v>
      </c>
      <c r="J3618" s="12" t="s">
        <v>31</v>
      </c>
      <c r="K3618" s="76">
        <f t="shared" si="255"/>
        <v>56199.6</v>
      </c>
      <c r="L3618">
        <v>1</v>
      </c>
      <c r="M3618" s="29">
        <v>0</v>
      </c>
      <c r="N3618" t="s">
        <v>32</v>
      </c>
      <c r="O3618" t="s">
        <v>33</v>
      </c>
      <c r="P3618" t="s">
        <v>34</v>
      </c>
      <c r="Q3618" t="s">
        <v>34</v>
      </c>
      <c r="R3618" t="s">
        <v>34</v>
      </c>
      <c r="S3618" t="s">
        <v>34</v>
      </c>
      <c r="T3618" s="117">
        <v>0</v>
      </c>
    </row>
    <row r="3619" spans="1:21" x14ac:dyDescent="0.35">
      <c r="A3619" t="s">
        <v>20</v>
      </c>
      <c r="B3619" t="s">
        <v>21</v>
      </c>
      <c r="C3619" s="1">
        <v>45784</v>
      </c>
      <c r="D3619">
        <f t="shared" si="256"/>
        <v>7</v>
      </c>
      <c r="E3619">
        <f t="shared" si="257"/>
        <v>5</v>
      </c>
      <c r="F3619">
        <f t="shared" si="258"/>
        <v>2025</v>
      </c>
      <c r="G3619" t="s">
        <v>50</v>
      </c>
      <c r="H3619" s="98">
        <v>11952</v>
      </c>
      <c r="I3619" s="29">
        <v>10607.013000000001</v>
      </c>
      <c r="J3619" s="12" t="s">
        <v>31</v>
      </c>
      <c r="K3619" s="76">
        <f t="shared" si="255"/>
        <v>10607.013000000001</v>
      </c>
      <c r="L3619">
        <v>1</v>
      </c>
      <c r="M3619" s="29">
        <v>0</v>
      </c>
      <c r="N3619" t="s">
        <v>32</v>
      </c>
      <c r="O3619" t="s">
        <v>33</v>
      </c>
      <c r="P3619" t="s">
        <v>34</v>
      </c>
      <c r="Q3619" t="s">
        <v>34</v>
      </c>
      <c r="R3619" t="s">
        <v>34</v>
      </c>
      <c r="S3619" t="s">
        <v>34</v>
      </c>
      <c r="T3619" s="117">
        <v>0</v>
      </c>
    </row>
    <row r="3620" spans="1:21" x14ac:dyDescent="0.35">
      <c r="A3620" t="s">
        <v>20</v>
      </c>
      <c r="B3620" t="s">
        <v>24</v>
      </c>
      <c r="C3620" s="1">
        <v>45784</v>
      </c>
      <c r="D3620">
        <f t="shared" si="256"/>
        <v>7</v>
      </c>
      <c r="E3620">
        <f t="shared" si="257"/>
        <v>5</v>
      </c>
      <c r="F3620">
        <f t="shared" si="258"/>
        <v>2025</v>
      </c>
      <c r="G3620" t="s">
        <v>50</v>
      </c>
      <c r="H3620" s="98">
        <v>11952</v>
      </c>
      <c r="I3620" s="29">
        <v>29463.924999999999</v>
      </c>
      <c r="J3620" s="12" t="s">
        <v>31</v>
      </c>
      <c r="K3620" s="76">
        <f t="shared" si="255"/>
        <v>29463.924999999999</v>
      </c>
      <c r="L3620">
        <v>1</v>
      </c>
      <c r="M3620" s="29">
        <v>0</v>
      </c>
      <c r="N3620" t="s">
        <v>32</v>
      </c>
      <c r="O3620" t="s">
        <v>33</v>
      </c>
      <c r="P3620" t="s">
        <v>34</v>
      </c>
      <c r="Q3620" t="s">
        <v>34</v>
      </c>
      <c r="R3620" t="s">
        <v>34</v>
      </c>
      <c r="S3620" t="s">
        <v>34</v>
      </c>
      <c r="T3620" s="117">
        <v>0</v>
      </c>
    </row>
    <row r="3621" spans="1:21" x14ac:dyDescent="0.35">
      <c r="A3621" t="s">
        <v>20</v>
      </c>
      <c r="B3621" t="s">
        <v>25</v>
      </c>
      <c r="C3621" s="1">
        <v>45784</v>
      </c>
      <c r="D3621">
        <f t="shared" si="256"/>
        <v>7</v>
      </c>
      <c r="E3621">
        <f t="shared" si="257"/>
        <v>5</v>
      </c>
      <c r="F3621">
        <f t="shared" si="258"/>
        <v>2025</v>
      </c>
      <c r="G3621" t="s">
        <v>50</v>
      </c>
      <c r="H3621" s="98">
        <v>11952</v>
      </c>
      <c r="I3621" s="29">
        <v>77784.762000000002</v>
      </c>
      <c r="J3621" s="12" t="s">
        <v>31</v>
      </c>
      <c r="K3621" s="76">
        <f t="shared" si="255"/>
        <v>77784.762000000002</v>
      </c>
      <c r="L3621">
        <v>1</v>
      </c>
      <c r="M3621" s="29">
        <v>0</v>
      </c>
      <c r="N3621" t="s">
        <v>32</v>
      </c>
      <c r="O3621" t="s">
        <v>33</v>
      </c>
      <c r="P3621" t="s">
        <v>34</v>
      </c>
      <c r="Q3621" t="s">
        <v>34</v>
      </c>
      <c r="R3621" t="s">
        <v>34</v>
      </c>
      <c r="S3621" t="s">
        <v>34</v>
      </c>
      <c r="T3621" s="117">
        <v>0</v>
      </c>
    </row>
    <row r="3622" spans="1:21" x14ac:dyDescent="0.35">
      <c r="A3622" t="s">
        <v>20</v>
      </c>
      <c r="B3622" t="s">
        <v>25</v>
      </c>
      <c r="C3622" s="1">
        <v>45784</v>
      </c>
      <c r="D3622">
        <f t="shared" si="256"/>
        <v>7</v>
      </c>
      <c r="E3622">
        <f t="shared" si="257"/>
        <v>5</v>
      </c>
      <c r="F3622">
        <f t="shared" si="258"/>
        <v>2025</v>
      </c>
      <c r="G3622" t="s">
        <v>50</v>
      </c>
      <c r="H3622" s="98">
        <v>12656</v>
      </c>
      <c r="I3622" s="29">
        <v>1196</v>
      </c>
      <c r="J3622" s="12" t="s">
        <v>31</v>
      </c>
      <c r="K3622" s="76">
        <f t="shared" si="255"/>
        <v>1196</v>
      </c>
      <c r="L3622">
        <v>1</v>
      </c>
      <c r="M3622" s="29">
        <v>0</v>
      </c>
      <c r="N3622" t="s">
        <v>42</v>
      </c>
      <c r="O3622" t="s">
        <v>33</v>
      </c>
      <c r="P3622" t="s">
        <v>34</v>
      </c>
      <c r="Q3622" t="s">
        <v>34</v>
      </c>
      <c r="R3622" t="s">
        <v>34</v>
      </c>
      <c r="S3622" t="s">
        <v>34</v>
      </c>
      <c r="T3622" s="117">
        <v>0</v>
      </c>
    </row>
    <row r="3623" spans="1:21" x14ac:dyDescent="0.35">
      <c r="A3623" t="s">
        <v>20</v>
      </c>
      <c r="B3623" t="s">
        <v>21</v>
      </c>
      <c r="C3623" s="1">
        <v>45784</v>
      </c>
      <c r="D3623">
        <f t="shared" si="256"/>
        <v>7</v>
      </c>
      <c r="E3623">
        <f t="shared" si="257"/>
        <v>5</v>
      </c>
      <c r="F3623">
        <f t="shared" si="258"/>
        <v>2025</v>
      </c>
      <c r="G3623" t="s">
        <v>50</v>
      </c>
      <c r="H3623" s="98">
        <v>12690</v>
      </c>
      <c r="I3623" s="29">
        <v>167.4</v>
      </c>
      <c r="J3623" s="12" t="s">
        <v>31</v>
      </c>
      <c r="K3623" s="76">
        <f t="shared" si="255"/>
        <v>167.4</v>
      </c>
      <c r="L3623">
        <v>1</v>
      </c>
      <c r="M3623" s="29">
        <v>0</v>
      </c>
      <c r="N3623" t="s">
        <v>42</v>
      </c>
      <c r="O3623" t="s">
        <v>33</v>
      </c>
      <c r="P3623" t="s">
        <v>34</v>
      </c>
      <c r="Q3623" t="s">
        <v>34</v>
      </c>
      <c r="R3623" t="s">
        <v>34</v>
      </c>
      <c r="S3623" t="s">
        <v>34</v>
      </c>
      <c r="T3623" s="117">
        <v>0</v>
      </c>
    </row>
    <row r="3624" spans="1:21" x14ac:dyDescent="0.35">
      <c r="A3624" t="s">
        <v>20</v>
      </c>
      <c r="B3624" t="s">
        <v>21</v>
      </c>
      <c r="C3624" s="1">
        <v>45784</v>
      </c>
      <c r="D3624">
        <f t="shared" si="256"/>
        <v>7</v>
      </c>
      <c r="E3624">
        <f t="shared" si="257"/>
        <v>5</v>
      </c>
      <c r="F3624">
        <f t="shared" si="258"/>
        <v>2025</v>
      </c>
      <c r="G3624" t="s">
        <v>50</v>
      </c>
      <c r="H3624" s="98">
        <v>12691</v>
      </c>
      <c r="I3624" s="29">
        <v>1729.8000000000002</v>
      </c>
      <c r="J3624" s="12" t="s">
        <v>31</v>
      </c>
      <c r="K3624" s="76">
        <f t="shared" si="255"/>
        <v>1729.8000000000002</v>
      </c>
      <c r="L3624">
        <v>1</v>
      </c>
      <c r="M3624" s="29">
        <v>0</v>
      </c>
      <c r="N3624" t="s">
        <v>42</v>
      </c>
      <c r="O3624" t="s">
        <v>33</v>
      </c>
      <c r="P3624" t="s">
        <v>34</v>
      </c>
      <c r="Q3624" t="s">
        <v>34</v>
      </c>
      <c r="R3624" t="s">
        <v>34</v>
      </c>
      <c r="S3624" t="s">
        <v>34</v>
      </c>
      <c r="T3624" s="117">
        <v>0</v>
      </c>
    </row>
    <row r="3625" spans="1:21" x14ac:dyDescent="0.35">
      <c r="A3625" t="s">
        <v>20</v>
      </c>
      <c r="B3625" t="s">
        <v>21</v>
      </c>
      <c r="C3625" s="1">
        <v>45784</v>
      </c>
      <c r="D3625">
        <f t="shared" si="256"/>
        <v>7</v>
      </c>
      <c r="E3625">
        <f t="shared" si="257"/>
        <v>5</v>
      </c>
      <c r="F3625">
        <f t="shared" si="258"/>
        <v>2025</v>
      </c>
      <c r="G3625" t="s">
        <v>299</v>
      </c>
      <c r="H3625" s="98">
        <v>11454</v>
      </c>
      <c r="I3625" s="29">
        <v>17944.07</v>
      </c>
      <c r="J3625" s="12" t="s">
        <v>31</v>
      </c>
      <c r="K3625" s="76">
        <f t="shared" si="255"/>
        <v>17944.07</v>
      </c>
      <c r="L3625">
        <v>1</v>
      </c>
      <c r="M3625" s="29">
        <v>0</v>
      </c>
      <c r="N3625" t="s">
        <v>32</v>
      </c>
      <c r="O3625" t="s">
        <v>33</v>
      </c>
      <c r="P3625" t="s">
        <v>34</v>
      </c>
      <c r="Q3625" t="s">
        <v>34</v>
      </c>
      <c r="R3625" t="s">
        <v>34</v>
      </c>
      <c r="S3625" t="s">
        <v>34</v>
      </c>
      <c r="T3625" s="117">
        <v>0</v>
      </c>
    </row>
    <row r="3626" spans="1:21" x14ac:dyDescent="0.35">
      <c r="A3626" t="s">
        <v>20</v>
      </c>
      <c r="B3626" t="s">
        <v>21</v>
      </c>
      <c r="C3626" s="1">
        <v>45784</v>
      </c>
      <c r="D3626">
        <f t="shared" si="256"/>
        <v>7</v>
      </c>
      <c r="E3626">
        <f t="shared" si="257"/>
        <v>5</v>
      </c>
      <c r="F3626">
        <f t="shared" si="258"/>
        <v>2025</v>
      </c>
      <c r="G3626" t="s">
        <v>459</v>
      </c>
      <c r="H3626" s="98">
        <v>11772</v>
      </c>
      <c r="I3626" s="29">
        <v>6349.04</v>
      </c>
      <c r="J3626" s="12" t="s">
        <v>31</v>
      </c>
      <c r="K3626" s="76">
        <f t="shared" si="255"/>
        <v>6349.04</v>
      </c>
      <c r="L3626">
        <v>1</v>
      </c>
      <c r="M3626" s="29">
        <v>0</v>
      </c>
      <c r="N3626" t="s">
        <v>32</v>
      </c>
      <c r="O3626" t="s">
        <v>33</v>
      </c>
      <c r="P3626" t="s">
        <v>34</v>
      </c>
      <c r="Q3626" t="s">
        <v>34</v>
      </c>
      <c r="R3626" t="s">
        <v>34</v>
      </c>
      <c r="S3626" t="s">
        <v>34</v>
      </c>
      <c r="T3626" s="117">
        <v>0</v>
      </c>
    </row>
    <row r="3627" spans="1:21" x14ac:dyDescent="0.35">
      <c r="A3627" t="s">
        <v>20</v>
      </c>
      <c r="B3627" t="s">
        <v>24</v>
      </c>
      <c r="C3627" s="1">
        <v>45784</v>
      </c>
      <c r="D3627">
        <f t="shared" si="256"/>
        <v>7</v>
      </c>
      <c r="E3627">
        <f t="shared" si="257"/>
        <v>5</v>
      </c>
      <c r="F3627">
        <f t="shared" si="258"/>
        <v>2025</v>
      </c>
      <c r="G3627" t="s">
        <v>99</v>
      </c>
      <c r="H3627" s="98">
        <v>11948</v>
      </c>
      <c r="I3627" s="29">
        <v>239.6</v>
      </c>
      <c r="J3627" s="12" t="s">
        <v>31</v>
      </c>
      <c r="K3627" s="76">
        <f t="shared" si="255"/>
        <v>239.6</v>
      </c>
      <c r="L3627">
        <v>1</v>
      </c>
      <c r="M3627" s="29">
        <v>0</v>
      </c>
      <c r="N3627" t="s">
        <v>32</v>
      </c>
      <c r="O3627" t="s">
        <v>33</v>
      </c>
      <c r="P3627" t="s">
        <v>34</v>
      </c>
      <c r="Q3627" t="s">
        <v>34</v>
      </c>
      <c r="R3627" t="s">
        <v>34</v>
      </c>
      <c r="S3627" t="s">
        <v>34</v>
      </c>
      <c r="T3627" s="117">
        <v>0</v>
      </c>
    </row>
    <row r="3628" spans="1:21" x14ac:dyDescent="0.35">
      <c r="A3628" t="s">
        <v>20</v>
      </c>
      <c r="B3628" t="s">
        <v>21</v>
      </c>
      <c r="C3628" s="1">
        <v>45784</v>
      </c>
      <c r="D3628">
        <f t="shared" si="256"/>
        <v>7</v>
      </c>
      <c r="E3628">
        <f t="shared" si="257"/>
        <v>5</v>
      </c>
      <c r="F3628">
        <f t="shared" si="258"/>
        <v>2025</v>
      </c>
      <c r="G3628" t="s">
        <v>118</v>
      </c>
      <c r="H3628" s="98">
        <v>12692</v>
      </c>
      <c r="I3628" s="29">
        <v>62.4</v>
      </c>
      <c r="J3628" s="12" t="s">
        <v>31</v>
      </c>
      <c r="K3628" s="76">
        <f t="shared" si="255"/>
        <v>62.4</v>
      </c>
      <c r="L3628">
        <v>1</v>
      </c>
      <c r="M3628" s="29">
        <v>0</v>
      </c>
      <c r="N3628" t="s">
        <v>42</v>
      </c>
      <c r="O3628" t="s">
        <v>33</v>
      </c>
      <c r="P3628" t="s">
        <v>34</v>
      </c>
      <c r="Q3628" t="s">
        <v>34</v>
      </c>
      <c r="R3628" t="s">
        <v>34</v>
      </c>
      <c r="S3628" t="s">
        <v>34</v>
      </c>
      <c r="T3628" s="117">
        <v>0</v>
      </c>
    </row>
    <row r="3629" spans="1:21" x14ac:dyDescent="0.35">
      <c r="A3629" t="s">
        <v>20</v>
      </c>
      <c r="B3629" t="s">
        <v>21</v>
      </c>
      <c r="C3629" s="1">
        <v>45784</v>
      </c>
      <c r="D3629">
        <f t="shared" si="256"/>
        <v>7</v>
      </c>
      <c r="E3629">
        <f t="shared" si="257"/>
        <v>5</v>
      </c>
      <c r="F3629">
        <f t="shared" si="258"/>
        <v>2025</v>
      </c>
      <c r="G3629" t="s">
        <v>118</v>
      </c>
      <c r="H3629" s="98">
        <v>12618</v>
      </c>
      <c r="I3629" s="29">
        <v>901.68</v>
      </c>
      <c r="J3629" s="12" t="s">
        <v>31</v>
      </c>
      <c r="K3629" s="76">
        <f t="shared" si="255"/>
        <v>901.68</v>
      </c>
      <c r="L3629">
        <v>1</v>
      </c>
      <c r="M3629" s="29">
        <v>0</v>
      </c>
      <c r="N3629" t="s">
        <v>42</v>
      </c>
      <c r="O3629" t="s">
        <v>33</v>
      </c>
      <c r="P3629" t="s">
        <v>34</v>
      </c>
      <c r="Q3629" t="s">
        <v>34</v>
      </c>
      <c r="R3629" t="s">
        <v>34</v>
      </c>
      <c r="S3629" t="s">
        <v>34</v>
      </c>
      <c r="T3629" s="117">
        <v>0</v>
      </c>
      <c r="U3629" s="209" t="s">
        <v>1126</v>
      </c>
    </row>
    <row r="3630" spans="1:21" x14ac:dyDescent="0.35">
      <c r="A3630" t="s">
        <v>20</v>
      </c>
      <c r="B3630" t="s">
        <v>21</v>
      </c>
      <c r="C3630" s="1">
        <v>45784</v>
      </c>
      <c r="D3630">
        <f t="shared" si="256"/>
        <v>7</v>
      </c>
      <c r="E3630">
        <f t="shared" si="257"/>
        <v>5</v>
      </c>
      <c r="F3630">
        <f t="shared" si="258"/>
        <v>2025</v>
      </c>
      <c r="G3630" t="s">
        <v>595</v>
      </c>
      <c r="H3630" s="171">
        <v>11687</v>
      </c>
      <c r="I3630" s="90">
        <v>16114.18</v>
      </c>
      <c r="J3630" s="12" t="s">
        <v>31</v>
      </c>
      <c r="K3630" s="76">
        <f t="shared" si="255"/>
        <v>16114.18</v>
      </c>
      <c r="L3630">
        <v>1</v>
      </c>
      <c r="M3630" s="29">
        <v>0</v>
      </c>
      <c r="N3630" t="s">
        <v>42</v>
      </c>
      <c r="O3630" t="s">
        <v>33</v>
      </c>
      <c r="P3630" t="s">
        <v>34</v>
      </c>
      <c r="Q3630" t="s">
        <v>34</v>
      </c>
      <c r="R3630" t="s">
        <v>34</v>
      </c>
      <c r="S3630" t="s">
        <v>34</v>
      </c>
      <c r="T3630" s="117">
        <v>0</v>
      </c>
    </row>
    <row r="3631" spans="1:21" x14ac:dyDescent="0.35">
      <c r="A3631" t="s">
        <v>20</v>
      </c>
      <c r="B3631" t="s">
        <v>21</v>
      </c>
      <c r="C3631" s="1">
        <v>45784</v>
      </c>
      <c r="D3631">
        <f t="shared" si="256"/>
        <v>7</v>
      </c>
      <c r="E3631">
        <f t="shared" si="257"/>
        <v>5</v>
      </c>
      <c r="F3631">
        <f t="shared" si="258"/>
        <v>2025</v>
      </c>
      <c r="G3631" t="s">
        <v>595</v>
      </c>
      <c r="H3631" s="98">
        <v>11687</v>
      </c>
      <c r="I3631" s="29">
        <v>22485</v>
      </c>
      <c r="J3631" s="12" t="s">
        <v>31</v>
      </c>
      <c r="K3631" s="76">
        <f t="shared" si="255"/>
        <v>22485</v>
      </c>
      <c r="L3631">
        <v>1</v>
      </c>
      <c r="M3631" s="29">
        <v>0</v>
      </c>
      <c r="N3631" t="s">
        <v>42</v>
      </c>
      <c r="O3631" t="s">
        <v>33</v>
      </c>
      <c r="P3631" t="s">
        <v>34</v>
      </c>
      <c r="Q3631" t="s">
        <v>34</v>
      </c>
      <c r="R3631" t="s">
        <v>34</v>
      </c>
      <c r="S3631" t="s">
        <v>34</v>
      </c>
      <c r="T3631" s="117">
        <v>0</v>
      </c>
    </row>
    <row r="3632" spans="1:21" x14ac:dyDescent="0.35">
      <c r="A3632" t="s">
        <v>20</v>
      </c>
      <c r="B3632" t="s">
        <v>25</v>
      </c>
      <c r="C3632" s="1">
        <v>45784</v>
      </c>
      <c r="D3632">
        <f t="shared" si="256"/>
        <v>7</v>
      </c>
      <c r="E3632">
        <f t="shared" si="257"/>
        <v>5</v>
      </c>
      <c r="F3632">
        <f t="shared" si="258"/>
        <v>2025</v>
      </c>
      <c r="G3632" t="s">
        <v>595</v>
      </c>
      <c r="H3632" s="98">
        <v>11687</v>
      </c>
      <c r="I3632" s="29">
        <v>8018.02</v>
      </c>
      <c r="J3632" s="12" t="s">
        <v>31</v>
      </c>
      <c r="K3632" s="76">
        <f t="shared" si="255"/>
        <v>8018.02</v>
      </c>
      <c r="L3632">
        <v>1</v>
      </c>
      <c r="M3632" s="29">
        <v>0</v>
      </c>
      <c r="N3632" t="s">
        <v>42</v>
      </c>
      <c r="O3632" t="s">
        <v>33</v>
      </c>
      <c r="P3632" t="s">
        <v>34</v>
      </c>
      <c r="Q3632" t="s">
        <v>34</v>
      </c>
      <c r="R3632" t="s">
        <v>34</v>
      </c>
      <c r="S3632" t="s">
        <v>34</v>
      </c>
      <c r="T3632" s="117">
        <v>0</v>
      </c>
    </row>
    <row r="3633" spans="1:21" x14ac:dyDescent="0.35">
      <c r="A3633" t="s">
        <v>20</v>
      </c>
      <c r="B3633" t="s">
        <v>21</v>
      </c>
      <c r="C3633" s="1">
        <v>45784</v>
      </c>
      <c r="D3633">
        <f t="shared" si="256"/>
        <v>7</v>
      </c>
      <c r="E3633">
        <f t="shared" si="257"/>
        <v>5</v>
      </c>
      <c r="F3633">
        <f t="shared" si="258"/>
        <v>2025</v>
      </c>
      <c r="G3633" t="s">
        <v>595</v>
      </c>
      <c r="H3633" s="98">
        <v>12670</v>
      </c>
      <c r="I3633" s="29">
        <v>306</v>
      </c>
      <c r="J3633" s="12" t="s">
        <v>31</v>
      </c>
      <c r="K3633" s="76">
        <f t="shared" si="255"/>
        <v>306</v>
      </c>
      <c r="L3633">
        <v>1</v>
      </c>
      <c r="M3633" s="29">
        <v>0</v>
      </c>
      <c r="N3633" t="s">
        <v>42</v>
      </c>
      <c r="O3633" t="s">
        <v>33</v>
      </c>
      <c r="P3633" t="s">
        <v>34</v>
      </c>
      <c r="Q3633" t="s">
        <v>34</v>
      </c>
      <c r="R3633" t="s">
        <v>34</v>
      </c>
      <c r="S3633" t="s">
        <v>34</v>
      </c>
      <c r="T3633" s="117">
        <v>0</v>
      </c>
    </row>
    <row r="3634" spans="1:21" x14ac:dyDescent="0.35">
      <c r="A3634" t="s">
        <v>20</v>
      </c>
      <c r="B3634" t="s">
        <v>21</v>
      </c>
      <c r="C3634" s="1">
        <v>45784</v>
      </c>
      <c r="D3634">
        <f t="shared" si="256"/>
        <v>7</v>
      </c>
      <c r="E3634">
        <f t="shared" si="257"/>
        <v>5</v>
      </c>
      <c r="F3634">
        <f t="shared" si="258"/>
        <v>2025</v>
      </c>
      <c r="G3634" t="s">
        <v>595</v>
      </c>
      <c r="H3634" s="98">
        <v>12671</v>
      </c>
      <c r="I3634" s="29">
        <v>16539.3</v>
      </c>
      <c r="J3634" s="12" t="s">
        <v>31</v>
      </c>
      <c r="K3634" s="76">
        <f t="shared" si="255"/>
        <v>16539.3</v>
      </c>
      <c r="L3634">
        <v>1</v>
      </c>
      <c r="M3634" s="29">
        <v>0</v>
      </c>
      <c r="N3634" t="s">
        <v>42</v>
      </c>
      <c r="O3634" t="s">
        <v>33</v>
      </c>
      <c r="P3634" t="s">
        <v>34</v>
      </c>
      <c r="Q3634" t="s">
        <v>34</v>
      </c>
      <c r="R3634" t="s">
        <v>34</v>
      </c>
      <c r="S3634" t="s">
        <v>34</v>
      </c>
      <c r="T3634" s="117">
        <v>0</v>
      </c>
    </row>
    <row r="3635" spans="1:21" x14ac:dyDescent="0.35">
      <c r="A3635" t="s">
        <v>20</v>
      </c>
      <c r="B3635" t="s">
        <v>21</v>
      </c>
      <c r="C3635" s="1">
        <v>45784</v>
      </c>
      <c r="D3635">
        <f t="shared" si="256"/>
        <v>7</v>
      </c>
      <c r="E3635">
        <f t="shared" si="257"/>
        <v>5</v>
      </c>
      <c r="F3635">
        <f t="shared" si="258"/>
        <v>2025</v>
      </c>
      <c r="G3635" t="s">
        <v>273</v>
      </c>
      <c r="H3635" s="98">
        <v>12676</v>
      </c>
      <c r="I3635" s="29">
        <v>77.599999999999994</v>
      </c>
      <c r="J3635" s="12" t="s">
        <v>31</v>
      </c>
      <c r="K3635" s="76">
        <f t="shared" si="255"/>
        <v>77.599999999999994</v>
      </c>
      <c r="L3635">
        <v>1</v>
      </c>
      <c r="M3635" s="29">
        <v>0</v>
      </c>
      <c r="N3635" t="s">
        <v>42</v>
      </c>
      <c r="O3635" t="s">
        <v>33</v>
      </c>
      <c r="P3635" t="s">
        <v>34</v>
      </c>
      <c r="Q3635" t="s">
        <v>34</v>
      </c>
      <c r="R3635" t="s">
        <v>34</v>
      </c>
      <c r="S3635" t="s">
        <v>34</v>
      </c>
      <c r="T3635" s="117">
        <v>0</v>
      </c>
    </row>
    <row r="3636" spans="1:21" x14ac:dyDescent="0.35">
      <c r="A3636" t="s">
        <v>20</v>
      </c>
      <c r="B3636" t="s">
        <v>21</v>
      </c>
      <c r="C3636" s="1">
        <v>45784</v>
      </c>
      <c r="D3636">
        <f t="shared" si="256"/>
        <v>7</v>
      </c>
      <c r="E3636">
        <f t="shared" si="257"/>
        <v>5</v>
      </c>
      <c r="F3636">
        <f t="shared" si="258"/>
        <v>2025</v>
      </c>
      <c r="G3636" t="s">
        <v>273</v>
      </c>
      <c r="H3636" s="98">
        <v>12677</v>
      </c>
      <c r="I3636" s="29">
        <v>886.19200000000001</v>
      </c>
      <c r="J3636" s="12" t="s">
        <v>31</v>
      </c>
      <c r="K3636" s="76">
        <f t="shared" si="255"/>
        <v>886.19200000000001</v>
      </c>
      <c r="L3636">
        <v>1</v>
      </c>
      <c r="M3636" s="29">
        <v>0</v>
      </c>
      <c r="N3636" t="s">
        <v>42</v>
      </c>
      <c r="O3636" t="s">
        <v>33</v>
      </c>
      <c r="P3636" t="s">
        <v>34</v>
      </c>
      <c r="Q3636" t="s">
        <v>34</v>
      </c>
      <c r="R3636" t="s">
        <v>34</v>
      </c>
      <c r="S3636" t="s">
        <v>34</v>
      </c>
      <c r="T3636" s="117">
        <v>0</v>
      </c>
    </row>
    <row r="3637" spans="1:21" x14ac:dyDescent="0.35">
      <c r="A3637" t="s">
        <v>20</v>
      </c>
      <c r="B3637" t="s">
        <v>24</v>
      </c>
      <c r="C3637" s="1">
        <v>45784</v>
      </c>
      <c r="D3637">
        <f t="shared" si="256"/>
        <v>7</v>
      </c>
      <c r="E3637">
        <f t="shared" si="257"/>
        <v>5</v>
      </c>
      <c r="F3637">
        <f t="shared" si="258"/>
        <v>2025</v>
      </c>
      <c r="G3637" t="s">
        <v>174</v>
      </c>
      <c r="H3637" s="98">
        <v>12688</v>
      </c>
      <c r="I3637" s="29">
        <v>217</v>
      </c>
      <c r="J3637" s="12" t="s">
        <v>31</v>
      </c>
      <c r="K3637" s="76">
        <f t="shared" si="255"/>
        <v>217</v>
      </c>
      <c r="L3637">
        <v>1</v>
      </c>
      <c r="M3637" s="29">
        <v>0</v>
      </c>
      <c r="N3637" t="s">
        <v>42</v>
      </c>
      <c r="O3637" t="s">
        <v>33</v>
      </c>
      <c r="P3637" t="s">
        <v>34</v>
      </c>
      <c r="Q3637" t="s">
        <v>34</v>
      </c>
      <c r="R3637" t="s">
        <v>34</v>
      </c>
      <c r="S3637" t="s">
        <v>34</v>
      </c>
      <c r="T3637" s="117">
        <v>0</v>
      </c>
    </row>
    <row r="3638" spans="1:21" x14ac:dyDescent="0.35">
      <c r="A3638" t="s">
        <v>20</v>
      </c>
      <c r="B3638" t="s">
        <v>24</v>
      </c>
      <c r="C3638" s="1">
        <v>45784</v>
      </c>
      <c r="D3638">
        <f t="shared" si="256"/>
        <v>7</v>
      </c>
      <c r="E3638">
        <f t="shared" si="257"/>
        <v>5</v>
      </c>
      <c r="F3638">
        <f t="shared" si="258"/>
        <v>2025</v>
      </c>
      <c r="G3638" t="s">
        <v>174</v>
      </c>
      <c r="H3638" s="98">
        <v>12689</v>
      </c>
      <c r="I3638" s="29">
        <v>2067</v>
      </c>
      <c r="J3638" s="12" t="s">
        <v>31</v>
      </c>
      <c r="K3638" s="76">
        <f t="shared" si="255"/>
        <v>2067</v>
      </c>
      <c r="L3638">
        <v>1</v>
      </c>
      <c r="M3638" s="29">
        <v>0</v>
      </c>
      <c r="N3638" t="s">
        <v>42</v>
      </c>
      <c r="O3638" t="s">
        <v>33</v>
      </c>
      <c r="P3638" t="s">
        <v>34</v>
      </c>
      <c r="Q3638" t="s">
        <v>34</v>
      </c>
      <c r="R3638" t="s">
        <v>34</v>
      </c>
      <c r="S3638" t="s">
        <v>34</v>
      </c>
      <c r="T3638" s="117">
        <v>0</v>
      </c>
    </row>
    <row r="3639" spans="1:21" x14ac:dyDescent="0.35">
      <c r="A3639" t="s">
        <v>20</v>
      </c>
      <c r="B3639" t="s">
        <v>21</v>
      </c>
      <c r="C3639" s="1">
        <v>45784</v>
      </c>
      <c r="D3639">
        <f t="shared" si="256"/>
        <v>7</v>
      </c>
      <c r="E3639">
        <f t="shared" si="257"/>
        <v>5</v>
      </c>
      <c r="F3639">
        <f t="shared" si="258"/>
        <v>2025</v>
      </c>
      <c r="G3639" t="s">
        <v>46</v>
      </c>
      <c r="H3639" s="98">
        <v>12673</v>
      </c>
      <c r="I3639" s="29">
        <v>107.2</v>
      </c>
      <c r="J3639" s="12" t="s">
        <v>31</v>
      </c>
      <c r="K3639" s="76">
        <f t="shared" si="255"/>
        <v>107.2</v>
      </c>
      <c r="L3639">
        <v>1</v>
      </c>
      <c r="M3639" s="29">
        <v>0</v>
      </c>
      <c r="N3639" t="s">
        <v>42</v>
      </c>
      <c r="O3639" t="s">
        <v>33</v>
      </c>
      <c r="P3639" t="s">
        <v>34</v>
      </c>
      <c r="Q3639" t="s">
        <v>34</v>
      </c>
      <c r="R3639" t="s">
        <v>34</v>
      </c>
      <c r="S3639" t="s">
        <v>34</v>
      </c>
      <c r="T3639" s="117">
        <v>0</v>
      </c>
    </row>
    <row r="3640" spans="1:21" x14ac:dyDescent="0.35">
      <c r="A3640" t="s">
        <v>20</v>
      </c>
      <c r="B3640" t="s">
        <v>21</v>
      </c>
      <c r="C3640" s="1">
        <v>45784</v>
      </c>
      <c r="D3640">
        <f t="shared" si="256"/>
        <v>7</v>
      </c>
      <c r="E3640">
        <f t="shared" si="257"/>
        <v>5</v>
      </c>
      <c r="F3640">
        <f t="shared" si="258"/>
        <v>2025</v>
      </c>
      <c r="G3640" t="s">
        <v>46</v>
      </c>
      <c r="H3640" s="98">
        <v>12371</v>
      </c>
      <c r="I3640" s="29">
        <v>1709.84</v>
      </c>
      <c r="J3640" s="12" t="s">
        <v>31</v>
      </c>
      <c r="K3640" s="76">
        <f t="shared" si="255"/>
        <v>1709.84</v>
      </c>
      <c r="L3640">
        <v>1</v>
      </c>
      <c r="M3640" s="29">
        <v>0</v>
      </c>
      <c r="N3640" t="s">
        <v>42</v>
      </c>
      <c r="O3640" t="s">
        <v>33</v>
      </c>
      <c r="P3640" t="s">
        <v>34</v>
      </c>
      <c r="Q3640" t="s">
        <v>34</v>
      </c>
      <c r="R3640" t="s">
        <v>34</v>
      </c>
      <c r="S3640" t="s">
        <v>34</v>
      </c>
      <c r="T3640" s="117">
        <v>0</v>
      </c>
      <c r="U3640" s="209" t="s">
        <v>1093</v>
      </c>
    </row>
    <row r="3641" spans="1:21" x14ac:dyDescent="0.35">
      <c r="A3641" t="s">
        <v>20</v>
      </c>
      <c r="B3641" t="s">
        <v>24</v>
      </c>
      <c r="C3641" s="1">
        <v>45784</v>
      </c>
      <c r="D3641">
        <f t="shared" si="256"/>
        <v>7</v>
      </c>
      <c r="E3641">
        <f t="shared" si="257"/>
        <v>5</v>
      </c>
      <c r="F3641">
        <f t="shared" si="258"/>
        <v>2025</v>
      </c>
      <c r="G3641" t="s">
        <v>43</v>
      </c>
      <c r="H3641" s="98">
        <v>12385</v>
      </c>
      <c r="I3641" s="29">
        <v>36091.9</v>
      </c>
      <c r="J3641" s="12" t="s">
        <v>31</v>
      </c>
      <c r="K3641" s="76">
        <f t="shared" si="255"/>
        <v>36091.9</v>
      </c>
      <c r="L3641">
        <v>1</v>
      </c>
      <c r="M3641" s="29">
        <v>0</v>
      </c>
      <c r="N3641" t="s">
        <v>32</v>
      </c>
      <c r="O3641" t="s">
        <v>33</v>
      </c>
      <c r="P3641" t="s">
        <v>34</v>
      </c>
      <c r="Q3641" t="s">
        <v>34</v>
      </c>
      <c r="R3641" t="s">
        <v>34</v>
      </c>
      <c r="S3641" t="s">
        <v>34</v>
      </c>
      <c r="T3641" s="117">
        <v>0</v>
      </c>
    </row>
    <row r="3642" spans="1:21" x14ac:dyDescent="0.35">
      <c r="A3642" t="s">
        <v>20</v>
      </c>
      <c r="B3642" t="s">
        <v>25</v>
      </c>
      <c r="C3642" s="1">
        <v>45784</v>
      </c>
      <c r="D3642">
        <f t="shared" si="256"/>
        <v>7</v>
      </c>
      <c r="E3642">
        <f t="shared" si="257"/>
        <v>5</v>
      </c>
      <c r="F3642">
        <f t="shared" si="258"/>
        <v>2025</v>
      </c>
      <c r="G3642" t="s">
        <v>43</v>
      </c>
      <c r="H3642" s="98">
        <v>12385</v>
      </c>
      <c r="I3642" s="29">
        <v>39882.089999999997</v>
      </c>
      <c r="J3642" s="12" t="s">
        <v>31</v>
      </c>
      <c r="K3642" s="76">
        <f t="shared" si="255"/>
        <v>39882.089999999997</v>
      </c>
      <c r="L3642">
        <v>1</v>
      </c>
      <c r="M3642" s="29">
        <v>0</v>
      </c>
      <c r="N3642" t="s">
        <v>32</v>
      </c>
      <c r="O3642" t="s">
        <v>33</v>
      </c>
      <c r="P3642" t="s">
        <v>34</v>
      </c>
      <c r="Q3642" t="s">
        <v>34</v>
      </c>
      <c r="R3642" t="s">
        <v>34</v>
      </c>
      <c r="S3642" t="s">
        <v>34</v>
      </c>
      <c r="T3642" s="117">
        <v>0</v>
      </c>
    </row>
    <row r="3643" spans="1:21" x14ac:dyDescent="0.35">
      <c r="A3643" t="s">
        <v>20</v>
      </c>
      <c r="B3643" t="s">
        <v>25</v>
      </c>
      <c r="C3643" s="1">
        <v>45784</v>
      </c>
      <c r="D3643">
        <f t="shared" si="256"/>
        <v>7</v>
      </c>
      <c r="E3643">
        <f t="shared" si="257"/>
        <v>5</v>
      </c>
      <c r="F3643">
        <f t="shared" si="258"/>
        <v>2025</v>
      </c>
      <c r="G3643" t="s">
        <v>43</v>
      </c>
      <c r="H3643" s="98">
        <v>12288</v>
      </c>
      <c r="I3643" s="29">
        <v>8133.6120000000001</v>
      </c>
      <c r="J3643" s="12" t="s">
        <v>31</v>
      </c>
      <c r="K3643" s="76">
        <f t="shared" si="255"/>
        <v>8133.6120000000001</v>
      </c>
      <c r="L3643">
        <v>1</v>
      </c>
      <c r="M3643" s="29">
        <v>0</v>
      </c>
      <c r="N3643" t="s">
        <v>32</v>
      </c>
      <c r="O3643" t="s">
        <v>33</v>
      </c>
      <c r="P3643" t="s">
        <v>34</v>
      </c>
      <c r="Q3643" t="s">
        <v>34</v>
      </c>
      <c r="R3643" t="s">
        <v>34</v>
      </c>
      <c r="S3643" t="s">
        <v>34</v>
      </c>
      <c r="T3643" s="117">
        <v>0</v>
      </c>
    </row>
    <row r="3644" spans="1:21" x14ac:dyDescent="0.35">
      <c r="A3644" t="s">
        <v>20</v>
      </c>
      <c r="B3644" t="s">
        <v>24</v>
      </c>
      <c r="C3644" s="1">
        <v>45784</v>
      </c>
      <c r="D3644">
        <f t="shared" si="256"/>
        <v>7</v>
      </c>
      <c r="E3644">
        <f t="shared" si="257"/>
        <v>5</v>
      </c>
      <c r="F3644">
        <f t="shared" si="258"/>
        <v>2025</v>
      </c>
      <c r="G3644" t="s">
        <v>43</v>
      </c>
      <c r="H3644" s="98">
        <v>12288</v>
      </c>
      <c r="I3644" s="29">
        <v>37722.925999999999</v>
      </c>
      <c r="J3644" s="12" t="s">
        <v>31</v>
      </c>
      <c r="K3644" s="76">
        <f t="shared" si="255"/>
        <v>37722.925999999999</v>
      </c>
      <c r="L3644">
        <v>1</v>
      </c>
      <c r="M3644" s="29">
        <v>0</v>
      </c>
      <c r="N3644" t="s">
        <v>32</v>
      </c>
      <c r="O3644" t="s">
        <v>33</v>
      </c>
      <c r="P3644" t="s">
        <v>34</v>
      </c>
      <c r="Q3644" t="s">
        <v>34</v>
      </c>
      <c r="R3644" t="s">
        <v>34</v>
      </c>
      <c r="S3644" t="s">
        <v>34</v>
      </c>
      <c r="T3644" s="117">
        <v>0</v>
      </c>
    </row>
    <row r="3645" spans="1:21" x14ac:dyDescent="0.35">
      <c r="A3645" t="s">
        <v>20</v>
      </c>
      <c r="B3645" t="s">
        <v>24</v>
      </c>
      <c r="C3645" s="1">
        <v>45784</v>
      </c>
      <c r="D3645">
        <f t="shared" si="256"/>
        <v>7</v>
      </c>
      <c r="E3645">
        <f t="shared" si="257"/>
        <v>5</v>
      </c>
      <c r="F3645">
        <f t="shared" si="258"/>
        <v>2025</v>
      </c>
      <c r="G3645" t="s">
        <v>43</v>
      </c>
      <c r="H3645" s="98">
        <v>11901</v>
      </c>
      <c r="I3645" s="29">
        <v>13579.22</v>
      </c>
      <c r="J3645" s="12" t="s">
        <v>31</v>
      </c>
      <c r="K3645" s="76">
        <f t="shared" si="255"/>
        <v>13579.22</v>
      </c>
      <c r="L3645">
        <v>1</v>
      </c>
      <c r="M3645" s="29">
        <v>0</v>
      </c>
      <c r="N3645" t="s">
        <v>32</v>
      </c>
      <c r="O3645" t="s">
        <v>33</v>
      </c>
      <c r="P3645" t="s">
        <v>34</v>
      </c>
      <c r="Q3645" t="s">
        <v>34</v>
      </c>
      <c r="R3645" t="s">
        <v>34</v>
      </c>
      <c r="S3645" t="s">
        <v>34</v>
      </c>
      <c r="T3645" s="117">
        <v>0</v>
      </c>
    </row>
    <row r="3646" spans="1:21" x14ac:dyDescent="0.35">
      <c r="A3646" t="s">
        <v>20</v>
      </c>
      <c r="B3646" t="s">
        <v>23</v>
      </c>
      <c r="C3646" s="1">
        <v>45784</v>
      </c>
      <c r="D3646">
        <f t="shared" si="256"/>
        <v>7</v>
      </c>
      <c r="E3646">
        <f t="shared" si="257"/>
        <v>5</v>
      </c>
      <c r="F3646">
        <f t="shared" si="258"/>
        <v>2025</v>
      </c>
      <c r="G3646" t="s">
        <v>53</v>
      </c>
      <c r="H3646" s="171">
        <v>12350</v>
      </c>
      <c r="I3646" s="90">
        <v>23867.5</v>
      </c>
      <c r="J3646" s="12" t="s">
        <v>31</v>
      </c>
      <c r="K3646" s="76">
        <f t="shared" si="255"/>
        <v>23867.5</v>
      </c>
      <c r="L3646">
        <v>1</v>
      </c>
      <c r="M3646" s="29">
        <v>0</v>
      </c>
      <c r="N3646" t="s">
        <v>42</v>
      </c>
      <c r="O3646" t="s">
        <v>33</v>
      </c>
      <c r="P3646" t="s">
        <v>34</v>
      </c>
      <c r="Q3646" t="s">
        <v>34</v>
      </c>
      <c r="R3646" t="s">
        <v>34</v>
      </c>
      <c r="S3646" t="s">
        <v>34</v>
      </c>
      <c r="T3646" s="117">
        <v>0</v>
      </c>
    </row>
    <row r="3647" spans="1:21" x14ac:dyDescent="0.35">
      <c r="A3647" t="s">
        <v>20</v>
      </c>
      <c r="B3647" t="s">
        <v>21</v>
      </c>
      <c r="C3647" s="1">
        <v>45784</v>
      </c>
      <c r="D3647">
        <f t="shared" si="256"/>
        <v>7</v>
      </c>
      <c r="E3647">
        <f t="shared" si="257"/>
        <v>5</v>
      </c>
      <c r="F3647">
        <f t="shared" si="258"/>
        <v>2025</v>
      </c>
      <c r="G3647" t="s">
        <v>53</v>
      </c>
      <c r="H3647" s="171">
        <v>12574</v>
      </c>
      <c r="I3647" s="90">
        <v>20385.25</v>
      </c>
      <c r="J3647" s="12" t="s">
        <v>31</v>
      </c>
      <c r="K3647" s="76">
        <f t="shared" si="255"/>
        <v>20385.25</v>
      </c>
      <c r="L3647">
        <v>1</v>
      </c>
      <c r="M3647" s="29">
        <v>0</v>
      </c>
      <c r="N3647" t="s">
        <v>42</v>
      </c>
      <c r="O3647" t="s">
        <v>33</v>
      </c>
      <c r="P3647" t="s">
        <v>34</v>
      </c>
      <c r="Q3647" t="s">
        <v>34</v>
      </c>
      <c r="R3647" t="s">
        <v>34</v>
      </c>
      <c r="S3647" t="s">
        <v>34</v>
      </c>
      <c r="T3647" s="117">
        <v>0</v>
      </c>
    </row>
    <row r="3648" spans="1:21" x14ac:dyDescent="0.35">
      <c r="A3648" t="s">
        <v>19</v>
      </c>
      <c r="B3648" t="s">
        <v>19</v>
      </c>
      <c r="C3648" s="1">
        <v>45784</v>
      </c>
      <c r="D3648">
        <f t="shared" si="256"/>
        <v>7</v>
      </c>
      <c r="E3648">
        <f t="shared" si="257"/>
        <v>5</v>
      </c>
      <c r="F3648">
        <f t="shared" si="258"/>
        <v>2025</v>
      </c>
      <c r="G3648" t="s">
        <v>56</v>
      </c>
      <c r="H3648" s="98" t="s">
        <v>1013</v>
      </c>
      <c r="I3648" s="29">
        <v>179921.99</v>
      </c>
      <c r="J3648" s="12" t="s">
        <v>31</v>
      </c>
      <c r="K3648" s="76">
        <f t="shared" si="255"/>
        <v>179921.99</v>
      </c>
      <c r="L3648">
        <v>1</v>
      </c>
      <c r="M3648" s="29">
        <v>0</v>
      </c>
      <c r="N3648" t="s">
        <v>32</v>
      </c>
      <c r="O3648" t="s">
        <v>33</v>
      </c>
      <c r="P3648" t="s">
        <v>34</v>
      </c>
      <c r="Q3648" t="s">
        <v>34</v>
      </c>
      <c r="R3648" t="s">
        <v>34</v>
      </c>
      <c r="S3648" t="s">
        <v>34</v>
      </c>
      <c r="T3648" s="117">
        <v>0</v>
      </c>
    </row>
    <row r="3649" spans="1:21" x14ac:dyDescent="0.35">
      <c r="A3649" t="s">
        <v>19</v>
      </c>
      <c r="B3649" t="s">
        <v>19</v>
      </c>
      <c r="C3649" s="1">
        <v>45784</v>
      </c>
      <c r="D3649">
        <f t="shared" si="256"/>
        <v>7</v>
      </c>
      <c r="E3649">
        <f t="shared" si="257"/>
        <v>5</v>
      </c>
      <c r="F3649">
        <f t="shared" si="258"/>
        <v>2025</v>
      </c>
      <c r="G3649" t="s">
        <v>56</v>
      </c>
      <c r="H3649" s="98" t="s">
        <v>1014</v>
      </c>
      <c r="I3649" s="29">
        <v>203676.43</v>
      </c>
      <c r="J3649" s="12" t="s">
        <v>31</v>
      </c>
      <c r="K3649" s="76">
        <f t="shared" si="255"/>
        <v>203676.43</v>
      </c>
      <c r="L3649">
        <v>1</v>
      </c>
      <c r="M3649" s="29">
        <v>0</v>
      </c>
      <c r="N3649" t="s">
        <v>32</v>
      </c>
      <c r="O3649" t="s">
        <v>33</v>
      </c>
      <c r="P3649" t="s">
        <v>34</v>
      </c>
      <c r="Q3649" t="s">
        <v>34</v>
      </c>
      <c r="R3649" t="s">
        <v>34</v>
      </c>
      <c r="S3649" t="s">
        <v>34</v>
      </c>
      <c r="T3649" s="117">
        <v>0</v>
      </c>
    </row>
    <row r="3650" spans="1:21" x14ac:dyDescent="0.35">
      <c r="A3650" t="s">
        <v>19</v>
      </c>
      <c r="B3650" t="s">
        <v>19</v>
      </c>
      <c r="C3650" s="1">
        <v>45784</v>
      </c>
      <c r="D3650">
        <f t="shared" si="256"/>
        <v>7</v>
      </c>
      <c r="E3650">
        <f t="shared" si="257"/>
        <v>5</v>
      </c>
      <c r="F3650">
        <f t="shared" si="258"/>
        <v>2025</v>
      </c>
      <c r="G3650" t="s">
        <v>106</v>
      </c>
      <c r="H3650" s="98" t="s">
        <v>1015</v>
      </c>
      <c r="I3650" s="29">
        <v>88944.6</v>
      </c>
      <c r="J3650" s="12" t="s">
        <v>31</v>
      </c>
      <c r="K3650" s="76">
        <f t="shared" si="255"/>
        <v>88944.6</v>
      </c>
      <c r="L3650">
        <v>1</v>
      </c>
      <c r="M3650" s="29">
        <v>0</v>
      </c>
      <c r="N3650" t="s">
        <v>32</v>
      </c>
      <c r="O3650" t="s">
        <v>33</v>
      </c>
      <c r="P3650" t="s">
        <v>34</v>
      </c>
      <c r="Q3650" t="s">
        <v>34</v>
      </c>
      <c r="R3650" t="s">
        <v>34</v>
      </c>
      <c r="S3650" t="s">
        <v>34</v>
      </c>
      <c r="T3650" s="117">
        <v>0</v>
      </c>
    </row>
    <row r="3651" spans="1:21" x14ac:dyDescent="0.35">
      <c r="A3651" t="s">
        <v>19</v>
      </c>
      <c r="B3651" t="s">
        <v>19</v>
      </c>
      <c r="C3651" s="1">
        <v>45784</v>
      </c>
      <c r="D3651">
        <f t="shared" si="256"/>
        <v>7</v>
      </c>
      <c r="E3651">
        <f t="shared" si="257"/>
        <v>5</v>
      </c>
      <c r="F3651">
        <f t="shared" si="258"/>
        <v>2025</v>
      </c>
      <c r="G3651" t="s">
        <v>125</v>
      </c>
      <c r="H3651" s="98" t="s">
        <v>1016</v>
      </c>
      <c r="I3651" s="29">
        <v>208710.92</v>
      </c>
      <c r="J3651" s="12" t="s">
        <v>31</v>
      </c>
      <c r="K3651" s="76">
        <f t="shared" si="255"/>
        <v>208710.92</v>
      </c>
      <c r="L3651">
        <v>1</v>
      </c>
      <c r="M3651" s="29">
        <v>0</v>
      </c>
      <c r="N3651" t="s">
        <v>32</v>
      </c>
      <c r="O3651" t="s">
        <v>33</v>
      </c>
      <c r="P3651" t="s">
        <v>34</v>
      </c>
      <c r="Q3651" t="s">
        <v>34</v>
      </c>
      <c r="R3651" t="s">
        <v>34</v>
      </c>
      <c r="S3651" t="s">
        <v>34</v>
      </c>
      <c r="T3651" s="117">
        <v>0</v>
      </c>
    </row>
    <row r="3652" spans="1:21" x14ac:dyDescent="0.35">
      <c r="A3652" t="s">
        <v>19</v>
      </c>
      <c r="B3652" t="s">
        <v>19</v>
      </c>
      <c r="C3652" s="1">
        <v>45784</v>
      </c>
      <c r="D3652">
        <f t="shared" si="256"/>
        <v>7</v>
      </c>
      <c r="E3652">
        <f t="shared" si="257"/>
        <v>5</v>
      </c>
      <c r="F3652">
        <f t="shared" si="258"/>
        <v>2025</v>
      </c>
      <c r="G3652" t="s">
        <v>111</v>
      </c>
      <c r="H3652" s="98" t="s">
        <v>1017</v>
      </c>
      <c r="I3652" s="29">
        <v>91765.01</v>
      </c>
      <c r="J3652" s="12" t="s">
        <v>31</v>
      </c>
      <c r="K3652" s="76">
        <f t="shared" ref="K3652:K3715" si="263">IF(J3652="USD",I3652,I3652*L3652)</f>
        <v>91765.01</v>
      </c>
      <c r="L3652">
        <v>1</v>
      </c>
      <c r="M3652" s="29">
        <v>0</v>
      </c>
      <c r="N3652" t="s">
        <v>32</v>
      </c>
      <c r="O3652" t="s">
        <v>33</v>
      </c>
      <c r="P3652" t="s">
        <v>34</v>
      </c>
      <c r="Q3652" t="s">
        <v>34</v>
      </c>
      <c r="R3652" t="s">
        <v>34</v>
      </c>
      <c r="S3652" t="s">
        <v>34</v>
      </c>
      <c r="T3652" s="117">
        <v>2541.7399999999998</v>
      </c>
    </row>
    <row r="3653" spans="1:21" x14ac:dyDescent="0.35">
      <c r="A3653" t="s">
        <v>19</v>
      </c>
      <c r="B3653" t="s">
        <v>19</v>
      </c>
      <c r="C3653" s="1">
        <v>45784</v>
      </c>
      <c r="D3653">
        <f t="shared" ref="D3653:D3716" si="264">DAY(C3653)</f>
        <v>7</v>
      </c>
      <c r="E3653">
        <f t="shared" ref="E3653:E3716" si="265">MONTH(C3653)</f>
        <v>5</v>
      </c>
      <c r="F3653">
        <f t="shared" ref="F3653:F3716" si="266">YEAR(C3653)</f>
        <v>2025</v>
      </c>
      <c r="G3653" t="s">
        <v>54</v>
      </c>
      <c r="H3653" s="98" t="s">
        <v>1018</v>
      </c>
      <c r="I3653" s="29">
        <v>59940.33</v>
      </c>
      <c r="J3653" s="12" t="s">
        <v>31</v>
      </c>
      <c r="K3653" s="76">
        <f t="shared" si="263"/>
        <v>59940.33</v>
      </c>
      <c r="L3653">
        <v>1</v>
      </c>
      <c r="M3653" s="29">
        <v>0</v>
      </c>
      <c r="N3653" t="s">
        <v>32</v>
      </c>
      <c r="O3653" t="s">
        <v>33</v>
      </c>
      <c r="P3653" t="s">
        <v>34</v>
      </c>
      <c r="Q3653" t="s">
        <v>34</v>
      </c>
      <c r="R3653" t="s">
        <v>34</v>
      </c>
      <c r="S3653" t="s">
        <v>34</v>
      </c>
      <c r="T3653" s="117">
        <v>0</v>
      </c>
    </row>
    <row r="3654" spans="1:21" x14ac:dyDescent="0.35">
      <c r="A3654" t="s">
        <v>19</v>
      </c>
      <c r="B3654" t="s">
        <v>19</v>
      </c>
      <c r="C3654" s="1">
        <v>45784</v>
      </c>
      <c r="D3654">
        <f t="shared" si="264"/>
        <v>7</v>
      </c>
      <c r="E3654">
        <f t="shared" si="265"/>
        <v>5</v>
      </c>
      <c r="F3654">
        <f t="shared" si="266"/>
        <v>2025</v>
      </c>
      <c r="G3654" t="s">
        <v>124</v>
      </c>
      <c r="H3654" s="98" t="s">
        <v>1019</v>
      </c>
      <c r="I3654" s="29">
        <v>39586.639999999999</v>
      </c>
      <c r="J3654" s="12" t="s">
        <v>31</v>
      </c>
      <c r="K3654" s="76">
        <f t="shared" si="263"/>
        <v>39586.639999999999</v>
      </c>
      <c r="L3654">
        <v>1</v>
      </c>
      <c r="M3654" s="29">
        <v>0</v>
      </c>
      <c r="N3654" t="s">
        <v>32</v>
      </c>
      <c r="O3654" t="s">
        <v>33</v>
      </c>
      <c r="P3654" t="s">
        <v>34</v>
      </c>
      <c r="Q3654" t="s">
        <v>34</v>
      </c>
      <c r="R3654" t="s">
        <v>34</v>
      </c>
      <c r="S3654" t="s">
        <v>34</v>
      </c>
      <c r="T3654" s="117">
        <v>0</v>
      </c>
    </row>
    <row r="3655" spans="1:21" x14ac:dyDescent="0.35">
      <c r="A3655" t="s">
        <v>19</v>
      </c>
      <c r="B3655" t="s">
        <v>19</v>
      </c>
      <c r="C3655" s="1">
        <v>45784</v>
      </c>
      <c r="D3655">
        <f t="shared" si="264"/>
        <v>7</v>
      </c>
      <c r="E3655">
        <f t="shared" si="265"/>
        <v>5</v>
      </c>
      <c r="F3655">
        <f t="shared" si="266"/>
        <v>2025</v>
      </c>
      <c r="G3655" t="s">
        <v>552</v>
      </c>
      <c r="H3655" s="98" t="s">
        <v>1020</v>
      </c>
      <c r="I3655" s="29">
        <v>11425.31</v>
      </c>
      <c r="J3655" s="12" t="s">
        <v>31</v>
      </c>
      <c r="K3655" s="76">
        <f t="shared" si="263"/>
        <v>11425.31</v>
      </c>
      <c r="L3655">
        <v>1</v>
      </c>
      <c r="M3655" s="29">
        <v>0</v>
      </c>
      <c r="N3655" t="s">
        <v>32</v>
      </c>
      <c r="O3655" t="s">
        <v>33</v>
      </c>
      <c r="P3655" t="s">
        <v>34</v>
      </c>
      <c r="Q3655" t="s">
        <v>34</v>
      </c>
      <c r="R3655" t="s">
        <v>34</v>
      </c>
      <c r="S3655" t="s">
        <v>34</v>
      </c>
      <c r="T3655" s="117">
        <v>0</v>
      </c>
    </row>
    <row r="3656" spans="1:21" x14ac:dyDescent="0.35">
      <c r="A3656" t="s">
        <v>19</v>
      </c>
      <c r="B3656" t="s">
        <v>19</v>
      </c>
      <c r="C3656" s="1">
        <v>45784</v>
      </c>
      <c r="D3656">
        <f t="shared" si="264"/>
        <v>7</v>
      </c>
      <c r="E3656">
        <f t="shared" si="265"/>
        <v>5</v>
      </c>
      <c r="F3656">
        <f t="shared" si="266"/>
        <v>2025</v>
      </c>
      <c r="G3656" t="s">
        <v>228</v>
      </c>
      <c r="H3656" s="98" t="s">
        <v>982</v>
      </c>
      <c r="I3656" s="29">
        <v>364.78</v>
      </c>
      <c r="J3656" s="12" t="s">
        <v>31</v>
      </c>
      <c r="K3656" s="76">
        <f t="shared" si="263"/>
        <v>364.78</v>
      </c>
      <c r="L3656">
        <v>1</v>
      </c>
      <c r="M3656" s="29">
        <v>0</v>
      </c>
      <c r="N3656" t="s">
        <v>32</v>
      </c>
      <c r="O3656" t="s">
        <v>33</v>
      </c>
      <c r="P3656" t="s">
        <v>34</v>
      </c>
      <c r="Q3656" t="s">
        <v>34</v>
      </c>
      <c r="R3656" t="s">
        <v>34</v>
      </c>
      <c r="S3656" t="s">
        <v>34</v>
      </c>
      <c r="T3656" s="117">
        <v>0</v>
      </c>
    </row>
    <row r="3657" spans="1:21" x14ac:dyDescent="0.35">
      <c r="A3657" t="s">
        <v>19</v>
      </c>
      <c r="B3657" t="s">
        <v>26</v>
      </c>
      <c r="C3657" s="1">
        <v>45785</v>
      </c>
      <c r="D3657">
        <f t="shared" si="264"/>
        <v>8</v>
      </c>
      <c r="E3657">
        <f t="shared" si="265"/>
        <v>5</v>
      </c>
      <c r="F3657">
        <f t="shared" si="266"/>
        <v>2025</v>
      </c>
      <c r="G3657" t="s">
        <v>73</v>
      </c>
      <c r="H3657" s="98">
        <v>12460</v>
      </c>
      <c r="I3657" s="29">
        <v>25455.35</v>
      </c>
      <c r="J3657" s="12" t="s">
        <v>51</v>
      </c>
      <c r="K3657" s="76">
        <f t="shared" si="263"/>
        <v>28833.274945000001</v>
      </c>
      <c r="L3657">
        <v>1.1327</v>
      </c>
      <c r="M3657" s="29">
        <v>0</v>
      </c>
      <c r="N3657" t="s">
        <v>32</v>
      </c>
      <c r="O3657" t="s">
        <v>33</v>
      </c>
      <c r="P3657" t="s">
        <v>34</v>
      </c>
      <c r="Q3657" t="s">
        <v>34</v>
      </c>
      <c r="R3657" t="s">
        <v>34</v>
      </c>
      <c r="S3657" t="s">
        <v>34</v>
      </c>
      <c r="T3657" s="117">
        <v>0</v>
      </c>
      <c r="U3657" s="209" t="s">
        <v>94</v>
      </c>
    </row>
    <row r="3658" spans="1:21" x14ac:dyDescent="0.35">
      <c r="A3658" t="s">
        <v>19</v>
      </c>
      <c r="B3658" t="s">
        <v>26</v>
      </c>
      <c r="C3658" s="1">
        <v>45785</v>
      </c>
      <c r="D3658">
        <f t="shared" si="264"/>
        <v>8</v>
      </c>
      <c r="E3658">
        <f t="shared" si="265"/>
        <v>5</v>
      </c>
      <c r="F3658">
        <f t="shared" si="266"/>
        <v>2025</v>
      </c>
      <c r="G3658" t="s">
        <v>73</v>
      </c>
      <c r="H3658" s="98">
        <v>12496</v>
      </c>
      <c r="I3658" s="29">
        <v>81958.899999999994</v>
      </c>
      <c r="J3658" s="12" t="s">
        <v>51</v>
      </c>
      <c r="K3658" s="76">
        <f t="shared" si="263"/>
        <v>92834.846030000001</v>
      </c>
      <c r="L3658">
        <v>1.1327</v>
      </c>
      <c r="M3658" s="29">
        <v>0</v>
      </c>
      <c r="N3658" t="s">
        <v>32</v>
      </c>
      <c r="O3658" t="s">
        <v>33</v>
      </c>
      <c r="P3658" t="s">
        <v>34</v>
      </c>
      <c r="Q3658" t="s">
        <v>34</v>
      </c>
      <c r="R3658" t="s">
        <v>34</v>
      </c>
      <c r="S3658" t="s">
        <v>34</v>
      </c>
      <c r="T3658" s="117">
        <v>0</v>
      </c>
      <c r="U3658" s="209" t="s">
        <v>94</v>
      </c>
    </row>
    <row r="3659" spans="1:21" x14ac:dyDescent="0.35">
      <c r="A3659" t="s">
        <v>19</v>
      </c>
      <c r="B3659" t="s">
        <v>26</v>
      </c>
      <c r="C3659" s="1">
        <v>45785</v>
      </c>
      <c r="D3659">
        <f t="shared" si="264"/>
        <v>8</v>
      </c>
      <c r="E3659">
        <f t="shared" si="265"/>
        <v>5</v>
      </c>
      <c r="F3659">
        <f t="shared" si="266"/>
        <v>2025</v>
      </c>
      <c r="G3659" t="s">
        <v>73</v>
      </c>
      <c r="H3659" s="98">
        <v>12497</v>
      </c>
      <c r="I3659" s="29">
        <v>46090.92</v>
      </c>
      <c r="J3659" s="12" t="s">
        <v>51</v>
      </c>
      <c r="K3659" s="76">
        <f t="shared" si="263"/>
        <v>52207.185083999997</v>
      </c>
      <c r="L3659">
        <v>1.1327</v>
      </c>
      <c r="M3659" s="29">
        <v>0</v>
      </c>
      <c r="N3659" t="s">
        <v>32</v>
      </c>
      <c r="O3659" t="s">
        <v>33</v>
      </c>
      <c r="P3659" t="s">
        <v>34</v>
      </c>
      <c r="Q3659" t="s">
        <v>34</v>
      </c>
      <c r="R3659" t="s">
        <v>34</v>
      </c>
      <c r="S3659" t="s">
        <v>34</v>
      </c>
      <c r="T3659" s="117">
        <v>0</v>
      </c>
      <c r="U3659" s="209" t="s">
        <v>94</v>
      </c>
    </row>
    <row r="3660" spans="1:21" x14ac:dyDescent="0.35">
      <c r="A3660" t="s">
        <v>19</v>
      </c>
      <c r="B3660" t="s">
        <v>26</v>
      </c>
      <c r="C3660" s="1">
        <v>45785</v>
      </c>
      <c r="D3660">
        <f t="shared" si="264"/>
        <v>8</v>
      </c>
      <c r="E3660">
        <f t="shared" si="265"/>
        <v>5</v>
      </c>
      <c r="F3660">
        <f t="shared" si="266"/>
        <v>2025</v>
      </c>
      <c r="G3660" t="s">
        <v>73</v>
      </c>
      <c r="H3660" s="98">
        <v>12523</v>
      </c>
      <c r="I3660" s="29">
        <v>40542.050000000003</v>
      </c>
      <c r="J3660" s="12" t="s">
        <v>51</v>
      </c>
      <c r="K3660" s="76">
        <f t="shared" si="263"/>
        <v>45921.980035000008</v>
      </c>
      <c r="L3660">
        <v>1.1327</v>
      </c>
      <c r="M3660" s="29">
        <v>0</v>
      </c>
      <c r="N3660" t="s">
        <v>32</v>
      </c>
      <c r="O3660" t="s">
        <v>33</v>
      </c>
      <c r="P3660" t="s">
        <v>34</v>
      </c>
      <c r="Q3660" t="s">
        <v>34</v>
      </c>
      <c r="R3660" t="s">
        <v>34</v>
      </c>
      <c r="S3660" t="s">
        <v>34</v>
      </c>
      <c r="T3660" s="117">
        <v>0</v>
      </c>
      <c r="U3660" s="209" t="s">
        <v>94</v>
      </c>
    </row>
    <row r="3661" spans="1:21" x14ac:dyDescent="0.35">
      <c r="A3661" t="s">
        <v>19</v>
      </c>
      <c r="B3661" t="s">
        <v>26</v>
      </c>
      <c r="C3661" s="1">
        <v>45785</v>
      </c>
      <c r="D3661">
        <f t="shared" si="264"/>
        <v>8</v>
      </c>
      <c r="E3661">
        <f t="shared" si="265"/>
        <v>5</v>
      </c>
      <c r="F3661">
        <f t="shared" si="266"/>
        <v>2025</v>
      </c>
      <c r="G3661" t="s">
        <v>187</v>
      </c>
      <c r="H3661" s="98">
        <v>0</v>
      </c>
      <c r="I3661" s="29">
        <v>15902.85</v>
      </c>
      <c r="J3661" s="12" t="s">
        <v>51</v>
      </c>
      <c r="K3661" s="76">
        <f t="shared" si="263"/>
        <v>18013.158195</v>
      </c>
      <c r="L3661">
        <v>1.1327</v>
      </c>
      <c r="M3661" s="29">
        <v>0</v>
      </c>
      <c r="N3661" t="s">
        <v>32</v>
      </c>
      <c r="O3661" t="s">
        <v>33</v>
      </c>
      <c r="P3661" t="s">
        <v>34</v>
      </c>
      <c r="Q3661" t="s">
        <v>34</v>
      </c>
      <c r="R3661" t="s">
        <v>34</v>
      </c>
      <c r="S3661" t="s">
        <v>34</v>
      </c>
      <c r="T3661" s="117">
        <v>0</v>
      </c>
      <c r="U3661" s="209" t="s">
        <v>94</v>
      </c>
    </row>
    <row r="3662" spans="1:21" x14ac:dyDescent="0.35">
      <c r="A3662" t="s">
        <v>19</v>
      </c>
      <c r="B3662" t="s">
        <v>27</v>
      </c>
      <c r="C3662" s="1">
        <v>45785</v>
      </c>
      <c r="D3662">
        <f t="shared" si="264"/>
        <v>8</v>
      </c>
      <c r="E3662">
        <f t="shared" si="265"/>
        <v>5</v>
      </c>
      <c r="F3662">
        <f t="shared" si="266"/>
        <v>2025</v>
      </c>
      <c r="G3662" t="s">
        <v>100</v>
      </c>
      <c r="H3662" s="98">
        <v>12245</v>
      </c>
      <c r="I3662" s="29">
        <v>50000</v>
      </c>
      <c r="J3662" s="12" t="s">
        <v>31</v>
      </c>
      <c r="K3662" s="76">
        <f t="shared" si="263"/>
        <v>50000</v>
      </c>
      <c r="L3662">
        <v>1</v>
      </c>
      <c r="M3662" s="29">
        <v>0</v>
      </c>
      <c r="N3662" t="s">
        <v>32</v>
      </c>
      <c r="O3662" t="s">
        <v>33</v>
      </c>
      <c r="P3662" t="s">
        <v>34</v>
      </c>
      <c r="Q3662" t="s">
        <v>34</v>
      </c>
      <c r="R3662" t="s">
        <v>34</v>
      </c>
      <c r="S3662" t="s">
        <v>34</v>
      </c>
      <c r="T3662" s="117">
        <v>0</v>
      </c>
    </row>
    <row r="3663" spans="1:21" x14ac:dyDescent="0.35">
      <c r="A3663" t="s">
        <v>19</v>
      </c>
      <c r="B3663" t="s">
        <v>19</v>
      </c>
      <c r="C3663" s="1">
        <v>45786</v>
      </c>
      <c r="D3663">
        <f t="shared" si="264"/>
        <v>9</v>
      </c>
      <c r="E3663">
        <f t="shared" si="265"/>
        <v>5</v>
      </c>
      <c r="F3663">
        <f t="shared" si="266"/>
        <v>2025</v>
      </c>
      <c r="G3663" t="s">
        <v>523</v>
      </c>
      <c r="H3663" s="98" t="s">
        <v>1027</v>
      </c>
      <c r="I3663" s="29">
        <v>4799.3999999999996</v>
      </c>
      <c r="J3663" s="12" t="s">
        <v>31</v>
      </c>
      <c r="K3663" s="76">
        <f t="shared" si="263"/>
        <v>4799.3999999999996</v>
      </c>
      <c r="L3663">
        <v>1</v>
      </c>
      <c r="M3663" s="29">
        <v>0</v>
      </c>
      <c r="N3663" t="s">
        <v>42</v>
      </c>
      <c r="O3663" t="s">
        <v>33</v>
      </c>
      <c r="P3663" t="s">
        <v>34</v>
      </c>
      <c r="Q3663" t="s">
        <v>34</v>
      </c>
      <c r="R3663" t="s">
        <v>34</v>
      </c>
      <c r="S3663" t="s">
        <v>34</v>
      </c>
      <c r="T3663" s="117">
        <v>0</v>
      </c>
    </row>
    <row r="3664" spans="1:21" x14ac:dyDescent="0.35">
      <c r="A3664" t="s">
        <v>19</v>
      </c>
      <c r="B3664" t="s">
        <v>19</v>
      </c>
      <c r="C3664" s="1">
        <v>45786</v>
      </c>
      <c r="D3664">
        <f t="shared" si="264"/>
        <v>9</v>
      </c>
      <c r="E3664">
        <f t="shared" si="265"/>
        <v>5</v>
      </c>
      <c r="F3664">
        <f t="shared" si="266"/>
        <v>2025</v>
      </c>
      <c r="G3664" t="s">
        <v>523</v>
      </c>
      <c r="H3664" s="98" t="s">
        <v>1028</v>
      </c>
      <c r="I3664" s="29">
        <v>7221</v>
      </c>
      <c r="J3664" s="12" t="s">
        <v>31</v>
      </c>
      <c r="K3664" s="76">
        <f t="shared" si="263"/>
        <v>7221</v>
      </c>
      <c r="L3664">
        <v>1</v>
      </c>
      <c r="M3664" s="29">
        <v>0</v>
      </c>
      <c r="N3664" t="s">
        <v>42</v>
      </c>
      <c r="O3664" t="s">
        <v>33</v>
      </c>
      <c r="P3664" t="s">
        <v>34</v>
      </c>
      <c r="Q3664" t="s">
        <v>34</v>
      </c>
      <c r="R3664" t="s">
        <v>34</v>
      </c>
      <c r="S3664" t="s">
        <v>34</v>
      </c>
      <c r="T3664" s="117">
        <v>0</v>
      </c>
    </row>
    <row r="3665" spans="1:21" x14ac:dyDescent="0.35">
      <c r="A3665" t="s">
        <v>19</v>
      </c>
      <c r="B3665" t="s">
        <v>27</v>
      </c>
      <c r="C3665" s="1">
        <v>45786</v>
      </c>
      <c r="D3665">
        <f t="shared" si="264"/>
        <v>9</v>
      </c>
      <c r="E3665">
        <f t="shared" si="265"/>
        <v>5</v>
      </c>
      <c r="F3665">
        <f t="shared" si="266"/>
        <v>2025</v>
      </c>
      <c r="G3665" t="s">
        <v>100</v>
      </c>
      <c r="H3665" s="98">
        <v>12245</v>
      </c>
      <c r="I3665" s="29">
        <v>50000</v>
      </c>
      <c r="J3665" s="12" t="s">
        <v>31</v>
      </c>
      <c r="K3665" s="76">
        <f t="shared" si="263"/>
        <v>50000</v>
      </c>
      <c r="L3665">
        <v>1</v>
      </c>
      <c r="M3665" s="29">
        <v>0</v>
      </c>
      <c r="N3665" t="s">
        <v>32</v>
      </c>
      <c r="O3665" t="s">
        <v>33</v>
      </c>
      <c r="P3665" t="s">
        <v>34</v>
      </c>
      <c r="Q3665" t="s">
        <v>34</v>
      </c>
      <c r="R3665" t="s">
        <v>34</v>
      </c>
      <c r="S3665" t="s">
        <v>34</v>
      </c>
      <c r="T3665" s="117">
        <v>0</v>
      </c>
    </row>
    <row r="3666" spans="1:21" x14ac:dyDescent="0.35">
      <c r="A3666" t="s">
        <v>19</v>
      </c>
      <c r="B3666" t="s">
        <v>27</v>
      </c>
      <c r="C3666" s="1">
        <v>45789</v>
      </c>
      <c r="D3666">
        <f t="shared" si="264"/>
        <v>12</v>
      </c>
      <c r="E3666">
        <f t="shared" si="265"/>
        <v>5</v>
      </c>
      <c r="F3666">
        <f t="shared" si="266"/>
        <v>2025</v>
      </c>
      <c r="G3666" t="s">
        <v>100</v>
      </c>
      <c r="H3666" s="98">
        <v>12245</v>
      </c>
      <c r="I3666" s="29">
        <v>109403.57</v>
      </c>
      <c r="J3666" s="12" t="s">
        <v>31</v>
      </c>
      <c r="K3666" s="76">
        <f t="shared" si="263"/>
        <v>109403.57</v>
      </c>
      <c r="L3666">
        <v>1</v>
      </c>
      <c r="M3666" s="29">
        <v>0</v>
      </c>
      <c r="N3666" t="s">
        <v>32</v>
      </c>
      <c r="O3666" t="s">
        <v>33</v>
      </c>
      <c r="P3666" t="s">
        <v>34</v>
      </c>
      <c r="Q3666" t="s">
        <v>34</v>
      </c>
      <c r="R3666" t="s">
        <v>34</v>
      </c>
      <c r="S3666" t="s">
        <v>34</v>
      </c>
      <c r="T3666" s="117">
        <v>0</v>
      </c>
    </row>
    <row r="3667" spans="1:21" x14ac:dyDescent="0.35">
      <c r="A3667" t="s">
        <v>20</v>
      </c>
      <c r="B3667" t="s">
        <v>25</v>
      </c>
      <c r="C3667" s="1">
        <v>45790</v>
      </c>
      <c r="D3667">
        <f t="shared" si="264"/>
        <v>13</v>
      </c>
      <c r="E3667">
        <f t="shared" si="265"/>
        <v>5</v>
      </c>
      <c r="F3667">
        <f t="shared" si="266"/>
        <v>2025</v>
      </c>
      <c r="G3667" t="s">
        <v>696</v>
      </c>
      <c r="H3667" s="98">
        <v>11781</v>
      </c>
      <c r="I3667" s="29">
        <v>1299.67</v>
      </c>
      <c r="J3667" s="12" t="s">
        <v>31</v>
      </c>
      <c r="K3667" s="76">
        <f t="shared" si="263"/>
        <v>1299.67</v>
      </c>
      <c r="L3667">
        <v>1</v>
      </c>
      <c r="M3667" s="29">
        <v>0</v>
      </c>
      <c r="N3667" t="s">
        <v>32</v>
      </c>
      <c r="O3667" t="s">
        <v>33</v>
      </c>
      <c r="P3667" t="s">
        <v>34</v>
      </c>
      <c r="Q3667" t="s">
        <v>34</v>
      </c>
      <c r="R3667" t="s">
        <v>34</v>
      </c>
      <c r="S3667" t="s">
        <v>34</v>
      </c>
      <c r="T3667" s="117">
        <v>0</v>
      </c>
    </row>
    <row r="3668" spans="1:21" x14ac:dyDescent="0.35">
      <c r="A3668" t="s">
        <v>19</v>
      </c>
      <c r="B3668" t="s">
        <v>25</v>
      </c>
      <c r="C3668" s="1">
        <v>45791</v>
      </c>
      <c r="D3668">
        <f t="shared" si="264"/>
        <v>14</v>
      </c>
      <c r="E3668">
        <f t="shared" si="265"/>
        <v>5</v>
      </c>
      <c r="F3668">
        <f t="shared" si="266"/>
        <v>2025</v>
      </c>
      <c r="G3668" t="s">
        <v>285</v>
      </c>
      <c r="H3668" s="98">
        <v>12361</v>
      </c>
      <c r="I3668" s="29">
        <v>499.88</v>
      </c>
      <c r="J3668" s="12" t="s">
        <v>31</v>
      </c>
      <c r="K3668" s="76">
        <f t="shared" si="263"/>
        <v>499.88</v>
      </c>
      <c r="L3668">
        <v>1</v>
      </c>
      <c r="M3668" s="29">
        <v>0</v>
      </c>
      <c r="N3668" t="s">
        <v>42</v>
      </c>
      <c r="O3668" t="s">
        <v>33</v>
      </c>
      <c r="P3668" t="s">
        <v>34</v>
      </c>
      <c r="Q3668" t="s">
        <v>34</v>
      </c>
      <c r="R3668" t="s">
        <v>34</v>
      </c>
      <c r="S3668" t="s">
        <v>34</v>
      </c>
      <c r="T3668" s="117">
        <v>0</v>
      </c>
      <c r="U3668" s="209" t="s">
        <v>1129</v>
      </c>
    </row>
    <row r="3669" spans="1:21" x14ac:dyDescent="0.35">
      <c r="A3669" t="s">
        <v>19</v>
      </c>
      <c r="B3669" t="s">
        <v>25</v>
      </c>
      <c r="C3669" s="1">
        <v>45791</v>
      </c>
      <c r="D3669">
        <f t="shared" si="264"/>
        <v>14</v>
      </c>
      <c r="E3669">
        <f t="shared" si="265"/>
        <v>5</v>
      </c>
      <c r="F3669">
        <f t="shared" si="266"/>
        <v>2025</v>
      </c>
      <c r="G3669" t="s">
        <v>285</v>
      </c>
      <c r="H3669" s="98">
        <v>12745</v>
      </c>
      <c r="I3669" s="29">
        <v>1596.45</v>
      </c>
      <c r="J3669" s="12" t="s">
        <v>31</v>
      </c>
      <c r="K3669" s="76">
        <f t="shared" si="263"/>
        <v>1596.45</v>
      </c>
      <c r="L3669">
        <v>1</v>
      </c>
      <c r="M3669" s="29">
        <v>0</v>
      </c>
      <c r="N3669" t="s">
        <v>42</v>
      </c>
      <c r="O3669" t="s">
        <v>33</v>
      </c>
      <c r="P3669" t="s">
        <v>34</v>
      </c>
      <c r="Q3669" t="s">
        <v>34</v>
      </c>
      <c r="R3669" t="s">
        <v>34</v>
      </c>
      <c r="S3669" t="s">
        <v>34</v>
      </c>
      <c r="T3669" s="117">
        <v>0</v>
      </c>
    </row>
    <row r="3670" spans="1:21" x14ac:dyDescent="0.35">
      <c r="A3670" t="s">
        <v>19</v>
      </c>
      <c r="B3670" t="s">
        <v>25</v>
      </c>
      <c r="C3670" s="1">
        <v>45791</v>
      </c>
      <c r="D3670">
        <f t="shared" si="264"/>
        <v>14</v>
      </c>
      <c r="E3670">
        <f t="shared" si="265"/>
        <v>5</v>
      </c>
      <c r="F3670">
        <f t="shared" si="266"/>
        <v>2025</v>
      </c>
      <c r="G3670" t="s">
        <v>1146</v>
      </c>
      <c r="H3670" s="98">
        <v>12705</v>
      </c>
      <c r="I3670" s="29">
        <v>32760</v>
      </c>
      <c r="J3670" s="12" t="s">
        <v>51</v>
      </c>
      <c r="K3670" s="76">
        <f t="shared" si="263"/>
        <v>36838.620000000003</v>
      </c>
      <c r="L3670">
        <v>1.1245000000000001</v>
      </c>
      <c r="M3670" s="29">
        <v>0</v>
      </c>
      <c r="N3670" t="s">
        <v>42</v>
      </c>
      <c r="O3670" t="s">
        <v>33</v>
      </c>
      <c r="P3670" t="s">
        <v>34</v>
      </c>
      <c r="Q3670" t="s">
        <v>34</v>
      </c>
      <c r="R3670" t="s">
        <v>34</v>
      </c>
      <c r="S3670" t="s">
        <v>34</v>
      </c>
      <c r="T3670" s="117">
        <v>0</v>
      </c>
      <c r="U3670" s="209" t="s">
        <v>94</v>
      </c>
    </row>
    <row r="3671" spans="1:21" x14ac:dyDescent="0.35">
      <c r="A3671" t="s">
        <v>19</v>
      </c>
      <c r="B3671" t="s">
        <v>25</v>
      </c>
      <c r="C3671" s="1">
        <v>45791</v>
      </c>
      <c r="D3671">
        <f t="shared" si="264"/>
        <v>14</v>
      </c>
      <c r="E3671">
        <f t="shared" si="265"/>
        <v>5</v>
      </c>
      <c r="F3671">
        <f t="shared" si="266"/>
        <v>2025</v>
      </c>
      <c r="G3671" t="s">
        <v>39</v>
      </c>
      <c r="H3671" s="98">
        <v>12137</v>
      </c>
      <c r="I3671" s="29">
        <v>44163.71</v>
      </c>
      <c r="J3671" s="12" t="s">
        <v>31</v>
      </c>
      <c r="K3671" s="76">
        <f t="shared" si="263"/>
        <v>44163.71</v>
      </c>
      <c r="L3671">
        <v>1</v>
      </c>
      <c r="M3671" s="29">
        <v>0</v>
      </c>
      <c r="N3671" t="s">
        <v>32</v>
      </c>
      <c r="O3671" t="s">
        <v>33</v>
      </c>
      <c r="P3671" t="s">
        <v>34</v>
      </c>
      <c r="Q3671" t="s">
        <v>34</v>
      </c>
      <c r="R3671" t="s">
        <v>34</v>
      </c>
      <c r="S3671" t="s">
        <v>34</v>
      </c>
      <c r="T3671" s="117">
        <v>0</v>
      </c>
    </row>
    <row r="3672" spans="1:21" x14ac:dyDescent="0.35">
      <c r="A3672" t="s">
        <v>19</v>
      </c>
      <c r="B3672" t="s">
        <v>25</v>
      </c>
      <c r="C3672" s="1">
        <v>45791</v>
      </c>
      <c r="D3672">
        <f t="shared" si="264"/>
        <v>14</v>
      </c>
      <c r="E3672">
        <f t="shared" si="265"/>
        <v>5</v>
      </c>
      <c r="F3672">
        <f t="shared" si="266"/>
        <v>2025</v>
      </c>
      <c r="G3672" t="s">
        <v>80</v>
      </c>
      <c r="H3672" s="98">
        <v>12700</v>
      </c>
      <c r="I3672" s="29">
        <v>19887</v>
      </c>
      <c r="J3672" s="12" t="s">
        <v>31</v>
      </c>
      <c r="K3672" s="76">
        <f t="shared" si="263"/>
        <v>19887</v>
      </c>
      <c r="L3672">
        <v>1</v>
      </c>
      <c r="M3672" s="29">
        <v>0</v>
      </c>
      <c r="N3672" t="s">
        <v>42</v>
      </c>
      <c r="O3672" t="s">
        <v>33</v>
      </c>
      <c r="P3672" t="s">
        <v>34</v>
      </c>
      <c r="Q3672" t="s">
        <v>34</v>
      </c>
      <c r="R3672" t="s">
        <v>34</v>
      </c>
      <c r="S3672" t="s">
        <v>34</v>
      </c>
      <c r="T3672" s="117">
        <v>0</v>
      </c>
    </row>
    <row r="3673" spans="1:21" x14ac:dyDescent="0.35">
      <c r="A3673" t="s">
        <v>19</v>
      </c>
      <c r="B3673" t="s">
        <v>25</v>
      </c>
      <c r="C3673" s="1">
        <v>45791</v>
      </c>
      <c r="D3673">
        <f t="shared" si="264"/>
        <v>14</v>
      </c>
      <c r="E3673">
        <f t="shared" si="265"/>
        <v>5</v>
      </c>
      <c r="F3673">
        <f t="shared" si="266"/>
        <v>2025</v>
      </c>
      <c r="G3673" t="s">
        <v>80</v>
      </c>
      <c r="H3673" s="98">
        <v>13642</v>
      </c>
      <c r="I3673" s="29">
        <v>1089</v>
      </c>
      <c r="J3673" s="12" t="s">
        <v>31</v>
      </c>
      <c r="K3673" s="76">
        <f t="shared" si="263"/>
        <v>1089</v>
      </c>
      <c r="L3673">
        <v>1</v>
      </c>
      <c r="M3673" s="29">
        <v>0</v>
      </c>
      <c r="N3673" t="s">
        <v>42</v>
      </c>
      <c r="O3673" t="s">
        <v>33</v>
      </c>
      <c r="P3673" t="s">
        <v>34</v>
      </c>
      <c r="Q3673" t="s">
        <v>34</v>
      </c>
      <c r="R3673" t="s">
        <v>34</v>
      </c>
      <c r="S3673" t="s">
        <v>34</v>
      </c>
      <c r="T3673" s="117">
        <v>0</v>
      </c>
    </row>
    <row r="3674" spans="1:21" x14ac:dyDescent="0.35">
      <c r="A3674" t="s">
        <v>19</v>
      </c>
      <c r="B3674" t="s">
        <v>25</v>
      </c>
      <c r="C3674" s="1">
        <v>45791</v>
      </c>
      <c r="D3674">
        <f t="shared" si="264"/>
        <v>14</v>
      </c>
      <c r="E3674">
        <f t="shared" si="265"/>
        <v>5</v>
      </c>
      <c r="F3674">
        <f t="shared" si="266"/>
        <v>2025</v>
      </c>
      <c r="G3674" t="s">
        <v>80</v>
      </c>
      <c r="H3674" s="98">
        <v>12538</v>
      </c>
      <c r="I3674" s="29">
        <v>870</v>
      </c>
      <c r="J3674" s="12" t="s">
        <v>31</v>
      </c>
      <c r="K3674" s="76">
        <f t="shared" si="263"/>
        <v>870</v>
      </c>
      <c r="L3674">
        <v>1</v>
      </c>
      <c r="M3674" s="29">
        <v>0</v>
      </c>
      <c r="N3674" t="s">
        <v>42</v>
      </c>
      <c r="O3674" t="s">
        <v>33</v>
      </c>
      <c r="P3674" t="s">
        <v>34</v>
      </c>
      <c r="Q3674" t="s">
        <v>34</v>
      </c>
      <c r="R3674" t="s">
        <v>34</v>
      </c>
      <c r="S3674" t="s">
        <v>34</v>
      </c>
      <c r="T3674" s="117">
        <v>0</v>
      </c>
      <c r="U3674" s="209" t="s">
        <v>1198</v>
      </c>
    </row>
    <row r="3675" spans="1:21" x14ac:dyDescent="0.35">
      <c r="A3675" t="s">
        <v>19</v>
      </c>
      <c r="B3675" t="s">
        <v>27</v>
      </c>
      <c r="C3675" s="1">
        <v>45791</v>
      </c>
      <c r="D3675">
        <f t="shared" si="264"/>
        <v>14</v>
      </c>
      <c r="E3675">
        <f t="shared" si="265"/>
        <v>5</v>
      </c>
      <c r="F3675">
        <f t="shared" si="266"/>
        <v>2025</v>
      </c>
      <c r="G3675" t="s">
        <v>100</v>
      </c>
      <c r="H3675" s="98">
        <v>12308</v>
      </c>
      <c r="I3675" s="29">
        <v>244526.36</v>
      </c>
      <c r="J3675" s="12" t="s">
        <v>31</v>
      </c>
      <c r="K3675" s="76">
        <f t="shared" si="263"/>
        <v>244526.36</v>
      </c>
      <c r="L3675">
        <v>1</v>
      </c>
      <c r="M3675" s="29">
        <v>0</v>
      </c>
      <c r="N3675" t="s">
        <v>32</v>
      </c>
      <c r="O3675" t="s">
        <v>33</v>
      </c>
      <c r="P3675" t="s">
        <v>34</v>
      </c>
      <c r="Q3675" t="s">
        <v>34</v>
      </c>
      <c r="R3675" t="s">
        <v>34</v>
      </c>
      <c r="S3675" t="s">
        <v>34</v>
      </c>
      <c r="T3675" s="117">
        <v>0</v>
      </c>
    </row>
    <row r="3676" spans="1:21" x14ac:dyDescent="0.35">
      <c r="A3676" t="s">
        <v>19</v>
      </c>
      <c r="B3676" t="s">
        <v>25</v>
      </c>
      <c r="C3676" s="1">
        <v>45791</v>
      </c>
      <c r="D3676">
        <f t="shared" si="264"/>
        <v>14</v>
      </c>
      <c r="E3676">
        <f t="shared" si="265"/>
        <v>5</v>
      </c>
      <c r="F3676">
        <f t="shared" si="266"/>
        <v>2025</v>
      </c>
      <c r="G3676" t="s">
        <v>38</v>
      </c>
      <c r="H3676" s="98">
        <v>12105</v>
      </c>
      <c r="I3676" s="29">
        <v>21623.439999999999</v>
      </c>
      <c r="J3676" s="12" t="s">
        <v>31</v>
      </c>
      <c r="K3676" s="76">
        <f t="shared" si="263"/>
        <v>21623.439999999999</v>
      </c>
      <c r="L3676">
        <v>1</v>
      </c>
      <c r="M3676" s="29">
        <v>0</v>
      </c>
      <c r="N3676" t="s">
        <v>32</v>
      </c>
      <c r="O3676" t="s">
        <v>33</v>
      </c>
      <c r="P3676" t="s">
        <v>34</v>
      </c>
      <c r="Q3676" t="s">
        <v>34</v>
      </c>
      <c r="R3676" t="s">
        <v>34</v>
      </c>
      <c r="S3676" t="s">
        <v>34</v>
      </c>
      <c r="T3676" s="117">
        <v>0</v>
      </c>
    </row>
    <row r="3677" spans="1:21" x14ac:dyDescent="0.35">
      <c r="A3677" t="s">
        <v>19</v>
      </c>
      <c r="B3677" t="s">
        <v>25</v>
      </c>
      <c r="C3677" s="1">
        <v>45791</v>
      </c>
      <c r="D3677">
        <f t="shared" si="264"/>
        <v>14</v>
      </c>
      <c r="E3677">
        <f t="shared" si="265"/>
        <v>5</v>
      </c>
      <c r="F3677">
        <f t="shared" si="266"/>
        <v>2025</v>
      </c>
      <c r="G3677" t="s">
        <v>113</v>
      </c>
      <c r="H3677" s="98">
        <v>12396</v>
      </c>
      <c r="I3677" s="29">
        <v>194484</v>
      </c>
      <c r="J3677" s="12" t="s">
        <v>51</v>
      </c>
      <c r="K3677" s="76">
        <f t="shared" si="263"/>
        <v>218697.258</v>
      </c>
      <c r="L3677">
        <v>1.1245000000000001</v>
      </c>
      <c r="M3677" s="29">
        <v>0</v>
      </c>
      <c r="N3677" t="s">
        <v>42</v>
      </c>
      <c r="O3677" t="s">
        <v>33</v>
      </c>
      <c r="P3677" t="s">
        <v>34</v>
      </c>
      <c r="Q3677" t="s">
        <v>34</v>
      </c>
      <c r="R3677" t="s">
        <v>34</v>
      </c>
      <c r="S3677" t="s">
        <v>34</v>
      </c>
      <c r="T3677" s="117">
        <v>0</v>
      </c>
      <c r="U3677" s="209" t="s">
        <v>94</v>
      </c>
    </row>
    <row r="3678" spans="1:21" x14ac:dyDescent="0.35">
      <c r="A3678" t="s">
        <v>19</v>
      </c>
      <c r="B3678" t="s">
        <v>25</v>
      </c>
      <c r="C3678" s="1">
        <v>45791</v>
      </c>
      <c r="D3678">
        <f t="shared" si="264"/>
        <v>14</v>
      </c>
      <c r="E3678">
        <f t="shared" si="265"/>
        <v>5</v>
      </c>
      <c r="F3678">
        <f t="shared" si="266"/>
        <v>2025</v>
      </c>
      <c r="G3678" t="s">
        <v>113</v>
      </c>
      <c r="H3678" s="98">
        <v>13244</v>
      </c>
      <c r="I3678" s="29">
        <v>728</v>
      </c>
      <c r="J3678" s="12" t="s">
        <v>51</v>
      </c>
      <c r="K3678" s="76">
        <f t="shared" si="263"/>
        <v>818.63600000000008</v>
      </c>
      <c r="L3678">
        <v>1.1245000000000001</v>
      </c>
      <c r="M3678" s="29">
        <v>0</v>
      </c>
      <c r="N3678" t="s">
        <v>42</v>
      </c>
      <c r="O3678" t="s">
        <v>33</v>
      </c>
      <c r="P3678" t="s">
        <v>34</v>
      </c>
      <c r="Q3678" t="s">
        <v>34</v>
      </c>
      <c r="R3678" t="s">
        <v>34</v>
      </c>
      <c r="S3678" t="s">
        <v>34</v>
      </c>
      <c r="T3678" s="117">
        <v>0</v>
      </c>
      <c r="U3678" s="209" t="s">
        <v>94</v>
      </c>
    </row>
    <row r="3679" spans="1:21" x14ac:dyDescent="0.35">
      <c r="A3679" t="s">
        <v>19</v>
      </c>
      <c r="B3679" t="s">
        <v>25</v>
      </c>
      <c r="C3679" s="1">
        <v>45791</v>
      </c>
      <c r="D3679">
        <f t="shared" si="264"/>
        <v>14</v>
      </c>
      <c r="E3679">
        <f t="shared" si="265"/>
        <v>5</v>
      </c>
      <c r="F3679">
        <f t="shared" si="266"/>
        <v>2025</v>
      </c>
      <c r="G3679" t="s">
        <v>113</v>
      </c>
      <c r="H3679" s="98">
        <v>12706</v>
      </c>
      <c r="I3679" s="29">
        <v>35412</v>
      </c>
      <c r="J3679" s="12" t="s">
        <v>51</v>
      </c>
      <c r="K3679" s="76">
        <f t="shared" si="263"/>
        <v>39820.794000000002</v>
      </c>
      <c r="L3679">
        <v>1.1245000000000001</v>
      </c>
      <c r="M3679" s="29">
        <v>0</v>
      </c>
      <c r="N3679" t="s">
        <v>42</v>
      </c>
      <c r="O3679" t="s">
        <v>33</v>
      </c>
      <c r="P3679" t="s">
        <v>34</v>
      </c>
      <c r="Q3679" t="s">
        <v>34</v>
      </c>
      <c r="R3679" t="s">
        <v>34</v>
      </c>
      <c r="S3679" t="s">
        <v>34</v>
      </c>
      <c r="T3679" s="117">
        <v>0</v>
      </c>
      <c r="U3679" s="209" t="s">
        <v>94</v>
      </c>
    </row>
    <row r="3680" spans="1:21" x14ac:dyDescent="0.35">
      <c r="A3680" t="s">
        <v>19</v>
      </c>
      <c r="B3680" t="s">
        <v>23</v>
      </c>
      <c r="C3680" s="1">
        <v>45791</v>
      </c>
      <c r="D3680">
        <f t="shared" si="264"/>
        <v>14</v>
      </c>
      <c r="E3680">
        <f t="shared" si="265"/>
        <v>5</v>
      </c>
      <c r="F3680">
        <f t="shared" si="266"/>
        <v>2025</v>
      </c>
      <c r="G3680" t="s">
        <v>76</v>
      </c>
      <c r="H3680" s="98">
        <v>12569</v>
      </c>
      <c r="I3680" s="29">
        <v>50636.9</v>
      </c>
      <c r="J3680" s="12" t="s">
        <v>31</v>
      </c>
      <c r="K3680" s="76">
        <f t="shared" si="263"/>
        <v>50636.9</v>
      </c>
      <c r="L3680">
        <v>1</v>
      </c>
      <c r="M3680" s="29">
        <v>0</v>
      </c>
      <c r="N3680" t="s">
        <v>32</v>
      </c>
      <c r="O3680" t="s">
        <v>33</v>
      </c>
      <c r="P3680" t="s">
        <v>34</v>
      </c>
      <c r="Q3680" t="s">
        <v>34</v>
      </c>
      <c r="R3680" t="s">
        <v>34</v>
      </c>
      <c r="S3680" t="s">
        <v>34</v>
      </c>
      <c r="T3680" s="117">
        <v>0</v>
      </c>
    </row>
    <row r="3681" spans="1:21" x14ac:dyDescent="0.35">
      <c r="A3681" t="s">
        <v>19</v>
      </c>
      <c r="B3681" t="s">
        <v>21</v>
      </c>
      <c r="C3681" s="1">
        <v>45791</v>
      </c>
      <c r="D3681">
        <f t="shared" si="264"/>
        <v>14</v>
      </c>
      <c r="E3681">
        <f t="shared" si="265"/>
        <v>5</v>
      </c>
      <c r="F3681">
        <f t="shared" si="266"/>
        <v>2025</v>
      </c>
      <c r="G3681" t="s">
        <v>76</v>
      </c>
      <c r="H3681" s="98">
        <v>12569</v>
      </c>
      <c r="I3681" s="29">
        <v>5950</v>
      </c>
      <c r="J3681" s="12" t="s">
        <v>31</v>
      </c>
      <c r="K3681" s="76">
        <f t="shared" si="263"/>
        <v>5950</v>
      </c>
      <c r="L3681">
        <v>1</v>
      </c>
      <c r="M3681" s="29">
        <v>0</v>
      </c>
      <c r="N3681" t="s">
        <v>32</v>
      </c>
      <c r="O3681" t="s">
        <v>33</v>
      </c>
      <c r="P3681" t="s">
        <v>34</v>
      </c>
      <c r="Q3681" t="s">
        <v>34</v>
      </c>
      <c r="R3681" t="s">
        <v>34</v>
      </c>
      <c r="S3681" t="s">
        <v>34</v>
      </c>
      <c r="T3681" s="117">
        <v>0</v>
      </c>
    </row>
    <row r="3682" spans="1:21" x14ac:dyDescent="0.35">
      <c r="A3682" t="s">
        <v>19</v>
      </c>
      <c r="B3682" t="s">
        <v>21</v>
      </c>
      <c r="C3682" s="1">
        <v>45791</v>
      </c>
      <c r="D3682">
        <f t="shared" si="264"/>
        <v>14</v>
      </c>
      <c r="E3682">
        <f t="shared" si="265"/>
        <v>5</v>
      </c>
      <c r="F3682">
        <f t="shared" si="266"/>
        <v>2025</v>
      </c>
      <c r="G3682" t="s">
        <v>76</v>
      </c>
      <c r="H3682" s="98">
        <v>11789</v>
      </c>
      <c r="I3682" s="29">
        <v>53.2</v>
      </c>
      <c r="J3682" s="12" t="s">
        <v>31</v>
      </c>
      <c r="K3682" s="76">
        <f t="shared" si="263"/>
        <v>53.2</v>
      </c>
      <c r="L3682">
        <v>1</v>
      </c>
      <c r="M3682" s="29">
        <v>0</v>
      </c>
      <c r="N3682" t="s">
        <v>32</v>
      </c>
      <c r="O3682" t="s">
        <v>33</v>
      </c>
      <c r="P3682" t="s">
        <v>34</v>
      </c>
      <c r="Q3682" t="s">
        <v>34</v>
      </c>
      <c r="R3682" t="s">
        <v>34</v>
      </c>
      <c r="S3682" t="s">
        <v>34</v>
      </c>
      <c r="T3682" s="117">
        <v>0</v>
      </c>
    </row>
    <row r="3683" spans="1:21" x14ac:dyDescent="0.35">
      <c r="A3683" t="s">
        <v>19</v>
      </c>
      <c r="B3683" t="s">
        <v>21</v>
      </c>
      <c r="C3683" s="1">
        <v>45791</v>
      </c>
      <c r="D3683">
        <f t="shared" si="264"/>
        <v>14</v>
      </c>
      <c r="E3683">
        <f t="shared" si="265"/>
        <v>5</v>
      </c>
      <c r="F3683">
        <f t="shared" si="266"/>
        <v>2025</v>
      </c>
      <c r="G3683" t="s">
        <v>76</v>
      </c>
      <c r="H3683" s="98">
        <v>11973</v>
      </c>
      <c r="I3683" s="29">
        <v>161.6</v>
      </c>
      <c r="J3683" s="12" t="s">
        <v>31</v>
      </c>
      <c r="K3683" s="76">
        <f t="shared" si="263"/>
        <v>161.6</v>
      </c>
      <c r="L3683">
        <v>1</v>
      </c>
      <c r="M3683" s="29">
        <v>0</v>
      </c>
      <c r="N3683" t="s">
        <v>32</v>
      </c>
      <c r="O3683" t="s">
        <v>33</v>
      </c>
      <c r="P3683" t="s">
        <v>34</v>
      </c>
      <c r="Q3683" t="s">
        <v>34</v>
      </c>
      <c r="R3683" t="s">
        <v>34</v>
      </c>
      <c r="S3683" t="s">
        <v>34</v>
      </c>
      <c r="T3683" s="117">
        <v>0</v>
      </c>
    </row>
    <row r="3684" spans="1:21" x14ac:dyDescent="0.35">
      <c r="A3684" t="s">
        <v>19</v>
      </c>
      <c r="B3684" t="s">
        <v>25</v>
      </c>
      <c r="C3684" s="1">
        <v>45791</v>
      </c>
      <c r="D3684">
        <f t="shared" si="264"/>
        <v>14</v>
      </c>
      <c r="E3684">
        <f t="shared" si="265"/>
        <v>5</v>
      </c>
      <c r="F3684">
        <f t="shared" si="266"/>
        <v>2025</v>
      </c>
      <c r="G3684" t="s">
        <v>76</v>
      </c>
      <c r="H3684" s="98">
        <v>12142</v>
      </c>
      <c r="I3684" s="29">
        <v>83.7</v>
      </c>
      <c r="J3684" s="12" t="s">
        <v>31</v>
      </c>
      <c r="K3684" s="76">
        <f t="shared" si="263"/>
        <v>83.7</v>
      </c>
      <c r="L3684">
        <v>1</v>
      </c>
      <c r="M3684" s="29">
        <v>0</v>
      </c>
      <c r="N3684" t="s">
        <v>32</v>
      </c>
      <c r="O3684" t="s">
        <v>33</v>
      </c>
      <c r="P3684" t="s">
        <v>34</v>
      </c>
      <c r="Q3684" t="s">
        <v>34</v>
      </c>
      <c r="R3684" t="s">
        <v>34</v>
      </c>
      <c r="S3684" t="s">
        <v>34</v>
      </c>
      <c r="T3684" s="117">
        <v>0</v>
      </c>
    </row>
    <row r="3685" spans="1:21" x14ac:dyDescent="0.35">
      <c r="A3685" t="s">
        <v>19</v>
      </c>
      <c r="B3685" t="s">
        <v>21</v>
      </c>
      <c r="C3685" s="1">
        <v>45791</v>
      </c>
      <c r="D3685">
        <f t="shared" si="264"/>
        <v>14</v>
      </c>
      <c r="E3685">
        <f t="shared" si="265"/>
        <v>5</v>
      </c>
      <c r="F3685">
        <f t="shared" si="266"/>
        <v>2025</v>
      </c>
      <c r="G3685" t="s">
        <v>76</v>
      </c>
      <c r="H3685" s="98">
        <v>11985</v>
      </c>
      <c r="I3685" s="29">
        <v>90.6</v>
      </c>
      <c r="J3685" s="12" t="s">
        <v>31</v>
      </c>
      <c r="K3685" s="76">
        <f t="shared" si="263"/>
        <v>90.6</v>
      </c>
      <c r="L3685">
        <v>1</v>
      </c>
      <c r="M3685" s="29">
        <v>0</v>
      </c>
      <c r="N3685" t="s">
        <v>32</v>
      </c>
      <c r="O3685" t="s">
        <v>33</v>
      </c>
      <c r="P3685" t="s">
        <v>34</v>
      </c>
      <c r="Q3685" t="s">
        <v>34</v>
      </c>
      <c r="R3685" t="s">
        <v>34</v>
      </c>
      <c r="S3685" t="s">
        <v>34</v>
      </c>
      <c r="T3685" s="117">
        <v>0</v>
      </c>
    </row>
    <row r="3686" spans="1:21" x14ac:dyDescent="0.35">
      <c r="A3686" t="s">
        <v>19</v>
      </c>
      <c r="B3686" t="s">
        <v>24</v>
      </c>
      <c r="C3686" s="1">
        <v>45791</v>
      </c>
      <c r="D3686">
        <f t="shared" si="264"/>
        <v>14</v>
      </c>
      <c r="E3686">
        <f t="shared" si="265"/>
        <v>5</v>
      </c>
      <c r="F3686">
        <f t="shared" si="266"/>
        <v>2025</v>
      </c>
      <c r="G3686" t="s">
        <v>76</v>
      </c>
      <c r="H3686" s="98">
        <v>12262</v>
      </c>
      <c r="I3686" s="29">
        <v>42.68</v>
      </c>
      <c r="J3686" s="12" t="s">
        <v>31</v>
      </c>
      <c r="K3686" s="76">
        <f t="shared" si="263"/>
        <v>42.68</v>
      </c>
      <c r="L3686">
        <v>1</v>
      </c>
      <c r="M3686" s="29">
        <v>0</v>
      </c>
      <c r="N3686" t="s">
        <v>32</v>
      </c>
      <c r="O3686" t="s">
        <v>33</v>
      </c>
      <c r="P3686" t="s">
        <v>34</v>
      </c>
      <c r="Q3686" t="s">
        <v>34</v>
      </c>
      <c r="R3686" t="s">
        <v>34</v>
      </c>
      <c r="S3686" t="s">
        <v>34</v>
      </c>
      <c r="T3686" s="117">
        <v>0</v>
      </c>
    </row>
    <row r="3687" spans="1:21" x14ac:dyDescent="0.35">
      <c r="A3687" t="s">
        <v>19</v>
      </c>
      <c r="B3687" t="s">
        <v>21</v>
      </c>
      <c r="C3687" s="1">
        <v>45791</v>
      </c>
      <c r="D3687">
        <f t="shared" si="264"/>
        <v>14</v>
      </c>
      <c r="E3687">
        <f t="shared" si="265"/>
        <v>5</v>
      </c>
      <c r="F3687">
        <f t="shared" si="266"/>
        <v>2025</v>
      </c>
      <c r="G3687" t="s">
        <v>76</v>
      </c>
      <c r="H3687" s="98">
        <v>12271</v>
      </c>
      <c r="I3687" s="29">
        <v>51.4</v>
      </c>
      <c r="J3687" s="12" t="s">
        <v>31</v>
      </c>
      <c r="K3687" s="76">
        <f t="shared" si="263"/>
        <v>51.4</v>
      </c>
      <c r="L3687">
        <v>1</v>
      </c>
      <c r="M3687" s="29">
        <v>0</v>
      </c>
      <c r="N3687" t="s">
        <v>32</v>
      </c>
      <c r="O3687" t="s">
        <v>33</v>
      </c>
      <c r="P3687" t="s">
        <v>34</v>
      </c>
      <c r="Q3687" t="s">
        <v>34</v>
      </c>
      <c r="R3687" t="s">
        <v>34</v>
      </c>
      <c r="S3687" t="s">
        <v>34</v>
      </c>
      <c r="T3687" s="117">
        <v>0</v>
      </c>
    </row>
    <row r="3688" spans="1:21" x14ac:dyDescent="0.35">
      <c r="A3688" t="s">
        <v>19</v>
      </c>
      <c r="B3688" t="s">
        <v>23</v>
      </c>
      <c r="C3688" s="1">
        <v>45791</v>
      </c>
      <c r="D3688">
        <f t="shared" si="264"/>
        <v>14</v>
      </c>
      <c r="E3688">
        <f t="shared" si="265"/>
        <v>5</v>
      </c>
      <c r="F3688">
        <f t="shared" si="266"/>
        <v>2025</v>
      </c>
      <c r="G3688" t="s">
        <v>882</v>
      </c>
      <c r="H3688" s="98">
        <v>12570</v>
      </c>
      <c r="I3688" s="29">
        <v>10310.950000000001</v>
      </c>
      <c r="J3688" s="12" t="s">
        <v>31</v>
      </c>
      <c r="K3688" s="76">
        <f t="shared" si="263"/>
        <v>10310.950000000001</v>
      </c>
      <c r="L3688">
        <v>1</v>
      </c>
      <c r="M3688" s="29">
        <v>0</v>
      </c>
      <c r="N3688" t="s">
        <v>32</v>
      </c>
      <c r="O3688" t="s">
        <v>33</v>
      </c>
      <c r="P3688" t="s">
        <v>34</v>
      </c>
      <c r="Q3688" t="s">
        <v>34</v>
      </c>
      <c r="R3688" t="s">
        <v>34</v>
      </c>
      <c r="S3688" t="s">
        <v>34</v>
      </c>
      <c r="T3688" s="117">
        <v>0</v>
      </c>
    </row>
    <row r="3689" spans="1:21" x14ac:dyDescent="0.35">
      <c r="A3689" t="s">
        <v>19</v>
      </c>
      <c r="B3689" t="s">
        <v>24</v>
      </c>
      <c r="C3689" s="1">
        <v>45791</v>
      </c>
      <c r="D3689">
        <f t="shared" si="264"/>
        <v>14</v>
      </c>
      <c r="E3689">
        <f t="shared" si="265"/>
        <v>5</v>
      </c>
      <c r="F3689">
        <f t="shared" si="266"/>
        <v>2025</v>
      </c>
      <c r="G3689" t="s">
        <v>77</v>
      </c>
      <c r="H3689" s="98">
        <v>11714</v>
      </c>
      <c r="I3689" s="29">
        <v>35815.599999999999</v>
      </c>
      <c r="J3689" s="12" t="s">
        <v>31</v>
      </c>
      <c r="K3689" s="76">
        <f t="shared" si="263"/>
        <v>35815.599999999999</v>
      </c>
      <c r="L3689">
        <v>1</v>
      </c>
      <c r="M3689" s="29">
        <v>0</v>
      </c>
      <c r="N3689" t="s">
        <v>32</v>
      </c>
      <c r="O3689" t="s">
        <v>33</v>
      </c>
      <c r="P3689" t="s">
        <v>34</v>
      </c>
      <c r="Q3689" t="s">
        <v>34</v>
      </c>
      <c r="R3689" t="s">
        <v>34</v>
      </c>
      <c r="S3689" t="s">
        <v>34</v>
      </c>
      <c r="T3689" s="117">
        <v>0</v>
      </c>
    </row>
    <row r="3690" spans="1:21" x14ac:dyDescent="0.35">
      <c r="A3690" t="s">
        <v>20</v>
      </c>
      <c r="B3690" t="s">
        <v>21</v>
      </c>
      <c r="C3690" s="1">
        <v>45791</v>
      </c>
      <c r="D3690">
        <f t="shared" si="264"/>
        <v>14</v>
      </c>
      <c r="E3690">
        <f t="shared" si="265"/>
        <v>5</v>
      </c>
      <c r="F3690">
        <f t="shared" si="266"/>
        <v>2025</v>
      </c>
      <c r="G3690" t="s">
        <v>118</v>
      </c>
      <c r="H3690" s="98">
        <v>12357</v>
      </c>
      <c r="I3690" s="29">
        <v>14423.61</v>
      </c>
      <c r="J3690" s="12" t="s">
        <v>31</v>
      </c>
      <c r="K3690" s="76">
        <f t="shared" si="263"/>
        <v>14423.61</v>
      </c>
      <c r="L3690">
        <v>1</v>
      </c>
      <c r="M3690" s="29">
        <v>0</v>
      </c>
      <c r="N3690" t="s">
        <v>42</v>
      </c>
      <c r="O3690" t="s">
        <v>33</v>
      </c>
      <c r="P3690" t="s">
        <v>34</v>
      </c>
      <c r="Q3690" t="s">
        <v>34</v>
      </c>
      <c r="R3690" t="s">
        <v>34</v>
      </c>
      <c r="S3690" t="s">
        <v>34</v>
      </c>
      <c r="T3690" s="117">
        <v>0</v>
      </c>
    </row>
    <row r="3691" spans="1:21" x14ac:dyDescent="0.35">
      <c r="A3691" t="s">
        <v>20</v>
      </c>
      <c r="B3691" t="s">
        <v>23</v>
      </c>
      <c r="C3691" s="1">
        <v>45791</v>
      </c>
      <c r="D3691">
        <f t="shared" si="264"/>
        <v>14</v>
      </c>
      <c r="E3691">
        <f t="shared" si="265"/>
        <v>5</v>
      </c>
      <c r="F3691">
        <f t="shared" si="266"/>
        <v>2025</v>
      </c>
      <c r="G3691" t="s">
        <v>118</v>
      </c>
      <c r="H3691" s="98">
        <v>12357</v>
      </c>
      <c r="I3691" s="29">
        <v>5610.5</v>
      </c>
      <c r="J3691" s="12" t="s">
        <v>31</v>
      </c>
      <c r="K3691" s="76">
        <f t="shared" si="263"/>
        <v>5610.5</v>
      </c>
      <c r="L3691">
        <v>1</v>
      </c>
      <c r="M3691" s="29">
        <v>0</v>
      </c>
      <c r="N3691" t="s">
        <v>42</v>
      </c>
      <c r="O3691" t="s">
        <v>33</v>
      </c>
      <c r="P3691" t="s">
        <v>34</v>
      </c>
      <c r="Q3691" t="s">
        <v>34</v>
      </c>
      <c r="R3691" t="s">
        <v>34</v>
      </c>
      <c r="S3691" t="s">
        <v>34</v>
      </c>
      <c r="T3691" s="117">
        <v>0</v>
      </c>
    </row>
    <row r="3692" spans="1:21" x14ac:dyDescent="0.35">
      <c r="A3692" t="s">
        <v>20</v>
      </c>
      <c r="B3692" t="s">
        <v>24</v>
      </c>
      <c r="C3692" s="1">
        <v>45791</v>
      </c>
      <c r="D3692">
        <f t="shared" si="264"/>
        <v>14</v>
      </c>
      <c r="E3692">
        <f t="shared" si="265"/>
        <v>5</v>
      </c>
      <c r="F3692">
        <f t="shared" si="266"/>
        <v>2025</v>
      </c>
      <c r="G3692" t="s">
        <v>118</v>
      </c>
      <c r="H3692" s="98">
        <v>11681</v>
      </c>
      <c r="I3692" s="29">
        <v>1055.6400000000001</v>
      </c>
      <c r="J3692" s="12" t="s">
        <v>31</v>
      </c>
      <c r="K3692" s="76">
        <f t="shared" si="263"/>
        <v>1055.6400000000001</v>
      </c>
      <c r="L3692">
        <v>1</v>
      </c>
      <c r="M3692" s="29">
        <v>0</v>
      </c>
      <c r="N3692" t="s">
        <v>32</v>
      </c>
      <c r="O3692" t="s">
        <v>33</v>
      </c>
      <c r="P3692" t="s">
        <v>34</v>
      </c>
      <c r="Q3692" t="s">
        <v>34</v>
      </c>
      <c r="R3692" t="s">
        <v>34</v>
      </c>
      <c r="S3692" t="s">
        <v>34</v>
      </c>
      <c r="T3692" s="117">
        <v>0</v>
      </c>
    </row>
    <row r="3693" spans="1:21" x14ac:dyDescent="0.35">
      <c r="A3693" t="s">
        <v>20</v>
      </c>
      <c r="B3693" t="s">
        <v>23</v>
      </c>
      <c r="C3693" s="1">
        <v>45791</v>
      </c>
      <c r="D3693">
        <f t="shared" si="264"/>
        <v>14</v>
      </c>
      <c r="E3693">
        <f t="shared" si="265"/>
        <v>5</v>
      </c>
      <c r="F3693">
        <f t="shared" si="266"/>
        <v>2025</v>
      </c>
      <c r="G3693" t="s">
        <v>118</v>
      </c>
      <c r="H3693" s="98">
        <v>12752</v>
      </c>
      <c r="I3693" s="29">
        <v>25.6</v>
      </c>
      <c r="J3693" s="12" t="s">
        <v>31</v>
      </c>
      <c r="K3693" s="76">
        <f t="shared" si="263"/>
        <v>25.6</v>
      </c>
      <c r="L3693">
        <v>1</v>
      </c>
      <c r="M3693" s="29">
        <v>0</v>
      </c>
      <c r="N3693" t="s">
        <v>42</v>
      </c>
      <c r="O3693" t="s">
        <v>33</v>
      </c>
      <c r="P3693" t="s">
        <v>34</v>
      </c>
      <c r="Q3693" t="s">
        <v>34</v>
      </c>
      <c r="R3693" t="s">
        <v>34</v>
      </c>
      <c r="S3693" t="s">
        <v>34</v>
      </c>
      <c r="T3693" s="117">
        <v>0</v>
      </c>
      <c r="U3693" s="209" t="s">
        <v>1202</v>
      </c>
    </row>
    <row r="3694" spans="1:21" x14ac:dyDescent="0.35">
      <c r="A3694" t="s">
        <v>20</v>
      </c>
      <c r="B3694" t="s">
        <v>23</v>
      </c>
      <c r="C3694" s="1">
        <v>45791</v>
      </c>
      <c r="D3694">
        <f t="shared" si="264"/>
        <v>14</v>
      </c>
      <c r="E3694">
        <f t="shared" si="265"/>
        <v>5</v>
      </c>
      <c r="F3694">
        <f t="shared" si="266"/>
        <v>2025</v>
      </c>
      <c r="G3694" t="s">
        <v>118</v>
      </c>
      <c r="H3694" s="98">
        <v>12751</v>
      </c>
      <c r="I3694" s="29">
        <v>1126.4000000000001</v>
      </c>
      <c r="J3694" s="12" t="s">
        <v>31</v>
      </c>
      <c r="K3694" s="76">
        <f t="shared" si="263"/>
        <v>1126.4000000000001</v>
      </c>
      <c r="L3694">
        <v>1</v>
      </c>
      <c r="M3694" s="29">
        <v>0</v>
      </c>
      <c r="N3694" t="s">
        <v>42</v>
      </c>
      <c r="O3694" t="s">
        <v>33</v>
      </c>
      <c r="P3694" t="s">
        <v>34</v>
      </c>
      <c r="Q3694" t="s">
        <v>34</v>
      </c>
      <c r="R3694" t="s">
        <v>34</v>
      </c>
      <c r="S3694" t="s">
        <v>34</v>
      </c>
      <c r="T3694" s="117">
        <v>0</v>
      </c>
    </row>
    <row r="3695" spans="1:21" x14ac:dyDescent="0.35">
      <c r="A3695" t="s">
        <v>20</v>
      </c>
      <c r="B3695" t="s">
        <v>24</v>
      </c>
      <c r="C3695" s="1">
        <v>45791</v>
      </c>
      <c r="D3695">
        <f t="shared" si="264"/>
        <v>14</v>
      </c>
      <c r="E3695">
        <f t="shared" si="265"/>
        <v>5</v>
      </c>
      <c r="F3695">
        <f t="shared" si="266"/>
        <v>2025</v>
      </c>
      <c r="G3695" t="s">
        <v>118</v>
      </c>
      <c r="H3695" s="98">
        <v>12752</v>
      </c>
      <c r="I3695" s="29">
        <v>104.8</v>
      </c>
      <c r="J3695" s="12" t="s">
        <v>31</v>
      </c>
      <c r="K3695" s="76">
        <f t="shared" si="263"/>
        <v>104.8</v>
      </c>
      <c r="L3695">
        <v>1</v>
      </c>
      <c r="M3695" s="29">
        <v>0</v>
      </c>
      <c r="N3695" t="s">
        <v>42</v>
      </c>
      <c r="O3695" t="s">
        <v>33</v>
      </c>
      <c r="P3695" t="s">
        <v>34</v>
      </c>
      <c r="Q3695" t="s">
        <v>34</v>
      </c>
      <c r="R3695" t="s">
        <v>34</v>
      </c>
      <c r="S3695" t="s">
        <v>34</v>
      </c>
      <c r="T3695" s="117">
        <v>0</v>
      </c>
    </row>
    <row r="3696" spans="1:21" x14ac:dyDescent="0.35">
      <c r="A3696" t="s">
        <v>20</v>
      </c>
      <c r="B3696" t="s">
        <v>24</v>
      </c>
      <c r="C3696" s="1">
        <v>45791</v>
      </c>
      <c r="D3696">
        <f t="shared" si="264"/>
        <v>14</v>
      </c>
      <c r="E3696">
        <f t="shared" si="265"/>
        <v>5</v>
      </c>
      <c r="F3696">
        <f t="shared" si="266"/>
        <v>2025</v>
      </c>
      <c r="G3696" t="s">
        <v>118</v>
      </c>
      <c r="H3696" s="98">
        <v>12753</v>
      </c>
      <c r="I3696" s="29">
        <v>1362.4</v>
      </c>
      <c r="J3696" s="12" t="s">
        <v>31</v>
      </c>
      <c r="K3696" s="76">
        <f t="shared" si="263"/>
        <v>1362.4</v>
      </c>
      <c r="L3696">
        <v>1</v>
      </c>
      <c r="M3696" s="29">
        <v>0</v>
      </c>
      <c r="N3696" t="s">
        <v>42</v>
      </c>
      <c r="O3696" t="s">
        <v>33</v>
      </c>
      <c r="P3696" t="s">
        <v>34</v>
      </c>
      <c r="Q3696" t="s">
        <v>34</v>
      </c>
      <c r="R3696" t="s">
        <v>34</v>
      </c>
      <c r="S3696" t="s">
        <v>34</v>
      </c>
      <c r="T3696" s="117">
        <v>0</v>
      </c>
    </row>
    <row r="3697" spans="1:21" x14ac:dyDescent="0.35">
      <c r="A3697" t="s">
        <v>20</v>
      </c>
      <c r="B3697" t="s">
        <v>23</v>
      </c>
      <c r="C3697" s="1">
        <v>45791</v>
      </c>
      <c r="D3697">
        <f t="shared" si="264"/>
        <v>14</v>
      </c>
      <c r="E3697">
        <f t="shared" si="265"/>
        <v>5</v>
      </c>
      <c r="F3697">
        <f t="shared" si="266"/>
        <v>2025</v>
      </c>
      <c r="G3697" t="s">
        <v>121</v>
      </c>
      <c r="H3697" s="98">
        <v>11841</v>
      </c>
      <c r="I3697" s="29">
        <v>33637.919999999998</v>
      </c>
      <c r="J3697" s="12" t="s">
        <v>31</v>
      </c>
      <c r="K3697" s="76">
        <f t="shared" si="263"/>
        <v>33637.919999999998</v>
      </c>
      <c r="L3697">
        <v>1</v>
      </c>
      <c r="M3697" s="29">
        <v>0</v>
      </c>
      <c r="N3697" t="s">
        <v>32</v>
      </c>
      <c r="O3697" t="s">
        <v>33</v>
      </c>
      <c r="P3697" t="s">
        <v>34</v>
      </c>
      <c r="Q3697" t="s">
        <v>34</v>
      </c>
      <c r="R3697" t="s">
        <v>34</v>
      </c>
      <c r="S3697" t="s">
        <v>34</v>
      </c>
      <c r="T3697" s="117">
        <v>0</v>
      </c>
    </row>
    <row r="3698" spans="1:21" x14ac:dyDescent="0.35">
      <c r="A3698" t="s">
        <v>20</v>
      </c>
      <c r="B3698" t="s">
        <v>21</v>
      </c>
      <c r="C3698" s="1">
        <v>45791</v>
      </c>
      <c r="D3698">
        <f t="shared" si="264"/>
        <v>14</v>
      </c>
      <c r="E3698">
        <f t="shared" si="265"/>
        <v>5</v>
      </c>
      <c r="F3698">
        <f t="shared" si="266"/>
        <v>2025</v>
      </c>
      <c r="G3698" t="s">
        <v>45</v>
      </c>
      <c r="H3698" s="98">
        <v>12394</v>
      </c>
      <c r="I3698" s="29">
        <v>77</v>
      </c>
      <c r="J3698" s="12" t="s">
        <v>31</v>
      </c>
      <c r="K3698" s="76">
        <f t="shared" si="263"/>
        <v>77</v>
      </c>
      <c r="L3698">
        <v>1</v>
      </c>
      <c r="M3698" s="29">
        <v>0</v>
      </c>
      <c r="N3698" t="s">
        <v>32</v>
      </c>
      <c r="O3698" t="s">
        <v>33</v>
      </c>
      <c r="P3698" t="s">
        <v>34</v>
      </c>
      <c r="Q3698" t="s">
        <v>34</v>
      </c>
      <c r="R3698" t="s">
        <v>34</v>
      </c>
      <c r="S3698" t="s">
        <v>34</v>
      </c>
      <c r="T3698" s="117">
        <v>0</v>
      </c>
    </row>
    <row r="3699" spans="1:21" x14ac:dyDescent="0.35">
      <c r="A3699" t="s">
        <v>20</v>
      </c>
      <c r="B3699" t="s">
        <v>23</v>
      </c>
      <c r="C3699" s="1">
        <v>45791</v>
      </c>
      <c r="D3699">
        <f t="shared" si="264"/>
        <v>14</v>
      </c>
      <c r="E3699">
        <f t="shared" si="265"/>
        <v>5</v>
      </c>
      <c r="F3699">
        <f t="shared" si="266"/>
        <v>2025</v>
      </c>
      <c r="G3699" t="s">
        <v>45</v>
      </c>
      <c r="H3699" s="98">
        <v>12299</v>
      </c>
      <c r="I3699" s="29">
        <v>30</v>
      </c>
      <c r="J3699" s="12" t="s">
        <v>31</v>
      </c>
      <c r="K3699" s="76">
        <f t="shared" si="263"/>
        <v>30</v>
      </c>
      <c r="L3699">
        <v>1</v>
      </c>
      <c r="M3699" s="29">
        <v>0</v>
      </c>
      <c r="N3699" t="s">
        <v>32</v>
      </c>
      <c r="O3699" t="s">
        <v>33</v>
      </c>
      <c r="P3699" t="s">
        <v>34</v>
      </c>
      <c r="Q3699" t="s">
        <v>34</v>
      </c>
      <c r="R3699" t="s">
        <v>34</v>
      </c>
      <c r="S3699" t="s">
        <v>34</v>
      </c>
      <c r="T3699" s="117">
        <v>0</v>
      </c>
    </row>
    <row r="3700" spans="1:21" x14ac:dyDescent="0.35">
      <c r="A3700" t="s">
        <v>20</v>
      </c>
      <c r="B3700" t="s">
        <v>21</v>
      </c>
      <c r="C3700" s="1">
        <v>45791</v>
      </c>
      <c r="D3700">
        <f t="shared" si="264"/>
        <v>14</v>
      </c>
      <c r="E3700">
        <f t="shared" si="265"/>
        <v>5</v>
      </c>
      <c r="F3700">
        <f t="shared" si="266"/>
        <v>2025</v>
      </c>
      <c r="G3700" t="s">
        <v>45</v>
      </c>
      <c r="H3700" s="98">
        <v>12082</v>
      </c>
      <c r="I3700" s="29">
        <v>114.4</v>
      </c>
      <c r="J3700" s="12" t="s">
        <v>31</v>
      </c>
      <c r="K3700" s="76">
        <f t="shared" si="263"/>
        <v>114.4</v>
      </c>
      <c r="L3700">
        <v>1</v>
      </c>
      <c r="M3700" s="29">
        <v>0</v>
      </c>
      <c r="N3700" t="s">
        <v>32</v>
      </c>
      <c r="O3700" t="s">
        <v>33</v>
      </c>
      <c r="P3700" t="s">
        <v>34</v>
      </c>
      <c r="Q3700" t="s">
        <v>34</v>
      </c>
      <c r="R3700" t="s">
        <v>34</v>
      </c>
      <c r="S3700" t="s">
        <v>34</v>
      </c>
      <c r="T3700" s="117">
        <v>0</v>
      </c>
    </row>
    <row r="3701" spans="1:21" x14ac:dyDescent="0.35">
      <c r="A3701" t="s">
        <v>20</v>
      </c>
      <c r="B3701" t="s">
        <v>23</v>
      </c>
      <c r="C3701" s="1">
        <v>45791</v>
      </c>
      <c r="D3701">
        <f t="shared" si="264"/>
        <v>14</v>
      </c>
      <c r="E3701">
        <f t="shared" si="265"/>
        <v>5</v>
      </c>
      <c r="F3701">
        <f t="shared" si="266"/>
        <v>2025</v>
      </c>
      <c r="G3701" t="s">
        <v>45</v>
      </c>
      <c r="H3701" s="98">
        <v>12430</v>
      </c>
      <c r="I3701" s="29">
        <v>41.5</v>
      </c>
      <c r="J3701" s="12" t="s">
        <v>31</v>
      </c>
      <c r="K3701" s="76">
        <f t="shared" si="263"/>
        <v>41.5</v>
      </c>
      <c r="L3701">
        <v>1</v>
      </c>
      <c r="M3701" s="29">
        <v>0</v>
      </c>
      <c r="N3701" t="s">
        <v>32</v>
      </c>
      <c r="O3701" t="s">
        <v>33</v>
      </c>
      <c r="P3701" t="s">
        <v>34</v>
      </c>
      <c r="Q3701" t="s">
        <v>34</v>
      </c>
      <c r="R3701" t="s">
        <v>34</v>
      </c>
      <c r="S3701" t="s">
        <v>34</v>
      </c>
      <c r="T3701" s="117">
        <v>0</v>
      </c>
    </row>
    <row r="3702" spans="1:21" x14ac:dyDescent="0.35">
      <c r="A3702" t="s">
        <v>20</v>
      </c>
      <c r="B3702" t="s">
        <v>25</v>
      </c>
      <c r="C3702" s="1">
        <v>45791</v>
      </c>
      <c r="D3702">
        <f t="shared" si="264"/>
        <v>14</v>
      </c>
      <c r="E3702">
        <f t="shared" si="265"/>
        <v>5</v>
      </c>
      <c r="F3702">
        <f t="shared" si="266"/>
        <v>2025</v>
      </c>
      <c r="G3702" t="s">
        <v>595</v>
      </c>
      <c r="H3702" s="98">
        <v>12735</v>
      </c>
      <c r="I3702" s="29">
        <v>138</v>
      </c>
      <c r="J3702" s="12" t="s">
        <v>31</v>
      </c>
      <c r="K3702" s="76">
        <f t="shared" si="263"/>
        <v>138</v>
      </c>
      <c r="L3702">
        <v>1</v>
      </c>
      <c r="M3702" s="29">
        <v>0</v>
      </c>
      <c r="N3702" t="s">
        <v>42</v>
      </c>
      <c r="O3702" t="s">
        <v>33</v>
      </c>
      <c r="P3702" t="s">
        <v>34</v>
      </c>
      <c r="Q3702" t="s">
        <v>34</v>
      </c>
      <c r="R3702" t="s">
        <v>34</v>
      </c>
      <c r="S3702" t="s">
        <v>34</v>
      </c>
      <c r="T3702" s="117">
        <v>0</v>
      </c>
    </row>
    <row r="3703" spans="1:21" x14ac:dyDescent="0.35">
      <c r="A3703" t="s">
        <v>20</v>
      </c>
      <c r="B3703" t="s">
        <v>25</v>
      </c>
      <c r="C3703" s="1">
        <v>45791</v>
      </c>
      <c r="D3703">
        <f t="shared" si="264"/>
        <v>14</v>
      </c>
      <c r="E3703">
        <f t="shared" si="265"/>
        <v>5</v>
      </c>
      <c r="F3703">
        <f t="shared" si="266"/>
        <v>2025</v>
      </c>
      <c r="G3703" t="s">
        <v>595</v>
      </c>
      <c r="H3703" s="98">
        <v>12622</v>
      </c>
      <c r="I3703" s="29">
        <v>1490.4</v>
      </c>
      <c r="J3703" s="12" t="s">
        <v>31</v>
      </c>
      <c r="K3703" s="76">
        <f t="shared" si="263"/>
        <v>1490.4</v>
      </c>
      <c r="L3703">
        <v>1</v>
      </c>
      <c r="M3703" s="29">
        <v>0</v>
      </c>
      <c r="N3703" t="s">
        <v>42</v>
      </c>
      <c r="O3703" t="s">
        <v>33</v>
      </c>
      <c r="P3703" t="s">
        <v>34</v>
      </c>
      <c r="Q3703" t="s">
        <v>34</v>
      </c>
      <c r="R3703" t="s">
        <v>34</v>
      </c>
      <c r="S3703" t="s">
        <v>34</v>
      </c>
      <c r="T3703" s="117">
        <v>0</v>
      </c>
      <c r="U3703" s="209" t="s">
        <v>1124</v>
      </c>
    </row>
    <row r="3704" spans="1:21" x14ac:dyDescent="0.35">
      <c r="A3704" t="s">
        <v>20</v>
      </c>
      <c r="B3704" t="s">
        <v>21</v>
      </c>
      <c r="C3704" s="1">
        <v>45791</v>
      </c>
      <c r="D3704">
        <f t="shared" si="264"/>
        <v>14</v>
      </c>
      <c r="E3704">
        <f t="shared" si="265"/>
        <v>5</v>
      </c>
      <c r="F3704">
        <f t="shared" si="266"/>
        <v>2025</v>
      </c>
      <c r="G3704" t="s">
        <v>90</v>
      </c>
      <c r="H3704" s="98">
        <v>11494</v>
      </c>
      <c r="I3704" s="29">
        <v>13853.01</v>
      </c>
      <c r="J3704" s="12" t="s">
        <v>31</v>
      </c>
      <c r="K3704" s="76">
        <f t="shared" si="263"/>
        <v>13853.01</v>
      </c>
      <c r="L3704">
        <v>1</v>
      </c>
      <c r="M3704" s="29">
        <v>0</v>
      </c>
      <c r="N3704" t="s">
        <v>32</v>
      </c>
      <c r="O3704" t="s">
        <v>33</v>
      </c>
      <c r="P3704" t="s">
        <v>34</v>
      </c>
      <c r="Q3704" t="s">
        <v>34</v>
      </c>
      <c r="R3704" t="s">
        <v>34</v>
      </c>
      <c r="S3704" t="s">
        <v>34</v>
      </c>
      <c r="T3704" s="117">
        <v>0</v>
      </c>
    </row>
    <row r="3705" spans="1:21" x14ac:dyDescent="0.35">
      <c r="A3705" t="s">
        <v>20</v>
      </c>
      <c r="B3705" t="s">
        <v>25</v>
      </c>
      <c r="C3705" s="1">
        <v>45791</v>
      </c>
      <c r="D3705">
        <f t="shared" si="264"/>
        <v>14</v>
      </c>
      <c r="E3705">
        <f t="shared" si="265"/>
        <v>5</v>
      </c>
      <c r="F3705">
        <f t="shared" si="266"/>
        <v>2025</v>
      </c>
      <c r="G3705" t="s">
        <v>90</v>
      </c>
      <c r="H3705" s="98">
        <v>11494</v>
      </c>
      <c r="I3705" s="29">
        <v>4016.23</v>
      </c>
      <c r="J3705" s="12" t="s">
        <v>31</v>
      </c>
      <c r="K3705" s="76">
        <f t="shared" si="263"/>
        <v>4016.23</v>
      </c>
      <c r="L3705">
        <v>1</v>
      </c>
      <c r="M3705" s="29">
        <v>0</v>
      </c>
      <c r="N3705" t="s">
        <v>32</v>
      </c>
      <c r="O3705" t="s">
        <v>33</v>
      </c>
      <c r="P3705" t="s">
        <v>34</v>
      </c>
      <c r="Q3705" t="s">
        <v>34</v>
      </c>
      <c r="R3705" t="s">
        <v>34</v>
      </c>
      <c r="S3705" t="s">
        <v>34</v>
      </c>
      <c r="T3705" s="117">
        <v>0</v>
      </c>
    </row>
    <row r="3706" spans="1:21" x14ac:dyDescent="0.35">
      <c r="A3706" t="s">
        <v>20</v>
      </c>
      <c r="B3706" t="s">
        <v>23</v>
      </c>
      <c r="C3706" s="1">
        <v>45791</v>
      </c>
      <c r="D3706">
        <f t="shared" si="264"/>
        <v>14</v>
      </c>
      <c r="E3706">
        <f t="shared" si="265"/>
        <v>5</v>
      </c>
      <c r="F3706">
        <f t="shared" si="266"/>
        <v>2025</v>
      </c>
      <c r="G3706" t="s">
        <v>97</v>
      </c>
      <c r="H3706" s="98">
        <v>12527</v>
      </c>
      <c r="I3706" s="29">
        <v>102</v>
      </c>
      <c r="J3706" s="12" t="s">
        <v>31</v>
      </c>
      <c r="K3706" s="76">
        <f t="shared" si="263"/>
        <v>102</v>
      </c>
      <c r="L3706">
        <v>1</v>
      </c>
      <c r="M3706" s="29">
        <v>0</v>
      </c>
      <c r="N3706" t="s">
        <v>32</v>
      </c>
      <c r="O3706" t="s">
        <v>33</v>
      </c>
      <c r="P3706" t="s">
        <v>34</v>
      </c>
      <c r="Q3706" t="s">
        <v>34</v>
      </c>
      <c r="R3706" t="s">
        <v>34</v>
      </c>
      <c r="S3706" t="s">
        <v>34</v>
      </c>
      <c r="T3706" s="117">
        <v>0</v>
      </c>
    </row>
    <row r="3707" spans="1:21" x14ac:dyDescent="0.35">
      <c r="A3707" t="s">
        <v>20</v>
      </c>
      <c r="B3707" t="s">
        <v>23</v>
      </c>
      <c r="C3707" s="1">
        <v>45791</v>
      </c>
      <c r="D3707">
        <f t="shared" si="264"/>
        <v>14</v>
      </c>
      <c r="E3707">
        <f t="shared" si="265"/>
        <v>5</v>
      </c>
      <c r="F3707">
        <f t="shared" si="266"/>
        <v>2025</v>
      </c>
      <c r="G3707" t="s">
        <v>97</v>
      </c>
      <c r="H3707" s="98">
        <v>12526</v>
      </c>
      <c r="I3707" s="29">
        <v>11725.0496</v>
      </c>
      <c r="J3707" s="12" t="s">
        <v>31</v>
      </c>
      <c r="K3707" s="76">
        <f t="shared" si="263"/>
        <v>11725.0496</v>
      </c>
      <c r="L3707">
        <v>1</v>
      </c>
      <c r="M3707" s="76">
        <v>357.7756</v>
      </c>
      <c r="N3707" t="s">
        <v>32</v>
      </c>
      <c r="O3707" t="s">
        <v>33</v>
      </c>
      <c r="P3707" t="s">
        <v>34</v>
      </c>
      <c r="Q3707" t="s">
        <v>34</v>
      </c>
      <c r="R3707" t="s">
        <v>34</v>
      </c>
      <c r="S3707" t="s">
        <v>34</v>
      </c>
      <c r="T3707" s="117">
        <v>0</v>
      </c>
    </row>
    <row r="3708" spans="1:21" x14ac:dyDescent="0.35">
      <c r="A3708" t="s">
        <v>20</v>
      </c>
      <c r="B3708" t="s">
        <v>21</v>
      </c>
      <c r="C3708" s="1">
        <v>45791</v>
      </c>
      <c r="D3708">
        <f t="shared" si="264"/>
        <v>14</v>
      </c>
      <c r="E3708">
        <f t="shared" si="265"/>
        <v>5</v>
      </c>
      <c r="F3708">
        <f t="shared" si="266"/>
        <v>2025</v>
      </c>
      <c r="G3708" t="s">
        <v>97</v>
      </c>
      <c r="H3708" s="98">
        <v>12526</v>
      </c>
      <c r="I3708" s="29">
        <v>29589.462</v>
      </c>
      <c r="J3708" s="12" t="s">
        <v>31</v>
      </c>
      <c r="K3708" s="76">
        <f t="shared" si="263"/>
        <v>29589.462</v>
      </c>
      <c r="L3708">
        <v>1</v>
      </c>
      <c r="M3708" s="76">
        <v>919.99440000000004</v>
      </c>
      <c r="N3708" t="s">
        <v>32</v>
      </c>
      <c r="O3708" t="s">
        <v>33</v>
      </c>
      <c r="P3708" t="s">
        <v>34</v>
      </c>
      <c r="Q3708" t="s">
        <v>34</v>
      </c>
      <c r="R3708" t="s">
        <v>34</v>
      </c>
      <c r="S3708" t="s">
        <v>34</v>
      </c>
      <c r="T3708" s="117">
        <v>0</v>
      </c>
    </row>
    <row r="3709" spans="1:21" x14ac:dyDescent="0.35">
      <c r="A3709" t="s">
        <v>20</v>
      </c>
      <c r="B3709" t="s">
        <v>25</v>
      </c>
      <c r="C3709" s="1">
        <v>45791</v>
      </c>
      <c r="D3709">
        <f t="shared" si="264"/>
        <v>14</v>
      </c>
      <c r="E3709">
        <f t="shared" si="265"/>
        <v>5</v>
      </c>
      <c r="F3709">
        <f t="shared" si="266"/>
        <v>2025</v>
      </c>
      <c r="G3709" t="s">
        <v>81</v>
      </c>
      <c r="H3709" s="98">
        <v>12746</v>
      </c>
      <c r="I3709" s="29">
        <v>5728.5</v>
      </c>
      <c r="J3709" s="12" t="s">
        <v>31</v>
      </c>
      <c r="K3709" s="76">
        <f t="shared" si="263"/>
        <v>5728.5</v>
      </c>
      <c r="L3709">
        <v>1</v>
      </c>
      <c r="M3709" s="29">
        <v>0</v>
      </c>
      <c r="N3709" t="s">
        <v>42</v>
      </c>
      <c r="O3709" t="s">
        <v>33</v>
      </c>
      <c r="P3709" t="s">
        <v>34</v>
      </c>
      <c r="Q3709" t="s">
        <v>34</v>
      </c>
      <c r="R3709" t="s">
        <v>34</v>
      </c>
      <c r="S3709" t="s">
        <v>34</v>
      </c>
      <c r="T3709" s="117">
        <v>0</v>
      </c>
    </row>
    <row r="3710" spans="1:21" x14ac:dyDescent="0.35">
      <c r="A3710" t="s">
        <v>20</v>
      </c>
      <c r="B3710" t="s">
        <v>21</v>
      </c>
      <c r="C3710" s="1">
        <v>45791</v>
      </c>
      <c r="D3710">
        <f t="shared" si="264"/>
        <v>14</v>
      </c>
      <c r="E3710">
        <f t="shared" si="265"/>
        <v>5</v>
      </c>
      <c r="F3710">
        <f t="shared" si="266"/>
        <v>2025</v>
      </c>
      <c r="G3710" t="s">
        <v>46</v>
      </c>
      <c r="H3710" s="98">
        <v>11797</v>
      </c>
      <c r="I3710" s="29">
        <v>4120.3599999999997</v>
      </c>
      <c r="J3710" s="12" t="s">
        <v>31</v>
      </c>
      <c r="K3710" s="76">
        <f t="shared" si="263"/>
        <v>4120.3599999999997</v>
      </c>
      <c r="L3710">
        <v>1</v>
      </c>
      <c r="M3710" s="29">
        <v>0</v>
      </c>
      <c r="N3710" t="s">
        <v>32</v>
      </c>
      <c r="O3710" t="s">
        <v>33</v>
      </c>
      <c r="P3710" t="s">
        <v>34</v>
      </c>
      <c r="Q3710" t="s">
        <v>34</v>
      </c>
      <c r="R3710" t="s">
        <v>34</v>
      </c>
      <c r="S3710" t="s">
        <v>34</v>
      </c>
      <c r="T3710" s="117">
        <v>0</v>
      </c>
    </row>
    <row r="3711" spans="1:21" x14ac:dyDescent="0.35">
      <c r="A3711" t="s">
        <v>20</v>
      </c>
      <c r="B3711" t="s">
        <v>25</v>
      </c>
      <c r="C3711" s="1">
        <v>45791</v>
      </c>
      <c r="D3711">
        <f t="shared" si="264"/>
        <v>14</v>
      </c>
      <c r="E3711">
        <f t="shared" si="265"/>
        <v>5</v>
      </c>
      <c r="F3711">
        <f t="shared" si="266"/>
        <v>2025</v>
      </c>
      <c r="G3711" t="s">
        <v>43</v>
      </c>
      <c r="H3711" s="98">
        <v>12023</v>
      </c>
      <c r="I3711" s="29">
        <v>5368.46</v>
      </c>
      <c r="J3711" s="12" t="s">
        <v>31</v>
      </c>
      <c r="K3711" s="76">
        <f t="shared" si="263"/>
        <v>5368.46</v>
      </c>
      <c r="L3711">
        <v>1</v>
      </c>
      <c r="M3711" s="29">
        <v>0</v>
      </c>
      <c r="N3711" t="s">
        <v>32</v>
      </c>
      <c r="O3711" t="s">
        <v>33</v>
      </c>
      <c r="P3711" t="s">
        <v>34</v>
      </c>
      <c r="Q3711" t="s">
        <v>34</v>
      </c>
      <c r="R3711" t="s">
        <v>34</v>
      </c>
      <c r="S3711" t="s">
        <v>34</v>
      </c>
      <c r="T3711" s="117">
        <v>0</v>
      </c>
    </row>
    <row r="3712" spans="1:21" x14ac:dyDescent="0.35">
      <c r="A3712" t="s">
        <v>20</v>
      </c>
      <c r="B3712" t="s">
        <v>24</v>
      </c>
      <c r="C3712" s="1">
        <v>45791</v>
      </c>
      <c r="D3712">
        <f t="shared" si="264"/>
        <v>14</v>
      </c>
      <c r="E3712">
        <f t="shared" si="265"/>
        <v>5</v>
      </c>
      <c r="F3712">
        <f t="shared" si="266"/>
        <v>2025</v>
      </c>
      <c r="G3712" t="s">
        <v>43</v>
      </c>
      <c r="H3712" s="98">
        <v>11899</v>
      </c>
      <c r="I3712" s="29">
        <v>55908.72</v>
      </c>
      <c r="J3712" s="12" t="s">
        <v>31</v>
      </c>
      <c r="K3712" s="76">
        <f t="shared" si="263"/>
        <v>55908.72</v>
      </c>
      <c r="L3712">
        <v>1</v>
      </c>
      <c r="M3712" s="29">
        <v>0</v>
      </c>
      <c r="N3712" t="s">
        <v>32</v>
      </c>
      <c r="O3712" t="s">
        <v>33</v>
      </c>
      <c r="P3712" t="s">
        <v>34</v>
      </c>
      <c r="Q3712" t="s">
        <v>34</v>
      </c>
      <c r="R3712" t="s">
        <v>34</v>
      </c>
      <c r="S3712" t="s">
        <v>34</v>
      </c>
      <c r="T3712" s="117">
        <v>0</v>
      </c>
    </row>
    <row r="3713" spans="1:21" x14ac:dyDescent="0.35">
      <c r="A3713" t="s">
        <v>20</v>
      </c>
      <c r="B3713" t="s">
        <v>21</v>
      </c>
      <c r="C3713" s="1">
        <v>45791</v>
      </c>
      <c r="D3713">
        <f t="shared" si="264"/>
        <v>14</v>
      </c>
      <c r="E3713">
        <f t="shared" si="265"/>
        <v>5</v>
      </c>
      <c r="F3713">
        <f t="shared" si="266"/>
        <v>2025</v>
      </c>
      <c r="G3713" t="s">
        <v>43</v>
      </c>
      <c r="H3713" s="98">
        <v>11946</v>
      </c>
      <c r="I3713" s="29">
        <v>103.2</v>
      </c>
      <c r="J3713" s="12" t="s">
        <v>31</v>
      </c>
      <c r="K3713" s="76">
        <f t="shared" si="263"/>
        <v>103.2</v>
      </c>
      <c r="L3713">
        <v>1</v>
      </c>
      <c r="M3713" s="29">
        <v>0</v>
      </c>
      <c r="N3713" t="s">
        <v>32</v>
      </c>
      <c r="O3713" t="s">
        <v>33</v>
      </c>
      <c r="P3713" t="s">
        <v>34</v>
      </c>
      <c r="Q3713" t="s">
        <v>34</v>
      </c>
      <c r="R3713" t="s">
        <v>34</v>
      </c>
      <c r="S3713" t="s">
        <v>34</v>
      </c>
      <c r="T3713" s="117">
        <v>0</v>
      </c>
    </row>
    <row r="3714" spans="1:21" x14ac:dyDescent="0.35">
      <c r="A3714" t="s">
        <v>20</v>
      </c>
      <c r="B3714" t="s">
        <v>23</v>
      </c>
      <c r="C3714" s="1">
        <v>45791</v>
      </c>
      <c r="D3714">
        <f t="shared" si="264"/>
        <v>14</v>
      </c>
      <c r="E3714">
        <f t="shared" si="265"/>
        <v>5</v>
      </c>
      <c r="F3714">
        <f t="shared" si="266"/>
        <v>2025</v>
      </c>
      <c r="G3714" t="s">
        <v>53</v>
      </c>
      <c r="H3714" s="171">
        <v>12566</v>
      </c>
      <c r="I3714" s="90">
        <v>134</v>
      </c>
      <c r="J3714" s="12" t="s">
        <v>31</v>
      </c>
      <c r="K3714" s="76">
        <f t="shared" si="263"/>
        <v>134</v>
      </c>
      <c r="L3714">
        <v>1</v>
      </c>
      <c r="M3714" s="29">
        <v>0</v>
      </c>
      <c r="N3714" t="s">
        <v>32</v>
      </c>
      <c r="O3714" t="s">
        <v>33</v>
      </c>
      <c r="P3714" t="s">
        <v>34</v>
      </c>
      <c r="Q3714" t="s">
        <v>34</v>
      </c>
      <c r="R3714" t="s">
        <v>34</v>
      </c>
      <c r="S3714" t="s">
        <v>34</v>
      </c>
      <c r="T3714" s="117">
        <v>0</v>
      </c>
    </row>
    <row r="3715" spans="1:21" x14ac:dyDescent="0.35">
      <c r="A3715" t="s">
        <v>20</v>
      </c>
      <c r="B3715" t="s">
        <v>21</v>
      </c>
      <c r="C3715" s="1">
        <v>45791</v>
      </c>
      <c r="D3715">
        <f t="shared" si="264"/>
        <v>14</v>
      </c>
      <c r="E3715">
        <f t="shared" si="265"/>
        <v>5</v>
      </c>
      <c r="F3715">
        <f t="shared" si="266"/>
        <v>2025</v>
      </c>
      <c r="G3715" t="s">
        <v>53</v>
      </c>
      <c r="H3715" s="98">
        <v>12566</v>
      </c>
      <c r="I3715" s="90">
        <v>292</v>
      </c>
      <c r="J3715" s="12" t="s">
        <v>31</v>
      </c>
      <c r="K3715" s="76">
        <f t="shared" si="263"/>
        <v>292</v>
      </c>
      <c r="L3715">
        <v>1</v>
      </c>
      <c r="M3715" s="29">
        <v>0</v>
      </c>
      <c r="N3715" t="s">
        <v>32</v>
      </c>
      <c r="O3715" t="s">
        <v>33</v>
      </c>
      <c r="P3715" t="s">
        <v>34</v>
      </c>
      <c r="Q3715" t="s">
        <v>34</v>
      </c>
      <c r="R3715" t="s">
        <v>34</v>
      </c>
      <c r="S3715" t="s">
        <v>34</v>
      </c>
      <c r="T3715" s="117">
        <v>0</v>
      </c>
      <c r="U3715" s="209" t="s">
        <v>1042</v>
      </c>
    </row>
    <row r="3716" spans="1:21" x14ac:dyDescent="0.35">
      <c r="A3716" t="s">
        <v>20</v>
      </c>
      <c r="B3716" t="s">
        <v>21</v>
      </c>
      <c r="C3716" s="1">
        <v>45791</v>
      </c>
      <c r="D3716">
        <f t="shared" si="264"/>
        <v>14</v>
      </c>
      <c r="E3716">
        <f t="shared" si="265"/>
        <v>5</v>
      </c>
      <c r="F3716">
        <f t="shared" si="266"/>
        <v>2025</v>
      </c>
      <c r="G3716" t="s">
        <v>53</v>
      </c>
      <c r="H3716" s="98">
        <v>12658</v>
      </c>
      <c r="I3716" s="90">
        <v>82.95</v>
      </c>
      <c r="J3716" s="12" t="s">
        <v>31</v>
      </c>
      <c r="K3716" s="76">
        <f t="shared" ref="K3716:K3779" si="267">IF(J3716="USD",I3716,I3716*L3716)</f>
        <v>82.95</v>
      </c>
      <c r="L3716">
        <v>1</v>
      </c>
      <c r="M3716" s="29">
        <v>0</v>
      </c>
      <c r="N3716" t="s">
        <v>42</v>
      </c>
      <c r="O3716" t="s">
        <v>33</v>
      </c>
      <c r="P3716" t="s">
        <v>34</v>
      </c>
      <c r="Q3716" t="s">
        <v>34</v>
      </c>
      <c r="R3716" t="s">
        <v>34</v>
      </c>
      <c r="S3716" t="s">
        <v>34</v>
      </c>
      <c r="T3716" s="117">
        <v>0</v>
      </c>
    </row>
    <row r="3717" spans="1:21" x14ac:dyDescent="0.35">
      <c r="A3717" t="s">
        <v>20</v>
      </c>
      <c r="B3717" t="s">
        <v>21</v>
      </c>
      <c r="C3717" s="1">
        <v>45791</v>
      </c>
      <c r="D3717">
        <f t="shared" ref="D3717:D3780" si="268">DAY(C3717)</f>
        <v>14</v>
      </c>
      <c r="E3717">
        <f t="shared" ref="E3717:E3780" si="269">MONTH(C3717)</f>
        <v>5</v>
      </c>
      <c r="F3717">
        <f t="shared" ref="F3717:F3780" si="270">YEAR(C3717)</f>
        <v>2025</v>
      </c>
      <c r="G3717" t="s">
        <v>53</v>
      </c>
      <c r="H3717" s="98">
        <v>12658</v>
      </c>
      <c r="I3717" s="90">
        <v>56</v>
      </c>
      <c r="J3717" s="12" t="s">
        <v>31</v>
      </c>
      <c r="K3717" s="76">
        <f t="shared" si="267"/>
        <v>56</v>
      </c>
      <c r="L3717">
        <v>1</v>
      </c>
      <c r="M3717" s="29">
        <v>0</v>
      </c>
      <c r="N3717" t="s">
        <v>42</v>
      </c>
      <c r="O3717" t="s">
        <v>33</v>
      </c>
      <c r="P3717" t="s">
        <v>34</v>
      </c>
      <c r="Q3717" t="s">
        <v>34</v>
      </c>
      <c r="R3717" t="s">
        <v>34</v>
      </c>
      <c r="S3717" t="s">
        <v>34</v>
      </c>
      <c r="T3717" s="117">
        <v>0</v>
      </c>
      <c r="U3717" s="209" t="s">
        <v>1125</v>
      </c>
    </row>
    <row r="3718" spans="1:21" x14ac:dyDescent="0.35">
      <c r="A3718" t="s">
        <v>20</v>
      </c>
      <c r="B3718" t="s">
        <v>23</v>
      </c>
      <c r="C3718" s="1">
        <v>45791</v>
      </c>
      <c r="D3718">
        <f t="shared" si="268"/>
        <v>14</v>
      </c>
      <c r="E3718">
        <f t="shared" si="269"/>
        <v>5</v>
      </c>
      <c r="F3718">
        <f t="shared" si="270"/>
        <v>2025</v>
      </c>
      <c r="G3718" t="s">
        <v>53</v>
      </c>
      <c r="H3718" s="171">
        <v>12701</v>
      </c>
      <c r="I3718" s="29">
        <v>172.5</v>
      </c>
      <c r="J3718" s="12" t="s">
        <v>31</v>
      </c>
      <c r="K3718" s="76">
        <f t="shared" si="267"/>
        <v>172.5</v>
      </c>
      <c r="L3718">
        <v>1</v>
      </c>
      <c r="M3718" s="29">
        <v>0</v>
      </c>
      <c r="N3718" t="s">
        <v>42</v>
      </c>
      <c r="O3718" t="s">
        <v>33</v>
      </c>
      <c r="P3718" t="s">
        <v>34</v>
      </c>
      <c r="Q3718" t="s">
        <v>34</v>
      </c>
      <c r="R3718" t="s">
        <v>34</v>
      </c>
      <c r="S3718" t="s">
        <v>34</v>
      </c>
      <c r="T3718" s="117">
        <v>0</v>
      </c>
    </row>
    <row r="3719" spans="1:21" x14ac:dyDescent="0.35">
      <c r="A3719" t="s">
        <v>20</v>
      </c>
      <c r="B3719" t="s">
        <v>23</v>
      </c>
      <c r="C3719" s="1">
        <v>45791</v>
      </c>
      <c r="D3719">
        <f t="shared" si="268"/>
        <v>14</v>
      </c>
      <c r="E3719">
        <f t="shared" si="269"/>
        <v>5</v>
      </c>
      <c r="F3719">
        <f t="shared" si="270"/>
        <v>2025</v>
      </c>
      <c r="G3719" t="s">
        <v>53</v>
      </c>
      <c r="H3719" s="171">
        <v>12729</v>
      </c>
      <c r="I3719" s="29">
        <v>162</v>
      </c>
      <c r="J3719" s="12" t="s">
        <v>31</v>
      </c>
      <c r="K3719" s="76">
        <f t="shared" si="267"/>
        <v>162</v>
      </c>
      <c r="L3719">
        <v>1</v>
      </c>
      <c r="M3719" s="29">
        <v>0</v>
      </c>
      <c r="N3719" t="s">
        <v>42</v>
      </c>
      <c r="O3719" t="s">
        <v>33</v>
      </c>
      <c r="P3719" t="s">
        <v>34</v>
      </c>
      <c r="Q3719" t="s">
        <v>34</v>
      </c>
      <c r="R3719" t="s">
        <v>34</v>
      </c>
      <c r="S3719" t="s">
        <v>34</v>
      </c>
      <c r="T3719" s="117">
        <v>0</v>
      </c>
    </row>
    <row r="3720" spans="1:21" x14ac:dyDescent="0.35">
      <c r="A3720" t="s">
        <v>19</v>
      </c>
      <c r="B3720" t="s">
        <v>19</v>
      </c>
      <c r="C3720" s="1">
        <v>45791</v>
      </c>
      <c r="D3720">
        <f t="shared" si="268"/>
        <v>14</v>
      </c>
      <c r="E3720">
        <f t="shared" si="269"/>
        <v>5</v>
      </c>
      <c r="F3720">
        <f t="shared" si="270"/>
        <v>2025</v>
      </c>
      <c r="G3720" t="s">
        <v>523</v>
      </c>
      <c r="H3720" s="98" t="s">
        <v>912</v>
      </c>
      <c r="I3720" s="29">
        <v>28168</v>
      </c>
      <c r="J3720" s="12" t="s">
        <v>31</v>
      </c>
      <c r="K3720" s="76">
        <f t="shared" si="267"/>
        <v>28168</v>
      </c>
      <c r="L3720">
        <v>1</v>
      </c>
      <c r="M3720" s="29">
        <v>0</v>
      </c>
      <c r="N3720" t="s">
        <v>42</v>
      </c>
      <c r="O3720" t="s">
        <v>33</v>
      </c>
      <c r="P3720" t="s">
        <v>34</v>
      </c>
      <c r="Q3720" t="s">
        <v>34</v>
      </c>
      <c r="R3720" t="s">
        <v>34</v>
      </c>
      <c r="S3720" t="s">
        <v>34</v>
      </c>
      <c r="T3720" s="117">
        <v>0</v>
      </c>
    </row>
    <row r="3721" spans="1:21" x14ac:dyDescent="0.35">
      <c r="A3721" t="s">
        <v>19</v>
      </c>
      <c r="B3721" t="s">
        <v>19</v>
      </c>
      <c r="C3721" s="1">
        <v>45791</v>
      </c>
      <c r="D3721">
        <f t="shared" si="268"/>
        <v>14</v>
      </c>
      <c r="E3721">
        <f t="shared" si="269"/>
        <v>5</v>
      </c>
      <c r="F3721">
        <f t="shared" si="270"/>
        <v>2025</v>
      </c>
      <c r="G3721" t="s">
        <v>56</v>
      </c>
      <c r="H3721" s="98" t="s">
        <v>1029</v>
      </c>
      <c r="I3721" s="29">
        <v>175168.03</v>
      </c>
      <c r="J3721" s="12" t="s">
        <v>31</v>
      </c>
      <c r="K3721" s="76">
        <f t="shared" si="267"/>
        <v>175168.03</v>
      </c>
      <c r="L3721">
        <v>1</v>
      </c>
      <c r="M3721" s="29">
        <v>0</v>
      </c>
      <c r="N3721" t="s">
        <v>42</v>
      </c>
      <c r="O3721" t="s">
        <v>33</v>
      </c>
      <c r="P3721" t="s">
        <v>34</v>
      </c>
      <c r="Q3721" t="s">
        <v>34</v>
      </c>
      <c r="R3721" t="s">
        <v>34</v>
      </c>
      <c r="S3721" t="s">
        <v>34</v>
      </c>
      <c r="T3721" s="117">
        <v>0</v>
      </c>
    </row>
    <row r="3722" spans="1:21" x14ac:dyDescent="0.35">
      <c r="A3722" t="s">
        <v>19</v>
      </c>
      <c r="B3722" t="s">
        <v>19</v>
      </c>
      <c r="C3722" s="1">
        <v>45791</v>
      </c>
      <c r="D3722">
        <f t="shared" si="268"/>
        <v>14</v>
      </c>
      <c r="E3722">
        <f t="shared" si="269"/>
        <v>5</v>
      </c>
      <c r="F3722">
        <f t="shared" si="270"/>
        <v>2025</v>
      </c>
      <c r="G3722" t="s">
        <v>56</v>
      </c>
      <c r="H3722" s="98" t="s">
        <v>1030</v>
      </c>
      <c r="I3722" s="29">
        <v>170229.19</v>
      </c>
      <c r="J3722" s="12" t="s">
        <v>31</v>
      </c>
      <c r="K3722" s="76">
        <f t="shared" si="267"/>
        <v>170229.19</v>
      </c>
      <c r="L3722">
        <v>1</v>
      </c>
      <c r="M3722" s="29">
        <v>0</v>
      </c>
      <c r="N3722" t="s">
        <v>42</v>
      </c>
      <c r="O3722" t="s">
        <v>33</v>
      </c>
      <c r="P3722" t="s">
        <v>34</v>
      </c>
      <c r="Q3722" t="s">
        <v>34</v>
      </c>
      <c r="R3722" t="s">
        <v>34</v>
      </c>
      <c r="S3722" t="s">
        <v>34</v>
      </c>
      <c r="T3722" s="117">
        <v>0</v>
      </c>
    </row>
    <row r="3723" spans="1:21" x14ac:dyDescent="0.35">
      <c r="A3723" t="s">
        <v>19</v>
      </c>
      <c r="B3723" t="s">
        <v>19</v>
      </c>
      <c r="C3723" s="1">
        <v>45791</v>
      </c>
      <c r="D3723">
        <f t="shared" si="268"/>
        <v>14</v>
      </c>
      <c r="E3723">
        <f t="shared" si="269"/>
        <v>5</v>
      </c>
      <c r="F3723">
        <f t="shared" si="270"/>
        <v>2025</v>
      </c>
      <c r="G3723" t="s">
        <v>56</v>
      </c>
      <c r="H3723" s="98" t="s">
        <v>1031</v>
      </c>
      <c r="I3723" s="29">
        <v>168010.32</v>
      </c>
      <c r="J3723" s="12" t="s">
        <v>31</v>
      </c>
      <c r="K3723" s="76">
        <f t="shared" si="267"/>
        <v>168010.32</v>
      </c>
      <c r="L3723">
        <v>1</v>
      </c>
      <c r="M3723" s="29">
        <v>0</v>
      </c>
      <c r="N3723" t="s">
        <v>42</v>
      </c>
      <c r="O3723" t="s">
        <v>33</v>
      </c>
      <c r="P3723" t="s">
        <v>34</v>
      </c>
      <c r="Q3723" t="s">
        <v>34</v>
      </c>
      <c r="R3723" t="s">
        <v>34</v>
      </c>
      <c r="S3723" t="s">
        <v>34</v>
      </c>
      <c r="T3723" s="117">
        <v>0</v>
      </c>
    </row>
    <row r="3724" spans="1:21" x14ac:dyDescent="0.35">
      <c r="A3724" t="s">
        <v>19</v>
      </c>
      <c r="B3724" t="s">
        <v>19</v>
      </c>
      <c r="C3724" s="1">
        <v>45791</v>
      </c>
      <c r="D3724">
        <f t="shared" si="268"/>
        <v>14</v>
      </c>
      <c r="E3724">
        <f t="shared" si="269"/>
        <v>5</v>
      </c>
      <c r="F3724">
        <f t="shared" si="270"/>
        <v>2025</v>
      </c>
      <c r="G3724" t="s">
        <v>56</v>
      </c>
      <c r="H3724" s="98" t="s">
        <v>1032</v>
      </c>
      <c r="I3724" s="29">
        <v>649.68000000000006</v>
      </c>
      <c r="J3724" s="12" t="s">
        <v>31</v>
      </c>
      <c r="K3724" s="76">
        <f t="shared" si="267"/>
        <v>649.68000000000006</v>
      </c>
      <c r="L3724">
        <v>1</v>
      </c>
      <c r="M3724" s="29">
        <v>0</v>
      </c>
      <c r="N3724" t="s">
        <v>42</v>
      </c>
      <c r="O3724" t="s">
        <v>33</v>
      </c>
      <c r="P3724" t="s">
        <v>34</v>
      </c>
      <c r="Q3724" t="s">
        <v>34</v>
      </c>
      <c r="R3724" t="s">
        <v>34</v>
      </c>
      <c r="S3724" t="s">
        <v>34</v>
      </c>
      <c r="T3724" s="117">
        <v>0</v>
      </c>
    </row>
    <row r="3725" spans="1:21" x14ac:dyDescent="0.35">
      <c r="A3725" t="s">
        <v>19</v>
      </c>
      <c r="B3725" t="s">
        <v>19</v>
      </c>
      <c r="C3725" s="1">
        <v>45791</v>
      </c>
      <c r="D3725">
        <f t="shared" si="268"/>
        <v>14</v>
      </c>
      <c r="E3725">
        <f t="shared" si="269"/>
        <v>5</v>
      </c>
      <c r="F3725">
        <f t="shared" si="270"/>
        <v>2025</v>
      </c>
      <c r="G3725" t="s">
        <v>56</v>
      </c>
      <c r="H3725" s="98" t="s">
        <v>1033</v>
      </c>
      <c r="I3725" s="29">
        <v>3487.67</v>
      </c>
      <c r="J3725" s="12" t="s">
        <v>31</v>
      </c>
      <c r="K3725" s="76">
        <f t="shared" si="267"/>
        <v>3487.67</v>
      </c>
      <c r="L3725">
        <v>1</v>
      </c>
      <c r="M3725" s="29">
        <v>0</v>
      </c>
      <c r="N3725" t="s">
        <v>42</v>
      </c>
      <c r="O3725" t="s">
        <v>33</v>
      </c>
      <c r="P3725" t="s">
        <v>34</v>
      </c>
      <c r="Q3725" t="s">
        <v>34</v>
      </c>
      <c r="R3725" t="s">
        <v>34</v>
      </c>
      <c r="S3725" t="s">
        <v>34</v>
      </c>
      <c r="T3725" s="117">
        <v>0</v>
      </c>
    </row>
    <row r="3726" spans="1:21" x14ac:dyDescent="0.35">
      <c r="A3726" t="s">
        <v>19</v>
      </c>
      <c r="B3726" t="s">
        <v>19</v>
      </c>
      <c r="C3726" s="1">
        <v>45791</v>
      </c>
      <c r="D3726">
        <f t="shared" si="268"/>
        <v>14</v>
      </c>
      <c r="E3726">
        <f t="shared" si="269"/>
        <v>5</v>
      </c>
      <c r="F3726">
        <f t="shared" si="270"/>
        <v>2025</v>
      </c>
      <c r="G3726" t="s">
        <v>56</v>
      </c>
      <c r="H3726" s="98" t="s">
        <v>1034</v>
      </c>
      <c r="I3726" s="29">
        <v>724.61</v>
      </c>
      <c r="J3726" s="12" t="s">
        <v>31</v>
      </c>
      <c r="K3726" s="76">
        <f t="shared" si="267"/>
        <v>724.61</v>
      </c>
      <c r="L3726">
        <v>1</v>
      </c>
      <c r="M3726" s="29">
        <v>0</v>
      </c>
      <c r="N3726" t="s">
        <v>42</v>
      </c>
      <c r="O3726" t="s">
        <v>33</v>
      </c>
      <c r="P3726" t="s">
        <v>34</v>
      </c>
      <c r="Q3726" t="s">
        <v>34</v>
      </c>
      <c r="R3726" t="s">
        <v>34</v>
      </c>
      <c r="S3726" t="s">
        <v>34</v>
      </c>
      <c r="T3726" s="117">
        <v>0</v>
      </c>
    </row>
    <row r="3727" spans="1:21" x14ac:dyDescent="0.35">
      <c r="A3727" t="s">
        <v>19</v>
      </c>
      <c r="B3727" t="s">
        <v>19</v>
      </c>
      <c r="C3727" s="1">
        <v>45791</v>
      </c>
      <c r="D3727">
        <f t="shared" si="268"/>
        <v>14</v>
      </c>
      <c r="E3727">
        <f t="shared" si="269"/>
        <v>5</v>
      </c>
      <c r="F3727">
        <f t="shared" si="270"/>
        <v>2025</v>
      </c>
      <c r="G3727" t="s">
        <v>56</v>
      </c>
      <c r="H3727" s="98" t="s">
        <v>1035</v>
      </c>
      <c r="I3727" s="29">
        <v>70.709999999999994</v>
      </c>
      <c r="J3727" s="12" t="s">
        <v>31</v>
      </c>
      <c r="K3727" s="76">
        <f t="shared" si="267"/>
        <v>70.709999999999994</v>
      </c>
      <c r="L3727">
        <v>1</v>
      </c>
      <c r="M3727" s="29">
        <v>0</v>
      </c>
      <c r="N3727" t="s">
        <v>42</v>
      </c>
      <c r="O3727" t="s">
        <v>33</v>
      </c>
      <c r="P3727" t="s">
        <v>34</v>
      </c>
      <c r="Q3727" t="s">
        <v>34</v>
      </c>
      <c r="R3727" t="s">
        <v>34</v>
      </c>
      <c r="S3727" t="s">
        <v>34</v>
      </c>
      <c r="T3727" s="117">
        <v>0</v>
      </c>
    </row>
    <row r="3728" spans="1:21" x14ac:dyDescent="0.35">
      <c r="A3728" t="s">
        <v>19</v>
      </c>
      <c r="B3728" t="s">
        <v>19</v>
      </c>
      <c r="C3728" s="1">
        <v>45791</v>
      </c>
      <c r="D3728">
        <f t="shared" si="268"/>
        <v>14</v>
      </c>
      <c r="E3728">
        <f t="shared" si="269"/>
        <v>5</v>
      </c>
      <c r="F3728">
        <f t="shared" si="270"/>
        <v>2025</v>
      </c>
      <c r="G3728" t="s">
        <v>56</v>
      </c>
      <c r="H3728" s="98" t="s">
        <v>1036</v>
      </c>
      <c r="I3728" s="29">
        <v>4437.04</v>
      </c>
      <c r="J3728" s="12" t="s">
        <v>31</v>
      </c>
      <c r="K3728" s="76">
        <f t="shared" si="267"/>
        <v>4437.04</v>
      </c>
      <c r="L3728">
        <v>1</v>
      </c>
      <c r="M3728" s="29">
        <v>0</v>
      </c>
      <c r="N3728" t="s">
        <v>42</v>
      </c>
      <c r="O3728" t="s">
        <v>33</v>
      </c>
      <c r="P3728" t="s">
        <v>34</v>
      </c>
      <c r="Q3728" t="s">
        <v>34</v>
      </c>
      <c r="R3728" t="s">
        <v>34</v>
      </c>
      <c r="S3728" t="s">
        <v>34</v>
      </c>
      <c r="T3728" s="117">
        <v>0</v>
      </c>
    </row>
    <row r="3729" spans="1:21" x14ac:dyDescent="0.35">
      <c r="A3729" t="s">
        <v>19</v>
      </c>
      <c r="B3729" t="s">
        <v>19</v>
      </c>
      <c r="C3729" s="1">
        <v>45791</v>
      </c>
      <c r="D3729">
        <f t="shared" si="268"/>
        <v>14</v>
      </c>
      <c r="E3729">
        <f t="shared" si="269"/>
        <v>5</v>
      </c>
      <c r="F3729">
        <f t="shared" si="270"/>
        <v>2025</v>
      </c>
      <c r="G3729" t="s">
        <v>106</v>
      </c>
      <c r="H3729" s="98" t="s">
        <v>1037</v>
      </c>
      <c r="I3729" s="29">
        <v>171101.37</v>
      </c>
      <c r="J3729" s="12" t="s">
        <v>31</v>
      </c>
      <c r="K3729" s="76">
        <f t="shared" si="267"/>
        <v>171101.37</v>
      </c>
      <c r="L3729">
        <v>1</v>
      </c>
      <c r="M3729" s="29">
        <v>0</v>
      </c>
      <c r="N3729" t="s">
        <v>42</v>
      </c>
      <c r="O3729" t="s">
        <v>33</v>
      </c>
      <c r="P3729" t="s">
        <v>34</v>
      </c>
      <c r="Q3729" t="s">
        <v>34</v>
      </c>
      <c r="R3729" t="s">
        <v>34</v>
      </c>
      <c r="S3729" t="s">
        <v>34</v>
      </c>
      <c r="T3729" s="117">
        <v>0</v>
      </c>
    </row>
    <row r="3730" spans="1:21" x14ac:dyDescent="0.35">
      <c r="A3730" t="s">
        <v>19</v>
      </c>
      <c r="B3730" t="s">
        <v>19</v>
      </c>
      <c r="C3730" s="1">
        <v>45791</v>
      </c>
      <c r="D3730">
        <f t="shared" si="268"/>
        <v>14</v>
      </c>
      <c r="E3730">
        <f t="shared" si="269"/>
        <v>5</v>
      </c>
      <c r="F3730">
        <f t="shared" si="270"/>
        <v>2025</v>
      </c>
      <c r="G3730" t="s">
        <v>82</v>
      </c>
      <c r="H3730" s="98" t="s">
        <v>1038</v>
      </c>
      <c r="I3730" s="29">
        <v>3814.01</v>
      </c>
      <c r="J3730" s="12" t="s">
        <v>31</v>
      </c>
      <c r="K3730" s="76">
        <f t="shared" si="267"/>
        <v>3814.01</v>
      </c>
      <c r="L3730">
        <v>1</v>
      </c>
      <c r="M3730" s="29">
        <v>0</v>
      </c>
      <c r="N3730" t="s">
        <v>42</v>
      </c>
      <c r="O3730" t="s">
        <v>33</v>
      </c>
      <c r="P3730" t="s">
        <v>34</v>
      </c>
      <c r="Q3730" t="s">
        <v>34</v>
      </c>
      <c r="R3730" t="s">
        <v>34</v>
      </c>
      <c r="S3730" t="s">
        <v>34</v>
      </c>
      <c r="T3730" s="117">
        <v>0</v>
      </c>
    </row>
    <row r="3731" spans="1:21" x14ac:dyDescent="0.35">
      <c r="A3731" t="s">
        <v>19</v>
      </c>
      <c r="B3731" t="s">
        <v>19</v>
      </c>
      <c r="C3731" s="1">
        <v>45791</v>
      </c>
      <c r="D3731">
        <f t="shared" si="268"/>
        <v>14</v>
      </c>
      <c r="E3731">
        <f t="shared" si="269"/>
        <v>5</v>
      </c>
      <c r="F3731">
        <f t="shared" si="270"/>
        <v>2025</v>
      </c>
      <c r="G3731" t="s">
        <v>127</v>
      </c>
      <c r="H3731" s="98" t="s">
        <v>1039</v>
      </c>
      <c r="I3731" s="15">
        <v>47891.199999999997</v>
      </c>
      <c r="J3731" s="12" t="s">
        <v>31</v>
      </c>
      <c r="K3731" s="76">
        <f t="shared" si="267"/>
        <v>47891.199999999997</v>
      </c>
      <c r="L3731">
        <v>1</v>
      </c>
      <c r="M3731" s="29">
        <v>0</v>
      </c>
      <c r="N3731" t="s">
        <v>42</v>
      </c>
      <c r="O3731" t="s">
        <v>33</v>
      </c>
      <c r="P3731" t="s">
        <v>34</v>
      </c>
      <c r="Q3731" t="s">
        <v>34</v>
      </c>
      <c r="R3731" t="s">
        <v>34</v>
      </c>
      <c r="S3731" t="s">
        <v>34</v>
      </c>
      <c r="T3731" s="117">
        <v>1124.8699999999999</v>
      </c>
    </row>
    <row r="3732" spans="1:21" x14ac:dyDescent="0.35">
      <c r="A3732" t="s">
        <v>19</v>
      </c>
      <c r="B3732" t="s">
        <v>19</v>
      </c>
      <c r="C3732" s="1">
        <v>45791</v>
      </c>
      <c r="D3732">
        <f t="shared" si="268"/>
        <v>14</v>
      </c>
      <c r="E3732">
        <f t="shared" si="269"/>
        <v>5</v>
      </c>
      <c r="F3732">
        <f t="shared" si="270"/>
        <v>2025</v>
      </c>
      <c r="G3732" t="s">
        <v>118</v>
      </c>
      <c r="H3732" s="171" t="s">
        <v>1040</v>
      </c>
      <c r="I3732" s="15">
        <v>124121.36</v>
      </c>
      <c r="J3732" s="12" t="s">
        <v>31</v>
      </c>
      <c r="K3732" s="76">
        <f t="shared" si="267"/>
        <v>124121.36</v>
      </c>
      <c r="L3732">
        <v>1</v>
      </c>
      <c r="M3732" s="29">
        <v>0</v>
      </c>
      <c r="N3732" t="s">
        <v>42</v>
      </c>
      <c r="O3732" t="s">
        <v>33</v>
      </c>
      <c r="P3732" t="s">
        <v>34</v>
      </c>
      <c r="Q3732" t="s">
        <v>34</v>
      </c>
      <c r="R3732" t="s">
        <v>34</v>
      </c>
      <c r="S3732" t="s">
        <v>34</v>
      </c>
      <c r="T3732" s="117">
        <v>0</v>
      </c>
    </row>
    <row r="3733" spans="1:21" x14ac:dyDescent="0.35">
      <c r="A3733" t="s">
        <v>19</v>
      </c>
      <c r="B3733" t="s">
        <v>26</v>
      </c>
      <c r="C3733" s="1">
        <v>45791</v>
      </c>
      <c r="D3733">
        <f t="shared" si="268"/>
        <v>14</v>
      </c>
      <c r="E3733">
        <f t="shared" si="269"/>
        <v>5</v>
      </c>
      <c r="F3733">
        <f t="shared" si="270"/>
        <v>2025</v>
      </c>
      <c r="G3733" t="s">
        <v>73</v>
      </c>
      <c r="H3733" s="98">
        <v>12523</v>
      </c>
      <c r="I3733" s="29">
        <v>21250.639999999999</v>
      </c>
      <c r="J3733" s="12" t="s">
        <v>51</v>
      </c>
      <c r="K3733" s="76">
        <f t="shared" si="267"/>
        <v>23843.218080000002</v>
      </c>
      <c r="L3733">
        <v>1.1220000000000001</v>
      </c>
      <c r="M3733" s="29">
        <v>0</v>
      </c>
      <c r="N3733" t="s">
        <v>32</v>
      </c>
      <c r="O3733" t="s">
        <v>33</v>
      </c>
      <c r="P3733" t="s">
        <v>34</v>
      </c>
      <c r="Q3733" t="s">
        <v>34</v>
      </c>
      <c r="R3733" t="s">
        <v>34</v>
      </c>
      <c r="S3733" t="s">
        <v>34</v>
      </c>
      <c r="T3733" s="117">
        <v>0</v>
      </c>
      <c r="U3733" s="209" t="s">
        <v>94</v>
      </c>
    </row>
    <row r="3734" spans="1:21" x14ac:dyDescent="0.35">
      <c r="A3734" t="s">
        <v>19</v>
      </c>
      <c r="B3734" t="s">
        <v>26</v>
      </c>
      <c r="C3734" s="1">
        <v>45791</v>
      </c>
      <c r="D3734">
        <f t="shared" si="268"/>
        <v>14</v>
      </c>
      <c r="E3734">
        <f t="shared" si="269"/>
        <v>5</v>
      </c>
      <c r="F3734">
        <f t="shared" si="270"/>
        <v>2025</v>
      </c>
      <c r="G3734" t="s">
        <v>73</v>
      </c>
      <c r="H3734" s="98">
        <v>12551</v>
      </c>
      <c r="I3734" s="29">
        <v>117731.27</v>
      </c>
      <c r="J3734" s="12" t="s">
        <v>51</v>
      </c>
      <c r="K3734" s="76">
        <f t="shared" si="267"/>
        <v>132094.48494000002</v>
      </c>
      <c r="L3734">
        <v>1.1220000000000001</v>
      </c>
      <c r="M3734" s="29">
        <v>0</v>
      </c>
      <c r="N3734" t="s">
        <v>32</v>
      </c>
      <c r="O3734" t="s">
        <v>33</v>
      </c>
      <c r="P3734" t="s">
        <v>34</v>
      </c>
      <c r="Q3734" t="s">
        <v>34</v>
      </c>
      <c r="R3734" t="s">
        <v>34</v>
      </c>
      <c r="S3734" t="s">
        <v>34</v>
      </c>
      <c r="T3734" s="117">
        <v>0</v>
      </c>
      <c r="U3734" s="209" t="s">
        <v>94</v>
      </c>
    </row>
    <row r="3735" spans="1:21" x14ac:dyDescent="0.35">
      <c r="A3735" t="s">
        <v>19</v>
      </c>
      <c r="B3735" t="s">
        <v>26</v>
      </c>
      <c r="C3735" s="1">
        <v>45791</v>
      </c>
      <c r="D3735">
        <f t="shared" si="268"/>
        <v>14</v>
      </c>
      <c r="E3735">
        <f t="shared" si="269"/>
        <v>5</v>
      </c>
      <c r="F3735">
        <f t="shared" si="270"/>
        <v>2025</v>
      </c>
      <c r="G3735" t="s">
        <v>73</v>
      </c>
      <c r="H3735" s="98">
        <v>12613</v>
      </c>
      <c r="I3735" s="29">
        <v>77395.23</v>
      </c>
      <c r="J3735" s="12" t="s">
        <v>51</v>
      </c>
      <c r="K3735" s="76">
        <f t="shared" si="267"/>
        <v>86837.44806000001</v>
      </c>
      <c r="L3735">
        <v>1.1220000000000001</v>
      </c>
      <c r="M3735" s="29">
        <v>0</v>
      </c>
      <c r="N3735" t="s">
        <v>32</v>
      </c>
      <c r="O3735" t="s">
        <v>33</v>
      </c>
      <c r="P3735" t="s">
        <v>34</v>
      </c>
      <c r="Q3735" t="s">
        <v>34</v>
      </c>
      <c r="R3735" t="s">
        <v>34</v>
      </c>
      <c r="S3735" t="s">
        <v>34</v>
      </c>
      <c r="T3735" s="117">
        <v>0</v>
      </c>
      <c r="U3735" s="209" t="s">
        <v>94</v>
      </c>
    </row>
    <row r="3736" spans="1:21" x14ac:dyDescent="0.35">
      <c r="A3736" t="s">
        <v>19</v>
      </c>
      <c r="B3736" t="s">
        <v>26</v>
      </c>
      <c r="C3736" s="1">
        <v>45791</v>
      </c>
      <c r="D3736">
        <f t="shared" si="268"/>
        <v>14</v>
      </c>
      <c r="E3736">
        <f t="shared" si="269"/>
        <v>5</v>
      </c>
      <c r="F3736">
        <f t="shared" si="270"/>
        <v>2025</v>
      </c>
      <c r="G3736" t="s">
        <v>73</v>
      </c>
      <c r="H3736" s="98">
        <v>12620</v>
      </c>
      <c r="I3736" s="29">
        <v>56778</v>
      </c>
      <c r="J3736" s="12" t="s">
        <v>51</v>
      </c>
      <c r="K3736" s="76">
        <f t="shared" si="267"/>
        <v>63704.916000000005</v>
      </c>
      <c r="L3736">
        <v>1.1220000000000001</v>
      </c>
      <c r="M3736" s="29">
        <v>0</v>
      </c>
      <c r="N3736" t="s">
        <v>32</v>
      </c>
      <c r="O3736" t="s">
        <v>33</v>
      </c>
      <c r="P3736" t="s">
        <v>34</v>
      </c>
      <c r="Q3736" t="s">
        <v>34</v>
      </c>
      <c r="R3736" t="s">
        <v>34</v>
      </c>
      <c r="S3736" t="s">
        <v>34</v>
      </c>
      <c r="T3736" s="117">
        <v>0</v>
      </c>
      <c r="U3736" s="209" t="s">
        <v>94</v>
      </c>
    </row>
    <row r="3737" spans="1:21" x14ac:dyDescent="0.35">
      <c r="A3737" t="s">
        <v>19</v>
      </c>
      <c r="B3737" t="s">
        <v>26</v>
      </c>
      <c r="C3737" s="1">
        <v>45791</v>
      </c>
      <c r="D3737">
        <f t="shared" si="268"/>
        <v>14</v>
      </c>
      <c r="E3737">
        <f t="shared" si="269"/>
        <v>5</v>
      </c>
      <c r="F3737">
        <f t="shared" si="270"/>
        <v>2025</v>
      </c>
      <c r="G3737" t="s">
        <v>73</v>
      </c>
      <c r="H3737" s="98">
        <v>12664</v>
      </c>
      <c r="I3737" s="29">
        <v>83532.06</v>
      </c>
      <c r="J3737" s="12" t="s">
        <v>51</v>
      </c>
      <c r="K3737" s="76">
        <f t="shared" si="267"/>
        <v>93722.971320000011</v>
      </c>
      <c r="L3737">
        <v>1.1220000000000001</v>
      </c>
      <c r="M3737" s="29">
        <v>0</v>
      </c>
      <c r="N3737" t="s">
        <v>32</v>
      </c>
      <c r="O3737" t="s">
        <v>33</v>
      </c>
      <c r="P3737" t="s">
        <v>34</v>
      </c>
      <c r="Q3737" t="s">
        <v>34</v>
      </c>
      <c r="R3737" t="s">
        <v>34</v>
      </c>
      <c r="S3737" t="s">
        <v>34</v>
      </c>
      <c r="T3737" s="117">
        <v>0</v>
      </c>
      <c r="U3737" s="209" t="s">
        <v>94</v>
      </c>
    </row>
    <row r="3738" spans="1:21" x14ac:dyDescent="0.35">
      <c r="A3738" t="s">
        <v>20</v>
      </c>
      <c r="B3738" t="s">
        <v>223</v>
      </c>
      <c r="C3738" s="1">
        <v>45793</v>
      </c>
      <c r="D3738">
        <f t="shared" si="268"/>
        <v>16</v>
      </c>
      <c r="E3738">
        <f t="shared" si="269"/>
        <v>5</v>
      </c>
      <c r="F3738">
        <f t="shared" si="270"/>
        <v>2025</v>
      </c>
      <c r="G3738" t="s">
        <v>223</v>
      </c>
      <c r="H3738" s="98">
        <v>12246</v>
      </c>
      <c r="I3738" s="29">
        <v>31503.49</v>
      </c>
      <c r="J3738" s="12" t="s">
        <v>51</v>
      </c>
      <c r="K3738" s="76">
        <f t="shared" si="267"/>
        <v>35331.164035000002</v>
      </c>
      <c r="L3738">
        <v>1.1214999999999999</v>
      </c>
      <c r="M3738" s="29">
        <v>0</v>
      </c>
      <c r="N3738" t="s">
        <v>32</v>
      </c>
      <c r="O3738" t="s">
        <v>186</v>
      </c>
      <c r="P3738" s="1">
        <v>45792</v>
      </c>
      <c r="Q3738" t="s">
        <v>34</v>
      </c>
      <c r="R3738">
        <v>10010015064</v>
      </c>
      <c r="S3738" t="s">
        <v>34</v>
      </c>
      <c r="T3738" s="117">
        <v>0</v>
      </c>
    </row>
    <row r="3739" spans="1:21" x14ac:dyDescent="0.35">
      <c r="A3739" t="s">
        <v>19</v>
      </c>
      <c r="B3739" t="s">
        <v>26</v>
      </c>
      <c r="C3739" s="1">
        <v>45793</v>
      </c>
      <c r="D3739">
        <f t="shared" si="268"/>
        <v>16</v>
      </c>
      <c r="E3739">
        <f t="shared" si="269"/>
        <v>5</v>
      </c>
      <c r="F3739">
        <f t="shared" si="270"/>
        <v>2025</v>
      </c>
      <c r="G3739" t="s">
        <v>73</v>
      </c>
      <c r="H3739" s="98">
        <v>12664</v>
      </c>
      <c r="I3739" s="29">
        <v>20776.169999999998</v>
      </c>
      <c r="J3739" s="12" t="s">
        <v>51</v>
      </c>
      <c r="K3739" s="76">
        <f t="shared" si="267"/>
        <v>23300.474654999998</v>
      </c>
      <c r="L3739">
        <v>1.1214999999999999</v>
      </c>
      <c r="M3739" s="29">
        <v>0</v>
      </c>
      <c r="N3739" t="s">
        <v>32</v>
      </c>
      <c r="O3739" t="s">
        <v>33</v>
      </c>
      <c r="P3739" t="s">
        <v>34</v>
      </c>
      <c r="Q3739" t="s">
        <v>34</v>
      </c>
      <c r="R3739" t="s">
        <v>34</v>
      </c>
      <c r="S3739" t="s">
        <v>34</v>
      </c>
      <c r="T3739" s="117">
        <v>0</v>
      </c>
      <c r="U3739" s="209" t="s">
        <v>94</v>
      </c>
    </row>
    <row r="3740" spans="1:21" x14ac:dyDescent="0.35">
      <c r="A3740" t="s">
        <v>19</v>
      </c>
      <c r="B3740" t="s">
        <v>26</v>
      </c>
      <c r="C3740" s="1">
        <v>45793</v>
      </c>
      <c r="D3740">
        <f t="shared" si="268"/>
        <v>16</v>
      </c>
      <c r="E3740">
        <f t="shared" si="269"/>
        <v>5</v>
      </c>
      <c r="F3740">
        <f t="shared" si="270"/>
        <v>2025</v>
      </c>
      <c r="G3740" t="s">
        <v>73</v>
      </c>
      <c r="H3740" s="98">
        <v>12666</v>
      </c>
      <c r="I3740" s="29">
        <v>34516.26</v>
      </c>
      <c r="J3740" s="12" t="s">
        <v>51</v>
      </c>
      <c r="K3740" s="76">
        <f t="shared" si="267"/>
        <v>38709.985590000004</v>
      </c>
      <c r="L3740">
        <v>1.1214999999999999</v>
      </c>
      <c r="M3740" s="29">
        <v>0</v>
      </c>
      <c r="N3740" t="s">
        <v>32</v>
      </c>
      <c r="O3740" t="s">
        <v>33</v>
      </c>
      <c r="P3740" t="s">
        <v>34</v>
      </c>
      <c r="Q3740" t="s">
        <v>34</v>
      </c>
      <c r="R3740" t="s">
        <v>34</v>
      </c>
      <c r="S3740" t="s">
        <v>34</v>
      </c>
      <c r="T3740" s="117">
        <v>0</v>
      </c>
      <c r="U3740" s="209" t="s">
        <v>94</v>
      </c>
    </row>
    <row r="3741" spans="1:21" x14ac:dyDescent="0.35">
      <c r="A3741" t="s">
        <v>19</v>
      </c>
      <c r="B3741" t="s">
        <v>26</v>
      </c>
      <c r="C3741" s="1">
        <v>45793</v>
      </c>
      <c r="D3741">
        <f t="shared" si="268"/>
        <v>16</v>
      </c>
      <c r="E3741">
        <f t="shared" si="269"/>
        <v>5</v>
      </c>
      <c r="F3741">
        <f t="shared" si="270"/>
        <v>2025</v>
      </c>
      <c r="G3741" t="s">
        <v>73</v>
      </c>
      <c r="H3741" s="98">
        <v>12713</v>
      </c>
      <c r="I3741" s="29">
        <v>104708.38</v>
      </c>
      <c r="J3741" s="12" t="s">
        <v>51</v>
      </c>
      <c r="K3741" s="76">
        <f t="shared" si="267"/>
        <v>117430.44817</v>
      </c>
      <c r="L3741">
        <v>1.1214999999999999</v>
      </c>
      <c r="M3741" s="29">
        <v>0</v>
      </c>
      <c r="N3741" t="s">
        <v>32</v>
      </c>
      <c r="O3741" t="s">
        <v>33</v>
      </c>
      <c r="P3741" t="s">
        <v>34</v>
      </c>
      <c r="Q3741" t="s">
        <v>34</v>
      </c>
      <c r="R3741" t="s">
        <v>34</v>
      </c>
      <c r="S3741" t="s">
        <v>34</v>
      </c>
      <c r="T3741" s="117">
        <v>0</v>
      </c>
      <c r="U3741" s="209" t="s">
        <v>94</v>
      </c>
    </row>
    <row r="3742" spans="1:21" x14ac:dyDescent="0.35">
      <c r="A3742" t="s">
        <v>19</v>
      </c>
      <c r="B3742" t="s">
        <v>26</v>
      </c>
      <c r="C3742" s="1">
        <v>45793</v>
      </c>
      <c r="D3742">
        <f t="shared" si="268"/>
        <v>16</v>
      </c>
      <c r="E3742">
        <f t="shared" si="269"/>
        <v>5</v>
      </c>
      <c r="F3742">
        <f t="shared" si="270"/>
        <v>2025</v>
      </c>
      <c r="G3742" t="s">
        <v>73</v>
      </c>
      <c r="H3742" s="98">
        <v>12714</v>
      </c>
      <c r="I3742" s="29">
        <v>8385.2900000000009</v>
      </c>
      <c r="J3742" s="12" t="s">
        <v>51</v>
      </c>
      <c r="K3742" s="76">
        <f t="shared" si="267"/>
        <v>9404.1027350000004</v>
      </c>
      <c r="L3742">
        <v>1.1214999999999999</v>
      </c>
      <c r="M3742" s="29">
        <v>0</v>
      </c>
      <c r="N3742" t="s">
        <v>32</v>
      </c>
      <c r="O3742" t="s">
        <v>33</v>
      </c>
      <c r="P3742" t="s">
        <v>34</v>
      </c>
      <c r="Q3742" t="s">
        <v>34</v>
      </c>
      <c r="R3742" t="s">
        <v>34</v>
      </c>
      <c r="S3742" t="s">
        <v>34</v>
      </c>
      <c r="T3742" s="117">
        <v>0</v>
      </c>
      <c r="U3742" s="209" t="s">
        <v>94</v>
      </c>
    </row>
    <row r="3743" spans="1:21" x14ac:dyDescent="0.35">
      <c r="A3743" t="s">
        <v>19</v>
      </c>
      <c r="B3743" t="s">
        <v>26</v>
      </c>
      <c r="C3743" s="1">
        <v>45793</v>
      </c>
      <c r="D3743">
        <f t="shared" si="268"/>
        <v>16</v>
      </c>
      <c r="E3743">
        <f t="shared" si="269"/>
        <v>5</v>
      </c>
      <c r="F3743">
        <f t="shared" si="270"/>
        <v>2025</v>
      </c>
      <c r="G3743" t="s">
        <v>73</v>
      </c>
      <c r="H3743" s="98">
        <v>12781</v>
      </c>
      <c r="I3743" s="29">
        <v>28119.21</v>
      </c>
      <c r="J3743" s="12" t="s">
        <v>51</v>
      </c>
      <c r="K3743" s="76">
        <f t="shared" si="267"/>
        <v>31535.694014999997</v>
      </c>
      <c r="L3743">
        <v>1.1214999999999999</v>
      </c>
      <c r="M3743" s="29">
        <v>0</v>
      </c>
      <c r="N3743" t="s">
        <v>32</v>
      </c>
      <c r="O3743" t="s">
        <v>33</v>
      </c>
      <c r="P3743" t="s">
        <v>34</v>
      </c>
      <c r="Q3743" t="s">
        <v>34</v>
      </c>
      <c r="R3743" t="s">
        <v>34</v>
      </c>
      <c r="S3743" t="s">
        <v>34</v>
      </c>
      <c r="T3743" s="117">
        <v>0</v>
      </c>
      <c r="U3743" s="209" t="s">
        <v>94</v>
      </c>
    </row>
    <row r="3744" spans="1:21" x14ac:dyDescent="0.35">
      <c r="A3744" t="s">
        <v>19</v>
      </c>
      <c r="B3744" t="s">
        <v>21</v>
      </c>
      <c r="C3744" s="1">
        <v>45798</v>
      </c>
      <c r="D3744">
        <f t="shared" si="268"/>
        <v>21</v>
      </c>
      <c r="E3744">
        <f t="shared" si="269"/>
        <v>5</v>
      </c>
      <c r="F3744">
        <f t="shared" si="270"/>
        <v>2025</v>
      </c>
      <c r="G3744" t="s">
        <v>36</v>
      </c>
      <c r="H3744" s="98">
        <v>12273</v>
      </c>
      <c r="I3744" s="29">
        <v>164.2</v>
      </c>
      <c r="J3744" s="12" t="s">
        <v>31</v>
      </c>
      <c r="K3744" s="76">
        <f t="shared" si="267"/>
        <v>164.2</v>
      </c>
      <c r="L3744">
        <v>1</v>
      </c>
      <c r="M3744" s="29">
        <v>0</v>
      </c>
      <c r="N3744" t="s">
        <v>32</v>
      </c>
      <c r="O3744" t="s">
        <v>33</v>
      </c>
      <c r="P3744" t="s">
        <v>34</v>
      </c>
      <c r="Q3744" t="s">
        <v>34</v>
      </c>
      <c r="R3744" t="s">
        <v>34</v>
      </c>
      <c r="S3744" t="s">
        <v>34</v>
      </c>
      <c r="T3744" s="117">
        <v>0</v>
      </c>
    </row>
    <row r="3745" spans="1:20" x14ac:dyDescent="0.35">
      <c r="A3745" t="s">
        <v>19</v>
      </c>
      <c r="B3745" t="s">
        <v>21</v>
      </c>
      <c r="C3745" s="1">
        <v>45798</v>
      </c>
      <c r="D3745">
        <f t="shared" si="268"/>
        <v>21</v>
      </c>
      <c r="E3745">
        <f t="shared" si="269"/>
        <v>5</v>
      </c>
      <c r="F3745">
        <f t="shared" si="270"/>
        <v>2025</v>
      </c>
      <c r="G3745" t="s">
        <v>36</v>
      </c>
      <c r="H3745" s="98">
        <v>12342</v>
      </c>
      <c r="I3745" s="29">
        <v>5423</v>
      </c>
      <c r="J3745" s="12" t="s">
        <v>31</v>
      </c>
      <c r="K3745" s="76">
        <f t="shared" si="267"/>
        <v>5423</v>
      </c>
      <c r="L3745">
        <v>1</v>
      </c>
      <c r="M3745" s="29">
        <v>0</v>
      </c>
      <c r="N3745" t="s">
        <v>32</v>
      </c>
      <c r="O3745" t="s">
        <v>33</v>
      </c>
      <c r="P3745" t="s">
        <v>34</v>
      </c>
      <c r="Q3745" t="s">
        <v>34</v>
      </c>
      <c r="R3745" t="s">
        <v>34</v>
      </c>
      <c r="S3745" t="s">
        <v>34</v>
      </c>
      <c r="T3745" s="117">
        <v>0</v>
      </c>
    </row>
    <row r="3746" spans="1:20" x14ac:dyDescent="0.35">
      <c r="A3746" t="s">
        <v>19</v>
      </c>
      <c r="B3746" t="s">
        <v>25</v>
      </c>
      <c r="C3746" s="1">
        <v>45798</v>
      </c>
      <c r="D3746">
        <f t="shared" si="268"/>
        <v>21</v>
      </c>
      <c r="E3746">
        <f t="shared" si="269"/>
        <v>5</v>
      </c>
      <c r="F3746">
        <f t="shared" si="270"/>
        <v>2025</v>
      </c>
      <c r="G3746" t="s">
        <v>30</v>
      </c>
      <c r="H3746" s="98">
        <v>12095</v>
      </c>
      <c r="I3746" s="29">
        <v>55823.040000000001</v>
      </c>
      <c r="J3746" s="12" t="s">
        <v>31</v>
      </c>
      <c r="K3746" s="76">
        <f t="shared" si="267"/>
        <v>55823.040000000001</v>
      </c>
      <c r="L3746">
        <v>1</v>
      </c>
      <c r="M3746" s="29">
        <v>0</v>
      </c>
      <c r="N3746" t="s">
        <v>32</v>
      </c>
      <c r="O3746" t="s">
        <v>33</v>
      </c>
      <c r="P3746" t="s">
        <v>34</v>
      </c>
      <c r="Q3746" t="s">
        <v>34</v>
      </c>
      <c r="R3746" t="s">
        <v>34</v>
      </c>
      <c r="S3746" t="s">
        <v>34</v>
      </c>
      <c r="T3746" s="117">
        <v>0</v>
      </c>
    </row>
    <row r="3747" spans="1:20" x14ac:dyDescent="0.35">
      <c r="A3747" t="s">
        <v>19</v>
      </c>
      <c r="B3747" t="s">
        <v>21</v>
      </c>
      <c r="C3747" s="1">
        <v>45798</v>
      </c>
      <c r="D3747">
        <f t="shared" si="268"/>
        <v>21</v>
      </c>
      <c r="E3747">
        <f t="shared" si="269"/>
        <v>5</v>
      </c>
      <c r="F3747">
        <f t="shared" si="270"/>
        <v>2025</v>
      </c>
      <c r="G3747" t="s">
        <v>285</v>
      </c>
      <c r="H3747" s="98">
        <v>12764</v>
      </c>
      <c r="I3747" s="29">
        <v>26.4</v>
      </c>
      <c r="J3747" s="12" t="s">
        <v>31</v>
      </c>
      <c r="K3747" s="76">
        <f t="shared" si="267"/>
        <v>26.4</v>
      </c>
      <c r="L3747">
        <v>1</v>
      </c>
      <c r="M3747" s="29">
        <v>0</v>
      </c>
      <c r="N3747" t="s">
        <v>42</v>
      </c>
      <c r="O3747" t="s">
        <v>33</v>
      </c>
      <c r="P3747" t="s">
        <v>34</v>
      </c>
      <c r="Q3747" t="s">
        <v>34</v>
      </c>
      <c r="R3747" t="s">
        <v>34</v>
      </c>
      <c r="S3747" t="s">
        <v>34</v>
      </c>
      <c r="T3747" s="117">
        <v>0</v>
      </c>
    </row>
    <row r="3748" spans="1:20" x14ac:dyDescent="0.35">
      <c r="A3748" t="s">
        <v>19</v>
      </c>
      <c r="B3748" t="s">
        <v>21</v>
      </c>
      <c r="C3748" s="1">
        <v>45798</v>
      </c>
      <c r="D3748">
        <f t="shared" si="268"/>
        <v>21</v>
      </c>
      <c r="E3748">
        <f t="shared" si="269"/>
        <v>5</v>
      </c>
      <c r="F3748">
        <f t="shared" si="270"/>
        <v>2025</v>
      </c>
      <c r="G3748" t="s">
        <v>285</v>
      </c>
      <c r="H3748" s="98">
        <v>12765</v>
      </c>
      <c r="I3748" s="29">
        <v>2376</v>
      </c>
      <c r="J3748" s="12" t="s">
        <v>31</v>
      </c>
      <c r="K3748" s="76">
        <f t="shared" si="267"/>
        <v>2376</v>
      </c>
      <c r="L3748">
        <v>1</v>
      </c>
      <c r="M3748" s="29">
        <v>0</v>
      </c>
      <c r="N3748" t="s">
        <v>42</v>
      </c>
      <c r="O3748" t="s">
        <v>33</v>
      </c>
      <c r="P3748" t="s">
        <v>34</v>
      </c>
      <c r="Q3748" t="s">
        <v>34</v>
      </c>
      <c r="R3748" t="s">
        <v>34</v>
      </c>
      <c r="S3748" t="s">
        <v>34</v>
      </c>
      <c r="T3748" s="117">
        <v>0</v>
      </c>
    </row>
    <row r="3749" spans="1:20" x14ac:dyDescent="0.35">
      <c r="A3749" t="s">
        <v>19</v>
      </c>
      <c r="B3749" t="s">
        <v>27</v>
      </c>
      <c r="C3749" s="1">
        <v>45798</v>
      </c>
      <c r="D3749">
        <f t="shared" si="268"/>
        <v>21</v>
      </c>
      <c r="E3749">
        <f t="shared" si="269"/>
        <v>5</v>
      </c>
      <c r="F3749">
        <f t="shared" si="270"/>
        <v>2025</v>
      </c>
      <c r="G3749" t="s">
        <v>100</v>
      </c>
      <c r="H3749" s="98">
        <v>12391</v>
      </c>
      <c r="I3749" s="29">
        <v>134752.67000000001</v>
      </c>
      <c r="J3749" s="12" t="s">
        <v>31</v>
      </c>
      <c r="K3749" s="76">
        <f t="shared" si="267"/>
        <v>134752.67000000001</v>
      </c>
      <c r="L3749">
        <v>1</v>
      </c>
      <c r="M3749" s="29">
        <v>0</v>
      </c>
      <c r="N3749" t="s">
        <v>32</v>
      </c>
      <c r="O3749" t="s">
        <v>33</v>
      </c>
      <c r="P3749" t="s">
        <v>34</v>
      </c>
      <c r="Q3749" t="s">
        <v>34</v>
      </c>
      <c r="R3749" t="s">
        <v>34</v>
      </c>
      <c r="S3749" t="s">
        <v>34</v>
      </c>
      <c r="T3749" s="117">
        <v>0</v>
      </c>
    </row>
    <row r="3750" spans="1:20" x14ac:dyDescent="0.35">
      <c r="A3750" t="s">
        <v>20</v>
      </c>
      <c r="B3750" t="s">
        <v>25</v>
      </c>
      <c r="C3750" s="1">
        <v>45798</v>
      </c>
      <c r="D3750">
        <f t="shared" si="268"/>
        <v>21</v>
      </c>
      <c r="E3750">
        <f t="shared" si="269"/>
        <v>5</v>
      </c>
      <c r="F3750">
        <f t="shared" si="270"/>
        <v>2025</v>
      </c>
      <c r="G3750" t="s">
        <v>491</v>
      </c>
      <c r="H3750" s="98">
        <v>11851</v>
      </c>
      <c r="I3750" s="29">
        <v>19470</v>
      </c>
      <c r="J3750" s="12" t="s">
        <v>31</v>
      </c>
      <c r="K3750" s="76">
        <f t="shared" si="267"/>
        <v>19470</v>
      </c>
      <c r="L3750">
        <v>1</v>
      </c>
      <c r="M3750" s="29">
        <v>0</v>
      </c>
      <c r="N3750" t="s">
        <v>32</v>
      </c>
      <c r="O3750" t="s">
        <v>33</v>
      </c>
      <c r="P3750" t="s">
        <v>34</v>
      </c>
      <c r="Q3750" t="s">
        <v>34</v>
      </c>
      <c r="R3750" t="s">
        <v>34</v>
      </c>
      <c r="S3750" t="s">
        <v>34</v>
      </c>
      <c r="T3750" s="117">
        <v>0</v>
      </c>
    </row>
    <row r="3751" spans="1:20" x14ac:dyDescent="0.35">
      <c r="A3751" t="s">
        <v>20</v>
      </c>
      <c r="B3751" t="s">
        <v>25</v>
      </c>
      <c r="C3751" s="1">
        <v>45798</v>
      </c>
      <c r="D3751">
        <f t="shared" si="268"/>
        <v>21</v>
      </c>
      <c r="E3751">
        <f t="shared" si="269"/>
        <v>5</v>
      </c>
      <c r="F3751">
        <f t="shared" si="270"/>
        <v>2025</v>
      </c>
      <c r="G3751" t="s">
        <v>50</v>
      </c>
      <c r="H3751" s="98">
        <v>11706</v>
      </c>
      <c r="I3751" s="29">
        <v>30004.697800000002</v>
      </c>
      <c r="J3751" s="12" t="s">
        <v>31</v>
      </c>
      <c r="K3751" s="76">
        <f t="shared" si="267"/>
        <v>30004.697800000002</v>
      </c>
      <c r="L3751">
        <v>1</v>
      </c>
      <c r="M3751" s="29">
        <v>0</v>
      </c>
      <c r="N3751" t="s">
        <v>32</v>
      </c>
      <c r="O3751" t="s">
        <v>33</v>
      </c>
      <c r="P3751" t="s">
        <v>34</v>
      </c>
      <c r="Q3751" t="s">
        <v>34</v>
      </c>
      <c r="R3751" t="s">
        <v>34</v>
      </c>
      <c r="S3751" t="s">
        <v>34</v>
      </c>
      <c r="T3751" s="117">
        <v>0</v>
      </c>
    </row>
    <row r="3752" spans="1:20" x14ac:dyDescent="0.35">
      <c r="A3752" t="s">
        <v>20</v>
      </c>
      <c r="B3752" t="s">
        <v>21</v>
      </c>
      <c r="C3752" s="1">
        <v>45798</v>
      </c>
      <c r="D3752">
        <f t="shared" si="268"/>
        <v>21</v>
      </c>
      <c r="E3752">
        <f t="shared" si="269"/>
        <v>5</v>
      </c>
      <c r="F3752">
        <f t="shared" si="270"/>
        <v>2025</v>
      </c>
      <c r="G3752" t="s">
        <v>50</v>
      </c>
      <c r="H3752" s="98">
        <v>11706</v>
      </c>
      <c r="I3752" s="29">
        <v>42279.346899999997</v>
      </c>
      <c r="J3752" s="12" t="s">
        <v>31</v>
      </c>
      <c r="K3752" s="76">
        <f t="shared" si="267"/>
        <v>42279.346899999997</v>
      </c>
      <c r="L3752">
        <v>1</v>
      </c>
      <c r="M3752" s="29">
        <v>0</v>
      </c>
      <c r="N3752" t="s">
        <v>32</v>
      </c>
      <c r="O3752" t="s">
        <v>33</v>
      </c>
      <c r="P3752" t="s">
        <v>34</v>
      </c>
      <c r="Q3752" t="s">
        <v>34</v>
      </c>
      <c r="R3752" t="s">
        <v>34</v>
      </c>
      <c r="S3752" t="s">
        <v>34</v>
      </c>
      <c r="T3752" s="117">
        <v>0</v>
      </c>
    </row>
    <row r="3753" spans="1:20" x14ac:dyDescent="0.35">
      <c r="A3753" t="s">
        <v>20</v>
      </c>
      <c r="B3753" t="s">
        <v>21</v>
      </c>
      <c r="C3753" s="1">
        <v>45798</v>
      </c>
      <c r="D3753">
        <f t="shared" si="268"/>
        <v>21</v>
      </c>
      <c r="E3753">
        <f t="shared" si="269"/>
        <v>5</v>
      </c>
      <c r="F3753">
        <f t="shared" si="270"/>
        <v>2025</v>
      </c>
      <c r="G3753" t="s">
        <v>50</v>
      </c>
      <c r="H3753" s="98">
        <v>11909</v>
      </c>
      <c r="I3753" s="29">
        <v>6366.07</v>
      </c>
      <c r="J3753" s="12" t="s">
        <v>31</v>
      </c>
      <c r="K3753" s="76">
        <f t="shared" si="267"/>
        <v>6366.07</v>
      </c>
      <c r="L3753">
        <v>1</v>
      </c>
      <c r="M3753" s="29">
        <v>0</v>
      </c>
      <c r="N3753" t="s">
        <v>32</v>
      </c>
      <c r="O3753" t="s">
        <v>33</v>
      </c>
      <c r="P3753" t="s">
        <v>34</v>
      </c>
      <c r="Q3753" t="s">
        <v>34</v>
      </c>
      <c r="R3753" t="s">
        <v>34</v>
      </c>
      <c r="S3753" t="s">
        <v>34</v>
      </c>
      <c r="T3753" s="117">
        <v>0</v>
      </c>
    </row>
    <row r="3754" spans="1:20" x14ac:dyDescent="0.35">
      <c r="A3754" t="s">
        <v>20</v>
      </c>
      <c r="B3754" t="s">
        <v>24</v>
      </c>
      <c r="C3754" s="1">
        <v>45798</v>
      </c>
      <c r="D3754">
        <f t="shared" si="268"/>
        <v>21</v>
      </c>
      <c r="E3754">
        <f t="shared" si="269"/>
        <v>5</v>
      </c>
      <c r="F3754">
        <f t="shared" si="270"/>
        <v>2025</v>
      </c>
      <c r="G3754" t="s">
        <v>50</v>
      </c>
      <c r="H3754" s="98">
        <v>11706</v>
      </c>
      <c r="I3754" s="29">
        <v>64100.945299999992</v>
      </c>
      <c r="J3754" s="12" t="s">
        <v>31</v>
      </c>
      <c r="K3754" s="76">
        <f t="shared" si="267"/>
        <v>64100.945299999992</v>
      </c>
      <c r="L3754">
        <v>1</v>
      </c>
      <c r="M3754" s="29">
        <v>0</v>
      </c>
      <c r="N3754" t="s">
        <v>32</v>
      </c>
      <c r="O3754" t="s">
        <v>33</v>
      </c>
      <c r="P3754" t="s">
        <v>34</v>
      </c>
      <c r="Q3754" t="s">
        <v>34</v>
      </c>
      <c r="R3754" t="s">
        <v>34</v>
      </c>
      <c r="S3754" t="s">
        <v>34</v>
      </c>
      <c r="T3754" s="117">
        <v>0</v>
      </c>
    </row>
    <row r="3755" spans="1:20" x14ac:dyDescent="0.35">
      <c r="A3755" t="s">
        <v>20</v>
      </c>
      <c r="B3755" t="s">
        <v>25</v>
      </c>
      <c r="C3755" s="1">
        <v>45798</v>
      </c>
      <c r="D3755">
        <f t="shared" si="268"/>
        <v>21</v>
      </c>
      <c r="E3755">
        <f t="shared" si="269"/>
        <v>5</v>
      </c>
      <c r="F3755">
        <f t="shared" si="270"/>
        <v>2025</v>
      </c>
      <c r="G3755" t="s">
        <v>50</v>
      </c>
      <c r="H3755" s="98">
        <v>11909</v>
      </c>
      <c r="I3755" s="29">
        <v>16369.89</v>
      </c>
      <c r="J3755" s="12" t="s">
        <v>31</v>
      </c>
      <c r="K3755" s="76">
        <f t="shared" si="267"/>
        <v>16369.89</v>
      </c>
      <c r="L3755">
        <v>1</v>
      </c>
      <c r="M3755" s="29">
        <v>0</v>
      </c>
      <c r="N3755" t="s">
        <v>32</v>
      </c>
      <c r="O3755" t="s">
        <v>33</v>
      </c>
      <c r="P3755" t="s">
        <v>34</v>
      </c>
      <c r="Q3755" t="s">
        <v>34</v>
      </c>
      <c r="R3755" t="s">
        <v>34</v>
      </c>
      <c r="S3755" t="s">
        <v>34</v>
      </c>
      <c r="T3755" s="117">
        <v>0</v>
      </c>
    </row>
    <row r="3756" spans="1:20" x14ac:dyDescent="0.35">
      <c r="A3756" t="s">
        <v>20</v>
      </c>
      <c r="B3756" t="s">
        <v>25</v>
      </c>
      <c r="C3756" s="1">
        <v>45798</v>
      </c>
      <c r="D3756">
        <f t="shared" si="268"/>
        <v>21</v>
      </c>
      <c r="E3756">
        <f t="shared" si="269"/>
        <v>5</v>
      </c>
      <c r="F3756">
        <f t="shared" si="270"/>
        <v>2025</v>
      </c>
      <c r="G3756" t="s">
        <v>45</v>
      </c>
      <c r="H3756" s="98">
        <v>12292</v>
      </c>
      <c r="I3756" s="29">
        <v>41956.2</v>
      </c>
      <c r="J3756" s="12" t="s">
        <v>31</v>
      </c>
      <c r="K3756" s="76">
        <f t="shared" si="267"/>
        <v>41956.2</v>
      </c>
      <c r="L3756">
        <v>1</v>
      </c>
      <c r="M3756" s="29">
        <v>0</v>
      </c>
      <c r="N3756" t="s">
        <v>32</v>
      </c>
      <c r="O3756" t="s">
        <v>33</v>
      </c>
      <c r="P3756" t="s">
        <v>34</v>
      </c>
      <c r="Q3756" t="s">
        <v>34</v>
      </c>
      <c r="R3756" t="s">
        <v>34</v>
      </c>
      <c r="S3756" t="s">
        <v>34</v>
      </c>
      <c r="T3756" s="117">
        <v>0</v>
      </c>
    </row>
    <row r="3757" spans="1:20" x14ac:dyDescent="0.35">
      <c r="A3757" t="s">
        <v>20</v>
      </c>
      <c r="B3757" t="s">
        <v>23</v>
      </c>
      <c r="C3757" s="1">
        <v>45798</v>
      </c>
      <c r="D3757">
        <f t="shared" si="268"/>
        <v>21</v>
      </c>
      <c r="E3757">
        <f t="shared" si="269"/>
        <v>5</v>
      </c>
      <c r="F3757">
        <f t="shared" si="270"/>
        <v>2025</v>
      </c>
      <c r="G3757" t="s">
        <v>45</v>
      </c>
      <c r="H3757" s="98">
        <v>12292</v>
      </c>
      <c r="I3757" s="29">
        <v>9300</v>
      </c>
      <c r="J3757" s="12" t="s">
        <v>31</v>
      </c>
      <c r="K3757" s="76">
        <f t="shared" si="267"/>
        <v>9300</v>
      </c>
      <c r="L3757">
        <v>1</v>
      </c>
      <c r="M3757" s="29">
        <v>0</v>
      </c>
      <c r="N3757" t="s">
        <v>32</v>
      </c>
      <c r="O3757" t="s">
        <v>33</v>
      </c>
      <c r="P3757" t="s">
        <v>34</v>
      </c>
      <c r="Q3757" t="s">
        <v>34</v>
      </c>
      <c r="R3757" t="s">
        <v>34</v>
      </c>
      <c r="S3757" t="s">
        <v>34</v>
      </c>
      <c r="T3757" s="117">
        <v>0</v>
      </c>
    </row>
    <row r="3758" spans="1:20" x14ac:dyDescent="0.35">
      <c r="A3758" t="s">
        <v>20</v>
      </c>
      <c r="B3758" t="s">
        <v>21</v>
      </c>
      <c r="C3758" s="1">
        <v>45798</v>
      </c>
      <c r="D3758">
        <f t="shared" si="268"/>
        <v>21</v>
      </c>
      <c r="E3758">
        <f t="shared" si="269"/>
        <v>5</v>
      </c>
      <c r="F3758">
        <f t="shared" si="270"/>
        <v>2025</v>
      </c>
      <c r="G3758" t="s">
        <v>86</v>
      </c>
      <c r="H3758" s="98">
        <v>11915</v>
      </c>
      <c r="I3758" s="29">
        <v>14632.8</v>
      </c>
      <c r="J3758" s="12" t="s">
        <v>31</v>
      </c>
      <c r="K3758" s="76">
        <f t="shared" si="267"/>
        <v>14632.8</v>
      </c>
      <c r="L3758">
        <v>1</v>
      </c>
      <c r="M3758" s="29">
        <v>0</v>
      </c>
      <c r="N3758" t="s">
        <v>32</v>
      </c>
      <c r="O3758" t="s">
        <v>33</v>
      </c>
      <c r="P3758" t="s">
        <v>34</v>
      </c>
      <c r="Q3758" t="s">
        <v>34</v>
      </c>
      <c r="R3758" t="s">
        <v>34</v>
      </c>
      <c r="S3758" t="s">
        <v>34</v>
      </c>
      <c r="T3758" s="117">
        <v>0</v>
      </c>
    </row>
    <row r="3759" spans="1:20" x14ac:dyDescent="0.35">
      <c r="A3759" t="s">
        <v>20</v>
      </c>
      <c r="B3759" t="s">
        <v>21</v>
      </c>
      <c r="C3759" s="1">
        <v>45798</v>
      </c>
      <c r="D3759">
        <f t="shared" si="268"/>
        <v>21</v>
      </c>
      <c r="E3759">
        <f t="shared" si="269"/>
        <v>5</v>
      </c>
      <c r="F3759">
        <f t="shared" si="270"/>
        <v>2025</v>
      </c>
      <c r="G3759" t="s">
        <v>91</v>
      </c>
      <c r="H3759" s="98">
        <v>12515</v>
      </c>
      <c r="I3759" s="29">
        <v>67</v>
      </c>
      <c r="J3759" s="12" t="s">
        <v>31</v>
      </c>
      <c r="K3759" s="76">
        <f t="shared" si="267"/>
        <v>67</v>
      </c>
      <c r="L3759">
        <v>1</v>
      </c>
      <c r="M3759" s="29">
        <v>0</v>
      </c>
      <c r="N3759" t="s">
        <v>32</v>
      </c>
      <c r="O3759" t="s">
        <v>33</v>
      </c>
      <c r="P3759" t="s">
        <v>34</v>
      </c>
      <c r="Q3759" t="s">
        <v>34</v>
      </c>
      <c r="R3759" t="s">
        <v>34</v>
      </c>
      <c r="S3759" t="s">
        <v>34</v>
      </c>
      <c r="T3759" s="117">
        <v>0</v>
      </c>
    </row>
    <row r="3760" spans="1:20" x14ac:dyDescent="0.35">
      <c r="A3760" t="s">
        <v>20</v>
      </c>
      <c r="B3760" t="s">
        <v>21</v>
      </c>
      <c r="C3760" s="1">
        <v>45798</v>
      </c>
      <c r="D3760">
        <f t="shared" si="268"/>
        <v>21</v>
      </c>
      <c r="E3760">
        <f t="shared" si="269"/>
        <v>5</v>
      </c>
      <c r="F3760">
        <f t="shared" si="270"/>
        <v>2025</v>
      </c>
      <c r="G3760" t="s">
        <v>91</v>
      </c>
      <c r="H3760" s="98">
        <v>11575</v>
      </c>
      <c r="I3760" s="29">
        <v>12381.12</v>
      </c>
      <c r="J3760" s="12" t="s">
        <v>31</v>
      </c>
      <c r="K3760" s="76">
        <f t="shared" si="267"/>
        <v>12381.12</v>
      </c>
      <c r="L3760">
        <v>1</v>
      </c>
      <c r="M3760" s="29">
        <v>0</v>
      </c>
      <c r="N3760" t="s">
        <v>32</v>
      </c>
      <c r="O3760" t="s">
        <v>33</v>
      </c>
      <c r="P3760" t="s">
        <v>34</v>
      </c>
      <c r="Q3760" t="s">
        <v>34</v>
      </c>
      <c r="R3760" t="s">
        <v>34</v>
      </c>
      <c r="S3760" t="s">
        <v>34</v>
      </c>
      <c r="T3760" s="117">
        <v>0</v>
      </c>
    </row>
    <row r="3761" spans="1:21" x14ac:dyDescent="0.35">
      <c r="A3761" t="s">
        <v>20</v>
      </c>
      <c r="B3761" t="s">
        <v>24</v>
      </c>
      <c r="C3761" s="1">
        <v>45798</v>
      </c>
      <c r="D3761">
        <f t="shared" si="268"/>
        <v>21</v>
      </c>
      <c r="E3761">
        <f t="shared" si="269"/>
        <v>5</v>
      </c>
      <c r="F3761">
        <f t="shared" si="270"/>
        <v>2025</v>
      </c>
      <c r="G3761" t="s">
        <v>91</v>
      </c>
      <c r="H3761" s="98">
        <v>11934</v>
      </c>
      <c r="I3761" s="29">
        <v>20482.68</v>
      </c>
      <c r="J3761" s="12" t="s">
        <v>31</v>
      </c>
      <c r="K3761" s="76">
        <f t="shared" si="267"/>
        <v>20482.68</v>
      </c>
      <c r="L3761">
        <v>1</v>
      </c>
      <c r="M3761" s="29">
        <v>0</v>
      </c>
      <c r="N3761" t="s">
        <v>32</v>
      </c>
      <c r="O3761" t="s">
        <v>33</v>
      </c>
      <c r="P3761" t="s">
        <v>34</v>
      </c>
      <c r="Q3761" t="s">
        <v>34</v>
      </c>
      <c r="R3761" t="s">
        <v>34</v>
      </c>
      <c r="S3761" t="s">
        <v>34</v>
      </c>
      <c r="T3761" s="117">
        <v>0</v>
      </c>
    </row>
    <row r="3762" spans="1:21" x14ac:dyDescent="0.35">
      <c r="A3762" t="s">
        <v>20</v>
      </c>
      <c r="B3762" t="s">
        <v>23</v>
      </c>
      <c r="C3762" s="1">
        <v>45798</v>
      </c>
      <c r="D3762">
        <f t="shared" si="268"/>
        <v>21</v>
      </c>
      <c r="E3762">
        <f t="shared" si="269"/>
        <v>5</v>
      </c>
      <c r="F3762">
        <f t="shared" si="270"/>
        <v>2025</v>
      </c>
      <c r="G3762" t="s">
        <v>265</v>
      </c>
      <c r="H3762" s="98">
        <v>12784</v>
      </c>
      <c r="I3762" s="29">
        <v>36</v>
      </c>
      <c r="J3762" s="12" t="s">
        <v>31</v>
      </c>
      <c r="K3762" s="76">
        <f t="shared" si="267"/>
        <v>36</v>
      </c>
      <c r="L3762">
        <v>1</v>
      </c>
      <c r="M3762" s="29">
        <v>0</v>
      </c>
      <c r="N3762" t="s">
        <v>42</v>
      </c>
      <c r="O3762" t="s">
        <v>33</v>
      </c>
      <c r="P3762" t="s">
        <v>34</v>
      </c>
      <c r="Q3762" t="s">
        <v>34</v>
      </c>
      <c r="R3762" t="s">
        <v>34</v>
      </c>
      <c r="S3762" t="s">
        <v>34</v>
      </c>
      <c r="T3762" s="117">
        <v>0</v>
      </c>
    </row>
    <row r="3763" spans="1:21" x14ac:dyDescent="0.35">
      <c r="A3763" t="s">
        <v>20</v>
      </c>
      <c r="B3763" t="s">
        <v>23</v>
      </c>
      <c r="C3763" s="1">
        <v>45798</v>
      </c>
      <c r="D3763">
        <f t="shared" si="268"/>
        <v>21</v>
      </c>
      <c r="E3763">
        <f t="shared" si="269"/>
        <v>5</v>
      </c>
      <c r="F3763">
        <f t="shared" si="270"/>
        <v>2025</v>
      </c>
      <c r="G3763" t="s">
        <v>265</v>
      </c>
      <c r="H3763" s="98">
        <v>12611</v>
      </c>
      <c r="I3763" s="29">
        <v>1476</v>
      </c>
      <c r="J3763" s="12" t="s">
        <v>31</v>
      </c>
      <c r="K3763" s="76">
        <f t="shared" si="267"/>
        <v>1476</v>
      </c>
      <c r="L3763">
        <v>1</v>
      </c>
      <c r="M3763" s="29">
        <v>0</v>
      </c>
      <c r="N3763" t="s">
        <v>42</v>
      </c>
      <c r="O3763" t="s">
        <v>33</v>
      </c>
      <c r="P3763" t="s">
        <v>34</v>
      </c>
      <c r="Q3763" t="s">
        <v>34</v>
      </c>
      <c r="R3763" t="s">
        <v>34</v>
      </c>
      <c r="S3763" t="s">
        <v>34</v>
      </c>
      <c r="T3763" s="117">
        <v>0</v>
      </c>
      <c r="U3763" s="209" t="s">
        <v>1141</v>
      </c>
    </row>
    <row r="3764" spans="1:21" x14ac:dyDescent="0.35">
      <c r="A3764" t="s">
        <v>20</v>
      </c>
      <c r="B3764" t="s">
        <v>24</v>
      </c>
      <c r="C3764" s="1">
        <v>45798</v>
      </c>
      <c r="D3764">
        <f t="shared" si="268"/>
        <v>21</v>
      </c>
      <c r="E3764">
        <f t="shared" si="269"/>
        <v>5</v>
      </c>
      <c r="F3764">
        <f t="shared" si="270"/>
        <v>2025</v>
      </c>
      <c r="G3764" t="s">
        <v>118</v>
      </c>
      <c r="H3764" s="171">
        <v>12788</v>
      </c>
      <c r="I3764" s="90">
        <v>57.6</v>
      </c>
      <c r="J3764" s="12" t="s">
        <v>31</v>
      </c>
      <c r="K3764" s="76">
        <f t="shared" si="267"/>
        <v>57.6</v>
      </c>
      <c r="L3764">
        <v>1</v>
      </c>
      <c r="M3764" s="29">
        <v>0</v>
      </c>
      <c r="N3764" t="s">
        <v>42</v>
      </c>
      <c r="O3764" t="s">
        <v>33</v>
      </c>
      <c r="P3764" t="s">
        <v>34</v>
      </c>
      <c r="Q3764" t="s">
        <v>34</v>
      </c>
      <c r="R3764" t="s">
        <v>34</v>
      </c>
      <c r="S3764" t="s">
        <v>34</v>
      </c>
      <c r="T3764" s="117">
        <v>0</v>
      </c>
    </row>
    <row r="3765" spans="1:21" x14ac:dyDescent="0.35">
      <c r="A3765" t="s">
        <v>20</v>
      </c>
      <c r="B3765" t="s">
        <v>24</v>
      </c>
      <c r="C3765" s="1">
        <v>45798</v>
      </c>
      <c r="D3765">
        <f t="shared" si="268"/>
        <v>21</v>
      </c>
      <c r="E3765">
        <f t="shared" si="269"/>
        <v>5</v>
      </c>
      <c r="F3765">
        <f t="shared" si="270"/>
        <v>2025</v>
      </c>
      <c r="G3765" t="s">
        <v>118</v>
      </c>
      <c r="H3765" s="98">
        <v>13240</v>
      </c>
      <c r="I3765" s="29">
        <v>57.6</v>
      </c>
      <c r="J3765" s="12" t="s">
        <v>31</v>
      </c>
      <c r="K3765" s="76">
        <f t="shared" si="267"/>
        <v>57.6</v>
      </c>
      <c r="L3765">
        <v>1</v>
      </c>
      <c r="M3765" s="29">
        <v>0</v>
      </c>
      <c r="N3765" t="s">
        <v>42</v>
      </c>
      <c r="O3765" t="s">
        <v>33</v>
      </c>
      <c r="P3765" t="s">
        <v>34</v>
      </c>
      <c r="Q3765" t="s">
        <v>34</v>
      </c>
      <c r="R3765" t="s">
        <v>34</v>
      </c>
      <c r="S3765" t="s">
        <v>34</v>
      </c>
      <c r="T3765" s="117">
        <v>0</v>
      </c>
    </row>
    <row r="3766" spans="1:21" x14ac:dyDescent="0.35">
      <c r="A3766" t="s">
        <v>20</v>
      </c>
      <c r="B3766" t="s">
        <v>24</v>
      </c>
      <c r="C3766" s="1">
        <v>45798</v>
      </c>
      <c r="D3766">
        <f t="shared" si="268"/>
        <v>21</v>
      </c>
      <c r="E3766">
        <f t="shared" si="269"/>
        <v>5</v>
      </c>
      <c r="F3766">
        <f t="shared" si="270"/>
        <v>2025</v>
      </c>
      <c r="G3766" t="s">
        <v>118</v>
      </c>
      <c r="H3766" s="98">
        <v>12801</v>
      </c>
      <c r="I3766" s="29">
        <v>2649.6000000000004</v>
      </c>
      <c r="J3766" s="12" t="s">
        <v>31</v>
      </c>
      <c r="K3766" s="76">
        <f t="shared" si="267"/>
        <v>2649.6000000000004</v>
      </c>
      <c r="L3766">
        <v>1</v>
      </c>
      <c r="M3766" s="29">
        <v>0</v>
      </c>
      <c r="N3766" t="s">
        <v>42</v>
      </c>
      <c r="O3766" t="s">
        <v>33</v>
      </c>
      <c r="P3766" t="s">
        <v>34</v>
      </c>
      <c r="Q3766" t="s">
        <v>34</v>
      </c>
      <c r="R3766" t="s">
        <v>34</v>
      </c>
      <c r="S3766" t="s">
        <v>34</v>
      </c>
      <c r="T3766" s="117">
        <v>0</v>
      </c>
      <c r="U3766" s="209" t="s">
        <v>1259</v>
      </c>
    </row>
    <row r="3767" spans="1:21" x14ac:dyDescent="0.35">
      <c r="A3767" t="s">
        <v>20</v>
      </c>
      <c r="B3767" t="s">
        <v>25</v>
      </c>
      <c r="C3767" s="1">
        <v>45798</v>
      </c>
      <c r="D3767">
        <f t="shared" si="268"/>
        <v>21</v>
      </c>
      <c r="E3767">
        <f t="shared" si="269"/>
        <v>5</v>
      </c>
      <c r="F3767">
        <f t="shared" si="270"/>
        <v>2025</v>
      </c>
      <c r="G3767" t="s">
        <v>118</v>
      </c>
      <c r="H3767" s="98">
        <v>12752</v>
      </c>
      <c r="I3767" s="29">
        <v>508.8</v>
      </c>
      <c r="J3767" s="12" t="s">
        <v>31</v>
      </c>
      <c r="K3767" s="76">
        <f t="shared" si="267"/>
        <v>508.8</v>
      </c>
      <c r="L3767">
        <v>1</v>
      </c>
      <c r="M3767" s="29">
        <v>0</v>
      </c>
      <c r="N3767" t="s">
        <v>42</v>
      </c>
      <c r="O3767" t="s">
        <v>33</v>
      </c>
      <c r="P3767" t="s">
        <v>34</v>
      </c>
      <c r="Q3767" t="s">
        <v>34</v>
      </c>
      <c r="R3767" t="s">
        <v>34</v>
      </c>
      <c r="S3767" t="s">
        <v>34</v>
      </c>
      <c r="T3767" s="117">
        <v>0</v>
      </c>
      <c r="U3767" s="209" t="s">
        <v>1203</v>
      </c>
    </row>
    <row r="3768" spans="1:21" x14ac:dyDescent="0.35">
      <c r="A3768" t="s">
        <v>20</v>
      </c>
      <c r="B3768" t="s">
        <v>25</v>
      </c>
      <c r="C3768" s="1">
        <v>45798</v>
      </c>
      <c r="D3768">
        <f t="shared" si="268"/>
        <v>21</v>
      </c>
      <c r="E3768">
        <f t="shared" si="269"/>
        <v>5</v>
      </c>
      <c r="F3768">
        <f t="shared" si="270"/>
        <v>2025</v>
      </c>
      <c r="G3768" t="s">
        <v>118</v>
      </c>
      <c r="H3768" s="98">
        <v>12752</v>
      </c>
      <c r="I3768" s="29">
        <v>407.2</v>
      </c>
      <c r="J3768" s="12" t="s">
        <v>31</v>
      </c>
      <c r="K3768" s="76">
        <f t="shared" si="267"/>
        <v>407.2</v>
      </c>
      <c r="L3768">
        <v>1</v>
      </c>
      <c r="M3768" s="29">
        <v>0</v>
      </c>
      <c r="N3768" t="s">
        <v>42</v>
      </c>
      <c r="O3768" t="s">
        <v>33</v>
      </c>
      <c r="P3768" t="s">
        <v>34</v>
      </c>
      <c r="Q3768" t="s">
        <v>34</v>
      </c>
      <c r="R3768" t="s">
        <v>34</v>
      </c>
      <c r="S3768" t="s">
        <v>34</v>
      </c>
      <c r="T3768" s="117">
        <v>0</v>
      </c>
      <c r="U3768" s="209" t="s">
        <v>1204</v>
      </c>
    </row>
    <row r="3769" spans="1:21" x14ac:dyDescent="0.35">
      <c r="A3769" t="s">
        <v>20</v>
      </c>
      <c r="B3769" t="s">
        <v>25</v>
      </c>
      <c r="C3769" s="1">
        <v>45798</v>
      </c>
      <c r="D3769">
        <f t="shared" si="268"/>
        <v>21</v>
      </c>
      <c r="E3769">
        <f t="shared" si="269"/>
        <v>5</v>
      </c>
      <c r="F3769">
        <f t="shared" si="270"/>
        <v>2025</v>
      </c>
      <c r="G3769" t="s">
        <v>118</v>
      </c>
      <c r="H3769" s="98">
        <v>12800</v>
      </c>
      <c r="I3769" s="29">
        <v>7108.34</v>
      </c>
      <c r="J3769" s="12" t="s">
        <v>31</v>
      </c>
      <c r="K3769" s="76">
        <f t="shared" si="267"/>
        <v>7108.34</v>
      </c>
      <c r="L3769">
        <v>1</v>
      </c>
      <c r="M3769" s="29">
        <v>0</v>
      </c>
      <c r="N3769" t="s">
        <v>42</v>
      </c>
      <c r="O3769" t="s">
        <v>33</v>
      </c>
      <c r="P3769" t="s">
        <v>34</v>
      </c>
      <c r="Q3769" t="s">
        <v>34</v>
      </c>
      <c r="R3769" t="s">
        <v>34</v>
      </c>
      <c r="S3769" t="s">
        <v>34</v>
      </c>
      <c r="T3769" s="117">
        <v>0</v>
      </c>
    </row>
    <row r="3770" spans="1:21" x14ac:dyDescent="0.35">
      <c r="A3770" t="s">
        <v>20</v>
      </c>
      <c r="B3770" t="s">
        <v>25</v>
      </c>
      <c r="C3770" s="1">
        <v>45798</v>
      </c>
      <c r="D3770">
        <f t="shared" si="268"/>
        <v>21</v>
      </c>
      <c r="E3770">
        <f t="shared" si="269"/>
        <v>5</v>
      </c>
      <c r="F3770">
        <f t="shared" si="270"/>
        <v>2025</v>
      </c>
      <c r="G3770" t="s">
        <v>118</v>
      </c>
      <c r="H3770" s="98">
        <v>12801</v>
      </c>
      <c r="I3770" s="29">
        <v>5457.7520000000004</v>
      </c>
      <c r="J3770" s="12" t="s">
        <v>31</v>
      </c>
      <c r="K3770" s="76">
        <f t="shared" si="267"/>
        <v>5457.7520000000004</v>
      </c>
      <c r="L3770">
        <v>1</v>
      </c>
      <c r="M3770" s="29">
        <v>0</v>
      </c>
      <c r="N3770" t="s">
        <v>42</v>
      </c>
      <c r="O3770" t="s">
        <v>33</v>
      </c>
      <c r="P3770" t="s">
        <v>34</v>
      </c>
      <c r="Q3770" t="s">
        <v>34</v>
      </c>
      <c r="R3770" t="s">
        <v>34</v>
      </c>
      <c r="S3770" t="s">
        <v>34</v>
      </c>
      <c r="T3770" s="117">
        <v>0</v>
      </c>
    </row>
    <row r="3771" spans="1:21" x14ac:dyDescent="0.35">
      <c r="A3771" t="s">
        <v>20</v>
      </c>
      <c r="B3771" t="s">
        <v>25</v>
      </c>
      <c r="C3771" s="1">
        <v>45798</v>
      </c>
      <c r="D3771">
        <f t="shared" si="268"/>
        <v>21</v>
      </c>
      <c r="E3771">
        <f t="shared" si="269"/>
        <v>5</v>
      </c>
      <c r="F3771">
        <f t="shared" si="270"/>
        <v>2025</v>
      </c>
      <c r="G3771" t="s">
        <v>104</v>
      </c>
      <c r="H3771" s="98">
        <v>12790</v>
      </c>
      <c r="I3771" s="29">
        <v>140</v>
      </c>
      <c r="J3771" s="12" t="s">
        <v>31</v>
      </c>
      <c r="K3771" s="76">
        <f t="shared" si="267"/>
        <v>140</v>
      </c>
      <c r="L3771">
        <v>1</v>
      </c>
      <c r="M3771" s="29">
        <v>0</v>
      </c>
      <c r="N3771" t="s">
        <v>42</v>
      </c>
      <c r="O3771" t="s">
        <v>33</v>
      </c>
      <c r="P3771" t="s">
        <v>34</v>
      </c>
      <c r="Q3771" t="s">
        <v>34</v>
      </c>
      <c r="R3771" t="s">
        <v>34</v>
      </c>
      <c r="S3771" t="s">
        <v>34</v>
      </c>
      <c r="T3771" s="117">
        <v>0</v>
      </c>
    </row>
    <row r="3772" spans="1:21" x14ac:dyDescent="0.35">
      <c r="A3772" t="s">
        <v>20</v>
      </c>
      <c r="B3772" t="s">
        <v>25</v>
      </c>
      <c r="C3772" s="1">
        <v>45798</v>
      </c>
      <c r="D3772">
        <f t="shared" si="268"/>
        <v>21</v>
      </c>
      <c r="E3772">
        <f t="shared" si="269"/>
        <v>5</v>
      </c>
      <c r="F3772">
        <f t="shared" si="270"/>
        <v>2025</v>
      </c>
      <c r="G3772" t="s">
        <v>95</v>
      </c>
      <c r="H3772" s="98">
        <v>12064</v>
      </c>
      <c r="I3772" s="29">
        <v>7935.72</v>
      </c>
      <c r="J3772" s="12" t="s">
        <v>31</v>
      </c>
      <c r="K3772" s="76">
        <f t="shared" si="267"/>
        <v>7935.72</v>
      </c>
      <c r="L3772">
        <v>1</v>
      </c>
      <c r="M3772" s="29">
        <v>0</v>
      </c>
      <c r="N3772" t="s">
        <v>32</v>
      </c>
      <c r="O3772" t="s">
        <v>33</v>
      </c>
      <c r="P3772" t="s">
        <v>34</v>
      </c>
      <c r="Q3772" t="s">
        <v>34</v>
      </c>
      <c r="R3772" t="s">
        <v>34</v>
      </c>
      <c r="S3772" t="s">
        <v>34</v>
      </c>
      <c r="T3772" s="117">
        <v>0</v>
      </c>
    </row>
    <row r="3773" spans="1:21" x14ac:dyDescent="0.35">
      <c r="A3773" t="s">
        <v>20</v>
      </c>
      <c r="B3773" t="s">
        <v>25</v>
      </c>
      <c r="C3773" s="1">
        <v>45798</v>
      </c>
      <c r="D3773">
        <f t="shared" si="268"/>
        <v>21</v>
      </c>
      <c r="E3773">
        <f t="shared" si="269"/>
        <v>5</v>
      </c>
      <c r="F3773">
        <f t="shared" si="270"/>
        <v>2025</v>
      </c>
      <c r="G3773" t="s">
        <v>95</v>
      </c>
      <c r="H3773" s="98">
        <v>12063</v>
      </c>
      <c r="I3773" s="29">
        <v>156</v>
      </c>
      <c r="J3773" s="12" t="s">
        <v>31</v>
      </c>
      <c r="K3773" s="76">
        <f t="shared" si="267"/>
        <v>156</v>
      </c>
      <c r="L3773">
        <v>1</v>
      </c>
      <c r="M3773" s="29">
        <v>0</v>
      </c>
      <c r="N3773" t="s">
        <v>32</v>
      </c>
      <c r="O3773" t="s">
        <v>33</v>
      </c>
      <c r="P3773" t="s">
        <v>34</v>
      </c>
      <c r="Q3773" t="s">
        <v>34</v>
      </c>
      <c r="R3773" t="s">
        <v>34</v>
      </c>
      <c r="S3773" t="s">
        <v>34</v>
      </c>
      <c r="T3773" s="117">
        <v>0</v>
      </c>
    </row>
    <row r="3774" spans="1:21" x14ac:dyDescent="0.35">
      <c r="A3774" t="s">
        <v>20</v>
      </c>
      <c r="B3774" t="s">
        <v>21</v>
      </c>
      <c r="C3774" s="1">
        <v>45798</v>
      </c>
      <c r="D3774">
        <f t="shared" si="268"/>
        <v>21</v>
      </c>
      <c r="E3774">
        <f t="shared" si="269"/>
        <v>5</v>
      </c>
      <c r="F3774">
        <f t="shared" si="270"/>
        <v>2025</v>
      </c>
      <c r="G3774" t="s">
        <v>90</v>
      </c>
      <c r="H3774" s="98">
        <v>11718</v>
      </c>
      <c r="I3774" s="29">
        <v>86.46</v>
      </c>
      <c r="J3774" s="12" t="s">
        <v>31</v>
      </c>
      <c r="K3774" s="76">
        <f t="shared" si="267"/>
        <v>86.46</v>
      </c>
      <c r="L3774">
        <v>1</v>
      </c>
      <c r="M3774" s="29">
        <v>0</v>
      </c>
      <c r="N3774" t="s">
        <v>32</v>
      </c>
      <c r="O3774" t="s">
        <v>33</v>
      </c>
      <c r="P3774" t="s">
        <v>34</v>
      </c>
      <c r="Q3774" t="s">
        <v>34</v>
      </c>
      <c r="R3774" t="s">
        <v>34</v>
      </c>
      <c r="S3774" t="s">
        <v>34</v>
      </c>
      <c r="T3774" s="117">
        <v>0</v>
      </c>
    </row>
    <row r="3775" spans="1:21" x14ac:dyDescent="0.35">
      <c r="A3775" t="s">
        <v>20</v>
      </c>
      <c r="B3775" t="s">
        <v>25</v>
      </c>
      <c r="C3775" s="1">
        <v>45798</v>
      </c>
      <c r="D3775">
        <f t="shared" si="268"/>
        <v>21</v>
      </c>
      <c r="E3775">
        <f t="shared" si="269"/>
        <v>5</v>
      </c>
      <c r="F3775">
        <f t="shared" si="270"/>
        <v>2025</v>
      </c>
      <c r="G3775" t="s">
        <v>90</v>
      </c>
      <c r="H3775" s="98">
        <v>12281</v>
      </c>
      <c r="I3775" s="29">
        <v>17662.41</v>
      </c>
      <c r="J3775" s="12" t="s">
        <v>31</v>
      </c>
      <c r="K3775" s="76">
        <f t="shared" si="267"/>
        <v>17662.41</v>
      </c>
      <c r="L3775">
        <v>1</v>
      </c>
      <c r="M3775" s="29">
        <v>0</v>
      </c>
      <c r="N3775" t="s">
        <v>32</v>
      </c>
      <c r="O3775" t="s">
        <v>33</v>
      </c>
      <c r="P3775" t="s">
        <v>34</v>
      </c>
      <c r="Q3775" t="s">
        <v>34</v>
      </c>
      <c r="R3775" t="s">
        <v>34</v>
      </c>
      <c r="S3775" t="s">
        <v>34</v>
      </c>
      <c r="T3775" s="117">
        <v>0</v>
      </c>
    </row>
    <row r="3776" spans="1:21" x14ac:dyDescent="0.35">
      <c r="A3776" t="s">
        <v>20</v>
      </c>
      <c r="B3776" t="s">
        <v>24</v>
      </c>
      <c r="C3776" s="1">
        <v>45798</v>
      </c>
      <c r="D3776">
        <f t="shared" si="268"/>
        <v>21</v>
      </c>
      <c r="E3776">
        <f t="shared" si="269"/>
        <v>5</v>
      </c>
      <c r="F3776">
        <f t="shared" si="270"/>
        <v>2025</v>
      </c>
      <c r="G3776" t="s">
        <v>90</v>
      </c>
      <c r="H3776" s="98">
        <v>12279</v>
      </c>
      <c r="I3776" s="29">
        <v>4512.8599999999997</v>
      </c>
      <c r="J3776" s="12" t="s">
        <v>31</v>
      </c>
      <c r="K3776" s="76">
        <f t="shared" si="267"/>
        <v>4512.8599999999997</v>
      </c>
      <c r="L3776">
        <v>1</v>
      </c>
      <c r="M3776" s="29">
        <v>0</v>
      </c>
      <c r="N3776" t="s">
        <v>32</v>
      </c>
      <c r="O3776" t="s">
        <v>33</v>
      </c>
      <c r="P3776" t="s">
        <v>34</v>
      </c>
      <c r="Q3776" t="s">
        <v>34</v>
      </c>
      <c r="R3776" t="s">
        <v>34</v>
      </c>
      <c r="S3776" t="s">
        <v>34</v>
      </c>
      <c r="T3776" s="117">
        <v>0</v>
      </c>
    </row>
    <row r="3777" spans="1:20" x14ac:dyDescent="0.35">
      <c r="A3777" t="s">
        <v>20</v>
      </c>
      <c r="B3777" t="s">
        <v>21</v>
      </c>
      <c r="C3777" s="1">
        <v>45798</v>
      </c>
      <c r="D3777">
        <f t="shared" si="268"/>
        <v>21</v>
      </c>
      <c r="E3777">
        <f t="shared" si="269"/>
        <v>5</v>
      </c>
      <c r="F3777">
        <f t="shared" si="270"/>
        <v>2025</v>
      </c>
      <c r="G3777" t="s">
        <v>90</v>
      </c>
      <c r="H3777" s="98">
        <v>11719</v>
      </c>
      <c r="I3777" s="29">
        <v>5979.6</v>
      </c>
      <c r="J3777" s="12" t="s">
        <v>31</v>
      </c>
      <c r="K3777" s="76">
        <f t="shared" si="267"/>
        <v>5979.6</v>
      </c>
      <c r="L3777">
        <v>1</v>
      </c>
      <c r="M3777" s="29">
        <v>0</v>
      </c>
      <c r="N3777" t="s">
        <v>32</v>
      </c>
      <c r="O3777" t="s">
        <v>33</v>
      </c>
      <c r="P3777" t="s">
        <v>34</v>
      </c>
      <c r="Q3777" t="s">
        <v>34</v>
      </c>
      <c r="R3777" t="s">
        <v>34</v>
      </c>
      <c r="S3777" t="s">
        <v>34</v>
      </c>
      <c r="T3777" s="117">
        <v>0</v>
      </c>
    </row>
    <row r="3778" spans="1:20" x14ac:dyDescent="0.35">
      <c r="A3778" t="s">
        <v>20</v>
      </c>
      <c r="B3778" t="s">
        <v>23</v>
      </c>
      <c r="C3778" s="1">
        <v>45798</v>
      </c>
      <c r="D3778">
        <f t="shared" si="268"/>
        <v>21</v>
      </c>
      <c r="E3778">
        <f t="shared" si="269"/>
        <v>5</v>
      </c>
      <c r="F3778">
        <f t="shared" si="270"/>
        <v>2025</v>
      </c>
      <c r="G3778" t="s">
        <v>177</v>
      </c>
      <c r="H3778" s="98">
        <v>12424</v>
      </c>
      <c r="I3778" s="29">
        <v>39</v>
      </c>
      <c r="J3778" s="12" t="s">
        <v>31</v>
      </c>
      <c r="K3778" s="76">
        <f t="shared" si="267"/>
        <v>39</v>
      </c>
      <c r="L3778">
        <v>1</v>
      </c>
      <c r="M3778" s="29">
        <v>0</v>
      </c>
      <c r="N3778" t="s">
        <v>32</v>
      </c>
      <c r="O3778" t="s">
        <v>33</v>
      </c>
      <c r="P3778" t="s">
        <v>34</v>
      </c>
      <c r="Q3778" t="s">
        <v>34</v>
      </c>
      <c r="R3778" t="s">
        <v>34</v>
      </c>
      <c r="S3778" t="s">
        <v>34</v>
      </c>
      <c r="T3778" s="117">
        <v>0</v>
      </c>
    </row>
    <row r="3779" spans="1:20" x14ac:dyDescent="0.35">
      <c r="A3779" t="s">
        <v>20</v>
      </c>
      <c r="B3779" t="s">
        <v>23</v>
      </c>
      <c r="C3779" s="1">
        <v>45798</v>
      </c>
      <c r="D3779">
        <f t="shared" si="268"/>
        <v>21</v>
      </c>
      <c r="E3779">
        <f t="shared" si="269"/>
        <v>5</v>
      </c>
      <c r="F3779">
        <f t="shared" si="270"/>
        <v>2025</v>
      </c>
      <c r="G3779" t="s">
        <v>177</v>
      </c>
      <c r="H3779" s="98">
        <v>12420</v>
      </c>
      <c r="I3779" s="29">
        <v>418.8</v>
      </c>
      <c r="J3779" s="12" t="s">
        <v>31</v>
      </c>
      <c r="K3779" s="76">
        <f t="shared" si="267"/>
        <v>418.8</v>
      </c>
      <c r="L3779">
        <v>1</v>
      </c>
      <c r="M3779" s="29">
        <v>0</v>
      </c>
      <c r="N3779" t="s">
        <v>32</v>
      </c>
      <c r="O3779" t="s">
        <v>33</v>
      </c>
      <c r="P3779" t="s">
        <v>34</v>
      </c>
      <c r="Q3779" t="s">
        <v>34</v>
      </c>
      <c r="R3779" t="s">
        <v>34</v>
      </c>
      <c r="S3779" t="s">
        <v>34</v>
      </c>
      <c r="T3779" s="117">
        <v>0</v>
      </c>
    </row>
    <row r="3780" spans="1:20" x14ac:dyDescent="0.35">
      <c r="A3780" t="s">
        <v>20</v>
      </c>
      <c r="B3780" t="s">
        <v>25</v>
      </c>
      <c r="C3780" s="1">
        <v>45798</v>
      </c>
      <c r="D3780">
        <f t="shared" si="268"/>
        <v>21</v>
      </c>
      <c r="E3780">
        <f t="shared" si="269"/>
        <v>5</v>
      </c>
      <c r="F3780">
        <f t="shared" si="270"/>
        <v>2025</v>
      </c>
      <c r="G3780" t="s">
        <v>87</v>
      </c>
      <c r="H3780" s="98">
        <v>11850</v>
      </c>
      <c r="I3780" s="29">
        <v>37639.17</v>
      </c>
      <c r="J3780" s="12" t="s">
        <v>31</v>
      </c>
      <c r="K3780" s="76">
        <f t="shared" ref="K3780:K3843" si="271">IF(J3780="USD",I3780,I3780*L3780)</f>
        <v>37639.17</v>
      </c>
      <c r="L3780">
        <v>1</v>
      </c>
      <c r="M3780" s="29">
        <v>0</v>
      </c>
      <c r="N3780" t="s">
        <v>42</v>
      </c>
      <c r="O3780" t="s">
        <v>33</v>
      </c>
      <c r="P3780" t="s">
        <v>34</v>
      </c>
      <c r="Q3780" t="s">
        <v>34</v>
      </c>
      <c r="R3780" t="s">
        <v>34</v>
      </c>
      <c r="S3780" t="s">
        <v>34</v>
      </c>
      <c r="T3780" s="117">
        <v>0</v>
      </c>
    </row>
    <row r="3781" spans="1:20" x14ac:dyDescent="0.35">
      <c r="A3781" t="s">
        <v>20</v>
      </c>
      <c r="B3781" t="s">
        <v>23</v>
      </c>
      <c r="C3781" s="1">
        <v>45798</v>
      </c>
      <c r="D3781">
        <f t="shared" ref="D3781:D3844" si="272">DAY(C3781)</f>
        <v>21</v>
      </c>
      <c r="E3781">
        <f t="shared" ref="E3781:E3844" si="273">MONTH(C3781)</f>
        <v>5</v>
      </c>
      <c r="F3781">
        <f t="shared" ref="F3781:F3844" si="274">YEAR(C3781)</f>
        <v>2025</v>
      </c>
      <c r="G3781" t="s">
        <v>53</v>
      </c>
      <c r="H3781" s="171">
        <v>12350</v>
      </c>
      <c r="I3781" s="29">
        <v>25117.120000000003</v>
      </c>
      <c r="J3781" s="12" t="s">
        <v>31</v>
      </c>
      <c r="K3781" s="76">
        <f t="shared" si="271"/>
        <v>25117.120000000003</v>
      </c>
      <c r="L3781">
        <v>1</v>
      </c>
      <c r="M3781" s="29">
        <v>0</v>
      </c>
      <c r="N3781" t="s">
        <v>32</v>
      </c>
      <c r="O3781" t="s">
        <v>33</v>
      </c>
      <c r="P3781" t="s">
        <v>34</v>
      </c>
      <c r="Q3781" t="s">
        <v>34</v>
      </c>
      <c r="R3781" t="s">
        <v>34</v>
      </c>
      <c r="S3781" t="s">
        <v>34</v>
      </c>
      <c r="T3781" s="117">
        <v>0</v>
      </c>
    </row>
    <row r="3782" spans="1:20" x14ac:dyDescent="0.35">
      <c r="A3782" t="s">
        <v>20</v>
      </c>
      <c r="B3782" t="s">
        <v>23</v>
      </c>
      <c r="C3782" s="1">
        <v>45798</v>
      </c>
      <c r="D3782">
        <f t="shared" si="272"/>
        <v>21</v>
      </c>
      <c r="E3782">
        <f t="shared" si="273"/>
        <v>5</v>
      </c>
      <c r="F3782">
        <f t="shared" si="274"/>
        <v>2025</v>
      </c>
      <c r="G3782" t="s">
        <v>46</v>
      </c>
      <c r="H3782" s="98">
        <v>12321</v>
      </c>
      <c r="I3782" s="29">
        <v>13820.65</v>
      </c>
      <c r="J3782" s="12" t="s">
        <v>31</v>
      </c>
      <c r="K3782" s="76">
        <f t="shared" si="271"/>
        <v>13820.65</v>
      </c>
      <c r="L3782">
        <v>1</v>
      </c>
      <c r="M3782" s="29">
        <v>0</v>
      </c>
      <c r="N3782" t="s">
        <v>42</v>
      </c>
      <c r="O3782" t="s">
        <v>33</v>
      </c>
      <c r="P3782" t="s">
        <v>34</v>
      </c>
      <c r="Q3782" t="s">
        <v>34</v>
      </c>
      <c r="R3782" t="s">
        <v>34</v>
      </c>
      <c r="S3782" t="s">
        <v>34</v>
      </c>
      <c r="T3782" s="117">
        <v>0</v>
      </c>
    </row>
    <row r="3783" spans="1:20" x14ac:dyDescent="0.35">
      <c r="A3783" t="s">
        <v>20</v>
      </c>
      <c r="B3783" t="s">
        <v>21</v>
      </c>
      <c r="C3783" s="1">
        <v>45798</v>
      </c>
      <c r="D3783">
        <f t="shared" si="272"/>
        <v>21</v>
      </c>
      <c r="E3783">
        <f t="shared" si="273"/>
        <v>5</v>
      </c>
      <c r="F3783">
        <f t="shared" si="274"/>
        <v>2025</v>
      </c>
      <c r="G3783" t="s">
        <v>46</v>
      </c>
      <c r="H3783" s="98">
        <v>12364</v>
      </c>
      <c r="I3783" s="29">
        <v>6270.03</v>
      </c>
      <c r="J3783" s="12" t="s">
        <v>31</v>
      </c>
      <c r="K3783" s="76">
        <f t="shared" si="271"/>
        <v>6270.03</v>
      </c>
      <c r="L3783">
        <v>1</v>
      </c>
      <c r="M3783" s="29">
        <v>0</v>
      </c>
      <c r="N3783" t="s">
        <v>42</v>
      </c>
      <c r="O3783" t="s">
        <v>33</v>
      </c>
      <c r="P3783" t="s">
        <v>34</v>
      </c>
      <c r="Q3783" t="s">
        <v>34</v>
      </c>
      <c r="R3783" t="s">
        <v>34</v>
      </c>
      <c r="S3783" t="s">
        <v>34</v>
      </c>
      <c r="T3783" s="117">
        <v>0</v>
      </c>
    </row>
    <row r="3784" spans="1:20" x14ac:dyDescent="0.35">
      <c r="A3784" t="s">
        <v>20</v>
      </c>
      <c r="B3784" t="s">
        <v>23</v>
      </c>
      <c r="C3784" s="1">
        <v>45798</v>
      </c>
      <c r="D3784">
        <f t="shared" si="272"/>
        <v>21</v>
      </c>
      <c r="E3784">
        <f t="shared" si="273"/>
        <v>5</v>
      </c>
      <c r="F3784">
        <f t="shared" si="274"/>
        <v>2025</v>
      </c>
      <c r="G3784" t="s">
        <v>46</v>
      </c>
      <c r="H3784" s="98">
        <v>12364</v>
      </c>
      <c r="I3784" s="29">
        <v>3464.45</v>
      </c>
      <c r="J3784" s="12" t="s">
        <v>31</v>
      </c>
      <c r="K3784" s="76">
        <f t="shared" si="271"/>
        <v>3464.45</v>
      </c>
      <c r="L3784">
        <v>1</v>
      </c>
      <c r="M3784" s="29">
        <v>0</v>
      </c>
      <c r="N3784" t="s">
        <v>42</v>
      </c>
      <c r="O3784" t="s">
        <v>33</v>
      </c>
      <c r="P3784" t="s">
        <v>34</v>
      </c>
      <c r="Q3784" t="s">
        <v>34</v>
      </c>
      <c r="R3784" t="s">
        <v>34</v>
      </c>
      <c r="S3784" t="s">
        <v>34</v>
      </c>
      <c r="T3784" s="117">
        <v>0</v>
      </c>
    </row>
    <row r="3785" spans="1:20" x14ac:dyDescent="0.35">
      <c r="A3785" t="s">
        <v>20</v>
      </c>
      <c r="B3785" t="s">
        <v>21</v>
      </c>
      <c r="C3785" s="1">
        <v>45798</v>
      </c>
      <c r="D3785">
        <f t="shared" si="272"/>
        <v>21</v>
      </c>
      <c r="E3785">
        <f t="shared" si="273"/>
        <v>5</v>
      </c>
      <c r="F3785">
        <f t="shared" si="274"/>
        <v>2025</v>
      </c>
      <c r="G3785" t="s">
        <v>696</v>
      </c>
      <c r="H3785" s="98">
        <v>12802</v>
      </c>
      <c r="I3785" s="29">
        <v>57.2</v>
      </c>
      <c r="J3785" s="12" t="s">
        <v>31</v>
      </c>
      <c r="K3785" s="76">
        <f t="shared" si="271"/>
        <v>57.2</v>
      </c>
      <c r="L3785">
        <v>1</v>
      </c>
      <c r="M3785" s="29">
        <v>0</v>
      </c>
      <c r="N3785" t="s">
        <v>42</v>
      </c>
      <c r="O3785" t="s">
        <v>33</v>
      </c>
      <c r="P3785" t="s">
        <v>34</v>
      </c>
      <c r="Q3785" t="s">
        <v>34</v>
      </c>
      <c r="R3785" t="s">
        <v>34</v>
      </c>
      <c r="S3785" t="s">
        <v>34</v>
      </c>
      <c r="T3785" s="117">
        <v>0</v>
      </c>
    </row>
    <row r="3786" spans="1:20" x14ac:dyDescent="0.35">
      <c r="A3786" t="s">
        <v>20</v>
      </c>
      <c r="B3786" t="s">
        <v>21</v>
      </c>
      <c r="C3786" s="1">
        <v>45798</v>
      </c>
      <c r="D3786">
        <f t="shared" si="272"/>
        <v>21</v>
      </c>
      <c r="E3786">
        <f t="shared" si="273"/>
        <v>5</v>
      </c>
      <c r="F3786">
        <f t="shared" si="274"/>
        <v>2025</v>
      </c>
      <c r="G3786" t="s">
        <v>696</v>
      </c>
      <c r="H3786" s="98">
        <v>12803</v>
      </c>
      <c r="I3786" s="29">
        <v>2075.2159999999999</v>
      </c>
      <c r="J3786" s="12" t="s">
        <v>31</v>
      </c>
      <c r="K3786" s="76">
        <f t="shared" si="271"/>
        <v>2075.2159999999999</v>
      </c>
      <c r="L3786">
        <v>1</v>
      </c>
      <c r="M3786" s="29">
        <v>0</v>
      </c>
      <c r="N3786" t="s">
        <v>42</v>
      </c>
      <c r="O3786" t="s">
        <v>33</v>
      </c>
      <c r="P3786" t="s">
        <v>34</v>
      </c>
      <c r="Q3786" t="s">
        <v>34</v>
      </c>
      <c r="R3786" t="s">
        <v>34</v>
      </c>
      <c r="S3786" t="s">
        <v>34</v>
      </c>
      <c r="T3786" s="117">
        <v>0</v>
      </c>
    </row>
    <row r="3787" spans="1:20" x14ac:dyDescent="0.35">
      <c r="A3787" t="s">
        <v>19</v>
      </c>
      <c r="B3787" t="s">
        <v>19</v>
      </c>
      <c r="C3787" s="1">
        <v>45798</v>
      </c>
      <c r="D3787">
        <f t="shared" si="272"/>
        <v>21</v>
      </c>
      <c r="E3787">
        <f t="shared" si="273"/>
        <v>5</v>
      </c>
      <c r="F3787">
        <f t="shared" si="274"/>
        <v>2025</v>
      </c>
      <c r="G3787" t="s">
        <v>523</v>
      </c>
      <c r="H3787" s="98" t="s">
        <v>1058</v>
      </c>
      <c r="I3787" s="29">
        <v>113355.01</v>
      </c>
      <c r="J3787" s="12" t="s">
        <v>31</v>
      </c>
      <c r="K3787" s="76">
        <f t="shared" si="271"/>
        <v>113355.01</v>
      </c>
      <c r="L3787">
        <v>1</v>
      </c>
      <c r="M3787" s="29">
        <v>0</v>
      </c>
      <c r="N3787" t="s">
        <v>32</v>
      </c>
      <c r="O3787" t="s">
        <v>33</v>
      </c>
      <c r="P3787" t="s">
        <v>34</v>
      </c>
      <c r="Q3787" t="s">
        <v>34</v>
      </c>
      <c r="R3787" t="s">
        <v>34</v>
      </c>
      <c r="S3787" t="s">
        <v>34</v>
      </c>
      <c r="T3787" s="117">
        <v>0</v>
      </c>
    </row>
    <row r="3788" spans="1:20" x14ac:dyDescent="0.35">
      <c r="A3788" t="s">
        <v>19</v>
      </c>
      <c r="B3788" t="s">
        <v>19</v>
      </c>
      <c r="C3788" s="1">
        <v>45798</v>
      </c>
      <c r="D3788">
        <f t="shared" si="272"/>
        <v>21</v>
      </c>
      <c r="E3788">
        <f t="shared" si="273"/>
        <v>5</v>
      </c>
      <c r="F3788">
        <f t="shared" si="274"/>
        <v>2025</v>
      </c>
      <c r="G3788" t="s">
        <v>106</v>
      </c>
      <c r="H3788" s="98" t="s">
        <v>1059</v>
      </c>
      <c r="I3788" s="29">
        <v>109379.52</v>
      </c>
      <c r="J3788" s="12" t="s">
        <v>31</v>
      </c>
      <c r="K3788" s="76">
        <f t="shared" si="271"/>
        <v>109379.52</v>
      </c>
      <c r="L3788">
        <v>1</v>
      </c>
      <c r="M3788" s="29">
        <v>0</v>
      </c>
      <c r="N3788" t="s">
        <v>32</v>
      </c>
      <c r="O3788" t="s">
        <v>33</v>
      </c>
      <c r="P3788" t="s">
        <v>34</v>
      </c>
      <c r="Q3788" t="s">
        <v>34</v>
      </c>
      <c r="R3788" t="s">
        <v>34</v>
      </c>
      <c r="S3788" t="s">
        <v>34</v>
      </c>
      <c r="T3788" s="117">
        <v>0</v>
      </c>
    </row>
    <row r="3789" spans="1:20" x14ac:dyDescent="0.35">
      <c r="A3789" t="s">
        <v>19</v>
      </c>
      <c r="B3789" t="s">
        <v>19</v>
      </c>
      <c r="C3789" s="1">
        <v>45798</v>
      </c>
      <c r="D3789">
        <f t="shared" si="272"/>
        <v>21</v>
      </c>
      <c r="E3789">
        <f t="shared" si="273"/>
        <v>5</v>
      </c>
      <c r="F3789">
        <f t="shared" si="274"/>
        <v>2025</v>
      </c>
      <c r="G3789" t="s">
        <v>54</v>
      </c>
      <c r="H3789" s="98" t="s">
        <v>1060</v>
      </c>
      <c r="I3789" s="15">
        <f>132013.94-478.13</f>
        <v>131535.81</v>
      </c>
      <c r="J3789" s="12" t="s">
        <v>31</v>
      </c>
      <c r="K3789" s="76">
        <f t="shared" si="271"/>
        <v>131535.81</v>
      </c>
      <c r="L3789">
        <v>1</v>
      </c>
      <c r="M3789" s="29">
        <v>0</v>
      </c>
      <c r="N3789" t="s">
        <v>32</v>
      </c>
      <c r="O3789" t="s">
        <v>33</v>
      </c>
      <c r="P3789" t="s">
        <v>34</v>
      </c>
      <c r="Q3789" t="s">
        <v>34</v>
      </c>
      <c r="R3789" t="s">
        <v>34</v>
      </c>
      <c r="S3789" t="s">
        <v>34</v>
      </c>
      <c r="T3789" s="117">
        <v>478.13</v>
      </c>
    </row>
    <row r="3790" spans="1:20" x14ac:dyDescent="0.35">
      <c r="A3790" t="s">
        <v>19</v>
      </c>
      <c r="B3790" t="s">
        <v>19</v>
      </c>
      <c r="C3790" s="1">
        <v>45798</v>
      </c>
      <c r="D3790">
        <f t="shared" si="272"/>
        <v>21</v>
      </c>
      <c r="E3790">
        <f t="shared" si="273"/>
        <v>5</v>
      </c>
      <c r="F3790">
        <f t="shared" si="274"/>
        <v>2025</v>
      </c>
      <c r="G3790" t="s">
        <v>1061</v>
      </c>
      <c r="H3790" s="98" t="s">
        <v>1062</v>
      </c>
      <c r="I3790" s="15">
        <v>161713.85</v>
      </c>
      <c r="J3790" s="12" t="s">
        <v>31</v>
      </c>
      <c r="K3790" s="76">
        <f t="shared" si="271"/>
        <v>161713.85</v>
      </c>
      <c r="L3790">
        <v>1</v>
      </c>
      <c r="M3790" s="29">
        <v>0</v>
      </c>
      <c r="N3790" t="s">
        <v>32</v>
      </c>
      <c r="O3790" t="s">
        <v>33</v>
      </c>
      <c r="P3790" t="s">
        <v>34</v>
      </c>
      <c r="Q3790" t="s">
        <v>34</v>
      </c>
      <c r="R3790" t="s">
        <v>34</v>
      </c>
      <c r="S3790" t="s">
        <v>34</v>
      </c>
      <c r="T3790" s="117">
        <v>0</v>
      </c>
    </row>
    <row r="3791" spans="1:20" x14ac:dyDescent="0.35">
      <c r="A3791" t="s">
        <v>19</v>
      </c>
      <c r="B3791" t="s">
        <v>19</v>
      </c>
      <c r="C3791" s="1">
        <v>45798</v>
      </c>
      <c r="D3791">
        <f t="shared" si="272"/>
        <v>21</v>
      </c>
      <c r="E3791">
        <f t="shared" si="273"/>
        <v>5</v>
      </c>
      <c r="F3791">
        <f t="shared" si="274"/>
        <v>2025</v>
      </c>
      <c r="G3791" t="s">
        <v>110</v>
      </c>
      <c r="H3791" s="98" t="s">
        <v>1063</v>
      </c>
      <c r="I3791" s="15">
        <v>76175.31</v>
      </c>
      <c r="J3791" s="12" t="s">
        <v>31</v>
      </c>
      <c r="K3791" s="76">
        <f t="shared" si="271"/>
        <v>76175.31</v>
      </c>
      <c r="L3791">
        <v>1</v>
      </c>
      <c r="M3791" s="29">
        <v>0</v>
      </c>
      <c r="N3791" t="s">
        <v>32</v>
      </c>
      <c r="O3791" t="s">
        <v>33</v>
      </c>
      <c r="P3791" t="s">
        <v>34</v>
      </c>
      <c r="Q3791" t="s">
        <v>34</v>
      </c>
      <c r="R3791" t="s">
        <v>34</v>
      </c>
      <c r="S3791" t="s">
        <v>34</v>
      </c>
      <c r="T3791" s="117">
        <v>6901.8</v>
      </c>
    </row>
    <row r="3792" spans="1:20" x14ac:dyDescent="0.35">
      <c r="A3792" t="s">
        <v>19</v>
      </c>
      <c r="B3792" t="s">
        <v>19</v>
      </c>
      <c r="C3792" s="1">
        <v>45798</v>
      </c>
      <c r="D3792">
        <f t="shared" si="272"/>
        <v>21</v>
      </c>
      <c r="E3792">
        <f t="shared" si="273"/>
        <v>5</v>
      </c>
      <c r="F3792">
        <f t="shared" si="274"/>
        <v>2025</v>
      </c>
      <c r="G3792" t="s">
        <v>129</v>
      </c>
      <c r="H3792" s="98" t="s">
        <v>1064</v>
      </c>
      <c r="I3792" s="15">
        <v>143910.81</v>
      </c>
      <c r="J3792" s="12" t="s">
        <v>31</v>
      </c>
      <c r="K3792" s="76">
        <f t="shared" si="271"/>
        <v>143910.81</v>
      </c>
      <c r="L3792">
        <v>1</v>
      </c>
      <c r="M3792" s="29">
        <v>0</v>
      </c>
      <c r="N3792" t="s">
        <v>32</v>
      </c>
      <c r="O3792" t="s">
        <v>33</v>
      </c>
      <c r="P3792" t="s">
        <v>34</v>
      </c>
      <c r="Q3792" t="s">
        <v>34</v>
      </c>
      <c r="R3792" t="s">
        <v>34</v>
      </c>
      <c r="S3792" t="s">
        <v>34</v>
      </c>
      <c r="T3792" s="117">
        <v>0</v>
      </c>
    </row>
    <row r="3793" spans="1:21" x14ac:dyDescent="0.35">
      <c r="A3793" t="s">
        <v>19</v>
      </c>
      <c r="B3793" t="s">
        <v>19</v>
      </c>
      <c r="C3793" s="1">
        <v>45798</v>
      </c>
      <c r="D3793">
        <f t="shared" si="272"/>
        <v>21</v>
      </c>
      <c r="E3793">
        <f t="shared" si="273"/>
        <v>5</v>
      </c>
      <c r="F3793">
        <f t="shared" si="274"/>
        <v>2025</v>
      </c>
      <c r="G3793" t="s">
        <v>111</v>
      </c>
      <c r="H3793" s="98" t="s">
        <v>1065</v>
      </c>
      <c r="I3793" s="15">
        <v>93195.239999999991</v>
      </c>
      <c r="J3793" s="12" t="s">
        <v>31</v>
      </c>
      <c r="K3793" s="76">
        <f t="shared" si="271"/>
        <v>93195.239999999991</v>
      </c>
      <c r="L3793">
        <v>1</v>
      </c>
      <c r="M3793" s="29">
        <v>0</v>
      </c>
      <c r="N3793" t="s">
        <v>32</v>
      </c>
      <c r="O3793" t="s">
        <v>33</v>
      </c>
      <c r="P3793" t="s">
        <v>34</v>
      </c>
      <c r="Q3793" t="s">
        <v>34</v>
      </c>
      <c r="R3793" t="s">
        <v>34</v>
      </c>
      <c r="S3793" t="s">
        <v>34</v>
      </c>
      <c r="T3793" s="117">
        <v>2366.3200000000002</v>
      </c>
    </row>
    <row r="3794" spans="1:21" x14ac:dyDescent="0.35">
      <c r="A3794" t="s">
        <v>19</v>
      </c>
      <c r="B3794" t="s">
        <v>19</v>
      </c>
      <c r="C3794" s="1">
        <v>45798</v>
      </c>
      <c r="D3794">
        <f t="shared" si="272"/>
        <v>21</v>
      </c>
      <c r="E3794">
        <f t="shared" si="273"/>
        <v>5</v>
      </c>
      <c r="F3794">
        <f t="shared" si="274"/>
        <v>2025</v>
      </c>
      <c r="G3794" t="s">
        <v>126</v>
      </c>
      <c r="H3794" s="98" t="s">
        <v>1066</v>
      </c>
      <c r="I3794" s="15">
        <v>63776.369999999995</v>
      </c>
      <c r="J3794" s="12" t="s">
        <v>31</v>
      </c>
      <c r="K3794" s="76">
        <f t="shared" si="271"/>
        <v>63776.369999999995</v>
      </c>
      <c r="L3794">
        <v>1</v>
      </c>
      <c r="M3794" s="29">
        <v>0</v>
      </c>
      <c r="N3794" t="s">
        <v>32</v>
      </c>
      <c r="O3794" t="s">
        <v>33</v>
      </c>
      <c r="P3794" t="s">
        <v>34</v>
      </c>
      <c r="Q3794" t="s">
        <v>34</v>
      </c>
      <c r="R3794" t="s">
        <v>34</v>
      </c>
      <c r="S3794" t="s">
        <v>34</v>
      </c>
      <c r="T3794" s="117">
        <v>0</v>
      </c>
    </row>
    <row r="3795" spans="1:21" x14ac:dyDescent="0.35">
      <c r="A3795" t="s">
        <v>19</v>
      </c>
      <c r="B3795" t="s">
        <v>26</v>
      </c>
      <c r="C3795" s="1">
        <v>45799</v>
      </c>
      <c r="D3795">
        <f t="shared" si="272"/>
        <v>22</v>
      </c>
      <c r="E3795">
        <f t="shared" si="273"/>
        <v>5</v>
      </c>
      <c r="F3795">
        <f t="shared" si="274"/>
        <v>2025</v>
      </c>
      <c r="G3795" t="s">
        <v>73</v>
      </c>
      <c r="H3795" s="98">
        <v>12781</v>
      </c>
      <c r="I3795" s="150">
        <v>28804.6</v>
      </c>
      <c r="J3795" s="12" t="s">
        <v>51</v>
      </c>
      <c r="K3795" s="76">
        <f t="shared" si="271"/>
        <v>32520.393399999997</v>
      </c>
      <c r="L3795">
        <v>1.129</v>
      </c>
      <c r="M3795" s="29">
        <v>0</v>
      </c>
      <c r="N3795" t="s">
        <v>32</v>
      </c>
      <c r="O3795" t="s">
        <v>33</v>
      </c>
      <c r="P3795" t="s">
        <v>34</v>
      </c>
      <c r="Q3795" t="s">
        <v>34</v>
      </c>
      <c r="R3795" t="s">
        <v>34</v>
      </c>
      <c r="S3795" t="s">
        <v>34</v>
      </c>
      <c r="T3795" s="117">
        <v>0</v>
      </c>
      <c r="U3795" s="209" t="s">
        <v>94</v>
      </c>
    </row>
    <row r="3796" spans="1:21" x14ac:dyDescent="0.35">
      <c r="A3796" t="s">
        <v>19</v>
      </c>
      <c r="B3796" t="s">
        <v>26</v>
      </c>
      <c r="C3796" s="1">
        <v>45799</v>
      </c>
      <c r="D3796">
        <f t="shared" si="272"/>
        <v>22</v>
      </c>
      <c r="E3796">
        <f t="shared" si="273"/>
        <v>5</v>
      </c>
      <c r="F3796">
        <f t="shared" si="274"/>
        <v>2025</v>
      </c>
      <c r="G3796" t="s">
        <v>73</v>
      </c>
      <c r="H3796" s="98">
        <v>12782</v>
      </c>
      <c r="I3796" s="150">
        <v>102401.73</v>
      </c>
      <c r="J3796" s="12" t="s">
        <v>51</v>
      </c>
      <c r="K3796" s="76">
        <f t="shared" si="271"/>
        <v>115611.55317</v>
      </c>
      <c r="L3796">
        <v>1.129</v>
      </c>
      <c r="M3796" s="29">
        <v>0</v>
      </c>
      <c r="N3796" t="s">
        <v>32</v>
      </c>
      <c r="O3796" t="s">
        <v>33</v>
      </c>
      <c r="P3796" t="s">
        <v>34</v>
      </c>
      <c r="Q3796" t="s">
        <v>34</v>
      </c>
      <c r="R3796" t="s">
        <v>34</v>
      </c>
      <c r="S3796" t="s">
        <v>34</v>
      </c>
      <c r="T3796" s="117">
        <v>0</v>
      </c>
      <c r="U3796" s="209" t="s">
        <v>94</v>
      </c>
    </row>
    <row r="3797" spans="1:21" x14ac:dyDescent="0.35">
      <c r="A3797" t="s">
        <v>19</v>
      </c>
      <c r="B3797" t="s">
        <v>26</v>
      </c>
      <c r="C3797" s="1">
        <v>45799</v>
      </c>
      <c r="D3797">
        <f t="shared" si="272"/>
        <v>22</v>
      </c>
      <c r="E3797">
        <f t="shared" si="273"/>
        <v>5</v>
      </c>
      <c r="F3797">
        <f t="shared" si="274"/>
        <v>2025</v>
      </c>
      <c r="G3797" t="s">
        <v>73</v>
      </c>
      <c r="H3797" s="98">
        <v>12794</v>
      </c>
      <c r="I3797" s="150">
        <v>30848.61</v>
      </c>
      <c r="J3797" s="12" t="s">
        <v>51</v>
      </c>
      <c r="K3797" s="76">
        <f t="shared" si="271"/>
        <v>34828.080690000003</v>
      </c>
      <c r="L3797">
        <v>1.129</v>
      </c>
      <c r="M3797" s="29">
        <v>0</v>
      </c>
      <c r="N3797" t="s">
        <v>32</v>
      </c>
      <c r="O3797" t="s">
        <v>33</v>
      </c>
      <c r="P3797" t="s">
        <v>34</v>
      </c>
      <c r="Q3797" t="s">
        <v>34</v>
      </c>
      <c r="R3797" t="s">
        <v>34</v>
      </c>
      <c r="S3797" t="s">
        <v>34</v>
      </c>
      <c r="T3797" s="117">
        <v>0</v>
      </c>
      <c r="U3797" s="209" t="s">
        <v>94</v>
      </c>
    </row>
    <row r="3798" spans="1:21" x14ac:dyDescent="0.35">
      <c r="A3798" t="s">
        <v>19</v>
      </c>
      <c r="B3798" t="s">
        <v>23</v>
      </c>
      <c r="C3798" s="1">
        <v>45805</v>
      </c>
      <c r="D3798">
        <f t="shared" si="272"/>
        <v>28</v>
      </c>
      <c r="E3798">
        <f t="shared" si="273"/>
        <v>5</v>
      </c>
      <c r="F3798">
        <f t="shared" si="274"/>
        <v>2025</v>
      </c>
      <c r="G3798" t="s">
        <v>74</v>
      </c>
      <c r="H3798" s="98">
        <v>12624</v>
      </c>
      <c r="I3798" s="29">
        <v>26723.7</v>
      </c>
      <c r="J3798" s="12" t="s">
        <v>31</v>
      </c>
      <c r="K3798" s="76">
        <f t="shared" si="271"/>
        <v>26723.7</v>
      </c>
      <c r="L3798">
        <v>1</v>
      </c>
      <c r="M3798" s="29">
        <v>0</v>
      </c>
      <c r="N3798" t="s">
        <v>32</v>
      </c>
      <c r="O3798" t="s">
        <v>33</v>
      </c>
      <c r="P3798" t="s">
        <v>34</v>
      </c>
      <c r="Q3798" t="s">
        <v>34</v>
      </c>
      <c r="R3798" t="s">
        <v>34</v>
      </c>
      <c r="S3798" t="s">
        <v>34</v>
      </c>
      <c r="T3798" s="117">
        <v>0</v>
      </c>
    </row>
    <row r="3799" spans="1:21" x14ac:dyDescent="0.35">
      <c r="A3799" t="s">
        <v>19</v>
      </c>
      <c r="B3799" t="s">
        <v>23</v>
      </c>
      <c r="C3799" s="1">
        <v>45805</v>
      </c>
      <c r="D3799">
        <f t="shared" si="272"/>
        <v>28</v>
      </c>
      <c r="E3799">
        <f t="shared" si="273"/>
        <v>5</v>
      </c>
      <c r="F3799">
        <f t="shared" si="274"/>
        <v>2025</v>
      </c>
      <c r="G3799" t="s">
        <v>75</v>
      </c>
      <c r="H3799" s="171">
        <v>12416</v>
      </c>
      <c r="I3799" s="90">
        <v>24882</v>
      </c>
      <c r="J3799" s="12" t="s">
        <v>31</v>
      </c>
      <c r="K3799" s="76">
        <f t="shared" si="271"/>
        <v>24882</v>
      </c>
      <c r="L3799">
        <v>1</v>
      </c>
      <c r="M3799" s="29">
        <v>0</v>
      </c>
      <c r="N3799" t="s">
        <v>32</v>
      </c>
      <c r="O3799" t="s">
        <v>33</v>
      </c>
      <c r="P3799" t="s">
        <v>34</v>
      </c>
      <c r="Q3799" t="s">
        <v>34</v>
      </c>
      <c r="R3799" t="s">
        <v>34</v>
      </c>
      <c r="S3799" t="s">
        <v>34</v>
      </c>
      <c r="T3799" s="117">
        <v>0</v>
      </c>
    </row>
    <row r="3800" spans="1:21" x14ac:dyDescent="0.35">
      <c r="A3800" t="s">
        <v>19</v>
      </c>
      <c r="B3800" t="s">
        <v>23</v>
      </c>
      <c r="C3800" s="1">
        <v>45805</v>
      </c>
      <c r="D3800">
        <f t="shared" si="272"/>
        <v>28</v>
      </c>
      <c r="E3800">
        <f t="shared" si="273"/>
        <v>5</v>
      </c>
      <c r="F3800">
        <f t="shared" si="274"/>
        <v>2025</v>
      </c>
      <c r="G3800" t="s">
        <v>75</v>
      </c>
      <c r="H3800" s="171">
        <v>12568</v>
      </c>
      <c r="I3800" s="90">
        <v>4517.4799999999996</v>
      </c>
      <c r="J3800" s="12" t="s">
        <v>31</v>
      </c>
      <c r="K3800" s="76">
        <f t="shared" si="271"/>
        <v>4517.4799999999996</v>
      </c>
      <c r="L3800">
        <v>1</v>
      </c>
      <c r="M3800" s="29">
        <v>0</v>
      </c>
      <c r="N3800" t="s">
        <v>32</v>
      </c>
      <c r="O3800" t="s">
        <v>33</v>
      </c>
      <c r="P3800" t="s">
        <v>34</v>
      </c>
      <c r="Q3800" t="s">
        <v>34</v>
      </c>
      <c r="R3800" t="s">
        <v>34</v>
      </c>
      <c r="S3800" t="s">
        <v>34</v>
      </c>
      <c r="T3800" s="117">
        <v>0</v>
      </c>
    </row>
    <row r="3801" spans="1:21" x14ac:dyDescent="0.35">
      <c r="A3801" t="s">
        <v>19</v>
      </c>
      <c r="B3801" t="s">
        <v>23</v>
      </c>
      <c r="C3801" s="1">
        <v>45805</v>
      </c>
      <c r="D3801">
        <f t="shared" si="272"/>
        <v>28</v>
      </c>
      <c r="E3801">
        <f t="shared" si="273"/>
        <v>5</v>
      </c>
      <c r="F3801">
        <f t="shared" si="274"/>
        <v>2025</v>
      </c>
      <c r="G3801" t="s">
        <v>75</v>
      </c>
      <c r="H3801" s="171">
        <v>12748</v>
      </c>
      <c r="I3801" s="90">
        <v>21559.1</v>
      </c>
      <c r="J3801" s="12" t="s">
        <v>31</v>
      </c>
      <c r="K3801" s="76">
        <f t="shared" si="271"/>
        <v>21559.1</v>
      </c>
      <c r="L3801">
        <v>1</v>
      </c>
      <c r="M3801" s="29">
        <v>0</v>
      </c>
      <c r="N3801" t="s">
        <v>32</v>
      </c>
      <c r="O3801" t="s">
        <v>33</v>
      </c>
      <c r="P3801" t="s">
        <v>34</v>
      </c>
      <c r="Q3801" t="s">
        <v>34</v>
      </c>
      <c r="R3801" t="s">
        <v>34</v>
      </c>
      <c r="S3801" t="s">
        <v>34</v>
      </c>
      <c r="T3801" s="117">
        <v>0</v>
      </c>
    </row>
    <row r="3802" spans="1:21" x14ac:dyDescent="0.35">
      <c r="A3802" t="s">
        <v>19</v>
      </c>
      <c r="B3802" t="s">
        <v>21</v>
      </c>
      <c r="C3802" s="1">
        <v>45805</v>
      </c>
      <c r="D3802">
        <f t="shared" si="272"/>
        <v>28</v>
      </c>
      <c r="E3802">
        <f t="shared" si="273"/>
        <v>5</v>
      </c>
      <c r="F3802">
        <f t="shared" si="274"/>
        <v>2025</v>
      </c>
      <c r="G3802" t="s">
        <v>75</v>
      </c>
      <c r="H3802" s="98">
        <v>12747</v>
      </c>
      <c r="I3802" s="29">
        <v>39084.800000000003</v>
      </c>
      <c r="J3802" s="12" t="s">
        <v>31</v>
      </c>
      <c r="K3802" s="76">
        <f t="shared" si="271"/>
        <v>39084.800000000003</v>
      </c>
      <c r="L3802">
        <v>1</v>
      </c>
      <c r="M3802" s="29">
        <v>0</v>
      </c>
      <c r="N3802" t="s">
        <v>32</v>
      </c>
      <c r="O3802" t="s">
        <v>33</v>
      </c>
      <c r="P3802" t="s">
        <v>34</v>
      </c>
      <c r="Q3802" t="s">
        <v>34</v>
      </c>
      <c r="R3802" t="s">
        <v>34</v>
      </c>
      <c r="S3802" t="s">
        <v>34</v>
      </c>
      <c r="T3802" s="117">
        <v>0</v>
      </c>
    </row>
    <row r="3803" spans="1:21" x14ac:dyDescent="0.35">
      <c r="A3803" t="s">
        <v>19</v>
      </c>
      <c r="B3803" t="s">
        <v>25</v>
      </c>
      <c r="C3803" s="1">
        <v>45805</v>
      </c>
      <c r="D3803">
        <f t="shared" si="272"/>
        <v>28</v>
      </c>
      <c r="E3803">
        <f t="shared" si="273"/>
        <v>5</v>
      </c>
      <c r="F3803">
        <f t="shared" si="274"/>
        <v>2025</v>
      </c>
      <c r="G3803" t="s">
        <v>77</v>
      </c>
      <c r="H3803" s="98">
        <v>12310</v>
      </c>
      <c r="I3803" s="29">
        <v>7187.7</v>
      </c>
      <c r="J3803" s="12" t="s">
        <v>31</v>
      </c>
      <c r="K3803" s="76">
        <f t="shared" si="271"/>
        <v>7187.7</v>
      </c>
      <c r="L3803">
        <v>1</v>
      </c>
      <c r="M3803" s="29">
        <v>0</v>
      </c>
      <c r="N3803" t="s">
        <v>32</v>
      </c>
      <c r="O3803" t="s">
        <v>33</v>
      </c>
      <c r="P3803" t="s">
        <v>34</v>
      </c>
      <c r="Q3803" t="s">
        <v>34</v>
      </c>
      <c r="R3803" t="s">
        <v>34</v>
      </c>
      <c r="S3803" t="s">
        <v>34</v>
      </c>
      <c r="T3803" s="117">
        <v>0</v>
      </c>
    </row>
    <row r="3804" spans="1:21" x14ac:dyDescent="0.35">
      <c r="A3804" t="s">
        <v>19</v>
      </c>
      <c r="B3804" t="s">
        <v>23</v>
      </c>
      <c r="C3804" s="1">
        <v>45805</v>
      </c>
      <c r="D3804">
        <f t="shared" si="272"/>
        <v>28</v>
      </c>
      <c r="E3804">
        <f t="shared" si="273"/>
        <v>5</v>
      </c>
      <c r="F3804">
        <f t="shared" si="274"/>
        <v>2025</v>
      </c>
      <c r="G3804" t="s">
        <v>40</v>
      </c>
      <c r="H3804" s="98">
        <v>12878</v>
      </c>
      <c r="I3804" s="29">
        <v>9571</v>
      </c>
      <c r="J3804" s="12" t="s">
        <v>31</v>
      </c>
      <c r="K3804" s="76">
        <f t="shared" si="271"/>
        <v>9571</v>
      </c>
      <c r="L3804">
        <v>1</v>
      </c>
      <c r="M3804" s="29">
        <v>0</v>
      </c>
      <c r="N3804" t="s">
        <v>32</v>
      </c>
      <c r="O3804" t="s">
        <v>33</v>
      </c>
      <c r="P3804" t="s">
        <v>34</v>
      </c>
      <c r="Q3804" t="s">
        <v>34</v>
      </c>
      <c r="R3804" t="s">
        <v>34</v>
      </c>
      <c r="S3804" t="s">
        <v>34</v>
      </c>
      <c r="T3804" s="117">
        <v>0</v>
      </c>
    </row>
    <row r="3805" spans="1:21" x14ac:dyDescent="0.35">
      <c r="A3805" t="s">
        <v>19</v>
      </c>
      <c r="B3805" t="s">
        <v>26</v>
      </c>
      <c r="C3805" s="1">
        <v>45805</v>
      </c>
      <c r="D3805">
        <f t="shared" si="272"/>
        <v>28</v>
      </c>
      <c r="E3805">
        <f t="shared" si="273"/>
        <v>5</v>
      </c>
      <c r="F3805">
        <f t="shared" si="274"/>
        <v>2025</v>
      </c>
      <c r="G3805" t="s">
        <v>73</v>
      </c>
      <c r="H3805" s="121">
        <v>12843</v>
      </c>
      <c r="I3805" s="29">
        <v>8733.84</v>
      </c>
      <c r="J3805" s="12" t="s">
        <v>51</v>
      </c>
      <c r="K3805" s="76">
        <f t="shared" si="271"/>
        <v>9887.580264000002</v>
      </c>
      <c r="L3805">
        <v>1.1321000000000001</v>
      </c>
      <c r="M3805" s="29">
        <v>0</v>
      </c>
      <c r="N3805" t="s">
        <v>32</v>
      </c>
      <c r="O3805" t="s">
        <v>33</v>
      </c>
      <c r="P3805" t="s">
        <v>34</v>
      </c>
      <c r="Q3805" t="s">
        <v>34</v>
      </c>
      <c r="R3805" t="s">
        <v>34</v>
      </c>
      <c r="S3805" t="s">
        <v>34</v>
      </c>
      <c r="T3805" s="117">
        <v>0</v>
      </c>
      <c r="U3805" s="209" t="s">
        <v>94</v>
      </c>
    </row>
    <row r="3806" spans="1:21" x14ac:dyDescent="0.35">
      <c r="A3806" t="s">
        <v>19</v>
      </c>
      <c r="B3806" t="s">
        <v>26</v>
      </c>
      <c r="C3806" s="1">
        <v>45805</v>
      </c>
      <c r="D3806">
        <f t="shared" si="272"/>
        <v>28</v>
      </c>
      <c r="E3806">
        <f t="shared" si="273"/>
        <v>5</v>
      </c>
      <c r="F3806">
        <f t="shared" si="274"/>
        <v>2025</v>
      </c>
      <c r="G3806" t="s">
        <v>73</v>
      </c>
      <c r="H3806" s="121">
        <v>12844</v>
      </c>
      <c r="I3806" s="29">
        <v>5704.29</v>
      </c>
      <c r="J3806" s="12" t="s">
        <v>51</v>
      </c>
      <c r="K3806" s="76">
        <f t="shared" si="271"/>
        <v>6457.8267090000008</v>
      </c>
      <c r="L3806">
        <v>1.1321000000000001</v>
      </c>
      <c r="M3806" s="29"/>
      <c r="N3806" t="s">
        <v>32</v>
      </c>
      <c r="O3806" t="s">
        <v>33</v>
      </c>
      <c r="P3806" t="s">
        <v>34</v>
      </c>
      <c r="Q3806" t="s">
        <v>34</v>
      </c>
      <c r="R3806" t="s">
        <v>34</v>
      </c>
      <c r="S3806" t="s">
        <v>34</v>
      </c>
      <c r="T3806" s="117">
        <v>0</v>
      </c>
      <c r="U3806" s="209" t="s">
        <v>94</v>
      </c>
    </row>
    <row r="3807" spans="1:21" x14ac:dyDescent="0.35">
      <c r="A3807" t="s">
        <v>19</v>
      </c>
      <c r="B3807" t="s">
        <v>26</v>
      </c>
      <c r="C3807" s="1">
        <v>45805</v>
      </c>
      <c r="D3807">
        <f t="shared" si="272"/>
        <v>28</v>
      </c>
      <c r="E3807">
        <f t="shared" si="273"/>
        <v>5</v>
      </c>
      <c r="F3807">
        <f t="shared" si="274"/>
        <v>2025</v>
      </c>
      <c r="G3807" t="s">
        <v>73</v>
      </c>
      <c r="H3807" s="121">
        <v>12850</v>
      </c>
      <c r="I3807" s="29">
        <v>55953.87</v>
      </c>
      <c r="J3807" s="12" t="s">
        <v>51</v>
      </c>
      <c r="K3807" s="76">
        <f t="shared" si="271"/>
        <v>63345.376227000008</v>
      </c>
      <c r="L3807">
        <v>1.1321000000000001</v>
      </c>
      <c r="M3807" s="29"/>
      <c r="N3807" t="s">
        <v>32</v>
      </c>
      <c r="O3807" t="s">
        <v>33</v>
      </c>
      <c r="P3807" t="s">
        <v>34</v>
      </c>
      <c r="Q3807" t="s">
        <v>34</v>
      </c>
      <c r="R3807" t="s">
        <v>34</v>
      </c>
      <c r="S3807" t="s">
        <v>34</v>
      </c>
      <c r="T3807" s="117">
        <v>0</v>
      </c>
      <c r="U3807" s="209" t="s">
        <v>94</v>
      </c>
    </row>
    <row r="3808" spans="1:21" x14ac:dyDescent="0.35">
      <c r="A3808" t="s">
        <v>19</v>
      </c>
      <c r="B3808" t="s">
        <v>25</v>
      </c>
      <c r="C3808" s="1">
        <v>45805</v>
      </c>
      <c r="D3808">
        <f t="shared" si="272"/>
        <v>28</v>
      </c>
      <c r="E3808">
        <f t="shared" si="273"/>
        <v>5</v>
      </c>
      <c r="F3808">
        <f t="shared" si="274"/>
        <v>2025</v>
      </c>
      <c r="G3808" t="s">
        <v>29</v>
      </c>
      <c r="H3808" s="98">
        <v>11853</v>
      </c>
      <c r="I3808" s="29">
        <v>12662.82</v>
      </c>
      <c r="J3808" s="12" t="s">
        <v>31</v>
      </c>
      <c r="K3808" s="76">
        <f t="shared" si="271"/>
        <v>12662.82</v>
      </c>
      <c r="L3808">
        <v>1</v>
      </c>
      <c r="M3808" s="29">
        <v>0</v>
      </c>
      <c r="N3808" t="s">
        <v>32</v>
      </c>
      <c r="O3808" t="s">
        <v>33</v>
      </c>
      <c r="P3808" t="s">
        <v>34</v>
      </c>
      <c r="Q3808" t="s">
        <v>34</v>
      </c>
      <c r="R3808" t="s">
        <v>34</v>
      </c>
      <c r="S3808" t="s">
        <v>34</v>
      </c>
      <c r="T3808" s="117">
        <v>0</v>
      </c>
    </row>
    <row r="3809" spans="1:21" x14ac:dyDescent="0.35">
      <c r="A3809" t="s">
        <v>19</v>
      </c>
      <c r="B3809" t="s">
        <v>25</v>
      </c>
      <c r="C3809" s="1">
        <v>45805</v>
      </c>
      <c r="D3809">
        <f t="shared" si="272"/>
        <v>28</v>
      </c>
      <c r="E3809">
        <f t="shared" si="273"/>
        <v>5</v>
      </c>
      <c r="F3809">
        <f t="shared" si="274"/>
        <v>2025</v>
      </c>
      <c r="G3809" t="s">
        <v>29</v>
      </c>
      <c r="H3809" s="98">
        <v>11854</v>
      </c>
      <c r="I3809" s="29">
        <v>190.5</v>
      </c>
      <c r="J3809" s="12" t="s">
        <v>31</v>
      </c>
      <c r="K3809" s="76">
        <f t="shared" si="271"/>
        <v>190.5</v>
      </c>
      <c r="L3809">
        <v>1</v>
      </c>
      <c r="M3809" s="29">
        <v>0</v>
      </c>
      <c r="N3809" t="s">
        <v>32</v>
      </c>
      <c r="O3809" t="s">
        <v>33</v>
      </c>
      <c r="P3809" t="s">
        <v>34</v>
      </c>
      <c r="Q3809" t="s">
        <v>34</v>
      </c>
      <c r="R3809" t="s">
        <v>34</v>
      </c>
      <c r="S3809" t="s">
        <v>34</v>
      </c>
      <c r="T3809" s="117">
        <v>0</v>
      </c>
    </row>
    <row r="3810" spans="1:21" x14ac:dyDescent="0.35">
      <c r="A3810" t="s">
        <v>19</v>
      </c>
      <c r="B3810" t="s">
        <v>25</v>
      </c>
      <c r="C3810" s="1">
        <v>45805</v>
      </c>
      <c r="D3810">
        <f t="shared" si="272"/>
        <v>28</v>
      </c>
      <c r="E3810">
        <f t="shared" si="273"/>
        <v>5</v>
      </c>
      <c r="F3810">
        <f t="shared" si="274"/>
        <v>2025</v>
      </c>
      <c r="G3810" t="s">
        <v>80</v>
      </c>
      <c r="H3810" s="98">
        <v>12006</v>
      </c>
      <c r="I3810" s="29">
        <v>9212</v>
      </c>
      <c r="J3810" s="12" t="s">
        <v>31</v>
      </c>
      <c r="K3810" s="76">
        <f t="shared" si="271"/>
        <v>9212</v>
      </c>
      <c r="L3810">
        <v>1</v>
      </c>
      <c r="M3810" s="29">
        <v>0</v>
      </c>
      <c r="N3810" t="s">
        <v>32</v>
      </c>
      <c r="O3810" t="s">
        <v>33</v>
      </c>
      <c r="P3810" t="s">
        <v>34</v>
      </c>
      <c r="Q3810" t="s">
        <v>34</v>
      </c>
      <c r="R3810" t="s">
        <v>34</v>
      </c>
      <c r="S3810" t="s">
        <v>34</v>
      </c>
      <c r="T3810" s="117">
        <v>0</v>
      </c>
    </row>
    <row r="3811" spans="1:21" x14ac:dyDescent="0.35">
      <c r="A3811" t="s">
        <v>19</v>
      </c>
      <c r="B3811" t="s">
        <v>25</v>
      </c>
      <c r="C3811" s="1">
        <v>45805</v>
      </c>
      <c r="D3811">
        <f t="shared" si="272"/>
        <v>28</v>
      </c>
      <c r="E3811">
        <f t="shared" si="273"/>
        <v>5</v>
      </c>
      <c r="F3811">
        <f t="shared" si="274"/>
        <v>2025</v>
      </c>
      <c r="G3811" t="s">
        <v>113</v>
      </c>
      <c r="H3811" s="98">
        <v>12706</v>
      </c>
      <c r="I3811" s="29">
        <v>728</v>
      </c>
      <c r="J3811" s="12" t="s">
        <v>51</v>
      </c>
      <c r="K3811" s="76">
        <f t="shared" si="271"/>
        <v>826.92999989600003</v>
      </c>
      <c r="L3811" s="2">
        <v>1.135892857</v>
      </c>
      <c r="M3811" s="29"/>
      <c r="N3811" t="s">
        <v>32</v>
      </c>
      <c r="O3811" t="s">
        <v>33</v>
      </c>
      <c r="P3811" t="s">
        <v>34</v>
      </c>
      <c r="Q3811" t="s">
        <v>34</v>
      </c>
      <c r="R3811" t="s">
        <v>34</v>
      </c>
      <c r="S3811" t="s">
        <v>34</v>
      </c>
      <c r="T3811" s="117">
        <v>0</v>
      </c>
    </row>
    <row r="3812" spans="1:21" x14ac:dyDescent="0.35">
      <c r="A3812" t="s">
        <v>19</v>
      </c>
      <c r="B3812" t="s">
        <v>22</v>
      </c>
      <c r="C3812" s="1">
        <v>45805</v>
      </c>
      <c r="D3812">
        <f t="shared" si="272"/>
        <v>28</v>
      </c>
      <c r="E3812">
        <f t="shared" si="273"/>
        <v>5</v>
      </c>
      <c r="F3812">
        <f t="shared" si="274"/>
        <v>2025</v>
      </c>
      <c r="G3812" t="s">
        <v>35</v>
      </c>
      <c r="H3812" s="98">
        <v>11931</v>
      </c>
      <c r="I3812" s="90">
        <v>41688.949999999997</v>
      </c>
      <c r="J3812" s="12" t="s">
        <v>31</v>
      </c>
      <c r="K3812" s="76">
        <f t="shared" si="271"/>
        <v>41688.949999999997</v>
      </c>
      <c r="L3812">
        <v>1</v>
      </c>
      <c r="M3812" s="29">
        <v>0</v>
      </c>
      <c r="N3812" t="s">
        <v>32</v>
      </c>
      <c r="O3812" t="s">
        <v>33</v>
      </c>
      <c r="P3812" t="s">
        <v>34</v>
      </c>
      <c r="Q3812" t="s">
        <v>34</v>
      </c>
      <c r="R3812" t="s">
        <v>34</v>
      </c>
      <c r="S3812" t="s">
        <v>34</v>
      </c>
      <c r="T3812" s="117">
        <v>0</v>
      </c>
    </row>
    <row r="3813" spans="1:21" x14ac:dyDescent="0.35">
      <c r="A3813" t="s">
        <v>19</v>
      </c>
      <c r="B3813" t="s">
        <v>25</v>
      </c>
      <c r="C3813" s="1">
        <v>45805</v>
      </c>
      <c r="D3813">
        <f t="shared" si="272"/>
        <v>28</v>
      </c>
      <c r="E3813">
        <f t="shared" si="273"/>
        <v>5</v>
      </c>
      <c r="F3813">
        <f t="shared" si="274"/>
        <v>2025</v>
      </c>
      <c r="G3813" t="s">
        <v>93</v>
      </c>
      <c r="H3813" s="171">
        <v>12667</v>
      </c>
      <c r="I3813" s="90">
        <v>4070.99</v>
      </c>
      <c r="J3813" s="12" t="s">
        <v>31</v>
      </c>
      <c r="K3813" s="76">
        <f t="shared" si="271"/>
        <v>4070.99</v>
      </c>
      <c r="L3813">
        <v>1</v>
      </c>
      <c r="M3813" s="29">
        <v>0</v>
      </c>
      <c r="N3813" t="s">
        <v>32</v>
      </c>
      <c r="O3813" t="s">
        <v>33</v>
      </c>
      <c r="P3813" t="s">
        <v>34</v>
      </c>
      <c r="Q3813" t="s">
        <v>34</v>
      </c>
      <c r="R3813" t="s">
        <v>34</v>
      </c>
      <c r="S3813" t="s">
        <v>34</v>
      </c>
      <c r="T3813" s="117">
        <v>0</v>
      </c>
    </row>
    <row r="3814" spans="1:21" x14ac:dyDescent="0.35">
      <c r="A3814" t="s">
        <v>20</v>
      </c>
      <c r="B3814" t="s">
        <v>23</v>
      </c>
      <c r="C3814" s="1">
        <v>45805</v>
      </c>
      <c r="D3814">
        <f t="shared" si="272"/>
        <v>28</v>
      </c>
      <c r="E3814">
        <f t="shared" si="273"/>
        <v>5</v>
      </c>
      <c r="F3814">
        <f t="shared" si="274"/>
        <v>2025</v>
      </c>
      <c r="G3814" t="s">
        <v>82</v>
      </c>
      <c r="H3814" s="98">
        <v>12191</v>
      </c>
      <c r="I3814" s="29">
        <v>5983.54</v>
      </c>
      <c r="J3814" s="12" t="s">
        <v>31</v>
      </c>
      <c r="K3814" s="76">
        <f t="shared" si="271"/>
        <v>5983.54</v>
      </c>
      <c r="L3814">
        <v>1</v>
      </c>
      <c r="M3814" s="29">
        <v>0</v>
      </c>
      <c r="N3814" t="s">
        <v>32</v>
      </c>
      <c r="O3814" t="s">
        <v>33</v>
      </c>
      <c r="P3814" t="s">
        <v>34</v>
      </c>
      <c r="Q3814" t="s">
        <v>34</v>
      </c>
      <c r="R3814" t="s">
        <v>34</v>
      </c>
      <c r="S3814" t="s">
        <v>34</v>
      </c>
      <c r="T3814" s="117">
        <v>0</v>
      </c>
    </row>
    <row r="3815" spans="1:21" x14ac:dyDescent="0.35">
      <c r="A3815" t="s">
        <v>20</v>
      </c>
      <c r="B3815" t="s">
        <v>25</v>
      </c>
      <c r="C3815" s="1">
        <v>45805</v>
      </c>
      <c r="D3815">
        <f t="shared" si="272"/>
        <v>28</v>
      </c>
      <c r="E3815">
        <f t="shared" si="273"/>
        <v>5</v>
      </c>
      <c r="F3815">
        <f t="shared" si="274"/>
        <v>2025</v>
      </c>
      <c r="G3815" t="s">
        <v>321</v>
      </c>
      <c r="H3815" s="98">
        <v>12371</v>
      </c>
      <c r="I3815" s="29">
        <v>21006</v>
      </c>
      <c r="J3815" s="12" t="s">
        <v>31</v>
      </c>
      <c r="K3815" s="76">
        <f t="shared" si="271"/>
        <v>21006</v>
      </c>
      <c r="L3815">
        <v>1</v>
      </c>
      <c r="M3815" s="29">
        <v>0</v>
      </c>
      <c r="N3815" t="s">
        <v>42</v>
      </c>
      <c r="O3815" t="s">
        <v>33</v>
      </c>
      <c r="P3815" t="s">
        <v>34</v>
      </c>
      <c r="Q3815" t="s">
        <v>34</v>
      </c>
      <c r="R3815" t="s">
        <v>34</v>
      </c>
      <c r="S3815" t="s">
        <v>34</v>
      </c>
      <c r="T3815" s="117">
        <v>0</v>
      </c>
      <c r="U3815" s="209" t="s">
        <v>1092</v>
      </c>
    </row>
    <row r="3816" spans="1:21" x14ac:dyDescent="0.35">
      <c r="A3816" t="s">
        <v>20</v>
      </c>
      <c r="B3816" t="s">
        <v>21</v>
      </c>
      <c r="C3816" s="1">
        <v>45805</v>
      </c>
      <c r="D3816">
        <f t="shared" si="272"/>
        <v>28</v>
      </c>
      <c r="E3816">
        <f t="shared" si="273"/>
        <v>5</v>
      </c>
      <c r="F3816">
        <f t="shared" si="274"/>
        <v>2025</v>
      </c>
      <c r="G3816" t="s">
        <v>595</v>
      </c>
      <c r="H3816" s="98">
        <v>12837</v>
      </c>
      <c r="I3816" s="29">
        <v>58</v>
      </c>
      <c r="J3816" s="12" t="s">
        <v>31</v>
      </c>
      <c r="K3816" s="76">
        <f t="shared" si="271"/>
        <v>58</v>
      </c>
      <c r="L3816">
        <v>1</v>
      </c>
      <c r="M3816" s="29">
        <v>0</v>
      </c>
      <c r="N3816" t="s">
        <v>42</v>
      </c>
      <c r="O3816" t="s">
        <v>33</v>
      </c>
      <c r="P3816" t="s">
        <v>34</v>
      </c>
      <c r="Q3816" t="s">
        <v>34</v>
      </c>
      <c r="R3816" t="s">
        <v>34</v>
      </c>
      <c r="S3816" t="s">
        <v>34</v>
      </c>
      <c r="T3816" s="117">
        <v>0</v>
      </c>
    </row>
    <row r="3817" spans="1:21" x14ac:dyDescent="0.35">
      <c r="A3817" t="s">
        <v>20</v>
      </c>
      <c r="B3817" t="s">
        <v>21</v>
      </c>
      <c r="C3817" s="1">
        <v>45805</v>
      </c>
      <c r="D3817">
        <f t="shared" si="272"/>
        <v>28</v>
      </c>
      <c r="E3817">
        <f t="shared" si="273"/>
        <v>5</v>
      </c>
      <c r="F3817">
        <f t="shared" si="274"/>
        <v>2025</v>
      </c>
      <c r="G3817" t="s">
        <v>595</v>
      </c>
      <c r="H3817" s="98">
        <v>12440</v>
      </c>
      <c r="I3817" s="29">
        <v>2721.36</v>
      </c>
      <c r="J3817" s="12" t="s">
        <v>31</v>
      </c>
      <c r="K3817" s="76">
        <f t="shared" si="271"/>
        <v>2721.36</v>
      </c>
      <c r="L3817">
        <v>1</v>
      </c>
      <c r="M3817" s="29">
        <v>0</v>
      </c>
      <c r="N3817" t="s">
        <v>42</v>
      </c>
      <c r="O3817" t="s">
        <v>33</v>
      </c>
      <c r="P3817" t="s">
        <v>34</v>
      </c>
      <c r="Q3817" t="s">
        <v>34</v>
      </c>
      <c r="R3817" t="s">
        <v>34</v>
      </c>
      <c r="S3817" t="s">
        <v>34</v>
      </c>
      <c r="T3817" s="117">
        <v>0</v>
      </c>
      <c r="U3817" s="209" t="s">
        <v>1097</v>
      </c>
    </row>
    <row r="3818" spans="1:21" x14ac:dyDescent="0.35">
      <c r="A3818" t="s">
        <v>20</v>
      </c>
      <c r="B3818" t="s">
        <v>23</v>
      </c>
      <c r="C3818" s="1">
        <v>45805</v>
      </c>
      <c r="D3818">
        <f t="shared" si="272"/>
        <v>28</v>
      </c>
      <c r="E3818">
        <f t="shared" si="273"/>
        <v>5</v>
      </c>
      <c r="F3818">
        <f t="shared" si="274"/>
        <v>2025</v>
      </c>
      <c r="G3818" t="s">
        <v>118</v>
      </c>
      <c r="H3818" s="98">
        <v>12752</v>
      </c>
      <c r="I3818" s="29">
        <v>71</v>
      </c>
      <c r="J3818" s="12" t="s">
        <v>31</v>
      </c>
      <c r="K3818" s="76">
        <f t="shared" si="271"/>
        <v>71</v>
      </c>
      <c r="L3818">
        <v>1</v>
      </c>
      <c r="M3818" s="29">
        <v>0</v>
      </c>
      <c r="N3818" t="s">
        <v>42</v>
      </c>
      <c r="O3818" t="s">
        <v>33</v>
      </c>
      <c r="P3818" t="s">
        <v>34</v>
      </c>
      <c r="Q3818" t="s">
        <v>34</v>
      </c>
      <c r="R3818" t="s">
        <v>34</v>
      </c>
      <c r="S3818" t="s">
        <v>34</v>
      </c>
      <c r="T3818" s="117">
        <v>0</v>
      </c>
      <c r="U3818" s="209" t="s">
        <v>1205</v>
      </c>
    </row>
    <row r="3819" spans="1:21" x14ac:dyDescent="0.35">
      <c r="A3819" t="s">
        <v>20</v>
      </c>
      <c r="B3819" t="s">
        <v>23</v>
      </c>
      <c r="C3819" s="1">
        <v>45805</v>
      </c>
      <c r="D3819">
        <f t="shared" si="272"/>
        <v>28</v>
      </c>
      <c r="E3819">
        <f t="shared" si="273"/>
        <v>5</v>
      </c>
      <c r="F3819">
        <f t="shared" si="274"/>
        <v>2025</v>
      </c>
      <c r="G3819" t="s">
        <v>118</v>
      </c>
      <c r="H3819" s="98">
        <v>12801</v>
      </c>
      <c r="I3819" s="29">
        <v>2571.2000000000003</v>
      </c>
      <c r="J3819" s="12" t="s">
        <v>31</v>
      </c>
      <c r="K3819" s="76">
        <f t="shared" si="271"/>
        <v>2571.2000000000003</v>
      </c>
      <c r="L3819">
        <v>1</v>
      </c>
      <c r="M3819" s="29">
        <v>0</v>
      </c>
      <c r="N3819" t="s">
        <v>42</v>
      </c>
      <c r="O3819" t="s">
        <v>33</v>
      </c>
      <c r="P3819" t="s">
        <v>34</v>
      </c>
      <c r="Q3819" t="s">
        <v>34</v>
      </c>
      <c r="R3819" t="s">
        <v>34</v>
      </c>
      <c r="S3819" t="s">
        <v>34</v>
      </c>
      <c r="T3819" s="117">
        <v>0</v>
      </c>
      <c r="U3819" s="209" t="s">
        <v>1258</v>
      </c>
    </row>
    <row r="3820" spans="1:21" x14ac:dyDescent="0.35">
      <c r="A3820" t="s">
        <v>20</v>
      </c>
      <c r="B3820" t="s">
        <v>23</v>
      </c>
      <c r="C3820" s="1">
        <v>45805</v>
      </c>
      <c r="D3820">
        <f t="shared" si="272"/>
        <v>28</v>
      </c>
      <c r="E3820">
        <f t="shared" si="273"/>
        <v>5</v>
      </c>
      <c r="F3820">
        <f t="shared" si="274"/>
        <v>2025</v>
      </c>
      <c r="G3820" t="s">
        <v>265</v>
      </c>
      <c r="H3820" s="98">
        <v>12861</v>
      </c>
      <c r="I3820" s="29">
        <v>46.5</v>
      </c>
      <c r="J3820" s="12" t="s">
        <v>31</v>
      </c>
      <c r="K3820" s="76">
        <f t="shared" si="271"/>
        <v>46.5</v>
      </c>
      <c r="L3820">
        <v>1</v>
      </c>
      <c r="M3820" s="29">
        <v>0</v>
      </c>
      <c r="N3820" t="s">
        <v>42</v>
      </c>
      <c r="O3820" t="s">
        <v>33</v>
      </c>
      <c r="P3820" t="s">
        <v>34</v>
      </c>
      <c r="Q3820" t="s">
        <v>34</v>
      </c>
      <c r="R3820" t="s">
        <v>34</v>
      </c>
      <c r="S3820" t="s">
        <v>34</v>
      </c>
      <c r="T3820" s="117">
        <v>0</v>
      </c>
    </row>
    <row r="3821" spans="1:21" x14ac:dyDescent="0.35">
      <c r="A3821" t="s">
        <v>20</v>
      </c>
      <c r="B3821" t="s">
        <v>23</v>
      </c>
      <c r="C3821" s="1">
        <v>45805</v>
      </c>
      <c r="D3821">
        <f t="shared" si="272"/>
        <v>28</v>
      </c>
      <c r="E3821">
        <f t="shared" si="273"/>
        <v>5</v>
      </c>
      <c r="F3821">
        <f t="shared" si="274"/>
        <v>2025</v>
      </c>
      <c r="G3821" t="s">
        <v>265</v>
      </c>
      <c r="H3821" s="98">
        <v>12863</v>
      </c>
      <c r="I3821" s="29">
        <v>1426</v>
      </c>
      <c r="J3821" s="12" t="s">
        <v>31</v>
      </c>
      <c r="K3821" s="76">
        <f t="shared" si="271"/>
        <v>1426</v>
      </c>
      <c r="L3821">
        <v>1</v>
      </c>
      <c r="M3821" s="29">
        <v>0</v>
      </c>
      <c r="N3821" t="s">
        <v>42</v>
      </c>
      <c r="O3821" t="s">
        <v>33</v>
      </c>
      <c r="P3821" t="s">
        <v>34</v>
      </c>
      <c r="Q3821" t="s">
        <v>34</v>
      </c>
      <c r="R3821" t="s">
        <v>34</v>
      </c>
      <c r="S3821" t="s">
        <v>34</v>
      </c>
      <c r="T3821" s="117">
        <v>0</v>
      </c>
    </row>
    <row r="3822" spans="1:21" x14ac:dyDescent="0.35">
      <c r="A3822" t="s">
        <v>20</v>
      </c>
      <c r="B3822" t="s">
        <v>24</v>
      </c>
      <c r="C3822" s="1">
        <v>45805</v>
      </c>
      <c r="D3822">
        <f t="shared" si="272"/>
        <v>28</v>
      </c>
      <c r="E3822">
        <f t="shared" si="273"/>
        <v>5</v>
      </c>
      <c r="F3822">
        <f t="shared" si="274"/>
        <v>2025</v>
      </c>
      <c r="G3822" t="s">
        <v>81</v>
      </c>
      <c r="H3822" s="98">
        <v>12458</v>
      </c>
      <c r="I3822" s="29">
        <v>49903.199999999997</v>
      </c>
      <c r="J3822" s="12" t="s">
        <v>31</v>
      </c>
      <c r="K3822" s="76">
        <f t="shared" si="271"/>
        <v>49903.199999999997</v>
      </c>
      <c r="L3822">
        <v>1</v>
      </c>
      <c r="M3822" s="29">
        <v>0</v>
      </c>
      <c r="N3822" t="s">
        <v>32</v>
      </c>
      <c r="O3822" t="s">
        <v>33</v>
      </c>
      <c r="P3822" t="s">
        <v>34</v>
      </c>
      <c r="Q3822" t="s">
        <v>34</v>
      </c>
      <c r="R3822" t="s">
        <v>34</v>
      </c>
      <c r="S3822" t="s">
        <v>34</v>
      </c>
      <c r="T3822" s="117">
        <v>0</v>
      </c>
    </row>
    <row r="3823" spans="1:21" x14ac:dyDescent="0.35">
      <c r="A3823" t="s">
        <v>20</v>
      </c>
      <c r="B3823" t="s">
        <v>23</v>
      </c>
      <c r="C3823" s="1">
        <v>45805</v>
      </c>
      <c r="D3823">
        <f t="shared" si="272"/>
        <v>28</v>
      </c>
      <c r="E3823">
        <f t="shared" si="273"/>
        <v>5</v>
      </c>
      <c r="F3823">
        <f t="shared" si="274"/>
        <v>2025</v>
      </c>
      <c r="G3823" t="s">
        <v>97</v>
      </c>
      <c r="H3823" s="98">
        <v>12694</v>
      </c>
      <c r="I3823" s="29">
        <v>247.5</v>
      </c>
      <c r="J3823" s="12" t="s">
        <v>31</v>
      </c>
      <c r="K3823" s="76">
        <f t="shared" si="271"/>
        <v>247.5</v>
      </c>
      <c r="L3823">
        <v>1</v>
      </c>
      <c r="M3823" s="29">
        <v>0</v>
      </c>
      <c r="N3823" t="s">
        <v>32</v>
      </c>
      <c r="O3823" t="s">
        <v>33</v>
      </c>
      <c r="P3823" t="s">
        <v>34</v>
      </c>
      <c r="Q3823" t="s">
        <v>34</v>
      </c>
      <c r="R3823" t="s">
        <v>34</v>
      </c>
      <c r="S3823" t="s">
        <v>34</v>
      </c>
      <c r="T3823" s="117">
        <v>0</v>
      </c>
    </row>
    <row r="3824" spans="1:21" x14ac:dyDescent="0.35">
      <c r="A3824" t="s">
        <v>20</v>
      </c>
      <c r="B3824" t="s">
        <v>23</v>
      </c>
      <c r="C3824" s="1">
        <v>45805</v>
      </c>
      <c r="D3824">
        <f t="shared" si="272"/>
        <v>28</v>
      </c>
      <c r="E3824">
        <f t="shared" si="273"/>
        <v>5</v>
      </c>
      <c r="F3824">
        <f t="shared" si="274"/>
        <v>2025</v>
      </c>
      <c r="G3824" t="s">
        <v>97</v>
      </c>
      <c r="H3824" s="98">
        <v>12766</v>
      </c>
      <c r="I3824" s="29">
        <v>156.5</v>
      </c>
      <c r="J3824" s="12" t="s">
        <v>31</v>
      </c>
      <c r="K3824" s="76">
        <f t="shared" si="271"/>
        <v>156.5</v>
      </c>
      <c r="L3824">
        <v>1</v>
      </c>
      <c r="M3824" s="29">
        <v>0</v>
      </c>
      <c r="N3824" t="s">
        <v>32</v>
      </c>
      <c r="O3824" t="s">
        <v>33</v>
      </c>
      <c r="P3824" t="s">
        <v>34</v>
      </c>
      <c r="Q3824" t="s">
        <v>34</v>
      </c>
      <c r="R3824" t="s">
        <v>34</v>
      </c>
      <c r="S3824" t="s">
        <v>34</v>
      </c>
      <c r="T3824" s="117">
        <v>0</v>
      </c>
    </row>
    <row r="3825" spans="1:21" x14ac:dyDescent="0.35">
      <c r="A3825" t="s">
        <v>20</v>
      </c>
      <c r="B3825" t="s">
        <v>23</v>
      </c>
      <c r="C3825" s="1">
        <v>45805</v>
      </c>
      <c r="D3825">
        <f t="shared" si="272"/>
        <v>28</v>
      </c>
      <c r="E3825">
        <f t="shared" si="273"/>
        <v>5</v>
      </c>
      <c r="F3825">
        <f t="shared" si="274"/>
        <v>2025</v>
      </c>
      <c r="G3825" t="s">
        <v>97</v>
      </c>
      <c r="H3825" s="98">
        <v>12637</v>
      </c>
      <c r="I3825" s="29">
        <v>74702.490000000005</v>
      </c>
      <c r="J3825" s="12" t="s">
        <v>31</v>
      </c>
      <c r="K3825" s="76">
        <f t="shared" si="271"/>
        <v>74702.490000000005</v>
      </c>
      <c r="L3825">
        <v>1</v>
      </c>
      <c r="M3825" s="29">
        <v>2310.39</v>
      </c>
      <c r="N3825" t="s">
        <v>32</v>
      </c>
      <c r="O3825" t="s">
        <v>33</v>
      </c>
      <c r="P3825" t="s">
        <v>34</v>
      </c>
      <c r="Q3825" t="s">
        <v>34</v>
      </c>
      <c r="R3825" t="s">
        <v>34</v>
      </c>
      <c r="S3825" t="s">
        <v>34</v>
      </c>
      <c r="T3825" s="117">
        <v>0</v>
      </c>
    </row>
    <row r="3826" spans="1:21" x14ac:dyDescent="0.35">
      <c r="A3826" t="s">
        <v>20</v>
      </c>
      <c r="B3826" t="s">
        <v>21</v>
      </c>
      <c r="C3826" s="1">
        <v>45805</v>
      </c>
      <c r="D3826">
        <f t="shared" si="272"/>
        <v>28</v>
      </c>
      <c r="E3826">
        <f t="shared" si="273"/>
        <v>5</v>
      </c>
      <c r="F3826">
        <f t="shared" si="274"/>
        <v>2025</v>
      </c>
      <c r="G3826" t="s">
        <v>300</v>
      </c>
      <c r="H3826" s="98">
        <v>12836</v>
      </c>
      <c r="I3826" s="29">
        <v>510</v>
      </c>
      <c r="J3826" s="12" t="s">
        <v>31</v>
      </c>
      <c r="K3826" s="76">
        <f t="shared" si="271"/>
        <v>510</v>
      </c>
      <c r="L3826">
        <v>1</v>
      </c>
      <c r="M3826" s="29">
        <v>0</v>
      </c>
      <c r="N3826" t="s">
        <v>42</v>
      </c>
      <c r="O3826" t="s">
        <v>33</v>
      </c>
      <c r="P3826" t="s">
        <v>34</v>
      </c>
      <c r="Q3826" t="s">
        <v>34</v>
      </c>
      <c r="R3826" t="s">
        <v>34</v>
      </c>
      <c r="S3826" t="s">
        <v>34</v>
      </c>
      <c r="T3826" s="117">
        <v>0</v>
      </c>
    </row>
    <row r="3827" spans="1:21" x14ac:dyDescent="0.35">
      <c r="A3827" t="s">
        <v>20</v>
      </c>
      <c r="B3827" t="s">
        <v>21</v>
      </c>
      <c r="C3827" s="1">
        <v>45805</v>
      </c>
      <c r="D3827">
        <f t="shared" si="272"/>
        <v>28</v>
      </c>
      <c r="E3827">
        <f t="shared" si="273"/>
        <v>5</v>
      </c>
      <c r="F3827">
        <f t="shared" si="274"/>
        <v>2025</v>
      </c>
      <c r="G3827" t="s">
        <v>300</v>
      </c>
      <c r="H3827" s="98">
        <v>12836</v>
      </c>
      <c r="I3827" s="29">
        <v>7481.65</v>
      </c>
      <c r="J3827" s="12" t="s">
        <v>31</v>
      </c>
      <c r="K3827" s="76">
        <f t="shared" si="271"/>
        <v>7481.65</v>
      </c>
      <c r="L3827">
        <v>1</v>
      </c>
      <c r="M3827" s="29">
        <v>0</v>
      </c>
      <c r="N3827" t="s">
        <v>42</v>
      </c>
      <c r="O3827" t="s">
        <v>33</v>
      </c>
      <c r="P3827" t="s">
        <v>34</v>
      </c>
      <c r="Q3827" t="s">
        <v>34</v>
      </c>
      <c r="R3827" t="s">
        <v>34</v>
      </c>
      <c r="S3827" t="s">
        <v>34</v>
      </c>
      <c r="T3827" s="117">
        <v>0</v>
      </c>
      <c r="U3827" s="209" t="s">
        <v>1208</v>
      </c>
    </row>
    <row r="3828" spans="1:21" x14ac:dyDescent="0.35">
      <c r="A3828" t="s">
        <v>20</v>
      </c>
      <c r="B3828" t="s">
        <v>21</v>
      </c>
      <c r="C3828" s="1">
        <v>45805</v>
      </c>
      <c r="D3828">
        <f t="shared" si="272"/>
        <v>28</v>
      </c>
      <c r="E3828">
        <f t="shared" si="273"/>
        <v>5</v>
      </c>
      <c r="F3828">
        <f t="shared" si="274"/>
        <v>2025</v>
      </c>
      <c r="G3828" t="s">
        <v>43</v>
      </c>
      <c r="H3828" s="98">
        <v>12074</v>
      </c>
      <c r="I3828" s="29">
        <v>11025.03</v>
      </c>
      <c r="J3828" s="12" t="s">
        <v>31</v>
      </c>
      <c r="K3828" s="76">
        <f t="shared" si="271"/>
        <v>11025.03</v>
      </c>
      <c r="L3828">
        <v>1</v>
      </c>
      <c r="M3828" s="29">
        <v>0</v>
      </c>
      <c r="N3828" t="s">
        <v>32</v>
      </c>
      <c r="O3828" t="s">
        <v>33</v>
      </c>
      <c r="P3828" t="s">
        <v>34</v>
      </c>
      <c r="Q3828" t="s">
        <v>34</v>
      </c>
      <c r="R3828" t="s">
        <v>34</v>
      </c>
      <c r="S3828" t="s">
        <v>34</v>
      </c>
      <c r="T3828" s="117">
        <v>0</v>
      </c>
    </row>
    <row r="3829" spans="1:21" x14ac:dyDescent="0.35">
      <c r="A3829" t="s">
        <v>20</v>
      </c>
      <c r="B3829" t="s">
        <v>25</v>
      </c>
      <c r="C3829" s="1">
        <v>45805</v>
      </c>
      <c r="D3829">
        <f t="shared" si="272"/>
        <v>28</v>
      </c>
      <c r="E3829">
        <f t="shared" si="273"/>
        <v>5</v>
      </c>
      <c r="F3829">
        <f t="shared" si="274"/>
        <v>2025</v>
      </c>
      <c r="G3829" t="s">
        <v>43</v>
      </c>
      <c r="H3829" s="98">
        <v>12021</v>
      </c>
      <c r="I3829" s="29">
        <v>16580.09</v>
      </c>
      <c r="J3829" s="12" t="s">
        <v>31</v>
      </c>
      <c r="K3829" s="76">
        <f t="shared" si="271"/>
        <v>16580.09</v>
      </c>
      <c r="L3829">
        <v>1</v>
      </c>
      <c r="M3829" s="29">
        <v>0</v>
      </c>
      <c r="N3829" t="s">
        <v>32</v>
      </c>
      <c r="O3829" t="s">
        <v>33</v>
      </c>
      <c r="P3829" t="s">
        <v>34</v>
      </c>
      <c r="Q3829" t="s">
        <v>34</v>
      </c>
      <c r="R3829" t="s">
        <v>34</v>
      </c>
      <c r="S3829" t="s">
        <v>34</v>
      </c>
      <c r="T3829" s="117">
        <v>0</v>
      </c>
    </row>
    <row r="3830" spans="1:21" x14ac:dyDescent="0.35">
      <c r="A3830" t="s">
        <v>20</v>
      </c>
      <c r="B3830" t="s">
        <v>25</v>
      </c>
      <c r="C3830" s="1">
        <v>45805</v>
      </c>
      <c r="D3830">
        <f t="shared" si="272"/>
        <v>28</v>
      </c>
      <c r="E3830">
        <f t="shared" si="273"/>
        <v>5</v>
      </c>
      <c r="F3830">
        <f t="shared" si="274"/>
        <v>2025</v>
      </c>
      <c r="G3830" t="s">
        <v>46</v>
      </c>
      <c r="H3830" s="98">
        <v>12407</v>
      </c>
      <c r="I3830" s="29">
        <v>431.8</v>
      </c>
      <c r="J3830" s="12" t="s">
        <v>31</v>
      </c>
      <c r="K3830" s="76">
        <f t="shared" si="271"/>
        <v>431.8</v>
      </c>
      <c r="L3830">
        <v>1</v>
      </c>
      <c r="M3830" s="29">
        <v>0</v>
      </c>
      <c r="N3830" t="s">
        <v>42</v>
      </c>
      <c r="O3830" t="s">
        <v>33</v>
      </c>
      <c r="P3830" t="s">
        <v>34</v>
      </c>
      <c r="Q3830" t="s">
        <v>34</v>
      </c>
      <c r="R3830" t="s">
        <v>34</v>
      </c>
      <c r="S3830" t="s">
        <v>34</v>
      </c>
      <c r="T3830" s="117">
        <v>0</v>
      </c>
      <c r="U3830" s="209" t="s">
        <v>1260</v>
      </c>
    </row>
    <row r="3831" spans="1:21" x14ac:dyDescent="0.35">
      <c r="A3831" t="s">
        <v>20</v>
      </c>
      <c r="B3831" t="s">
        <v>25</v>
      </c>
      <c r="C3831" s="1">
        <v>45805</v>
      </c>
      <c r="D3831">
        <f t="shared" si="272"/>
        <v>28</v>
      </c>
      <c r="E3831">
        <f t="shared" si="273"/>
        <v>5</v>
      </c>
      <c r="F3831">
        <f t="shared" si="274"/>
        <v>2025</v>
      </c>
      <c r="G3831" t="s">
        <v>46</v>
      </c>
      <c r="H3831" s="98">
        <v>12808</v>
      </c>
      <c r="I3831" s="29">
        <v>4149.7240000000002</v>
      </c>
      <c r="J3831" s="12" t="s">
        <v>31</v>
      </c>
      <c r="K3831" s="76">
        <f t="shared" si="271"/>
        <v>4149.7240000000002</v>
      </c>
      <c r="L3831">
        <v>1</v>
      </c>
      <c r="M3831" s="29">
        <v>0</v>
      </c>
      <c r="N3831" t="s">
        <v>42</v>
      </c>
      <c r="O3831" t="s">
        <v>33</v>
      </c>
      <c r="P3831" t="s">
        <v>34</v>
      </c>
      <c r="Q3831" t="s">
        <v>34</v>
      </c>
      <c r="R3831" t="s">
        <v>34</v>
      </c>
      <c r="S3831" t="s">
        <v>34</v>
      </c>
      <c r="T3831" s="117">
        <v>0</v>
      </c>
    </row>
    <row r="3832" spans="1:21" x14ac:dyDescent="0.35">
      <c r="A3832" t="s">
        <v>20</v>
      </c>
      <c r="B3832" t="s">
        <v>21</v>
      </c>
      <c r="C3832" s="1">
        <v>45805</v>
      </c>
      <c r="D3832">
        <f t="shared" si="272"/>
        <v>28</v>
      </c>
      <c r="E3832">
        <f t="shared" si="273"/>
        <v>5</v>
      </c>
      <c r="F3832">
        <f t="shared" si="274"/>
        <v>2025</v>
      </c>
      <c r="G3832" t="s">
        <v>53</v>
      </c>
      <c r="H3832" s="171">
        <v>12574</v>
      </c>
      <c r="I3832" s="90">
        <v>21265.699999999997</v>
      </c>
      <c r="J3832" s="12" t="s">
        <v>31</v>
      </c>
      <c r="K3832" s="76">
        <f t="shared" si="271"/>
        <v>21265.699999999997</v>
      </c>
      <c r="L3832">
        <v>1</v>
      </c>
      <c r="M3832" s="29">
        <v>0</v>
      </c>
      <c r="N3832" t="s">
        <v>42</v>
      </c>
      <c r="O3832" t="s">
        <v>33</v>
      </c>
      <c r="P3832" t="s">
        <v>34</v>
      </c>
      <c r="Q3832" t="s">
        <v>34</v>
      </c>
      <c r="R3832" t="s">
        <v>34</v>
      </c>
      <c r="S3832" t="s">
        <v>34</v>
      </c>
      <c r="T3832" s="117">
        <v>0</v>
      </c>
    </row>
    <row r="3833" spans="1:21" x14ac:dyDescent="0.35">
      <c r="A3833" t="s">
        <v>20</v>
      </c>
      <c r="B3833" t="s">
        <v>21</v>
      </c>
      <c r="C3833" s="1">
        <v>45805</v>
      </c>
      <c r="D3833">
        <f t="shared" si="272"/>
        <v>28</v>
      </c>
      <c r="E3833">
        <f t="shared" si="273"/>
        <v>5</v>
      </c>
      <c r="F3833">
        <f t="shared" si="274"/>
        <v>2025</v>
      </c>
      <c r="G3833" t="s">
        <v>90</v>
      </c>
      <c r="H3833" s="98">
        <v>12427</v>
      </c>
      <c r="I3833" s="29">
        <v>131.4</v>
      </c>
      <c r="J3833" s="12" t="s">
        <v>31</v>
      </c>
      <c r="K3833" s="76">
        <f t="shared" si="271"/>
        <v>131.4</v>
      </c>
      <c r="L3833">
        <v>1</v>
      </c>
      <c r="M3833" s="29">
        <v>0</v>
      </c>
      <c r="N3833" t="s">
        <v>32</v>
      </c>
      <c r="O3833" t="s">
        <v>33</v>
      </c>
      <c r="P3833" t="s">
        <v>34</v>
      </c>
      <c r="Q3833" t="s">
        <v>34</v>
      </c>
      <c r="R3833" t="s">
        <v>34</v>
      </c>
      <c r="S3833" t="s">
        <v>34</v>
      </c>
      <c r="T3833" s="117">
        <v>0</v>
      </c>
    </row>
    <row r="3834" spans="1:21" x14ac:dyDescent="0.35">
      <c r="A3834" t="s">
        <v>20</v>
      </c>
      <c r="B3834" t="s">
        <v>25</v>
      </c>
      <c r="C3834" s="1">
        <v>45805</v>
      </c>
      <c r="D3834">
        <f t="shared" si="272"/>
        <v>28</v>
      </c>
      <c r="E3834">
        <f t="shared" si="273"/>
        <v>5</v>
      </c>
      <c r="F3834">
        <f t="shared" si="274"/>
        <v>2025</v>
      </c>
      <c r="G3834" t="s">
        <v>566</v>
      </c>
      <c r="H3834" s="98">
        <v>12862</v>
      </c>
      <c r="I3834" s="29">
        <v>415.17</v>
      </c>
      <c r="J3834" s="12" t="s">
        <v>31</v>
      </c>
      <c r="K3834" s="76">
        <f t="shared" si="271"/>
        <v>415.17</v>
      </c>
      <c r="L3834">
        <v>1</v>
      </c>
      <c r="M3834" s="29">
        <v>0</v>
      </c>
      <c r="N3834" t="s">
        <v>42</v>
      </c>
      <c r="O3834" t="s">
        <v>33</v>
      </c>
      <c r="P3834" t="s">
        <v>34</v>
      </c>
      <c r="Q3834" t="s">
        <v>34</v>
      </c>
      <c r="R3834" t="s">
        <v>34</v>
      </c>
      <c r="S3834" t="s">
        <v>34</v>
      </c>
      <c r="T3834" s="117">
        <v>0</v>
      </c>
    </row>
    <row r="3835" spans="1:21" x14ac:dyDescent="0.35">
      <c r="A3835" t="s">
        <v>20</v>
      </c>
      <c r="B3835" t="s">
        <v>25</v>
      </c>
      <c r="C3835" s="1">
        <v>45805</v>
      </c>
      <c r="D3835">
        <f t="shared" si="272"/>
        <v>28</v>
      </c>
      <c r="E3835">
        <f t="shared" si="273"/>
        <v>5</v>
      </c>
      <c r="F3835">
        <f t="shared" si="274"/>
        <v>2025</v>
      </c>
      <c r="G3835" t="s">
        <v>566</v>
      </c>
      <c r="H3835" s="98">
        <v>12864</v>
      </c>
      <c r="I3835" s="29">
        <v>3521.7</v>
      </c>
      <c r="J3835" s="12" t="s">
        <v>31</v>
      </c>
      <c r="K3835" s="76">
        <f t="shared" si="271"/>
        <v>3521.7</v>
      </c>
      <c r="L3835">
        <v>1</v>
      </c>
      <c r="M3835" s="29">
        <v>0</v>
      </c>
      <c r="N3835" t="s">
        <v>42</v>
      </c>
      <c r="O3835" t="s">
        <v>33</v>
      </c>
      <c r="P3835" t="s">
        <v>34</v>
      </c>
      <c r="Q3835" t="s">
        <v>34</v>
      </c>
      <c r="R3835" t="s">
        <v>34</v>
      </c>
      <c r="S3835" t="s">
        <v>34</v>
      </c>
      <c r="T3835" s="117">
        <v>0</v>
      </c>
    </row>
    <row r="3836" spans="1:21" x14ac:dyDescent="0.35">
      <c r="A3836" t="s">
        <v>19</v>
      </c>
      <c r="B3836" t="s">
        <v>19</v>
      </c>
      <c r="C3836" s="1">
        <v>45805</v>
      </c>
      <c r="D3836">
        <f t="shared" si="272"/>
        <v>28</v>
      </c>
      <c r="E3836">
        <f t="shared" si="273"/>
        <v>5</v>
      </c>
      <c r="F3836">
        <f t="shared" si="274"/>
        <v>2025</v>
      </c>
      <c r="G3836" t="s">
        <v>56</v>
      </c>
      <c r="H3836" s="98" t="s">
        <v>1068</v>
      </c>
      <c r="I3836" s="29">
        <v>558057.11</v>
      </c>
      <c r="J3836" s="12" t="s">
        <v>31</v>
      </c>
      <c r="K3836" s="76">
        <f t="shared" si="271"/>
        <v>558057.11</v>
      </c>
      <c r="L3836">
        <v>1</v>
      </c>
      <c r="M3836" s="29">
        <v>0</v>
      </c>
      <c r="N3836" t="s">
        <v>32</v>
      </c>
      <c r="O3836" t="s">
        <v>33</v>
      </c>
      <c r="P3836" t="s">
        <v>34</v>
      </c>
      <c r="Q3836" t="s">
        <v>34</v>
      </c>
      <c r="R3836" t="s">
        <v>34</v>
      </c>
      <c r="S3836" t="s">
        <v>34</v>
      </c>
      <c r="T3836" s="117">
        <v>0</v>
      </c>
    </row>
    <row r="3837" spans="1:21" x14ac:dyDescent="0.35">
      <c r="A3837" t="s">
        <v>19</v>
      </c>
      <c r="B3837" t="s">
        <v>19</v>
      </c>
      <c r="C3837" s="1">
        <v>45805</v>
      </c>
      <c r="D3837">
        <f t="shared" si="272"/>
        <v>28</v>
      </c>
      <c r="E3837">
        <f t="shared" si="273"/>
        <v>5</v>
      </c>
      <c r="F3837">
        <f t="shared" si="274"/>
        <v>2025</v>
      </c>
      <c r="G3837" t="s">
        <v>56</v>
      </c>
      <c r="H3837" s="98" t="s">
        <v>1069</v>
      </c>
      <c r="I3837" s="29">
        <v>6114.88</v>
      </c>
      <c r="J3837" s="12" t="s">
        <v>31</v>
      </c>
      <c r="K3837" s="76">
        <f t="shared" si="271"/>
        <v>6114.88</v>
      </c>
      <c r="L3837">
        <v>1</v>
      </c>
      <c r="M3837" s="29">
        <v>0</v>
      </c>
      <c r="N3837" t="s">
        <v>32</v>
      </c>
      <c r="O3837" t="s">
        <v>33</v>
      </c>
      <c r="P3837" t="s">
        <v>34</v>
      </c>
      <c r="Q3837" t="s">
        <v>34</v>
      </c>
      <c r="R3837" t="s">
        <v>34</v>
      </c>
      <c r="S3837" t="s">
        <v>34</v>
      </c>
      <c r="T3837" s="117">
        <v>0</v>
      </c>
    </row>
    <row r="3838" spans="1:21" x14ac:dyDescent="0.35">
      <c r="A3838" t="s">
        <v>19</v>
      </c>
      <c r="B3838" t="s">
        <v>19</v>
      </c>
      <c r="C3838" s="1">
        <v>45805</v>
      </c>
      <c r="D3838">
        <f t="shared" si="272"/>
        <v>28</v>
      </c>
      <c r="E3838">
        <f t="shared" si="273"/>
        <v>5</v>
      </c>
      <c r="F3838">
        <f t="shared" si="274"/>
        <v>2025</v>
      </c>
      <c r="G3838" t="s">
        <v>56</v>
      </c>
      <c r="H3838" s="98" t="s">
        <v>1070</v>
      </c>
      <c r="I3838" s="29">
        <v>2266.7399999999998</v>
      </c>
      <c r="J3838" s="12" t="s">
        <v>31</v>
      </c>
      <c r="K3838" s="76">
        <f t="shared" si="271"/>
        <v>2266.7399999999998</v>
      </c>
      <c r="L3838">
        <v>1</v>
      </c>
      <c r="M3838" s="29">
        <v>0</v>
      </c>
      <c r="N3838" t="s">
        <v>32</v>
      </c>
      <c r="O3838" t="s">
        <v>33</v>
      </c>
      <c r="P3838" t="s">
        <v>34</v>
      </c>
      <c r="Q3838" t="s">
        <v>34</v>
      </c>
      <c r="R3838" t="s">
        <v>34</v>
      </c>
      <c r="S3838" t="s">
        <v>34</v>
      </c>
      <c r="T3838" s="117">
        <v>0</v>
      </c>
    </row>
    <row r="3839" spans="1:21" x14ac:dyDescent="0.35">
      <c r="A3839" t="s">
        <v>19</v>
      </c>
      <c r="B3839" t="s">
        <v>19</v>
      </c>
      <c r="C3839" s="1">
        <v>45805</v>
      </c>
      <c r="D3839">
        <f t="shared" si="272"/>
        <v>28</v>
      </c>
      <c r="E3839">
        <f t="shared" si="273"/>
        <v>5</v>
      </c>
      <c r="F3839">
        <f t="shared" si="274"/>
        <v>2025</v>
      </c>
      <c r="G3839" t="s">
        <v>56</v>
      </c>
      <c r="H3839" s="98" t="s">
        <v>1071</v>
      </c>
      <c r="I3839" s="29">
        <v>261.99</v>
      </c>
      <c r="J3839" s="12" t="s">
        <v>31</v>
      </c>
      <c r="K3839" s="76">
        <f t="shared" si="271"/>
        <v>261.99</v>
      </c>
      <c r="L3839">
        <v>1</v>
      </c>
      <c r="M3839" s="29">
        <v>0</v>
      </c>
      <c r="N3839" t="s">
        <v>32</v>
      </c>
      <c r="O3839" t="s">
        <v>33</v>
      </c>
      <c r="P3839" t="s">
        <v>34</v>
      </c>
      <c r="Q3839" t="s">
        <v>34</v>
      </c>
      <c r="R3839" t="s">
        <v>34</v>
      </c>
      <c r="S3839" t="s">
        <v>34</v>
      </c>
      <c r="T3839" s="117">
        <v>0</v>
      </c>
    </row>
    <row r="3840" spans="1:21" x14ac:dyDescent="0.35">
      <c r="A3840" t="s">
        <v>19</v>
      </c>
      <c r="B3840" t="s">
        <v>19</v>
      </c>
      <c r="C3840" s="1">
        <v>45805</v>
      </c>
      <c r="D3840">
        <f t="shared" si="272"/>
        <v>28</v>
      </c>
      <c r="E3840">
        <f t="shared" si="273"/>
        <v>5</v>
      </c>
      <c r="F3840">
        <f t="shared" si="274"/>
        <v>2025</v>
      </c>
      <c r="G3840" t="s">
        <v>133</v>
      </c>
      <c r="H3840" s="98" t="s">
        <v>810</v>
      </c>
      <c r="I3840" s="29">
        <v>67546.149999999994</v>
      </c>
      <c r="J3840" s="12" t="s">
        <v>31</v>
      </c>
      <c r="K3840" s="76">
        <f t="shared" si="271"/>
        <v>67546.149999999994</v>
      </c>
      <c r="L3840">
        <v>1</v>
      </c>
      <c r="M3840" s="29">
        <v>0</v>
      </c>
      <c r="N3840" t="s">
        <v>32</v>
      </c>
      <c r="O3840" t="s">
        <v>33</v>
      </c>
      <c r="P3840" t="s">
        <v>34</v>
      </c>
      <c r="Q3840" t="s">
        <v>34</v>
      </c>
      <c r="R3840" t="s">
        <v>34</v>
      </c>
      <c r="S3840" t="s">
        <v>34</v>
      </c>
      <c r="T3840" s="117">
        <v>0</v>
      </c>
    </row>
    <row r="3841" spans="1:21" x14ac:dyDescent="0.35">
      <c r="A3841" t="s">
        <v>19</v>
      </c>
      <c r="B3841" t="s">
        <v>19</v>
      </c>
      <c r="C3841" s="1">
        <v>45805</v>
      </c>
      <c r="D3841">
        <f t="shared" si="272"/>
        <v>28</v>
      </c>
      <c r="E3841">
        <f t="shared" si="273"/>
        <v>5</v>
      </c>
      <c r="F3841">
        <f t="shared" si="274"/>
        <v>2025</v>
      </c>
      <c r="G3841" t="s">
        <v>90</v>
      </c>
      <c r="H3841" s="98" t="s">
        <v>1072</v>
      </c>
      <c r="I3841" s="15">
        <v>4325.1099999999997</v>
      </c>
      <c r="J3841" s="12" t="s">
        <v>31</v>
      </c>
      <c r="K3841" s="76">
        <f t="shared" si="271"/>
        <v>4325.1099999999997</v>
      </c>
      <c r="L3841">
        <v>1</v>
      </c>
      <c r="M3841" s="29">
        <v>0</v>
      </c>
      <c r="N3841" t="s">
        <v>32</v>
      </c>
      <c r="O3841" t="s">
        <v>33</v>
      </c>
      <c r="P3841" t="s">
        <v>34</v>
      </c>
      <c r="Q3841" t="s">
        <v>34</v>
      </c>
      <c r="R3841" t="s">
        <v>34</v>
      </c>
      <c r="S3841" t="s">
        <v>34</v>
      </c>
      <c r="T3841" s="117">
        <v>0</v>
      </c>
    </row>
    <row r="3842" spans="1:21" x14ac:dyDescent="0.35">
      <c r="A3842" t="s">
        <v>19</v>
      </c>
      <c r="B3842" t="s">
        <v>19</v>
      </c>
      <c r="C3842" s="1">
        <v>45805</v>
      </c>
      <c r="D3842">
        <f t="shared" si="272"/>
        <v>28</v>
      </c>
      <c r="E3842">
        <f t="shared" si="273"/>
        <v>5</v>
      </c>
      <c r="F3842">
        <f t="shared" si="274"/>
        <v>2025</v>
      </c>
      <c r="G3842" t="s">
        <v>424</v>
      </c>
      <c r="H3842" s="98" t="s">
        <v>1073</v>
      </c>
      <c r="I3842" s="15">
        <v>90040.97</v>
      </c>
      <c r="J3842" s="12" t="s">
        <v>31</v>
      </c>
      <c r="K3842" s="76">
        <f t="shared" si="271"/>
        <v>90040.97</v>
      </c>
      <c r="L3842">
        <v>1</v>
      </c>
      <c r="M3842" s="29">
        <v>0</v>
      </c>
      <c r="N3842" t="s">
        <v>32</v>
      </c>
      <c r="O3842" t="s">
        <v>33</v>
      </c>
      <c r="P3842" t="s">
        <v>34</v>
      </c>
      <c r="Q3842" t="s">
        <v>34</v>
      </c>
      <c r="R3842" t="s">
        <v>34</v>
      </c>
      <c r="S3842" t="s">
        <v>34</v>
      </c>
      <c r="T3842" s="117">
        <v>0</v>
      </c>
    </row>
    <row r="3843" spans="1:21" x14ac:dyDescent="0.35">
      <c r="A3843" t="s">
        <v>19</v>
      </c>
      <c r="B3843" t="s">
        <v>19</v>
      </c>
      <c r="C3843" s="1">
        <v>45805</v>
      </c>
      <c r="D3843">
        <f t="shared" si="272"/>
        <v>28</v>
      </c>
      <c r="E3843">
        <f t="shared" si="273"/>
        <v>5</v>
      </c>
      <c r="F3843">
        <f t="shared" si="274"/>
        <v>2025</v>
      </c>
      <c r="G3843" t="s">
        <v>803</v>
      </c>
      <c r="H3843" s="98" t="s">
        <v>1074</v>
      </c>
      <c r="I3843" s="15">
        <v>19834.75</v>
      </c>
      <c r="J3843" s="12" t="s">
        <v>31</v>
      </c>
      <c r="K3843" s="76">
        <f t="shared" si="271"/>
        <v>19834.75</v>
      </c>
      <c r="L3843">
        <v>1</v>
      </c>
      <c r="M3843" s="29">
        <v>0</v>
      </c>
      <c r="N3843" t="s">
        <v>32</v>
      </c>
      <c r="O3843" t="s">
        <v>33</v>
      </c>
      <c r="P3843" t="s">
        <v>34</v>
      </c>
      <c r="Q3843" t="s">
        <v>34</v>
      </c>
      <c r="R3843" t="s">
        <v>34</v>
      </c>
      <c r="S3843" t="s">
        <v>34</v>
      </c>
      <c r="T3843" s="117">
        <v>0</v>
      </c>
    </row>
    <row r="3844" spans="1:21" x14ac:dyDescent="0.35">
      <c r="A3844" t="s">
        <v>19</v>
      </c>
      <c r="B3844" t="s">
        <v>19</v>
      </c>
      <c r="C3844" s="1">
        <v>45805</v>
      </c>
      <c r="D3844">
        <f t="shared" si="272"/>
        <v>28</v>
      </c>
      <c r="E3844">
        <f t="shared" si="273"/>
        <v>5</v>
      </c>
      <c r="F3844">
        <f t="shared" si="274"/>
        <v>2025</v>
      </c>
      <c r="G3844" t="s">
        <v>45</v>
      </c>
      <c r="H3844" s="98" t="s">
        <v>1075</v>
      </c>
      <c r="I3844" s="15">
        <v>16893.240000000002</v>
      </c>
      <c r="J3844" s="12" t="s">
        <v>31</v>
      </c>
      <c r="K3844" s="76">
        <f t="shared" ref="K3844:K3907" si="275">IF(J3844="USD",I3844,I3844*L3844)</f>
        <v>16893.240000000002</v>
      </c>
      <c r="L3844">
        <v>1</v>
      </c>
      <c r="M3844" s="29">
        <v>0</v>
      </c>
      <c r="N3844" t="s">
        <v>32</v>
      </c>
      <c r="O3844" t="s">
        <v>33</v>
      </c>
      <c r="P3844" t="s">
        <v>34</v>
      </c>
      <c r="Q3844" t="s">
        <v>34</v>
      </c>
      <c r="R3844" t="s">
        <v>34</v>
      </c>
      <c r="S3844" t="s">
        <v>34</v>
      </c>
      <c r="T3844" s="117">
        <v>0</v>
      </c>
    </row>
    <row r="3845" spans="1:21" x14ac:dyDescent="0.35">
      <c r="A3845" t="s">
        <v>19</v>
      </c>
      <c r="B3845" t="s">
        <v>26</v>
      </c>
      <c r="C3845" s="1">
        <v>45806</v>
      </c>
      <c r="D3845">
        <f t="shared" ref="D3845:D3908" si="276">DAY(C3845)</f>
        <v>29</v>
      </c>
      <c r="E3845">
        <f t="shared" ref="E3845:E3908" si="277">MONTH(C3845)</f>
        <v>5</v>
      </c>
      <c r="F3845">
        <f t="shared" ref="F3845:F3908" si="278">YEAR(C3845)</f>
        <v>2025</v>
      </c>
      <c r="G3845" t="s">
        <v>73</v>
      </c>
      <c r="H3845" s="98">
        <v>12794</v>
      </c>
      <c r="I3845" s="29">
        <v>42059.34</v>
      </c>
      <c r="J3845" s="12" t="s">
        <v>51</v>
      </c>
      <c r="K3845" s="76">
        <f t="shared" si="275"/>
        <v>47888.764523999998</v>
      </c>
      <c r="L3845">
        <v>1.1386000000000001</v>
      </c>
      <c r="M3845" s="29">
        <v>0</v>
      </c>
      <c r="N3845" t="s">
        <v>32</v>
      </c>
      <c r="O3845" t="s">
        <v>33</v>
      </c>
      <c r="P3845" t="s">
        <v>34</v>
      </c>
      <c r="Q3845" t="s">
        <v>34</v>
      </c>
      <c r="R3845" t="s">
        <v>34</v>
      </c>
      <c r="S3845" t="s">
        <v>34</v>
      </c>
      <c r="T3845" s="117">
        <v>0</v>
      </c>
      <c r="U3845" s="209" t="s">
        <v>94</v>
      </c>
    </row>
    <row r="3846" spans="1:21" x14ac:dyDescent="0.35">
      <c r="A3846" t="s">
        <v>19</v>
      </c>
      <c r="B3846" t="s">
        <v>26</v>
      </c>
      <c r="C3846" s="1">
        <v>45806</v>
      </c>
      <c r="D3846">
        <f t="shared" si="276"/>
        <v>29</v>
      </c>
      <c r="E3846">
        <f t="shared" si="277"/>
        <v>5</v>
      </c>
      <c r="F3846">
        <f t="shared" si="278"/>
        <v>2025</v>
      </c>
      <c r="G3846" t="s">
        <v>73</v>
      </c>
      <c r="H3846" s="98">
        <v>12843</v>
      </c>
      <c r="I3846" s="29">
        <v>90215.55</v>
      </c>
      <c r="J3846" s="12" t="s">
        <v>51</v>
      </c>
      <c r="K3846" s="76">
        <f t="shared" si="275"/>
        <v>102719.42523000001</v>
      </c>
      <c r="L3846">
        <v>1.1386000000000001</v>
      </c>
      <c r="M3846" s="29">
        <v>0</v>
      </c>
      <c r="N3846" t="s">
        <v>32</v>
      </c>
      <c r="O3846" t="s">
        <v>33</v>
      </c>
      <c r="P3846" t="s">
        <v>34</v>
      </c>
      <c r="Q3846" t="s">
        <v>34</v>
      </c>
      <c r="R3846" t="s">
        <v>34</v>
      </c>
      <c r="S3846" t="s">
        <v>34</v>
      </c>
      <c r="T3846" s="117">
        <v>0</v>
      </c>
      <c r="U3846" s="209" t="s">
        <v>94</v>
      </c>
    </row>
    <row r="3847" spans="1:21" x14ac:dyDescent="0.35">
      <c r="A3847" t="s">
        <v>20</v>
      </c>
      <c r="B3847" t="s">
        <v>223</v>
      </c>
      <c r="C3847" s="1">
        <v>45807</v>
      </c>
      <c r="D3847">
        <f t="shared" si="276"/>
        <v>30</v>
      </c>
      <c r="E3847">
        <f t="shared" si="277"/>
        <v>5</v>
      </c>
      <c r="F3847">
        <f t="shared" si="278"/>
        <v>2025</v>
      </c>
      <c r="G3847" t="s">
        <v>223</v>
      </c>
      <c r="H3847" s="98">
        <v>12649</v>
      </c>
      <c r="I3847" s="29">
        <v>36384.089999999997</v>
      </c>
      <c r="J3847" s="12" t="s">
        <v>51</v>
      </c>
      <c r="K3847" s="76">
        <f t="shared" si="275"/>
        <v>41372.348738999994</v>
      </c>
      <c r="L3847">
        <v>1.1371</v>
      </c>
      <c r="M3847" s="29">
        <v>0</v>
      </c>
      <c r="N3847" t="s">
        <v>32</v>
      </c>
      <c r="O3847" t="s">
        <v>186</v>
      </c>
      <c r="P3847" t="s">
        <v>34</v>
      </c>
      <c r="Q3847" t="s">
        <v>34</v>
      </c>
      <c r="R3847" t="s">
        <v>34</v>
      </c>
      <c r="S3847" t="s">
        <v>34</v>
      </c>
      <c r="T3847" s="117">
        <v>0</v>
      </c>
    </row>
    <row r="3848" spans="1:21" x14ac:dyDescent="0.35">
      <c r="A3848" t="s">
        <v>19</v>
      </c>
      <c r="B3848" t="s">
        <v>25</v>
      </c>
      <c r="C3848" s="1">
        <v>45811</v>
      </c>
      <c r="D3848">
        <f t="shared" si="276"/>
        <v>3</v>
      </c>
      <c r="E3848">
        <f t="shared" si="277"/>
        <v>6</v>
      </c>
      <c r="F3848">
        <f t="shared" si="278"/>
        <v>2025</v>
      </c>
      <c r="G3848" t="s">
        <v>78</v>
      </c>
      <c r="H3848" s="98">
        <v>12257</v>
      </c>
      <c r="I3848" s="29">
        <v>70392</v>
      </c>
      <c r="J3848" s="12" t="s">
        <v>51</v>
      </c>
      <c r="K3848" s="76">
        <f t="shared" si="275"/>
        <v>80232.801599999992</v>
      </c>
      <c r="L3848">
        <v>1.1397999999999999</v>
      </c>
      <c r="M3848" s="29">
        <v>0</v>
      </c>
      <c r="N3848" t="s">
        <v>32</v>
      </c>
      <c r="O3848" t="s">
        <v>33</v>
      </c>
      <c r="P3848" t="s">
        <v>34</v>
      </c>
      <c r="Q3848" t="s">
        <v>34</v>
      </c>
      <c r="R3848" t="s">
        <v>34</v>
      </c>
      <c r="S3848" t="s">
        <v>34</v>
      </c>
      <c r="T3848" s="117">
        <v>0</v>
      </c>
      <c r="U3848" s="209" t="s">
        <v>94</v>
      </c>
    </row>
    <row r="3849" spans="1:21" x14ac:dyDescent="0.35">
      <c r="A3849" t="s">
        <v>19</v>
      </c>
      <c r="B3849" t="s">
        <v>23</v>
      </c>
      <c r="C3849" s="1">
        <v>45812</v>
      </c>
      <c r="D3849">
        <f t="shared" si="276"/>
        <v>4</v>
      </c>
      <c r="E3849">
        <f t="shared" si="277"/>
        <v>6</v>
      </c>
      <c r="F3849">
        <f t="shared" si="278"/>
        <v>2025</v>
      </c>
      <c r="G3849" t="s">
        <v>28</v>
      </c>
      <c r="H3849" s="98">
        <v>12438</v>
      </c>
      <c r="I3849" s="29">
        <v>24380.82</v>
      </c>
      <c r="J3849" s="12" t="s">
        <v>31</v>
      </c>
      <c r="K3849" s="76">
        <f t="shared" si="275"/>
        <v>24380.82</v>
      </c>
      <c r="L3849">
        <v>1</v>
      </c>
      <c r="M3849" s="29">
        <v>0</v>
      </c>
      <c r="N3849" t="s">
        <v>32</v>
      </c>
      <c r="O3849" t="s">
        <v>33</v>
      </c>
      <c r="P3849" t="s">
        <v>34</v>
      </c>
      <c r="Q3849" t="s">
        <v>34</v>
      </c>
      <c r="R3849" t="s">
        <v>34</v>
      </c>
      <c r="S3849" t="s">
        <v>34</v>
      </c>
      <c r="T3849" s="117">
        <v>0</v>
      </c>
    </row>
    <row r="3850" spans="1:21" x14ac:dyDescent="0.35">
      <c r="A3850" t="s">
        <v>19</v>
      </c>
      <c r="B3850" t="s">
        <v>23</v>
      </c>
      <c r="C3850" s="1">
        <v>45812</v>
      </c>
      <c r="D3850">
        <f t="shared" si="276"/>
        <v>4</v>
      </c>
      <c r="E3850">
        <f t="shared" si="277"/>
        <v>6</v>
      </c>
      <c r="F3850">
        <f t="shared" si="278"/>
        <v>2025</v>
      </c>
      <c r="G3850" t="s">
        <v>28</v>
      </c>
      <c r="H3850" s="98">
        <v>12464</v>
      </c>
      <c r="I3850" s="29">
        <v>14063.31</v>
      </c>
      <c r="J3850" s="12" t="s">
        <v>31</v>
      </c>
      <c r="K3850" s="76">
        <f t="shared" si="275"/>
        <v>14063.31</v>
      </c>
      <c r="L3850">
        <v>1</v>
      </c>
      <c r="M3850" s="29">
        <v>0</v>
      </c>
      <c r="N3850" t="s">
        <v>32</v>
      </c>
      <c r="O3850" t="s">
        <v>33</v>
      </c>
      <c r="P3850" t="s">
        <v>34</v>
      </c>
      <c r="Q3850" t="s">
        <v>34</v>
      </c>
      <c r="R3850" t="s">
        <v>34</v>
      </c>
      <c r="S3850" t="s">
        <v>34</v>
      </c>
      <c r="T3850" s="117">
        <v>0</v>
      </c>
    </row>
    <row r="3851" spans="1:21" x14ac:dyDescent="0.35">
      <c r="A3851" t="s">
        <v>19</v>
      </c>
      <c r="B3851" t="s">
        <v>23</v>
      </c>
      <c r="C3851" s="1">
        <v>45812</v>
      </c>
      <c r="D3851">
        <f t="shared" si="276"/>
        <v>4</v>
      </c>
      <c r="E3851">
        <f t="shared" si="277"/>
        <v>6</v>
      </c>
      <c r="F3851">
        <f t="shared" si="278"/>
        <v>2025</v>
      </c>
      <c r="G3851" t="s">
        <v>28</v>
      </c>
      <c r="H3851" s="98">
        <v>12468</v>
      </c>
      <c r="I3851" s="29">
        <v>35.4</v>
      </c>
      <c r="J3851" s="12" t="s">
        <v>31</v>
      </c>
      <c r="K3851" s="76">
        <f t="shared" si="275"/>
        <v>35.4</v>
      </c>
      <c r="L3851">
        <v>1</v>
      </c>
      <c r="M3851" s="29">
        <v>0</v>
      </c>
      <c r="N3851" t="s">
        <v>32</v>
      </c>
      <c r="O3851" t="s">
        <v>33</v>
      </c>
      <c r="P3851" t="s">
        <v>34</v>
      </c>
      <c r="Q3851" t="s">
        <v>34</v>
      </c>
      <c r="R3851" t="s">
        <v>34</v>
      </c>
      <c r="S3851" t="s">
        <v>34</v>
      </c>
      <c r="T3851" s="117">
        <v>0</v>
      </c>
    </row>
    <row r="3852" spans="1:21" x14ac:dyDescent="0.35">
      <c r="A3852" t="s">
        <v>19</v>
      </c>
      <c r="B3852" t="s">
        <v>23</v>
      </c>
      <c r="C3852" s="1">
        <v>45812</v>
      </c>
      <c r="D3852">
        <f t="shared" si="276"/>
        <v>4</v>
      </c>
      <c r="E3852">
        <f t="shared" si="277"/>
        <v>6</v>
      </c>
      <c r="F3852">
        <f t="shared" si="278"/>
        <v>2025</v>
      </c>
      <c r="G3852" t="s">
        <v>28</v>
      </c>
      <c r="H3852" s="98">
        <v>12389</v>
      </c>
      <c r="I3852" s="29">
        <v>9079.7999999999993</v>
      </c>
      <c r="J3852" s="12" t="s">
        <v>31</v>
      </c>
      <c r="K3852" s="76">
        <f t="shared" si="275"/>
        <v>9079.7999999999993</v>
      </c>
      <c r="L3852">
        <v>1</v>
      </c>
      <c r="M3852" s="29">
        <v>0</v>
      </c>
      <c r="N3852" t="s">
        <v>32</v>
      </c>
      <c r="O3852" t="s">
        <v>33</v>
      </c>
      <c r="P3852" t="s">
        <v>34</v>
      </c>
      <c r="Q3852" t="s">
        <v>34</v>
      </c>
      <c r="R3852" t="s">
        <v>34</v>
      </c>
      <c r="S3852" t="s">
        <v>34</v>
      </c>
      <c r="T3852" s="117">
        <v>0</v>
      </c>
    </row>
    <row r="3853" spans="1:21" x14ac:dyDescent="0.35">
      <c r="A3853" t="s">
        <v>19</v>
      </c>
      <c r="B3853" t="s">
        <v>21</v>
      </c>
      <c r="C3853" s="1">
        <v>45812</v>
      </c>
      <c r="D3853">
        <f t="shared" si="276"/>
        <v>4</v>
      </c>
      <c r="E3853">
        <f t="shared" si="277"/>
        <v>6</v>
      </c>
      <c r="F3853">
        <f t="shared" si="278"/>
        <v>2025</v>
      </c>
      <c r="G3853" t="s">
        <v>76</v>
      </c>
      <c r="H3853" s="98">
        <v>12826</v>
      </c>
      <c r="I3853" s="29">
        <v>107913.95</v>
      </c>
      <c r="J3853" s="12" t="s">
        <v>31</v>
      </c>
      <c r="K3853" s="76">
        <f t="shared" si="275"/>
        <v>107913.95</v>
      </c>
      <c r="L3853">
        <v>1</v>
      </c>
      <c r="M3853" s="29">
        <v>0</v>
      </c>
      <c r="N3853" t="s">
        <v>32</v>
      </c>
      <c r="O3853" t="s">
        <v>33</v>
      </c>
      <c r="P3853" t="s">
        <v>34</v>
      </c>
      <c r="Q3853" t="s">
        <v>34</v>
      </c>
      <c r="R3853" t="s">
        <v>34</v>
      </c>
      <c r="S3853" t="s">
        <v>34</v>
      </c>
      <c r="T3853" s="117">
        <v>0</v>
      </c>
    </row>
    <row r="3854" spans="1:21" x14ac:dyDescent="0.35">
      <c r="A3854" t="s">
        <v>19</v>
      </c>
      <c r="B3854" t="s">
        <v>23</v>
      </c>
      <c r="C3854" s="1">
        <v>45812</v>
      </c>
      <c r="D3854">
        <f t="shared" si="276"/>
        <v>4</v>
      </c>
      <c r="E3854">
        <f t="shared" si="277"/>
        <v>6</v>
      </c>
      <c r="F3854">
        <f t="shared" si="278"/>
        <v>2025</v>
      </c>
      <c r="G3854" t="s">
        <v>76</v>
      </c>
      <c r="H3854" s="98">
        <v>12826</v>
      </c>
      <c r="I3854" s="29">
        <v>26021.3</v>
      </c>
      <c r="J3854" s="12" t="s">
        <v>31</v>
      </c>
      <c r="K3854" s="76">
        <f t="shared" si="275"/>
        <v>26021.3</v>
      </c>
      <c r="L3854">
        <v>1</v>
      </c>
      <c r="M3854" s="29">
        <v>0</v>
      </c>
      <c r="N3854" t="s">
        <v>32</v>
      </c>
      <c r="O3854" t="s">
        <v>33</v>
      </c>
      <c r="P3854" t="s">
        <v>34</v>
      </c>
      <c r="Q3854" t="s">
        <v>34</v>
      </c>
      <c r="R3854" t="s">
        <v>34</v>
      </c>
      <c r="S3854" t="s">
        <v>34</v>
      </c>
      <c r="T3854" s="117">
        <v>0</v>
      </c>
    </row>
    <row r="3855" spans="1:21" x14ac:dyDescent="0.35">
      <c r="A3855" t="s">
        <v>19</v>
      </c>
      <c r="B3855" t="s">
        <v>21</v>
      </c>
      <c r="C3855" s="1">
        <v>45812</v>
      </c>
      <c r="D3855">
        <f t="shared" si="276"/>
        <v>4</v>
      </c>
      <c r="E3855">
        <f t="shared" si="277"/>
        <v>6</v>
      </c>
      <c r="F3855">
        <f t="shared" si="278"/>
        <v>2025</v>
      </c>
      <c r="G3855" t="s">
        <v>76</v>
      </c>
      <c r="H3855" s="98">
        <v>12867</v>
      </c>
      <c r="I3855" s="29">
        <v>11993.5</v>
      </c>
      <c r="J3855" s="12" t="s">
        <v>31</v>
      </c>
      <c r="K3855" s="76">
        <f t="shared" si="275"/>
        <v>11993.5</v>
      </c>
      <c r="L3855">
        <v>1</v>
      </c>
      <c r="M3855" s="29">
        <v>0</v>
      </c>
      <c r="N3855" t="s">
        <v>42</v>
      </c>
      <c r="O3855" t="s">
        <v>33</v>
      </c>
      <c r="P3855" t="s">
        <v>34</v>
      </c>
      <c r="Q3855" t="s">
        <v>34</v>
      </c>
      <c r="R3855" t="s">
        <v>34</v>
      </c>
      <c r="S3855" t="s">
        <v>34</v>
      </c>
      <c r="T3855" s="117">
        <v>0</v>
      </c>
    </row>
    <row r="3856" spans="1:21" x14ac:dyDescent="0.35">
      <c r="A3856" t="s">
        <v>19</v>
      </c>
      <c r="B3856" t="s">
        <v>25</v>
      </c>
      <c r="C3856" s="1">
        <v>45812</v>
      </c>
      <c r="D3856">
        <f t="shared" si="276"/>
        <v>4</v>
      </c>
      <c r="E3856">
        <f t="shared" si="277"/>
        <v>6</v>
      </c>
      <c r="F3856">
        <f t="shared" si="278"/>
        <v>2025</v>
      </c>
      <c r="G3856" t="s">
        <v>351</v>
      </c>
      <c r="H3856" s="98">
        <v>12316</v>
      </c>
      <c r="I3856" s="29">
        <v>1747.88</v>
      </c>
      <c r="J3856" s="12" t="s">
        <v>31</v>
      </c>
      <c r="K3856" s="76">
        <f t="shared" si="275"/>
        <v>1747.88</v>
      </c>
      <c r="L3856">
        <v>1</v>
      </c>
      <c r="M3856" s="29">
        <v>0</v>
      </c>
      <c r="N3856" t="s">
        <v>32</v>
      </c>
      <c r="O3856" t="s">
        <v>33</v>
      </c>
      <c r="P3856" t="s">
        <v>34</v>
      </c>
      <c r="Q3856" t="s">
        <v>34</v>
      </c>
      <c r="R3856" t="s">
        <v>34</v>
      </c>
      <c r="S3856" t="s">
        <v>34</v>
      </c>
      <c r="T3856" s="117">
        <v>0</v>
      </c>
    </row>
    <row r="3857" spans="1:21" x14ac:dyDescent="0.35">
      <c r="A3857" t="s">
        <v>19</v>
      </c>
      <c r="B3857" t="s">
        <v>25</v>
      </c>
      <c r="C3857" s="1">
        <v>45812</v>
      </c>
      <c r="D3857">
        <f t="shared" si="276"/>
        <v>4</v>
      </c>
      <c r="E3857">
        <f t="shared" si="277"/>
        <v>6</v>
      </c>
      <c r="F3857">
        <f t="shared" si="278"/>
        <v>2025</v>
      </c>
      <c r="G3857" t="s">
        <v>1146</v>
      </c>
      <c r="H3857" s="98">
        <v>12486</v>
      </c>
      <c r="I3857" s="29">
        <v>18158.490000000002</v>
      </c>
      <c r="J3857" s="12" t="s">
        <v>51</v>
      </c>
      <c r="K3857" s="76">
        <f t="shared" si="275"/>
        <v>20736.995579999999</v>
      </c>
      <c r="L3857">
        <v>1.1419999999999999</v>
      </c>
      <c r="M3857" s="29">
        <v>0</v>
      </c>
      <c r="N3857" t="s">
        <v>32</v>
      </c>
      <c r="O3857" t="s">
        <v>33</v>
      </c>
      <c r="P3857" t="s">
        <v>34</v>
      </c>
      <c r="Q3857" t="s">
        <v>34</v>
      </c>
      <c r="R3857" t="s">
        <v>34</v>
      </c>
      <c r="S3857" t="s">
        <v>34</v>
      </c>
      <c r="T3857" s="117">
        <v>0</v>
      </c>
      <c r="U3857" s="209" t="s">
        <v>94</v>
      </c>
    </row>
    <row r="3858" spans="1:21" x14ac:dyDescent="0.35">
      <c r="A3858" t="s">
        <v>19</v>
      </c>
      <c r="B3858" t="s">
        <v>25</v>
      </c>
      <c r="C3858" s="1">
        <v>45812</v>
      </c>
      <c r="D3858">
        <f t="shared" si="276"/>
        <v>4</v>
      </c>
      <c r="E3858">
        <f t="shared" si="277"/>
        <v>6</v>
      </c>
      <c r="F3858">
        <f t="shared" si="278"/>
        <v>2025</v>
      </c>
      <c r="G3858" t="s">
        <v>1146</v>
      </c>
      <c r="H3858" s="98">
        <v>12483</v>
      </c>
      <c r="I3858" s="29">
        <v>184.5</v>
      </c>
      <c r="J3858" s="12" t="s">
        <v>51</v>
      </c>
      <c r="K3858" s="76">
        <f t="shared" si="275"/>
        <v>210.69899999999998</v>
      </c>
      <c r="L3858">
        <v>1.1419999999999999</v>
      </c>
      <c r="M3858" s="29">
        <v>0</v>
      </c>
      <c r="N3858" t="s">
        <v>32</v>
      </c>
      <c r="O3858" t="s">
        <v>33</v>
      </c>
      <c r="P3858" t="s">
        <v>34</v>
      </c>
      <c r="Q3858" t="s">
        <v>34</v>
      </c>
      <c r="R3858" t="s">
        <v>34</v>
      </c>
      <c r="S3858" t="s">
        <v>34</v>
      </c>
      <c r="T3858" s="117">
        <v>0</v>
      </c>
      <c r="U3858" s="209" t="s">
        <v>94</v>
      </c>
    </row>
    <row r="3859" spans="1:21" x14ac:dyDescent="0.35">
      <c r="A3859" t="s">
        <v>19</v>
      </c>
      <c r="B3859" t="s">
        <v>21</v>
      </c>
      <c r="C3859" s="1">
        <v>45812</v>
      </c>
      <c r="D3859">
        <f t="shared" si="276"/>
        <v>4</v>
      </c>
      <c r="E3859">
        <f t="shared" si="277"/>
        <v>6</v>
      </c>
      <c r="F3859">
        <f t="shared" si="278"/>
        <v>2025</v>
      </c>
      <c r="G3859" t="s">
        <v>36</v>
      </c>
      <c r="H3859" s="98">
        <v>12274</v>
      </c>
      <c r="I3859" s="29">
        <v>84810.43</v>
      </c>
      <c r="J3859" s="12" t="s">
        <v>31</v>
      </c>
      <c r="K3859" s="76">
        <f t="shared" si="275"/>
        <v>84810.43</v>
      </c>
      <c r="L3859">
        <v>1</v>
      </c>
      <c r="M3859" s="29">
        <v>0</v>
      </c>
      <c r="N3859" t="s">
        <v>42</v>
      </c>
      <c r="O3859" t="s">
        <v>33</v>
      </c>
      <c r="P3859" t="s">
        <v>34</v>
      </c>
      <c r="Q3859" t="s">
        <v>34</v>
      </c>
      <c r="R3859" t="s">
        <v>34</v>
      </c>
      <c r="S3859" t="s">
        <v>34</v>
      </c>
      <c r="T3859" s="117">
        <v>0</v>
      </c>
    </row>
    <row r="3860" spans="1:21" x14ac:dyDescent="0.35">
      <c r="A3860" t="s">
        <v>19</v>
      </c>
      <c r="B3860" t="s">
        <v>21</v>
      </c>
      <c r="C3860" s="1">
        <v>45812</v>
      </c>
      <c r="D3860">
        <f t="shared" si="276"/>
        <v>4</v>
      </c>
      <c r="E3860">
        <f t="shared" si="277"/>
        <v>6</v>
      </c>
      <c r="F3860">
        <f t="shared" si="278"/>
        <v>2025</v>
      </c>
      <c r="G3860" t="s">
        <v>36</v>
      </c>
      <c r="H3860" s="98">
        <v>12627</v>
      </c>
      <c r="I3860" s="29">
        <v>150.30000000000001</v>
      </c>
      <c r="J3860" s="12" t="s">
        <v>31</v>
      </c>
      <c r="K3860" s="76">
        <f t="shared" si="275"/>
        <v>150.30000000000001</v>
      </c>
      <c r="L3860">
        <v>1</v>
      </c>
      <c r="M3860" s="29">
        <v>0</v>
      </c>
      <c r="N3860" t="s">
        <v>32</v>
      </c>
      <c r="O3860" t="s">
        <v>33</v>
      </c>
      <c r="P3860" t="s">
        <v>34</v>
      </c>
      <c r="Q3860" t="s">
        <v>34</v>
      </c>
      <c r="R3860" t="s">
        <v>34</v>
      </c>
      <c r="S3860" t="s">
        <v>34</v>
      </c>
      <c r="T3860" s="117">
        <v>0</v>
      </c>
    </row>
    <row r="3861" spans="1:21" x14ac:dyDescent="0.35">
      <c r="A3861" t="s">
        <v>19</v>
      </c>
      <c r="B3861" t="s">
        <v>21</v>
      </c>
      <c r="C3861" s="1">
        <v>45812</v>
      </c>
      <c r="D3861">
        <f t="shared" si="276"/>
        <v>4</v>
      </c>
      <c r="E3861">
        <f t="shared" si="277"/>
        <v>6</v>
      </c>
      <c r="F3861">
        <f t="shared" si="278"/>
        <v>2025</v>
      </c>
      <c r="G3861" t="s">
        <v>36</v>
      </c>
      <c r="H3861" s="98">
        <v>12762</v>
      </c>
      <c r="I3861" s="29">
        <v>78</v>
      </c>
      <c r="J3861" s="12" t="s">
        <v>31</v>
      </c>
      <c r="K3861" s="76">
        <f t="shared" si="275"/>
        <v>78</v>
      </c>
      <c r="L3861">
        <v>1</v>
      </c>
      <c r="M3861" s="29">
        <v>0</v>
      </c>
      <c r="N3861" t="s">
        <v>32</v>
      </c>
      <c r="O3861" t="s">
        <v>33</v>
      </c>
      <c r="P3861" t="s">
        <v>34</v>
      </c>
      <c r="Q3861" t="s">
        <v>34</v>
      </c>
      <c r="R3861" t="s">
        <v>34</v>
      </c>
      <c r="S3861" t="s">
        <v>34</v>
      </c>
      <c r="T3861" s="117">
        <v>0</v>
      </c>
    </row>
    <row r="3862" spans="1:21" x14ac:dyDescent="0.35">
      <c r="A3862" t="s">
        <v>19</v>
      </c>
      <c r="B3862" t="s">
        <v>23</v>
      </c>
      <c r="C3862" s="1">
        <v>45812</v>
      </c>
      <c r="D3862">
        <f t="shared" si="276"/>
        <v>4</v>
      </c>
      <c r="E3862">
        <f t="shared" si="277"/>
        <v>6</v>
      </c>
      <c r="F3862">
        <f t="shared" si="278"/>
        <v>2025</v>
      </c>
      <c r="G3862" t="s">
        <v>979</v>
      </c>
      <c r="H3862" s="98">
        <v>12544</v>
      </c>
      <c r="I3862" s="29">
        <v>3185</v>
      </c>
      <c r="J3862" s="12" t="s">
        <v>31</v>
      </c>
      <c r="K3862" s="76">
        <f t="shared" si="275"/>
        <v>3185</v>
      </c>
      <c r="L3862">
        <v>1</v>
      </c>
      <c r="M3862" s="29">
        <v>0</v>
      </c>
      <c r="N3862" t="s">
        <v>32</v>
      </c>
      <c r="O3862" t="s">
        <v>33</v>
      </c>
      <c r="P3862" t="s">
        <v>34</v>
      </c>
      <c r="Q3862" t="s">
        <v>34</v>
      </c>
      <c r="R3862" t="s">
        <v>34</v>
      </c>
      <c r="S3862" t="s">
        <v>34</v>
      </c>
      <c r="T3862" s="117">
        <v>0</v>
      </c>
    </row>
    <row r="3863" spans="1:21" x14ac:dyDescent="0.35">
      <c r="A3863" t="s">
        <v>19</v>
      </c>
      <c r="B3863" t="s">
        <v>21</v>
      </c>
      <c r="C3863" s="1">
        <v>45812</v>
      </c>
      <c r="D3863">
        <f t="shared" si="276"/>
        <v>4</v>
      </c>
      <c r="E3863">
        <f t="shared" si="277"/>
        <v>6</v>
      </c>
      <c r="F3863">
        <f t="shared" si="278"/>
        <v>2025</v>
      </c>
      <c r="G3863" t="s">
        <v>285</v>
      </c>
      <c r="H3863" s="98">
        <v>12764</v>
      </c>
      <c r="I3863" s="29">
        <v>18.100000000000001</v>
      </c>
      <c r="J3863" s="12" t="s">
        <v>31</v>
      </c>
      <c r="K3863" s="76">
        <f t="shared" si="275"/>
        <v>18.100000000000001</v>
      </c>
      <c r="L3863">
        <v>1</v>
      </c>
      <c r="M3863" s="29">
        <v>0</v>
      </c>
      <c r="N3863" t="s">
        <v>42</v>
      </c>
      <c r="O3863" t="s">
        <v>33</v>
      </c>
      <c r="P3863" t="s">
        <v>34</v>
      </c>
      <c r="Q3863" t="s">
        <v>34</v>
      </c>
      <c r="R3863" t="s">
        <v>34</v>
      </c>
      <c r="S3863" t="s">
        <v>34</v>
      </c>
      <c r="T3863" s="117">
        <v>0</v>
      </c>
      <c r="U3863" s="209" t="s">
        <v>1304</v>
      </c>
    </row>
    <row r="3864" spans="1:21" x14ac:dyDescent="0.35">
      <c r="A3864" t="s">
        <v>19</v>
      </c>
      <c r="B3864" t="s">
        <v>21</v>
      </c>
      <c r="C3864" s="1">
        <v>45812</v>
      </c>
      <c r="D3864">
        <f t="shared" si="276"/>
        <v>4</v>
      </c>
      <c r="E3864">
        <f t="shared" si="277"/>
        <v>6</v>
      </c>
      <c r="F3864">
        <f t="shared" si="278"/>
        <v>2025</v>
      </c>
      <c r="G3864" t="s">
        <v>285</v>
      </c>
      <c r="H3864" s="98">
        <v>12765</v>
      </c>
      <c r="I3864" s="29">
        <v>4995.6000000000004</v>
      </c>
      <c r="J3864" s="12" t="s">
        <v>31</v>
      </c>
      <c r="K3864" s="76">
        <f t="shared" si="275"/>
        <v>4995.6000000000004</v>
      </c>
      <c r="L3864">
        <v>1</v>
      </c>
      <c r="M3864" s="29">
        <v>0</v>
      </c>
      <c r="N3864" t="s">
        <v>42</v>
      </c>
      <c r="O3864" t="s">
        <v>33</v>
      </c>
      <c r="P3864" t="s">
        <v>34</v>
      </c>
      <c r="Q3864" t="s">
        <v>34</v>
      </c>
      <c r="R3864" t="s">
        <v>34</v>
      </c>
      <c r="S3864" t="s">
        <v>34</v>
      </c>
      <c r="T3864" s="117">
        <v>0</v>
      </c>
      <c r="U3864" s="209" t="s">
        <v>1350</v>
      </c>
    </row>
    <row r="3865" spans="1:21" x14ac:dyDescent="0.35">
      <c r="A3865" t="s">
        <v>20</v>
      </c>
      <c r="B3865" t="s">
        <v>25</v>
      </c>
      <c r="C3865" s="1">
        <v>45812</v>
      </c>
      <c r="D3865">
        <f t="shared" si="276"/>
        <v>4</v>
      </c>
      <c r="E3865">
        <f t="shared" si="277"/>
        <v>6</v>
      </c>
      <c r="F3865">
        <f t="shared" si="278"/>
        <v>2025</v>
      </c>
      <c r="G3865" t="s">
        <v>121</v>
      </c>
      <c r="H3865" s="98">
        <v>11831</v>
      </c>
      <c r="I3865" s="29">
        <v>132</v>
      </c>
      <c r="J3865" s="12" t="s">
        <v>31</v>
      </c>
      <c r="K3865" s="76">
        <f t="shared" si="275"/>
        <v>132</v>
      </c>
      <c r="L3865">
        <v>1</v>
      </c>
      <c r="M3865" s="29">
        <v>0</v>
      </c>
      <c r="N3865" t="s">
        <v>32</v>
      </c>
      <c r="O3865" t="s">
        <v>33</v>
      </c>
      <c r="P3865" t="s">
        <v>34</v>
      </c>
      <c r="Q3865" t="s">
        <v>34</v>
      </c>
      <c r="R3865" t="s">
        <v>34</v>
      </c>
      <c r="S3865" t="s">
        <v>34</v>
      </c>
      <c r="T3865" s="117">
        <v>0</v>
      </c>
    </row>
    <row r="3866" spans="1:21" x14ac:dyDescent="0.35">
      <c r="A3866" t="s">
        <v>20</v>
      </c>
      <c r="B3866" t="s">
        <v>23</v>
      </c>
      <c r="C3866" s="1">
        <v>45812</v>
      </c>
      <c r="D3866">
        <f t="shared" si="276"/>
        <v>4</v>
      </c>
      <c r="E3866">
        <f t="shared" si="277"/>
        <v>6</v>
      </c>
      <c r="F3866">
        <f t="shared" si="278"/>
        <v>2025</v>
      </c>
      <c r="G3866" t="s">
        <v>121</v>
      </c>
      <c r="H3866" s="98">
        <v>11890</v>
      </c>
      <c r="I3866" s="29">
        <v>82</v>
      </c>
      <c r="J3866" s="12" t="s">
        <v>31</v>
      </c>
      <c r="K3866" s="76">
        <f t="shared" si="275"/>
        <v>82</v>
      </c>
      <c r="L3866">
        <v>1</v>
      </c>
      <c r="M3866" s="29">
        <v>0</v>
      </c>
      <c r="N3866" t="s">
        <v>32</v>
      </c>
      <c r="O3866" t="s">
        <v>33</v>
      </c>
      <c r="P3866" t="s">
        <v>34</v>
      </c>
      <c r="Q3866" t="s">
        <v>34</v>
      </c>
      <c r="R3866" t="s">
        <v>34</v>
      </c>
      <c r="S3866" t="s">
        <v>34</v>
      </c>
      <c r="T3866" s="117">
        <v>0</v>
      </c>
    </row>
    <row r="3867" spans="1:21" x14ac:dyDescent="0.35">
      <c r="A3867" t="s">
        <v>20</v>
      </c>
      <c r="B3867" t="s">
        <v>23</v>
      </c>
      <c r="C3867" s="1">
        <v>45812</v>
      </c>
      <c r="D3867">
        <f t="shared" si="276"/>
        <v>4</v>
      </c>
      <c r="E3867">
        <f t="shared" si="277"/>
        <v>6</v>
      </c>
      <c r="F3867">
        <f t="shared" si="278"/>
        <v>2025</v>
      </c>
      <c r="G3867" t="s">
        <v>265</v>
      </c>
      <c r="H3867" s="98">
        <v>12376</v>
      </c>
      <c r="I3867" s="29">
        <v>2806.32</v>
      </c>
      <c r="J3867" s="12" t="s">
        <v>31</v>
      </c>
      <c r="K3867" s="76">
        <f t="shared" si="275"/>
        <v>2806.32</v>
      </c>
      <c r="L3867">
        <v>1</v>
      </c>
      <c r="M3867" s="29">
        <v>0</v>
      </c>
      <c r="N3867" t="s">
        <v>42</v>
      </c>
      <c r="O3867" t="s">
        <v>33</v>
      </c>
      <c r="P3867" t="s">
        <v>34</v>
      </c>
      <c r="Q3867" t="s">
        <v>34</v>
      </c>
      <c r="R3867" t="s">
        <v>34</v>
      </c>
      <c r="S3867" t="s">
        <v>34</v>
      </c>
      <c r="T3867" s="117">
        <v>0</v>
      </c>
    </row>
    <row r="3868" spans="1:21" x14ac:dyDescent="0.35">
      <c r="A3868" t="s">
        <v>20</v>
      </c>
      <c r="B3868" t="s">
        <v>21</v>
      </c>
      <c r="C3868" s="1">
        <v>45812</v>
      </c>
      <c r="D3868">
        <f t="shared" si="276"/>
        <v>4</v>
      </c>
      <c r="E3868">
        <f t="shared" si="277"/>
        <v>6</v>
      </c>
      <c r="F3868">
        <f t="shared" si="278"/>
        <v>2025</v>
      </c>
      <c r="G3868" t="s">
        <v>45</v>
      </c>
      <c r="H3868" s="98">
        <v>12083</v>
      </c>
      <c r="I3868" s="29">
        <v>19923.53</v>
      </c>
      <c r="J3868" s="12" t="s">
        <v>31</v>
      </c>
      <c r="K3868" s="76">
        <f t="shared" si="275"/>
        <v>19923.53</v>
      </c>
      <c r="L3868">
        <v>1</v>
      </c>
      <c r="M3868" s="29">
        <v>0</v>
      </c>
      <c r="N3868" t="s">
        <v>32</v>
      </c>
      <c r="O3868" t="s">
        <v>33</v>
      </c>
      <c r="P3868" t="s">
        <v>34</v>
      </c>
      <c r="Q3868" t="s">
        <v>34</v>
      </c>
      <c r="R3868" t="s">
        <v>34</v>
      </c>
      <c r="S3868" t="s">
        <v>34</v>
      </c>
      <c r="T3868" s="117">
        <v>0</v>
      </c>
    </row>
    <row r="3869" spans="1:21" x14ac:dyDescent="0.35">
      <c r="A3869" t="s">
        <v>20</v>
      </c>
      <c r="B3869" t="s">
        <v>23</v>
      </c>
      <c r="C3869" s="1">
        <v>45812</v>
      </c>
      <c r="D3869">
        <f t="shared" si="276"/>
        <v>4</v>
      </c>
      <c r="E3869">
        <f t="shared" si="277"/>
        <v>6</v>
      </c>
      <c r="F3869">
        <f t="shared" si="278"/>
        <v>2025</v>
      </c>
      <c r="G3869" t="s">
        <v>45</v>
      </c>
      <c r="H3869" s="98">
        <v>12083</v>
      </c>
      <c r="I3869" s="29">
        <v>5328.6</v>
      </c>
      <c r="J3869" s="12" t="s">
        <v>31</v>
      </c>
      <c r="K3869" s="76">
        <f t="shared" si="275"/>
        <v>5328.6</v>
      </c>
      <c r="L3869">
        <v>1</v>
      </c>
      <c r="M3869" s="29">
        <v>0</v>
      </c>
      <c r="N3869" t="s">
        <v>32</v>
      </c>
      <c r="O3869" t="s">
        <v>33</v>
      </c>
      <c r="P3869" t="s">
        <v>34</v>
      </c>
      <c r="Q3869" t="s">
        <v>34</v>
      </c>
      <c r="R3869" t="s">
        <v>34</v>
      </c>
      <c r="S3869" t="s">
        <v>34</v>
      </c>
      <c r="T3869" s="117">
        <v>0</v>
      </c>
    </row>
    <row r="3870" spans="1:21" x14ac:dyDescent="0.35">
      <c r="A3870" t="s">
        <v>20</v>
      </c>
      <c r="B3870" t="s">
        <v>21</v>
      </c>
      <c r="C3870" s="1">
        <v>45812</v>
      </c>
      <c r="D3870">
        <f t="shared" si="276"/>
        <v>4</v>
      </c>
      <c r="E3870">
        <f t="shared" si="277"/>
        <v>6</v>
      </c>
      <c r="F3870">
        <f t="shared" si="278"/>
        <v>2025</v>
      </c>
      <c r="G3870" t="s">
        <v>45</v>
      </c>
      <c r="H3870" s="98">
        <v>12404</v>
      </c>
      <c r="I3870" s="29">
        <v>169.6</v>
      </c>
      <c r="J3870" s="12" t="s">
        <v>31</v>
      </c>
      <c r="K3870" s="76">
        <f t="shared" si="275"/>
        <v>169.6</v>
      </c>
      <c r="L3870">
        <v>1</v>
      </c>
      <c r="M3870" s="29">
        <v>0</v>
      </c>
      <c r="N3870" t="s">
        <v>32</v>
      </c>
      <c r="O3870" t="s">
        <v>33</v>
      </c>
      <c r="P3870" t="s">
        <v>34</v>
      </c>
      <c r="Q3870" t="s">
        <v>34</v>
      </c>
      <c r="R3870" t="s">
        <v>34</v>
      </c>
      <c r="S3870" t="s">
        <v>34</v>
      </c>
      <c r="T3870" s="117">
        <v>0</v>
      </c>
    </row>
    <row r="3871" spans="1:21" x14ac:dyDescent="0.35">
      <c r="A3871" t="s">
        <v>20</v>
      </c>
      <c r="B3871" t="s">
        <v>23</v>
      </c>
      <c r="C3871" s="1">
        <v>45812</v>
      </c>
      <c r="D3871">
        <f t="shared" si="276"/>
        <v>4</v>
      </c>
      <c r="E3871">
        <f t="shared" si="277"/>
        <v>6</v>
      </c>
      <c r="F3871">
        <f t="shared" si="278"/>
        <v>2025</v>
      </c>
      <c r="G3871" t="s">
        <v>82</v>
      </c>
      <c r="H3871" s="98">
        <v>12193</v>
      </c>
      <c r="I3871" s="29">
        <v>13802.18</v>
      </c>
      <c r="J3871" s="12" t="s">
        <v>31</v>
      </c>
      <c r="K3871" s="76">
        <f t="shared" si="275"/>
        <v>13802.18</v>
      </c>
      <c r="L3871">
        <v>1</v>
      </c>
      <c r="M3871" s="29">
        <v>0</v>
      </c>
      <c r="N3871" t="s">
        <v>32</v>
      </c>
      <c r="O3871" t="s">
        <v>33</v>
      </c>
      <c r="P3871" t="s">
        <v>34</v>
      </c>
      <c r="Q3871" t="s">
        <v>34</v>
      </c>
      <c r="R3871" t="s">
        <v>34</v>
      </c>
      <c r="S3871" t="s">
        <v>34</v>
      </c>
      <c r="T3871" s="117">
        <v>0</v>
      </c>
    </row>
    <row r="3872" spans="1:21" x14ac:dyDescent="0.35">
      <c r="A3872" t="s">
        <v>20</v>
      </c>
      <c r="B3872" t="s">
        <v>23</v>
      </c>
      <c r="C3872" s="1">
        <v>45812</v>
      </c>
      <c r="D3872">
        <f t="shared" si="276"/>
        <v>4</v>
      </c>
      <c r="E3872">
        <f t="shared" si="277"/>
        <v>6</v>
      </c>
      <c r="F3872">
        <f t="shared" si="278"/>
        <v>2025</v>
      </c>
      <c r="G3872" t="s">
        <v>82</v>
      </c>
      <c r="H3872" s="98">
        <v>12194</v>
      </c>
      <c r="I3872" s="29">
        <v>14435.48</v>
      </c>
      <c r="J3872" s="12" t="s">
        <v>31</v>
      </c>
      <c r="K3872" s="76">
        <f t="shared" si="275"/>
        <v>14435.48</v>
      </c>
      <c r="L3872">
        <v>1</v>
      </c>
      <c r="M3872" s="29">
        <v>0</v>
      </c>
      <c r="N3872" t="s">
        <v>32</v>
      </c>
      <c r="O3872" t="s">
        <v>33</v>
      </c>
      <c r="P3872" t="s">
        <v>34</v>
      </c>
      <c r="Q3872" t="s">
        <v>34</v>
      </c>
      <c r="R3872" t="s">
        <v>34</v>
      </c>
      <c r="S3872" t="s">
        <v>34</v>
      </c>
      <c r="T3872" s="117">
        <v>0</v>
      </c>
    </row>
    <row r="3873" spans="1:21" x14ac:dyDescent="0.35">
      <c r="A3873" t="s">
        <v>20</v>
      </c>
      <c r="B3873" t="s">
        <v>23</v>
      </c>
      <c r="C3873" s="1">
        <v>45812</v>
      </c>
      <c r="D3873">
        <f t="shared" si="276"/>
        <v>4</v>
      </c>
      <c r="E3873">
        <f t="shared" si="277"/>
        <v>6</v>
      </c>
      <c r="F3873">
        <f t="shared" si="278"/>
        <v>2025</v>
      </c>
      <c r="G3873" t="s">
        <v>82</v>
      </c>
      <c r="H3873" s="98">
        <v>12386</v>
      </c>
      <c r="I3873" s="29">
        <v>2500.83</v>
      </c>
      <c r="J3873" s="12" t="s">
        <v>31</v>
      </c>
      <c r="K3873" s="76">
        <f t="shared" si="275"/>
        <v>2500.83</v>
      </c>
      <c r="L3873">
        <v>1</v>
      </c>
      <c r="M3873" s="29">
        <v>0</v>
      </c>
      <c r="N3873" t="s">
        <v>32</v>
      </c>
      <c r="O3873" t="s">
        <v>33</v>
      </c>
      <c r="P3873" t="s">
        <v>34</v>
      </c>
      <c r="Q3873" t="s">
        <v>34</v>
      </c>
      <c r="R3873" t="s">
        <v>34</v>
      </c>
      <c r="S3873" t="s">
        <v>34</v>
      </c>
      <c r="T3873" s="117">
        <v>0</v>
      </c>
    </row>
    <row r="3874" spans="1:21" x14ac:dyDescent="0.35">
      <c r="A3874" t="s">
        <v>20</v>
      </c>
      <c r="B3874" t="s">
        <v>21</v>
      </c>
      <c r="C3874" s="1">
        <v>45812</v>
      </c>
      <c r="D3874">
        <f t="shared" si="276"/>
        <v>4</v>
      </c>
      <c r="E3874">
        <f t="shared" si="277"/>
        <v>6</v>
      </c>
      <c r="F3874">
        <f t="shared" si="278"/>
        <v>2025</v>
      </c>
      <c r="G3874" t="s">
        <v>82</v>
      </c>
      <c r="H3874" s="98">
        <v>12224</v>
      </c>
      <c r="I3874" s="29">
        <v>79.599999999999994</v>
      </c>
      <c r="J3874" s="12" t="s">
        <v>31</v>
      </c>
      <c r="K3874" s="76">
        <f t="shared" si="275"/>
        <v>79.599999999999994</v>
      </c>
      <c r="L3874">
        <v>1</v>
      </c>
      <c r="M3874" s="29">
        <v>0</v>
      </c>
      <c r="N3874" t="s">
        <v>32</v>
      </c>
      <c r="O3874" t="s">
        <v>33</v>
      </c>
      <c r="P3874" t="s">
        <v>34</v>
      </c>
      <c r="Q3874" t="s">
        <v>34</v>
      </c>
      <c r="R3874" t="s">
        <v>34</v>
      </c>
      <c r="S3874" t="s">
        <v>34</v>
      </c>
      <c r="T3874" s="117">
        <v>0</v>
      </c>
    </row>
    <row r="3875" spans="1:21" x14ac:dyDescent="0.35">
      <c r="A3875" t="s">
        <v>20</v>
      </c>
      <c r="B3875" t="s">
        <v>23</v>
      </c>
      <c r="C3875" s="1">
        <v>45812</v>
      </c>
      <c r="D3875">
        <f t="shared" si="276"/>
        <v>4</v>
      </c>
      <c r="E3875">
        <f t="shared" si="277"/>
        <v>6</v>
      </c>
      <c r="F3875">
        <f t="shared" si="278"/>
        <v>2025</v>
      </c>
      <c r="G3875" t="s">
        <v>82</v>
      </c>
      <c r="H3875" s="98">
        <v>12383</v>
      </c>
      <c r="I3875" s="29">
        <v>31</v>
      </c>
      <c r="J3875" s="12" t="s">
        <v>31</v>
      </c>
      <c r="K3875" s="76">
        <f t="shared" si="275"/>
        <v>31</v>
      </c>
      <c r="L3875">
        <v>1</v>
      </c>
      <c r="M3875" s="29">
        <v>0</v>
      </c>
      <c r="N3875" t="s">
        <v>32</v>
      </c>
      <c r="O3875" t="s">
        <v>33</v>
      </c>
      <c r="P3875" t="s">
        <v>34</v>
      </c>
      <c r="Q3875" t="s">
        <v>34</v>
      </c>
      <c r="R3875" t="s">
        <v>34</v>
      </c>
      <c r="S3875" t="s">
        <v>34</v>
      </c>
      <c r="T3875" s="117">
        <v>0</v>
      </c>
    </row>
    <row r="3876" spans="1:21" x14ac:dyDescent="0.35">
      <c r="A3876" t="s">
        <v>20</v>
      </c>
      <c r="B3876" t="s">
        <v>24</v>
      </c>
      <c r="C3876" s="1">
        <v>45812</v>
      </c>
      <c r="D3876">
        <f t="shared" si="276"/>
        <v>4</v>
      </c>
      <c r="E3876">
        <f t="shared" si="277"/>
        <v>6</v>
      </c>
      <c r="F3876">
        <f t="shared" si="278"/>
        <v>2025</v>
      </c>
      <c r="G3876" t="s">
        <v>174</v>
      </c>
      <c r="H3876" s="98">
        <v>12969</v>
      </c>
      <c r="I3876" s="29">
        <v>156</v>
      </c>
      <c r="J3876" s="12" t="s">
        <v>31</v>
      </c>
      <c r="K3876" s="76">
        <f t="shared" si="275"/>
        <v>156</v>
      </c>
      <c r="L3876">
        <v>1</v>
      </c>
      <c r="M3876" s="29">
        <v>0</v>
      </c>
      <c r="N3876" t="s">
        <v>42</v>
      </c>
      <c r="O3876" t="s">
        <v>33</v>
      </c>
      <c r="P3876" t="s">
        <v>34</v>
      </c>
      <c r="Q3876" t="s">
        <v>34</v>
      </c>
      <c r="R3876" t="s">
        <v>34</v>
      </c>
      <c r="S3876" t="s">
        <v>34</v>
      </c>
      <c r="T3876" s="117">
        <v>0</v>
      </c>
      <c r="U3876" s="209" t="s">
        <v>1177</v>
      </c>
    </row>
    <row r="3877" spans="1:21" x14ac:dyDescent="0.35">
      <c r="A3877" t="s">
        <v>20</v>
      </c>
      <c r="B3877" t="s">
        <v>24</v>
      </c>
      <c r="C3877" s="1">
        <v>45812</v>
      </c>
      <c r="D3877">
        <f t="shared" si="276"/>
        <v>4</v>
      </c>
      <c r="E3877">
        <f t="shared" si="277"/>
        <v>6</v>
      </c>
      <c r="F3877">
        <f t="shared" si="278"/>
        <v>2025</v>
      </c>
      <c r="G3877" t="s">
        <v>174</v>
      </c>
      <c r="H3877" s="98">
        <v>13493</v>
      </c>
      <c r="I3877" s="29">
        <v>6.4</v>
      </c>
      <c r="J3877" s="12" t="s">
        <v>31</v>
      </c>
      <c r="K3877" s="76">
        <f t="shared" si="275"/>
        <v>6.4</v>
      </c>
      <c r="L3877">
        <v>1</v>
      </c>
      <c r="M3877" s="29">
        <v>0</v>
      </c>
      <c r="N3877" t="s">
        <v>42</v>
      </c>
      <c r="O3877" t="s">
        <v>33</v>
      </c>
      <c r="P3877" t="s">
        <v>34</v>
      </c>
      <c r="Q3877" t="s">
        <v>34</v>
      </c>
      <c r="R3877" t="s">
        <v>34</v>
      </c>
      <c r="S3877" t="s">
        <v>34</v>
      </c>
      <c r="T3877" s="117">
        <v>0</v>
      </c>
      <c r="U3877" s="209" t="s">
        <v>1177</v>
      </c>
    </row>
    <row r="3878" spans="1:21" x14ac:dyDescent="0.35">
      <c r="A3878" t="s">
        <v>20</v>
      </c>
      <c r="B3878" t="s">
        <v>24</v>
      </c>
      <c r="C3878" s="1">
        <v>45812</v>
      </c>
      <c r="D3878">
        <f t="shared" si="276"/>
        <v>4</v>
      </c>
      <c r="E3878">
        <f t="shared" si="277"/>
        <v>6</v>
      </c>
      <c r="F3878">
        <f t="shared" si="278"/>
        <v>2025</v>
      </c>
      <c r="G3878" t="s">
        <v>174</v>
      </c>
      <c r="H3878" s="98">
        <v>12890</v>
      </c>
      <c r="I3878" s="29">
        <v>2192.4</v>
      </c>
      <c r="J3878" s="12" t="s">
        <v>31</v>
      </c>
      <c r="K3878" s="76">
        <f t="shared" si="275"/>
        <v>2192.4</v>
      </c>
      <c r="L3878">
        <v>1</v>
      </c>
      <c r="M3878" s="29">
        <v>0</v>
      </c>
      <c r="N3878" t="s">
        <v>42</v>
      </c>
      <c r="O3878" t="s">
        <v>33</v>
      </c>
      <c r="P3878" t="s">
        <v>34</v>
      </c>
      <c r="Q3878" t="s">
        <v>34</v>
      </c>
      <c r="R3878" t="s">
        <v>34</v>
      </c>
      <c r="S3878" t="s">
        <v>34</v>
      </c>
      <c r="T3878" s="117">
        <v>0</v>
      </c>
    </row>
    <row r="3879" spans="1:21" x14ac:dyDescent="0.35">
      <c r="A3879" t="s">
        <v>20</v>
      </c>
      <c r="B3879" t="s">
        <v>25</v>
      </c>
      <c r="C3879" s="1">
        <v>45812</v>
      </c>
      <c r="D3879">
        <f t="shared" si="276"/>
        <v>4</v>
      </c>
      <c r="E3879">
        <f t="shared" si="277"/>
        <v>6</v>
      </c>
      <c r="F3879">
        <f t="shared" si="278"/>
        <v>2025</v>
      </c>
      <c r="G3879" t="s">
        <v>50</v>
      </c>
      <c r="H3879" s="98">
        <v>12886</v>
      </c>
      <c r="I3879" s="29">
        <v>448.5</v>
      </c>
      <c r="J3879" s="12" t="s">
        <v>31</v>
      </c>
      <c r="K3879" s="76">
        <f t="shared" si="275"/>
        <v>448.5</v>
      </c>
      <c r="L3879">
        <v>1</v>
      </c>
      <c r="M3879" s="29">
        <v>0</v>
      </c>
      <c r="N3879" t="s">
        <v>42</v>
      </c>
      <c r="O3879" t="s">
        <v>33</v>
      </c>
      <c r="P3879" t="s">
        <v>34</v>
      </c>
      <c r="Q3879" t="s">
        <v>34</v>
      </c>
      <c r="R3879" t="s">
        <v>34</v>
      </c>
      <c r="S3879" t="s">
        <v>34</v>
      </c>
      <c r="T3879" s="117">
        <v>0</v>
      </c>
    </row>
    <row r="3880" spans="1:21" x14ac:dyDescent="0.35">
      <c r="A3880" t="s">
        <v>20</v>
      </c>
      <c r="B3880" t="s">
        <v>25</v>
      </c>
      <c r="C3880" s="1">
        <v>45812</v>
      </c>
      <c r="D3880">
        <f t="shared" si="276"/>
        <v>4</v>
      </c>
      <c r="E3880">
        <f t="shared" si="277"/>
        <v>6</v>
      </c>
      <c r="F3880">
        <f t="shared" si="278"/>
        <v>2025</v>
      </c>
      <c r="G3880" t="s">
        <v>50</v>
      </c>
      <c r="H3880" s="98">
        <v>12886</v>
      </c>
      <c r="I3880" s="29">
        <v>132</v>
      </c>
      <c r="J3880" s="12" t="s">
        <v>31</v>
      </c>
      <c r="K3880" s="76">
        <f t="shared" si="275"/>
        <v>132</v>
      </c>
      <c r="L3880">
        <v>1</v>
      </c>
      <c r="M3880" s="29">
        <v>0</v>
      </c>
      <c r="N3880" t="s">
        <v>42</v>
      </c>
      <c r="O3880" t="s">
        <v>33</v>
      </c>
      <c r="P3880" t="s">
        <v>34</v>
      </c>
      <c r="Q3880" t="s">
        <v>34</v>
      </c>
      <c r="R3880" t="s">
        <v>34</v>
      </c>
      <c r="S3880" t="s">
        <v>34</v>
      </c>
      <c r="T3880" s="117">
        <v>0</v>
      </c>
    </row>
    <row r="3881" spans="1:21" x14ac:dyDescent="0.35">
      <c r="A3881" t="s">
        <v>20</v>
      </c>
      <c r="B3881" t="s">
        <v>25</v>
      </c>
      <c r="C3881" s="1">
        <v>45812</v>
      </c>
      <c r="D3881">
        <f t="shared" si="276"/>
        <v>4</v>
      </c>
      <c r="E3881">
        <f t="shared" si="277"/>
        <v>6</v>
      </c>
      <c r="F3881">
        <f t="shared" si="278"/>
        <v>2025</v>
      </c>
      <c r="G3881" t="s">
        <v>50</v>
      </c>
      <c r="H3881" s="98">
        <v>12886</v>
      </c>
      <c r="I3881" s="29">
        <v>79.8</v>
      </c>
      <c r="J3881" s="12" t="s">
        <v>31</v>
      </c>
      <c r="K3881" s="76">
        <f t="shared" si="275"/>
        <v>79.8</v>
      </c>
      <c r="L3881">
        <v>1</v>
      </c>
      <c r="M3881" s="29">
        <v>0</v>
      </c>
      <c r="N3881" t="s">
        <v>42</v>
      </c>
      <c r="O3881" t="s">
        <v>33</v>
      </c>
      <c r="P3881" t="s">
        <v>34</v>
      </c>
      <c r="Q3881" t="s">
        <v>34</v>
      </c>
      <c r="R3881" t="s">
        <v>34</v>
      </c>
      <c r="S3881" t="s">
        <v>34</v>
      </c>
      <c r="T3881" s="117">
        <v>0</v>
      </c>
    </row>
    <row r="3882" spans="1:21" x14ac:dyDescent="0.35">
      <c r="A3882" t="s">
        <v>20</v>
      </c>
      <c r="B3882" t="s">
        <v>25</v>
      </c>
      <c r="C3882" s="1">
        <v>45812</v>
      </c>
      <c r="D3882">
        <f t="shared" si="276"/>
        <v>4</v>
      </c>
      <c r="E3882">
        <f t="shared" si="277"/>
        <v>6</v>
      </c>
      <c r="F3882">
        <f t="shared" si="278"/>
        <v>2025</v>
      </c>
      <c r="G3882" t="s">
        <v>50</v>
      </c>
      <c r="H3882" s="98">
        <v>12886</v>
      </c>
      <c r="I3882" s="29">
        <v>174</v>
      </c>
      <c r="J3882" s="12" t="s">
        <v>31</v>
      </c>
      <c r="K3882" s="76">
        <f t="shared" si="275"/>
        <v>174</v>
      </c>
      <c r="L3882">
        <v>1</v>
      </c>
      <c r="M3882" s="29">
        <v>0</v>
      </c>
      <c r="N3882" t="s">
        <v>42</v>
      </c>
      <c r="O3882" t="s">
        <v>33</v>
      </c>
      <c r="P3882" t="s">
        <v>34</v>
      </c>
      <c r="Q3882" t="s">
        <v>34</v>
      </c>
      <c r="R3882" t="s">
        <v>34</v>
      </c>
      <c r="S3882" t="s">
        <v>34</v>
      </c>
      <c r="T3882" s="117">
        <v>0</v>
      </c>
    </row>
    <row r="3883" spans="1:21" x14ac:dyDescent="0.35">
      <c r="A3883" t="s">
        <v>20</v>
      </c>
      <c r="B3883" t="s">
        <v>25</v>
      </c>
      <c r="C3883" s="1">
        <v>45812</v>
      </c>
      <c r="D3883">
        <f t="shared" si="276"/>
        <v>4</v>
      </c>
      <c r="E3883">
        <f t="shared" si="277"/>
        <v>6</v>
      </c>
      <c r="F3883">
        <f t="shared" si="278"/>
        <v>2025</v>
      </c>
      <c r="G3883" t="s">
        <v>50</v>
      </c>
      <c r="H3883" s="98">
        <v>12887</v>
      </c>
      <c r="I3883" s="29">
        <v>3782.35</v>
      </c>
      <c r="J3883" s="12" t="s">
        <v>31</v>
      </c>
      <c r="K3883" s="76">
        <f t="shared" si="275"/>
        <v>3782.35</v>
      </c>
      <c r="L3883">
        <v>1</v>
      </c>
      <c r="M3883" s="29">
        <v>0</v>
      </c>
      <c r="N3883" t="s">
        <v>42</v>
      </c>
      <c r="O3883" t="s">
        <v>33</v>
      </c>
      <c r="P3883" t="s">
        <v>34</v>
      </c>
      <c r="Q3883" t="s">
        <v>34</v>
      </c>
      <c r="R3883" t="s">
        <v>34</v>
      </c>
      <c r="S3883" t="s">
        <v>34</v>
      </c>
      <c r="T3883" s="117">
        <v>0</v>
      </c>
    </row>
    <row r="3884" spans="1:21" x14ac:dyDescent="0.35">
      <c r="A3884" t="s">
        <v>20</v>
      </c>
      <c r="B3884" t="s">
        <v>25</v>
      </c>
      <c r="C3884" s="1">
        <v>45812</v>
      </c>
      <c r="D3884">
        <f t="shared" si="276"/>
        <v>4</v>
      </c>
      <c r="E3884">
        <f t="shared" si="277"/>
        <v>6</v>
      </c>
      <c r="F3884">
        <f t="shared" si="278"/>
        <v>2025</v>
      </c>
      <c r="G3884" t="s">
        <v>50</v>
      </c>
      <c r="H3884" s="98">
        <v>12887</v>
      </c>
      <c r="I3884" s="29">
        <v>2211</v>
      </c>
      <c r="J3884" s="12" t="s">
        <v>31</v>
      </c>
      <c r="K3884" s="76">
        <f t="shared" si="275"/>
        <v>2211</v>
      </c>
      <c r="L3884">
        <v>1</v>
      </c>
      <c r="M3884" s="29">
        <v>0</v>
      </c>
      <c r="N3884" t="s">
        <v>42</v>
      </c>
      <c r="O3884" t="s">
        <v>33</v>
      </c>
      <c r="P3884" t="s">
        <v>34</v>
      </c>
      <c r="Q3884" t="s">
        <v>34</v>
      </c>
      <c r="R3884" t="s">
        <v>34</v>
      </c>
      <c r="S3884" t="s">
        <v>34</v>
      </c>
      <c r="T3884" s="117">
        <v>0</v>
      </c>
    </row>
    <row r="3885" spans="1:21" x14ac:dyDescent="0.35">
      <c r="A3885" t="s">
        <v>20</v>
      </c>
      <c r="B3885" t="s">
        <v>25</v>
      </c>
      <c r="C3885" s="1">
        <v>45812</v>
      </c>
      <c r="D3885">
        <f t="shared" si="276"/>
        <v>4</v>
      </c>
      <c r="E3885">
        <f t="shared" si="277"/>
        <v>6</v>
      </c>
      <c r="F3885">
        <f t="shared" si="278"/>
        <v>2025</v>
      </c>
      <c r="G3885" t="s">
        <v>50</v>
      </c>
      <c r="H3885" s="98">
        <v>12888</v>
      </c>
      <c r="I3885" s="29">
        <v>3214.25</v>
      </c>
      <c r="J3885" s="12" t="s">
        <v>31</v>
      </c>
      <c r="K3885" s="76">
        <f t="shared" si="275"/>
        <v>3214.25</v>
      </c>
      <c r="L3885">
        <v>1</v>
      </c>
      <c r="M3885" s="29">
        <v>0</v>
      </c>
      <c r="N3885" t="s">
        <v>42</v>
      </c>
      <c r="O3885" t="s">
        <v>33</v>
      </c>
      <c r="P3885" t="s">
        <v>34</v>
      </c>
      <c r="Q3885" t="s">
        <v>34</v>
      </c>
      <c r="R3885" t="s">
        <v>34</v>
      </c>
      <c r="S3885" t="s">
        <v>34</v>
      </c>
      <c r="T3885" s="117">
        <v>0</v>
      </c>
    </row>
    <row r="3886" spans="1:21" x14ac:dyDescent="0.35">
      <c r="A3886" t="s">
        <v>20</v>
      </c>
      <c r="B3886" t="s">
        <v>25</v>
      </c>
      <c r="C3886" s="1">
        <v>45812</v>
      </c>
      <c r="D3886">
        <f t="shared" si="276"/>
        <v>4</v>
      </c>
      <c r="E3886">
        <f t="shared" si="277"/>
        <v>6</v>
      </c>
      <c r="F3886">
        <f t="shared" si="278"/>
        <v>2025</v>
      </c>
      <c r="G3886" t="s">
        <v>50</v>
      </c>
      <c r="H3886" s="98">
        <v>12888</v>
      </c>
      <c r="I3886" s="29">
        <v>1396.5</v>
      </c>
      <c r="J3886" s="12" t="s">
        <v>31</v>
      </c>
      <c r="K3886" s="76">
        <f t="shared" si="275"/>
        <v>1396.5</v>
      </c>
      <c r="L3886">
        <v>1</v>
      </c>
      <c r="M3886" s="29">
        <v>0</v>
      </c>
      <c r="N3886" t="s">
        <v>42</v>
      </c>
      <c r="O3886" t="s">
        <v>33</v>
      </c>
      <c r="P3886" t="s">
        <v>34</v>
      </c>
      <c r="Q3886" t="s">
        <v>34</v>
      </c>
      <c r="R3886" t="s">
        <v>34</v>
      </c>
      <c r="S3886" t="s">
        <v>34</v>
      </c>
      <c r="T3886" s="117">
        <v>0</v>
      </c>
    </row>
    <row r="3887" spans="1:21" x14ac:dyDescent="0.35">
      <c r="A3887" t="s">
        <v>20</v>
      </c>
      <c r="B3887" t="s">
        <v>25</v>
      </c>
      <c r="C3887" s="1">
        <v>45812</v>
      </c>
      <c r="D3887">
        <f t="shared" si="276"/>
        <v>4</v>
      </c>
      <c r="E3887">
        <f t="shared" si="277"/>
        <v>6</v>
      </c>
      <c r="F3887">
        <f t="shared" si="278"/>
        <v>2025</v>
      </c>
      <c r="G3887" t="s">
        <v>50</v>
      </c>
      <c r="H3887" s="98">
        <v>12888</v>
      </c>
      <c r="I3887" s="29">
        <v>2378</v>
      </c>
      <c r="J3887" s="12" t="s">
        <v>31</v>
      </c>
      <c r="K3887" s="76">
        <f t="shared" si="275"/>
        <v>2378</v>
      </c>
      <c r="L3887">
        <v>1</v>
      </c>
      <c r="M3887" s="29">
        <v>0</v>
      </c>
      <c r="N3887" t="s">
        <v>42</v>
      </c>
      <c r="O3887" t="s">
        <v>33</v>
      </c>
      <c r="P3887" t="s">
        <v>34</v>
      </c>
      <c r="Q3887" t="s">
        <v>34</v>
      </c>
      <c r="R3887" t="s">
        <v>34</v>
      </c>
      <c r="S3887" t="s">
        <v>34</v>
      </c>
      <c r="T3887" s="117">
        <v>0</v>
      </c>
    </row>
    <row r="3888" spans="1:21" x14ac:dyDescent="0.35">
      <c r="A3888" t="s">
        <v>20</v>
      </c>
      <c r="B3888" t="s">
        <v>21</v>
      </c>
      <c r="C3888" s="1">
        <v>45812</v>
      </c>
      <c r="D3888">
        <f t="shared" si="276"/>
        <v>4</v>
      </c>
      <c r="E3888">
        <f t="shared" si="277"/>
        <v>6</v>
      </c>
      <c r="F3888">
        <f t="shared" si="278"/>
        <v>2025</v>
      </c>
      <c r="G3888" t="s">
        <v>209</v>
      </c>
      <c r="H3888" s="98">
        <v>11650</v>
      </c>
      <c r="I3888" s="29">
        <v>7644</v>
      </c>
      <c r="J3888" s="12" t="s">
        <v>31</v>
      </c>
      <c r="K3888" s="76">
        <f t="shared" si="275"/>
        <v>7644</v>
      </c>
      <c r="L3888">
        <v>1</v>
      </c>
      <c r="M3888" s="29">
        <v>0</v>
      </c>
      <c r="N3888" t="s">
        <v>32</v>
      </c>
      <c r="O3888" t="s">
        <v>33</v>
      </c>
      <c r="P3888" t="s">
        <v>34</v>
      </c>
      <c r="Q3888" t="s">
        <v>34</v>
      </c>
      <c r="R3888" t="s">
        <v>34</v>
      </c>
      <c r="S3888" t="s">
        <v>34</v>
      </c>
      <c r="T3888" s="117">
        <v>80.44</v>
      </c>
    </row>
    <row r="3889" spans="1:21" x14ac:dyDescent="0.35">
      <c r="A3889" t="s">
        <v>20</v>
      </c>
      <c r="B3889" t="s">
        <v>24</v>
      </c>
      <c r="C3889" s="1">
        <v>45812</v>
      </c>
      <c r="D3889">
        <f t="shared" si="276"/>
        <v>4</v>
      </c>
      <c r="E3889">
        <f t="shared" si="277"/>
        <v>6</v>
      </c>
      <c r="F3889">
        <f t="shared" si="278"/>
        <v>2025</v>
      </c>
      <c r="G3889" t="s">
        <v>202</v>
      </c>
      <c r="H3889" s="98">
        <v>12232</v>
      </c>
      <c r="I3889" s="29">
        <v>50159.24</v>
      </c>
      <c r="J3889" s="12" t="s">
        <v>31</v>
      </c>
      <c r="K3889" s="76">
        <f t="shared" si="275"/>
        <v>50159.24</v>
      </c>
      <c r="L3889">
        <v>1</v>
      </c>
      <c r="M3889" s="29">
        <v>0</v>
      </c>
      <c r="N3889" t="s">
        <v>32</v>
      </c>
      <c r="O3889" t="s">
        <v>33</v>
      </c>
      <c r="P3889" t="s">
        <v>34</v>
      </c>
      <c r="Q3889" t="s">
        <v>34</v>
      </c>
      <c r="R3889" t="s">
        <v>34</v>
      </c>
      <c r="S3889" t="s">
        <v>34</v>
      </c>
      <c r="T3889" s="117">
        <v>0</v>
      </c>
    </row>
    <row r="3890" spans="1:21" x14ac:dyDescent="0.35">
      <c r="A3890" t="s">
        <v>20</v>
      </c>
      <c r="B3890" t="s">
        <v>24</v>
      </c>
      <c r="C3890" s="1">
        <v>45812</v>
      </c>
      <c r="D3890">
        <f t="shared" si="276"/>
        <v>4</v>
      </c>
      <c r="E3890">
        <f t="shared" si="277"/>
        <v>6</v>
      </c>
      <c r="F3890">
        <f t="shared" si="278"/>
        <v>2025</v>
      </c>
      <c r="G3890" t="s">
        <v>81</v>
      </c>
      <c r="H3890" s="98">
        <v>12457</v>
      </c>
      <c r="I3890" s="29">
        <v>423.45</v>
      </c>
      <c r="J3890" s="12" t="s">
        <v>31</v>
      </c>
      <c r="K3890" s="76">
        <f t="shared" si="275"/>
        <v>423.45</v>
      </c>
      <c r="L3890">
        <v>1</v>
      </c>
      <c r="M3890" s="29">
        <v>0</v>
      </c>
      <c r="N3890" t="s">
        <v>32</v>
      </c>
      <c r="O3890" t="s">
        <v>33</v>
      </c>
      <c r="P3890" t="s">
        <v>34</v>
      </c>
      <c r="Q3890" t="s">
        <v>34</v>
      </c>
      <c r="R3890" t="s">
        <v>34</v>
      </c>
      <c r="S3890" t="s">
        <v>34</v>
      </c>
      <c r="T3890" s="117">
        <v>0</v>
      </c>
    </row>
    <row r="3891" spans="1:21" x14ac:dyDescent="0.35">
      <c r="A3891" t="s">
        <v>20</v>
      </c>
      <c r="B3891" t="s">
        <v>23</v>
      </c>
      <c r="C3891" s="1">
        <v>45812</v>
      </c>
      <c r="D3891">
        <f t="shared" si="276"/>
        <v>4</v>
      </c>
      <c r="E3891">
        <f t="shared" si="277"/>
        <v>6</v>
      </c>
      <c r="F3891">
        <f t="shared" si="278"/>
        <v>2025</v>
      </c>
      <c r="G3891" t="s">
        <v>177</v>
      </c>
      <c r="H3891" s="98">
        <v>12425</v>
      </c>
      <c r="I3891" s="29">
        <v>10639.2</v>
      </c>
      <c r="J3891" s="12" t="s">
        <v>31</v>
      </c>
      <c r="K3891" s="76">
        <f t="shared" si="275"/>
        <v>10639.2</v>
      </c>
      <c r="L3891">
        <v>1</v>
      </c>
      <c r="M3891" s="29">
        <v>0</v>
      </c>
      <c r="N3891" t="s">
        <v>32</v>
      </c>
      <c r="O3891" t="s">
        <v>33</v>
      </c>
      <c r="P3891" t="s">
        <v>34</v>
      </c>
      <c r="Q3891" t="s">
        <v>34</v>
      </c>
      <c r="R3891" t="s">
        <v>34</v>
      </c>
      <c r="S3891" t="s">
        <v>34</v>
      </c>
      <c r="T3891" s="117">
        <v>0</v>
      </c>
    </row>
    <row r="3892" spans="1:21" x14ac:dyDescent="0.35">
      <c r="A3892" t="s">
        <v>20</v>
      </c>
      <c r="B3892" t="s">
        <v>23</v>
      </c>
      <c r="C3892" s="1">
        <v>45812</v>
      </c>
      <c r="D3892">
        <f t="shared" si="276"/>
        <v>4</v>
      </c>
      <c r="E3892">
        <f t="shared" si="277"/>
        <v>6</v>
      </c>
      <c r="F3892">
        <f t="shared" si="278"/>
        <v>2025</v>
      </c>
      <c r="G3892" t="s">
        <v>177</v>
      </c>
      <c r="H3892" s="98">
        <v>12421</v>
      </c>
      <c r="I3892" s="29">
        <v>77532.94</v>
      </c>
      <c r="J3892" s="12" t="s">
        <v>31</v>
      </c>
      <c r="K3892" s="76">
        <f t="shared" si="275"/>
        <v>77532.94</v>
      </c>
      <c r="L3892">
        <v>1</v>
      </c>
      <c r="M3892" s="29">
        <v>0</v>
      </c>
      <c r="N3892" t="s">
        <v>32</v>
      </c>
      <c r="O3892" t="s">
        <v>33</v>
      </c>
      <c r="P3892" t="s">
        <v>34</v>
      </c>
      <c r="Q3892" t="s">
        <v>34</v>
      </c>
      <c r="R3892" t="s">
        <v>34</v>
      </c>
      <c r="S3892" t="s">
        <v>34</v>
      </c>
      <c r="T3892" s="117">
        <v>0</v>
      </c>
    </row>
    <row r="3893" spans="1:21" x14ac:dyDescent="0.35">
      <c r="A3893" t="s">
        <v>20</v>
      </c>
      <c r="B3893" t="s">
        <v>25</v>
      </c>
      <c r="C3893" s="1">
        <v>45812</v>
      </c>
      <c r="D3893">
        <f t="shared" si="276"/>
        <v>4</v>
      </c>
      <c r="E3893">
        <f t="shared" si="277"/>
        <v>6</v>
      </c>
      <c r="F3893">
        <f t="shared" si="278"/>
        <v>2025</v>
      </c>
      <c r="G3893" t="s">
        <v>566</v>
      </c>
      <c r="H3893" s="98">
        <v>12413</v>
      </c>
      <c r="I3893" s="29">
        <v>14451.996000000005</v>
      </c>
      <c r="J3893" s="12" t="s">
        <v>31</v>
      </c>
      <c r="K3893" s="76">
        <f t="shared" si="275"/>
        <v>14451.996000000005</v>
      </c>
      <c r="L3893">
        <v>1</v>
      </c>
      <c r="M3893" s="29">
        <v>0</v>
      </c>
      <c r="N3893" t="s">
        <v>42</v>
      </c>
      <c r="O3893" t="s">
        <v>33</v>
      </c>
      <c r="P3893" t="s">
        <v>34</v>
      </c>
      <c r="Q3893" t="s">
        <v>34</v>
      </c>
      <c r="R3893" t="s">
        <v>34</v>
      </c>
      <c r="S3893" t="s">
        <v>34</v>
      </c>
      <c r="T3893" s="117">
        <v>0</v>
      </c>
    </row>
    <row r="3894" spans="1:21" x14ac:dyDescent="0.35">
      <c r="A3894" t="s">
        <v>20</v>
      </c>
      <c r="B3894" t="s">
        <v>25</v>
      </c>
      <c r="C3894" s="1">
        <v>45812</v>
      </c>
      <c r="D3894">
        <f t="shared" si="276"/>
        <v>4</v>
      </c>
      <c r="E3894">
        <f t="shared" si="277"/>
        <v>6</v>
      </c>
      <c r="F3894">
        <f t="shared" si="278"/>
        <v>2025</v>
      </c>
      <c r="G3894" t="s">
        <v>566</v>
      </c>
      <c r="H3894" s="98">
        <v>12414</v>
      </c>
      <c r="I3894" s="29">
        <v>45.440000000000055</v>
      </c>
      <c r="J3894" s="12" t="s">
        <v>31</v>
      </c>
      <c r="K3894" s="76">
        <f t="shared" si="275"/>
        <v>45.440000000000055</v>
      </c>
      <c r="L3894">
        <v>1</v>
      </c>
      <c r="M3894" s="29">
        <v>0</v>
      </c>
      <c r="N3894" t="s">
        <v>42</v>
      </c>
      <c r="O3894" t="s">
        <v>33</v>
      </c>
      <c r="P3894" t="s">
        <v>34</v>
      </c>
      <c r="Q3894" t="s">
        <v>34</v>
      </c>
      <c r="R3894" t="s">
        <v>34</v>
      </c>
      <c r="S3894" t="s">
        <v>34</v>
      </c>
      <c r="T3894" s="117">
        <v>0</v>
      </c>
    </row>
    <row r="3895" spans="1:21" x14ac:dyDescent="0.35">
      <c r="A3895" t="s">
        <v>20</v>
      </c>
      <c r="B3895" t="s">
        <v>23</v>
      </c>
      <c r="C3895" s="1">
        <v>45812</v>
      </c>
      <c r="D3895">
        <f t="shared" si="276"/>
        <v>4</v>
      </c>
      <c r="E3895">
        <f t="shared" si="277"/>
        <v>6</v>
      </c>
      <c r="F3895">
        <f t="shared" si="278"/>
        <v>2025</v>
      </c>
      <c r="G3895" t="s">
        <v>90</v>
      </c>
      <c r="H3895" s="98">
        <v>12433</v>
      </c>
      <c r="I3895" s="29">
        <v>107.4</v>
      </c>
      <c r="J3895" s="12" t="s">
        <v>31</v>
      </c>
      <c r="K3895" s="76">
        <f t="shared" si="275"/>
        <v>107.4</v>
      </c>
      <c r="L3895">
        <v>1</v>
      </c>
      <c r="M3895" s="29">
        <v>0</v>
      </c>
      <c r="N3895" t="s">
        <v>32</v>
      </c>
      <c r="O3895" t="s">
        <v>33</v>
      </c>
      <c r="P3895" t="s">
        <v>34</v>
      </c>
      <c r="Q3895" t="s">
        <v>34</v>
      </c>
      <c r="R3895" t="s">
        <v>34</v>
      </c>
      <c r="S3895" t="s">
        <v>34</v>
      </c>
      <c r="T3895" s="117">
        <v>0</v>
      </c>
    </row>
    <row r="3896" spans="1:21" x14ac:dyDescent="0.35">
      <c r="A3896" t="s">
        <v>20</v>
      </c>
      <c r="B3896" t="s">
        <v>23</v>
      </c>
      <c r="C3896" s="1">
        <v>45812</v>
      </c>
      <c r="D3896">
        <f t="shared" si="276"/>
        <v>4</v>
      </c>
      <c r="E3896">
        <f t="shared" si="277"/>
        <v>6</v>
      </c>
      <c r="F3896">
        <f t="shared" si="278"/>
        <v>2025</v>
      </c>
      <c r="G3896" t="s">
        <v>90</v>
      </c>
      <c r="H3896" s="98">
        <v>12623</v>
      </c>
      <c r="I3896" s="29">
        <v>67.180000000000007</v>
      </c>
      <c r="J3896" s="12" t="s">
        <v>31</v>
      </c>
      <c r="K3896" s="76">
        <f t="shared" si="275"/>
        <v>67.180000000000007</v>
      </c>
      <c r="L3896">
        <v>1</v>
      </c>
      <c r="M3896" s="29">
        <v>0</v>
      </c>
      <c r="N3896" t="s">
        <v>32</v>
      </c>
      <c r="O3896" t="s">
        <v>33</v>
      </c>
      <c r="P3896" t="s">
        <v>34</v>
      </c>
      <c r="Q3896" t="s">
        <v>34</v>
      </c>
      <c r="R3896" t="s">
        <v>34</v>
      </c>
      <c r="S3896" t="s">
        <v>34</v>
      </c>
      <c r="T3896" s="117">
        <v>0</v>
      </c>
    </row>
    <row r="3897" spans="1:21" x14ac:dyDescent="0.35">
      <c r="A3897" t="s">
        <v>20</v>
      </c>
      <c r="B3897" t="s">
        <v>21</v>
      </c>
      <c r="C3897" s="1">
        <v>45812</v>
      </c>
      <c r="D3897">
        <f t="shared" si="276"/>
        <v>4</v>
      </c>
      <c r="E3897">
        <f t="shared" si="277"/>
        <v>6</v>
      </c>
      <c r="F3897">
        <f t="shared" si="278"/>
        <v>2025</v>
      </c>
      <c r="G3897" t="s">
        <v>46</v>
      </c>
      <c r="H3897" s="121">
        <v>12371</v>
      </c>
      <c r="I3897" s="29">
        <v>29492.67</v>
      </c>
      <c r="J3897" s="12" t="s">
        <v>31</v>
      </c>
      <c r="K3897" s="76">
        <f t="shared" si="275"/>
        <v>29492.67</v>
      </c>
      <c r="L3897">
        <v>1</v>
      </c>
      <c r="M3897" s="29">
        <v>0</v>
      </c>
      <c r="N3897" t="s">
        <v>42</v>
      </c>
      <c r="O3897" t="s">
        <v>33</v>
      </c>
      <c r="P3897" t="s">
        <v>34</v>
      </c>
      <c r="Q3897" t="s">
        <v>34</v>
      </c>
      <c r="R3897" t="s">
        <v>34</v>
      </c>
      <c r="S3897" t="s">
        <v>34</v>
      </c>
      <c r="T3897" s="117">
        <v>0</v>
      </c>
    </row>
    <row r="3898" spans="1:21" x14ac:dyDescent="0.35">
      <c r="A3898" t="s">
        <v>20</v>
      </c>
      <c r="B3898" t="s">
        <v>23</v>
      </c>
      <c r="C3898" s="1">
        <v>45812</v>
      </c>
      <c r="D3898">
        <f t="shared" si="276"/>
        <v>4</v>
      </c>
      <c r="E3898">
        <f t="shared" si="277"/>
        <v>6</v>
      </c>
      <c r="F3898">
        <f t="shared" si="278"/>
        <v>2025</v>
      </c>
      <c r="G3898" t="s">
        <v>46</v>
      </c>
      <c r="H3898" s="121">
        <v>12371</v>
      </c>
      <c r="I3898" s="29">
        <v>4827.8999999999996</v>
      </c>
      <c r="J3898" s="12" t="s">
        <v>31</v>
      </c>
      <c r="K3898" s="76">
        <f t="shared" si="275"/>
        <v>4827.8999999999996</v>
      </c>
      <c r="L3898">
        <v>1</v>
      </c>
      <c r="M3898" s="29">
        <v>0</v>
      </c>
      <c r="N3898" t="s">
        <v>42</v>
      </c>
      <c r="O3898" t="s">
        <v>33</v>
      </c>
      <c r="P3898" t="s">
        <v>34</v>
      </c>
      <c r="Q3898" t="s">
        <v>34</v>
      </c>
      <c r="R3898" t="s">
        <v>34</v>
      </c>
      <c r="S3898" t="s">
        <v>34</v>
      </c>
      <c r="T3898" s="117">
        <v>0</v>
      </c>
    </row>
    <row r="3899" spans="1:21" x14ac:dyDescent="0.35">
      <c r="A3899" t="s">
        <v>20</v>
      </c>
      <c r="B3899" t="s">
        <v>23</v>
      </c>
      <c r="C3899" s="1">
        <v>45812</v>
      </c>
      <c r="D3899">
        <f t="shared" si="276"/>
        <v>4</v>
      </c>
      <c r="E3899">
        <f t="shared" si="277"/>
        <v>6</v>
      </c>
      <c r="F3899">
        <f t="shared" si="278"/>
        <v>2025</v>
      </c>
      <c r="G3899" t="s">
        <v>46</v>
      </c>
      <c r="H3899" s="121">
        <v>12808</v>
      </c>
      <c r="I3899" s="29">
        <v>26.2</v>
      </c>
      <c r="J3899" s="12" t="s">
        <v>31</v>
      </c>
      <c r="K3899" s="76">
        <f t="shared" si="275"/>
        <v>26.2</v>
      </c>
      <c r="L3899">
        <v>1</v>
      </c>
      <c r="M3899" s="29">
        <v>0</v>
      </c>
      <c r="N3899" t="s">
        <v>42</v>
      </c>
      <c r="O3899" t="s">
        <v>33</v>
      </c>
      <c r="P3899" t="s">
        <v>34</v>
      </c>
      <c r="Q3899" t="s">
        <v>34</v>
      </c>
      <c r="R3899" t="s">
        <v>34</v>
      </c>
      <c r="S3899" t="s">
        <v>34</v>
      </c>
      <c r="T3899" s="117">
        <v>0</v>
      </c>
      <c r="U3899" s="209" t="s">
        <v>1200</v>
      </c>
    </row>
    <row r="3900" spans="1:21" x14ac:dyDescent="0.35">
      <c r="A3900" t="s">
        <v>20</v>
      </c>
      <c r="B3900" t="s">
        <v>23</v>
      </c>
      <c r="C3900" s="1">
        <v>45812</v>
      </c>
      <c r="D3900">
        <f t="shared" si="276"/>
        <v>4</v>
      </c>
      <c r="E3900">
        <f t="shared" si="277"/>
        <v>6</v>
      </c>
      <c r="F3900">
        <f t="shared" si="278"/>
        <v>2025</v>
      </c>
      <c r="G3900" t="s">
        <v>46</v>
      </c>
      <c r="H3900" s="121">
        <v>12884</v>
      </c>
      <c r="I3900" s="29">
        <v>1572</v>
      </c>
      <c r="J3900" s="12" t="s">
        <v>31</v>
      </c>
      <c r="K3900" s="76">
        <f t="shared" si="275"/>
        <v>1572</v>
      </c>
      <c r="L3900">
        <v>1</v>
      </c>
      <c r="M3900" s="29">
        <v>0</v>
      </c>
      <c r="N3900" t="s">
        <v>42</v>
      </c>
      <c r="O3900" t="s">
        <v>33</v>
      </c>
      <c r="P3900" t="s">
        <v>34</v>
      </c>
      <c r="Q3900" t="s">
        <v>34</v>
      </c>
      <c r="R3900" t="s">
        <v>34</v>
      </c>
      <c r="S3900" t="s">
        <v>34</v>
      </c>
      <c r="T3900" s="117">
        <v>0</v>
      </c>
    </row>
    <row r="3901" spans="1:21" x14ac:dyDescent="0.35">
      <c r="A3901" t="s">
        <v>20</v>
      </c>
      <c r="B3901" t="s">
        <v>21</v>
      </c>
      <c r="C3901" s="1">
        <v>45812</v>
      </c>
      <c r="D3901">
        <f t="shared" si="276"/>
        <v>4</v>
      </c>
      <c r="E3901">
        <f t="shared" si="277"/>
        <v>6</v>
      </c>
      <c r="F3901">
        <f t="shared" si="278"/>
        <v>2025</v>
      </c>
      <c r="G3901" t="s">
        <v>46</v>
      </c>
      <c r="H3901" s="121">
        <v>12883</v>
      </c>
      <c r="I3901" s="29">
        <v>61.6</v>
      </c>
      <c r="J3901" s="12" t="s">
        <v>31</v>
      </c>
      <c r="K3901" s="76">
        <f t="shared" si="275"/>
        <v>61.6</v>
      </c>
      <c r="L3901">
        <v>1</v>
      </c>
      <c r="M3901" s="29">
        <v>0</v>
      </c>
      <c r="N3901" t="s">
        <v>42</v>
      </c>
      <c r="O3901" t="s">
        <v>33</v>
      </c>
      <c r="P3901" t="s">
        <v>34</v>
      </c>
      <c r="Q3901" t="s">
        <v>34</v>
      </c>
      <c r="R3901" t="s">
        <v>34</v>
      </c>
      <c r="S3901" t="s">
        <v>34</v>
      </c>
      <c r="T3901" s="117">
        <v>0</v>
      </c>
      <c r="U3901" s="209" t="s">
        <v>1375</v>
      </c>
    </row>
    <row r="3902" spans="1:21" x14ac:dyDescent="0.35">
      <c r="A3902" t="s">
        <v>20</v>
      </c>
      <c r="B3902" t="s">
        <v>21</v>
      </c>
      <c r="C3902" s="1">
        <v>45812</v>
      </c>
      <c r="D3902">
        <f t="shared" si="276"/>
        <v>4</v>
      </c>
      <c r="E3902">
        <f t="shared" si="277"/>
        <v>6</v>
      </c>
      <c r="F3902">
        <f t="shared" si="278"/>
        <v>2025</v>
      </c>
      <c r="G3902" t="s">
        <v>46</v>
      </c>
      <c r="H3902" s="121">
        <v>12808</v>
      </c>
      <c r="I3902" s="29">
        <v>2003.848</v>
      </c>
      <c r="J3902" s="12" t="s">
        <v>31</v>
      </c>
      <c r="K3902" s="76">
        <f t="shared" si="275"/>
        <v>2003.848</v>
      </c>
      <c r="L3902">
        <v>1</v>
      </c>
      <c r="M3902" s="29">
        <v>0</v>
      </c>
      <c r="N3902" t="s">
        <v>42</v>
      </c>
      <c r="O3902" t="s">
        <v>33</v>
      </c>
      <c r="P3902" t="s">
        <v>34</v>
      </c>
      <c r="Q3902" t="s">
        <v>34</v>
      </c>
      <c r="R3902" t="s">
        <v>34</v>
      </c>
      <c r="S3902" t="s">
        <v>34</v>
      </c>
      <c r="T3902" s="117">
        <v>0</v>
      </c>
      <c r="U3902" s="209" t="s">
        <v>1199</v>
      </c>
    </row>
    <row r="3903" spans="1:21" x14ac:dyDescent="0.35">
      <c r="A3903" t="s">
        <v>20</v>
      </c>
      <c r="B3903" t="s">
        <v>21</v>
      </c>
      <c r="C3903" s="1">
        <v>45812</v>
      </c>
      <c r="D3903">
        <f t="shared" si="276"/>
        <v>4</v>
      </c>
      <c r="E3903">
        <f t="shared" si="277"/>
        <v>6</v>
      </c>
      <c r="F3903">
        <f t="shared" si="278"/>
        <v>2025</v>
      </c>
      <c r="G3903" t="s">
        <v>43</v>
      </c>
      <c r="H3903" s="121">
        <v>12450</v>
      </c>
      <c r="I3903" s="29">
        <v>24029.279999999999</v>
      </c>
      <c r="J3903" s="12" t="s">
        <v>31</v>
      </c>
      <c r="K3903" s="76">
        <f t="shared" si="275"/>
        <v>24029.279999999999</v>
      </c>
      <c r="L3903">
        <v>1</v>
      </c>
      <c r="M3903" s="29">
        <v>0</v>
      </c>
      <c r="N3903" t="s">
        <v>32</v>
      </c>
      <c r="O3903" t="s">
        <v>33</v>
      </c>
      <c r="P3903" t="s">
        <v>34</v>
      </c>
      <c r="Q3903" t="s">
        <v>34</v>
      </c>
      <c r="R3903" t="s">
        <v>34</v>
      </c>
      <c r="S3903" t="s">
        <v>34</v>
      </c>
      <c r="T3903" s="117">
        <v>0</v>
      </c>
    </row>
    <row r="3904" spans="1:21" x14ac:dyDescent="0.35">
      <c r="A3904" t="s">
        <v>20</v>
      </c>
      <c r="B3904" t="s">
        <v>23</v>
      </c>
      <c r="C3904" s="1">
        <v>45812</v>
      </c>
      <c r="D3904">
        <f t="shared" si="276"/>
        <v>4</v>
      </c>
      <c r="E3904">
        <f t="shared" si="277"/>
        <v>6</v>
      </c>
      <c r="F3904">
        <f t="shared" si="278"/>
        <v>2025</v>
      </c>
      <c r="G3904" t="s">
        <v>43</v>
      </c>
      <c r="H3904" s="98">
        <v>12450</v>
      </c>
      <c r="I3904" s="29">
        <v>10264.14</v>
      </c>
      <c r="J3904" s="12" t="s">
        <v>31</v>
      </c>
      <c r="K3904" s="76">
        <f t="shared" si="275"/>
        <v>10264.14</v>
      </c>
      <c r="L3904">
        <v>1</v>
      </c>
      <c r="M3904" s="29">
        <v>0</v>
      </c>
      <c r="N3904" t="s">
        <v>32</v>
      </c>
      <c r="O3904" t="s">
        <v>33</v>
      </c>
      <c r="P3904" t="s">
        <v>34</v>
      </c>
      <c r="Q3904" t="s">
        <v>34</v>
      </c>
      <c r="R3904" t="s">
        <v>34</v>
      </c>
      <c r="S3904" t="s">
        <v>34</v>
      </c>
      <c r="T3904" s="117">
        <v>0</v>
      </c>
    </row>
    <row r="3905" spans="1:20" x14ac:dyDescent="0.35">
      <c r="A3905" t="s">
        <v>20</v>
      </c>
      <c r="B3905" t="s">
        <v>24</v>
      </c>
      <c r="C3905" s="1">
        <v>45812</v>
      </c>
      <c r="D3905">
        <f t="shared" si="276"/>
        <v>4</v>
      </c>
      <c r="E3905">
        <f t="shared" si="277"/>
        <v>6</v>
      </c>
      <c r="F3905">
        <f t="shared" si="278"/>
        <v>2025</v>
      </c>
      <c r="G3905" t="s">
        <v>43</v>
      </c>
      <c r="H3905" s="98">
        <v>12432</v>
      </c>
      <c r="I3905" s="29">
        <v>31049.22</v>
      </c>
      <c r="J3905" s="12" t="s">
        <v>31</v>
      </c>
      <c r="K3905" s="76">
        <f t="shared" si="275"/>
        <v>31049.22</v>
      </c>
      <c r="L3905">
        <v>1</v>
      </c>
      <c r="M3905" s="29">
        <v>0</v>
      </c>
      <c r="N3905" t="s">
        <v>32</v>
      </c>
      <c r="O3905" t="s">
        <v>33</v>
      </c>
      <c r="P3905" t="s">
        <v>34</v>
      </c>
      <c r="Q3905" t="s">
        <v>34</v>
      </c>
      <c r="R3905" t="s">
        <v>34</v>
      </c>
      <c r="S3905" t="s">
        <v>34</v>
      </c>
      <c r="T3905" s="117">
        <v>0</v>
      </c>
    </row>
    <row r="3906" spans="1:20" x14ac:dyDescent="0.35">
      <c r="A3906" t="s">
        <v>20</v>
      </c>
      <c r="B3906" t="s">
        <v>25</v>
      </c>
      <c r="C3906" s="1">
        <v>45812</v>
      </c>
      <c r="D3906">
        <f t="shared" si="276"/>
        <v>4</v>
      </c>
      <c r="E3906">
        <f t="shared" si="277"/>
        <v>6</v>
      </c>
      <c r="F3906">
        <f t="shared" si="278"/>
        <v>2025</v>
      </c>
      <c r="G3906" t="s">
        <v>43</v>
      </c>
      <c r="H3906" s="98">
        <v>12524</v>
      </c>
      <c r="I3906" s="29">
        <v>188.6</v>
      </c>
      <c r="J3906" s="12" t="s">
        <v>31</v>
      </c>
      <c r="K3906" s="76">
        <f t="shared" si="275"/>
        <v>188.6</v>
      </c>
      <c r="L3906">
        <v>1</v>
      </c>
      <c r="M3906" s="29">
        <v>0</v>
      </c>
      <c r="N3906" t="s">
        <v>32</v>
      </c>
      <c r="O3906" t="s">
        <v>33</v>
      </c>
      <c r="P3906" t="s">
        <v>34</v>
      </c>
      <c r="Q3906" t="s">
        <v>34</v>
      </c>
      <c r="R3906" t="s">
        <v>34</v>
      </c>
      <c r="S3906" t="s">
        <v>34</v>
      </c>
      <c r="T3906" s="117">
        <v>0</v>
      </c>
    </row>
    <row r="3907" spans="1:20" x14ac:dyDescent="0.35">
      <c r="A3907" t="s">
        <v>19</v>
      </c>
      <c r="B3907" t="s">
        <v>19</v>
      </c>
      <c r="C3907" s="1">
        <v>45812</v>
      </c>
      <c r="D3907">
        <f t="shared" si="276"/>
        <v>4</v>
      </c>
      <c r="E3907">
        <f t="shared" si="277"/>
        <v>6</v>
      </c>
      <c r="F3907">
        <f t="shared" si="278"/>
        <v>2025</v>
      </c>
      <c r="G3907" t="s">
        <v>90</v>
      </c>
      <c r="H3907" s="98" t="s">
        <v>1078</v>
      </c>
      <c r="I3907" s="29">
        <v>171364.06</v>
      </c>
      <c r="J3907" s="12" t="s">
        <v>31</v>
      </c>
      <c r="K3907" s="76">
        <f t="shared" si="275"/>
        <v>171364.06</v>
      </c>
      <c r="L3907">
        <v>1</v>
      </c>
      <c r="M3907" s="29">
        <v>0</v>
      </c>
      <c r="N3907" t="s">
        <v>32</v>
      </c>
      <c r="O3907" t="s">
        <v>33</v>
      </c>
      <c r="P3907" t="s">
        <v>34</v>
      </c>
      <c r="Q3907" t="s">
        <v>34</v>
      </c>
      <c r="R3907" t="s">
        <v>34</v>
      </c>
      <c r="S3907" t="s">
        <v>34</v>
      </c>
      <c r="T3907" s="117">
        <v>0</v>
      </c>
    </row>
    <row r="3908" spans="1:20" x14ac:dyDescent="0.35">
      <c r="A3908" t="s">
        <v>19</v>
      </c>
      <c r="B3908" t="s">
        <v>19</v>
      </c>
      <c r="C3908" s="1">
        <v>45812</v>
      </c>
      <c r="D3908">
        <f t="shared" si="276"/>
        <v>4</v>
      </c>
      <c r="E3908">
        <f t="shared" si="277"/>
        <v>6</v>
      </c>
      <c r="F3908">
        <f t="shared" si="278"/>
        <v>2025</v>
      </c>
      <c r="G3908" t="s">
        <v>106</v>
      </c>
      <c r="H3908" s="98" t="s">
        <v>1059</v>
      </c>
      <c r="I3908" s="29">
        <v>103394.62</v>
      </c>
      <c r="J3908" s="12" t="s">
        <v>31</v>
      </c>
      <c r="K3908" s="76">
        <f t="shared" ref="K3908:K3971" si="279">IF(J3908="USD",I3908,I3908*L3908)</f>
        <v>103394.62</v>
      </c>
      <c r="L3908">
        <v>1</v>
      </c>
      <c r="M3908" s="29">
        <v>0</v>
      </c>
      <c r="N3908" t="s">
        <v>32</v>
      </c>
      <c r="O3908" t="s">
        <v>33</v>
      </c>
      <c r="P3908" t="s">
        <v>34</v>
      </c>
      <c r="Q3908" t="s">
        <v>34</v>
      </c>
      <c r="R3908" t="s">
        <v>34</v>
      </c>
      <c r="S3908" t="s">
        <v>34</v>
      </c>
      <c r="T3908" s="117">
        <v>0</v>
      </c>
    </row>
    <row r="3909" spans="1:20" x14ac:dyDescent="0.35">
      <c r="A3909" t="s">
        <v>19</v>
      </c>
      <c r="B3909" t="s">
        <v>19</v>
      </c>
      <c r="C3909" s="1">
        <v>45812</v>
      </c>
      <c r="D3909">
        <f t="shared" ref="D3909:D3972" si="280">DAY(C3909)</f>
        <v>4</v>
      </c>
      <c r="E3909">
        <f t="shared" ref="E3909:E3972" si="281">MONTH(C3909)</f>
        <v>6</v>
      </c>
      <c r="F3909">
        <f t="shared" ref="F3909:F3972" si="282">YEAR(C3909)</f>
        <v>2025</v>
      </c>
      <c r="G3909" t="s">
        <v>228</v>
      </c>
      <c r="H3909" s="98" t="s">
        <v>1079</v>
      </c>
      <c r="I3909" s="29">
        <v>150882.29999999999</v>
      </c>
      <c r="J3909" s="12" t="s">
        <v>31</v>
      </c>
      <c r="K3909" s="76">
        <f t="shared" si="279"/>
        <v>150882.29999999999</v>
      </c>
      <c r="L3909">
        <v>1</v>
      </c>
      <c r="M3909" s="29">
        <v>0</v>
      </c>
      <c r="N3909" t="s">
        <v>32</v>
      </c>
      <c r="O3909" t="s">
        <v>33</v>
      </c>
      <c r="P3909" t="s">
        <v>34</v>
      </c>
      <c r="Q3909" t="s">
        <v>34</v>
      </c>
      <c r="R3909" t="s">
        <v>34</v>
      </c>
      <c r="S3909" t="s">
        <v>34</v>
      </c>
      <c r="T3909" s="117">
        <v>0</v>
      </c>
    </row>
    <row r="3910" spans="1:20" x14ac:dyDescent="0.35">
      <c r="A3910" t="s">
        <v>19</v>
      </c>
      <c r="B3910" t="s">
        <v>19</v>
      </c>
      <c r="C3910" s="1">
        <v>45812</v>
      </c>
      <c r="D3910">
        <f t="shared" si="280"/>
        <v>4</v>
      </c>
      <c r="E3910">
        <f t="shared" si="281"/>
        <v>6</v>
      </c>
      <c r="F3910">
        <f t="shared" si="282"/>
        <v>2025</v>
      </c>
      <c r="G3910" t="s">
        <v>56</v>
      </c>
      <c r="H3910" s="121" t="s">
        <v>1080</v>
      </c>
      <c r="I3910" s="151">
        <v>183664.38</v>
      </c>
      <c r="J3910" s="12" t="s">
        <v>31</v>
      </c>
      <c r="K3910" s="76">
        <f t="shared" si="279"/>
        <v>183664.38</v>
      </c>
      <c r="L3910">
        <v>1</v>
      </c>
      <c r="M3910" s="29">
        <v>0</v>
      </c>
      <c r="N3910" t="s">
        <v>32</v>
      </c>
      <c r="O3910" t="s">
        <v>33</v>
      </c>
      <c r="P3910" t="s">
        <v>34</v>
      </c>
      <c r="Q3910" t="s">
        <v>34</v>
      </c>
      <c r="R3910" t="s">
        <v>34</v>
      </c>
      <c r="S3910" t="s">
        <v>34</v>
      </c>
      <c r="T3910" s="117">
        <v>0</v>
      </c>
    </row>
    <row r="3911" spans="1:20" x14ac:dyDescent="0.35">
      <c r="A3911" t="s">
        <v>19</v>
      </c>
      <c r="B3911" t="s">
        <v>19</v>
      </c>
      <c r="C3911" s="1">
        <v>45812</v>
      </c>
      <c r="D3911">
        <f t="shared" si="280"/>
        <v>4</v>
      </c>
      <c r="E3911">
        <f t="shared" si="281"/>
        <v>6</v>
      </c>
      <c r="F3911">
        <f t="shared" si="282"/>
        <v>2025</v>
      </c>
      <c r="G3911" t="s">
        <v>56</v>
      </c>
      <c r="H3911" s="98" t="s">
        <v>1081</v>
      </c>
      <c r="I3911" s="29">
        <v>178123.12</v>
      </c>
      <c r="J3911" s="12" t="s">
        <v>31</v>
      </c>
      <c r="K3911" s="76">
        <f t="shared" si="279"/>
        <v>178123.12</v>
      </c>
      <c r="L3911">
        <v>1</v>
      </c>
      <c r="M3911" s="29">
        <v>0</v>
      </c>
      <c r="N3911" t="s">
        <v>32</v>
      </c>
      <c r="O3911" t="s">
        <v>33</v>
      </c>
      <c r="P3911" t="s">
        <v>34</v>
      </c>
      <c r="Q3911" t="s">
        <v>34</v>
      </c>
      <c r="R3911" t="s">
        <v>34</v>
      </c>
      <c r="S3911" t="s">
        <v>34</v>
      </c>
      <c r="T3911" s="117">
        <v>0</v>
      </c>
    </row>
    <row r="3912" spans="1:20" x14ac:dyDescent="0.35">
      <c r="A3912" t="s">
        <v>19</v>
      </c>
      <c r="B3912" t="s">
        <v>19</v>
      </c>
      <c r="C3912" s="1">
        <v>45812</v>
      </c>
      <c r="D3912">
        <f t="shared" si="280"/>
        <v>4</v>
      </c>
      <c r="E3912">
        <f t="shared" si="281"/>
        <v>6</v>
      </c>
      <c r="F3912">
        <f t="shared" si="282"/>
        <v>2025</v>
      </c>
      <c r="G3912" t="s">
        <v>91</v>
      </c>
      <c r="H3912" s="98" t="s">
        <v>1082</v>
      </c>
      <c r="I3912" s="29">
        <v>47551.3</v>
      </c>
      <c r="J3912" s="12" t="s">
        <v>31</v>
      </c>
      <c r="K3912" s="76">
        <f t="shared" si="279"/>
        <v>47551.3</v>
      </c>
      <c r="L3912">
        <v>1</v>
      </c>
      <c r="M3912" s="29">
        <v>0</v>
      </c>
      <c r="N3912" t="s">
        <v>32</v>
      </c>
      <c r="O3912" t="s">
        <v>33</v>
      </c>
      <c r="P3912" t="s">
        <v>34</v>
      </c>
      <c r="Q3912" t="s">
        <v>34</v>
      </c>
      <c r="R3912" t="s">
        <v>34</v>
      </c>
      <c r="S3912" t="s">
        <v>34</v>
      </c>
      <c r="T3912" s="117">
        <v>0</v>
      </c>
    </row>
    <row r="3913" spans="1:20" x14ac:dyDescent="0.35">
      <c r="A3913" t="s">
        <v>19</v>
      </c>
      <c r="B3913" t="s">
        <v>19</v>
      </c>
      <c r="C3913" s="1">
        <v>45812</v>
      </c>
      <c r="D3913">
        <f t="shared" si="280"/>
        <v>4</v>
      </c>
      <c r="E3913">
        <f t="shared" si="281"/>
        <v>6</v>
      </c>
      <c r="F3913">
        <f t="shared" si="282"/>
        <v>2025</v>
      </c>
      <c r="G3913" t="s">
        <v>55</v>
      </c>
      <c r="H3913" s="98" t="s">
        <v>1083</v>
      </c>
      <c r="I3913" s="15">
        <v>44549.06</v>
      </c>
      <c r="J3913" s="12" t="s">
        <v>31</v>
      </c>
      <c r="K3913" s="76">
        <f t="shared" si="279"/>
        <v>44549.06</v>
      </c>
      <c r="L3913">
        <v>1</v>
      </c>
      <c r="M3913" s="29">
        <v>0</v>
      </c>
      <c r="N3913" t="s">
        <v>32</v>
      </c>
      <c r="O3913" t="s">
        <v>33</v>
      </c>
      <c r="P3913" t="s">
        <v>34</v>
      </c>
      <c r="Q3913" t="s">
        <v>34</v>
      </c>
      <c r="R3913" t="s">
        <v>34</v>
      </c>
      <c r="S3913" t="s">
        <v>34</v>
      </c>
      <c r="T3913" s="117">
        <v>0</v>
      </c>
    </row>
    <row r="3914" spans="1:20" x14ac:dyDescent="0.35">
      <c r="A3914" t="s">
        <v>19</v>
      </c>
      <c r="B3914" t="s">
        <v>19</v>
      </c>
      <c r="C3914" s="1">
        <v>45812</v>
      </c>
      <c r="D3914">
        <f t="shared" si="280"/>
        <v>4</v>
      </c>
      <c r="E3914">
        <f t="shared" si="281"/>
        <v>6</v>
      </c>
      <c r="F3914">
        <f t="shared" si="282"/>
        <v>2025</v>
      </c>
      <c r="G3914" t="s">
        <v>213</v>
      </c>
      <c r="H3914" s="98" t="s">
        <v>1084</v>
      </c>
      <c r="I3914" s="15">
        <v>119719</v>
      </c>
      <c r="J3914" s="12" t="s">
        <v>31</v>
      </c>
      <c r="K3914" s="76">
        <f t="shared" si="279"/>
        <v>119719</v>
      </c>
      <c r="L3914">
        <v>1</v>
      </c>
      <c r="M3914" s="29">
        <v>0</v>
      </c>
      <c r="N3914" t="s">
        <v>32</v>
      </c>
      <c r="O3914" t="s">
        <v>33</v>
      </c>
      <c r="P3914" t="s">
        <v>34</v>
      </c>
      <c r="Q3914" t="s">
        <v>34</v>
      </c>
      <c r="R3914" t="s">
        <v>34</v>
      </c>
      <c r="S3914" t="s">
        <v>34</v>
      </c>
      <c r="T3914" s="117">
        <v>0</v>
      </c>
    </row>
    <row r="3915" spans="1:20" x14ac:dyDescent="0.35">
      <c r="A3915" t="s">
        <v>19</v>
      </c>
      <c r="B3915" t="s">
        <v>19</v>
      </c>
      <c r="C3915" s="1">
        <v>45812</v>
      </c>
      <c r="D3915">
        <f t="shared" si="280"/>
        <v>4</v>
      </c>
      <c r="E3915">
        <f t="shared" si="281"/>
        <v>6</v>
      </c>
      <c r="F3915">
        <f t="shared" si="282"/>
        <v>2025</v>
      </c>
      <c r="G3915" t="s">
        <v>183</v>
      </c>
      <c r="H3915" s="98" t="s">
        <v>1085</v>
      </c>
      <c r="I3915" s="29">
        <v>18322.93</v>
      </c>
      <c r="J3915" s="12" t="s">
        <v>31</v>
      </c>
      <c r="K3915" s="76">
        <f t="shared" si="279"/>
        <v>18322.93</v>
      </c>
      <c r="L3915">
        <v>1</v>
      </c>
      <c r="M3915" s="29">
        <v>0</v>
      </c>
      <c r="N3915" t="s">
        <v>32</v>
      </c>
      <c r="O3915" t="s">
        <v>33</v>
      </c>
      <c r="P3915" t="s">
        <v>34</v>
      </c>
      <c r="Q3915" t="s">
        <v>34</v>
      </c>
      <c r="R3915" t="s">
        <v>34</v>
      </c>
      <c r="S3915" t="s">
        <v>34</v>
      </c>
      <c r="T3915" s="117">
        <v>0</v>
      </c>
    </row>
    <row r="3916" spans="1:20" x14ac:dyDescent="0.35">
      <c r="A3916" t="s">
        <v>19</v>
      </c>
      <c r="B3916" t="s">
        <v>19</v>
      </c>
      <c r="C3916" s="1">
        <v>45812</v>
      </c>
      <c r="D3916">
        <f t="shared" si="280"/>
        <v>4</v>
      </c>
      <c r="E3916">
        <f t="shared" si="281"/>
        <v>6</v>
      </c>
      <c r="F3916">
        <f t="shared" si="282"/>
        <v>2025</v>
      </c>
      <c r="G3916" t="s">
        <v>82</v>
      </c>
      <c r="H3916" s="98" t="s">
        <v>1086</v>
      </c>
      <c r="I3916" s="29">
        <v>16645.599999999999</v>
      </c>
      <c r="J3916" s="12" t="s">
        <v>31</v>
      </c>
      <c r="K3916" s="76">
        <f t="shared" si="279"/>
        <v>16645.599999999999</v>
      </c>
      <c r="L3916">
        <v>1</v>
      </c>
      <c r="M3916" s="29">
        <v>0</v>
      </c>
      <c r="N3916" t="s">
        <v>32</v>
      </c>
      <c r="O3916" t="s">
        <v>33</v>
      </c>
      <c r="P3916" t="s">
        <v>34</v>
      </c>
      <c r="Q3916" t="s">
        <v>34</v>
      </c>
      <c r="R3916" t="s">
        <v>34</v>
      </c>
      <c r="S3916" t="s">
        <v>34</v>
      </c>
      <c r="T3916" s="117">
        <v>0</v>
      </c>
    </row>
    <row r="3917" spans="1:20" x14ac:dyDescent="0.35">
      <c r="A3917" t="s">
        <v>19</v>
      </c>
      <c r="B3917" t="s">
        <v>19</v>
      </c>
      <c r="C3917" s="1">
        <v>45812</v>
      </c>
      <c r="D3917">
        <f t="shared" si="280"/>
        <v>4</v>
      </c>
      <c r="E3917">
        <f t="shared" si="281"/>
        <v>6</v>
      </c>
      <c r="F3917">
        <f t="shared" si="282"/>
        <v>2025</v>
      </c>
      <c r="G3917" t="s">
        <v>117</v>
      </c>
      <c r="H3917" s="98" t="s">
        <v>1087</v>
      </c>
      <c r="I3917" s="29">
        <v>78735.88</v>
      </c>
      <c r="J3917" s="12" t="s">
        <v>31</v>
      </c>
      <c r="K3917" s="76">
        <f t="shared" si="279"/>
        <v>78735.88</v>
      </c>
      <c r="L3917">
        <v>1</v>
      </c>
      <c r="M3917" s="29">
        <v>0</v>
      </c>
      <c r="N3917" t="s">
        <v>32</v>
      </c>
      <c r="O3917" t="s">
        <v>33</v>
      </c>
      <c r="P3917" t="s">
        <v>34</v>
      </c>
      <c r="Q3917" t="s">
        <v>34</v>
      </c>
      <c r="R3917" t="s">
        <v>34</v>
      </c>
      <c r="S3917" t="s">
        <v>34</v>
      </c>
      <c r="T3917" s="117">
        <v>0</v>
      </c>
    </row>
    <row r="3918" spans="1:20" x14ac:dyDescent="0.35">
      <c r="A3918" t="s">
        <v>19</v>
      </c>
      <c r="B3918" t="s">
        <v>19</v>
      </c>
      <c r="C3918" s="1">
        <v>45812</v>
      </c>
      <c r="D3918">
        <f t="shared" si="280"/>
        <v>4</v>
      </c>
      <c r="E3918">
        <f t="shared" si="281"/>
        <v>6</v>
      </c>
      <c r="F3918">
        <f t="shared" si="282"/>
        <v>2025</v>
      </c>
      <c r="G3918" t="s">
        <v>264</v>
      </c>
      <c r="H3918" s="98" t="s">
        <v>1088</v>
      </c>
      <c r="I3918" s="29">
        <v>17820.23</v>
      </c>
      <c r="J3918" s="12" t="s">
        <v>31</v>
      </c>
      <c r="K3918" s="76">
        <f t="shared" si="279"/>
        <v>17820.23</v>
      </c>
      <c r="L3918">
        <v>1</v>
      </c>
      <c r="M3918" s="29">
        <v>0</v>
      </c>
      <c r="N3918" t="s">
        <v>32</v>
      </c>
      <c r="O3918" t="s">
        <v>33</v>
      </c>
      <c r="P3918" t="s">
        <v>34</v>
      </c>
      <c r="Q3918" t="s">
        <v>34</v>
      </c>
      <c r="R3918" t="s">
        <v>34</v>
      </c>
      <c r="S3918" t="s">
        <v>34</v>
      </c>
      <c r="T3918" s="117">
        <v>0</v>
      </c>
    </row>
    <row r="3919" spans="1:20" x14ac:dyDescent="0.35">
      <c r="A3919" t="s">
        <v>19</v>
      </c>
      <c r="B3919" t="s">
        <v>19</v>
      </c>
      <c r="C3919" s="1">
        <v>45812</v>
      </c>
      <c r="D3919">
        <f t="shared" si="280"/>
        <v>4</v>
      </c>
      <c r="E3919">
        <f t="shared" si="281"/>
        <v>6</v>
      </c>
      <c r="F3919">
        <f t="shared" si="282"/>
        <v>2025</v>
      </c>
      <c r="G3919" t="s">
        <v>86</v>
      </c>
      <c r="H3919" s="98" t="s">
        <v>1089</v>
      </c>
      <c r="I3919" s="29">
        <v>4624.13</v>
      </c>
      <c r="J3919" s="12" t="s">
        <v>31</v>
      </c>
      <c r="K3919" s="76">
        <f t="shared" si="279"/>
        <v>4624.13</v>
      </c>
      <c r="L3919">
        <v>1</v>
      </c>
      <c r="M3919" s="29">
        <v>0</v>
      </c>
      <c r="N3919" t="s">
        <v>32</v>
      </c>
      <c r="O3919" t="s">
        <v>33</v>
      </c>
      <c r="P3919" t="s">
        <v>34</v>
      </c>
      <c r="Q3919" t="s">
        <v>34</v>
      </c>
      <c r="R3919" t="s">
        <v>34</v>
      </c>
      <c r="S3919" t="s">
        <v>34</v>
      </c>
      <c r="T3919" s="117">
        <v>0</v>
      </c>
    </row>
    <row r="3920" spans="1:20" x14ac:dyDescent="0.35">
      <c r="A3920" t="s">
        <v>19</v>
      </c>
      <c r="B3920" t="s">
        <v>19</v>
      </c>
      <c r="C3920" s="1">
        <v>45812</v>
      </c>
      <c r="D3920">
        <f t="shared" si="280"/>
        <v>4</v>
      </c>
      <c r="E3920">
        <f t="shared" si="281"/>
        <v>6</v>
      </c>
      <c r="F3920">
        <f t="shared" si="282"/>
        <v>2025</v>
      </c>
      <c r="G3920" t="s">
        <v>803</v>
      </c>
      <c r="H3920" s="98" t="s">
        <v>1090</v>
      </c>
      <c r="I3920" s="29">
        <v>55141.8</v>
      </c>
      <c r="J3920" s="12" t="s">
        <v>31</v>
      </c>
      <c r="K3920" s="76">
        <f t="shared" si="279"/>
        <v>55141.8</v>
      </c>
      <c r="L3920">
        <v>1</v>
      </c>
      <c r="M3920" s="29">
        <v>0</v>
      </c>
      <c r="N3920" t="s">
        <v>32</v>
      </c>
      <c r="O3920" t="s">
        <v>33</v>
      </c>
      <c r="P3920" t="s">
        <v>34</v>
      </c>
      <c r="Q3920" t="s">
        <v>34</v>
      </c>
      <c r="R3920" t="s">
        <v>34</v>
      </c>
      <c r="S3920" t="s">
        <v>34</v>
      </c>
      <c r="T3920" s="117">
        <v>0</v>
      </c>
    </row>
    <row r="3921" spans="1:21" x14ac:dyDescent="0.35">
      <c r="A3921" t="s">
        <v>19</v>
      </c>
      <c r="B3921" t="s">
        <v>19</v>
      </c>
      <c r="C3921" s="1">
        <v>45812</v>
      </c>
      <c r="D3921">
        <f t="shared" si="280"/>
        <v>4</v>
      </c>
      <c r="E3921">
        <f t="shared" si="281"/>
        <v>6</v>
      </c>
      <c r="F3921">
        <f t="shared" si="282"/>
        <v>2025</v>
      </c>
      <c r="G3921" t="s">
        <v>523</v>
      </c>
      <c r="H3921" s="100">
        <v>0</v>
      </c>
      <c r="I3921" s="29">
        <v>5220</v>
      </c>
      <c r="J3921" s="12" t="s">
        <v>31</v>
      </c>
      <c r="K3921" s="76">
        <f t="shared" si="279"/>
        <v>5220</v>
      </c>
      <c r="L3921">
        <v>1</v>
      </c>
      <c r="M3921" s="29">
        <v>0</v>
      </c>
      <c r="N3921" t="s">
        <v>42</v>
      </c>
      <c r="O3921" t="s">
        <v>33</v>
      </c>
      <c r="P3921" t="s">
        <v>34</v>
      </c>
      <c r="Q3921" t="s">
        <v>34</v>
      </c>
      <c r="R3921" t="s">
        <v>34</v>
      </c>
      <c r="S3921" t="s">
        <v>34</v>
      </c>
      <c r="T3921" s="117">
        <v>0</v>
      </c>
    </row>
    <row r="3922" spans="1:21" x14ac:dyDescent="0.35">
      <c r="A3922" t="s">
        <v>19</v>
      </c>
      <c r="B3922" t="s">
        <v>19</v>
      </c>
      <c r="C3922" s="1">
        <v>45812</v>
      </c>
      <c r="D3922">
        <f t="shared" si="280"/>
        <v>4</v>
      </c>
      <c r="E3922">
        <f t="shared" si="281"/>
        <v>6</v>
      </c>
      <c r="F3922">
        <f t="shared" si="282"/>
        <v>2025</v>
      </c>
      <c r="G3922" t="s">
        <v>523</v>
      </c>
      <c r="H3922" s="100">
        <v>0</v>
      </c>
      <c r="I3922" s="29">
        <v>5070</v>
      </c>
      <c r="J3922" s="12" t="s">
        <v>31</v>
      </c>
      <c r="K3922" s="76">
        <f t="shared" si="279"/>
        <v>5070</v>
      </c>
      <c r="L3922">
        <v>1</v>
      </c>
      <c r="M3922" s="29">
        <v>0</v>
      </c>
      <c r="N3922" t="s">
        <v>42</v>
      </c>
      <c r="O3922" t="s">
        <v>33</v>
      </c>
      <c r="P3922" t="s">
        <v>34</v>
      </c>
      <c r="Q3922" t="s">
        <v>34</v>
      </c>
      <c r="R3922" t="s">
        <v>34</v>
      </c>
      <c r="S3922" t="s">
        <v>34</v>
      </c>
      <c r="T3922" s="117">
        <v>0</v>
      </c>
    </row>
    <row r="3923" spans="1:21" x14ac:dyDescent="0.35">
      <c r="A3923" t="s">
        <v>19</v>
      </c>
      <c r="B3923" t="s">
        <v>27</v>
      </c>
      <c r="C3923" s="1">
        <v>45812</v>
      </c>
      <c r="D3923">
        <f t="shared" si="280"/>
        <v>4</v>
      </c>
      <c r="E3923">
        <f t="shared" si="281"/>
        <v>6</v>
      </c>
      <c r="F3923">
        <f t="shared" si="282"/>
        <v>2025</v>
      </c>
      <c r="G3923" t="s">
        <v>100</v>
      </c>
      <c r="H3923" s="98">
        <v>11532</v>
      </c>
      <c r="I3923" s="29">
        <v>66471.27</v>
      </c>
      <c r="J3923" s="12" t="s">
        <v>31</v>
      </c>
      <c r="K3923" s="76">
        <f t="shared" si="279"/>
        <v>66471.27</v>
      </c>
      <c r="L3923">
        <v>1</v>
      </c>
      <c r="M3923" s="29">
        <v>0</v>
      </c>
      <c r="N3923" t="s">
        <v>32</v>
      </c>
      <c r="O3923" t="s">
        <v>33</v>
      </c>
      <c r="P3923" t="s">
        <v>34</v>
      </c>
      <c r="Q3923" t="s">
        <v>34</v>
      </c>
      <c r="R3923" t="s">
        <v>34</v>
      </c>
      <c r="S3923" t="s">
        <v>34</v>
      </c>
      <c r="T3923" s="117">
        <v>0</v>
      </c>
    </row>
    <row r="3924" spans="1:21" x14ac:dyDescent="0.35">
      <c r="A3924" t="s">
        <v>19</v>
      </c>
      <c r="B3924" t="s">
        <v>19</v>
      </c>
      <c r="C3924" s="1">
        <v>45813</v>
      </c>
      <c r="D3924">
        <f t="shared" si="280"/>
        <v>5</v>
      </c>
      <c r="E3924">
        <f t="shared" si="281"/>
        <v>6</v>
      </c>
      <c r="F3924">
        <f t="shared" si="282"/>
        <v>2025</v>
      </c>
      <c r="G3924" t="s">
        <v>56</v>
      </c>
      <c r="H3924" s="98" t="s">
        <v>1091</v>
      </c>
      <c r="I3924" s="29">
        <v>194527.33</v>
      </c>
      <c r="J3924" s="12" t="s">
        <v>31</v>
      </c>
      <c r="K3924" s="76">
        <f t="shared" si="279"/>
        <v>194527.33</v>
      </c>
      <c r="L3924">
        <v>1</v>
      </c>
      <c r="M3924" s="29">
        <v>0</v>
      </c>
      <c r="N3924" t="s">
        <v>32</v>
      </c>
      <c r="O3924" t="s">
        <v>33</v>
      </c>
      <c r="P3924" t="s">
        <v>34</v>
      </c>
      <c r="Q3924" t="s">
        <v>34</v>
      </c>
      <c r="R3924" t="s">
        <v>34</v>
      </c>
      <c r="S3924" t="s">
        <v>34</v>
      </c>
      <c r="T3924" s="117">
        <v>0</v>
      </c>
    </row>
    <row r="3925" spans="1:21" x14ac:dyDescent="0.35">
      <c r="A3925" t="s">
        <v>19</v>
      </c>
      <c r="B3925" t="s">
        <v>26</v>
      </c>
      <c r="C3925" s="1">
        <v>45813</v>
      </c>
      <c r="D3925">
        <f t="shared" si="280"/>
        <v>5</v>
      </c>
      <c r="E3925">
        <f t="shared" si="281"/>
        <v>6</v>
      </c>
      <c r="F3925">
        <f t="shared" si="282"/>
        <v>2025</v>
      </c>
      <c r="G3925" t="s">
        <v>73</v>
      </c>
      <c r="H3925" s="121">
        <v>12850</v>
      </c>
      <c r="I3925" s="29">
        <v>5801.63</v>
      </c>
      <c r="J3925" s="12" t="s">
        <v>51</v>
      </c>
      <c r="K3925" s="76">
        <f t="shared" si="279"/>
        <v>6651.5687950000001</v>
      </c>
      <c r="L3925">
        <v>1.1465000000000001</v>
      </c>
      <c r="M3925" s="29">
        <v>0</v>
      </c>
      <c r="N3925" t="s">
        <v>32</v>
      </c>
      <c r="O3925" t="s">
        <v>33</v>
      </c>
      <c r="P3925" t="s">
        <v>34</v>
      </c>
      <c r="Q3925" t="s">
        <v>34</v>
      </c>
      <c r="R3925" t="s">
        <v>34</v>
      </c>
      <c r="S3925" t="s">
        <v>34</v>
      </c>
      <c r="T3925" s="117">
        <v>0</v>
      </c>
      <c r="U3925" s="209" t="s">
        <v>94</v>
      </c>
    </row>
    <row r="3926" spans="1:21" x14ac:dyDescent="0.35">
      <c r="A3926" t="s">
        <v>19</v>
      </c>
      <c r="B3926" t="s">
        <v>26</v>
      </c>
      <c r="C3926" s="1">
        <v>45813</v>
      </c>
      <c r="D3926">
        <f t="shared" si="280"/>
        <v>5</v>
      </c>
      <c r="E3926">
        <f t="shared" si="281"/>
        <v>6</v>
      </c>
      <c r="F3926">
        <f t="shared" si="282"/>
        <v>2025</v>
      </c>
      <c r="G3926" t="s">
        <v>73</v>
      </c>
      <c r="H3926" s="121">
        <v>12904</v>
      </c>
      <c r="I3926" s="29">
        <v>80838.91</v>
      </c>
      <c r="J3926" s="12" t="s">
        <v>51</v>
      </c>
      <c r="K3926" s="76">
        <f t="shared" si="279"/>
        <v>92681.81031500001</v>
      </c>
      <c r="L3926">
        <v>1.1465000000000001</v>
      </c>
      <c r="M3926" s="29">
        <v>0</v>
      </c>
      <c r="N3926" t="s">
        <v>32</v>
      </c>
      <c r="O3926" t="s">
        <v>33</v>
      </c>
      <c r="P3926" t="s">
        <v>34</v>
      </c>
      <c r="Q3926" t="s">
        <v>34</v>
      </c>
      <c r="R3926" t="s">
        <v>34</v>
      </c>
      <c r="S3926" t="s">
        <v>34</v>
      </c>
      <c r="T3926" s="117">
        <v>0</v>
      </c>
      <c r="U3926" s="209" t="s">
        <v>94</v>
      </c>
    </row>
    <row r="3927" spans="1:21" x14ac:dyDescent="0.35">
      <c r="A3927" t="s">
        <v>19</v>
      </c>
      <c r="B3927" t="s">
        <v>26</v>
      </c>
      <c r="C3927" s="1">
        <v>45813</v>
      </c>
      <c r="D3927">
        <f t="shared" si="280"/>
        <v>5</v>
      </c>
      <c r="E3927">
        <f t="shared" si="281"/>
        <v>6</v>
      </c>
      <c r="F3927">
        <f t="shared" si="282"/>
        <v>2025</v>
      </c>
      <c r="G3927" t="s">
        <v>187</v>
      </c>
      <c r="H3927" s="98">
        <v>0</v>
      </c>
      <c r="I3927" s="29">
        <v>17669.830000000002</v>
      </c>
      <c r="J3927" s="12" t="s">
        <v>51</v>
      </c>
      <c r="K3927" s="76">
        <f t="shared" si="279"/>
        <v>20258.460095000002</v>
      </c>
      <c r="L3927">
        <v>1.1465000000000001</v>
      </c>
      <c r="M3927" s="29">
        <v>0</v>
      </c>
      <c r="N3927" t="s">
        <v>32</v>
      </c>
      <c r="O3927" t="s">
        <v>33</v>
      </c>
      <c r="P3927" t="s">
        <v>34</v>
      </c>
      <c r="Q3927" t="s">
        <v>34</v>
      </c>
      <c r="R3927" t="s">
        <v>34</v>
      </c>
      <c r="S3927" t="s">
        <v>34</v>
      </c>
      <c r="T3927" s="117">
        <v>0</v>
      </c>
      <c r="U3927" s="209" t="s">
        <v>94</v>
      </c>
    </row>
    <row r="3928" spans="1:21" x14ac:dyDescent="0.35">
      <c r="A3928" t="s">
        <v>19</v>
      </c>
      <c r="B3928" t="s">
        <v>27</v>
      </c>
      <c r="C3928" s="1">
        <v>45817</v>
      </c>
      <c r="D3928">
        <f t="shared" si="280"/>
        <v>9</v>
      </c>
      <c r="E3928">
        <f t="shared" si="281"/>
        <v>6</v>
      </c>
      <c r="F3928">
        <f t="shared" si="282"/>
        <v>2025</v>
      </c>
      <c r="G3928" t="s">
        <v>100</v>
      </c>
      <c r="H3928" s="98">
        <v>12312</v>
      </c>
      <c r="I3928" s="29">
        <v>173372.38</v>
      </c>
      <c r="J3928" s="12" t="s">
        <v>31</v>
      </c>
      <c r="K3928" s="76">
        <f t="shared" si="279"/>
        <v>173372.38</v>
      </c>
      <c r="L3928">
        <v>1</v>
      </c>
      <c r="M3928" s="29">
        <v>0</v>
      </c>
      <c r="N3928" t="s">
        <v>32</v>
      </c>
      <c r="O3928" t="s">
        <v>33</v>
      </c>
      <c r="P3928" t="s">
        <v>34</v>
      </c>
      <c r="Q3928" t="s">
        <v>34</v>
      </c>
      <c r="R3928" t="s">
        <v>34</v>
      </c>
      <c r="S3928" t="s">
        <v>34</v>
      </c>
      <c r="T3928" s="117">
        <v>0</v>
      </c>
    </row>
    <row r="3929" spans="1:21" x14ac:dyDescent="0.35">
      <c r="A3929" t="s">
        <v>19</v>
      </c>
      <c r="B3929" t="s">
        <v>21</v>
      </c>
      <c r="C3929" s="1">
        <v>45819</v>
      </c>
      <c r="D3929">
        <f t="shared" si="280"/>
        <v>11</v>
      </c>
      <c r="E3929">
        <f t="shared" si="281"/>
        <v>6</v>
      </c>
      <c r="F3929">
        <f t="shared" si="282"/>
        <v>2025</v>
      </c>
      <c r="G3929" t="s">
        <v>77</v>
      </c>
      <c r="H3929" s="98">
        <v>12796</v>
      </c>
      <c r="I3929" s="29">
        <v>65872.95</v>
      </c>
      <c r="J3929" s="12" t="s">
        <v>31</v>
      </c>
      <c r="K3929" s="76">
        <f t="shared" si="279"/>
        <v>65872.95</v>
      </c>
      <c r="L3929">
        <v>1</v>
      </c>
      <c r="M3929" s="29">
        <v>0</v>
      </c>
      <c r="N3929" t="s">
        <v>32</v>
      </c>
      <c r="O3929" t="s">
        <v>33</v>
      </c>
      <c r="P3929" t="s">
        <v>34</v>
      </c>
      <c r="Q3929" t="s">
        <v>34</v>
      </c>
      <c r="R3929" t="s">
        <v>34</v>
      </c>
      <c r="S3929" t="s">
        <v>34</v>
      </c>
      <c r="T3929" s="117">
        <v>0</v>
      </c>
    </row>
    <row r="3930" spans="1:21" x14ac:dyDescent="0.35">
      <c r="A3930" t="s">
        <v>19</v>
      </c>
      <c r="B3930" t="s">
        <v>23</v>
      </c>
      <c r="C3930" s="1">
        <v>45819</v>
      </c>
      <c r="D3930">
        <f t="shared" si="280"/>
        <v>11</v>
      </c>
      <c r="E3930">
        <f t="shared" si="281"/>
        <v>6</v>
      </c>
      <c r="F3930">
        <f t="shared" si="282"/>
        <v>2025</v>
      </c>
      <c r="G3930" t="s">
        <v>77</v>
      </c>
      <c r="H3930" s="98">
        <v>12796</v>
      </c>
      <c r="I3930" s="29">
        <v>19616.2</v>
      </c>
      <c r="J3930" s="12" t="s">
        <v>31</v>
      </c>
      <c r="K3930" s="76">
        <f t="shared" si="279"/>
        <v>19616.2</v>
      </c>
      <c r="L3930">
        <v>1</v>
      </c>
      <c r="M3930" s="29">
        <v>0</v>
      </c>
      <c r="N3930" t="s">
        <v>32</v>
      </c>
      <c r="O3930" t="s">
        <v>33</v>
      </c>
      <c r="P3930" t="s">
        <v>34</v>
      </c>
      <c r="Q3930" t="s">
        <v>34</v>
      </c>
      <c r="R3930" t="s">
        <v>34</v>
      </c>
      <c r="S3930" t="s">
        <v>34</v>
      </c>
      <c r="T3930" s="117">
        <v>0</v>
      </c>
    </row>
    <row r="3931" spans="1:21" x14ac:dyDescent="0.35">
      <c r="A3931" t="s">
        <v>19</v>
      </c>
      <c r="B3931" t="s">
        <v>23</v>
      </c>
      <c r="C3931" s="1">
        <v>45819</v>
      </c>
      <c r="D3931">
        <f t="shared" si="280"/>
        <v>11</v>
      </c>
      <c r="E3931">
        <f t="shared" si="281"/>
        <v>6</v>
      </c>
      <c r="F3931">
        <f t="shared" si="282"/>
        <v>2025</v>
      </c>
      <c r="G3931" t="s">
        <v>74</v>
      </c>
      <c r="H3931" s="98">
        <v>12418</v>
      </c>
      <c r="I3931" s="29">
        <v>98406.05</v>
      </c>
      <c r="J3931" s="12" t="s">
        <v>31</v>
      </c>
      <c r="K3931" s="76">
        <f t="shared" si="279"/>
        <v>98406.05</v>
      </c>
      <c r="L3931">
        <v>1</v>
      </c>
      <c r="M3931" s="29">
        <v>0</v>
      </c>
      <c r="N3931" t="s">
        <v>32</v>
      </c>
      <c r="O3931" t="s">
        <v>33</v>
      </c>
      <c r="P3931" t="s">
        <v>34</v>
      </c>
      <c r="Q3931" t="s">
        <v>34</v>
      </c>
      <c r="R3931" t="s">
        <v>34</v>
      </c>
      <c r="S3931" t="s">
        <v>34</v>
      </c>
      <c r="T3931" s="117">
        <v>0</v>
      </c>
    </row>
    <row r="3932" spans="1:21" x14ac:dyDescent="0.35">
      <c r="A3932" t="s">
        <v>19</v>
      </c>
      <c r="B3932" t="s">
        <v>23</v>
      </c>
      <c r="C3932" s="1">
        <v>45819</v>
      </c>
      <c r="D3932">
        <f t="shared" si="280"/>
        <v>11</v>
      </c>
      <c r="E3932">
        <f t="shared" si="281"/>
        <v>6</v>
      </c>
      <c r="F3932">
        <f t="shared" si="282"/>
        <v>2025</v>
      </c>
      <c r="G3932" t="s">
        <v>74</v>
      </c>
      <c r="H3932" s="98">
        <v>12352</v>
      </c>
      <c r="I3932" s="29">
        <v>37585.1</v>
      </c>
      <c r="J3932" s="12" t="s">
        <v>31</v>
      </c>
      <c r="K3932" s="76">
        <f t="shared" si="279"/>
        <v>37585.1</v>
      </c>
      <c r="L3932">
        <v>1</v>
      </c>
      <c r="M3932" s="29">
        <v>0</v>
      </c>
      <c r="N3932" t="s">
        <v>32</v>
      </c>
      <c r="O3932" t="s">
        <v>33</v>
      </c>
      <c r="P3932" t="s">
        <v>34</v>
      </c>
      <c r="Q3932" t="s">
        <v>34</v>
      </c>
      <c r="R3932" t="s">
        <v>34</v>
      </c>
      <c r="S3932" t="s">
        <v>34</v>
      </c>
      <c r="T3932" s="117">
        <v>0</v>
      </c>
    </row>
    <row r="3933" spans="1:21" x14ac:dyDescent="0.35">
      <c r="A3933" t="s">
        <v>19</v>
      </c>
      <c r="B3933" t="s">
        <v>21</v>
      </c>
      <c r="C3933" s="1">
        <v>45819</v>
      </c>
      <c r="D3933">
        <f t="shared" si="280"/>
        <v>11</v>
      </c>
      <c r="E3933">
        <f t="shared" si="281"/>
        <v>6</v>
      </c>
      <c r="F3933">
        <f t="shared" si="282"/>
        <v>2025</v>
      </c>
      <c r="G3933" t="s">
        <v>28</v>
      </c>
      <c r="H3933" s="98">
        <v>12003</v>
      </c>
      <c r="I3933" s="29">
        <v>6177.6</v>
      </c>
      <c r="J3933" s="12" t="s">
        <v>31</v>
      </c>
      <c r="K3933" s="76">
        <f t="shared" si="279"/>
        <v>6177.6</v>
      </c>
      <c r="L3933">
        <v>1</v>
      </c>
      <c r="M3933" s="29">
        <v>0</v>
      </c>
      <c r="N3933" t="s">
        <v>32</v>
      </c>
      <c r="O3933" t="s">
        <v>33</v>
      </c>
      <c r="P3933" t="s">
        <v>34</v>
      </c>
      <c r="Q3933" t="s">
        <v>34</v>
      </c>
      <c r="R3933" t="s">
        <v>34</v>
      </c>
      <c r="S3933" t="s">
        <v>34</v>
      </c>
      <c r="T3933" s="117">
        <v>5287.96</v>
      </c>
    </row>
    <row r="3934" spans="1:21" x14ac:dyDescent="0.35">
      <c r="A3934" t="s">
        <v>19</v>
      </c>
      <c r="B3934" t="s">
        <v>21</v>
      </c>
      <c r="C3934" s="1">
        <v>45819</v>
      </c>
      <c r="D3934">
        <f t="shared" si="280"/>
        <v>11</v>
      </c>
      <c r="E3934">
        <f t="shared" si="281"/>
        <v>6</v>
      </c>
      <c r="F3934">
        <f t="shared" si="282"/>
        <v>2025</v>
      </c>
      <c r="G3934" t="s">
        <v>28</v>
      </c>
      <c r="H3934" s="98">
        <v>11673</v>
      </c>
      <c r="I3934" s="29">
        <v>140.6</v>
      </c>
      <c r="J3934" s="12" t="s">
        <v>31</v>
      </c>
      <c r="K3934" s="76">
        <f t="shared" si="279"/>
        <v>140.6</v>
      </c>
      <c r="L3934">
        <v>1</v>
      </c>
      <c r="M3934" s="29">
        <v>0</v>
      </c>
      <c r="N3934" t="s">
        <v>32</v>
      </c>
      <c r="O3934" t="s">
        <v>33</v>
      </c>
      <c r="P3934" t="s">
        <v>34</v>
      </c>
      <c r="Q3934" t="s">
        <v>34</v>
      </c>
      <c r="R3934" t="s">
        <v>34</v>
      </c>
      <c r="S3934" t="s">
        <v>34</v>
      </c>
      <c r="T3934" s="117">
        <v>0</v>
      </c>
    </row>
    <row r="3935" spans="1:21" x14ac:dyDescent="0.35">
      <c r="A3935" t="s">
        <v>19</v>
      </c>
      <c r="B3935" t="s">
        <v>21</v>
      </c>
      <c r="C3935" s="1">
        <v>45819</v>
      </c>
      <c r="D3935">
        <f t="shared" si="280"/>
        <v>11</v>
      </c>
      <c r="E3935">
        <f t="shared" si="281"/>
        <v>6</v>
      </c>
      <c r="F3935">
        <f t="shared" si="282"/>
        <v>2025</v>
      </c>
      <c r="G3935" t="s">
        <v>28</v>
      </c>
      <c r="H3935" s="98">
        <v>11672</v>
      </c>
      <c r="I3935" s="29">
        <v>36914.85</v>
      </c>
      <c r="J3935" s="12" t="s">
        <v>31</v>
      </c>
      <c r="K3935" s="76">
        <f t="shared" si="279"/>
        <v>36914.85</v>
      </c>
      <c r="L3935">
        <v>1</v>
      </c>
      <c r="M3935" s="29">
        <v>0</v>
      </c>
      <c r="N3935" t="s">
        <v>32</v>
      </c>
      <c r="O3935" t="s">
        <v>33</v>
      </c>
      <c r="P3935" t="s">
        <v>34</v>
      </c>
      <c r="Q3935" t="s">
        <v>34</v>
      </c>
      <c r="R3935" t="s">
        <v>34</v>
      </c>
      <c r="S3935" t="s">
        <v>34</v>
      </c>
      <c r="T3935" s="117">
        <v>0</v>
      </c>
    </row>
    <row r="3936" spans="1:21" x14ac:dyDescent="0.35">
      <c r="A3936" t="s">
        <v>19</v>
      </c>
      <c r="B3936" t="s">
        <v>27</v>
      </c>
      <c r="C3936" s="1">
        <v>45819</v>
      </c>
      <c r="D3936">
        <f t="shared" si="280"/>
        <v>11</v>
      </c>
      <c r="E3936">
        <f t="shared" si="281"/>
        <v>6</v>
      </c>
      <c r="F3936">
        <f t="shared" si="282"/>
        <v>2025</v>
      </c>
      <c r="G3936" t="s">
        <v>100</v>
      </c>
      <c r="H3936" s="98">
        <v>12403</v>
      </c>
      <c r="I3936" s="29">
        <v>77727.05</v>
      </c>
      <c r="J3936" s="12" t="s">
        <v>31</v>
      </c>
      <c r="K3936" s="76">
        <f t="shared" si="279"/>
        <v>77727.05</v>
      </c>
      <c r="L3936">
        <v>1</v>
      </c>
      <c r="M3936" s="29">
        <v>0</v>
      </c>
      <c r="N3936" t="s">
        <v>32</v>
      </c>
      <c r="O3936" t="s">
        <v>33</v>
      </c>
      <c r="P3936" t="s">
        <v>34</v>
      </c>
      <c r="Q3936" t="s">
        <v>34</v>
      </c>
      <c r="R3936" t="s">
        <v>34</v>
      </c>
      <c r="S3936" t="s">
        <v>34</v>
      </c>
      <c r="T3936" s="117">
        <v>0</v>
      </c>
    </row>
    <row r="3937" spans="1:21" x14ac:dyDescent="0.35">
      <c r="A3937" t="s">
        <v>19</v>
      </c>
      <c r="B3937" t="s">
        <v>25</v>
      </c>
      <c r="C3937" s="1">
        <v>45819</v>
      </c>
      <c r="D3937">
        <f t="shared" si="280"/>
        <v>11</v>
      </c>
      <c r="E3937">
        <f t="shared" si="281"/>
        <v>6</v>
      </c>
      <c r="F3937">
        <f t="shared" si="282"/>
        <v>2025</v>
      </c>
      <c r="G3937" t="s">
        <v>78</v>
      </c>
      <c r="H3937" s="98">
        <v>12951</v>
      </c>
      <c r="I3937" s="29">
        <v>19890</v>
      </c>
      <c r="J3937" s="12" t="s">
        <v>51</v>
      </c>
      <c r="K3937" s="76">
        <f t="shared" si="279"/>
        <v>22849.632000000001</v>
      </c>
      <c r="L3937">
        <v>1.1488</v>
      </c>
      <c r="M3937" s="29">
        <v>0</v>
      </c>
      <c r="N3937" t="s">
        <v>42</v>
      </c>
      <c r="O3937" t="s">
        <v>33</v>
      </c>
      <c r="P3937" t="s">
        <v>34</v>
      </c>
      <c r="Q3937" t="s">
        <v>34</v>
      </c>
      <c r="R3937" t="s">
        <v>34</v>
      </c>
      <c r="S3937" t="s">
        <v>34</v>
      </c>
      <c r="T3937" s="117">
        <v>0</v>
      </c>
    </row>
    <row r="3938" spans="1:21" x14ac:dyDescent="0.35">
      <c r="A3938" t="s">
        <v>19</v>
      </c>
      <c r="B3938" t="s">
        <v>24</v>
      </c>
      <c r="C3938" s="1">
        <v>45819</v>
      </c>
      <c r="D3938">
        <f t="shared" si="280"/>
        <v>11</v>
      </c>
      <c r="E3938">
        <f t="shared" si="281"/>
        <v>6</v>
      </c>
      <c r="F3938">
        <f t="shared" si="282"/>
        <v>2025</v>
      </c>
      <c r="G3938" t="s">
        <v>352</v>
      </c>
      <c r="H3938" s="98">
        <v>12949</v>
      </c>
      <c r="I3938" s="29">
        <v>2181.6</v>
      </c>
      <c r="J3938" s="12" t="s">
        <v>31</v>
      </c>
      <c r="K3938" s="76">
        <f t="shared" si="279"/>
        <v>2181.6</v>
      </c>
      <c r="L3938">
        <v>1</v>
      </c>
      <c r="M3938" s="29">
        <v>0</v>
      </c>
      <c r="N3938" t="s">
        <v>42</v>
      </c>
      <c r="O3938" t="s">
        <v>33</v>
      </c>
      <c r="P3938" t="s">
        <v>34</v>
      </c>
      <c r="Q3938" t="s">
        <v>34</v>
      </c>
      <c r="R3938" t="s">
        <v>34</v>
      </c>
      <c r="S3938" t="s">
        <v>34</v>
      </c>
      <c r="T3938" s="117">
        <v>0</v>
      </c>
      <c r="U3938" s="209" t="s">
        <v>1173</v>
      </c>
    </row>
    <row r="3939" spans="1:21" x14ac:dyDescent="0.35">
      <c r="A3939" t="s">
        <v>19</v>
      </c>
      <c r="B3939" t="s">
        <v>24</v>
      </c>
      <c r="C3939" s="1">
        <v>45819</v>
      </c>
      <c r="D3939">
        <f t="shared" si="280"/>
        <v>11</v>
      </c>
      <c r="E3939">
        <f t="shared" si="281"/>
        <v>6</v>
      </c>
      <c r="F3939">
        <f t="shared" si="282"/>
        <v>2025</v>
      </c>
      <c r="G3939" t="s">
        <v>352</v>
      </c>
      <c r="H3939" s="98">
        <v>12949</v>
      </c>
      <c r="I3939" s="29">
        <v>3792</v>
      </c>
      <c r="J3939" s="12" t="s">
        <v>31</v>
      </c>
      <c r="K3939" s="76">
        <f t="shared" si="279"/>
        <v>3792</v>
      </c>
      <c r="L3939">
        <v>1</v>
      </c>
      <c r="M3939" s="29">
        <v>0</v>
      </c>
      <c r="N3939" t="s">
        <v>42</v>
      </c>
      <c r="O3939" t="s">
        <v>33</v>
      </c>
      <c r="P3939" t="s">
        <v>34</v>
      </c>
      <c r="Q3939" t="s">
        <v>34</v>
      </c>
      <c r="R3939" t="s">
        <v>34</v>
      </c>
      <c r="S3939" t="s">
        <v>34</v>
      </c>
      <c r="T3939" s="117">
        <v>0</v>
      </c>
    </row>
    <row r="3940" spans="1:21" x14ac:dyDescent="0.35">
      <c r="A3940" t="s">
        <v>19</v>
      </c>
      <c r="B3940" t="s">
        <v>25</v>
      </c>
      <c r="C3940" s="1">
        <v>45819</v>
      </c>
      <c r="D3940">
        <f t="shared" si="280"/>
        <v>11</v>
      </c>
      <c r="E3940">
        <f t="shared" si="281"/>
        <v>6</v>
      </c>
      <c r="F3940">
        <f t="shared" si="282"/>
        <v>2025</v>
      </c>
      <c r="G3940" t="s">
        <v>80</v>
      </c>
      <c r="H3940" s="98">
        <v>12036</v>
      </c>
      <c r="I3940" s="29">
        <v>9260.2000000000007</v>
      </c>
      <c r="J3940" s="12" t="s">
        <v>31</v>
      </c>
      <c r="K3940" s="76">
        <f t="shared" si="279"/>
        <v>9260.2000000000007</v>
      </c>
      <c r="L3940">
        <v>1</v>
      </c>
      <c r="M3940" s="29">
        <v>0</v>
      </c>
      <c r="N3940" t="s">
        <v>32</v>
      </c>
      <c r="O3940" t="s">
        <v>33</v>
      </c>
      <c r="P3940" t="s">
        <v>34</v>
      </c>
      <c r="Q3940" t="s">
        <v>34</v>
      </c>
      <c r="R3940" t="s">
        <v>34</v>
      </c>
      <c r="S3940" t="s">
        <v>34</v>
      </c>
      <c r="T3940" s="117">
        <v>0</v>
      </c>
    </row>
    <row r="3941" spans="1:21" x14ac:dyDescent="0.35">
      <c r="A3941" t="s">
        <v>19</v>
      </c>
      <c r="B3941" t="s">
        <v>25</v>
      </c>
      <c r="C3941" s="1">
        <v>45819</v>
      </c>
      <c r="D3941">
        <f t="shared" si="280"/>
        <v>11</v>
      </c>
      <c r="E3941">
        <f t="shared" si="281"/>
        <v>6</v>
      </c>
      <c r="F3941">
        <f t="shared" si="282"/>
        <v>2025</v>
      </c>
      <c r="G3941" t="s">
        <v>80</v>
      </c>
      <c r="H3941" s="98">
        <v>12159</v>
      </c>
      <c r="I3941" s="29">
        <v>11211.4</v>
      </c>
      <c r="J3941" s="12" t="s">
        <v>31</v>
      </c>
      <c r="K3941" s="76">
        <f t="shared" si="279"/>
        <v>11211.4</v>
      </c>
      <c r="L3941">
        <v>1</v>
      </c>
      <c r="M3941" s="29">
        <v>0</v>
      </c>
      <c r="N3941" t="s">
        <v>32</v>
      </c>
      <c r="O3941" t="s">
        <v>33</v>
      </c>
      <c r="P3941" t="s">
        <v>34</v>
      </c>
      <c r="Q3941" t="s">
        <v>34</v>
      </c>
      <c r="R3941" t="s">
        <v>34</v>
      </c>
      <c r="S3941" t="s">
        <v>34</v>
      </c>
      <c r="T3941" s="117">
        <v>0</v>
      </c>
    </row>
    <row r="3942" spans="1:21" x14ac:dyDescent="0.35">
      <c r="A3942" t="s">
        <v>19</v>
      </c>
      <c r="B3942" t="s">
        <v>25</v>
      </c>
      <c r="C3942" s="1">
        <v>45819</v>
      </c>
      <c r="D3942">
        <f t="shared" si="280"/>
        <v>11</v>
      </c>
      <c r="E3942">
        <f t="shared" si="281"/>
        <v>6</v>
      </c>
      <c r="F3942">
        <f t="shared" si="282"/>
        <v>2025</v>
      </c>
      <c r="G3942" t="s">
        <v>80</v>
      </c>
      <c r="H3942" s="98">
        <v>12422</v>
      </c>
      <c r="I3942" s="29">
        <v>1951.6</v>
      </c>
      <c r="J3942" s="12" t="s">
        <v>31</v>
      </c>
      <c r="K3942" s="76">
        <f t="shared" si="279"/>
        <v>1951.6</v>
      </c>
      <c r="L3942">
        <v>1</v>
      </c>
      <c r="M3942" s="29">
        <v>0</v>
      </c>
      <c r="N3942" t="s">
        <v>32</v>
      </c>
      <c r="O3942" t="s">
        <v>33</v>
      </c>
      <c r="P3942" t="s">
        <v>34</v>
      </c>
      <c r="Q3942" t="s">
        <v>34</v>
      </c>
      <c r="R3942" t="s">
        <v>34</v>
      </c>
      <c r="S3942" t="s">
        <v>34</v>
      </c>
      <c r="T3942" s="117">
        <v>0</v>
      </c>
    </row>
    <row r="3943" spans="1:21" x14ac:dyDescent="0.35">
      <c r="A3943" t="s">
        <v>19</v>
      </c>
      <c r="B3943" t="s">
        <v>25</v>
      </c>
      <c r="C3943" s="1">
        <v>45819</v>
      </c>
      <c r="D3943">
        <f t="shared" si="280"/>
        <v>11</v>
      </c>
      <c r="E3943">
        <f t="shared" si="281"/>
        <v>6</v>
      </c>
      <c r="F3943">
        <f t="shared" si="282"/>
        <v>2025</v>
      </c>
      <c r="G3943" t="s">
        <v>80</v>
      </c>
      <c r="H3943" s="98">
        <v>12423</v>
      </c>
      <c r="I3943" s="29">
        <v>24622.5</v>
      </c>
      <c r="J3943" s="12" t="s">
        <v>31</v>
      </c>
      <c r="K3943" s="76">
        <f t="shared" si="279"/>
        <v>24622.5</v>
      </c>
      <c r="L3943">
        <v>1</v>
      </c>
      <c r="M3943" s="29">
        <v>0</v>
      </c>
      <c r="N3943" t="s">
        <v>42</v>
      </c>
      <c r="O3943" t="s">
        <v>33</v>
      </c>
      <c r="P3943" t="s">
        <v>34</v>
      </c>
      <c r="Q3943" t="s">
        <v>34</v>
      </c>
      <c r="R3943" t="s">
        <v>34</v>
      </c>
      <c r="S3943" t="s">
        <v>34</v>
      </c>
      <c r="T3943" s="117">
        <v>0</v>
      </c>
    </row>
    <row r="3944" spans="1:21" x14ac:dyDescent="0.35">
      <c r="A3944" t="s">
        <v>19</v>
      </c>
      <c r="B3944" t="s">
        <v>25</v>
      </c>
      <c r="C3944" s="1">
        <v>45819</v>
      </c>
      <c r="D3944">
        <f t="shared" si="280"/>
        <v>11</v>
      </c>
      <c r="E3944">
        <f t="shared" si="281"/>
        <v>6</v>
      </c>
      <c r="F3944">
        <f t="shared" si="282"/>
        <v>2025</v>
      </c>
      <c r="G3944" t="s">
        <v>80</v>
      </c>
      <c r="H3944" s="98">
        <v>12700</v>
      </c>
      <c r="I3944" s="29">
        <v>210</v>
      </c>
      <c r="J3944" s="12" t="s">
        <v>31</v>
      </c>
      <c r="K3944" s="76">
        <f t="shared" si="279"/>
        <v>210</v>
      </c>
      <c r="L3944">
        <v>1</v>
      </c>
      <c r="M3944" s="29">
        <v>0</v>
      </c>
      <c r="N3944" t="s">
        <v>42</v>
      </c>
      <c r="O3944" t="s">
        <v>33</v>
      </c>
      <c r="P3944" t="s">
        <v>34</v>
      </c>
      <c r="Q3944" t="s">
        <v>34</v>
      </c>
      <c r="R3944" t="s">
        <v>34</v>
      </c>
      <c r="S3944" t="s">
        <v>34</v>
      </c>
      <c r="T3944" s="117">
        <v>0</v>
      </c>
      <c r="U3944" s="209" t="s">
        <v>1174</v>
      </c>
    </row>
    <row r="3945" spans="1:21" x14ac:dyDescent="0.35">
      <c r="A3945" t="s">
        <v>20</v>
      </c>
      <c r="B3945" t="s">
        <v>23</v>
      </c>
      <c r="C3945" s="1">
        <v>45819</v>
      </c>
      <c r="D3945">
        <f t="shared" si="280"/>
        <v>11</v>
      </c>
      <c r="E3945">
        <f t="shared" si="281"/>
        <v>6</v>
      </c>
      <c r="F3945">
        <f t="shared" si="282"/>
        <v>2025</v>
      </c>
      <c r="G3945" t="s">
        <v>265</v>
      </c>
      <c r="H3945" s="98">
        <v>12946</v>
      </c>
      <c r="I3945" s="29">
        <v>14.5</v>
      </c>
      <c r="J3945" s="12" t="s">
        <v>31</v>
      </c>
      <c r="K3945" s="76">
        <f t="shared" si="279"/>
        <v>14.5</v>
      </c>
      <c r="L3945">
        <v>1</v>
      </c>
      <c r="M3945" s="29">
        <v>0</v>
      </c>
      <c r="N3945" t="s">
        <v>32</v>
      </c>
      <c r="O3945" t="s">
        <v>33</v>
      </c>
      <c r="P3945" t="s">
        <v>34</v>
      </c>
      <c r="Q3945" t="s">
        <v>34</v>
      </c>
      <c r="R3945" t="s">
        <v>34</v>
      </c>
      <c r="S3945" t="s">
        <v>34</v>
      </c>
      <c r="T3945" s="117">
        <v>0</v>
      </c>
    </row>
    <row r="3946" spans="1:21" x14ac:dyDescent="0.35">
      <c r="A3946" t="s">
        <v>20</v>
      </c>
      <c r="B3946" t="s">
        <v>23</v>
      </c>
      <c r="C3946" s="1">
        <v>45819</v>
      </c>
      <c r="D3946">
        <f t="shared" si="280"/>
        <v>11</v>
      </c>
      <c r="E3946">
        <f t="shared" si="281"/>
        <v>6</v>
      </c>
      <c r="F3946">
        <f t="shared" si="282"/>
        <v>2025</v>
      </c>
      <c r="G3946" t="s">
        <v>265</v>
      </c>
      <c r="H3946" s="98">
        <v>13031</v>
      </c>
      <c r="I3946" s="29">
        <v>435</v>
      </c>
      <c r="J3946" s="12" t="s">
        <v>31</v>
      </c>
      <c r="K3946" s="76">
        <f t="shared" si="279"/>
        <v>435</v>
      </c>
      <c r="L3946">
        <v>1</v>
      </c>
      <c r="M3946" s="29">
        <v>0</v>
      </c>
      <c r="N3946" t="s">
        <v>32</v>
      </c>
      <c r="O3946" t="s">
        <v>33</v>
      </c>
      <c r="P3946" t="s">
        <v>34</v>
      </c>
      <c r="Q3946" t="s">
        <v>34</v>
      </c>
      <c r="R3946" t="s">
        <v>34</v>
      </c>
      <c r="S3946" t="s">
        <v>34</v>
      </c>
      <c r="T3946" s="117">
        <v>0</v>
      </c>
      <c r="U3946" s="209" t="s">
        <v>1207</v>
      </c>
    </row>
    <row r="3947" spans="1:21" x14ac:dyDescent="0.35">
      <c r="A3947" t="s">
        <v>20</v>
      </c>
      <c r="B3947" t="s">
        <v>23</v>
      </c>
      <c r="C3947" s="1">
        <v>45819</v>
      </c>
      <c r="D3947">
        <f t="shared" si="280"/>
        <v>11</v>
      </c>
      <c r="E3947">
        <f t="shared" si="281"/>
        <v>6</v>
      </c>
      <c r="F3947">
        <f t="shared" si="282"/>
        <v>2025</v>
      </c>
      <c r="G3947" t="s">
        <v>118</v>
      </c>
      <c r="H3947" s="98">
        <v>12330</v>
      </c>
      <c r="I3947" s="29">
        <v>42948.18</v>
      </c>
      <c r="J3947" s="12" t="s">
        <v>31</v>
      </c>
      <c r="K3947" s="76">
        <f t="shared" si="279"/>
        <v>42948.18</v>
      </c>
      <c r="L3947">
        <v>1</v>
      </c>
      <c r="M3947" s="29">
        <v>0</v>
      </c>
      <c r="N3947" t="s">
        <v>32</v>
      </c>
      <c r="O3947" t="s">
        <v>33</v>
      </c>
      <c r="P3947" t="s">
        <v>34</v>
      </c>
      <c r="Q3947" t="s">
        <v>34</v>
      </c>
      <c r="R3947" t="s">
        <v>34</v>
      </c>
      <c r="S3947" t="s">
        <v>34</v>
      </c>
      <c r="T3947" s="117">
        <v>0</v>
      </c>
    </row>
    <row r="3948" spans="1:21" x14ac:dyDescent="0.35">
      <c r="A3948" t="s">
        <v>20</v>
      </c>
      <c r="B3948" t="s">
        <v>21</v>
      </c>
      <c r="C3948" s="1">
        <v>45819</v>
      </c>
      <c r="D3948">
        <f t="shared" si="280"/>
        <v>11</v>
      </c>
      <c r="E3948">
        <f t="shared" si="281"/>
        <v>6</v>
      </c>
      <c r="F3948">
        <f t="shared" si="282"/>
        <v>2025</v>
      </c>
      <c r="G3948" t="s">
        <v>118</v>
      </c>
      <c r="H3948" s="98">
        <v>12961</v>
      </c>
      <c r="I3948" s="29">
        <v>53</v>
      </c>
      <c r="J3948" s="12" t="s">
        <v>31</v>
      </c>
      <c r="K3948" s="76">
        <f t="shared" si="279"/>
        <v>53</v>
      </c>
      <c r="L3948">
        <v>1</v>
      </c>
      <c r="M3948" s="29">
        <v>0</v>
      </c>
      <c r="N3948" t="s">
        <v>42</v>
      </c>
      <c r="O3948" t="s">
        <v>33</v>
      </c>
      <c r="P3948" t="s">
        <v>34</v>
      </c>
      <c r="Q3948" t="s">
        <v>34</v>
      </c>
      <c r="R3948" t="s">
        <v>34</v>
      </c>
      <c r="S3948" t="s">
        <v>34</v>
      </c>
      <c r="T3948" s="117">
        <v>0</v>
      </c>
    </row>
    <row r="3949" spans="1:21" x14ac:dyDescent="0.35">
      <c r="A3949" t="s">
        <v>20</v>
      </c>
      <c r="B3949" t="s">
        <v>21</v>
      </c>
      <c r="C3949" s="1">
        <v>45819</v>
      </c>
      <c r="D3949">
        <f t="shared" si="280"/>
        <v>11</v>
      </c>
      <c r="E3949">
        <f t="shared" si="281"/>
        <v>6</v>
      </c>
      <c r="F3949">
        <f t="shared" si="282"/>
        <v>2025</v>
      </c>
      <c r="G3949" t="s">
        <v>118</v>
      </c>
      <c r="H3949" s="98">
        <v>13371</v>
      </c>
      <c r="I3949" s="29">
        <v>1500.96</v>
      </c>
      <c r="J3949" s="12" t="s">
        <v>31</v>
      </c>
      <c r="K3949" s="76">
        <f t="shared" si="279"/>
        <v>1500.96</v>
      </c>
      <c r="L3949">
        <v>1</v>
      </c>
      <c r="M3949" s="29">
        <v>0</v>
      </c>
      <c r="N3949" t="s">
        <v>42</v>
      </c>
      <c r="O3949" t="s">
        <v>33</v>
      </c>
      <c r="P3949" t="s">
        <v>34</v>
      </c>
      <c r="Q3949" t="s">
        <v>34</v>
      </c>
      <c r="R3949" t="s">
        <v>34</v>
      </c>
      <c r="S3949" t="s">
        <v>34</v>
      </c>
      <c r="T3949" s="117">
        <v>0</v>
      </c>
      <c r="U3949" s="209" t="s">
        <v>1349</v>
      </c>
    </row>
    <row r="3950" spans="1:21" x14ac:dyDescent="0.35">
      <c r="A3950" t="s">
        <v>20</v>
      </c>
      <c r="B3950" t="s">
        <v>21</v>
      </c>
      <c r="C3950" s="1">
        <v>45819</v>
      </c>
      <c r="D3950">
        <f t="shared" si="280"/>
        <v>11</v>
      </c>
      <c r="E3950">
        <f t="shared" si="281"/>
        <v>6</v>
      </c>
      <c r="F3950">
        <f t="shared" si="282"/>
        <v>2025</v>
      </c>
      <c r="G3950" t="s">
        <v>118</v>
      </c>
      <c r="H3950" s="98">
        <v>12330</v>
      </c>
      <c r="I3950" s="29">
        <v>16486.63</v>
      </c>
      <c r="J3950" s="12" t="s">
        <v>31</v>
      </c>
      <c r="K3950" s="76">
        <f t="shared" si="279"/>
        <v>16486.63</v>
      </c>
      <c r="L3950">
        <v>1</v>
      </c>
      <c r="M3950" s="29">
        <v>0</v>
      </c>
      <c r="N3950" t="s">
        <v>32</v>
      </c>
      <c r="O3950" t="s">
        <v>33</v>
      </c>
      <c r="P3950" t="s">
        <v>34</v>
      </c>
      <c r="Q3950" t="s">
        <v>34</v>
      </c>
      <c r="R3950" t="s">
        <v>34</v>
      </c>
      <c r="S3950" t="s">
        <v>34</v>
      </c>
      <c r="T3950" s="117">
        <v>0</v>
      </c>
    </row>
    <row r="3951" spans="1:21" x14ac:dyDescent="0.35">
      <c r="A3951" t="s">
        <v>20</v>
      </c>
      <c r="B3951" t="s">
        <v>21</v>
      </c>
      <c r="C3951" s="1">
        <v>45819</v>
      </c>
      <c r="D3951">
        <f t="shared" si="280"/>
        <v>11</v>
      </c>
      <c r="E3951">
        <f t="shared" si="281"/>
        <v>6</v>
      </c>
      <c r="F3951">
        <f t="shared" si="282"/>
        <v>2025</v>
      </c>
      <c r="G3951" t="s">
        <v>45</v>
      </c>
      <c r="H3951" s="98">
        <v>12393</v>
      </c>
      <c r="I3951" s="29">
        <v>43853.82</v>
      </c>
      <c r="J3951" s="12" t="s">
        <v>31</v>
      </c>
      <c r="K3951" s="76">
        <f t="shared" si="279"/>
        <v>43853.82</v>
      </c>
      <c r="L3951">
        <v>1</v>
      </c>
      <c r="M3951" s="29">
        <v>0</v>
      </c>
      <c r="N3951" t="s">
        <v>32</v>
      </c>
      <c r="O3951" t="s">
        <v>33</v>
      </c>
      <c r="P3951" t="s">
        <v>34</v>
      </c>
      <c r="Q3951" t="s">
        <v>34</v>
      </c>
      <c r="R3951" t="s">
        <v>34</v>
      </c>
      <c r="S3951" t="s">
        <v>34</v>
      </c>
      <c r="T3951" s="117">
        <v>0</v>
      </c>
    </row>
    <row r="3952" spans="1:21" x14ac:dyDescent="0.35">
      <c r="A3952" t="s">
        <v>20</v>
      </c>
      <c r="B3952" t="s">
        <v>21</v>
      </c>
      <c r="C3952" s="1">
        <v>45819</v>
      </c>
      <c r="D3952">
        <f t="shared" si="280"/>
        <v>11</v>
      </c>
      <c r="E3952">
        <f t="shared" si="281"/>
        <v>6</v>
      </c>
      <c r="F3952">
        <f t="shared" si="282"/>
        <v>2025</v>
      </c>
      <c r="G3952" t="s">
        <v>45</v>
      </c>
      <c r="H3952" s="98">
        <v>12400</v>
      </c>
      <c r="I3952" s="29">
        <v>255.2</v>
      </c>
      <c r="J3952" s="12" t="s">
        <v>31</v>
      </c>
      <c r="K3952" s="76">
        <f t="shared" si="279"/>
        <v>255.2</v>
      </c>
      <c r="L3952">
        <v>1</v>
      </c>
      <c r="M3952" s="29">
        <v>0</v>
      </c>
      <c r="N3952" t="s">
        <v>32</v>
      </c>
      <c r="O3952" t="s">
        <v>33</v>
      </c>
      <c r="P3952" t="s">
        <v>34</v>
      </c>
      <c r="Q3952" t="s">
        <v>34</v>
      </c>
      <c r="R3952" t="s">
        <v>34</v>
      </c>
      <c r="S3952" t="s">
        <v>34</v>
      </c>
      <c r="T3952" s="117">
        <v>0</v>
      </c>
    </row>
    <row r="3953" spans="1:21" x14ac:dyDescent="0.35">
      <c r="A3953" t="s">
        <v>20</v>
      </c>
      <c r="B3953" t="s">
        <v>23</v>
      </c>
      <c r="C3953" s="1">
        <v>45819</v>
      </c>
      <c r="D3953">
        <f t="shared" si="280"/>
        <v>11</v>
      </c>
      <c r="E3953">
        <f t="shared" si="281"/>
        <v>6</v>
      </c>
      <c r="F3953">
        <f t="shared" si="282"/>
        <v>2025</v>
      </c>
      <c r="G3953" t="s">
        <v>595</v>
      </c>
      <c r="H3953" s="98">
        <v>12440</v>
      </c>
      <c r="I3953" s="29">
        <v>8782.65</v>
      </c>
      <c r="J3953" s="12" t="s">
        <v>31</v>
      </c>
      <c r="K3953" s="76">
        <f t="shared" si="279"/>
        <v>8782.65</v>
      </c>
      <c r="L3953">
        <v>1</v>
      </c>
      <c r="M3953" s="29">
        <v>0</v>
      </c>
      <c r="N3953" t="s">
        <v>42</v>
      </c>
      <c r="O3953" t="s">
        <v>33</v>
      </c>
      <c r="P3953" t="s">
        <v>34</v>
      </c>
      <c r="Q3953" t="s">
        <v>34</v>
      </c>
      <c r="R3953" t="s">
        <v>34</v>
      </c>
      <c r="S3953" t="s">
        <v>34</v>
      </c>
      <c r="T3953" s="117">
        <v>0</v>
      </c>
    </row>
    <row r="3954" spans="1:21" x14ac:dyDescent="0.35">
      <c r="A3954" t="s">
        <v>20</v>
      </c>
      <c r="B3954" t="s">
        <v>23</v>
      </c>
      <c r="C3954" s="1">
        <v>45819</v>
      </c>
      <c r="D3954">
        <f t="shared" si="280"/>
        <v>11</v>
      </c>
      <c r="E3954">
        <f t="shared" si="281"/>
        <v>6</v>
      </c>
      <c r="F3954">
        <f t="shared" si="282"/>
        <v>2025</v>
      </c>
      <c r="G3954" t="s">
        <v>595</v>
      </c>
      <c r="H3954" s="98">
        <v>12440</v>
      </c>
      <c r="I3954" s="29">
        <v>52629.350000000006</v>
      </c>
      <c r="J3954" s="12" t="s">
        <v>31</v>
      </c>
      <c r="K3954" s="76">
        <f t="shared" si="279"/>
        <v>52629.350000000006</v>
      </c>
      <c r="L3954">
        <v>1</v>
      </c>
      <c r="M3954" s="29">
        <v>0</v>
      </c>
      <c r="N3954" t="s">
        <v>42</v>
      </c>
      <c r="O3954" t="s">
        <v>33</v>
      </c>
      <c r="P3954" t="s">
        <v>34</v>
      </c>
      <c r="Q3954" t="s">
        <v>34</v>
      </c>
      <c r="R3954" t="s">
        <v>34</v>
      </c>
      <c r="S3954" t="s">
        <v>34</v>
      </c>
      <c r="T3954" s="117">
        <v>0</v>
      </c>
    </row>
    <row r="3955" spans="1:21" x14ac:dyDescent="0.35">
      <c r="A3955" t="s">
        <v>20</v>
      </c>
      <c r="B3955" t="s">
        <v>23</v>
      </c>
      <c r="C3955" s="1">
        <v>45819</v>
      </c>
      <c r="D3955">
        <f t="shared" si="280"/>
        <v>11</v>
      </c>
      <c r="E3955">
        <f t="shared" si="281"/>
        <v>6</v>
      </c>
      <c r="F3955">
        <f t="shared" si="282"/>
        <v>2025</v>
      </c>
      <c r="G3955" t="s">
        <v>595</v>
      </c>
      <c r="H3955" s="98">
        <v>12440</v>
      </c>
      <c r="I3955" s="29">
        <v>8036.48</v>
      </c>
      <c r="J3955" s="12" t="s">
        <v>31</v>
      </c>
      <c r="K3955" s="76">
        <f t="shared" si="279"/>
        <v>8036.48</v>
      </c>
      <c r="L3955">
        <v>1</v>
      </c>
      <c r="M3955" s="29">
        <v>0</v>
      </c>
      <c r="N3955" t="s">
        <v>42</v>
      </c>
      <c r="O3955" t="s">
        <v>33</v>
      </c>
      <c r="P3955" t="s">
        <v>34</v>
      </c>
      <c r="Q3955" t="s">
        <v>34</v>
      </c>
      <c r="R3955" t="s">
        <v>34</v>
      </c>
      <c r="S3955" t="s">
        <v>34</v>
      </c>
      <c r="T3955" s="117">
        <v>0</v>
      </c>
    </row>
    <row r="3956" spans="1:21" x14ac:dyDescent="0.35">
      <c r="A3956" t="s">
        <v>20</v>
      </c>
      <c r="B3956" t="s">
        <v>21</v>
      </c>
      <c r="C3956" s="1">
        <v>45819</v>
      </c>
      <c r="D3956">
        <f t="shared" si="280"/>
        <v>11</v>
      </c>
      <c r="E3956">
        <f t="shared" si="281"/>
        <v>6</v>
      </c>
      <c r="F3956">
        <f t="shared" si="282"/>
        <v>2025</v>
      </c>
      <c r="G3956" t="s">
        <v>595</v>
      </c>
      <c r="H3956" s="98">
        <v>12440</v>
      </c>
      <c r="I3956" s="29">
        <v>12449.22</v>
      </c>
      <c r="J3956" s="12" t="s">
        <v>31</v>
      </c>
      <c r="K3956" s="76">
        <f t="shared" si="279"/>
        <v>12449.22</v>
      </c>
      <c r="L3956">
        <v>1</v>
      </c>
      <c r="M3956" s="29">
        <v>0</v>
      </c>
      <c r="N3956" t="s">
        <v>42</v>
      </c>
      <c r="O3956" t="s">
        <v>33</v>
      </c>
      <c r="P3956" t="s">
        <v>34</v>
      </c>
      <c r="Q3956" t="s">
        <v>34</v>
      </c>
      <c r="R3956" t="s">
        <v>34</v>
      </c>
      <c r="S3956" t="s">
        <v>34</v>
      </c>
      <c r="T3956" s="117">
        <v>0</v>
      </c>
    </row>
    <row r="3957" spans="1:21" x14ac:dyDescent="0.35">
      <c r="A3957" t="s">
        <v>20</v>
      </c>
      <c r="B3957" t="s">
        <v>21</v>
      </c>
      <c r="C3957" s="1">
        <v>45819</v>
      </c>
      <c r="D3957">
        <f t="shared" si="280"/>
        <v>11</v>
      </c>
      <c r="E3957">
        <f t="shared" si="281"/>
        <v>6</v>
      </c>
      <c r="F3957">
        <f t="shared" si="282"/>
        <v>2025</v>
      </c>
      <c r="G3957" t="s">
        <v>82</v>
      </c>
      <c r="H3957" s="98">
        <v>12225</v>
      </c>
      <c r="I3957" s="29">
        <v>12113.13</v>
      </c>
      <c r="J3957" s="12" t="s">
        <v>31</v>
      </c>
      <c r="K3957" s="76">
        <f t="shared" si="279"/>
        <v>12113.13</v>
      </c>
      <c r="L3957">
        <v>1</v>
      </c>
      <c r="M3957" s="29">
        <v>0</v>
      </c>
      <c r="N3957" t="s">
        <v>32</v>
      </c>
      <c r="O3957" t="s">
        <v>33</v>
      </c>
      <c r="P3957" t="s">
        <v>34</v>
      </c>
      <c r="Q3957" t="s">
        <v>34</v>
      </c>
      <c r="R3957" t="s">
        <v>34</v>
      </c>
      <c r="S3957" t="s">
        <v>34</v>
      </c>
      <c r="T3957" s="117">
        <v>0</v>
      </c>
    </row>
    <row r="3958" spans="1:21" x14ac:dyDescent="0.35">
      <c r="A3958" t="s">
        <v>20</v>
      </c>
      <c r="B3958" t="s">
        <v>21</v>
      </c>
      <c r="C3958" s="1">
        <v>45819</v>
      </c>
      <c r="D3958">
        <f t="shared" si="280"/>
        <v>11</v>
      </c>
      <c r="E3958">
        <f t="shared" si="281"/>
        <v>6</v>
      </c>
      <c r="F3958">
        <f t="shared" si="282"/>
        <v>2025</v>
      </c>
      <c r="G3958" t="s">
        <v>50</v>
      </c>
      <c r="H3958" s="98">
        <v>12446</v>
      </c>
      <c r="I3958" s="29">
        <v>17403.52</v>
      </c>
      <c r="J3958" s="12" t="s">
        <v>31</v>
      </c>
      <c r="K3958" s="76">
        <f t="shared" si="279"/>
        <v>17403.52</v>
      </c>
      <c r="L3958">
        <v>1</v>
      </c>
      <c r="M3958" s="29">
        <v>0</v>
      </c>
      <c r="N3958" t="s">
        <v>32</v>
      </c>
      <c r="O3958" t="s">
        <v>33</v>
      </c>
      <c r="P3958" t="s">
        <v>34</v>
      </c>
      <c r="Q3958" t="s">
        <v>34</v>
      </c>
      <c r="R3958" t="s">
        <v>34</v>
      </c>
      <c r="S3958" t="s">
        <v>34</v>
      </c>
      <c r="T3958" s="117">
        <v>0</v>
      </c>
    </row>
    <row r="3959" spans="1:21" x14ac:dyDescent="0.35">
      <c r="A3959" t="s">
        <v>20</v>
      </c>
      <c r="B3959" t="s">
        <v>25</v>
      </c>
      <c r="C3959" s="1">
        <v>45819</v>
      </c>
      <c r="D3959">
        <f t="shared" si="280"/>
        <v>11</v>
      </c>
      <c r="E3959">
        <f t="shared" si="281"/>
        <v>6</v>
      </c>
      <c r="F3959">
        <f t="shared" si="282"/>
        <v>2025</v>
      </c>
      <c r="G3959" t="s">
        <v>50</v>
      </c>
      <c r="H3959" s="98">
        <v>12888</v>
      </c>
      <c r="I3959" s="29">
        <v>2990</v>
      </c>
      <c r="J3959" s="12" t="s">
        <v>31</v>
      </c>
      <c r="K3959" s="76">
        <f t="shared" si="279"/>
        <v>2990</v>
      </c>
      <c r="L3959">
        <v>1</v>
      </c>
      <c r="M3959" s="29">
        <v>0</v>
      </c>
      <c r="N3959" t="s">
        <v>42</v>
      </c>
      <c r="O3959" t="s">
        <v>33</v>
      </c>
      <c r="P3959" t="s">
        <v>34</v>
      </c>
      <c r="Q3959" t="s">
        <v>34</v>
      </c>
      <c r="R3959" t="s">
        <v>34</v>
      </c>
      <c r="S3959" t="s">
        <v>34</v>
      </c>
      <c r="T3959" s="117">
        <v>0</v>
      </c>
      <c r="U3959" s="209" t="s">
        <v>1201</v>
      </c>
    </row>
    <row r="3960" spans="1:21" x14ac:dyDescent="0.35">
      <c r="A3960" t="s">
        <v>20</v>
      </c>
      <c r="B3960" t="s">
        <v>21</v>
      </c>
      <c r="C3960" s="1">
        <v>45819</v>
      </c>
      <c r="D3960">
        <f t="shared" si="280"/>
        <v>11</v>
      </c>
      <c r="E3960">
        <f t="shared" si="281"/>
        <v>6</v>
      </c>
      <c r="F3960">
        <f t="shared" si="282"/>
        <v>2025</v>
      </c>
      <c r="G3960" t="s">
        <v>50</v>
      </c>
      <c r="H3960" s="98">
        <v>12942</v>
      </c>
      <c r="I3960" s="29">
        <v>897</v>
      </c>
      <c r="J3960" s="12" t="s">
        <v>31</v>
      </c>
      <c r="K3960" s="76">
        <f t="shared" si="279"/>
        <v>897</v>
      </c>
      <c r="L3960">
        <v>1</v>
      </c>
      <c r="M3960" s="29">
        <v>0</v>
      </c>
      <c r="N3960" t="s">
        <v>42</v>
      </c>
      <c r="O3960" t="s">
        <v>33</v>
      </c>
      <c r="P3960" t="s">
        <v>34</v>
      </c>
      <c r="Q3960" t="s">
        <v>34</v>
      </c>
      <c r="R3960" t="s">
        <v>34</v>
      </c>
      <c r="S3960" t="s">
        <v>34</v>
      </c>
      <c r="T3960" s="117">
        <v>0</v>
      </c>
    </row>
    <row r="3961" spans="1:21" x14ac:dyDescent="0.35">
      <c r="A3961" t="s">
        <v>20</v>
      </c>
      <c r="B3961" t="s">
        <v>24</v>
      </c>
      <c r="C3961" s="1">
        <v>45819</v>
      </c>
      <c r="D3961">
        <f t="shared" si="280"/>
        <v>11</v>
      </c>
      <c r="E3961">
        <f t="shared" si="281"/>
        <v>6</v>
      </c>
      <c r="F3961">
        <f t="shared" si="282"/>
        <v>2025</v>
      </c>
      <c r="G3961" t="s">
        <v>50</v>
      </c>
      <c r="H3961" s="98">
        <v>12358</v>
      </c>
      <c r="I3961" s="29">
        <v>26400</v>
      </c>
      <c r="J3961" s="12" t="s">
        <v>31</v>
      </c>
      <c r="K3961" s="76">
        <f t="shared" si="279"/>
        <v>26400</v>
      </c>
      <c r="L3961">
        <v>1</v>
      </c>
      <c r="M3961" s="29">
        <v>0</v>
      </c>
      <c r="N3961" t="s">
        <v>32</v>
      </c>
      <c r="O3961" t="s">
        <v>33</v>
      </c>
      <c r="P3961" t="s">
        <v>34</v>
      </c>
      <c r="Q3961" t="s">
        <v>34</v>
      </c>
      <c r="R3961" t="s">
        <v>34</v>
      </c>
      <c r="S3961" t="s">
        <v>34</v>
      </c>
      <c r="T3961" s="117">
        <v>0</v>
      </c>
    </row>
    <row r="3962" spans="1:21" x14ac:dyDescent="0.35">
      <c r="A3962" t="s">
        <v>20</v>
      </c>
      <c r="B3962" t="s">
        <v>25</v>
      </c>
      <c r="C3962" s="1">
        <v>45819</v>
      </c>
      <c r="D3962">
        <f t="shared" si="280"/>
        <v>11</v>
      </c>
      <c r="E3962">
        <f t="shared" si="281"/>
        <v>6</v>
      </c>
      <c r="F3962">
        <f t="shared" si="282"/>
        <v>2025</v>
      </c>
      <c r="G3962" t="s">
        <v>174</v>
      </c>
      <c r="H3962" s="98">
        <v>12969</v>
      </c>
      <c r="I3962" s="29">
        <v>557.4</v>
      </c>
      <c r="J3962" s="12" t="s">
        <v>31</v>
      </c>
      <c r="K3962" s="76">
        <f t="shared" si="279"/>
        <v>557.4</v>
      </c>
      <c r="L3962">
        <v>1</v>
      </c>
      <c r="M3962" s="29">
        <v>0</v>
      </c>
      <c r="N3962" t="s">
        <v>42</v>
      </c>
      <c r="O3962" t="s">
        <v>33</v>
      </c>
      <c r="P3962" t="s">
        <v>34</v>
      </c>
      <c r="Q3962" t="s">
        <v>34</v>
      </c>
      <c r="R3962" t="s">
        <v>34</v>
      </c>
      <c r="S3962" t="s">
        <v>34</v>
      </c>
      <c r="T3962" s="117">
        <v>0</v>
      </c>
    </row>
    <row r="3963" spans="1:21" x14ac:dyDescent="0.35">
      <c r="A3963" t="s">
        <v>20</v>
      </c>
      <c r="B3963" t="s">
        <v>25</v>
      </c>
      <c r="C3963" s="1">
        <v>45819</v>
      </c>
      <c r="D3963">
        <f t="shared" si="280"/>
        <v>11</v>
      </c>
      <c r="E3963">
        <f t="shared" si="281"/>
        <v>6</v>
      </c>
      <c r="F3963">
        <f t="shared" si="282"/>
        <v>2025</v>
      </c>
      <c r="G3963" t="s">
        <v>174</v>
      </c>
      <c r="H3963" s="98">
        <v>12970</v>
      </c>
      <c r="I3963" s="29">
        <v>7093.7980000000007</v>
      </c>
      <c r="J3963" s="12" t="s">
        <v>31</v>
      </c>
      <c r="K3963" s="76">
        <f t="shared" si="279"/>
        <v>7093.7980000000007</v>
      </c>
      <c r="L3963">
        <v>1</v>
      </c>
      <c r="M3963" s="29">
        <v>0</v>
      </c>
      <c r="N3963" t="s">
        <v>42</v>
      </c>
      <c r="O3963" t="s">
        <v>33</v>
      </c>
      <c r="P3963" t="s">
        <v>34</v>
      </c>
      <c r="Q3963" t="s">
        <v>34</v>
      </c>
      <c r="R3963" t="s">
        <v>34</v>
      </c>
      <c r="S3963" t="s">
        <v>34</v>
      </c>
      <c r="T3963" s="117">
        <v>0</v>
      </c>
    </row>
    <row r="3964" spans="1:21" x14ac:dyDescent="0.35">
      <c r="A3964" t="s">
        <v>20</v>
      </c>
      <c r="B3964" t="s">
        <v>25</v>
      </c>
      <c r="C3964" s="1">
        <v>45819</v>
      </c>
      <c r="D3964">
        <f t="shared" si="280"/>
        <v>11</v>
      </c>
      <c r="E3964">
        <f t="shared" si="281"/>
        <v>6</v>
      </c>
      <c r="F3964">
        <f t="shared" si="282"/>
        <v>2025</v>
      </c>
      <c r="G3964" t="s">
        <v>174</v>
      </c>
      <c r="H3964" s="98">
        <v>12890</v>
      </c>
      <c r="I3964" s="29">
        <v>1476.98</v>
      </c>
      <c r="J3964" s="12" t="s">
        <v>31</v>
      </c>
      <c r="K3964" s="76">
        <f t="shared" si="279"/>
        <v>1476.98</v>
      </c>
      <c r="L3964">
        <v>1</v>
      </c>
      <c r="M3964" s="29">
        <v>0</v>
      </c>
      <c r="N3964" t="s">
        <v>42</v>
      </c>
      <c r="O3964" t="s">
        <v>33</v>
      </c>
      <c r="P3964" t="s">
        <v>34</v>
      </c>
      <c r="Q3964" t="s">
        <v>34</v>
      </c>
      <c r="R3964" t="s">
        <v>34</v>
      </c>
      <c r="S3964" t="s">
        <v>34</v>
      </c>
      <c r="T3964" s="117">
        <v>0</v>
      </c>
    </row>
    <row r="3965" spans="1:21" x14ac:dyDescent="0.35">
      <c r="A3965" t="s">
        <v>20</v>
      </c>
      <c r="B3965" t="s">
        <v>25</v>
      </c>
      <c r="C3965" s="1">
        <v>45819</v>
      </c>
      <c r="D3965">
        <f t="shared" si="280"/>
        <v>11</v>
      </c>
      <c r="E3965">
        <f t="shared" si="281"/>
        <v>6</v>
      </c>
      <c r="F3965">
        <f t="shared" si="282"/>
        <v>2025</v>
      </c>
      <c r="G3965" t="s">
        <v>81</v>
      </c>
      <c r="H3965" s="98">
        <v>12668</v>
      </c>
      <c r="I3965" s="29">
        <v>1104.3</v>
      </c>
      <c r="J3965" s="12" t="s">
        <v>31</v>
      </c>
      <c r="K3965" s="76">
        <f t="shared" si="279"/>
        <v>1104.3</v>
      </c>
      <c r="L3965">
        <v>1</v>
      </c>
      <c r="M3965" s="29">
        <v>0</v>
      </c>
      <c r="N3965" t="s">
        <v>32</v>
      </c>
      <c r="O3965" t="s">
        <v>33</v>
      </c>
      <c r="P3965" t="s">
        <v>34</v>
      </c>
      <c r="Q3965" t="s">
        <v>34</v>
      </c>
      <c r="R3965" t="s">
        <v>34</v>
      </c>
      <c r="S3965" t="s">
        <v>34</v>
      </c>
      <c r="T3965" s="117">
        <v>0</v>
      </c>
    </row>
    <row r="3966" spans="1:21" x14ac:dyDescent="0.35">
      <c r="A3966" t="s">
        <v>20</v>
      </c>
      <c r="B3966" t="s">
        <v>25</v>
      </c>
      <c r="C3966" s="1">
        <v>45819</v>
      </c>
      <c r="D3966">
        <f t="shared" si="280"/>
        <v>11</v>
      </c>
      <c r="E3966">
        <f t="shared" si="281"/>
        <v>6</v>
      </c>
      <c r="F3966">
        <f t="shared" si="282"/>
        <v>2025</v>
      </c>
      <c r="G3966" t="s">
        <v>84</v>
      </c>
      <c r="H3966" s="98">
        <v>12740</v>
      </c>
      <c r="I3966" s="29">
        <v>729</v>
      </c>
      <c r="J3966" s="12" t="s">
        <v>31</v>
      </c>
      <c r="K3966" s="76">
        <f t="shared" si="279"/>
        <v>729</v>
      </c>
      <c r="L3966">
        <v>1</v>
      </c>
      <c r="M3966" s="29">
        <v>0</v>
      </c>
      <c r="N3966" t="s">
        <v>42</v>
      </c>
      <c r="O3966" t="s">
        <v>33</v>
      </c>
      <c r="P3966" t="s">
        <v>34</v>
      </c>
      <c r="Q3966" t="s">
        <v>34</v>
      </c>
      <c r="R3966" t="s">
        <v>34</v>
      </c>
      <c r="S3966" t="s">
        <v>34</v>
      </c>
      <c r="T3966" s="117">
        <v>0</v>
      </c>
    </row>
    <row r="3967" spans="1:21" x14ac:dyDescent="0.35">
      <c r="A3967" t="s">
        <v>20</v>
      </c>
      <c r="B3967" t="s">
        <v>25</v>
      </c>
      <c r="C3967" s="1">
        <v>45819</v>
      </c>
      <c r="D3967">
        <f t="shared" si="280"/>
        <v>11</v>
      </c>
      <c r="E3967">
        <f t="shared" si="281"/>
        <v>6</v>
      </c>
      <c r="F3967">
        <f t="shared" si="282"/>
        <v>2025</v>
      </c>
      <c r="G3967" t="s">
        <v>565</v>
      </c>
      <c r="H3967" s="98">
        <v>12968</v>
      </c>
      <c r="I3967" s="29">
        <v>3141.5</v>
      </c>
      <c r="J3967" s="12" t="s">
        <v>31</v>
      </c>
      <c r="K3967" s="76">
        <f t="shared" si="279"/>
        <v>3141.5</v>
      </c>
      <c r="L3967">
        <v>1</v>
      </c>
      <c r="M3967" s="29">
        <v>0</v>
      </c>
      <c r="N3967" t="s">
        <v>42</v>
      </c>
      <c r="O3967" t="s">
        <v>33</v>
      </c>
      <c r="P3967" t="s">
        <v>34</v>
      </c>
      <c r="Q3967" t="s">
        <v>34</v>
      </c>
      <c r="R3967" t="s">
        <v>34</v>
      </c>
      <c r="S3967" t="s">
        <v>34</v>
      </c>
      <c r="T3967" s="117">
        <v>0</v>
      </c>
    </row>
    <row r="3968" spans="1:21" x14ac:dyDescent="0.35">
      <c r="A3968" t="s">
        <v>20</v>
      </c>
      <c r="B3968" t="s">
        <v>25</v>
      </c>
      <c r="C3968" s="1">
        <v>45819</v>
      </c>
      <c r="D3968">
        <f t="shared" si="280"/>
        <v>11</v>
      </c>
      <c r="E3968">
        <f t="shared" si="281"/>
        <v>6</v>
      </c>
      <c r="F3968">
        <f t="shared" si="282"/>
        <v>2025</v>
      </c>
      <c r="G3968" t="s">
        <v>274</v>
      </c>
      <c r="H3968" s="98">
        <v>12966</v>
      </c>
      <c r="I3968" s="29">
        <v>63.599999999999994</v>
      </c>
      <c r="J3968" s="12" t="s">
        <v>31</v>
      </c>
      <c r="K3968" s="76">
        <f t="shared" si="279"/>
        <v>63.599999999999994</v>
      </c>
      <c r="L3968">
        <v>1</v>
      </c>
      <c r="M3968" s="29">
        <v>0</v>
      </c>
      <c r="N3968" t="s">
        <v>42</v>
      </c>
      <c r="O3968" t="s">
        <v>33</v>
      </c>
      <c r="P3968" t="s">
        <v>34</v>
      </c>
      <c r="Q3968" t="s">
        <v>34</v>
      </c>
      <c r="R3968" t="s">
        <v>34</v>
      </c>
      <c r="S3968" t="s">
        <v>34</v>
      </c>
      <c r="T3968" s="117">
        <v>0</v>
      </c>
    </row>
    <row r="3969" spans="1:21" x14ac:dyDescent="0.35">
      <c r="A3969" t="s">
        <v>20</v>
      </c>
      <c r="B3969" t="s">
        <v>25</v>
      </c>
      <c r="C3969" s="1">
        <v>45819</v>
      </c>
      <c r="D3969">
        <f t="shared" si="280"/>
        <v>11</v>
      </c>
      <c r="E3969">
        <f t="shared" si="281"/>
        <v>6</v>
      </c>
      <c r="F3969">
        <f t="shared" si="282"/>
        <v>2025</v>
      </c>
      <c r="G3969" t="s">
        <v>274</v>
      </c>
      <c r="H3969" s="98">
        <v>12967</v>
      </c>
      <c r="I3969" s="29">
        <v>6145</v>
      </c>
      <c r="J3969" s="12" t="s">
        <v>31</v>
      </c>
      <c r="K3969" s="76">
        <f t="shared" si="279"/>
        <v>6145</v>
      </c>
      <c r="L3969">
        <v>1</v>
      </c>
      <c r="M3969" s="29">
        <v>0</v>
      </c>
      <c r="N3969" t="s">
        <v>42</v>
      </c>
      <c r="O3969" t="s">
        <v>33</v>
      </c>
      <c r="P3969" t="s">
        <v>34</v>
      </c>
      <c r="Q3969" t="s">
        <v>34</v>
      </c>
      <c r="R3969" t="s">
        <v>34</v>
      </c>
      <c r="S3969" t="s">
        <v>34</v>
      </c>
      <c r="T3969" s="117">
        <v>0</v>
      </c>
    </row>
    <row r="3970" spans="1:21" x14ac:dyDescent="0.35">
      <c r="A3970" t="s">
        <v>20</v>
      </c>
      <c r="B3970" t="s">
        <v>24</v>
      </c>
      <c r="C3970" s="1">
        <v>45819</v>
      </c>
      <c r="D3970">
        <f t="shared" si="280"/>
        <v>11</v>
      </c>
      <c r="E3970">
        <f t="shared" si="281"/>
        <v>6</v>
      </c>
      <c r="F3970">
        <f t="shared" si="282"/>
        <v>2025</v>
      </c>
      <c r="G3970" t="s">
        <v>90</v>
      </c>
      <c r="H3970" s="98">
        <v>12778</v>
      </c>
      <c r="I3970" s="29">
        <v>135.01</v>
      </c>
      <c r="J3970" s="12" t="s">
        <v>31</v>
      </c>
      <c r="K3970" s="76">
        <f t="shared" si="279"/>
        <v>135.01</v>
      </c>
      <c r="L3970">
        <v>1</v>
      </c>
      <c r="M3970" s="29">
        <v>0</v>
      </c>
      <c r="N3970" t="s">
        <v>42</v>
      </c>
      <c r="O3970" t="s">
        <v>33</v>
      </c>
      <c r="P3970" t="s">
        <v>34</v>
      </c>
      <c r="Q3970" t="s">
        <v>34</v>
      </c>
      <c r="R3970" t="s">
        <v>34</v>
      </c>
      <c r="S3970" t="s">
        <v>34</v>
      </c>
      <c r="T3970" s="117">
        <v>0</v>
      </c>
    </row>
    <row r="3971" spans="1:21" x14ac:dyDescent="0.35">
      <c r="A3971" t="s">
        <v>20</v>
      </c>
      <c r="B3971" t="s">
        <v>21</v>
      </c>
      <c r="C3971" s="1">
        <v>45819</v>
      </c>
      <c r="D3971">
        <f t="shared" si="280"/>
        <v>11</v>
      </c>
      <c r="E3971">
        <f t="shared" si="281"/>
        <v>6</v>
      </c>
      <c r="F3971">
        <f t="shared" si="282"/>
        <v>2025</v>
      </c>
      <c r="G3971" t="s">
        <v>46</v>
      </c>
      <c r="H3971" s="98">
        <v>12407</v>
      </c>
      <c r="I3971" s="29">
        <v>411.52</v>
      </c>
      <c r="J3971" s="12" t="s">
        <v>31</v>
      </c>
      <c r="K3971" s="76">
        <f t="shared" si="279"/>
        <v>411.52</v>
      </c>
      <c r="L3971">
        <v>1</v>
      </c>
      <c r="M3971" s="29">
        <v>0</v>
      </c>
      <c r="N3971" t="s">
        <v>42</v>
      </c>
      <c r="O3971" t="s">
        <v>33</v>
      </c>
      <c r="P3971" t="s">
        <v>34</v>
      </c>
      <c r="Q3971" t="s">
        <v>34</v>
      </c>
      <c r="R3971" t="s">
        <v>34</v>
      </c>
      <c r="S3971" t="s">
        <v>34</v>
      </c>
      <c r="T3971" s="117">
        <v>0</v>
      </c>
      <c r="U3971" s="209" t="s">
        <v>1175</v>
      </c>
    </row>
    <row r="3972" spans="1:21" x14ac:dyDescent="0.35">
      <c r="A3972" t="s">
        <v>20</v>
      </c>
      <c r="B3972" t="s">
        <v>21</v>
      </c>
      <c r="C3972" s="1">
        <v>45819</v>
      </c>
      <c r="D3972">
        <f t="shared" si="280"/>
        <v>11</v>
      </c>
      <c r="E3972">
        <f t="shared" si="281"/>
        <v>6</v>
      </c>
      <c r="F3972">
        <f t="shared" si="282"/>
        <v>2025</v>
      </c>
      <c r="G3972" t="s">
        <v>46</v>
      </c>
      <c r="H3972" s="98">
        <v>12463</v>
      </c>
      <c r="I3972" s="29">
        <v>164.48000000000002</v>
      </c>
      <c r="J3972" s="12" t="s">
        <v>31</v>
      </c>
      <c r="K3972" s="76">
        <f t="shared" ref="K3972:K4036" si="283">IF(J3972="USD",I3972,I3972*L3972)</f>
        <v>164.48000000000002</v>
      </c>
      <c r="L3972">
        <v>1</v>
      </c>
      <c r="M3972" s="29">
        <v>0</v>
      </c>
      <c r="N3972" t="s">
        <v>32</v>
      </c>
      <c r="O3972" t="s">
        <v>33</v>
      </c>
      <c r="P3972" t="s">
        <v>34</v>
      </c>
      <c r="Q3972" t="s">
        <v>34</v>
      </c>
      <c r="R3972" t="s">
        <v>34</v>
      </c>
      <c r="S3972" t="s">
        <v>34</v>
      </c>
      <c r="T3972" s="117">
        <v>0</v>
      </c>
    </row>
    <row r="3973" spans="1:21" x14ac:dyDescent="0.35">
      <c r="A3973" t="s">
        <v>19</v>
      </c>
      <c r="B3973" t="s">
        <v>19</v>
      </c>
      <c r="C3973" s="1">
        <v>45819</v>
      </c>
      <c r="D3973">
        <f t="shared" ref="D3973:D4037" si="284">DAY(C3973)</f>
        <v>11</v>
      </c>
      <c r="E3973">
        <f t="shared" ref="E3973:E4037" si="285">MONTH(C3973)</f>
        <v>6</v>
      </c>
      <c r="F3973">
        <f t="shared" ref="F3973:F4037" si="286">YEAR(C3973)</f>
        <v>2025</v>
      </c>
      <c r="G3973" t="s">
        <v>56</v>
      </c>
      <c r="H3973" s="98" t="s">
        <v>1101</v>
      </c>
      <c r="I3973" s="29">
        <v>182983.11</v>
      </c>
      <c r="J3973" s="12" t="s">
        <v>31</v>
      </c>
      <c r="K3973" s="76">
        <f t="shared" si="283"/>
        <v>182983.11</v>
      </c>
      <c r="L3973">
        <v>1</v>
      </c>
      <c r="M3973" s="29">
        <v>0</v>
      </c>
      <c r="N3973" t="s">
        <v>32</v>
      </c>
      <c r="O3973" t="s">
        <v>33</v>
      </c>
      <c r="P3973" t="s">
        <v>34</v>
      </c>
      <c r="Q3973" t="s">
        <v>34</v>
      </c>
      <c r="R3973" t="s">
        <v>34</v>
      </c>
      <c r="S3973" t="s">
        <v>34</v>
      </c>
      <c r="T3973" s="117">
        <v>0</v>
      </c>
    </row>
    <row r="3974" spans="1:21" x14ac:dyDescent="0.35">
      <c r="A3974" t="s">
        <v>19</v>
      </c>
      <c r="B3974" t="s">
        <v>19</v>
      </c>
      <c r="C3974" s="1">
        <v>45819</v>
      </c>
      <c r="D3974">
        <f t="shared" si="284"/>
        <v>11</v>
      </c>
      <c r="E3974">
        <f t="shared" si="285"/>
        <v>6</v>
      </c>
      <c r="F3974">
        <f t="shared" si="286"/>
        <v>2025</v>
      </c>
      <c r="G3974" t="s">
        <v>56</v>
      </c>
      <c r="H3974" s="98" t="s">
        <v>1102</v>
      </c>
      <c r="I3974" s="29">
        <v>175336.63</v>
      </c>
      <c r="J3974" s="12" t="s">
        <v>31</v>
      </c>
      <c r="K3974" s="76">
        <f t="shared" si="283"/>
        <v>175336.63</v>
      </c>
      <c r="L3974">
        <v>1</v>
      </c>
      <c r="M3974" s="29">
        <v>0</v>
      </c>
      <c r="N3974" t="s">
        <v>32</v>
      </c>
      <c r="O3974" t="s">
        <v>33</v>
      </c>
      <c r="P3974" t="s">
        <v>34</v>
      </c>
      <c r="Q3974" t="s">
        <v>34</v>
      </c>
      <c r="R3974" t="s">
        <v>34</v>
      </c>
      <c r="S3974" t="s">
        <v>34</v>
      </c>
      <c r="T3974" s="117">
        <v>0</v>
      </c>
    </row>
    <row r="3975" spans="1:21" x14ac:dyDescent="0.35">
      <c r="A3975" t="s">
        <v>19</v>
      </c>
      <c r="B3975" t="s">
        <v>19</v>
      </c>
      <c r="C3975" s="1">
        <v>45819</v>
      </c>
      <c r="D3975">
        <f t="shared" si="284"/>
        <v>11</v>
      </c>
      <c r="E3975">
        <f t="shared" si="285"/>
        <v>6</v>
      </c>
      <c r="F3975">
        <f t="shared" si="286"/>
        <v>2025</v>
      </c>
      <c r="G3975" t="s">
        <v>56</v>
      </c>
      <c r="H3975" s="98" t="s">
        <v>1103</v>
      </c>
      <c r="I3975" s="29">
        <v>176760.28</v>
      </c>
      <c r="J3975" s="12" t="s">
        <v>31</v>
      </c>
      <c r="K3975" s="76">
        <f t="shared" si="283"/>
        <v>176760.28</v>
      </c>
      <c r="L3975">
        <v>1</v>
      </c>
      <c r="M3975" s="29">
        <v>0</v>
      </c>
      <c r="N3975" t="s">
        <v>32</v>
      </c>
      <c r="O3975" t="s">
        <v>33</v>
      </c>
      <c r="P3975" t="s">
        <v>34</v>
      </c>
      <c r="Q3975" t="s">
        <v>34</v>
      </c>
      <c r="R3975" t="s">
        <v>34</v>
      </c>
      <c r="S3975" t="s">
        <v>34</v>
      </c>
      <c r="T3975" s="117">
        <v>0</v>
      </c>
    </row>
    <row r="3976" spans="1:21" x14ac:dyDescent="0.35">
      <c r="A3976" t="s">
        <v>19</v>
      </c>
      <c r="B3976" t="s">
        <v>19</v>
      </c>
      <c r="C3976" s="1">
        <v>45819</v>
      </c>
      <c r="D3976">
        <f t="shared" si="284"/>
        <v>11</v>
      </c>
      <c r="E3976">
        <f t="shared" si="285"/>
        <v>6</v>
      </c>
      <c r="F3976">
        <f t="shared" si="286"/>
        <v>2025</v>
      </c>
      <c r="G3976" t="s">
        <v>56</v>
      </c>
      <c r="H3976" s="98" t="s">
        <v>1104</v>
      </c>
      <c r="I3976" s="29">
        <v>160048.49</v>
      </c>
      <c r="J3976" s="12" t="s">
        <v>31</v>
      </c>
      <c r="K3976" s="76">
        <f t="shared" si="283"/>
        <v>160048.49</v>
      </c>
      <c r="L3976">
        <v>1</v>
      </c>
      <c r="M3976" s="29">
        <v>0</v>
      </c>
      <c r="N3976" t="s">
        <v>32</v>
      </c>
      <c r="O3976" t="s">
        <v>33</v>
      </c>
      <c r="P3976" t="s">
        <v>34</v>
      </c>
      <c r="Q3976" t="s">
        <v>34</v>
      </c>
      <c r="R3976" t="s">
        <v>34</v>
      </c>
      <c r="S3976" t="s">
        <v>34</v>
      </c>
      <c r="T3976" s="117">
        <v>0</v>
      </c>
    </row>
    <row r="3977" spans="1:21" x14ac:dyDescent="0.35">
      <c r="A3977" t="s">
        <v>19</v>
      </c>
      <c r="B3977" t="s">
        <v>19</v>
      </c>
      <c r="C3977" s="1">
        <v>45819</v>
      </c>
      <c r="D3977">
        <f t="shared" si="284"/>
        <v>11</v>
      </c>
      <c r="E3977">
        <f t="shared" si="285"/>
        <v>6</v>
      </c>
      <c r="F3977">
        <f t="shared" si="286"/>
        <v>2025</v>
      </c>
      <c r="G3977" t="s">
        <v>56</v>
      </c>
      <c r="H3977" s="98" t="s">
        <v>1105</v>
      </c>
      <c r="I3977" s="29">
        <v>169311.62</v>
      </c>
      <c r="J3977" s="12" t="s">
        <v>31</v>
      </c>
      <c r="K3977" s="76">
        <f t="shared" si="283"/>
        <v>169311.62</v>
      </c>
      <c r="L3977">
        <v>1</v>
      </c>
      <c r="M3977" s="29">
        <v>0</v>
      </c>
      <c r="N3977" t="s">
        <v>32</v>
      </c>
      <c r="O3977" t="s">
        <v>33</v>
      </c>
      <c r="P3977" t="s">
        <v>34</v>
      </c>
      <c r="Q3977" t="s">
        <v>34</v>
      </c>
      <c r="R3977" t="s">
        <v>34</v>
      </c>
      <c r="S3977" t="s">
        <v>34</v>
      </c>
      <c r="T3977" s="117">
        <v>0</v>
      </c>
    </row>
    <row r="3978" spans="1:21" x14ac:dyDescent="0.35">
      <c r="A3978" t="s">
        <v>19</v>
      </c>
      <c r="B3978" t="s">
        <v>19</v>
      </c>
      <c r="C3978" s="1">
        <v>45819</v>
      </c>
      <c r="D3978">
        <f t="shared" si="284"/>
        <v>11</v>
      </c>
      <c r="E3978">
        <f t="shared" si="285"/>
        <v>6</v>
      </c>
      <c r="F3978">
        <f t="shared" si="286"/>
        <v>2025</v>
      </c>
      <c r="G3978" t="s">
        <v>90</v>
      </c>
      <c r="H3978" s="98" t="s">
        <v>1106</v>
      </c>
      <c r="I3978" s="29">
        <v>33684.160000000003</v>
      </c>
      <c r="J3978" s="12" t="s">
        <v>31</v>
      </c>
      <c r="K3978" s="76">
        <f t="shared" si="283"/>
        <v>33684.160000000003</v>
      </c>
      <c r="L3978">
        <v>1</v>
      </c>
      <c r="M3978" s="29">
        <v>0</v>
      </c>
      <c r="N3978" t="s">
        <v>32</v>
      </c>
      <c r="O3978" t="s">
        <v>33</v>
      </c>
      <c r="P3978" t="s">
        <v>34</v>
      </c>
      <c r="Q3978" t="s">
        <v>34</v>
      </c>
      <c r="R3978" t="s">
        <v>34</v>
      </c>
      <c r="S3978" t="s">
        <v>34</v>
      </c>
      <c r="T3978" s="117">
        <v>0</v>
      </c>
    </row>
    <row r="3979" spans="1:21" x14ac:dyDescent="0.35">
      <c r="A3979" t="s">
        <v>19</v>
      </c>
      <c r="B3979" t="s">
        <v>19</v>
      </c>
      <c r="C3979" s="1">
        <v>45819</v>
      </c>
      <c r="D3979">
        <f t="shared" si="284"/>
        <v>11</v>
      </c>
      <c r="E3979">
        <f t="shared" si="285"/>
        <v>6</v>
      </c>
      <c r="F3979">
        <f t="shared" si="286"/>
        <v>2025</v>
      </c>
      <c r="G3979" t="s">
        <v>59</v>
      </c>
      <c r="H3979" s="171" t="s">
        <v>1107</v>
      </c>
      <c r="I3979" s="90">
        <v>120538.7</v>
      </c>
      <c r="J3979" s="12" t="s">
        <v>31</v>
      </c>
      <c r="K3979" s="76">
        <f t="shared" si="283"/>
        <v>120538.7</v>
      </c>
      <c r="L3979">
        <v>1</v>
      </c>
      <c r="M3979" s="29">
        <v>0</v>
      </c>
      <c r="N3979" t="s">
        <v>32</v>
      </c>
      <c r="O3979" t="s">
        <v>33</v>
      </c>
      <c r="P3979" t="s">
        <v>34</v>
      </c>
      <c r="Q3979" t="s">
        <v>34</v>
      </c>
      <c r="R3979" t="s">
        <v>34</v>
      </c>
      <c r="S3979" t="s">
        <v>34</v>
      </c>
      <c r="T3979" s="117">
        <v>0</v>
      </c>
    </row>
    <row r="3980" spans="1:21" x14ac:dyDescent="0.35">
      <c r="A3980" t="s">
        <v>19</v>
      </c>
      <c r="B3980" t="s">
        <v>19</v>
      </c>
      <c r="C3980" s="1">
        <v>45819</v>
      </c>
      <c r="D3980">
        <f t="shared" si="284"/>
        <v>11</v>
      </c>
      <c r="E3980">
        <f t="shared" si="285"/>
        <v>6</v>
      </c>
      <c r="F3980">
        <f t="shared" si="286"/>
        <v>2025</v>
      </c>
      <c r="G3980" t="s">
        <v>124</v>
      </c>
      <c r="H3980" s="98" t="s">
        <v>1108</v>
      </c>
      <c r="I3980" s="29">
        <v>59685.94</v>
      </c>
      <c r="J3980" s="12" t="s">
        <v>31</v>
      </c>
      <c r="K3980" s="76">
        <f t="shared" si="283"/>
        <v>59685.94</v>
      </c>
      <c r="L3980">
        <v>1</v>
      </c>
      <c r="M3980" s="29">
        <v>0</v>
      </c>
      <c r="N3980" t="s">
        <v>32</v>
      </c>
      <c r="O3980" t="s">
        <v>33</v>
      </c>
      <c r="P3980" t="s">
        <v>34</v>
      </c>
      <c r="Q3980" t="s">
        <v>34</v>
      </c>
      <c r="R3980" t="s">
        <v>34</v>
      </c>
      <c r="S3980" t="s">
        <v>34</v>
      </c>
      <c r="T3980" s="117">
        <v>0</v>
      </c>
    </row>
    <row r="3981" spans="1:21" x14ac:dyDescent="0.35">
      <c r="A3981" t="s">
        <v>19</v>
      </c>
      <c r="B3981" t="s">
        <v>26</v>
      </c>
      <c r="C3981" s="1">
        <v>45820</v>
      </c>
      <c r="D3981">
        <f t="shared" si="284"/>
        <v>12</v>
      </c>
      <c r="E3981">
        <f t="shared" si="285"/>
        <v>6</v>
      </c>
      <c r="F3981">
        <f t="shared" si="286"/>
        <v>2025</v>
      </c>
      <c r="G3981" t="s">
        <v>73</v>
      </c>
      <c r="H3981" s="98">
        <v>12904</v>
      </c>
      <c r="I3981" s="29">
        <v>36126.49</v>
      </c>
      <c r="J3981" s="12" t="s">
        <v>51</v>
      </c>
      <c r="K3981" s="76">
        <f t="shared" si="283"/>
        <v>41913.953697999998</v>
      </c>
      <c r="L3981">
        <v>1.1601999999999999</v>
      </c>
      <c r="M3981" s="29">
        <v>0</v>
      </c>
      <c r="N3981" t="s">
        <v>32</v>
      </c>
      <c r="O3981" t="s">
        <v>33</v>
      </c>
      <c r="P3981" t="s">
        <v>34</v>
      </c>
      <c r="Q3981" t="s">
        <v>34</v>
      </c>
      <c r="R3981" t="s">
        <v>34</v>
      </c>
      <c r="S3981" t="s">
        <v>34</v>
      </c>
      <c r="T3981" s="117">
        <v>0</v>
      </c>
      <c r="U3981" s="209" t="s">
        <v>94</v>
      </c>
    </row>
    <row r="3982" spans="1:21" x14ac:dyDescent="0.35">
      <c r="A3982" t="s">
        <v>19</v>
      </c>
      <c r="B3982" t="s">
        <v>26</v>
      </c>
      <c r="C3982" s="1">
        <v>45820</v>
      </c>
      <c r="D3982">
        <f t="shared" si="284"/>
        <v>12</v>
      </c>
      <c r="E3982">
        <f t="shared" si="285"/>
        <v>6</v>
      </c>
      <c r="F3982">
        <f t="shared" si="286"/>
        <v>2025</v>
      </c>
      <c r="G3982" t="s">
        <v>73</v>
      </c>
      <c r="H3982" s="98">
        <v>12905</v>
      </c>
      <c r="I3982" s="29">
        <v>58099.34</v>
      </c>
      <c r="J3982" s="12" t="s">
        <v>51</v>
      </c>
      <c r="K3982" s="76">
        <f t="shared" si="283"/>
        <v>67406.854267999995</v>
      </c>
      <c r="L3982">
        <v>1.1601999999999999</v>
      </c>
      <c r="M3982" s="29">
        <v>0</v>
      </c>
      <c r="N3982" t="s">
        <v>32</v>
      </c>
      <c r="O3982" t="s">
        <v>33</v>
      </c>
      <c r="P3982" t="s">
        <v>34</v>
      </c>
      <c r="Q3982" t="s">
        <v>34</v>
      </c>
      <c r="R3982" t="s">
        <v>34</v>
      </c>
      <c r="S3982" t="s">
        <v>34</v>
      </c>
      <c r="T3982" s="117">
        <v>0</v>
      </c>
      <c r="U3982" s="209" t="s">
        <v>94</v>
      </c>
    </row>
    <row r="3983" spans="1:21" x14ac:dyDescent="0.35">
      <c r="A3983" t="s">
        <v>19</v>
      </c>
      <c r="B3983" t="s">
        <v>26</v>
      </c>
      <c r="C3983" s="1">
        <v>45820</v>
      </c>
      <c r="D3983">
        <f t="shared" si="284"/>
        <v>12</v>
      </c>
      <c r="E3983">
        <f t="shared" si="285"/>
        <v>6</v>
      </c>
      <c r="F3983">
        <f t="shared" si="286"/>
        <v>2025</v>
      </c>
      <c r="G3983" t="s">
        <v>73</v>
      </c>
      <c r="H3983" s="98">
        <v>12911</v>
      </c>
      <c r="I3983" s="29">
        <v>72083.710000000006</v>
      </c>
      <c r="J3983" s="12" t="s">
        <v>51</v>
      </c>
      <c r="K3983" s="76">
        <f t="shared" si="283"/>
        <v>83631.520342000003</v>
      </c>
      <c r="L3983">
        <v>1.1601999999999999</v>
      </c>
      <c r="M3983" s="29">
        <v>0</v>
      </c>
      <c r="N3983" t="s">
        <v>32</v>
      </c>
      <c r="O3983" t="s">
        <v>33</v>
      </c>
      <c r="P3983" t="s">
        <v>34</v>
      </c>
      <c r="Q3983" t="s">
        <v>34</v>
      </c>
      <c r="R3983" t="s">
        <v>34</v>
      </c>
      <c r="S3983" t="s">
        <v>34</v>
      </c>
      <c r="T3983" s="117">
        <v>0</v>
      </c>
      <c r="U3983" s="209" t="s">
        <v>94</v>
      </c>
    </row>
    <row r="3984" spans="1:21" x14ac:dyDescent="0.35">
      <c r="A3984" t="s">
        <v>19</v>
      </c>
      <c r="B3984" t="s">
        <v>26</v>
      </c>
      <c r="C3984" s="1">
        <v>45820</v>
      </c>
      <c r="D3984">
        <f t="shared" si="284"/>
        <v>12</v>
      </c>
      <c r="E3984">
        <f t="shared" si="285"/>
        <v>6</v>
      </c>
      <c r="F3984">
        <f t="shared" si="286"/>
        <v>2025</v>
      </c>
      <c r="G3984" t="s">
        <v>73</v>
      </c>
      <c r="H3984" s="98">
        <v>12981</v>
      </c>
      <c r="I3984" s="29">
        <v>66991.179999999993</v>
      </c>
      <c r="J3984" s="12" t="s">
        <v>51</v>
      </c>
      <c r="K3984" s="76">
        <f t="shared" si="283"/>
        <v>77723.167035999984</v>
      </c>
      <c r="L3984">
        <v>1.1601999999999999</v>
      </c>
      <c r="M3984" s="29">
        <v>0</v>
      </c>
      <c r="N3984" t="s">
        <v>32</v>
      </c>
      <c r="O3984" t="s">
        <v>33</v>
      </c>
      <c r="P3984" t="s">
        <v>34</v>
      </c>
      <c r="Q3984" t="s">
        <v>34</v>
      </c>
      <c r="R3984" t="s">
        <v>34</v>
      </c>
      <c r="S3984" t="s">
        <v>34</v>
      </c>
      <c r="T3984" s="117">
        <v>0</v>
      </c>
      <c r="U3984" s="209" t="s">
        <v>94</v>
      </c>
    </row>
    <row r="3985" spans="1:21" x14ac:dyDescent="0.35">
      <c r="A3985" t="s">
        <v>19</v>
      </c>
      <c r="B3985" t="s">
        <v>26</v>
      </c>
      <c r="C3985" s="1">
        <v>45820</v>
      </c>
      <c r="D3985">
        <f t="shared" si="284"/>
        <v>12</v>
      </c>
      <c r="E3985">
        <f t="shared" si="285"/>
        <v>6</v>
      </c>
      <c r="F3985">
        <f t="shared" si="286"/>
        <v>2025</v>
      </c>
      <c r="G3985" t="s">
        <v>73</v>
      </c>
      <c r="H3985" s="98">
        <v>13002</v>
      </c>
      <c r="I3985" s="29">
        <v>11570.91</v>
      </c>
      <c r="J3985" s="12" t="s">
        <v>51</v>
      </c>
      <c r="K3985" s="76">
        <f t="shared" si="283"/>
        <v>13424.569781999999</v>
      </c>
      <c r="L3985">
        <v>1.1601999999999999</v>
      </c>
      <c r="M3985" s="29">
        <v>0</v>
      </c>
      <c r="N3985" t="s">
        <v>32</v>
      </c>
      <c r="O3985" t="s">
        <v>33</v>
      </c>
      <c r="P3985" t="s">
        <v>34</v>
      </c>
      <c r="Q3985" t="s">
        <v>34</v>
      </c>
      <c r="R3985" t="s">
        <v>34</v>
      </c>
      <c r="S3985" t="s">
        <v>34</v>
      </c>
      <c r="T3985" s="117">
        <v>0</v>
      </c>
      <c r="U3985" s="209" t="s">
        <v>94</v>
      </c>
    </row>
    <row r="3986" spans="1:21" x14ac:dyDescent="0.35">
      <c r="A3986" t="s">
        <v>19</v>
      </c>
      <c r="B3986" t="s">
        <v>21</v>
      </c>
      <c r="C3986" s="1">
        <v>45826</v>
      </c>
      <c r="D3986">
        <f t="shared" si="284"/>
        <v>18</v>
      </c>
      <c r="E3986">
        <f t="shared" si="285"/>
        <v>6</v>
      </c>
      <c r="F3986">
        <f t="shared" si="286"/>
        <v>2025</v>
      </c>
      <c r="G3986" t="s">
        <v>40</v>
      </c>
      <c r="H3986" s="98">
        <v>12252</v>
      </c>
      <c r="I3986" s="29">
        <v>32</v>
      </c>
      <c r="J3986" s="12" t="s">
        <v>31</v>
      </c>
      <c r="K3986" s="76">
        <f t="shared" si="283"/>
        <v>32</v>
      </c>
      <c r="L3986">
        <v>1</v>
      </c>
      <c r="M3986" s="29">
        <v>0</v>
      </c>
      <c r="N3986" t="s">
        <v>32</v>
      </c>
      <c r="O3986" t="s">
        <v>33</v>
      </c>
      <c r="P3986" t="s">
        <v>34</v>
      </c>
      <c r="Q3986" t="s">
        <v>34</v>
      </c>
      <c r="R3986" t="s">
        <v>34</v>
      </c>
      <c r="S3986" t="s">
        <v>34</v>
      </c>
      <c r="T3986" s="117">
        <v>0</v>
      </c>
    </row>
    <row r="3987" spans="1:21" x14ac:dyDescent="0.35">
      <c r="A3987" t="s">
        <v>19</v>
      </c>
      <c r="B3987" t="s">
        <v>21</v>
      </c>
      <c r="C3987" s="1">
        <v>45826</v>
      </c>
      <c r="D3987">
        <f t="shared" si="284"/>
        <v>18</v>
      </c>
      <c r="E3987">
        <f t="shared" si="285"/>
        <v>6</v>
      </c>
      <c r="F3987">
        <f t="shared" si="286"/>
        <v>2025</v>
      </c>
      <c r="G3987" t="s">
        <v>40</v>
      </c>
      <c r="H3987" s="98">
        <v>12591</v>
      </c>
      <c r="I3987" s="29">
        <v>13927.9</v>
      </c>
      <c r="J3987" s="12" t="s">
        <v>31</v>
      </c>
      <c r="K3987" s="76">
        <f t="shared" si="283"/>
        <v>13927.9</v>
      </c>
      <c r="L3987">
        <v>1</v>
      </c>
      <c r="M3987" s="29">
        <v>0</v>
      </c>
      <c r="N3987" t="s">
        <v>42</v>
      </c>
      <c r="O3987" t="s">
        <v>33</v>
      </c>
      <c r="P3987" t="s">
        <v>34</v>
      </c>
      <c r="Q3987" t="s">
        <v>34</v>
      </c>
      <c r="R3987" t="s">
        <v>34</v>
      </c>
      <c r="S3987" t="s">
        <v>34</v>
      </c>
      <c r="T3987" s="117">
        <v>0</v>
      </c>
    </row>
    <row r="3988" spans="1:21" x14ac:dyDescent="0.35">
      <c r="A3988" t="s">
        <v>19</v>
      </c>
      <c r="B3988" t="s">
        <v>21</v>
      </c>
      <c r="C3988" s="1">
        <v>45826</v>
      </c>
      <c r="D3988">
        <f t="shared" si="284"/>
        <v>18</v>
      </c>
      <c r="E3988">
        <f t="shared" si="285"/>
        <v>6</v>
      </c>
      <c r="F3988">
        <f t="shared" si="286"/>
        <v>2025</v>
      </c>
      <c r="G3988" t="s">
        <v>40</v>
      </c>
      <c r="H3988" s="98">
        <v>12592</v>
      </c>
      <c r="I3988" s="29">
        <v>39.4</v>
      </c>
      <c r="J3988" s="12" t="s">
        <v>31</v>
      </c>
      <c r="K3988" s="76">
        <f t="shared" si="283"/>
        <v>39.4</v>
      </c>
      <c r="L3988">
        <v>1</v>
      </c>
      <c r="M3988" s="29">
        <v>0</v>
      </c>
      <c r="N3988" t="s">
        <v>32</v>
      </c>
      <c r="O3988" t="s">
        <v>33</v>
      </c>
      <c r="P3988" t="s">
        <v>34</v>
      </c>
      <c r="Q3988" t="s">
        <v>34</v>
      </c>
      <c r="R3988" t="s">
        <v>34</v>
      </c>
      <c r="S3988" t="s">
        <v>34</v>
      </c>
      <c r="T3988" s="117">
        <v>0</v>
      </c>
    </row>
    <row r="3989" spans="1:21" x14ac:dyDescent="0.35">
      <c r="A3989" t="s">
        <v>19</v>
      </c>
      <c r="B3989" t="s">
        <v>21</v>
      </c>
      <c r="C3989" s="1">
        <v>45826</v>
      </c>
      <c r="D3989">
        <f t="shared" si="284"/>
        <v>18</v>
      </c>
      <c r="E3989">
        <f t="shared" si="285"/>
        <v>6</v>
      </c>
      <c r="F3989">
        <f t="shared" si="286"/>
        <v>2025</v>
      </c>
      <c r="G3989" t="s">
        <v>882</v>
      </c>
      <c r="H3989" s="98">
        <v>12242</v>
      </c>
      <c r="I3989" s="29">
        <v>12573.75</v>
      </c>
      <c r="J3989" s="12" t="s">
        <v>31</v>
      </c>
      <c r="K3989" s="76">
        <f t="shared" si="283"/>
        <v>12573.75</v>
      </c>
      <c r="L3989">
        <v>1</v>
      </c>
      <c r="M3989" s="29">
        <v>0</v>
      </c>
      <c r="N3989" t="s">
        <v>32</v>
      </c>
      <c r="O3989" t="s">
        <v>33</v>
      </c>
      <c r="P3989" t="s">
        <v>34</v>
      </c>
      <c r="Q3989" t="s">
        <v>34</v>
      </c>
      <c r="R3989" t="s">
        <v>34</v>
      </c>
      <c r="S3989" t="s">
        <v>34</v>
      </c>
      <c r="T3989" s="117">
        <v>0</v>
      </c>
    </row>
    <row r="3990" spans="1:21" x14ac:dyDescent="0.35">
      <c r="A3990" t="s">
        <v>19</v>
      </c>
      <c r="B3990" t="s">
        <v>21</v>
      </c>
      <c r="C3990" s="1">
        <v>45826</v>
      </c>
      <c r="D3990">
        <f t="shared" si="284"/>
        <v>18</v>
      </c>
      <c r="E3990">
        <f t="shared" si="285"/>
        <v>6</v>
      </c>
      <c r="F3990">
        <f t="shared" si="286"/>
        <v>2025</v>
      </c>
      <c r="G3990" t="s">
        <v>76</v>
      </c>
      <c r="H3990" s="121">
        <v>12717</v>
      </c>
      <c r="I3990" s="76">
        <v>9120.5</v>
      </c>
      <c r="J3990" s="12" t="s">
        <v>31</v>
      </c>
      <c r="K3990" s="76">
        <f t="shared" si="283"/>
        <v>9120.5</v>
      </c>
      <c r="L3990">
        <v>1</v>
      </c>
      <c r="M3990" s="76">
        <v>0</v>
      </c>
      <c r="N3990" t="s">
        <v>32</v>
      </c>
      <c r="O3990" t="s">
        <v>33</v>
      </c>
      <c r="P3990" t="s">
        <v>34</v>
      </c>
      <c r="Q3990" t="s">
        <v>34</v>
      </c>
      <c r="R3990" t="s">
        <v>34</v>
      </c>
      <c r="S3990" t="s">
        <v>34</v>
      </c>
      <c r="T3990" s="117">
        <v>0</v>
      </c>
    </row>
    <row r="3991" spans="1:21" x14ac:dyDescent="0.35">
      <c r="A3991" t="s">
        <v>19</v>
      </c>
      <c r="B3991" t="s">
        <v>23</v>
      </c>
      <c r="C3991" s="1">
        <v>45826</v>
      </c>
      <c r="D3991">
        <f t="shared" si="284"/>
        <v>18</v>
      </c>
      <c r="E3991">
        <f t="shared" si="285"/>
        <v>6</v>
      </c>
      <c r="F3991">
        <f t="shared" si="286"/>
        <v>2025</v>
      </c>
      <c r="G3991" t="s">
        <v>76</v>
      </c>
      <c r="H3991" s="121">
        <v>12717</v>
      </c>
      <c r="I3991" s="76">
        <v>59808</v>
      </c>
      <c r="J3991" s="12" t="s">
        <v>31</v>
      </c>
      <c r="K3991" s="76">
        <f t="shared" si="283"/>
        <v>59808</v>
      </c>
      <c r="L3991">
        <v>1</v>
      </c>
      <c r="M3991" s="76">
        <v>0</v>
      </c>
      <c r="N3991" t="s">
        <v>32</v>
      </c>
      <c r="O3991" t="s">
        <v>33</v>
      </c>
      <c r="P3991" t="s">
        <v>34</v>
      </c>
      <c r="Q3991" t="s">
        <v>34</v>
      </c>
      <c r="R3991" t="s">
        <v>34</v>
      </c>
      <c r="S3991" t="s">
        <v>34</v>
      </c>
      <c r="T3991" s="117">
        <v>0</v>
      </c>
    </row>
    <row r="3992" spans="1:21" x14ac:dyDescent="0.35">
      <c r="A3992" t="s">
        <v>19</v>
      </c>
      <c r="B3992" t="s">
        <v>23</v>
      </c>
      <c r="C3992" s="1">
        <v>45826</v>
      </c>
      <c r="D3992">
        <f t="shared" si="284"/>
        <v>18</v>
      </c>
      <c r="E3992">
        <f t="shared" si="285"/>
        <v>6</v>
      </c>
      <c r="F3992">
        <f t="shared" si="286"/>
        <v>2025</v>
      </c>
      <c r="G3992" t="s">
        <v>885</v>
      </c>
      <c r="H3992" s="98">
        <v>13068</v>
      </c>
      <c r="I3992" s="29">
        <v>5328</v>
      </c>
      <c r="J3992" s="12" t="s">
        <v>31</v>
      </c>
      <c r="K3992" s="76">
        <f t="shared" si="283"/>
        <v>5328</v>
      </c>
      <c r="L3992">
        <v>1</v>
      </c>
      <c r="M3992" s="29">
        <v>0</v>
      </c>
      <c r="N3992" t="s">
        <v>42</v>
      </c>
      <c r="O3992" t="s">
        <v>33</v>
      </c>
      <c r="P3992" t="s">
        <v>34</v>
      </c>
      <c r="Q3992" t="s">
        <v>34</v>
      </c>
      <c r="R3992" t="s">
        <v>34</v>
      </c>
      <c r="S3992" t="s">
        <v>34</v>
      </c>
      <c r="T3992" s="117">
        <v>0</v>
      </c>
      <c r="U3992" s="98">
        <v>13067</v>
      </c>
    </row>
    <row r="3993" spans="1:21" x14ac:dyDescent="0.35">
      <c r="A3993" t="s">
        <v>19</v>
      </c>
      <c r="B3993" t="s">
        <v>21</v>
      </c>
      <c r="C3993" s="1">
        <v>45826</v>
      </c>
      <c r="D3993">
        <f t="shared" si="284"/>
        <v>18</v>
      </c>
      <c r="E3993">
        <f t="shared" si="285"/>
        <v>6</v>
      </c>
      <c r="F3993">
        <f t="shared" si="286"/>
        <v>2025</v>
      </c>
      <c r="G3993" t="s">
        <v>885</v>
      </c>
      <c r="H3993" s="98">
        <v>13070</v>
      </c>
      <c r="I3993" s="29">
        <v>55.6</v>
      </c>
      <c r="J3993" s="12" t="s">
        <v>31</v>
      </c>
      <c r="K3993" s="76">
        <f t="shared" si="283"/>
        <v>55.6</v>
      </c>
      <c r="L3993">
        <v>1</v>
      </c>
      <c r="M3993" s="29">
        <v>0</v>
      </c>
      <c r="N3993" t="s">
        <v>42</v>
      </c>
      <c r="O3993" t="s">
        <v>33</v>
      </c>
      <c r="P3993" t="s">
        <v>34</v>
      </c>
      <c r="Q3993" t="s">
        <v>34</v>
      </c>
      <c r="R3993" t="s">
        <v>34</v>
      </c>
      <c r="S3993" t="s">
        <v>34</v>
      </c>
      <c r="T3993" s="117">
        <v>0</v>
      </c>
    </row>
    <row r="3994" spans="1:21" x14ac:dyDescent="0.35">
      <c r="A3994" t="s">
        <v>19</v>
      </c>
      <c r="B3994" t="s">
        <v>21</v>
      </c>
      <c r="C3994" s="1">
        <v>45826</v>
      </c>
      <c r="D3994">
        <f t="shared" si="284"/>
        <v>18</v>
      </c>
      <c r="E3994">
        <f t="shared" si="285"/>
        <v>6</v>
      </c>
      <c r="F3994">
        <f t="shared" si="286"/>
        <v>2025</v>
      </c>
      <c r="G3994" t="s">
        <v>885</v>
      </c>
      <c r="H3994" s="98">
        <v>13068</v>
      </c>
      <c r="I3994" s="29">
        <v>6449.6</v>
      </c>
      <c r="J3994" s="12" t="s">
        <v>31</v>
      </c>
      <c r="K3994" s="76">
        <f t="shared" si="283"/>
        <v>6449.6</v>
      </c>
      <c r="L3994">
        <v>1</v>
      </c>
      <c r="M3994" s="29">
        <v>0</v>
      </c>
      <c r="N3994" t="s">
        <v>42</v>
      </c>
      <c r="O3994" t="s">
        <v>33</v>
      </c>
      <c r="P3994" t="s">
        <v>34</v>
      </c>
      <c r="Q3994" t="s">
        <v>34</v>
      </c>
      <c r="R3994" t="s">
        <v>34</v>
      </c>
      <c r="S3994" t="s">
        <v>34</v>
      </c>
      <c r="T3994" s="117">
        <v>0</v>
      </c>
    </row>
    <row r="3995" spans="1:21" x14ac:dyDescent="0.35">
      <c r="A3995" t="s">
        <v>19</v>
      </c>
      <c r="B3995" t="s">
        <v>21</v>
      </c>
      <c r="C3995" s="1">
        <v>45826</v>
      </c>
      <c r="D3995">
        <f t="shared" si="284"/>
        <v>18</v>
      </c>
      <c r="E3995">
        <f t="shared" si="285"/>
        <v>6</v>
      </c>
      <c r="F3995">
        <f t="shared" si="286"/>
        <v>2025</v>
      </c>
      <c r="G3995" t="s">
        <v>77</v>
      </c>
      <c r="H3995" s="98">
        <v>12088</v>
      </c>
      <c r="I3995" s="29">
        <v>12519.99</v>
      </c>
      <c r="J3995" s="12" t="s">
        <v>31</v>
      </c>
      <c r="K3995" s="76">
        <f t="shared" si="283"/>
        <v>12519.99</v>
      </c>
      <c r="L3995">
        <v>1</v>
      </c>
      <c r="M3995" s="29">
        <v>0</v>
      </c>
      <c r="N3995" t="s">
        <v>42</v>
      </c>
      <c r="O3995" t="s">
        <v>33</v>
      </c>
      <c r="P3995" t="s">
        <v>34</v>
      </c>
      <c r="Q3995" t="s">
        <v>34</v>
      </c>
      <c r="R3995" t="s">
        <v>34</v>
      </c>
      <c r="S3995" t="s">
        <v>34</v>
      </c>
      <c r="T3995" s="117">
        <v>0</v>
      </c>
    </row>
    <row r="3996" spans="1:21" x14ac:dyDescent="0.35">
      <c r="A3996" t="s">
        <v>19</v>
      </c>
      <c r="B3996" t="s">
        <v>24</v>
      </c>
      <c r="C3996" s="1">
        <v>45826</v>
      </c>
      <c r="D3996">
        <f t="shared" si="284"/>
        <v>18</v>
      </c>
      <c r="E3996">
        <f t="shared" si="285"/>
        <v>6</v>
      </c>
      <c r="F3996">
        <f t="shared" si="286"/>
        <v>2025</v>
      </c>
      <c r="G3996" t="s">
        <v>77</v>
      </c>
      <c r="H3996" s="98">
        <v>13064</v>
      </c>
      <c r="I3996" s="29">
        <v>7500</v>
      </c>
      <c r="J3996" s="12" t="s">
        <v>31</v>
      </c>
      <c r="K3996" s="76">
        <f t="shared" si="283"/>
        <v>7500</v>
      </c>
      <c r="L3996">
        <v>1</v>
      </c>
      <c r="M3996" s="29">
        <v>0</v>
      </c>
      <c r="N3996" t="s">
        <v>42</v>
      </c>
      <c r="O3996" t="s">
        <v>33</v>
      </c>
      <c r="P3996" t="s">
        <v>34</v>
      </c>
      <c r="Q3996" t="s">
        <v>34</v>
      </c>
      <c r="R3996" t="s">
        <v>34</v>
      </c>
      <c r="S3996" t="s">
        <v>34</v>
      </c>
      <c r="T3996" s="117">
        <v>0</v>
      </c>
    </row>
    <row r="3997" spans="1:21" x14ac:dyDescent="0.35">
      <c r="A3997" t="s">
        <v>19</v>
      </c>
      <c r="B3997" t="s">
        <v>21</v>
      </c>
      <c r="C3997" s="1">
        <v>45826</v>
      </c>
      <c r="D3997">
        <f t="shared" si="284"/>
        <v>18</v>
      </c>
      <c r="E3997">
        <f t="shared" si="285"/>
        <v>6</v>
      </c>
      <c r="F3997">
        <f t="shared" si="286"/>
        <v>2025</v>
      </c>
      <c r="G3997" t="s">
        <v>77</v>
      </c>
      <c r="H3997" s="98" t="s">
        <v>1550</v>
      </c>
      <c r="I3997" s="29">
        <v>4482</v>
      </c>
      <c r="J3997" s="12" t="s">
        <v>31</v>
      </c>
      <c r="K3997" s="76">
        <f t="shared" si="283"/>
        <v>4482</v>
      </c>
      <c r="L3997">
        <v>1</v>
      </c>
      <c r="M3997" s="29">
        <v>0</v>
      </c>
      <c r="N3997" t="s">
        <v>42</v>
      </c>
      <c r="O3997" t="s">
        <v>33</v>
      </c>
      <c r="P3997" t="s">
        <v>34</v>
      </c>
      <c r="Q3997" t="s">
        <v>34</v>
      </c>
      <c r="R3997" t="s">
        <v>34</v>
      </c>
      <c r="S3997" t="s">
        <v>34</v>
      </c>
      <c r="T3997" s="117">
        <v>0</v>
      </c>
      <c r="U3997" s="98">
        <v>13065</v>
      </c>
    </row>
    <row r="3998" spans="1:21" x14ac:dyDescent="0.35">
      <c r="A3998" t="s">
        <v>19</v>
      </c>
      <c r="B3998" t="s">
        <v>21</v>
      </c>
      <c r="C3998" s="1">
        <v>45826</v>
      </c>
      <c r="D3998">
        <f t="shared" ref="D3998" si="287">DAY(C3998)</f>
        <v>18</v>
      </c>
      <c r="E3998">
        <f t="shared" ref="E3998" si="288">MONTH(C3998)</f>
        <v>6</v>
      </c>
      <c r="F3998">
        <f t="shared" ref="F3998" si="289">YEAR(C3998)</f>
        <v>2025</v>
      </c>
      <c r="G3998" t="s">
        <v>77</v>
      </c>
      <c r="H3998" s="98">
        <v>14016</v>
      </c>
      <c r="I3998" s="29">
        <v>4482</v>
      </c>
      <c r="J3998" s="12" t="s">
        <v>31</v>
      </c>
      <c r="K3998" s="76">
        <f t="shared" ref="K3998" si="290">IF(J3998="USD",I3998,I3998*L3998)</f>
        <v>4482</v>
      </c>
      <c r="L3998">
        <v>1</v>
      </c>
      <c r="M3998" s="29">
        <v>0</v>
      </c>
      <c r="N3998" t="s">
        <v>42</v>
      </c>
      <c r="O3998" t="s">
        <v>33</v>
      </c>
      <c r="P3998" t="s">
        <v>34</v>
      </c>
      <c r="Q3998" t="s">
        <v>34</v>
      </c>
      <c r="R3998" t="s">
        <v>34</v>
      </c>
      <c r="S3998" t="s">
        <v>34</v>
      </c>
      <c r="T3998" s="117">
        <v>0</v>
      </c>
      <c r="U3998" s="98">
        <v>13065</v>
      </c>
    </row>
    <row r="3999" spans="1:21" x14ac:dyDescent="0.35">
      <c r="A3999" t="s">
        <v>19</v>
      </c>
      <c r="B3999" t="s">
        <v>25</v>
      </c>
      <c r="C3999" s="1">
        <v>45826</v>
      </c>
      <c r="D3999">
        <f t="shared" si="284"/>
        <v>18</v>
      </c>
      <c r="E3999">
        <f t="shared" si="285"/>
        <v>6</v>
      </c>
      <c r="F3999">
        <f t="shared" si="286"/>
        <v>2025</v>
      </c>
      <c r="G3999" t="s">
        <v>351</v>
      </c>
      <c r="H3999" s="98">
        <v>12317</v>
      </c>
      <c r="I3999" s="29">
        <v>56124.6</v>
      </c>
      <c r="J3999" s="12" t="s">
        <v>31</v>
      </c>
      <c r="K3999" s="76">
        <f t="shared" si="283"/>
        <v>56124.6</v>
      </c>
      <c r="L3999">
        <v>1</v>
      </c>
      <c r="M3999" s="29">
        <v>0</v>
      </c>
      <c r="N3999" t="s">
        <v>32</v>
      </c>
      <c r="O3999" t="s">
        <v>33</v>
      </c>
      <c r="P3999" t="s">
        <v>34</v>
      </c>
      <c r="Q3999" t="s">
        <v>34</v>
      </c>
      <c r="R3999" t="s">
        <v>34</v>
      </c>
      <c r="S3999" t="s">
        <v>34</v>
      </c>
      <c r="T3999" s="117">
        <v>0</v>
      </c>
    </row>
    <row r="4000" spans="1:21" x14ac:dyDescent="0.35">
      <c r="A4000" t="s">
        <v>19</v>
      </c>
      <c r="B4000" t="s">
        <v>25</v>
      </c>
      <c r="C4000" s="1">
        <v>45826</v>
      </c>
      <c r="D4000">
        <f t="shared" si="284"/>
        <v>18</v>
      </c>
      <c r="E4000">
        <f t="shared" si="285"/>
        <v>6</v>
      </c>
      <c r="F4000">
        <f t="shared" si="286"/>
        <v>2025</v>
      </c>
      <c r="G4000" t="s">
        <v>351</v>
      </c>
      <c r="H4000" s="98">
        <v>12811</v>
      </c>
      <c r="I4000" s="29">
        <v>291.3</v>
      </c>
      <c r="J4000" s="12" t="s">
        <v>31</v>
      </c>
      <c r="K4000" s="76">
        <f t="shared" si="283"/>
        <v>291.3</v>
      </c>
      <c r="L4000">
        <v>1</v>
      </c>
      <c r="M4000" s="29">
        <v>0</v>
      </c>
      <c r="N4000" t="s">
        <v>32</v>
      </c>
      <c r="O4000" t="s">
        <v>33</v>
      </c>
      <c r="P4000" t="s">
        <v>34</v>
      </c>
      <c r="Q4000" t="s">
        <v>34</v>
      </c>
      <c r="R4000" t="s">
        <v>34</v>
      </c>
      <c r="S4000" t="s">
        <v>34</v>
      </c>
      <c r="T4000" s="117">
        <v>0</v>
      </c>
    </row>
    <row r="4001" spans="1:20" x14ac:dyDescent="0.35">
      <c r="A4001" t="s">
        <v>19</v>
      </c>
      <c r="B4001" t="s">
        <v>25</v>
      </c>
      <c r="C4001" s="1">
        <v>45826</v>
      </c>
      <c r="D4001">
        <f t="shared" si="284"/>
        <v>18</v>
      </c>
      <c r="E4001">
        <f t="shared" si="285"/>
        <v>6</v>
      </c>
      <c r="F4001">
        <f t="shared" si="286"/>
        <v>2025</v>
      </c>
      <c r="G4001" t="s">
        <v>936</v>
      </c>
      <c r="H4001" s="98">
        <v>12563</v>
      </c>
      <c r="I4001" s="29">
        <v>138</v>
      </c>
      <c r="J4001" s="12" t="s">
        <v>31</v>
      </c>
      <c r="K4001" s="76">
        <f t="shared" si="283"/>
        <v>138</v>
      </c>
      <c r="L4001">
        <v>1</v>
      </c>
      <c r="M4001" s="29">
        <v>0</v>
      </c>
      <c r="N4001" t="s">
        <v>32</v>
      </c>
      <c r="O4001" t="s">
        <v>33</v>
      </c>
      <c r="P4001" t="s">
        <v>34</v>
      </c>
      <c r="Q4001" t="s">
        <v>34</v>
      </c>
      <c r="R4001" t="s">
        <v>34</v>
      </c>
      <c r="S4001" t="s">
        <v>34</v>
      </c>
      <c r="T4001" s="117">
        <v>0</v>
      </c>
    </row>
    <row r="4002" spans="1:20" x14ac:dyDescent="0.35">
      <c r="A4002" t="s">
        <v>19</v>
      </c>
      <c r="B4002" t="s">
        <v>25</v>
      </c>
      <c r="C4002" s="1">
        <v>45826</v>
      </c>
      <c r="D4002">
        <f t="shared" si="284"/>
        <v>18</v>
      </c>
      <c r="E4002">
        <f t="shared" si="285"/>
        <v>6</v>
      </c>
      <c r="F4002">
        <f t="shared" si="286"/>
        <v>2025</v>
      </c>
      <c r="G4002" t="s">
        <v>38</v>
      </c>
      <c r="H4002" s="98">
        <v>12104</v>
      </c>
      <c r="I4002" s="29">
        <v>57387.85</v>
      </c>
      <c r="J4002" s="12" t="s">
        <v>31</v>
      </c>
      <c r="K4002" s="76">
        <f t="shared" si="283"/>
        <v>57387.85</v>
      </c>
      <c r="L4002">
        <v>1</v>
      </c>
      <c r="M4002" s="29">
        <v>0</v>
      </c>
      <c r="N4002" t="s">
        <v>32</v>
      </c>
      <c r="O4002" t="s">
        <v>33</v>
      </c>
      <c r="P4002" t="s">
        <v>34</v>
      </c>
      <c r="Q4002" t="s">
        <v>34</v>
      </c>
      <c r="R4002" t="s">
        <v>34</v>
      </c>
      <c r="S4002" t="s">
        <v>34</v>
      </c>
      <c r="T4002" s="117">
        <v>0</v>
      </c>
    </row>
    <row r="4003" spans="1:20" x14ac:dyDescent="0.35">
      <c r="A4003" t="s">
        <v>20</v>
      </c>
      <c r="B4003" t="s">
        <v>23</v>
      </c>
      <c r="C4003" s="1">
        <v>45826</v>
      </c>
      <c r="D4003">
        <f t="shared" si="284"/>
        <v>18</v>
      </c>
      <c r="E4003">
        <f t="shared" si="285"/>
        <v>6</v>
      </c>
      <c r="F4003">
        <f t="shared" si="286"/>
        <v>2025</v>
      </c>
      <c r="G4003" t="s">
        <v>595</v>
      </c>
      <c r="H4003" s="98">
        <v>12622</v>
      </c>
      <c r="I4003" s="29">
        <v>13989.240000000002</v>
      </c>
      <c r="J4003" s="12" t="s">
        <v>31</v>
      </c>
      <c r="K4003" s="76">
        <f t="shared" si="283"/>
        <v>13989.240000000002</v>
      </c>
      <c r="L4003">
        <v>1</v>
      </c>
      <c r="M4003" s="29">
        <v>0</v>
      </c>
      <c r="N4003" t="s">
        <v>42</v>
      </c>
      <c r="O4003" t="s">
        <v>33</v>
      </c>
      <c r="P4003" t="s">
        <v>34</v>
      </c>
      <c r="Q4003" t="s">
        <v>34</v>
      </c>
      <c r="R4003" t="s">
        <v>34</v>
      </c>
      <c r="S4003" t="s">
        <v>34</v>
      </c>
      <c r="T4003" s="117">
        <v>0</v>
      </c>
    </row>
    <row r="4004" spans="1:20" x14ac:dyDescent="0.35">
      <c r="A4004" t="s">
        <v>20</v>
      </c>
      <c r="B4004" t="s">
        <v>24</v>
      </c>
      <c r="C4004" s="1">
        <v>45826</v>
      </c>
      <c r="D4004">
        <f t="shared" si="284"/>
        <v>18</v>
      </c>
      <c r="E4004">
        <f t="shared" si="285"/>
        <v>6</v>
      </c>
      <c r="F4004">
        <f t="shared" si="286"/>
        <v>2025</v>
      </c>
      <c r="G4004" t="s">
        <v>48</v>
      </c>
      <c r="H4004" s="98">
        <v>12651</v>
      </c>
      <c r="I4004" s="29">
        <v>17477.02</v>
      </c>
      <c r="J4004" s="12" t="s">
        <v>31</v>
      </c>
      <c r="K4004" s="76">
        <f t="shared" si="283"/>
        <v>17477.02</v>
      </c>
      <c r="L4004">
        <v>1</v>
      </c>
      <c r="M4004" s="29">
        <v>0</v>
      </c>
      <c r="N4004" t="s">
        <v>42</v>
      </c>
      <c r="O4004" t="s">
        <v>33</v>
      </c>
      <c r="P4004" t="s">
        <v>34</v>
      </c>
      <c r="Q4004" t="s">
        <v>34</v>
      </c>
      <c r="R4004" t="s">
        <v>34</v>
      </c>
      <c r="S4004" t="s">
        <v>34</v>
      </c>
      <c r="T4004" s="117">
        <v>0</v>
      </c>
    </row>
    <row r="4005" spans="1:20" x14ac:dyDescent="0.35">
      <c r="A4005" t="s">
        <v>20</v>
      </c>
      <c r="B4005" t="s">
        <v>24</v>
      </c>
      <c r="C4005" s="1">
        <v>45826</v>
      </c>
      <c r="D4005">
        <f t="shared" si="284"/>
        <v>18</v>
      </c>
      <c r="E4005">
        <f t="shared" si="285"/>
        <v>6</v>
      </c>
      <c r="F4005">
        <f t="shared" si="286"/>
        <v>2025</v>
      </c>
      <c r="G4005" t="s">
        <v>174</v>
      </c>
      <c r="H4005" s="98">
        <v>12689</v>
      </c>
      <c r="I4005" s="29">
        <v>5640.75</v>
      </c>
      <c r="J4005" s="12" t="s">
        <v>31</v>
      </c>
      <c r="K4005" s="76">
        <f t="shared" si="283"/>
        <v>5640.75</v>
      </c>
      <c r="L4005">
        <v>1</v>
      </c>
      <c r="M4005" s="29">
        <v>0</v>
      </c>
      <c r="N4005" t="s">
        <v>42</v>
      </c>
      <c r="O4005" t="s">
        <v>33</v>
      </c>
      <c r="P4005" t="s">
        <v>34</v>
      </c>
      <c r="Q4005" t="s">
        <v>34</v>
      </c>
      <c r="R4005" t="s">
        <v>34</v>
      </c>
      <c r="S4005" t="s">
        <v>34</v>
      </c>
      <c r="T4005" s="117">
        <v>0</v>
      </c>
    </row>
    <row r="4006" spans="1:20" x14ac:dyDescent="0.35">
      <c r="A4006" t="s">
        <v>20</v>
      </c>
      <c r="B4006" t="s">
        <v>21</v>
      </c>
      <c r="C4006" s="1">
        <v>45826</v>
      </c>
      <c r="D4006">
        <f t="shared" si="284"/>
        <v>18</v>
      </c>
      <c r="E4006">
        <f t="shared" si="285"/>
        <v>6</v>
      </c>
      <c r="F4006">
        <f t="shared" si="286"/>
        <v>2025</v>
      </c>
      <c r="G4006" t="s">
        <v>104</v>
      </c>
      <c r="H4006" s="98">
        <v>12328</v>
      </c>
      <c r="I4006" s="29">
        <v>22019.200000000001</v>
      </c>
      <c r="J4006" s="12" t="s">
        <v>31</v>
      </c>
      <c r="K4006" s="76">
        <f t="shared" si="283"/>
        <v>22019.200000000001</v>
      </c>
      <c r="L4006">
        <v>1</v>
      </c>
      <c r="M4006" s="29">
        <v>0</v>
      </c>
      <c r="N4006" t="s">
        <v>42</v>
      </c>
      <c r="O4006" t="s">
        <v>33</v>
      </c>
      <c r="P4006" t="s">
        <v>34</v>
      </c>
      <c r="Q4006" t="s">
        <v>34</v>
      </c>
      <c r="R4006" t="s">
        <v>34</v>
      </c>
      <c r="S4006" t="s">
        <v>34</v>
      </c>
      <c r="T4006" s="117">
        <v>0</v>
      </c>
    </row>
    <row r="4007" spans="1:20" x14ac:dyDescent="0.35">
      <c r="A4007" t="s">
        <v>20</v>
      </c>
      <c r="B4007" t="s">
        <v>21</v>
      </c>
      <c r="C4007" s="1">
        <v>45826</v>
      </c>
      <c r="D4007">
        <f t="shared" si="284"/>
        <v>18</v>
      </c>
      <c r="E4007">
        <f t="shared" si="285"/>
        <v>6</v>
      </c>
      <c r="F4007">
        <f t="shared" si="286"/>
        <v>2025</v>
      </c>
      <c r="G4007" t="s">
        <v>104</v>
      </c>
      <c r="H4007" s="98">
        <v>12328</v>
      </c>
      <c r="I4007" s="29">
        <v>13830.3</v>
      </c>
      <c r="J4007" s="12" t="s">
        <v>31</v>
      </c>
      <c r="K4007" s="76">
        <f t="shared" si="283"/>
        <v>13830.3</v>
      </c>
      <c r="L4007">
        <v>1</v>
      </c>
      <c r="M4007" s="29">
        <v>0</v>
      </c>
      <c r="N4007" t="s">
        <v>42</v>
      </c>
      <c r="O4007" t="s">
        <v>33</v>
      </c>
      <c r="P4007" t="s">
        <v>34</v>
      </c>
      <c r="Q4007" t="s">
        <v>34</v>
      </c>
      <c r="R4007" t="s">
        <v>34</v>
      </c>
      <c r="S4007" t="s">
        <v>34</v>
      </c>
      <c r="T4007" s="117">
        <v>0</v>
      </c>
    </row>
    <row r="4008" spans="1:20" x14ac:dyDescent="0.35">
      <c r="A4008" t="s">
        <v>20</v>
      </c>
      <c r="B4008" t="s">
        <v>21</v>
      </c>
      <c r="C4008" s="1">
        <v>45826</v>
      </c>
      <c r="D4008">
        <f t="shared" si="284"/>
        <v>18</v>
      </c>
      <c r="E4008">
        <f t="shared" si="285"/>
        <v>6</v>
      </c>
      <c r="F4008">
        <f t="shared" si="286"/>
        <v>2025</v>
      </c>
      <c r="G4008" t="s">
        <v>86</v>
      </c>
      <c r="H4008" s="98">
        <v>11914</v>
      </c>
      <c r="I4008" s="29">
        <v>140.35</v>
      </c>
      <c r="J4008" s="12" t="s">
        <v>31</v>
      </c>
      <c r="K4008" s="76">
        <f t="shared" si="283"/>
        <v>140.35</v>
      </c>
      <c r="L4008">
        <v>1</v>
      </c>
      <c r="M4008" s="29">
        <v>0</v>
      </c>
      <c r="N4008" t="s">
        <v>32</v>
      </c>
      <c r="O4008" t="s">
        <v>33</v>
      </c>
      <c r="P4008" t="s">
        <v>34</v>
      </c>
      <c r="Q4008" t="s">
        <v>34</v>
      </c>
      <c r="R4008" t="s">
        <v>34</v>
      </c>
      <c r="S4008" t="s">
        <v>34</v>
      </c>
      <c r="T4008" s="117">
        <v>0</v>
      </c>
    </row>
    <row r="4009" spans="1:20" x14ac:dyDescent="0.35">
      <c r="A4009" t="s">
        <v>20</v>
      </c>
      <c r="B4009" t="s">
        <v>23</v>
      </c>
      <c r="C4009" s="1">
        <v>45826</v>
      </c>
      <c r="D4009">
        <f t="shared" si="284"/>
        <v>18</v>
      </c>
      <c r="E4009">
        <f t="shared" si="285"/>
        <v>6</v>
      </c>
      <c r="F4009">
        <f t="shared" si="286"/>
        <v>2025</v>
      </c>
      <c r="G4009" t="s">
        <v>86</v>
      </c>
      <c r="H4009" s="98">
        <v>12382</v>
      </c>
      <c r="I4009" s="29">
        <v>33.200000000000003</v>
      </c>
      <c r="J4009" s="12" t="s">
        <v>31</v>
      </c>
      <c r="K4009" s="76">
        <f t="shared" si="283"/>
        <v>33.200000000000003</v>
      </c>
      <c r="L4009">
        <v>1</v>
      </c>
      <c r="M4009" s="29">
        <v>0</v>
      </c>
      <c r="N4009" t="s">
        <v>32</v>
      </c>
      <c r="O4009" t="s">
        <v>33</v>
      </c>
      <c r="P4009" t="s">
        <v>34</v>
      </c>
      <c r="Q4009" t="s">
        <v>34</v>
      </c>
      <c r="R4009" t="s">
        <v>34</v>
      </c>
      <c r="S4009" t="s">
        <v>34</v>
      </c>
      <c r="T4009" s="117">
        <v>0</v>
      </c>
    </row>
    <row r="4010" spans="1:20" x14ac:dyDescent="0.35">
      <c r="A4010" t="s">
        <v>20</v>
      </c>
      <c r="B4010" t="s">
        <v>23</v>
      </c>
      <c r="C4010" s="1">
        <v>45826</v>
      </c>
      <c r="D4010">
        <f t="shared" si="284"/>
        <v>18</v>
      </c>
      <c r="E4010">
        <f t="shared" si="285"/>
        <v>6</v>
      </c>
      <c r="F4010">
        <f t="shared" si="286"/>
        <v>2025</v>
      </c>
      <c r="G4010" t="s">
        <v>86</v>
      </c>
      <c r="H4010" s="98">
        <v>12372</v>
      </c>
      <c r="I4010" s="29">
        <v>11130.04</v>
      </c>
      <c r="J4010" s="12" t="s">
        <v>31</v>
      </c>
      <c r="K4010" s="76">
        <f t="shared" si="283"/>
        <v>11130.04</v>
      </c>
      <c r="L4010">
        <v>1</v>
      </c>
      <c r="M4010" s="29">
        <v>0</v>
      </c>
      <c r="N4010" t="s">
        <v>32</v>
      </c>
      <c r="O4010" t="s">
        <v>33</v>
      </c>
      <c r="P4010" t="s">
        <v>34</v>
      </c>
      <c r="Q4010" t="s">
        <v>34</v>
      </c>
      <c r="R4010" t="s">
        <v>34</v>
      </c>
      <c r="S4010" t="s">
        <v>34</v>
      </c>
      <c r="T4010" s="117">
        <v>0</v>
      </c>
    </row>
    <row r="4011" spans="1:20" x14ac:dyDescent="0.35">
      <c r="A4011" t="s">
        <v>20</v>
      </c>
      <c r="B4011" t="s">
        <v>23</v>
      </c>
      <c r="C4011" s="1">
        <v>45826</v>
      </c>
      <c r="D4011">
        <f t="shared" si="284"/>
        <v>18</v>
      </c>
      <c r="E4011">
        <f t="shared" si="285"/>
        <v>6</v>
      </c>
      <c r="F4011">
        <f t="shared" si="286"/>
        <v>2025</v>
      </c>
      <c r="G4011" t="s">
        <v>1109</v>
      </c>
      <c r="H4011" s="98">
        <v>12940</v>
      </c>
      <c r="I4011" s="29">
        <v>38.4</v>
      </c>
      <c r="J4011" s="12" t="s">
        <v>31</v>
      </c>
      <c r="K4011" s="76">
        <f t="shared" si="283"/>
        <v>38.4</v>
      </c>
      <c r="L4011">
        <v>1</v>
      </c>
      <c r="M4011" s="29">
        <v>0</v>
      </c>
      <c r="N4011" t="s">
        <v>42</v>
      </c>
      <c r="O4011" t="s">
        <v>33</v>
      </c>
      <c r="P4011" t="s">
        <v>34</v>
      </c>
      <c r="Q4011" t="s">
        <v>34</v>
      </c>
      <c r="R4011" t="s">
        <v>34</v>
      </c>
      <c r="S4011" t="s">
        <v>34</v>
      </c>
      <c r="T4011" s="117">
        <v>0</v>
      </c>
    </row>
    <row r="4012" spans="1:20" x14ac:dyDescent="0.35">
      <c r="A4012" t="s">
        <v>20</v>
      </c>
      <c r="B4012" t="s">
        <v>23</v>
      </c>
      <c r="C4012" s="1">
        <v>45826</v>
      </c>
      <c r="D4012">
        <f t="shared" si="284"/>
        <v>18</v>
      </c>
      <c r="E4012">
        <f t="shared" si="285"/>
        <v>6</v>
      </c>
      <c r="F4012">
        <f t="shared" si="286"/>
        <v>2025</v>
      </c>
      <c r="G4012" t="s">
        <v>1109</v>
      </c>
      <c r="H4012" s="98">
        <v>12941</v>
      </c>
      <c r="I4012" s="29">
        <v>1075.2</v>
      </c>
      <c r="J4012" s="12" t="s">
        <v>31</v>
      </c>
      <c r="K4012" s="76">
        <f t="shared" si="283"/>
        <v>1075.2</v>
      </c>
      <c r="L4012">
        <v>1</v>
      </c>
      <c r="M4012" s="29">
        <v>0</v>
      </c>
      <c r="N4012" t="s">
        <v>42</v>
      </c>
      <c r="O4012" t="s">
        <v>33</v>
      </c>
      <c r="P4012" t="s">
        <v>34</v>
      </c>
      <c r="Q4012" t="s">
        <v>34</v>
      </c>
      <c r="R4012" t="s">
        <v>34</v>
      </c>
      <c r="S4012" t="s">
        <v>34</v>
      </c>
      <c r="T4012" s="117">
        <v>0</v>
      </c>
    </row>
    <row r="4013" spans="1:20" x14ac:dyDescent="0.35">
      <c r="A4013" t="s">
        <v>20</v>
      </c>
      <c r="B4013" t="s">
        <v>23</v>
      </c>
      <c r="C4013" s="1">
        <v>45826</v>
      </c>
      <c r="D4013">
        <f t="shared" si="284"/>
        <v>18</v>
      </c>
      <c r="E4013">
        <f t="shared" si="285"/>
        <v>6</v>
      </c>
      <c r="F4013">
        <f t="shared" si="286"/>
        <v>2025</v>
      </c>
      <c r="G4013" t="s">
        <v>1109</v>
      </c>
      <c r="H4013" s="98">
        <v>13022</v>
      </c>
      <c r="I4013" s="29">
        <v>145.4</v>
      </c>
      <c r="J4013" s="12" t="s">
        <v>31</v>
      </c>
      <c r="K4013" s="76">
        <f t="shared" si="283"/>
        <v>145.4</v>
      </c>
      <c r="L4013">
        <v>1</v>
      </c>
      <c r="M4013" s="29">
        <v>0</v>
      </c>
      <c r="N4013" t="s">
        <v>42</v>
      </c>
      <c r="O4013" t="s">
        <v>33</v>
      </c>
      <c r="P4013" t="s">
        <v>34</v>
      </c>
      <c r="Q4013" t="s">
        <v>34</v>
      </c>
      <c r="R4013" t="s">
        <v>34</v>
      </c>
      <c r="S4013" t="s">
        <v>34</v>
      </c>
      <c r="T4013" s="117">
        <v>0</v>
      </c>
    </row>
    <row r="4014" spans="1:20" x14ac:dyDescent="0.35">
      <c r="A4014" t="s">
        <v>20</v>
      </c>
      <c r="B4014" t="s">
        <v>23</v>
      </c>
      <c r="C4014" s="1">
        <v>45826</v>
      </c>
      <c r="D4014">
        <f t="shared" si="284"/>
        <v>18</v>
      </c>
      <c r="E4014">
        <f t="shared" si="285"/>
        <v>6</v>
      </c>
      <c r="F4014">
        <f t="shared" si="286"/>
        <v>2025</v>
      </c>
      <c r="G4014" t="s">
        <v>1109</v>
      </c>
      <c r="H4014" s="98">
        <v>13023</v>
      </c>
      <c r="I4014" s="29">
        <v>5170.6000000000004</v>
      </c>
      <c r="J4014" s="12" t="s">
        <v>31</v>
      </c>
      <c r="K4014" s="76">
        <f t="shared" si="283"/>
        <v>5170.6000000000004</v>
      </c>
      <c r="L4014">
        <v>1</v>
      </c>
      <c r="M4014" s="29">
        <v>0</v>
      </c>
      <c r="N4014" t="s">
        <v>42</v>
      </c>
      <c r="O4014" t="s">
        <v>33</v>
      </c>
      <c r="P4014" t="s">
        <v>34</v>
      </c>
      <c r="Q4014" t="s">
        <v>34</v>
      </c>
      <c r="R4014" t="s">
        <v>34</v>
      </c>
      <c r="S4014" t="s">
        <v>34</v>
      </c>
      <c r="T4014" s="117">
        <v>0</v>
      </c>
    </row>
    <row r="4015" spans="1:20" x14ac:dyDescent="0.35">
      <c r="A4015" t="s">
        <v>20</v>
      </c>
      <c r="B4015" t="s">
        <v>21</v>
      </c>
      <c r="C4015" s="1">
        <v>45826</v>
      </c>
      <c r="D4015">
        <f t="shared" si="284"/>
        <v>18</v>
      </c>
      <c r="E4015">
        <f t="shared" si="285"/>
        <v>6</v>
      </c>
      <c r="F4015">
        <f t="shared" si="286"/>
        <v>2025</v>
      </c>
      <c r="G4015" t="s">
        <v>265</v>
      </c>
      <c r="H4015" s="98">
        <v>12163</v>
      </c>
      <c r="I4015" s="29">
        <v>8398.35</v>
      </c>
      <c r="J4015" s="12" t="s">
        <v>31</v>
      </c>
      <c r="K4015" s="76">
        <f t="shared" si="283"/>
        <v>8398.35</v>
      </c>
      <c r="L4015">
        <v>1</v>
      </c>
      <c r="M4015" s="29">
        <v>0</v>
      </c>
      <c r="N4015" t="s">
        <v>32</v>
      </c>
      <c r="O4015" t="s">
        <v>33</v>
      </c>
      <c r="P4015" t="s">
        <v>34</v>
      </c>
      <c r="Q4015" t="s">
        <v>34</v>
      </c>
      <c r="R4015" t="s">
        <v>34</v>
      </c>
      <c r="S4015" t="s">
        <v>34</v>
      </c>
      <c r="T4015" s="117">
        <v>0</v>
      </c>
    </row>
    <row r="4016" spans="1:20" x14ac:dyDescent="0.35">
      <c r="A4016" t="s">
        <v>20</v>
      </c>
      <c r="B4016" t="s">
        <v>23</v>
      </c>
      <c r="C4016" s="1">
        <v>45826</v>
      </c>
      <c r="D4016">
        <f t="shared" si="284"/>
        <v>18</v>
      </c>
      <c r="E4016">
        <f t="shared" si="285"/>
        <v>6</v>
      </c>
      <c r="F4016">
        <f t="shared" si="286"/>
        <v>2025</v>
      </c>
      <c r="G4016" t="s">
        <v>265</v>
      </c>
      <c r="H4016" s="98">
        <v>13001</v>
      </c>
      <c r="I4016" s="29">
        <v>88</v>
      </c>
      <c r="J4016" s="12" t="s">
        <v>31</v>
      </c>
      <c r="K4016" s="76">
        <f t="shared" si="283"/>
        <v>88</v>
      </c>
      <c r="L4016">
        <v>1</v>
      </c>
      <c r="M4016" s="29">
        <v>0</v>
      </c>
      <c r="N4016" t="s">
        <v>42</v>
      </c>
      <c r="O4016" t="s">
        <v>33</v>
      </c>
      <c r="P4016" t="s">
        <v>34</v>
      </c>
      <c r="Q4016" t="s">
        <v>34</v>
      </c>
      <c r="R4016" t="s">
        <v>34</v>
      </c>
      <c r="S4016" t="s">
        <v>34</v>
      </c>
      <c r="T4016" s="117">
        <v>0</v>
      </c>
    </row>
    <row r="4017" spans="1:21" x14ac:dyDescent="0.35">
      <c r="A4017" t="s">
        <v>20</v>
      </c>
      <c r="B4017" t="s">
        <v>23</v>
      </c>
      <c r="C4017" s="1">
        <v>45826</v>
      </c>
      <c r="D4017">
        <f t="shared" si="284"/>
        <v>18</v>
      </c>
      <c r="E4017">
        <f t="shared" si="285"/>
        <v>6</v>
      </c>
      <c r="F4017">
        <f t="shared" si="286"/>
        <v>2025</v>
      </c>
      <c r="G4017" t="s">
        <v>265</v>
      </c>
      <c r="H4017" s="98">
        <v>13003</v>
      </c>
      <c r="I4017" s="29">
        <v>2892</v>
      </c>
      <c r="J4017" s="12" t="s">
        <v>31</v>
      </c>
      <c r="K4017" s="76">
        <f t="shared" si="283"/>
        <v>2892</v>
      </c>
      <c r="L4017">
        <v>1</v>
      </c>
      <c r="M4017" s="29">
        <v>0</v>
      </c>
      <c r="N4017" t="s">
        <v>42</v>
      </c>
      <c r="O4017" t="s">
        <v>33</v>
      </c>
      <c r="P4017" t="s">
        <v>34</v>
      </c>
      <c r="Q4017" t="s">
        <v>34</v>
      </c>
      <c r="R4017" t="s">
        <v>34</v>
      </c>
      <c r="S4017" t="s">
        <v>34</v>
      </c>
      <c r="T4017" s="117">
        <v>0</v>
      </c>
    </row>
    <row r="4018" spans="1:21" x14ac:dyDescent="0.35">
      <c r="A4018" t="s">
        <v>20</v>
      </c>
      <c r="B4018" t="s">
        <v>21</v>
      </c>
      <c r="C4018" s="1">
        <v>45826</v>
      </c>
      <c r="D4018">
        <f t="shared" si="284"/>
        <v>18</v>
      </c>
      <c r="E4018">
        <f t="shared" si="285"/>
        <v>6</v>
      </c>
      <c r="F4018">
        <f t="shared" si="286"/>
        <v>2025</v>
      </c>
      <c r="G4018" t="s">
        <v>265</v>
      </c>
      <c r="H4018" s="98">
        <v>13020</v>
      </c>
      <c r="I4018" s="29">
        <v>75</v>
      </c>
      <c r="J4018" s="12" t="s">
        <v>31</v>
      </c>
      <c r="K4018" s="76">
        <f t="shared" si="283"/>
        <v>75</v>
      </c>
      <c r="L4018">
        <v>1</v>
      </c>
      <c r="M4018" s="29">
        <v>0</v>
      </c>
      <c r="N4018" t="s">
        <v>42</v>
      </c>
      <c r="O4018" t="s">
        <v>33</v>
      </c>
      <c r="P4018" t="s">
        <v>34</v>
      </c>
      <c r="Q4018" t="s">
        <v>34</v>
      </c>
      <c r="R4018" t="s">
        <v>34</v>
      </c>
      <c r="S4018" t="s">
        <v>34</v>
      </c>
      <c r="T4018" s="117">
        <v>0</v>
      </c>
    </row>
    <row r="4019" spans="1:21" x14ac:dyDescent="0.35">
      <c r="A4019" t="s">
        <v>20</v>
      </c>
      <c r="B4019" t="s">
        <v>21</v>
      </c>
      <c r="C4019" s="1">
        <v>45826</v>
      </c>
      <c r="D4019">
        <f t="shared" si="284"/>
        <v>18</v>
      </c>
      <c r="E4019">
        <f t="shared" si="285"/>
        <v>6</v>
      </c>
      <c r="F4019">
        <f t="shared" si="286"/>
        <v>2025</v>
      </c>
      <c r="G4019" t="s">
        <v>265</v>
      </c>
      <c r="H4019" s="98">
        <v>13381</v>
      </c>
      <c r="I4019" s="29">
        <v>2537.25</v>
      </c>
      <c r="J4019" s="12" t="s">
        <v>31</v>
      </c>
      <c r="K4019" s="76">
        <f t="shared" si="283"/>
        <v>2537.25</v>
      </c>
      <c r="L4019">
        <v>1</v>
      </c>
      <c r="M4019" s="29">
        <v>0</v>
      </c>
      <c r="N4019" t="s">
        <v>42</v>
      </c>
      <c r="O4019" t="s">
        <v>33</v>
      </c>
      <c r="P4019" t="s">
        <v>34</v>
      </c>
      <c r="Q4019" t="s">
        <v>34</v>
      </c>
      <c r="R4019" t="s">
        <v>34</v>
      </c>
      <c r="S4019" t="s">
        <v>34</v>
      </c>
      <c r="T4019" s="117">
        <v>0</v>
      </c>
      <c r="U4019" s="209" t="s">
        <v>1355</v>
      </c>
    </row>
    <row r="4020" spans="1:21" x14ac:dyDescent="0.35">
      <c r="A4020" t="s">
        <v>20</v>
      </c>
      <c r="B4020" t="s">
        <v>25</v>
      </c>
      <c r="C4020" s="1">
        <v>45826</v>
      </c>
      <c r="D4020">
        <f t="shared" si="284"/>
        <v>18</v>
      </c>
      <c r="E4020">
        <f t="shared" si="285"/>
        <v>6</v>
      </c>
      <c r="F4020">
        <f t="shared" si="286"/>
        <v>2025</v>
      </c>
      <c r="G4020" t="s">
        <v>265</v>
      </c>
      <c r="H4020" s="98">
        <v>13029</v>
      </c>
      <c r="I4020" s="29">
        <v>200</v>
      </c>
      <c r="J4020" s="12" t="s">
        <v>31</v>
      </c>
      <c r="K4020" s="76">
        <f t="shared" si="283"/>
        <v>200</v>
      </c>
      <c r="L4020">
        <v>1</v>
      </c>
      <c r="M4020" s="29">
        <v>0</v>
      </c>
      <c r="N4020" t="s">
        <v>42</v>
      </c>
      <c r="O4020" t="s">
        <v>33</v>
      </c>
      <c r="P4020" t="s">
        <v>34</v>
      </c>
      <c r="Q4020" t="s">
        <v>34</v>
      </c>
      <c r="R4020" t="s">
        <v>34</v>
      </c>
      <c r="S4020" t="s">
        <v>34</v>
      </c>
      <c r="T4020" s="117">
        <v>0</v>
      </c>
    </row>
    <row r="4021" spans="1:21" x14ac:dyDescent="0.35">
      <c r="A4021" t="s">
        <v>20</v>
      </c>
      <c r="B4021" t="s">
        <v>25</v>
      </c>
      <c r="C4021" s="1">
        <v>45826</v>
      </c>
      <c r="D4021">
        <f t="shared" si="284"/>
        <v>18</v>
      </c>
      <c r="E4021">
        <f t="shared" si="285"/>
        <v>6</v>
      </c>
      <c r="F4021">
        <f t="shared" si="286"/>
        <v>2025</v>
      </c>
      <c r="G4021" t="s">
        <v>265</v>
      </c>
      <c r="H4021" s="98">
        <v>13030</v>
      </c>
      <c r="I4021" s="29">
        <v>437</v>
      </c>
      <c r="J4021" s="12" t="s">
        <v>31</v>
      </c>
      <c r="K4021" s="76">
        <f t="shared" si="283"/>
        <v>437</v>
      </c>
      <c r="L4021">
        <v>1</v>
      </c>
      <c r="M4021" s="29">
        <v>0</v>
      </c>
      <c r="N4021" t="s">
        <v>42</v>
      </c>
      <c r="O4021" t="s">
        <v>33</v>
      </c>
      <c r="P4021" t="s">
        <v>34</v>
      </c>
      <c r="Q4021" t="s">
        <v>34</v>
      </c>
      <c r="R4021" t="s">
        <v>34</v>
      </c>
      <c r="S4021" t="s">
        <v>34</v>
      </c>
      <c r="T4021" s="117">
        <v>0</v>
      </c>
    </row>
    <row r="4022" spans="1:21" x14ac:dyDescent="0.35">
      <c r="A4022" t="s">
        <v>20</v>
      </c>
      <c r="B4022" t="s">
        <v>25</v>
      </c>
      <c r="C4022" s="1">
        <v>45826</v>
      </c>
      <c r="D4022">
        <f t="shared" si="284"/>
        <v>18</v>
      </c>
      <c r="E4022">
        <f t="shared" si="285"/>
        <v>6</v>
      </c>
      <c r="F4022">
        <f t="shared" si="286"/>
        <v>2025</v>
      </c>
      <c r="G4022" t="s">
        <v>265</v>
      </c>
      <c r="H4022" s="98">
        <v>13031</v>
      </c>
      <c r="I4022" s="29">
        <v>1937.2</v>
      </c>
      <c r="J4022" s="12" t="s">
        <v>31</v>
      </c>
      <c r="K4022" s="76">
        <f t="shared" si="283"/>
        <v>1937.2</v>
      </c>
      <c r="L4022">
        <v>1</v>
      </c>
      <c r="M4022" s="29">
        <v>0</v>
      </c>
      <c r="N4022" t="s">
        <v>42</v>
      </c>
      <c r="O4022" t="s">
        <v>33</v>
      </c>
      <c r="P4022" t="s">
        <v>34</v>
      </c>
      <c r="Q4022" t="s">
        <v>34</v>
      </c>
      <c r="R4022" t="s">
        <v>34</v>
      </c>
      <c r="S4022" t="s">
        <v>34</v>
      </c>
      <c r="T4022" s="117">
        <v>0</v>
      </c>
    </row>
    <row r="4023" spans="1:21" x14ac:dyDescent="0.35">
      <c r="A4023" t="s">
        <v>20</v>
      </c>
      <c r="B4023" t="s">
        <v>25</v>
      </c>
      <c r="C4023" s="1">
        <v>45826</v>
      </c>
      <c r="D4023">
        <f t="shared" si="284"/>
        <v>18</v>
      </c>
      <c r="E4023">
        <f t="shared" si="285"/>
        <v>6</v>
      </c>
      <c r="F4023">
        <f t="shared" si="286"/>
        <v>2025</v>
      </c>
      <c r="G4023" t="s">
        <v>265</v>
      </c>
      <c r="H4023" s="98">
        <v>13032</v>
      </c>
      <c r="I4023" s="29">
        <v>5484.9000000000005</v>
      </c>
      <c r="J4023" s="12" t="s">
        <v>31</v>
      </c>
      <c r="K4023" s="76">
        <f t="shared" si="283"/>
        <v>5484.9000000000005</v>
      </c>
      <c r="L4023">
        <v>1</v>
      </c>
      <c r="M4023" s="29">
        <v>0</v>
      </c>
      <c r="N4023" t="s">
        <v>42</v>
      </c>
      <c r="O4023" t="s">
        <v>33</v>
      </c>
      <c r="P4023" t="s">
        <v>34</v>
      </c>
      <c r="Q4023" t="s">
        <v>34</v>
      </c>
      <c r="R4023" t="s">
        <v>34</v>
      </c>
      <c r="S4023" t="s">
        <v>34</v>
      </c>
      <c r="T4023" s="117">
        <v>0</v>
      </c>
    </row>
    <row r="4024" spans="1:21" x14ac:dyDescent="0.35">
      <c r="A4024" t="s">
        <v>20</v>
      </c>
      <c r="B4024" t="s">
        <v>21</v>
      </c>
      <c r="C4024" s="1">
        <v>45826</v>
      </c>
      <c r="D4024">
        <f t="shared" si="284"/>
        <v>18</v>
      </c>
      <c r="E4024">
        <f t="shared" si="285"/>
        <v>6</v>
      </c>
      <c r="F4024">
        <f t="shared" si="286"/>
        <v>2025</v>
      </c>
      <c r="G4024" t="s">
        <v>265</v>
      </c>
      <c r="H4024" s="98">
        <v>13033</v>
      </c>
      <c r="I4024" s="29">
        <v>70</v>
      </c>
      <c r="J4024" s="12" t="s">
        <v>31</v>
      </c>
      <c r="K4024" s="76">
        <f t="shared" si="283"/>
        <v>70</v>
      </c>
      <c r="L4024">
        <v>1</v>
      </c>
      <c r="M4024" s="29">
        <v>0</v>
      </c>
      <c r="N4024" t="s">
        <v>42</v>
      </c>
      <c r="O4024" t="s">
        <v>33</v>
      </c>
      <c r="P4024" t="s">
        <v>34</v>
      </c>
      <c r="Q4024" t="s">
        <v>34</v>
      </c>
      <c r="R4024" t="s">
        <v>34</v>
      </c>
      <c r="S4024" t="s">
        <v>34</v>
      </c>
      <c r="T4024" s="117">
        <v>0</v>
      </c>
    </row>
    <row r="4025" spans="1:21" x14ac:dyDescent="0.35">
      <c r="A4025" t="s">
        <v>20</v>
      </c>
      <c r="B4025" t="s">
        <v>21</v>
      </c>
      <c r="C4025" s="1">
        <v>45826</v>
      </c>
      <c r="D4025">
        <f t="shared" si="284"/>
        <v>18</v>
      </c>
      <c r="E4025">
        <f t="shared" si="285"/>
        <v>6</v>
      </c>
      <c r="F4025">
        <f t="shared" si="286"/>
        <v>2025</v>
      </c>
      <c r="G4025" t="s">
        <v>265</v>
      </c>
      <c r="H4025" s="98">
        <v>13381</v>
      </c>
      <c r="I4025" s="29">
        <v>1785.7</v>
      </c>
      <c r="J4025" s="12" t="s">
        <v>31</v>
      </c>
      <c r="K4025" s="76">
        <f t="shared" si="283"/>
        <v>1785.7</v>
      </c>
      <c r="L4025">
        <v>1</v>
      </c>
      <c r="M4025" s="29">
        <v>0</v>
      </c>
      <c r="N4025" t="s">
        <v>42</v>
      </c>
      <c r="O4025" t="s">
        <v>33</v>
      </c>
      <c r="P4025" t="s">
        <v>34</v>
      </c>
      <c r="Q4025" t="s">
        <v>34</v>
      </c>
      <c r="R4025" t="s">
        <v>34</v>
      </c>
      <c r="S4025" t="s">
        <v>34</v>
      </c>
      <c r="T4025" s="117">
        <v>0</v>
      </c>
      <c r="U4025" s="209" t="s">
        <v>1356</v>
      </c>
    </row>
    <row r="4026" spans="1:21" x14ac:dyDescent="0.35">
      <c r="A4026" t="s">
        <v>20</v>
      </c>
      <c r="B4026" t="s">
        <v>21</v>
      </c>
      <c r="C4026" s="1">
        <v>45826</v>
      </c>
      <c r="D4026">
        <f t="shared" si="284"/>
        <v>18</v>
      </c>
      <c r="E4026">
        <f t="shared" si="285"/>
        <v>6</v>
      </c>
      <c r="F4026">
        <f t="shared" si="286"/>
        <v>2025</v>
      </c>
      <c r="G4026" t="s">
        <v>91</v>
      </c>
      <c r="H4026" s="98">
        <v>11573</v>
      </c>
      <c r="I4026" s="29">
        <v>22049.7</v>
      </c>
      <c r="J4026" s="12" t="s">
        <v>31</v>
      </c>
      <c r="K4026" s="76">
        <f t="shared" si="283"/>
        <v>22049.7</v>
      </c>
      <c r="L4026">
        <v>1</v>
      </c>
      <c r="M4026" s="29">
        <v>0</v>
      </c>
      <c r="N4026" t="s">
        <v>32</v>
      </c>
      <c r="O4026" t="s">
        <v>33</v>
      </c>
      <c r="P4026" t="s">
        <v>34</v>
      </c>
      <c r="Q4026" t="s">
        <v>34</v>
      </c>
      <c r="R4026" t="s">
        <v>34</v>
      </c>
      <c r="S4026" t="s">
        <v>34</v>
      </c>
      <c r="T4026" s="117">
        <v>0</v>
      </c>
    </row>
    <row r="4027" spans="1:21" x14ac:dyDescent="0.35">
      <c r="A4027" t="s">
        <v>20</v>
      </c>
      <c r="B4027" t="s">
        <v>21</v>
      </c>
      <c r="C4027" s="1">
        <v>45826</v>
      </c>
      <c r="D4027">
        <f t="shared" si="284"/>
        <v>18</v>
      </c>
      <c r="E4027">
        <f t="shared" si="285"/>
        <v>6</v>
      </c>
      <c r="F4027">
        <f t="shared" si="286"/>
        <v>2025</v>
      </c>
      <c r="G4027" t="s">
        <v>91</v>
      </c>
      <c r="H4027" s="98">
        <v>11446</v>
      </c>
      <c r="I4027" s="29">
        <v>13381.26</v>
      </c>
      <c r="J4027" s="12" t="s">
        <v>31</v>
      </c>
      <c r="K4027" s="76">
        <f t="shared" si="283"/>
        <v>13381.26</v>
      </c>
      <c r="L4027">
        <v>1</v>
      </c>
      <c r="M4027" s="29">
        <v>0</v>
      </c>
      <c r="N4027" t="s">
        <v>42</v>
      </c>
      <c r="O4027" t="s">
        <v>33</v>
      </c>
      <c r="P4027" t="s">
        <v>34</v>
      </c>
      <c r="Q4027" t="s">
        <v>34</v>
      </c>
      <c r="R4027" t="s">
        <v>34</v>
      </c>
      <c r="S4027" t="s">
        <v>34</v>
      </c>
      <c r="T4027" s="117">
        <v>0</v>
      </c>
    </row>
    <row r="4028" spans="1:21" x14ac:dyDescent="0.35">
      <c r="A4028" t="s">
        <v>20</v>
      </c>
      <c r="B4028" t="s">
        <v>23</v>
      </c>
      <c r="C4028" s="1">
        <v>45826</v>
      </c>
      <c r="D4028">
        <f t="shared" si="284"/>
        <v>18</v>
      </c>
      <c r="E4028">
        <f t="shared" si="285"/>
        <v>6</v>
      </c>
      <c r="F4028">
        <f t="shared" si="286"/>
        <v>2025</v>
      </c>
      <c r="G4028" t="s">
        <v>108</v>
      </c>
      <c r="H4028" s="98">
        <v>12522</v>
      </c>
      <c r="I4028" s="29">
        <v>2932.6</v>
      </c>
      <c r="J4028" s="12" t="s">
        <v>31</v>
      </c>
      <c r="K4028" s="76">
        <f t="shared" si="283"/>
        <v>2932.6</v>
      </c>
      <c r="L4028">
        <v>1</v>
      </c>
      <c r="M4028" s="29">
        <v>0</v>
      </c>
      <c r="N4028" t="s">
        <v>32</v>
      </c>
      <c r="O4028" t="s">
        <v>33</v>
      </c>
      <c r="P4028" t="s">
        <v>34</v>
      </c>
      <c r="Q4028" t="s">
        <v>34</v>
      </c>
      <c r="R4028" t="s">
        <v>34</v>
      </c>
      <c r="S4028" t="s">
        <v>34</v>
      </c>
      <c r="T4028" s="117">
        <v>0</v>
      </c>
    </row>
    <row r="4029" spans="1:21" x14ac:dyDescent="0.35">
      <c r="A4029" t="s">
        <v>20</v>
      </c>
      <c r="B4029" t="s">
        <v>21</v>
      </c>
      <c r="C4029" s="1">
        <v>45826</v>
      </c>
      <c r="D4029">
        <f t="shared" si="284"/>
        <v>18</v>
      </c>
      <c r="E4029">
        <f t="shared" si="285"/>
        <v>6</v>
      </c>
      <c r="F4029">
        <f t="shared" si="286"/>
        <v>2025</v>
      </c>
      <c r="G4029" t="s">
        <v>1110</v>
      </c>
      <c r="H4029" s="98">
        <v>13004</v>
      </c>
      <c r="I4029" s="29">
        <v>4500</v>
      </c>
      <c r="J4029" s="12" t="s">
        <v>31</v>
      </c>
      <c r="K4029" s="76">
        <f t="shared" si="283"/>
        <v>4500</v>
      </c>
      <c r="L4029">
        <v>1</v>
      </c>
      <c r="M4029" s="29">
        <v>0</v>
      </c>
      <c r="N4029" t="s">
        <v>42</v>
      </c>
      <c r="O4029" t="s">
        <v>33</v>
      </c>
      <c r="P4029" t="s">
        <v>34</v>
      </c>
      <c r="Q4029" t="s">
        <v>34</v>
      </c>
      <c r="R4029" t="s">
        <v>34</v>
      </c>
      <c r="S4029" t="s">
        <v>34</v>
      </c>
      <c r="T4029" s="117">
        <v>0</v>
      </c>
    </row>
    <row r="4030" spans="1:21" x14ac:dyDescent="0.35">
      <c r="A4030" t="s">
        <v>20</v>
      </c>
      <c r="B4030" t="s">
        <v>21</v>
      </c>
      <c r="C4030" s="1">
        <v>45826</v>
      </c>
      <c r="D4030">
        <f t="shared" si="284"/>
        <v>18</v>
      </c>
      <c r="E4030">
        <f t="shared" si="285"/>
        <v>6</v>
      </c>
      <c r="F4030">
        <f t="shared" si="286"/>
        <v>2025</v>
      </c>
      <c r="G4030" t="s">
        <v>1238</v>
      </c>
      <c r="H4030" s="98">
        <v>13035</v>
      </c>
      <c r="I4030" s="29">
        <v>35.880000000000003</v>
      </c>
      <c r="J4030" s="12" t="s">
        <v>31</v>
      </c>
      <c r="K4030" s="76">
        <f t="shared" si="283"/>
        <v>35.880000000000003</v>
      </c>
      <c r="L4030">
        <v>1</v>
      </c>
      <c r="M4030" s="29">
        <v>0</v>
      </c>
      <c r="N4030" t="s">
        <v>42</v>
      </c>
      <c r="O4030" t="s">
        <v>33</v>
      </c>
      <c r="P4030" t="s">
        <v>34</v>
      </c>
      <c r="Q4030" t="s">
        <v>34</v>
      </c>
      <c r="R4030" t="s">
        <v>34</v>
      </c>
      <c r="S4030" t="s">
        <v>34</v>
      </c>
      <c r="T4030" s="117">
        <v>0</v>
      </c>
    </row>
    <row r="4031" spans="1:21" x14ac:dyDescent="0.35">
      <c r="A4031" t="s">
        <v>20</v>
      </c>
      <c r="B4031" t="s">
        <v>21</v>
      </c>
      <c r="C4031" s="1">
        <v>45826</v>
      </c>
      <c r="D4031">
        <f t="shared" si="284"/>
        <v>18</v>
      </c>
      <c r="E4031">
        <f t="shared" si="285"/>
        <v>6</v>
      </c>
      <c r="F4031">
        <f t="shared" si="286"/>
        <v>2025</v>
      </c>
      <c r="G4031" t="s">
        <v>1238</v>
      </c>
      <c r="H4031" s="98">
        <v>13036</v>
      </c>
      <c r="I4031" s="29">
        <v>3842.15</v>
      </c>
      <c r="J4031" s="12" t="s">
        <v>31</v>
      </c>
      <c r="K4031" s="76">
        <f t="shared" si="283"/>
        <v>3842.15</v>
      </c>
      <c r="L4031">
        <v>1</v>
      </c>
      <c r="M4031" s="29">
        <v>0</v>
      </c>
      <c r="N4031" t="s">
        <v>42</v>
      </c>
      <c r="O4031" t="s">
        <v>33</v>
      </c>
      <c r="P4031" t="s">
        <v>34</v>
      </c>
      <c r="Q4031" t="s">
        <v>34</v>
      </c>
      <c r="R4031" t="s">
        <v>34</v>
      </c>
      <c r="S4031" t="s">
        <v>34</v>
      </c>
      <c r="T4031" s="117">
        <v>0</v>
      </c>
    </row>
    <row r="4032" spans="1:21" x14ac:dyDescent="0.35">
      <c r="A4032" t="s">
        <v>20</v>
      </c>
      <c r="B4032" t="s">
        <v>21</v>
      </c>
      <c r="C4032" s="1">
        <v>45826</v>
      </c>
      <c r="D4032">
        <f t="shared" si="284"/>
        <v>18</v>
      </c>
      <c r="E4032">
        <f t="shared" si="285"/>
        <v>6</v>
      </c>
      <c r="F4032">
        <f t="shared" si="286"/>
        <v>2025</v>
      </c>
      <c r="G4032" t="s">
        <v>1238</v>
      </c>
      <c r="H4032" s="98">
        <v>13037</v>
      </c>
      <c r="I4032" s="29">
        <v>144.29999999999998</v>
      </c>
      <c r="J4032" s="12" t="s">
        <v>31</v>
      </c>
      <c r="K4032" s="76">
        <f t="shared" si="283"/>
        <v>144.29999999999998</v>
      </c>
      <c r="L4032">
        <v>1</v>
      </c>
      <c r="M4032" s="29">
        <v>0</v>
      </c>
      <c r="N4032" t="s">
        <v>42</v>
      </c>
      <c r="O4032" t="s">
        <v>33</v>
      </c>
      <c r="P4032" t="s">
        <v>34</v>
      </c>
      <c r="Q4032" t="s">
        <v>34</v>
      </c>
      <c r="R4032" t="s">
        <v>34</v>
      </c>
      <c r="S4032" t="s">
        <v>34</v>
      </c>
      <c r="T4032" s="117">
        <v>0</v>
      </c>
    </row>
    <row r="4033" spans="1:21" x14ac:dyDescent="0.35">
      <c r="A4033" t="s">
        <v>20</v>
      </c>
      <c r="B4033" t="s">
        <v>23</v>
      </c>
      <c r="C4033" s="1">
        <v>45826</v>
      </c>
      <c r="D4033">
        <f t="shared" si="284"/>
        <v>18</v>
      </c>
      <c r="E4033">
        <f t="shared" si="285"/>
        <v>6</v>
      </c>
      <c r="F4033">
        <f t="shared" si="286"/>
        <v>2025</v>
      </c>
      <c r="G4033" t="s">
        <v>53</v>
      </c>
      <c r="H4033" s="171">
        <v>12349</v>
      </c>
      <c r="I4033" s="90">
        <v>115</v>
      </c>
      <c r="J4033" s="12" t="s">
        <v>31</v>
      </c>
      <c r="K4033" s="76">
        <f t="shared" si="283"/>
        <v>115</v>
      </c>
      <c r="L4033">
        <v>1</v>
      </c>
      <c r="M4033" s="29">
        <v>0</v>
      </c>
      <c r="N4033" t="s">
        <v>32</v>
      </c>
      <c r="O4033" t="s">
        <v>33</v>
      </c>
      <c r="P4033" t="s">
        <v>34</v>
      </c>
      <c r="Q4033" t="s">
        <v>34</v>
      </c>
      <c r="R4033" t="s">
        <v>34</v>
      </c>
      <c r="S4033" t="s">
        <v>34</v>
      </c>
      <c r="T4033" s="117">
        <v>0</v>
      </c>
    </row>
    <row r="4034" spans="1:21" x14ac:dyDescent="0.35">
      <c r="A4034" t="s">
        <v>20</v>
      </c>
      <c r="B4034" t="s">
        <v>21</v>
      </c>
      <c r="C4034" s="1">
        <v>45826</v>
      </c>
      <c r="D4034">
        <f t="shared" si="284"/>
        <v>18</v>
      </c>
      <c r="E4034">
        <f t="shared" si="285"/>
        <v>6</v>
      </c>
      <c r="F4034">
        <f t="shared" si="286"/>
        <v>2025</v>
      </c>
      <c r="G4034" t="s">
        <v>52</v>
      </c>
      <c r="H4034" s="98">
        <v>12585</v>
      </c>
      <c r="I4034" s="29">
        <v>254.33</v>
      </c>
      <c r="J4034" s="12" t="s">
        <v>31</v>
      </c>
      <c r="K4034" s="76">
        <f t="shared" si="283"/>
        <v>254.33</v>
      </c>
      <c r="L4034">
        <v>1</v>
      </c>
      <c r="M4034" s="29">
        <v>0</v>
      </c>
      <c r="N4034" t="s">
        <v>32</v>
      </c>
      <c r="O4034" t="s">
        <v>33</v>
      </c>
      <c r="P4034" t="s">
        <v>34</v>
      </c>
      <c r="Q4034" t="s">
        <v>34</v>
      </c>
      <c r="R4034" t="s">
        <v>34</v>
      </c>
      <c r="S4034" t="s">
        <v>34</v>
      </c>
      <c r="T4034" s="117">
        <v>0</v>
      </c>
    </row>
    <row r="4035" spans="1:21" x14ac:dyDescent="0.35">
      <c r="A4035" t="s">
        <v>20</v>
      </c>
      <c r="B4035" t="s">
        <v>21</v>
      </c>
      <c r="C4035" s="1">
        <v>45826</v>
      </c>
      <c r="D4035">
        <f t="shared" si="284"/>
        <v>18</v>
      </c>
      <c r="E4035">
        <f t="shared" si="285"/>
        <v>6</v>
      </c>
      <c r="F4035">
        <f t="shared" si="286"/>
        <v>2025</v>
      </c>
      <c r="G4035" t="s">
        <v>43</v>
      </c>
      <c r="H4035" s="98">
        <v>12653</v>
      </c>
      <c r="I4035" s="29">
        <v>11894.17</v>
      </c>
      <c r="J4035" s="12" t="s">
        <v>31</v>
      </c>
      <c r="K4035" s="76">
        <f t="shared" si="283"/>
        <v>11894.17</v>
      </c>
      <c r="L4035">
        <v>1</v>
      </c>
      <c r="M4035" s="29">
        <v>0</v>
      </c>
      <c r="N4035" t="s">
        <v>42</v>
      </c>
      <c r="O4035" t="s">
        <v>33</v>
      </c>
      <c r="P4035" t="s">
        <v>34</v>
      </c>
      <c r="Q4035" t="s">
        <v>34</v>
      </c>
      <c r="R4035" t="s">
        <v>34</v>
      </c>
      <c r="S4035" t="s">
        <v>34</v>
      </c>
      <c r="T4035" s="117">
        <v>0</v>
      </c>
    </row>
    <row r="4036" spans="1:21" x14ac:dyDescent="0.35">
      <c r="A4036" t="s">
        <v>20</v>
      </c>
      <c r="B4036" t="s">
        <v>21</v>
      </c>
      <c r="C4036" s="1">
        <v>45826</v>
      </c>
      <c r="D4036">
        <f t="shared" si="284"/>
        <v>18</v>
      </c>
      <c r="E4036">
        <f t="shared" si="285"/>
        <v>6</v>
      </c>
      <c r="F4036">
        <f t="shared" si="286"/>
        <v>2025</v>
      </c>
      <c r="G4036" t="s">
        <v>299</v>
      </c>
      <c r="H4036" s="98">
        <v>12979</v>
      </c>
      <c r="I4036" s="29">
        <v>140</v>
      </c>
      <c r="J4036" s="12" t="s">
        <v>31</v>
      </c>
      <c r="K4036" s="76">
        <f t="shared" si="283"/>
        <v>140</v>
      </c>
      <c r="L4036">
        <v>1</v>
      </c>
      <c r="M4036" s="29">
        <v>0</v>
      </c>
      <c r="N4036" t="s">
        <v>42</v>
      </c>
      <c r="O4036" t="s">
        <v>33</v>
      </c>
      <c r="P4036" t="s">
        <v>34</v>
      </c>
      <c r="Q4036" t="s">
        <v>34</v>
      </c>
      <c r="R4036" t="s">
        <v>34</v>
      </c>
      <c r="S4036" t="s">
        <v>34</v>
      </c>
      <c r="T4036" s="117">
        <v>0</v>
      </c>
    </row>
    <row r="4037" spans="1:21" x14ac:dyDescent="0.35">
      <c r="A4037" t="s">
        <v>20</v>
      </c>
      <c r="B4037" t="s">
        <v>21</v>
      </c>
      <c r="C4037" s="1">
        <v>45826</v>
      </c>
      <c r="D4037">
        <f t="shared" si="284"/>
        <v>18</v>
      </c>
      <c r="E4037">
        <f t="shared" si="285"/>
        <v>6</v>
      </c>
      <c r="F4037">
        <f t="shared" si="286"/>
        <v>2025</v>
      </c>
      <c r="G4037" t="s">
        <v>299</v>
      </c>
      <c r="H4037" s="98">
        <v>12980</v>
      </c>
      <c r="I4037" s="29">
        <v>2832.9</v>
      </c>
      <c r="J4037" s="12" t="s">
        <v>31</v>
      </c>
      <c r="K4037" s="76">
        <f t="shared" ref="K4037:K4100" si="291">IF(J4037="USD",I4037,I4037*L4037)</f>
        <v>2832.9</v>
      </c>
      <c r="L4037">
        <v>1</v>
      </c>
      <c r="M4037" s="29">
        <v>0</v>
      </c>
      <c r="N4037" t="s">
        <v>42</v>
      </c>
      <c r="O4037" t="s">
        <v>33</v>
      </c>
      <c r="P4037" t="s">
        <v>34</v>
      </c>
      <c r="Q4037" t="s">
        <v>34</v>
      </c>
      <c r="R4037" t="s">
        <v>34</v>
      </c>
      <c r="S4037" t="s">
        <v>34</v>
      </c>
      <c r="T4037" s="117">
        <v>0</v>
      </c>
    </row>
    <row r="4038" spans="1:21" x14ac:dyDescent="0.35">
      <c r="A4038" t="s">
        <v>20</v>
      </c>
      <c r="B4038" t="s">
        <v>21</v>
      </c>
      <c r="C4038" s="1">
        <v>45826</v>
      </c>
      <c r="D4038">
        <f t="shared" ref="D4038:D4101" si="292">DAY(C4038)</f>
        <v>18</v>
      </c>
      <c r="E4038">
        <f t="shared" ref="E4038:E4101" si="293">MONTH(C4038)</f>
        <v>6</v>
      </c>
      <c r="F4038">
        <f t="shared" ref="F4038:F4101" si="294">YEAR(C4038)</f>
        <v>2025</v>
      </c>
      <c r="G4038" t="s">
        <v>46</v>
      </c>
      <c r="H4038" s="98">
        <v>12995</v>
      </c>
      <c r="I4038" s="29">
        <v>70.400000000000006</v>
      </c>
      <c r="J4038" s="12" t="s">
        <v>31</v>
      </c>
      <c r="K4038" s="76">
        <f t="shared" si="291"/>
        <v>70.400000000000006</v>
      </c>
      <c r="L4038">
        <v>1</v>
      </c>
      <c r="M4038" s="29">
        <v>0</v>
      </c>
      <c r="N4038" t="s">
        <v>42</v>
      </c>
      <c r="O4038" t="s">
        <v>33</v>
      </c>
      <c r="P4038" t="s">
        <v>34</v>
      </c>
      <c r="Q4038" t="s">
        <v>34</v>
      </c>
      <c r="R4038" t="s">
        <v>34</v>
      </c>
      <c r="S4038" t="s">
        <v>34</v>
      </c>
      <c r="T4038" s="117">
        <v>0</v>
      </c>
    </row>
    <row r="4039" spans="1:21" x14ac:dyDescent="0.35">
      <c r="A4039" t="s">
        <v>20</v>
      </c>
      <c r="B4039" t="s">
        <v>21</v>
      </c>
      <c r="C4039" s="1">
        <v>45826</v>
      </c>
      <c r="D4039">
        <f t="shared" si="292"/>
        <v>18</v>
      </c>
      <c r="E4039">
        <f t="shared" si="293"/>
        <v>6</v>
      </c>
      <c r="F4039">
        <f t="shared" si="294"/>
        <v>2025</v>
      </c>
      <c r="G4039" t="s">
        <v>46</v>
      </c>
      <c r="H4039" s="98">
        <v>13392</v>
      </c>
      <c r="I4039" s="29">
        <v>1294.6559999999999</v>
      </c>
      <c r="J4039" s="12" t="s">
        <v>31</v>
      </c>
      <c r="K4039" s="76">
        <f t="shared" si="291"/>
        <v>1294.6559999999999</v>
      </c>
      <c r="L4039">
        <v>1</v>
      </c>
      <c r="M4039" s="29">
        <v>0</v>
      </c>
      <c r="N4039" t="s">
        <v>42</v>
      </c>
      <c r="O4039" t="s">
        <v>33</v>
      </c>
      <c r="P4039" t="s">
        <v>34</v>
      </c>
      <c r="Q4039" t="s">
        <v>34</v>
      </c>
      <c r="R4039" t="s">
        <v>34</v>
      </c>
      <c r="S4039" t="s">
        <v>34</v>
      </c>
      <c r="T4039" s="117">
        <v>0</v>
      </c>
      <c r="U4039" s="209" t="s">
        <v>1352</v>
      </c>
    </row>
    <row r="4040" spans="1:21" x14ac:dyDescent="0.35">
      <c r="A4040" t="s">
        <v>20</v>
      </c>
      <c r="B4040" t="s">
        <v>23</v>
      </c>
      <c r="C4040" s="1">
        <v>45826</v>
      </c>
      <c r="D4040">
        <f t="shared" si="292"/>
        <v>18</v>
      </c>
      <c r="E4040">
        <f t="shared" si="293"/>
        <v>6</v>
      </c>
      <c r="F4040">
        <f t="shared" si="294"/>
        <v>2025</v>
      </c>
      <c r="G4040" t="s">
        <v>46</v>
      </c>
      <c r="H4040" s="98">
        <v>13018</v>
      </c>
      <c r="I4040" s="29">
        <v>138.19999999999999</v>
      </c>
      <c r="J4040" s="12" t="s">
        <v>31</v>
      </c>
      <c r="K4040" s="76">
        <f t="shared" si="291"/>
        <v>138.19999999999999</v>
      </c>
      <c r="L4040">
        <v>1</v>
      </c>
      <c r="M4040" s="29">
        <v>0</v>
      </c>
      <c r="N4040" t="s">
        <v>42</v>
      </c>
      <c r="O4040" t="s">
        <v>33</v>
      </c>
      <c r="P4040" t="s">
        <v>34</v>
      </c>
      <c r="Q4040" t="s">
        <v>34</v>
      </c>
      <c r="R4040" t="s">
        <v>34</v>
      </c>
      <c r="S4040" t="s">
        <v>34</v>
      </c>
      <c r="T4040" s="117">
        <v>0</v>
      </c>
    </row>
    <row r="4041" spans="1:21" x14ac:dyDescent="0.35">
      <c r="A4041" t="s">
        <v>20</v>
      </c>
      <c r="B4041" t="s">
        <v>23</v>
      </c>
      <c r="C4041" s="1">
        <v>45826</v>
      </c>
      <c r="D4041">
        <f t="shared" si="292"/>
        <v>18</v>
      </c>
      <c r="E4041">
        <f t="shared" si="293"/>
        <v>6</v>
      </c>
      <c r="F4041">
        <f t="shared" si="294"/>
        <v>2025</v>
      </c>
      <c r="G4041" t="s">
        <v>46</v>
      </c>
      <c r="H4041" s="98">
        <v>13019</v>
      </c>
      <c r="I4041" s="29">
        <v>2167.8000000000002</v>
      </c>
      <c r="J4041" s="12" t="s">
        <v>31</v>
      </c>
      <c r="K4041" s="76">
        <f t="shared" si="291"/>
        <v>2167.8000000000002</v>
      </c>
      <c r="L4041">
        <v>1</v>
      </c>
      <c r="M4041" s="29">
        <v>0</v>
      </c>
      <c r="N4041" t="s">
        <v>42</v>
      </c>
      <c r="O4041" t="s">
        <v>33</v>
      </c>
      <c r="P4041" t="s">
        <v>34</v>
      </c>
      <c r="Q4041" t="s">
        <v>34</v>
      </c>
      <c r="R4041" t="s">
        <v>34</v>
      </c>
      <c r="S4041" t="s">
        <v>34</v>
      </c>
      <c r="T4041" s="117">
        <v>0</v>
      </c>
    </row>
    <row r="4042" spans="1:21" x14ac:dyDescent="0.35">
      <c r="A4042" t="s">
        <v>19</v>
      </c>
      <c r="B4042" t="s">
        <v>19</v>
      </c>
      <c r="C4042" s="1">
        <v>45826</v>
      </c>
      <c r="D4042">
        <f t="shared" si="292"/>
        <v>18</v>
      </c>
      <c r="E4042">
        <f t="shared" si="293"/>
        <v>6</v>
      </c>
      <c r="F4042">
        <f t="shared" si="294"/>
        <v>2025</v>
      </c>
      <c r="G4042" t="s">
        <v>57</v>
      </c>
      <c r="H4042" s="171" t="s">
        <v>1111</v>
      </c>
      <c r="I4042" s="90">
        <v>196268.26</v>
      </c>
      <c r="J4042" s="12" t="s">
        <v>31</v>
      </c>
      <c r="K4042" s="76">
        <f t="shared" si="291"/>
        <v>196268.26</v>
      </c>
      <c r="L4042">
        <v>1</v>
      </c>
      <c r="M4042" s="29">
        <v>0</v>
      </c>
      <c r="N4042" t="s">
        <v>32</v>
      </c>
      <c r="O4042" t="s">
        <v>33</v>
      </c>
      <c r="P4042" t="s">
        <v>34</v>
      </c>
      <c r="Q4042" t="s">
        <v>34</v>
      </c>
      <c r="R4042" t="s">
        <v>34</v>
      </c>
      <c r="S4042" t="s">
        <v>34</v>
      </c>
      <c r="T4042" s="117">
        <v>0</v>
      </c>
    </row>
    <row r="4043" spans="1:21" x14ac:dyDescent="0.35">
      <c r="A4043" t="s">
        <v>19</v>
      </c>
      <c r="B4043" t="s">
        <v>19</v>
      </c>
      <c r="C4043" s="1">
        <v>45826</v>
      </c>
      <c r="D4043">
        <f t="shared" si="292"/>
        <v>18</v>
      </c>
      <c r="E4043">
        <f t="shared" si="293"/>
        <v>6</v>
      </c>
      <c r="F4043">
        <f t="shared" si="294"/>
        <v>2025</v>
      </c>
      <c r="G4043" t="s">
        <v>56</v>
      </c>
      <c r="H4043" s="98" t="s">
        <v>1112</v>
      </c>
      <c r="I4043" s="29">
        <v>181323.15</v>
      </c>
      <c r="J4043" s="12" t="s">
        <v>31</v>
      </c>
      <c r="K4043" s="76">
        <f t="shared" si="291"/>
        <v>181323.15</v>
      </c>
      <c r="L4043">
        <v>1</v>
      </c>
      <c r="M4043" s="29">
        <v>0</v>
      </c>
      <c r="N4043" t="s">
        <v>32</v>
      </c>
      <c r="O4043" t="s">
        <v>33</v>
      </c>
      <c r="P4043" t="s">
        <v>34</v>
      </c>
      <c r="Q4043" t="s">
        <v>34</v>
      </c>
      <c r="R4043" t="s">
        <v>34</v>
      </c>
      <c r="S4043" t="s">
        <v>34</v>
      </c>
      <c r="T4043" s="117">
        <v>0</v>
      </c>
    </row>
    <row r="4044" spans="1:21" x14ac:dyDescent="0.35">
      <c r="A4044" t="s">
        <v>19</v>
      </c>
      <c r="B4044" t="s">
        <v>19</v>
      </c>
      <c r="C4044" s="1">
        <v>45826</v>
      </c>
      <c r="D4044">
        <f t="shared" si="292"/>
        <v>18</v>
      </c>
      <c r="E4044">
        <f t="shared" si="293"/>
        <v>6</v>
      </c>
      <c r="F4044">
        <f t="shared" si="294"/>
        <v>2025</v>
      </c>
      <c r="G4044" t="s">
        <v>1061</v>
      </c>
      <c r="H4044" s="98" t="s">
        <v>1113</v>
      </c>
      <c r="I4044" s="29">
        <v>76775.509999999995</v>
      </c>
      <c r="J4044" s="12" t="s">
        <v>31</v>
      </c>
      <c r="K4044" s="76">
        <f t="shared" si="291"/>
        <v>76775.509999999995</v>
      </c>
      <c r="L4044">
        <v>1</v>
      </c>
      <c r="M4044" s="29">
        <v>0</v>
      </c>
      <c r="N4044" t="s">
        <v>32</v>
      </c>
      <c r="O4044" t="s">
        <v>33</v>
      </c>
      <c r="P4044" t="s">
        <v>34</v>
      </c>
      <c r="Q4044" t="s">
        <v>34</v>
      </c>
      <c r="R4044" t="s">
        <v>34</v>
      </c>
      <c r="S4044" t="s">
        <v>34</v>
      </c>
      <c r="T4044" s="117">
        <v>0</v>
      </c>
    </row>
    <row r="4045" spans="1:21" x14ac:dyDescent="0.35">
      <c r="A4045" t="s">
        <v>19</v>
      </c>
      <c r="B4045" t="s">
        <v>19</v>
      </c>
      <c r="C4045" s="1">
        <v>45826</v>
      </c>
      <c r="D4045">
        <f t="shared" si="292"/>
        <v>18</v>
      </c>
      <c r="E4045">
        <f t="shared" si="293"/>
        <v>6</v>
      </c>
      <c r="F4045">
        <f t="shared" si="294"/>
        <v>2025</v>
      </c>
      <c r="G4045" t="s">
        <v>106</v>
      </c>
      <c r="H4045" s="98" t="s">
        <v>1114</v>
      </c>
      <c r="I4045" s="29">
        <v>271215.63</v>
      </c>
      <c r="J4045" s="12" t="s">
        <v>31</v>
      </c>
      <c r="K4045" s="76">
        <f t="shared" si="291"/>
        <v>271215.63</v>
      </c>
      <c r="L4045">
        <v>1</v>
      </c>
      <c r="M4045" s="29">
        <v>0</v>
      </c>
      <c r="N4045" t="s">
        <v>32</v>
      </c>
      <c r="O4045" t="s">
        <v>33</v>
      </c>
      <c r="P4045" t="s">
        <v>34</v>
      </c>
      <c r="Q4045" t="s">
        <v>34</v>
      </c>
      <c r="R4045" t="s">
        <v>34</v>
      </c>
      <c r="S4045" t="s">
        <v>34</v>
      </c>
      <c r="T4045" s="117">
        <v>12028.9</v>
      </c>
    </row>
    <row r="4046" spans="1:21" x14ac:dyDescent="0.35">
      <c r="A4046" t="s">
        <v>19</v>
      </c>
      <c r="B4046" t="s">
        <v>19</v>
      </c>
      <c r="C4046" s="1">
        <v>45826</v>
      </c>
      <c r="D4046">
        <f t="shared" si="292"/>
        <v>18</v>
      </c>
      <c r="E4046">
        <f t="shared" si="293"/>
        <v>6</v>
      </c>
      <c r="F4046">
        <f t="shared" si="294"/>
        <v>2025</v>
      </c>
      <c r="G4046" t="s">
        <v>1115</v>
      </c>
      <c r="H4046" s="98" t="s">
        <v>1116</v>
      </c>
      <c r="I4046" s="29">
        <v>155612.5</v>
      </c>
      <c r="J4046" s="12" t="s">
        <v>31</v>
      </c>
      <c r="K4046" s="76">
        <f t="shared" si="291"/>
        <v>155612.5</v>
      </c>
      <c r="L4046">
        <v>1</v>
      </c>
      <c r="M4046" s="29">
        <v>0</v>
      </c>
      <c r="N4046" t="s">
        <v>32</v>
      </c>
      <c r="O4046" t="s">
        <v>33</v>
      </c>
      <c r="P4046" t="s">
        <v>34</v>
      </c>
      <c r="Q4046" t="s">
        <v>34</v>
      </c>
      <c r="R4046" t="s">
        <v>34</v>
      </c>
      <c r="S4046" t="s">
        <v>34</v>
      </c>
      <c r="T4046" s="179">
        <v>0</v>
      </c>
    </row>
    <row r="4047" spans="1:21" x14ac:dyDescent="0.35">
      <c r="A4047" t="s">
        <v>19</v>
      </c>
      <c r="B4047" t="s">
        <v>19</v>
      </c>
      <c r="C4047" s="1">
        <v>45826</v>
      </c>
      <c r="D4047">
        <f t="shared" si="292"/>
        <v>18</v>
      </c>
      <c r="E4047">
        <f t="shared" si="293"/>
        <v>6</v>
      </c>
      <c r="F4047">
        <f t="shared" si="294"/>
        <v>2025</v>
      </c>
      <c r="G4047" t="s">
        <v>265</v>
      </c>
      <c r="H4047" s="98" t="s">
        <v>1118</v>
      </c>
      <c r="I4047" s="29">
        <v>66683.820000000007</v>
      </c>
      <c r="J4047" s="12" t="s">
        <v>31</v>
      </c>
      <c r="K4047" s="76">
        <f t="shared" si="291"/>
        <v>66683.820000000007</v>
      </c>
      <c r="L4047">
        <v>1</v>
      </c>
      <c r="M4047" s="29">
        <v>0</v>
      </c>
      <c r="N4047" t="s">
        <v>32</v>
      </c>
      <c r="O4047" t="s">
        <v>33</v>
      </c>
      <c r="P4047" t="s">
        <v>34</v>
      </c>
      <c r="Q4047" t="s">
        <v>34</v>
      </c>
      <c r="R4047" t="s">
        <v>34</v>
      </c>
      <c r="S4047" t="s">
        <v>34</v>
      </c>
      <c r="T4047" s="117">
        <v>0</v>
      </c>
    </row>
    <row r="4048" spans="1:21" x14ac:dyDescent="0.35">
      <c r="A4048" t="s">
        <v>19</v>
      </c>
      <c r="B4048" t="s">
        <v>19</v>
      </c>
      <c r="C4048" s="1">
        <v>45826</v>
      </c>
      <c r="D4048">
        <f t="shared" si="292"/>
        <v>18</v>
      </c>
      <c r="E4048">
        <f t="shared" si="293"/>
        <v>6</v>
      </c>
      <c r="F4048">
        <f t="shared" si="294"/>
        <v>2025</v>
      </c>
      <c r="G4048" t="s">
        <v>803</v>
      </c>
      <c r="H4048" s="98" t="s">
        <v>1119</v>
      </c>
      <c r="I4048" s="29">
        <v>705</v>
      </c>
      <c r="J4048" s="12" t="s">
        <v>31</v>
      </c>
      <c r="K4048" s="76">
        <f t="shared" si="291"/>
        <v>705</v>
      </c>
      <c r="L4048">
        <v>1</v>
      </c>
      <c r="M4048" s="29">
        <v>0</v>
      </c>
      <c r="N4048" t="s">
        <v>32</v>
      </c>
      <c r="O4048" t="s">
        <v>33</v>
      </c>
      <c r="P4048" t="s">
        <v>34</v>
      </c>
      <c r="Q4048" t="s">
        <v>34</v>
      </c>
      <c r="R4048" t="s">
        <v>34</v>
      </c>
      <c r="S4048" t="s">
        <v>34</v>
      </c>
      <c r="T4048" s="117">
        <v>0</v>
      </c>
    </row>
    <row r="4049" spans="1:21" x14ac:dyDescent="0.35">
      <c r="A4049" t="s">
        <v>19</v>
      </c>
      <c r="B4049" t="s">
        <v>19</v>
      </c>
      <c r="C4049" s="1">
        <v>45826</v>
      </c>
      <c r="D4049">
        <f t="shared" si="292"/>
        <v>18</v>
      </c>
      <c r="E4049">
        <f t="shared" si="293"/>
        <v>6</v>
      </c>
      <c r="F4049">
        <f t="shared" si="294"/>
        <v>2025</v>
      </c>
      <c r="G4049" t="s">
        <v>1117</v>
      </c>
      <c r="H4049" s="98" t="s">
        <v>1120</v>
      </c>
      <c r="I4049" s="29">
        <v>106084.2</v>
      </c>
      <c r="J4049" s="12" t="s">
        <v>31</v>
      </c>
      <c r="K4049" s="76">
        <f t="shared" si="291"/>
        <v>106084.2</v>
      </c>
      <c r="L4049">
        <v>1</v>
      </c>
      <c r="M4049" s="29">
        <v>0</v>
      </c>
      <c r="N4049" t="s">
        <v>32</v>
      </c>
      <c r="O4049" t="s">
        <v>33</v>
      </c>
      <c r="P4049" t="s">
        <v>34</v>
      </c>
      <c r="Q4049" t="s">
        <v>34</v>
      </c>
      <c r="R4049" t="s">
        <v>34</v>
      </c>
      <c r="S4049" t="s">
        <v>34</v>
      </c>
      <c r="T4049" s="117">
        <v>9675.6</v>
      </c>
    </row>
    <row r="4050" spans="1:21" x14ac:dyDescent="0.35">
      <c r="A4050" t="s">
        <v>19</v>
      </c>
      <c r="B4050" t="s">
        <v>26</v>
      </c>
      <c r="C4050" s="1">
        <v>45828</v>
      </c>
      <c r="D4050">
        <f t="shared" si="292"/>
        <v>20</v>
      </c>
      <c r="E4050">
        <f t="shared" si="293"/>
        <v>6</v>
      </c>
      <c r="F4050">
        <f t="shared" si="294"/>
        <v>2025</v>
      </c>
      <c r="G4050" t="s">
        <v>73</v>
      </c>
      <c r="H4050" s="98">
        <v>13002</v>
      </c>
      <c r="I4050" s="29">
        <v>62193.29</v>
      </c>
      <c r="J4050" s="12" t="s">
        <v>51</v>
      </c>
      <c r="K4050" s="76">
        <f t="shared" si="291"/>
        <v>71739.960015000004</v>
      </c>
      <c r="L4050">
        <v>1.1535</v>
      </c>
      <c r="M4050" s="29">
        <v>0</v>
      </c>
      <c r="N4050" t="s">
        <v>32</v>
      </c>
      <c r="O4050" t="s">
        <v>33</v>
      </c>
      <c r="P4050" t="s">
        <v>34</v>
      </c>
      <c r="Q4050" t="s">
        <v>34</v>
      </c>
      <c r="R4050" t="s">
        <v>34</v>
      </c>
      <c r="S4050" t="s">
        <v>34</v>
      </c>
      <c r="T4050" s="117">
        <v>0</v>
      </c>
      <c r="U4050" s="209" t="s">
        <v>94</v>
      </c>
    </row>
    <row r="4051" spans="1:21" x14ac:dyDescent="0.35">
      <c r="A4051" t="s">
        <v>19</v>
      </c>
      <c r="B4051" t="s">
        <v>26</v>
      </c>
      <c r="C4051" s="1">
        <v>45828</v>
      </c>
      <c r="D4051">
        <f t="shared" si="292"/>
        <v>20</v>
      </c>
      <c r="E4051">
        <f t="shared" si="293"/>
        <v>6</v>
      </c>
      <c r="F4051">
        <f t="shared" si="294"/>
        <v>2025</v>
      </c>
      <c r="G4051" t="s">
        <v>73</v>
      </c>
      <c r="H4051" s="98">
        <v>13051</v>
      </c>
      <c r="I4051" s="29">
        <v>57099.61</v>
      </c>
      <c r="J4051" s="12" t="s">
        <v>51</v>
      </c>
      <c r="K4051" s="76">
        <f t="shared" si="291"/>
        <v>65864.400135000004</v>
      </c>
      <c r="L4051">
        <v>1.1535</v>
      </c>
      <c r="M4051" s="29">
        <v>0</v>
      </c>
      <c r="N4051" t="s">
        <v>32</v>
      </c>
      <c r="O4051" t="s">
        <v>33</v>
      </c>
      <c r="P4051" t="s">
        <v>34</v>
      </c>
      <c r="Q4051" t="s">
        <v>34</v>
      </c>
      <c r="R4051" t="s">
        <v>34</v>
      </c>
      <c r="S4051" t="s">
        <v>34</v>
      </c>
      <c r="T4051" s="117">
        <v>0</v>
      </c>
      <c r="U4051" s="209" t="s">
        <v>94</v>
      </c>
    </row>
    <row r="4052" spans="1:21" x14ac:dyDescent="0.35">
      <c r="A4052" t="s">
        <v>19</v>
      </c>
      <c r="B4052" t="s">
        <v>26</v>
      </c>
      <c r="C4052" s="1">
        <v>45828</v>
      </c>
      <c r="D4052">
        <f t="shared" si="292"/>
        <v>20</v>
      </c>
      <c r="E4052">
        <f t="shared" si="293"/>
        <v>6</v>
      </c>
      <c r="F4052">
        <f t="shared" si="294"/>
        <v>2025</v>
      </c>
      <c r="G4052" t="s">
        <v>73</v>
      </c>
      <c r="H4052" s="98">
        <v>13072</v>
      </c>
      <c r="I4052" s="29">
        <v>9130.3799999999992</v>
      </c>
      <c r="J4052" s="12" t="s">
        <v>51</v>
      </c>
      <c r="K4052" s="76">
        <f t="shared" si="291"/>
        <v>10531.893329999999</v>
      </c>
      <c r="L4052">
        <v>1.1535</v>
      </c>
      <c r="M4052" s="29">
        <v>0</v>
      </c>
      <c r="N4052" t="s">
        <v>32</v>
      </c>
      <c r="O4052" t="s">
        <v>33</v>
      </c>
      <c r="P4052" t="s">
        <v>34</v>
      </c>
      <c r="Q4052" t="s">
        <v>34</v>
      </c>
      <c r="R4052" t="s">
        <v>34</v>
      </c>
      <c r="S4052" t="s">
        <v>34</v>
      </c>
      <c r="T4052" s="117">
        <v>0</v>
      </c>
      <c r="U4052" s="209" t="s">
        <v>94</v>
      </c>
    </row>
    <row r="4053" spans="1:21" x14ac:dyDescent="0.35">
      <c r="A4053" t="s">
        <v>19</v>
      </c>
      <c r="B4053" t="s">
        <v>26</v>
      </c>
      <c r="C4053" s="1">
        <v>45828</v>
      </c>
      <c r="D4053">
        <f t="shared" si="292"/>
        <v>20</v>
      </c>
      <c r="E4053">
        <f t="shared" si="293"/>
        <v>6</v>
      </c>
      <c r="F4053">
        <f t="shared" si="294"/>
        <v>2025</v>
      </c>
      <c r="G4053" t="s">
        <v>73</v>
      </c>
      <c r="H4053" s="121">
        <v>13132</v>
      </c>
      <c r="I4053" s="29">
        <v>42604.160000000003</v>
      </c>
      <c r="J4053" s="12" t="s">
        <v>51</v>
      </c>
      <c r="K4053" s="76">
        <f t="shared" si="291"/>
        <v>49143.898560000001</v>
      </c>
      <c r="L4053">
        <v>1.1535</v>
      </c>
      <c r="M4053" s="29">
        <v>0</v>
      </c>
      <c r="N4053" t="s">
        <v>42</v>
      </c>
      <c r="O4053" t="s">
        <v>33</v>
      </c>
      <c r="P4053" t="s">
        <v>34</v>
      </c>
      <c r="Q4053" t="s">
        <v>34</v>
      </c>
      <c r="R4053" t="s">
        <v>34</v>
      </c>
      <c r="S4053" t="s">
        <v>34</v>
      </c>
      <c r="T4053" s="117">
        <v>0</v>
      </c>
      <c r="U4053" s="209" t="s">
        <v>94</v>
      </c>
    </row>
    <row r="4054" spans="1:21" x14ac:dyDescent="0.35">
      <c r="A4054" t="s">
        <v>19</v>
      </c>
      <c r="B4054" t="s">
        <v>26</v>
      </c>
      <c r="C4054" s="1">
        <v>45828</v>
      </c>
      <c r="D4054">
        <f t="shared" si="292"/>
        <v>20</v>
      </c>
      <c r="E4054">
        <f t="shared" si="293"/>
        <v>6</v>
      </c>
      <c r="F4054">
        <f t="shared" si="294"/>
        <v>2025</v>
      </c>
      <c r="G4054" t="s">
        <v>73</v>
      </c>
      <c r="H4054" s="121">
        <v>13162</v>
      </c>
      <c r="I4054" s="29">
        <v>49897.46</v>
      </c>
      <c r="J4054" s="12" t="s">
        <v>51</v>
      </c>
      <c r="K4054" s="76">
        <f t="shared" si="291"/>
        <v>57556.720109999995</v>
      </c>
      <c r="L4054">
        <v>1.1535</v>
      </c>
      <c r="M4054" s="29">
        <v>0</v>
      </c>
      <c r="N4054" t="s">
        <v>42</v>
      </c>
      <c r="O4054" t="s">
        <v>33</v>
      </c>
      <c r="P4054" t="s">
        <v>34</v>
      </c>
      <c r="Q4054" t="s">
        <v>34</v>
      </c>
      <c r="R4054" t="s">
        <v>34</v>
      </c>
      <c r="S4054" t="s">
        <v>34</v>
      </c>
      <c r="T4054" s="117">
        <v>0</v>
      </c>
      <c r="U4054" s="209" t="s">
        <v>94</v>
      </c>
    </row>
    <row r="4055" spans="1:21" x14ac:dyDescent="0.35">
      <c r="A4055" t="s">
        <v>19</v>
      </c>
      <c r="B4055" t="s">
        <v>24</v>
      </c>
      <c r="C4055" s="1">
        <v>45833</v>
      </c>
      <c r="D4055">
        <f t="shared" si="292"/>
        <v>25</v>
      </c>
      <c r="E4055">
        <f t="shared" si="293"/>
        <v>6</v>
      </c>
      <c r="F4055">
        <f t="shared" si="294"/>
        <v>2025</v>
      </c>
      <c r="G4055" t="s">
        <v>36</v>
      </c>
      <c r="H4055" s="98">
        <v>12503</v>
      </c>
      <c r="I4055" s="29">
        <v>216</v>
      </c>
      <c r="J4055" s="12" t="s">
        <v>31</v>
      </c>
      <c r="K4055" s="76">
        <f t="shared" si="291"/>
        <v>216</v>
      </c>
      <c r="L4055">
        <v>1</v>
      </c>
      <c r="M4055" s="29">
        <v>0</v>
      </c>
      <c r="N4055" t="s">
        <v>32</v>
      </c>
      <c r="O4055" t="s">
        <v>33</v>
      </c>
      <c r="P4055" t="s">
        <v>34</v>
      </c>
      <c r="Q4055" t="s">
        <v>34</v>
      </c>
      <c r="R4055" t="s">
        <v>34</v>
      </c>
      <c r="S4055" t="s">
        <v>34</v>
      </c>
      <c r="T4055" s="117">
        <v>0</v>
      </c>
    </row>
    <row r="4056" spans="1:21" x14ac:dyDescent="0.35">
      <c r="A4056" t="s">
        <v>19</v>
      </c>
      <c r="B4056" t="s">
        <v>24</v>
      </c>
      <c r="C4056" s="1">
        <v>45833</v>
      </c>
      <c r="D4056">
        <f t="shared" si="292"/>
        <v>25</v>
      </c>
      <c r="E4056">
        <f t="shared" si="293"/>
        <v>6</v>
      </c>
      <c r="F4056">
        <f t="shared" si="294"/>
        <v>2025</v>
      </c>
      <c r="G4056" t="s">
        <v>36</v>
      </c>
      <c r="H4056" s="98">
        <v>12504</v>
      </c>
      <c r="I4056" s="29">
        <v>80062.83</v>
      </c>
      <c r="J4056" s="12" t="s">
        <v>31</v>
      </c>
      <c r="K4056" s="76">
        <f t="shared" si="291"/>
        <v>80062.83</v>
      </c>
      <c r="L4056">
        <v>1</v>
      </c>
      <c r="M4056" s="29">
        <v>0</v>
      </c>
      <c r="N4056" t="s">
        <v>32</v>
      </c>
      <c r="O4056" t="s">
        <v>33</v>
      </c>
      <c r="P4056" t="s">
        <v>34</v>
      </c>
      <c r="Q4056" t="s">
        <v>34</v>
      </c>
      <c r="R4056" t="s">
        <v>34</v>
      </c>
      <c r="S4056" t="s">
        <v>34</v>
      </c>
      <c r="T4056" s="117">
        <v>0</v>
      </c>
    </row>
    <row r="4057" spans="1:21" x14ac:dyDescent="0.35">
      <c r="A4057" t="s">
        <v>19</v>
      </c>
      <c r="B4057" t="s">
        <v>21</v>
      </c>
      <c r="C4057" s="1">
        <v>45833</v>
      </c>
      <c r="D4057">
        <f t="shared" si="292"/>
        <v>25</v>
      </c>
      <c r="E4057">
        <f t="shared" si="293"/>
        <v>6</v>
      </c>
      <c r="F4057">
        <f t="shared" si="294"/>
        <v>2025</v>
      </c>
      <c r="G4057" t="s">
        <v>36</v>
      </c>
      <c r="H4057" s="98">
        <v>12504</v>
      </c>
      <c r="I4057" s="29">
        <v>18780.169999999998</v>
      </c>
      <c r="J4057" s="12" t="s">
        <v>31</v>
      </c>
      <c r="K4057" s="76">
        <f t="shared" si="291"/>
        <v>18780.169999999998</v>
      </c>
      <c r="L4057">
        <v>1</v>
      </c>
      <c r="M4057" s="29">
        <v>0</v>
      </c>
      <c r="N4057" t="s">
        <v>32</v>
      </c>
      <c r="O4057" t="s">
        <v>33</v>
      </c>
      <c r="P4057" t="s">
        <v>34</v>
      </c>
      <c r="Q4057" t="s">
        <v>34</v>
      </c>
      <c r="R4057" t="s">
        <v>34</v>
      </c>
      <c r="S4057" t="s">
        <v>34</v>
      </c>
      <c r="T4057" s="117">
        <v>0</v>
      </c>
    </row>
    <row r="4058" spans="1:21" x14ac:dyDescent="0.35">
      <c r="A4058" t="s">
        <v>19</v>
      </c>
      <c r="B4058" t="s">
        <v>21</v>
      </c>
      <c r="C4058" s="1">
        <v>45833</v>
      </c>
      <c r="D4058">
        <f t="shared" si="292"/>
        <v>25</v>
      </c>
      <c r="E4058">
        <f t="shared" si="293"/>
        <v>6</v>
      </c>
      <c r="F4058">
        <f t="shared" si="294"/>
        <v>2025</v>
      </c>
      <c r="G4058" t="s">
        <v>36</v>
      </c>
      <c r="H4058" s="98">
        <v>12749</v>
      </c>
      <c r="I4058" s="29">
        <v>86</v>
      </c>
      <c r="J4058" s="12" t="s">
        <v>31</v>
      </c>
      <c r="K4058" s="76">
        <f t="shared" si="291"/>
        <v>86</v>
      </c>
      <c r="L4058">
        <v>1</v>
      </c>
      <c r="M4058" s="29">
        <v>0</v>
      </c>
      <c r="N4058" t="s">
        <v>32</v>
      </c>
      <c r="O4058" t="s">
        <v>33</v>
      </c>
      <c r="P4058" t="s">
        <v>34</v>
      </c>
      <c r="Q4058" t="s">
        <v>34</v>
      </c>
      <c r="R4058" t="s">
        <v>34</v>
      </c>
      <c r="S4058" t="s">
        <v>34</v>
      </c>
      <c r="T4058" s="117">
        <v>0</v>
      </c>
    </row>
    <row r="4059" spans="1:21" x14ac:dyDescent="0.35">
      <c r="A4059" t="s">
        <v>19</v>
      </c>
      <c r="B4059" t="s">
        <v>25</v>
      </c>
      <c r="C4059" s="1">
        <v>45833</v>
      </c>
      <c r="D4059">
        <f t="shared" si="292"/>
        <v>25</v>
      </c>
      <c r="E4059">
        <f t="shared" si="293"/>
        <v>6</v>
      </c>
      <c r="F4059">
        <f t="shared" si="294"/>
        <v>2025</v>
      </c>
      <c r="G4059" t="s">
        <v>39</v>
      </c>
      <c r="H4059" s="98">
        <v>12174</v>
      </c>
      <c r="I4059" s="29">
        <v>35.1</v>
      </c>
      <c r="J4059" s="12" t="s">
        <v>31</v>
      </c>
      <c r="K4059" s="76">
        <f t="shared" si="291"/>
        <v>35.1</v>
      </c>
      <c r="L4059">
        <v>1</v>
      </c>
      <c r="M4059" s="29">
        <v>0</v>
      </c>
      <c r="N4059" t="s">
        <v>32</v>
      </c>
      <c r="O4059" t="s">
        <v>33</v>
      </c>
      <c r="P4059" t="s">
        <v>34</v>
      </c>
      <c r="Q4059" t="s">
        <v>34</v>
      </c>
      <c r="R4059" t="s">
        <v>34</v>
      </c>
      <c r="S4059" t="s">
        <v>34</v>
      </c>
      <c r="T4059" s="117">
        <v>0</v>
      </c>
    </row>
    <row r="4060" spans="1:21" x14ac:dyDescent="0.35">
      <c r="A4060" t="s">
        <v>19</v>
      </c>
      <c r="B4060" t="s">
        <v>21</v>
      </c>
      <c r="C4060" s="1">
        <v>45833</v>
      </c>
      <c r="D4060">
        <f t="shared" si="292"/>
        <v>25</v>
      </c>
      <c r="E4060">
        <f t="shared" si="293"/>
        <v>6</v>
      </c>
      <c r="F4060">
        <f t="shared" si="294"/>
        <v>2025</v>
      </c>
      <c r="G4060" t="s">
        <v>39</v>
      </c>
      <c r="H4060" s="98">
        <v>12444</v>
      </c>
      <c r="I4060" s="29">
        <v>18</v>
      </c>
      <c r="J4060" s="12" t="s">
        <v>31</v>
      </c>
      <c r="K4060" s="76">
        <f t="shared" si="291"/>
        <v>18</v>
      </c>
      <c r="L4060">
        <v>1</v>
      </c>
      <c r="M4060" s="29">
        <v>0</v>
      </c>
      <c r="N4060" t="s">
        <v>32</v>
      </c>
      <c r="O4060" t="s">
        <v>33</v>
      </c>
      <c r="P4060" t="s">
        <v>34</v>
      </c>
      <c r="Q4060" t="s">
        <v>34</v>
      </c>
      <c r="R4060" t="s">
        <v>34</v>
      </c>
      <c r="S4060" t="s">
        <v>34</v>
      </c>
      <c r="T4060" s="117">
        <v>0</v>
      </c>
    </row>
    <row r="4061" spans="1:21" x14ac:dyDescent="0.35">
      <c r="A4061" t="s">
        <v>19</v>
      </c>
      <c r="B4061" t="s">
        <v>24</v>
      </c>
      <c r="C4061" s="1">
        <v>45833</v>
      </c>
      <c r="D4061">
        <f t="shared" si="292"/>
        <v>25</v>
      </c>
      <c r="E4061">
        <f t="shared" si="293"/>
        <v>6</v>
      </c>
      <c r="F4061">
        <f t="shared" si="294"/>
        <v>2025</v>
      </c>
      <c r="G4061" t="s">
        <v>39</v>
      </c>
      <c r="H4061" s="98">
        <v>12546</v>
      </c>
      <c r="I4061" s="29">
        <v>39.799999999999997</v>
      </c>
      <c r="J4061" s="12" t="s">
        <v>31</v>
      </c>
      <c r="K4061" s="76">
        <f t="shared" si="291"/>
        <v>39.799999999999997</v>
      </c>
      <c r="L4061">
        <v>1</v>
      </c>
      <c r="M4061" s="29">
        <v>0</v>
      </c>
      <c r="N4061" t="s">
        <v>32</v>
      </c>
      <c r="O4061" t="s">
        <v>33</v>
      </c>
      <c r="P4061" t="s">
        <v>34</v>
      </c>
      <c r="Q4061" t="s">
        <v>34</v>
      </c>
      <c r="R4061" t="s">
        <v>34</v>
      </c>
      <c r="S4061" t="s">
        <v>34</v>
      </c>
      <c r="T4061" s="117">
        <v>0</v>
      </c>
    </row>
    <row r="4062" spans="1:21" x14ac:dyDescent="0.35">
      <c r="A4062" t="s">
        <v>19</v>
      </c>
      <c r="B4062" t="s">
        <v>21</v>
      </c>
      <c r="C4062" s="1">
        <v>45833</v>
      </c>
      <c r="D4062">
        <f t="shared" si="292"/>
        <v>25</v>
      </c>
      <c r="E4062">
        <f t="shared" si="293"/>
        <v>6</v>
      </c>
      <c r="F4062">
        <f t="shared" si="294"/>
        <v>2025</v>
      </c>
      <c r="G4062" t="s">
        <v>39</v>
      </c>
      <c r="H4062" s="98">
        <v>12711</v>
      </c>
      <c r="I4062" s="29">
        <v>9.5</v>
      </c>
      <c r="J4062" s="12" t="s">
        <v>31</v>
      </c>
      <c r="K4062" s="76">
        <f t="shared" si="291"/>
        <v>9.5</v>
      </c>
      <c r="L4062">
        <v>1</v>
      </c>
      <c r="M4062" s="29">
        <v>0</v>
      </c>
      <c r="N4062" t="s">
        <v>32</v>
      </c>
      <c r="O4062" t="s">
        <v>33</v>
      </c>
      <c r="P4062" t="s">
        <v>34</v>
      </c>
      <c r="Q4062" t="s">
        <v>34</v>
      </c>
      <c r="R4062" t="s">
        <v>34</v>
      </c>
      <c r="S4062" t="s">
        <v>34</v>
      </c>
      <c r="T4062" s="117">
        <v>0</v>
      </c>
    </row>
    <row r="4063" spans="1:21" x14ac:dyDescent="0.35">
      <c r="A4063" t="s">
        <v>19</v>
      </c>
      <c r="B4063" t="s">
        <v>25</v>
      </c>
      <c r="C4063" s="1">
        <v>45833</v>
      </c>
      <c r="D4063">
        <f t="shared" si="292"/>
        <v>25</v>
      </c>
      <c r="E4063">
        <f t="shared" si="293"/>
        <v>6</v>
      </c>
      <c r="F4063">
        <f t="shared" si="294"/>
        <v>2025</v>
      </c>
      <c r="G4063" t="s">
        <v>39</v>
      </c>
      <c r="H4063" s="98">
        <v>12772</v>
      </c>
      <c r="I4063" s="29">
        <v>236.84</v>
      </c>
      <c r="J4063" s="12" t="s">
        <v>31</v>
      </c>
      <c r="K4063" s="76">
        <f t="shared" si="291"/>
        <v>236.84</v>
      </c>
      <c r="L4063">
        <v>1</v>
      </c>
      <c r="M4063" s="29">
        <v>0</v>
      </c>
      <c r="N4063" t="s">
        <v>32</v>
      </c>
      <c r="O4063" t="s">
        <v>33</v>
      </c>
      <c r="P4063" t="s">
        <v>34</v>
      </c>
      <c r="Q4063" t="s">
        <v>34</v>
      </c>
      <c r="R4063" t="s">
        <v>34</v>
      </c>
      <c r="S4063" t="s">
        <v>34</v>
      </c>
      <c r="T4063" s="117">
        <v>0</v>
      </c>
    </row>
    <row r="4064" spans="1:21" x14ac:dyDescent="0.35">
      <c r="A4064" t="s">
        <v>19</v>
      </c>
      <c r="B4064" t="s">
        <v>24</v>
      </c>
      <c r="C4064" s="1">
        <v>45833</v>
      </c>
      <c r="D4064">
        <f t="shared" si="292"/>
        <v>25</v>
      </c>
      <c r="E4064">
        <f t="shared" si="293"/>
        <v>6</v>
      </c>
      <c r="F4064">
        <f t="shared" si="294"/>
        <v>2025</v>
      </c>
      <c r="G4064" t="s">
        <v>39</v>
      </c>
      <c r="H4064" s="98">
        <v>12906</v>
      </c>
      <c r="I4064" s="29">
        <v>23.4</v>
      </c>
      <c r="J4064" s="12" t="s">
        <v>31</v>
      </c>
      <c r="K4064" s="76">
        <f t="shared" si="291"/>
        <v>23.4</v>
      </c>
      <c r="L4064">
        <v>1</v>
      </c>
      <c r="M4064" s="29">
        <v>0</v>
      </c>
      <c r="N4064" t="s">
        <v>32</v>
      </c>
      <c r="O4064" t="s">
        <v>33</v>
      </c>
      <c r="P4064" t="s">
        <v>34</v>
      </c>
      <c r="Q4064" t="s">
        <v>34</v>
      </c>
      <c r="R4064" t="s">
        <v>34</v>
      </c>
      <c r="S4064" t="s">
        <v>34</v>
      </c>
      <c r="T4064" s="117">
        <v>0</v>
      </c>
    </row>
    <row r="4065" spans="1:20" x14ac:dyDescent="0.35">
      <c r="A4065" t="s">
        <v>19</v>
      </c>
      <c r="B4065" t="s">
        <v>27</v>
      </c>
      <c r="C4065" s="1">
        <v>45833</v>
      </c>
      <c r="D4065">
        <f t="shared" si="292"/>
        <v>25</v>
      </c>
      <c r="E4065">
        <f t="shared" si="293"/>
        <v>6</v>
      </c>
      <c r="F4065">
        <f t="shared" si="294"/>
        <v>2025</v>
      </c>
      <c r="G4065" t="s">
        <v>100</v>
      </c>
      <c r="H4065" s="98">
        <v>12614</v>
      </c>
      <c r="I4065" s="29">
        <v>174722.17</v>
      </c>
      <c r="J4065" s="12" t="s">
        <v>31</v>
      </c>
      <c r="K4065" s="76">
        <f t="shared" si="291"/>
        <v>174722.17</v>
      </c>
      <c r="L4065">
        <v>1</v>
      </c>
      <c r="M4065" s="29">
        <v>0</v>
      </c>
      <c r="N4065" t="s">
        <v>32</v>
      </c>
      <c r="O4065" t="s">
        <v>33</v>
      </c>
      <c r="P4065" t="s">
        <v>34</v>
      </c>
      <c r="Q4065" t="s">
        <v>34</v>
      </c>
      <c r="R4065" t="s">
        <v>34</v>
      </c>
      <c r="S4065" t="s">
        <v>34</v>
      </c>
      <c r="T4065" s="117">
        <v>0</v>
      </c>
    </row>
    <row r="4066" spans="1:20" x14ac:dyDescent="0.35">
      <c r="A4066" t="s">
        <v>19</v>
      </c>
      <c r="B4066" t="s">
        <v>25</v>
      </c>
      <c r="C4066" s="1">
        <v>45833</v>
      </c>
      <c r="D4066">
        <f t="shared" si="292"/>
        <v>25</v>
      </c>
      <c r="E4066">
        <f t="shared" si="293"/>
        <v>6</v>
      </c>
      <c r="F4066">
        <f t="shared" si="294"/>
        <v>2025</v>
      </c>
      <c r="G4066" t="s">
        <v>80</v>
      </c>
      <c r="H4066" s="98">
        <v>13061</v>
      </c>
      <c r="I4066" s="29">
        <v>33711</v>
      </c>
      <c r="J4066" s="12" t="s">
        <v>31</v>
      </c>
      <c r="K4066" s="76">
        <f t="shared" si="291"/>
        <v>33711</v>
      </c>
      <c r="L4066">
        <v>1</v>
      </c>
      <c r="M4066" s="29">
        <v>0</v>
      </c>
      <c r="N4066" t="s">
        <v>42</v>
      </c>
      <c r="O4066" t="s">
        <v>33</v>
      </c>
      <c r="P4066" t="s">
        <v>34</v>
      </c>
      <c r="Q4066" t="s">
        <v>34</v>
      </c>
      <c r="R4066" t="s">
        <v>34</v>
      </c>
      <c r="S4066" t="s">
        <v>34</v>
      </c>
      <c r="T4066" s="117">
        <v>0</v>
      </c>
    </row>
    <row r="4067" spans="1:20" x14ac:dyDescent="0.35">
      <c r="A4067" t="s">
        <v>19</v>
      </c>
      <c r="B4067" t="s">
        <v>25</v>
      </c>
      <c r="C4067" s="1">
        <v>45833</v>
      </c>
      <c r="D4067">
        <f t="shared" si="292"/>
        <v>25</v>
      </c>
      <c r="E4067">
        <f t="shared" si="293"/>
        <v>6</v>
      </c>
      <c r="F4067">
        <f t="shared" si="294"/>
        <v>2025</v>
      </c>
      <c r="G4067" t="s">
        <v>93</v>
      </c>
      <c r="H4067" s="98">
        <v>12667</v>
      </c>
      <c r="I4067" s="29">
        <v>1744.71</v>
      </c>
      <c r="J4067" s="12" t="s">
        <v>31</v>
      </c>
      <c r="K4067" s="76">
        <f t="shared" si="291"/>
        <v>1744.71</v>
      </c>
      <c r="L4067">
        <v>1</v>
      </c>
      <c r="M4067" s="29">
        <v>0</v>
      </c>
      <c r="N4067" t="s">
        <v>32</v>
      </c>
      <c r="O4067" t="s">
        <v>33</v>
      </c>
      <c r="P4067" t="s">
        <v>34</v>
      </c>
      <c r="Q4067" t="s">
        <v>34</v>
      </c>
      <c r="R4067" t="s">
        <v>34</v>
      </c>
      <c r="S4067" t="s">
        <v>34</v>
      </c>
      <c r="T4067" s="117">
        <v>0</v>
      </c>
    </row>
    <row r="4068" spans="1:20" x14ac:dyDescent="0.35">
      <c r="A4068" t="s">
        <v>19</v>
      </c>
      <c r="B4068" t="s">
        <v>25</v>
      </c>
      <c r="C4068" s="1">
        <v>45833</v>
      </c>
      <c r="D4068">
        <f t="shared" si="292"/>
        <v>25</v>
      </c>
      <c r="E4068">
        <f t="shared" si="293"/>
        <v>6</v>
      </c>
      <c r="F4068">
        <f t="shared" si="294"/>
        <v>2025</v>
      </c>
      <c r="G4068" t="s">
        <v>285</v>
      </c>
      <c r="H4068" s="98">
        <v>12361</v>
      </c>
      <c r="I4068" s="29">
        <v>442.69</v>
      </c>
      <c r="J4068" s="12" t="s">
        <v>31</v>
      </c>
      <c r="K4068" s="76">
        <f t="shared" si="291"/>
        <v>442.69</v>
      </c>
      <c r="L4068">
        <v>1</v>
      </c>
      <c r="M4068" s="29">
        <v>0</v>
      </c>
      <c r="N4068" t="s">
        <v>32</v>
      </c>
      <c r="O4068" t="s">
        <v>33</v>
      </c>
      <c r="P4068" t="s">
        <v>34</v>
      </c>
      <c r="Q4068" t="s">
        <v>34</v>
      </c>
      <c r="R4068" t="s">
        <v>34</v>
      </c>
      <c r="S4068" t="s">
        <v>34</v>
      </c>
      <c r="T4068" s="117">
        <v>0</v>
      </c>
    </row>
    <row r="4069" spans="1:20" x14ac:dyDescent="0.35">
      <c r="A4069" t="s">
        <v>19</v>
      </c>
      <c r="B4069" t="s">
        <v>21</v>
      </c>
      <c r="C4069" s="1">
        <v>45833</v>
      </c>
      <c r="D4069">
        <f t="shared" si="292"/>
        <v>25</v>
      </c>
      <c r="E4069">
        <f t="shared" si="293"/>
        <v>6</v>
      </c>
      <c r="F4069">
        <f t="shared" si="294"/>
        <v>2025</v>
      </c>
      <c r="G4069" t="s">
        <v>37</v>
      </c>
      <c r="H4069" s="98">
        <v>12529</v>
      </c>
      <c r="I4069" s="29">
        <v>39.200000000000003</v>
      </c>
      <c r="J4069" s="12" t="s">
        <v>31</v>
      </c>
      <c r="K4069" s="76">
        <f t="shared" si="291"/>
        <v>39.200000000000003</v>
      </c>
      <c r="L4069">
        <v>1</v>
      </c>
      <c r="M4069" s="29">
        <v>0</v>
      </c>
      <c r="N4069" t="s">
        <v>32</v>
      </c>
      <c r="O4069" t="s">
        <v>33</v>
      </c>
      <c r="P4069" t="s">
        <v>34</v>
      </c>
      <c r="Q4069" t="s">
        <v>34</v>
      </c>
      <c r="R4069" t="s">
        <v>34</v>
      </c>
      <c r="S4069" t="s">
        <v>34</v>
      </c>
      <c r="T4069" s="117">
        <v>0</v>
      </c>
    </row>
    <row r="4070" spans="1:20" x14ac:dyDescent="0.35">
      <c r="A4070" t="s">
        <v>19</v>
      </c>
      <c r="B4070" t="s">
        <v>21</v>
      </c>
      <c r="C4070" s="1">
        <v>45833</v>
      </c>
      <c r="D4070">
        <f t="shared" si="292"/>
        <v>25</v>
      </c>
      <c r="E4070">
        <f t="shared" si="293"/>
        <v>6</v>
      </c>
      <c r="F4070">
        <f t="shared" si="294"/>
        <v>2025</v>
      </c>
      <c r="G4070" t="s">
        <v>37</v>
      </c>
      <c r="H4070" s="98">
        <v>12248</v>
      </c>
      <c r="I4070" s="29">
        <v>42243.65</v>
      </c>
      <c r="J4070" s="12" t="s">
        <v>31</v>
      </c>
      <c r="K4070" s="76">
        <f t="shared" si="291"/>
        <v>42243.65</v>
      </c>
      <c r="L4070">
        <v>1</v>
      </c>
      <c r="M4070" s="29">
        <v>0</v>
      </c>
      <c r="N4070" t="s">
        <v>32</v>
      </c>
      <c r="O4070" t="s">
        <v>33</v>
      </c>
      <c r="P4070" t="s">
        <v>34</v>
      </c>
      <c r="Q4070" t="s">
        <v>34</v>
      </c>
      <c r="R4070" t="s">
        <v>34</v>
      </c>
      <c r="S4070" t="s">
        <v>34</v>
      </c>
      <c r="T4070" s="117">
        <v>0</v>
      </c>
    </row>
    <row r="4071" spans="1:20" x14ac:dyDescent="0.35">
      <c r="A4071" t="s">
        <v>19</v>
      </c>
      <c r="B4071" t="s">
        <v>25</v>
      </c>
      <c r="C4071" s="1">
        <v>45833</v>
      </c>
      <c r="D4071">
        <f t="shared" si="292"/>
        <v>25</v>
      </c>
      <c r="E4071">
        <f t="shared" si="293"/>
        <v>6</v>
      </c>
      <c r="F4071">
        <f t="shared" si="294"/>
        <v>2025</v>
      </c>
      <c r="G4071" t="s">
        <v>37</v>
      </c>
      <c r="H4071" s="98">
        <v>12248</v>
      </c>
      <c r="I4071" s="29">
        <v>5400.8</v>
      </c>
      <c r="J4071" s="12" t="s">
        <v>31</v>
      </c>
      <c r="K4071" s="76">
        <f t="shared" si="291"/>
        <v>5400.8</v>
      </c>
      <c r="L4071">
        <v>1</v>
      </c>
      <c r="M4071" s="29">
        <v>0</v>
      </c>
      <c r="N4071" t="s">
        <v>32</v>
      </c>
      <c r="O4071" t="s">
        <v>33</v>
      </c>
      <c r="P4071" t="s">
        <v>34</v>
      </c>
      <c r="Q4071" t="s">
        <v>34</v>
      </c>
      <c r="R4071" t="s">
        <v>34</v>
      </c>
      <c r="S4071" t="s">
        <v>34</v>
      </c>
      <c r="T4071" s="117">
        <v>0</v>
      </c>
    </row>
    <row r="4072" spans="1:20" x14ac:dyDescent="0.35">
      <c r="A4072" t="s">
        <v>20</v>
      </c>
      <c r="B4072" t="s">
        <v>25</v>
      </c>
      <c r="C4072" s="1">
        <v>45833</v>
      </c>
      <c r="D4072">
        <f t="shared" si="292"/>
        <v>25</v>
      </c>
      <c r="E4072">
        <f t="shared" si="293"/>
        <v>6</v>
      </c>
      <c r="F4072">
        <f t="shared" si="294"/>
        <v>2025</v>
      </c>
      <c r="G4072" t="s">
        <v>49</v>
      </c>
      <c r="H4072" s="98">
        <v>12289</v>
      </c>
      <c r="I4072" s="29">
        <v>51247.19</v>
      </c>
      <c r="J4072" s="12" t="s">
        <v>31</v>
      </c>
      <c r="K4072" s="76">
        <f t="shared" si="291"/>
        <v>51247.19</v>
      </c>
      <c r="L4072">
        <v>1</v>
      </c>
      <c r="M4072" s="29">
        <v>0</v>
      </c>
      <c r="N4072" t="s">
        <v>32</v>
      </c>
      <c r="O4072" t="s">
        <v>33</v>
      </c>
      <c r="P4072" t="s">
        <v>34</v>
      </c>
      <c r="Q4072" t="s">
        <v>34</v>
      </c>
      <c r="R4072" t="s">
        <v>34</v>
      </c>
      <c r="S4072" t="s">
        <v>34</v>
      </c>
      <c r="T4072" s="117">
        <v>0</v>
      </c>
    </row>
    <row r="4073" spans="1:20" x14ac:dyDescent="0.35">
      <c r="A4073" t="s">
        <v>20</v>
      </c>
      <c r="B4073" t="s">
        <v>21</v>
      </c>
      <c r="C4073" s="1">
        <v>45833</v>
      </c>
      <c r="D4073">
        <f t="shared" si="292"/>
        <v>25</v>
      </c>
      <c r="E4073">
        <f t="shared" si="293"/>
        <v>6</v>
      </c>
      <c r="F4073">
        <f t="shared" si="294"/>
        <v>2025</v>
      </c>
      <c r="G4073" t="s">
        <v>82</v>
      </c>
      <c r="H4073" s="98">
        <v>11904</v>
      </c>
      <c r="I4073" s="29">
        <v>3078</v>
      </c>
      <c r="J4073" s="12" t="s">
        <v>31</v>
      </c>
      <c r="K4073" s="76">
        <f t="shared" si="291"/>
        <v>3078</v>
      </c>
      <c r="L4073">
        <v>1</v>
      </c>
      <c r="M4073" s="29">
        <v>0</v>
      </c>
      <c r="N4073" t="s">
        <v>32</v>
      </c>
      <c r="O4073" t="s">
        <v>33</v>
      </c>
      <c r="P4073" t="s">
        <v>34</v>
      </c>
      <c r="Q4073" t="s">
        <v>34</v>
      </c>
      <c r="R4073" t="s">
        <v>34</v>
      </c>
      <c r="S4073" t="s">
        <v>34</v>
      </c>
      <c r="T4073" s="117">
        <v>0</v>
      </c>
    </row>
    <row r="4074" spans="1:20" x14ac:dyDescent="0.35">
      <c r="A4074" t="s">
        <v>20</v>
      </c>
      <c r="B4074" t="s">
        <v>23</v>
      </c>
      <c r="C4074" s="1">
        <v>45833</v>
      </c>
      <c r="D4074">
        <f t="shared" si="292"/>
        <v>25</v>
      </c>
      <c r="E4074">
        <f t="shared" si="293"/>
        <v>6</v>
      </c>
      <c r="F4074">
        <f t="shared" si="294"/>
        <v>2025</v>
      </c>
      <c r="G4074" t="s">
        <v>82</v>
      </c>
      <c r="H4074" s="98">
        <v>12549</v>
      </c>
      <c r="I4074" s="29">
        <v>32.299999999999997</v>
      </c>
      <c r="J4074" s="12" t="s">
        <v>31</v>
      </c>
      <c r="K4074" s="76">
        <f t="shared" si="291"/>
        <v>32.299999999999997</v>
      </c>
      <c r="L4074">
        <v>1</v>
      </c>
      <c r="M4074" s="29">
        <v>0</v>
      </c>
      <c r="N4074" t="s">
        <v>32</v>
      </c>
      <c r="O4074" t="s">
        <v>33</v>
      </c>
      <c r="P4074" t="s">
        <v>34</v>
      </c>
      <c r="Q4074" t="s">
        <v>34</v>
      </c>
      <c r="R4074" t="s">
        <v>34</v>
      </c>
      <c r="S4074" t="s">
        <v>34</v>
      </c>
      <c r="T4074" s="117">
        <v>0</v>
      </c>
    </row>
    <row r="4075" spans="1:20" x14ac:dyDescent="0.35">
      <c r="A4075" t="s">
        <v>20</v>
      </c>
      <c r="B4075" t="s">
        <v>23</v>
      </c>
      <c r="C4075" s="1">
        <v>45833</v>
      </c>
      <c r="D4075">
        <f t="shared" si="292"/>
        <v>25</v>
      </c>
      <c r="E4075">
        <f t="shared" si="293"/>
        <v>6</v>
      </c>
      <c r="F4075">
        <f t="shared" si="294"/>
        <v>2025</v>
      </c>
      <c r="G4075" t="s">
        <v>82</v>
      </c>
      <c r="H4075" s="98">
        <v>12636</v>
      </c>
      <c r="I4075" s="29">
        <v>32.299999999999997</v>
      </c>
      <c r="J4075" s="12" t="s">
        <v>31</v>
      </c>
      <c r="K4075" s="76">
        <f t="shared" si="291"/>
        <v>32.299999999999997</v>
      </c>
      <c r="L4075">
        <v>1</v>
      </c>
      <c r="M4075" s="29">
        <v>0</v>
      </c>
      <c r="N4075" t="s">
        <v>32</v>
      </c>
      <c r="O4075" t="s">
        <v>33</v>
      </c>
      <c r="P4075" t="s">
        <v>34</v>
      </c>
      <c r="Q4075" t="s">
        <v>34</v>
      </c>
      <c r="R4075" t="s">
        <v>34</v>
      </c>
      <c r="S4075" t="s">
        <v>34</v>
      </c>
      <c r="T4075" s="117">
        <v>0</v>
      </c>
    </row>
    <row r="4076" spans="1:20" x14ac:dyDescent="0.35">
      <c r="A4076" t="s">
        <v>20</v>
      </c>
      <c r="B4076" t="s">
        <v>21</v>
      </c>
      <c r="C4076" s="1">
        <v>45833</v>
      </c>
      <c r="D4076">
        <f t="shared" si="292"/>
        <v>25</v>
      </c>
      <c r="E4076">
        <f t="shared" si="293"/>
        <v>6</v>
      </c>
      <c r="F4076">
        <f t="shared" si="294"/>
        <v>2025</v>
      </c>
      <c r="G4076" t="s">
        <v>45</v>
      </c>
      <c r="H4076" s="98">
        <v>12660</v>
      </c>
      <c r="I4076" s="29">
        <v>21355.46</v>
      </c>
      <c r="J4076" s="12" t="s">
        <v>31</v>
      </c>
      <c r="K4076" s="76">
        <f t="shared" si="291"/>
        <v>21355.46</v>
      </c>
      <c r="L4076">
        <v>1</v>
      </c>
      <c r="M4076" s="29">
        <v>0</v>
      </c>
      <c r="N4076" t="s">
        <v>32</v>
      </c>
      <c r="O4076" t="s">
        <v>33</v>
      </c>
      <c r="P4076" t="s">
        <v>34</v>
      </c>
      <c r="Q4076" t="s">
        <v>34</v>
      </c>
      <c r="R4076" t="s">
        <v>34</v>
      </c>
      <c r="S4076" t="s">
        <v>34</v>
      </c>
      <c r="T4076" s="117">
        <v>0</v>
      </c>
    </row>
    <row r="4077" spans="1:20" x14ac:dyDescent="0.35">
      <c r="A4077" t="s">
        <v>20</v>
      </c>
      <c r="B4077" t="s">
        <v>24</v>
      </c>
      <c r="C4077" s="1">
        <v>45833</v>
      </c>
      <c r="D4077">
        <f t="shared" si="292"/>
        <v>25</v>
      </c>
      <c r="E4077">
        <f t="shared" si="293"/>
        <v>6</v>
      </c>
      <c r="F4077">
        <f t="shared" si="294"/>
        <v>2025</v>
      </c>
      <c r="G4077" t="s">
        <v>45</v>
      </c>
      <c r="H4077" s="98">
        <v>12499</v>
      </c>
      <c r="I4077" s="29">
        <v>357.6</v>
      </c>
      <c r="J4077" s="12" t="s">
        <v>31</v>
      </c>
      <c r="K4077" s="76">
        <f t="shared" si="291"/>
        <v>357.6</v>
      </c>
      <c r="L4077">
        <v>1</v>
      </c>
      <c r="M4077" s="29">
        <v>0</v>
      </c>
      <c r="N4077" t="s">
        <v>42</v>
      </c>
      <c r="O4077" t="s">
        <v>33</v>
      </c>
      <c r="P4077" t="s">
        <v>34</v>
      </c>
      <c r="Q4077" t="s">
        <v>34</v>
      </c>
      <c r="R4077" t="s">
        <v>34</v>
      </c>
      <c r="S4077" t="s">
        <v>34</v>
      </c>
      <c r="T4077" s="117">
        <v>0</v>
      </c>
    </row>
    <row r="4078" spans="1:20" x14ac:dyDescent="0.35">
      <c r="A4078" t="s">
        <v>20</v>
      </c>
      <c r="B4078" t="s">
        <v>23</v>
      </c>
      <c r="C4078" s="1">
        <v>45833</v>
      </c>
      <c r="D4078">
        <f t="shared" si="292"/>
        <v>25</v>
      </c>
      <c r="E4078">
        <f t="shared" si="293"/>
        <v>6</v>
      </c>
      <c r="F4078">
        <f t="shared" si="294"/>
        <v>2025</v>
      </c>
      <c r="G4078" t="s">
        <v>45</v>
      </c>
      <c r="H4078" s="98">
        <v>12855</v>
      </c>
      <c r="I4078" s="29">
        <v>34</v>
      </c>
      <c r="J4078" s="12" t="s">
        <v>31</v>
      </c>
      <c r="K4078" s="76">
        <f t="shared" si="291"/>
        <v>34</v>
      </c>
      <c r="L4078">
        <v>1</v>
      </c>
      <c r="M4078" s="29">
        <v>0</v>
      </c>
      <c r="N4078" t="s">
        <v>42</v>
      </c>
      <c r="O4078" t="s">
        <v>33</v>
      </c>
      <c r="P4078" t="s">
        <v>34</v>
      </c>
      <c r="Q4078" t="s">
        <v>34</v>
      </c>
      <c r="R4078" t="s">
        <v>34</v>
      </c>
      <c r="S4078" t="s">
        <v>34</v>
      </c>
      <c r="T4078" s="117">
        <v>0</v>
      </c>
    </row>
    <row r="4079" spans="1:20" x14ac:dyDescent="0.35">
      <c r="A4079" t="s">
        <v>20</v>
      </c>
      <c r="B4079" t="s">
        <v>23</v>
      </c>
      <c r="C4079" s="1">
        <v>45833</v>
      </c>
      <c r="D4079">
        <f t="shared" si="292"/>
        <v>25</v>
      </c>
      <c r="E4079">
        <f t="shared" si="293"/>
        <v>6</v>
      </c>
      <c r="F4079">
        <f t="shared" si="294"/>
        <v>2025</v>
      </c>
      <c r="G4079" t="s">
        <v>121</v>
      </c>
      <c r="H4079" s="98">
        <v>12098</v>
      </c>
      <c r="I4079" s="29">
        <v>150</v>
      </c>
      <c r="J4079" s="12" t="s">
        <v>31</v>
      </c>
      <c r="K4079" s="76">
        <f t="shared" si="291"/>
        <v>150</v>
      </c>
      <c r="L4079">
        <v>1</v>
      </c>
      <c r="M4079" s="29">
        <v>0</v>
      </c>
      <c r="N4079" t="s">
        <v>32</v>
      </c>
      <c r="O4079" t="s">
        <v>33</v>
      </c>
      <c r="P4079" t="s">
        <v>34</v>
      </c>
      <c r="Q4079" t="s">
        <v>34</v>
      </c>
      <c r="R4079" t="s">
        <v>34</v>
      </c>
      <c r="S4079" t="s">
        <v>34</v>
      </c>
      <c r="T4079" s="117">
        <v>0</v>
      </c>
    </row>
    <row r="4080" spans="1:20" x14ac:dyDescent="0.35">
      <c r="A4080" t="s">
        <v>20</v>
      </c>
      <c r="B4080" t="s">
        <v>23</v>
      </c>
      <c r="C4080" s="1">
        <v>45833</v>
      </c>
      <c r="D4080">
        <f t="shared" si="292"/>
        <v>25</v>
      </c>
      <c r="E4080">
        <f t="shared" si="293"/>
        <v>6</v>
      </c>
      <c r="F4080">
        <f t="shared" si="294"/>
        <v>2025</v>
      </c>
      <c r="G4080" t="s">
        <v>118</v>
      </c>
      <c r="H4080" s="98">
        <v>12618</v>
      </c>
      <c r="I4080" s="29">
        <v>6365.52</v>
      </c>
      <c r="J4080" s="12" t="s">
        <v>31</v>
      </c>
      <c r="K4080" s="76">
        <f t="shared" si="291"/>
        <v>6365.52</v>
      </c>
      <c r="L4080">
        <v>1</v>
      </c>
      <c r="M4080" s="29">
        <v>0</v>
      </c>
      <c r="N4080" t="s">
        <v>32</v>
      </c>
      <c r="O4080" t="s">
        <v>33</v>
      </c>
      <c r="P4080" t="s">
        <v>34</v>
      </c>
      <c r="Q4080" t="s">
        <v>34</v>
      </c>
      <c r="R4080" t="s">
        <v>34</v>
      </c>
      <c r="S4080" t="s">
        <v>34</v>
      </c>
      <c r="T4080" s="117">
        <v>0</v>
      </c>
    </row>
    <row r="4081" spans="1:20" x14ac:dyDescent="0.35">
      <c r="A4081" t="s">
        <v>20</v>
      </c>
      <c r="B4081" t="s">
        <v>21</v>
      </c>
      <c r="C4081" s="1">
        <v>45833</v>
      </c>
      <c r="D4081">
        <f t="shared" si="292"/>
        <v>25</v>
      </c>
      <c r="E4081">
        <f t="shared" si="293"/>
        <v>6</v>
      </c>
      <c r="F4081">
        <f t="shared" si="294"/>
        <v>2025</v>
      </c>
      <c r="G4081" t="s">
        <v>118</v>
      </c>
      <c r="H4081" s="98">
        <v>12618</v>
      </c>
      <c r="I4081" s="29">
        <v>4059.12</v>
      </c>
      <c r="J4081" s="12" t="s">
        <v>31</v>
      </c>
      <c r="K4081" s="76">
        <f t="shared" si="291"/>
        <v>4059.12</v>
      </c>
      <c r="L4081">
        <v>1</v>
      </c>
      <c r="M4081" s="29">
        <v>0</v>
      </c>
      <c r="N4081" t="s">
        <v>32</v>
      </c>
      <c r="O4081" t="s">
        <v>33</v>
      </c>
      <c r="P4081" t="s">
        <v>34</v>
      </c>
      <c r="Q4081" t="s">
        <v>34</v>
      </c>
      <c r="R4081" t="s">
        <v>34</v>
      </c>
      <c r="S4081" t="s">
        <v>34</v>
      </c>
      <c r="T4081" s="117">
        <v>0</v>
      </c>
    </row>
    <row r="4082" spans="1:20" x14ac:dyDescent="0.35">
      <c r="A4082" t="s">
        <v>20</v>
      </c>
      <c r="B4082" t="s">
        <v>25</v>
      </c>
      <c r="C4082" s="1">
        <v>45833</v>
      </c>
      <c r="D4082">
        <f t="shared" si="292"/>
        <v>25</v>
      </c>
      <c r="E4082">
        <f t="shared" si="293"/>
        <v>6</v>
      </c>
      <c r="F4082">
        <f t="shared" si="294"/>
        <v>2025</v>
      </c>
      <c r="G4082" t="s">
        <v>595</v>
      </c>
      <c r="H4082" s="98">
        <v>12622</v>
      </c>
      <c r="I4082" s="29">
        <v>4194.17</v>
      </c>
      <c r="J4082" s="12" t="s">
        <v>31</v>
      </c>
      <c r="K4082" s="76">
        <f t="shared" si="291"/>
        <v>4194.17</v>
      </c>
      <c r="L4082">
        <v>1</v>
      </c>
      <c r="M4082" s="29">
        <v>0</v>
      </c>
      <c r="N4082" t="s">
        <v>32</v>
      </c>
      <c r="O4082" t="s">
        <v>33</v>
      </c>
      <c r="P4082" t="s">
        <v>34</v>
      </c>
      <c r="Q4082" t="s">
        <v>34</v>
      </c>
      <c r="R4082" t="s">
        <v>34</v>
      </c>
      <c r="S4082" t="s">
        <v>34</v>
      </c>
      <c r="T4082" s="117">
        <v>0</v>
      </c>
    </row>
    <row r="4083" spans="1:20" x14ac:dyDescent="0.35">
      <c r="A4083" t="s">
        <v>20</v>
      </c>
      <c r="B4083" t="s">
        <v>25</v>
      </c>
      <c r="C4083" s="1">
        <v>45833</v>
      </c>
      <c r="D4083">
        <f t="shared" si="292"/>
        <v>25</v>
      </c>
      <c r="E4083">
        <f t="shared" si="293"/>
        <v>6</v>
      </c>
      <c r="F4083">
        <f t="shared" si="294"/>
        <v>2025</v>
      </c>
      <c r="G4083" t="s">
        <v>265</v>
      </c>
      <c r="H4083" s="98">
        <v>11874</v>
      </c>
      <c r="I4083" s="29">
        <v>726.53</v>
      </c>
      <c r="J4083" s="12" t="s">
        <v>31</v>
      </c>
      <c r="K4083" s="76">
        <f t="shared" si="291"/>
        <v>726.53</v>
      </c>
      <c r="L4083">
        <v>1</v>
      </c>
      <c r="M4083" s="29">
        <v>0</v>
      </c>
      <c r="N4083" t="s">
        <v>32</v>
      </c>
      <c r="O4083" t="s">
        <v>33</v>
      </c>
      <c r="P4083" t="s">
        <v>34</v>
      </c>
      <c r="Q4083" t="s">
        <v>34</v>
      </c>
      <c r="R4083" t="s">
        <v>34</v>
      </c>
      <c r="S4083" t="s">
        <v>34</v>
      </c>
      <c r="T4083" s="117">
        <v>0</v>
      </c>
    </row>
    <row r="4084" spans="1:20" x14ac:dyDescent="0.35">
      <c r="A4084" t="s">
        <v>20</v>
      </c>
      <c r="B4084" t="s">
        <v>21</v>
      </c>
      <c r="C4084" s="1">
        <v>45833</v>
      </c>
      <c r="D4084">
        <f t="shared" si="292"/>
        <v>25</v>
      </c>
      <c r="E4084">
        <f t="shared" si="293"/>
        <v>6</v>
      </c>
      <c r="F4084">
        <f t="shared" si="294"/>
        <v>2025</v>
      </c>
      <c r="G4084" t="s">
        <v>91</v>
      </c>
      <c r="H4084" s="98">
        <v>11943</v>
      </c>
      <c r="I4084" s="29">
        <v>17425.03</v>
      </c>
      <c r="J4084" s="12" t="s">
        <v>31</v>
      </c>
      <c r="K4084" s="76">
        <f t="shared" si="291"/>
        <v>17425.03</v>
      </c>
      <c r="L4084">
        <v>1</v>
      </c>
      <c r="M4084" s="29">
        <v>0</v>
      </c>
      <c r="N4084" t="s">
        <v>32</v>
      </c>
      <c r="O4084" t="s">
        <v>33</v>
      </c>
      <c r="P4084" t="s">
        <v>34</v>
      </c>
      <c r="Q4084" t="s">
        <v>34</v>
      </c>
      <c r="R4084" t="s">
        <v>34</v>
      </c>
      <c r="S4084" t="s">
        <v>34</v>
      </c>
      <c r="T4084" s="117">
        <v>0</v>
      </c>
    </row>
    <row r="4085" spans="1:20" x14ac:dyDescent="0.35">
      <c r="A4085" t="s">
        <v>20</v>
      </c>
      <c r="B4085" t="s">
        <v>21</v>
      </c>
      <c r="C4085" s="1">
        <v>45833</v>
      </c>
      <c r="D4085">
        <f t="shared" si="292"/>
        <v>25</v>
      </c>
      <c r="E4085">
        <f t="shared" si="293"/>
        <v>6</v>
      </c>
      <c r="F4085">
        <f t="shared" si="294"/>
        <v>2025</v>
      </c>
      <c r="G4085" t="s">
        <v>91</v>
      </c>
      <c r="H4085" s="98">
        <v>12516</v>
      </c>
      <c r="I4085" s="29">
        <v>6808.88</v>
      </c>
      <c r="J4085" s="12" t="s">
        <v>31</v>
      </c>
      <c r="K4085" s="76">
        <f t="shared" si="291"/>
        <v>6808.88</v>
      </c>
      <c r="L4085">
        <v>1</v>
      </c>
      <c r="M4085" s="29">
        <v>0</v>
      </c>
      <c r="N4085" t="s">
        <v>32</v>
      </c>
      <c r="O4085" t="s">
        <v>33</v>
      </c>
      <c r="P4085" t="s">
        <v>34</v>
      </c>
      <c r="Q4085" t="s">
        <v>34</v>
      </c>
      <c r="R4085" t="s">
        <v>34</v>
      </c>
      <c r="S4085" t="s">
        <v>34</v>
      </c>
      <c r="T4085" s="117">
        <v>0</v>
      </c>
    </row>
    <row r="4086" spans="1:20" x14ac:dyDescent="0.35">
      <c r="A4086" t="s">
        <v>20</v>
      </c>
      <c r="B4086" t="s">
        <v>25</v>
      </c>
      <c r="C4086" s="1">
        <v>45833</v>
      </c>
      <c r="D4086">
        <f t="shared" si="292"/>
        <v>25</v>
      </c>
      <c r="E4086">
        <f t="shared" si="293"/>
        <v>6</v>
      </c>
      <c r="F4086">
        <f t="shared" si="294"/>
        <v>2025</v>
      </c>
      <c r="G4086" t="s">
        <v>321</v>
      </c>
      <c r="H4086" s="98">
        <v>12547</v>
      </c>
      <c r="I4086" s="29">
        <v>240</v>
      </c>
      <c r="J4086" s="12" t="s">
        <v>31</v>
      </c>
      <c r="K4086" s="76">
        <f t="shared" si="291"/>
        <v>240</v>
      </c>
      <c r="L4086">
        <v>1</v>
      </c>
      <c r="M4086" s="29">
        <v>0</v>
      </c>
      <c r="N4086" t="s">
        <v>42</v>
      </c>
      <c r="O4086" t="s">
        <v>33</v>
      </c>
      <c r="P4086" t="s">
        <v>34</v>
      </c>
      <c r="Q4086" t="s">
        <v>34</v>
      </c>
      <c r="R4086" t="s">
        <v>34</v>
      </c>
      <c r="S4086" t="s">
        <v>34</v>
      </c>
      <c r="T4086" s="117">
        <v>0</v>
      </c>
    </row>
    <row r="4087" spans="1:20" x14ac:dyDescent="0.35">
      <c r="A4087" t="s">
        <v>20</v>
      </c>
      <c r="B4087" t="s">
        <v>24</v>
      </c>
      <c r="C4087" s="1">
        <v>45833</v>
      </c>
      <c r="D4087">
        <f t="shared" si="292"/>
        <v>25</v>
      </c>
      <c r="E4087">
        <f t="shared" si="293"/>
        <v>6</v>
      </c>
      <c r="F4087">
        <f t="shared" si="294"/>
        <v>2025</v>
      </c>
      <c r="G4087" t="s">
        <v>321</v>
      </c>
      <c r="H4087" s="98">
        <v>12547</v>
      </c>
      <c r="I4087" s="29">
        <v>444</v>
      </c>
      <c r="J4087" s="12" t="s">
        <v>31</v>
      </c>
      <c r="K4087" s="76">
        <f t="shared" si="291"/>
        <v>444</v>
      </c>
      <c r="L4087">
        <v>1</v>
      </c>
      <c r="M4087" s="29">
        <v>0</v>
      </c>
      <c r="N4087" t="s">
        <v>42</v>
      </c>
      <c r="O4087" t="s">
        <v>33</v>
      </c>
      <c r="P4087" t="s">
        <v>34</v>
      </c>
      <c r="Q4087" t="s">
        <v>34</v>
      </c>
      <c r="R4087" t="s">
        <v>34</v>
      </c>
      <c r="S4087" t="s">
        <v>34</v>
      </c>
      <c r="T4087" s="117">
        <v>0</v>
      </c>
    </row>
    <row r="4088" spans="1:20" x14ac:dyDescent="0.35">
      <c r="A4088" t="s">
        <v>20</v>
      </c>
      <c r="B4088" t="s">
        <v>24</v>
      </c>
      <c r="C4088" s="1">
        <v>45833</v>
      </c>
      <c r="D4088">
        <f t="shared" si="292"/>
        <v>25</v>
      </c>
      <c r="E4088">
        <f t="shared" si="293"/>
        <v>6</v>
      </c>
      <c r="F4088">
        <f t="shared" si="294"/>
        <v>2025</v>
      </c>
      <c r="G4088" t="s">
        <v>321</v>
      </c>
      <c r="H4088" s="98">
        <v>12548</v>
      </c>
      <c r="I4088" s="29">
        <v>21000</v>
      </c>
      <c r="J4088" s="12" t="s">
        <v>31</v>
      </c>
      <c r="K4088" s="76">
        <f t="shared" si="291"/>
        <v>21000</v>
      </c>
      <c r="L4088">
        <v>1</v>
      </c>
      <c r="M4088" s="29">
        <v>0</v>
      </c>
      <c r="N4088" t="s">
        <v>42</v>
      </c>
      <c r="O4088" t="s">
        <v>33</v>
      </c>
      <c r="P4088" t="s">
        <v>34</v>
      </c>
      <c r="Q4088" t="s">
        <v>34</v>
      </c>
      <c r="R4088" t="s">
        <v>34</v>
      </c>
      <c r="S4088" t="s">
        <v>34</v>
      </c>
      <c r="T4088" s="117">
        <v>0</v>
      </c>
    </row>
    <row r="4089" spans="1:20" x14ac:dyDescent="0.35">
      <c r="A4089" t="s">
        <v>20</v>
      </c>
      <c r="B4089" t="s">
        <v>21</v>
      </c>
      <c r="C4089" s="1">
        <v>45833</v>
      </c>
      <c r="D4089">
        <f t="shared" si="292"/>
        <v>25</v>
      </c>
      <c r="E4089">
        <f t="shared" si="293"/>
        <v>6</v>
      </c>
      <c r="F4089">
        <f t="shared" si="294"/>
        <v>2025</v>
      </c>
      <c r="G4089" t="s">
        <v>209</v>
      </c>
      <c r="H4089" s="98">
        <v>12339</v>
      </c>
      <c r="I4089" s="29">
        <v>224.36</v>
      </c>
      <c r="J4089" s="12" t="s">
        <v>31</v>
      </c>
      <c r="K4089" s="76">
        <f t="shared" si="291"/>
        <v>224.36</v>
      </c>
      <c r="L4089">
        <v>1</v>
      </c>
      <c r="M4089" s="29">
        <v>0</v>
      </c>
      <c r="N4089" t="s">
        <v>32</v>
      </c>
      <c r="O4089" t="s">
        <v>33</v>
      </c>
      <c r="P4089" t="s">
        <v>34</v>
      </c>
      <c r="Q4089" t="s">
        <v>34</v>
      </c>
      <c r="R4089" t="s">
        <v>34</v>
      </c>
      <c r="S4089" t="s">
        <v>34</v>
      </c>
      <c r="T4089" s="117">
        <v>0</v>
      </c>
    </row>
    <row r="4090" spans="1:20" x14ac:dyDescent="0.35">
      <c r="A4090" t="s">
        <v>20</v>
      </c>
      <c r="B4090" t="s">
        <v>21</v>
      </c>
      <c r="C4090" s="1">
        <v>45833</v>
      </c>
      <c r="D4090">
        <f t="shared" si="292"/>
        <v>25</v>
      </c>
      <c r="E4090">
        <f t="shared" si="293"/>
        <v>6</v>
      </c>
      <c r="F4090">
        <f t="shared" si="294"/>
        <v>2025</v>
      </c>
      <c r="G4090" t="s">
        <v>209</v>
      </c>
      <c r="H4090" s="98">
        <v>12340</v>
      </c>
      <c r="I4090" s="29">
        <v>14661.13</v>
      </c>
      <c r="J4090" s="12" t="s">
        <v>31</v>
      </c>
      <c r="K4090" s="76">
        <f t="shared" si="291"/>
        <v>14661.13</v>
      </c>
      <c r="L4090">
        <v>1</v>
      </c>
      <c r="M4090" s="29">
        <v>0</v>
      </c>
      <c r="N4090" t="s">
        <v>32</v>
      </c>
      <c r="O4090" t="s">
        <v>33</v>
      </c>
      <c r="P4090" t="s">
        <v>34</v>
      </c>
      <c r="Q4090" t="s">
        <v>34</v>
      </c>
      <c r="R4090" t="s">
        <v>34</v>
      </c>
      <c r="S4090" t="s">
        <v>34</v>
      </c>
      <c r="T4090" s="117">
        <v>0</v>
      </c>
    </row>
    <row r="4091" spans="1:20" x14ac:dyDescent="0.35">
      <c r="A4091" t="s">
        <v>20</v>
      </c>
      <c r="B4091" t="s">
        <v>25</v>
      </c>
      <c r="C4091" s="1">
        <v>45833</v>
      </c>
      <c r="D4091">
        <f t="shared" si="292"/>
        <v>25</v>
      </c>
      <c r="E4091">
        <f t="shared" si="293"/>
        <v>6</v>
      </c>
      <c r="F4091">
        <f t="shared" si="294"/>
        <v>2025</v>
      </c>
      <c r="G4091" t="s">
        <v>81</v>
      </c>
      <c r="H4091" s="98">
        <v>12662</v>
      </c>
      <c r="I4091" s="29">
        <v>33050.1</v>
      </c>
      <c r="J4091" s="12" t="s">
        <v>31</v>
      </c>
      <c r="K4091" s="76">
        <f t="shared" si="291"/>
        <v>33050.1</v>
      </c>
      <c r="L4091">
        <v>1</v>
      </c>
      <c r="M4091" s="29">
        <v>0</v>
      </c>
      <c r="N4091" t="s">
        <v>32</v>
      </c>
      <c r="O4091" t="s">
        <v>33</v>
      </c>
      <c r="P4091" t="s">
        <v>34</v>
      </c>
      <c r="Q4091" t="s">
        <v>34</v>
      </c>
      <c r="R4091" t="s">
        <v>34</v>
      </c>
      <c r="S4091" t="s">
        <v>34</v>
      </c>
      <c r="T4091" s="117">
        <v>0</v>
      </c>
    </row>
    <row r="4092" spans="1:20" x14ac:dyDescent="0.35">
      <c r="A4092" t="s">
        <v>20</v>
      </c>
      <c r="B4092" t="s">
        <v>25</v>
      </c>
      <c r="C4092" s="1">
        <v>45833</v>
      </c>
      <c r="D4092">
        <f t="shared" si="292"/>
        <v>25</v>
      </c>
      <c r="E4092">
        <f t="shared" si="293"/>
        <v>6</v>
      </c>
      <c r="F4092">
        <f t="shared" si="294"/>
        <v>2025</v>
      </c>
      <c r="G4092" t="s">
        <v>81</v>
      </c>
      <c r="H4092" s="98">
        <v>12972</v>
      </c>
      <c r="I4092" s="29">
        <v>10340</v>
      </c>
      <c r="J4092" s="12" t="s">
        <v>31</v>
      </c>
      <c r="K4092" s="76">
        <f t="shared" si="291"/>
        <v>10340</v>
      </c>
      <c r="L4092">
        <v>1</v>
      </c>
      <c r="M4092" s="29">
        <v>0</v>
      </c>
      <c r="N4092" t="s">
        <v>42</v>
      </c>
      <c r="O4092" t="s">
        <v>33</v>
      </c>
      <c r="P4092" t="s">
        <v>34</v>
      </c>
      <c r="Q4092" t="s">
        <v>34</v>
      </c>
      <c r="R4092" t="s">
        <v>34</v>
      </c>
      <c r="S4092" t="s">
        <v>34</v>
      </c>
      <c r="T4092" s="117">
        <v>0</v>
      </c>
    </row>
    <row r="4093" spans="1:20" x14ac:dyDescent="0.35">
      <c r="A4093" t="s">
        <v>20</v>
      </c>
      <c r="B4093" t="s">
        <v>24</v>
      </c>
      <c r="C4093" s="1">
        <v>45833</v>
      </c>
      <c r="D4093">
        <f t="shared" si="292"/>
        <v>25</v>
      </c>
      <c r="E4093">
        <f t="shared" si="293"/>
        <v>6</v>
      </c>
      <c r="F4093">
        <f t="shared" si="294"/>
        <v>2025</v>
      </c>
      <c r="G4093" t="s">
        <v>90</v>
      </c>
      <c r="H4093" s="98">
        <v>11079</v>
      </c>
      <c r="I4093" s="29">
        <v>4454.63</v>
      </c>
      <c r="J4093" s="12" t="s">
        <v>31</v>
      </c>
      <c r="K4093" s="76">
        <f t="shared" si="291"/>
        <v>4454.63</v>
      </c>
      <c r="L4093">
        <v>1</v>
      </c>
      <c r="M4093" s="29">
        <v>0</v>
      </c>
      <c r="N4093" t="s">
        <v>32</v>
      </c>
      <c r="O4093" t="s">
        <v>33</v>
      </c>
      <c r="P4093" t="s">
        <v>34</v>
      </c>
      <c r="Q4093" t="s">
        <v>34</v>
      </c>
      <c r="R4093" t="s">
        <v>34</v>
      </c>
      <c r="S4093" t="s">
        <v>34</v>
      </c>
      <c r="T4093" s="117">
        <v>0</v>
      </c>
    </row>
    <row r="4094" spans="1:20" x14ac:dyDescent="0.35">
      <c r="A4094" t="s">
        <v>20</v>
      </c>
      <c r="B4094" t="s">
        <v>25</v>
      </c>
      <c r="C4094" s="1">
        <v>45833</v>
      </c>
      <c r="D4094">
        <f t="shared" si="292"/>
        <v>25</v>
      </c>
      <c r="E4094">
        <f t="shared" si="293"/>
        <v>6</v>
      </c>
      <c r="F4094">
        <f t="shared" si="294"/>
        <v>2025</v>
      </c>
      <c r="G4094" t="s">
        <v>90</v>
      </c>
      <c r="H4094" s="98">
        <v>12290</v>
      </c>
      <c r="I4094" s="29">
        <v>284.41000000000003</v>
      </c>
      <c r="J4094" s="12" t="s">
        <v>31</v>
      </c>
      <c r="K4094" s="76">
        <f t="shared" si="291"/>
        <v>284.41000000000003</v>
      </c>
      <c r="L4094">
        <v>1</v>
      </c>
      <c r="M4094" s="29">
        <v>0</v>
      </c>
      <c r="N4094" t="s">
        <v>32</v>
      </c>
      <c r="O4094" t="s">
        <v>33</v>
      </c>
      <c r="P4094" t="s">
        <v>34</v>
      </c>
      <c r="Q4094" t="s">
        <v>34</v>
      </c>
      <c r="R4094" t="s">
        <v>34</v>
      </c>
      <c r="S4094" t="s">
        <v>34</v>
      </c>
      <c r="T4094" s="117">
        <v>0</v>
      </c>
    </row>
    <row r="4095" spans="1:20" x14ac:dyDescent="0.35">
      <c r="A4095" t="s">
        <v>20</v>
      </c>
      <c r="B4095" t="s">
        <v>25</v>
      </c>
      <c r="C4095" s="1">
        <v>45833</v>
      </c>
      <c r="D4095">
        <f t="shared" si="292"/>
        <v>25</v>
      </c>
      <c r="E4095">
        <f t="shared" si="293"/>
        <v>6</v>
      </c>
      <c r="F4095">
        <f t="shared" si="294"/>
        <v>2025</v>
      </c>
      <c r="G4095" t="s">
        <v>90</v>
      </c>
      <c r="H4095" s="98">
        <v>12318</v>
      </c>
      <c r="I4095" s="29">
        <v>311.16000000000003</v>
      </c>
      <c r="J4095" s="12" t="s">
        <v>31</v>
      </c>
      <c r="K4095" s="76">
        <f t="shared" si="291"/>
        <v>311.16000000000003</v>
      </c>
      <c r="L4095">
        <v>1</v>
      </c>
      <c r="M4095" s="29">
        <v>0</v>
      </c>
      <c r="N4095" t="s">
        <v>32</v>
      </c>
      <c r="O4095" t="s">
        <v>33</v>
      </c>
      <c r="P4095" t="s">
        <v>34</v>
      </c>
      <c r="Q4095" t="s">
        <v>34</v>
      </c>
      <c r="R4095" t="s">
        <v>34</v>
      </c>
      <c r="S4095" t="s">
        <v>34</v>
      </c>
      <c r="T4095" s="117">
        <v>0</v>
      </c>
    </row>
    <row r="4096" spans="1:20" x14ac:dyDescent="0.35">
      <c r="A4096" t="s">
        <v>20</v>
      </c>
      <c r="B4096" t="s">
        <v>23</v>
      </c>
      <c r="C4096" s="1">
        <v>45833</v>
      </c>
      <c r="D4096">
        <f t="shared" si="292"/>
        <v>25</v>
      </c>
      <c r="E4096">
        <f t="shared" si="293"/>
        <v>6</v>
      </c>
      <c r="F4096">
        <f t="shared" si="294"/>
        <v>2025</v>
      </c>
      <c r="G4096" t="s">
        <v>43</v>
      </c>
      <c r="H4096" s="98">
        <v>12509</v>
      </c>
      <c r="I4096" s="29">
        <v>32.9</v>
      </c>
      <c r="J4096" s="12" t="s">
        <v>31</v>
      </c>
      <c r="K4096" s="76">
        <f t="shared" si="291"/>
        <v>32.9</v>
      </c>
      <c r="L4096">
        <v>1</v>
      </c>
      <c r="M4096" s="29">
        <v>0</v>
      </c>
      <c r="N4096" t="s">
        <v>32</v>
      </c>
      <c r="O4096" t="s">
        <v>33</v>
      </c>
      <c r="P4096" t="s">
        <v>34</v>
      </c>
      <c r="Q4096" t="s">
        <v>34</v>
      </c>
      <c r="R4096" t="s">
        <v>34</v>
      </c>
      <c r="S4096" t="s">
        <v>34</v>
      </c>
      <c r="T4096" s="117">
        <v>0</v>
      </c>
    </row>
    <row r="4097" spans="1:21" x14ac:dyDescent="0.35">
      <c r="A4097" t="s">
        <v>20</v>
      </c>
      <c r="B4097" t="s">
        <v>21</v>
      </c>
      <c r="C4097" s="1">
        <v>45833</v>
      </c>
      <c r="D4097">
        <f t="shared" si="292"/>
        <v>25</v>
      </c>
      <c r="E4097">
        <f t="shared" si="293"/>
        <v>6</v>
      </c>
      <c r="F4097">
        <f t="shared" si="294"/>
        <v>2025</v>
      </c>
      <c r="G4097" t="s">
        <v>43</v>
      </c>
      <c r="H4097" s="98">
        <v>12652</v>
      </c>
      <c r="I4097" s="29">
        <v>59.2</v>
      </c>
      <c r="J4097" s="12" t="s">
        <v>31</v>
      </c>
      <c r="K4097" s="76">
        <f t="shared" si="291"/>
        <v>59.2</v>
      </c>
      <c r="L4097">
        <v>1</v>
      </c>
      <c r="M4097" s="29">
        <v>0</v>
      </c>
      <c r="N4097" t="s">
        <v>32</v>
      </c>
      <c r="O4097" t="s">
        <v>33</v>
      </c>
      <c r="P4097" t="s">
        <v>34</v>
      </c>
      <c r="Q4097" t="s">
        <v>34</v>
      </c>
      <c r="R4097" t="s">
        <v>34</v>
      </c>
      <c r="S4097" t="s">
        <v>34</v>
      </c>
      <c r="T4097" s="117">
        <v>0</v>
      </c>
    </row>
    <row r="4098" spans="1:21" x14ac:dyDescent="0.35">
      <c r="A4098" t="s">
        <v>20</v>
      </c>
      <c r="B4098" t="s">
        <v>23</v>
      </c>
      <c r="C4098" s="1">
        <v>45833</v>
      </c>
      <c r="D4098">
        <f t="shared" si="292"/>
        <v>25</v>
      </c>
      <c r="E4098">
        <f t="shared" si="293"/>
        <v>6</v>
      </c>
      <c r="F4098">
        <f t="shared" si="294"/>
        <v>2025</v>
      </c>
      <c r="G4098" t="s">
        <v>46</v>
      </c>
      <c r="H4098" s="98">
        <v>13018</v>
      </c>
      <c r="I4098" s="29">
        <v>77.599999999999994</v>
      </c>
      <c r="J4098" s="12" t="s">
        <v>31</v>
      </c>
      <c r="K4098" s="76">
        <f t="shared" si="291"/>
        <v>77.599999999999994</v>
      </c>
      <c r="L4098">
        <v>1</v>
      </c>
      <c r="M4098" s="29">
        <v>0</v>
      </c>
      <c r="N4098" t="s">
        <v>42</v>
      </c>
      <c r="O4098" t="s">
        <v>33</v>
      </c>
      <c r="P4098" t="s">
        <v>34</v>
      </c>
      <c r="Q4098" t="s">
        <v>34</v>
      </c>
      <c r="R4098" t="s">
        <v>34</v>
      </c>
      <c r="S4098" t="s">
        <v>34</v>
      </c>
      <c r="T4098" s="117">
        <v>0</v>
      </c>
      <c r="U4098" s="209" t="s">
        <v>1376</v>
      </c>
    </row>
    <row r="4099" spans="1:21" x14ac:dyDescent="0.35">
      <c r="A4099" t="s">
        <v>20</v>
      </c>
      <c r="B4099" t="s">
        <v>23</v>
      </c>
      <c r="C4099" s="1">
        <v>45833</v>
      </c>
      <c r="D4099">
        <f t="shared" si="292"/>
        <v>25</v>
      </c>
      <c r="E4099">
        <f t="shared" si="293"/>
        <v>6</v>
      </c>
      <c r="F4099">
        <f t="shared" si="294"/>
        <v>2025</v>
      </c>
      <c r="G4099" t="s">
        <v>46</v>
      </c>
      <c r="H4099" s="98">
        <v>13019</v>
      </c>
      <c r="I4099" s="29">
        <v>1086.4000000000001</v>
      </c>
      <c r="J4099" s="12" t="s">
        <v>31</v>
      </c>
      <c r="K4099" s="76">
        <f t="shared" si="291"/>
        <v>1086.4000000000001</v>
      </c>
      <c r="L4099">
        <v>1</v>
      </c>
      <c r="M4099" s="29">
        <v>0</v>
      </c>
      <c r="N4099" t="s">
        <v>42</v>
      </c>
      <c r="O4099" t="s">
        <v>33</v>
      </c>
      <c r="P4099" t="s">
        <v>34</v>
      </c>
      <c r="Q4099" t="s">
        <v>34</v>
      </c>
      <c r="R4099" t="s">
        <v>34</v>
      </c>
      <c r="S4099" t="s">
        <v>34</v>
      </c>
      <c r="T4099" s="117">
        <v>0</v>
      </c>
      <c r="U4099" s="209" t="s">
        <v>1323</v>
      </c>
    </row>
    <row r="4100" spans="1:21" x14ac:dyDescent="0.35">
      <c r="A4100" t="s">
        <v>20</v>
      </c>
      <c r="B4100" t="s">
        <v>23</v>
      </c>
      <c r="C4100" s="1">
        <v>45833</v>
      </c>
      <c r="D4100">
        <f t="shared" si="292"/>
        <v>25</v>
      </c>
      <c r="E4100">
        <f t="shared" si="293"/>
        <v>6</v>
      </c>
      <c r="F4100">
        <f t="shared" si="294"/>
        <v>2025</v>
      </c>
      <c r="G4100" t="s">
        <v>46</v>
      </c>
      <c r="H4100" s="98">
        <v>12603</v>
      </c>
      <c r="I4100" s="29">
        <v>4518.04</v>
      </c>
      <c r="J4100" s="12" t="s">
        <v>31</v>
      </c>
      <c r="K4100" s="76">
        <f t="shared" si="291"/>
        <v>4518.04</v>
      </c>
      <c r="L4100">
        <v>1</v>
      </c>
      <c r="M4100" s="29">
        <v>0</v>
      </c>
      <c r="N4100" t="s">
        <v>42</v>
      </c>
      <c r="O4100" t="s">
        <v>33</v>
      </c>
      <c r="P4100" t="s">
        <v>34</v>
      </c>
      <c r="Q4100" t="s">
        <v>34</v>
      </c>
      <c r="R4100" t="s">
        <v>34</v>
      </c>
      <c r="S4100" t="s">
        <v>34</v>
      </c>
      <c r="T4100" s="117">
        <v>0</v>
      </c>
    </row>
    <row r="4101" spans="1:21" x14ac:dyDescent="0.35">
      <c r="A4101" t="s">
        <v>20</v>
      </c>
      <c r="B4101" t="s">
        <v>21</v>
      </c>
      <c r="C4101" s="1">
        <v>45833</v>
      </c>
      <c r="D4101">
        <f t="shared" si="292"/>
        <v>25</v>
      </c>
      <c r="E4101">
        <f t="shared" si="293"/>
        <v>6</v>
      </c>
      <c r="F4101">
        <f t="shared" si="294"/>
        <v>2025</v>
      </c>
      <c r="G4101" t="s">
        <v>46</v>
      </c>
      <c r="H4101" s="98">
        <v>12995</v>
      </c>
      <c r="I4101" s="29">
        <v>152</v>
      </c>
      <c r="J4101" s="12" t="s">
        <v>31</v>
      </c>
      <c r="K4101" s="76">
        <f t="shared" ref="K4101:K4167" si="295">IF(J4101="USD",I4101,I4101*L4101)</f>
        <v>152</v>
      </c>
      <c r="L4101">
        <v>1</v>
      </c>
      <c r="M4101" s="29">
        <v>0</v>
      </c>
      <c r="N4101" t="s">
        <v>42</v>
      </c>
      <c r="O4101" t="s">
        <v>33</v>
      </c>
      <c r="P4101" t="s">
        <v>34</v>
      </c>
      <c r="Q4101" t="s">
        <v>34</v>
      </c>
      <c r="R4101" t="s">
        <v>34</v>
      </c>
      <c r="S4101" t="s">
        <v>34</v>
      </c>
      <c r="T4101" s="117">
        <v>0</v>
      </c>
      <c r="U4101" s="209" t="s">
        <v>1377</v>
      </c>
    </row>
    <row r="4102" spans="1:21" x14ac:dyDescent="0.35">
      <c r="A4102" t="s">
        <v>20</v>
      </c>
      <c r="B4102" t="s">
        <v>21</v>
      </c>
      <c r="C4102" s="1">
        <v>45833</v>
      </c>
      <c r="D4102">
        <f t="shared" ref="D4102:D4168" si="296">DAY(C4102)</f>
        <v>25</v>
      </c>
      <c r="E4102">
        <f t="shared" ref="E4102:E4168" si="297">MONTH(C4102)</f>
        <v>6</v>
      </c>
      <c r="F4102">
        <f t="shared" ref="F4102:F4168" si="298">YEAR(C4102)</f>
        <v>2025</v>
      </c>
      <c r="G4102" t="s">
        <v>46</v>
      </c>
      <c r="H4102" s="98">
        <v>13392</v>
      </c>
      <c r="I4102" s="29">
        <v>2392.48</v>
      </c>
      <c r="J4102" s="12" t="s">
        <v>31</v>
      </c>
      <c r="K4102" s="76">
        <f t="shared" si="295"/>
        <v>2392.48</v>
      </c>
      <c r="L4102">
        <v>1</v>
      </c>
      <c r="M4102" s="29">
        <v>0</v>
      </c>
      <c r="N4102" t="s">
        <v>42</v>
      </c>
      <c r="O4102" t="s">
        <v>33</v>
      </c>
      <c r="P4102" t="s">
        <v>34</v>
      </c>
      <c r="Q4102" t="s">
        <v>34</v>
      </c>
      <c r="R4102" t="s">
        <v>34</v>
      </c>
      <c r="S4102" t="s">
        <v>34</v>
      </c>
      <c r="T4102" s="117">
        <v>0</v>
      </c>
      <c r="U4102" s="209" t="s">
        <v>1353</v>
      </c>
    </row>
    <row r="4103" spans="1:21" x14ac:dyDescent="0.35">
      <c r="A4103" t="s">
        <v>20</v>
      </c>
      <c r="B4103" t="s">
        <v>21</v>
      </c>
      <c r="C4103" s="1">
        <v>45833</v>
      </c>
      <c r="D4103">
        <f t="shared" si="296"/>
        <v>25</v>
      </c>
      <c r="E4103">
        <f t="shared" si="297"/>
        <v>6</v>
      </c>
      <c r="F4103">
        <f t="shared" si="298"/>
        <v>2025</v>
      </c>
      <c r="G4103" t="s">
        <v>46</v>
      </c>
      <c r="H4103" s="98">
        <v>12408</v>
      </c>
      <c r="I4103" s="29">
        <v>71293.7</v>
      </c>
      <c r="J4103" s="12" t="s">
        <v>31</v>
      </c>
      <c r="K4103" s="76">
        <f t="shared" si="295"/>
        <v>71293.7</v>
      </c>
      <c r="L4103">
        <v>1</v>
      </c>
      <c r="M4103" s="29">
        <v>0</v>
      </c>
      <c r="N4103" t="s">
        <v>42</v>
      </c>
      <c r="O4103" t="s">
        <v>33</v>
      </c>
      <c r="P4103" t="s">
        <v>34</v>
      </c>
      <c r="Q4103" t="s">
        <v>34</v>
      </c>
      <c r="R4103" t="s">
        <v>34</v>
      </c>
      <c r="S4103" t="s">
        <v>34</v>
      </c>
      <c r="T4103" s="117">
        <v>0</v>
      </c>
    </row>
    <row r="4104" spans="1:21" x14ac:dyDescent="0.35">
      <c r="A4104" t="s">
        <v>20</v>
      </c>
      <c r="B4104" t="s">
        <v>25</v>
      </c>
      <c r="C4104" s="1">
        <v>45833</v>
      </c>
      <c r="D4104">
        <f t="shared" si="296"/>
        <v>25</v>
      </c>
      <c r="E4104">
        <f t="shared" si="297"/>
        <v>6</v>
      </c>
      <c r="F4104">
        <f t="shared" si="298"/>
        <v>2025</v>
      </c>
      <c r="G4104" t="s">
        <v>491</v>
      </c>
      <c r="H4104" s="98">
        <v>12857</v>
      </c>
      <c r="I4104" s="29">
        <v>156</v>
      </c>
      <c r="J4104" s="12" t="s">
        <v>31</v>
      </c>
      <c r="K4104" s="76">
        <f t="shared" si="295"/>
        <v>156</v>
      </c>
      <c r="L4104">
        <v>1</v>
      </c>
      <c r="M4104" s="29">
        <v>0</v>
      </c>
      <c r="N4104" t="s">
        <v>32</v>
      </c>
      <c r="O4104" t="s">
        <v>33</v>
      </c>
      <c r="P4104" t="s">
        <v>34</v>
      </c>
      <c r="Q4104" t="s">
        <v>34</v>
      </c>
      <c r="R4104" t="s">
        <v>34</v>
      </c>
      <c r="S4104" t="s">
        <v>34</v>
      </c>
      <c r="T4104" s="117">
        <v>0</v>
      </c>
    </row>
    <row r="4105" spans="1:21" x14ac:dyDescent="0.35">
      <c r="A4105" t="s">
        <v>20</v>
      </c>
      <c r="B4105" t="s">
        <v>21</v>
      </c>
      <c r="C4105" s="1">
        <v>45833</v>
      </c>
      <c r="D4105">
        <f t="shared" si="296"/>
        <v>25</v>
      </c>
      <c r="E4105">
        <f t="shared" si="297"/>
        <v>6</v>
      </c>
      <c r="F4105">
        <f t="shared" si="298"/>
        <v>2025</v>
      </c>
      <c r="G4105" t="s">
        <v>696</v>
      </c>
      <c r="H4105" s="98">
        <v>12456</v>
      </c>
      <c r="I4105" s="29">
        <v>4048.53</v>
      </c>
      <c r="J4105" s="12" t="s">
        <v>31</v>
      </c>
      <c r="K4105" s="76">
        <f t="shared" si="295"/>
        <v>4048.53</v>
      </c>
      <c r="L4105">
        <v>1</v>
      </c>
      <c r="M4105" s="29">
        <v>0</v>
      </c>
      <c r="N4105" t="s">
        <v>32</v>
      </c>
      <c r="O4105" t="s">
        <v>33</v>
      </c>
      <c r="P4105" t="s">
        <v>34</v>
      </c>
      <c r="Q4105" t="s">
        <v>34</v>
      </c>
      <c r="R4105" t="s">
        <v>34</v>
      </c>
      <c r="S4105" t="s">
        <v>34</v>
      </c>
      <c r="T4105" s="117">
        <v>0</v>
      </c>
    </row>
    <row r="4106" spans="1:21" x14ac:dyDescent="0.35">
      <c r="A4106" t="s">
        <v>20</v>
      </c>
      <c r="B4106" t="s">
        <v>21</v>
      </c>
      <c r="C4106" s="1">
        <v>45833</v>
      </c>
      <c r="D4106">
        <f t="shared" si="296"/>
        <v>25</v>
      </c>
      <c r="E4106">
        <f t="shared" si="297"/>
        <v>6</v>
      </c>
      <c r="F4106">
        <f t="shared" si="298"/>
        <v>2025</v>
      </c>
      <c r="G4106" t="s">
        <v>52</v>
      </c>
      <c r="H4106" s="98">
        <v>12324</v>
      </c>
      <c r="I4106" s="29">
        <v>201.3</v>
      </c>
      <c r="J4106" s="12" t="s">
        <v>31</v>
      </c>
      <c r="K4106" s="76">
        <f t="shared" si="295"/>
        <v>201.3</v>
      </c>
      <c r="L4106">
        <v>1</v>
      </c>
      <c r="M4106" s="29">
        <v>0</v>
      </c>
      <c r="N4106" t="s">
        <v>32</v>
      </c>
      <c r="O4106" t="s">
        <v>33</v>
      </c>
      <c r="P4106" t="s">
        <v>34</v>
      </c>
      <c r="Q4106" t="s">
        <v>34</v>
      </c>
      <c r="R4106" t="s">
        <v>34</v>
      </c>
      <c r="S4106" t="s">
        <v>34</v>
      </c>
      <c r="T4106" s="117">
        <v>0</v>
      </c>
    </row>
    <row r="4107" spans="1:21" x14ac:dyDescent="0.35">
      <c r="A4107" t="s">
        <v>20</v>
      </c>
      <c r="B4107" t="s">
        <v>21</v>
      </c>
      <c r="C4107" s="1">
        <v>45833</v>
      </c>
      <c r="D4107">
        <f t="shared" si="296"/>
        <v>25</v>
      </c>
      <c r="E4107">
        <f t="shared" si="297"/>
        <v>6</v>
      </c>
      <c r="F4107">
        <f t="shared" si="298"/>
        <v>2025</v>
      </c>
      <c r="G4107" t="s">
        <v>52</v>
      </c>
      <c r="H4107" s="98">
        <v>12453</v>
      </c>
      <c r="I4107" s="29">
        <v>135.30000000000001</v>
      </c>
      <c r="J4107" s="12" t="s">
        <v>31</v>
      </c>
      <c r="K4107" s="76">
        <f t="shared" si="295"/>
        <v>135.30000000000001</v>
      </c>
      <c r="L4107">
        <v>1</v>
      </c>
      <c r="M4107" s="29">
        <v>0</v>
      </c>
      <c r="N4107" t="s">
        <v>32</v>
      </c>
      <c r="O4107" t="s">
        <v>33</v>
      </c>
      <c r="P4107" t="s">
        <v>34</v>
      </c>
      <c r="Q4107" t="s">
        <v>34</v>
      </c>
      <c r="R4107" t="s">
        <v>34</v>
      </c>
      <c r="S4107" t="s">
        <v>34</v>
      </c>
      <c r="T4107" s="117">
        <v>0</v>
      </c>
    </row>
    <row r="4108" spans="1:21" x14ac:dyDescent="0.35">
      <c r="A4108" t="s">
        <v>19</v>
      </c>
      <c r="B4108" t="s">
        <v>19</v>
      </c>
      <c r="C4108" s="1">
        <v>45833</v>
      </c>
      <c r="D4108">
        <f t="shared" si="296"/>
        <v>25</v>
      </c>
      <c r="E4108">
        <f t="shared" si="297"/>
        <v>6</v>
      </c>
      <c r="F4108">
        <f t="shared" si="298"/>
        <v>2025</v>
      </c>
      <c r="G4108" t="s">
        <v>56</v>
      </c>
      <c r="H4108" s="98" t="s">
        <v>1135</v>
      </c>
      <c r="I4108" s="29">
        <v>164753.76</v>
      </c>
      <c r="J4108" s="12" t="s">
        <v>31</v>
      </c>
      <c r="K4108" s="76">
        <f t="shared" si="295"/>
        <v>164753.76</v>
      </c>
      <c r="L4108">
        <v>1</v>
      </c>
      <c r="M4108" s="29">
        <v>0</v>
      </c>
      <c r="N4108" t="s">
        <v>32</v>
      </c>
      <c r="O4108" t="s">
        <v>33</v>
      </c>
      <c r="P4108" t="s">
        <v>34</v>
      </c>
      <c r="Q4108" t="s">
        <v>34</v>
      </c>
      <c r="R4108" t="s">
        <v>34</v>
      </c>
      <c r="S4108" t="s">
        <v>34</v>
      </c>
      <c r="T4108" s="117">
        <v>0</v>
      </c>
    </row>
    <row r="4109" spans="1:21" x14ac:dyDescent="0.35">
      <c r="A4109" t="s">
        <v>19</v>
      </c>
      <c r="B4109" t="s">
        <v>19</v>
      </c>
      <c r="C4109" s="1">
        <v>45833</v>
      </c>
      <c r="D4109">
        <f t="shared" si="296"/>
        <v>25</v>
      </c>
      <c r="E4109">
        <f t="shared" si="297"/>
        <v>6</v>
      </c>
      <c r="F4109">
        <f t="shared" si="298"/>
        <v>2025</v>
      </c>
      <c r="G4109" t="s">
        <v>56</v>
      </c>
      <c r="H4109" s="98" t="s">
        <v>1136</v>
      </c>
      <c r="I4109" s="29">
        <v>155558.29999999999</v>
      </c>
      <c r="J4109" s="12" t="s">
        <v>31</v>
      </c>
      <c r="K4109" s="76">
        <f t="shared" si="295"/>
        <v>155558.29999999999</v>
      </c>
      <c r="L4109">
        <v>1</v>
      </c>
      <c r="M4109" s="29">
        <v>0</v>
      </c>
      <c r="N4109" t="s">
        <v>32</v>
      </c>
      <c r="O4109" t="s">
        <v>33</v>
      </c>
      <c r="P4109" t="s">
        <v>34</v>
      </c>
      <c r="Q4109" t="s">
        <v>34</v>
      </c>
      <c r="R4109" t="s">
        <v>34</v>
      </c>
      <c r="S4109" t="s">
        <v>34</v>
      </c>
      <c r="T4109" s="117">
        <v>0</v>
      </c>
    </row>
    <row r="4110" spans="1:21" x14ac:dyDescent="0.35">
      <c r="A4110" t="s">
        <v>19</v>
      </c>
      <c r="B4110" t="s">
        <v>19</v>
      </c>
      <c r="C4110" s="1">
        <v>45833</v>
      </c>
      <c r="D4110">
        <f t="shared" si="296"/>
        <v>25</v>
      </c>
      <c r="E4110">
        <f t="shared" si="297"/>
        <v>6</v>
      </c>
      <c r="F4110">
        <f t="shared" si="298"/>
        <v>2025</v>
      </c>
      <c r="G4110" t="s">
        <v>56</v>
      </c>
      <c r="H4110" s="98" t="s">
        <v>1137</v>
      </c>
      <c r="I4110" s="29">
        <v>165864.81</v>
      </c>
      <c r="J4110" s="12" t="s">
        <v>31</v>
      </c>
      <c r="K4110" s="76">
        <f t="shared" si="295"/>
        <v>165864.81</v>
      </c>
      <c r="L4110">
        <v>1</v>
      </c>
      <c r="M4110" s="29">
        <v>0</v>
      </c>
      <c r="N4110" t="s">
        <v>32</v>
      </c>
      <c r="O4110" t="s">
        <v>33</v>
      </c>
      <c r="P4110" t="s">
        <v>34</v>
      </c>
      <c r="Q4110" t="s">
        <v>34</v>
      </c>
      <c r="R4110" t="s">
        <v>34</v>
      </c>
      <c r="S4110" t="s">
        <v>34</v>
      </c>
      <c r="T4110" s="117">
        <v>0</v>
      </c>
    </row>
    <row r="4111" spans="1:21" x14ac:dyDescent="0.35">
      <c r="A4111" t="s">
        <v>19</v>
      </c>
      <c r="B4111" t="s">
        <v>19</v>
      </c>
      <c r="C4111" s="1">
        <v>45833</v>
      </c>
      <c r="D4111">
        <f t="shared" si="296"/>
        <v>25</v>
      </c>
      <c r="E4111">
        <f t="shared" si="297"/>
        <v>6</v>
      </c>
      <c r="F4111">
        <f t="shared" si="298"/>
        <v>2025</v>
      </c>
      <c r="G4111" t="s">
        <v>523</v>
      </c>
      <c r="H4111" s="98" t="s">
        <v>1085</v>
      </c>
      <c r="I4111" s="29">
        <v>45612.66</v>
      </c>
      <c r="J4111" s="12" t="s">
        <v>31</v>
      </c>
      <c r="K4111" s="76">
        <f t="shared" si="295"/>
        <v>45612.66</v>
      </c>
      <c r="L4111">
        <v>1</v>
      </c>
      <c r="M4111" s="29">
        <v>0</v>
      </c>
      <c r="N4111" t="s">
        <v>32</v>
      </c>
      <c r="O4111" t="s">
        <v>33</v>
      </c>
      <c r="P4111" t="s">
        <v>34</v>
      </c>
      <c r="Q4111" t="s">
        <v>34</v>
      </c>
      <c r="R4111" t="s">
        <v>34</v>
      </c>
      <c r="S4111" t="s">
        <v>34</v>
      </c>
      <c r="T4111" s="117">
        <v>0</v>
      </c>
    </row>
    <row r="4112" spans="1:21" x14ac:dyDescent="0.35">
      <c r="A4112" t="s">
        <v>19</v>
      </c>
      <c r="B4112" t="s">
        <v>19</v>
      </c>
      <c r="C4112" s="1">
        <v>45833</v>
      </c>
      <c r="D4112">
        <f t="shared" si="296"/>
        <v>25</v>
      </c>
      <c r="E4112">
        <f t="shared" si="297"/>
        <v>6</v>
      </c>
      <c r="F4112">
        <f t="shared" si="298"/>
        <v>2025</v>
      </c>
      <c r="G4112" t="s">
        <v>523</v>
      </c>
      <c r="H4112" s="121" t="s">
        <v>1134</v>
      </c>
      <c r="I4112" s="29">
        <v>61509.06</v>
      </c>
      <c r="J4112" s="12" t="s">
        <v>31</v>
      </c>
      <c r="K4112" s="76">
        <f t="shared" si="295"/>
        <v>61509.06</v>
      </c>
      <c r="L4112">
        <v>1</v>
      </c>
      <c r="M4112" s="29">
        <v>0</v>
      </c>
      <c r="N4112" t="s">
        <v>32</v>
      </c>
      <c r="O4112" t="s">
        <v>33</v>
      </c>
      <c r="P4112" t="s">
        <v>34</v>
      </c>
      <c r="Q4112" t="s">
        <v>34</v>
      </c>
      <c r="R4112" t="s">
        <v>34</v>
      </c>
      <c r="S4112" t="s">
        <v>34</v>
      </c>
      <c r="T4112" s="117">
        <v>0</v>
      </c>
    </row>
    <row r="4113" spans="1:21" x14ac:dyDescent="0.35">
      <c r="A4113" t="s">
        <v>19</v>
      </c>
      <c r="B4113" t="s">
        <v>19</v>
      </c>
      <c r="C4113" s="1">
        <v>45833</v>
      </c>
      <c r="D4113">
        <f t="shared" si="296"/>
        <v>25</v>
      </c>
      <c r="E4113">
        <f t="shared" si="297"/>
        <v>6</v>
      </c>
      <c r="F4113">
        <f t="shared" si="298"/>
        <v>2025</v>
      </c>
      <c r="G4113" t="s">
        <v>523</v>
      </c>
      <c r="H4113" s="121" t="s">
        <v>1138</v>
      </c>
      <c r="I4113" s="29">
        <v>26379.5</v>
      </c>
      <c r="J4113" s="12" t="s">
        <v>31</v>
      </c>
      <c r="K4113" s="76">
        <f t="shared" si="295"/>
        <v>26379.5</v>
      </c>
      <c r="L4113">
        <v>1</v>
      </c>
      <c r="M4113" s="29">
        <v>0</v>
      </c>
      <c r="N4113" t="s">
        <v>32</v>
      </c>
      <c r="O4113" t="s">
        <v>33</v>
      </c>
      <c r="P4113" t="s">
        <v>34</v>
      </c>
      <c r="Q4113" t="s">
        <v>34</v>
      </c>
      <c r="R4113" t="s">
        <v>34</v>
      </c>
      <c r="S4113" t="s">
        <v>34</v>
      </c>
      <c r="T4113" s="117">
        <v>0</v>
      </c>
    </row>
    <row r="4114" spans="1:21" x14ac:dyDescent="0.35">
      <c r="A4114" t="s">
        <v>19</v>
      </c>
      <c r="B4114" t="s">
        <v>19</v>
      </c>
      <c r="C4114" s="1">
        <v>45833</v>
      </c>
      <c r="D4114">
        <f t="shared" si="296"/>
        <v>25</v>
      </c>
      <c r="E4114">
        <f t="shared" si="297"/>
        <v>6</v>
      </c>
      <c r="F4114">
        <f t="shared" si="298"/>
        <v>2025</v>
      </c>
      <c r="G4114" t="s">
        <v>523</v>
      </c>
      <c r="H4114" s="121" t="s">
        <v>1139</v>
      </c>
      <c r="I4114" s="29">
        <v>2995.3</v>
      </c>
      <c r="J4114" s="12" t="s">
        <v>31</v>
      </c>
      <c r="K4114" s="76">
        <f t="shared" si="295"/>
        <v>2995.3</v>
      </c>
      <c r="L4114">
        <v>1</v>
      </c>
      <c r="M4114" s="29">
        <v>0</v>
      </c>
      <c r="N4114" t="s">
        <v>32</v>
      </c>
      <c r="O4114" t="s">
        <v>33</v>
      </c>
      <c r="P4114" t="s">
        <v>34</v>
      </c>
      <c r="Q4114" t="s">
        <v>34</v>
      </c>
      <c r="R4114" t="s">
        <v>34</v>
      </c>
      <c r="S4114" t="s">
        <v>34</v>
      </c>
      <c r="T4114" s="117">
        <v>0</v>
      </c>
    </row>
    <row r="4115" spans="1:21" x14ac:dyDescent="0.35">
      <c r="A4115" t="s">
        <v>19</v>
      </c>
      <c r="B4115" t="s">
        <v>19</v>
      </c>
      <c r="C4115" s="1">
        <v>45833</v>
      </c>
      <c r="D4115">
        <f t="shared" si="296"/>
        <v>25</v>
      </c>
      <c r="E4115">
        <f t="shared" si="297"/>
        <v>6</v>
      </c>
      <c r="F4115">
        <f t="shared" si="298"/>
        <v>2025</v>
      </c>
      <c r="G4115" t="s">
        <v>263</v>
      </c>
      <c r="H4115" s="121" t="s">
        <v>1134</v>
      </c>
      <c r="I4115" s="29">
        <v>27385.129999999997</v>
      </c>
      <c r="J4115" s="12" t="s">
        <v>31</v>
      </c>
      <c r="K4115" s="76">
        <f t="shared" si="295"/>
        <v>27385.129999999997</v>
      </c>
      <c r="L4115">
        <v>1</v>
      </c>
      <c r="M4115" s="29">
        <v>0</v>
      </c>
      <c r="N4115" t="s">
        <v>32</v>
      </c>
      <c r="O4115" t="s">
        <v>33</v>
      </c>
      <c r="P4115" t="s">
        <v>34</v>
      </c>
      <c r="Q4115" t="s">
        <v>34</v>
      </c>
      <c r="R4115" t="s">
        <v>34</v>
      </c>
      <c r="S4115" t="s">
        <v>34</v>
      </c>
      <c r="T4115" s="117">
        <v>0</v>
      </c>
    </row>
    <row r="4116" spans="1:21" x14ac:dyDescent="0.35">
      <c r="A4116" t="s">
        <v>19</v>
      </c>
      <c r="B4116" t="s">
        <v>19</v>
      </c>
      <c r="C4116" s="1">
        <v>45833</v>
      </c>
      <c r="D4116">
        <f t="shared" si="296"/>
        <v>25</v>
      </c>
      <c r="E4116">
        <f t="shared" si="297"/>
        <v>6</v>
      </c>
      <c r="F4116">
        <f t="shared" si="298"/>
        <v>2025</v>
      </c>
      <c r="G4116" t="s">
        <v>750</v>
      </c>
      <c r="H4116" s="180" t="s">
        <v>1138</v>
      </c>
      <c r="I4116" s="90">
        <v>21860.639999999999</v>
      </c>
      <c r="J4116" s="12" t="s">
        <v>31</v>
      </c>
      <c r="K4116" s="76">
        <f t="shared" si="295"/>
        <v>21860.639999999999</v>
      </c>
      <c r="L4116">
        <v>1</v>
      </c>
      <c r="M4116" s="29">
        <v>0</v>
      </c>
      <c r="N4116" t="s">
        <v>32</v>
      </c>
      <c r="O4116" t="s">
        <v>33</v>
      </c>
      <c r="P4116" t="s">
        <v>34</v>
      </c>
      <c r="Q4116" t="s">
        <v>34</v>
      </c>
      <c r="R4116" t="s">
        <v>34</v>
      </c>
      <c r="S4116" t="s">
        <v>34</v>
      </c>
      <c r="T4116" s="117">
        <v>0</v>
      </c>
    </row>
    <row r="4117" spans="1:21" x14ac:dyDescent="0.35">
      <c r="A4117" t="s">
        <v>19</v>
      </c>
      <c r="B4117" t="s">
        <v>19</v>
      </c>
      <c r="C4117" s="1">
        <v>45833</v>
      </c>
      <c r="D4117">
        <f t="shared" si="296"/>
        <v>25</v>
      </c>
      <c r="E4117">
        <f t="shared" si="297"/>
        <v>6</v>
      </c>
      <c r="F4117">
        <f t="shared" si="298"/>
        <v>2025</v>
      </c>
      <c r="G4117" t="s">
        <v>133</v>
      </c>
      <c r="H4117" s="121" t="s">
        <v>1140</v>
      </c>
      <c r="I4117" s="29">
        <v>21044</v>
      </c>
      <c r="J4117" s="12" t="s">
        <v>31</v>
      </c>
      <c r="K4117" s="76">
        <f t="shared" si="295"/>
        <v>21044</v>
      </c>
      <c r="L4117">
        <v>1</v>
      </c>
      <c r="M4117" s="29">
        <v>0</v>
      </c>
      <c r="N4117" t="s">
        <v>42</v>
      </c>
      <c r="O4117" t="s">
        <v>33</v>
      </c>
      <c r="P4117" t="s">
        <v>34</v>
      </c>
      <c r="Q4117" t="s">
        <v>34</v>
      </c>
      <c r="R4117" t="s">
        <v>34</v>
      </c>
      <c r="S4117" t="s">
        <v>34</v>
      </c>
      <c r="T4117" s="117">
        <v>0</v>
      </c>
    </row>
    <row r="4118" spans="1:21" x14ac:dyDescent="0.35">
      <c r="A4118" t="s">
        <v>19</v>
      </c>
      <c r="B4118" t="s">
        <v>26</v>
      </c>
      <c r="C4118" s="1">
        <v>45834</v>
      </c>
      <c r="D4118">
        <f t="shared" si="296"/>
        <v>26</v>
      </c>
      <c r="E4118">
        <f t="shared" si="297"/>
        <v>6</v>
      </c>
      <c r="F4118">
        <f t="shared" si="298"/>
        <v>2025</v>
      </c>
      <c r="G4118" t="s">
        <v>73</v>
      </c>
      <c r="H4118" s="121">
        <v>13162</v>
      </c>
      <c r="I4118" s="76">
        <v>67321.2</v>
      </c>
      <c r="J4118" s="12" t="s">
        <v>51</v>
      </c>
      <c r="K4118" s="76">
        <f t="shared" si="295"/>
        <v>78961.035480000006</v>
      </c>
      <c r="L4118">
        <v>1.1729000000000001</v>
      </c>
      <c r="M4118" s="29">
        <v>0</v>
      </c>
      <c r="N4118" t="s">
        <v>42</v>
      </c>
      <c r="O4118" t="s">
        <v>33</v>
      </c>
      <c r="P4118" t="s">
        <v>34</v>
      </c>
      <c r="Q4118" t="s">
        <v>34</v>
      </c>
      <c r="R4118" t="s">
        <v>34</v>
      </c>
      <c r="S4118" t="s">
        <v>34</v>
      </c>
      <c r="T4118" s="117">
        <v>0</v>
      </c>
      <c r="U4118" s="209" t="s">
        <v>94</v>
      </c>
    </row>
    <row r="4119" spans="1:21" x14ac:dyDescent="0.35">
      <c r="A4119" t="s">
        <v>19</v>
      </c>
      <c r="B4119" t="s">
        <v>26</v>
      </c>
      <c r="C4119" s="1">
        <v>45834</v>
      </c>
      <c r="D4119">
        <f t="shared" si="296"/>
        <v>26</v>
      </c>
      <c r="E4119">
        <f t="shared" si="297"/>
        <v>6</v>
      </c>
      <c r="F4119">
        <f t="shared" si="298"/>
        <v>2025</v>
      </c>
      <c r="G4119" t="s">
        <v>73</v>
      </c>
      <c r="H4119" s="121">
        <v>13169</v>
      </c>
      <c r="I4119" s="76">
        <v>6048.3</v>
      </c>
      <c r="J4119" s="12" t="s">
        <v>51</v>
      </c>
      <c r="K4119" s="76">
        <f t="shared" si="295"/>
        <v>7094.0510700000004</v>
      </c>
      <c r="L4119">
        <v>1.1729000000000001</v>
      </c>
      <c r="M4119" s="29">
        <v>0</v>
      </c>
      <c r="N4119" t="s">
        <v>42</v>
      </c>
      <c r="O4119" t="s">
        <v>33</v>
      </c>
      <c r="P4119" t="s">
        <v>34</v>
      </c>
      <c r="Q4119" t="s">
        <v>34</v>
      </c>
      <c r="R4119" t="s">
        <v>34</v>
      </c>
      <c r="S4119" t="s">
        <v>34</v>
      </c>
      <c r="T4119" s="117">
        <v>0</v>
      </c>
      <c r="U4119" s="209" t="s">
        <v>94</v>
      </c>
    </row>
    <row r="4120" spans="1:21" x14ac:dyDescent="0.35">
      <c r="A4120" t="s">
        <v>19</v>
      </c>
      <c r="B4120" t="s">
        <v>26</v>
      </c>
      <c r="C4120" s="1">
        <v>45834</v>
      </c>
      <c r="D4120">
        <f t="shared" si="296"/>
        <v>26</v>
      </c>
      <c r="E4120">
        <f t="shared" si="297"/>
        <v>6</v>
      </c>
      <c r="F4120">
        <f t="shared" si="298"/>
        <v>2025</v>
      </c>
      <c r="G4120" t="s">
        <v>73</v>
      </c>
      <c r="H4120" s="121">
        <v>13173</v>
      </c>
      <c r="I4120" s="76">
        <v>26337.040000000001</v>
      </c>
      <c r="J4120" s="12" t="s">
        <v>51</v>
      </c>
      <c r="K4120" s="76">
        <f t="shared" si="295"/>
        <v>30890.714216000004</v>
      </c>
      <c r="L4120">
        <v>1.1729000000000001</v>
      </c>
      <c r="M4120" s="29">
        <v>0</v>
      </c>
      <c r="N4120" t="s">
        <v>42</v>
      </c>
      <c r="O4120" t="s">
        <v>33</v>
      </c>
      <c r="P4120" t="s">
        <v>34</v>
      </c>
      <c r="Q4120" t="s">
        <v>34</v>
      </c>
      <c r="R4120" t="s">
        <v>34</v>
      </c>
      <c r="S4120" t="s">
        <v>34</v>
      </c>
      <c r="T4120" s="117">
        <v>0</v>
      </c>
      <c r="U4120" s="209" t="s">
        <v>94</v>
      </c>
    </row>
    <row r="4121" spans="1:21" x14ac:dyDescent="0.35">
      <c r="A4121" t="s">
        <v>19</v>
      </c>
      <c r="B4121" t="s">
        <v>26</v>
      </c>
      <c r="C4121" s="1">
        <v>45834</v>
      </c>
      <c r="D4121">
        <f>DAY(C4121)</f>
        <v>26</v>
      </c>
      <c r="E4121">
        <f>MONTH(C4121)</f>
        <v>6</v>
      </c>
      <c r="F4121">
        <f>YEAR(C4121)</f>
        <v>2025</v>
      </c>
      <c r="G4121" t="s">
        <v>73</v>
      </c>
      <c r="H4121" s="121">
        <v>13223</v>
      </c>
      <c r="I4121" s="76">
        <v>102811.78</v>
      </c>
      <c r="J4121" s="12" t="s">
        <v>51</v>
      </c>
      <c r="K4121" s="76">
        <f t="shared" si="295"/>
        <v>120587.936762</v>
      </c>
      <c r="L4121">
        <v>1.1729000000000001</v>
      </c>
      <c r="M4121" s="29"/>
      <c r="T4121" s="117"/>
    </row>
    <row r="4122" spans="1:21" x14ac:dyDescent="0.35">
      <c r="A4122" t="s">
        <v>19</v>
      </c>
      <c r="B4122" t="s">
        <v>26</v>
      </c>
      <c r="C4122" s="1">
        <v>45834</v>
      </c>
      <c r="D4122">
        <f>DAY(C4122)</f>
        <v>26</v>
      </c>
      <c r="E4122">
        <f>MONTH(C4122)</f>
        <v>6</v>
      </c>
      <c r="F4122">
        <f>YEAR(C4122)</f>
        <v>2025</v>
      </c>
      <c r="G4122" t="s">
        <v>73</v>
      </c>
      <c r="H4122" s="121">
        <v>13224</v>
      </c>
      <c r="I4122" s="76">
        <v>34039.56</v>
      </c>
      <c r="J4122" s="12" t="s">
        <v>51</v>
      </c>
      <c r="K4122" s="76">
        <f t="shared" si="295"/>
        <v>39924.999923999996</v>
      </c>
      <c r="L4122">
        <v>1.1729000000000001</v>
      </c>
      <c r="M4122" s="29"/>
      <c r="T4122" s="117"/>
    </row>
    <row r="4123" spans="1:21" x14ac:dyDescent="0.35">
      <c r="A4123" t="s">
        <v>19</v>
      </c>
      <c r="B4123" t="s">
        <v>26</v>
      </c>
      <c r="C4123" s="1">
        <v>45834</v>
      </c>
      <c r="D4123">
        <f t="shared" si="296"/>
        <v>26</v>
      </c>
      <c r="E4123">
        <f t="shared" si="297"/>
        <v>6</v>
      </c>
      <c r="F4123">
        <f t="shared" si="298"/>
        <v>2025</v>
      </c>
      <c r="G4123" t="s">
        <v>73</v>
      </c>
      <c r="H4123" s="121">
        <v>13230</v>
      </c>
      <c r="I4123" s="76">
        <v>22564.93</v>
      </c>
      <c r="J4123" s="12" t="s">
        <v>51</v>
      </c>
      <c r="K4123" s="76">
        <f t="shared" si="295"/>
        <v>26466.406397000002</v>
      </c>
      <c r="L4123">
        <v>1.1729000000000001</v>
      </c>
      <c r="M4123" s="76">
        <v>0</v>
      </c>
      <c r="N4123" t="s">
        <v>42</v>
      </c>
      <c r="O4123" t="s">
        <v>33</v>
      </c>
      <c r="P4123" t="s">
        <v>34</v>
      </c>
      <c r="Q4123" t="s">
        <v>34</v>
      </c>
      <c r="R4123" t="s">
        <v>34</v>
      </c>
      <c r="S4123" t="s">
        <v>34</v>
      </c>
      <c r="T4123" s="117">
        <v>0</v>
      </c>
      <c r="U4123" s="209" t="s">
        <v>94</v>
      </c>
    </row>
    <row r="4124" spans="1:21" x14ac:dyDescent="0.35">
      <c r="A4124" t="s">
        <v>19</v>
      </c>
      <c r="B4124" t="s">
        <v>19</v>
      </c>
      <c r="C4124" s="1">
        <v>45835</v>
      </c>
      <c r="D4124">
        <f t="shared" si="296"/>
        <v>27</v>
      </c>
      <c r="E4124">
        <f t="shared" si="297"/>
        <v>6</v>
      </c>
      <c r="F4124">
        <f t="shared" si="298"/>
        <v>2025</v>
      </c>
      <c r="G4124" t="s">
        <v>54</v>
      </c>
      <c r="H4124" s="98" t="s">
        <v>1145</v>
      </c>
      <c r="I4124" s="29">
        <v>207038.53</v>
      </c>
      <c r="J4124" s="12" t="s">
        <v>31</v>
      </c>
      <c r="K4124" s="76">
        <f t="shared" si="295"/>
        <v>207038.53</v>
      </c>
      <c r="L4124">
        <v>1</v>
      </c>
      <c r="M4124" s="29">
        <v>0</v>
      </c>
      <c r="N4124" t="s">
        <v>32</v>
      </c>
      <c r="O4124" t="s">
        <v>33</v>
      </c>
      <c r="P4124" t="s">
        <v>34</v>
      </c>
      <c r="Q4124" t="s">
        <v>34</v>
      </c>
      <c r="R4124" t="s">
        <v>34</v>
      </c>
      <c r="S4124" t="s">
        <v>34</v>
      </c>
      <c r="T4124" s="117">
        <v>0</v>
      </c>
    </row>
    <row r="4125" spans="1:21" x14ac:dyDescent="0.35">
      <c r="A4125" t="s">
        <v>19</v>
      </c>
      <c r="B4125" t="s">
        <v>23</v>
      </c>
      <c r="C4125" s="1">
        <v>45840</v>
      </c>
      <c r="D4125">
        <f t="shared" si="296"/>
        <v>2</v>
      </c>
      <c r="E4125">
        <f t="shared" si="297"/>
        <v>7</v>
      </c>
      <c r="F4125">
        <f t="shared" si="298"/>
        <v>2025</v>
      </c>
      <c r="G4125" t="s">
        <v>882</v>
      </c>
      <c r="H4125" s="98">
        <v>12242</v>
      </c>
      <c r="I4125" s="29">
        <v>8454.5</v>
      </c>
      <c r="J4125" s="12" t="s">
        <v>31</v>
      </c>
      <c r="K4125" s="76">
        <f t="shared" si="295"/>
        <v>8454.5</v>
      </c>
      <c r="L4125">
        <v>1</v>
      </c>
      <c r="M4125" s="29">
        <v>0</v>
      </c>
      <c r="N4125" t="s">
        <v>32</v>
      </c>
      <c r="O4125" t="s">
        <v>33</v>
      </c>
      <c r="P4125" t="s">
        <v>34</v>
      </c>
      <c r="Q4125" t="s">
        <v>34</v>
      </c>
      <c r="R4125" t="s">
        <v>34</v>
      </c>
      <c r="S4125" t="s">
        <v>34</v>
      </c>
      <c r="T4125" s="117">
        <v>0</v>
      </c>
    </row>
    <row r="4126" spans="1:21" x14ac:dyDescent="0.35">
      <c r="A4126" t="s">
        <v>19</v>
      </c>
      <c r="B4126" t="s">
        <v>21</v>
      </c>
      <c r="C4126" s="1">
        <v>45840</v>
      </c>
      <c r="D4126">
        <f t="shared" si="296"/>
        <v>2</v>
      </c>
      <c r="E4126">
        <f t="shared" si="297"/>
        <v>7</v>
      </c>
      <c r="F4126">
        <f t="shared" si="298"/>
        <v>2025</v>
      </c>
      <c r="G4126" t="s">
        <v>882</v>
      </c>
      <c r="H4126" s="98">
        <v>13042</v>
      </c>
      <c r="I4126" s="29">
        <v>31.6</v>
      </c>
      <c r="J4126" s="12" t="s">
        <v>31</v>
      </c>
      <c r="K4126" s="76">
        <f t="shared" si="295"/>
        <v>31.6</v>
      </c>
      <c r="L4126">
        <v>1</v>
      </c>
      <c r="M4126" s="29">
        <v>0</v>
      </c>
      <c r="N4126" t="s">
        <v>32</v>
      </c>
      <c r="O4126" t="s">
        <v>33</v>
      </c>
      <c r="P4126" t="s">
        <v>34</v>
      </c>
      <c r="Q4126" t="s">
        <v>34</v>
      </c>
      <c r="R4126" t="s">
        <v>34</v>
      </c>
      <c r="S4126" t="s">
        <v>34</v>
      </c>
      <c r="T4126" s="117">
        <v>0</v>
      </c>
    </row>
    <row r="4127" spans="1:21" x14ac:dyDescent="0.35">
      <c r="A4127" t="s">
        <v>19</v>
      </c>
      <c r="B4127" t="s">
        <v>21</v>
      </c>
      <c r="C4127" s="1">
        <v>45840</v>
      </c>
      <c r="D4127">
        <f t="shared" si="296"/>
        <v>2</v>
      </c>
      <c r="E4127">
        <f t="shared" si="297"/>
        <v>7</v>
      </c>
      <c r="F4127">
        <f t="shared" si="298"/>
        <v>2025</v>
      </c>
      <c r="G4127" t="s">
        <v>882</v>
      </c>
      <c r="H4127" s="98">
        <v>13041</v>
      </c>
      <c r="I4127" s="29">
        <v>63.2</v>
      </c>
      <c r="J4127" s="12" t="s">
        <v>31</v>
      </c>
      <c r="K4127" s="76">
        <f t="shared" si="295"/>
        <v>63.2</v>
      </c>
      <c r="L4127">
        <v>1</v>
      </c>
      <c r="M4127" s="29">
        <v>0</v>
      </c>
      <c r="N4127" t="s">
        <v>32</v>
      </c>
      <c r="O4127" t="s">
        <v>33</v>
      </c>
      <c r="P4127" t="s">
        <v>34</v>
      </c>
      <c r="Q4127" t="s">
        <v>34</v>
      </c>
      <c r="R4127" t="s">
        <v>34</v>
      </c>
      <c r="S4127" t="s">
        <v>34</v>
      </c>
      <c r="T4127" s="117">
        <v>0</v>
      </c>
    </row>
    <row r="4128" spans="1:21" x14ac:dyDescent="0.35">
      <c r="A4128" t="s">
        <v>19</v>
      </c>
      <c r="B4128" t="s">
        <v>21</v>
      </c>
      <c r="C4128" s="1">
        <v>45840</v>
      </c>
      <c r="D4128">
        <f t="shared" si="296"/>
        <v>2</v>
      </c>
      <c r="E4128">
        <f t="shared" si="297"/>
        <v>7</v>
      </c>
      <c r="F4128">
        <f t="shared" si="298"/>
        <v>2025</v>
      </c>
      <c r="G4128" t="s">
        <v>882</v>
      </c>
      <c r="H4128" s="98">
        <v>13039</v>
      </c>
      <c r="I4128" s="29">
        <v>3509.97</v>
      </c>
      <c r="J4128" s="12" t="s">
        <v>31</v>
      </c>
      <c r="K4128" s="76">
        <f t="shared" si="295"/>
        <v>3509.97</v>
      </c>
      <c r="L4128">
        <v>1</v>
      </c>
      <c r="M4128" s="29">
        <v>0</v>
      </c>
      <c r="N4128" t="s">
        <v>42</v>
      </c>
      <c r="O4128" t="s">
        <v>33</v>
      </c>
      <c r="P4128" t="s">
        <v>34</v>
      </c>
      <c r="Q4128" t="s">
        <v>34</v>
      </c>
      <c r="R4128" t="s">
        <v>34</v>
      </c>
      <c r="S4128" t="s">
        <v>34</v>
      </c>
      <c r="T4128" s="117">
        <v>0</v>
      </c>
    </row>
    <row r="4129" spans="1:21" x14ac:dyDescent="0.35">
      <c r="A4129" t="s">
        <v>19</v>
      </c>
      <c r="B4129" t="s">
        <v>21</v>
      </c>
      <c r="C4129" s="1">
        <v>45840</v>
      </c>
      <c r="D4129">
        <f t="shared" si="296"/>
        <v>2</v>
      </c>
      <c r="E4129">
        <f t="shared" si="297"/>
        <v>7</v>
      </c>
      <c r="F4129">
        <f t="shared" si="298"/>
        <v>2025</v>
      </c>
      <c r="G4129" t="s">
        <v>882</v>
      </c>
      <c r="H4129" s="98">
        <v>14080</v>
      </c>
      <c r="I4129" s="29">
        <v>3509.97</v>
      </c>
      <c r="J4129" s="12" t="s">
        <v>31</v>
      </c>
      <c r="K4129" s="76">
        <f t="shared" si="295"/>
        <v>3509.97</v>
      </c>
      <c r="L4129">
        <v>1</v>
      </c>
      <c r="M4129" s="29">
        <v>0</v>
      </c>
      <c r="N4129" t="s">
        <v>42</v>
      </c>
      <c r="O4129" t="s">
        <v>33</v>
      </c>
      <c r="P4129" t="s">
        <v>34</v>
      </c>
      <c r="Q4129" t="s">
        <v>34</v>
      </c>
      <c r="R4129" t="s">
        <v>34</v>
      </c>
      <c r="S4129" t="s">
        <v>34</v>
      </c>
      <c r="T4129" s="117">
        <v>0</v>
      </c>
      <c r="U4129" s="209" t="s">
        <v>1472</v>
      </c>
    </row>
    <row r="4130" spans="1:21" x14ac:dyDescent="0.35">
      <c r="A4130" t="s">
        <v>19</v>
      </c>
      <c r="B4130" t="s">
        <v>21</v>
      </c>
      <c r="C4130" s="1">
        <v>45840</v>
      </c>
      <c r="D4130">
        <f t="shared" si="296"/>
        <v>2</v>
      </c>
      <c r="E4130">
        <f t="shared" si="297"/>
        <v>7</v>
      </c>
      <c r="F4130">
        <f t="shared" si="298"/>
        <v>2025</v>
      </c>
      <c r="G4130" t="s">
        <v>882</v>
      </c>
      <c r="H4130" s="98">
        <v>13149</v>
      </c>
      <c r="I4130" s="29">
        <v>1968</v>
      </c>
      <c r="J4130" s="12" t="s">
        <v>31</v>
      </c>
      <c r="K4130" s="76">
        <f t="shared" si="295"/>
        <v>1968</v>
      </c>
      <c r="L4130">
        <v>1</v>
      </c>
      <c r="M4130" s="29">
        <v>0</v>
      </c>
      <c r="N4130" t="s">
        <v>42</v>
      </c>
      <c r="O4130" t="s">
        <v>33</v>
      </c>
      <c r="P4130" t="s">
        <v>34</v>
      </c>
      <c r="Q4130" t="s">
        <v>34</v>
      </c>
      <c r="R4130" t="s">
        <v>34</v>
      </c>
      <c r="S4130" t="s">
        <v>34</v>
      </c>
      <c r="T4130" s="117">
        <v>0</v>
      </c>
    </row>
    <row r="4131" spans="1:21" x14ac:dyDescent="0.35">
      <c r="A4131" t="s">
        <v>19</v>
      </c>
      <c r="B4131" t="s">
        <v>21</v>
      </c>
      <c r="C4131" s="1">
        <v>45840</v>
      </c>
      <c r="D4131">
        <f t="shared" si="296"/>
        <v>2</v>
      </c>
      <c r="E4131">
        <f t="shared" si="297"/>
        <v>7</v>
      </c>
      <c r="F4131">
        <f t="shared" si="298"/>
        <v>2025</v>
      </c>
      <c r="G4131" t="s">
        <v>882</v>
      </c>
      <c r="H4131" s="98">
        <v>13150</v>
      </c>
      <c r="I4131" s="29">
        <v>47</v>
      </c>
      <c r="J4131" s="12" t="s">
        <v>31</v>
      </c>
      <c r="K4131" s="76">
        <f t="shared" si="295"/>
        <v>47</v>
      </c>
      <c r="L4131">
        <v>1</v>
      </c>
      <c r="M4131" s="29">
        <v>0</v>
      </c>
      <c r="N4131" t="s">
        <v>42</v>
      </c>
      <c r="O4131" t="s">
        <v>33</v>
      </c>
      <c r="P4131" t="s">
        <v>34</v>
      </c>
      <c r="Q4131" t="s">
        <v>34</v>
      </c>
      <c r="R4131" t="s">
        <v>34</v>
      </c>
      <c r="S4131" t="s">
        <v>34</v>
      </c>
      <c r="T4131" s="117">
        <v>0</v>
      </c>
    </row>
    <row r="4132" spans="1:21" x14ac:dyDescent="0.35">
      <c r="A4132" t="s">
        <v>19</v>
      </c>
      <c r="B4132" t="s">
        <v>21</v>
      </c>
      <c r="C4132" s="1">
        <v>45840</v>
      </c>
      <c r="D4132">
        <f t="shared" ref="D4132" si="299">DAY(C4132)</f>
        <v>2</v>
      </c>
      <c r="E4132">
        <f t="shared" ref="E4132" si="300">MONTH(C4132)</f>
        <v>7</v>
      </c>
      <c r="F4132">
        <f t="shared" ref="F4132" si="301">YEAR(C4132)</f>
        <v>2025</v>
      </c>
      <c r="G4132" t="s">
        <v>882</v>
      </c>
      <c r="H4132" s="98">
        <v>13717</v>
      </c>
      <c r="I4132" s="29">
        <v>64.400000000000006</v>
      </c>
      <c r="J4132" s="12" t="s">
        <v>31</v>
      </c>
      <c r="K4132" s="76">
        <f t="shared" ref="K4132" si="302">IF(J4132="USD",I4132,I4132*L4132)</f>
        <v>64.400000000000006</v>
      </c>
      <c r="L4132">
        <v>1</v>
      </c>
      <c r="M4132" s="29">
        <v>0</v>
      </c>
      <c r="N4132" t="s">
        <v>42</v>
      </c>
      <c r="O4132" t="s">
        <v>33</v>
      </c>
      <c r="P4132" t="s">
        <v>34</v>
      </c>
      <c r="Q4132" t="s">
        <v>34</v>
      </c>
      <c r="R4132" t="s">
        <v>34</v>
      </c>
      <c r="S4132" t="s">
        <v>34</v>
      </c>
      <c r="T4132" s="117">
        <v>0</v>
      </c>
      <c r="U4132" s="209" t="s">
        <v>1551</v>
      </c>
    </row>
    <row r="4133" spans="1:21" x14ac:dyDescent="0.35">
      <c r="A4133" t="s">
        <v>19</v>
      </c>
      <c r="B4133" t="s">
        <v>23</v>
      </c>
      <c r="C4133" s="1">
        <v>45840</v>
      </c>
      <c r="D4133">
        <f t="shared" si="296"/>
        <v>2</v>
      </c>
      <c r="E4133">
        <f t="shared" si="297"/>
        <v>7</v>
      </c>
      <c r="F4133">
        <f t="shared" si="298"/>
        <v>2025</v>
      </c>
      <c r="G4133" t="s">
        <v>76</v>
      </c>
      <c r="H4133" s="98">
        <v>12989</v>
      </c>
      <c r="I4133" s="29">
        <v>60949.56</v>
      </c>
      <c r="J4133" s="12" t="s">
        <v>31</v>
      </c>
      <c r="K4133" s="76">
        <f t="shared" si="295"/>
        <v>60949.56</v>
      </c>
      <c r="L4133">
        <v>1</v>
      </c>
      <c r="M4133" s="29">
        <v>0</v>
      </c>
      <c r="N4133" t="s">
        <v>32</v>
      </c>
      <c r="O4133" t="s">
        <v>33</v>
      </c>
      <c r="P4133" t="s">
        <v>34</v>
      </c>
      <c r="Q4133" t="s">
        <v>34</v>
      </c>
      <c r="R4133" t="s">
        <v>34</v>
      </c>
      <c r="S4133" t="s">
        <v>34</v>
      </c>
      <c r="T4133" s="117">
        <v>0</v>
      </c>
    </row>
    <row r="4134" spans="1:21" x14ac:dyDescent="0.35">
      <c r="A4134" t="s">
        <v>19</v>
      </c>
      <c r="B4134" t="s">
        <v>21</v>
      </c>
      <c r="C4134" s="1">
        <v>45840</v>
      </c>
      <c r="D4134">
        <f t="shared" si="296"/>
        <v>2</v>
      </c>
      <c r="E4134">
        <f t="shared" si="297"/>
        <v>7</v>
      </c>
      <c r="F4134">
        <f t="shared" si="298"/>
        <v>2025</v>
      </c>
      <c r="G4134" t="s">
        <v>76</v>
      </c>
      <c r="H4134" s="98">
        <v>12869</v>
      </c>
      <c r="I4134" s="29">
        <v>18147.5</v>
      </c>
      <c r="J4134" s="12" t="s">
        <v>31</v>
      </c>
      <c r="K4134" s="76">
        <f t="shared" si="295"/>
        <v>18147.5</v>
      </c>
      <c r="L4134">
        <v>1</v>
      </c>
      <c r="M4134" s="29">
        <v>0</v>
      </c>
      <c r="N4134" t="s">
        <v>32</v>
      </c>
      <c r="O4134" t="s">
        <v>33</v>
      </c>
      <c r="P4134" t="s">
        <v>34</v>
      </c>
      <c r="Q4134" t="s">
        <v>34</v>
      </c>
      <c r="R4134" t="s">
        <v>34</v>
      </c>
      <c r="S4134" t="s">
        <v>34</v>
      </c>
      <c r="T4134" s="117">
        <v>0</v>
      </c>
    </row>
    <row r="4135" spans="1:21" x14ac:dyDescent="0.35">
      <c r="A4135" t="s">
        <v>19</v>
      </c>
      <c r="B4135" t="s">
        <v>21</v>
      </c>
      <c r="C4135" s="1">
        <v>45840</v>
      </c>
      <c r="D4135">
        <f t="shared" si="296"/>
        <v>2</v>
      </c>
      <c r="E4135">
        <f t="shared" si="297"/>
        <v>7</v>
      </c>
      <c r="F4135">
        <f t="shared" si="298"/>
        <v>2025</v>
      </c>
      <c r="G4135" t="s">
        <v>76</v>
      </c>
      <c r="H4135" s="98">
        <v>12867</v>
      </c>
      <c r="I4135" s="29">
        <v>9710.4</v>
      </c>
      <c r="J4135" s="12" t="s">
        <v>31</v>
      </c>
      <c r="K4135" s="76">
        <f t="shared" si="295"/>
        <v>9710.4</v>
      </c>
      <c r="L4135">
        <v>1</v>
      </c>
      <c r="M4135" s="29">
        <v>0</v>
      </c>
      <c r="N4135" t="s">
        <v>32</v>
      </c>
      <c r="O4135" t="s">
        <v>33</v>
      </c>
      <c r="P4135" t="s">
        <v>34</v>
      </c>
      <c r="Q4135" t="s">
        <v>34</v>
      </c>
      <c r="R4135" t="s">
        <v>34</v>
      </c>
      <c r="S4135" t="s">
        <v>34</v>
      </c>
      <c r="T4135" s="117">
        <v>0</v>
      </c>
    </row>
    <row r="4136" spans="1:21" x14ac:dyDescent="0.35">
      <c r="A4136" t="s">
        <v>19</v>
      </c>
      <c r="B4136" t="s">
        <v>21</v>
      </c>
      <c r="C4136" s="1">
        <v>45840</v>
      </c>
      <c r="D4136">
        <f t="shared" si="296"/>
        <v>2</v>
      </c>
      <c r="E4136">
        <f t="shared" si="297"/>
        <v>7</v>
      </c>
      <c r="F4136">
        <f t="shared" si="298"/>
        <v>2025</v>
      </c>
      <c r="G4136" t="s">
        <v>76</v>
      </c>
      <c r="H4136" s="98">
        <v>12827</v>
      </c>
      <c r="I4136" s="29">
        <v>11993.5</v>
      </c>
      <c r="J4136" s="12" t="s">
        <v>31</v>
      </c>
      <c r="K4136" s="76">
        <f t="shared" si="295"/>
        <v>11993.5</v>
      </c>
      <c r="L4136">
        <v>1</v>
      </c>
      <c r="M4136" s="29">
        <v>0</v>
      </c>
      <c r="N4136" t="s">
        <v>32</v>
      </c>
      <c r="O4136" t="s">
        <v>33</v>
      </c>
      <c r="P4136" t="s">
        <v>34</v>
      </c>
      <c r="Q4136" t="s">
        <v>34</v>
      </c>
      <c r="R4136" t="s">
        <v>34</v>
      </c>
      <c r="S4136" t="s">
        <v>34</v>
      </c>
      <c r="T4136" s="117">
        <v>0</v>
      </c>
    </row>
    <row r="4137" spans="1:21" x14ac:dyDescent="0.35">
      <c r="A4137" t="s">
        <v>19</v>
      </c>
      <c r="B4137" t="s">
        <v>21</v>
      </c>
      <c r="C4137" s="1">
        <v>45840</v>
      </c>
      <c r="D4137">
        <f t="shared" si="296"/>
        <v>2</v>
      </c>
      <c r="E4137">
        <f t="shared" si="297"/>
        <v>7</v>
      </c>
      <c r="F4137">
        <f t="shared" si="298"/>
        <v>2025</v>
      </c>
      <c r="G4137" t="s">
        <v>76</v>
      </c>
      <c r="H4137" s="98">
        <v>12873</v>
      </c>
      <c r="I4137" s="29">
        <v>309.39999999999998</v>
      </c>
      <c r="J4137" s="12" t="s">
        <v>31</v>
      </c>
      <c r="K4137" s="76">
        <f t="shared" si="295"/>
        <v>309.39999999999998</v>
      </c>
      <c r="L4137">
        <v>1</v>
      </c>
      <c r="M4137" s="29">
        <v>0</v>
      </c>
      <c r="N4137" t="s">
        <v>32</v>
      </c>
      <c r="O4137" t="s">
        <v>33</v>
      </c>
      <c r="P4137" t="s">
        <v>34</v>
      </c>
      <c r="Q4137" t="s">
        <v>34</v>
      </c>
      <c r="R4137" t="s">
        <v>34</v>
      </c>
      <c r="S4137" t="s">
        <v>34</v>
      </c>
      <c r="T4137" s="117">
        <v>0</v>
      </c>
    </row>
    <row r="4138" spans="1:21" x14ac:dyDescent="0.35">
      <c r="A4138" t="s">
        <v>19</v>
      </c>
      <c r="B4138" t="s">
        <v>21</v>
      </c>
      <c r="C4138" s="1">
        <v>45840</v>
      </c>
      <c r="D4138">
        <f t="shared" si="296"/>
        <v>2</v>
      </c>
      <c r="E4138">
        <f t="shared" si="297"/>
        <v>7</v>
      </c>
      <c r="F4138">
        <f t="shared" si="298"/>
        <v>2025</v>
      </c>
      <c r="G4138" t="s">
        <v>76</v>
      </c>
      <c r="H4138" s="98">
        <v>12989</v>
      </c>
      <c r="I4138" s="29">
        <v>61077.4</v>
      </c>
      <c r="J4138" s="12" t="s">
        <v>31</v>
      </c>
      <c r="K4138" s="76">
        <f t="shared" si="295"/>
        <v>61077.4</v>
      </c>
      <c r="L4138">
        <v>1</v>
      </c>
      <c r="M4138" s="29">
        <v>0</v>
      </c>
      <c r="N4138" t="s">
        <v>32</v>
      </c>
      <c r="O4138" t="s">
        <v>33</v>
      </c>
      <c r="P4138" t="s">
        <v>34</v>
      </c>
      <c r="Q4138" t="s">
        <v>34</v>
      </c>
      <c r="R4138" t="s">
        <v>34</v>
      </c>
      <c r="S4138" t="s">
        <v>34</v>
      </c>
      <c r="T4138" s="117">
        <v>0</v>
      </c>
    </row>
    <row r="4139" spans="1:21" x14ac:dyDescent="0.35">
      <c r="A4139" t="s">
        <v>19</v>
      </c>
      <c r="B4139" t="s">
        <v>27</v>
      </c>
      <c r="C4139" s="1">
        <v>45840</v>
      </c>
      <c r="D4139">
        <f t="shared" si="296"/>
        <v>2</v>
      </c>
      <c r="E4139">
        <f t="shared" si="297"/>
        <v>7</v>
      </c>
      <c r="F4139">
        <f t="shared" si="298"/>
        <v>2025</v>
      </c>
      <c r="G4139" t="s">
        <v>100</v>
      </c>
      <c r="H4139" s="98">
        <v>12643</v>
      </c>
      <c r="I4139" s="29">
        <v>80000</v>
      </c>
      <c r="J4139" s="12" t="s">
        <v>31</v>
      </c>
      <c r="K4139" s="76">
        <f t="shared" si="295"/>
        <v>80000</v>
      </c>
      <c r="L4139">
        <v>1</v>
      </c>
      <c r="M4139" s="29">
        <v>0</v>
      </c>
      <c r="N4139" t="s">
        <v>32</v>
      </c>
      <c r="O4139" t="s">
        <v>33</v>
      </c>
      <c r="P4139" t="s">
        <v>34</v>
      </c>
      <c r="Q4139" t="s">
        <v>34</v>
      </c>
      <c r="R4139" t="s">
        <v>34</v>
      </c>
      <c r="S4139" t="s">
        <v>34</v>
      </c>
      <c r="T4139" s="117">
        <v>0</v>
      </c>
    </row>
    <row r="4140" spans="1:21" x14ac:dyDescent="0.35">
      <c r="A4140" t="s">
        <v>19</v>
      </c>
      <c r="B4140" t="s">
        <v>23</v>
      </c>
      <c r="C4140" s="1">
        <v>45840</v>
      </c>
      <c r="D4140">
        <f t="shared" si="296"/>
        <v>2</v>
      </c>
      <c r="E4140">
        <f t="shared" si="297"/>
        <v>7</v>
      </c>
      <c r="F4140">
        <f t="shared" si="298"/>
        <v>2025</v>
      </c>
      <c r="G4140" t="s">
        <v>885</v>
      </c>
      <c r="H4140" s="98">
        <v>12571</v>
      </c>
      <c r="I4140" s="29">
        <v>8226.48</v>
      </c>
      <c r="J4140" s="12" t="s">
        <v>31</v>
      </c>
      <c r="K4140" s="76">
        <f t="shared" si="295"/>
        <v>8226.48</v>
      </c>
      <c r="L4140">
        <v>1</v>
      </c>
      <c r="M4140" s="29">
        <v>0</v>
      </c>
      <c r="N4140" t="s">
        <v>42</v>
      </c>
      <c r="O4140" t="s">
        <v>33</v>
      </c>
      <c r="P4140" t="s">
        <v>34</v>
      </c>
      <c r="Q4140" t="s">
        <v>34</v>
      </c>
      <c r="R4140" t="s">
        <v>34</v>
      </c>
      <c r="S4140" t="s">
        <v>34</v>
      </c>
      <c r="T4140" s="117">
        <v>0</v>
      </c>
    </row>
    <row r="4141" spans="1:21" x14ac:dyDescent="0.35">
      <c r="A4141" t="s">
        <v>19</v>
      </c>
      <c r="B4141" t="s">
        <v>23</v>
      </c>
      <c r="C4141" s="1">
        <v>45840</v>
      </c>
      <c r="D4141">
        <f t="shared" si="296"/>
        <v>2</v>
      </c>
      <c r="E4141">
        <f t="shared" si="297"/>
        <v>7</v>
      </c>
      <c r="F4141">
        <f t="shared" si="298"/>
        <v>2025</v>
      </c>
      <c r="G4141" t="s">
        <v>885</v>
      </c>
      <c r="H4141" s="98">
        <v>12571</v>
      </c>
      <c r="I4141" s="29">
        <v>23196</v>
      </c>
      <c r="J4141" s="12" t="s">
        <v>31</v>
      </c>
      <c r="K4141" s="76">
        <f t="shared" si="295"/>
        <v>23196</v>
      </c>
      <c r="L4141">
        <v>1</v>
      </c>
      <c r="M4141" s="29">
        <v>0</v>
      </c>
      <c r="N4141" t="s">
        <v>42</v>
      </c>
      <c r="O4141" t="s">
        <v>33</v>
      </c>
      <c r="P4141" t="s">
        <v>34</v>
      </c>
      <c r="Q4141" t="s">
        <v>34</v>
      </c>
      <c r="R4141" t="s">
        <v>34</v>
      </c>
      <c r="S4141" t="s">
        <v>34</v>
      </c>
      <c r="T4141" s="117">
        <v>0</v>
      </c>
      <c r="U4141" s="209" t="s">
        <v>1306</v>
      </c>
    </row>
    <row r="4142" spans="1:21" x14ac:dyDescent="0.35">
      <c r="A4142" t="s">
        <v>19</v>
      </c>
      <c r="B4142" t="s">
        <v>21</v>
      </c>
      <c r="C4142" s="1">
        <v>45840</v>
      </c>
      <c r="D4142">
        <f t="shared" si="296"/>
        <v>2</v>
      </c>
      <c r="E4142">
        <f t="shared" si="297"/>
        <v>7</v>
      </c>
      <c r="F4142">
        <f t="shared" si="298"/>
        <v>2025</v>
      </c>
      <c r="G4142" t="s">
        <v>885</v>
      </c>
      <c r="H4142" s="98">
        <v>13068</v>
      </c>
      <c r="I4142" s="29">
        <v>2384</v>
      </c>
      <c r="J4142" s="12" t="s">
        <v>31</v>
      </c>
      <c r="K4142" s="76">
        <f t="shared" si="295"/>
        <v>2384</v>
      </c>
      <c r="L4142">
        <v>1</v>
      </c>
      <c r="M4142" s="29">
        <v>0</v>
      </c>
      <c r="N4142" t="s">
        <v>42</v>
      </c>
      <c r="O4142" t="s">
        <v>33</v>
      </c>
      <c r="P4142" t="s">
        <v>34</v>
      </c>
      <c r="Q4142" t="s">
        <v>34</v>
      </c>
      <c r="R4142" t="s">
        <v>34</v>
      </c>
      <c r="S4142" t="s">
        <v>34</v>
      </c>
      <c r="T4142" s="117">
        <v>0</v>
      </c>
      <c r="U4142" s="98">
        <v>13147</v>
      </c>
    </row>
    <row r="4143" spans="1:21" x14ac:dyDescent="0.35">
      <c r="A4143" t="s">
        <v>19</v>
      </c>
      <c r="B4143" t="s">
        <v>21</v>
      </c>
      <c r="C4143" s="1">
        <v>45840</v>
      </c>
      <c r="D4143">
        <f t="shared" si="296"/>
        <v>2</v>
      </c>
      <c r="E4143">
        <f t="shared" si="297"/>
        <v>7</v>
      </c>
      <c r="F4143">
        <f t="shared" si="298"/>
        <v>2025</v>
      </c>
      <c r="G4143" t="s">
        <v>885</v>
      </c>
      <c r="H4143" s="98">
        <v>13148</v>
      </c>
      <c r="I4143" s="29">
        <v>29.8</v>
      </c>
      <c r="J4143" s="12" t="s">
        <v>31</v>
      </c>
      <c r="K4143" s="76">
        <f t="shared" si="295"/>
        <v>29.8</v>
      </c>
      <c r="L4143">
        <v>1</v>
      </c>
      <c r="M4143" s="29">
        <v>0</v>
      </c>
      <c r="N4143" t="s">
        <v>42</v>
      </c>
      <c r="O4143" t="s">
        <v>33</v>
      </c>
      <c r="P4143" t="s">
        <v>34</v>
      </c>
      <c r="Q4143" t="s">
        <v>34</v>
      </c>
      <c r="R4143" t="s">
        <v>34</v>
      </c>
      <c r="S4143" t="s">
        <v>34</v>
      </c>
      <c r="T4143" s="117">
        <v>0</v>
      </c>
    </row>
    <row r="4144" spans="1:21" x14ac:dyDescent="0.35">
      <c r="A4144" t="s">
        <v>19</v>
      </c>
      <c r="B4144" t="s">
        <v>23</v>
      </c>
      <c r="C4144" s="1">
        <v>45840</v>
      </c>
      <c r="D4144">
        <f t="shared" si="296"/>
        <v>2</v>
      </c>
      <c r="E4144">
        <f t="shared" si="297"/>
        <v>7</v>
      </c>
      <c r="F4144">
        <f t="shared" si="298"/>
        <v>2025</v>
      </c>
      <c r="G4144" t="s">
        <v>1519</v>
      </c>
      <c r="H4144" s="98">
        <v>13446</v>
      </c>
      <c r="I4144" s="29">
        <v>1275</v>
      </c>
      <c r="J4144" s="12" t="s">
        <v>31</v>
      </c>
      <c r="K4144" s="76">
        <f t="shared" si="295"/>
        <v>1275</v>
      </c>
      <c r="L4144">
        <v>1</v>
      </c>
      <c r="M4144" s="29">
        <v>0</v>
      </c>
      <c r="N4144" t="s">
        <v>42</v>
      </c>
      <c r="O4144" t="s">
        <v>33</v>
      </c>
      <c r="P4144" t="s">
        <v>34</v>
      </c>
      <c r="Q4144" t="s">
        <v>34</v>
      </c>
      <c r="R4144" t="s">
        <v>34</v>
      </c>
      <c r="S4144" t="s">
        <v>34</v>
      </c>
      <c r="T4144" s="117">
        <v>0</v>
      </c>
      <c r="U4144" s="209" t="s">
        <v>1469</v>
      </c>
    </row>
    <row r="4145" spans="1:21" x14ac:dyDescent="0.35">
      <c r="A4145" t="s">
        <v>19</v>
      </c>
      <c r="B4145" t="s">
        <v>21</v>
      </c>
      <c r="C4145" s="1">
        <v>45840</v>
      </c>
      <c r="D4145">
        <f t="shared" si="296"/>
        <v>2</v>
      </c>
      <c r="E4145">
        <f t="shared" si="297"/>
        <v>7</v>
      </c>
      <c r="F4145">
        <f t="shared" si="298"/>
        <v>2025</v>
      </c>
      <c r="G4145" t="s">
        <v>75</v>
      </c>
      <c r="H4145" s="98">
        <v>11727</v>
      </c>
      <c r="I4145" s="29">
        <v>172.1</v>
      </c>
      <c r="J4145" s="12" t="s">
        <v>31</v>
      </c>
      <c r="K4145" s="76">
        <f t="shared" si="295"/>
        <v>172.1</v>
      </c>
      <c r="L4145">
        <v>1</v>
      </c>
      <c r="M4145" s="29">
        <v>0</v>
      </c>
      <c r="N4145" t="s">
        <v>32</v>
      </c>
      <c r="O4145" t="s">
        <v>33</v>
      </c>
      <c r="P4145" t="s">
        <v>34</v>
      </c>
      <c r="Q4145" t="s">
        <v>34</v>
      </c>
      <c r="R4145" t="s">
        <v>34</v>
      </c>
      <c r="S4145" t="s">
        <v>34</v>
      </c>
      <c r="T4145" s="117">
        <v>0</v>
      </c>
    </row>
    <row r="4146" spans="1:21" x14ac:dyDescent="0.35">
      <c r="A4146" t="s">
        <v>19</v>
      </c>
      <c r="B4146" t="s">
        <v>21</v>
      </c>
      <c r="C4146" s="1">
        <v>45840</v>
      </c>
      <c r="D4146">
        <f t="shared" si="296"/>
        <v>2</v>
      </c>
      <c r="E4146">
        <f t="shared" si="297"/>
        <v>7</v>
      </c>
      <c r="F4146">
        <f t="shared" si="298"/>
        <v>2025</v>
      </c>
      <c r="G4146" t="s">
        <v>75</v>
      </c>
      <c r="H4146" s="98">
        <v>11989</v>
      </c>
      <c r="I4146" s="29">
        <v>46.7</v>
      </c>
      <c r="J4146" s="12" t="s">
        <v>31</v>
      </c>
      <c r="K4146" s="76">
        <f t="shared" si="295"/>
        <v>46.7</v>
      </c>
      <c r="L4146">
        <v>1</v>
      </c>
      <c r="M4146" s="29">
        <v>0</v>
      </c>
      <c r="N4146" t="s">
        <v>32</v>
      </c>
      <c r="O4146" t="s">
        <v>33</v>
      </c>
      <c r="P4146" t="s">
        <v>34</v>
      </c>
      <c r="Q4146" t="s">
        <v>34</v>
      </c>
      <c r="R4146" t="s">
        <v>34</v>
      </c>
      <c r="S4146" t="s">
        <v>34</v>
      </c>
      <c r="T4146" s="117">
        <v>0</v>
      </c>
    </row>
    <row r="4147" spans="1:21" x14ac:dyDescent="0.35">
      <c r="A4147" t="s">
        <v>19</v>
      </c>
      <c r="B4147" t="s">
        <v>21</v>
      </c>
      <c r="C4147" s="1">
        <v>45840</v>
      </c>
      <c r="D4147">
        <f t="shared" si="296"/>
        <v>2</v>
      </c>
      <c r="E4147">
        <f t="shared" si="297"/>
        <v>7</v>
      </c>
      <c r="F4147">
        <f t="shared" si="298"/>
        <v>2025</v>
      </c>
      <c r="G4147" t="s">
        <v>75</v>
      </c>
      <c r="H4147" s="98">
        <v>12470</v>
      </c>
      <c r="I4147" s="29">
        <v>72.8</v>
      </c>
      <c r="J4147" s="12" t="s">
        <v>31</v>
      </c>
      <c r="K4147" s="76">
        <f t="shared" si="295"/>
        <v>72.8</v>
      </c>
      <c r="L4147">
        <v>1</v>
      </c>
      <c r="M4147" s="29">
        <v>0</v>
      </c>
      <c r="N4147" t="s">
        <v>32</v>
      </c>
      <c r="O4147" t="s">
        <v>33</v>
      </c>
      <c r="P4147" t="s">
        <v>34</v>
      </c>
      <c r="Q4147" t="s">
        <v>34</v>
      </c>
      <c r="R4147" t="s">
        <v>34</v>
      </c>
      <c r="S4147" t="s">
        <v>34</v>
      </c>
      <c r="T4147" s="117">
        <v>0</v>
      </c>
    </row>
    <row r="4148" spans="1:21" x14ac:dyDescent="0.35">
      <c r="A4148" t="s">
        <v>19</v>
      </c>
      <c r="B4148" t="s">
        <v>21</v>
      </c>
      <c r="C4148" s="1">
        <v>45840</v>
      </c>
      <c r="D4148">
        <f t="shared" si="296"/>
        <v>2</v>
      </c>
      <c r="E4148">
        <f t="shared" si="297"/>
        <v>7</v>
      </c>
      <c r="F4148">
        <f t="shared" si="298"/>
        <v>2025</v>
      </c>
      <c r="G4148" t="s">
        <v>75</v>
      </c>
      <c r="H4148" s="98">
        <v>12795</v>
      </c>
      <c r="I4148" s="29">
        <v>27.7</v>
      </c>
      <c r="J4148" s="12" t="s">
        <v>31</v>
      </c>
      <c r="K4148" s="76">
        <f t="shared" si="295"/>
        <v>27.7</v>
      </c>
      <c r="L4148">
        <v>1</v>
      </c>
      <c r="M4148" s="29">
        <v>0</v>
      </c>
      <c r="N4148" t="s">
        <v>32</v>
      </c>
      <c r="O4148" t="s">
        <v>33</v>
      </c>
      <c r="P4148" t="s">
        <v>34</v>
      </c>
      <c r="Q4148" t="s">
        <v>34</v>
      </c>
      <c r="R4148" t="s">
        <v>34</v>
      </c>
      <c r="S4148" t="s">
        <v>34</v>
      </c>
      <c r="T4148" s="117">
        <v>0</v>
      </c>
    </row>
    <row r="4149" spans="1:21" x14ac:dyDescent="0.35">
      <c r="A4149" t="s">
        <v>19</v>
      </c>
      <c r="B4149" t="s">
        <v>21</v>
      </c>
      <c r="C4149" s="1">
        <v>45840</v>
      </c>
      <c r="D4149">
        <f t="shared" si="296"/>
        <v>2</v>
      </c>
      <c r="E4149">
        <f t="shared" si="297"/>
        <v>7</v>
      </c>
      <c r="F4149">
        <f t="shared" si="298"/>
        <v>2025</v>
      </c>
      <c r="G4149" t="s">
        <v>75</v>
      </c>
      <c r="H4149" s="98">
        <v>12560</v>
      </c>
      <c r="I4149" s="29">
        <v>10.6</v>
      </c>
      <c r="J4149" s="12" t="s">
        <v>31</v>
      </c>
      <c r="K4149" s="76">
        <f t="shared" si="295"/>
        <v>10.6</v>
      </c>
      <c r="L4149">
        <v>1</v>
      </c>
      <c r="M4149" s="29">
        <v>0</v>
      </c>
      <c r="N4149" t="s">
        <v>32</v>
      </c>
      <c r="O4149" t="s">
        <v>33</v>
      </c>
      <c r="P4149" t="s">
        <v>34</v>
      </c>
      <c r="Q4149" t="s">
        <v>34</v>
      </c>
      <c r="R4149" t="s">
        <v>34</v>
      </c>
      <c r="S4149" t="s">
        <v>34</v>
      </c>
      <c r="T4149" s="117">
        <v>0</v>
      </c>
    </row>
    <row r="4150" spans="1:21" x14ac:dyDescent="0.35">
      <c r="A4150" t="s">
        <v>19</v>
      </c>
      <c r="B4150" t="s">
        <v>21</v>
      </c>
      <c r="C4150" s="1">
        <v>45840</v>
      </c>
      <c r="D4150">
        <f t="shared" si="296"/>
        <v>2</v>
      </c>
      <c r="E4150">
        <f t="shared" si="297"/>
        <v>7</v>
      </c>
      <c r="F4150">
        <f t="shared" si="298"/>
        <v>2025</v>
      </c>
      <c r="G4150" t="s">
        <v>75</v>
      </c>
      <c r="H4150" s="98">
        <v>12476</v>
      </c>
      <c r="I4150" s="29">
        <v>61.4</v>
      </c>
      <c r="J4150" s="12" t="s">
        <v>31</v>
      </c>
      <c r="K4150" s="76">
        <f t="shared" si="295"/>
        <v>61.4</v>
      </c>
      <c r="L4150">
        <v>1</v>
      </c>
      <c r="M4150" s="29">
        <v>0</v>
      </c>
      <c r="N4150" t="s">
        <v>32</v>
      </c>
      <c r="O4150" t="s">
        <v>33</v>
      </c>
      <c r="P4150" t="s">
        <v>34</v>
      </c>
      <c r="Q4150" t="s">
        <v>34</v>
      </c>
      <c r="R4150" t="s">
        <v>34</v>
      </c>
      <c r="S4150" t="s">
        <v>34</v>
      </c>
      <c r="T4150" s="117">
        <v>0</v>
      </c>
    </row>
    <row r="4151" spans="1:21" x14ac:dyDescent="0.35">
      <c r="A4151" t="s">
        <v>19</v>
      </c>
      <c r="B4151" t="s">
        <v>21</v>
      </c>
      <c r="C4151" s="1">
        <v>45840</v>
      </c>
      <c r="D4151">
        <f t="shared" si="296"/>
        <v>2</v>
      </c>
      <c r="E4151">
        <f t="shared" si="297"/>
        <v>7</v>
      </c>
      <c r="F4151">
        <f t="shared" si="298"/>
        <v>2025</v>
      </c>
      <c r="G4151" t="s">
        <v>75</v>
      </c>
      <c r="H4151" s="98">
        <v>12589</v>
      </c>
      <c r="I4151" s="29">
        <v>60.56</v>
      </c>
      <c r="J4151" s="12" t="s">
        <v>31</v>
      </c>
      <c r="K4151" s="76">
        <f t="shared" si="295"/>
        <v>60.56</v>
      </c>
      <c r="L4151">
        <v>1</v>
      </c>
      <c r="M4151" s="29">
        <v>0</v>
      </c>
      <c r="N4151" t="s">
        <v>32</v>
      </c>
      <c r="O4151" t="s">
        <v>33</v>
      </c>
      <c r="P4151" t="s">
        <v>34</v>
      </c>
      <c r="Q4151" t="s">
        <v>34</v>
      </c>
      <c r="R4151" t="s">
        <v>34</v>
      </c>
      <c r="S4151" t="s">
        <v>34</v>
      </c>
      <c r="T4151" s="117">
        <v>0</v>
      </c>
    </row>
    <row r="4152" spans="1:21" x14ac:dyDescent="0.35">
      <c r="A4152" t="s">
        <v>19</v>
      </c>
      <c r="B4152" t="s">
        <v>21</v>
      </c>
      <c r="C4152" s="1">
        <v>45840</v>
      </c>
      <c r="D4152">
        <f t="shared" si="296"/>
        <v>2</v>
      </c>
      <c r="E4152">
        <f t="shared" si="297"/>
        <v>7</v>
      </c>
      <c r="F4152">
        <f t="shared" si="298"/>
        <v>2025</v>
      </c>
      <c r="G4152" t="s">
        <v>75</v>
      </c>
      <c r="H4152" s="98">
        <v>12140</v>
      </c>
      <c r="I4152" s="29">
        <v>274.98</v>
      </c>
      <c r="J4152" s="12" t="s">
        <v>31</v>
      </c>
      <c r="K4152" s="76">
        <f t="shared" si="295"/>
        <v>274.98</v>
      </c>
      <c r="L4152">
        <v>1</v>
      </c>
      <c r="M4152" s="29">
        <v>0</v>
      </c>
      <c r="N4152" t="s">
        <v>32</v>
      </c>
      <c r="O4152" t="s">
        <v>33</v>
      </c>
      <c r="P4152" t="s">
        <v>34</v>
      </c>
      <c r="Q4152" t="s">
        <v>34</v>
      </c>
      <c r="R4152" t="s">
        <v>34</v>
      </c>
      <c r="S4152" t="s">
        <v>34</v>
      </c>
      <c r="T4152" s="117">
        <v>0</v>
      </c>
    </row>
    <row r="4153" spans="1:21" x14ac:dyDescent="0.35">
      <c r="A4153" t="s">
        <v>19</v>
      </c>
      <c r="B4153" t="s">
        <v>21</v>
      </c>
      <c r="C4153" s="1">
        <v>45840</v>
      </c>
      <c r="D4153">
        <f t="shared" si="296"/>
        <v>2</v>
      </c>
      <c r="E4153">
        <f t="shared" si="297"/>
        <v>7</v>
      </c>
      <c r="F4153">
        <f t="shared" si="298"/>
        <v>2025</v>
      </c>
      <c r="G4153" t="s">
        <v>75</v>
      </c>
      <c r="H4153" s="98">
        <v>12475</v>
      </c>
      <c r="I4153" s="29">
        <v>31363.8</v>
      </c>
      <c r="J4153" s="12" t="s">
        <v>31</v>
      </c>
      <c r="K4153" s="76">
        <f t="shared" si="295"/>
        <v>31363.8</v>
      </c>
      <c r="L4153">
        <v>1</v>
      </c>
      <c r="M4153" s="29">
        <v>0</v>
      </c>
      <c r="N4153" t="s">
        <v>32</v>
      </c>
      <c r="O4153" t="s">
        <v>33</v>
      </c>
      <c r="P4153" t="s">
        <v>34</v>
      </c>
      <c r="Q4153" t="s">
        <v>34</v>
      </c>
      <c r="R4153" t="s">
        <v>34</v>
      </c>
      <c r="S4153" t="s">
        <v>34</v>
      </c>
      <c r="T4153" s="117">
        <v>0</v>
      </c>
    </row>
    <row r="4154" spans="1:21" x14ac:dyDescent="0.35">
      <c r="A4154" t="s">
        <v>19</v>
      </c>
      <c r="B4154" t="s">
        <v>21</v>
      </c>
      <c r="C4154" s="1">
        <v>45840</v>
      </c>
      <c r="D4154">
        <f t="shared" si="296"/>
        <v>2</v>
      </c>
      <c r="E4154">
        <f t="shared" si="297"/>
        <v>7</v>
      </c>
      <c r="F4154">
        <f t="shared" si="298"/>
        <v>2025</v>
      </c>
      <c r="G4154" t="s">
        <v>75</v>
      </c>
      <c r="H4154" s="98">
        <v>11726</v>
      </c>
      <c r="I4154" s="29">
        <v>13</v>
      </c>
      <c r="J4154" s="12" t="s">
        <v>31</v>
      </c>
      <c r="K4154" s="76">
        <f t="shared" si="295"/>
        <v>13</v>
      </c>
      <c r="L4154">
        <v>1</v>
      </c>
      <c r="M4154" s="29">
        <v>0</v>
      </c>
      <c r="N4154" t="s">
        <v>32</v>
      </c>
      <c r="O4154" t="s">
        <v>33</v>
      </c>
      <c r="P4154" t="s">
        <v>34</v>
      </c>
      <c r="Q4154" t="s">
        <v>34</v>
      </c>
      <c r="R4154" t="s">
        <v>34</v>
      </c>
      <c r="S4154" t="s">
        <v>34</v>
      </c>
      <c r="T4154" s="117">
        <v>0</v>
      </c>
    </row>
    <row r="4155" spans="1:21" x14ac:dyDescent="0.35">
      <c r="A4155" t="s">
        <v>19</v>
      </c>
      <c r="B4155" t="s">
        <v>21</v>
      </c>
      <c r="C4155" s="1">
        <v>45840</v>
      </c>
      <c r="D4155">
        <f t="shared" si="296"/>
        <v>2</v>
      </c>
      <c r="E4155">
        <f t="shared" si="297"/>
        <v>7</v>
      </c>
      <c r="F4155">
        <f t="shared" si="298"/>
        <v>2025</v>
      </c>
      <c r="G4155" t="s">
        <v>75</v>
      </c>
      <c r="H4155" s="98">
        <v>12590</v>
      </c>
      <c r="I4155" s="29">
        <v>20567.810000000001</v>
      </c>
      <c r="J4155" s="12" t="s">
        <v>31</v>
      </c>
      <c r="K4155" s="76">
        <f t="shared" si="295"/>
        <v>20567.810000000001</v>
      </c>
      <c r="L4155">
        <v>1</v>
      </c>
      <c r="M4155" s="29">
        <v>0</v>
      </c>
      <c r="N4155" t="s">
        <v>32</v>
      </c>
      <c r="O4155" t="s">
        <v>33</v>
      </c>
      <c r="P4155" t="s">
        <v>34</v>
      </c>
      <c r="Q4155" t="s">
        <v>34</v>
      </c>
      <c r="R4155" t="s">
        <v>34</v>
      </c>
      <c r="S4155" t="s">
        <v>34</v>
      </c>
      <c r="T4155" s="117">
        <v>0</v>
      </c>
    </row>
    <row r="4156" spans="1:21" x14ac:dyDescent="0.35">
      <c r="A4156" t="s">
        <v>19</v>
      </c>
      <c r="B4156" t="s">
        <v>23</v>
      </c>
      <c r="C4156" s="1">
        <v>45840</v>
      </c>
      <c r="D4156">
        <f t="shared" si="296"/>
        <v>2</v>
      </c>
      <c r="E4156">
        <f t="shared" si="297"/>
        <v>7</v>
      </c>
      <c r="F4156">
        <f t="shared" si="298"/>
        <v>2025</v>
      </c>
      <c r="G4156" t="s">
        <v>74</v>
      </c>
      <c r="H4156" s="98">
        <v>12366</v>
      </c>
      <c r="I4156" s="29">
        <v>39167</v>
      </c>
      <c r="J4156" s="12" t="s">
        <v>31</v>
      </c>
      <c r="K4156" s="76">
        <f t="shared" si="295"/>
        <v>39167</v>
      </c>
      <c r="L4156">
        <v>1</v>
      </c>
      <c r="M4156" s="29">
        <v>0</v>
      </c>
      <c r="N4156" t="s">
        <v>32</v>
      </c>
      <c r="O4156" t="s">
        <v>33</v>
      </c>
      <c r="P4156" t="s">
        <v>34</v>
      </c>
      <c r="Q4156" t="s">
        <v>34</v>
      </c>
      <c r="R4156" t="s">
        <v>34</v>
      </c>
      <c r="S4156" t="s">
        <v>34</v>
      </c>
      <c r="T4156" s="117">
        <v>0</v>
      </c>
    </row>
    <row r="4157" spans="1:21" x14ac:dyDescent="0.35">
      <c r="A4157" t="s">
        <v>19</v>
      </c>
      <c r="B4157" t="s">
        <v>23</v>
      </c>
      <c r="C4157" s="1">
        <v>45840</v>
      </c>
      <c r="D4157">
        <f t="shared" si="296"/>
        <v>2</v>
      </c>
      <c r="E4157">
        <f t="shared" si="297"/>
        <v>7</v>
      </c>
      <c r="F4157">
        <f t="shared" si="298"/>
        <v>2025</v>
      </c>
      <c r="G4157" t="s">
        <v>74</v>
      </c>
      <c r="H4157" s="98">
        <v>11832</v>
      </c>
      <c r="I4157" s="29">
        <v>64487.7</v>
      </c>
      <c r="J4157" s="12" t="s">
        <v>31</v>
      </c>
      <c r="K4157" s="76">
        <f t="shared" si="295"/>
        <v>64487.7</v>
      </c>
      <c r="L4157">
        <v>1</v>
      </c>
      <c r="M4157" s="29">
        <v>0</v>
      </c>
      <c r="N4157" t="s">
        <v>32</v>
      </c>
      <c r="O4157" t="s">
        <v>33</v>
      </c>
      <c r="P4157" t="s">
        <v>34</v>
      </c>
      <c r="Q4157" t="s">
        <v>34</v>
      </c>
      <c r="R4157" t="s">
        <v>34</v>
      </c>
      <c r="S4157" t="s">
        <v>34</v>
      </c>
      <c r="T4157" s="117">
        <v>0</v>
      </c>
    </row>
    <row r="4158" spans="1:21" x14ac:dyDescent="0.35">
      <c r="A4158" t="s">
        <v>19</v>
      </c>
      <c r="B4158" t="s">
        <v>23</v>
      </c>
      <c r="C4158" s="1">
        <v>45840</v>
      </c>
      <c r="D4158">
        <f t="shared" si="296"/>
        <v>2</v>
      </c>
      <c r="E4158">
        <f t="shared" si="297"/>
        <v>7</v>
      </c>
      <c r="F4158">
        <f t="shared" si="298"/>
        <v>2025</v>
      </c>
      <c r="G4158" t="s">
        <v>74</v>
      </c>
      <c r="H4158" s="98">
        <v>12494</v>
      </c>
      <c r="I4158" s="29">
        <v>45140.67</v>
      </c>
      <c r="J4158" s="12" t="s">
        <v>31</v>
      </c>
      <c r="K4158" s="76">
        <f t="shared" si="295"/>
        <v>45140.67</v>
      </c>
      <c r="L4158">
        <v>1</v>
      </c>
      <c r="M4158" s="29">
        <v>0</v>
      </c>
      <c r="N4158" t="s">
        <v>32</v>
      </c>
      <c r="O4158" t="s">
        <v>33</v>
      </c>
      <c r="P4158" t="s">
        <v>34</v>
      </c>
      <c r="Q4158" t="s">
        <v>34</v>
      </c>
      <c r="R4158" t="s">
        <v>34</v>
      </c>
      <c r="S4158" t="s">
        <v>34</v>
      </c>
      <c r="T4158" s="117">
        <v>0</v>
      </c>
    </row>
    <row r="4159" spans="1:21" x14ac:dyDescent="0.35">
      <c r="A4159" t="s">
        <v>19</v>
      </c>
      <c r="B4159" t="s">
        <v>25</v>
      </c>
      <c r="C4159" s="1">
        <v>45840</v>
      </c>
      <c r="D4159">
        <f t="shared" si="296"/>
        <v>2</v>
      </c>
      <c r="E4159">
        <f t="shared" si="297"/>
        <v>7</v>
      </c>
      <c r="F4159">
        <f t="shared" si="298"/>
        <v>2025</v>
      </c>
      <c r="G4159" t="s">
        <v>351</v>
      </c>
      <c r="H4159" s="98">
        <v>12813</v>
      </c>
      <c r="I4159" s="29">
        <v>1607.25</v>
      </c>
      <c r="J4159" s="12" t="s">
        <v>31</v>
      </c>
      <c r="K4159" s="76">
        <f t="shared" si="295"/>
        <v>1607.25</v>
      </c>
      <c r="L4159">
        <v>1</v>
      </c>
      <c r="M4159" s="29">
        <v>0</v>
      </c>
      <c r="N4159" t="s">
        <v>32</v>
      </c>
      <c r="O4159" t="s">
        <v>33</v>
      </c>
      <c r="P4159" t="s">
        <v>34</v>
      </c>
      <c r="Q4159" t="s">
        <v>34</v>
      </c>
      <c r="R4159" t="s">
        <v>34</v>
      </c>
      <c r="S4159" t="s">
        <v>34</v>
      </c>
      <c r="T4159" s="117">
        <v>0</v>
      </c>
    </row>
    <row r="4160" spans="1:21" x14ac:dyDescent="0.35">
      <c r="A4160" t="s">
        <v>19</v>
      </c>
      <c r="B4160" t="s">
        <v>25</v>
      </c>
      <c r="C4160" s="1">
        <v>45840</v>
      </c>
      <c r="D4160">
        <f t="shared" si="296"/>
        <v>2</v>
      </c>
      <c r="E4160">
        <f t="shared" si="297"/>
        <v>7</v>
      </c>
      <c r="F4160">
        <f t="shared" si="298"/>
        <v>2025</v>
      </c>
      <c r="G4160" t="s">
        <v>1146</v>
      </c>
      <c r="H4160" s="98">
        <v>12373</v>
      </c>
      <c r="I4160" s="29">
        <v>1029.5</v>
      </c>
      <c r="J4160" s="12" t="s">
        <v>51</v>
      </c>
      <c r="K4160" s="76">
        <f t="shared" si="295"/>
        <v>1213.7805000000001</v>
      </c>
      <c r="L4160">
        <v>1.179</v>
      </c>
      <c r="M4160" s="29">
        <v>0</v>
      </c>
      <c r="N4160" t="s">
        <v>32</v>
      </c>
      <c r="O4160" t="s">
        <v>33</v>
      </c>
      <c r="P4160" t="s">
        <v>34</v>
      </c>
      <c r="Q4160" t="s">
        <v>34</v>
      </c>
      <c r="R4160" t="s">
        <v>34</v>
      </c>
      <c r="S4160" t="s">
        <v>34</v>
      </c>
      <c r="T4160" s="117">
        <v>0</v>
      </c>
      <c r="U4160" s="209" t="s">
        <v>94</v>
      </c>
    </row>
    <row r="4161" spans="1:21" x14ac:dyDescent="0.35">
      <c r="A4161" t="s">
        <v>19</v>
      </c>
      <c r="B4161" t="s">
        <v>25</v>
      </c>
      <c r="C4161" s="1">
        <v>45840</v>
      </c>
      <c r="D4161">
        <f t="shared" si="296"/>
        <v>2</v>
      </c>
      <c r="E4161">
        <f t="shared" si="297"/>
        <v>7</v>
      </c>
      <c r="F4161">
        <f t="shared" si="298"/>
        <v>2025</v>
      </c>
      <c r="G4161" t="s">
        <v>1146</v>
      </c>
      <c r="H4161" s="98">
        <v>13110</v>
      </c>
      <c r="I4161" s="29">
        <v>20316</v>
      </c>
      <c r="J4161" s="12" t="s">
        <v>51</v>
      </c>
      <c r="K4161" s="76">
        <f t="shared" si="295"/>
        <v>23952.564000000002</v>
      </c>
      <c r="L4161">
        <v>1.179</v>
      </c>
      <c r="M4161" s="29">
        <v>0</v>
      </c>
      <c r="N4161" t="s">
        <v>42</v>
      </c>
      <c r="O4161" t="s">
        <v>33</v>
      </c>
      <c r="P4161" t="s">
        <v>34</v>
      </c>
      <c r="Q4161" t="s">
        <v>34</v>
      </c>
      <c r="R4161" t="s">
        <v>34</v>
      </c>
      <c r="S4161" t="s">
        <v>34</v>
      </c>
      <c r="T4161" s="117">
        <v>0</v>
      </c>
      <c r="U4161" s="209" t="s">
        <v>94</v>
      </c>
    </row>
    <row r="4162" spans="1:21" x14ac:dyDescent="0.35">
      <c r="A4162" t="s">
        <v>19</v>
      </c>
      <c r="B4162" t="s">
        <v>21</v>
      </c>
      <c r="C4162" s="1">
        <v>45840</v>
      </c>
      <c r="D4162">
        <f t="shared" si="296"/>
        <v>2</v>
      </c>
      <c r="E4162">
        <f t="shared" si="297"/>
        <v>7</v>
      </c>
      <c r="F4162">
        <f t="shared" si="298"/>
        <v>2025</v>
      </c>
      <c r="G4162" t="s">
        <v>36</v>
      </c>
      <c r="H4162" s="98">
        <v>12274</v>
      </c>
      <c r="I4162" s="29">
        <v>85206.82</v>
      </c>
      <c r="J4162" s="12" t="s">
        <v>31</v>
      </c>
      <c r="K4162" s="76">
        <f t="shared" si="295"/>
        <v>85206.82</v>
      </c>
      <c r="L4162">
        <v>1</v>
      </c>
      <c r="M4162" s="29">
        <v>0</v>
      </c>
      <c r="N4162" t="s">
        <v>32</v>
      </c>
      <c r="O4162" t="s">
        <v>33</v>
      </c>
      <c r="P4162" t="s">
        <v>34</v>
      </c>
      <c r="Q4162" t="s">
        <v>34</v>
      </c>
      <c r="R4162" t="s">
        <v>34</v>
      </c>
      <c r="S4162" t="s">
        <v>34</v>
      </c>
      <c r="T4162" s="117">
        <v>0</v>
      </c>
    </row>
    <row r="4163" spans="1:21" x14ac:dyDescent="0.35">
      <c r="A4163" t="s">
        <v>19</v>
      </c>
      <c r="B4163" t="s">
        <v>25</v>
      </c>
      <c r="C4163" s="1">
        <v>45840</v>
      </c>
      <c r="D4163">
        <f t="shared" si="296"/>
        <v>2</v>
      </c>
      <c r="E4163">
        <f t="shared" si="297"/>
        <v>7</v>
      </c>
      <c r="F4163">
        <f t="shared" si="298"/>
        <v>2025</v>
      </c>
      <c r="G4163" t="s">
        <v>36</v>
      </c>
      <c r="H4163" s="98">
        <v>12974</v>
      </c>
      <c r="I4163" s="29">
        <v>2620.4</v>
      </c>
      <c r="J4163" s="12" t="s">
        <v>31</v>
      </c>
      <c r="K4163" s="76">
        <f t="shared" si="295"/>
        <v>2620.4</v>
      </c>
      <c r="L4163">
        <v>1</v>
      </c>
      <c r="M4163" s="29">
        <v>0</v>
      </c>
      <c r="N4163" t="s">
        <v>32</v>
      </c>
      <c r="O4163" t="s">
        <v>33</v>
      </c>
      <c r="P4163" t="s">
        <v>34</v>
      </c>
      <c r="Q4163" t="s">
        <v>34</v>
      </c>
      <c r="R4163" t="s">
        <v>34</v>
      </c>
      <c r="S4163" t="s">
        <v>34</v>
      </c>
      <c r="T4163" s="117">
        <v>0</v>
      </c>
    </row>
    <row r="4164" spans="1:21" x14ac:dyDescent="0.35">
      <c r="A4164" t="s">
        <v>19</v>
      </c>
      <c r="B4164" t="s">
        <v>23</v>
      </c>
      <c r="C4164" s="1">
        <v>45840</v>
      </c>
      <c r="D4164">
        <f t="shared" si="296"/>
        <v>2</v>
      </c>
      <c r="E4164">
        <f t="shared" si="297"/>
        <v>7</v>
      </c>
      <c r="F4164">
        <f t="shared" si="298"/>
        <v>2025</v>
      </c>
      <c r="G4164" t="s">
        <v>989</v>
      </c>
      <c r="H4164" s="98">
        <v>12602</v>
      </c>
      <c r="I4164" s="29">
        <v>1022</v>
      </c>
      <c r="J4164" s="12" t="s">
        <v>31</v>
      </c>
      <c r="K4164" s="76">
        <f t="shared" si="295"/>
        <v>1022</v>
      </c>
      <c r="L4164">
        <v>1</v>
      </c>
      <c r="M4164" s="29">
        <v>0</v>
      </c>
      <c r="N4164" t="s">
        <v>32</v>
      </c>
      <c r="O4164" t="s">
        <v>33</v>
      </c>
      <c r="P4164" t="s">
        <v>34</v>
      </c>
      <c r="Q4164" t="s">
        <v>34</v>
      </c>
      <c r="R4164" t="s">
        <v>34</v>
      </c>
      <c r="S4164" t="s">
        <v>34</v>
      </c>
      <c r="T4164" s="117">
        <v>0</v>
      </c>
    </row>
    <row r="4165" spans="1:21" x14ac:dyDescent="0.35">
      <c r="A4165" t="s">
        <v>19</v>
      </c>
      <c r="B4165" t="s">
        <v>25</v>
      </c>
      <c r="C4165" s="1">
        <v>45840</v>
      </c>
      <c r="D4165">
        <f t="shared" si="296"/>
        <v>2</v>
      </c>
      <c r="E4165">
        <f t="shared" si="297"/>
        <v>7</v>
      </c>
      <c r="F4165">
        <f t="shared" si="298"/>
        <v>2025</v>
      </c>
      <c r="G4165" t="s">
        <v>80</v>
      </c>
      <c r="H4165" s="98">
        <v>12423</v>
      </c>
      <c r="I4165" s="29">
        <v>16696.5</v>
      </c>
      <c r="J4165" s="12" t="s">
        <v>31</v>
      </c>
      <c r="K4165" s="76">
        <f t="shared" si="295"/>
        <v>16696.5</v>
      </c>
      <c r="L4165">
        <v>1</v>
      </c>
      <c r="M4165" s="29">
        <v>0</v>
      </c>
      <c r="N4165" t="s">
        <v>32</v>
      </c>
      <c r="O4165" t="s">
        <v>33</v>
      </c>
      <c r="P4165" t="s">
        <v>34</v>
      </c>
      <c r="Q4165" t="s">
        <v>34</v>
      </c>
      <c r="R4165" t="s">
        <v>34</v>
      </c>
      <c r="S4165" t="s">
        <v>34</v>
      </c>
      <c r="T4165" s="117">
        <v>0</v>
      </c>
    </row>
    <row r="4166" spans="1:21" x14ac:dyDescent="0.35">
      <c r="A4166" t="s">
        <v>19</v>
      </c>
      <c r="B4166" t="s">
        <v>25</v>
      </c>
      <c r="C4166" s="1">
        <v>45840</v>
      </c>
      <c r="D4166">
        <f t="shared" si="296"/>
        <v>2</v>
      </c>
      <c r="E4166">
        <f t="shared" si="297"/>
        <v>7</v>
      </c>
      <c r="F4166">
        <f t="shared" si="298"/>
        <v>2025</v>
      </c>
      <c r="G4166" t="s">
        <v>80</v>
      </c>
      <c r="H4166" s="98">
        <v>12537</v>
      </c>
      <c r="I4166" s="29">
        <v>1588</v>
      </c>
      <c r="J4166" s="12" t="s">
        <v>31</v>
      </c>
      <c r="K4166" s="76">
        <f t="shared" si="295"/>
        <v>1588</v>
      </c>
      <c r="L4166">
        <v>1</v>
      </c>
      <c r="M4166" s="29">
        <v>0</v>
      </c>
      <c r="N4166" t="s">
        <v>32</v>
      </c>
      <c r="O4166" t="s">
        <v>33</v>
      </c>
      <c r="P4166" t="s">
        <v>34</v>
      </c>
      <c r="Q4166" t="s">
        <v>34</v>
      </c>
      <c r="R4166" t="s">
        <v>34</v>
      </c>
      <c r="S4166" t="s">
        <v>34</v>
      </c>
      <c r="T4166" s="117">
        <v>0</v>
      </c>
    </row>
    <row r="4167" spans="1:21" x14ac:dyDescent="0.35">
      <c r="A4167" t="s">
        <v>20</v>
      </c>
      <c r="B4167" t="s">
        <v>21</v>
      </c>
      <c r="C4167" s="1">
        <v>45840</v>
      </c>
      <c r="D4167">
        <f t="shared" si="296"/>
        <v>2</v>
      </c>
      <c r="E4167">
        <f t="shared" si="297"/>
        <v>7</v>
      </c>
      <c r="F4167">
        <f t="shared" si="298"/>
        <v>2025</v>
      </c>
      <c r="G4167" t="s">
        <v>50</v>
      </c>
      <c r="H4167" s="98">
        <v>12388</v>
      </c>
      <c r="I4167" s="29">
        <v>8073</v>
      </c>
      <c r="J4167" s="12" t="s">
        <v>31</v>
      </c>
      <c r="K4167" s="76">
        <f t="shared" si="295"/>
        <v>8073</v>
      </c>
      <c r="L4167">
        <v>1</v>
      </c>
      <c r="M4167" s="29">
        <v>0</v>
      </c>
      <c r="N4167" t="s">
        <v>32</v>
      </c>
      <c r="O4167" t="s">
        <v>33</v>
      </c>
      <c r="P4167" t="s">
        <v>34</v>
      </c>
      <c r="Q4167" t="s">
        <v>34</v>
      </c>
      <c r="R4167" t="s">
        <v>34</v>
      </c>
      <c r="S4167" t="s">
        <v>34</v>
      </c>
      <c r="T4167" s="117">
        <v>0</v>
      </c>
    </row>
    <row r="4168" spans="1:21" x14ac:dyDescent="0.35">
      <c r="A4168" t="s">
        <v>20</v>
      </c>
      <c r="B4168" t="s">
        <v>23</v>
      </c>
      <c r="C4168" s="1">
        <v>45840</v>
      </c>
      <c r="D4168">
        <f t="shared" si="296"/>
        <v>2</v>
      </c>
      <c r="E4168">
        <f t="shared" si="297"/>
        <v>7</v>
      </c>
      <c r="F4168">
        <f t="shared" si="298"/>
        <v>2025</v>
      </c>
      <c r="G4168" t="s">
        <v>82</v>
      </c>
      <c r="H4168" s="98">
        <v>12332</v>
      </c>
      <c r="I4168" s="29">
        <v>24055.69</v>
      </c>
      <c r="J4168" s="12" t="s">
        <v>31</v>
      </c>
      <c r="K4168" s="76">
        <f t="shared" ref="K4168:K4231" si="303">IF(J4168="USD",I4168,I4168*L4168)</f>
        <v>24055.69</v>
      </c>
      <c r="L4168">
        <v>1</v>
      </c>
      <c r="M4168" s="29">
        <v>0</v>
      </c>
      <c r="N4168" t="s">
        <v>32</v>
      </c>
      <c r="O4168" t="s">
        <v>33</v>
      </c>
      <c r="P4168" t="s">
        <v>34</v>
      </c>
      <c r="Q4168" t="s">
        <v>34</v>
      </c>
      <c r="R4168" t="s">
        <v>34</v>
      </c>
      <c r="S4168" t="s">
        <v>34</v>
      </c>
      <c r="T4168" s="117">
        <v>0</v>
      </c>
    </row>
    <row r="4169" spans="1:21" x14ac:dyDescent="0.35">
      <c r="A4169" t="s">
        <v>20</v>
      </c>
      <c r="B4169" t="s">
        <v>21</v>
      </c>
      <c r="C4169" s="1">
        <v>45840</v>
      </c>
      <c r="D4169">
        <f t="shared" ref="D4169:D4232" si="304">DAY(C4169)</f>
        <v>2</v>
      </c>
      <c r="E4169">
        <f t="shared" ref="E4169:E4232" si="305">MONTH(C4169)</f>
        <v>7</v>
      </c>
      <c r="F4169">
        <f t="shared" ref="F4169:F4232" si="306">YEAR(C4169)</f>
        <v>2025</v>
      </c>
      <c r="G4169" t="s">
        <v>82</v>
      </c>
      <c r="H4169" s="98">
        <v>12343</v>
      </c>
      <c r="I4169" s="29">
        <v>248</v>
      </c>
      <c r="J4169" s="12" t="s">
        <v>31</v>
      </c>
      <c r="K4169" s="76">
        <f t="shared" si="303"/>
        <v>248</v>
      </c>
      <c r="L4169">
        <v>1</v>
      </c>
      <c r="M4169" s="29">
        <v>0</v>
      </c>
      <c r="N4169" t="s">
        <v>32</v>
      </c>
      <c r="O4169" t="s">
        <v>33</v>
      </c>
      <c r="P4169" t="s">
        <v>34</v>
      </c>
      <c r="Q4169" t="s">
        <v>34</v>
      </c>
      <c r="R4169" t="s">
        <v>34</v>
      </c>
      <c r="S4169" t="s">
        <v>34</v>
      </c>
      <c r="T4169" s="117">
        <v>0</v>
      </c>
    </row>
    <row r="4170" spans="1:21" x14ac:dyDescent="0.35">
      <c r="A4170" t="s">
        <v>20</v>
      </c>
      <c r="B4170" t="s">
        <v>21</v>
      </c>
      <c r="C4170" s="1">
        <v>45840</v>
      </c>
      <c r="D4170">
        <f t="shared" si="304"/>
        <v>2</v>
      </c>
      <c r="E4170">
        <f t="shared" si="305"/>
        <v>7</v>
      </c>
      <c r="F4170">
        <f t="shared" si="306"/>
        <v>2025</v>
      </c>
      <c r="G4170" t="s">
        <v>45</v>
      </c>
      <c r="H4170" s="98">
        <v>12405</v>
      </c>
      <c r="I4170" s="29">
        <v>116197.9</v>
      </c>
      <c r="J4170" s="12" t="s">
        <v>31</v>
      </c>
      <c r="K4170" s="76">
        <f t="shared" si="303"/>
        <v>116197.9</v>
      </c>
      <c r="L4170">
        <v>1</v>
      </c>
      <c r="M4170" s="29">
        <v>0</v>
      </c>
      <c r="N4170" t="s">
        <v>32</v>
      </c>
      <c r="O4170" t="s">
        <v>33</v>
      </c>
      <c r="P4170" t="s">
        <v>34</v>
      </c>
      <c r="Q4170" t="s">
        <v>34</v>
      </c>
      <c r="R4170" t="s">
        <v>34</v>
      </c>
      <c r="S4170" t="s">
        <v>34</v>
      </c>
      <c r="T4170" s="117">
        <v>0</v>
      </c>
    </row>
    <row r="4171" spans="1:21" x14ac:dyDescent="0.35">
      <c r="A4171" t="s">
        <v>20</v>
      </c>
      <c r="B4171" t="s">
        <v>24</v>
      </c>
      <c r="C4171" s="1">
        <v>45840</v>
      </c>
      <c r="D4171">
        <f t="shared" si="304"/>
        <v>2</v>
      </c>
      <c r="E4171">
        <f t="shared" si="305"/>
        <v>7</v>
      </c>
      <c r="F4171">
        <f t="shared" si="306"/>
        <v>2025</v>
      </c>
      <c r="G4171" t="s">
        <v>45</v>
      </c>
      <c r="H4171" s="98">
        <v>12405</v>
      </c>
      <c r="I4171" s="29">
        <v>19804.330000000002</v>
      </c>
      <c r="J4171" s="12" t="s">
        <v>31</v>
      </c>
      <c r="K4171" s="76">
        <f t="shared" si="303"/>
        <v>19804.330000000002</v>
      </c>
      <c r="L4171">
        <v>1</v>
      </c>
      <c r="M4171" s="29">
        <v>0</v>
      </c>
      <c r="N4171" t="s">
        <v>32</v>
      </c>
      <c r="O4171" t="s">
        <v>33</v>
      </c>
      <c r="P4171" t="s">
        <v>34</v>
      </c>
      <c r="Q4171" t="s">
        <v>34</v>
      </c>
      <c r="R4171" t="s">
        <v>34</v>
      </c>
      <c r="S4171" t="s">
        <v>34</v>
      </c>
      <c r="T4171" s="117">
        <v>0</v>
      </c>
    </row>
    <row r="4172" spans="1:21" x14ac:dyDescent="0.35">
      <c r="A4172" t="s">
        <v>20</v>
      </c>
      <c r="B4172" t="s">
        <v>24</v>
      </c>
      <c r="C4172" s="1">
        <v>45840</v>
      </c>
      <c r="D4172">
        <f t="shared" si="304"/>
        <v>2</v>
      </c>
      <c r="E4172">
        <f t="shared" si="305"/>
        <v>7</v>
      </c>
      <c r="F4172">
        <f t="shared" si="306"/>
        <v>2025</v>
      </c>
      <c r="G4172" t="s">
        <v>45</v>
      </c>
      <c r="H4172" s="98">
        <v>12697</v>
      </c>
      <c r="I4172" s="29">
        <v>390.4</v>
      </c>
      <c r="J4172" s="12" t="s">
        <v>31</v>
      </c>
      <c r="K4172" s="76">
        <f t="shared" si="303"/>
        <v>390.4</v>
      </c>
      <c r="L4172">
        <v>1</v>
      </c>
      <c r="M4172" s="29">
        <v>0</v>
      </c>
      <c r="N4172" t="s">
        <v>32</v>
      </c>
      <c r="O4172" t="s">
        <v>33</v>
      </c>
      <c r="P4172" t="s">
        <v>34</v>
      </c>
      <c r="Q4172" t="s">
        <v>34</v>
      </c>
      <c r="R4172" t="s">
        <v>34</v>
      </c>
      <c r="S4172" t="s">
        <v>34</v>
      </c>
      <c r="T4172" s="117">
        <v>0</v>
      </c>
    </row>
    <row r="4173" spans="1:21" x14ac:dyDescent="0.35">
      <c r="A4173" t="s">
        <v>20</v>
      </c>
      <c r="B4173" t="s">
        <v>23</v>
      </c>
      <c r="C4173" s="1">
        <v>45840</v>
      </c>
      <c r="D4173">
        <f t="shared" si="304"/>
        <v>2</v>
      </c>
      <c r="E4173">
        <f t="shared" si="305"/>
        <v>7</v>
      </c>
      <c r="F4173">
        <f t="shared" si="306"/>
        <v>2025</v>
      </c>
      <c r="G4173" t="s">
        <v>118</v>
      </c>
      <c r="H4173" s="98">
        <v>12751</v>
      </c>
      <c r="I4173" s="29">
        <v>5068.7999999999993</v>
      </c>
      <c r="J4173" s="12" t="s">
        <v>31</v>
      </c>
      <c r="K4173" s="76">
        <f t="shared" si="303"/>
        <v>5068.7999999999993</v>
      </c>
      <c r="L4173">
        <v>1</v>
      </c>
      <c r="M4173" s="29">
        <v>0</v>
      </c>
      <c r="N4173" t="s">
        <v>32</v>
      </c>
      <c r="O4173" t="s">
        <v>33</v>
      </c>
      <c r="P4173" t="s">
        <v>34</v>
      </c>
      <c r="Q4173" t="s">
        <v>34</v>
      </c>
      <c r="R4173" t="s">
        <v>34</v>
      </c>
      <c r="S4173" t="s">
        <v>34</v>
      </c>
      <c r="T4173" s="117">
        <v>0</v>
      </c>
    </row>
    <row r="4174" spans="1:21" x14ac:dyDescent="0.35">
      <c r="A4174" t="s">
        <v>20</v>
      </c>
      <c r="B4174" t="s">
        <v>25</v>
      </c>
      <c r="C4174" s="1">
        <v>45840</v>
      </c>
      <c r="D4174">
        <f t="shared" si="304"/>
        <v>2</v>
      </c>
      <c r="E4174">
        <f t="shared" si="305"/>
        <v>7</v>
      </c>
      <c r="F4174">
        <f t="shared" si="306"/>
        <v>2025</v>
      </c>
      <c r="G4174" t="s">
        <v>118</v>
      </c>
      <c r="H4174" s="98">
        <v>12800</v>
      </c>
      <c r="I4174" s="29">
        <v>30102.885999999999</v>
      </c>
      <c r="J4174" s="12" t="s">
        <v>31</v>
      </c>
      <c r="K4174" s="76">
        <f t="shared" si="303"/>
        <v>30102.885999999999</v>
      </c>
      <c r="L4174">
        <v>1</v>
      </c>
      <c r="M4174" s="29">
        <v>0</v>
      </c>
      <c r="N4174" t="s">
        <v>32</v>
      </c>
      <c r="O4174" t="s">
        <v>33</v>
      </c>
      <c r="P4174" t="s">
        <v>34</v>
      </c>
      <c r="Q4174" t="s">
        <v>34</v>
      </c>
      <c r="R4174" t="s">
        <v>34</v>
      </c>
      <c r="S4174" t="s">
        <v>34</v>
      </c>
      <c r="T4174" s="117">
        <v>0</v>
      </c>
    </row>
    <row r="4175" spans="1:21" x14ac:dyDescent="0.35">
      <c r="A4175" t="s">
        <v>20</v>
      </c>
      <c r="B4175" t="s">
        <v>24</v>
      </c>
      <c r="C4175" s="1">
        <v>45840</v>
      </c>
      <c r="D4175">
        <f t="shared" si="304"/>
        <v>2</v>
      </c>
      <c r="E4175">
        <f t="shared" si="305"/>
        <v>7</v>
      </c>
      <c r="F4175">
        <f t="shared" si="306"/>
        <v>2025</v>
      </c>
      <c r="G4175" t="s">
        <v>91</v>
      </c>
      <c r="H4175" s="98">
        <v>12517</v>
      </c>
      <c r="I4175" s="29">
        <v>406.5</v>
      </c>
      <c r="J4175" s="12" t="s">
        <v>31</v>
      </c>
      <c r="K4175" s="76">
        <f t="shared" si="303"/>
        <v>406.5</v>
      </c>
      <c r="L4175">
        <v>1</v>
      </c>
      <c r="M4175" s="29">
        <v>0</v>
      </c>
      <c r="N4175" t="s">
        <v>32</v>
      </c>
      <c r="O4175" t="s">
        <v>33</v>
      </c>
      <c r="P4175" t="s">
        <v>34</v>
      </c>
      <c r="Q4175" t="s">
        <v>34</v>
      </c>
      <c r="R4175" t="s">
        <v>34</v>
      </c>
      <c r="S4175" t="s">
        <v>34</v>
      </c>
      <c r="T4175" s="117">
        <v>0</v>
      </c>
    </row>
    <row r="4176" spans="1:21" x14ac:dyDescent="0.35">
      <c r="A4176" t="s">
        <v>20</v>
      </c>
      <c r="B4176" t="s">
        <v>23</v>
      </c>
      <c r="C4176" s="1">
        <v>45840</v>
      </c>
      <c r="D4176">
        <f t="shared" si="304"/>
        <v>2</v>
      </c>
      <c r="E4176">
        <f t="shared" si="305"/>
        <v>7</v>
      </c>
      <c r="F4176">
        <f t="shared" si="306"/>
        <v>2025</v>
      </c>
      <c r="G4176" t="s">
        <v>265</v>
      </c>
      <c r="H4176" s="98">
        <v>13128</v>
      </c>
      <c r="I4176" s="29">
        <v>91.5</v>
      </c>
      <c r="J4176" s="12" t="s">
        <v>31</v>
      </c>
      <c r="K4176" s="76">
        <f t="shared" si="303"/>
        <v>91.5</v>
      </c>
      <c r="L4176">
        <v>1</v>
      </c>
      <c r="M4176" s="29">
        <v>0</v>
      </c>
      <c r="N4176" t="s">
        <v>42</v>
      </c>
      <c r="O4176" t="s">
        <v>33</v>
      </c>
      <c r="P4176" t="s">
        <v>34</v>
      </c>
      <c r="Q4176" t="s">
        <v>34</v>
      </c>
      <c r="R4176" t="s">
        <v>34</v>
      </c>
      <c r="S4176" t="s">
        <v>34</v>
      </c>
      <c r="T4176" s="117">
        <v>0</v>
      </c>
    </row>
    <row r="4177" spans="1:20" x14ac:dyDescent="0.35">
      <c r="A4177" t="s">
        <v>20</v>
      </c>
      <c r="B4177" t="s">
        <v>23</v>
      </c>
      <c r="C4177" s="1">
        <v>45840</v>
      </c>
      <c r="D4177">
        <f t="shared" si="304"/>
        <v>2</v>
      </c>
      <c r="E4177">
        <f t="shared" si="305"/>
        <v>7</v>
      </c>
      <c r="F4177">
        <f t="shared" si="306"/>
        <v>2025</v>
      </c>
      <c r="G4177" t="s">
        <v>265</v>
      </c>
      <c r="H4177" s="98">
        <v>13129</v>
      </c>
      <c r="I4177" s="29">
        <v>2570</v>
      </c>
      <c r="J4177" s="12" t="s">
        <v>31</v>
      </c>
      <c r="K4177" s="76">
        <f t="shared" si="303"/>
        <v>2570</v>
      </c>
      <c r="L4177">
        <v>1</v>
      </c>
      <c r="M4177" s="29">
        <v>0</v>
      </c>
      <c r="N4177" t="s">
        <v>42</v>
      </c>
      <c r="O4177" t="s">
        <v>33</v>
      </c>
      <c r="P4177" t="s">
        <v>34</v>
      </c>
      <c r="Q4177" t="s">
        <v>34</v>
      </c>
      <c r="R4177" t="s">
        <v>34</v>
      </c>
      <c r="S4177" t="s">
        <v>34</v>
      </c>
      <c r="T4177" s="117">
        <v>0</v>
      </c>
    </row>
    <row r="4178" spans="1:20" x14ac:dyDescent="0.35">
      <c r="A4178" t="s">
        <v>20</v>
      </c>
      <c r="B4178" t="s">
        <v>21</v>
      </c>
      <c r="C4178" s="1">
        <v>45840</v>
      </c>
      <c r="D4178">
        <f t="shared" si="304"/>
        <v>2</v>
      </c>
      <c r="E4178">
        <f t="shared" si="305"/>
        <v>7</v>
      </c>
      <c r="F4178">
        <f t="shared" si="306"/>
        <v>2025</v>
      </c>
      <c r="G4178" t="s">
        <v>273</v>
      </c>
      <c r="H4178" s="98">
        <v>12677</v>
      </c>
      <c r="I4178" s="29">
        <v>3954.11</v>
      </c>
      <c r="J4178" s="12" t="s">
        <v>31</v>
      </c>
      <c r="K4178" s="76">
        <f t="shared" si="303"/>
        <v>3954.11</v>
      </c>
      <c r="L4178">
        <v>1</v>
      </c>
      <c r="M4178" s="29">
        <v>0</v>
      </c>
      <c r="N4178" t="s">
        <v>32</v>
      </c>
      <c r="O4178" t="s">
        <v>33</v>
      </c>
      <c r="P4178" t="s">
        <v>34</v>
      </c>
      <c r="Q4178" t="s">
        <v>34</v>
      </c>
      <c r="R4178" t="s">
        <v>34</v>
      </c>
      <c r="S4178" t="s">
        <v>34</v>
      </c>
      <c r="T4178" s="117">
        <v>0</v>
      </c>
    </row>
    <row r="4179" spans="1:20" x14ac:dyDescent="0.35">
      <c r="A4179" t="s">
        <v>20</v>
      </c>
      <c r="B4179" t="s">
        <v>21</v>
      </c>
      <c r="C4179" s="1">
        <v>45840</v>
      </c>
      <c r="D4179">
        <f t="shared" si="304"/>
        <v>2</v>
      </c>
      <c r="E4179">
        <f t="shared" si="305"/>
        <v>7</v>
      </c>
      <c r="F4179">
        <f t="shared" si="306"/>
        <v>2025</v>
      </c>
      <c r="G4179" t="s">
        <v>81</v>
      </c>
      <c r="H4179" s="98">
        <v>12406</v>
      </c>
      <c r="I4179" s="29">
        <v>8143.87</v>
      </c>
      <c r="J4179" s="12" t="s">
        <v>31</v>
      </c>
      <c r="K4179" s="76">
        <f t="shared" si="303"/>
        <v>8143.87</v>
      </c>
      <c r="L4179">
        <v>1</v>
      </c>
      <c r="M4179" s="29">
        <v>0</v>
      </c>
      <c r="N4179" t="s">
        <v>32</v>
      </c>
      <c r="O4179" t="s">
        <v>33</v>
      </c>
      <c r="P4179" t="s">
        <v>34</v>
      </c>
      <c r="Q4179" t="s">
        <v>34</v>
      </c>
      <c r="R4179" t="s">
        <v>34</v>
      </c>
      <c r="S4179" t="s">
        <v>34</v>
      </c>
      <c r="T4179" s="117">
        <v>0</v>
      </c>
    </row>
    <row r="4180" spans="1:20" x14ac:dyDescent="0.35">
      <c r="A4180" t="s">
        <v>20</v>
      </c>
      <c r="B4180" t="s">
        <v>25</v>
      </c>
      <c r="C4180" s="1">
        <v>45840</v>
      </c>
      <c r="D4180">
        <f t="shared" si="304"/>
        <v>2</v>
      </c>
      <c r="E4180">
        <f t="shared" si="305"/>
        <v>7</v>
      </c>
      <c r="F4180">
        <f t="shared" si="306"/>
        <v>2025</v>
      </c>
      <c r="G4180" t="s">
        <v>81</v>
      </c>
      <c r="H4180" s="98">
        <v>12746</v>
      </c>
      <c r="I4180" s="29">
        <v>51556.5</v>
      </c>
      <c r="J4180" s="12" t="s">
        <v>31</v>
      </c>
      <c r="K4180" s="76">
        <f t="shared" si="303"/>
        <v>51556.5</v>
      </c>
      <c r="L4180">
        <v>1</v>
      </c>
      <c r="M4180" s="29">
        <v>0</v>
      </c>
      <c r="N4180" t="s">
        <v>32</v>
      </c>
      <c r="O4180" t="s">
        <v>33</v>
      </c>
      <c r="P4180" t="s">
        <v>34</v>
      </c>
      <c r="Q4180" t="s">
        <v>34</v>
      </c>
      <c r="R4180" t="s">
        <v>34</v>
      </c>
      <c r="S4180" t="s">
        <v>34</v>
      </c>
      <c r="T4180" s="117">
        <v>0</v>
      </c>
    </row>
    <row r="4181" spans="1:20" x14ac:dyDescent="0.35">
      <c r="A4181" t="s">
        <v>20</v>
      </c>
      <c r="B4181" t="s">
        <v>21</v>
      </c>
      <c r="C4181" s="1">
        <v>45840</v>
      </c>
      <c r="D4181">
        <f t="shared" si="304"/>
        <v>2</v>
      </c>
      <c r="E4181">
        <f t="shared" si="305"/>
        <v>7</v>
      </c>
      <c r="F4181">
        <f t="shared" si="306"/>
        <v>2025</v>
      </c>
      <c r="G4181" t="s">
        <v>81</v>
      </c>
      <c r="H4181" s="98">
        <v>12631</v>
      </c>
      <c r="I4181" s="29">
        <v>57</v>
      </c>
      <c r="J4181" s="12" t="s">
        <v>31</v>
      </c>
      <c r="K4181" s="76">
        <f t="shared" si="303"/>
        <v>57</v>
      </c>
      <c r="L4181">
        <v>1</v>
      </c>
      <c r="M4181" s="29">
        <v>0</v>
      </c>
      <c r="N4181" t="s">
        <v>32</v>
      </c>
      <c r="O4181" t="s">
        <v>33</v>
      </c>
      <c r="P4181" t="s">
        <v>34</v>
      </c>
      <c r="Q4181" t="s">
        <v>34</v>
      </c>
      <c r="R4181" t="s">
        <v>34</v>
      </c>
      <c r="S4181" t="s">
        <v>34</v>
      </c>
      <c r="T4181" s="117">
        <v>0</v>
      </c>
    </row>
    <row r="4182" spans="1:20" x14ac:dyDescent="0.35">
      <c r="A4182" t="s">
        <v>20</v>
      </c>
      <c r="B4182" t="s">
        <v>23</v>
      </c>
      <c r="C4182" s="1">
        <v>45840</v>
      </c>
      <c r="D4182">
        <f t="shared" si="304"/>
        <v>2</v>
      </c>
      <c r="E4182">
        <f t="shared" si="305"/>
        <v>7</v>
      </c>
      <c r="F4182">
        <f t="shared" si="306"/>
        <v>2025</v>
      </c>
      <c r="G4182" t="s">
        <v>177</v>
      </c>
      <c r="H4182" s="98">
        <v>12531</v>
      </c>
      <c r="I4182" s="29">
        <v>22347.13</v>
      </c>
      <c r="J4182" s="12" t="s">
        <v>31</v>
      </c>
      <c r="K4182" s="76">
        <f t="shared" si="303"/>
        <v>22347.13</v>
      </c>
      <c r="L4182">
        <v>1</v>
      </c>
      <c r="M4182" s="29">
        <v>0</v>
      </c>
      <c r="N4182" t="s">
        <v>32</v>
      </c>
      <c r="O4182" t="s">
        <v>33</v>
      </c>
      <c r="P4182" t="s">
        <v>34</v>
      </c>
      <c r="Q4182" t="s">
        <v>34</v>
      </c>
      <c r="R4182" t="s">
        <v>34</v>
      </c>
      <c r="S4182" t="s">
        <v>34</v>
      </c>
      <c r="T4182" s="117">
        <v>0</v>
      </c>
    </row>
    <row r="4183" spans="1:20" x14ac:dyDescent="0.35">
      <c r="A4183" t="s">
        <v>20</v>
      </c>
      <c r="B4183" t="s">
        <v>25</v>
      </c>
      <c r="C4183" s="1">
        <v>45840</v>
      </c>
      <c r="D4183">
        <f t="shared" si="304"/>
        <v>2</v>
      </c>
      <c r="E4183">
        <f t="shared" si="305"/>
        <v>7</v>
      </c>
      <c r="F4183">
        <f t="shared" si="306"/>
        <v>2025</v>
      </c>
      <c r="G4183" t="s">
        <v>84</v>
      </c>
      <c r="H4183" s="98">
        <v>12741</v>
      </c>
      <c r="I4183" s="29">
        <v>35899.79</v>
      </c>
      <c r="J4183" s="12" t="s">
        <v>31</v>
      </c>
      <c r="K4183" s="76">
        <f t="shared" si="303"/>
        <v>35899.79</v>
      </c>
      <c r="L4183">
        <v>1</v>
      </c>
      <c r="M4183" s="29">
        <v>0</v>
      </c>
      <c r="N4183" t="s">
        <v>32</v>
      </c>
      <c r="O4183" t="s">
        <v>33</v>
      </c>
      <c r="P4183" t="s">
        <v>34</v>
      </c>
      <c r="Q4183" t="s">
        <v>34</v>
      </c>
      <c r="R4183" t="s">
        <v>34</v>
      </c>
      <c r="S4183" t="s">
        <v>34</v>
      </c>
      <c r="T4183" s="117">
        <v>942.86</v>
      </c>
    </row>
    <row r="4184" spans="1:20" x14ac:dyDescent="0.35">
      <c r="A4184" t="s">
        <v>20</v>
      </c>
      <c r="B4184" t="s">
        <v>21</v>
      </c>
      <c r="C4184" s="1">
        <v>45840</v>
      </c>
      <c r="D4184">
        <f t="shared" si="304"/>
        <v>2</v>
      </c>
      <c r="E4184">
        <f t="shared" si="305"/>
        <v>7</v>
      </c>
      <c r="F4184">
        <f t="shared" si="306"/>
        <v>2025</v>
      </c>
      <c r="G4184" t="s">
        <v>459</v>
      </c>
      <c r="H4184" s="98">
        <v>13098</v>
      </c>
      <c r="I4184" s="29">
        <v>94</v>
      </c>
      <c r="J4184" s="12" t="s">
        <v>31</v>
      </c>
      <c r="K4184" s="76">
        <f t="shared" si="303"/>
        <v>94</v>
      </c>
      <c r="L4184">
        <v>1</v>
      </c>
      <c r="M4184" s="29">
        <v>0</v>
      </c>
      <c r="N4184" t="s">
        <v>42</v>
      </c>
      <c r="O4184" t="s">
        <v>33</v>
      </c>
      <c r="P4184" t="s">
        <v>34</v>
      </c>
      <c r="Q4184" t="s">
        <v>34</v>
      </c>
      <c r="R4184" t="s">
        <v>34</v>
      </c>
      <c r="S4184" t="s">
        <v>34</v>
      </c>
      <c r="T4184" s="117">
        <v>0</v>
      </c>
    </row>
    <row r="4185" spans="1:20" x14ac:dyDescent="0.35">
      <c r="A4185" t="s">
        <v>20</v>
      </c>
      <c r="B4185" t="s">
        <v>21</v>
      </c>
      <c r="C4185" s="1">
        <v>45840</v>
      </c>
      <c r="D4185">
        <f t="shared" si="304"/>
        <v>2</v>
      </c>
      <c r="E4185">
        <f t="shared" si="305"/>
        <v>7</v>
      </c>
      <c r="F4185">
        <f t="shared" si="306"/>
        <v>2025</v>
      </c>
      <c r="G4185" t="s">
        <v>459</v>
      </c>
      <c r="H4185" s="98">
        <v>13099</v>
      </c>
      <c r="I4185" s="29">
        <v>2385.7199999999998</v>
      </c>
      <c r="J4185" s="12" t="s">
        <v>31</v>
      </c>
      <c r="K4185" s="76">
        <f t="shared" si="303"/>
        <v>2385.7199999999998</v>
      </c>
      <c r="L4185">
        <v>1</v>
      </c>
      <c r="M4185" s="29">
        <v>0</v>
      </c>
      <c r="N4185" t="s">
        <v>42</v>
      </c>
      <c r="O4185" t="s">
        <v>33</v>
      </c>
      <c r="P4185" t="s">
        <v>34</v>
      </c>
      <c r="Q4185" t="s">
        <v>34</v>
      </c>
      <c r="R4185" t="s">
        <v>34</v>
      </c>
      <c r="S4185" t="s">
        <v>34</v>
      </c>
      <c r="T4185" s="117">
        <v>0</v>
      </c>
    </row>
    <row r="4186" spans="1:20" x14ac:dyDescent="0.35">
      <c r="A4186" t="s">
        <v>20</v>
      </c>
      <c r="B4186" t="s">
        <v>25</v>
      </c>
      <c r="C4186" s="1">
        <v>45840</v>
      </c>
      <c r="D4186">
        <f t="shared" si="304"/>
        <v>2</v>
      </c>
      <c r="E4186">
        <f t="shared" si="305"/>
        <v>7</v>
      </c>
      <c r="F4186">
        <f t="shared" si="306"/>
        <v>2025</v>
      </c>
      <c r="G4186" t="s">
        <v>99</v>
      </c>
      <c r="H4186" s="98">
        <v>12582</v>
      </c>
      <c r="I4186" s="29">
        <v>25752.1</v>
      </c>
      <c r="J4186" s="12" t="s">
        <v>31</v>
      </c>
      <c r="K4186" s="76">
        <f t="shared" si="303"/>
        <v>25752.1</v>
      </c>
      <c r="L4186">
        <v>1</v>
      </c>
      <c r="M4186" s="29">
        <v>0</v>
      </c>
      <c r="N4186" t="s">
        <v>32</v>
      </c>
      <c r="O4186" t="s">
        <v>33</v>
      </c>
      <c r="P4186" t="s">
        <v>34</v>
      </c>
      <c r="Q4186" t="s">
        <v>34</v>
      </c>
      <c r="R4186" t="s">
        <v>34</v>
      </c>
      <c r="S4186" t="s">
        <v>34</v>
      </c>
      <c r="T4186" s="117">
        <v>0</v>
      </c>
    </row>
    <row r="4187" spans="1:20" x14ac:dyDescent="0.35">
      <c r="A4187" t="s">
        <v>20</v>
      </c>
      <c r="B4187" t="s">
        <v>21</v>
      </c>
      <c r="C4187" s="1">
        <v>45840</v>
      </c>
      <c r="D4187">
        <f t="shared" si="304"/>
        <v>2</v>
      </c>
      <c r="E4187">
        <f t="shared" si="305"/>
        <v>7</v>
      </c>
      <c r="F4187">
        <f t="shared" si="306"/>
        <v>2025</v>
      </c>
      <c r="G4187" t="s">
        <v>52</v>
      </c>
      <c r="H4187" s="98">
        <v>12583</v>
      </c>
      <c r="I4187" s="29">
        <v>284.39999999999998</v>
      </c>
      <c r="J4187" s="12" t="s">
        <v>31</v>
      </c>
      <c r="K4187" s="76">
        <f t="shared" si="303"/>
        <v>284.39999999999998</v>
      </c>
      <c r="L4187">
        <v>1</v>
      </c>
      <c r="M4187" s="29">
        <v>0</v>
      </c>
      <c r="N4187" t="s">
        <v>32</v>
      </c>
      <c r="O4187" t="s">
        <v>33</v>
      </c>
      <c r="P4187" t="s">
        <v>34</v>
      </c>
      <c r="Q4187" t="s">
        <v>34</v>
      </c>
      <c r="R4187" t="s">
        <v>34</v>
      </c>
      <c r="S4187" t="s">
        <v>34</v>
      </c>
      <c r="T4187" s="117">
        <v>0</v>
      </c>
    </row>
    <row r="4188" spans="1:20" x14ac:dyDescent="0.35">
      <c r="A4188" t="s">
        <v>20</v>
      </c>
      <c r="B4188" t="s">
        <v>23</v>
      </c>
      <c r="C4188" s="1">
        <v>45840</v>
      </c>
      <c r="D4188">
        <f t="shared" si="304"/>
        <v>2</v>
      </c>
      <c r="E4188">
        <f t="shared" si="305"/>
        <v>7</v>
      </c>
      <c r="F4188">
        <f t="shared" si="306"/>
        <v>2025</v>
      </c>
      <c r="G4188" t="s">
        <v>53</v>
      </c>
      <c r="H4188" s="171">
        <v>12683</v>
      </c>
      <c r="I4188" s="90">
        <v>22901.25</v>
      </c>
      <c r="J4188" s="12" t="s">
        <v>31</v>
      </c>
      <c r="K4188" s="76">
        <f t="shared" si="303"/>
        <v>22901.25</v>
      </c>
      <c r="L4188">
        <v>1</v>
      </c>
      <c r="M4188" s="29">
        <v>0</v>
      </c>
      <c r="N4188" t="s">
        <v>32</v>
      </c>
      <c r="O4188" t="s">
        <v>33</v>
      </c>
      <c r="P4188" t="s">
        <v>34</v>
      </c>
      <c r="Q4188" t="s">
        <v>34</v>
      </c>
      <c r="R4188" t="s">
        <v>34</v>
      </c>
      <c r="S4188" t="s">
        <v>34</v>
      </c>
      <c r="T4188" s="117">
        <v>0</v>
      </c>
    </row>
    <row r="4189" spans="1:20" x14ac:dyDescent="0.35">
      <c r="A4189" t="s">
        <v>20</v>
      </c>
      <c r="B4189" t="s">
        <v>21</v>
      </c>
      <c r="C4189" s="1">
        <v>45840</v>
      </c>
      <c r="D4189">
        <f t="shared" si="304"/>
        <v>2</v>
      </c>
      <c r="E4189">
        <f t="shared" si="305"/>
        <v>7</v>
      </c>
      <c r="F4189">
        <f t="shared" si="306"/>
        <v>2025</v>
      </c>
      <c r="G4189" t="s">
        <v>53</v>
      </c>
      <c r="H4189" s="171">
        <v>12658</v>
      </c>
      <c r="I4189" s="90">
        <v>197.01</v>
      </c>
      <c r="J4189" s="12" t="s">
        <v>31</v>
      </c>
      <c r="K4189" s="76">
        <f t="shared" si="303"/>
        <v>197.01</v>
      </c>
      <c r="L4189">
        <v>1</v>
      </c>
      <c r="M4189" s="29">
        <v>0</v>
      </c>
      <c r="N4189" t="s">
        <v>32</v>
      </c>
      <c r="O4189" t="s">
        <v>33</v>
      </c>
      <c r="P4189" t="s">
        <v>34</v>
      </c>
      <c r="Q4189" t="s">
        <v>34</v>
      </c>
      <c r="R4189" t="s">
        <v>34</v>
      </c>
      <c r="S4189" t="s">
        <v>34</v>
      </c>
      <c r="T4189" s="117">
        <v>0</v>
      </c>
    </row>
    <row r="4190" spans="1:20" x14ac:dyDescent="0.35">
      <c r="A4190" t="s">
        <v>20</v>
      </c>
      <c r="B4190" t="s">
        <v>21</v>
      </c>
      <c r="C4190" s="1">
        <v>45840</v>
      </c>
      <c r="D4190">
        <f t="shared" si="304"/>
        <v>2</v>
      </c>
      <c r="E4190">
        <f t="shared" si="305"/>
        <v>7</v>
      </c>
      <c r="F4190">
        <f t="shared" si="306"/>
        <v>2025</v>
      </c>
      <c r="G4190" t="s">
        <v>53</v>
      </c>
      <c r="H4190" s="171">
        <v>12665</v>
      </c>
      <c r="I4190" s="90">
        <v>6328.39</v>
      </c>
      <c r="J4190" s="12" t="s">
        <v>31</v>
      </c>
      <c r="K4190" s="76">
        <f t="shared" si="303"/>
        <v>6328.39</v>
      </c>
      <c r="L4190">
        <v>1</v>
      </c>
      <c r="M4190" s="29">
        <v>0</v>
      </c>
      <c r="N4190" t="s">
        <v>32</v>
      </c>
      <c r="O4190" t="s">
        <v>33</v>
      </c>
      <c r="P4190" t="s">
        <v>34</v>
      </c>
      <c r="Q4190" t="s">
        <v>34</v>
      </c>
      <c r="R4190" t="s">
        <v>34</v>
      </c>
      <c r="S4190" t="s">
        <v>34</v>
      </c>
      <c r="T4190" s="117">
        <v>0</v>
      </c>
    </row>
    <row r="4191" spans="1:20" x14ac:dyDescent="0.35">
      <c r="A4191" t="s">
        <v>20</v>
      </c>
      <c r="B4191" t="s">
        <v>25</v>
      </c>
      <c r="C4191" s="1">
        <v>45840</v>
      </c>
      <c r="D4191">
        <f t="shared" si="304"/>
        <v>2</v>
      </c>
      <c r="E4191">
        <f t="shared" si="305"/>
        <v>7</v>
      </c>
      <c r="F4191">
        <f t="shared" si="306"/>
        <v>2025</v>
      </c>
      <c r="G4191" t="s">
        <v>43</v>
      </c>
      <c r="H4191" s="98">
        <v>12657</v>
      </c>
      <c r="I4191" s="29">
        <v>13112</v>
      </c>
      <c r="J4191" s="12" t="s">
        <v>31</v>
      </c>
      <c r="K4191" s="76">
        <f t="shared" si="303"/>
        <v>13112</v>
      </c>
      <c r="L4191">
        <v>1</v>
      </c>
      <c r="M4191" s="29">
        <v>0</v>
      </c>
      <c r="N4191" t="s">
        <v>32</v>
      </c>
      <c r="O4191" t="s">
        <v>33</v>
      </c>
      <c r="P4191" t="s">
        <v>34</v>
      </c>
      <c r="Q4191" t="s">
        <v>34</v>
      </c>
      <c r="R4191" t="s">
        <v>34</v>
      </c>
      <c r="S4191" t="s">
        <v>34</v>
      </c>
      <c r="T4191" s="117">
        <v>0</v>
      </c>
    </row>
    <row r="4192" spans="1:20" x14ac:dyDescent="0.35">
      <c r="A4192" t="s">
        <v>20</v>
      </c>
      <c r="B4192" t="s">
        <v>25</v>
      </c>
      <c r="C4192" s="1">
        <v>45840</v>
      </c>
      <c r="D4192">
        <f t="shared" si="304"/>
        <v>2</v>
      </c>
      <c r="E4192">
        <f t="shared" si="305"/>
        <v>7</v>
      </c>
      <c r="F4192">
        <f t="shared" si="306"/>
        <v>2025</v>
      </c>
      <c r="G4192" t="s">
        <v>43</v>
      </c>
      <c r="H4192" s="98">
        <v>12900</v>
      </c>
      <c r="I4192" s="29">
        <v>1044.4000000000001</v>
      </c>
      <c r="J4192" s="12" t="s">
        <v>31</v>
      </c>
      <c r="K4192" s="76">
        <f t="shared" si="303"/>
        <v>1044.4000000000001</v>
      </c>
      <c r="L4192">
        <v>1</v>
      </c>
      <c r="M4192" s="29">
        <v>0</v>
      </c>
      <c r="N4192" t="s">
        <v>32</v>
      </c>
      <c r="O4192" t="s">
        <v>33</v>
      </c>
      <c r="P4192" t="s">
        <v>34</v>
      </c>
      <c r="Q4192" t="s">
        <v>34</v>
      </c>
      <c r="R4192" t="s">
        <v>34</v>
      </c>
      <c r="S4192" t="s">
        <v>34</v>
      </c>
      <c r="T4192" s="117">
        <v>0</v>
      </c>
    </row>
    <row r="4193" spans="1:20" x14ac:dyDescent="0.35">
      <c r="A4193" t="s">
        <v>20</v>
      </c>
      <c r="B4193" t="s">
        <v>21</v>
      </c>
      <c r="C4193" s="1">
        <v>45840</v>
      </c>
      <c r="D4193">
        <f t="shared" si="304"/>
        <v>2</v>
      </c>
      <c r="E4193">
        <f t="shared" si="305"/>
        <v>7</v>
      </c>
      <c r="F4193">
        <f t="shared" si="306"/>
        <v>2025</v>
      </c>
      <c r="G4193" t="s">
        <v>183</v>
      </c>
      <c r="H4193" s="98">
        <v>13094</v>
      </c>
      <c r="I4193" s="29">
        <v>84</v>
      </c>
      <c r="J4193" s="12" t="s">
        <v>31</v>
      </c>
      <c r="K4193" s="76">
        <f t="shared" si="303"/>
        <v>84</v>
      </c>
      <c r="L4193">
        <v>1</v>
      </c>
      <c r="M4193" s="29">
        <v>0</v>
      </c>
      <c r="N4193" t="s">
        <v>42</v>
      </c>
      <c r="O4193" t="s">
        <v>33</v>
      </c>
      <c r="P4193" t="s">
        <v>34</v>
      </c>
      <c r="Q4193" t="s">
        <v>34</v>
      </c>
      <c r="R4193" t="s">
        <v>34</v>
      </c>
      <c r="S4193" t="s">
        <v>34</v>
      </c>
      <c r="T4193" s="117">
        <v>0</v>
      </c>
    </row>
    <row r="4194" spans="1:20" x14ac:dyDescent="0.35">
      <c r="A4194" t="s">
        <v>20</v>
      </c>
      <c r="B4194" t="s">
        <v>21</v>
      </c>
      <c r="C4194" s="1">
        <v>45840</v>
      </c>
      <c r="D4194">
        <f t="shared" si="304"/>
        <v>2</v>
      </c>
      <c r="E4194">
        <f t="shared" si="305"/>
        <v>7</v>
      </c>
      <c r="F4194">
        <f t="shared" si="306"/>
        <v>2025</v>
      </c>
      <c r="G4194" t="s">
        <v>696</v>
      </c>
      <c r="H4194" s="98">
        <v>13116</v>
      </c>
      <c r="I4194" s="29">
        <v>57.2</v>
      </c>
      <c r="J4194" s="12" t="s">
        <v>31</v>
      </c>
      <c r="K4194" s="76">
        <f t="shared" si="303"/>
        <v>57.2</v>
      </c>
      <c r="L4194">
        <v>1</v>
      </c>
      <c r="M4194" s="29">
        <v>0</v>
      </c>
      <c r="N4194" t="s">
        <v>42</v>
      </c>
      <c r="O4194" t="s">
        <v>33</v>
      </c>
      <c r="P4194" t="s">
        <v>34</v>
      </c>
      <c r="Q4194" t="s">
        <v>34</v>
      </c>
      <c r="R4194" t="s">
        <v>34</v>
      </c>
      <c r="S4194" t="s">
        <v>34</v>
      </c>
      <c r="T4194" s="117">
        <v>0</v>
      </c>
    </row>
    <row r="4195" spans="1:20" x14ac:dyDescent="0.35">
      <c r="A4195" t="s">
        <v>20</v>
      </c>
      <c r="B4195" t="s">
        <v>21</v>
      </c>
      <c r="C4195" s="1">
        <v>45840</v>
      </c>
      <c r="D4195">
        <f t="shared" si="304"/>
        <v>2</v>
      </c>
      <c r="E4195">
        <f t="shared" si="305"/>
        <v>7</v>
      </c>
      <c r="F4195">
        <f t="shared" si="306"/>
        <v>2025</v>
      </c>
      <c r="G4195" t="s">
        <v>696</v>
      </c>
      <c r="H4195" s="98">
        <v>13117</v>
      </c>
      <c r="I4195" s="29">
        <v>1933.932</v>
      </c>
      <c r="J4195" s="12" t="s">
        <v>31</v>
      </c>
      <c r="K4195" s="76">
        <f t="shared" si="303"/>
        <v>1933.932</v>
      </c>
      <c r="L4195">
        <v>1</v>
      </c>
      <c r="M4195" s="29">
        <v>0</v>
      </c>
      <c r="N4195" t="s">
        <v>42</v>
      </c>
      <c r="O4195" t="s">
        <v>33</v>
      </c>
      <c r="P4195" t="s">
        <v>34</v>
      </c>
      <c r="Q4195" t="s">
        <v>34</v>
      </c>
      <c r="R4195" t="s">
        <v>34</v>
      </c>
      <c r="S4195" t="s">
        <v>34</v>
      </c>
      <c r="T4195" s="117">
        <v>0</v>
      </c>
    </row>
    <row r="4196" spans="1:20" x14ac:dyDescent="0.35">
      <c r="A4196" t="s">
        <v>20</v>
      </c>
      <c r="B4196" t="s">
        <v>21</v>
      </c>
      <c r="C4196" s="1">
        <v>45840</v>
      </c>
      <c r="D4196">
        <f t="shared" si="304"/>
        <v>2</v>
      </c>
      <c r="E4196">
        <f t="shared" si="305"/>
        <v>7</v>
      </c>
      <c r="F4196">
        <f t="shared" si="306"/>
        <v>2025</v>
      </c>
      <c r="G4196" t="s">
        <v>435</v>
      </c>
      <c r="H4196" s="98">
        <v>12626</v>
      </c>
      <c r="I4196" s="29">
        <v>7632.24</v>
      </c>
      <c r="J4196" s="12" t="s">
        <v>31</v>
      </c>
      <c r="K4196" s="76">
        <f t="shared" si="303"/>
        <v>7632.24</v>
      </c>
      <c r="L4196">
        <v>1</v>
      </c>
      <c r="M4196" s="29">
        <v>0</v>
      </c>
      <c r="N4196" t="s">
        <v>32</v>
      </c>
      <c r="O4196" t="s">
        <v>33</v>
      </c>
      <c r="P4196" t="s">
        <v>34</v>
      </c>
      <c r="Q4196" t="s">
        <v>34</v>
      </c>
      <c r="R4196" t="s">
        <v>34</v>
      </c>
      <c r="S4196" t="s">
        <v>34</v>
      </c>
      <c r="T4196" s="117">
        <v>0</v>
      </c>
    </row>
    <row r="4197" spans="1:20" x14ac:dyDescent="0.35">
      <c r="A4197" t="s">
        <v>19</v>
      </c>
      <c r="B4197" t="s">
        <v>19</v>
      </c>
      <c r="C4197" s="1">
        <v>45840</v>
      </c>
      <c r="D4197">
        <f t="shared" si="304"/>
        <v>2</v>
      </c>
      <c r="E4197">
        <f t="shared" si="305"/>
        <v>7</v>
      </c>
      <c r="F4197">
        <f t="shared" si="306"/>
        <v>2025</v>
      </c>
      <c r="G4197" t="s">
        <v>56</v>
      </c>
      <c r="H4197" s="98" t="s">
        <v>1147</v>
      </c>
      <c r="I4197" s="29">
        <v>183622.52</v>
      </c>
      <c r="J4197" s="12" t="s">
        <v>31</v>
      </c>
      <c r="K4197" s="76">
        <f t="shared" si="303"/>
        <v>183622.52</v>
      </c>
      <c r="L4197">
        <v>1</v>
      </c>
      <c r="M4197" s="29">
        <v>0</v>
      </c>
      <c r="N4197" t="s">
        <v>32</v>
      </c>
      <c r="O4197" t="s">
        <v>33</v>
      </c>
      <c r="P4197" t="s">
        <v>34</v>
      </c>
      <c r="Q4197" t="s">
        <v>34</v>
      </c>
      <c r="R4197" t="s">
        <v>34</v>
      </c>
      <c r="S4197" t="s">
        <v>34</v>
      </c>
      <c r="T4197" s="117">
        <v>0</v>
      </c>
    </row>
    <row r="4198" spans="1:20" x14ac:dyDescent="0.35">
      <c r="A4198" t="s">
        <v>19</v>
      </c>
      <c r="B4198" t="s">
        <v>19</v>
      </c>
      <c r="C4198" s="1">
        <v>45840</v>
      </c>
      <c r="D4198">
        <f t="shared" si="304"/>
        <v>2</v>
      </c>
      <c r="E4198">
        <f t="shared" si="305"/>
        <v>7</v>
      </c>
      <c r="F4198">
        <f t="shared" si="306"/>
        <v>2025</v>
      </c>
      <c r="G4198" t="s">
        <v>56</v>
      </c>
      <c r="H4198" s="98" t="s">
        <v>1148</v>
      </c>
      <c r="I4198" s="29">
        <v>183048.67</v>
      </c>
      <c r="J4198" s="12" t="s">
        <v>31</v>
      </c>
      <c r="K4198" s="76">
        <f t="shared" si="303"/>
        <v>183048.67</v>
      </c>
      <c r="L4198">
        <v>1</v>
      </c>
      <c r="M4198" s="29">
        <v>0</v>
      </c>
      <c r="N4198" t="s">
        <v>32</v>
      </c>
      <c r="O4198" t="s">
        <v>33</v>
      </c>
      <c r="P4198" t="s">
        <v>34</v>
      </c>
      <c r="Q4198" t="s">
        <v>34</v>
      </c>
      <c r="R4198" t="s">
        <v>34</v>
      </c>
      <c r="S4198" t="s">
        <v>34</v>
      </c>
      <c r="T4198" s="117">
        <v>0</v>
      </c>
    </row>
    <row r="4199" spans="1:20" x14ac:dyDescent="0.35">
      <c r="A4199" t="s">
        <v>19</v>
      </c>
      <c r="B4199" t="s">
        <v>19</v>
      </c>
      <c r="C4199" s="1">
        <v>45840</v>
      </c>
      <c r="D4199">
        <f t="shared" si="304"/>
        <v>2</v>
      </c>
      <c r="E4199">
        <f t="shared" si="305"/>
        <v>7</v>
      </c>
      <c r="F4199">
        <f t="shared" si="306"/>
        <v>2025</v>
      </c>
      <c r="G4199" t="s">
        <v>56</v>
      </c>
      <c r="H4199" s="98" t="s">
        <v>1149</v>
      </c>
      <c r="I4199" s="29">
        <v>2199.2199999999998</v>
      </c>
      <c r="J4199" s="12" t="s">
        <v>31</v>
      </c>
      <c r="K4199" s="76">
        <f t="shared" si="303"/>
        <v>2199.2199999999998</v>
      </c>
      <c r="L4199">
        <v>1</v>
      </c>
      <c r="M4199" s="29">
        <v>0</v>
      </c>
      <c r="N4199" t="s">
        <v>32</v>
      </c>
      <c r="O4199" t="s">
        <v>33</v>
      </c>
      <c r="P4199" t="s">
        <v>34</v>
      </c>
      <c r="Q4199" t="s">
        <v>34</v>
      </c>
      <c r="R4199" t="s">
        <v>34</v>
      </c>
      <c r="S4199" t="s">
        <v>34</v>
      </c>
      <c r="T4199" s="117">
        <v>0</v>
      </c>
    </row>
    <row r="4200" spans="1:20" x14ac:dyDescent="0.35">
      <c r="A4200" t="s">
        <v>19</v>
      </c>
      <c r="B4200" t="s">
        <v>19</v>
      </c>
      <c r="C4200" s="1">
        <v>45840</v>
      </c>
      <c r="D4200">
        <f t="shared" si="304"/>
        <v>2</v>
      </c>
      <c r="E4200">
        <f t="shared" si="305"/>
        <v>7</v>
      </c>
      <c r="F4200">
        <f t="shared" si="306"/>
        <v>2025</v>
      </c>
      <c r="G4200" t="s">
        <v>56</v>
      </c>
      <c r="H4200" s="98" t="s">
        <v>1150</v>
      </c>
      <c r="I4200" s="29">
        <v>7144.22</v>
      </c>
      <c r="J4200" s="12" t="s">
        <v>31</v>
      </c>
      <c r="K4200" s="76">
        <f t="shared" si="303"/>
        <v>7144.22</v>
      </c>
      <c r="L4200">
        <v>1</v>
      </c>
      <c r="M4200" s="29">
        <v>0</v>
      </c>
      <c r="N4200" t="s">
        <v>32</v>
      </c>
      <c r="O4200" t="s">
        <v>33</v>
      </c>
      <c r="P4200" t="s">
        <v>34</v>
      </c>
      <c r="Q4200" t="s">
        <v>34</v>
      </c>
      <c r="R4200" t="s">
        <v>34</v>
      </c>
      <c r="S4200" t="s">
        <v>34</v>
      </c>
      <c r="T4200" s="117">
        <v>0</v>
      </c>
    </row>
    <row r="4201" spans="1:20" x14ac:dyDescent="0.35">
      <c r="A4201" t="s">
        <v>19</v>
      </c>
      <c r="B4201" t="s">
        <v>19</v>
      </c>
      <c r="C4201" s="1">
        <v>45840</v>
      </c>
      <c r="D4201">
        <f t="shared" si="304"/>
        <v>2</v>
      </c>
      <c r="E4201">
        <f t="shared" si="305"/>
        <v>7</v>
      </c>
      <c r="F4201">
        <f t="shared" si="306"/>
        <v>2025</v>
      </c>
      <c r="G4201" t="s">
        <v>56</v>
      </c>
      <c r="H4201" s="98" t="s">
        <v>1151</v>
      </c>
      <c r="I4201" s="29">
        <v>163331.78</v>
      </c>
      <c r="J4201" s="12" t="s">
        <v>31</v>
      </c>
      <c r="K4201" s="76">
        <f t="shared" si="303"/>
        <v>163331.78</v>
      </c>
      <c r="L4201">
        <v>1</v>
      </c>
      <c r="M4201" s="29">
        <v>0</v>
      </c>
      <c r="N4201" t="s">
        <v>32</v>
      </c>
      <c r="O4201" t="s">
        <v>33</v>
      </c>
      <c r="P4201" t="s">
        <v>34</v>
      </c>
      <c r="Q4201" t="s">
        <v>34</v>
      </c>
      <c r="R4201" t="s">
        <v>34</v>
      </c>
      <c r="S4201" t="s">
        <v>34</v>
      </c>
      <c r="T4201" s="117">
        <v>0</v>
      </c>
    </row>
    <row r="4202" spans="1:20" x14ac:dyDescent="0.35">
      <c r="A4202" t="s">
        <v>19</v>
      </c>
      <c r="B4202" t="s">
        <v>19</v>
      </c>
      <c r="C4202" s="1">
        <v>45840</v>
      </c>
      <c r="D4202">
        <f t="shared" si="304"/>
        <v>2</v>
      </c>
      <c r="E4202">
        <f t="shared" si="305"/>
        <v>7</v>
      </c>
      <c r="F4202">
        <f t="shared" si="306"/>
        <v>2025</v>
      </c>
      <c r="G4202" t="s">
        <v>56</v>
      </c>
      <c r="H4202" s="98" t="s">
        <v>1152</v>
      </c>
      <c r="I4202" s="29">
        <v>768.76</v>
      </c>
      <c r="J4202" s="12" t="s">
        <v>31</v>
      </c>
      <c r="K4202" s="76">
        <f t="shared" si="303"/>
        <v>768.76</v>
      </c>
      <c r="L4202">
        <v>1</v>
      </c>
      <c r="M4202" s="29">
        <v>0</v>
      </c>
      <c r="N4202" t="s">
        <v>32</v>
      </c>
      <c r="O4202" t="s">
        <v>33</v>
      </c>
      <c r="P4202" t="s">
        <v>34</v>
      </c>
      <c r="Q4202" t="s">
        <v>34</v>
      </c>
      <c r="R4202" t="s">
        <v>34</v>
      </c>
      <c r="S4202" t="s">
        <v>34</v>
      </c>
      <c r="T4202" s="117">
        <v>0</v>
      </c>
    </row>
    <row r="4203" spans="1:20" x14ac:dyDescent="0.35">
      <c r="A4203" t="s">
        <v>19</v>
      </c>
      <c r="B4203" t="s">
        <v>19</v>
      </c>
      <c r="C4203" s="1">
        <v>45840</v>
      </c>
      <c r="D4203">
        <f t="shared" si="304"/>
        <v>2</v>
      </c>
      <c r="E4203">
        <f t="shared" si="305"/>
        <v>7</v>
      </c>
      <c r="F4203">
        <f t="shared" si="306"/>
        <v>2025</v>
      </c>
      <c r="G4203" t="s">
        <v>56</v>
      </c>
      <c r="H4203" s="98" t="s">
        <v>1153</v>
      </c>
      <c r="I4203" s="29">
        <v>3275.48</v>
      </c>
      <c r="J4203" s="12" t="s">
        <v>31</v>
      </c>
      <c r="K4203" s="76">
        <f t="shared" si="303"/>
        <v>3275.48</v>
      </c>
      <c r="L4203">
        <v>1</v>
      </c>
      <c r="M4203" s="29">
        <v>0</v>
      </c>
      <c r="N4203" t="s">
        <v>32</v>
      </c>
      <c r="O4203" t="s">
        <v>33</v>
      </c>
      <c r="P4203" t="s">
        <v>34</v>
      </c>
      <c r="Q4203" t="s">
        <v>34</v>
      </c>
      <c r="R4203" t="s">
        <v>34</v>
      </c>
      <c r="S4203" t="s">
        <v>34</v>
      </c>
      <c r="T4203" s="117">
        <v>0</v>
      </c>
    </row>
    <row r="4204" spans="1:20" x14ac:dyDescent="0.35">
      <c r="A4204" t="s">
        <v>19</v>
      </c>
      <c r="B4204" t="s">
        <v>19</v>
      </c>
      <c r="C4204" s="1">
        <v>45840</v>
      </c>
      <c r="D4204">
        <f t="shared" si="304"/>
        <v>2</v>
      </c>
      <c r="E4204">
        <f t="shared" si="305"/>
        <v>7</v>
      </c>
      <c r="F4204">
        <f t="shared" si="306"/>
        <v>2025</v>
      </c>
      <c r="G4204" t="s">
        <v>125</v>
      </c>
      <c r="H4204" s="98" t="s">
        <v>1154</v>
      </c>
      <c r="I4204" s="29">
        <v>328224.09000000003</v>
      </c>
      <c r="J4204" s="12" t="s">
        <v>31</v>
      </c>
      <c r="K4204" s="76">
        <f t="shared" si="303"/>
        <v>328224.09000000003</v>
      </c>
      <c r="L4204">
        <v>1</v>
      </c>
      <c r="M4204" s="29">
        <v>0</v>
      </c>
      <c r="N4204" t="s">
        <v>32</v>
      </c>
      <c r="O4204" t="s">
        <v>33</v>
      </c>
      <c r="P4204" t="s">
        <v>34</v>
      </c>
      <c r="Q4204" t="s">
        <v>34</v>
      </c>
      <c r="R4204" t="s">
        <v>34</v>
      </c>
      <c r="S4204" t="s">
        <v>34</v>
      </c>
      <c r="T4204" s="117">
        <v>0</v>
      </c>
    </row>
    <row r="4205" spans="1:20" x14ac:dyDescent="0.35">
      <c r="A4205" t="s">
        <v>19</v>
      </c>
      <c r="B4205" t="s">
        <v>19</v>
      </c>
      <c r="C4205" s="1">
        <v>45840</v>
      </c>
      <c r="D4205">
        <f t="shared" si="304"/>
        <v>2</v>
      </c>
      <c r="E4205">
        <f t="shared" si="305"/>
        <v>7</v>
      </c>
      <c r="F4205">
        <f t="shared" si="306"/>
        <v>2025</v>
      </c>
      <c r="G4205" t="s">
        <v>803</v>
      </c>
      <c r="H4205" s="98" t="s">
        <v>1155</v>
      </c>
      <c r="I4205" s="29">
        <v>202982.02</v>
      </c>
      <c r="J4205" s="12" t="s">
        <v>31</v>
      </c>
      <c r="K4205" s="76">
        <f t="shared" si="303"/>
        <v>202982.02</v>
      </c>
      <c r="L4205">
        <v>1</v>
      </c>
      <c r="M4205" s="29">
        <v>0</v>
      </c>
      <c r="N4205" t="s">
        <v>32</v>
      </c>
      <c r="O4205" t="s">
        <v>33</v>
      </c>
      <c r="P4205" t="s">
        <v>34</v>
      </c>
      <c r="Q4205" t="s">
        <v>34</v>
      </c>
      <c r="R4205" t="s">
        <v>34</v>
      </c>
      <c r="S4205" t="s">
        <v>34</v>
      </c>
      <c r="T4205" s="117">
        <v>0</v>
      </c>
    </row>
    <row r="4206" spans="1:20" x14ac:dyDescent="0.35">
      <c r="A4206" t="s">
        <v>19</v>
      </c>
      <c r="B4206" t="s">
        <v>25</v>
      </c>
      <c r="C4206" s="1">
        <v>45847</v>
      </c>
      <c r="D4206">
        <f t="shared" si="304"/>
        <v>9</v>
      </c>
      <c r="E4206">
        <f t="shared" si="305"/>
        <v>7</v>
      </c>
      <c r="F4206">
        <f t="shared" si="306"/>
        <v>2025</v>
      </c>
      <c r="G4206" t="s">
        <v>285</v>
      </c>
      <c r="H4206" s="98">
        <v>12362</v>
      </c>
      <c r="I4206" s="29">
        <v>8627.52</v>
      </c>
      <c r="J4206" s="12" t="s">
        <v>31</v>
      </c>
      <c r="K4206" s="76">
        <f t="shared" si="303"/>
        <v>8627.52</v>
      </c>
      <c r="L4206">
        <v>1</v>
      </c>
      <c r="M4206" s="29">
        <v>0</v>
      </c>
      <c r="N4206" t="s">
        <v>32</v>
      </c>
      <c r="O4206" t="s">
        <v>33</v>
      </c>
      <c r="P4206" t="s">
        <v>34</v>
      </c>
      <c r="Q4206" t="s">
        <v>34</v>
      </c>
      <c r="R4206" t="s">
        <v>34</v>
      </c>
      <c r="S4206" t="s">
        <v>34</v>
      </c>
      <c r="T4206" s="117">
        <v>0</v>
      </c>
    </row>
    <row r="4207" spans="1:20" x14ac:dyDescent="0.35">
      <c r="A4207" t="s">
        <v>19</v>
      </c>
      <c r="B4207" t="s">
        <v>23</v>
      </c>
      <c r="C4207" s="1">
        <v>45847</v>
      </c>
      <c r="D4207">
        <f t="shared" si="304"/>
        <v>9</v>
      </c>
      <c r="E4207">
        <f t="shared" si="305"/>
        <v>7</v>
      </c>
      <c r="F4207">
        <f t="shared" si="306"/>
        <v>2025</v>
      </c>
      <c r="G4207" t="s">
        <v>28</v>
      </c>
      <c r="H4207" s="98">
        <v>12462</v>
      </c>
      <c r="I4207" s="29">
        <v>91.7</v>
      </c>
      <c r="J4207" s="12" t="s">
        <v>31</v>
      </c>
      <c r="K4207" s="76">
        <f t="shared" si="303"/>
        <v>91.7</v>
      </c>
      <c r="L4207">
        <v>1</v>
      </c>
      <c r="M4207" s="29">
        <v>0</v>
      </c>
      <c r="N4207" t="s">
        <v>32</v>
      </c>
      <c r="O4207" t="s">
        <v>33</v>
      </c>
      <c r="P4207" t="s">
        <v>34</v>
      </c>
      <c r="Q4207" t="s">
        <v>34</v>
      </c>
      <c r="R4207" t="s">
        <v>34</v>
      </c>
      <c r="S4207" t="s">
        <v>34</v>
      </c>
      <c r="T4207" s="117">
        <v>0</v>
      </c>
    </row>
    <row r="4208" spans="1:20" x14ac:dyDescent="0.35">
      <c r="A4208" t="s">
        <v>19</v>
      </c>
      <c r="B4208" t="s">
        <v>23</v>
      </c>
      <c r="C4208" s="1">
        <v>45847</v>
      </c>
      <c r="D4208">
        <f t="shared" si="304"/>
        <v>9</v>
      </c>
      <c r="E4208">
        <f t="shared" si="305"/>
        <v>7</v>
      </c>
      <c r="F4208">
        <f t="shared" si="306"/>
        <v>2025</v>
      </c>
      <c r="G4208" t="s">
        <v>28</v>
      </c>
      <c r="H4208" s="98">
        <v>12469</v>
      </c>
      <c r="I4208" s="29">
        <v>5303.63</v>
      </c>
      <c r="J4208" s="12" t="s">
        <v>31</v>
      </c>
      <c r="K4208" s="76">
        <f t="shared" si="303"/>
        <v>5303.63</v>
      </c>
      <c r="L4208">
        <v>1</v>
      </c>
      <c r="M4208" s="29">
        <v>0</v>
      </c>
      <c r="N4208" t="s">
        <v>32</v>
      </c>
      <c r="O4208" t="s">
        <v>33</v>
      </c>
      <c r="P4208" t="s">
        <v>34</v>
      </c>
      <c r="Q4208" t="s">
        <v>34</v>
      </c>
      <c r="R4208" t="s">
        <v>34</v>
      </c>
      <c r="S4208" t="s">
        <v>34</v>
      </c>
      <c r="T4208" s="117">
        <v>0</v>
      </c>
    </row>
    <row r="4209" spans="1:21" x14ac:dyDescent="0.35">
      <c r="A4209" t="s">
        <v>19</v>
      </c>
      <c r="B4209" t="s">
        <v>25</v>
      </c>
      <c r="C4209" s="1">
        <v>45847</v>
      </c>
      <c r="D4209">
        <f t="shared" si="304"/>
        <v>9</v>
      </c>
      <c r="E4209">
        <f t="shared" si="305"/>
        <v>7</v>
      </c>
      <c r="F4209">
        <f t="shared" si="306"/>
        <v>2025</v>
      </c>
      <c r="G4209" t="s">
        <v>77</v>
      </c>
      <c r="H4209" s="98">
        <v>12629</v>
      </c>
      <c r="I4209" s="29">
        <v>74.55</v>
      </c>
      <c r="J4209" s="12" t="s">
        <v>31</v>
      </c>
      <c r="K4209" s="76">
        <f t="shared" si="303"/>
        <v>74.55</v>
      </c>
      <c r="L4209">
        <v>1</v>
      </c>
      <c r="M4209" s="29">
        <v>0</v>
      </c>
      <c r="N4209" t="s">
        <v>32</v>
      </c>
      <c r="O4209" t="s">
        <v>33</v>
      </c>
      <c r="P4209" t="s">
        <v>34</v>
      </c>
      <c r="Q4209" t="s">
        <v>34</v>
      </c>
      <c r="R4209" t="s">
        <v>34</v>
      </c>
      <c r="S4209" t="s">
        <v>34</v>
      </c>
      <c r="T4209" s="117">
        <v>0</v>
      </c>
    </row>
    <row r="4210" spans="1:21" x14ac:dyDescent="0.35">
      <c r="A4210" t="s">
        <v>19</v>
      </c>
      <c r="B4210" t="s">
        <v>21</v>
      </c>
      <c r="C4210" s="1">
        <v>45847</v>
      </c>
      <c r="D4210">
        <f t="shared" si="304"/>
        <v>9</v>
      </c>
      <c r="E4210">
        <f t="shared" si="305"/>
        <v>7</v>
      </c>
      <c r="F4210">
        <f t="shared" si="306"/>
        <v>2025</v>
      </c>
      <c r="G4210" t="s">
        <v>77</v>
      </c>
      <c r="H4210" s="98">
        <v>12894</v>
      </c>
      <c r="I4210" s="29">
        <v>40.799999999999997</v>
      </c>
      <c r="J4210" s="12" t="s">
        <v>31</v>
      </c>
      <c r="K4210" s="76">
        <f t="shared" si="303"/>
        <v>40.799999999999997</v>
      </c>
      <c r="L4210">
        <v>1</v>
      </c>
      <c r="M4210" s="29">
        <v>0</v>
      </c>
      <c r="N4210" t="s">
        <v>42</v>
      </c>
      <c r="O4210" t="s">
        <v>33</v>
      </c>
      <c r="P4210" t="s">
        <v>34</v>
      </c>
      <c r="Q4210" t="s">
        <v>34</v>
      </c>
      <c r="R4210" t="s">
        <v>34</v>
      </c>
      <c r="S4210" t="s">
        <v>34</v>
      </c>
      <c r="T4210" s="117">
        <v>0</v>
      </c>
    </row>
    <row r="4211" spans="1:21" x14ac:dyDescent="0.35">
      <c r="A4211" t="s">
        <v>19</v>
      </c>
      <c r="B4211" t="s">
        <v>23</v>
      </c>
      <c r="C4211" s="1">
        <v>45847</v>
      </c>
      <c r="D4211">
        <f t="shared" si="304"/>
        <v>9</v>
      </c>
      <c r="E4211">
        <f t="shared" si="305"/>
        <v>7</v>
      </c>
      <c r="F4211">
        <f t="shared" si="306"/>
        <v>2025</v>
      </c>
      <c r="G4211" t="s">
        <v>77</v>
      </c>
      <c r="H4211" s="98">
        <v>12087</v>
      </c>
      <c r="I4211" s="29">
        <v>19762</v>
      </c>
      <c r="J4211" s="12" t="s">
        <v>31</v>
      </c>
      <c r="K4211" s="76">
        <f t="shared" si="303"/>
        <v>19762</v>
      </c>
      <c r="L4211">
        <v>1</v>
      </c>
      <c r="M4211" s="29">
        <v>0</v>
      </c>
      <c r="N4211" t="s">
        <v>32</v>
      </c>
      <c r="O4211" t="s">
        <v>33</v>
      </c>
      <c r="P4211" t="s">
        <v>34</v>
      </c>
      <c r="Q4211" t="s">
        <v>34</v>
      </c>
      <c r="R4211" t="s">
        <v>34</v>
      </c>
      <c r="S4211" t="s">
        <v>34</v>
      </c>
      <c r="T4211" s="117">
        <v>0</v>
      </c>
    </row>
    <row r="4212" spans="1:21" x14ac:dyDescent="0.35">
      <c r="A4212" t="s">
        <v>19</v>
      </c>
      <c r="B4212" t="s">
        <v>27</v>
      </c>
      <c r="C4212" s="1">
        <v>45847</v>
      </c>
      <c r="D4212">
        <f t="shared" si="304"/>
        <v>9</v>
      </c>
      <c r="E4212">
        <f t="shared" si="305"/>
        <v>7</v>
      </c>
      <c r="F4212">
        <f t="shared" si="306"/>
        <v>2025</v>
      </c>
      <c r="G4212" t="s">
        <v>100</v>
      </c>
      <c r="H4212" s="98">
        <v>12643</v>
      </c>
      <c r="I4212" s="29">
        <v>1105453.3799999999</v>
      </c>
      <c r="J4212" s="12" t="s">
        <v>31</v>
      </c>
      <c r="K4212" s="76">
        <f t="shared" si="303"/>
        <v>1105453.3799999999</v>
      </c>
      <c r="L4212">
        <v>1</v>
      </c>
      <c r="M4212" s="29">
        <v>0</v>
      </c>
      <c r="N4212" t="s">
        <v>32</v>
      </c>
      <c r="O4212" t="s">
        <v>33</v>
      </c>
      <c r="P4212" t="s">
        <v>34</v>
      </c>
      <c r="Q4212" t="s">
        <v>34</v>
      </c>
      <c r="R4212" t="s">
        <v>34</v>
      </c>
      <c r="S4212" t="s">
        <v>34</v>
      </c>
      <c r="T4212" s="117">
        <v>0</v>
      </c>
    </row>
    <row r="4213" spans="1:21" x14ac:dyDescent="0.35">
      <c r="A4213" t="s">
        <v>19</v>
      </c>
      <c r="B4213" t="s">
        <v>23</v>
      </c>
      <c r="C4213" s="1">
        <v>45847</v>
      </c>
      <c r="D4213">
        <f t="shared" si="304"/>
        <v>9</v>
      </c>
      <c r="E4213">
        <f t="shared" si="305"/>
        <v>7</v>
      </c>
      <c r="F4213">
        <f t="shared" si="306"/>
        <v>2025</v>
      </c>
      <c r="G4213" t="s">
        <v>76</v>
      </c>
      <c r="H4213" s="98">
        <v>12865</v>
      </c>
      <c r="I4213" s="29">
        <v>12617.5</v>
      </c>
      <c r="J4213" s="12" t="s">
        <v>31</v>
      </c>
      <c r="K4213" s="76">
        <f t="shared" si="303"/>
        <v>12617.5</v>
      </c>
      <c r="L4213">
        <v>1</v>
      </c>
      <c r="M4213" s="29">
        <v>0</v>
      </c>
      <c r="N4213" t="s">
        <v>32</v>
      </c>
      <c r="O4213" t="s">
        <v>33</v>
      </c>
      <c r="P4213" t="s">
        <v>34</v>
      </c>
      <c r="Q4213" t="s">
        <v>34</v>
      </c>
      <c r="R4213" t="s">
        <v>34</v>
      </c>
      <c r="S4213" t="s">
        <v>34</v>
      </c>
      <c r="T4213" s="117">
        <v>0</v>
      </c>
    </row>
    <row r="4214" spans="1:21" x14ac:dyDescent="0.35">
      <c r="A4214" t="s">
        <v>19</v>
      </c>
      <c r="B4214" t="s">
        <v>21</v>
      </c>
      <c r="C4214" s="1">
        <v>45847</v>
      </c>
      <c r="D4214">
        <f t="shared" si="304"/>
        <v>9</v>
      </c>
      <c r="E4214">
        <f t="shared" si="305"/>
        <v>7</v>
      </c>
      <c r="F4214">
        <f t="shared" si="306"/>
        <v>2025</v>
      </c>
      <c r="G4214" t="s">
        <v>76</v>
      </c>
      <c r="H4214" s="98">
        <v>12865</v>
      </c>
      <c r="I4214" s="29">
        <v>7927.5</v>
      </c>
      <c r="J4214" s="12" t="s">
        <v>31</v>
      </c>
      <c r="K4214" s="76">
        <f t="shared" si="303"/>
        <v>7927.5</v>
      </c>
      <c r="L4214">
        <v>1</v>
      </c>
      <c r="M4214" s="29">
        <v>0</v>
      </c>
      <c r="N4214" t="s">
        <v>32</v>
      </c>
      <c r="O4214" t="s">
        <v>33</v>
      </c>
      <c r="P4214" t="s">
        <v>34</v>
      </c>
      <c r="Q4214" t="s">
        <v>34</v>
      </c>
      <c r="R4214" t="s">
        <v>34</v>
      </c>
      <c r="S4214" t="s">
        <v>34</v>
      </c>
      <c r="T4214" s="117">
        <v>0</v>
      </c>
    </row>
    <row r="4215" spans="1:21" x14ac:dyDescent="0.35">
      <c r="A4215" t="s">
        <v>19</v>
      </c>
      <c r="B4215" t="s">
        <v>23</v>
      </c>
      <c r="C4215" s="1">
        <v>45847</v>
      </c>
      <c r="D4215">
        <f t="shared" si="304"/>
        <v>9</v>
      </c>
      <c r="E4215">
        <f t="shared" si="305"/>
        <v>7</v>
      </c>
      <c r="F4215">
        <f t="shared" si="306"/>
        <v>2025</v>
      </c>
      <c r="G4215" t="s">
        <v>76</v>
      </c>
      <c r="H4215" s="98">
        <v>12868</v>
      </c>
      <c r="I4215" s="29">
        <v>20574.7</v>
      </c>
      <c r="J4215" s="12" t="s">
        <v>31</v>
      </c>
      <c r="K4215" s="76">
        <f t="shared" si="303"/>
        <v>20574.7</v>
      </c>
      <c r="L4215">
        <v>1</v>
      </c>
      <c r="M4215" s="29">
        <v>0</v>
      </c>
      <c r="N4215" t="s">
        <v>42</v>
      </c>
      <c r="O4215" t="s">
        <v>33</v>
      </c>
      <c r="P4215" t="s">
        <v>34</v>
      </c>
      <c r="Q4215" t="s">
        <v>34</v>
      </c>
      <c r="R4215" t="s">
        <v>34</v>
      </c>
      <c r="S4215" t="s">
        <v>34</v>
      </c>
      <c r="T4215" s="117">
        <v>0</v>
      </c>
    </row>
    <row r="4216" spans="1:21" x14ac:dyDescent="0.35">
      <c r="A4216" t="s">
        <v>19</v>
      </c>
      <c r="B4216" t="s">
        <v>21</v>
      </c>
      <c r="C4216" s="1">
        <v>45847</v>
      </c>
      <c r="D4216">
        <f t="shared" si="304"/>
        <v>9</v>
      </c>
      <c r="E4216">
        <f t="shared" si="305"/>
        <v>7</v>
      </c>
      <c r="F4216">
        <f t="shared" si="306"/>
        <v>2025</v>
      </c>
      <c r="G4216" t="s">
        <v>76</v>
      </c>
      <c r="H4216" s="98">
        <v>12868</v>
      </c>
      <c r="I4216" s="29">
        <v>27497.5</v>
      </c>
      <c r="J4216" s="12" t="s">
        <v>31</v>
      </c>
      <c r="K4216" s="76">
        <f t="shared" si="303"/>
        <v>27497.5</v>
      </c>
      <c r="L4216">
        <v>1</v>
      </c>
      <c r="M4216" s="29">
        <v>0</v>
      </c>
      <c r="N4216" t="s">
        <v>42</v>
      </c>
      <c r="O4216" t="s">
        <v>33</v>
      </c>
      <c r="P4216" t="s">
        <v>34</v>
      </c>
      <c r="Q4216" t="s">
        <v>34</v>
      </c>
      <c r="R4216" t="s">
        <v>34</v>
      </c>
      <c r="S4216" t="s">
        <v>34</v>
      </c>
      <c r="T4216" s="117">
        <v>0</v>
      </c>
    </row>
    <row r="4217" spans="1:21" x14ac:dyDescent="0.35">
      <c r="A4217" t="s">
        <v>19</v>
      </c>
      <c r="B4217" t="s">
        <v>21</v>
      </c>
      <c r="C4217" s="1">
        <v>45847</v>
      </c>
      <c r="D4217">
        <f t="shared" si="304"/>
        <v>9</v>
      </c>
      <c r="E4217">
        <f t="shared" si="305"/>
        <v>7</v>
      </c>
      <c r="F4217">
        <f t="shared" si="306"/>
        <v>2025</v>
      </c>
      <c r="G4217" t="s">
        <v>75</v>
      </c>
      <c r="H4217" s="98">
        <v>12596</v>
      </c>
      <c r="I4217" s="29">
        <v>97178.53</v>
      </c>
      <c r="J4217" s="12" t="s">
        <v>31</v>
      </c>
      <c r="K4217" s="76">
        <f t="shared" si="303"/>
        <v>97178.53</v>
      </c>
      <c r="L4217">
        <v>1</v>
      </c>
      <c r="M4217" s="29">
        <v>0</v>
      </c>
      <c r="N4217" t="s">
        <v>42</v>
      </c>
      <c r="O4217" t="s">
        <v>33</v>
      </c>
      <c r="P4217" t="s">
        <v>34</v>
      </c>
      <c r="Q4217" t="s">
        <v>34</v>
      </c>
      <c r="R4217" t="s">
        <v>34</v>
      </c>
      <c r="S4217" t="s">
        <v>34</v>
      </c>
      <c r="T4217" s="117">
        <v>0</v>
      </c>
    </row>
    <row r="4218" spans="1:21" x14ac:dyDescent="0.35">
      <c r="A4218" t="s">
        <v>19</v>
      </c>
      <c r="B4218" t="s">
        <v>22</v>
      </c>
      <c r="C4218" s="1">
        <v>45847</v>
      </c>
      <c r="D4218">
        <f t="shared" si="304"/>
        <v>9</v>
      </c>
      <c r="E4218">
        <f t="shared" si="305"/>
        <v>7</v>
      </c>
      <c r="F4218">
        <f t="shared" si="306"/>
        <v>2025</v>
      </c>
      <c r="G4218" t="s">
        <v>98</v>
      </c>
      <c r="H4218" s="171">
        <v>13152</v>
      </c>
      <c r="I4218" s="90">
        <v>33894</v>
      </c>
      <c r="J4218" s="12" t="s">
        <v>31</v>
      </c>
      <c r="K4218" s="76">
        <f t="shared" si="303"/>
        <v>33894</v>
      </c>
      <c r="L4218">
        <v>1</v>
      </c>
      <c r="M4218" s="29">
        <v>0</v>
      </c>
      <c r="N4218" t="s">
        <v>42</v>
      </c>
      <c r="O4218" t="s">
        <v>33</v>
      </c>
      <c r="P4218" t="s">
        <v>34</v>
      </c>
      <c r="Q4218" t="s">
        <v>34</v>
      </c>
      <c r="R4218" t="s">
        <v>34</v>
      </c>
      <c r="S4218" t="s">
        <v>34</v>
      </c>
      <c r="T4218" s="117">
        <v>0</v>
      </c>
    </row>
    <row r="4219" spans="1:21" x14ac:dyDescent="0.35">
      <c r="A4219" t="s">
        <v>19</v>
      </c>
      <c r="B4219" t="s">
        <v>25</v>
      </c>
      <c r="C4219" s="1">
        <v>45847</v>
      </c>
      <c r="D4219">
        <f t="shared" si="304"/>
        <v>9</v>
      </c>
      <c r="E4219">
        <f t="shared" si="305"/>
        <v>7</v>
      </c>
      <c r="F4219">
        <f t="shared" si="306"/>
        <v>2025</v>
      </c>
      <c r="G4219" t="s">
        <v>78</v>
      </c>
      <c r="H4219" s="98">
        <v>12951</v>
      </c>
      <c r="I4219" s="29">
        <v>46410</v>
      </c>
      <c r="J4219" s="12" t="s">
        <v>51</v>
      </c>
      <c r="K4219" s="76">
        <f t="shared" si="303"/>
        <v>54489.981</v>
      </c>
      <c r="L4219">
        <v>1.1740999999999999</v>
      </c>
      <c r="M4219" s="29">
        <v>0</v>
      </c>
      <c r="N4219" t="s">
        <v>42</v>
      </c>
      <c r="O4219" t="s">
        <v>33</v>
      </c>
      <c r="P4219" t="s">
        <v>34</v>
      </c>
      <c r="Q4219" t="s">
        <v>34</v>
      </c>
      <c r="R4219" t="s">
        <v>34</v>
      </c>
      <c r="S4219" t="s">
        <v>34</v>
      </c>
      <c r="T4219" s="117">
        <v>0</v>
      </c>
      <c r="U4219" s="209" t="s">
        <v>94</v>
      </c>
    </row>
    <row r="4220" spans="1:21" x14ac:dyDescent="0.35">
      <c r="A4220" t="s">
        <v>19</v>
      </c>
      <c r="B4220" t="s">
        <v>25</v>
      </c>
      <c r="C4220" s="1">
        <v>45847</v>
      </c>
      <c r="D4220">
        <f t="shared" si="304"/>
        <v>9</v>
      </c>
      <c r="E4220">
        <f t="shared" si="305"/>
        <v>7</v>
      </c>
      <c r="F4220">
        <f t="shared" si="306"/>
        <v>2025</v>
      </c>
      <c r="G4220" t="s">
        <v>36</v>
      </c>
      <c r="H4220" s="98">
        <v>12534</v>
      </c>
      <c r="I4220" s="29">
        <v>99</v>
      </c>
      <c r="J4220" s="12" t="s">
        <v>31</v>
      </c>
      <c r="K4220" s="76">
        <f t="shared" si="303"/>
        <v>99</v>
      </c>
      <c r="L4220">
        <v>1</v>
      </c>
      <c r="M4220" s="29">
        <v>0</v>
      </c>
      <c r="N4220" t="s">
        <v>32</v>
      </c>
      <c r="O4220" t="s">
        <v>33</v>
      </c>
      <c r="P4220" t="s">
        <v>34</v>
      </c>
      <c r="Q4220" t="s">
        <v>34</v>
      </c>
      <c r="R4220" t="s">
        <v>34</v>
      </c>
      <c r="S4220" t="s">
        <v>34</v>
      </c>
      <c r="T4220" s="117">
        <v>0</v>
      </c>
    </row>
    <row r="4221" spans="1:21" x14ac:dyDescent="0.35">
      <c r="A4221" t="s">
        <v>19</v>
      </c>
      <c r="B4221" t="s">
        <v>25</v>
      </c>
      <c r="C4221" s="1">
        <v>45847</v>
      </c>
      <c r="D4221">
        <f t="shared" si="304"/>
        <v>9</v>
      </c>
      <c r="E4221">
        <f t="shared" si="305"/>
        <v>7</v>
      </c>
      <c r="F4221">
        <f t="shared" si="306"/>
        <v>2025</v>
      </c>
      <c r="G4221" t="s">
        <v>36</v>
      </c>
      <c r="H4221" s="98">
        <v>12973</v>
      </c>
      <c r="I4221" s="29">
        <v>369.76</v>
      </c>
      <c r="J4221" s="12" t="s">
        <v>31</v>
      </c>
      <c r="K4221" s="76">
        <f t="shared" si="303"/>
        <v>369.76</v>
      </c>
      <c r="L4221">
        <v>1</v>
      </c>
      <c r="M4221" s="29">
        <v>0</v>
      </c>
      <c r="N4221" t="s">
        <v>32</v>
      </c>
      <c r="O4221" t="s">
        <v>33</v>
      </c>
      <c r="P4221" t="s">
        <v>34</v>
      </c>
      <c r="Q4221" t="s">
        <v>34</v>
      </c>
      <c r="R4221" t="s">
        <v>34</v>
      </c>
      <c r="S4221" t="s">
        <v>34</v>
      </c>
      <c r="T4221" s="117">
        <v>0</v>
      </c>
    </row>
    <row r="4222" spans="1:21" x14ac:dyDescent="0.35">
      <c r="A4222" t="s">
        <v>19</v>
      </c>
      <c r="B4222" t="s">
        <v>24</v>
      </c>
      <c r="C4222" s="1">
        <v>45847</v>
      </c>
      <c r="D4222">
        <f t="shared" si="304"/>
        <v>9</v>
      </c>
      <c r="E4222">
        <f t="shared" si="305"/>
        <v>7</v>
      </c>
      <c r="F4222">
        <f t="shared" si="306"/>
        <v>2025</v>
      </c>
      <c r="G4222" t="s">
        <v>352</v>
      </c>
      <c r="H4222" s="98">
        <v>12948</v>
      </c>
      <c r="I4222" s="29">
        <v>111.2</v>
      </c>
      <c r="J4222" s="12" t="s">
        <v>31</v>
      </c>
      <c r="K4222" s="76">
        <f t="shared" si="303"/>
        <v>111.2</v>
      </c>
      <c r="L4222">
        <v>1</v>
      </c>
      <c r="M4222" s="29">
        <v>0</v>
      </c>
      <c r="N4222" t="s">
        <v>32</v>
      </c>
      <c r="O4222" t="s">
        <v>33</v>
      </c>
      <c r="P4222" t="s">
        <v>34</v>
      </c>
      <c r="Q4222" t="s">
        <v>34</v>
      </c>
      <c r="R4222" t="s">
        <v>34</v>
      </c>
      <c r="S4222" t="s">
        <v>34</v>
      </c>
      <c r="T4222" s="117">
        <v>0</v>
      </c>
    </row>
    <row r="4223" spans="1:21" x14ac:dyDescent="0.35">
      <c r="A4223" t="s">
        <v>19</v>
      </c>
      <c r="B4223" t="s">
        <v>24</v>
      </c>
      <c r="C4223" s="1">
        <v>45847</v>
      </c>
      <c r="D4223">
        <f t="shared" si="304"/>
        <v>9</v>
      </c>
      <c r="E4223">
        <f t="shared" si="305"/>
        <v>7</v>
      </c>
      <c r="F4223">
        <f t="shared" si="306"/>
        <v>2025</v>
      </c>
      <c r="G4223" t="s">
        <v>352</v>
      </c>
      <c r="H4223" s="98">
        <v>12949</v>
      </c>
      <c r="I4223" s="29">
        <v>14550.8</v>
      </c>
      <c r="J4223" s="12" t="s">
        <v>31</v>
      </c>
      <c r="K4223" s="76">
        <f t="shared" si="303"/>
        <v>14550.8</v>
      </c>
      <c r="L4223">
        <v>1</v>
      </c>
      <c r="M4223" s="29">
        <v>0</v>
      </c>
      <c r="N4223" t="s">
        <v>32</v>
      </c>
      <c r="O4223" t="s">
        <v>33</v>
      </c>
      <c r="P4223" t="s">
        <v>34</v>
      </c>
      <c r="Q4223" t="s">
        <v>34</v>
      </c>
      <c r="R4223" t="s">
        <v>34</v>
      </c>
      <c r="S4223" t="s">
        <v>34</v>
      </c>
      <c r="T4223" s="117">
        <v>0</v>
      </c>
    </row>
    <row r="4224" spans="1:21" x14ac:dyDescent="0.35">
      <c r="A4224" t="s">
        <v>20</v>
      </c>
      <c r="B4224" t="s">
        <v>25</v>
      </c>
      <c r="C4224" s="1">
        <v>45847</v>
      </c>
      <c r="D4224">
        <f t="shared" si="304"/>
        <v>9</v>
      </c>
      <c r="E4224">
        <f t="shared" si="305"/>
        <v>7</v>
      </c>
      <c r="F4224">
        <f t="shared" si="306"/>
        <v>2025</v>
      </c>
      <c r="G4224" t="s">
        <v>891</v>
      </c>
      <c r="H4224" s="98">
        <v>12280</v>
      </c>
      <c r="I4224" s="29">
        <v>150.04</v>
      </c>
      <c r="J4224" s="12" t="s">
        <v>31</v>
      </c>
      <c r="K4224" s="76">
        <f t="shared" si="303"/>
        <v>150.04</v>
      </c>
      <c r="L4224">
        <v>1</v>
      </c>
      <c r="M4224" s="29">
        <v>0</v>
      </c>
      <c r="N4224" t="s">
        <v>32</v>
      </c>
      <c r="O4224" t="s">
        <v>33</v>
      </c>
      <c r="P4224" t="s">
        <v>34</v>
      </c>
      <c r="Q4224" t="s">
        <v>34</v>
      </c>
      <c r="R4224" t="s">
        <v>34</v>
      </c>
      <c r="S4224" t="s">
        <v>34</v>
      </c>
      <c r="T4224" s="117">
        <v>0</v>
      </c>
    </row>
    <row r="4225" spans="1:20" x14ac:dyDescent="0.35">
      <c r="A4225" t="s">
        <v>20</v>
      </c>
      <c r="B4225" t="s">
        <v>21</v>
      </c>
      <c r="C4225" s="1">
        <v>45847</v>
      </c>
      <c r="D4225">
        <f t="shared" si="304"/>
        <v>9</v>
      </c>
      <c r="E4225">
        <f t="shared" si="305"/>
        <v>7</v>
      </c>
      <c r="F4225">
        <f t="shared" si="306"/>
        <v>2025</v>
      </c>
      <c r="G4225" t="s">
        <v>891</v>
      </c>
      <c r="H4225" s="98">
        <v>12280</v>
      </c>
      <c r="I4225" s="29">
        <v>172.89</v>
      </c>
      <c r="J4225" s="12" t="s">
        <v>31</v>
      </c>
      <c r="K4225" s="76">
        <f t="shared" si="303"/>
        <v>172.89</v>
      </c>
      <c r="L4225">
        <v>1</v>
      </c>
      <c r="M4225" s="29">
        <v>0</v>
      </c>
      <c r="N4225" t="s">
        <v>32</v>
      </c>
      <c r="O4225" t="s">
        <v>33</v>
      </c>
      <c r="P4225" t="s">
        <v>34</v>
      </c>
      <c r="Q4225" t="s">
        <v>34</v>
      </c>
      <c r="R4225" t="s">
        <v>34</v>
      </c>
      <c r="S4225" t="s">
        <v>34</v>
      </c>
      <c r="T4225" s="117">
        <v>0</v>
      </c>
    </row>
    <row r="4226" spans="1:20" x14ac:dyDescent="0.35">
      <c r="A4226" t="s">
        <v>20</v>
      </c>
      <c r="B4226" t="s">
        <v>25</v>
      </c>
      <c r="C4226" s="1">
        <v>45847</v>
      </c>
      <c r="D4226">
        <f t="shared" si="304"/>
        <v>9</v>
      </c>
      <c r="E4226">
        <f t="shared" si="305"/>
        <v>7</v>
      </c>
      <c r="F4226">
        <f t="shared" si="306"/>
        <v>2025</v>
      </c>
      <c r="G4226" t="s">
        <v>891</v>
      </c>
      <c r="H4226" s="98">
        <v>12282</v>
      </c>
      <c r="I4226" s="29">
        <v>5151.58</v>
      </c>
      <c r="J4226" s="12" t="s">
        <v>31</v>
      </c>
      <c r="K4226" s="76">
        <f t="shared" si="303"/>
        <v>5151.58</v>
      </c>
      <c r="L4226">
        <v>1</v>
      </c>
      <c r="M4226" s="29">
        <v>0</v>
      </c>
      <c r="N4226" t="s">
        <v>32</v>
      </c>
      <c r="O4226" t="s">
        <v>33</v>
      </c>
      <c r="P4226" t="s">
        <v>34</v>
      </c>
      <c r="Q4226" t="s">
        <v>34</v>
      </c>
      <c r="R4226" t="s">
        <v>34</v>
      </c>
      <c r="S4226" t="s">
        <v>34</v>
      </c>
      <c r="T4226" s="117">
        <v>0</v>
      </c>
    </row>
    <row r="4227" spans="1:20" x14ac:dyDescent="0.35">
      <c r="A4227" t="s">
        <v>20</v>
      </c>
      <c r="B4227" t="s">
        <v>21</v>
      </c>
      <c r="C4227" s="1">
        <v>45847</v>
      </c>
      <c r="D4227">
        <f t="shared" si="304"/>
        <v>9</v>
      </c>
      <c r="E4227">
        <f t="shared" si="305"/>
        <v>7</v>
      </c>
      <c r="F4227">
        <f t="shared" si="306"/>
        <v>2025</v>
      </c>
      <c r="G4227" t="s">
        <v>891</v>
      </c>
      <c r="H4227" s="98">
        <v>12282</v>
      </c>
      <c r="I4227" s="29">
        <v>21818.26</v>
      </c>
      <c r="J4227" s="12" t="s">
        <v>31</v>
      </c>
      <c r="K4227" s="76">
        <f t="shared" si="303"/>
        <v>21818.26</v>
      </c>
      <c r="L4227">
        <v>1</v>
      </c>
      <c r="M4227" s="29">
        <v>0</v>
      </c>
      <c r="N4227" t="s">
        <v>32</v>
      </c>
      <c r="O4227" t="s">
        <v>33</v>
      </c>
      <c r="P4227" t="s">
        <v>34</v>
      </c>
      <c r="Q4227" t="s">
        <v>34</v>
      </c>
      <c r="R4227" t="s">
        <v>34</v>
      </c>
      <c r="S4227" t="s">
        <v>34</v>
      </c>
      <c r="T4227" s="117">
        <v>0</v>
      </c>
    </row>
    <row r="4228" spans="1:20" x14ac:dyDescent="0.35">
      <c r="A4228" t="s">
        <v>20</v>
      </c>
      <c r="B4228" t="s">
        <v>21</v>
      </c>
      <c r="C4228" s="1">
        <v>45847</v>
      </c>
      <c r="D4228">
        <f t="shared" si="304"/>
        <v>9</v>
      </c>
      <c r="E4228">
        <f t="shared" si="305"/>
        <v>7</v>
      </c>
      <c r="F4228">
        <f t="shared" si="306"/>
        <v>2025</v>
      </c>
      <c r="G4228" t="s">
        <v>459</v>
      </c>
      <c r="H4228" s="98">
        <v>12121</v>
      </c>
      <c r="I4228" s="29">
        <v>5376</v>
      </c>
      <c r="J4228" s="12" t="s">
        <v>31</v>
      </c>
      <c r="K4228" s="76">
        <f t="shared" si="303"/>
        <v>5376</v>
      </c>
      <c r="L4228">
        <v>1</v>
      </c>
      <c r="M4228" s="29">
        <v>0</v>
      </c>
      <c r="N4228" t="s">
        <v>32</v>
      </c>
      <c r="O4228" t="s">
        <v>33</v>
      </c>
      <c r="P4228" t="s">
        <v>34</v>
      </c>
      <c r="Q4228" t="s">
        <v>34</v>
      </c>
      <c r="R4228" t="s">
        <v>34</v>
      </c>
      <c r="S4228" t="s">
        <v>34</v>
      </c>
      <c r="T4228" s="117">
        <v>0</v>
      </c>
    </row>
    <row r="4229" spans="1:20" x14ac:dyDescent="0.35">
      <c r="A4229" t="s">
        <v>20</v>
      </c>
      <c r="B4229" t="s">
        <v>21</v>
      </c>
      <c r="C4229" s="1">
        <v>45847</v>
      </c>
      <c r="D4229">
        <f t="shared" si="304"/>
        <v>9</v>
      </c>
      <c r="E4229">
        <f t="shared" si="305"/>
        <v>7</v>
      </c>
      <c r="F4229">
        <f t="shared" si="306"/>
        <v>2025</v>
      </c>
      <c r="G4229" t="s">
        <v>50</v>
      </c>
      <c r="H4229" s="98">
        <v>12561</v>
      </c>
      <c r="I4229" s="29">
        <v>5651.1</v>
      </c>
      <c r="J4229" s="12" t="s">
        <v>31</v>
      </c>
      <c r="K4229" s="76">
        <f t="shared" si="303"/>
        <v>5651.1</v>
      </c>
      <c r="L4229">
        <v>1</v>
      </c>
      <c r="M4229" s="29">
        <v>0</v>
      </c>
      <c r="N4229" t="s">
        <v>32</v>
      </c>
      <c r="O4229" t="s">
        <v>33</v>
      </c>
      <c r="P4229" t="s">
        <v>34</v>
      </c>
      <c r="Q4229" t="s">
        <v>34</v>
      </c>
      <c r="R4229" t="s">
        <v>34</v>
      </c>
      <c r="S4229" t="s">
        <v>34</v>
      </c>
      <c r="T4229" s="117">
        <v>0</v>
      </c>
    </row>
    <row r="4230" spans="1:20" x14ac:dyDescent="0.35">
      <c r="A4230" t="s">
        <v>20</v>
      </c>
      <c r="B4230" t="s">
        <v>21</v>
      </c>
      <c r="C4230" s="1">
        <v>45847</v>
      </c>
      <c r="D4230">
        <f t="shared" si="304"/>
        <v>9</v>
      </c>
      <c r="E4230">
        <f t="shared" si="305"/>
        <v>7</v>
      </c>
      <c r="F4230">
        <f t="shared" si="306"/>
        <v>2025</v>
      </c>
      <c r="G4230" t="s">
        <v>45</v>
      </c>
      <c r="H4230" s="98">
        <v>12985</v>
      </c>
      <c r="I4230" s="29">
        <v>474.2</v>
      </c>
      <c r="J4230" s="12" t="s">
        <v>31</v>
      </c>
      <c r="K4230" s="76">
        <f t="shared" si="303"/>
        <v>474.2</v>
      </c>
      <c r="L4230">
        <v>1</v>
      </c>
      <c r="M4230" s="29">
        <v>0</v>
      </c>
      <c r="N4230" t="s">
        <v>32</v>
      </c>
      <c r="O4230" t="s">
        <v>33</v>
      </c>
      <c r="P4230" t="s">
        <v>34</v>
      </c>
      <c r="Q4230" t="s">
        <v>34</v>
      </c>
      <c r="R4230" t="s">
        <v>34</v>
      </c>
      <c r="S4230" t="s">
        <v>34</v>
      </c>
      <c r="T4230" s="117">
        <v>0</v>
      </c>
    </row>
    <row r="4231" spans="1:20" x14ac:dyDescent="0.35">
      <c r="A4231" t="s">
        <v>20</v>
      </c>
      <c r="B4231" t="s">
        <v>25</v>
      </c>
      <c r="C4231" s="1">
        <v>45847</v>
      </c>
      <c r="D4231">
        <f t="shared" si="304"/>
        <v>9</v>
      </c>
      <c r="E4231">
        <f t="shared" si="305"/>
        <v>7</v>
      </c>
      <c r="F4231">
        <f t="shared" si="306"/>
        <v>2025</v>
      </c>
      <c r="G4231" t="s">
        <v>45</v>
      </c>
      <c r="H4231" s="98">
        <v>12985</v>
      </c>
      <c r="I4231" s="29">
        <v>792.8</v>
      </c>
      <c r="J4231" s="12" t="s">
        <v>31</v>
      </c>
      <c r="K4231" s="76">
        <f t="shared" si="303"/>
        <v>792.8</v>
      </c>
      <c r="L4231">
        <v>1</v>
      </c>
      <c r="M4231" s="29">
        <v>0</v>
      </c>
      <c r="N4231" t="s">
        <v>32</v>
      </c>
      <c r="O4231" t="s">
        <v>33</v>
      </c>
      <c r="P4231" t="s">
        <v>34</v>
      </c>
      <c r="Q4231" t="s">
        <v>34</v>
      </c>
      <c r="R4231" t="s">
        <v>34</v>
      </c>
      <c r="S4231" t="s">
        <v>34</v>
      </c>
      <c r="T4231" s="117">
        <v>0</v>
      </c>
    </row>
    <row r="4232" spans="1:20" x14ac:dyDescent="0.35">
      <c r="A4232" t="s">
        <v>20</v>
      </c>
      <c r="B4232" t="s">
        <v>21</v>
      </c>
      <c r="C4232" s="1">
        <v>45847</v>
      </c>
      <c r="D4232">
        <f t="shared" si="304"/>
        <v>9</v>
      </c>
      <c r="E4232">
        <f t="shared" si="305"/>
        <v>7</v>
      </c>
      <c r="F4232">
        <f t="shared" si="306"/>
        <v>2025</v>
      </c>
      <c r="G4232" t="s">
        <v>45</v>
      </c>
      <c r="H4232" s="98">
        <v>12695</v>
      </c>
      <c r="I4232" s="29">
        <v>77</v>
      </c>
      <c r="J4232" s="12" t="s">
        <v>31</v>
      </c>
      <c r="K4232" s="76">
        <f t="shared" ref="K4232:K4277" si="307">IF(J4232="USD",I4232,I4232*L4232)</f>
        <v>77</v>
      </c>
      <c r="L4232">
        <v>1</v>
      </c>
      <c r="M4232" s="29">
        <v>0</v>
      </c>
      <c r="N4232" t="s">
        <v>32</v>
      </c>
      <c r="O4232" t="s">
        <v>33</v>
      </c>
      <c r="P4232" t="s">
        <v>34</v>
      </c>
      <c r="Q4232" t="s">
        <v>34</v>
      </c>
      <c r="R4232" t="s">
        <v>34</v>
      </c>
      <c r="S4232" t="s">
        <v>34</v>
      </c>
      <c r="T4232" s="117">
        <v>0</v>
      </c>
    </row>
    <row r="4233" spans="1:20" x14ac:dyDescent="0.35">
      <c r="A4233" t="s">
        <v>20</v>
      </c>
      <c r="B4233" t="s">
        <v>25</v>
      </c>
      <c r="C4233" s="1">
        <v>45847</v>
      </c>
      <c r="D4233">
        <f t="shared" ref="D4233:D4297" si="308">DAY(C4233)</f>
        <v>9</v>
      </c>
      <c r="E4233">
        <f t="shared" ref="E4233:E4297" si="309">MONTH(C4233)</f>
        <v>7</v>
      </c>
      <c r="F4233">
        <f t="shared" ref="F4233:F4297" si="310">YEAR(C4233)</f>
        <v>2025</v>
      </c>
      <c r="G4233" t="s">
        <v>45</v>
      </c>
      <c r="H4233" s="98">
        <v>12852</v>
      </c>
      <c r="I4233" s="29">
        <v>146.80000000000001</v>
      </c>
      <c r="J4233" s="12" t="s">
        <v>31</v>
      </c>
      <c r="K4233" s="76">
        <f t="shared" si="307"/>
        <v>146.80000000000001</v>
      </c>
      <c r="L4233">
        <v>1</v>
      </c>
      <c r="M4233" s="29">
        <v>0</v>
      </c>
      <c r="N4233" t="s">
        <v>32</v>
      </c>
      <c r="O4233" t="s">
        <v>33</v>
      </c>
      <c r="P4233" t="s">
        <v>34</v>
      </c>
      <c r="Q4233" t="s">
        <v>34</v>
      </c>
      <c r="R4233" t="s">
        <v>34</v>
      </c>
      <c r="S4233" t="s">
        <v>34</v>
      </c>
      <c r="T4233" s="117">
        <v>0</v>
      </c>
    </row>
    <row r="4234" spans="1:20" x14ac:dyDescent="0.35">
      <c r="A4234" t="s">
        <v>20</v>
      </c>
      <c r="B4234" t="s">
        <v>23</v>
      </c>
      <c r="C4234" s="1">
        <v>45847</v>
      </c>
      <c r="D4234">
        <f t="shared" si="308"/>
        <v>9</v>
      </c>
      <c r="E4234">
        <f t="shared" si="309"/>
        <v>7</v>
      </c>
      <c r="F4234">
        <f t="shared" si="310"/>
        <v>2025</v>
      </c>
      <c r="G4234" t="s">
        <v>595</v>
      </c>
      <c r="H4234" s="98">
        <v>13166</v>
      </c>
      <c r="I4234" s="29">
        <v>29.5</v>
      </c>
      <c r="J4234" s="12" t="s">
        <v>31</v>
      </c>
      <c r="K4234" s="76">
        <f t="shared" si="307"/>
        <v>29.5</v>
      </c>
      <c r="L4234">
        <v>1</v>
      </c>
      <c r="M4234" s="29">
        <v>0</v>
      </c>
      <c r="N4234" t="s">
        <v>42</v>
      </c>
      <c r="O4234" t="s">
        <v>33</v>
      </c>
      <c r="P4234" t="s">
        <v>34</v>
      </c>
      <c r="Q4234" t="s">
        <v>34</v>
      </c>
      <c r="R4234" t="s">
        <v>34</v>
      </c>
      <c r="S4234" t="s">
        <v>34</v>
      </c>
      <c r="T4234" s="117">
        <v>0</v>
      </c>
    </row>
    <row r="4235" spans="1:20" x14ac:dyDescent="0.35">
      <c r="A4235" t="s">
        <v>20</v>
      </c>
      <c r="B4235" t="s">
        <v>23</v>
      </c>
      <c r="C4235" s="1">
        <v>45847</v>
      </c>
      <c r="D4235">
        <f t="shared" si="308"/>
        <v>9</v>
      </c>
      <c r="E4235">
        <f t="shared" si="309"/>
        <v>7</v>
      </c>
      <c r="F4235">
        <f t="shared" si="310"/>
        <v>2025</v>
      </c>
      <c r="G4235" t="s">
        <v>595</v>
      </c>
      <c r="H4235" s="98">
        <v>13167</v>
      </c>
      <c r="I4235" s="29">
        <v>973.5</v>
      </c>
      <c r="J4235" s="12" t="s">
        <v>31</v>
      </c>
      <c r="K4235" s="76">
        <f t="shared" si="307"/>
        <v>973.5</v>
      </c>
      <c r="L4235">
        <v>1</v>
      </c>
      <c r="M4235" s="29">
        <v>0</v>
      </c>
      <c r="N4235" t="s">
        <v>42</v>
      </c>
      <c r="O4235" t="s">
        <v>33</v>
      </c>
      <c r="P4235" t="s">
        <v>34</v>
      </c>
      <c r="Q4235" t="s">
        <v>34</v>
      </c>
      <c r="R4235" t="s">
        <v>34</v>
      </c>
      <c r="S4235" t="s">
        <v>34</v>
      </c>
      <c r="T4235" s="117">
        <v>0</v>
      </c>
    </row>
    <row r="4236" spans="1:20" x14ac:dyDescent="0.35">
      <c r="A4236" t="s">
        <v>20</v>
      </c>
      <c r="B4236" t="s">
        <v>23</v>
      </c>
      <c r="C4236" s="1">
        <v>45847</v>
      </c>
      <c r="D4236">
        <f t="shared" si="308"/>
        <v>9</v>
      </c>
      <c r="E4236">
        <f t="shared" si="309"/>
        <v>7</v>
      </c>
      <c r="F4236">
        <f t="shared" si="310"/>
        <v>2025</v>
      </c>
      <c r="G4236" t="s">
        <v>108</v>
      </c>
      <c r="H4236" s="98">
        <v>13133</v>
      </c>
      <c r="I4236" s="29">
        <v>25.5</v>
      </c>
      <c r="J4236" s="12" t="s">
        <v>31</v>
      </c>
      <c r="K4236" s="76">
        <f t="shared" si="307"/>
        <v>25.5</v>
      </c>
      <c r="L4236">
        <v>1</v>
      </c>
      <c r="M4236" s="29">
        <v>0</v>
      </c>
      <c r="N4236" t="s">
        <v>42</v>
      </c>
      <c r="O4236" t="s">
        <v>33</v>
      </c>
      <c r="P4236" t="s">
        <v>34</v>
      </c>
      <c r="Q4236" t="s">
        <v>34</v>
      </c>
      <c r="R4236" t="s">
        <v>34</v>
      </c>
      <c r="S4236" t="s">
        <v>34</v>
      </c>
      <c r="T4236" s="117">
        <v>0</v>
      </c>
    </row>
    <row r="4237" spans="1:20" x14ac:dyDescent="0.35">
      <c r="A4237" t="s">
        <v>20</v>
      </c>
      <c r="B4237" t="s">
        <v>23</v>
      </c>
      <c r="C4237" s="1">
        <v>45847</v>
      </c>
      <c r="D4237">
        <f t="shared" si="308"/>
        <v>9</v>
      </c>
      <c r="E4237">
        <f t="shared" si="309"/>
        <v>7</v>
      </c>
      <c r="F4237">
        <f t="shared" si="310"/>
        <v>2025</v>
      </c>
      <c r="G4237" t="s">
        <v>108</v>
      </c>
      <c r="H4237" s="98">
        <v>13134</v>
      </c>
      <c r="I4237" s="29">
        <v>867</v>
      </c>
      <c r="J4237" s="12" t="s">
        <v>31</v>
      </c>
      <c r="K4237" s="76">
        <f t="shared" si="307"/>
        <v>867</v>
      </c>
      <c r="L4237">
        <v>1</v>
      </c>
      <c r="M4237" s="29">
        <v>0</v>
      </c>
      <c r="N4237" t="s">
        <v>42</v>
      </c>
      <c r="O4237" t="s">
        <v>33</v>
      </c>
      <c r="P4237" t="s">
        <v>34</v>
      </c>
      <c r="Q4237" t="s">
        <v>34</v>
      </c>
      <c r="R4237" t="s">
        <v>34</v>
      </c>
      <c r="S4237" t="s">
        <v>34</v>
      </c>
      <c r="T4237" s="117">
        <v>0</v>
      </c>
    </row>
    <row r="4238" spans="1:20" x14ac:dyDescent="0.35">
      <c r="A4238" t="s">
        <v>20</v>
      </c>
      <c r="B4238" t="s">
        <v>23</v>
      </c>
      <c r="C4238" s="1">
        <v>45847</v>
      </c>
      <c r="D4238">
        <f t="shared" si="308"/>
        <v>9</v>
      </c>
      <c r="E4238">
        <f t="shared" si="309"/>
        <v>7</v>
      </c>
      <c r="F4238">
        <f t="shared" si="310"/>
        <v>2025</v>
      </c>
      <c r="G4238" t="s">
        <v>97</v>
      </c>
      <c r="H4238" s="98">
        <v>12767</v>
      </c>
      <c r="I4238" s="29">
        <v>19115.401999999998</v>
      </c>
      <c r="J4238" s="12" t="s">
        <v>31</v>
      </c>
      <c r="K4238" s="76">
        <f t="shared" si="307"/>
        <v>19115.401999999998</v>
      </c>
      <c r="L4238">
        <v>1</v>
      </c>
      <c r="M4238" s="29">
        <v>600.12</v>
      </c>
      <c r="N4238" t="s">
        <v>32</v>
      </c>
      <c r="O4238" t="s">
        <v>33</v>
      </c>
      <c r="P4238" t="s">
        <v>34</v>
      </c>
      <c r="Q4238" t="s">
        <v>34</v>
      </c>
      <c r="R4238" t="s">
        <v>34</v>
      </c>
      <c r="S4238" t="s">
        <v>34</v>
      </c>
      <c r="T4238" s="117">
        <v>0</v>
      </c>
    </row>
    <row r="4239" spans="1:20" x14ac:dyDescent="0.35">
      <c r="A4239" t="s">
        <v>20</v>
      </c>
      <c r="B4239" t="s">
        <v>21</v>
      </c>
      <c r="C4239" s="1">
        <v>45847</v>
      </c>
      <c r="D4239">
        <f t="shared" si="308"/>
        <v>9</v>
      </c>
      <c r="E4239">
        <f t="shared" si="309"/>
        <v>7</v>
      </c>
      <c r="F4239">
        <f t="shared" si="310"/>
        <v>2025</v>
      </c>
      <c r="G4239" t="s">
        <v>97</v>
      </c>
      <c r="H4239" s="98">
        <v>12767</v>
      </c>
      <c r="I4239" s="29">
        <v>65248.582600000002</v>
      </c>
      <c r="J4239" s="12" t="s">
        <v>31</v>
      </c>
      <c r="K4239" s="76">
        <f t="shared" si="307"/>
        <v>65248.582600000002</v>
      </c>
      <c r="L4239">
        <v>1</v>
      </c>
      <c r="M4239" s="29">
        <v>2009.08</v>
      </c>
      <c r="N4239" t="s">
        <v>32</v>
      </c>
      <c r="O4239" t="s">
        <v>33</v>
      </c>
      <c r="P4239" t="s">
        <v>34</v>
      </c>
      <c r="Q4239" t="s">
        <v>34</v>
      </c>
      <c r="R4239" t="s">
        <v>34</v>
      </c>
      <c r="S4239" t="s">
        <v>34</v>
      </c>
      <c r="T4239" s="117">
        <v>0</v>
      </c>
    </row>
    <row r="4240" spans="1:20" x14ac:dyDescent="0.35">
      <c r="A4240" t="s">
        <v>20</v>
      </c>
      <c r="B4240" t="s">
        <v>23</v>
      </c>
      <c r="C4240" s="1">
        <v>45847</v>
      </c>
      <c r="D4240">
        <f t="shared" si="308"/>
        <v>9</v>
      </c>
      <c r="E4240">
        <f t="shared" si="309"/>
        <v>7</v>
      </c>
      <c r="F4240">
        <f t="shared" si="310"/>
        <v>2025</v>
      </c>
      <c r="G4240" t="s">
        <v>97</v>
      </c>
      <c r="H4240" s="98">
        <v>12885</v>
      </c>
      <c r="I4240" s="29">
        <v>35</v>
      </c>
      <c r="J4240" s="12" t="s">
        <v>31</v>
      </c>
      <c r="K4240" s="76">
        <f t="shared" si="307"/>
        <v>35</v>
      </c>
      <c r="L4240">
        <v>1</v>
      </c>
      <c r="M4240" s="29">
        <v>0</v>
      </c>
      <c r="N4240" t="s">
        <v>32</v>
      </c>
      <c r="O4240" t="s">
        <v>33</v>
      </c>
      <c r="P4240" t="s">
        <v>34</v>
      </c>
      <c r="Q4240" t="s">
        <v>34</v>
      </c>
      <c r="R4240" t="s">
        <v>34</v>
      </c>
      <c r="S4240" t="s">
        <v>34</v>
      </c>
      <c r="T4240" s="117">
        <v>0</v>
      </c>
    </row>
    <row r="4241" spans="1:20" x14ac:dyDescent="0.35">
      <c r="A4241" t="s">
        <v>20</v>
      </c>
      <c r="B4241" t="s">
        <v>21</v>
      </c>
      <c r="C4241" s="1">
        <v>45847</v>
      </c>
      <c r="D4241">
        <f t="shared" si="308"/>
        <v>9</v>
      </c>
      <c r="E4241">
        <f t="shared" si="309"/>
        <v>7</v>
      </c>
      <c r="F4241">
        <f t="shared" si="310"/>
        <v>2025</v>
      </c>
      <c r="G4241" t="s">
        <v>97</v>
      </c>
      <c r="H4241" s="98">
        <v>12885</v>
      </c>
      <c r="I4241" s="29">
        <v>584</v>
      </c>
      <c r="J4241" s="12" t="s">
        <v>31</v>
      </c>
      <c r="K4241" s="76">
        <f t="shared" si="307"/>
        <v>584</v>
      </c>
      <c r="L4241">
        <v>1</v>
      </c>
      <c r="M4241" s="29">
        <v>0</v>
      </c>
      <c r="N4241" t="s">
        <v>32</v>
      </c>
      <c r="O4241" t="s">
        <v>33</v>
      </c>
      <c r="P4241" t="s">
        <v>34</v>
      </c>
      <c r="Q4241" t="s">
        <v>34</v>
      </c>
      <c r="R4241" t="s">
        <v>34</v>
      </c>
      <c r="S4241" t="s">
        <v>34</v>
      </c>
      <c r="T4241" s="117">
        <v>0</v>
      </c>
    </row>
    <row r="4242" spans="1:20" x14ac:dyDescent="0.35">
      <c r="A4242" t="s">
        <v>20</v>
      </c>
      <c r="B4242" t="s">
        <v>25</v>
      </c>
      <c r="C4242" s="1">
        <v>45847</v>
      </c>
      <c r="D4242">
        <f t="shared" si="308"/>
        <v>9</v>
      </c>
      <c r="E4242">
        <f t="shared" si="309"/>
        <v>7</v>
      </c>
      <c r="F4242">
        <f t="shared" si="310"/>
        <v>2025</v>
      </c>
      <c r="G4242" t="s">
        <v>97</v>
      </c>
      <c r="H4242" s="98">
        <v>12885</v>
      </c>
      <c r="I4242" s="29">
        <v>2466</v>
      </c>
      <c r="J4242" s="12" t="s">
        <v>31</v>
      </c>
      <c r="K4242" s="76">
        <f t="shared" si="307"/>
        <v>2466</v>
      </c>
      <c r="L4242">
        <v>1</v>
      </c>
      <c r="M4242" s="29">
        <v>0</v>
      </c>
      <c r="N4242" t="s">
        <v>32</v>
      </c>
      <c r="O4242" t="s">
        <v>33</v>
      </c>
      <c r="P4242" t="s">
        <v>34</v>
      </c>
      <c r="Q4242" t="s">
        <v>34</v>
      </c>
      <c r="R4242" t="s">
        <v>34</v>
      </c>
      <c r="S4242" t="s">
        <v>34</v>
      </c>
      <c r="T4242" s="117">
        <v>0</v>
      </c>
    </row>
    <row r="4243" spans="1:20" x14ac:dyDescent="0.35">
      <c r="A4243" t="s">
        <v>20</v>
      </c>
      <c r="B4243" t="s">
        <v>24</v>
      </c>
      <c r="C4243" s="1">
        <v>45847</v>
      </c>
      <c r="D4243">
        <f t="shared" si="308"/>
        <v>9</v>
      </c>
      <c r="E4243">
        <f t="shared" si="309"/>
        <v>7</v>
      </c>
      <c r="F4243">
        <f t="shared" si="310"/>
        <v>2025</v>
      </c>
      <c r="G4243" t="s">
        <v>97</v>
      </c>
      <c r="H4243" s="98">
        <v>12885</v>
      </c>
      <c r="I4243" s="29">
        <v>1017</v>
      </c>
      <c r="J4243" s="12" t="s">
        <v>31</v>
      </c>
      <c r="K4243" s="76">
        <f t="shared" si="307"/>
        <v>1017</v>
      </c>
      <c r="L4243">
        <v>1</v>
      </c>
      <c r="M4243" s="29">
        <v>0</v>
      </c>
      <c r="N4243" t="s">
        <v>32</v>
      </c>
      <c r="O4243" t="s">
        <v>33</v>
      </c>
      <c r="P4243" t="s">
        <v>34</v>
      </c>
      <c r="Q4243" t="s">
        <v>34</v>
      </c>
      <c r="R4243" t="s">
        <v>34</v>
      </c>
      <c r="S4243" t="s">
        <v>34</v>
      </c>
      <c r="T4243" s="117">
        <v>0</v>
      </c>
    </row>
    <row r="4244" spans="1:20" x14ac:dyDescent="0.35">
      <c r="A4244" t="s">
        <v>20</v>
      </c>
      <c r="B4244" t="s">
        <v>23</v>
      </c>
      <c r="C4244" s="1">
        <v>45847</v>
      </c>
      <c r="D4244">
        <f t="shared" si="308"/>
        <v>9</v>
      </c>
      <c r="E4244">
        <f t="shared" si="309"/>
        <v>7</v>
      </c>
      <c r="F4244">
        <f t="shared" si="310"/>
        <v>2025</v>
      </c>
      <c r="G4244" t="s">
        <v>97</v>
      </c>
      <c r="H4244" s="98">
        <v>12915</v>
      </c>
      <c r="I4244" s="29">
        <v>21252.7</v>
      </c>
      <c r="J4244" s="12" t="s">
        <v>31</v>
      </c>
      <c r="K4244" s="76">
        <f t="shared" si="307"/>
        <v>21252.7</v>
      </c>
      <c r="L4244">
        <v>1</v>
      </c>
      <c r="M4244" s="29">
        <v>662.62</v>
      </c>
      <c r="N4244" t="s">
        <v>32</v>
      </c>
      <c r="O4244" t="s">
        <v>33</v>
      </c>
      <c r="P4244" t="s">
        <v>34</v>
      </c>
      <c r="Q4244" t="s">
        <v>34</v>
      </c>
      <c r="R4244" t="s">
        <v>34</v>
      </c>
      <c r="S4244" t="s">
        <v>34</v>
      </c>
      <c r="T4244" s="117">
        <v>0</v>
      </c>
    </row>
    <row r="4245" spans="1:20" x14ac:dyDescent="0.35">
      <c r="A4245" t="s">
        <v>20</v>
      </c>
      <c r="B4245" t="s">
        <v>21</v>
      </c>
      <c r="C4245" s="1">
        <v>45847</v>
      </c>
      <c r="D4245">
        <f t="shared" si="308"/>
        <v>9</v>
      </c>
      <c r="E4245">
        <f t="shared" si="309"/>
        <v>7</v>
      </c>
      <c r="F4245">
        <f t="shared" si="310"/>
        <v>2025</v>
      </c>
      <c r="G4245" t="s">
        <v>97</v>
      </c>
      <c r="H4245" s="98">
        <v>12915</v>
      </c>
      <c r="I4245" s="29">
        <v>35444.605100000001</v>
      </c>
      <c r="J4245" s="12" t="s">
        <v>31</v>
      </c>
      <c r="K4245" s="76">
        <f t="shared" si="307"/>
        <v>35444.605100000001</v>
      </c>
      <c r="L4245">
        <v>1</v>
      </c>
      <c r="M4245" s="29">
        <v>1121.3699999999999</v>
      </c>
      <c r="N4245" t="s">
        <v>32</v>
      </c>
      <c r="O4245" t="s">
        <v>33</v>
      </c>
      <c r="P4245" t="s">
        <v>34</v>
      </c>
      <c r="Q4245" t="s">
        <v>34</v>
      </c>
      <c r="R4245" t="s">
        <v>34</v>
      </c>
      <c r="S4245" t="s">
        <v>34</v>
      </c>
      <c r="T4245" s="117">
        <v>0</v>
      </c>
    </row>
    <row r="4246" spans="1:20" x14ac:dyDescent="0.35">
      <c r="A4246" t="s">
        <v>20</v>
      </c>
      <c r="B4246" t="s">
        <v>25</v>
      </c>
      <c r="C4246" s="1">
        <v>45847</v>
      </c>
      <c r="D4246">
        <f t="shared" si="308"/>
        <v>9</v>
      </c>
      <c r="E4246">
        <f t="shared" si="309"/>
        <v>7</v>
      </c>
      <c r="F4246">
        <f t="shared" si="310"/>
        <v>2025</v>
      </c>
      <c r="G4246" t="s">
        <v>97</v>
      </c>
      <c r="H4246" s="98">
        <v>12915</v>
      </c>
      <c r="I4246" s="29">
        <v>81570.665900000007</v>
      </c>
      <c r="J4246" s="12" t="s">
        <v>31</v>
      </c>
      <c r="K4246" s="76">
        <f t="shared" si="307"/>
        <v>81570.665900000007</v>
      </c>
      <c r="L4246">
        <v>1</v>
      </c>
      <c r="M4246" s="29">
        <v>2497.59</v>
      </c>
      <c r="N4246" t="s">
        <v>32</v>
      </c>
      <c r="O4246" t="s">
        <v>33</v>
      </c>
      <c r="P4246" t="s">
        <v>34</v>
      </c>
      <c r="Q4246" t="s">
        <v>34</v>
      </c>
      <c r="R4246" t="s">
        <v>34</v>
      </c>
      <c r="S4246" t="s">
        <v>34</v>
      </c>
      <c r="T4246" s="117">
        <v>0</v>
      </c>
    </row>
    <row r="4247" spans="1:20" x14ac:dyDescent="0.35">
      <c r="A4247" t="s">
        <v>20</v>
      </c>
      <c r="B4247" t="s">
        <v>24</v>
      </c>
      <c r="C4247" s="1">
        <v>45847</v>
      </c>
      <c r="D4247">
        <f t="shared" si="308"/>
        <v>9</v>
      </c>
      <c r="E4247">
        <f t="shared" si="309"/>
        <v>7</v>
      </c>
      <c r="F4247">
        <f t="shared" si="310"/>
        <v>2025</v>
      </c>
      <c r="G4247" t="s">
        <v>97</v>
      </c>
      <c r="H4247" s="98">
        <v>12915</v>
      </c>
      <c r="I4247" s="29">
        <v>26539.035100000001</v>
      </c>
      <c r="J4247" s="12" t="s">
        <v>31</v>
      </c>
      <c r="K4247" s="76">
        <f t="shared" si="307"/>
        <v>26539.035100000001</v>
      </c>
      <c r="L4247">
        <v>1</v>
      </c>
      <c r="M4247" s="29">
        <v>815.54</v>
      </c>
      <c r="N4247" t="s">
        <v>32</v>
      </c>
      <c r="O4247" t="s">
        <v>33</v>
      </c>
      <c r="P4247" t="s">
        <v>34</v>
      </c>
      <c r="Q4247" t="s">
        <v>34</v>
      </c>
      <c r="R4247" t="s">
        <v>34</v>
      </c>
      <c r="S4247" t="s">
        <v>34</v>
      </c>
      <c r="T4247" s="117">
        <v>0</v>
      </c>
    </row>
    <row r="4248" spans="1:20" x14ac:dyDescent="0.35">
      <c r="A4248" t="s">
        <v>20</v>
      </c>
      <c r="B4248" t="s">
        <v>25</v>
      </c>
      <c r="C4248" s="1">
        <v>45847</v>
      </c>
      <c r="D4248">
        <f t="shared" si="308"/>
        <v>9</v>
      </c>
      <c r="E4248">
        <f t="shared" si="309"/>
        <v>7</v>
      </c>
      <c r="F4248">
        <f t="shared" si="310"/>
        <v>2025</v>
      </c>
      <c r="G4248" t="s">
        <v>566</v>
      </c>
      <c r="H4248" s="98">
        <v>12862</v>
      </c>
      <c r="I4248" s="29">
        <v>47.399999999999977</v>
      </c>
      <c r="J4248" s="12" t="s">
        <v>31</v>
      </c>
      <c r="K4248" s="76">
        <f t="shared" si="307"/>
        <v>47.399999999999977</v>
      </c>
      <c r="L4248">
        <v>1</v>
      </c>
      <c r="M4248" s="29">
        <v>0</v>
      </c>
      <c r="N4248" t="s">
        <v>42</v>
      </c>
      <c r="O4248" t="s">
        <v>33</v>
      </c>
      <c r="P4248" t="s">
        <v>34</v>
      </c>
      <c r="Q4248" t="s">
        <v>34</v>
      </c>
      <c r="R4248" t="s">
        <v>34</v>
      </c>
      <c r="S4248" t="s">
        <v>34</v>
      </c>
      <c r="T4248" s="117">
        <v>0</v>
      </c>
    </row>
    <row r="4249" spans="1:20" x14ac:dyDescent="0.35">
      <c r="A4249" t="s">
        <v>20</v>
      </c>
      <c r="B4249" t="s">
        <v>25</v>
      </c>
      <c r="C4249" s="1">
        <v>45847</v>
      </c>
      <c r="D4249">
        <f t="shared" si="308"/>
        <v>9</v>
      </c>
      <c r="E4249">
        <f t="shared" si="309"/>
        <v>7</v>
      </c>
      <c r="F4249">
        <f t="shared" si="310"/>
        <v>2025</v>
      </c>
      <c r="G4249" t="s">
        <v>566</v>
      </c>
      <c r="H4249" s="98">
        <v>12864</v>
      </c>
      <c r="I4249" s="29">
        <v>8791.3499999999985</v>
      </c>
      <c r="J4249" s="12" t="s">
        <v>31</v>
      </c>
      <c r="K4249" s="76">
        <f t="shared" si="307"/>
        <v>8791.3499999999985</v>
      </c>
      <c r="L4249">
        <v>1</v>
      </c>
      <c r="M4249" s="29">
        <v>0</v>
      </c>
      <c r="N4249" t="s">
        <v>42</v>
      </c>
      <c r="O4249" t="s">
        <v>33</v>
      </c>
      <c r="P4249" t="s">
        <v>34</v>
      </c>
      <c r="Q4249" t="s">
        <v>34</v>
      </c>
      <c r="R4249" t="s">
        <v>34</v>
      </c>
      <c r="S4249" t="s">
        <v>34</v>
      </c>
      <c r="T4249" s="117">
        <v>0</v>
      </c>
    </row>
    <row r="4250" spans="1:20" x14ac:dyDescent="0.35">
      <c r="A4250" t="s">
        <v>20</v>
      </c>
      <c r="B4250" t="s">
        <v>23</v>
      </c>
      <c r="C4250" s="1">
        <v>45847</v>
      </c>
      <c r="D4250">
        <f t="shared" si="308"/>
        <v>9</v>
      </c>
      <c r="E4250">
        <f t="shared" si="309"/>
        <v>7</v>
      </c>
      <c r="F4250">
        <f t="shared" si="310"/>
        <v>2025</v>
      </c>
      <c r="G4250" t="s">
        <v>46</v>
      </c>
      <c r="H4250" s="98">
        <v>12612</v>
      </c>
      <c r="I4250" s="29">
        <v>9126.48</v>
      </c>
      <c r="J4250" s="12" t="s">
        <v>31</v>
      </c>
      <c r="K4250" s="76">
        <f t="shared" si="307"/>
        <v>9126.48</v>
      </c>
      <c r="L4250">
        <v>1</v>
      </c>
      <c r="M4250" s="29">
        <v>0</v>
      </c>
      <c r="N4250" t="s">
        <v>32</v>
      </c>
      <c r="O4250" t="s">
        <v>33</v>
      </c>
      <c r="P4250" t="s">
        <v>34</v>
      </c>
      <c r="Q4250" t="s">
        <v>34</v>
      </c>
      <c r="R4250" t="s">
        <v>34</v>
      </c>
      <c r="S4250" t="s">
        <v>34</v>
      </c>
      <c r="T4250" s="117">
        <v>0</v>
      </c>
    </row>
    <row r="4251" spans="1:20" x14ac:dyDescent="0.35">
      <c r="A4251" t="s">
        <v>20</v>
      </c>
      <c r="B4251" t="s">
        <v>25</v>
      </c>
      <c r="C4251" s="1">
        <v>45847</v>
      </c>
      <c r="D4251">
        <f t="shared" si="308"/>
        <v>9</v>
      </c>
      <c r="E4251">
        <f t="shared" si="309"/>
        <v>7</v>
      </c>
      <c r="F4251">
        <f t="shared" si="310"/>
        <v>2025</v>
      </c>
      <c r="G4251" t="s">
        <v>43</v>
      </c>
      <c r="H4251" s="139">
        <v>12901</v>
      </c>
      <c r="I4251" s="140">
        <v>109798.09</v>
      </c>
      <c r="J4251" s="139" t="s">
        <v>31</v>
      </c>
      <c r="K4251" s="76">
        <f t="shared" si="307"/>
        <v>109798.09</v>
      </c>
      <c r="L4251">
        <v>1</v>
      </c>
      <c r="M4251" s="29">
        <v>0</v>
      </c>
      <c r="N4251" t="s">
        <v>42</v>
      </c>
      <c r="O4251" t="s">
        <v>33</v>
      </c>
      <c r="P4251" t="s">
        <v>34</v>
      </c>
      <c r="Q4251" t="s">
        <v>34</v>
      </c>
      <c r="R4251" t="s">
        <v>34</v>
      </c>
      <c r="S4251" t="s">
        <v>34</v>
      </c>
      <c r="T4251" s="117">
        <v>0</v>
      </c>
    </row>
    <row r="4252" spans="1:20" x14ac:dyDescent="0.35">
      <c r="A4252" t="s">
        <v>20</v>
      </c>
      <c r="B4252" t="s">
        <v>21</v>
      </c>
      <c r="C4252" s="1">
        <v>45847</v>
      </c>
      <c r="D4252">
        <f t="shared" si="308"/>
        <v>9</v>
      </c>
      <c r="E4252">
        <f t="shared" si="309"/>
        <v>7</v>
      </c>
      <c r="F4252">
        <f t="shared" si="310"/>
        <v>2025</v>
      </c>
      <c r="G4252" t="s">
        <v>43</v>
      </c>
      <c r="H4252" s="139">
        <v>12901</v>
      </c>
      <c r="I4252" s="140">
        <v>23835.5</v>
      </c>
      <c r="J4252" s="139" t="s">
        <v>31</v>
      </c>
      <c r="K4252" s="76">
        <f t="shared" si="307"/>
        <v>23835.5</v>
      </c>
      <c r="L4252">
        <v>1</v>
      </c>
      <c r="M4252" s="29">
        <v>0</v>
      </c>
      <c r="N4252" t="s">
        <v>42</v>
      </c>
      <c r="O4252" t="s">
        <v>33</v>
      </c>
      <c r="P4252" t="s">
        <v>34</v>
      </c>
      <c r="Q4252" t="s">
        <v>34</v>
      </c>
      <c r="R4252" t="s">
        <v>34</v>
      </c>
      <c r="S4252" t="s">
        <v>34</v>
      </c>
      <c r="T4252" s="117">
        <v>0</v>
      </c>
    </row>
    <row r="4253" spans="1:20" x14ac:dyDescent="0.35">
      <c r="A4253" t="s">
        <v>20</v>
      </c>
      <c r="B4253" t="s">
        <v>21</v>
      </c>
      <c r="C4253" s="1">
        <v>45847</v>
      </c>
      <c r="D4253">
        <f t="shared" si="308"/>
        <v>9</v>
      </c>
      <c r="E4253">
        <f t="shared" si="309"/>
        <v>7</v>
      </c>
      <c r="F4253">
        <f t="shared" si="310"/>
        <v>2025</v>
      </c>
      <c r="G4253" t="s">
        <v>43</v>
      </c>
      <c r="H4253" s="139">
        <v>12728</v>
      </c>
      <c r="I4253" s="140">
        <v>135.4</v>
      </c>
      <c r="J4253" s="139" t="s">
        <v>31</v>
      </c>
      <c r="K4253" s="76">
        <f t="shared" si="307"/>
        <v>135.4</v>
      </c>
      <c r="L4253">
        <v>1</v>
      </c>
      <c r="M4253" s="29">
        <v>0</v>
      </c>
      <c r="N4253" t="s">
        <v>32</v>
      </c>
      <c r="O4253" t="s">
        <v>33</v>
      </c>
      <c r="P4253" t="s">
        <v>34</v>
      </c>
      <c r="Q4253" t="s">
        <v>34</v>
      </c>
      <c r="R4253" t="s">
        <v>34</v>
      </c>
      <c r="S4253" t="s">
        <v>34</v>
      </c>
      <c r="T4253" s="117">
        <v>0</v>
      </c>
    </row>
    <row r="4254" spans="1:20" x14ac:dyDescent="0.35">
      <c r="A4254" t="s">
        <v>20</v>
      </c>
      <c r="B4254" t="s">
        <v>21</v>
      </c>
      <c r="C4254" s="1">
        <v>45847</v>
      </c>
      <c r="D4254">
        <f t="shared" si="308"/>
        <v>9</v>
      </c>
      <c r="E4254">
        <f t="shared" si="309"/>
        <v>7</v>
      </c>
      <c r="F4254">
        <f t="shared" si="310"/>
        <v>2025</v>
      </c>
      <c r="G4254" t="s">
        <v>183</v>
      </c>
      <c r="H4254" s="98">
        <v>13095</v>
      </c>
      <c r="I4254" s="29">
        <v>828.24</v>
      </c>
      <c r="J4254" s="12" t="s">
        <v>31</v>
      </c>
      <c r="K4254" s="76">
        <f t="shared" si="307"/>
        <v>828.24</v>
      </c>
      <c r="L4254">
        <v>1</v>
      </c>
      <c r="M4254" s="29">
        <v>0</v>
      </c>
      <c r="N4254" t="s">
        <v>42</v>
      </c>
      <c r="O4254" t="s">
        <v>33</v>
      </c>
      <c r="P4254" t="s">
        <v>34</v>
      </c>
      <c r="Q4254" t="s">
        <v>34</v>
      </c>
      <c r="R4254" t="s">
        <v>34</v>
      </c>
      <c r="S4254" t="s">
        <v>34</v>
      </c>
      <c r="T4254" s="117">
        <v>0</v>
      </c>
    </row>
    <row r="4255" spans="1:20" x14ac:dyDescent="0.35">
      <c r="A4255" t="s">
        <v>19</v>
      </c>
      <c r="B4255" t="s">
        <v>19</v>
      </c>
      <c r="C4255" s="1">
        <v>45847</v>
      </c>
      <c r="D4255">
        <f t="shared" si="308"/>
        <v>9</v>
      </c>
      <c r="E4255">
        <f t="shared" si="309"/>
        <v>7</v>
      </c>
      <c r="F4255">
        <f t="shared" si="310"/>
        <v>2025</v>
      </c>
      <c r="G4255" t="s">
        <v>56</v>
      </c>
      <c r="H4255" s="98" t="s">
        <v>1160</v>
      </c>
      <c r="I4255" s="91">
        <f>13601.16+140958.06</f>
        <v>154559.22</v>
      </c>
      <c r="J4255" s="139" t="s">
        <v>31</v>
      </c>
      <c r="K4255" s="76">
        <f t="shared" si="307"/>
        <v>154559.22</v>
      </c>
      <c r="L4255">
        <v>1</v>
      </c>
      <c r="M4255" s="29">
        <v>0</v>
      </c>
      <c r="N4255" t="s">
        <v>32</v>
      </c>
      <c r="O4255" t="s">
        <v>33</v>
      </c>
      <c r="P4255" t="s">
        <v>34</v>
      </c>
      <c r="Q4255" t="s">
        <v>34</v>
      </c>
      <c r="R4255" t="s">
        <v>34</v>
      </c>
      <c r="S4255" t="s">
        <v>34</v>
      </c>
      <c r="T4255" s="117">
        <v>0</v>
      </c>
    </row>
    <row r="4256" spans="1:20" x14ac:dyDescent="0.35">
      <c r="A4256" t="s">
        <v>19</v>
      </c>
      <c r="B4256" t="s">
        <v>19</v>
      </c>
      <c r="C4256" s="1">
        <v>45847</v>
      </c>
      <c r="D4256">
        <f t="shared" si="308"/>
        <v>9</v>
      </c>
      <c r="E4256">
        <f t="shared" si="309"/>
        <v>7</v>
      </c>
      <c r="F4256">
        <f t="shared" si="310"/>
        <v>2025</v>
      </c>
      <c r="G4256" t="s">
        <v>56</v>
      </c>
      <c r="H4256" s="98" t="s">
        <v>1161</v>
      </c>
      <c r="I4256" s="91">
        <f>440.84+170205.79</f>
        <v>170646.63</v>
      </c>
      <c r="J4256" s="12" t="s">
        <v>31</v>
      </c>
      <c r="K4256" s="76">
        <f t="shared" si="307"/>
        <v>170646.63</v>
      </c>
      <c r="L4256">
        <v>1</v>
      </c>
      <c r="M4256" s="29">
        <v>0</v>
      </c>
      <c r="N4256" t="s">
        <v>32</v>
      </c>
      <c r="O4256" t="s">
        <v>33</v>
      </c>
      <c r="P4256" t="s">
        <v>34</v>
      </c>
      <c r="Q4256" t="s">
        <v>34</v>
      </c>
      <c r="R4256" t="s">
        <v>34</v>
      </c>
      <c r="S4256" t="s">
        <v>34</v>
      </c>
      <c r="T4256" s="117">
        <v>0</v>
      </c>
    </row>
    <row r="4257" spans="1:21" x14ac:dyDescent="0.35">
      <c r="A4257" t="s">
        <v>19</v>
      </c>
      <c r="B4257" t="s">
        <v>19</v>
      </c>
      <c r="C4257" s="1">
        <v>45847</v>
      </c>
      <c r="D4257">
        <f t="shared" si="308"/>
        <v>9</v>
      </c>
      <c r="E4257">
        <f t="shared" si="309"/>
        <v>7</v>
      </c>
      <c r="F4257">
        <f t="shared" si="310"/>
        <v>2025</v>
      </c>
      <c r="G4257" t="s">
        <v>56</v>
      </c>
      <c r="H4257" s="98" t="s">
        <v>569</v>
      </c>
      <c r="I4257" s="91">
        <v>475.69</v>
      </c>
      <c r="J4257" s="139" t="s">
        <v>31</v>
      </c>
      <c r="K4257" s="76">
        <f t="shared" si="307"/>
        <v>475.69</v>
      </c>
      <c r="L4257">
        <v>1</v>
      </c>
      <c r="M4257" s="29">
        <v>0</v>
      </c>
      <c r="N4257" t="s">
        <v>32</v>
      </c>
      <c r="O4257" t="s">
        <v>33</v>
      </c>
      <c r="P4257" t="s">
        <v>34</v>
      </c>
      <c r="Q4257" t="s">
        <v>34</v>
      </c>
      <c r="R4257" t="s">
        <v>34</v>
      </c>
      <c r="S4257" t="s">
        <v>34</v>
      </c>
      <c r="T4257" s="117">
        <v>0</v>
      </c>
      <c r="U4257" s="209" t="s">
        <v>1165</v>
      </c>
    </row>
    <row r="4258" spans="1:21" x14ac:dyDescent="0.35">
      <c r="A4258" t="s">
        <v>19</v>
      </c>
      <c r="B4258" t="s">
        <v>19</v>
      </c>
      <c r="C4258" s="1">
        <v>45847</v>
      </c>
      <c r="D4258">
        <f t="shared" si="308"/>
        <v>9</v>
      </c>
      <c r="E4258">
        <f t="shared" si="309"/>
        <v>7</v>
      </c>
      <c r="F4258">
        <f t="shared" si="310"/>
        <v>2025</v>
      </c>
      <c r="G4258" t="s">
        <v>56</v>
      </c>
      <c r="H4258" s="98" t="s">
        <v>569</v>
      </c>
      <c r="I4258" s="159">
        <v>504.14</v>
      </c>
      <c r="J4258" s="12" t="s">
        <v>31</v>
      </c>
      <c r="K4258" s="76">
        <f t="shared" si="307"/>
        <v>504.14</v>
      </c>
      <c r="L4258">
        <v>1</v>
      </c>
      <c r="M4258" s="29">
        <v>0</v>
      </c>
      <c r="N4258" t="s">
        <v>32</v>
      </c>
      <c r="O4258" t="s">
        <v>33</v>
      </c>
      <c r="P4258" t="s">
        <v>34</v>
      </c>
      <c r="Q4258" t="s">
        <v>34</v>
      </c>
      <c r="R4258" t="s">
        <v>34</v>
      </c>
      <c r="S4258" t="s">
        <v>34</v>
      </c>
      <c r="T4258" s="117">
        <v>0</v>
      </c>
      <c r="U4258" s="209" t="s">
        <v>1164</v>
      </c>
    </row>
    <row r="4259" spans="1:21" x14ac:dyDescent="0.35">
      <c r="A4259" t="s">
        <v>19</v>
      </c>
      <c r="B4259" t="s">
        <v>19</v>
      </c>
      <c r="C4259" s="1">
        <v>45847</v>
      </c>
      <c r="D4259">
        <f t="shared" si="308"/>
        <v>9</v>
      </c>
      <c r="E4259">
        <f t="shared" si="309"/>
        <v>7</v>
      </c>
      <c r="F4259">
        <f t="shared" si="310"/>
        <v>2025</v>
      </c>
      <c r="G4259" t="s">
        <v>56</v>
      </c>
      <c r="H4259" s="98" t="s">
        <v>569</v>
      </c>
      <c r="I4259" s="159">
        <v>295.26</v>
      </c>
      <c r="J4259" s="139" t="s">
        <v>31</v>
      </c>
      <c r="K4259" s="76">
        <f t="shared" si="307"/>
        <v>295.26</v>
      </c>
      <c r="L4259">
        <v>1</v>
      </c>
      <c r="M4259" s="29">
        <v>0</v>
      </c>
      <c r="N4259" t="s">
        <v>32</v>
      </c>
      <c r="O4259" t="s">
        <v>33</v>
      </c>
      <c r="P4259" t="s">
        <v>34</v>
      </c>
      <c r="Q4259" t="s">
        <v>34</v>
      </c>
      <c r="R4259" t="s">
        <v>34</v>
      </c>
      <c r="S4259" t="s">
        <v>34</v>
      </c>
      <c r="T4259" s="117">
        <v>0</v>
      </c>
      <c r="U4259" s="209" t="s">
        <v>1163</v>
      </c>
    </row>
    <row r="4260" spans="1:21" x14ac:dyDescent="0.35">
      <c r="A4260" t="s">
        <v>19</v>
      </c>
      <c r="B4260" t="s">
        <v>19</v>
      </c>
      <c r="C4260" s="1">
        <v>45847</v>
      </c>
      <c r="D4260">
        <f t="shared" si="308"/>
        <v>9</v>
      </c>
      <c r="E4260">
        <f t="shared" si="309"/>
        <v>7</v>
      </c>
      <c r="F4260">
        <f t="shared" si="310"/>
        <v>2025</v>
      </c>
      <c r="G4260" t="s">
        <v>56</v>
      </c>
      <c r="H4260" s="98" t="s">
        <v>569</v>
      </c>
      <c r="I4260" s="159">
        <v>353.37</v>
      </c>
      <c r="J4260" s="12" t="s">
        <v>31</v>
      </c>
      <c r="K4260" s="76">
        <f t="shared" si="307"/>
        <v>353.37</v>
      </c>
      <c r="L4260">
        <v>1</v>
      </c>
      <c r="M4260" s="29">
        <v>0</v>
      </c>
      <c r="N4260" t="s">
        <v>32</v>
      </c>
      <c r="O4260" t="s">
        <v>33</v>
      </c>
      <c r="P4260" t="s">
        <v>34</v>
      </c>
      <c r="Q4260" t="s">
        <v>34</v>
      </c>
      <c r="R4260" t="s">
        <v>34</v>
      </c>
      <c r="S4260" t="s">
        <v>34</v>
      </c>
      <c r="T4260" s="117">
        <v>0</v>
      </c>
      <c r="U4260" s="209" t="s">
        <v>1162</v>
      </c>
    </row>
    <row r="4261" spans="1:21" x14ac:dyDescent="0.35">
      <c r="A4261" t="s">
        <v>19</v>
      </c>
      <c r="B4261" t="s">
        <v>19</v>
      </c>
      <c r="C4261" s="1">
        <v>45847</v>
      </c>
      <c r="D4261">
        <f t="shared" si="308"/>
        <v>9</v>
      </c>
      <c r="E4261">
        <f t="shared" si="309"/>
        <v>7</v>
      </c>
      <c r="F4261">
        <f t="shared" si="310"/>
        <v>2025</v>
      </c>
      <c r="G4261" t="s">
        <v>56</v>
      </c>
      <c r="H4261" s="98" t="s">
        <v>1166</v>
      </c>
      <c r="I4261" s="91">
        <f>13200.37+172653.04</f>
        <v>185853.41</v>
      </c>
      <c r="J4261" s="139" t="s">
        <v>31</v>
      </c>
      <c r="K4261" s="76">
        <f t="shared" si="307"/>
        <v>185853.41</v>
      </c>
      <c r="L4261">
        <v>1</v>
      </c>
      <c r="M4261" s="29">
        <v>0</v>
      </c>
      <c r="N4261" t="s">
        <v>32</v>
      </c>
      <c r="O4261" t="s">
        <v>33</v>
      </c>
      <c r="P4261" t="s">
        <v>34</v>
      </c>
      <c r="Q4261" t="s">
        <v>34</v>
      </c>
      <c r="R4261" t="s">
        <v>34</v>
      </c>
      <c r="S4261" t="s">
        <v>34</v>
      </c>
      <c r="T4261" s="117">
        <v>0</v>
      </c>
    </row>
    <row r="4262" spans="1:21" x14ac:dyDescent="0.35">
      <c r="A4262" t="s">
        <v>19</v>
      </c>
      <c r="B4262" t="s">
        <v>19</v>
      </c>
      <c r="C4262" s="1">
        <v>45847</v>
      </c>
      <c r="D4262">
        <f t="shared" si="308"/>
        <v>9</v>
      </c>
      <c r="E4262">
        <f t="shared" si="309"/>
        <v>7</v>
      </c>
      <c r="F4262">
        <f t="shared" si="310"/>
        <v>2025</v>
      </c>
      <c r="G4262" t="s">
        <v>56</v>
      </c>
      <c r="H4262" s="98" t="s">
        <v>1167</v>
      </c>
      <c r="I4262" s="91">
        <v>1017.05</v>
      </c>
      <c r="J4262" s="12" t="s">
        <v>31</v>
      </c>
      <c r="K4262" s="76">
        <f t="shared" si="307"/>
        <v>1017.05</v>
      </c>
      <c r="L4262">
        <v>1</v>
      </c>
      <c r="M4262" s="29">
        <v>0</v>
      </c>
      <c r="N4262" t="s">
        <v>32</v>
      </c>
      <c r="O4262" t="s">
        <v>33</v>
      </c>
      <c r="P4262" t="s">
        <v>34</v>
      </c>
      <c r="Q4262" t="s">
        <v>34</v>
      </c>
      <c r="R4262" t="s">
        <v>34</v>
      </c>
      <c r="S4262" t="s">
        <v>34</v>
      </c>
      <c r="T4262" s="117">
        <v>0</v>
      </c>
    </row>
    <row r="4263" spans="1:21" x14ac:dyDescent="0.35">
      <c r="A4263" t="s">
        <v>19</v>
      </c>
      <c r="B4263" t="s">
        <v>19</v>
      </c>
      <c r="C4263" s="1">
        <v>45847</v>
      </c>
      <c r="D4263">
        <f t="shared" si="308"/>
        <v>9</v>
      </c>
      <c r="E4263">
        <f t="shared" si="309"/>
        <v>7</v>
      </c>
      <c r="F4263">
        <f t="shared" si="310"/>
        <v>2025</v>
      </c>
      <c r="G4263" t="s">
        <v>56</v>
      </c>
      <c r="H4263" s="98" t="s">
        <v>1168</v>
      </c>
      <c r="I4263" s="91">
        <v>898.94</v>
      </c>
      <c r="J4263" s="139" t="s">
        <v>31</v>
      </c>
      <c r="K4263" s="76">
        <f t="shared" si="307"/>
        <v>898.94</v>
      </c>
      <c r="L4263">
        <v>1</v>
      </c>
      <c r="M4263" s="29">
        <v>0</v>
      </c>
      <c r="N4263" t="s">
        <v>32</v>
      </c>
      <c r="O4263" t="s">
        <v>33</v>
      </c>
      <c r="P4263" t="s">
        <v>34</v>
      </c>
      <c r="Q4263" t="s">
        <v>34</v>
      </c>
      <c r="R4263" t="s">
        <v>34</v>
      </c>
      <c r="S4263" t="s">
        <v>34</v>
      </c>
      <c r="T4263" s="117">
        <v>0</v>
      </c>
    </row>
    <row r="4264" spans="1:21" x14ac:dyDescent="0.35">
      <c r="A4264" t="s">
        <v>19</v>
      </c>
      <c r="B4264" t="s">
        <v>19</v>
      </c>
      <c r="C4264" s="1">
        <v>45847</v>
      </c>
      <c r="D4264">
        <f t="shared" si="308"/>
        <v>9</v>
      </c>
      <c r="E4264">
        <f t="shared" si="309"/>
        <v>7</v>
      </c>
      <c r="F4264">
        <f t="shared" si="310"/>
        <v>2025</v>
      </c>
      <c r="G4264" t="s">
        <v>424</v>
      </c>
      <c r="H4264" s="98" t="s">
        <v>1169</v>
      </c>
      <c r="I4264" s="29">
        <v>47770.41</v>
      </c>
      <c r="J4264" s="12" t="s">
        <v>31</v>
      </c>
      <c r="K4264" s="76">
        <f t="shared" si="307"/>
        <v>47770.41</v>
      </c>
      <c r="L4264">
        <v>1</v>
      </c>
      <c r="M4264" s="29">
        <v>0</v>
      </c>
      <c r="N4264" t="s">
        <v>32</v>
      </c>
      <c r="O4264" t="s">
        <v>33</v>
      </c>
      <c r="P4264" t="s">
        <v>34</v>
      </c>
      <c r="Q4264" t="s">
        <v>34</v>
      </c>
      <c r="R4264" t="s">
        <v>34</v>
      </c>
      <c r="S4264" t="s">
        <v>34</v>
      </c>
      <c r="T4264" s="117">
        <v>0</v>
      </c>
    </row>
    <row r="4265" spans="1:21" x14ac:dyDescent="0.35">
      <c r="A4265" t="s">
        <v>19</v>
      </c>
      <c r="B4265" t="s">
        <v>19</v>
      </c>
      <c r="C4265" s="1">
        <v>45847</v>
      </c>
      <c r="D4265">
        <f t="shared" si="308"/>
        <v>9</v>
      </c>
      <c r="E4265">
        <f t="shared" si="309"/>
        <v>7</v>
      </c>
      <c r="F4265">
        <f t="shared" si="310"/>
        <v>2025</v>
      </c>
      <c r="G4265" t="s">
        <v>59</v>
      </c>
      <c r="H4265" s="171" t="s">
        <v>1170</v>
      </c>
      <c r="I4265" s="91">
        <v>226756.56</v>
      </c>
      <c r="J4265" s="139" t="s">
        <v>31</v>
      </c>
      <c r="K4265" s="76">
        <f t="shared" si="307"/>
        <v>226756.56</v>
      </c>
      <c r="L4265">
        <v>1</v>
      </c>
      <c r="M4265" s="29">
        <v>0</v>
      </c>
      <c r="N4265" t="s">
        <v>32</v>
      </c>
      <c r="O4265" t="s">
        <v>33</v>
      </c>
      <c r="P4265" t="s">
        <v>34</v>
      </c>
      <c r="Q4265" t="s">
        <v>34</v>
      </c>
      <c r="R4265" t="s">
        <v>34</v>
      </c>
      <c r="S4265" t="s">
        <v>34</v>
      </c>
      <c r="T4265" s="117">
        <v>0</v>
      </c>
    </row>
    <row r="4266" spans="1:21" x14ac:dyDescent="0.35">
      <c r="A4266" t="s">
        <v>19</v>
      </c>
      <c r="B4266" t="s">
        <v>19</v>
      </c>
      <c r="C4266" s="1">
        <v>45847</v>
      </c>
      <c r="D4266">
        <f t="shared" si="308"/>
        <v>9</v>
      </c>
      <c r="E4266">
        <f t="shared" si="309"/>
        <v>7</v>
      </c>
      <c r="F4266">
        <f t="shared" si="310"/>
        <v>2025</v>
      </c>
      <c r="G4266" t="s">
        <v>523</v>
      </c>
      <c r="H4266" s="98" t="s">
        <v>1171</v>
      </c>
      <c r="I4266" s="29">
        <v>181660.5</v>
      </c>
      <c r="J4266" s="12" t="s">
        <v>31</v>
      </c>
      <c r="K4266" s="76">
        <f t="shared" si="307"/>
        <v>181660.5</v>
      </c>
      <c r="L4266">
        <v>1</v>
      </c>
      <c r="M4266" s="29">
        <v>0</v>
      </c>
      <c r="N4266" t="s">
        <v>32</v>
      </c>
      <c r="O4266" t="s">
        <v>33</v>
      </c>
      <c r="P4266" t="s">
        <v>34</v>
      </c>
      <c r="Q4266" t="s">
        <v>34</v>
      </c>
      <c r="R4266" t="s">
        <v>34</v>
      </c>
      <c r="S4266" t="s">
        <v>34</v>
      </c>
      <c r="T4266" s="117">
        <v>0</v>
      </c>
    </row>
    <row r="4267" spans="1:21" x14ac:dyDescent="0.35">
      <c r="A4267" t="s">
        <v>19</v>
      </c>
      <c r="B4267" t="s">
        <v>19</v>
      </c>
      <c r="C4267" s="1">
        <v>45847</v>
      </c>
      <c r="D4267">
        <f t="shared" si="308"/>
        <v>9</v>
      </c>
      <c r="E4267">
        <f t="shared" si="309"/>
        <v>7</v>
      </c>
      <c r="F4267">
        <f t="shared" si="310"/>
        <v>2025</v>
      </c>
      <c r="G4267" t="s">
        <v>88</v>
      </c>
      <c r="H4267" s="121" t="s">
        <v>1172</v>
      </c>
      <c r="I4267" s="91">
        <v>37149.879999999997</v>
      </c>
      <c r="J4267" s="139" t="s">
        <v>31</v>
      </c>
      <c r="K4267" s="76">
        <f t="shared" si="307"/>
        <v>37149.879999999997</v>
      </c>
      <c r="L4267">
        <v>1</v>
      </c>
      <c r="M4267" s="29">
        <v>0</v>
      </c>
      <c r="N4267" t="s">
        <v>32</v>
      </c>
      <c r="O4267" t="s">
        <v>33</v>
      </c>
      <c r="P4267" t="s">
        <v>34</v>
      </c>
      <c r="Q4267" t="s">
        <v>34</v>
      </c>
      <c r="R4267" t="s">
        <v>34</v>
      </c>
      <c r="S4267" t="s">
        <v>34</v>
      </c>
      <c r="T4267" s="117">
        <v>0</v>
      </c>
    </row>
    <row r="4268" spans="1:21" x14ac:dyDescent="0.35">
      <c r="A4268" t="s">
        <v>19</v>
      </c>
      <c r="B4268" t="s">
        <v>26</v>
      </c>
      <c r="C4268" s="1">
        <v>45848</v>
      </c>
      <c r="D4268">
        <f t="shared" si="308"/>
        <v>10</v>
      </c>
      <c r="E4268">
        <f t="shared" si="309"/>
        <v>7</v>
      </c>
      <c r="F4268">
        <f t="shared" si="310"/>
        <v>2025</v>
      </c>
      <c r="G4268" t="s">
        <v>73</v>
      </c>
      <c r="H4268" s="121">
        <v>13230</v>
      </c>
      <c r="I4268" s="76">
        <v>10344.93</v>
      </c>
      <c r="J4268" s="12" t="s">
        <v>51</v>
      </c>
      <c r="K4268" s="76">
        <f t="shared" si="307"/>
        <v>12130.464918000001</v>
      </c>
      <c r="L4268">
        <v>1.1726000000000001</v>
      </c>
      <c r="M4268" s="29">
        <v>0</v>
      </c>
      <c r="N4268" t="s">
        <v>42</v>
      </c>
      <c r="O4268" t="s">
        <v>33</v>
      </c>
      <c r="P4268" t="s">
        <v>34</v>
      </c>
      <c r="Q4268" t="s">
        <v>34</v>
      </c>
      <c r="R4268" t="s">
        <v>34</v>
      </c>
      <c r="S4268" t="s">
        <v>34</v>
      </c>
      <c r="T4268" s="117">
        <v>0</v>
      </c>
      <c r="U4268" s="209" t="s">
        <v>94</v>
      </c>
    </row>
    <row r="4269" spans="1:21" x14ac:dyDescent="0.35">
      <c r="A4269" t="s">
        <v>19</v>
      </c>
      <c r="B4269" t="s">
        <v>26</v>
      </c>
      <c r="C4269" s="1">
        <v>45848</v>
      </c>
      <c r="D4269">
        <f t="shared" si="308"/>
        <v>10</v>
      </c>
      <c r="E4269">
        <f t="shared" si="309"/>
        <v>7</v>
      </c>
      <c r="F4269">
        <f t="shared" si="310"/>
        <v>2025</v>
      </c>
      <c r="G4269" t="s">
        <v>73</v>
      </c>
      <c r="H4269" s="121">
        <v>13288</v>
      </c>
      <c r="I4269" s="76">
        <v>111661.57</v>
      </c>
      <c r="J4269" s="12" t="s">
        <v>51</v>
      </c>
      <c r="K4269" s="76">
        <f t="shared" si="307"/>
        <v>130934.35698200001</v>
      </c>
      <c r="L4269">
        <v>1.1726000000000001</v>
      </c>
      <c r="M4269" s="29">
        <v>0</v>
      </c>
      <c r="N4269" t="s">
        <v>42</v>
      </c>
      <c r="O4269" t="s">
        <v>33</v>
      </c>
      <c r="P4269" t="s">
        <v>34</v>
      </c>
      <c r="Q4269" t="s">
        <v>34</v>
      </c>
      <c r="R4269" t="s">
        <v>34</v>
      </c>
      <c r="S4269" t="s">
        <v>34</v>
      </c>
      <c r="T4269" s="117">
        <v>0</v>
      </c>
      <c r="U4269" s="209" t="s">
        <v>94</v>
      </c>
    </row>
    <row r="4270" spans="1:21" x14ac:dyDescent="0.35">
      <c r="A4270" t="s">
        <v>19</v>
      </c>
      <c r="B4270" t="s">
        <v>26</v>
      </c>
      <c r="C4270" s="1">
        <v>45848</v>
      </c>
      <c r="D4270">
        <f t="shared" si="308"/>
        <v>10</v>
      </c>
      <c r="E4270">
        <f t="shared" si="309"/>
        <v>7</v>
      </c>
      <c r="F4270">
        <f t="shared" si="310"/>
        <v>2025</v>
      </c>
      <c r="G4270" t="s">
        <v>73</v>
      </c>
      <c r="H4270" s="121">
        <v>13289</v>
      </c>
      <c r="I4270" s="76">
        <v>44529.69</v>
      </c>
      <c r="J4270" s="12" t="s">
        <v>51</v>
      </c>
      <c r="K4270" s="76">
        <f t="shared" si="307"/>
        <v>52215.51449400001</v>
      </c>
      <c r="L4270">
        <v>1.1726000000000001</v>
      </c>
      <c r="M4270" s="29">
        <v>0</v>
      </c>
      <c r="N4270" t="s">
        <v>42</v>
      </c>
      <c r="O4270" t="s">
        <v>33</v>
      </c>
      <c r="P4270" t="s">
        <v>34</v>
      </c>
      <c r="Q4270" t="s">
        <v>34</v>
      </c>
      <c r="R4270" t="s">
        <v>34</v>
      </c>
      <c r="S4270" t="s">
        <v>34</v>
      </c>
      <c r="T4270" s="117">
        <v>0</v>
      </c>
      <c r="U4270" s="209" t="s">
        <v>94</v>
      </c>
    </row>
    <row r="4271" spans="1:21" x14ac:dyDescent="0.35">
      <c r="A4271" t="s">
        <v>19</v>
      </c>
      <c r="B4271" t="s">
        <v>26</v>
      </c>
      <c r="C4271" s="1">
        <v>45848</v>
      </c>
      <c r="D4271">
        <f t="shared" si="308"/>
        <v>10</v>
      </c>
      <c r="E4271">
        <f t="shared" si="309"/>
        <v>7</v>
      </c>
      <c r="F4271">
        <f t="shared" si="310"/>
        <v>2025</v>
      </c>
      <c r="G4271" t="s">
        <v>73</v>
      </c>
      <c r="H4271" s="121">
        <v>13161</v>
      </c>
      <c r="I4271" s="76">
        <v>90475.33</v>
      </c>
      <c r="J4271" s="12" t="s">
        <v>51</v>
      </c>
      <c r="K4271" s="76">
        <f t="shared" si="307"/>
        <v>106091.371958</v>
      </c>
      <c r="L4271">
        <v>1.1726000000000001</v>
      </c>
      <c r="M4271" s="29">
        <v>0</v>
      </c>
      <c r="N4271" t="s">
        <v>42</v>
      </c>
      <c r="O4271" t="s">
        <v>33</v>
      </c>
      <c r="P4271" t="s">
        <v>34</v>
      </c>
      <c r="Q4271" t="s">
        <v>34</v>
      </c>
      <c r="R4271" t="s">
        <v>34</v>
      </c>
      <c r="S4271" t="s">
        <v>34</v>
      </c>
      <c r="T4271" s="117">
        <v>0</v>
      </c>
      <c r="U4271" s="209" t="s">
        <v>94</v>
      </c>
    </row>
    <row r="4272" spans="1:21" x14ac:dyDescent="0.35">
      <c r="A4272" t="s">
        <v>19</v>
      </c>
      <c r="B4272" t="s">
        <v>26</v>
      </c>
      <c r="C4272" s="1">
        <v>45848</v>
      </c>
      <c r="D4272">
        <f t="shared" si="308"/>
        <v>10</v>
      </c>
      <c r="E4272">
        <f t="shared" si="309"/>
        <v>7</v>
      </c>
      <c r="F4272">
        <f t="shared" si="310"/>
        <v>2025</v>
      </c>
      <c r="G4272" t="s">
        <v>73</v>
      </c>
      <c r="H4272" s="121">
        <v>13305</v>
      </c>
      <c r="I4272" s="76">
        <v>55126.33</v>
      </c>
      <c r="J4272" s="12" t="s">
        <v>51</v>
      </c>
      <c r="K4272" s="76">
        <f t="shared" si="307"/>
        <v>64641.134558000005</v>
      </c>
      <c r="L4272">
        <v>1.1726000000000001</v>
      </c>
      <c r="M4272" s="29">
        <v>0</v>
      </c>
      <c r="N4272" t="s">
        <v>42</v>
      </c>
      <c r="O4272" t="s">
        <v>33</v>
      </c>
      <c r="P4272" t="s">
        <v>34</v>
      </c>
      <c r="Q4272" t="s">
        <v>34</v>
      </c>
      <c r="R4272" t="s">
        <v>34</v>
      </c>
      <c r="S4272" t="s">
        <v>34</v>
      </c>
      <c r="T4272" s="117">
        <v>0</v>
      </c>
      <c r="U4272" s="209" t="s">
        <v>94</v>
      </c>
    </row>
    <row r="4273" spans="1:21" x14ac:dyDescent="0.35">
      <c r="A4273" t="s">
        <v>19</v>
      </c>
      <c r="B4273" t="s">
        <v>26</v>
      </c>
      <c r="C4273" s="1">
        <v>45848</v>
      </c>
      <c r="D4273">
        <f t="shared" si="308"/>
        <v>10</v>
      </c>
      <c r="E4273">
        <f t="shared" si="309"/>
        <v>7</v>
      </c>
      <c r="F4273">
        <f t="shared" si="310"/>
        <v>2025</v>
      </c>
      <c r="G4273" t="s">
        <v>73</v>
      </c>
      <c r="H4273" s="121">
        <v>13335</v>
      </c>
      <c r="I4273" s="76">
        <v>88465.99</v>
      </c>
      <c r="J4273" s="12" t="s">
        <v>51</v>
      </c>
      <c r="K4273" s="76">
        <f t="shared" si="307"/>
        <v>103735.21987400002</v>
      </c>
      <c r="L4273">
        <v>1.1726000000000001</v>
      </c>
      <c r="M4273" s="29">
        <v>0</v>
      </c>
      <c r="N4273" t="s">
        <v>42</v>
      </c>
      <c r="O4273" t="s">
        <v>33</v>
      </c>
      <c r="P4273" t="s">
        <v>34</v>
      </c>
      <c r="Q4273" t="s">
        <v>34</v>
      </c>
      <c r="R4273" t="s">
        <v>34</v>
      </c>
      <c r="S4273" t="s">
        <v>34</v>
      </c>
      <c r="T4273" s="117">
        <v>0</v>
      </c>
      <c r="U4273" s="209" t="s">
        <v>94</v>
      </c>
    </row>
    <row r="4274" spans="1:21" x14ac:dyDescent="0.35">
      <c r="A4274" t="s">
        <v>19</v>
      </c>
      <c r="B4274" t="s">
        <v>26</v>
      </c>
      <c r="C4274" s="1">
        <v>45848</v>
      </c>
      <c r="D4274">
        <f t="shared" si="308"/>
        <v>10</v>
      </c>
      <c r="E4274">
        <f t="shared" si="309"/>
        <v>7</v>
      </c>
      <c r="F4274">
        <f t="shared" si="310"/>
        <v>2025</v>
      </c>
      <c r="G4274" t="s">
        <v>73</v>
      </c>
      <c r="H4274" s="121">
        <v>13337</v>
      </c>
      <c r="I4274" s="76">
        <v>138818.04999999999</v>
      </c>
      <c r="J4274" s="12" t="s">
        <v>51</v>
      </c>
      <c r="K4274" s="76">
        <f t="shared" si="307"/>
        <v>162778.04543</v>
      </c>
      <c r="L4274">
        <v>1.1726000000000001</v>
      </c>
      <c r="M4274" s="29">
        <v>0</v>
      </c>
      <c r="N4274" t="s">
        <v>42</v>
      </c>
      <c r="O4274" t="s">
        <v>33</v>
      </c>
      <c r="P4274" t="s">
        <v>34</v>
      </c>
      <c r="Q4274" t="s">
        <v>34</v>
      </c>
      <c r="R4274" t="s">
        <v>34</v>
      </c>
      <c r="S4274" t="s">
        <v>34</v>
      </c>
      <c r="T4274" s="117">
        <v>0</v>
      </c>
      <c r="U4274" s="209" t="s">
        <v>94</v>
      </c>
    </row>
    <row r="4275" spans="1:21" x14ac:dyDescent="0.35">
      <c r="A4275" t="s">
        <v>19</v>
      </c>
      <c r="B4275" t="s">
        <v>26</v>
      </c>
      <c r="C4275" s="1">
        <v>45848</v>
      </c>
      <c r="D4275">
        <f t="shared" si="308"/>
        <v>10</v>
      </c>
      <c r="E4275">
        <f t="shared" si="309"/>
        <v>7</v>
      </c>
      <c r="F4275">
        <f t="shared" si="310"/>
        <v>2025</v>
      </c>
      <c r="G4275" t="s">
        <v>73</v>
      </c>
      <c r="H4275" s="121">
        <v>12415</v>
      </c>
      <c r="I4275" s="76">
        <v>975.99</v>
      </c>
      <c r="J4275" s="12" t="s">
        <v>51</v>
      </c>
      <c r="K4275" s="76">
        <f t="shared" si="307"/>
        <v>1144.445874</v>
      </c>
      <c r="L4275">
        <v>1.1726000000000001</v>
      </c>
      <c r="M4275" s="29">
        <v>0</v>
      </c>
      <c r="N4275" t="s">
        <v>42</v>
      </c>
      <c r="O4275" t="s">
        <v>33</v>
      </c>
      <c r="P4275" t="s">
        <v>34</v>
      </c>
      <c r="Q4275" t="s">
        <v>34</v>
      </c>
      <c r="R4275" t="s">
        <v>34</v>
      </c>
      <c r="S4275" t="s">
        <v>34</v>
      </c>
      <c r="T4275" s="117">
        <v>0</v>
      </c>
      <c r="U4275" s="209" t="s">
        <v>94</v>
      </c>
    </row>
    <row r="4276" spans="1:21" x14ac:dyDescent="0.35">
      <c r="A4276" t="s">
        <v>19</v>
      </c>
      <c r="B4276" t="s">
        <v>26</v>
      </c>
      <c r="C4276" s="1">
        <v>45848</v>
      </c>
      <c r="D4276">
        <f>DAY(C4276)</f>
        <v>10</v>
      </c>
      <c r="E4276">
        <v>7</v>
      </c>
      <c r="F4276">
        <v>2025</v>
      </c>
      <c r="G4276" t="s">
        <v>73</v>
      </c>
      <c r="H4276" s="121">
        <v>13384</v>
      </c>
      <c r="I4276" s="76">
        <v>19643.63</v>
      </c>
      <c r="J4276" s="12" t="s">
        <v>51</v>
      </c>
      <c r="K4276" s="76">
        <f t="shared" ref="K4276" si="311">IF(J4276="USD",I4276,I4276*L4276)</f>
        <v>23034.120538000003</v>
      </c>
      <c r="L4276">
        <v>1.1726000000000001</v>
      </c>
      <c r="M4276" s="29"/>
      <c r="N4276" t="s">
        <v>42</v>
      </c>
      <c r="O4276" t="s">
        <v>33</v>
      </c>
      <c r="P4276" t="s">
        <v>34</v>
      </c>
      <c r="Q4276" t="s">
        <v>34</v>
      </c>
      <c r="R4276" t="s">
        <v>34</v>
      </c>
      <c r="S4276" t="s">
        <v>34</v>
      </c>
      <c r="T4276" s="117">
        <v>1</v>
      </c>
      <c r="U4276" s="209" t="s">
        <v>94</v>
      </c>
    </row>
    <row r="4277" spans="1:21" x14ac:dyDescent="0.35">
      <c r="A4277" t="s">
        <v>19</v>
      </c>
      <c r="B4277" t="s">
        <v>25</v>
      </c>
      <c r="C4277" s="1">
        <v>45854</v>
      </c>
      <c r="D4277">
        <f t="shared" si="308"/>
        <v>16</v>
      </c>
      <c r="E4277">
        <f t="shared" si="309"/>
        <v>7</v>
      </c>
      <c r="F4277">
        <f t="shared" si="310"/>
        <v>2025</v>
      </c>
      <c r="G4277" t="s">
        <v>78</v>
      </c>
      <c r="H4277" s="121">
        <v>12950</v>
      </c>
      <c r="I4277" s="76">
        <v>390</v>
      </c>
      <c r="J4277" s="12" t="s">
        <v>51</v>
      </c>
      <c r="K4277" s="76">
        <f t="shared" si="307"/>
        <v>454.31100000000004</v>
      </c>
      <c r="L4277">
        <v>1.1649</v>
      </c>
      <c r="M4277" s="29">
        <v>0</v>
      </c>
      <c r="N4277" t="s">
        <v>32</v>
      </c>
      <c r="O4277" t="s">
        <v>33</v>
      </c>
      <c r="P4277" t="s">
        <v>34</v>
      </c>
      <c r="Q4277" t="s">
        <v>34</v>
      </c>
      <c r="R4277" t="s">
        <v>34</v>
      </c>
      <c r="S4277" t="s">
        <v>34</v>
      </c>
      <c r="T4277" s="117">
        <v>0</v>
      </c>
    </row>
    <row r="4278" spans="1:21" x14ac:dyDescent="0.35">
      <c r="A4278" t="s">
        <v>19</v>
      </c>
      <c r="B4278" t="s">
        <v>25</v>
      </c>
      <c r="C4278" s="1">
        <v>45854</v>
      </c>
      <c r="D4278">
        <f t="shared" si="308"/>
        <v>16</v>
      </c>
      <c r="E4278">
        <f t="shared" si="309"/>
        <v>7</v>
      </c>
      <c r="F4278">
        <f t="shared" si="310"/>
        <v>2025</v>
      </c>
      <c r="G4278" t="s">
        <v>1146</v>
      </c>
      <c r="H4278" s="121">
        <v>12374</v>
      </c>
      <c r="I4278" s="76">
        <v>427243.88</v>
      </c>
      <c r="J4278" s="12" t="s">
        <v>51</v>
      </c>
      <c r="K4278" s="76">
        <f>IF(J4278="USD",I4278,I4278*L4278)-0.01</f>
        <v>495645.61518799997</v>
      </c>
      <c r="L4278">
        <v>1.1600999999999999</v>
      </c>
      <c r="M4278" s="29">
        <v>0</v>
      </c>
      <c r="N4278" t="s">
        <v>32</v>
      </c>
      <c r="O4278" t="s">
        <v>33</v>
      </c>
      <c r="P4278" t="s">
        <v>34</v>
      </c>
      <c r="Q4278" t="s">
        <v>34</v>
      </c>
      <c r="R4278" t="s">
        <v>34</v>
      </c>
      <c r="S4278" t="s">
        <v>34</v>
      </c>
      <c r="T4278" s="117">
        <v>0</v>
      </c>
      <c r="U4278" s="209" t="s">
        <v>94</v>
      </c>
    </row>
    <row r="4279" spans="1:21" x14ac:dyDescent="0.35">
      <c r="A4279" t="s">
        <v>19</v>
      </c>
      <c r="B4279" t="s">
        <v>25</v>
      </c>
      <c r="C4279" s="1">
        <v>45854</v>
      </c>
      <c r="D4279">
        <f t="shared" si="308"/>
        <v>16</v>
      </c>
      <c r="E4279">
        <f t="shared" si="309"/>
        <v>7</v>
      </c>
      <c r="F4279">
        <f t="shared" si="310"/>
        <v>2025</v>
      </c>
      <c r="G4279" t="s">
        <v>36</v>
      </c>
      <c r="H4279" s="139">
        <v>12539</v>
      </c>
      <c r="I4279" s="183">
        <v>527.52</v>
      </c>
      <c r="J4279" s="139" t="s">
        <v>31</v>
      </c>
      <c r="K4279" s="76">
        <f t="shared" ref="K4279:K4310" si="312">IF(J4279="USD",I4279,I4279*L4279)</f>
        <v>527.52</v>
      </c>
      <c r="L4279">
        <v>1</v>
      </c>
      <c r="M4279" s="29">
        <v>0</v>
      </c>
      <c r="N4279" t="s">
        <v>32</v>
      </c>
      <c r="O4279" t="s">
        <v>33</v>
      </c>
      <c r="P4279" t="s">
        <v>34</v>
      </c>
      <c r="Q4279" t="s">
        <v>34</v>
      </c>
      <c r="R4279" t="s">
        <v>34</v>
      </c>
      <c r="S4279" t="s">
        <v>34</v>
      </c>
      <c r="T4279" s="117">
        <v>0</v>
      </c>
    </row>
    <row r="4280" spans="1:21" x14ac:dyDescent="0.35">
      <c r="A4280" t="s">
        <v>19</v>
      </c>
      <c r="B4280" t="s">
        <v>24</v>
      </c>
      <c r="C4280" s="1">
        <v>45854</v>
      </c>
      <c r="D4280">
        <f t="shared" si="308"/>
        <v>16</v>
      </c>
      <c r="E4280">
        <f t="shared" si="309"/>
        <v>7</v>
      </c>
      <c r="F4280">
        <f t="shared" si="310"/>
        <v>2025</v>
      </c>
      <c r="G4280" t="s">
        <v>36</v>
      </c>
      <c r="H4280" s="139">
        <v>12817</v>
      </c>
      <c r="I4280" s="183">
        <v>105</v>
      </c>
      <c r="J4280" s="139" t="s">
        <v>31</v>
      </c>
      <c r="K4280" s="76">
        <f t="shared" si="312"/>
        <v>105</v>
      </c>
      <c r="L4280">
        <v>1</v>
      </c>
      <c r="M4280" s="29">
        <v>0</v>
      </c>
      <c r="N4280" t="s">
        <v>32</v>
      </c>
      <c r="O4280" t="s">
        <v>33</v>
      </c>
      <c r="P4280" t="s">
        <v>34</v>
      </c>
      <c r="Q4280" t="s">
        <v>34</v>
      </c>
      <c r="R4280" t="s">
        <v>34</v>
      </c>
      <c r="S4280" t="s">
        <v>34</v>
      </c>
      <c r="T4280" s="117">
        <v>0</v>
      </c>
    </row>
    <row r="4281" spans="1:21" x14ac:dyDescent="0.35">
      <c r="A4281" t="s">
        <v>19</v>
      </c>
      <c r="B4281" t="s">
        <v>21</v>
      </c>
      <c r="C4281" s="1">
        <v>45854</v>
      </c>
      <c r="D4281">
        <f t="shared" si="308"/>
        <v>16</v>
      </c>
      <c r="E4281">
        <f t="shared" si="309"/>
        <v>7</v>
      </c>
      <c r="F4281">
        <f t="shared" si="310"/>
        <v>2025</v>
      </c>
      <c r="G4281" t="s">
        <v>39</v>
      </c>
      <c r="H4281" s="139">
        <v>12445</v>
      </c>
      <c r="I4281" s="183">
        <v>7101</v>
      </c>
      <c r="J4281" s="139" t="s">
        <v>31</v>
      </c>
      <c r="K4281" s="76">
        <f t="shared" si="312"/>
        <v>7101</v>
      </c>
      <c r="L4281">
        <v>1</v>
      </c>
      <c r="M4281" s="29">
        <v>0</v>
      </c>
      <c r="N4281" t="s">
        <v>32</v>
      </c>
      <c r="O4281" t="s">
        <v>33</v>
      </c>
      <c r="P4281" t="s">
        <v>34</v>
      </c>
      <c r="Q4281" t="s">
        <v>34</v>
      </c>
      <c r="R4281" t="s">
        <v>34</v>
      </c>
      <c r="S4281" t="s">
        <v>34</v>
      </c>
      <c r="T4281" s="117">
        <v>0</v>
      </c>
    </row>
    <row r="4282" spans="1:21" x14ac:dyDescent="0.35">
      <c r="A4282" t="s">
        <v>19</v>
      </c>
      <c r="B4282" t="s">
        <v>21</v>
      </c>
      <c r="C4282" s="1">
        <v>45854</v>
      </c>
      <c r="D4282">
        <f t="shared" si="308"/>
        <v>16</v>
      </c>
      <c r="E4282">
        <f t="shared" si="309"/>
        <v>7</v>
      </c>
      <c r="F4282">
        <f t="shared" si="310"/>
        <v>2025</v>
      </c>
      <c r="G4282" t="s">
        <v>39</v>
      </c>
      <c r="H4282" s="139">
        <v>12709</v>
      </c>
      <c r="I4282" s="140">
        <v>18.899999999999999</v>
      </c>
      <c r="J4282" s="139" t="s">
        <v>31</v>
      </c>
      <c r="K4282" s="76">
        <f t="shared" si="312"/>
        <v>18.899999999999999</v>
      </c>
      <c r="L4282">
        <v>1</v>
      </c>
      <c r="M4282" s="29">
        <v>0</v>
      </c>
      <c r="N4282" t="s">
        <v>32</v>
      </c>
      <c r="O4282" t="s">
        <v>33</v>
      </c>
      <c r="P4282" t="s">
        <v>34</v>
      </c>
      <c r="Q4282" t="s">
        <v>34</v>
      </c>
      <c r="R4282" t="s">
        <v>34</v>
      </c>
      <c r="S4282" t="s">
        <v>34</v>
      </c>
      <c r="T4282" s="117">
        <v>0</v>
      </c>
    </row>
    <row r="4283" spans="1:21" x14ac:dyDescent="0.35">
      <c r="A4283" t="s">
        <v>19</v>
      </c>
      <c r="B4283" t="s">
        <v>25</v>
      </c>
      <c r="C4283" s="1">
        <v>45854</v>
      </c>
      <c r="D4283">
        <f t="shared" si="308"/>
        <v>16</v>
      </c>
      <c r="E4283">
        <f t="shared" si="309"/>
        <v>7</v>
      </c>
      <c r="F4283">
        <f t="shared" si="310"/>
        <v>2025</v>
      </c>
      <c r="G4283" t="s">
        <v>39</v>
      </c>
      <c r="H4283" s="139">
        <v>12773</v>
      </c>
      <c r="I4283" s="140">
        <v>47716.98</v>
      </c>
      <c r="J4283" s="139" t="s">
        <v>31</v>
      </c>
      <c r="K4283" s="76">
        <f t="shared" si="312"/>
        <v>47716.98</v>
      </c>
      <c r="L4283">
        <v>1</v>
      </c>
      <c r="M4283" s="29">
        <v>0</v>
      </c>
      <c r="N4283" t="s">
        <v>32</v>
      </c>
      <c r="O4283" t="s">
        <v>33</v>
      </c>
      <c r="P4283" t="s">
        <v>34</v>
      </c>
      <c r="Q4283" t="s">
        <v>34</v>
      </c>
      <c r="R4283" t="s">
        <v>34</v>
      </c>
      <c r="S4283" t="s">
        <v>34</v>
      </c>
      <c r="T4283" s="117">
        <v>0</v>
      </c>
    </row>
    <row r="4284" spans="1:21" x14ac:dyDescent="0.35">
      <c r="A4284" t="s">
        <v>19</v>
      </c>
      <c r="B4284" t="s">
        <v>21</v>
      </c>
      <c r="C4284" s="1">
        <v>45854</v>
      </c>
      <c r="D4284">
        <f t="shared" si="308"/>
        <v>16</v>
      </c>
      <c r="E4284">
        <f t="shared" si="309"/>
        <v>7</v>
      </c>
      <c r="F4284">
        <f t="shared" si="310"/>
        <v>2025</v>
      </c>
      <c r="G4284" t="s">
        <v>39</v>
      </c>
      <c r="H4284" s="139">
        <v>12774</v>
      </c>
      <c r="I4284" s="140">
        <v>17.600000000000001</v>
      </c>
      <c r="J4284" s="139" t="s">
        <v>31</v>
      </c>
      <c r="K4284" s="76">
        <f t="shared" si="312"/>
        <v>17.600000000000001</v>
      </c>
      <c r="L4284">
        <v>1</v>
      </c>
      <c r="M4284" s="29">
        <v>0</v>
      </c>
      <c r="N4284" t="s">
        <v>32</v>
      </c>
      <c r="O4284" t="s">
        <v>33</v>
      </c>
      <c r="P4284" t="s">
        <v>34</v>
      </c>
      <c r="Q4284" t="s">
        <v>34</v>
      </c>
      <c r="R4284" t="s">
        <v>34</v>
      </c>
      <c r="S4284" t="s">
        <v>34</v>
      </c>
      <c r="T4284" s="117">
        <v>0</v>
      </c>
    </row>
    <row r="4285" spans="1:21" x14ac:dyDescent="0.35">
      <c r="A4285" t="s">
        <v>19</v>
      </c>
      <c r="B4285" t="s">
        <v>25</v>
      </c>
      <c r="C4285" s="1">
        <v>45854</v>
      </c>
      <c r="D4285">
        <f t="shared" si="308"/>
        <v>16</v>
      </c>
      <c r="E4285">
        <f t="shared" si="309"/>
        <v>7</v>
      </c>
      <c r="F4285">
        <f t="shared" si="310"/>
        <v>2025</v>
      </c>
      <c r="G4285" t="s">
        <v>39</v>
      </c>
      <c r="H4285" s="139">
        <v>12957</v>
      </c>
      <c r="I4285" s="140">
        <v>57.9</v>
      </c>
      <c r="J4285" s="139" t="s">
        <v>31</v>
      </c>
      <c r="K4285" s="76">
        <f t="shared" si="312"/>
        <v>57.9</v>
      </c>
      <c r="L4285">
        <v>1</v>
      </c>
      <c r="M4285" s="29">
        <v>0</v>
      </c>
      <c r="N4285" t="s">
        <v>32</v>
      </c>
      <c r="O4285" t="s">
        <v>33</v>
      </c>
      <c r="P4285" t="s">
        <v>34</v>
      </c>
      <c r="Q4285" t="s">
        <v>34</v>
      </c>
      <c r="R4285" t="s">
        <v>34</v>
      </c>
      <c r="S4285" t="s">
        <v>34</v>
      </c>
      <c r="T4285" s="117">
        <v>0</v>
      </c>
    </row>
    <row r="4286" spans="1:21" x14ac:dyDescent="0.35">
      <c r="A4286" t="s">
        <v>19</v>
      </c>
      <c r="B4286" t="s">
        <v>25</v>
      </c>
      <c r="C4286" s="1">
        <v>45854</v>
      </c>
      <c r="D4286">
        <f t="shared" si="308"/>
        <v>16</v>
      </c>
      <c r="E4286">
        <f t="shared" si="309"/>
        <v>7</v>
      </c>
      <c r="F4286">
        <f t="shared" si="310"/>
        <v>2025</v>
      </c>
      <c r="G4286" t="s">
        <v>39</v>
      </c>
      <c r="H4286" s="139">
        <v>12958</v>
      </c>
      <c r="I4286" s="140">
        <v>21273.4</v>
      </c>
      <c r="J4286" s="139" t="s">
        <v>31</v>
      </c>
      <c r="K4286" s="76">
        <f t="shared" si="312"/>
        <v>21273.4</v>
      </c>
      <c r="L4286">
        <v>1</v>
      </c>
      <c r="M4286" s="29">
        <v>0</v>
      </c>
      <c r="N4286" t="s">
        <v>32</v>
      </c>
      <c r="O4286" t="s">
        <v>33</v>
      </c>
      <c r="P4286" t="s">
        <v>34</v>
      </c>
      <c r="Q4286" t="s">
        <v>34</v>
      </c>
      <c r="R4286" t="s">
        <v>34</v>
      </c>
      <c r="S4286" t="s">
        <v>34</v>
      </c>
      <c r="T4286" s="117">
        <v>0</v>
      </c>
    </row>
    <row r="4287" spans="1:21" x14ac:dyDescent="0.35">
      <c r="A4287" t="s">
        <v>19</v>
      </c>
      <c r="B4287" t="s">
        <v>25</v>
      </c>
      <c r="C4287" s="1">
        <v>45854</v>
      </c>
      <c r="D4287">
        <f t="shared" si="308"/>
        <v>16</v>
      </c>
      <c r="E4287">
        <f t="shared" si="309"/>
        <v>7</v>
      </c>
      <c r="F4287">
        <f t="shared" si="310"/>
        <v>2025</v>
      </c>
      <c r="G4287" t="s">
        <v>39</v>
      </c>
      <c r="H4287" s="139">
        <v>13047</v>
      </c>
      <c r="I4287" s="140">
        <v>62.25</v>
      </c>
      <c r="J4287" s="139" t="s">
        <v>31</v>
      </c>
      <c r="K4287" s="76">
        <f t="shared" si="312"/>
        <v>62.25</v>
      </c>
      <c r="L4287">
        <v>1</v>
      </c>
      <c r="M4287" s="29">
        <v>0</v>
      </c>
      <c r="N4287" t="s">
        <v>32</v>
      </c>
      <c r="O4287" t="s">
        <v>33</v>
      </c>
      <c r="P4287" t="s">
        <v>34</v>
      </c>
      <c r="Q4287" t="s">
        <v>34</v>
      </c>
      <c r="R4287" t="s">
        <v>34</v>
      </c>
      <c r="S4287" t="s">
        <v>34</v>
      </c>
      <c r="T4287" s="117">
        <v>0</v>
      </c>
    </row>
    <row r="4288" spans="1:21" x14ac:dyDescent="0.35">
      <c r="A4288" t="s">
        <v>19</v>
      </c>
      <c r="B4288" t="s">
        <v>27</v>
      </c>
      <c r="C4288" s="1">
        <v>45854</v>
      </c>
      <c r="D4288">
        <f t="shared" si="308"/>
        <v>16</v>
      </c>
      <c r="E4288">
        <f t="shared" si="309"/>
        <v>7</v>
      </c>
      <c r="F4288">
        <f t="shared" si="310"/>
        <v>2025</v>
      </c>
      <c r="G4288" t="s">
        <v>100</v>
      </c>
      <c r="H4288" s="98">
        <v>12704</v>
      </c>
      <c r="I4288" s="29">
        <v>340000</v>
      </c>
      <c r="J4288" s="12" t="s">
        <v>31</v>
      </c>
      <c r="K4288" s="76">
        <f t="shared" si="312"/>
        <v>340000</v>
      </c>
      <c r="L4288">
        <v>1</v>
      </c>
      <c r="M4288" s="29">
        <v>0</v>
      </c>
      <c r="N4288" t="s">
        <v>32</v>
      </c>
      <c r="O4288" t="s">
        <v>33</v>
      </c>
      <c r="P4288" t="s">
        <v>34</v>
      </c>
      <c r="Q4288" t="s">
        <v>34</v>
      </c>
      <c r="R4288" t="s">
        <v>34</v>
      </c>
      <c r="S4288" t="s">
        <v>34</v>
      </c>
      <c r="T4288" s="117">
        <v>0</v>
      </c>
    </row>
    <row r="4289" spans="1:21" x14ac:dyDescent="0.35">
      <c r="A4289" t="s">
        <v>19</v>
      </c>
      <c r="B4289" t="s">
        <v>25</v>
      </c>
      <c r="C4289" s="1">
        <v>45854</v>
      </c>
      <c r="D4289">
        <f t="shared" si="308"/>
        <v>16</v>
      </c>
      <c r="E4289">
        <f t="shared" si="309"/>
        <v>7</v>
      </c>
      <c r="F4289">
        <f t="shared" si="310"/>
        <v>2025</v>
      </c>
      <c r="G4289" t="s">
        <v>980</v>
      </c>
      <c r="H4289" s="160">
        <v>12491</v>
      </c>
      <c r="I4289" s="29">
        <v>207.5</v>
      </c>
      <c r="J4289" s="12" t="s">
        <v>51</v>
      </c>
      <c r="K4289" s="76">
        <f t="shared" si="312"/>
        <v>241.71675000000002</v>
      </c>
      <c r="L4289">
        <v>1.1649</v>
      </c>
      <c r="M4289" s="29">
        <v>0</v>
      </c>
      <c r="N4289" t="s">
        <v>32</v>
      </c>
      <c r="O4289" t="s">
        <v>33</v>
      </c>
      <c r="P4289" t="s">
        <v>34</v>
      </c>
      <c r="Q4289" t="s">
        <v>34</v>
      </c>
      <c r="R4289" t="s">
        <v>34</v>
      </c>
      <c r="S4289" t="s">
        <v>34</v>
      </c>
      <c r="T4289" s="117">
        <v>0</v>
      </c>
    </row>
    <row r="4290" spans="1:21" x14ac:dyDescent="0.35">
      <c r="A4290" t="s">
        <v>19</v>
      </c>
      <c r="B4290" t="s">
        <v>25</v>
      </c>
      <c r="C4290" s="1">
        <v>45854</v>
      </c>
      <c r="D4290">
        <f t="shared" si="308"/>
        <v>16</v>
      </c>
      <c r="E4290">
        <f t="shared" si="309"/>
        <v>7</v>
      </c>
      <c r="F4290">
        <f t="shared" si="310"/>
        <v>2025</v>
      </c>
      <c r="G4290" t="s">
        <v>80</v>
      </c>
      <c r="H4290" s="139">
        <v>12538</v>
      </c>
      <c r="I4290" s="140">
        <v>63473.5</v>
      </c>
      <c r="J4290" s="139" t="s">
        <v>31</v>
      </c>
      <c r="K4290" s="76">
        <f t="shared" si="312"/>
        <v>63473.5</v>
      </c>
      <c r="L4290">
        <v>1</v>
      </c>
      <c r="M4290" s="29">
        <v>0</v>
      </c>
      <c r="N4290" t="s">
        <v>32</v>
      </c>
      <c r="O4290" t="s">
        <v>33</v>
      </c>
      <c r="P4290" t="s">
        <v>34</v>
      </c>
      <c r="Q4290" t="s">
        <v>34</v>
      </c>
      <c r="R4290" t="s">
        <v>34</v>
      </c>
      <c r="S4290" t="s">
        <v>34</v>
      </c>
      <c r="T4290" s="117">
        <v>0</v>
      </c>
    </row>
    <row r="4291" spans="1:21" x14ac:dyDescent="0.35">
      <c r="A4291" t="s">
        <v>19</v>
      </c>
      <c r="B4291" t="s">
        <v>25</v>
      </c>
      <c r="C4291" s="1">
        <v>45854</v>
      </c>
      <c r="D4291">
        <f t="shared" si="308"/>
        <v>16</v>
      </c>
      <c r="E4291">
        <f t="shared" si="309"/>
        <v>7</v>
      </c>
      <c r="F4291">
        <f t="shared" si="310"/>
        <v>2025</v>
      </c>
      <c r="G4291" t="s">
        <v>80</v>
      </c>
      <c r="H4291" s="139">
        <v>12699</v>
      </c>
      <c r="I4291" s="140">
        <v>1035</v>
      </c>
      <c r="J4291" s="139" t="s">
        <v>31</v>
      </c>
      <c r="K4291" s="76">
        <f t="shared" si="312"/>
        <v>1035</v>
      </c>
      <c r="L4291">
        <v>1</v>
      </c>
      <c r="M4291" s="29">
        <v>0</v>
      </c>
      <c r="N4291" t="s">
        <v>32</v>
      </c>
      <c r="O4291" t="s">
        <v>33</v>
      </c>
      <c r="P4291" t="s">
        <v>34</v>
      </c>
      <c r="Q4291" t="s">
        <v>34</v>
      </c>
      <c r="R4291" t="s">
        <v>34</v>
      </c>
      <c r="S4291" t="s">
        <v>34</v>
      </c>
      <c r="T4291" s="117">
        <v>0</v>
      </c>
    </row>
    <row r="4292" spans="1:21" x14ac:dyDescent="0.35">
      <c r="A4292" t="s">
        <v>19</v>
      </c>
      <c r="B4292" t="s">
        <v>25</v>
      </c>
      <c r="C4292" s="1">
        <v>45854</v>
      </c>
      <c r="D4292">
        <f t="shared" si="308"/>
        <v>16</v>
      </c>
      <c r="E4292">
        <f t="shared" si="309"/>
        <v>7</v>
      </c>
      <c r="F4292">
        <f t="shared" si="310"/>
        <v>2025</v>
      </c>
      <c r="G4292" t="s">
        <v>38</v>
      </c>
      <c r="H4292" s="98">
        <v>13105</v>
      </c>
      <c r="I4292" s="29">
        <v>85.44</v>
      </c>
      <c r="J4292" s="12" t="s">
        <v>31</v>
      </c>
      <c r="K4292" s="76">
        <f t="shared" si="312"/>
        <v>85.44</v>
      </c>
      <c r="L4292">
        <v>1</v>
      </c>
      <c r="M4292" s="29">
        <v>0</v>
      </c>
      <c r="N4292" t="s">
        <v>32</v>
      </c>
      <c r="O4292" t="s">
        <v>33</v>
      </c>
      <c r="P4292" t="s">
        <v>34</v>
      </c>
      <c r="Q4292" t="s">
        <v>34</v>
      </c>
      <c r="R4292" t="s">
        <v>34</v>
      </c>
      <c r="S4292" t="s">
        <v>34</v>
      </c>
      <c r="T4292" s="117">
        <v>0</v>
      </c>
    </row>
    <row r="4293" spans="1:21" x14ac:dyDescent="0.35">
      <c r="A4293" t="s">
        <v>19</v>
      </c>
      <c r="B4293" t="s">
        <v>24</v>
      </c>
      <c r="C4293" s="1">
        <v>45854</v>
      </c>
      <c r="D4293">
        <f t="shared" si="308"/>
        <v>16</v>
      </c>
      <c r="E4293">
        <f t="shared" si="309"/>
        <v>7</v>
      </c>
      <c r="F4293">
        <f t="shared" si="310"/>
        <v>2025</v>
      </c>
      <c r="G4293" t="s">
        <v>35</v>
      </c>
      <c r="H4293" s="98">
        <v>12831</v>
      </c>
      <c r="I4293" s="90">
        <v>84</v>
      </c>
      <c r="J4293" s="12" t="s">
        <v>31</v>
      </c>
      <c r="K4293" s="76">
        <f t="shared" si="312"/>
        <v>84</v>
      </c>
      <c r="L4293">
        <v>1</v>
      </c>
      <c r="M4293" s="29">
        <v>0</v>
      </c>
      <c r="N4293" t="s">
        <v>32</v>
      </c>
      <c r="O4293" t="s">
        <v>33</v>
      </c>
      <c r="P4293" t="s">
        <v>34</v>
      </c>
      <c r="Q4293" t="s">
        <v>34</v>
      </c>
      <c r="R4293" t="s">
        <v>34</v>
      </c>
      <c r="S4293" t="s">
        <v>34</v>
      </c>
      <c r="T4293" s="117">
        <v>0</v>
      </c>
    </row>
    <row r="4294" spans="1:21" x14ac:dyDescent="0.35">
      <c r="A4294" t="s">
        <v>19</v>
      </c>
      <c r="B4294" t="s">
        <v>25</v>
      </c>
      <c r="C4294" s="1">
        <v>45854</v>
      </c>
      <c r="D4294">
        <f t="shared" si="308"/>
        <v>16</v>
      </c>
      <c r="E4294">
        <f t="shared" si="309"/>
        <v>7</v>
      </c>
      <c r="F4294">
        <f t="shared" si="310"/>
        <v>2025</v>
      </c>
      <c r="G4294" t="s">
        <v>93</v>
      </c>
      <c r="H4294" s="171">
        <v>12604</v>
      </c>
      <c r="I4294" s="90">
        <v>978.6</v>
      </c>
      <c r="J4294" s="12" t="s">
        <v>31</v>
      </c>
      <c r="K4294" s="76">
        <f t="shared" si="312"/>
        <v>978.6</v>
      </c>
      <c r="L4294">
        <v>1</v>
      </c>
      <c r="M4294" s="29">
        <v>0</v>
      </c>
      <c r="N4294" t="s">
        <v>32</v>
      </c>
      <c r="O4294" t="s">
        <v>33</v>
      </c>
      <c r="P4294" t="s">
        <v>34</v>
      </c>
      <c r="Q4294" t="s">
        <v>34</v>
      </c>
      <c r="R4294" t="s">
        <v>34</v>
      </c>
      <c r="S4294" t="s">
        <v>34</v>
      </c>
      <c r="T4294" s="117">
        <v>0</v>
      </c>
    </row>
    <row r="4295" spans="1:21" x14ac:dyDescent="0.35">
      <c r="A4295" t="s">
        <v>19</v>
      </c>
      <c r="B4295" t="s">
        <v>25</v>
      </c>
      <c r="C4295" s="1">
        <v>45854</v>
      </c>
      <c r="D4295">
        <f t="shared" si="308"/>
        <v>16</v>
      </c>
      <c r="E4295">
        <f t="shared" si="309"/>
        <v>7</v>
      </c>
      <c r="F4295">
        <f t="shared" si="310"/>
        <v>2025</v>
      </c>
      <c r="G4295" t="s">
        <v>285</v>
      </c>
      <c r="H4295" s="139">
        <v>12520</v>
      </c>
      <c r="I4295" s="140">
        <v>19229.939999999999</v>
      </c>
      <c r="J4295" s="139" t="s">
        <v>31</v>
      </c>
      <c r="K4295" s="76">
        <f t="shared" si="312"/>
        <v>19229.939999999999</v>
      </c>
      <c r="L4295">
        <v>1</v>
      </c>
      <c r="M4295" s="29">
        <v>0</v>
      </c>
      <c r="N4295" t="s">
        <v>32</v>
      </c>
      <c r="O4295" t="s">
        <v>33</v>
      </c>
      <c r="P4295" t="s">
        <v>34</v>
      </c>
      <c r="Q4295" t="s">
        <v>34</v>
      </c>
      <c r="R4295" t="s">
        <v>34</v>
      </c>
      <c r="S4295" t="s">
        <v>34</v>
      </c>
      <c r="T4295" s="117">
        <v>0</v>
      </c>
    </row>
    <row r="4296" spans="1:21" x14ac:dyDescent="0.35">
      <c r="A4296" t="s">
        <v>19</v>
      </c>
      <c r="B4296" t="s">
        <v>25</v>
      </c>
      <c r="C4296" s="1">
        <v>45854</v>
      </c>
      <c r="D4296">
        <f t="shared" si="308"/>
        <v>16</v>
      </c>
      <c r="E4296">
        <f t="shared" si="309"/>
        <v>7</v>
      </c>
      <c r="F4296">
        <f t="shared" si="310"/>
        <v>2025</v>
      </c>
      <c r="G4296" t="s">
        <v>285</v>
      </c>
      <c r="H4296" s="139">
        <v>12745</v>
      </c>
      <c r="I4296" s="140">
        <v>3216.58</v>
      </c>
      <c r="J4296" s="139" t="s">
        <v>31</v>
      </c>
      <c r="K4296" s="76">
        <f t="shared" si="312"/>
        <v>3216.58</v>
      </c>
      <c r="L4296">
        <v>1</v>
      </c>
      <c r="M4296" s="29">
        <v>0</v>
      </c>
      <c r="N4296" t="s">
        <v>32</v>
      </c>
      <c r="O4296" t="s">
        <v>33</v>
      </c>
      <c r="P4296" t="s">
        <v>34</v>
      </c>
      <c r="Q4296" t="s">
        <v>34</v>
      </c>
      <c r="R4296" t="s">
        <v>34</v>
      </c>
      <c r="S4296" t="s">
        <v>34</v>
      </c>
      <c r="T4296" s="117">
        <v>0</v>
      </c>
    </row>
    <row r="4297" spans="1:21" x14ac:dyDescent="0.35">
      <c r="A4297" t="s">
        <v>20</v>
      </c>
      <c r="B4297" t="s">
        <v>23</v>
      </c>
      <c r="C4297" s="1">
        <v>45854</v>
      </c>
      <c r="D4297">
        <f t="shared" si="308"/>
        <v>16</v>
      </c>
      <c r="E4297">
        <f t="shared" si="309"/>
        <v>7</v>
      </c>
      <c r="F4297">
        <f t="shared" si="310"/>
        <v>2025</v>
      </c>
      <c r="G4297" t="s">
        <v>82</v>
      </c>
      <c r="H4297" s="139">
        <v>12384</v>
      </c>
      <c r="I4297" s="140">
        <v>11301.36</v>
      </c>
      <c r="J4297" s="139" t="s">
        <v>31</v>
      </c>
      <c r="K4297" s="76">
        <f t="shared" si="312"/>
        <v>11301.36</v>
      </c>
      <c r="L4297">
        <v>1</v>
      </c>
      <c r="M4297" s="29">
        <v>0</v>
      </c>
      <c r="N4297" t="s">
        <v>32</v>
      </c>
      <c r="O4297" t="s">
        <v>33</v>
      </c>
      <c r="P4297" t="s">
        <v>34</v>
      </c>
      <c r="Q4297" t="s">
        <v>34</v>
      </c>
      <c r="R4297" t="s">
        <v>34</v>
      </c>
      <c r="S4297" t="s">
        <v>34</v>
      </c>
      <c r="T4297" s="117">
        <v>0</v>
      </c>
    </row>
    <row r="4298" spans="1:21" x14ac:dyDescent="0.35">
      <c r="A4298" t="s">
        <v>20</v>
      </c>
      <c r="B4298" t="s">
        <v>23</v>
      </c>
      <c r="C4298" s="1">
        <v>45854</v>
      </c>
      <c r="D4298">
        <f t="shared" ref="D4298:D4364" si="313">DAY(C4298)</f>
        <v>16</v>
      </c>
      <c r="E4298">
        <f t="shared" ref="E4298:E4364" si="314">MONTH(C4298)</f>
        <v>7</v>
      </c>
      <c r="F4298">
        <f t="shared" ref="F4298:F4364" si="315">YEAR(C4298)</f>
        <v>2025</v>
      </c>
      <c r="G4298" t="s">
        <v>82</v>
      </c>
      <c r="H4298" s="139">
        <v>12639</v>
      </c>
      <c r="I4298" s="140">
        <v>29.8</v>
      </c>
      <c r="J4298" s="139" t="s">
        <v>31</v>
      </c>
      <c r="K4298" s="76">
        <f t="shared" si="312"/>
        <v>29.8</v>
      </c>
      <c r="L4298">
        <v>1</v>
      </c>
      <c r="M4298" s="29">
        <v>0</v>
      </c>
      <c r="N4298" t="s">
        <v>32</v>
      </c>
      <c r="O4298" t="s">
        <v>33</v>
      </c>
      <c r="P4298" t="s">
        <v>34</v>
      </c>
      <c r="Q4298" t="s">
        <v>34</v>
      </c>
      <c r="R4298" t="s">
        <v>34</v>
      </c>
      <c r="S4298" t="s">
        <v>34</v>
      </c>
      <c r="T4298" s="117">
        <v>0</v>
      </c>
    </row>
    <row r="4299" spans="1:21" x14ac:dyDescent="0.35">
      <c r="A4299" t="s">
        <v>20</v>
      </c>
      <c r="B4299" t="s">
        <v>21</v>
      </c>
      <c r="C4299" s="1">
        <v>45854</v>
      </c>
      <c r="D4299">
        <f t="shared" si="313"/>
        <v>16</v>
      </c>
      <c r="E4299">
        <f t="shared" si="314"/>
        <v>7</v>
      </c>
      <c r="F4299">
        <f t="shared" si="315"/>
        <v>2025</v>
      </c>
      <c r="G4299" t="s">
        <v>88</v>
      </c>
      <c r="H4299" s="139">
        <v>12554</v>
      </c>
      <c r="I4299" s="140">
        <v>33668.89</v>
      </c>
      <c r="J4299" s="139" t="s">
        <v>31</v>
      </c>
      <c r="K4299" s="76">
        <f t="shared" si="312"/>
        <v>33668.89</v>
      </c>
      <c r="L4299">
        <v>1</v>
      </c>
      <c r="M4299" s="29">
        <v>0</v>
      </c>
      <c r="N4299" t="s">
        <v>32</v>
      </c>
      <c r="O4299" t="s">
        <v>33</v>
      </c>
      <c r="P4299" t="s">
        <v>34</v>
      </c>
      <c r="Q4299" t="s">
        <v>34</v>
      </c>
      <c r="R4299" t="s">
        <v>34</v>
      </c>
      <c r="S4299" t="s">
        <v>34</v>
      </c>
      <c r="T4299" s="117">
        <v>0</v>
      </c>
    </row>
    <row r="4300" spans="1:21" x14ac:dyDescent="0.35">
      <c r="A4300" t="s">
        <v>20</v>
      </c>
      <c r="B4300" t="s">
        <v>21</v>
      </c>
      <c r="C4300" s="1">
        <v>45854</v>
      </c>
      <c r="D4300">
        <f t="shared" si="313"/>
        <v>16</v>
      </c>
      <c r="E4300">
        <f t="shared" si="314"/>
        <v>7</v>
      </c>
      <c r="F4300">
        <f t="shared" si="315"/>
        <v>2025</v>
      </c>
      <c r="G4300" t="s">
        <v>88</v>
      </c>
      <c r="H4300" s="139">
        <v>12553</v>
      </c>
      <c r="I4300" s="140">
        <v>370</v>
      </c>
      <c r="J4300" s="139" t="s">
        <v>31</v>
      </c>
      <c r="K4300" s="76">
        <f t="shared" si="312"/>
        <v>370</v>
      </c>
      <c r="L4300">
        <v>1</v>
      </c>
      <c r="M4300" s="29">
        <v>0</v>
      </c>
      <c r="N4300" t="s">
        <v>32</v>
      </c>
      <c r="O4300" t="s">
        <v>33</v>
      </c>
      <c r="P4300" t="s">
        <v>34</v>
      </c>
      <c r="Q4300" t="s">
        <v>34</v>
      </c>
      <c r="R4300" t="s">
        <v>34</v>
      </c>
      <c r="S4300" t="s">
        <v>34</v>
      </c>
      <c r="T4300" s="117">
        <v>0</v>
      </c>
    </row>
    <row r="4301" spans="1:21" x14ac:dyDescent="0.35">
      <c r="A4301" t="s">
        <v>20</v>
      </c>
      <c r="B4301" t="s">
        <v>25</v>
      </c>
      <c r="C4301" s="1">
        <v>45854</v>
      </c>
      <c r="D4301">
        <f t="shared" si="313"/>
        <v>16</v>
      </c>
      <c r="E4301">
        <f t="shared" si="314"/>
        <v>7</v>
      </c>
      <c r="F4301">
        <f t="shared" si="315"/>
        <v>2025</v>
      </c>
      <c r="G4301" t="s">
        <v>265</v>
      </c>
      <c r="H4301" s="98">
        <v>13129</v>
      </c>
      <c r="I4301" s="29">
        <v>603</v>
      </c>
      <c r="J4301" s="12" t="s">
        <v>31</v>
      </c>
      <c r="K4301" s="76">
        <f t="shared" si="312"/>
        <v>603</v>
      </c>
      <c r="L4301">
        <v>1</v>
      </c>
      <c r="M4301" s="29">
        <v>0</v>
      </c>
      <c r="N4301" t="s">
        <v>42</v>
      </c>
      <c r="O4301" t="s">
        <v>33</v>
      </c>
      <c r="P4301" t="s">
        <v>34</v>
      </c>
      <c r="Q4301" t="s">
        <v>34</v>
      </c>
      <c r="R4301" t="s">
        <v>34</v>
      </c>
      <c r="S4301" t="s">
        <v>34</v>
      </c>
      <c r="T4301" s="117">
        <v>0</v>
      </c>
      <c r="U4301" s="209" t="s">
        <v>1305</v>
      </c>
    </row>
    <row r="4302" spans="1:21" x14ac:dyDescent="0.35">
      <c r="A4302" t="s">
        <v>20</v>
      </c>
      <c r="B4302" t="s">
        <v>24</v>
      </c>
      <c r="C4302" s="1">
        <v>45854</v>
      </c>
      <c r="D4302">
        <f t="shared" si="313"/>
        <v>16</v>
      </c>
      <c r="E4302">
        <f t="shared" si="314"/>
        <v>7</v>
      </c>
      <c r="F4302">
        <f t="shared" si="315"/>
        <v>2025</v>
      </c>
      <c r="G4302" t="s">
        <v>50</v>
      </c>
      <c r="H4302" s="98">
        <v>13217</v>
      </c>
      <c r="I4302" s="29">
        <v>4060</v>
      </c>
      <c r="J4302" s="12" t="s">
        <v>31</v>
      </c>
      <c r="K4302" s="76">
        <f t="shared" si="312"/>
        <v>4060</v>
      </c>
      <c r="L4302">
        <v>1</v>
      </c>
      <c r="M4302" s="29">
        <v>0</v>
      </c>
      <c r="N4302" t="s">
        <v>42</v>
      </c>
      <c r="O4302" t="s">
        <v>33</v>
      </c>
      <c r="P4302" t="s">
        <v>34</v>
      </c>
      <c r="Q4302" t="s">
        <v>34</v>
      </c>
      <c r="R4302" t="s">
        <v>34</v>
      </c>
      <c r="S4302" t="s">
        <v>34</v>
      </c>
      <c r="T4302" s="117">
        <v>0</v>
      </c>
    </row>
    <row r="4303" spans="1:21" x14ac:dyDescent="0.35">
      <c r="A4303" t="s">
        <v>20</v>
      </c>
      <c r="B4303" t="s">
        <v>25</v>
      </c>
      <c r="C4303" s="1">
        <v>45854</v>
      </c>
      <c r="D4303">
        <f t="shared" si="313"/>
        <v>16</v>
      </c>
      <c r="E4303">
        <f t="shared" si="314"/>
        <v>7</v>
      </c>
      <c r="F4303">
        <f t="shared" si="315"/>
        <v>2025</v>
      </c>
      <c r="G4303" t="s">
        <v>595</v>
      </c>
      <c r="H4303" s="98">
        <v>13222</v>
      </c>
      <c r="I4303" s="29">
        <v>562.5</v>
      </c>
      <c r="J4303" s="12" t="s">
        <v>31</v>
      </c>
      <c r="K4303" s="76">
        <f t="shared" si="312"/>
        <v>562.5</v>
      </c>
      <c r="L4303">
        <v>1</v>
      </c>
      <c r="M4303" s="29">
        <v>0</v>
      </c>
      <c r="N4303" t="s">
        <v>42</v>
      </c>
      <c r="O4303" t="s">
        <v>33</v>
      </c>
      <c r="P4303" t="s">
        <v>34</v>
      </c>
      <c r="Q4303" t="s">
        <v>34</v>
      </c>
      <c r="R4303" t="s">
        <v>34</v>
      </c>
      <c r="S4303" t="s">
        <v>34</v>
      </c>
      <c r="T4303" s="117">
        <v>0</v>
      </c>
    </row>
    <row r="4304" spans="1:21" x14ac:dyDescent="0.35">
      <c r="A4304" t="s">
        <v>20</v>
      </c>
      <c r="B4304" t="s">
        <v>25</v>
      </c>
      <c r="C4304" s="1">
        <v>45854</v>
      </c>
      <c r="D4304">
        <f t="shared" si="313"/>
        <v>16</v>
      </c>
      <c r="E4304">
        <f t="shared" si="314"/>
        <v>7</v>
      </c>
      <c r="F4304">
        <f t="shared" si="315"/>
        <v>2025</v>
      </c>
      <c r="G4304" t="s">
        <v>565</v>
      </c>
      <c r="H4304" s="98">
        <v>12968</v>
      </c>
      <c r="I4304" s="29">
        <v>7330.18</v>
      </c>
      <c r="J4304" s="12" t="s">
        <v>31</v>
      </c>
      <c r="K4304" s="76">
        <f t="shared" si="312"/>
        <v>7330.18</v>
      </c>
      <c r="L4304">
        <v>1</v>
      </c>
      <c r="M4304" s="29">
        <v>0</v>
      </c>
      <c r="N4304" t="s">
        <v>32</v>
      </c>
      <c r="O4304" t="s">
        <v>33</v>
      </c>
      <c r="P4304" t="s">
        <v>34</v>
      </c>
      <c r="Q4304" t="s">
        <v>34</v>
      </c>
      <c r="R4304" t="s">
        <v>34</v>
      </c>
      <c r="S4304" t="s">
        <v>34</v>
      </c>
      <c r="T4304" s="117">
        <v>0</v>
      </c>
    </row>
    <row r="4305" spans="1:21" x14ac:dyDescent="0.35">
      <c r="A4305" t="s">
        <v>20</v>
      </c>
      <c r="B4305" t="s">
        <v>23</v>
      </c>
      <c r="C4305" s="1">
        <v>45854</v>
      </c>
      <c r="D4305">
        <f t="shared" si="313"/>
        <v>16</v>
      </c>
      <c r="E4305">
        <f t="shared" si="314"/>
        <v>7</v>
      </c>
      <c r="F4305">
        <f t="shared" si="315"/>
        <v>2025</v>
      </c>
      <c r="G4305" t="s">
        <v>177</v>
      </c>
      <c r="H4305" s="98">
        <v>12925</v>
      </c>
      <c r="I4305" s="29">
        <v>33057.81</v>
      </c>
      <c r="J4305" s="12" t="s">
        <v>31</v>
      </c>
      <c r="K4305" s="76">
        <f t="shared" si="312"/>
        <v>33057.81</v>
      </c>
      <c r="L4305">
        <v>1</v>
      </c>
      <c r="M4305" s="29">
        <v>0</v>
      </c>
      <c r="N4305" t="s">
        <v>32</v>
      </c>
      <c r="O4305" t="s">
        <v>33</v>
      </c>
      <c r="P4305" t="s">
        <v>34</v>
      </c>
      <c r="Q4305" t="s">
        <v>34</v>
      </c>
      <c r="R4305" t="s">
        <v>34</v>
      </c>
      <c r="S4305" t="s">
        <v>34</v>
      </c>
      <c r="T4305" s="117">
        <v>0</v>
      </c>
    </row>
    <row r="4306" spans="1:21" x14ac:dyDescent="0.35">
      <c r="A4306" t="s">
        <v>20</v>
      </c>
      <c r="B4306" t="s">
        <v>21</v>
      </c>
      <c r="C4306" s="1">
        <v>45854</v>
      </c>
      <c r="D4306">
        <f t="shared" si="313"/>
        <v>16</v>
      </c>
      <c r="E4306">
        <f t="shared" si="314"/>
        <v>7</v>
      </c>
      <c r="F4306">
        <f t="shared" si="315"/>
        <v>2025</v>
      </c>
      <c r="G4306" t="s">
        <v>97</v>
      </c>
      <c r="H4306" s="139">
        <v>13038</v>
      </c>
      <c r="I4306" s="140">
        <v>21245.357100000001</v>
      </c>
      <c r="J4306" s="139" t="s">
        <v>31</v>
      </c>
      <c r="K4306" s="76">
        <f t="shared" si="312"/>
        <v>21245.357100000001</v>
      </c>
      <c r="L4306">
        <v>1</v>
      </c>
      <c r="M4306" s="29">
        <v>651.30999999999995</v>
      </c>
      <c r="N4306" t="s">
        <v>32</v>
      </c>
      <c r="O4306" t="s">
        <v>33</v>
      </c>
      <c r="P4306" t="s">
        <v>34</v>
      </c>
      <c r="Q4306" t="s">
        <v>34</v>
      </c>
      <c r="R4306" t="s">
        <v>34</v>
      </c>
      <c r="S4306" t="s">
        <v>34</v>
      </c>
      <c r="T4306" s="117">
        <v>0</v>
      </c>
    </row>
    <row r="4307" spans="1:21" x14ac:dyDescent="0.35">
      <c r="A4307" t="s">
        <v>20</v>
      </c>
      <c r="B4307" t="s">
        <v>25</v>
      </c>
      <c r="C4307" s="1">
        <v>45854</v>
      </c>
      <c r="D4307">
        <f t="shared" si="313"/>
        <v>16</v>
      </c>
      <c r="E4307">
        <f t="shared" si="314"/>
        <v>7</v>
      </c>
      <c r="F4307">
        <f t="shared" si="315"/>
        <v>2025</v>
      </c>
      <c r="G4307" t="s">
        <v>97</v>
      </c>
      <c r="H4307" s="139">
        <v>13038</v>
      </c>
      <c r="I4307" s="140">
        <v>36709.7955</v>
      </c>
      <c r="J4307" s="139" t="s">
        <v>31</v>
      </c>
      <c r="K4307" s="76">
        <f t="shared" si="312"/>
        <v>36709.7955</v>
      </c>
      <c r="L4307">
        <v>1</v>
      </c>
      <c r="M4307" s="29">
        <v>1139.79</v>
      </c>
      <c r="N4307" t="s">
        <v>32</v>
      </c>
      <c r="O4307" t="s">
        <v>33</v>
      </c>
      <c r="P4307" t="s">
        <v>34</v>
      </c>
      <c r="Q4307" t="s">
        <v>34</v>
      </c>
      <c r="R4307" t="s">
        <v>34</v>
      </c>
      <c r="S4307" t="s">
        <v>34</v>
      </c>
      <c r="T4307" s="117">
        <v>0</v>
      </c>
    </row>
    <row r="4308" spans="1:21" x14ac:dyDescent="0.35">
      <c r="A4308" t="s">
        <v>20</v>
      </c>
      <c r="B4308" t="s">
        <v>24</v>
      </c>
      <c r="C4308" s="1">
        <v>45854</v>
      </c>
      <c r="D4308">
        <f t="shared" si="313"/>
        <v>16</v>
      </c>
      <c r="E4308">
        <f t="shared" si="314"/>
        <v>7</v>
      </c>
      <c r="F4308">
        <f t="shared" si="315"/>
        <v>2025</v>
      </c>
      <c r="G4308" t="s">
        <v>97</v>
      </c>
      <c r="H4308" s="139">
        <v>13038</v>
      </c>
      <c r="I4308" s="140">
        <v>17255.572499999998</v>
      </c>
      <c r="J4308" s="139" t="s">
        <v>31</v>
      </c>
      <c r="K4308" s="76">
        <f t="shared" si="312"/>
        <v>17255.572499999998</v>
      </c>
      <c r="L4308">
        <v>1</v>
      </c>
      <c r="M4308" s="29">
        <v>535</v>
      </c>
      <c r="N4308" t="s">
        <v>32</v>
      </c>
      <c r="O4308" t="s">
        <v>33</v>
      </c>
      <c r="P4308" t="s">
        <v>34</v>
      </c>
      <c r="Q4308" t="s">
        <v>34</v>
      </c>
      <c r="R4308" t="s">
        <v>34</v>
      </c>
      <c r="S4308" t="s">
        <v>34</v>
      </c>
      <c r="T4308" s="117">
        <v>0</v>
      </c>
    </row>
    <row r="4309" spans="1:21" x14ac:dyDescent="0.35">
      <c r="A4309" t="s">
        <v>20</v>
      </c>
      <c r="B4309" t="s">
        <v>21</v>
      </c>
      <c r="C4309" s="1">
        <v>45854</v>
      </c>
      <c r="D4309">
        <f t="shared" si="313"/>
        <v>16</v>
      </c>
      <c r="E4309">
        <f t="shared" si="314"/>
        <v>7</v>
      </c>
      <c r="F4309">
        <f t="shared" si="315"/>
        <v>2025</v>
      </c>
      <c r="G4309" t="s">
        <v>1238</v>
      </c>
      <c r="H4309" s="98">
        <v>13212</v>
      </c>
      <c r="I4309" s="29">
        <v>14867.6</v>
      </c>
      <c r="J4309" s="12" t="s">
        <v>31</v>
      </c>
      <c r="K4309" s="76">
        <f t="shared" si="312"/>
        <v>14867.6</v>
      </c>
      <c r="L4309">
        <v>1</v>
      </c>
      <c r="M4309" s="29">
        <v>0</v>
      </c>
      <c r="N4309" t="s">
        <v>42</v>
      </c>
      <c r="O4309" t="s">
        <v>33</v>
      </c>
      <c r="P4309" t="s">
        <v>34</v>
      </c>
      <c r="Q4309" t="s">
        <v>34</v>
      </c>
      <c r="R4309" t="s">
        <v>34</v>
      </c>
      <c r="S4309" t="s">
        <v>34</v>
      </c>
      <c r="T4309" s="117">
        <v>0</v>
      </c>
    </row>
    <row r="4310" spans="1:21" x14ac:dyDescent="0.35">
      <c r="A4310" t="s">
        <v>20</v>
      </c>
      <c r="B4310" t="s">
        <v>23</v>
      </c>
      <c r="C4310" s="1">
        <v>45854</v>
      </c>
      <c r="D4310">
        <f t="shared" si="313"/>
        <v>16</v>
      </c>
      <c r="E4310">
        <f t="shared" si="314"/>
        <v>7</v>
      </c>
      <c r="F4310">
        <f t="shared" si="315"/>
        <v>2025</v>
      </c>
      <c r="G4310" t="s">
        <v>90</v>
      </c>
      <c r="H4310" s="139">
        <v>12434</v>
      </c>
      <c r="I4310" s="140">
        <v>21692.65</v>
      </c>
      <c r="J4310" s="139" t="s">
        <v>31</v>
      </c>
      <c r="K4310" s="76">
        <f t="shared" si="312"/>
        <v>21692.65</v>
      </c>
      <c r="L4310">
        <v>1</v>
      </c>
      <c r="M4310" s="29">
        <v>0</v>
      </c>
      <c r="N4310" t="s">
        <v>32</v>
      </c>
      <c r="O4310" t="s">
        <v>33</v>
      </c>
      <c r="P4310" t="s">
        <v>34</v>
      </c>
      <c r="Q4310" t="s">
        <v>34</v>
      </c>
      <c r="R4310" t="s">
        <v>34</v>
      </c>
      <c r="S4310" t="s">
        <v>34</v>
      </c>
      <c r="T4310" s="117">
        <v>0</v>
      </c>
    </row>
    <row r="4311" spans="1:21" x14ac:dyDescent="0.35">
      <c r="A4311" t="s">
        <v>20</v>
      </c>
      <c r="B4311" t="s">
        <v>25</v>
      </c>
      <c r="C4311" s="1">
        <v>45854</v>
      </c>
      <c r="D4311">
        <f t="shared" si="313"/>
        <v>16</v>
      </c>
      <c r="E4311">
        <f t="shared" si="314"/>
        <v>7</v>
      </c>
      <c r="F4311">
        <f t="shared" si="315"/>
        <v>2025</v>
      </c>
      <c r="G4311" t="s">
        <v>90</v>
      </c>
      <c r="H4311" s="139">
        <v>13024</v>
      </c>
      <c r="I4311" s="140">
        <v>188</v>
      </c>
      <c r="J4311" s="139" t="s">
        <v>31</v>
      </c>
      <c r="K4311" s="76">
        <f t="shared" ref="K4311:K4345" si="316">IF(J4311="USD",I4311,I4311*L4311)</f>
        <v>188</v>
      </c>
      <c r="L4311">
        <v>1</v>
      </c>
      <c r="M4311" s="29">
        <v>0</v>
      </c>
      <c r="N4311" t="s">
        <v>32</v>
      </c>
      <c r="O4311" t="s">
        <v>33</v>
      </c>
      <c r="P4311" t="s">
        <v>34</v>
      </c>
      <c r="Q4311" t="s">
        <v>34</v>
      </c>
      <c r="R4311" t="s">
        <v>34</v>
      </c>
      <c r="S4311" t="s">
        <v>34</v>
      </c>
      <c r="T4311" s="117">
        <v>0</v>
      </c>
    </row>
    <row r="4312" spans="1:21" x14ac:dyDescent="0.35">
      <c r="A4312" t="s">
        <v>20</v>
      </c>
      <c r="B4312" t="s">
        <v>25</v>
      </c>
      <c r="C4312" s="1">
        <v>45854</v>
      </c>
      <c r="D4312">
        <f t="shared" si="313"/>
        <v>16</v>
      </c>
      <c r="E4312">
        <f t="shared" si="314"/>
        <v>7</v>
      </c>
      <c r="F4312">
        <f t="shared" si="315"/>
        <v>2025</v>
      </c>
      <c r="G4312" t="s">
        <v>90</v>
      </c>
      <c r="H4312" s="139">
        <v>13025</v>
      </c>
      <c r="I4312" s="140">
        <v>214.8</v>
      </c>
      <c r="J4312" s="139" t="s">
        <v>31</v>
      </c>
      <c r="K4312" s="76">
        <f t="shared" si="316"/>
        <v>214.8</v>
      </c>
      <c r="L4312">
        <v>1</v>
      </c>
      <c r="M4312" s="29">
        <v>0</v>
      </c>
      <c r="N4312" t="s">
        <v>32</v>
      </c>
      <c r="O4312" t="s">
        <v>33</v>
      </c>
      <c r="P4312" t="s">
        <v>34</v>
      </c>
      <c r="Q4312" t="s">
        <v>34</v>
      </c>
      <c r="R4312" t="s">
        <v>34</v>
      </c>
      <c r="S4312" t="s">
        <v>34</v>
      </c>
      <c r="T4312" s="117">
        <v>0</v>
      </c>
    </row>
    <row r="4313" spans="1:21" x14ac:dyDescent="0.35">
      <c r="A4313" t="s">
        <v>20</v>
      </c>
      <c r="B4313" t="s">
        <v>21</v>
      </c>
      <c r="C4313" s="1">
        <v>45854</v>
      </c>
      <c r="D4313">
        <f t="shared" si="313"/>
        <v>16</v>
      </c>
      <c r="E4313">
        <f t="shared" si="314"/>
        <v>7</v>
      </c>
      <c r="F4313">
        <f t="shared" si="315"/>
        <v>2025</v>
      </c>
      <c r="G4313" t="s">
        <v>52</v>
      </c>
      <c r="H4313" s="98">
        <v>12454</v>
      </c>
      <c r="I4313" s="29">
        <v>59635.68</v>
      </c>
      <c r="J4313" s="12" t="s">
        <v>31</v>
      </c>
      <c r="K4313" s="76">
        <f t="shared" si="316"/>
        <v>59635.68</v>
      </c>
      <c r="L4313">
        <v>1</v>
      </c>
      <c r="M4313" s="29">
        <v>0</v>
      </c>
      <c r="N4313" t="s">
        <v>32</v>
      </c>
      <c r="O4313" t="s">
        <v>33</v>
      </c>
      <c r="P4313" t="s">
        <v>34</v>
      </c>
      <c r="Q4313" t="s">
        <v>34</v>
      </c>
      <c r="R4313" t="s">
        <v>34</v>
      </c>
      <c r="S4313" t="s">
        <v>34</v>
      </c>
      <c r="T4313" s="117">
        <v>0</v>
      </c>
    </row>
    <row r="4314" spans="1:21" x14ac:dyDescent="0.35">
      <c r="A4314" t="s">
        <v>20</v>
      </c>
      <c r="B4314" t="s">
        <v>25</v>
      </c>
      <c r="C4314" s="1">
        <v>45854</v>
      </c>
      <c r="D4314">
        <f t="shared" si="313"/>
        <v>16</v>
      </c>
      <c r="E4314">
        <f t="shared" si="314"/>
        <v>7</v>
      </c>
      <c r="F4314">
        <f t="shared" si="315"/>
        <v>2025</v>
      </c>
      <c r="G4314" t="s">
        <v>46</v>
      </c>
      <c r="H4314" s="139">
        <v>13708</v>
      </c>
      <c r="I4314" s="140">
        <v>59</v>
      </c>
      <c r="J4314" s="139" t="s">
        <v>31</v>
      </c>
      <c r="K4314" s="76">
        <f t="shared" si="316"/>
        <v>59</v>
      </c>
      <c r="L4314">
        <v>1</v>
      </c>
      <c r="M4314" s="29">
        <v>0</v>
      </c>
      <c r="N4314" t="s">
        <v>42</v>
      </c>
      <c r="O4314" t="s">
        <v>33</v>
      </c>
      <c r="P4314" t="s">
        <v>34</v>
      </c>
      <c r="Q4314" t="s">
        <v>34</v>
      </c>
      <c r="R4314" t="s">
        <v>34</v>
      </c>
      <c r="S4314" t="s">
        <v>34</v>
      </c>
      <c r="T4314" s="117">
        <v>0</v>
      </c>
      <c r="U4314" s="211">
        <v>13200</v>
      </c>
    </row>
    <row r="4315" spans="1:21" x14ac:dyDescent="0.35">
      <c r="A4315" t="s">
        <v>20</v>
      </c>
      <c r="B4315" t="s">
        <v>25</v>
      </c>
      <c r="C4315" s="1">
        <v>45854</v>
      </c>
      <c r="D4315">
        <f t="shared" si="313"/>
        <v>16</v>
      </c>
      <c r="E4315">
        <f t="shared" si="314"/>
        <v>7</v>
      </c>
      <c r="F4315">
        <f t="shared" si="315"/>
        <v>2025</v>
      </c>
      <c r="G4315" t="s">
        <v>46</v>
      </c>
      <c r="H4315" s="139">
        <v>13477</v>
      </c>
      <c r="I4315" s="140">
        <v>917</v>
      </c>
      <c r="J4315" s="139" t="s">
        <v>31</v>
      </c>
      <c r="K4315" s="76">
        <f t="shared" si="316"/>
        <v>917</v>
      </c>
      <c r="L4315">
        <v>1</v>
      </c>
      <c r="M4315" s="29">
        <v>0</v>
      </c>
      <c r="N4315" t="s">
        <v>42</v>
      </c>
      <c r="O4315" t="s">
        <v>33</v>
      </c>
      <c r="P4315" t="s">
        <v>34</v>
      </c>
      <c r="Q4315" t="s">
        <v>34</v>
      </c>
      <c r="R4315" t="s">
        <v>34</v>
      </c>
      <c r="S4315" t="s">
        <v>34</v>
      </c>
      <c r="T4315" s="117">
        <v>0</v>
      </c>
      <c r="U4315" s="211">
        <v>13709</v>
      </c>
    </row>
    <row r="4316" spans="1:21" x14ac:dyDescent="0.35">
      <c r="A4316" t="s">
        <v>19</v>
      </c>
      <c r="B4316" t="s">
        <v>19</v>
      </c>
      <c r="C4316" s="1">
        <v>45854</v>
      </c>
      <c r="D4316">
        <f t="shared" si="313"/>
        <v>16</v>
      </c>
      <c r="E4316">
        <f t="shared" si="314"/>
        <v>7</v>
      </c>
      <c r="F4316">
        <f t="shared" si="315"/>
        <v>2025</v>
      </c>
      <c r="G4316" t="s">
        <v>56</v>
      </c>
      <c r="H4316" s="98" t="s">
        <v>1178</v>
      </c>
      <c r="I4316" s="15">
        <v>174669.21</v>
      </c>
      <c r="J4316" s="139" t="s">
        <v>31</v>
      </c>
      <c r="K4316" s="76">
        <f t="shared" si="316"/>
        <v>174669.21</v>
      </c>
      <c r="L4316">
        <v>1</v>
      </c>
      <c r="M4316" s="29">
        <v>0</v>
      </c>
      <c r="N4316" t="s">
        <v>32</v>
      </c>
      <c r="O4316" t="s">
        <v>33</v>
      </c>
      <c r="P4316" t="s">
        <v>34</v>
      </c>
      <c r="Q4316" t="s">
        <v>34</v>
      </c>
      <c r="R4316" t="s">
        <v>34</v>
      </c>
      <c r="S4316" t="s">
        <v>34</v>
      </c>
      <c r="T4316" s="117">
        <v>0</v>
      </c>
    </row>
    <row r="4317" spans="1:21" x14ac:dyDescent="0.35">
      <c r="A4317" t="s">
        <v>19</v>
      </c>
      <c r="B4317" t="s">
        <v>19</v>
      </c>
      <c r="C4317" s="1">
        <v>45854</v>
      </c>
      <c r="D4317">
        <f t="shared" si="313"/>
        <v>16</v>
      </c>
      <c r="E4317">
        <f t="shared" si="314"/>
        <v>7</v>
      </c>
      <c r="F4317">
        <f t="shared" si="315"/>
        <v>2025</v>
      </c>
      <c r="G4317" t="s">
        <v>56</v>
      </c>
      <c r="H4317" s="98" t="s">
        <v>1179</v>
      </c>
      <c r="I4317" s="15">
        <v>157435.63</v>
      </c>
      <c r="J4317" s="139" t="s">
        <v>31</v>
      </c>
      <c r="K4317" s="76">
        <f t="shared" si="316"/>
        <v>157435.63</v>
      </c>
      <c r="L4317">
        <v>1</v>
      </c>
      <c r="M4317" s="29">
        <v>0</v>
      </c>
      <c r="N4317" t="s">
        <v>32</v>
      </c>
      <c r="O4317" t="s">
        <v>33</v>
      </c>
      <c r="P4317" t="s">
        <v>34</v>
      </c>
      <c r="Q4317" t="s">
        <v>34</v>
      </c>
      <c r="R4317" t="s">
        <v>34</v>
      </c>
      <c r="S4317" t="s">
        <v>34</v>
      </c>
      <c r="T4317" s="117">
        <v>0</v>
      </c>
    </row>
    <row r="4318" spans="1:21" x14ac:dyDescent="0.35">
      <c r="A4318" t="s">
        <v>19</v>
      </c>
      <c r="B4318" t="s">
        <v>19</v>
      </c>
      <c r="C4318" s="1">
        <v>45854</v>
      </c>
      <c r="D4318">
        <f t="shared" si="313"/>
        <v>16</v>
      </c>
      <c r="E4318">
        <f t="shared" si="314"/>
        <v>7</v>
      </c>
      <c r="F4318">
        <f t="shared" si="315"/>
        <v>2025</v>
      </c>
      <c r="G4318" t="s">
        <v>56</v>
      </c>
      <c r="H4318" s="98" t="s">
        <v>1180</v>
      </c>
      <c r="I4318" s="15">
        <v>177877.82</v>
      </c>
      <c r="J4318" s="139" t="s">
        <v>31</v>
      </c>
      <c r="K4318" s="76">
        <f t="shared" si="316"/>
        <v>177877.82</v>
      </c>
      <c r="L4318">
        <v>1</v>
      </c>
      <c r="M4318" s="29">
        <v>0</v>
      </c>
      <c r="N4318" t="s">
        <v>32</v>
      </c>
      <c r="O4318" t="s">
        <v>33</v>
      </c>
      <c r="P4318" t="s">
        <v>34</v>
      </c>
      <c r="Q4318" t="s">
        <v>34</v>
      </c>
      <c r="R4318" t="s">
        <v>34</v>
      </c>
      <c r="S4318" t="s">
        <v>34</v>
      </c>
      <c r="T4318" s="117">
        <v>0</v>
      </c>
    </row>
    <row r="4319" spans="1:21" x14ac:dyDescent="0.35">
      <c r="A4319" t="s">
        <v>19</v>
      </c>
      <c r="B4319" t="s">
        <v>19</v>
      </c>
      <c r="C4319" s="1">
        <v>45854</v>
      </c>
      <c r="D4319">
        <f t="shared" si="313"/>
        <v>16</v>
      </c>
      <c r="E4319">
        <f t="shared" si="314"/>
        <v>7</v>
      </c>
      <c r="F4319">
        <f t="shared" si="315"/>
        <v>2025</v>
      </c>
      <c r="G4319" t="s">
        <v>57</v>
      </c>
      <c r="H4319" s="98" t="s">
        <v>1181</v>
      </c>
      <c r="I4319" s="15">
        <v>76025.8</v>
      </c>
      <c r="J4319" s="139" t="s">
        <v>31</v>
      </c>
      <c r="K4319" s="76">
        <f t="shared" si="316"/>
        <v>76025.8</v>
      </c>
      <c r="L4319">
        <v>1</v>
      </c>
      <c r="M4319" s="29">
        <v>0</v>
      </c>
      <c r="N4319" t="s">
        <v>32</v>
      </c>
      <c r="O4319" t="s">
        <v>33</v>
      </c>
      <c r="P4319" t="s">
        <v>34</v>
      </c>
      <c r="Q4319" t="s">
        <v>34</v>
      </c>
      <c r="R4319" t="s">
        <v>34</v>
      </c>
      <c r="S4319" t="s">
        <v>34</v>
      </c>
      <c r="T4319" s="117">
        <v>1950.78</v>
      </c>
    </row>
    <row r="4320" spans="1:21" x14ac:dyDescent="0.35">
      <c r="A4320" t="s">
        <v>19</v>
      </c>
      <c r="B4320" t="s">
        <v>19</v>
      </c>
      <c r="C4320" s="1">
        <v>45854</v>
      </c>
      <c r="D4320">
        <f t="shared" si="313"/>
        <v>16</v>
      </c>
      <c r="E4320">
        <f t="shared" si="314"/>
        <v>7</v>
      </c>
      <c r="F4320">
        <f t="shared" si="315"/>
        <v>2025</v>
      </c>
      <c r="G4320" t="s">
        <v>59</v>
      </c>
      <c r="H4320" s="171" t="s">
        <v>1182</v>
      </c>
      <c r="I4320" s="15">
        <v>150447.49</v>
      </c>
      <c r="J4320" s="139" t="s">
        <v>31</v>
      </c>
      <c r="K4320" s="76">
        <f t="shared" si="316"/>
        <v>150447.49</v>
      </c>
      <c r="L4320">
        <v>1</v>
      </c>
      <c r="M4320" s="29">
        <v>0</v>
      </c>
      <c r="N4320" t="s">
        <v>32</v>
      </c>
      <c r="O4320" t="s">
        <v>33</v>
      </c>
      <c r="P4320" t="s">
        <v>34</v>
      </c>
      <c r="Q4320" t="s">
        <v>34</v>
      </c>
      <c r="R4320" t="s">
        <v>34</v>
      </c>
      <c r="S4320" t="s">
        <v>34</v>
      </c>
      <c r="T4320" s="117">
        <v>0</v>
      </c>
    </row>
    <row r="4321" spans="1:20" x14ac:dyDescent="0.35">
      <c r="A4321" t="s">
        <v>19</v>
      </c>
      <c r="B4321" t="s">
        <v>19</v>
      </c>
      <c r="C4321" s="1">
        <v>45854</v>
      </c>
      <c r="D4321">
        <f t="shared" si="313"/>
        <v>16</v>
      </c>
      <c r="E4321">
        <f t="shared" si="314"/>
        <v>7</v>
      </c>
      <c r="F4321">
        <f t="shared" si="315"/>
        <v>2025</v>
      </c>
      <c r="G4321" t="s">
        <v>1115</v>
      </c>
      <c r="H4321" s="98" t="s">
        <v>1183</v>
      </c>
      <c r="I4321" s="15">
        <v>98779.5</v>
      </c>
      <c r="J4321" s="139" t="s">
        <v>31</v>
      </c>
      <c r="K4321" s="76">
        <f t="shared" si="316"/>
        <v>98779.5</v>
      </c>
      <c r="L4321">
        <v>1</v>
      </c>
      <c r="M4321" s="29">
        <v>0</v>
      </c>
      <c r="N4321" t="s">
        <v>32</v>
      </c>
      <c r="O4321" t="s">
        <v>33</v>
      </c>
      <c r="P4321" t="s">
        <v>34</v>
      </c>
      <c r="Q4321" t="s">
        <v>34</v>
      </c>
      <c r="R4321" t="s">
        <v>34</v>
      </c>
      <c r="S4321" t="s">
        <v>34</v>
      </c>
      <c r="T4321" s="117">
        <v>0</v>
      </c>
    </row>
    <row r="4322" spans="1:20" x14ac:dyDescent="0.35">
      <c r="A4322" t="s">
        <v>19</v>
      </c>
      <c r="B4322" t="s">
        <v>19</v>
      </c>
      <c r="C4322" s="1">
        <v>45854</v>
      </c>
      <c r="D4322">
        <f t="shared" si="313"/>
        <v>16</v>
      </c>
      <c r="E4322">
        <f t="shared" si="314"/>
        <v>7</v>
      </c>
      <c r="F4322">
        <f t="shared" si="315"/>
        <v>2025</v>
      </c>
      <c r="G4322" t="s">
        <v>424</v>
      </c>
      <c r="H4322" s="98" t="s">
        <v>1184</v>
      </c>
      <c r="I4322" s="15">
        <f>92222.51+92401.65</f>
        <v>184624.15999999997</v>
      </c>
      <c r="J4322" s="139" t="s">
        <v>31</v>
      </c>
      <c r="K4322" s="76">
        <f t="shared" si="316"/>
        <v>184624.15999999997</v>
      </c>
      <c r="L4322">
        <v>1</v>
      </c>
      <c r="M4322" s="29">
        <v>0</v>
      </c>
      <c r="N4322" t="s">
        <v>32</v>
      </c>
      <c r="O4322" t="s">
        <v>33</v>
      </c>
      <c r="P4322" t="s">
        <v>34</v>
      </c>
      <c r="Q4322" t="s">
        <v>34</v>
      </c>
      <c r="R4322" t="s">
        <v>34</v>
      </c>
      <c r="S4322" t="s">
        <v>34</v>
      </c>
      <c r="T4322" s="117">
        <v>0</v>
      </c>
    </row>
    <row r="4323" spans="1:20" x14ac:dyDescent="0.35">
      <c r="A4323" t="s">
        <v>19</v>
      </c>
      <c r="B4323" t="s">
        <v>19</v>
      </c>
      <c r="C4323" s="1">
        <v>45854</v>
      </c>
      <c r="D4323">
        <f t="shared" si="313"/>
        <v>16</v>
      </c>
      <c r="E4323">
        <f t="shared" si="314"/>
        <v>7</v>
      </c>
      <c r="F4323">
        <f t="shared" si="315"/>
        <v>2025</v>
      </c>
      <c r="G4323" t="s">
        <v>523</v>
      </c>
      <c r="H4323" s="98" t="s">
        <v>1185</v>
      </c>
      <c r="I4323" s="15">
        <v>13903.12</v>
      </c>
      <c r="J4323" s="139" t="s">
        <v>31</v>
      </c>
      <c r="K4323" s="76">
        <f t="shared" si="316"/>
        <v>13903.12</v>
      </c>
      <c r="L4323">
        <v>1</v>
      </c>
      <c r="M4323" s="29">
        <v>0</v>
      </c>
      <c r="N4323" t="s">
        <v>32</v>
      </c>
      <c r="O4323" t="s">
        <v>33</v>
      </c>
      <c r="P4323" t="s">
        <v>34</v>
      </c>
      <c r="Q4323" t="s">
        <v>34</v>
      </c>
      <c r="R4323" t="s">
        <v>34</v>
      </c>
      <c r="S4323" t="s">
        <v>34</v>
      </c>
      <c r="T4323" s="117">
        <v>0</v>
      </c>
    </row>
    <row r="4324" spans="1:20" x14ac:dyDescent="0.35">
      <c r="A4324" t="s">
        <v>19</v>
      </c>
      <c r="B4324" t="s">
        <v>19</v>
      </c>
      <c r="C4324" s="1">
        <v>45854</v>
      </c>
      <c r="D4324">
        <f t="shared" si="313"/>
        <v>16</v>
      </c>
      <c r="E4324">
        <f t="shared" si="314"/>
        <v>7</v>
      </c>
      <c r="F4324">
        <f t="shared" si="315"/>
        <v>2025</v>
      </c>
      <c r="G4324" t="s">
        <v>127</v>
      </c>
      <c r="H4324" s="98" t="s">
        <v>1185</v>
      </c>
      <c r="I4324" s="15">
        <v>32465.83</v>
      </c>
      <c r="J4324" s="139" t="s">
        <v>31</v>
      </c>
      <c r="K4324" s="76">
        <f t="shared" si="316"/>
        <v>32465.83</v>
      </c>
      <c r="L4324">
        <v>1</v>
      </c>
      <c r="M4324" s="29">
        <v>0</v>
      </c>
      <c r="N4324" t="s">
        <v>32</v>
      </c>
      <c r="O4324" t="s">
        <v>33</v>
      </c>
      <c r="P4324" t="s">
        <v>34</v>
      </c>
      <c r="Q4324" t="s">
        <v>34</v>
      </c>
      <c r="R4324" t="s">
        <v>34</v>
      </c>
      <c r="S4324" t="s">
        <v>34</v>
      </c>
      <c r="T4324" s="117">
        <v>0</v>
      </c>
    </row>
    <row r="4325" spans="1:20" x14ac:dyDescent="0.35">
      <c r="A4325" t="s">
        <v>19</v>
      </c>
      <c r="B4325" t="s">
        <v>19</v>
      </c>
      <c r="C4325" s="1">
        <v>45854</v>
      </c>
      <c r="D4325">
        <f t="shared" si="313"/>
        <v>16</v>
      </c>
      <c r="E4325">
        <f t="shared" si="314"/>
        <v>7</v>
      </c>
      <c r="F4325">
        <f t="shared" si="315"/>
        <v>2025</v>
      </c>
      <c r="G4325" t="s">
        <v>1186</v>
      </c>
      <c r="H4325" s="98" t="s">
        <v>1187</v>
      </c>
      <c r="I4325" s="15">
        <v>27600.28</v>
      </c>
      <c r="J4325" s="139" t="s">
        <v>31</v>
      </c>
      <c r="K4325" s="76">
        <f t="shared" si="316"/>
        <v>27600.28</v>
      </c>
      <c r="L4325">
        <v>1</v>
      </c>
      <c r="M4325" s="29">
        <v>0</v>
      </c>
      <c r="N4325" t="s">
        <v>32</v>
      </c>
      <c r="O4325" t="s">
        <v>33</v>
      </c>
      <c r="P4325" t="s">
        <v>34</v>
      </c>
      <c r="Q4325" t="s">
        <v>34</v>
      </c>
      <c r="R4325" t="s">
        <v>34</v>
      </c>
      <c r="S4325" t="s">
        <v>34</v>
      </c>
      <c r="T4325" s="117">
        <v>0</v>
      </c>
    </row>
    <row r="4326" spans="1:20" x14ac:dyDescent="0.35">
      <c r="A4326" t="s">
        <v>19</v>
      </c>
      <c r="B4326" t="s">
        <v>19</v>
      </c>
      <c r="C4326" s="1">
        <v>45854</v>
      </c>
      <c r="D4326">
        <f t="shared" si="313"/>
        <v>16</v>
      </c>
      <c r="E4326">
        <f t="shared" si="314"/>
        <v>7</v>
      </c>
      <c r="F4326">
        <f t="shared" si="315"/>
        <v>2025</v>
      </c>
      <c r="G4326" t="s">
        <v>554</v>
      </c>
      <c r="H4326" s="98" t="s">
        <v>1188</v>
      </c>
      <c r="I4326" s="15">
        <v>20718.54</v>
      </c>
      <c r="J4326" s="139" t="s">
        <v>31</v>
      </c>
      <c r="K4326" s="76">
        <f t="shared" si="316"/>
        <v>20718.54</v>
      </c>
      <c r="L4326">
        <v>1</v>
      </c>
      <c r="M4326" s="29">
        <v>0</v>
      </c>
      <c r="N4326" t="s">
        <v>32</v>
      </c>
      <c r="O4326" t="s">
        <v>33</v>
      </c>
      <c r="P4326" t="s">
        <v>34</v>
      </c>
      <c r="Q4326" t="s">
        <v>34</v>
      </c>
      <c r="R4326" t="s">
        <v>34</v>
      </c>
      <c r="S4326" t="s">
        <v>34</v>
      </c>
      <c r="T4326" s="117">
        <v>0</v>
      </c>
    </row>
    <row r="4327" spans="1:20" x14ac:dyDescent="0.35">
      <c r="A4327" t="s">
        <v>19</v>
      </c>
      <c r="B4327" t="s">
        <v>26</v>
      </c>
      <c r="C4327" s="1">
        <v>45855</v>
      </c>
      <c r="D4327">
        <f>DAY(C4327)</f>
        <v>17</v>
      </c>
      <c r="E4327">
        <f>MONTH(C4327)</f>
        <v>7</v>
      </c>
      <c r="F4327">
        <f>YEAR(C4327)</f>
        <v>2025</v>
      </c>
      <c r="G4327" t="s">
        <v>73</v>
      </c>
      <c r="H4327" s="98">
        <v>13384</v>
      </c>
      <c r="I4327" s="15">
        <v>23054.48</v>
      </c>
      <c r="J4327" s="12" t="s">
        <v>51</v>
      </c>
      <c r="K4327" s="76">
        <f t="shared" si="316"/>
        <v>26761.640384000002</v>
      </c>
      <c r="L4327">
        <v>1.1608000000000001</v>
      </c>
      <c r="M4327" s="29">
        <v>0</v>
      </c>
      <c r="N4327" t="s">
        <v>32</v>
      </c>
      <c r="O4327" t="s">
        <v>33</v>
      </c>
      <c r="P4327" t="s">
        <v>34</v>
      </c>
      <c r="Q4327" t="s">
        <v>34</v>
      </c>
      <c r="R4327" t="s">
        <v>34</v>
      </c>
      <c r="S4327" t="s">
        <v>34</v>
      </c>
      <c r="T4327" s="117">
        <v>0</v>
      </c>
    </row>
    <row r="4328" spans="1:20" x14ac:dyDescent="0.35">
      <c r="A4328" t="s">
        <v>19</v>
      </c>
      <c r="B4328" t="s">
        <v>26</v>
      </c>
      <c r="C4328" s="1">
        <v>45855</v>
      </c>
      <c r="D4328">
        <f>DAY(C4328)</f>
        <v>17</v>
      </c>
      <c r="E4328">
        <f>MONTH(C4328)</f>
        <v>7</v>
      </c>
      <c r="F4328">
        <f>YEAR(C4328)</f>
        <v>2025</v>
      </c>
      <c r="G4328" t="s">
        <v>73</v>
      </c>
      <c r="H4328" s="98">
        <v>13395</v>
      </c>
      <c r="I4328" s="15">
        <v>79768.17</v>
      </c>
      <c r="J4328" s="12" t="s">
        <v>51</v>
      </c>
      <c r="K4328" s="76">
        <f t="shared" si="316"/>
        <v>92594.891736000005</v>
      </c>
      <c r="L4328">
        <v>1.1608000000000001</v>
      </c>
      <c r="M4328" s="29">
        <v>0</v>
      </c>
      <c r="N4328" t="s">
        <v>32</v>
      </c>
      <c r="O4328" t="s">
        <v>33</v>
      </c>
      <c r="P4328" t="s">
        <v>34</v>
      </c>
      <c r="Q4328" t="s">
        <v>34</v>
      </c>
      <c r="R4328" t="s">
        <v>34</v>
      </c>
      <c r="S4328" t="s">
        <v>34</v>
      </c>
      <c r="T4328" s="117">
        <v>0</v>
      </c>
    </row>
    <row r="4329" spans="1:20" x14ac:dyDescent="0.35">
      <c r="A4329" t="s">
        <v>19</v>
      </c>
      <c r="B4329" t="s">
        <v>26</v>
      </c>
      <c r="C4329" s="1">
        <v>45855</v>
      </c>
      <c r="D4329">
        <f>DAY(C4329)</f>
        <v>17</v>
      </c>
      <c r="E4329">
        <f>MONTH(C4329)</f>
        <v>7</v>
      </c>
      <c r="F4329">
        <f>YEAR(C4329)</f>
        <v>2025</v>
      </c>
      <c r="G4329" t="s">
        <v>73</v>
      </c>
      <c r="H4329" s="98">
        <v>13396</v>
      </c>
      <c r="I4329" s="15">
        <v>69153.17</v>
      </c>
      <c r="J4329" s="12" t="s">
        <v>51</v>
      </c>
      <c r="K4329" s="76">
        <f t="shared" si="316"/>
        <v>80272.999735999998</v>
      </c>
      <c r="L4329">
        <v>1.1608000000000001</v>
      </c>
      <c r="M4329" s="29">
        <v>0</v>
      </c>
      <c r="N4329" t="s">
        <v>32</v>
      </c>
      <c r="O4329" t="s">
        <v>33</v>
      </c>
      <c r="P4329" t="s">
        <v>34</v>
      </c>
      <c r="Q4329" t="s">
        <v>34</v>
      </c>
      <c r="R4329" t="s">
        <v>34</v>
      </c>
      <c r="S4329" t="s">
        <v>34</v>
      </c>
      <c r="T4329" s="117">
        <v>0</v>
      </c>
    </row>
    <row r="4330" spans="1:20" x14ac:dyDescent="0.35">
      <c r="A4330" t="s">
        <v>19</v>
      </c>
      <c r="B4330" t="s">
        <v>26</v>
      </c>
      <c r="C4330" s="1">
        <v>45855</v>
      </c>
      <c r="D4330">
        <f t="shared" si="313"/>
        <v>17</v>
      </c>
      <c r="E4330">
        <f t="shared" si="314"/>
        <v>7</v>
      </c>
      <c r="F4330">
        <f t="shared" si="315"/>
        <v>2025</v>
      </c>
      <c r="G4330" t="s">
        <v>73</v>
      </c>
      <c r="H4330" s="139">
        <v>13457</v>
      </c>
      <c r="I4330" s="15">
        <v>22460.04</v>
      </c>
      <c r="J4330" s="12" t="s">
        <v>51</v>
      </c>
      <c r="K4330" s="76">
        <f t="shared" si="316"/>
        <v>26071.614432000002</v>
      </c>
      <c r="L4330">
        <v>1.1608000000000001</v>
      </c>
      <c r="M4330" s="29">
        <v>0</v>
      </c>
      <c r="N4330" t="s">
        <v>42</v>
      </c>
      <c r="O4330" t="s">
        <v>33</v>
      </c>
      <c r="P4330" t="s">
        <v>34</v>
      </c>
      <c r="Q4330" t="s">
        <v>34</v>
      </c>
      <c r="R4330" t="s">
        <v>34</v>
      </c>
      <c r="S4330" t="s">
        <v>34</v>
      </c>
      <c r="T4330" s="117">
        <v>0</v>
      </c>
    </row>
    <row r="4331" spans="1:20" x14ac:dyDescent="0.35">
      <c r="A4331" t="s">
        <v>19</v>
      </c>
      <c r="B4331" t="s">
        <v>23</v>
      </c>
      <c r="C4331" s="1">
        <v>45861</v>
      </c>
      <c r="D4331">
        <f t="shared" si="313"/>
        <v>23</v>
      </c>
      <c r="E4331">
        <f t="shared" si="314"/>
        <v>7</v>
      </c>
      <c r="F4331">
        <f t="shared" si="315"/>
        <v>2025</v>
      </c>
      <c r="G4331" t="s">
        <v>77</v>
      </c>
      <c r="H4331" s="98">
        <v>13107</v>
      </c>
      <c r="I4331" s="29">
        <v>32067</v>
      </c>
      <c r="J4331" s="12" t="s">
        <v>31</v>
      </c>
      <c r="K4331" s="76">
        <f t="shared" si="316"/>
        <v>32067</v>
      </c>
      <c r="L4331">
        <v>1</v>
      </c>
      <c r="M4331" s="29">
        <v>0</v>
      </c>
      <c r="N4331" t="s">
        <v>32</v>
      </c>
      <c r="O4331" t="s">
        <v>33</v>
      </c>
      <c r="P4331" t="s">
        <v>34</v>
      </c>
      <c r="Q4331" t="s">
        <v>34</v>
      </c>
      <c r="R4331" t="s">
        <v>34</v>
      </c>
      <c r="S4331" t="s">
        <v>34</v>
      </c>
      <c r="T4331" s="117">
        <v>240</v>
      </c>
    </row>
    <row r="4332" spans="1:20" x14ac:dyDescent="0.35">
      <c r="A4332" t="s">
        <v>19</v>
      </c>
      <c r="B4332" t="s">
        <v>25</v>
      </c>
      <c r="C4332" s="1">
        <v>45861</v>
      </c>
      <c r="D4332">
        <f t="shared" si="313"/>
        <v>23</v>
      </c>
      <c r="E4332">
        <f t="shared" si="314"/>
        <v>7</v>
      </c>
      <c r="F4332">
        <f t="shared" si="315"/>
        <v>2025</v>
      </c>
      <c r="G4332" t="s">
        <v>77</v>
      </c>
      <c r="H4332" s="98">
        <v>11617</v>
      </c>
      <c r="I4332" s="29">
        <v>27.9</v>
      </c>
      <c r="J4332" s="12" t="s">
        <v>31</v>
      </c>
      <c r="K4332" s="76">
        <f t="shared" si="316"/>
        <v>27.9</v>
      </c>
      <c r="L4332">
        <v>1</v>
      </c>
      <c r="M4332" s="29">
        <v>0</v>
      </c>
      <c r="N4332" t="s">
        <v>32</v>
      </c>
      <c r="O4332" t="s">
        <v>33</v>
      </c>
      <c r="P4332" t="s">
        <v>34</v>
      </c>
      <c r="Q4332" t="s">
        <v>34</v>
      </c>
      <c r="R4332" t="s">
        <v>34</v>
      </c>
      <c r="S4332" t="s">
        <v>34</v>
      </c>
      <c r="T4332" s="117">
        <v>0</v>
      </c>
    </row>
    <row r="4333" spans="1:20" x14ac:dyDescent="0.35">
      <c r="A4333" t="s">
        <v>19</v>
      </c>
      <c r="B4333" t="s">
        <v>25</v>
      </c>
      <c r="C4333" s="1">
        <v>45861</v>
      </c>
      <c r="D4333">
        <f t="shared" si="313"/>
        <v>23</v>
      </c>
      <c r="E4333">
        <f t="shared" si="314"/>
        <v>7</v>
      </c>
      <c r="F4333">
        <f t="shared" si="315"/>
        <v>2025</v>
      </c>
      <c r="G4333" t="s">
        <v>77</v>
      </c>
      <c r="H4333" s="98">
        <v>12311</v>
      </c>
      <c r="I4333" s="29">
        <v>29.1</v>
      </c>
      <c r="J4333" s="12" t="s">
        <v>31</v>
      </c>
      <c r="K4333" s="76">
        <f t="shared" si="316"/>
        <v>29.1</v>
      </c>
      <c r="L4333">
        <v>1</v>
      </c>
      <c r="M4333" s="29">
        <v>0</v>
      </c>
      <c r="N4333" t="s">
        <v>32</v>
      </c>
      <c r="O4333" t="s">
        <v>33</v>
      </c>
      <c r="P4333" t="s">
        <v>34</v>
      </c>
      <c r="Q4333" t="s">
        <v>34</v>
      </c>
      <c r="R4333" t="s">
        <v>34</v>
      </c>
      <c r="S4333" t="s">
        <v>34</v>
      </c>
      <c r="T4333" s="117">
        <v>0</v>
      </c>
    </row>
    <row r="4334" spans="1:20" x14ac:dyDescent="0.35">
      <c r="A4334" t="s">
        <v>19</v>
      </c>
      <c r="B4334" t="s">
        <v>24</v>
      </c>
      <c r="C4334" s="1">
        <v>45861</v>
      </c>
      <c r="D4334">
        <f t="shared" si="313"/>
        <v>23</v>
      </c>
      <c r="E4334">
        <f t="shared" si="314"/>
        <v>7</v>
      </c>
      <c r="F4334">
        <f t="shared" si="315"/>
        <v>2025</v>
      </c>
      <c r="G4334" t="s">
        <v>77</v>
      </c>
      <c r="H4334" s="98">
        <v>12722</v>
      </c>
      <c r="I4334" s="29">
        <v>34</v>
      </c>
      <c r="J4334" s="12" t="s">
        <v>31</v>
      </c>
      <c r="K4334" s="76">
        <f t="shared" si="316"/>
        <v>34</v>
      </c>
      <c r="L4334">
        <v>1</v>
      </c>
      <c r="M4334" s="29">
        <v>0</v>
      </c>
      <c r="N4334" t="s">
        <v>32</v>
      </c>
      <c r="O4334" t="s">
        <v>33</v>
      </c>
      <c r="P4334" t="s">
        <v>34</v>
      </c>
      <c r="Q4334" t="s">
        <v>34</v>
      </c>
      <c r="R4334" t="s">
        <v>34</v>
      </c>
      <c r="S4334" t="s">
        <v>34</v>
      </c>
      <c r="T4334" s="117">
        <v>0</v>
      </c>
    </row>
    <row r="4335" spans="1:20" x14ac:dyDescent="0.35">
      <c r="A4335" t="s">
        <v>19</v>
      </c>
      <c r="B4335" t="s">
        <v>21</v>
      </c>
      <c r="C4335" s="1">
        <v>45861</v>
      </c>
      <c r="D4335">
        <f t="shared" si="313"/>
        <v>23</v>
      </c>
      <c r="E4335">
        <f t="shared" si="314"/>
        <v>7</v>
      </c>
      <c r="F4335">
        <f t="shared" si="315"/>
        <v>2025</v>
      </c>
      <c r="G4335" t="s">
        <v>77</v>
      </c>
      <c r="H4335" s="98">
        <v>12202</v>
      </c>
      <c r="I4335" s="29">
        <v>49.8</v>
      </c>
      <c r="J4335" s="12" t="s">
        <v>31</v>
      </c>
      <c r="K4335" s="76">
        <f t="shared" si="316"/>
        <v>49.8</v>
      </c>
      <c r="L4335">
        <v>1</v>
      </c>
      <c r="M4335" s="29">
        <v>0</v>
      </c>
      <c r="N4335" t="s">
        <v>32</v>
      </c>
      <c r="O4335" t="s">
        <v>33</v>
      </c>
      <c r="P4335" t="s">
        <v>34</v>
      </c>
      <c r="Q4335" t="s">
        <v>34</v>
      </c>
      <c r="R4335" t="s">
        <v>34</v>
      </c>
      <c r="S4335" t="s">
        <v>34</v>
      </c>
      <c r="T4335" s="117">
        <v>0</v>
      </c>
    </row>
    <row r="4336" spans="1:20" x14ac:dyDescent="0.35">
      <c r="A4336" t="s">
        <v>19</v>
      </c>
      <c r="B4336" t="s">
        <v>21</v>
      </c>
      <c r="C4336" s="1">
        <v>45861</v>
      </c>
      <c r="D4336">
        <f t="shared" si="313"/>
        <v>23</v>
      </c>
      <c r="E4336">
        <f t="shared" si="314"/>
        <v>7</v>
      </c>
      <c r="F4336">
        <f t="shared" si="315"/>
        <v>2025</v>
      </c>
      <c r="G4336" t="s">
        <v>737</v>
      </c>
      <c r="H4336" s="98">
        <v>11991</v>
      </c>
      <c r="I4336" s="29">
        <v>147</v>
      </c>
      <c r="J4336" s="12" t="s">
        <v>31</v>
      </c>
      <c r="K4336" s="76">
        <f t="shared" si="316"/>
        <v>147</v>
      </c>
      <c r="L4336">
        <v>1</v>
      </c>
      <c r="M4336" s="29">
        <v>0</v>
      </c>
      <c r="N4336" t="s">
        <v>32</v>
      </c>
      <c r="O4336" t="s">
        <v>33</v>
      </c>
      <c r="P4336" t="s">
        <v>34</v>
      </c>
      <c r="Q4336" t="s">
        <v>34</v>
      </c>
      <c r="R4336" t="s">
        <v>34</v>
      </c>
      <c r="S4336" t="s">
        <v>34</v>
      </c>
      <c r="T4336" s="117">
        <v>0</v>
      </c>
    </row>
    <row r="4337" spans="1:20" x14ac:dyDescent="0.35">
      <c r="A4337" t="s">
        <v>19</v>
      </c>
      <c r="B4337" t="s">
        <v>21</v>
      </c>
      <c r="C4337" s="1">
        <v>45861</v>
      </c>
      <c r="D4337">
        <f t="shared" si="313"/>
        <v>23</v>
      </c>
      <c r="E4337">
        <f t="shared" si="314"/>
        <v>7</v>
      </c>
      <c r="F4337">
        <f t="shared" si="315"/>
        <v>2025</v>
      </c>
      <c r="G4337" t="s">
        <v>737</v>
      </c>
      <c r="H4337" s="98">
        <v>11990</v>
      </c>
      <c r="I4337" s="29">
        <v>43982.400000000001</v>
      </c>
      <c r="J4337" s="12" t="s">
        <v>31</v>
      </c>
      <c r="K4337" s="76">
        <f t="shared" si="316"/>
        <v>43982.400000000001</v>
      </c>
      <c r="L4337">
        <v>1</v>
      </c>
      <c r="M4337" s="29">
        <v>0</v>
      </c>
      <c r="N4337" t="s">
        <v>32</v>
      </c>
      <c r="O4337" t="s">
        <v>33</v>
      </c>
      <c r="P4337" t="s">
        <v>34</v>
      </c>
      <c r="Q4337" t="s">
        <v>34</v>
      </c>
      <c r="R4337" t="s">
        <v>34</v>
      </c>
      <c r="S4337" t="s">
        <v>34</v>
      </c>
      <c r="T4337" s="117">
        <v>0</v>
      </c>
    </row>
    <row r="4338" spans="1:20" x14ac:dyDescent="0.35">
      <c r="A4338" t="s">
        <v>19</v>
      </c>
      <c r="B4338" t="s">
        <v>21</v>
      </c>
      <c r="C4338" s="1">
        <v>45861</v>
      </c>
      <c r="D4338">
        <f t="shared" si="313"/>
        <v>23</v>
      </c>
      <c r="E4338">
        <f t="shared" si="314"/>
        <v>7</v>
      </c>
      <c r="F4338">
        <f t="shared" si="315"/>
        <v>2025</v>
      </c>
      <c r="G4338" t="s">
        <v>40</v>
      </c>
      <c r="H4338" s="98">
        <v>12269</v>
      </c>
      <c r="I4338" s="29">
        <v>69.5</v>
      </c>
      <c r="J4338" s="12" t="s">
        <v>31</v>
      </c>
      <c r="K4338" s="76">
        <f t="shared" si="316"/>
        <v>69.5</v>
      </c>
      <c r="L4338">
        <v>1</v>
      </c>
      <c r="M4338" s="29">
        <v>0</v>
      </c>
      <c r="N4338" t="s">
        <v>32</v>
      </c>
      <c r="O4338" t="s">
        <v>33</v>
      </c>
      <c r="P4338" t="s">
        <v>34</v>
      </c>
      <c r="Q4338" t="s">
        <v>34</v>
      </c>
      <c r="R4338" t="s">
        <v>34</v>
      </c>
      <c r="S4338" t="s">
        <v>34</v>
      </c>
      <c r="T4338" s="117">
        <v>0</v>
      </c>
    </row>
    <row r="4339" spans="1:20" x14ac:dyDescent="0.35">
      <c r="A4339" t="s">
        <v>19</v>
      </c>
      <c r="B4339" t="s">
        <v>25</v>
      </c>
      <c r="C4339" s="1">
        <v>45861</v>
      </c>
      <c r="D4339">
        <f t="shared" si="313"/>
        <v>23</v>
      </c>
      <c r="E4339">
        <f t="shared" si="314"/>
        <v>7</v>
      </c>
      <c r="F4339">
        <f t="shared" si="315"/>
        <v>2025</v>
      </c>
      <c r="G4339" t="s">
        <v>40</v>
      </c>
      <c r="H4339" s="98">
        <v>12594</v>
      </c>
      <c r="I4339" s="29">
        <v>35619.03</v>
      </c>
      <c r="J4339" s="12" t="s">
        <v>31</v>
      </c>
      <c r="K4339" s="76">
        <f t="shared" si="316"/>
        <v>35619.03</v>
      </c>
      <c r="L4339">
        <v>1</v>
      </c>
      <c r="M4339" s="29">
        <v>0</v>
      </c>
      <c r="N4339" t="s">
        <v>32</v>
      </c>
      <c r="O4339" t="s">
        <v>33</v>
      </c>
      <c r="P4339" t="s">
        <v>34</v>
      </c>
      <c r="Q4339" t="s">
        <v>34</v>
      </c>
      <c r="R4339" t="s">
        <v>34</v>
      </c>
      <c r="S4339" t="s">
        <v>34</v>
      </c>
      <c r="T4339" s="117">
        <v>0</v>
      </c>
    </row>
    <row r="4340" spans="1:20" x14ac:dyDescent="0.35">
      <c r="A4340" t="s">
        <v>19</v>
      </c>
      <c r="B4340" t="s">
        <v>21</v>
      </c>
      <c r="C4340" s="1">
        <v>45861</v>
      </c>
      <c r="D4340">
        <f t="shared" si="313"/>
        <v>23</v>
      </c>
      <c r="E4340">
        <f t="shared" si="314"/>
        <v>7</v>
      </c>
      <c r="F4340">
        <f t="shared" si="315"/>
        <v>2025</v>
      </c>
      <c r="G4340" t="s">
        <v>40</v>
      </c>
      <c r="H4340" s="98">
        <v>12594</v>
      </c>
      <c r="I4340" s="29">
        <v>15346.5</v>
      </c>
      <c r="J4340" s="12" t="s">
        <v>31</v>
      </c>
      <c r="K4340" s="76">
        <f t="shared" si="316"/>
        <v>15346.5</v>
      </c>
      <c r="L4340">
        <v>1</v>
      </c>
      <c r="M4340" s="29">
        <v>0</v>
      </c>
      <c r="N4340" t="s">
        <v>32</v>
      </c>
      <c r="O4340" t="s">
        <v>33</v>
      </c>
      <c r="P4340" t="s">
        <v>34</v>
      </c>
      <c r="Q4340" t="s">
        <v>34</v>
      </c>
      <c r="R4340" t="s">
        <v>34</v>
      </c>
      <c r="S4340" t="s">
        <v>34</v>
      </c>
      <c r="T4340" s="117">
        <v>0</v>
      </c>
    </row>
    <row r="4341" spans="1:20" x14ac:dyDescent="0.35">
      <c r="A4341" t="s">
        <v>19</v>
      </c>
      <c r="B4341" t="s">
        <v>21</v>
      </c>
      <c r="C4341" s="1">
        <v>45861</v>
      </c>
      <c r="D4341">
        <f t="shared" si="313"/>
        <v>23</v>
      </c>
      <c r="E4341">
        <f t="shared" si="314"/>
        <v>7</v>
      </c>
      <c r="F4341">
        <f t="shared" si="315"/>
        <v>2025</v>
      </c>
      <c r="G4341" t="s">
        <v>40</v>
      </c>
      <c r="H4341" s="98">
        <v>12593</v>
      </c>
      <c r="I4341" s="29">
        <v>39</v>
      </c>
      <c r="J4341" s="12" t="s">
        <v>31</v>
      </c>
      <c r="K4341" s="76">
        <f t="shared" si="316"/>
        <v>39</v>
      </c>
      <c r="L4341">
        <v>1</v>
      </c>
      <c r="M4341" s="29">
        <v>0</v>
      </c>
      <c r="N4341" t="s">
        <v>32</v>
      </c>
      <c r="O4341" t="s">
        <v>33</v>
      </c>
      <c r="P4341" t="s">
        <v>34</v>
      </c>
      <c r="Q4341" t="s">
        <v>34</v>
      </c>
      <c r="R4341" t="s">
        <v>34</v>
      </c>
      <c r="S4341" t="s">
        <v>34</v>
      </c>
      <c r="T4341" s="117">
        <v>0</v>
      </c>
    </row>
    <row r="4342" spans="1:20" x14ac:dyDescent="0.35">
      <c r="A4342" t="s">
        <v>19</v>
      </c>
      <c r="B4342" t="s">
        <v>25</v>
      </c>
      <c r="C4342" s="1">
        <v>45861</v>
      </c>
      <c r="D4342">
        <f t="shared" si="313"/>
        <v>23</v>
      </c>
      <c r="E4342">
        <f t="shared" si="314"/>
        <v>7</v>
      </c>
      <c r="F4342">
        <f t="shared" si="315"/>
        <v>2025</v>
      </c>
      <c r="G4342" t="s">
        <v>40</v>
      </c>
      <c r="H4342" s="98">
        <v>12685</v>
      </c>
      <c r="I4342" s="29">
        <v>130.31</v>
      </c>
      <c r="J4342" s="12" t="s">
        <v>31</v>
      </c>
      <c r="K4342" s="76">
        <f t="shared" si="316"/>
        <v>130.31</v>
      </c>
      <c r="L4342">
        <v>1</v>
      </c>
      <c r="M4342" s="29">
        <v>0</v>
      </c>
      <c r="N4342" t="s">
        <v>32</v>
      </c>
      <c r="O4342" t="s">
        <v>33</v>
      </c>
      <c r="P4342" t="s">
        <v>34</v>
      </c>
      <c r="Q4342" t="s">
        <v>34</v>
      </c>
      <c r="R4342" t="s">
        <v>34</v>
      </c>
      <c r="S4342" t="s">
        <v>34</v>
      </c>
      <c r="T4342" s="117">
        <v>0</v>
      </c>
    </row>
    <row r="4343" spans="1:20" x14ac:dyDescent="0.35">
      <c r="A4343" t="s">
        <v>19</v>
      </c>
      <c r="B4343" t="s">
        <v>23</v>
      </c>
      <c r="C4343" s="1">
        <v>45861</v>
      </c>
      <c r="D4343">
        <f t="shared" si="313"/>
        <v>23</v>
      </c>
      <c r="E4343">
        <f t="shared" si="314"/>
        <v>7</v>
      </c>
      <c r="F4343">
        <f t="shared" si="315"/>
        <v>2025</v>
      </c>
      <c r="G4343" t="s">
        <v>76</v>
      </c>
      <c r="H4343" s="98">
        <v>13182</v>
      </c>
      <c r="I4343" s="29">
        <v>82300.399999999994</v>
      </c>
      <c r="J4343" s="12" t="s">
        <v>31</v>
      </c>
      <c r="K4343" s="76">
        <f t="shared" si="316"/>
        <v>82300.399999999994</v>
      </c>
      <c r="L4343">
        <v>1</v>
      </c>
      <c r="M4343" s="29">
        <v>0</v>
      </c>
      <c r="N4343" t="s">
        <v>42</v>
      </c>
      <c r="O4343" t="s">
        <v>33</v>
      </c>
      <c r="P4343" t="s">
        <v>34</v>
      </c>
      <c r="Q4343" t="s">
        <v>34</v>
      </c>
      <c r="R4343" t="s">
        <v>34</v>
      </c>
      <c r="S4343" t="s">
        <v>34</v>
      </c>
      <c r="T4343" s="117">
        <v>0</v>
      </c>
    </row>
    <row r="4344" spans="1:20" x14ac:dyDescent="0.35">
      <c r="A4344" t="s">
        <v>19</v>
      </c>
      <c r="B4344" t="s">
        <v>21</v>
      </c>
      <c r="C4344" s="1">
        <v>45861</v>
      </c>
      <c r="D4344">
        <f t="shared" si="313"/>
        <v>23</v>
      </c>
      <c r="E4344">
        <f t="shared" si="314"/>
        <v>7</v>
      </c>
      <c r="F4344">
        <f t="shared" si="315"/>
        <v>2025</v>
      </c>
      <c r="G4344" t="s">
        <v>76</v>
      </c>
      <c r="H4344" s="98">
        <v>13182</v>
      </c>
      <c r="I4344" s="29">
        <v>7888.1</v>
      </c>
      <c r="J4344" s="12" t="s">
        <v>31</v>
      </c>
      <c r="K4344" s="76">
        <f t="shared" si="316"/>
        <v>7888.1</v>
      </c>
      <c r="L4344">
        <v>1</v>
      </c>
      <c r="M4344" s="29">
        <v>0</v>
      </c>
      <c r="N4344" t="s">
        <v>42</v>
      </c>
      <c r="O4344" t="s">
        <v>33</v>
      </c>
      <c r="P4344" t="s">
        <v>34</v>
      </c>
      <c r="Q4344" t="s">
        <v>34</v>
      </c>
      <c r="R4344" t="s">
        <v>34</v>
      </c>
      <c r="S4344" t="s">
        <v>34</v>
      </c>
      <c r="T4344" s="117">
        <v>0</v>
      </c>
    </row>
    <row r="4345" spans="1:20" x14ac:dyDescent="0.35">
      <c r="A4345" t="s">
        <v>19</v>
      </c>
      <c r="B4345" t="s">
        <v>25</v>
      </c>
      <c r="C4345" s="1">
        <v>45861</v>
      </c>
      <c r="D4345">
        <f t="shared" si="313"/>
        <v>23</v>
      </c>
      <c r="E4345">
        <f t="shared" si="314"/>
        <v>7</v>
      </c>
      <c r="F4345">
        <f t="shared" si="315"/>
        <v>2025</v>
      </c>
      <c r="G4345" t="s">
        <v>1146</v>
      </c>
      <c r="H4345" s="98">
        <v>13082</v>
      </c>
      <c r="I4345" s="29">
        <v>1301.75</v>
      </c>
      <c r="J4345" s="12" t="s">
        <v>51</v>
      </c>
      <c r="K4345" s="76">
        <f t="shared" si="316"/>
        <v>1532.1558447500001</v>
      </c>
      <c r="L4345">
        <v>1.1769970000000001</v>
      </c>
      <c r="M4345" s="29">
        <v>0</v>
      </c>
      <c r="N4345" t="s">
        <v>32</v>
      </c>
      <c r="O4345" t="s">
        <v>33</v>
      </c>
      <c r="P4345" t="s">
        <v>34</v>
      </c>
      <c r="Q4345" t="s">
        <v>34</v>
      </c>
      <c r="R4345" t="s">
        <v>34</v>
      </c>
      <c r="S4345" t="s">
        <v>34</v>
      </c>
      <c r="T4345" s="117">
        <v>0</v>
      </c>
    </row>
    <row r="4346" spans="1:20" x14ac:dyDescent="0.35">
      <c r="A4346" t="s">
        <v>19</v>
      </c>
      <c r="B4346" t="s">
        <v>25</v>
      </c>
      <c r="C4346" s="1">
        <v>45861</v>
      </c>
      <c r="D4346">
        <f t="shared" si="313"/>
        <v>23</v>
      </c>
      <c r="E4346">
        <f t="shared" si="314"/>
        <v>7</v>
      </c>
      <c r="F4346">
        <f t="shared" si="315"/>
        <v>2025</v>
      </c>
      <c r="G4346" t="s">
        <v>1146</v>
      </c>
      <c r="H4346" s="98">
        <v>13193</v>
      </c>
      <c r="I4346" s="29">
        <v>974.5</v>
      </c>
      <c r="J4346" s="12" t="s">
        <v>51</v>
      </c>
      <c r="K4346" s="76">
        <f t="shared" ref="K4346:K4377" si="317">IF(J4346="USD",I4346,I4346*L4346)</f>
        <v>1146.9835765</v>
      </c>
      <c r="L4346">
        <v>1.1769970000000001</v>
      </c>
      <c r="M4346" s="29">
        <v>0</v>
      </c>
      <c r="N4346" t="s">
        <v>32</v>
      </c>
      <c r="O4346" t="s">
        <v>33</v>
      </c>
      <c r="P4346" t="s">
        <v>34</v>
      </c>
      <c r="Q4346" t="s">
        <v>34</v>
      </c>
      <c r="R4346" t="s">
        <v>34</v>
      </c>
      <c r="S4346" t="s">
        <v>34</v>
      </c>
      <c r="T4346" s="117">
        <v>0</v>
      </c>
    </row>
    <row r="4347" spans="1:20" x14ac:dyDescent="0.35">
      <c r="A4347" t="s">
        <v>19</v>
      </c>
      <c r="B4347" t="s">
        <v>24</v>
      </c>
      <c r="C4347" s="1">
        <v>45861</v>
      </c>
      <c r="D4347">
        <f t="shared" si="313"/>
        <v>23</v>
      </c>
      <c r="E4347">
        <f t="shared" si="314"/>
        <v>7</v>
      </c>
      <c r="F4347">
        <f t="shared" si="315"/>
        <v>2025</v>
      </c>
      <c r="G4347" t="s">
        <v>36</v>
      </c>
      <c r="H4347" s="98">
        <v>12504</v>
      </c>
      <c r="I4347" s="29">
        <v>71915.5</v>
      </c>
      <c r="J4347" s="12" t="s">
        <v>31</v>
      </c>
      <c r="K4347" s="76">
        <f t="shared" si="317"/>
        <v>71915.5</v>
      </c>
      <c r="L4347">
        <v>1</v>
      </c>
      <c r="M4347" s="29">
        <v>0</v>
      </c>
      <c r="N4347" t="s">
        <v>32</v>
      </c>
      <c r="O4347" t="s">
        <v>33</v>
      </c>
      <c r="P4347" t="s">
        <v>34</v>
      </c>
      <c r="Q4347" t="s">
        <v>34</v>
      </c>
      <c r="R4347" t="s">
        <v>34</v>
      </c>
      <c r="S4347" t="s">
        <v>34</v>
      </c>
      <c r="T4347" s="117">
        <v>0</v>
      </c>
    </row>
    <row r="4348" spans="1:20" x14ac:dyDescent="0.35">
      <c r="A4348" t="s">
        <v>19</v>
      </c>
      <c r="B4348" t="s">
        <v>21</v>
      </c>
      <c r="C4348" s="1">
        <v>45861</v>
      </c>
      <c r="D4348">
        <f t="shared" si="313"/>
        <v>23</v>
      </c>
      <c r="E4348">
        <f t="shared" si="314"/>
        <v>7</v>
      </c>
      <c r="F4348">
        <f t="shared" si="315"/>
        <v>2025</v>
      </c>
      <c r="G4348" t="s">
        <v>36</v>
      </c>
      <c r="H4348" s="98">
        <v>12504</v>
      </c>
      <c r="I4348" s="29">
        <v>9118.5</v>
      </c>
      <c r="J4348" s="12" t="s">
        <v>31</v>
      </c>
      <c r="K4348" s="76">
        <f t="shared" si="317"/>
        <v>9118.5</v>
      </c>
      <c r="L4348">
        <v>1</v>
      </c>
      <c r="M4348" s="29">
        <v>0</v>
      </c>
      <c r="N4348" t="s">
        <v>32</v>
      </c>
      <c r="O4348" t="s">
        <v>33</v>
      </c>
      <c r="P4348" t="s">
        <v>34</v>
      </c>
      <c r="Q4348" t="s">
        <v>34</v>
      </c>
      <c r="R4348" t="s">
        <v>34</v>
      </c>
      <c r="S4348" t="s">
        <v>34</v>
      </c>
      <c r="T4348" s="117">
        <v>0</v>
      </c>
    </row>
    <row r="4349" spans="1:20" x14ac:dyDescent="0.35">
      <c r="A4349" t="s">
        <v>19</v>
      </c>
      <c r="B4349" t="s">
        <v>21</v>
      </c>
      <c r="C4349" s="1">
        <v>45861</v>
      </c>
      <c r="D4349">
        <f t="shared" si="313"/>
        <v>23</v>
      </c>
      <c r="E4349">
        <f t="shared" si="314"/>
        <v>7</v>
      </c>
      <c r="F4349">
        <f t="shared" si="315"/>
        <v>2025</v>
      </c>
      <c r="G4349" t="s">
        <v>36</v>
      </c>
      <c r="H4349" s="98">
        <v>12708</v>
      </c>
      <c r="I4349" s="29">
        <v>41194</v>
      </c>
      <c r="J4349" s="12" t="s">
        <v>31</v>
      </c>
      <c r="K4349" s="76">
        <f t="shared" si="317"/>
        <v>41194</v>
      </c>
      <c r="L4349">
        <v>1</v>
      </c>
      <c r="M4349" s="29">
        <v>0</v>
      </c>
      <c r="N4349" t="s">
        <v>32</v>
      </c>
      <c r="O4349" t="s">
        <v>33</v>
      </c>
      <c r="P4349" t="s">
        <v>34</v>
      </c>
      <c r="Q4349" t="s">
        <v>34</v>
      </c>
      <c r="R4349" t="s">
        <v>34</v>
      </c>
      <c r="S4349" t="s">
        <v>34</v>
      </c>
      <c r="T4349" s="117">
        <v>0</v>
      </c>
    </row>
    <row r="4350" spans="1:20" x14ac:dyDescent="0.35">
      <c r="A4350" t="s">
        <v>19</v>
      </c>
      <c r="B4350" t="s">
        <v>21</v>
      </c>
      <c r="C4350" s="1">
        <v>45861</v>
      </c>
      <c r="D4350">
        <f t="shared" si="313"/>
        <v>23</v>
      </c>
      <c r="E4350">
        <f t="shared" si="314"/>
        <v>7</v>
      </c>
      <c r="F4350">
        <f t="shared" si="315"/>
        <v>2025</v>
      </c>
      <c r="G4350" t="s">
        <v>36</v>
      </c>
      <c r="H4350" s="98">
        <v>12780</v>
      </c>
      <c r="I4350" s="29">
        <v>189</v>
      </c>
      <c r="J4350" s="12" t="s">
        <v>31</v>
      </c>
      <c r="K4350" s="76">
        <f t="shared" si="317"/>
        <v>189</v>
      </c>
      <c r="L4350">
        <v>1</v>
      </c>
      <c r="M4350" s="29">
        <v>0</v>
      </c>
      <c r="N4350" t="s">
        <v>32</v>
      </c>
      <c r="O4350" t="s">
        <v>33</v>
      </c>
      <c r="P4350" t="s">
        <v>34</v>
      </c>
      <c r="Q4350" t="s">
        <v>34</v>
      </c>
      <c r="R4350" t="s">
        <v>34</v>
      </c>
      <c r="S4350" t="s">
        <v>34</v>
      </c>
      <c r="T4350" s="117">
        <v>0</v>
      </c>
    </row>
    <row r="4351" spans="1:20" x14ac:dyDescent="0.35">
      <c r="A4351" t="s">
        <v>19</v>
      </c>
      <c r="B4351" t="s">
        <v>25</v>
      </c>
      <c r="C4351" s="1">
        <v>45861</v>
      </c>
      <c r="D4351">
        <f t="shared" si="313"/>
        <v>23</v>
      </c>
      <c r="E4351">
        <f t="shared" si="314"/>
        <v>7</v>
      </c>
      <c r="F4351">
        <f t="shared" si="315"/>
        <v>2025</v>
      </c>
      <c r="G4351" t="s">
        <v>36</v>
      </c>
      <c r="H4351" s="98">
        <v>12974</v>
      </c>
      <c r="I4351" s="29">
        <v>2620.4</v>
      </c>
      <c r="J4351" s="12" t="s">
        <v>31</v>
      </c>
      <c r="K4351" s="76">
        <f t="shared" si="317"/>
        <v>2620.4</v>
      </c>
      <c r="L4351">
        <v>1</v>
      </c>
      <c r="M4351" s="29">
        <v>0</v>
      </c>
      <c r="N4351" t="s">
        <v>32</v>
      </c>
      <c r="O4351" t="s">
        <v>33</v>
      </c>
      <c r="P4351" t="s">
        <v>34</v>
      </c>
      <c r="Q4351" t="s">
        <v>34</v>
      </c>
      <c r="R4351" t="s">
        <v>34</v>
      </c>
      <c r="S4351" t="s">
        <v>34</v>
      </c>
      <c r="T4351" s="117">
        <v>0</v>
      </c>
    </row>
    <row r="4352" spans="1:20" x14ac:dyDescent="0.35">
      <c r="A4352" t="s">
        <v>19</v>
      </c>
      <c r="B4352" t="s">
        <v>25</v>
      </c>
      <c r="C4352" s="1">
        <v>45861</v>
      </c>
      <c r="D4352">
        <f t="shared" si="313"/>
        <v>23</v>
      </c>
      <c r="E4352">
        <f t="shared" si="314"/>
        <v>7</v>
      </c>
      <c r="F4352">
        <f t="shared" si="315"/>
        <v>2025</v>
      </c>
      <c r="G4352" t="s">
        <v>36</v>
      </c>
      <c r="H4352" s="98">
        <v>12975</v>
      </c>
      <c r="I4352" s="29">
        <v>403.52</v>
      </c>
      <c r="J4352" s="12" t="s">
        <v>31</v>
      </c>
      <c r="K4352" s="76">
        <f t="shared" si="317"/>
        <v>403.52</v>
      </c>
      <c r="L4352">
        <v>1</v>
      </c>
      <c r="M4352" s="29">
        <v>0</v>
      </c>
      <c r="N4352" t="s">
        <v>32</v>
      </c>
      <c r="O4352" t="s">
        <v>33</v>
      </c>
      <c r="P4352" t="s">
        <v>34</v>
      </c>
      <c r="Q4352" t="s">
        <v>34</v>
      </c>
      <c r="R4352" t="s">
        <v>34</v>
      </c>
      <c r="S4352" t="s">
        <v>34</v>
      </c>
      <c r="T4352" s="117">
        <v>0</v>
      </c>
    </row>
    <row r="4353" spans="1:21" x14ac:dyDescent="0.35">
      <c r="A4353" t="s">
        <v>19</v>
      </c>
      <c r="B4353" t="s">
        <v>25</v>
      </c>
      <c r="C4353" s="1">
        <v>45861</v>
      </c>
      <c r="D4353">
        <f t="shared" si="313"/>
        <v>23</v>
      </c>
      <c r="E4353">
        <f t="shared" si="314"/>
        <v>7</v>
      </c>
      <c r="F4353">
        <f t="shared" si="315"/>
        <v>2025</v>
      </c>
      <c r="G4353" t="s">
        <v>36</v>
      </c>
      <c r="H4353" s="98">
        <v>12976</v>
      </c>
      <c r="I4353" s="29">
        <v>2975.96</v>
      </c>
      <c r="J4353" s="12" t="s">
        <v>31</v>
      </c>
      <c r="K4353" s="76">
        <f t="shared" si="317"/>
        <v>2975.96</v>
      </c>
      <c r="L4353">
        <v>1</v>
      </c>
      <c r="M4353" s="29">
        <v>0</v>
      </c>
      <c r="N4353" t="s">
        <v>32</v>
      </c>
      <c r="O4353" t="s">
        <v>33</v>
      </c>
      <c r="P4353" t="s">
        <v>34</v>
      </c>
      <c r="Q4353" t="s">
        <v>34</v>
      </c>
      <c r="R4353" t="s">
        <v>34</v>
      </c>
      <c r="S4353" t="s">
        <v>34</v>
      </c>
      <c r="T4353" s="117">
        <v>0</v>
      </c>
    </row>
    <row r="4354" spans="1:21" x14ac:dyDescent="0.35">
      <c r="A4354" t="s">
        <v>19</v>
      </c>
      <c r="B4354" t="s">
        <v>21</v>
      </c>
      <c r="C4354" s="1">
        <v>45861</v>
      </c>
      <c r="D4354">
        <f t="shared" si="313"/>
        <v>23</v>
      </c>
      <c r="E4354">
        <f t="shared" si="314"/>
        <v>7</v>
      </c>
      <c r="F4354">
        <f t="shared" si="315"/>
        <v>2025</v>
      </c>
      <c r="G4354" t="s">
        <v>36</v>
      </c>
      <c r="H4354" s="98">
        <v>13209</v>
      </c>
      <c r="I4354" s="29">
        <v>49</v>
      </c>
      <c r="J4354" s="12" t="s">
        <v>31</v>
      </c>
      <c r="K4354" s="76">
        <f t="shared" si="317"/>
        <v>49</v>
      </c>
      <c r="L4354">
        <v>1</v>
      </c>
      <c r="M4354" s="29">
        <v>0</v>
      </c>
      <c r="N4354" t="s">
        <v>32</v>
      </c>
      <c r="O4354" t="s">
        <v>33</v>
      </c>
      <c r="P4354" t="s">
        <v>34</v>
      </c>
      <c r="Q4354" t="s">
        <v>34</v>
      </c>
      <c r="R4354" t="s">
        <v>34</v>
      </c>
      <c r="S4354" t="s">
        <v>34</v>
      </c>
      <c r="T4354" s="117">
        <v>0</v>
      </c>
    </row>
    <row r="4355" spans="1:21" x14ac:dyDescent="0.35">
      <c r="A4355" t="s">
        <v>19</v>
      </c>
      <c r="B4355" t="s">
        <v>21</v>
      </c>
      <c r="C4355" s="1">
        <v>45861</v>
      </c>
      <c r="D4355">
        <f t="shared" si="313"/>
        <v>23</v>
      </c>
      <c r="E4355">
        <f t="shared" si="314"/>
        <v>7</v>
      </c>
      <c r="F4355">
        <f t="shared" si="315"/>
        <v>2025</v>
      </c>
      <c r="G4355" t="s">
        <v>39</v>
      </c>
      <c r="H4355" s="98">
        <v>12710</v>
      </c>
      <c r="I4355" s="29">
        <v>7919.1</v>
      </c>
      <c r="J4355" s="12" t="s">
        <v>31</v>
      </c>
      <c r="K4355" s="76">
        <f t="shared" si="317"/>
        <v>7919.1</v>
      </c>
      <c r="L4355">
        <v>1</v>
      </c>
      <c r="M4355" s="29">
        <v>0</v>
      </c>
      <c r="N4355" t="s">
        <v>32</v>
      </c>
      <c r="O4355" t="s">
        <v>33</v>
      </c>
      <c r="P4355" t="s">
        <v>34</v>
      </c>
      <c r="Q4355" t="s">
        <v>34</v>
      </c>
      <c r="R4355" t="s">
        <v>34</v>
      </c>
      <c r="S4355" t="s">
        <v>34</v>
      </c>
      <c r="T4355" s="117">
        <v>0</v>
      </c>
    </row>
    <row r="4356" spans="1:21" x14ac:dyDescent="0.35">
      <c r="A4356" t="s">
        <v>19</v>
      </c>
      <c r="B4356" t="s">
        <v>21</v>
      </c>
      <c r="C4356" s="1">
        <v>45861</v>
      </c>
      <c r="D4356">
        <f t="shared" si="313"/>
        <v>23</v>
      </c>
      <c r="E4356">
        <f t="shared" si="314"/>
        <v>7</v>
      </c>
      <c r="F4356">
        <f t="shared" si="315"/>
        <v>2025</v>
      </c>
      <c r="G4356" t="s">
        <v>39</v>
      </c>
      <c r="H4356" s="98">
        <v>12712</v>
      </c>
      <c r="I4356" s="29">
        <v>8303</v>
      </c>
      <c r="J4356" s="12" t="s">
        <v>31</v>
      </c>
      <c r="K4356" s="76">
        <f t="shared" si="317"/>
        <v>8303</v>
      </c>
      <c r="L4356">
        <v>1</v>
      </c>
      <c r="M4356" s="29">
        <v>0</v>
      </c>
      <c r="N4356" t="s">
        <v>32</v>
      </c>
      <c r="O4356" t="s">
        <v>33</v>
      </c>
      <c r="P4356" t="s">
        <v>34</v>
      </c>
      <c r="Q4356" t="s">
        <v>34</v>
      </c>
      <c r="R4356" t="s">
        <v>34</v>
      </c>
      <c r="S4356" t="s">
        <v>34</v>
      </c>
      <c r="T4356" s="117">
        <v>0</v>
      </c>
    </row>
    <row r="4357" spans="1:21" x14ac:dyDescent="0.35">
      <c r="A4357" t="s">
        <v>19</v>
      </c>
      <c r="B4357" t="s">
        <v>25</v>
      </c>
      <c r="C4357" s="1">
        <v>45861</v>
      </c>
      <c r="D4357">
        <f t="shared" si="313"/>
        <v>23</v>
      </c>
      <c r="E4357">
        <f t="shared" si="314"/>
        <v>7</v>
      </c>
      <c r="F4357">
        <f t="shared" si="315"/>
        <v>2025</v>
      </c>
      <c r="G4357" t="s">
        <v>39</v>
      </c>
      <c r="H4357" s="98">
        <v>12712</v>
      </c>
      <c r="I4357" s="29">
        <v>6247.8</v>
      </c>
      <c r="J4357" s="12" t="s">
        <v>31</v>
      </c>
      <c r="K4357" s="76">
        <f t="shared" si="317"/>
        <v>6247.8</v>
      </c>
      <c r="L4357">
        <v>1</v>
      </c>
      <c r="M4357" s="29">
        <v>0</v>
      </c>
      <c r="N4357" t="s">
        <v>32</v>
      </c>
      <c r="O4357" t="s">
        <v>33</v>
      </c>
      <c r="P4357" t="s">
        <v>34</v>
      </c>
      <c r="Q4357" t="s">
        <v>34</v>
      </c>
      <c r="R4357" t="s">
        <v>34</v>
      </c>
      <c r="S4357" t="s">
        <v>34</v>
      </c>
      <c r="T4357" s="117">
        <v>0</v>
      </c>
    </row>
    <row r="4358" spans="1:21" x14ac:dyDescent="0.35">
      <c r="A4358" t="s">
        <v>19</v>
      </c>
      <c r="B4358" t="s">
        <v>25</v>
      </c>
      <c r="C4358" s="1">
        <v>45861</v>
      </c>
      <c r="D4358">
        <f t="shared" si="313"/>
        <v>23</v>
      </c>
      <c r="E4358">
        <f t="shared" si="314"/>
        <v>7</v>
      </c>
      <c r="F4358">
        <f t="shared" si="315"/>
        <v>2025</v>
      </c>
      <c r="G4358" t="s">
        <v>80</v>
      </c>
      <c r="H4358" s="98">
        <v>12718</v>
      </c>
      <c r="I4358" s="29">
        <v>129</v>
      </c>
      <c r="J4358" s="12" t="s">
        <v>31</v>
      </c>
      <c r="K4358" s="76">
        <f t="shared" si="317"/>
        <v>129</v>
      </c>
      <c r="L4358">
        <v>1</v>
      </c>
      <c r="M4358" s="29">
        <v>0</v>
      </c>
      <c r="N4358" t="s">
        <v>32</v>
      </c>
      <c r="O4358" t="s">
        <v>33</v>
      </c>
      <c r="P4358" t="s">
        <v>34</v>
      </c>
      <c r="Q4358" t="s">
        <v>34</v>
      </c>
      <c r="R4358" t="s">
        <v>34</v>
      </c>
      <c r="S4358" t="s">
        <v>34</v>
      </c>
      <c r="T4358" s="117">
        <v>0</v>
      </c>
    </row>
    <row r="4359" spans="1:21" x14ac:dyDescent="0.35">
      <c r="A4359" t="s">
        <v>19</v>
      </c>
      <c r="B4359" t="s">
        <v>25</v>
      </c>
      <c r="C4359" s="1">
        <v>45861</v>
      </c>
      <c r="D4359">
        <f t="shared" si="313"/>
        <v>23</v>
      </c>
      <c r="E4359">
        <f t="shared" si="314"/>
        <v>7</v>
      </c>
      <c r="F4359">
        <f t="shared" si="315"/>
        <v>2025</v>
      </c>
      <c r="G4359" t="s">
        <v>80</v>
      </c>
      <c r="H4359" s="98">
        <v>13237</v>
      </c>
      <c r="I4359" s="29">
        <v>6300</v>
      </c>
      <c r="J4359" s="12" t="s">
        <v>31</v>
      </c>
      <c r="K4359" s="76">
        <f t="shared" si="317"/>
        <v>6300</v>
      </c>
      <c r="L4359">
        <v>1</v>
      </c>
      <c r="M4359" s="29">
        <v>0</v>
      </c>
      <c r="N4359" t="s">
        <v>32</v>
      </c>
      <c r="O4359" t="s">
        <v>33</v>
      </c>
      <c r="P4359" t="s">
        <v>34</v>
      </c>
      <c r="Q4359" t="s">
        <v>34</v>
      </c>
      <c r="R4359" t="s">
        <v>34</v>
      </c>
      <c r="S4359" t="s">
        <v>34</v>
      </c>
      <c r="T4359" s="117">
        <v>0</v>
      </c>
    </row>
    <row r="4360" spans="1:21" x14ac:dyDescent="0.35">
      <c r="A4360" t="s">
        <v>19</v>
      </c>
      <c r="B4360" t="s">
        <v>25</v>
      </c>
      <c r="C4360" s="1">
        <v>45861</v>
      </c>
      <c r="D4360">
        <f t="shared" si="313"/>
        <v>23</v>
      </c>
      <c r="E4360">
        <f t="shared" si="314"/>
        <v>7</v>
      </c>
      <c r="F4360">
        <f t="shared" si="315"/>
        <v>2025</v>
      </c>
      <c r="G4360" t="s">
        <v>113</v>
      </c>
      <c r="H4360" s="98">
        <v>13244</v>
      </c>
      <c r="I4360" s="29">
        <v>34104</v>
      </c>
      <c r="J4360" s="12" t="s">
        <v>51</v>
      </c>
      <c r="K4360" s="76">
        <f t="shared" si="317"/>
        <v>40048.3272</v>
      </c>
      <c r="L4360">
        <v>1.1742999999999999</v>
      </c>
      <c r="M4360" s="29">
        <v>0</v>
      </c>
      <c r="N4360" t="s">
        <v>42</v>
      </c>
      <c r="O4360" t="s">
        <v>33</v>
      </c>
      <c r="P4360" t="s">
        <v>34</v>
      </c>
      <c r="Q4360" t="s">
        <v>34</v>
      </c>
      <c r="R4360" t="s">
        <v>34</v>
      </c>
      <c r="S4360" t="s">
        <v>34</v>
      </c>
      <c r="T4360" s="117">
        <v>0</v>
      </c>
      <c r="U4360" s="209" t="s">
        <v>94</v>
      </c>
    </row>
    <row r="4361" spans="1:21" x14ac:dyDescent="0.35">
      <c r="A4361" t="s">
        <v>19</v>
      </c>
      <c r="B4361" t="s">
        <v>22</v>
      </c>
      <c r="C4361" s="1">
        <v>45861</v>
      </c>
      <c r="D4361">
        <f t="shared" si="313"/>
        <v>23</v>
      </c>
      <c r="E4361">
        <f t="shared" si="314"/>
        <v>7</v>
      </c>
      <c r="F4361">
        <f t="shared" si="315"/>
        <v>2025</v>
      </c>
      <c r="G4361" t="s">
        <v>35</v>
      </c>
      <c r="H4361" s="98">
        <v>12835</v>
      </c>
      <c r="I4361" s="29">
        <v>24549.05</v>
      </c>
      <c r="J4361" s="12" t="s">
        <v>31</v>
      </c>
      <c r="K4361" s="76">
        <f t="shared" si="317"/>
        <v>24549.05</v>
      </c>
      <c r="L4361">
        <v>1</v>
      </c>
      <c r="M4361" s="29">
        <v>0</v>
      </c>
      <c r="N4361" t="s">
        <v>32</v>
      </c>
      <c r="O4361" t="s">
        <v>33</v>
      </c>
      <c r="P4361" t="s">
        <v>34</v>
      </c>
      <c r="Q4361" t="s">
        <v>34</v>
      </c>
      <c r="R4361" t="s">
        <v>34</v>
      </c>
      <c r="S4361" t="s">
        <v>34</v>
      </c>
      <c r="T4361" s="117">
        <v>0</v>
      </c>
    </row>
    <row r="4362" spans="1:21" x14ac:dyDescent="0.35">
      <c r="A4362" t="s">
        <v>19</v>
      </c>
      <c r="B4362" t="s">
        <v>21</v>
      </c>
      <c r="C4362" s="1">
        <v>45861</v>
      </c>
      <c r="D4362">
        <f t="shared" si="313"/>
        <v>23</v>
      </c>
      <c r="E4362">
        <f t="shared" si="314"/>
        <v>7</v>
      </c>
      <c r="F4362">
        <f t="shared" si="315"/>
        <v>2025</v>
      </c>
      <c r="G4362" t="s">
        <v>37</v>
      </c>
      <c r="H4362" s="98">
        <v>12530</v>
      </c>
      <c r="I4362" s="29">
        <v>32030.400000000001</v>
      </c>
      <c r="J4362" s="12" t="s">
        <v>31</v>
      </c>
      <c r="K4362" s="76">
        <f t="shared" si="317"/>
        <v>32030.400000000001</v>
      </c>
      <c r="L4362">
        <v>1</v>
      </c>
      <c r="M4362" s="29">
        <v>0</v>
      </c>
      <c r="N4362" t="s">
        <v>32</v>
      </c>
      <c r="O4362" t="s">
        <v>33</v>
      </c>
      <c r="P4362" t="s">
        <v>34</v>
      </c>
      <c r="Q4362" t="s">
        <v>34</v>
      </c>
      <c r="R4362" t="s">
        <v>34</v>
      </c>
      <c r="S4362" t="s">
        <v>34</v>
      </c>
      <c r="T4362" s="117">
        <v>0</v>
      </c>
    </row>
    <row r="4363" spans="1:21" x14ac:dyDescent="0.35">
      <c r="A4363" t="s">
        <v>20</v>
      </c>
      <c r="B4363" t="s">
        <v>24</v>
      </c>
      <c r="C4363" s="1">
        <v>45861</v>
      </c>
      <c r="D4363">
        <f t="shared" si="313"/>
        <v>23</v>
      </c>
      <c r="E4363">
        <f t="shared" si="314"/>
        <v>7</v>
      </c>
      <c r="F4363">
        <f t="shared" si="315"/>
        <v>2025</v>
      </c>
      <c r="G4363" t="s">
        <v>50</v>
      </c>
      <c r="H4363" s="98">
        <v>12511</v>
      </c>
      <c r="I4363" s="29">
        <v>27621</v>
      </c>
      <c r="J4363" s="12" t="s">
        <v>31</v>
      </c>
      <c r="K4363" s="76">
        <f t="shared" si="317"/>
        <v>27621</v>
      </c>
      <c r="L4363">
        <v>1</v>
      </c>
      <c r="M4363" s="29">
        <v>0</v>
      </c>
      <c r="N4363" t="s">
        <v>32</v>
      </c>
      <c r="O4363" t="s">
        <v>33</v>
      </c>
      <c r="P4363" t="s">
        <v>34</v>
      </c>
      <c r="Q4363" t="s">
        <v>34</v>
      </c>
      <c r="R4363" t="s">
        <v>34</v>
      </c>
      <c r="S4363" t="s">
        <v>34</v>
      </c>
      <c r="T4363" s="117">
        <v>0</v>
      </c>
    </row>
    <row r="4364" spans="1:21" x14ac:dyDescent="0.35">
      <c r="A4364" t="s">
        <v>20</v>
      </c>
      <c r="B4364" t="s">
        <v>25</v>
      </c>
      <c r="C4364" s="1">
        <v>45861</v>
      </c>
      <c r="D4364">
        <f t="shared" si="313"/>
        <v>23</v>
      </c>
      <c r="E4364">
        <f t="shared" si="314"/>
        <v>7</v>
      </c>
      <c r="F4364">
        <f t="shared" si="315"/>
        <v>2025</v>
      </c>
      <c r="G4364" t="s">
        <v>50</v>
      </c>
      <c r="H4364" s="98">
        <v>13253</v>
      </c>
      <c r="I4364" s="29">
        <v>1495</v>
      </c>
      <c r="J4364" s="12" t="s">
        <v>31</v>
      </c>
      <c r="K4364" s="76">
        <f t="shared" si="317"/>
        <v>1495</v>
      </c>
      <c r="L4364">
        <v>1</v>
      </c>
      <c r="M4364" s="29">
        <v>0</v>
      </c>
      <c r="N4364" t="s">
        <v>42</v>
      </c>
      <c r="O4364" t="s">
        <v>33</v>
      </c>
      <c r="P4364" t="s">
        <v>34</v>
      </c>
      <c r="Q4364" t="s">
        <v>34</v>
      </c>
      <c r="R4364" t="s">
        <v>34</v>
      </c>
      <c r="S4364" t="s">
        <v>34</v>
      </c>
      <c r="T4364" s="117">
        <v>0</v>
      </c>
    </row>
    <row r="4365" spans="1:21" x14ac:dyDescent="0.35">
      <c r="A4365" t="s">
        <v>20</v>
      </c>
      <c r="B4365" t="s">
        <v>23</v>
      </c>
      <c r="C4365" s="1">
        <v>45861</v>
      </c>
      <c r="D4365">
        <f t="shared" ref="D4365:D4431" si="318">DAY(C4365)</f>
        <v>23</v>
      </c>
      <c r="E4365">
        <f t="shared" ref="E4365:E4431" si="319">MONTH(C4365)</f>
        <v>7</v>
      </c>
      <c r="F4365">
        <f t="shared" ref="F4365:F4431" si="320">YEAR(C4365)</f>
        <v>2025</v>
      </c>
      <c r="G4365" t="s">
        <v>1109</v>
      </c>
      <c r="H4365" s="98">
        <v>12941</v>
      </c>
      <c r="I4365" s="29">
        <v>4198.6500000000005</v>
      </c>
      <c r="J4365" s="12" t="s">
        <v>31</v>
      </c>
      <c r="K4365" s="76">
        <f t="shared" si="317"/>
        <v>4198.6500000000005</v>
      </c>
      <c r="L4365">
        <v>1</v>
      </c>
      <c r="M4365" s="29">
        <v>0</v>
      </c>
      <c r="N4365" t="s">
        <v>32</v>
      </c>
      <c r="O4365" t="s">
        <v>33</v>
      </c>
      <c r="P4365" t="s">
        <v>34</v>
      </c>
      <c r="Q4365" t="s">
        <v>34</v>
      </c>
      <c r="R4365" t="s">
        <v>34</v>
      </c>
      <c r="S4365" t="s">
        <v>34</v>
      </c>
      <c r="T4365" s="117">
        <v>0</v>
      </c>
    </row>
    <row r="4366" spans="1:21" x14ac:dyDescent="0.35">
      <c r="A4366" t="s">
        <v>20</v>
      </c>
      <c r="B4366" t="s">
        <v>23</v>
      </c>
      <c r="C4366" s="1">
        <v>45861</v>
      </c>
      <c r="D4366">
        <f t="shared" si="318"/>
        <v>23</v>
      </c>
      <c r="E4366">
        <f t="shared" si="319"/>
        <v>7</v>
      </c>
      <c r="F4366">
        <f t="shared" si="320"/>
        <v>2025</v>
      </c>
      <c r="G4366" t="s">
        <v>1109</v>
      </c>
      <c r="H4366" s="98">
        <v>13251</v>
      </c>
      <c r="I4366" s="29">
        <v>36.299999999999997</v>
      </c>
      <c r="J4366" s="12" t="s">
        <v>31</v>
      </c>
      <c r="K4366" s="76">
        <f t="shared" si="317"/>
        <v>36.299999999999997</v>
      </c>
      <c r="L4366">
        <v>1</v>
      </c>
      <c r="M4366" s="29">
        <v>0</v>
      </c>
      <c r="N4366" t="s">
        <v>42</v>
      </c>
      <c r="O4366" t="s">
        <v>33</v>
      </c>
      <c r="P4366" t="s">
        <v>34</v>
      </c>
      <c r="Q4366" t="s">
        <v>34</v>
      </c>
      <c r="R4366" t="s">
        <v>34</v>
      </c>
      <c r="S4366" t="s">
        <v>34</v>
      </c>
      <c r="T4366" s="117">
        <v>0</v>
      </c>
    </row>
    <row r="4367" spans="1:21" x14ac:dyDescent="0.35">
      <c r="A4367" t="s">
        <v>20</v>
      </c>
      <c r="B4367" t="s">
        <v>23</v>
      </c>
      <c r="C4367" s="1">
        <v>45861</v>
      </c>
      <c r="D4367">
        <f t="shared" si="318"/>
        <v>23</v>
      </c>
      <c r="E4367">
        <f t="shared" si="319"/>
        <v>7</v>
      </c>
      <c r="F4367">
        <f t="shared" si="320"/>
        <v>2025</v>
      </c>
      <c r="G4367" t="s">
        <v>1109</v>
      </c>
      <c r="H4367" s="98">
        <v>13252</v>
      </c>
      <c r="I4367" s="29">
        <v>1524.6</v>
      </c>
      <c r="J4367" s="12" t="s">
        <v>31</v>
      </c>
      <c r="K4367" s="76">
        <f t="shared" si="317"/>
        <v>1524.6</v>
      </c>
      <c r="L4367">
        <v>1</v>
      </c>
      <c r="M4367" s="29">
        <v>0</v>
      </c>
      <c r="N4367" t="s">
        <v>42</v>
      </c>
      <c r="O4367" t="s">
        <v>33</v>
      </c>
      <c r="P4367" t="s">
        <v>34</v>
      </c>
      <c r="Q4367" t="s">
        <v>34</v>
      </c>
      <c r="R4367" t="s">
        <v>34</v>
      </c>
      <c r="S4367" t="s">
        <v>34</v>
      </c>
      <c r="T4367" s="117">
        <v>0</v>
      </c>
    </row>
    <row r="4368" spans="1:21" x14ac:dyDescent="0.35">
      <c r="A4368" t="s">
        <v>20</v>
      </c>
      <c r="B4368" t="s">
        <v>25</v>
      </c>
      <c r="C4368" s="1">
        <v>45861</v>
      </c>
      <c r="D4368">
        <f t="shared" si="318"/>
        <v>23</v>
      </c>
      <c r="E4368">
        <f t="shared" si="319"/>
        <v>7</v>
      </c>
      <c r="F4368">
        <f t="shared" si="320"/>
        <v>2025</v>
      </c>
      <c r="G4368" t="s">
        <v>121</v>
      </c>
      <c r="H4368" s="98">
        <v>11813</v>
      </c>
      <c r="I4368" s="29">
        <v>17608.8</v>
      </c>
      <c r="J4368" s="12" t="s">
        <v>31</v>
      </c>
      <c r="K4368" s="76">
        <f t="shared" si="317"/>
        <v>17608.8</v>
      </c>
      <c r="L4368">
        <v>1</v>
      </c>
      <c r="M4368" s="29">
        <v>0</v>
      </c>
      <c r="N4368" t="s">
        <v>32</v>
      </c>
      <c r="O4368" t="s">
        <v>33</v>
      </c>
      <c r="P4368" t="s">
        <v>34</v>
      </c>
      <c r="Q4368" t="s">
        <v>34</v>
      </c>
      <c r="R4368" t="s">
        <v>34</v>
      </c>
      <c r="S4368" t="s">
        <v>34</v>
      </c>
      <c r="T4368" s="117">
        <v>0</v>
      </c>
    </row>
    <row r="4369" spans="1:20" x14ac:dyDescent="0.35">
      <c r="A4369" t="s">
        <v>20</v>
      </c>
      <c r="B4369" t="s">
        <v>23</v>
      </c>
      <c r="C4369" s="1">
        <v>45861</v>
      </c>
      <c r="D4369">
        <f t="shared" si="318"/>
        <v>23</v>
      </c>
      <c r="E4369">
        <f t="shared" si="319"/>
        <v>7</v>
      </c>
      <c r="F4369">
        <f t="shared" si="320"/>
        <v>2025</v>
      </c>
      <c r="G4369" t="s">
        <v>265</v>
      </c>
      <c r="H4369" s="98">
        <v>12557</v>
      </c>
      <c r="I4369" s="29">
        <v>8355.85</v>
      </c>
      <c r="J4369" s="12" t="s">
        <v>31</v>
      </c>
      <c r="K4369" s="76">
        <f t="shared" si="317"/>
        <v>8355.85</v>
      </c>
      <c r="L4369">
        <v>1</v>
      </c>
      <c r="M4369" s="29">
        <v>0</v>
      </c>
      <c r="N4369" t="s">
        <v>32</v>
      </c>
      <c r="O4369" t="s">
        <v>33</v>
      </c>
      <c r="P4369" t="s">
        <v>34</v>
      </c>
      <c r="Q4369" t="s">
        <v>34</v>
      </c>
      <c r="R4369" t="s">
        <v>34</v>
      </c>
      <c r="S4369" t="s">
        <v>34</v>
      </c>
      <c r="T4369" s="117">
        <v>0</v>
      </c>
    </row>
    <row r="4370" spans="1:20" x14ac:dyDescent="0.35">
      <c r="A4370" t="s">
        <v>20</v>
      </c>
      <c r="B4370" t="s">
        <v>21</v>
      </c>
      <c r="C4370" s="1">
        <v>45861</v>
      </c>
      <c r="D4370">
        <f t="shared" si="318"/>
        <v>23</v>
      </c>
      <c r="E4370">
        <f t="shared" si="319"/>
        <v>7</v>
      </c>
      <c r="F4370">
        <f t="shared" si="320"/>
        <v>2025</v>
      </c>
      <c r="G4370" t="s">
        <v>265</v>
      </c>
      <c r="H4370" s="98">
        <v>12611</v>
      </c>
      <c r="I4370" s="29">
        <v>20824.12</v>
      </c>
      <c r="J4370" s="12" t="s">
        <v>31</v>
      </c>
      <c r="K4370" s="76">
        <f t="shared" si="317"/>
        <v>20824.12</v>
      </c>
      <c r="L4370">
        <v>1</v>
      </c>
      <c r="M4370" s="29">
        <v>0</v>
      </c>
      <c r="N4370" t="s">
        <v>32</v>
      </c>
      <c r="O4370" t="s">
        <v>33</v>
      </c>
      <c r="P4370" t="s">
        <v>34</v>
      </c>
      <c r="Q4370" t="s">
        <v>34</v>
      </c>
      <c r="R4370" t="s">
        <v>34</v>
      </c>
      <c r="S4370" t="s">
        <v>34</v>
      </c>
      <c r="T4370" s="117">
        <v>0</v>
      </c>
    </row>
    <row r="4371" spans="1:20" x14ac:dyDescent="0.35">
      <c r="A4371" t="s">
        <v>20</v>
      </c>
      <c r="B4371" t="s">
        <v>23</v>
      </c>
      <c r="C4371" s="1">
        <v>45861</v>
      </c>
      <c r="D4371">
        <f t="shared" si="318"/>
        <v>23</v>
      </c>
      <c r="E4371">
        <f t="shared" si="319"/>
        <v>7</v>
      </c>
      <c r="F4371">
        <f t="shared" si="320"/>
        <v>2025</v>
      </c>
      <c r="G4371" t="s">
        <v>265</v>
      </c>
      <c r="H4371" s="98">
        <v>12611</v>
      </c>
      <c r="I4371" s="29">
        <v>5742.9</v>
      </c>
      <c r="J4371" s="12" t="s">
        <v>31</v>
      </c>
      <c r="K4371" s="76">
        <f t="shared" si="317"/>
        <v>5742.9</v>
      </c>
      <c r="L4371">
        <v>1</v>
      </c>
      <c r="M4371" s="29">
        <v>0</v>
      </c>
      <c r="N4371" t="s">
        <v>32</v>
      </c>
      <c r="O4371" t="s">
        <v>33</v>
      </c>
      <c r="P4371" t="s">
        <v>34</v>
      </c>
      <c r="Q4371" t="s">
        <v>34</v>
      </c>
      <c r="R4371" t="s">
        <v>34</v>
      </c>
      <c r="S4371" t="s">
        <v>34</v>
      </c>
      <c r="T4371" s="117">
        <v>0</v>
      </c>
    </row>
    <row r="4372" spans="1:20" x14ac:dyDescent="0.35">
      <c r="A4372" t="s">
        <v>20</v>
      </c>
      <c r="B4372" t="s">
        <v>23</v>
      </c>
      <c r="C4372" s="1">
        <v>45861</v>
      </c>
      <c r="D4372">
        <f t="shared" si="318"/>
        <v>23</v>
      </c>
      <c r="E4372">
        <f t="shared" si="319"/>
        <v>7</v>
      </c>
      <c r="F4372">
        <f t="shared" si="320"/>
        <v>2025</v>
      </c>
      <c r="G4372" t="s">
        <v>265</v>
      </c>
      <c r="H4372" s="98">
        <v>13249</v>
      </c>
      <c r="I4372" s="29">
        <v>70</v>
      </c>
      <c r="J4372" s="12" t="s">
        <v>31</v>
      </c>
      <c r="K4372" s="76">
        <f t="shared" si="317"/>
        <v>70</v>
      </c>
      <c r="L4372">
        <v>1</v>
      </c>
      <c r="M4372" s="29">
        <v>0</v>
      </c>
      <c r="N4372" t="s">
        <v>42</v>
      </c>
      <c r="O4372" t="s">
        <v>33</v>
      </c>
      <c r="P4372" t="s">
        <v>34</v>
      </c>
      <c r="Q4372" t="s">
        <v>34</v>
      </c>
      <c r="R4372" t="s">
        <v>34</v>
      </c>
      <c r="S4372" t="s">
        <v>34</v>
      </c>
      <c r="T4372" s="117">
        <v>0</v>
      </c>
    </row>
    <row r="4373" spans="1:20" x14ac:dyDescent="0.35">
      <c r="A4373" t="s">
        <v>20</v>
      </c>
      <c r="B4373" t="s">
        <v>23</v>
      </c>
      <c r="C4373" s="1">
        <v>45861</v>
      </c>
      <c r="D4373">
        <f t="shared" si="318"/>
        <v>23</v>
      </c>
      <c r="E4373">
        <f t="shared" si="319"/>
        <v>7</v>
      </c>
      <c r="F4373">
        <f t="shared" si="320"/>
        <v>2025</v>
      </c>
      <c r="G4373" t="s">
        <v>265</v>
      </c>
      <c r="H4373" s="98">
        <v>13250</v>
      </c>
      <c r="I4373" s="29">
        <v>2870</v>
      </c>
      <c r="J4373" s="12" t="s">
        <v>31</v>
      </c>
      <c r="K4373" s="76">
        <f t="shared" si="317"/>
        <v>2870</v>
      </c>
      <c r="L4373">
        <v>1</v>
      </c>
      <c r="M4373" s="29">
        <v>0</v>
      </c>
      <c r="N4373" t="s">
        <v>42</v>
      </c>
      <c r="O4373" t="s">
        <v>33</v>
      </c>
      <c r="P4373" t="s">
        <v>34</v>
      </c>
      <c r="Q4373" t="s">
        <v>34</v>
      </c>
      <c r="R4373" t="s">
        <v>34</v>
      </c>
      <c r="S4373" t="s">
        <v>34</v>
      </c>
      <c r="T4373" s="117">
        <v>0</v>
      </c>
    </row>
    <row r="4374" spans="1:20" x14ac:dyDescent="0.35">
      <c r="A4374" t="s">
        <v>20</v>
      </c>
      <c r="B4374" t="s">
        <v>24</v>
      </c>
      <c r="C4374" s="1">
        <v>45861</v>
      </c>
      <c r="D4374">
        <f t="shared" si="318"/>
        <v>23</v>
      </c>
      <c r="E4374">
        <f t="shared" si="319"/>
        <v>7</v>
      </c>
      <c r="F4374">
        <f t="shared" si="320"/>
        <v>2025</v>
      </c>
      <c r="G4374" t="s">
        <v>91</v>
      </c>
      <c r="H4374" s="139">
        <v>12518</v>
      </c>
      <c r="I4374" s="91">
        <v>19496.68</v>
      </c>
      <c r="J4374" s="139" t="s">
        <v>31</v>
      </c>
      <c r="K4374" s="76">
        <f t="shared" si="317"/>
        <v>19496.68</v>
      </c>
      <c r="L4374">
        <v>1</v>
      </c>
      <c r="M4374" s="29">
        <v>0</v>
      </c>
      <c r="N4374" t="s">
        <v>32</v>
      </c>
      <c r="O4374" t="s">
        <v>33</v>
      </c>
      <c r="P4374" t="s">
        <v>34</v>
      </c>
      <c r="Q4374" t="s">
        <v>34</v>
      </c>
      <c r="R4374" t="s">
        <v>34</v>
      </c>
      <c r="S4374" t="s">
        <v>34</v>
      </c>
      <c r="T4374" s="117">
        <v>0</v>
      </c>
    </row>
    <row r="4375" spans="1:20" x14ac:dyDescent="0.35">
      <c r="A4375" t="s">
        <v>20</v>
      </c>
      <c r="B4375" t="s">
        <v>25</v>
      </c>
      <c r="C4375" s="1">
        <v>45861</v>
      </c>
      <c r="D4375">
        <f t="shared" si="318"/>
        <v>23</v>
      </c>
      <c r="E4375">
        <f t="shared" si="319"/>
        <v>7</v>
      </c>
      <c r="F4375">
        <f t="shared" si="320"/>
        <v>2025</v>
      </c>
      <c r="G4375" t="s">
        <v>91</v>
      </c>
      <c r="H4375" s="139">
        <v>12738</v>
      </c>
      <c r="I4375" s="91">
        <v>5676.65</v>
      </c>
      <c r="J4375" s="139" t="s">
        <v>31</v>
      </c>
      <c r="K4375" s="76">
        <f t="shared" si="317"/>
        <v>5676.65</v>
      </c>
      <c r="L4375">
        <v>1</v>
      </c>
      <c r="M4375" s="29">
        <v>0</v>
      </c>
      <c r="N4375" t="s">
        <v>32</v>
      </c>
      <c r="O4375" t="s">
        <v>33</v>
      </c>
      <c r="P4375" t="s">
        <v>34</v>
      </c>
      <c r="Q4375" t="s">
        <v>34</v>
      </c>
      <c r="R4375" t="s">
        <v>34</v>
      </c>
      <c r="S4375" t="s">
        <v>34</v>
      </c>
      <c r="T4375" s="117">
        <v>0</v>
      </c>
    </row>
    <row r="4376" spans="1:20" x14ac:dyDescent="0.35">
      <c r="A4376" t="s">
        <v>20</v>
      </c>
      <c r="B4376" t="s">
        <v>21</v>
      </c>
      <c r="C4376" s="1">
        <v>45861</v>
      </c>
      <c r="D4376">
        <f t="shared" si="318"/>
        <v>23</v>
      </c>
      <c r="E4376">
        <f t="shared" si="319"/>
        <v>7</v>
      </c>
      <c r="F4376">
        <f t="shared" si="320"/>
        <v>2025</v>
      </c>
      <c r="G4376" t="s">
        <v>595</v>
      </c>
      <c r="H4376" s="98">
        <v>13254</v>
      </c>
      <c r="I4376" s="29">
        <v>58</v>
      </c>
      <c r="J4376" s="12" t="s">
        <v>31</v>
      </c>
      <c r="K4376" s="76">
        <f t="shared" si="317"/>
        <v>58</v>
      </c>
      <c r="L4376">
        <v>1</v>
      </c>
      <c r="M4376" s="29">
        <v>0</v>
      </c>
      <c r="N4376" t="s">
        <v>42</v>
      </c>
      <c r="O4376" t="s">
        <v>33</v>
      </c>
      <c r="P4376" t="s">
        <v>34</v>
      </c>
      <c r="Q4376" t="s">
        <v>34</v>
      </c>
      <c r="R4376" t="s">
        <v>34</v>
      </c>
      <c r="S4376" t="s">
        <v>34</v>
      </c>
      <c r="T4376" s="117">
        <v>0</v>
      </c>
    </row>
    <row r="4377" spans="1:20" x14ac:dyDescent="0.35">
      <c r="A4377" t="s">
        <v>20</v>
      </c>
      <c r="B4377" t="s">
        <v>21</v>
      </c>
      <c r="C4377" s="1">
        <v>45861</v>
      </c>
      <c r="D4377">
        <f t="shared" si="318"/>
        <v>23</v>
      </c>
      <c r="E4377">
        <f t="shared" si="319"/>
        <v>7</v>
      </c>
      <c r="F4377">
        <f t="shared" si="320"/>
        <v>2025</v>
      </c>
      <c r="G4377" t="s">
        <v>595</v>
      </c>
      <c r="H4377" s="98">
        <v>13255</v>
      </c>
      <c r="I4377" s="29">
        <v>2210.6699999999996</v>
      </c>
      <c r="J4377" s="12" t="s">
        <v>31</v>
      </c>
      <c r="K4377" s="76">
        <f t="shared" si="317"/>
        <v>2210.6699999999996</v>
      </c>
      <c r="L4377">
        <v>1</v>
      </c>
      <c r="M4377" s="29">
        <v>0</v>
      </c>
      <c r="N4377" t="s">
        <v>42</v>
      </c>
      <c r="O4377" t="s">
        <v>33</v>
      </c>
      <c r="P4377" t="s">
        <v>34</v>
      </c>
      <c r="Q4377" t="s">
        <v>34</v>
      </c>
      <c r="R4377" t="s">
        <v>34</v>
      </c>
      <c r="S4377" t="s">
        <v>34</v>
      </c>
      <c r="T4377" s="117">
        <v>0</v>
      </c>
    </row>
    <row r="4378" spans="1:20" x14ac:dyDescent="0.35">
      <c r="A4378" t="s">
        <v>20</v>
      </c>
      <c r="B4378" t="s">
        <v>25</v>
      </c>
      <c r="C4378" s="1">
        <v>45861</v>
      </c>
      <c r="D4378">
        <f t="shared" si="318"/>
        <v>23</v>
      </c>
      <c r="E4378">
        <f t="shared" si="319"/>
        <v>7</v>
      </c>
      <c r="F4378">
        <f t="shared" si="320"/>
        <v>2025</v>
      </c>
      <c r="G4378" t="s">
        <v>81</v>
      </c>
      <c r="H4378" s="98">
        <v>12678</v>
      </c>
      <c r="I4378" s="29">
        <v>51709.5</v>
      </c>
      <c r="J4378" s="12" t="s">
        <v>31</v>
      </c>
      <c r="K4378" s="76">
        <f t="shared" ref="K4378:K4401" si="321">IF(J4378="USD",I4378,I4378*L4378)</f>
        <v>51709.5</v>
      </c>
      <c r="L4378">
        <v>1</v>
      </c>
      <c r="M4378" s="29">
        <v>0</v>
      </c>
      <c r="N4378" t="s">
        <v>32</v>
      </c>
      <c r="O4378" t="s">
        <v>33</v>
      </c>
      <c r="P4378" t="s">
        <v>34</v>
      </c>
      <c r="Q4378" t="s">
        <v>34</v>
      </c>
      <c r="R4378" t="s">
        <v>34</v>
      </c>
      <c r="S4378" t="s">
        <v>34</v>
      </c>
      <c r="T4378" s="117">
        <v>0</v>
      </c>
    </row>
    <row r="4379" spans="1:20" x14ac:dyDescent="0.35">
      <c r="A4379" t="s">
        <v>20</v>
      </c>
      <c r="B4379" t="s">
        <v>25</v>
      </c>
      <c r="C4379" s="1">
        <v>45861</v>
      </c>
      <c r="D4379">
        <f t="shared" si="318"/>
        <v>23</v>
      </c>
      <c r="E4379">
        <f t="shared" si="319"/>
        <v>7</v>
      </c>
      <c r="F4379">
        <f t="shared" si="320"/>
        <v>2025</v>
      </c>
      <c r="G4379" t="s">
        <v>81</v>
      </c>
      <c r="H4379" s="98">
        <v>12972</v>
      </c>
      <c r="I4379" s="29">
        <v>92617.9</v>
      </c>
      <c r="J4379" s="12" t="s">
        <v>31</v>
      </c>
      <c r="K4379" s="76">
        <f t="shared" si="321"/>
        <v>92617.9</v>
      </c>
      <c r="L4379">
        <v>1</v>
      </c>
      <c r="M4379" s="29">
        <v>0</v>
      </c>
      <c r="N4379" t="s">
        <v>32</v>
      </c>
      <c r="O4379" t="s">
        <v>33</v>
      </c>
      <c r="P4379" t="s">
        <v>34</v>
      </c>
      <c r="Q4379" t="s">
        <v>34</v>
      </c>
      <c r="R4379" t="s">
        <v>34</v>
      </c>
      <c r="S4379" t="s">
        <v>34</v>
      </c>
      <c r="T4379" s="117">
        <v>0</v>
      </c>
    </row>
    <row r="4380" spans="1:20" x14ac:dyDescent="0.35">
      <c r="A4380" t="s">
        <v>20</v>
      </c>
      <c r="B4380" t="s">
        <v>25</v>
      </c>
      <c r="C4380" s="1">
        <v>45861</v>
      </c>
      <c r="D4380">
        <f t="shared" si="318"/>
        <v>23</v>
      </c>
      <c r="E4380">
        <f t="shared" si="319"/>
        <v>7</v>
      </c>
      <c r="F4380">
        <f t="shared" si="320"/>
        <v>2025</v>
      </c>
      <c r="G4380" t="s">
        <v>274</v>
      </c>
      <c r="H4380" s="139">
        <v>12966</v>
      </c>
      <c r="I4380" s="91">
        <v>148.4</v>
      </c>
      <c r="J4380" s="139" t="s">
        <v>31</v>
      </c>
      <c r="K4380" s="76">
        <f t="shared" si="321"/>
        <v>148.4</v>
      </c>
      <c r="L4380">
        <v>1</v>
      </c>
      <c r="M4380" s="29">
        <v>0</v>
      </c>
      <c r="N4380" t="s">
        <v>42</v>
      </c>
      <c r="O4380" t="s">
        <v>33</v>
      </c>
      <c r="P4380" t="s">
        <v>34</v>
      </c>
      <c r="Q4380" t="s">
        <v>34</v>
      </c>
      <c r="R4380" t="s">
        <v>34</v>
      </c>
      <c r="S4380" t="s">
        <v>34</v>
      </c>
      <c r="T4380" s="117">
        <v>0</v>
      </c>
    </row>
    <row r="4381" spans="1:20" x14ac:dyDescent="0.35">
      <c r="A4381" t="s">
        <v>20</v>
      </c>
      <c r="B4381" t="s">
        <v>25</v>
      </c>
      <c r="C4381" s="1">
        <v>45861</v>
      </c>
      <c r="D4381">
        <f t="shared" si="318"/>
        <v>23</v>
      </c>
      <c r="E4381">
        <f t="shared" si="319"/>
        <v>7</v>
      </c>
      <c r="F4381">
        <f t="shared" si="320"/>
        <v>2025</v>
      </c>
      <c r="G4381" t="s">
        <v>274</v>
      </c>
      <c r="H4381" s="139">
        <v>12967</v>
      </c>
      <c r="I4381" s="91">
        <v>14128</v>
      </c>
      <c r="J4381" s="139" t="s">
        <v>31</v>
      </c>
      <c r="K4381" s="76">
        <f t="shared" si="321"/>
        <v>14128</v>
      </c>
      <c r="L4381">
        <v>1</v>
      </c>
      <c r="M4381" s="29">
        <v>0</v>
      </c>
      <c r="N4381" t="s">
        <v>42</v>
      </c>
      <c r="O4381" t="s">
        <v>33</v>
      </c>
      <c r="P4381" t="s">
        <v>34</v>
      </c>
      <c r="Q4381" t="s">
        <v>34</v>
      </c>
      <c r="R4381" t="s">
        <v>34</v>
      </c>
      <c r="S4381" t="s">
        <v>34</v>
      </c>
      <c r="T4381" s="117">
        <v>0</v>
      </c>
    </row>
    <row r="4382" spans="1:20" x14ac:dyDescent="0.35">
      <c r="A4382" t="s">
        <v>20</v>
      </c>
      <c r="B4382" t="s">
        <v>23</v>
      </c>
      <c r="C4382" s="1">
        <v>45861</v>
      </c>
      <c r="D4382">
        <f t="shared" si="318"/>
        <v>23</v>
      </c>
      <c r="E4382">
        <f t="shared" si="319"/>
        <v>7</v>
      </c>
      <c r="F4382">
        <f t="shared" si="320"/>
        <v>2025</v>
      </c>
      <c r="G4382" t="s">
        <v>177</v>
      </c>
      <c r="H4382" s="98">
        <v>12990</v>
      </c>
      <c r="I4382" s="29">
        <v>316.39999999999998</v>
      </c>
      <c r="J4382" s="12" t="s">
        <v>31</v>
      </c>
      <c r="K4382" s="76">
        <f t="shared" si="321"/>
        <v>316.39999999999998</v>
      </c>
      <c r="L4382">
        <v>1</v>
      </c>
      <c r="M4382" s="29">
        <v>0</v>
      </c>
      <c r="N4382" t="s">
        <v>32</v>
      </c>
      <c r="O4382" t="s">
        <v>33</v>
      </c>
      <c r="P4382" t="s">
        <v>34</v>
      </c>
      <c r="Q4382" t="s">
        <v>34</v>
      </c>
      <c r="R4382" t="s">
        <v>34</v>
      </c>
      <c r="S4382" t="s">
        <v>34</v>
      </c>
      <c r="T4382" s="117">
        <v>0</v>
      </c>
    </row>
    <row r="4383" spans="1:20" x14ac:dyDescent="0.35">
      <c r="A4383" t="s">
        <v>20</v>
      </c>
      <c r="B4383" t="s">
        <v>21</v>
      </c>
      <c r="C4383" s="1">
        <v>45861</v>
      </c>
      <c r="D4383">
        <f t="shared" si="318"/>
        <v>23</v>
      </c>
      <c r="E4383">
        <f t="shared" si="319"/>
        <v>7</v>
      </c>
      <c r="F4383">
        <f t="shared" si="320"/>
        <v>2025</v>
      </c>
      <c r="G4383" t="s">
        <v>696</v>
      </c>
      <c r="H4383" s="98">
        <v>12803</v>
      </c>
      <c r="I4383" s="29">
        <v>8573.130000000001</v>
      </c>
      <c r="J4383" s="12" t="s">
        <v>31</v>
      </c>
      <c r="K4383" s="76">
        <f t="shared" si="321"/>
        <v>8573.130000000001</v>
      </c>
      <c r="L4383">
        <v>1</v>
      </c>
      <c r="M4383" s="29">
        <v>0</v>
      </c>
      <c r="N4383" t="s">
        <v>32</v>
      </c>
      <c r="O4383" t="s">
        <v>33</v>
      </c>
      <c r="P4383" t="s">
        <v>34</v>
      </c>
      <c r="Q4383" t="s">
        <v>34</v>
      </c>
      <c r="R4383" t="s">
        <v>34</v>
      </c>
      <c r="S4383" t="s">
        <v>34</v>
      </c>
      <c r="T4383" s="117">
        <v>0</v>
      </c>
    </row>
    <row r="4384" spans="1:20" x14ac:dyDescent="0.35">
      <c r="A4384" t="s">
        <v>20</v>
      </c>
      <c r="B4384" t="s">
        <v>23</v>
      </c>
      <c r="C4384" s="1">
        <v>45861</v>
      </c>
      <c r="D4384">
        <f t="shared" si="318"/>
        <v>23</v>
      </c>
      <c r="E4384">
        <f t="shared" si="319"/>
        <v>7</v>
      </c>
      <c r="F4384">
        <f t="shared" si="320"/>
        <v>2025</v>
      </c>
      <c r="G4384" t="s">
        <v>53</v>
      </c>
      <c r="H4384" s="171">
        <v>12916</v>
      </c>
      <c r="I4384" s="90">
        <v>268.5</v>
      </c>
      <c r="J4384" s="12" t="s">
        <v>31</v>
      </c>
      <c r="K4384" s="76">
        <f t="shared" si="321"/>
        <v>268.5</v>
      </c>
      <c r="L4384">
        <v>1</v>
      </c>
      <c r="M4384" s="29">
        <v>0</v>
      </c>
      <c r="N4384" t="s">
        <v>32</v>
      </c>
      <c r="O4384" t="s">
        <v>33</v>
      </c>
      <c r="P4384" t="s">
        <v>34</v>
      </c>
      <c r="Q4384" t="s">
        <v>34</v>
      </c>
      <c r="R4384" t="s">
        <v>34</v>
      </c>
      <c r="S4384" t="s">
        <v>34</v>
      </c>
      <c r="T4384" s="117">
        <v>0</v>
      </c>
    </row>
    <row r="4385" spans="1:21" x14ac:dyDescent="0.35">
      <c r="A4385" t="s">
        <v>20</v>
      </c>
      <c r="B4385" t="s">
        <v>25</v>
      </c>
      <c r="C4385" s="1">
        <v>45861</v>
      </c>
      <c r="D4385">
        <f t="shared" si="318"/>
        <v>23</v>
      </c>
      <c r="E4385">
        <f t="shared" si="319"/>
        <v>7</v>
      </c>
      <c r="F4385">
        <f t="shared" si="320"/>
        <v>2025</v>
      </c>
      <c r="G4385" t="s">
        <v>491</v>
      </c>
      <c r="H4385" s="98">
        <v>12858</v>
      </c>
      <c r="I4385" s="29">
        <v>15897.7</v>
      </c>
      <c r="J4385" s="12" t="s">
        <v>31</v>
      </c>
      <c r="K4385" s="76">
        <f t="shared" si="321"/>
        <v>15897.7</v>
      </c>
      <c r="L4385">
        <v>1</v>
      </c>
      <c r="M4385" s="29">
        <v>0</v>
      </c>
      <c r="N4385" t="s">
        <v>32</v>
      </c>
      <c r="O4385" t="s">
        <v>33</v>
      </c>
      <c r="P4385" t="s">
        <v>34</v>
      </c>
      <c r="Q4385" t="s">
        <v>34</v>
      </c>
      <c r="R4385" t="s">
        <v>34</v>
      </c>
      <c r="S4385" t="s">
        <v>34</v>
      </c>
      <c r="T4385" s="117">
        <v>0</v>
      </c>
    </row>
    <row r="4386" spans="1:21" x14ac:dyDescent="0.35">
      <c r="A4386" t="s">
        <v>20</v>
      </c>
      <c r="B4386" t="s">
        <v>23</v>
      </c>
      <c r="C4386" s="1">
        <v>45861</v>
      </c>
      <c r="D4386">
        <f t="shared" si="318"/>
        <v>23</v>
      </c>
      <c r="E4386">
        <f t="shared" si="319"/>
        <v>7</v>
      </c>
      <c r="F4386">
        <f t="shared" si="320"/>
        <v>2025</v>
      </c>
      <c r="G4386" t="s">
        <v>46</v>
      </c>
      <c r="H4386" s="139">
        <v>13225</v>
      </c>
      <c r="I4386" s="91">
        <v>39.9</v>
      </c>
      <c r="J4386" s="139" t="s">
        <v>31</v>
      </c>
      <c r="K4386" s="76">
        <f t="shared" si="321"/>
        <v>39.9</v>
      </c>
      <c r="L4386">
        <v>1</v>
      </c>
      <c r="M4386" s="29">
        <v>0</v>
      </c>
      <c r="N4386" t="s">
        <v>42</v>
      </c>
      <c r="O4386" t="s">
        <v>33</v>
      </c>
      <c r="P4386" t="s">
        <v>34</v>
      </c>
      <c r="Q4386" t="s">
        <v>34</v>
      </c>
      <c r="R4386" t="s">
        <v>34</v>
      </c>
      <c r="S4386" t="s">
        <v>34</v>
      </c>
      <c r="T4386" s="117">
        <v>0</v>
      </c>
    </row>
    <row r="4387" spans="1:21" x14ac:dyDescent="0.35">
      <c r="A4387" t="s">
        <v>20</v>
      </c>
      <c r="B4387" t="s">
        <v>23</v>
      </c>
      <c r="C4387" s="1">
        <v>45861</v>
      </c>
      <c r="D4387">
        <f t="shared" si="318"/>
        <v>23</v>
      </c>
      <c r="E4387">
        <f t="shared" si="319"/>
        <v>7</v>
      </c>
      <c r="F4387">
        <f t="shared" si="320"/>
        <v>2025</v>
      </c>
      <c r="G4387" t="s">
        <v>46</v>
      </c>
      <c r="H4387" s="139">
        <v>13278</v>
      </c>
      <c r="I4387" s="91">
        <v>1436.4</v>
      </c>
      <c r="J4387" s="139" t="s">
        <v>31</v>
      </c>
      <c r="K4387" s="76">
        <f t="shared" si="321"/>
        <v>1436.4</v>
      </c>
      <c r="L4387">
        <v>1</v>
      </c>
      <c r="M4387" s="29">
        <v>0</v>
      </c>
      <c r="N4387" t="s">
        <v>42</v>
      </c>
      <c r="O4387" t="s">
        <v>33</v>
      </c>
      <c r="P4387" t="s">
        <v>34</v>
      </c>
      <c r="Q4387" t="s">
        <v>34</v>
      </c>
      <c r="R4387" t="s">
        <v>34</v>
      </c>
      <c r="S4387" t="s">
        <v>34</v>
      </c>
      <c r="T4387" s="117">
        <v>0</v>
      </c>
      <c r="U4387" s="209" t="s">
        <v>1354</v>
      </c>
    </row>
    <row r="4388" spans="1:21" x14ac:dyDescent="0.35">
      <c r="A4388" t="s">
        <v>20</v>
      </c>
      <c r="B4388" t="s">
        <v>21</v>
      </c>
      <c r="C4388" s="1">
        <v>45861</v>
      </c>
      <c r="D4388">
        <f t="shared" si="318"/>
        <v>23</v>
      </c>
      <c r="E4388">
        <f t="shared" si="319"/>
        <v>7</v>
      </c>
      <c r="F4388">
        <f t="shared" si="320"/>
        <v>2025</v>
      </c>
      <c r="G4388" t="s">
        <v>1189</v>
      </c>
      <c r="H4388" s="139">
        <v>13245</v>
      </c>
      <c r="I4388" s="91">
        <v>122</v>
      </c>
      <c r="J4388" s="139" t="s">
        <v>31</v>
      </c>
      <c r="K4388" s="76">
        <f t="shared" si="321"/>
        <v>122</v>
      </c>
      <c r="L4388">
        <v>1</v>
      </c>
      <c r="M4388" s="29">
        <v>0</v>
      </c>
      <c r="N4388" t="s">
        <v>42</v>
      </c>
      <c r="O4388" t="s">
        <v>33</v>
      </c>
      <c r="P4388" t="s">
        <v>34</v>
      </c>
      <c r="Q4388" t="s">
        <v>34</v>
      </c>
      <c r="R4388" t="s">
        <v>34</v>
      </c>
      <c r="S4388" t="s">
        <v>34</v>
      </c>
      <c r="T4388" s="117">
        <v>0</v>
      </c>
    </row>
    <row r="4389" spans="1:21" x14ac:dyDescent="0.35">
      <c r="A4389" t="s">
        <v>20</v>
      </c>
      <c r="B4389" t="s">
        <v>21</v>
      </c>
      <c r="C4389" s="1">
        <v>45861</v>
      </c>
      <c r="D4389">
        <f t="shared" si="318"/>
        <v>23</v>
      </c>
      <c r="E4389">
        <f t="shared" si="319"/>
        <v>7</v>
      </c>
      <c r="F4389">
        <f t="shared" si="320"/>
        <v>2025</v>
      </c>
      <c r="G4389" t="s">
        <v>1189</v>
      </c>
      <c r="H4389" s="139">
        <v>13246</v>
      </c>
      <c r="I4389" s="91">
        <v>2756.59</v>
      </c>
      <c r="J4389" s="139" t="s">
        <v>31</v>
      </c>
      <c r="K4389" s="76">
        <f t="shared" si="321"/>
        <v>2756.59</v>
      </c>
      <c r="L4389">
        <v>1</v>
      </c>
      <c r="M4389" s="29">
        <v>0</v>
      </c>
      <c r="N4389" t="s">
        <v>42</v>
      </c>
      <c r="O4389" t="s">
        <v>33</v>
      </c>
      <c r="P4389" t="s">
        <v>34</v>
      </c>
      <c r="Q4389" t="s">
        <v>34</v>
      </c>
      <c r="R4389" t="s">
        <v>34</v>
      </c>
      <c r="S4389" t="s">
        <v>34</v>
      </c>
      <c r="T4389" s="117">
        <v>0</v>
      </c>
    </row>
    <row r="4390" spans="1:21" x14ac:dyDescent="0.35">
      <c r="A4390" t="s">
        <v>19</v>
      </c>
      <c r="B4390" t="s">
        <v>19</v>
      </c>
      <c r="C4390" s="1">
        <v>45861</v>
      </c>
      <c r="D4390">
        <f t="shared" si="318"/>
        <v>23</v>
      </c>
      <c r="E4390">
        <f t="shared" si="319"/>
        <v>7</v>
      </c>
      <c r="F4390">
        <f t="shared" si="320"/>
        <v>2025</v>
      </c>
      <c r="G4390" t="s">
        <v>56</v>
      </c>
      <c r="H4390" s="98" t="s">
        <v>1190</v>
      </c>
      <c r="I4390" s="91">
        <v>183387.42</v>
      </c>
      <c r="J4390" s="139" t="s">
        <v>31</v>
      </c>
      <c r="K4390" s="76">
        <f t="shared" si="321"/>
        <v>183387.42</v>
      </c>
      <c r="L4390">
        <v>1</v>
      </c>
      <c r="M4390" s="29">
        <v>0</v>
      </c>
      <c r="N4390" t="s">
        <v>32</v>
      </c>
      <c r="O4390" t="s">
        <v>33</v>
      </c>
      <c r="P4390" t="s">
        <v>34</v>
      </c>
      <c r="Q4390" t="s">
        <v>34</v>
      </c>
      <c r="R4390" t="s">
        <v>34</v>
      </c>
      <c r="S4390" t="s">
        <v>34</v>
      </c>
      <c r="T4390" s="117">
        <v>0</v>
      </c>
    </row>
    <row r="4391" spans="1:21" x14ac:dyDescent="0.35">
      <c r="A4391" t="s">
        <v>19</v>
      </c>
      <c r="B4391" t="s">
        <v>19</v>
      </c>
      <c r="C4391" s="1">
        <v>45861</v>
      </c>
      <c r="D4391">
        <f t="shared" si="318"/>
        <v>23</v>
      </c>
      <c r="E4391">
        <f t="shared" si="319"/>
        <v>7</v>
      </c>
      <c r="F4391">
        <f t="shared" si="320"/>
        <v>2025</v>
      </c>
      <c r="G4391" t="s">
        <v>54</v>
      </c>
      <c r="H4391" s="98" t="s">
        <v>1191</v>
      </c>
      <c r="I4391" s="91">
        <v>57528.639999999999</v>
      </c>
      <c r="J4391" s="139" t="s">
        <v>31</v>
      </c>
      <c r="K4391" s="76">
        <f t="shared" si="321"/>
        <v>57528.639999999999</v>
      </c>
      <c r="L4391">
        <v>1</v>
      </c>
      <c r="M4391" s="29">
        <v>0</v>
      </c>
      <c r="N4391" t="s">
        <v>32</v>
      </c>
      <c r="O4391" t="s">
        <v>33</v>
      </c>
      <c r="P4391" t="s">
        <v>34</v>
      </c>
      <c r="Q4391" t="s">
        <v>34</v>
      </c>
      <c r="R4391" t="s">
        <v>34</v>
      </c>
      <c r="S4391" t="s">
        <v>34</v>
      </c>
      <c r="T4391" s="117">
        <v>0</v>
      </c>
    </row>
    <row r="4392" spans="1:21" x14ac:dyDescent="0.35">
      <c r="A4392" t="s">
        <v>19</v>
      </c>
      <c r="B4392" t="s">
        <v>19</v>
      </c>
      <c r="C4392" s="1">
        <v>45861</v>
      </c>
      <c r="D4392">
        <f t="shared" si="318"/>
        <v>23</v>
      </c>
      <c r="E4392">
        <f t="shared" si="319"/>
        <v>7</v>
      </c>
      <c r="F4392">
        <f t="shared" si="320"/>
        <v>2025</v>
      </c>
      <c r="G4392" t="s">
        <v>106</v>
      </c>
      <c r="H4392" s="98" t="s">
        <v>1192</v>
      </c>
      <c r="I4392" s="91">
        <v>255838.95</v>
      </c>
      <c r="J4392" s="139" t="s">
        <v>31</v>
      </c>
      <c r="K4392" s="76">
        <f t="shared" si="321"/>
        <v>255838.95</v>
      </c>
      <c r="L4392">
        <v>1</v>
      </c>
      <c r="M4392" s="29">
        <v>0</v>
      </c>
      <c r="N4392" t="s">
        <v>32</v>
      </c>
      <c r="O4392" t="s">
        <v>33</v>
      </c>
      <c r="P4392" t="s">
        <v>34</v>
      </c>
      <c r="Q4392" t="s">
        <v>34</v>
      </c>
      <c r="R4392" t="s">
        <v>34</v>
      </c>
      <c r="S4392" t="s">
        <v>34</v>
      </c>
      <c r="T4392" s="117">
        <v>14667.5</v>
      </c>
    </row>
    <row r="4393" spans="1:21" x14ac:dyDescent="0.35">
      <c r="A4393" t="s">
        <v>19</v>
      </c>
      <c r="B4393" t="s">
        <v>19</v>
      </c>
      <c r="C4393" s="1">
        <v>45861</v>
      </c>
      <c r="D4393">
        <f t="shared" si="318"/>
        <v>23</v>
      </c>
      <c r="E4393">
        <f t="shared" si="319"/>
        <v>7</v>
      </c>
      <c r="F4393">
        <f t="shared" si="320"/>
        <v>2025</v>
      </c>
      <c r="G4393" t="s">
        <v>59</v>
      </c>
      <c r="H4393" s="171" t="s">
        <v>1182</v>
      </c>
      <c r="I4393" s="91">
        <v>100000</v>
      </c>
      <c r="J4393" s="139" t="s">
        <v>31</v>
      </c>
      <c r="K4393" s="76">
        <f t="shared" si="321"/>
        <v>100000</v>
      </c>
      <c r="L4393">
        <v>1</v>
      </c>
      <c r="M4393" s="29">
        <v>0</v>
      </c>
      <c r="N4393" t="s">
        <v>32</v>
      </c>
      <c r="O4393" t="s">
        <v>33</v>
      </c>
      <c r="P4393" t="s">
        <v>34</v>
      </c>
      <c r="Q4393" t="s">
        <v>34</v>
      </c>
      <c r="R4393" t="s">
        <v>34</v>
      </c>
      <c r="S4393" t="s">
        <v>34</v>
      </c>
      <c r="T4393" s="117">
        <v>0</v>
      </c>
    </row>
    <row r="4394" spans="1:21" x14ac:dyDescent="0.35">
      <c r="A4394" t="s">
        <v>19</v>
      </c>
      <c r="B4394" t="s">
        <v>19</v>
      </c>
      <c r="C4394" s="1">
        <v>45861</v>
      </c>
      <c r="D4394">
        <f t="shared" si="318"/>
        <v>23</v>
      </c>
      <c r="E4394">
        <f t="shared" si="319"/>
        <v>7</v>
      </c>
      <c r="F4394">
        <f t="shared" si="320"/>
        <v>2025</v>
      </c>
      <c r="G4394" t="s">
        <v>523</v>
      </c>
      <c r="H4394" s="98" t="s">
        <v>1193</v>
      </c>
      <c r="I4394" s="91">
        <v>22314.37</v>
      </c>
      <c r="J4394" s="139" t="s">
        <v>31</v>
      </c>
      <c r="K4394" s="76">
        <f t="shared" si="321"/>
        <v>22314.37</v>
      </c>
      <c r="L4394">
        <v>1</v>
      </c>
      <c r="M4394" s="29">
        <v>0</v>
      </c>
      <c r="N4394" t="s">
        <v>32</v>
      </c>
      <c r="O4394" t="s">
        <v>33</v>
      </c>
      <c r="P4394" t="s">
        <v>34</v>
      </c>
      <c r="Q4394" t="s">
        <v>34</v>
      </c>
      <c r="R4394" t="s">
        <v>34</v>
      </c>
      <c r="S4394" t="s">
        <v>34</v>
      </c>
      <c r="T4394" s="117">
        <v>0</v>
      </c>
    </row>
    <row r="4395" spans="1:21" x14ac:dyDescent="0.35">
      <c r="A4395" t="s">
        <v>19</v>
      </c>
      <c r="B4395" t="s">
        <v>19</v>
      </c>
      <c r="C4395" s="1">
        <v>45861</v>
      </c>
      <c r="D4395">
        <f t="shared" si="318"/>
        <v>23</v>
      </c>
      <c r="E4395">
        <f t="shared" si="319"/>
        <v>7</v>
      </c>
      <c r="F4395">
        <f t="shared" si="320"/>
        <v>2025</v>
      </c>
      <c r="G4395" t="s">
        <v>111</v>
      </c>
      <c r="H4395" s="171" t="s">
        <v>1194</v>
      </c>
      <c r="I4395" s="91">
        <v>182821.42</v>
      </c>
      <c r="J4395" s="139" t="s">
        <v>31</v>
      </c>
      <c r="K4395" s="76">
        <f t="shared" si="321"/>
        <v>182821.42</v>
      </c>
      <c r="L4395">
        <v>1</v>
      </c>
      <c r="M4395" s="29">
        <v>0</v>
      </c>
      <c r="N4395" t="s">
        <v>32</v>
      </c>
      <c r="O4395" t="s">
        <v>33</v>
      </c>
      <c r="P4395" t="s">
        <v>34</v>
      </c>
      <c r="Q4395" t="s">
        <v>34</v>
      </c>
      <c r="R4395" t="s">
        <v>34</v>
      </c>
      <c r="S4395" t="s">
        <v>34</v>
      </c>
      <c r="T4395" s="117">
        <v>0</v>
      </c>
    </row>
    <row r="4396" spans="1:21" x14ac:dyDescent="0.35">
      <c r="A4396" t="s">
        <v>19</v>
      </c>
      <c r="B4396" t="s">
        <v>19</v>
      </c>
      <c r="C4396" s="1">
        <v>45861</v>
      </c>
      <c r="D4396">
        <f t="shared" si="318"/>
        <v>23</v>
      </c>
      <c r="E4396">
        <f t="shared" si="319"/>
        <v>7</v>
      </c>
      <c r="F4396">
        <f t="shared" si="320"/>
        <v>2025</v>
      </c>
      <c r="G4396" t="s">
        <v>124</v>
      </c>
      <c r="H4396" s="171" t="s">
        <v>1195</v>
      </c>
      <c r="I4396" s="91">
        <v>8640.36</v>
      </c>
      <c r="J4396" s="139" t="s">
        <v>31</v>
      </c>
      <c r="K4396" s="76">
        <f t="shared" si="321"/>
        <v>8640.36</v>
      </c>
      <c r="L4396">
        <v>1</v>
      </c>
      <c r="M4396" s="29">
        <v>0</v>
      </c>
      <c r="N4396" t="s">
        <v>32</v>
      </c>
      <c r="O4396" t="s">
        <v>33</v>
      </c>
      <c r="P4396" t="s">
        <v>34</v>
      </c>
      <c r="Q4396" t="s">
        <v>34</v>
      </c>
      <c r="R4396" t="s">
        <v>34</v>
      </c>
      <c r="S4396" t="s">
        <v>34</v>
      </c>
      <c r="T4396" s="117">
        <v>0</v>
      </c>
    </row>
    <row r="4397" spans="1:21" x14ac:dyDescent="0.35">
      <c r="A4397" t="s">
        <v>19</v>
      </c>
      <c r="B4397" t="s">
        <v>19</v>
      </c>
      <c r="C4397" s="1">
        <v>45861</v>
      </c>
      <c r="D4397">
        <f t="shared" si="318"/>
        <v>23</v>
      </c>
      <c r="E4397">
        <f t="shared" si="319"/>
        <v>7</v>
      </c>
      <c r="F4397">
        <f t="shared" si="320"/>
        <v>2025</v>
      </c>
      <c r="G4397" t="s">
        <v>1001</v>
      </c>
      <c r="H4397" s="171" t="s">
        <v>1196</v>
      </c>
      <c r="I4397" s="172">
        <v>2608.1999999999998</v>
      </c>
      <c r="J4397" s="139" t="s">
        <v>31</v>
      </c>
      <c r="K4397" s="76">
        <f t="shared" si="321"/>
        <v>2608.1999999999998</v>
      </c>
      <c r="L4397">
        <v>1</v>
      </c>
      <c r="M4397" s="29">
        <v>0</v>
      </c>
      <c r="N4397" t="s">
        <v>32</v>
      </c>
      <c r="O4397" t="s">
        <v>33</v>
      </c>
      <c r="P4397" t="s">
        <v>34</v>
      </c>
      <c r="Q4397" t="s">
        <v>34</v>
      </c>
      <c r="R4397" t="s">
        <v>34</v>
      </c>
      <c r="S4397" t="s">
        <v>34</v>
      </c>
      <c r="T4397" s="117">
        <v>0</v>
      </c>
    </row>
    <row r="4398" spans="1:21" x14ac:dyDescent="0.35">
      <c r="A4398" t="s">
        <v>19</v>
      </c>
      <c r="B4398" t="s">
        <v>19</v>
      </c>
      <c r="C4398" s="1">
        <v>45863</v>
      </c>
      <c r="D4398">
        <f t="shared" si="318"/>
        <v>25</v>
      </c>
      <c r="E4398">
        <f t="shared" si="319"/>
        <v>7</v>
      </c>
      <c r="F4398">
        <f t="shared" si="320"/>
        <v>2025</v>
      </c>
      <c r="G4398" t="s">
        <v>56</v>
      </c>
      <c r="H4398" s="98" t="s">
        <v>1209</v>
      </c>
      <c r="I4398" s="29">
        <v>178620.32</v>
      </c>
      <c r="J4398" s="12" t="s">
        <v>31</v>
      </c>
      <c r="K4398" s="76">
        <f t="shared" si="321"/>
        <v>178620.32</v>
      </c>
      <c r="L4398">
        <v>1</v>
      </c>
      <c r="M4398" s="29">
        <v>0</v>
      </c>
      <c r="N4398" t="s">
        <v>32</v>
      </c>
      <c r="O4398" t="s">
        <v>33</v>
      </c>
      <c r="P4398" t="s">
        <v>34</v>
      </c>
      <c r="Q4398" t="s">
        <v>34</v>
      </c>
      <c r="R4398" t="s">
        <v>34</v>
      </c>
      <c r="S4398" t="s">
        <v>34</v>
      </c>
      <c r="T4398" s="117">
        <v>0</v>
      </c>
    </row>
    <row r="4399" spans="1:21" x14ac:dyDescent="0.35">
      <c r="A4399" t="s">
        <v>19</v>
      </c>
      <c r="B4399" t="s">
        <v>26</v>
      </c>
      <c r="C4399" s="1">
        <v>45863</v>
      </c>
      <c r="D4399">
        <f>DAY(C4399)</f>
        <v>25</v>
      </c>
      <c r="E4399">
        <f>MONTH(C4399)</f>
        <v>7</v>
      </c>
      <c r="F4399">
        <f>YEAR(C4399)</f>
        <v>2025</v>
      </c>
      <c r="G4399" t="s">
        <v>73</v>
      </c>
      <c r="H4399" s="98">
        <v>13457</v>
      </c>
      <c r="I4399">
        <v>47869.3</v>
      </c>
      <c r="J4399" s="12" t="s">
        <v>51</v>
      </c>
      <c r="K4399" s="76">
        <f t="shared" si="321"/>
        <v>56246.427500000005</v>
      </c>
      <c r="L4399">
        <v>1.175</v>
      </c>
      <c r="M4399" s="29">
        <v>0</v>
      </c>
      <c r="N4399" t="s">
        <v>32</v>
      </c>
      <c r="O4399" t="s">
        <v>33</v>
      </c>
      <c r="P4399" t="s">
        <v>34</v>
      </c>
      <c r="Q4399" t="s">
        <v>34</v>
      </c>
      <c r="R4399" t="s">
        <v>34</v>
      </c>
      <c r="S4399" t="s">
        <v>34</v>
      </c>
      <c r="T4399" s="117">
        <v>0</v>
      </c>
      <c r="U4399" s="209" t="s">
        <v>94</v>
      </c>
    </row>
    <row r="4400" spans="1:21" x14ac:dyDescent="0.35">
      <c r="A4400" t="s">
        <v>19</v>
      </c>
      <c r="B4400" t="s">
        <v>26</v>
      </c>
      <c r="C4400" s="1">
        <v>45863</v>
      </c>
      <c r="D4400">
        <f>DAY(C4400)</f>
        <v>25</v>
      </c>
      <c r="E4400">
        <f>MONTH(C4400)</f>
        <v>7</v>
      </c>
      <c r="F4400">
        <f>YEAR(C4400)</f>
        <v>2025</v>
      </c>
      <c r="G4400" t="s">
        <v>73</v>
      </c>
      <c r="H4400" s="98">
        <v>13458</v>
      </c>
      <c r="I4400">
        <v>79537.03</v>
      </c>
      <c r="J4400" s="12" t="s">
        <v>51</v>
      </c>
      <c r="K4400" s="76">
        <f t="shared" si="321"/>
        <v>93456.010250000007</v>
      </c>
      <c r="L4400">
        <v>1.175</v>
      </c>
      <c r="M4400" s="29">
        <v>0</v>
      </c>
      <c r="N4400" t="s">
        <v>32</v>
      </c>
      <c r="O4400" t="s">
        <v>33</v>
      </c>
      <c r="P4400" t="s">
        <v>34</v>
      </c>
      <c r="Q4400" t="s">
        <v>34</v>
      </c>
      <c r="R4400" t="s">
        <v>34</v>
      </c>
      <c r="S4400" t="s">
        <v>34</v>
      </c>
      <c r="T4400" s="117">
        <v>0</v>
      </c>
      <c r="U4400" s="209" t="s">
        <v>94</v>
      </c>
    </row>
    <row r="4401" spans="1:21" x14ac:dyDescent="0.35">
      <c r="A4401" t="s">
        <v>19</v>
      </c>
      <c r="B4401" t="s">
        <v>26</v>
      </c>
      <c r="C4401" s="1">
        <v>45863</v>
      </c>
      <c r="D4401">
        <f>DAY(C4401)</f>
        <v>25</v>
      </c>
      <c r="E4401">
        <f>MONTH(C4401)</f>
        <v>7</v>
      </c>
      <c r="F4401">
        <f>YEAR(C4401)</f>
        <v>2025</v>
      </c>
      <c r="G4401" t="s">
        <v>73</v>
      </c>
      <c r="H4401" s="98">
        <v>13459</v>
      </c>
      <c r="I4401">
        <v>21138.63</v>
      </c>
      <c r="J4401" s="12" t="s">
        <v>51</v>
      </c>
      <c r="K4401" s="76">
        <f t="shared" si="321"/>
        <v>24837.89025</v>
      </c>
      <c r="L4401">
        <v>1.175</v>
      </c>
      <c r="M4401" s="29">
        <v>0</v>
      </c>
      <c r="N4401" t="s">
        <v>32</v>
      </c>
      <c r="O4401" t="s">
        <v>33</v>
      </c>
      <c r="P4401" t="s">
        <v>34</v>
      </c>
      <c r="Q4401" t="s">
        <v>34</v>
      </c>
      <c r="R4401" t="s">
        <v>34</v>
      </c>
      <c r="S4401" t="s">
        <v>34</v>
      </c>
      <c r="T4401" s="117">
        <v>0</v>
      </c>
      <c r="U4401" s="209" t="s">
        <v>94</v>
      </c>
    </row>
    <row r="4402" spans="1:21" x14ac:dyDescent="0.35">
      <c r="A4402" t="s">
        <v>19</v>
      </c>
      <c r="B4402" t="s">
        <v>26</v>
      </c>
      <c r="C4402" s="1">
        <v>45863</v>
      </c>
      <c r="D4402">
        <f t="shared" si="318"/>
        <v>25</v>
      </c>
      <c r="E4402">
        <f t="shared" si="319"/>
        <v>7</v>
      </c>
      <c r="F4402">
        <f t="shared" si="320"/>
        <v>2025</v>
      </c>
      <c r="G4402" t="s">
        <v>73</v>
      </c>
      <c r="H4402" s="121">
        <v>13525</v>
      </c>
      <c r="I4402">
        <v>54272.84</v>
      </c>
      <c r="J4402" s="12" t="s">
        <v>51</v>
      </c>
      <c r="K4402" s="76">
        <f>IF(J4402="USD",I4402,I4402*L4402)-0.01</f>
        <v>63770.576999999997</v>
      </c>
      <c r="L4402">
        <v>1.175</v>
      </c>
      <c r="M4402" s="29">
        <v>0</v>
      </c>
      <c r="N4402" t="s">
        <v>42</v>
      </c>
      <c r="O4402" t="s">
        <v>33</v>
      </c>
      <c r="P4402" t="s">
        <v>34</v>
      </c>
      <c r="Q4402" t="s">
        <v>34</v>
      </c>
      <c r="R4402" t="s">
        <v>34</v>
      </c>
      <c r="S4402" t="s">
        <v>34</v>
      </c>
      <c r="T4402" s="117">
        <v>0</v>
      </c>
      <c r="U4402" s="209" t="s">
        <v>94</v>
      </c>
    </row>
    <row r="4403" spans="1:21" x14ac:dyDescent="0.35">
      <c r="A4403" t="s">
        <v>19</v>
      </c>
      <c r="B4403" t="s">
        <v>25</v>
      </c>
      <c r="C4403" s="1">
        <v>45867</v>
      </c>
      <c r="D4403">
        <f t="shared" si="318"/>
        <v>29</v>
      </c>
      <c r="E4403">
        <f t="shared" si="319"/>
        <v>7</v>
      </c>
      <c r="F4403">
        <f t="shared" si="320"/>
        <v>2025</v>
      </c>
      <c r="G4403" t="s">
        <v>285</v>
      </c>
      <c r="H4403" s="139">
        <v>12286</v>
      </c>
      <c r="I4403" s="91">
        <v>6577.5</v>
      </c>
      <c r="J4403" s="139" t="s">
        <v>31</v>
      </c>
      <c r="K4403" s="76">
        <f t="shared" ref="K4403:K4466" si="322">IF(J4403="USD",I4403,I4403*L4403)</f>
        <v>6577.5</v>
      </c>
      <c r="L4403">
        <v>1</v>
      </c>
      <c r="M4403" s="29">
        <v>0</v>
      </c>
      <c r="N4403" t="s">
        <v>32</v>
      </c>
      <c r="O4403" t="s">
        <v>33</v>
      </c>
      <c r="P4403" t="s">
        <v>34</v>
      </c>
      <c r="Q4403" t="s">
        <v>34</v>
      </c>
      <c r="R4403" t="s">
        <v>34</v>
      </c>
      <c r="S4403" t="s">
        <v>34</v>
      </c>
      <c r="T4403" s="117">
        <v>0</v>
      </c>
    </row>
    <row r="4404" spans="1:21" x14ac:dyDescent="0.35">
      <c r="A4404" t="s">
        <v>19</v>
      </c>
      <c r="B4404" t="s">
        <v>25</v>
      </c>
      <c r="C4404" s="1">
        <v>45867</v>
      </c>
      <c r="D4404">
        <f t="shared" si="318"/>
        <v>29</v>
      </c>
      <c r="E4404">
        <f t="shared" si="319"/>
        <v>7</v>
      </c>
      <c r="F4404">
        <f t="shared" si="320"/>
        <v>2025</v>
      </c>
      <c r="G4404" t="s">
        <v>285</v>
      </c>
      <c r="H4404" s="139">
        <v>12285</v>
      </c>
      <c r="I4404" s="91">
        <v>205.8</v>
      </c>
      <c r="J4404" s="139" t="s">
        <v>31</v>
      </c>
      <c r="K4404" s="76">
        <f t="shared" si="322"/>
        <v>205.8</v>
      </c>
      <c r="L4404">
        <v>1</v>
      </c>
      <c r="M4404" s="29">
        <v>0</v>
      </c>
      <c r="N4404" t="s">
        <v>32</v>
      </c>
      <c r="O4404" t="s">
        <v>33</v>
      </c>
      <c r="P4404" t="s">
        <v>34</v>
      </c>
      <c r="Q4404" t="s">
        <v>34</v>
      </c>
      <c r="R4404" t="s">
        <v>34</v>
      </c>
      <c r="S4404" t="s">
        <v>34</v>
      </c>
      <c r="T4404" s="117">
        <v>0</v>
      </c>
    </row>
    <row r="4405" spans="1:21" x14ac:dyDescent="0.35">
      <c r="A4405" t="s">
        <v>20</v>
      </c>
      <c r="B4405" t="s">
        <v>25</v>
      </c>
      <c r="C4405" s="1">
        <v>45867</v>
      </c>
      <c r="D4405">
        <f t="shared" si="318"/>
        <v>29</v>
      </c>
      <c r="E4405">
        <f t="shared" si="319"/>
        <v>7</v>
      </c>
      <c r="F4405">
        <f t="shared" si="320"/>
        <v>2025</v>
      </c>
      <c r="G4405" t="s">
        <v>49</v>
      </c>
      <c r="H4405" s="98">
        <v>12845</v>
      </c>
      <c r="I4405" s="29">
        <v>19678.099999999999</v>
      </c>
      <c r="J4405" s="12" t="s">
        <v>51</v>
      </c>
      <c r="K4405" s="76">
        <f t="shared" si="322"/>
        <v>22777.419995181801</v>
      </c>
      <c r="L4405">
        <v>1.1575009780000001</v>
      </c>
      <c r="M4405" s="29">
        <v>0</v>
      </c>
      <c r="N4405" t="s">
        <v>32</v>
      </c>
      <c r="O4405" t="s">
        <v>33</v>
      </c>
      <c r="P4405" t="s">
        <v>34</v>
      </c>
      <c r="Q4405" t="s">
        <v>34</v>
      </c>
      <c r="R4405" t="s">
        <v>34</v>
      </c>
      <c r="S4405" t="s">
        <v>34</v>
      </c>
      <c r="T4405" s="117">
        <v>0</v>
      </c>
    </row>
    <row r="4406" spans="1:21" x14ac:dyDescent="0.35">
      <c r="A4406" t="s">
        <v>20</v>
      </c>
      <c r="B4406" t="s">
        <v>24</v>
      </c>
      <c r="C4406" s="1">
        <v>45867</v>
      </c>
      <c r="D4406">
        <f t="shared" si="318"/>
        <v>29</v>
      </c>
      <c r="E4406">
        <f t="shared" si="319"/>
        <v>7</v>
      </c>
      <c r="F4406">
        <f t="shared" si="320"/>
        <v>2025</v>
      </c>
      <c r="G4406" t="s">
        <v>174</v>
      </c>
      <c r="H4406" s="139">
        <v>12890</v>
      </c>
      <c r="I4406" s="91">
        <v>6077.82</v>
      </c>
      <c r="J4406" s="139" t="s">
        <v>31</v>
      </c>
      <c r="K4406" s="76">
        <f t="shared" si="322"/>
        <v>6077.82</v>
      </c>
      <c r="L4406">
        <v>1</v>
      </c>
      <c r="M4406" s="29">
        <v>0</v>
      </c>
      <c r="N4406" t="s">
        <v>32</v>
      </c>
      <c r="O4406" t="s">
        <v>33</v>
      </c>
      <c r="P4406" t="s">
        <v>34</v>
      </c>
      <c r="Q4406" t="s">
        <v>34</v>
      </c>
      <c r="R4406" t="s">
        <v>34</v>
      </c>
      <c r="S4406" t="s">
        <v>34</v>
      </c>
      <c r="T4406" s="117">
        <v>0</v>
      </c>
    </row>
    <row r="4407" spans="1:21" x14ac:dyDescent="0.35">
      <c r="A4407" t="s">
        <v>20</v>
      </c>
      <c r="B4407" t="s">
        <v>25</v>
      </c>
      <c r="C4407" s="1">
        <v>45867</v>
      </c>
      <c r="D4407">
        <f t="shared" si="318"/>
        <v>29</v>
      </c>
      <c r="E4407">
        <f t="shared" si="319"/>
        <v>7</v>
      </c>
      <c r="F4407">
        <f t="shared" si="320"/>
        <v>2025</v>
      </c>
      <c r="G4407" t="s">
        <v>174</v>
      </c>
      <c r="H4407" s="139">
        <v>12890</v>
      </c>
      <c r="I4407" s="91">
        <v>20870.07</v>
      </c>
      <c r="J4407" s="139" t="s">
        <v>31</v>
      </c>
      <c r="K4407" s="76">
        <f t="shared" si="322"/>
        <v>20870.07</v>
      </c>
      <c r="L4407">
        <v>1</v>
      </c>
      <c r="M4407" s="29">
        <v>0</v>
      </c>
      <c r="N4407" t="s">
        <v>32</v>
      </c>
      <c r="O4407" t="s">
        <v>33</v>
      </c>
      <c r="P4407" t="s">
        <v>34</v>
      </c>
      <c r="Q4407" t="s">
        <v>34</v>
      </c>
      <c r="R4407" t="s">
        <v>34</v>
      </c>
      <c r="S4407" t="s">
        <v>34</v>
      </c>
      <c r="T4407" s="117">
        <v>0</v>
      </c>
    </row>
    <row r="4408" spans="1:21" x14ac:dyDescent="0.35">
      <c r="A4408" t="s">
        <v>20</v>
      </c>
      <c r="B4408" t="s">
        <v>23</v>
      </c>
      <c r="C4408" s="1">
        <v>45867</v>
      </c>
      <c r="D4408">
        <f t="shared" si="318"/>
        <v>29</v>
      </c>
      <c r="E4408">
        <f t="shared" si="319"/>
        <v>7</v>
      </c>
      <c r="F4408">
        <f t="shared" si="320"/>
        <v>2025</v>
      </c>
      <c r="G4408" t="s">
        <v>265</v>
      </c>
      <c r="H4408" s="98">
        <v>12863</v>
      </c>
      <c r="I4408" s="29">
        <v>8518.49</v>
      </c>
      <c r="J4408" s="12" t="s">
        <v>31</v>
      </c>
      <c r="K4408" s="76">
        <f t="shared" si="322"/>
        <v>8518.49</v>
      </c>
      <c r="L4408">
        <v>1</v>
      </c>
      <c r="M4408" s="29">
        <v>0</v>
      </c>
      <c r="N4408" t="s">
        <v>32</v>
      </c>
      <c r="O4408" t="s">
        <v>33</v>
      </c>
      <c r="P4408" t="s">
        <v>34</v>
      </c>
      <c r="Q4408" t="s">
        <v>34</v>
      </c>
      <c r="R4408" t="s">
        <v>34</v>
      </c>
      <c r="S4408" t="s">
        <v>34</v>
      </c>
      <c r="T4408" s="117">
        <v>0</v>
      </c>
    </row>
    <row r="4409" spans="1:21" x14ac:dyDescent="0.35">
      <c r="A4409" t="s">
        <v>20</v>
      </c>
      <c r="B4409" t="s">
        <v>24</v>
      </c>
      <c r="C4409" s="1">
        <v>45867</v>
      </c>
      <c r="D4409">
        <f t="shared" si="318"/>
        <v>29</v>
      </c>
      <c r="E4409">
        <f t="shared" si="319"/>
        <v>7</v>
      </c>
      <c r="F4409">
        <f t="shared" si="320"/>
        <v>2025</v>
      </c>
      <c r="G4409" t="s">
        <v>45</v>
      </c>
      <c r="H4409" s="139">
        <v>12851</v>
      </c>
      <c r="I4409" s="91">
        <v>37578.22</v>
      </c>
      <c r="J4409" s="139" t="s">
        <v>31</v>
      </c>
      <c r="K4409" s="76">
        <f t="shared" si="322"/>
        <v>37578.22</v>
      </c>
      <c r="L4409">
        <v>1</v>
      </c>
      <c r="M4409" s="29">
        <v>0</v>
      </c>
      <c r="N4409" t="s">
        <v>32</v>
      </c>
      <c r="O4409" t="s">
        <v>33</v>
      </c>
      <c r="P4409" t="s">
        <v>34</v>
      </c>
      <c r="Q4409" t="s">
        <v>34</v>
      </c>
      <c r="R4409" t="s">
        <v>34</v>
      </c>
      <c r="S4409" t="s">
        <v>34</v>
      </c>
      <c r="T4409" s="117">
        <v>0</v>
      </c>
    </row>
    <row r="4410" spans="1:21" x14ac:dyDescent="0.35">
      <c r="A4410" t="s">
        <v>20</v>
      </c>
      <c r="B4410" t="s">
        <v>25</v>
      </c>
      <c r="C4410" s="1">
        <v>45867</v>
      </c>
      <c r="D4410">
        <f t="shared" si="318"/>
        <v>29</v>
      </c>
      <c r="E4410">
        <f t="shared" si="319"/>
        <v>7</v>
      </c>
      <c r="F4410">
        <f t="shared" si="320"/>
        <v>2025</v>
      </c>
      <c r="G4410" t="s">
        <v>45</v>
      </c>
      <c r="H4410" s="139">
        <v>12851</v>
      </c>
      <c r="I4410" s="91">
        <v>164099.20000000001</v>
      </c>
      <c r="J4410" s="139" t="s">
        <v>31</v>
      </c>
      <c r="K4410" s="76">
        <f t="shared" si="322"/>
        <v>164099.20000000001</v>
      </c>
      <c r="L4410">
        <v>1</v>
      </c>
      <c r="M4410" s="29">
        <v>0</v>
      </c>
      <c r="N4410" t="s">
        <v>32</v>
      </c>
      <c r="O4410" t="s">
        <v>33</v>
      </c>
      <c r="P4410" t="s">
        <v>34</v>
      </c>
      <c r="Q4410" t="s">
        <v>34</v>
      </c>
      <c r="R4410" t="s">
        <v>34</v>
      </c>
      <c r="S4410" t="s">
        <v>34</v>
      </c>
      <c r="T4410" s="117">
        <v>0</v>
      </c>
    </row>
    <row r="4411" spans="1:21" x14ac:dyDescent="0.35">
      <c r="A4411" t="s">
        <v>20</v>
      </c>
      <c r="B4411" t="s">
        <v>21</v>
      </c>
      <c r="C4411" s="1">
        <v>45867</v>
      </c>
      <c r="D4411">
        <f t="shared" si="318"/>
        <v>29</v>
      </c>
      <c r="E4411">
        <f t="shared" si="319"/>
        <v>7</v>
      </c>
      <c r="F4411">
        <f t="shared" si="320"/>
        <v>2025</v>
      </c>
      <c r="G4411" t="s">
        <v>45</v>
      </c>
      <c r="H4411" s="139">
        <v>12632</v>
      </c>
      <c r="I4411" s="91">
        <v>301.60000000000002</v>
      </c>
      <c r="J4411" s="139" t="s">
        <v>31</v>
      </c>
      <c r="K4411" s="76">
        <f t="shared" si="322"/>
        <v>301.60000000000002</v>
      </c>
      <c r="L4411">
        <v>1</v>
      </c>
      <c r="M4411" s="29">
        <v>0</v>
      </c>
      <c r="N4411" t="s">
        <v>32</v>
      </c>
      <c r="O4411" t="s">
        <v>33</v>
      </c>
      <c r="P4411" t="s">
        <v>34</v>
      </c>
      <c r="Q4411" t="s">
        <v>34</v>
      </c>
      <c r="R4411" t="s">
        <v>34</v>
      </c>
      <c r="S4411" t="s">
        <v>34</v>
      </c>
      <c r="T4411" s="117">
        <v>0</v>
      </c>
    </row>
    <row r="4412" spans="1:21" x14ac:dyDescent="0.35">
      <c r="A4412" t="s">
        <v>20</v>
      </c>
      <c r="B4412" t="s">
        <v>25</v>
      </c>
      <c r="C4412" s="1">
        <v>45867</v>
      </c>
      <c r="D4412">
        <f t="shared" si="318"/>
        <v>29</v>
      </c>
      <c r="E4412">
        <f t="shared" si="319"/>
        <v>7</v>
      </c>
      <c r="F4412">
        <f t="shared" si="320"/>
        <v>2025</v>
      </c>
      <c r="G4412" t="s">
        <v>45</v>
      </c>
      <c r="H4412" s="139">
        <v>12854</v>
      </c>
      <c r="I4412" s="91">
        <v>531.20000000000005</v>
      </c>
      <c r="J4412" s="139" t="s">
        <v>31</v>
      </c>
      <c r="K4412" s="76">
        <f t="shared" si="322"/>
        <v>531.20000000000005</v>
      </c>
      <c r="L4412">
        <v>1</v>
      </c>
      <c r="M4412" s="29">
        <v>0</v>
      </c>
      <c r="N4412" t="s">
        <v>32</v>
      </c>
      <c r="O4412" t="s">
        <v>33</v>
      </c>
      <c r="P4412" t="s">
        <v>34</v>
      </c>
      <c r="Q4412" t="s">
        <v>34</v>
      </c>
      <c r="R4412" t="s">
        <v>34</v>
      </c>
      <c r="S4412" t="s">
        <v>34</v>
      </c>
      <c r="T4412" s="117">
        <v>0</v>
      </c>
    </row>
    <row r="4413" spans="1:21" x14ac:dyDescent="0.35">
      <c r="A4413" t="s">
        <v>20</v>
      </c>
      <c r="B4413" t="s">
        <v>23</v>
      </c>
      <c r="C4413" s="1">
        <v>45867</v>
      </c>
      <c r="D4413">
        <f t="shared" si="318"/>
        <v>29</v>
      </c>
      <c r="E4413">
        <f t="shared" si="319"/>
        <v>7</v>
      </c>
      <c r="F4413">
        <f t="shared" si="320"/>
        <v>2025</v>
      </c>
      <c r="G4413" t="s">
        <v>82</v>
      </c>
      <c r="H4413" s="98">
        <v>12935</v>
      </c>
      <c r="I4413" s="29">
        <v>104.2</v>
      </c>
      <c r="J4413" s="12" t="s">
        <v>31</v>
      </c>
      <c r="K4413" s="76">
        <f t="shared" si="322"/>
        <v>104.2</v>
      </c>
      <c r="L4413">
        <v>1</v>
      </c>
      <c r="M4413" s="29">
        <v>0</v>
      </c>
      <c r="N4413" t="s">
        <v>32</v>
      </c>
      <c r="O4413" t="s">
        <v>33</v>
      </c>
      <c r="P4413" t="s">
        <v>34</v>
      </c>
      <c r="Q4413" t="s">
        <v>34</v>
      </c>
      <c r="R4413" t="s">
        <v>34</v>
      </c>
      <c r="S4413" t="s">
        <v>34</v>
      </c>
      <c r="T4413" s="117">
        <v>0</v>
      </c>
    </row>
    <row r="4414" spans="1:21" x14ac:dyDescent="0.35">
      <c r="A4414" t="s">
        <v>20</v>
      </c>
      <c r="B4414" t="s">
        <v>24</v>
      </c>
      <c r="C4414" s="1">
        <v>45867</v>
      </c>
      <c r="D4414">
        <f t="shared" si="318"/>
        <v>29</v>
      </c>
      <c r="E4414">
        <f t="shared" si="319"/>
        <v>7</v>
      </c>
      <c r="F4414">
        <f t="shared" si="320"/>
        <v>2025</v>
      </c>
      <c r="G4414" t="s">
        <v>1109</v>
      </c>
      <c r="H4414" s="139">
        <v>13281</v>
      </c>
      <c r="I4414" s="91">
        <v>359.6</v>
      </c>
      <c r="J4414" s="139" t="s">
        <v>31</v>
      </c>
      <c r="K4414" s="76">
        <f t="shared" si="322"/>
        <v>359.6</v>
      </c>
      <c r="L4414">
        <v>1</v>
      </c>
      <c r="M4414" s="29">
        <v>0</v>
      </c>
      <c r="N4414" t="s">
        <v>42</v>
      </c>
      <c r="O4414" t="s">
        <v>33</v>
      </c>
      <c r="P4414" t="s">
        <v>34</v>
      </c>
      <c r="Q4414" t="s">
        <v>34</v>
      </c>
      <c r="R4414" t="s">
        <v>34</v>
      </c>
      <c r="S4414" t="s">
        <v>34</v>
      </c>
      <c r="T4414" s="117">
        <v>0</v>
      </c>
    </row>
    <row r="4415" spans="1:21" x14ac:dyDescent="0.35">
      <c r="A4415" t="s">
        <v>20</v>
      </c>
      <c r="B4415" t="s">
        <v>24</v>
      </c>
      <c r="C4415" s="1">
        <v>45867</v>
      </c>
      <c r="D4415">
        <f t="shared" si="318"/>
        <v>29</v>
      </c>
      <c r="E4415">
        <f t="shared" si="319"/>
        <v>7</v>
      </c>
      <c r="F4415">
        <f t="shared" si="320"/>
        <v>2025</v>
      </c>
      <c r="G4415" t="s">
        <v>1109</v>
      </c>
      <c r="H4415" s="139">
        <v>13282</v>
      </c>
      <c r="I4415" s="91">
        <v>6601.6</v>
      </c>
      <c r="J4415" s="139" t="s">
        <v>31</v>
      </c>
      <c r="K4415" s="76">
        <f t="shared" si="322"/>
        <v>6601.6</v>
      </c>
      <c r="L4415">
        <v>1</v>
      </c>
      <c r="M4415" s="29">
        <v>0</v>
      </c>
      <c r="N4415" t="s">
        <v>42</v>
      </c>
      <c r="O4415" t="s">
        <v>33</v>
      </c>
      <c r="P4415" t="s">
        <v>34</v>
      </c>
      <c r="Q4415" t="s">
        <v>34</v>
      </c>
      <c r="R4415" t="s">
        <v>34</v>
      </c>
      <c r="S4415" t="s">
        <v>34</v>
      </c>
      <c r="T4415" s="117">
        <v>0</v>
      </c>
    </row>
    <row r="4416" spans="1:21" x14ac:dyDescent="0.35">
      <c r="A4416" t="s">
        <v>20</v>
      </c>
      <c r="B4416" t="s">
        <v>21</v>
      </c>
      <c r="C4416" s="1">
        <v>45867</v>
      </c>
      <c r="D4416">
        <f t="shared" si="318"/>
        <v>29</v>
      </c>
      <c r="E4416">
        <f t="shared" si="319"/>
        <v>7</v>
      </c>
      <c r="F4416">
        <f t="shared" si="320"/>
        <v>2025</v>
      </c>
      <c r="G4416" t="s">
        <v>118</v>
      </c>
      <c r="H4416" s="139">
        <v>13303</v>
      </c>
      <c r="I4416" s="91">
        <v>125.6</v>
      </c>
      <c r="J4416" s="139" t="s">
        <v>31</v>
      </c>
      <c r="K4416" s="76">
        <f t="shared" si="322"/>
        <v>125.6</v>
      </c>
      <c r="L4416">
        <v>1</v>
      </c>
      <c r="M4416" s="29">
        <v>0</v>
      </c>
      <c r="N4416" t="s">
        <v>42</v>
      </c>
      <c r="O4416" t="s">
        <v>33</v>
      </c>
      <c r="P4416" t="s">
        <v>34</v>
      </c>
      <c r="Q4416" t="s">
        <v>34</v>
      </c>
      <c r="R4416" t="s">
        <v>34</v>
      </c>
      <c r="S4416" t="s">
        <v>34</v>
      </c>
      <c r="T4416" s="117">
        <v>0</v>
      </c>
    </row>
    <row r="4417" spans="1:21" x14ac:dyDescent="0.35">
      <c r="A4417" t="s">
        <v>20</v>
      </c>
      <c r="B4417" t="s">
        <v>21</v>
      </c>
      <c r="C4417" s="1">
        <v>45867</v>
      </c>
      <c r="D4417">
        <f t="shared" si="318"/>
        <v>29</v>
      </c>
      <c r="E4417">
        <f t="shared" si="319"/>
        <v>7</v>
      </c>
      <c r="F4417">
        <f t="shared" si="320"/>
        <v>2025</v>
      </c>
      <c r="G4417" t="s">
        <v>118</v>
      </c>
      <c r="H4417" s="139">
        <v>13304</v>
      </c>
      <c r="I4417" s="91">
        <v>2163.576</v>
      </c>
      <c r="J4417" s="139" t="s">
        <v>31</v>
      </c>
      <c r="K4417" s="76">
        <f t="shared" si="322"/>
        <v>2163.576</v>
      </c>
      <c r="L4417">
        <v>1</v>
      </c>
      <c r="M4417" s="29">
        <v>0</v>
      </c>
      <c r="N4417" t="s">
        <v>42</v>
      </c>
      <c r="O4417" t="s">
        <v>33</v>
      </c>
      <c r="P4417" t="s">
        <v>34</v>
      </c>
      <c r="Q4417" t="s">
        <v>34</v>
      </c>
      <c r="R4417" t="s">
        <v>34</v>
      </c>
      <c r="S4417" t="s">
        <v>34</v>
      </c>
      <c r="T4417" s="117">
        <v>0</v>
      </c>
    </row>
    <row r="4418" spans="1:21" x14ac:dyDescent="0.35">
      <c r="A4418" t="s">
        <v>20</v>
      </c>
      <c r="B4418" t="s">
        <v>24</v>
      </c>
      <c r="C4418" s="1">
        <v>45867</v>
      </c>
      <c r="D4418">
        <f t="shared" si="318"/>
        <v>29</v>
      </c>
      <c r="E4418">
        <f t="shared" si="319"/>
        <v>7</v>
      </c>
      <c r="F4418">
        <f t="shared" si="320"/>
        <v>2025</v>
      </c>
      <c r="G4418" t="s">
        <v>118</v>
      </c>
      <c r="H4418" s="139">
        <v>12753</v>
      </c>
      <c r="I4418" s="91">
        <v>6053.76</v>
      </c>
      <c r="J4418" s="139" t="s">
        <v>31</v>
      </c>
      <c r="K4418" s="76">
        <f t="shared" si="322"/>
        <v>6053.76</v>
      </c>
      <c r="L4418">
        <v>1</v>
      </c>
      <c r="M4418" s="29">
        <v>0</v>
      </c>
      <c r="N4418" t="s">
        <v>32</v>
      </c>
      <c r="O4418" t="s">
        <v>33</v>
      </c>
      <c r="P4418" t="s">
        <v>34</v>
      </c>
      <c r="Q4418" t="s">
        <v>34</v>
      </c>
      <c r="R4418" t="s">
        <v>34</v>
      </c>
      <c r="S4418" t="s">
        <v>34</v>
      </c>
      <c r="T4418" s="117">
        <v>0</v>
      </c>
    </row>
    <row r="4419" spans="1:21" x14ac:dyDescent="0.35">
      <c r="A4419" t="s">
        <v>20</v>
      </c>
      <c r="B4419" t="s">
        <v>21</v>
      </c>
      <c r="C4419" s="1">
        <v>45867</v>
      </c>
      <c r="D4419">
        <f t="shared" si="318"/>
        <v>29</v>
      </c>
      <c r="E4419">
        <f t="shared" si="319"/>
        <v>7</v>
      </c>
      <c r="F4419">
        <f t="shared" si="320"/>
        <v>2025</v>
      </c>
      <c r="G4419" t="s">
        <v>1110</v>
      </c>
      <c r="H4419" s="139">
        <v>13298</v>
      </c>
      <c r="I4419" s="91">
        <v>132.5</v>
      </c>
      <c r="J4419" s="139" t="s">
        <v>31</v>
      </c>
      <c r="K4419" s="76">
        <f t="shared" si="322"/>
        <v>132.5</v>
      </c>
      <c r="L4419">
        <v>1</v>
      </c>
      <c r="M4419" s="29">
        <v>0</v>
      </c>
      <c r="N4419" t="s">
        <v>42</v>
      </c>
      <c r="O4419" t="s">
        <v>33</v>
      </c>
      <c r="P4419" t="s">
        <v>34</v>
      </c>
      <c r="Q4419" t="s">
        <v>34</v>
      </c>
      <c r="R4419" t="s">
        <v>34</v>
      </c>
      <c r="S4419" t="s">
        <v>34</v>
      </c>
      <c r="T4419" s="117">
        <v>0</v>
      </c>
    </row>
    <row r="4420" spans="1:21" x14ac:dyDescent="0.35">
      <c r="A4420" t="s">
        <v>20</v>
      </c>
      <c r="B4420" t="s">
        <v>21</v>
      </c>
      <c r="C4420" s="1">
        <v>45867</v>
      </c>
      <c r="D4420">
        <f t="shared" si="318"/>
        <v>29</v>
      </c>
      <c r="E4420">
        <f t="shared" si="319"/>
        <v>7</v>
      </c>
      <c r="F4420">
        <f t="shared" si="320"/>
        <v>2025</v>
      </c>
      <c r="G4420" t="s">
        <v>1110</v>
      </c>
      <c r="H4420" s="139">
        <v>13299</v>
      </c>
      <c r="I4420" s="91">
        <v>1680.44</v>
      </c>
      <c r="J4420" s="139" t="s">
        <v>31</v>
      </c>
      <c r="K4420" s="76">
        <f t="shared" si="322"/>
        <v>1680.44</v>
      </c>
      <c r="L4420">
        <v>1</v>
      </c>
      <c r="M4420" s="29">
        <v>0</v>
      </c>
      <c r="N4420" t="s">
        <v>42</v>
      </c>
      <c r="O4420" t="s">
        <v>33</v>
      </c>
      <c r="P4420" t="s">
        <v>34</v>
      </c>
      <c r="Q4420" t="s">
        <v>34</v>
      </c>
      <c r="R4420" t="s">
        <v>34</v>
      </c>
      <c r="S4420" t="s">
        <v>34</v>
      </c>
      <c r="T4420" s="117">
        <v>0</v>
      </c>
    </row>
    <row r="4421" spans="1:21" x14ac:dyDescent="0.35">
      <c r="A4421" t="s">
        <v>20</v>
      </c>
      <c r="B4421" t="s">
        <v>21</v>
      </c>
      <c r="C4421" s="1">
        <v>45867</v>
      </c>
      <c r="D4421">
        <f t="shared" si="318"/>
        <v>29</v>
      </c>
      <c r="E4421">
        <f t="shared" si="319"/>
        <v>7</v>
      </c>
      <c r="F4421">
        <f t="shared" si="320"/>
        <v>2025</v>
      </c>
      <c r="G4421" t="s">
        <v>52</v>
      </c>
      <c r="H4421" s="98">
        <v>12841</v>
      </c>
      <c r="I4421" s="29">
        <v>190.72</v>
      </c>
      <c r="J4421" s="12" t="s">
        <v>31</v>
      </c>
      <c r="K4421" s="76">
        <f t="shared" si="322"/>
        <v>190.72</v>
      </c>
      <c r="L4421">
        <v>1</v>
      </c>
      <c r="M4421" s="29">
        <v>0</v>
      </c>
      <c r="N4421" t="s">
        <v>32</v>
      </c>
      <c r="O4421" t="s">
        <v>33</v>
      </c>
      <c r="P4421" t="s">
        <v>34</v>
      </c>
      <c r="Q4421" t="s">
        <v>34</v>
      </c>
      <c r="R4421" t="s">
        <v>34</v>
      </c>
      <c r="S4421" t="s">
        <v>34</v>
      </c>
      <c r="T4421" s="117">
        <v>0</v>
      </c>
    </row>
    <row r="4422" spans="1:21" x14ac:dyDescent="0.35">
      <c r="A4422" t="s">
        <v>20</v>
      </c>
      <c r="B4422" t="s">
        <v>21</v>
      </c>
      <c r="C4422" s="1">
        <v>45867</v>
      </c>
      <c r="D4422">
        <f t="shared" si="318"/>
        <v>29</v>
      </c>
      <c r="E4422">
        <f t="shared" si="319"/>
        <v>7</v>
      </c>
      <c r="F4422">
        <f t="shared" si="320"/>
        <v>2025</v>
      </c>
      <c r="G4422" t="s">
        <v>43</v>
      </c>
      <c r="H4422" s="139">
        <v>12572</v>
      </c>
      <c r="I4422" s="91">
        <v>20957.099999999999</v>
      </c>
      <c r="J4422" s="139" t="s">
        <v>31</v>
      </c>
      <c r="K4422" s="76">
        <f t="shared" si="322"/>
        <v>20957.099999999999</v>
      </c>
      <c r="L4422">
        <v>1</v>
      </c>
      <c r="M4422" s="29">
        <v>0</v>
      </c>
      <c r="N4422" t="s">
        <v>32</v>
      </c>
      <c r="O4422" t="s">
        <v>33</v>
      </c>
      <c r="P4422" t="s">
        <v>34</v>
      </c>
      <c r="Q4422" t="s">
        <v>34</v>
      </c>
      <c r="R4422" t="s">
        <v>34</v>
      </c>
      <c r="S4422" t="s">
        <v>34</v>
      </c>
      <c r="T4422" s="117">
        <v>0</v>
      </c>
    </row>
    <row r="4423" spans="1:21" x14ac:dyDescent="0.35">
      <c r="A4423" t="s">
        <v>20</v>
      </c>
      <c r="B4423" t="s">
        <v>21</v>
      </c>
      <c r="C4423" s="1">
        <v>45867</v>
      </c>
      <c r="D4423">
        <f t="shared" si="318"/>
        <v>29</v>
      </c>
      <c r="E4423">
        <f t="shared" si="319"/>
        <v>7</v>
      </c>
      <c r="F4423">
        <f t="shared" si="320"/>
        <v>2025</v>
      </c>
      <c r="G4423" t="s">
        <v>43</v>
      </c>
      <c r="H4423" s="139">
        <v>12552</v>
      </c>
      <c r="I4423" s="91">
        <v>41.4</v>
      </c>
      <c r="J4423" s="139" t="s">
        <v>31</v>
      </c>
      <c r="K4423" s="76">
        <f t="shared" si="322"/>
        <v>41.4</v>
      </c>
      <c r="L4423">
        <v>1</v>
      </c>
      <c r="M4423" s="29">
        <v>0</v>
      </c>
      <c r="N4423" t="s">
        <v>32</v>
      </c>
      <c r="O4423" t="s">
        <v>33</v>
      </c>
      <c r="P4423" t="s">
        <v>34</v>
      </c>
      <c r="Q4423" t="s">
        <v>34</v>
      </c>
      <c r="R4423" t="s">
        <v>34</v>
      </c>
      <c r="S4423" t="s">
        <v>34</v>
      </c>
      <c r="T4423" s="117">
        <v>0</v>
      </c>
    </row>
    <row r="4424" spans="1:21" x14ac:dyDescent="0.35">
      <c r="A4424" t="s">
        <v>20</v>
      </c>
      <c r="B4424" t="s">
        <v>23</v>
      </c>
      <c r="C4424" s="1">
        <v>45867</v>
      </c>
      <c r="D4424">
        <f t="shared" si="318"/>
        <v>29</v>
      </c>
      <c r="E4424">
        <f t="shared" si="319"/>
        <v>7</v>
      </c>
      <c r="F4424">
        <f t="shared" si="320"/>
        <v>2025</v>
      </c>
      <c r="G4424" t="s">
        <v>46</v>
      </c>
      <c r="H4424" s="98">
        <v>12808</v>
      </c>
      <c r="I4424" s="29">
        <v>6050.89</v>
      </c>
      <c r="J4424" s="12" t="s">
        <v>31</v>
      </c>
      <c r="K4424" s="76">
        <f t="shared" si="322"/>
        <v>6050.89</v>
      </c>
      <c r="L4424">
        <v>1</v>
      </c>
      <c r="M4424" s="29">
        <v>0</v>
      </c>
      <c r="N4424" t="s">
        <v>42</v>
      </c>
      <c r="O4424" t="s">
        <v>33</v>
      </c>
      <c r="P4424" t="s">
        <v>34</v>
      </c>
      <c r="Q4424" t="s">
        <v>34</v>
      </c>
      <c r="R4424" t="s">
        <v>34</v>
      </c>
      <c r="S4424" t="s">
        <v>34</v>
      </c>
      <c r="T4424" s="117">
        <v>0</v>
      </c>
    </row>
    <row r="4425" spans="1:21" x14ac:dyDescent="0.35">
      <c r="A4425" t="s">
        <v>20</v>
      </c>
      <c r="B4425" t="s">
        <v>21</v>
      </c>
      <c r="C4425" s="1">
        <v>45867</v>
      </c>
      <c r="D4425">
        <f t="shared" si="318"/>
        <v>29</v>
      </c>
      <c r="E4425">
        <f t="shared" si="319"/>
        <v>7</v>
      </c>
      <c r="F4425">
        <f t="shared" si="320"/>
        <v>2025</v>
      </c>
      <c r="G4425" t="s">
        <v>46</v>
      </c>
      <c r="H4425" s="98">
        <v>12808</v>
      </c>
      <c r="I4425" s="29">
        <v>8021.8599999999988</v>
      </c>
      <c r="J4425" s="12" t="s">
        <v>31</v>
      </c>
      <c r="K4425" s="76">
        <f t="shared" si="322"/>
        <v>8021.8599999999988</v>
      </c>
      <c r="L4425">
        <v>1</v>
      </c>
      <c r="M4425" s="29">
        <v>0</v>
      </c>
      <c r="N4425" t="s">
        <v>42</v>
      </c>
      <c r="O4425" t="s">
        <v>33</v>
      </c>
      <c r="P4425" t="s">
        <v>34</v>
      </c>
      <c r="Q4425" t="s">
        <v>34</v>
      </c>
      <c r="R4425" t="s">
        <v>34</v>
      </c>
      <c r="S4425" t="s">
        <v>34</v>
      </c>
      <c r="T4425" s="117">
        <v>0</v>
      </c>
    </row>
    <row r="4426" spans="1:21" x14ac:dyDescent="0.35">
      <c r="A4426" t="s">
        <v>20</v>
      </c>
      <c r="B4426" t="s">
        <v>25</v>
      </c>
      <c r="C4426" s="1">
        <v>45867</v>
      </c>
      <c r="D4426">
        <f t="shared" si="318"/>
        <v>29</v>
      </c>
      <c r="E4426">
        <f t="shared" si="319"/>
        <v>7</v>
      </c>
      <c r="F4426">
        <f t="shared" si="320"/>
        <v>2025</v>
      </c>
      <c r="G4426" t="s">
        <v>46</v>
      </c>
      <c r="H4426" s="98">
        <v>12808</v>
      </c>
      <c r="I4426" s="29">
        <v>16788.939999999999</v>
      </c>
      <c r="J4426" s="12" t="s">
        <v>31</v>
      </c>
      <c r="K4426" s="76">
        <f t="shared" si="322"/>
        <v>16788.939999999999</v>
      </c>
      <c r="L4426">
        <v>1</v>
      </c>
      <c r="M4426" s="29">
        <v>0</v>
      </c>
      <c r="N4426" t="s">
        <v>42</v>
      </c>
      <c r="O4426" t="s">
        <v>33</v>
      </c>
      <c r="P4426" t="s">
        <v>34</v>
      </c>
      <c r="Q4426" t="s">
        <v>34</v>
      </c>
      <c r="R4426" t="s">
        <v>34</v>
      </c>
      <c r="S4426" t="s">
        <v>34</v>
      </c>
      <c r="T4426" s="117">
        <v>0</v>
      </c>
    </row>
    <row r="4427" spans="1:21" x14ac:dyDescent="0.35">
      <c r="A4427" t="s">
        <v>20</v>
      </c>
      <c r="B4427" t="s">
        <v>21</v>
      </c>
      <c r="C4427" s="1">
        <v>45867</v>
      </c>
      <c r="D4427">
        <f t="shared" si="318"/>
        <v>29</v>
      </c>
      <c r="E4427">
        <f t="shared" si="319"/>
        <v>7</v>
      </c>
      <c r="F4427">
        <f t="shared" si="320"/>
        <v>2025</v>
      </c>
      <c r="G4427" t="s">
        <v>46</v>
      </c>
      <c r="H4427" s="98">
        <v>13225</v>
      </c>
      <c r="I4427" s="29">
        <v>58</v>
      </c>
      <c r="J4427" s="12" t="s">
        <v>31</v>
      </c>
      <c r="K4427" s="76">
        <f t="shared" si="322"/>
        <v>58</v>
      </c>
      <c r="L4427">
        <v>1</v>
      </c>
      <c r="M4427" s="29">
        <v>0</v>
      </c>
      <c r="N4427" t="s">
        <v>42</v>
      </c>
      <c r="O4427" t="s">
        <v>33</v>
      </c>
      <c r="P4427" t="s">
        <v>34</v>
      </c>
      <c r="Q4427" t="s">
        <v>34</v>
      </c>
      <c r="R4427" t="s">
        <v>34</v>
      </c>
      <c r="S4427" t="s">
        <v>34</v>
      </c>
      <c r="T4427" s="117">
        <v>0</v>
      </c>
      <c r="U4427" s="209" t="s">
        <v>1378</v>
      </c>
    </row>
    <row r="4428" spans="1:21" x14ac:dyDescent="0.35">
      <c r="A4428" t="s">
        <v>20</v>
      </c>
      <c r="B4428" t="s">
        <v>21</v>
      </c>
      <c r="C4428" s="1">
        <v>45867</v>
      </c>
      <c r="D4428">
        <f t="shared" si="318"/>
        <v>29</v>
      </c>
      <c r="E4428">
        <f t="shared" si="319"/>
        <v>7</v>
      </c>
      <c r="F4428">
        <f t="shared" si="320"/>
        <v>2025</v>
      </c>
      <c r="G4428" t="s">
        <v>46</v>
      </c>
      <c r="H4428" s="98">
        <v>13278</v>
      </c>
      <c r="I4428" s="29">
        <v>565.5</v>
      </c>
      <c r="J4428" s="12" t="s">
        <v>31</v>
      </c>
      <c r="K4428" s="76">
        <f t="shared" si="322"/>
        <v>565.5</v>
      </c>
      <c r="L4428">
        <v>1</v>
      </c>
      <c r="M4428" s="29">
        <v>0</v>
      </c>
      <c r="N4428" t="s">
        <v>42</v>
      </c>
      <c r="O4428" t="s">
        <v>33</v>
      </c>
      <c r="P4428" t="s">
        <v>34</v>
      </c>
      <c r="Q4428" t="s">
        <v>34</v>
      </c>
      <c r="R4428" t="s">
        <v>34</v>
      </c>
      <c r="S4428" t="s">
        <v>34</v>
      </c>
      <c r="T4428" s="117">
        <v>0</v>
      </c>
    </row>
    <row r="4429" spans="1:21" x14ac:dyDescent="0.35">
      <c r="A4429" t="s">
        <v>20</v>
      </c>
      <c r="B4429" t="s">
        <v>24</v>
      </c>
      <c r="C4429" s="1">
        <v>45867</v>
      </c>
      <c r="D4429">
        <f t="shared" si="318"/>
        <v>29</v>
      </c>
      <c r="E4429">
        <f t="shared" si="319"/>
        <v>7</v>
      </c>
      <c r="F4429">
        <f t="shared" si="320"/>
        <v>2025</v>
      </c>
      <c r="G4429" t="s">
        <v>1189</v>
      </c>
      <c r="H4429" s="139">
        <v>13283</v>
      </c>
      <c r="I4429" s="91">
        <v>1062</v>
      </c>
      <c r="J4429" s="139" t="s">
        <v>31</v>
      </c>
      <c r="K4429" s="76">
        <f t="shared" si="322"/>
        <v>1062</v>
      </c>
      <c r="L4429">
        <v>1</v>
      </c>
      <c r="M4429" s="29">
        <v>0</v>
      </c>
      <c r="N4429" t="s">
        <v>42</v>
      </c>
      <c r="O4429" t="s">
        <v>33</v>
      </c>
      <c r="P4429" t="s">
        <v>34</v>
      </c>
      <c r="Q4429" t="s">
        <v>34</v>
      </c>
      <c r="R4429" t="s">
        <v>34</v>
      </c>
      <c r="S4429" t="s">
        <v>34</v>
      </c>
      <c r="T4429" s="117">
        <v>0</v>
      </c>
    </row>
    <row r="4430" spans="1:21" x14ac:dyDescent="0.35">
      <c r="A4430" t="s">
        <v>20</v>
      </c>
      <c r="B4430" t="s">
        <v>24</v>
      </c>
      <c r="C4430" s="1">
        <v>45867</v>
      </c>
      <c r="D4430">
        <f t="shared" si="318"/>
        <v>29</v>
      </c>
      <c r="E4430">
        <f t="shared" si="319"/>
        <v>7</v>
      </c>
      <c r="F4430">
        <f t="shared" si="320"/>
        <v>2025</v>
      </c>
      <c r="G4430" t="s">
        <v>1189</v>
      </c>
      <c r="H4430" s="139">
        <v>13284</v>
      </c>
      <c r="I4430" s="91">
        <v>5900</v>
      </c>
      <c r="J4430" s="139" t="s">
        <v>31</v>
      </c>
      <c r="K4430" s="76">
        <f t="shared" si="322"/>
        <v>5900</v>
      </c>
      <c r="L4430">
        <v>1</v>
      </c>
      <c r="M4430" s="29">
        <v>0</v>
      </c>
      <c r="N4430" t="s">
        <v>42</v>
      </c>
      <c r="O4430" t="s">
        <v>33</v>
      </c>
      <c r="P4430" t="s">
        <v>34</v>
      </c>
      <c r="Q4430" t="s">
        <v>34</v>
      </c>
      <c r="R4430" t="s">
        <v>34</v>
      </c>
      <c r="S4430" t="s">
        <v>34</v>
      </c>
      <c r="T4430" s="117">
        <v>0</v>
      </c>
    </row>
    <row r="4431" spans="1:21" x14ac:dyDescent="0.35">
      <c r="A4431" t="s">
        <v>20</v>
      </c>
      <c r="B4431" t="s">
        <v>24</v>
      </c>
      <c r="C4431" s="1">
        <v>45867</v>
      </c>
      <c r="D4431">
        <f t="shared" si="318"/>
        <v>29</v>
      </c>
      <c r="E4431">
        <f t="shared" si="319"/>
        <v>7</v>
      </c>
      <c r="F4431">
        <f t="shared" si="320"/>
        <v>2025</v>
      </c>
      <c r="G4431" t="s">
        <v>1189</v>
      </c>
      <c r="H4431" s="139">
        <v>13285</v>
      </c>
      <c r="I4431" s="91">
        <v>7434</v>
      </c>
      <c r="J4431" s="139" t="s">
        <v>31</v>
      </c>
      <c r="K4431" s="76">
        <f t="shared" si="322"/>
        <v>7434</v>
      </c>
      <c r="L4431">
        <v>1</v>
      </c>
      <c r="M4431" s="29">
        <v>0</v>
      </c>
      <c r="N4431" t="s">
        <v>42</v>
      </c>
      <c r="O4431" t="s">
        <v>33</v>
      </c>
      <c r="P4431" t="s">
        <v>34</v>
      </c>
      <c r="Q4431" t="s">
        <v>34</v>
      </c>
      <c r="R4431" t="s">
        <v>34</v>
      </c>
      <c r="S4431" t="s">
        <v>34</v>
      </c>
      <c r="T4431" s="117">
        <v>0</v>
      </c>
    </row>
    <row r="4432" spans="1:21" x14ac:dyDescent="0.35">
      <c r="A4432" t="s">
        <v>20</v>
      </c>
      <c r="B4432" t="s">
        <v>24</v>
      </c>
      <c r="C4432" s="1">
        <v>45867</v>
      </c>
      <c r="D4432">
        <f t="shared" ref="D4432:D4497" si="323">DAY(C4432)</f>
        <v>29</v>
      </c>
      <c r="E4432">
        <f t="shared" ref="E4432:E4497" si="324">MONTH(C4432)</f>
        <v>7</v>
      </c>
      <c r="F4432">
        <f t="shared" ref="F4432:F4497" si="325">YEAR(C4432)</f>
        <v>2025</v>
      </c>
      <c r="G4432" t="s">
        <v>1189</v>
      </c>
      <c r="H4432" s="139">
        <v>13286</v>
      </c>
      <c r="I4432" s="91">
        <v>3710</v>
      </c>
      <c r="J4432" s="139" t="s">
        <v>31</v>
      </c>
      <c r="K4432" s="76">
        <f t="shared" si="322"/>
        <v>3710</v>
      </c>
      <c r="L4432">
        <v>1</v>
      </c>
      <c r="M4432" s="29">
        <v>0</v>
      </c>
      <c r="N4432" t="s">
        <v>42</v>
      </c>
      <c r="O4432" t="s">
        <v>33</v>
      </c>
      <c r="P4432" t="s">
        <v>34</v>
      </c>
      <c r="Q4432" t="s">
        <v>34</v>
      </c>
      <c r="R4432" t="s">
        <v>34</v>
      </c>
      <c r="S4432" t="s">
        <v>34</v>
      </c>
      <c r="T4432" s="117">
        <v>0</v>
      </c>
    </row>
    <row r="4433" spans="1:20" x14ac:dyDescent="0.35">
      <c r="A4433" t="s">
        <v>19</v>
      </c>
      <c r="B4433" t="s">
        <v>19</v>
      </c>
      <c r="C4433" s="1">
        <v>45867</v>
      </c>
      <c r="D4433">
        <f t="shared" si="323"/>
        <v>29</v>
      </c>
      <c r="E4433">
        <f t="shared" si="324"/>
        <v>7</v>
      </c>
      <c r="F4433">
        <f t="shared" si="325"/>
        <v>2025</v>
      </c>
      <c r="G4433" t="s">
        <v>90</v>
      </c>
      <c r="H4433" s="98" t="s">
        <v>1210</v>
      </c>
      <c r="I4433" s="15">
        <v>146202.35999999999</v>
      </c>
      <c r="J4433" s="12" t="s">
        <v>31</v>
      </c>
      <c r="K4433" s="76">
        <f t="shared" si="322"/>
        <v>146202.35999999999</v>
      </c>
      <c r="L4433">
        <v>1</v>
      </c>
      <c r="M4433" s="29">
        <v>0</v>
      </c>
      <c r="N4433" t="s">
        <v>32</v>
      </c>
      <c r="O4433" t="s">
        <v>33</v>
      </c>
      <c r="P4433" t="s">
        <v>34</v>
      </c>
      <c r="Q4433" t="s">
        <v>34</v>
      </c>
      <c r="R4433" t="s">
        <v>34</v>
      </c>
      <c r="S4433" t="s">
        <v>34</v>
      </c>
      <c r="T4433" s="117">
        <v>0</v>
      </c>
    </row>
    <row r="4434" spans="1:20" x14ac:dyDescent="0.35">
      <c r="A4434" t="s">
        <v>19</v>
      </c>
      <c r="B4434" t="s">
        <v>19</v>
      </c>
      <c r="C4434" s="1">
        <v>45867</v>
      </c>
      <c r="D4434">
        <f t="shared" si="323"/>
        <v>29</v>
      </c>
      <c r="E4434">
        <f t="shared" si="324"/>
        <v>7</v>
      </c>
      <c r="F4434">
        <f t="shared" si="325"/>
        <v>2025</v>
      </c>
      <c r="G4434" t="s">
        <v>56</v>
      </c>
      <c r="H4434" s="98" t="s">
        <v>1211</v>
      </c>
      <c r="I4434" s="15">
        <v>1312</v>
      </c>
      <c r="J4434" s="12" t="s">
        <v>31</v>
      </c>
      <c r="K4434" s="76">
        <f t="shared" si="322"/>
        <v>1312</v>
      </c>
      <c r="L4434">
        <v>1</v>
      </c>
      <c r="M4434" s="29">
        <v>0</v>
      </c>
      <c r="N4434" t="s">
        <v>32</v>
      </c>
      <c r="O4434" t="s">
        <v>33</v>
      </c>
      <c r="P4434" t="s">
        <v>34</v>
      </c>
      <c r="Q4434" t="s">
        <v>34</v>
      </c>
      <c r="R4434" t="s">
        <v>34</v>
      </c>
      <c r="S4434" t="s">
        <v>34</v>
      </c>
      <c r="T4434" s="117">
        <v>0</v>
      </c>
    </row>
    <row r="4435" spans="1:20" x14ac:dyDescent="0.35">
      <c r="A4435" t="s">
        <v>19</v>
      </c>
      <c r="B4435" t="s">
        <v>19</v>
      </c>
      <c r="C4435" s="1">
        <v>45867</v>
      </c>
      <c r="D4435">
        <f t="shared" si="323"/>
        <v>29</v>
      </c>
      <c r="E4435">
        <f t="shared" si="324"/>
        <v>7</v>
      </c>
      <c r="F4435">
        <f t="shared" si="325"/>
        <v>2025</v>
      </c>
      <c r="G4435" t="s">
        <v>56</v>
      </c>
      <c r="H4435" s="98" t="s">
        <v>1212</v>
      </c>
      <c r="I4435" s="15">
        <v>198877.91</v>
      </c>
      <c r="J4435" s="12" t="s">
        <v>31</v>
      </c>
      <c r="K4435" s="76">
        <f t="shared" si="322"/>
        <v>198877.91</v>
      </c>
      <c r="L4435">
        <v>1</v>
      </c>
      <c r="M4435" s="29">
        <v>0</v>
      </c>
      <c r="N4435" t="s">
        <v>32</v>
      </c>
      <c r="O4435" t="s">
        <v>33</v>
      </c>
      <c r="P4435" t="s">
        <v>34</v>
      </c>
      <c r="Q4435" t="s">
        <v>34</v>
      </c>
      <c r="R4435" t="s">
        <v>34</v>
      </c>
      <c r="S4435" t="s">
        <v>34</v>
      </c>
      <c r="T4435" s="117">
        <v>0</v>
      </c>
    </row>
    <row r="4436" spans="1:20" x14ac:dyDescent="0.35">
      <c r="A4436" t="s">
        <v>19</v>
      </c>
      <c r="B4436" t="s">
        <v>19</v>
      </c>
      <c r="C4436" s="1">
        <v>45867</v>
      </c>
      <c r="D4436">
        <f t="shared" si="323"/>
        <v>29</v>
      </c>
      <c r="E4436">
        <f t="shared" si="324"/>
        <v>7</v>
      </c>
      <c r="F4436">
        <f t="shared" si="325"/>
        <v>2025</v>
      </c>
      <c r="G4436" t="s">
        <v>91</v>
      </c>
      <c r="H4436" s="98" t="s">
        <v>1213</v>
      </c>
      <c r="I4436" s="15">
        <v>721.34</v>
      </c>
      <c r="J4436" s="12" t="s">
        <v>31</v>
      </c>
      <c r="K4436" s="76">
        <f t="shared" si="322"/>
        <v>721.34</v>
      </c>
      <c r="L4436">
        <v>1</v>
      </c>
      <c r="M4436" s="29">
        <v>0</v>
      </c>
      <c r="N4436" t="s">
        <v>32</v>
      </c>
      <c r="O4436" t="s">
        <v>33</v>
      </c>
      <c r="P4436" t="s">
        <v>34</v>
      </c>
      <c r="Q4436" t="s">
        <v>34</v>
      </c>
      <c r="R4436" t="s">
        <v>34</v>
      </c>
      <c r="S4436" t="s">
        <v>34</v>
      </c>
      <c r="T4436" s="117">
        <v>0</v>
      </c>
    </row>
    <row r="4437" spans="1:20" x14ac:dyDescent="0.35">
      <c r="A4437" t="s">
        <v>19</v>
      </c>
      <c r="B4437" t="s">
        <v>19</v>
      </c>
      <c r="C4437" s="1">
        <v>45867</v>
      </c>
      <c r="D4437">
        <f t="shared" si="323"/>
        <v>29</v>
      </c>
      <c r="E4437">
        <f t="shared" si="324"/>
        <v>7</v>
      </c>
      <c r="F4437">
        <f t="shared" si="325"/>
        <v>2025</v>
      </c>
      <c r="G4437" t="s">
        <v>106</v>
      </c>
      <c r="H4437" s="98" t="s">
        <v>1214</v>
      </c>
      <c r="I4437" s="157">
        <v>316132.96999999997</v>
      </c>
      <c r="J4437" s="12" t="s">
        <v>31</v>
      </c>
      <c r="K4437" s="76">
        <f t="shared" si="322"/>
        <v>316132.96999999997</v>
      </c>
      <c r="L4437">
        <v>1</v>
      </c>
      <c r="M4437" s="29">
        <v>0</v>
      </c>
      <c r="N4437" t="s">
        <v>32</v>
      </c>
      <c r="O4437" t="s">
        <v>33</v>
      </c>
      <c r="P4437" t="s">
        <v>34</v>
      </c>
      <c r="Q4437" t="s">
        <v>34</v>
      </c>
      <c r="R4437" t="s">
        <v>34</v>
      </c>
      <c r="S4437" t="s">
        <v>34</v>
      </c>
      <c r="T4437" s="117">
        <v>0</v>
      </c>
    </row>
    <row r="4438" spans="1:20" x14ac:dyDescent="0.35">
      <c r="A4438" t="s">
        <v>19</v>
      </c>
      <c r="B4438" t="s">
        <v>25</v>
      </c>
      <c r="C4438" s="1">
        <v>45870</v>
      </c>
      <c r="D4438">
        <f t="shared" si="323"/>
        <v>1</v>
      </c>
      <c r="E4438">
        <f t="shared" si="324"/>
        <v>8</v>
      </c>
      <c r="F4438">
        <f t="shared" si="325"/>
        <v>2025</v>
      </c>
      <c r="G4438" t="s">
        <v>80</v>
      </c>
      <c r="H4438" s="98">
        <v>12538</v>
      </c>
      <c r="I4438" s="29">
        <v>26873.5</v>
      </c>
      <c r="J4438" s="12" t="s">
        <v>31</v>
      </c>
      <c r="K4438" s="76">
        <f t="shared" si="322"/>
        <v>26873.5</v>
      </c>
      <c r="L4438">
        <v>1</v>
      </c>
      <c r="M4438" s="29">
        <v>0</v>
      </c>
      <c r="N4438" t="s">
        <v>32</v>
      </c>
      <c r="O4438" t="s">
        <v>33</v>
      </c>
      <c r="P4438" t="s">
        <v>34</v>
      </c>
      <c r="Q4438" t="s">
        <v>34</v>
      </c>
      <c r="R4438" t="s">
        <v>34</v>
      </c>
      <c r="S4438" t="s">
        <v>34</v>
      </c>
      <c r="T4438" s="117">
        <v>0</v>
      </c>
    </row>
    <row r="4439" spans="1:20" x14ac:dyDescent="0.35">
      <c r="A4439" t="s">
        <v>19</v>
      </c>
      <c r="B4439" t="s">
        <v>25</v>
      </c>
      <c r="C4439" s="1">
        <v>45870</v>
      </c>
      <c r="D4439">
        <f t="shared" si="323"/>
        <v>1</v>
      </c>
      <c r="E4439">
        <f t="shared" si="324"/>
        <v>8</v>
      </c>
      <c r="F4439">
        <f t="shared" si="325"/>
        <v>2025</v>
      </c>
      <c r="G4439" t="s">
        <v>351</v>
      </c>
      <c r="H4439" s="98">
        <v>12833</v>
      </c>
      <c r="I4439" s="29">
        <v>296.94</v>
      </c>
      <c r="J4439" s="12" t="s">
        <v>31</v>
      </c>
      <c r="K4439" s="76">
        <f t="shared" si="322"/>
        <v>296.94</v>
      </c>
      <c r="L4439">
        <v>1</v>
      </c>
      <c r="M4439" s="29">
        <v>0</v>
      </c>
      <c r="N4439" t="s">
        <v>32</v>
      </c>
      <c r="O4439" t="s">
        <v>33</v>
      </c>
      <c r="P4439" t="s">
        <v>34</v>
      </c>
      <c r="Q4439" t="s">
        <v>34</v>
      </c>
      <c r="R4439" t="s">
        <v>34</v>
      </c>
      <c r="S4439" t="s">
        <v>34</v>
      </c>
      <c r="T4439" s="117">
        <v>0</v>
      </c>
    </row>
    <row r="4440" spans="1:20" x14ac:dyDescent="0.35">
      <c r="A4440" t="s">
        <v>19</v>
      </c>
      <c r="B4440" t="s">
        <v>25</v>
      </c>
      <c r="C4440" s="1">
        <v>45870</v>
      </c>
      <c r="D4440">
        <f t="shared" si="323"/>
        <v>1</v>
      </c>
      <c r="E4440">
        <f t="shared" si="324"/>
        <v>8</v>
      </c>
      <c r="F4440">
        <f t="shared" si="325"/>
        <v>2025</v>
      </c>
      <c r="G4440" t="s">
        <v>351</v>
      </c>
      <c r="H4440" s="98">
        <v>12812</v>
      </c>
      <c r="I4440" s="29">
        <v>13108.5</v>
      </c>
      <c r="J4440" s="12" t="s">
        <v>31</v>
      </c>
      <c r="K4440" s="76">
        <f t="shared" si="322"/>
        <v>13108.5</v>
      </c>
      <c r="L4440">
        <v>1</v>
      </c>
      <c r="M4440" s="29">
        <v>0</v>
      </c>
      <c r="N4440" t="s">
        <v>32</v>
      </c>
      <c r="O4440" t="s">
        <v>33</v>
      </c>
      <c r="P4440" t="s">
        <v>34</v>
      </c>
      <c r="Q4440" t="s">
        <v>34</v>
      </c>
      <c r="R4440" t="s">
        <v>34</v>
      </c>
      <c r="S4440" t="s">
        <v>34</v>
      </c>
      <c r="T4440" s="117">
        <v>0</v>
      </c>
    </row>
    <row r="4441" spans="1:20" x14ac:dyDescent="0.35">
      <c r="A4441" t="s">
        <v>19</v>
      </c>
      <c r="B4441" t="s">
        <v>27</v>
      </c>
      <c r="C4441" s="1">
        <v>45870</v>
      </c>
      <c r="D4441">
        <f t="shared" si="323"/>
        <v>1</v>
      </c>
      <c r="E4441">
        <f t="shared" si="324"/>
        <v>8</v>
      </c>
      <c r="F4441">
        <f t="shared" si="325"/>
        <v>2025</v>
      </c>
      <c r="G4441" t="s">
        <v>100</v>
      </c>
      <c r="H4441" s="98">
        <v>12704</v>
      </c>
      <c r="I4441" s="29">
        <v>60476.73</v>
      </c>
      <c r="J4441" s="12" t="s">
        <v>31</v>
      </c>
      <c r="K4441" s="76">
        <f t="shared" si="322"/>
        <v>60476.73</v>
      </c>
      <c r="L4441">
        <v>1</v>
      </c>
      <c r="M4441" s="29">
        <v>0</v>
      </c>
      <c r="N4441" t="s">
        <v>32</v>
      </c>
      <c r="O4441" t="s">
        <v>33</v>
      </c>
      <c r="P4441" t="s">
        <v>34</v>
      </c>
      <c r="Q4441" t="s">
        <v>34</v>
      </c>
      <c r="R4441" t="s">
        <v>34</v>
      </c>
      <c r="S4441" t="s">
        <v>34</v>
      </c>
      <c r="T4441" s="117">
        <v>0</v>
      </c>
    </row>
    <row r="4442" spans="1:20" x14ac:dyDescent="0.35">
      <c r="A4442" t="s">
        <v>19</v>
      </c>
      <c r="B4442" t="s">
        <v>21</v>
      </c>
      <c r="C4442" s="1">
        <v>45870</v>
      </c>
      <c r="D4442">
        <f t="shared" si="323"/>
        <v>1</v>
      </c>
      <c r="E4442">
        <f t="shared" si="324"/>
        <v>8</v>
      </c>
      <c r="F4442">
        <f t="shared" si="325"/>
        <v>2025</v>
      </c>
      <c r="G4442" t="s">
        <v>36</v>
      </c>
      <c r="H4442" s="98">
        <v>13156</v>
      </c>
      <c r="I4442" s="29">
        <v>128.4</v>
      </c>
      <c r="J4442" s="12" t="s">
        <v>31</v>
      </c>
      <c r="K4442" s="76">
        <f t="shared" si="322"/>
        <v>128.4</v>
      </c>
      <c r="L4442">
        <v>1</v>
      </c>
      <c r="M4442" s="29">
        <v>0</v>
      </c>
      <c r="N4442" t="s">
        <v>32</v>
      </c>
      <c r="O4442" t="s">
        <v>33</v>
      </c>
      <c r="P4442" t="s">
        <v>34</v>
      </c>
      <c r="Q4442" t="s">
        <v>34</v>
      </c>
      <c r="R4442" t="s">
        <v>34</v>
      </c>
      <c r="S4442" t="s">
        <v>34</v>
      </c>
      <c r="T4442" s="117">
        <v>0</v>
      </c>
    </row>
    <row r="4443" spans="1:20" x14ac:dyDescent="0.35">
      <c r="A4443" t="s">
        <v>19</v>
      </c>
      <c r="B4443" t="s">
        <v>24</v>
      </c>
      <c r="C4443" s="1">
        <v>45870</v>
      </c>
      <c r="D4443">
        <f t="shared" si="323"/>
        <v>1</v>
      </c>
      <c r="E4443">
        <f t="shared" si="324"/>
        <v>8</v>
      </c>
      <c r="F4443">
        <f t="shared" si="325"/>
        <v>2025</v>
      </c>
      <c r="G4443" t="s">
        <v>36</v>
      </c>
      <c r="H4443" s="98">
        <v>12505</v>
      </c>
      <c r="I4443" s="29">
        <v>27011.11</v>
      </c>
      <c r="J4443" s="12" t="s">
        <v>31</v>
      </c>
      <c r="K4443" s="76">
        <f t="shared" si="322"/>
        <v>27011.11</v>
      </c>
      <c r="L4443">
        <v>1</v>
      </c>
      <c r="M4443" s="29">
        <v>0</v>
      </c>
      <c r="N4443" t="s">
        <v>32</v>
      </c>
      <c r="O4443" t="s">
        <v>33</v>
      </c>
      <c r="P4443" t="s">
        <v>34</v>
      </c>
      <c r="Q4443" t="s">
        <v>34</v>
      </c>
      <c r="R4443" t="s">
        <v>34</v>
      </c>
      <c r="S4443" t="s">
        <v>34</v>
      </c>
      <c r="T4443" s="117">
        <v>0</v>
      </c>
    </row>
    <row r="4444" spans="1:20" x14ac:dyDescent="0.35">
      <c r="A4444" t="s">
        <v>19</v>
      </c>
      <c r="B4444" t="s">
        <v>25</v>
      </c>
      <c r="C4444" s="1">
        <v>45870</v>
      </c>
      <c r="D4444">
        <f t="shared" si="323"/>
        <v>1</v>
      </c>
      <c r="E4444">
        <f t="shared" si="324"/>
        <v>8</v>
      </c>
      <c r="F4444">
        <f t="shared" si="325"/>
        <v>2025</v>
      </c>
      <c r="G4444" t="s">
        <v>36</v>
      </c>
      <c r="H4444" s="98">
        <v>12505</v>
      </c>
      <c r="I4444" s="29">
        <v>57044.01</v>
      </c>
      <c r="J4444" s="12" t="s">
        <v>31</v>
      </c>
      <c r="K4444" s="76">
        <f t="shared" si="322"/>
        <v>57044.01</v>
      </c>
      <c r="L4444">
        <v>1</v>
      </c>
      <c r="M4444" s="29">
        <v>0</v>
      </c>
      <c r="N4444" t="s">
        <v>32</v>
      </c>
      <c r="O4444" t="s">
        <v>33</v>
      </c>
      <c r="P4444" t="s">
        <v>34</v>
      </c>
      <c r="Q4444" t="s">
        <v>34</v>
      </c>
      <c r="R4444" t="s">
        <v>34</v>
      </c>
      <c r="S4444" t="s">
        <v>34</v>
      </c>
      <c r="T4444" s="117">
        <v>0</v>
      </c>
    </row>
    <row r="4445" spans="1:20" x14ac:dyDescent="0.35">
      <c r="A4445" t="s">
        <v>19</v>
      </c>
      <c r="B4445" t="s">
        <v>21</v>
      </c>
      <c r="C4445" s="1">
        <v>45870</v>
      </c>
      <c r="D4445">
        <f t="shared" si="323"/>
        <v>1</v>
      </c>
      <c r="E4445">
        <f t="shared" si="324"/>
        <v>8</v>
      </c>
      <c r="F4445">
        <f t="shared" si="325"/>
        <v>2025</v>
      </c>
      <c r="G4445" t="s">
        <v>36</v>
      </c>
      <c r="H4445" s="98">
        <v>12505</v>
      </c>
      <c r="I4445" s="29">
        <v>18726.88</v>
      </c>
      <c r="J4445" s="12" t="s">
        <v>31</v>
      </c>
      <c r="K4445" s="76">
        <f t="shared" si="322"/>
        <v>18726.88</v>
      </c>
      <c r="L4445">
        <v>1</v>
      </c>
      <c r="M4445" s="29">
        <v>0</v>
      </c>
      <c r="N4445" t="s">
        <v>32</v>
      </c>
      <c r="O4445" t="s">
        <v>33</v>
      </c>
      <c r="P4445" t="s">
        <v>34</v>
      </c>
      <c r="Q4445" t="s">
        <v>34</v>
      </c>
      <c r="R4445" t="s">
        <v>34</v>
      </c>
      <c r="S4445" t="s">
        <v>34</v>
      </c>
      <c r="T4445" s="117">
        <v>0</v>
      </c>
    </row>
    <row r="4446" spans="1:20" x14ac:dyDescent="0.35">
      <c r="A4446" t="s">
        <v>19</v>
      </c>
      <c r="B4446" t="s">
        <v>24</v>
      </c>
      <c r="C4446" s="1">
        <v>45870</v>
      </c>
      <c r="D4446">
        <f t="shared" si="323"/>
        <v>1</v>
      </c>
      <c r="E4446">
        <f t="shared" si="324"/>
        <v>8</v>
      </c>
      <c r="F4446">
        <f t="shared" si="325"/>
        <v>2025</v>
      </c>
      <c r="G4446" t="s">
        <v>36</v>
      </c>
      <c r="H4446" s="98">
        <v>12821</v>
      </c>
      <c r="I4446" s="29">
        <v>238</v>
      </c>
      <c r="J4446" s="12" t="s">
        <v>31</v>
      </c>
      <c r="K4446" s="76">
        <f t="shared" si="322"/>
        <v>238</v>
      </c>
      <c r="L4446">
        <v>1</v>
      </c>
      <c r="M4446" s="29">
        <v>0</v>
      </c>
      <c r="N4446" t="s">
        <v>32</v>
      </c>
      <c r="O4446" t="s">
        <v>33</v>
      </c>
      <c r="P4446" t="s">
        <v>34</v>
      </c>
      <c r="Q4446" t="s">
        <v>34</v>
      </c>
      <c r="R4446" t="s">
        <v>34</v>
      </c>
      <c r="S4446" t="s">
        <v>34</v>
      </c>
      <c r="T4446" s="117">
        <v>0</v>
      </c>
    </row>
    <row r="4447" spans="1:20" x14ac:dyDescent="0.35">
      <c r="A4447" t="s">
        <v>19</v>
      </c>
      <c r="B4447" t="s">
        <v>24</v>
      </c>
      <c r="C4447" s="1">
        <v>45870</v>
      </c>
      <c r="D4447">
        <f t="shared" si="323"/>
        <v>1</v>
      </c>
      <c r="E4447">
        <f t="shared" si="324"/>
        <v>8</v>
      </c>
      <c r="F4447">
        <f t="shared" si="325"/>
        <v>2025</v>
      </c>
      <c r="G4447" t="s">
        <v>36</v>
      </c>
      <c r="H4447" s="98">
        <v>13241</v>
      </c>
      <c r="I4447" s="29">
        <v>86.96</v>
      </c>
      <c r="J4447" s="12" t="s">
        <v>31</v>
      </c>
      <c r="K4447" s="76">
        <f t="shared" si="322"/>
        <v>86.96</v>
      </c>
      <c r="L4447">
        <v>1</v>
      </c>
      <c r="M4447" s="29">
        <v>0</v>
      </c>
      <c r="N4447" t="s">
        <v>32</v>
      </c>
      <c r="O4447" t="s">
        <v>33</v>
      </c>
      <c r="P4447" t="s">
        <v>34</v>
      </c>
      <c r="Q4447" t="s">
        <v>34</v>
      </c>
      <c r="R4447" t="s">
        <v>34</v>
      </c>
      <c r="S4447" t="s">
        <v>34</v>
      </c>
      <c r="T4447" s="117">
        <v>0</v>
      </c>
    </row>
    <row r="4448" spans="1:20" x14ac:dyDescent="0.35">
      <c r="A4448" t="s">
        <v>19</v>
      </c>
      <c r="B4448" t="s">
        <v>25</v>
      </c>
      <c r="C4448" s="1">
        <v>45870</v>
      </c>
      <c r="D4448">
        <f t="shared" si="323"/>
        <v>1</v>
      </c>
      <c r="E4448">
        <f t="shared" si="324"/>
        <v>8</v>
      </c>
      <c r="F4448">
        <f t="shared" si="325"/>
        <v>2025</v>
      </c>
      <c r="G4448" t="s">
        <v>36</v>
      </c>
      <c r="H4448" s="98">
        <v>12540</v>
      </c>
      <c r="I4448" s="29">
        <v>78392.14</v>
      </c>
      <c r="J4448" s="12" t="s">
        <v>31</v>
      </c>
      <c r="K4448" s="76">
        <f t="shared" si="322"/>
        <v>78392.14</v>
      </c>
      <c r="L4448">
        <v>1</v>
      </c>
      <c r="M4448" s="29">
        <v>0</v>
      </c>
      <c r="N4448" t="s">
        <v>32</v>
      </c>
      <c r="O4448" t="s">
        <v>33</v>
      </c>
      <c r="P4448" t="s">
        <v>34</v>
      </c>
      <c r="Q4448" t="s">
        <v>34</v>
      </c>
      <c r="R4448" t="s">
        <v>34</v>
      </c>
      <c r="S4448" t="s">
        <v>34</v>
      </c>
      <c r="T4448" s="117">
        <v>0</v>
      </c>
    </row>
    <row r="4449" spans="1:20" x14ac:dyDescent="0.35">
      <c r="A4449" t="s">
        <v>19</v>
      </c>
      <c r="B4449" t="s">
        <v>21</v>
      </c>
      <c r="C4449" s="1">
        <v>45870</v>
      </c>
      <c r="D4449">
        <f t="shared" si="323"/>
        <v>1</v>
      </c>
      <c r="E4449">
        <f t="shared" si="324"/>
        <v>8</v>
      </c>
      <c r="F4449">
        <f t="shared" si="325"/>
        <v>2025</v>
      </c>
      <c r="G4449" t="s">
        <v>36</v>
      </c>
      <c r="H4449" s="98">
        <v>12540</v>
      </c>
      <c r="I4449" s="29">
        <v>8690.89</v>
      </c>
      <c r="J4449" s="12" t="s">
        <v>31</v>
      </c>
      <c r="K4449" s="76">
        <f t="shared" si="322"/>
        <v>8690.89</v>
      </c>
      <c r="L4449">
        <v>1</v>
      </c>
      <c r="M4449" s="29">
        <v>0</v>
      </c>
      <c r="N4449" t="s">
        <v>32</v>
      </c>
      <c r="O4449" t="s">
        <v>33</v>
      </c>
      <c r="P4449" t="s">
        <v>34</v>
      </c>
      <c r="Q4449" t="s">
        <v>34</v>
      </c>
      <c r="R4449" t="s">
        <v>34</v>
      </c>
      <c r="S4449" t="s">
        <v>34</v>
      </c>
      <c r="T4449" s="117">
        <v>0</v>
      </c>
    </row>
    <row r="4450" spans="1:20" x14ac:dyDescent="0.35">
      <c r="A4450" t="s">
        <v>19</v>
      </c>
      <c r="B4450" t="s">
        <v>23</v>
      </c>
      <c r="C4450" s="1">
        <v>45870</v>
      </c>
      <c r="D4450">
        <f t="shared" si="323"/>
        <v>1</v>
      </c>
      <c r="E4450">
        <f t="shared" si="324"/>
        <v>8</v>
      </c>
      <c r="F4450">
        <f t="shared" si="325"/>
        <v>2025</v>
      </c>
      <c r="G4450" t="s">
        <v>76</v>
      </c>
      <c r="H4450" s="98">
        <v>13108</v>
      </c>
      <c r="I4450" s="29">
        <v>11148.6</v>
      </c>
      <c r="J4450" s="12" t="s">
        <v>31</v>
      </c>
      <c r="K4450" s="76">
        <f t="shared" si="322"/>
        <v>11148.6</v>
      </c>
      <c r="L4450">
        <v>1</v>
      </c>
      <c r="M4450" s="29">
        <v>0</v>
      </c>
      <c r="N4450" t="s">
        <v>32</v>
      </c>
      <c r="O4450" t="s">
        <v>33</v>
      </c>
      <c r="P4450" t="s">
        <v>34</v>
      </c>
      <c r="Q4450" t="s">
        <v>34</v>
      </c>
      <c r="R4450" t="s">
        <v>34</v>
      </c>
      <c r="S4450" t="s">
        <v>34</v>
      </c>
      <c r="T4450" s="117">
        <v>0</v>
      </c>
    </row>
    <row r="4451" spans="1:20" x14ac:dyDescent="0.35">
      <c r="A4451" t="s">
        <v>19</v>
      </c>
      <c r="B4451" t="s">
        <v>23</v>
      </c>
      <c r="C4451" s="1">
        <v>45870</v>
      </c>
      <c r="D4451">
        <f t="shared" si="323"/>
        <v>1</v>
      </c>
      <c r="E4451">
        <f t="shared" si="324"/>
        <v>8</v>
      </c>
      <c r="F4451">
        <f t="shared" si="325"/>
        <v>2025</v>
      </c>
      <c r="G4451" t="s">
        <v>76</v>
      </c>
      <c r="H4451" s="98">
        <v>12870</v>
      </c>
      <c r="I4451" s="29">
        <v>22661.1</v>
      </c>
      <c r="J4451" s="12" t="s">
        <v>31</v>
      </c>
      <c r="K4451" s="76">
        <f t="shared" si="322"/>
        <v>22661.1</v>
      </c>
      <c r="L4451">
        <v>1</v>
      </c>
      <c r="M4451" s="29">
        <v>0</v>
      </c>
      <c r="N4451" t="s">
        <v>32</v>
      </c>
      <c r="O4451" t="s">
        <v>33</v>
      </c>
      <c r="P4451" t="s">
        <v>34</v>
      </c>
      <c r="Q4451" t="s">
        <v>34</v>
      </c>
      <c r="R4451" t="s">
        <v>34</v>
      </c>
      <c r="S4451" t="s">
        <v>34</v>
      </c>
      <c r="T4451" s="117">
        <v>0</v>
      </c>
    </row>
    <row r="4452" spans="1:20" x14ac:dyDescent="0.35">
      <c r="A4452" t="s">
        <v>19</v>
      </c>
      <c r="B4452" t="s">
        <v>21</v>
      </c>
      <c r="C4452" s="1">
        <v>45870</v>
      </c>
      <c r="D4452">
        <f t="shared" si="323"/>
        <v>1</v>
      </c>
      <c r="E4452">
        <f t="shared" si="324"/>
        <v>8</v>
      </c>
      <c r="F4452">
        <f t="shared" si="325"/>
        <v>2025</v>
      </c>
      <c r="G4452" t="s">
        <v>76</v>
      </c>
      <c r="H4452" s="98">
        <v>12870</v>
      </c>
      <c r="I4452" s="29">
        <v>38590.6</v>
      </c>
      <c r="J4452" s="12" t="s">
        <v>31</v>
      </c>
      <c r="K4452" s="76">
        <f t="shared" si="322"/>
        <v>38590.6</v>
      </c>
      <c r="L4452">
        <v>1</v>
      </c>
      <c r="M4452" s="29">
        <v>0</v>
      </c>
      <c r="N4452" t="s">
        <v>32</v>
      </c>
      <c r="O4452" t="s">
        <v>33</v>
      </c>
      <c r="P4452" t="s">
        <v>34</v>
      </c>
      <c r="Q4452" t="s">
        <v>34</v>
      </c>
      <c r="R4452" t="s">
        <v>34</v>
      </c>
      <c r="S4452" t="s">
        <v>34</v>
      </c>
      <c r="T4452" s="117">
        <v>0</v>
      </c>
    </row>
    <row r="4453" spans="1:20" x14ac:dyDescent="0.35">
      <c r="A4453" t="s">
        <v>19</v>
      </c>
      <c r="B4453" t="s">
        <v>23</v>
      </c>
      <c r="C4453" s="1">
        <v>45870</v>
      </c>
      <c r="D4453">
        <f t="shared" si="323"/>
        <v>1</v>
      </c>
      <c r="E4453">
        <f t="shared" si="324"/>
        <v>8</v>
      </c>
      <c r="F4453">
        <f t="shared" si="325"/>
        <v>2025</v>
      </c>
      <c r="G4453" t="s">
        <v>74</v>
      </c>
      <c r="H4453" s="98">
        <v>12495</v>
      </c>
      <c r="I4453" s="29">
        <v>33423.699999999997</v>
      </c>
      <c r="J4453" s="12" t="s">
        <v>31</v>
      </c>
      <c r="K4453" s="76">
        <f t="shared" si="322"/>
        <v>33423.699999999997</v>
      </c>
      <c r="L4453">
        <v>1</v>
      </c>
      <c r="M4453" s="29">
        <v>0</v>
      </c>
      <c r="N4453" t="s">
        <v>42</v>
      </c>
      <c r="O4453" t="s">
        <v>33</v>
      </c>
      <c r="P4453" t="s">
        <v>34</v>
      </c>
      <c r="Q4453" t="s">
        <v>34</v>
      </c>
      <c r="R4453" t="s">
        <v>34</v>
      </c>
      <c r="S4453" t="s">
        <v>34</v>
      </c>
      <c r="T4453" s="117">
        <v>0</v>
      </c>
    </row>
    <row r="4454" spans="1:20" x14ac:dyDescent="0.35">
      <c r="A4454" t="s">
        <v>19</v>
      </c>
      <c r="B4454" t="s">
        <v>23</v>
      </c>
      <c r="C4454" s="1">
        <v>45870</v>
      </c>
      <c r="D4454">
        <f t="shared" si="323"/>
        <v>1</v>
      </c>
      <c r="E4454">
        <f t="shared" si="324"/>
        <v>8</v>
      </c>
      <c r="F4454">
        <f t="shared" si="325"/>
        <v>2025</v>
      </c>
      <c r="G4454" t="s">
        <v>594</v>
      </c>
      <c r="H4454" s="98">
        <v>12686</v>
      </c>
      <c r="I4454" s="29">
        <v>5197.5</v>
      </c>
      <c r="J4454" s="12" t="s">
        <v>31</v>
      </c>
      <c r="K4454" s="76">
        <f t="shared" si="322"/>
        <v>5197.5</v>
      </c>
      <c r="L4454">
        <v>1</v>
      </c>
      <c r="M4454" s="29">
        <v>0</v>
      </c>
      <c r="N4454" t="s">
        <v>32</v>
      </c>
      <c r="O4454" t="s">
        <v>33</v>
      </c>
      <c r="P4454" t="s">
        <v>34</v>
      </c>
      <c r="Q4454" t="s">
        <v>34</v>
      </c>
      <c r="R4454" t="s">
        <v>34</v>
      </c>
      <c r="S4454" t="s">
        <v>34</v>
      </c>
      <c r="T4454" s="117">
        <v>0</v>
      </c>
    </row>
    <row r="4455" spans="1:20" x14ac:dyDescent="0.35">
      <c r="A4455" t="s">
        <v>19</v>
      </c>
      <c r="B4455" t="s">
        <v>21</v>
      </c>
      <c r="C4455" s="1">
        <v>45870</v>
      </c>
      <c r="D4455">
        <f t="shared" si="323"/>
        <v>1</v>
      </c>
      <c r="E4455">
        <f t="shared" si="324"/>
        <v>8</v>
      </c>
      <c r="F4455">
        <f t="shared" si="325"/>
        <v>2025</v>
      </c>
      <c r="G4455" t="s">
        <v>77</v>
      </c>
      <c r="H4455" s="98">
        <v>12895</v>
      </c>
      <c r="I4455" s="29">
        <v>15838.2</v>
      </c>
      <c r="J4455" s="12" t="s">
        <v>31</v>
      </c>
      <c r="K4455" s="76">
        <f t="shared" si="322"/>
        <v>15838.2</v>
      </c>
      <c r="L4455">
        <v>1</v>
      </c>
      <c r="M4455" s="29">
        <v>0</v>
      </c>
      <c r="N4455" t="s">
        <v>32</v>
      </c>
      <c r="O4455" t="s">
        <v>33</v>
      </c>
      <c r="P4455" t="s">
        <v>34</v>
      </c>
      <c r="Q4455" t="s">
        <v>34</v>
      </c>
      <c r="R4455" t="s">
        <v>34</v>
      </c>
      <c r="S4455" t="s">
        <v>34</v>
      </c>
      <c r="T4455" s="117">
        <v>0</v>
      </c>
    </row>
    <row r="4456" spans="1:20" x14ac:dyDescent="0.35">
      <c r="A4456" t="s">
        <v>19</v>
      </c>
      <c r="B4456" t="s">
        <v>25</v>
      </c>
      <c r="C4456" s="1">
        <v>45870</v>
      </c>
      <c r="D4456">
        <f t="shared" si="323"/>
        <v>1</v>
      </c>
      <c r="E4456">
        <f t="shared" si="324"/>
        <v>8</v>
      </c>
      <c r="F4456">
        <f t="shared" si="325"/>
        <v>2025</v>
      </c>
      <c r="G4456" t="s">
        <v>77</v>
      </c>
      <c r="H4456" s="98">
        <v>12576</v>
      </c>
      <c r="I4456" s="29">
        <v>15407.25</v>
      </c>
      <c r="J4456" s="12" t="s">
        <v>31</v>
      </c>
      <c r="K4456" s="76">
        <f t="shared" si="322"/>
        <v>15407.25</v>
      </c>
      <c r="L4456">
        <v>1</v>
      </c>
      <c r="M4456" s="29">
        <v>0</v>
      </c>
      <c r="N4456" t="s">
        <v>32</v>
      </c>
      <c r="O4456" t="s">
        <v>33</v>
      </c>
      <c r="P4456" t="s">
        <v>34</v>
      </c>
      <c r="Q4456" t="s">
        <v>34</v>
      </c>
      <c r="R4456" t="s">
        <v>34</v>
      </c>
      <c r="S4456" t="s">
        <v>34</v>
      </c>
      <c r="T4456" s="117">
        <v>0</v>
      </c>
    </row>
    <row r="4457" spans="1:20" x14ac:dyDescent="0.35">
      <c r="A4457" t="s">
        <v>19</v>
      </c>
      <c r="B4457" t="s">
        <v>21</v>
      </c>
      <c r="C4457" s="1">
        <v>45870</v>
      </c>
      <c r="D4457">
        <f t="shared" si="323"/>
        <v>1</v>
      </c>
      <c r="E4457">
        <f t="shared" si="324"/>
        <v>8</v>
      </c>
      <c r="F4457">
        <f t="shared" si="325"/>
        <v>2025</v>
      </c>
      <c r="G4457" t="s">
        <v>882</v>
      </c>
      <c r="H4457" s="98">
        <v>12307</v>
      </c>
      <c r="I4457" s="29">
        <v>3975.55</v>
      </c>
      <c r="J4457" s="12" t="s">
        <v>31</v>
      </c>
      <c r="K4457" s="76">
        <f t="shared" si="322"/>
        <v>3975.55</v>
      </c>
      <c r="L4457">
        <v>1</v>
      </c>
      <c r="M4457" s="29">
        <v>0</v>
      </c>
      <c r="N4457" t="s">
        <v>42</v>
      </c>
      <c r="O4457" t="s">
        <v>33</v>
      </c>
      <c r="P4457" t="s">
        <v>34</v>
      </c>
      <c r="Q4457" t="s">
        <v>34</v>
      </c>
      <c r="R4457" t="s">
        <v>34</v>
      </c>
      <c r="S4457" t="s">
        <v>34</v>
      </c>
      <c r="T4457" s="117">
        <v>0</v>
      </c>
    </row>
    <row r="4458" spans="1:20" x14ac:dyDescent="0.35">
      <c r="A4458" t="s">
        <v>19</v>
      </c>
      <c r="B4458" t="s">
        <v>21</v>
      </c>
      <c r="C4458" s="1">
        <v>45870</v>
      </c>
      <c r="D4458">
        <f t="shared" si="323"/>
        <v>1</v>
      </c>
      <c r="E4458">
        <f t="shared" si="324"/>
        <v>8</v>
      </c>
      <c r="F4458">
        <f t="shared" si="325"/>
        <v>2025</v>
      </c>
      <c r="G4458" t="s">
        <v>882</v>
      </c>
      <c r="H4458" s="98">
        <v>13039</v>
      </c>
      <c r="I4458" s="29">
        <v>6128.03</v>
      </c>
      <c r="J4458" s="12" t="s">
        <v>31</v>
      </c>
      <c r="K4458" s="76">
        <f t="shared" si="322"/>
        <v>6128.03</v>
      </c>
      <c r="L4458">
        <v>1</v>
      </c>
      <c r="M4458" s="29">
        <v>0</v>
      </c>
      <c r="N4458" t="s">
        <v>42</v>
      </c>
      <c r="O4458" t="s">
        <v>33</v>
      </c>
      <c r="P4458" t="s">
        <v>34</v>
      </c>
      <c r="Q4458" t="s">
        <v>34</v>
      </c>
      <c r="R4458" t="s">
        <v>34</v>
      </c>
      <c r="S4458" t="s">
        <v>34</v>
      </c>
      <c r="T4458" s="117">
        <v>0</v>
      </c>
    </row>
    <row r="4459" spans="1:20" x14ac:dyDescent="0.35">
      <c r="A4459" t="s">
        <v>19</v>
      </c>
      <c r="B4459" t="s">
        <v>23</v>
      </c>
      <c r="C4459" s="1">
        <v>45870</v>
      </c>
      <c r="D4459">
        <f t="shared" si="323"/>
        <v>1</v>
      </c>
      <c r="E4459">
        <f t="shared" si="324"/>
        <v>8</v>
      </c>
      <c r="F4459">
        <f t="shared" si="325"/>
        <v>2025</v>
      </c>
      <c r="G4459" t="s">
        <v>885</v>
      </c>
      <c r="H4459" s="98">
        <v>13362</v>
      </c>
      <c r="I4459" s="29">
        <v>8092</v>
      </c>
      <c r="J4459" s="12" t="s">
        <v>31</v>
      </c>
      <c r="K4459" s="76">
        <f t="shared" si="322"/>
        <v>8092</v>
      </c>
      <c r="L4459">
        <v>1</v>
      </c>
      <c r="M4459" s="29">
        <v>0</v>
      </c>
      <c r="N4459" t="s">
        <v>42</v>
      </c>
      <c r="O4459" t="s">
        <v>33</v>
      </c>
      <c r="P4459" t="s">
        <v>34</v>
      </c>
      <c r="Q4459" t="s">
        <v>34</v>
      </c>
      <c r="R4459" t="s">
        <v>34</v>
      </c>
      <c r="S4459" t="s">
        <v>34</v>
      </c>
      <c r="T4459" s="117">
        <v>0</v>
      </c>
    </row>
    <row r="4460" spans="1:20" x14ac:dyDescent="0.35">
      <c r="A4460" t="s">
        <v>19</v>
      </c>
      <c r="B4460" t="s">
        <v>25</v>
      </c>
      <c r="C4460" s="1">
        <v>45870</v>
      </c>
      <c r="D4460">
        <f t="shared" si="323"/>
        <v>1</v>
      </c>
      <c r="E4460">
        <f t="shared" si="324"/>
        <v>8</v>
      </c>
      <c r="F4460">
        <f t="shared" si="325"/>
        <v>2025</v>
      </c>
      <c r="G4460" t="s">
        <v>980</v>
      </c>
      <c r="H4460" s="98">
        <v>12490</v>
      </c>
      <c r="I4460" s="29">
        <v>8590.5</v>
      </c>
      <c r="J4460" s="12" t="s">
        <v>51</v>
      </c>
      <c r="K4460" s="76">
        <f t="shared" si="322"/>
        <v>9962.429995980001</v>
      </c>
      <c r="L4460">
        <v>1.1597031600000001</v>
      </c>
      <c r="M4460" s="29">
        <v>0</v>
      </c>
      <c r="N4460" t="s">
        <v>42</v>
      </c>
      <c r="O4460" t="s">
        <v>33</v>
      </c>
      <c r="P4460" t="s">
        <v>34</v>
      </c>
      <c r="Q4460" t="s">
        <v>34</v>
      </c>
      <c r="R4460" t="s">
        <v>34</v>
      </c>
      <c r="S4460" t="s">
        <v>34</v>
      </c>
      <c r="T4460" s="117">
        <v>0</v>
      </c>
    </row>
    <row r="4461" spans="1:20" x14ac:dyDescent="0.35">
      <c r="A4461" t="s">
        <v>20</v>
      </c>
      <c r="B4461" t="s">
        <v>21</v>
      </c>
      <c r="C4461" s="1">
        <v>45870</v>
      </c>
      <c r="D4461">
        <f t="shared" si="323"/>
        <v>1</v>
      </c>
      <c r="E4461">
        <f t="shared" si="324"/>
        <v>8</v>
      </c>
      <c r="F4461">
        <f t="shared" si="325"/>
        <v>2025</v>
      </c>
      <c r="G4461" t="s">
        <v>53</v>
      </c>
      <c r="H4461" s="171">
        <v>12659</v>
      </c>
      <c r="I4461" s="90">
        <v>28623.26</v>
      </c>
      <c r="J4461" s="12" t="s">
        <v>31</v>
      </c>
      <c r="K4461" s="76">
        <f t="shared" si="322"/>
        <v>28623.26</v>
      </c>
      <c r="L4461">
        <v>1</v>
      </c>
      <c r="M4461" s="29">
        <v>0</v>
      </c>
      <c r="N4461" t="s">
        <v>32</v>
      </c>
      <c r="O4461" t="s">
        <v>33</v>
      </c>
      <c r="P4461" t="s">
        <v>34</v>
      </c>
      <c r="Q4461" t="s">
        <v>34</v>
      </c>
      <c r="R4461" t="s">
        <v>34</v>
      </c>
      <c r="S4461" t="s">
        <v>34</v>
      </c>
      <c r="T4461" s="117">
        <v>0</v>
      </c>
    </row>
    <row r="4462" spans="1:20" x14ac:dyDescent="0.35">
      <c r="A4462" t="s">
        <v>20</v>
      </c>
      <c r="B4462" t="s">
        <v>23</v>
      </c>
      <c r="C4462" s="1">
        <v>45870</v>
      </c>
      <c r="D4462">
        <f t="shared" si="323"/>
        <v>1</v>
      </c>
      <c r="E4462">
        <f t="shared" si="324"/>
        <v>8</v>
      </c>
      <c r="F4462">
        <f t="shared" si="325"/>
        <v>2025</v>
      </c>
      <c r="G4462" t="s">
        <v>53</v>
      </c>
      <c r="H4462" s="171">
        <v>12730</v>
      </c>
      <c r="I4462" s="90">
        <v>26622.35</v>
      </c>
      <c r="J4462" s="12" t="s">
        <v>31</v>
      </c>
      <c r="K4462" s="76">
        <f t="shared" si="322"/>
        <v>26622.35</v>
      </c>
      <c r="L4462">
        <v>1</v>
      </c>
      <c r="M4462" s="29">
        <v>0</v>
      </c>
      <c r="N4462" t="s">
        <v>32</v>
      </c>
      <c r="O4462" t="s">
        <v>33</v>
      </c>
      <c r="P4462" t="s">
        <v>34</v>
      </c>
      <c r="Q4462" t="s">
        <v>34</v>
      </c>
      <c r="R4462" t="s">
        <v>34</v>
      </c>
      <c r="S4462" t="s">
        <v>34</v>
      </c>
      <c r="T4462" s="117">
        <v>0</v>
      </c>
    </row>
    <row r="4463" spans="1:20" x14ac:dyDescent="0.35">
      <c r="A4463" t="s">
        <v>20</v>
      </c>
      <c r="B4463" t="s">
        <v>21</v>
      </c>
      <c r="C4463" s="1">
        <v>45870</v>
      </c>
      <c r="D4463">
        <f t="shared" si="323"/>
        <v>1</v>
      </c>
      <c r="E4463">
        <f t="shared" si="324"/>
        <v>8</v>
      </c>
      <c r="F4463">
        <f t="shared" si="325"/>
        <v>2025</v>
      </c>
      <c r="G4463" t="s">
        <v>88</v>
      </c>
      <c r="H4463" s="98">
        <v>12734</v>
      </c>
      <c r="I4463" s="29">
        <v>46252.73</v>
      </c>
      <c r="J4463" s="12" t="s">
        <v>31</v>
      </c>
      <c r="K4463" s="76">
        <f t="shared" si="322"/>
        <v>46252.73</v>
      </c>
      <c r="L4463">
        <v>1</v>
      </c>
      <c r="M4463" s="29">
        <v>0</v>
      </c>
      <c r="N4463" t="s">
        <v>32</v>
      </c>
      <c r="O4463" t="s">
        <v>33</v>
      </c>
      <c r="P4463" t="s">
        <v>34</v>
      </c>
      <c r="Q4463" t="s">
        <v>34</v>
      </c>
      <c r="R4463" t="s">
        <v>34</v>
      </c>
      <c r="S4463" t="s">
        <v>34</v>
      </c>
      <c r="T4463" s="117">
        <v>0</v>
      </c>
    </row>
    <row r="4464" spans="1:20" x14ac:dyDescent="0.35">
      <c r="A4464" t="s">
        <v>20</v>
      </c>
      <c r="B4464" t="s">
        <v>21</v>
      </c>
      <c r="C4464" s="1">
        <v>45870</v>
      </c>
      <c r="D4464">
        <f t="shared" si="323"/>
        <v>1</v>
      </c>
      <c r="E4464">
        <f t="shared" si="324"/>
        <v>8</v>
      </c>
      <c r="F4464">
        <f t="shared" si="325"/>
        <v>2025</v>
      </c>
      <c r="G4464" t="s">
        <v>300</v>
      </c>
      <c r="H4464" s="98">
        <v>12836</v>
      </c>
      <c r="I4464" s="29">
        <v>34608.839999999997</v>
      </c>
      <c r="J4464" s="12" t="s">
        <v>31</v>
      </c>
      <c r="K4464" s="76">
        <f t="shared" si="322"/>
        <v>34608.839999999997</v>
      </c>
      <c r="L4464">
        <v>1</v>
      </c>
      <c r="M4464" s="29">
        <v>0</v>
      </c>
      <c r="N4464" t="s">
        <v>32</v>
      </c>
      <c r="O4464" t="s">
        <v>33</v>
      </c>
      <c r="P4464" t="s">
        <v>34</v>
      </c>
      <c r="Q4464" t="s">
        <v>34</v>
      </c>
      <c r="R4464" t="s">
        <v>34</v>
      </c>
      <c r="S4464" t="s">
        <v>34</v>
      </c>
      <c r="T4464" s="117">
        <v>0</v>
      </c>
    </row>
    <row r="4465" spans="1:21" x14ac:dyDescent="0.35">
      <c r="A4465" t="s">
        <v>20</v>
      </c>
      <c r="B4465" t="s">
        <v>24</v>
      </c>
      <c r="C4465" s="1">
        <v>45870</v>
      </c>
      <c r="D4465">
        <f t="shared" si="323"/>
        <v>1</v>
      </c>
      <c r="E4465">
        <f t="shared" si="324"/>
        <v>8</v>
      </c>
      <c r="F4465">
        <f t="shared" si="325"/>
        <v>2025</v>
      </c>
      <c r="G4465" t="s">
        <v>90</v>
      </c>
      <c r="H4465" s="98">
        <v>11838</v>
      </c>
      <c r="I4465" s="29">
        <v>8941.9699999999993</v>
      </c>
      <c r="J4465" s="12" t="s">
        <v>31</v>
      </c>
      <c r="K4465" s="76">
        <f t="shared" si="322"/>
        <v>8941.9699999999993</v>
      </c>
      <c r="L4465">
        <v>1</v>
      </c>
      <c r="M4465" s="29">
        <v>0</v>
      </c>
      <c r="N4465" t="s">
        <v>32</v>
      </c>
      <c r="O4465" t="s">
        <v>33</v>
      </c>
      <c r="P4465" t="s">
        <v>34</v>
      </c>
      <c r="Q4465" t="s">
        <v>34</v>
      </c>
      <c r="R4465" t="s">
        <v>34</v>
      </c>
      <c r="S4465" t="s">
        <v>34</v>
      </c>
      <c r="T4465" s="117">
        <v>0</v>
      </c>
    </row>
    <row r="4466" spans="1:21" x14ac:dyDescent="0.35">
      <c r="A4466" t="s">
        <v>20</v>
      </c>
      <c r="B4466" t="s">
        <v>24</v>
      </c>
      <c r="C4466" s="1">
        <v>45870</v>
      </c>
      <c r="D4466">
        <f t="shared" si="323"/>
        <v>1</v>
      </c>
      <c r="E4466">
        <f t="shared" si="324"/>
        <v>8</v>
      </c>
      <c r="F4466">
        <f t="shared" si="325"/>
        <v>2025</v>
      </c>
      <c r="G4466" t="s">
        <v>90</v>
      </c>
      <c r="H4466" s="98">
        <v>12608</v>
      </c>
      <c r="I4466" s="29">
        <v>10935.07</v>
      </c>
      <c r="J4466" s="12" t="s">
        <v>31</v>
      </c>
      <c r="K4466" s="76">
        <f t="shared" si="322"/>
        <v>10935.07</v>
      </c>
      <c r="L4466">
        <v>1</v>
      </c>
      <c r="M4466" s="29">
        <v>0</v>
      </c>
      <c r="N4466" t="s">
        <v>32</v>
      </c>
      <c r="O4466" t="s">
        <v>33</v>
      </c>
      <c r="P4466" t="s">
        <v>34</v>
      </c>
      <c r="Q4466" t="s">
        <v>34</v>
      </c>
      <c r="R4466" t="s">
        <v>34</v>
      </c>
      <c r="S4466" t="s">
        <v>34</v>
      </c>
      <c r="T4466" s="117">
        <v>0</v>
      </c>
    </row>
    <row r="4467" spans="1:21" x14ac:dyDescent="0.35">
      <c r="A4467" t="s">
        <v>20</v>
      </c>
      <c r="B4467" t="s">
        <v>21</v>
      </c>
      <c r="C4467" s="1">
        <v>45870</v>
      </c>
      <c r="D4467">
        <f t="shared" si="323"/>
        <v>1</v>
      </c>
      <c r="E4467">
        <f t="shared" si="324"/>
        <v>8</v>
      </c>
      <c r="F4467">
        <f t="shared" si="325"/>
        <v>2025</v>
      </c>
      <c r="G4467" t="s">
        <v>90</v>
      </c>
      <c r="H4467" s="98">
        <v>12277</v>
      </c>
      <c r="I4467" s="29">
        <v>4151.7700000000004</v>
      </c>
      <c r="J4467" s="12" t="s">
        <v>31</v>
      </c>
      <c r="K4467" s="76">
        <f t="shared" ref="K4467:K4533" si="326">IF(J4467="USD",I4467,I4467*L4467)</f>
        <v>4151.7700000000004</v>
      </c>
      <c r="L4467">
        <v>1</v>
      </c>
      <c r="M4467" s="29">
        <v>0</v>
      </c>
      <c r="N4467" t="s">
        <v>32</v>
      </c>
      <c r="O4467" t="s">
        <v>33</v>
      </c>
      <c r="P4467" t="s">
        <v>34</v>
      </c>
      <c r="Q4467" t="s">
        <v>34</v>
      </c>
      <c r="R4467" t="s">
        <v>34</v>
      </c>
      <c r="S4467" t="s">
        <v>34</v>
      </c>
      <c r="T4467" s="117">
        <v>0</v>
      </c>
    </row>
    <row r="4468" spans="1:21" x14ac:dyDescent="0.35">
      <c r="A4468" t="s">
        <v>20</v>
      </c>
      <c r="B4468" t="s">
        <v>25</v>
      </c>
      <c r="C4468" s="1">
        <v>45870</v>
      </c>
      <c r="D4468">
        <f t="shared" si="323"/>
        <v>1</v>
      </c>
      <c r="E4468">
        <f t="shared" si="324"/>
        <v>8</v>
      </c>
      <c r="F4468">
        <f t="shared" si="325"/>
        <v>2025</v>
      </c>
      <c r="G4468" t="s">
        <v>90</v>
      </c>
      <c r="H4468" s="98">
        <v>13159</v>
      </c>
      <c r="I4468" s="29">
        <v>119.53</v>
      </c>
      <c r="J4468" s="12" t="s">
        <v>31</v>
      </c>
      <c r="K4468" s="76">
        <f t="shared" si="326"/>
        <v>119.53</v>
      </c>
      <c r="L4468">
        <v>1</v>
      </c>
      <c r="M4468" s="29">
        <v>0</v>
      </c>
      <c r="N4468" t="s">
        <v>32</v>
      </c>
      <c r="O4468" t="s">
        <v>33</v>
      </c>
      <c r="P4468" t="s">
        <v>34</v>
      </c>
      <c r="Q4468" t="s">
        <v>34</v>
      </c>
      <c r="R4468" t="s">
        <v>34</v>
      </c>
      <c r="S4468" t="s">
        <v>34</v>
      </c>
      <c r="T4468" s="117">
        <v>0</v>
      </c>
    </row>
    <row r="4469" spans="1:21" x14ac:dyDescent="0.35">
      <c r="A4469" t="s">
        <v>19</v>
      </c>
      <c r="B4469" t="s">
        <v>26</v>
      </c>
      <c r="C4469" s="1">
        <v>45870</v>
      </c>
      <c r="D4469">
        <f>DAY(C4469)</f>
        <v>1</v>
      </c>
      <c r="E4469">
        <f>MONTH(C4469)</f>
        <v>8</v>
      </c>
      <c r="F4469">
        <f>YEAR(C4469)</f>
        <v>2025</v>
      </c>
      <c r="G4469" t="s">
        <v>73</v>
      </c>
      <c r="H4469" s="98">
        <v>13525</v>
      </c>
      <c r="I4469" s="15">
        <v>24433.33</v>
      </c>
      <c r="J4469" s="12" t="s">
        <v>51</v>
      </c>
      <c r="K4469" s="76">
        <f t="shared" si="326"/>
        <v>28306.012805000006</v>
      </c>
      <c r="L4469">
        <v>1.1585000000000001</v>
      </c>
      <c r="M4469" s="29">
        <v>0</v>
      </c>
      <c r="N4469" t="s">
        <v>32</v>
      </c>
      <c r="O4469" t="s">
        <v>33</v>
      </c>
      <c r="P4469" t="s">
        <v>34</v>
      </c>
      <c r="Q4469" t="s">
        <v>34</v>
      </c>
      <c r="R4469" t="s">
        <v>34</v>
      </c>
      <c r="S4469" t="s">
        <v>34</v>
      </c>
      <c r="T4469" s="117">
        <v>0</v>
      </c>
      <c r="U4469" s="209" t="s">
        <v>94</v>
      </c>
    </row>
    <row r="4470" spans="1:21" x14ac:dyDescent="0.35">
      <c r="A4470" t="s">
        <v>19</v>
      </c>
      <c r="B4470" t="s">
        <v>26</v>
      </c>
      <c r="C4470" s="1">
        <v>45870</v>
      </c>
      <c r="D4470">
        <f>DAY(C4470)</f>
        <v>1</v>
      </c>
      <c r="E4470">
        <f>MONTH(C4470)</f>
        <v>8</v>
      </c>
      <c r="F4470">
        <f>YEAR(C4470)</f>
        <v>2025</v>
      </c>
      <c r="G4470" t="s">
        <v>73</v>
      </c>
      <c r="H4470" s="98">
        <v>13526</v>
      </c>
      <c r="I4470" s="15">
        <v>69711.06</v>
      </c>
      <c r="J4470" s="12" t="s">
        <v>51</v>
      </c>
      <c r="K4470" s="76">
        <f t="shared" si="326"/>
        <v>80760.26301000001</v>
      </c>
      <c r="L4470">
        <v>1.1585000000000001</v>
      </c>
      <c r="M4470" s="29">
        <v>0</v>
      </c>
      <c r="N4470" t="s">
        <v>32</v>
      </c>
      <c r="O4470" t="s">
        <v>33</v>
      </c>
      <c r="P4470" t="s">
        <v>34</v>
      </c>
      <c r="Q4470" t="s">
        <v>34</v>
      </c>
      <c r="R4470" t="s">
        <v>34</v>
      </c>
      <c r="S4470" t="s">
        <v>34</v>
      </c>
      <c r="T4470" s="117">
        <v>0</v>
      </c>
      <c r="U4470" s="209" t="s">
        <v>94</v>
      </c>
    </row>
    <row r="4471" spans="1:21" x14ac:dyDescent="0.35">
      <c r="A4471" t="s">
        <v>19</v>
      </c>
      <c r="B4471" t="s">
        <v>26</v>
      </c>
      <c r="C4471" s="1">
        <v>45870</v>
      </c>
      <c r="D4471">
        <f t="shared" si="323"/>
        <v>1</v>
      </c>
      <c r="E4471">
        <f t="shared" si="324"/>
        <v>8</v>
      </c>
      <c r="F4471">
        <f t="shared" si="325"/>
        <v>2025</v>
      </c>
      <c r="G4471" t="s">
        <v>73</v>
      </c>
      <c r="H4471" s="121">
        <v>13527</v>
      </c>
      <c r="I4471" s="15">
        <v>60748.14</v>
      </c>
      <c r="J4471" s="12" t="s">
        <v>51</v>
      </c>
      <c r="K4471" s="76">
        <f t="shared" si="326"/>
        <v>70376.720190000007</v>
      </c>
      <c r="L4471">
        <v>1.1585000000000001</v>
      </c>
      <c r="M4471" s="29">
        <v>0</v>
      </c>
      <c r="N4471" t="s">
        <v>42</v>
      </c>
      <c r="O4471" t="s">
        <v>33</v>
      </c>
      <c r="P4471" t="s">
        <v>34</v>
      </c>
      <c r="Q4471" t="s">
        <v>34</v>
      </c>
      <c r="R4471" t="s">
        <v>34</v>
      </c>
      <c r="S4471" t="s">
        <v>34</v>
      </c>
      <c r="T4471" s="117">
        <v>0</v>
      </c>
      <c r="U4471" s="209" t="s">
        <v>94</v>
      </c>
    </row>
    <row r="4472" spans="1:21" x14ac:dyDescent="0.35">
      <c r="A4472" t="s">
        <v>19</v>
      </c>
      <c r="B4472" t="s">
        <v>19</v>
      </c>
      <c r="C4472" s="1">
        <v>45870</v>
      </c>
      <c r="D4472">
        <f t="shared" si="323"/>
        <v>1</v>
      </c>
      <c r="E4472">
        <f t="shared" si="324"/>
        <v>8</v>
      </c>
      <c r="F4472">
        <f t="shared" si="325"/>
        <v>2025</v>
      </c>
      <c r="G4472" t="s">
        <v>56</v>
      </c>
      <c r="H4472" s="98" t="s">
        <v>1216</v>
      </c>
      <c r="I4472" s="29">
        <v>170880.74</v>
      </c>
      <c r="J4472" s="12" t="s">
        <v>31</v>
      </c>
      <c r="K4472" s="76">
        <f t="shared" si="326"/>
        <v>170880.74</v>
      </c>
      <c r="L4472">
        <v>1</v>
      </c>
      <c r="M4472" s="29">
        <v>0</v>
      </c>
      <c r="N4472" t="s">
        <v>32</v>
      </c>
      <c r="O4472" t="s">
        <v>114</v>
      </c>
      <c r="P4472" s="1">
        <v>45870</v>
      </c>
      <c r="Q4472" s="1">
        <f>Tabla1[[#This Row],[FECHA DE APERTURA CREDITO -UTILIZACION LC]]+117</f>
        <v>45987</v>
      </c>
      <c r="R4472" s="101">
        <v>8021000584707</v>
      </c>
      <c r="S4472" t="s">
        <v>34</v>
      </c>
      <c r="T4472" s="117">
        <v>0</v>
      </c>
      <c r="U4472" s="209" t="s">
        <v>1221</v>
      </c>
    </row>
    <row r="4473" spans="1:21" x14ac:dyDescent="0.35">
      <c r="A4473" t="s">
        <v>19</v>
      </c>
      <c r="B4473" t="s">
        <v>19</v>
      </c>
      <c r="C4473" s="1">
        <v>45870</v>
      </c>
      <c r="D4473">
        <f t="shared" si="323"/>
        <v>1</v>
      </c>
      <c r="E4473">
        <f t="shared" si="324"/>
        <v>8</v>
      </c>
      <c r="F4473">
        <f t="shared" si="325"/>
        <v>2025</v>
      </c>
      <c r="G4473" t="s">
        <v>56</v>
      </c>
      <c r="H4473" s="98" t="s">
        <v>1217</v>
      </c>
      <c r="I4473" s="29">
        <v>170911.66</v>
      </c>
      <c r="J4473" s="12" t="s">
        <v>31</v>
      </c>
      <c r="K4473" s="76">
        <f t="shared" si="326"/>
        <v>170911.66</v>
      </c>
      <c r="L4473">
        <v>1</v>
      </c>
      <c r="M4473" s="29">
        <v>0</v>
      </c>
      <c r="N4473" t="s">
        <v>32</v>
      </c>
      <c r="O4473" t="s">
        <v>114</v>
      </c>
      <c r="P4473" s="1">
        <v>45870</v>
      </c>
      <c r="Q4473" s="1">
        <f>Tabla1[[#This Row],[FECHA DE APERTURA CREDITO -UTILIZACION LC]]+117</f>
        <v>45987</v>
      </c>
      <c r="R4473" s="101">
        <v>8021000584707</v>
      </c>
      <c r="S4473" t="s">
        <v>34</v>
      </c>
      <c r="T4473" s="117">
        <v>0</v>
      </c>
      <c r="U4473" s="209" t="s">
        <v>1221</v>
      </c>
    </row>
    <row r="4474" spans="1:21" x14ac:dyDescent="0.35">
      <c r="A4474" t="s">
        <v>19</v>
      </c>
      <c r="B4474" t="s">
        <v>19</v>
      </c>
      <c r="C4474" s="1">
        <v>45870</v>
      </c>
      <c r="D4474">
        <f t="shared" si="323"/>
        <v>1</v>
      </c>
      <c r="E4474">
        <f t="shared" si="324"/>
        <v>8</v>
      </c>
      <c r="F4474">
        <f t="shared" si="325"/>
        <v>2025</v>
      </c>
      <c r="G4474" t="s">
        <v>56</v>
      </c>
      <c r="H4474" s="98" t="s">
        <v>1218</v>
      </c>
      <c r="I4474" s="29">
        <f>170672.16+4170.91</f>
        <v>174843.07</v>
      </c>
      <c r="J4474" s="12" t="s">
        <v>31</v>
      </c>
      <c r="K4474" s="76">
        <f t="shared" si="326"/>
        <v>174843.07</v>
      </c>
      <c r="L4474">
        <v>1</v>
      </c>
      <c r="M4474" s="29">
        <v>0</v>
      </c>
      <c r="N4474" t="s">
        <v>32</v>
      </c>
      <c r="O4474" t="s">
        <v>114</v>
      </c>
      <c r="P4474" s="1">
        <v>45870</v>
      </c>
      <c r="Q4474" s="1">
        <f>Tabla1[[#This Row],[FECHA DE APERTURA CREDITO -UTILIZACION LC]]+89</f>
        <v>45959</v>
      </c>
      <c r="R4474" s="101">
        <v>8021000584752</v>
      </c>
      <c r="S4474" t="s">
        <v>34</v>
      </c>
      <c r="T4474" s="117">
        <v>0</v>
      </c>
      <c r="U4474" s="209" t="s">
        <v>1221</v>
      </c>
    </row>
    <row r="4475" spans="1:21" x14ac:dyDescent="0.35">
      <c r="A4475" t="s">
        <v>19</v>
      </c>
      <c r="B4475" t="s">
        <v>19</v>
      </c>
      <c r="C4475" s="1">
        <v>45870</v>
      </c>
      <c r="D4475">
        <f t="shared" si="323"/>
        <v>1</v>
      </c>
      <c r="E4475">
        <f t="shared" si="324"/>
        <v>8</v>
      </c>
      <c r="F4475">
        <f t="shared" si="325"/>
        <v>2025</v>
      </c>
      <c r="G4475" t="s">
        <v>56</v>
      </c>
      <c r="H4475" s="98" t="s">
        <v>1219</v>
      </c>
      <c r="I4475" s="29">
        <v>171914.58</v>
      </c>
      <c r="J4475" s="12" t="s">
        <v>31</v>
      </c>
      <c r="K4475" s="76">
        <f t="shared" si="326"/>
        <v>171914.58</v>
      </c>
      <c r="L4475">
        <v>1</v>
      </c>
      <c r="M4475" s="29">
        <v>0</v>
      </c>
      <c r="N4475" t="s">
        <v>32</v>
      </c>
      <c r="O4475" t="s">
        <v>114</v>
      </c>
      <c r="P4475" s="1">
        <v>45870</v>
      </c>
      <c r="Q4475" s="1">
        <f>Tabla1[[#This Row],[FECHA DE APERTURA CREDITO -UTILIZACION LC]]+89</f>
        <v>45959</v>
      </c>
      <c r="R4475" s="101">
        <v>8021000584752</v>
      </c>
      <c r="S4475" t="s">
        <v>34</v>
      </c>
      <c r="T4475" s="117">
        <v>0</v>
      </c>
      <c r="U4475" s="209" t="s">
        <v>1221</v>
      </c>
    </row>
    <row r="4476" spans="1:21" x14ac:dyDescent="0.35">
      <c r="A4476" t="s">
        <v>19</v>
      </c>
      <c r="B4476" t="s">
        <v>19</v>
      </c>
      <c r="C4476" s="1">
        <v>45870</v>
      </c>
      <c r="D4476">
        <f t="shared" si="323"/>
        <v>1</v>
      </c>
      <c r="E4476">
        <f t="shared" si="324"/>
        <v>8</v>
      </c>
      <c r="F4476">
        <f t="shared" si="325"/>
        <v>2025</v>
      </c>
      <c r="G4476" t="s">
        <v>56</v>
      </c>
      <c r="H4476" s="98" t="s">
        <v>1220</v>
      </c>
      <c r="I4476" s="29">
        <v>1065.68</v>
      </c>
      <c r="J4476" s="12" t="s">
        <v>31</v>
      </c>
      <c r="K4476" s="76">
        <f t="shared" si="326"/>
        <v>1065.68</v>
      </c>
      <c r="L4476">
        <v>1</v>
      </c>
      <c r="M4476" s="29">
        <v>0</v>
      </c>
      <c r="N4476" t="s">
        <v>32</v>
      </c>
      <c r="O4476" t="s">
        <v>114</v>
      </c>
      <c r="P4476" s="1">
        <v>45870</v>
      </c>
      <c r="Q4476" s="1">
        <f>Tabla1[[#This Row],[FECHA DE APERTURA CREDITO -UTILIZACION LC]]+89</f>
        <v>45959</v>
      </c>
      <c r="R4476" s="101">
        <v>8021000584752</v>
      </c>
      <c r="S4476" t="s">
        <v>34</v>
      </c>
      <c r="T4476" s="117">
        <v>0</v>
      </c>
      <c r="U4476" s="209" t="s">
        <v>1221</v>
      </c>
    </row>
    <row r="4477" spans="1:21" x14ac:dyDescent="0.35">
      <c r="A4477" t="s">
        <v>19</v>
      </c>
      <c r="B4477" t="s">
        <v>19</v>
      </c>
      <c r="C4477" s="1">
        <v>45874</v>
      </c>
      <c r="D4477">
        <f t="shared" si="323"/>
        <v>5</v>
      </c>
      <c r="E4477">
        <f t="shared" si="324"/>
        <v>8</v>
      </c>
      <c r="F4477">
        <f t="shared" si="325"/>
        <v>2025</v>
      </c>
      <c r="G4477" t="s">
        <v>59</v>
      </c>
      <c r="H4477" s="171" t="s">
        <v>1266</v>
      </c>
      <c r="I4477" s="90">
        <v>409731.61</v>
      </c>
      <c r="J4477" s="12" t="s">
        <v>31</v>
      </c>
      <c r="K4477" s="76">
        <f t="shared" si="326"/>
        <v>409731.61</v>
      </c>
      <c r="L4477">
        <v>1</v>
      </c>
      <c r="M4477" s="29">
        <v>0</v>
      </c>
      <c r="N4477" t="s">
        <v>32</v>
      </c>
      <c r="O4477" t="s">
        <v>114</v>
      </c>
      <c r="P4477" s="1">
        <v>45874</v>
      </c>
      <c r="Q4477" s="1">
        <f>Tabla1[[#This Row],[FECHA DE APERTURA CREDITO -UTILIZACION LC]]+120</f>
        <v>45994</v>
      </c>
      <c r="R4477" s="101">
        <v>8021000585681</v>
      </c>
      <c r="S4477" t="s">
        <v>34</v>
      </c>
      <c r="T4477" s="117">
        <v>0</v>
      </c>
      <c r="U4477" s="209" t="s">
        <v>1221</v>
      </c>
    </row>
    <row r="4478" spans="1:21" x14ac:dyDescent="0.35">
      <c r="A4478" t="s">
        <v>19</v>
      </c>
      <c r="B4478" t="s">
        <v>19</v>
      </c>
      <c r="C4478" s="1">
        <v>45874</v>
      </c>
      <c r="D4478">
        <f t="shared" si="323"/>
        <v>5</v>
      </c>
      <c r="E4478">
        <f t="shared" si="324"/>
        <v>8</v>
      </c>
      <c r="F4478">
        <f t="shared" si="325"/>
        <v>2025</v>
      </c>
      <c r="G4478" t="s">
        <v>111</v>
      </c>
      <c r="H4478" s="98" t="s">
        <v>1267</v>
      </c>
      <c r="I4478" s="29">
        <v>329673.92</v>
      </c>
      <c r="J4478" s="12" t="s">
        <v>31</v>
      </c>
      <c r="K4478" s="76">
        <f t="shared" si="326"/>
        <v>329673.92</v>
      </c>
      <c r="L4478">
        <v>1</v>
      </c>
      <c r="M4478" s="29">
        <v>0</v>
      </c>
      <c r="N4478" t="s">
        <v>32</v>
      </c>
      <c r="O4478" t="s">
        <v>114</v>
      </c>
      <c r="P4478" s="1">
        <v>45874</v>
      </c>
      <c r="Q4478" s="1">
        <f>Tabla1[[#This Row],[FECHA DE APERTURA CREDITO -UTILIZACION LC]]+93</f>
        <v>45967</v>
      </c>
      <c r="R4478" s="101">
        <v>8021000585674</v>
      </c>
      <c r="S4478" t="s">
        <v>34</v>
      </c>
      <c r="T4478" s="117">
        <v>0</v>
      </c>
      <c r="U4478" s="209" t="s">
        <v>1221</v>
      </c>
    </row>
    <row r="4479" spans="1:21" x14ac:dyDescent="0.35">
      <c r="A4479" t="s">
        <v>19</v>
      </c>
      <c r="B4479" t="s">
        <v>23</v>
      </c>
      <c r="C4479" s="1">
        <v>45875</v>
      </c>
      <c r="D4479">
        <f t="shared" si="323"/>
        <v>6</v>
      </c>
      <c r="E4479">
        <f t="shared" si="324"/>
        <v>8</v>
      </c>
      <c r="F4479">
        <f t="shared" si="325"/>
        <v>2025</v>
      </c>
      <c r="G4479" t="s">
        <v>74</v>
      </c>
      <c r="H4479" s="98">
        <v>12731</v>
      </c>
      <c r="I4479" s="29">
        <v>142647.9</v>
      </c>
      <c r="J4479" s="12" t="s">
        <v>31</v>
      </c>
      <c r="K4479" s="76">
        <f t="shared" si="326"/>
        <v>142647.9</v>
      </c>
      <c r="L4479">
        <v>1</v>
      </c>
      <c r="M4479" s="29">
        <v>0</v>
      </c>
      <c r="N4479" t="s">
        <v>32</v>
      </c>
      <c r="O4479" t="s">
        <v>33</v>
      </c>
      <c r="P4479" t="s">
        <v>34</v>
      </c>
      <c r="Q4479" t="s">
        <v>34</v>
      </c>
      <c r="R4479" t="s">
        <v>34</v>
      </c>
      <c r="S4479" t="s">
        <v>34</v>
      </c>
      <c r="T4479" s="117">
        <v>0</v>
      </c>
    </row>
    <row r="4480" spans="1:21" x14ac:dyDescent="0.35">
      <c r="A4480" t="s">
        <v>19</v>
      </c>
      <c r="B4480" t="s">
        <v>25</v>
      </c>
      <c r="C4480" s="1">
        <v>45875</v>
      </c>
      <c r="D4480">
        <f t="shared" si="323"/>
        <v>6</v>
      </c>
      <c r="E4480">
        <f t="shared" si="324"/>
        <v>8</v>
      </c>
      <c r="F4480">
        <f t="shared" si="325"/>
        <v>2025</v>
      </c>
      <c r="G4480" t="s">
        <v>76</v>
      </c>
      <c r="H4480" s="98">
        <v>13089</v>
      </c>
      <c r="I4480" s="29">
        <v>14460.5</v>
      </c>
      <c r="J4480" s="12" t="s">
        <v>31</v>
      </c>
      <c r="K4480" s="76">
        <f t="shared" si="326"/>
        <v>14460.5</v>
      </c>
      <c r="L4480">
        <v>1</v>
      </c>
      <c r="M4480" s="29">
        <v>0</v>
      </c>
      <c r="N4480" t="s">
        <v>42</v>
      </c>
      <c r="O4480" t="s">
        <v>33</v>
      </c>
      <c r="P4480" t="s">
        <v>34</v>
      </c>
      <c r="Q4480" t="s">
        <v>34</v>
      </c>
      <c r="R4480" t="s">
        <v>34</v>
      </c>
      <c r="S4480" t="s">
        <v>34</v>
      </c>
      <c r="T4480" s="117">
        <v>0</v>
      </c>
    </row>
    <row r="4481" spans="1:20" x14ac:dyDescent="0.35">
      <c r="A4481" t="s">
        <v>19</v>
      </c>
      <c r="B4481" t="s">
        <v>21</v>
      </c>
      <c r="C4481" s="1">
        <v>45875</v>
      </c>
      <c r="D4481">
        <f t="shared" si="323"/>
        <v>6</v>
      </c>
      <c r="E4481">
        <f t="shared" si="324"/>
        <v>8</v>
      </c>
      <c r="F4481">
        <f t="shared" si="325"/>
        <v>2025</v>
      </c>
      <c r="G4481" t="s">
        <v>76</v>
      </c>
      <c r="H4481" s="98">
        <v>13089</v>
      </c>
      <c r="I4481" s="29">
        <v>7368</v>
      </c>
      <c r="J4481" s="12" t="s">
        <v>31</v>
      </c>
      <c r="K4481" s="76">
        <f t="shared" si="326"/>
        <v>7368</v>
      </c>
      <c r="L4481">
        <v>1</v>
      </c>
      <c r="M4481" s="29">
        <v>0</v>
      </c>
      <c r="N4481" t="s">
        <v>42</v>
      </c>
      <c r="O4481" t="s">
        <v>33</v>
      </c>
      <c r="P4481" t="s">
        <v>34</v>
      </c>
      <c r="Q4481" t="s">
        <v>34</v>
      </c>
      <c r="R4481" t="s">
        <v>34</v>
      </c>
      <c r="S4481" t="s">
        <v>34</v>
      </c>
      <c r="T4481" s="117">
        <v>0</v>
      </c>
    </row>
    <row r="4482" spans="1:20" x14ac:dyDescent="0.35">
      <c r="A4482" t="s">
        <v>19</v>
      </c>
      <c r="B4482" t="s">
        <v>21</v>
      </c>
      <c r="C4482" s="1">
        <v>45875</v>
      </c>
      <c r="D4482">
        <f t="shared" si="323"/>
        <v>6</v>
      </c>
      <c r="E4482">
        <f t="shared" si="324"/>
        <v>8</v>
      </c>
      <c r="F4482">
        <f t="shared" si="325"/>
        <v>2025</v>
      </c>
      <c r="G4482" t="s">
        <v>76</v>
      </c>
      <c r="H4482" s="98">
        <v>13293</v>
      </c>
      <c r="I4482" s="29">
        <v>6614.8</v>
      </c>
      <c r="J4482" s="12" t="s">
        <v>31</v>
      </c>
      <c r="K4482" s="76">
        <f t="shared" si="326"/>
        <v>6614.8</v>
      </c>
      <c r="L4482">
        <v>1</v>
      </c>
      <c r="M4482" s="29">
        <v>0</v>
      </c>
      <c r="N4482" t="s">
        <v>42</v>
      </c>
      <c r="O4482" t="s">
        <v>33</v>
      </c>
      <c r="P4482" t="s">
        <v>34</v>
      </c>
      <c r="Q4482" t="s">
        <v>34</v>
      </c>
      <c r="R4482" t="s">
        <v>34</v>
      </c>
      <c r="S4482" t="s">
        <v>34</v>
      </c>
      <c r="T4482" s="117">
        <v>0</v>
      </c>
    </row>
    <row r="4483" spans="1:20" x14ac:dyDescent="0.35">
      <c r="A4483" t="s">
        <v>19</v>
      </c>
      <c r="B4483" t="s">
        <v>23</v>
      </c>
      <c r="C4483" s="1">
        <v>45875</v>
      </c>
      <c r="D4483">
        <f t="shared" si="323"/>
        <v>6</v>
      </c>
      <c r="E4483">
        <f t="shared" si="324"/>
        <v>8</v>
      </c>
      <c r="F4483">
        <f t="shared" si="325"/>
        <v>2025</v>
      </c>
      <c r="G4483" t="s">
        <v>882</v>
      </c>
      <c r="H4483" s="171">
        <v>13135</v>
      </c>
      <c r="I4483" s="90">
        <v>19755</v>
      </c>
      <c r="J4483" s="12" t="s">
        <v>31</v>
      </c>
      <c r="K4483" s="76">
        <f t="shared" si="326"/>
        <v>19755</v>
      </c>
      <c r="L4483">
        <v>1</v>
      </c>
      <c r="M4483" s="29">
        <v>0</v>
      </c>
      <c r="N4483" t="s">
        <v>32</v>
      </c>
      <c r="O4483" t="s">
        <v>33</v>
      </c>
      <c r="P4483" t="s">
        <v>34</v>
      </c>
      <c r="Q4483" t="s">
        <v>34</v>
      </c>
      <c r="R4483" t="s">
        <v>34</v>
      </c>
      <c r="S4483" t="s">
        <v>34</v>
      </c>
      <c r="T4483" s="117">
        <v>0</v>
      </c>
    </row>
    <row r="4484" spans="1:20" x14ac:dyDescent="0.35">
      <c r="A4484" t="s">
        <v>19</v>
      </c>
      <c r="B4484" t="s">
        <v>21</v>
      </c>
      <c r="C4484" s="1">
        <v>45875</v>
      </c>
      <c r="D4484">
        <f t="shared" si="323"/>
        <v>6</v>
      </c>
      <c r="E4484">
        <f t="shared" si="324"/>
        <v>8</v>
      </c>
      <c r="F4484">
        <f t="shared" si="325"/>
        <v>2025</v>
      </c>
      <c r="G4484" t="s">
        <v>882</v>
      </c>
      <c r="H4484" s="98">
        <v>13135</v>
      </c>
      <c r="I4484" s="29">
        <v>13951.4</v>
      </c>
      <c r="J4484" s="12" t="s">
        <v>31</v>
      </c>
      <c r="K4484" s="76">
        <f t="shared" si="326"/>
        <v>13951.4</v>
      </c>
      <c r="L4484">
        <v>1</v>
      </c>
      <c r="M4484" s="29">
        <v>0</v>
      </c>
      <c r="N4484" t="s">
        <v>32</v>
      </c>
      <c r="O4484" t="s">
        <v>33</v>
      </c>
      <c r="P4484" t="s">
        <v>34</v>
      </c>
      <c r="Q4484" t="s">
        <v>34</v>
      </c>
      <c r="R4484" t="s">
        <v>34</v>
      </c>
      <c r="S4484" t="s">
        <v>34</v>
      </c>
      <c r="T4484" s="117">
        <v>0</v>
      </c>
    </row>
    <row r="4485" spans="1:20" x14ac:dyDescent="0.35">
      <c r="A4485" t="s">
        <v>19</v>
      </c>
      <c r="B4485" t="s">
        <v>25</v>
      </c>
      <c r="C4485" s="1">
        <v>45875</v>
      </c>
      <c r="D4485">
        <f t="shared" si="323"/>
        <v>6</v>
      </c>
      <c r="E4485">
        <f t="shared" si="324"/>
        <v>8</v>
      </c>
      <c r="F4485">
        <f t="shared" si="325"/>
        <v>2025</v>
      </c>
      <c r="G4485" t="s">
        <v>351</v>
      </c>
      <c r="H4485" s="98">
        <v>12317</v>
      </c>
      <c r="I4485" s="29">
        <v>56124.6</v>
      </c>
      <c r="J4485" s="12" t="s">
        <v>31</v>
      </c>
      <c r="K4485" s="76">
        <f t="shared" si="326"/>
        <v>56124.6</v>
      </c>
      <c r="L4485">
        <v>1</v>
      </c>
      <c r="M4485" s="29">
        <v>0</v>
      </c>
      <c r="N4485" t="s">
        <v>32</v>
      </c>
      <c r="O4485" t="s">
        <v>33</v>
      </c>
      <c r="P4485" t="s">
        <v>34</v>
      </c>
      <c r="Q4485" t="s">
        <v>34</v>
      </c>
      <c r="R4485" t="s">
        <v>34</v>
      </c>
      <c r="S4485" t="s">
        <v>34</v>
      </c>
      <c r="T4485" s="117">
        <v>0</v>
      </c>
    </row>
    <row r="4486" spans="1:20" x14ac:dyDescent="0.35">
      <c r="A4486" t="s">
        <v>19</v>
      </c>
      <c r="B4486" t="s">
        <v>25</v>
      </c>
      <c r="C4486" s="1">
        <v>45875</v>
      </c>
      <c r="D4486">
        <f t="shared" si="323"/>
        <v>6</v>
      </c>
      <c r="E4486">
        <f t="shared" si="324"/>
        <v>8</v>
      </c>
      <c r="F4486">
        <f t="shared" si="325"/>
        <v>2025</v>
      </c>
      <c r="G4486" t="s">
        <v>1146</v>
      </c>
      <c r="H4486" s="98">
        <v>13194</v>
      </c>
      <c r="I4486" s="29">
        <v>212.5</v>
      </c>
      <c r="J4486" s="12" t="s">
        <v>51</v>
      </c>
      <c r="K4486" s="76">
        <f t="shared" si="326"/>
        <v>247.49875</v>
      </c>
      <c r="L4486">
        <v>1.1647000000000001</v>
      </c>
      <c r="M4486" s="29">
        <v>0</v>
      </c>
      <c r="N4486" t="s">
        <v>32</v>
      </c>
      <c r="O4486" t="s">
        <v>33</v>
      </c>
      <c r="P4486" t="s">
        <v>34</v>
      </c>
      <c r="Q4486" t="s">
        <v>34</v>
      </c>
      <c r="R4486" t="s">
        <v>34</v>
      </c>
      <c r="S4486" t="s">
        <v>34</v>
      </c>
      <c r="T4486" s="117">
        <v>0</v>
      </c>
    </row>
    <row r="4487" spans="1:20" x14ac:dyDescent="0.35">
      <c r="A4487" t="s">
        <v>19</v>
      </c>
      <c r="B4487" t="s">
        <v>25</v>
      </c>
      <c r="C4487" s="1">
        <v>45875</v>
      </c>
      <c r="D4487">
        <f t="shared" si="323"/>
        <v>6</v>
      </c>
      <c r="E4487">
        <f t="shared" si="324"/>
        <v>8</v>
      </c>
      <c r="F4487">
        <f t="shared" si="325"/>
        <v>2025</v>
      </c>
      <c r="G4487" t="s">
        <v>1146</v>
      </c>
      <c r="H4487" s="98">
        <v>13343</v>
      </c>
      <c r="I4487" s="29">
        <v>125754.40499999998</v>
      </c>
      <c r="J4487" s="12" t="s">
        <v>51</v>
      </c>
      <c r="K4487" s="76">
        <f t="shared" si="326"/>
        <v>146466.15550349999</v>
      </c>
      <c r="L4487">
        <v>1.1647000000000001</v>
      </c>
      <c r="M4487" s="29">
        <v>0</v>
      </c>
      <c r="N4487" t="s">
        <v>42</v>
      </c>
      <c r="O4487" t="s">
        <v>33</v>
      </c>
      <c r="P4487" t="s">
        <v>34</v>
      </c>
      <c r="Q4487" t="s">
        <v>34</v>
      </c>
      <c r="R4487" t="s">
        <v>34</v>
      </c>
      <c r="S4487" t="s">
        <v>34</v>
      </c>
      <c r="T4487" s="117">
        <v>0</v>
      </c>
    </row>
    <row r="4488" spans="1:20" x14ac:dyDescent="0.35">
      <c r="A4488" t="s">
        <v>19</v>
      </c>
      <c r="B4488" t="s">
        <v>21</v>
      </c>
      <c r="C4488" s="1">
        <v>45875</v>
      </c>
      <c r="D4488">
        <f t="shared" si="323"/>
        <v>6</v>
      </c>
      <c r="E4488">
        <f t="shared" si="324"/>
        <v>8</v>
      </c>
      <c r="F4488">
        <f t="shared" si="325"/>
        <v>2025</v>
      </c>
      <c r="G4488" t="s">
        <v>36</v>
      </c>
      <c r="H4488" s="98">
        <v>12708</v>
      </c>
      <c r="I4488" s="29">
        <v>41194</v>
      </c>
      <c r="J4488" s="12" t="s">
        <v>31</v>
      </c>
      <c r="K4488" s="76">
        <f t="shared" si="326"/>
        <v>41194</v>
      </c>
      <c r="L4488">
        <v>1</v>
      </c>
      <c r="M4488" s="29">
        <v>0</v>
      </c>
      <c r="N4488" t="s">
        <v>32</v>
      </c>
      <c r="O4488" t="s">
        <v>33</v>
      </c>
      <c r="P4488" t="s">
        <v>34</v>
      </c>
      <c r="Q4488" t="s">
        <v>34</v>
      </c>
      <c r="R4488" t="s">
        <v>34</v>
      </c>
      <c r="S4488" t="s">
        <v>34</v>
      </c>
      <c r="T4488" s="117">
        <v>0</v>
      </c>
    </row>
    <row r="4489" spans="1:20" x14ac:dyDescent="0.35">
      <c r="A4489" t="s">
        <v>19</v>
      </c>
      <c r="B4489" t="s">
        <v>25</v>
      </c>
      <c r="C4489" s="1">
        <v>45875</v>
      </c>
      <c r="D4489">
        <f t="shared" si="323"/>
        <v>6</v>
      </c>
      <c r="E4489">
        <f t="shared" si="324"/>
        <v>8</v>
      </c>
      <c r="F4489">
        <f t="shared" si="325"/>
        <v>2025</v>
      </c>
      <c r="G4489" t="s">
        <v>36</v>
      </c>
      <c r="H4489" s="98">
        <v>12976</v>
      </c>
      <c r="I4489" s="29">
        <v>2975.96</v>
      </c>
      <c r="J4489" s="12" t="s">
        <v>31</v>
      </c>
      <c r="K4489" s="76">
        <f t="shared" si="326"/>
        <v>2975.96</v>
      </c>
      <c r="L4489">
        <v>1</v>
      </c>
      <c r="M4489" s="29">
        <v>0</v>
      </c>
      <c r="N4489" t="s">
        <v>32</v>
      </c>
      <c r="O4489" t="s">
        <v>33</v>
      </c>
      <c r="P4489" t="s">
        <v>34</v>
      </c>
      <c r="Q4489" t="s">
        <v>34</v>
      </c>
      <c r="R4489" t="s">
        <v>34</v>
      </c>
      <c r="S4489" t="s">
        <v>34</v>
      </c>
      <c r="T4489" s="117">
        <v>0</v>
      </c>
    </row>
    <row r="4490" spans="1:20" x14ac:dyDescent="0.35">
      <c r="A4490" t="s">
        <v>19</v>
      </c>
      <c r="B4490" t="s">
        <v>25</v>
      </c>
      <c r="C4490" s="1">
        <v>45875</v>
      </c>
      <c r="D4490">
        <f t="shared" si="323"/>
        <v>6</v>
      </c>
      <c r="E4490">
        <f t="shared" si="324"/>
        <v>8</v>
      </c>
      <c r="F4490">
        <f t="shared" si="325"/>
        <v>2025</v>
      </c>
      <c r="G4490" t="s">
        <v>36</v>
      </c>
      <c r="H4490" s="98">
        <v>13049</v>
      </c>
      <c r="I4490" s="29">
        <v>325.08</v>
      </c>
      <c r="J4490" s="12" t="s">
        <v>31</v>
      </c>
      <c r="K4490" s="76">
        <f t="shared" si="326"/>
        <v>325.08</v>
      </c>
      <c r="L4490">
        <v>1</v>
      </c>
      <c r="M4490" s="29">
        <v>0</v>
      </c>
      <c r="N4490" t="s">
        <v>32</v>
      </c>
      <c r="O4490" t="s">
        <v>33</v>
      </c>
      <c r="P4490" t="s">
        <v>34</v>
      </c>
      <c r="Q4490" t="s">
        <v>34</v>
      </c>
      <c r="R4490" t="s">
        <v>34</v>
      </c>
      <c r="S4490" t="s">
        <v>34</v>
      </c>
      <c r="T4490" s="117">
        <v>0</v>
      </c>
    </row>
    <row r="4491" spans="1:20" x14ac:dyDescent="0.35">
      <c r="A4491" t="s">
        <v>19</v>
      </c>
      <c r="B4491" t="s">
        <v>21</v>
      </c>
      <c r="C4491" s="1">
        <v>45875</v>
      </c>
      <c r="D4491">
        <f t="shared" si="323"/>
        <v>6</v>
      </c>
      <c r="E4491">
        <f t="shared" si="324"/>
        <v>8</v>
      </c>
      <c r="F4491">
        <f t="shared" si="325"/>
        <v>2025</v>
      </c>
      <c r="G4491" t="s">
        <v>36</v>
      </c>
      <c r="H4491" s="98">
        <v>13294</v>
      </c>
      <c r="I4491" s="29">
        <v>183</v>
      </c>
      <c r="J4491" s="12" t="s">
        <v>31</v>
      </c>
      <c r="K4491" s="76">
        <f t="shared" si="326"/>
        <v>183</v>
      </c>
      <c r="L4491">
        <v>1</v>
      </c>
      <c r="M4491" s="29">
        <v>0</v>
      </c>
      <c r="N4491" t="s">
        <v>32</v>
      </c>
      <c r="O4491" t="s">
        <v>33</v>
      </c>
      <c r="P4491" t="s">
        <v>34</v>
      </c>
      <c r="Q4491" t="s">
        <v>34</v>
      </c>
      <c r="R4491" t="s">
        <v>34</v>
      </c>
      <c r="S4491" t="s">
        <v>34</v>
      </c>
      <c r="T4491" s="117">
        <v>0</v>
      </c>
    </row>
    <row r="4492" spans="1:20" x14ac:dyDescent="0.35">
      <c r="A4492" t="s">
        <v>19</v>
      </c>
      <c r="B4492" t="s">
        <v>24</v>
      </c>
      <c r="C4492" s="1">
        <v>45875</v>
      </c>
      <c r="D4492">
        <f t="shared" si="323"/>
        <v>6</v>
      </c>
      <c r="E4492">
        <f t="shared" si="324"/>
        <v>8</v>
      </c>
      <c r="F4492">
        <f t="shared" si="325"/>
        <v>2025</v>
      </c>
      <c r="G4492" t="s">
        <v>29</v>
      </c>
      <c r="H4492" s="98">
        <v>12501</v>
      </c>
      <c r="I4492" s="29">
        <v>94</v>
      </c>
      <c r="J4492" s="12" t="s">
        <v>31</v>
      </c>
      <c r="K4492" s="76">
        <f t="shared" si="326"/>
        <v>94</v>
      </c>
      <c r="L4492">
        <v>1</v>
      </c>
      <c r="M4492" s="29">
        <v>0</v>
      </c>
      <c r="N4492" t="s">
        <v>32</v>
      </c>
      <c r="O4492" t="s">
        <v>33</v>
      </c>
      <c r="P4492" t="s">
        <v>34</v>
      </c>
      <c r="Q4492" t="s">
        <v>34</v>
      </c>
      <c r="R4492" t="s">
        <v>34</v>
      </c>
      <c r="S4492" t="s">
        <v>34</v>
      </c>
      <c r="T4492" s="117">
        <v>0</v>
      </c>
    </row>
    <row r="4493" spans="1:20" x14ac:dyDescent="0.35">
      <c r="A4493" t="s">
        <v>19</v>
      </c>
      <c r="B4493" t="s">
        <v>24</v>
      </c>
      <c r="C4493" s="1">
        <v>45875</v>
      </c>
      <c r="D4493">
        <f t="shared" si="323"/>
        <v>6</v>
      </c>
      <c r="E4493">
        <f t="shared" si="324"/>
        <v>8</v>
      </c>
      <c r="F4493">
        <f t="shared" si="325"/>
        <v>2025</v>
      </c>
      <c r="G4493" t="s">
        <v>29</v>
      </c>
      <c r="H4493" s="98">
        <v>12502</v>
      </c>
      <c r="I4493" s="29">
        <v>25692.55</v>
      </c>
      <c r="J4493" s="12" t="s">
        <v>31</v>
      </c>
      <c r="K4493" s="76">
        <f t="shared" si="326"/>
        <v>25692.55</v>
      </c>
      <c r="L4493">
        <v>1</v>
      </c>
      <c r="M4493" s="29">
        <v>0</v>
      </c>
      <c r="N4493" t="s">
        <v>32</v>
      </c>
      <c r="O4493" t="s">
        <v>33</v>
      </c>
      <c r="P4493" t="s">
        <v>34</v>
      </c>
      <c r="Q4493" t="s">
        <v>34</v>
      </c>
      <c r="R4493" t="s">
        <v>34</v>
      </c>
      <c r="S4493" t="s">
        <v>34</v>
      </c>
      <c r="T4493" s="117">
        <v>0</v>
      </c>
    </row>
    <row r="4494" spans="1:20" x14ac:dyDescent="0.35">
      <c r="A4494" t="s">
        <v>19</v>
      </c>
      <c r="B4494" t="s">
        <v>25</v>
      </c>
      <c r="C4494" s="1">
        <v>45875</v>
      </c>
      <c r="D4494">
        <f t="shared" si="323"/>
        <v>6</v>
      </c>
      <c r="E4494">
        <f t="shared" si="324"/>
        <v>8</v>
      </c>
      <c r="F4494">
        <f t="shared" si="325"/>
        <v>2025</v>
      </c>
      <c r="G4494" t="s">
        <v>29</v>
      </c>
      <c r="H4494" s="98">
        <v>12770</v>
      </c>
      <c r="I4494" s="29">
        <v>339</v>
      </c>
      <c r="J4494" s="12" t="s">
        <v>31</v>
      </c>
      <c r="K4494" s="76">
        <f t="shared" si="326"/>
        <v>339</v>
      </c>
      <c r="L4494">
        <v>1</v>
      </c>
      <c r="M4494" s="29">
        <v>0</v>
      </c>
      <c r="N4494" t="s">
        <v>32</v>
      </c>
      <c r="O4494" t="s">
        <v>33</v>
      </c>
      <c r="P4494" t="s">
        <v>34</v>
      </c>
      <c r="Q4494" t="s">
        <v>34</v>
      </c>
      <c r="R4494" t="s">
        <v>34</v>
      </c>
      <c r="S4494" t="s">
        <v>34</v>
      </c>
      <c r="T4494" s="117">
        <v>0</v>
      </c>
    </row>
    <row r="4495" spans="1:20" x14ac:dyDescent="0.35">
      <c r="A4495" t="s">
        <v>19</v>
      </c>
      <c r="B4495" t="s">
        <v>25</v>
      </c>
      <c r="C4495" s="1">
        <v>45875</v>
      </c>
      <c r="D4495">
        <f t="shared" si="323"/>
        <v>6</v>
      </c>
      <c r="E4495">
        <f t="shared" si="324"/>
        <v>8</v>
      </c>
      <c r="F4495">
        <f t="shared" si="325"/>
        <v>2025</v>
      </c>
      <c r="G4495" t="s">
        <v>29</v>
      </c>
      <c r="H4495" s="98">
        <v>12816</v>
      </c>
      <c r="I4495" s="29">
        <v>32388.98</v>
      </c>
      <c r="J4495" s="12" t="s">
        <v>31</v>
      </c>
      <c r="K4495" s="76">
        <f t="shared" si="326"/>
        <v>32388.98</v>
      </c>
      <c r="L4495">
        <v>1</v>
      </c>
      <c r="M4495" s="29">
        <v>0</v>
      </c>
      <c r="N4495" t="s">
        <v>32</v>
      </c>
      <c r="O4495" t="s">
        <v>33</v>
      </c>
      <c r="P4495" t="s">
        <v>34</v>
      </c>
      <c r="Q4495" t="s">
        <v>34</v>
      </c>
      <c r="R4495" t="s">
        <v>34</v>
      </c>
      <c r="S4495" t="s">
        <v>34</v>
      </c>
      <c r="T4495" s="117">
        <v>0</v>
      </c>
    </row>
    <row r="4496" spans="1:20" x14ac:dyDescent="0.35">
      <c r="A4496" t="s">
        <v>19</v>
      </c>
      <c r="B4496" t="s">
        <v>24</v>
      </c>
      <c r="C4496" s="1">
        <v>45875</v>
      </c>
      <c r="D4496">
        <f t="shared" si="323"/>
        <v>6</v>
      </c>
      <c r="E4496">
        <f t="shared" si="324"/>
        <v>8</v>
      </c>
      <c r="F4496">
        <f t="shared" si="325"/>
        <v>2025</v>
      </c>
      <c r="G4496" t="s">
        <v>39</v>
      </c>
      <c r="H4496" s="98">
        <v>12545</v>
      </c>
      <c r="I4496" s="29">
        <v>8318.2000000000007</v>
      </c>
      <c r="J4496" s="12" t="s">
        <v>31</v>
      </c>
      <c r="K4496" s="76">
        <f t="shared" si="326"/>
        <v>8318.2000000000007</v>
      </c>
      <c r="L4496">
        <v>1</v>
      </c>
      <c r="M4496" s="29">
        <v>0</v>
      </c>
      <c r="N4496" t="s">
        <v>32</v>
      </c>
      <c r="O4496" t="s">
        <v>33</v>
      </c>
      <c r="P4496" t="s">
        <v>34</v>
      </c>
      <c r="Q4496" t="s">
        <v>34</v>
      </c>
      <c r="R4496" t="s">
        <v>34</v>
      </c>
      <c r="S4496" t="s">
        <v>34</v>
      </c>
      <c r="T4496" s="117">
        <v>0</v>
      </c>
    </row>
    <row r="4497" spans="1:21" x14ac:dyDescent="0.35">
      <c r="A4497" t="s">
        <v>19</v>
      </c>
      <c r="B4497" t="s">
        <v>25</v>
      </c>
      <c r="C4497" s="1">
        <v>45875</v>
      </c>
      <c r="D4497">
        <f t="shared" si="323"/>
        <v>6</v>
      </c>
      <c r="E4497">
        <f t="shared" si="324"/>
        <v>8</v>
      </c>
      <c r="F4497">
        <f t="shared" si="325"/>
        <v>2025</v>
      </c>
      <c r="G4497" t="s">
        <v>39</v>
      </c>
      <c r="H4497" s="98">
        <v>12545</v>
      </c>
      <c r="I4497" s="29">
        <v>7283.68</v>
      </c>
      <c r="J4497" s="12" t="s">
        <v>31</v>
      </c>
      <c r="K4497" s="76">
        <f t="shared" si="326"/>
        <v>7283.68</v>
      </c>
      <c r="L4497">
        <v>1</v>
      </c>
      <c r="M4497" s="29">
        <v>0</v>
      </c>
      <c r="N4497" t="s">
        <v>32</v>
      </c>
      <c r="O4497" t="s">
        <v>33</v>
      </c>
      <c r="P4497" t="s">
        <v>34</v>
      </c>
      <c r="Q4497" t="s">
        <v>34</v>
      </c>
      <c r="R4497" t="s">
        <v>34</v>
      </c>
      <c r="S4497" t="s">
        <v>34</v>
      </c>
      <c r="T4497" s="117">
        <v>0</v>
      </c>
    </row>
    <row r="4498" spans="1:21" x14ac:dyDescent="0.35">
      <c r="A4498" t="s">
        <v>19</v>
      </c>
      <c r="B4498" t="s">
        <v>25</v>
      </c>
      <c r="C4498" s="1">
        <v>45875</v>
      </c>
      <c r="D4498">
        <f t="shared" ref="D4498:D4565" si="327">DAY(C4498)</f>
        <v>6</v>
      </c>
      <c r="E4498">
        <f t="shared" ref="E4498:E4565" si="328">MONTH(C4498)</f>
        <v>8</v>
      </c>
      <c r="F4498">
        <f t="shared" ref="F4498:F4565" si="329">YEAR(C4498)</f>
        <v>2025</v>
      </c>
      <c r="G4498" t="s">
        <v>39</v>
      </c>
      <c r="H4498" s="98">
        <v>13005</v>
      </c>
      <c r="I4498" s="29">
        <v>243.84</v>
      </c>
      <c r="J4498" s="12" t="s">
        <v>31</v>
      </c>
      <c r="K4498" s="76">
        <f t="shared" si="326"/>
        <v>243.84</v>
      </c>
      <c r="L4498">
        <v>1</v>
      </c>
      <c r="M4498" s="29">
        <v>0</v>
      </c>
      <c r="N4498" t="s">
        <v>32</v>
      </c>
      <c r="O4498" t="s">
        <v>33</v>
      </c>
      <c r="P4498" t="s">
        <v>34</v>
      </c>
      <c r="Q4498" t="s">
        <v>34</v>
      </c>
      <c r="R4498" t="s">
        <v>34</v>
      </c>
      <c r="S4498" t="s">
        <v>34</v>
      </c>
      <c r="T4498" s="117">
        <v>0</v>
      </c>
    </row>
    <row r="4499" spans="1:21" x14ac:dyDescent="0.35">
      <c r="A4499" t="s">
        <v>19</v>
      </c>
      <c r="B4499" t="s">
        <v>25</v>
      </c>
      <c r="C4499" s="1">
        <v>45875</v>
      </c>
      <c r="D4499">
        <f t="shared" si="327"/>
        <v>6</v>
      </c>
      <c r="E4499">
        <f t="shared" si="328"/>
        <v>8</v>
      </c>
      <c r="F4499">
        <f t="shared" si="329"/>
        <v>2025</v>
      </c>
      <c r="G4499" t="s">
        <v>39</v>
      </c>
      <c r="H4499" s="98">
        <v>13006</v>
      </c>
      <c r="I4499" s="29">
        <v>5157.2</v>
      </c>
      <c r="J4499" s="12" t="s">
        <v>31</v>
      </c>
      <c r="K4499" s="76">
        <f t="shared" si="326"/>
        <v>5157.2</v>
      </c>
      <c r="L4499">
        <v>1</v>
      </c>
      <c r="M4499" s="29">
        <v>0</v>
      </c>
      <c r="N4499" t="s">
        <v>32</v>
      </c>
      <c r="O4499" t="s">
        <v>33</v>
      </c>
      <c r="P4499" t="s">
        <v>34</v>
      </c>
      <c r="Q4499" t="s">
        <v>34</v>
      </c>
      <c r="R4499" t="s">
        <v>34</v>
      </c>
      <c r="S4499" t="s">
        <v>34</v>
      </c>
      <c r="T4499" s="117">
        <v>0</v>
      </c>
    </row>
    <row r="4500" spans="1:21" x14ac:dyDescent="0.35">
      <c r="A4500" t="s">
        <v>19</v>
      </c>
      <c r="B4500" t="s">
        <v>21</v>
      </c>
      <c r="C4500" s="1">
        <v>45875</v>
      </c>
      <c r="D4500">
        <f t="shared" si="327"/>
        <v>6</v>
      </c>
      <c r="E4500">
        <f t="shared" si="328"/>
        <v>8</v>
      </c>
      <c r="F4500">
        <f t="shared" si="329"/>
        <v>2025</v>
      </c>
      <c r="G4500" t="s">
        <v>39</v>
      </c>
      <c r="H4500" s="98">
        <v>13006</v>
      </c>
      <c r="I4500" s="29">
        <v>7154.4</v>
      </c>
      <c r="J4500" s="12" t="s">
        <v>31</v>
      </c>
      <c r="K4500" s="76">
        <f t="shared" si="326"/>
        <v>7154.4</v>
      </c>
      <c r="L4500">
        <v>1</v>
      </c>
      <c r="M4500" s="29">
        <v>0</v>
      </c>
      <c r="N4500" t="s">
        <v>32</v>
      </c>
      <c r="O4500" t="s">
        <v>33</v>
      </c>
      <c r="P4500" t="s">
        <v>34</v>
      </c>
      <c r="Q4500" t="s">
        <v>34</v>
      </c>
      <c r="R4500" t="s">
        <v>34</v>
      </c>
      <c r="S4500" t="s">
        <v>34</v>
      </c>
      <c r="T4500" s="117">
        <v>0</v>
      </c>
    </row>
    <row r="4501" spans="1:21" x14ac:dyDescent="0.35">
      <c r="A4501" t="s">
        <v>19</v>
      </c>
      <c r="B4501" t="s">
        <v>23</v>
      </c>
      <c r="C4501" s="1">
        <v>45875</v>
      </c>
      <c r="D4501">
        <f t="shared" si="327"/>
        <v>6</v>
      </c>
      <c r="E4501">
        <f t="shared" si="328"/>
        <v>8</v>
      </c>
      <c r="F4501">
        <f t="shared" si="329"/>
        <v>2025</v>
      </c>
      <c r="G4501" t="s">
        <v>979</v>
      </c>
      <c r="H4501" s="98">
        <v>12630</v>
      </c>
      <c r="I4501" s="29">
        <v>2415</v>
      </c>
      <c r="J4501" s="12" t="s">
        <v>31</v>
      </c>
      <c r="K4501" s="76">
        <f t="shared" si="326"/>
        <v>2415</v>
      </c>
      <c r="L4501">
        <v>1</v>
      </c>
      <c r="M4501" s="29">
        <v>0</v>
      </c>
      <c r="N4501" t="s">
        <v>32</v>
      </c>
      <c r="O4501" t="s">
        <v>33</v>
      </c>
      <c r="P4501" t="s">
        <v>34</v>
      </c>
      <c r="Q4501" t="s">
        <v>34</v>
      </c>
      <c r="R4501" t="s">
        <v>34</v>
      </c>
      <c r="S4501" t="s">
        <v>34</v>
      </c>
      <c r="T4501" s="117">
        <v>0</v>
      </c>
    </row>
    <row r="4502" spans="1:21" x14ac:dyDescent="0.35">
      <c r="A4502" t="s">
        <v>19</v>
      </c>
      <c r="B4502" t="s">
        <v>25</v>
      </c>
      <c r="C4502" s="1">
        <v>45875</v>
      </c>
      <c r="D4502">
        <f t="shared" si="327"/>
        <v>6</v>
      </c>
      <c r="E4502">
        <f t="shared" si="328"/>
        <v>8</v>
      </c>
      <c r="F4502">
        <f t="shared" si="329"/>
        <v>2025</v>
      </c>
      <c r="G4502" t="s">
        <v>80</v>
      </c>
      <c r="H4502" s="98">
        <v>13237</v>
      </c>
      <c r="I4502" s="29">
        <v>2700</v>
      </c>
      <c r="J4502" s="12" t="s">
        <v>31</v>
      </c>
      <c r="K4502" s="76">
        <f t="shared" si="326"/>
        <v>2700</v>
      </c>
      <c r="L4502">
        <v>1</v>
      </c>
      <c r="M4502" s="29">
        <v>0</v>
      </c>
      <c r="N4502" t="s">
        <v>32</v>
      </c>
      <c r="O4502" t="s">
        <v>33</v>
      </c>
      <c r="P4502" t="s">
        <v>34</v>
      </c>
      <c r="Q4502" t="s">
        <v>34</v>
      </c>
      <c r="R4502" t="s">
        <v>34</v>
      </c>
      <c r="S4502" t="s">
        <v>34</v>
      </c>
      <c r="T4502" s="117">
        <v>0</v>
      </c>
    </row>
    <row r="4503" spans="1:21" x14ac:dyDescent="0.35">
      <c r="A4503" t="s">
        <v>19</v>
      </c>
      <c r="B4503" t="s">
        <v>25</v>
      </c>
      <c r="C4503" s="1">
        <v>45875</v>
      </c>
      <c r="D4503">
        <f t="shared" si="327"/>
        <v>6</v>
      </c>
      <c r="E4503">
        <f t="shared" si="328"/>
        <v>8</v>
      </c>
      <c r="F4503">
        <f t="shared" si="329"/>
        <v>2025</v>
      </c>
      <c r="G4503" t="s">
        <v>80</v>
      </c>
      <c r="H4503" s="98">
        <v>13259</v>
      </c>
      <c r="I4503" s="29">
        <v>1537</v>
      </c>
      <c r="J4503" s="12" t="s">
        <v>31</v>
      </c>
      <c r="K4503" s="76">
        <f t="shared" si="326"/>
        <v>1537</v>
      </c>
      <c r="L4503">
        <v>1</v>
      </c>
      <c r="M4503" s="29">
        <v>0</v>
      </c>
      <c r="N4503" t="s">
        <v>32</v>
      </c>
      <c r="O4503" t="s">
        <v>33</v>
      </c>
      <c r="P4503" t="s">
        <v>34</v>
      </c>
      <c r="Q4503" t="s">
        <v>34</v>
      </c>
      <c r="R4503" t="s">
        <v>34</v>
      </c>
      <c r="S4503" t="s">
        <v>34</v>
      </c>
      <c r="T4503" s="117">
        <v>0</v>
      </c>
    </row>
    <row r="4504" spans="1:21" x14ac:dyDescent="0.35">
      <c r="A4504" t="s">
        <v>19</v>
      </c>
      <c r="B4504" t="s">
        <v>21</v>
      </c>
      <c r="C4504" s="1">
        <v>45875</v>
      </c>
      <c r="D4504">
        <f t="shared" si="327"/>
        <v>6</v>
      </c>
      <c r="E4504">
        <f t="shared" si="328"/>
        <v>8</v>
      </c>
      <c r="F4504">
        <f t="shared" si="329"/>
        <v>2025</v>
      </c>
      <c r="G4504" t="s">
        <v>80</v>
      </c>
      <c r="H4504" s="98">
        <v>13339</v>
      </c>
      <c r="I4504" s="29">
        <v>3900</v>
      </c>
      <c r="J4504" s="12" t="s">
        <v>31</v>
      </c>
      <c r="K4504" s="76">
        <f t="shared" si="326"/>
        <v>3900</v>
      </c>
      <c r="L4504">
        <v>1</v>
      </c>
      <c r="M4504" s="29">
        <v>0</v>
      </c>
      <c r="N4504" t="s">
        <v>42</v>
      </c>
      <c r="O4504" t="s">
        <v>33</v>
      </c>
      <c r="P4504" t="s">
        <v>34</v>
      </c>
      <c r="Q4504" t="s">
        <v>34</v>
      </c>
      <c r="R4504" t="s">
        <v>34</v>
      </c>
      <c r="S4504" t="s">
        <v>34</v>
      </c>
      <c r="T4504" s="117">
        <v>0</v>
      </c>
    </row>
    <row r="4505" spans="1:21" x14ac:dyDescent="0.35">
      <c r="A4505" t="s">
        <v>19</v>
      </c>
      <c r="B4505" t="s">
        <v>25</v>
      </c>
      <c r="C4505" s="1">
        <v>45875</v>
      </c>
      <c r="D4505">
        <f t="shared" si="327"/>
        <v>6</v>
      </c>
      <c r="E4505">
        <f t="shared" si="328"/>
        <v>8</v>
      </c>
      <c r="F4505">
        <f t="shared" si="329"/>
        <v>2025</v>
      </c>
      <c r="G4505" t="s">
        <v>80</v>
      </c>
      <c r="H4505" s="98">
        <v>13339</v>
      </c>
      <c r="I4505" s="29">
        <v>10044</v>
      </c>
      <c r="J4505" s="12" t="s">
        <v>31</v>
      </c>
      <c r="K4505" s="76">
        <f t="shared" si="326"/>
        <v>10044</v>
      </c>
      <c r="L4505">
        <v>1</v>
      </c>
      <c r="M4505" s="29">
        <v>0</v>
      </c>
      <c r="N4505" t="s">
        <v>42</v>
      </c>
      <c r="O4505" t="s">
        <v>33</v>
      </c>
      <c r="P4505" t="s">
        <v>34</v>
      </c>
      <c r="Q4505" t="s">
        <v>34</v>
      </c>
      <c r="R4505" t="s">
        <v>34</v>
      </c>
      <c r="S4505" t="s">
        <v>34</v>
      </c>
      <c r="T4505" s="117">
        <v>0</v>
      </c>
      <c r="U4505" s="209" t="s">
        <v>1473</v>
      </c>
    </row>
    <row r="4506" spans="1:21" x14ac:dyDescent="0.35">
      <c r="A4506" t="s">
        <v>19</v>
      </c>
      <c r="B4506" t="s">
        <v>24</v>
      </c>
      <c r="C4506" s="1">
        <v>45875</v>
      </c>
      <c r="D4506">
        <f t="shared" si="327"/>
        <v>6</v>
      </c>
      <c r="E4506">
        <f t="shared" si="328"/>
        <v>8</v>
      </c>
      <c r="F4506">
        <f t="shared" si="329"/>
        <v>2025</v>
      </c>
      <c r="G4506" t="s">
        <v>35</v>
      </c>
      <c r="H4506" s="98">
        <v>12832</v>
      </c>
      <c r="I4506" s="90">
        <v>10773</v>
      </c>
      <c r="J4506" s="12" t="s">
        <v>31</v>
      </c>
      <c r="K4506" s="76">
        <f t="shared" si="326"/>
        <v>10773</v>
      </c>
      <c r="L4506">
        <v>1</v>
      </c>
      <c r="M4506" s="29">
        <v>0</v>
      </c>
      <c r="N4506" t="s">
        <v>32</v>
      </c>
      <c r="O4506" t="s">
        <v>33</v>
      </c>
      <c r="P4506" t="s">
        <v>34</v>
      </c>
      <c r="Q4506" t="s">
        <v>34</v>
      </c>
      <c r="R4506" t="s">
        <v>34</v>
      </c>
      <c r="S4506" t="s">
        <v>34</v>
      </c>
      <c r="T4506" s="117">
        <v>0</v>
      </c>
    </row>
    <row r="4507" spans="1:21" x14ac:dyDescent="0.35">
      <c r="A4507" t="s">
        <v>19</v>
      </c>
      <c r="B4507" t="s">
        <v>25</v>
      </c>
      <c r="C4507" s="1">
        <v>45875</v>
      </c>
      <c r="D4507">
        <f t="shared" si="327"/>
        <v>6</v>
      </c>
      <c r="E4507">
        <f t="shared" si="328"/>
        <v>8</v>
      </c>
      <c r="F4507">
        <f t="shared" si="329"/>
        <v>2025</v>
      </c>
      <c r="G4507" t="s">
        <v>93</v>
      </c>
      <c r="H4507" s="171">
        <v>12542</v>
      </c>
      <c r="I4507" s="90">
        <v>134046.43</v>
      </c>
      <c r="J4507" s="12" t="s">
        <v>31</v>
      </c>
      <c r="K4507" s="76">
        <f t="shared" si="326"/>
        <v>134046.43</v>
      </c>
      <c r="L4507">
        <v>1</v>
      </c>
      <c r="M4507" s="29">
        <v>0</v>
      </c>
      <c r="N4507" t="s">
        <v>32</v>
      </c>
      <c r="O4507" t="s">
        <v>33</v>
      </c>
      <c r="P4507" t="s">
        <v>34</v>
      </c>
      <c r="Q4507" t="s">
        <v>34</v>
      </c>
      <c r="R4507" t="s">
        <v>34</v>
      </c>
      <c r="S4507" t="s">
        <v>34</v>
      </c>
      <c r="T4507" s="117">
        <v>0</v>
      </c>
    </row>
    <row r="4508" spans="1:21" x14ac:dyDescent="0.35">
      <c r="A4508" t="s">
        <v>19</v>
      </c>
      <c r="B4508" t="s">
        <v>27</v>
      </c>
      <c r="C4508" s="1">
        <v>45875</v>
      </c>
      <c r="D4508">
        <f t="shared" si="327"/>
        <v>6</v>
      </c>
      <c r="E4508">
        <f t="shared" si="328"/>
        <v>8</v>
      </c>
      <c r="F4508">
        <f t="shared" si="329"/>
        <v>2025</v>
      </c>
      <c r="G4508" t="s">
        <v>100</v>
      </c>
      <c r="H4508" s="98">
        <v>12877</v>
      </c>
      <c r="I4508" s="29">
        <v>250000</v>
      </c>
      <c r="J4508" s="12" t="s">
        <v>31</v>
      </c>
      <c r="K4508" s="76">
        <f t="shared" si="326"/>
        <v>250000</v>
      </c>
      <c r="L4508">
        <v>1</v>
      </c>
      <c r="M4508" s="29">
        <v>0</v>
      </c>
      <c r="N4508" t="s">
        <v>32</v>
      </c>
      <c r="O4508" t="s">
        <v>33</v>
      </c>
      <c r="P4508" t="s">
        <v>34</v>
      </c>
      <c r="Q4508" t="s">
        <v>34</v>
      </c>
      <c r="R4508" t="s">
        <v>34</v>
      </c>
      <c r="S4508" t="s">
        <v>34</v>
      </c>
      <c r="T4508" s="117">
        <v>0</v>
      </c>
    </row>
    <row r="4509" spans="1:21" x14ac:dyDescent="0.35">
      <c r="A4509" t="s">
        <v>20</v>
      </c>
      <c r="B4509" t="s">
        <v>23</v>
      </c>
      <c r="C4509" s="1">
        <v>45875</v>
      </c>
      <c r="D4509">
        <f t="shared" si="327"/>
        <v>6</v>
      </c>
      <c r="E4509">
        <f t="shared" si="328"/>
        <v>8</v>
      </c>
      <c r="F4509">
        <f t="shared" si="329"/>
        <v>2025</v>
      </c>
      <c r="G4509" t="s">
        <v>82</v>
      </c>
      <c r="H4509" s="98">
        <v>12555</v>
      </c>
      <c r="I4509" s="29">
        <v>19479.43</v>
      </c>
      <c r="J4509" s="12" t="s">
        <v>31</v>
      </c>
      <c r="K4509" s="76">
        <f t="shared" si="326"/>
        <v>19479.43</v>
      </c>
      <c r="L4509">
        <v>1</v>
      </c>
      <c r="M4509" s="29">
        <v>0</v>
      </c>
      <c r="N4509" t="s">
        <v>32</v>
      </c>
      <c r="O4509" t="s">
        <v>33</v>
      </c>
      <c r="P4509" t="s">
        <v>34</v>
      </c>
      <c r="Q4509" t="s">
        <v>34</v>
      </c>
      <c r="R4509" t="s">
        <v>34</v>
      </c>
      <c r="S4509" t="s">
        <v>34</v>
      </c>
      <c r="T4509" s="117">
        <v>0</v>
      </c>
    </row>
    <row r="4510" spans="1:21" x14ac:dyDescent="0.35">
      <c r="A4510" t="s">
        <v>20</v>
      </c>
      <c r="B4510" t="s">
        <v>23</v>
      </c>
      <c r="C4510" s="1">
        <v>45875</v>
      </c>
      <c r="D4510">
        <f t="shared" si="327"/>
        <v>6</v>
      </c>
      <c r="E4510">
        <f t="shared" si="328"/>
        <v>8</v>
      </c>
      <c r="F4510">
        <f t="shared" si="329"/>
        <v>2025</v>
      </c>
      <c r="G4510" t="s">
        <v>82</v>
      </c>
      <c r="H4510" s="98">
        <v>12786</v>
      </c>
      <c r="I4510" s="29">
        <v>144.6</v>
      </c>
      <c r="J4510" s="12" t="s">
        <v>31</v>
      </c>
      <c r="K4510" s="76">
        <f t="shared" si="326"/>
        <v>144.6</v>
      </c>
      <c r="L4510">
        <v>1</v>
      </c>
      <c r="M4510" s="29">
        <v>0</v>
      </c>
      <c r="N4510" t="s">
        <v>32</v>
      </c>
      <c r="O4510" t="s">
        <v>33</v>
      </c>
      <c r="P4510" t="s">
        <v>34</v>
      </c>
      <c r="Q4510" t="s">
        <v>34</v>
      </c>
      <c r="R4510" t="s">
        <v>34</v>
      </c>
      <c r="S4510" t="s">
        <v>34</v>
      </c>
      <c r="T4510" s="117">
        <v>0</v>
      </c>
    </row>
    <row r="4511" spans="1:21" x14ac:dyDescent="0.35">
      <c r="A4511" t="s">
        <v>20</v>
      </c>
      <c r="B4511" t="s">
        <v>21</v>
      </c>
      <c r="C4511" s="1">
        <v>45875</v>
      </c>
      <c r="D4511">
        <f t="shared" si="327"/>
        <v>6</v>
      </c>
      <c r="E4511">
        <f t="shared" si="328"/>
        <v>8</v>
      </c>
      <c r="F4511">
        <f t="shared" si="329"/>
        <v>2025</v>
      </c>
      <c r="G4511" t="s">
        <v>45</v>
      </c>
      <c r="H4511" s="98">
        <v>12792</v>
      </c>
      <c r="I4511" s="29">
        <v>57.6</v>
      </c>
      <c r="J4511" s="12" t="s">
        <v>31</v>
      </c>
      <c r="K4511" s="76">
        <f t="shared" si="326"/>
        <v>57.6</v>
      </c>
      <c r="L4511">
        <v>1</v>
      </c>
      <c r="M4511" s="29">
        <v>0</v>
      </c>
      <c r="N4511" t="s">
        <v>32</v>
      </c>
      <c r="O4511" t="s">
        <v>33</v>
      </c>
      <c r="P4511" t="s">
        <v>34</v>
      </c>
      <c r="Q4511" t="s">
        <v>34</v>
      </c>
      <c r="R4511" t="s">
        <v>34</v>
      </c>
      <c r="S4511" t="s">
        <v>34</v>
      </c>
      <c r="T4511" s="117">
        <v>0</v>
      </c>
    </row>
    <row r="4512" spans="1:21" x14ac:dyDescent="0.35">
      <c r="A4512" t="s">
        <v>20</v>
      </c>
      <c r="B4512" t="s">
        <v>21</v>
      </c>
      <c r="C4512" s="1">
        <v>45875</v>
      </c>
      <c r="D4512">
        <f t="shared" si="327"/>
        <v>6</v>
      </c>
      <c r="E4512">
        <f t="shared" si="328"/>
        <v>8</v>
      </c>
      <c r="F4512">
        <f t="shared" si="329"/>
        <v>2025</v>
      </c>
      <c r="G4512" t="s">
        <v>45</v>
      </c>
      <c r="H4512" s="98">
        <v>12696</v>
      </c>
      <c r="I4512" s="29">
        <v>58736.45</v>
      </c>
      <c r="J4512" s="12" t="s">
        <v>31</v>
      </c>
      <c r="K4512" s="76">
        <f t="shared" si="326"/>
        <v>58736.45</v>
      </c>
      <c r="L4512">
        <v>1</v>
      </c>
      <c r="M4512" s="29">
        <v>0</v>
      </c>
      <c r="N4512" t="s">
        <v>32</v>
      </c>
      <c r="O4512" t="s">
        <v>33</v>
      </c>
      <c r="P4512" t="s">
        <v>34</v>
      </c>
      <c r="Q4512" t="s">
        <v>34</v>
      </c>
      <c r="R4512" t="s">
        <v>34</v>
      </c>
      <c r="S4512" t="s">
        <v>34</v>
      </c>
      <c r="T4512" s="117">
        <v>0</v>
      </c>
    </row>
    <row r="4513" spans="1:21" x14ac:dyDescent="0.35">
      <c r="A4513" t="s">
        <v>20</v>
      </c>
      <c r="B4513" t="s">
        <v>23</v>
      </c>
      <c r="C4513" s="1">
        <v>45875</v>
      </c>
      <c r="D4513">
        <f t="shared" si="327"/>
        <v>6</v>
      </c>
      <c r="E4513">
        <f t="shared" si="328"/>
        <v>8</v>
      </c>
      <c r="F4513">
        <f t="shared" si="329"/>
        <v>2025</v>
      </c>
      <c r="G4513" t="s">
        <v>45</v>
      </c>
      <c r="H4513" s="98">
        <v>12696</v>
      </c>
      <c r="I4513" s="29">
        <v>4420</v>
      </c>
      <c r="J4513" s="12" t="s">
        <v>31</v>
      </c>
      <c r="K4513" s="76">
        <f t="shared" si="326"/>
        <v>4420</v>
      </c>
      <c r="L4513">
        <v>1</v>
      </c>
      <c r="M4513" s="29">
        <v>0</v>
      </c>
      <c r="N4513" t="s">
        <v>32</v>
      </c>
      <c r="O4513" t="s">
        <v>33</v>
      </c>
      <c r="P4513" t="s">
        <v>34</v>
      </c>
      <c r="Q4513" t="s">
        <v>34</v>
      </c>
      <c r="R4513" t="s">
        <v>34</v>
      </c>
      <c r="S4513" t="s">
        <v>34</v>
      </c>
      <c r="T4513" s="117">
        <v>0</v>
      </c>
    </row>
    <row r="4514" spans="1:21" x14ac:dyDescent="0.35">
      <c r="A4514" t="s">
        <v>20</v>
      </c>
      <c r="B4514" t="s">
        <v>21</v>
      </c>
      <c r="C4514" s="1">
        <v>45875</v>
      </c>
      <c r="D4514">
        <f t="shared" si="327"/>
        <v>6</v>
      </c>
      <c r="E4514">
        <f t="shared" si="328"/>
        <v>8</v>
      </c>
      <c r="F4514">
        <f t="shared" si="329"/>
        <v>2025</v>
      </c>
      <c r="G4514" t="s">
        <v>45</v>
      </c>
      <c r="H4514" s="98">
        <v>13027</v>
      </c>
      <c r="I4514" s="29">
        <v>191.2</v>
      </c>
      <c r="J4514" s="12" t="s">
        <v>31</v>
      </c>
      <c r="K4514" s="76">
        <f t="shared" si="326"/>
        <v>191.2</v>
      </c>
      <c r="L4514">
        <v>1</v>
      </c>
      <c r="M4514" s="29">
        <v>0</v>
      </c>
      <c r="N4514" t="s">
        <v>32</v>
      </c>
      <c r="O4514" t="s">
        <v>33</v>
      </c>
      <c r="P4514" t="s">
        <v>34</v>
      </c>
      <c r="Q4514" t="s">
        <v>34</v>
      </c>
      <c r="R4514" t="s">
        <v>34</v>
      </c>
      <c r="S4514" t="s">
        <v>34</v>
      </c>
      <c r="T4514" s="117">
        <v>0</v>
      </c>
    </row>
    <row r="4515" spans="1:21" x14ac:dyDescent="0.35">
      <c r="A4515" t="s">
        <v>20</v>
      </c>
      <c r="B4515" t="s">
        <v>25</v>
      </c>
      <c r="C4515" s="1">
        <v>45875</v>
      </c>
      <c r="D4515">
        <f t="shared" si="327"/>
        <v>6</v>
      </c>
      <c r="E4515">
        <f t="shared" si="328"/>
        <v>8</v>
      </c>
      <c r="F4515">
        <f t="shared" si="329"/>
        <v>2025</v>
      </c>
      <c r="G4515" t="s">
        <v>91</v>
      </c>
      <c r="H4515" s="98">
        <v>12737</v>
      </c>
      <c r="I4515" s="29">
        <v>515.9</v>
      </c>
      <c r="J4515" s="12" t="s">
        <v>31</v>
      </c>
      <c r="K4515" s="76">
        <f t="shared" si="326"/>
        <v>515.9</v>
      </c>
      <c r="L4515">
        <v>1</v>
      </c>
      <c r="M4515" s="29">
        <v>0</v>
      </c>
      <c r="N4515" t="s">
        <v>32</v>
      </c>
      <c r="O4515" t="s">
        <v>33</v>
      </c>
      <c r="P4515" t="s">
        <v>34</v>
      </c>
      <c r="Q4515" t="s">
        <v>34</v>
      </c>
      <c r="R4515" t="s">
        <v>34</v>
      </c>
      <c r="S4515" t="s">
        <v>34</v>
      </c>
      <c r="T4515" s="117">
        <v>0</v>
      </c>
    </row>
    <row r="4516" spans="1:21" x14ac:dyDescent="0.35">
      <c r="A4516" t="s">
        <v>20</v>
      </c>
      <c r="B4516" t="s">
        <v>25</v>
      </c>
      <c r="C4516" s="1">
        <v>45875</v>
      </c>
      <c r="D4516">
        <f t="shared" si="327"/>
        <v>6</v>
      </c>
      <c r="E4516">
        <f t="shared" si="328"/>
        <v>8</v>
      </c>
      <c r="F4516">
        <f t="shared" si="329"/>
        <v>2025</v>
      </c>
      <c r="G4516" t="s">
        <v>104</v>
      </c>
      <c r="H4516" s="98">
        <v>12791</v>
      </c>
      <c r="I4516" s="29">
        <v>8044.68</v>
      </c>
      <c r="J4516" s="12" t="s">
        <v>31</v>
      </c>
      <c r="K4516" s="76">
        <f t="shared" si="326"/>
        <v>8044.68</v>
      </c>
      <c r="L4516">
        <v>1</v>
      </c>
      <c r="M4516" s="29">
        <v>0</v>
      </c>
      <c r="N4516" t="s">
        <v>32</v>
      </c>
      <c r="O4516" t="s">
        <v>33</v>
      </c>
      <c r="P4516" t="s">
        <v>34</v>
      </c>
      <c r="Q4516" t="s">
        <v>34</v>
      </c>
      <c r="R4516" t="s">
        <v>34</v>
      </c>
      <c r="S4516" t="s">
        <v>34</v>
      </c>
      <c r="T4516" s="117">
        <v>0</v>
      </c>
      <c r="U4516" s="209" t="s">
        <v>749</v>
      </c>
    </row>
    <row r="4517" spans="1:21" x14ac:dyDescent="0.35">
      <c r="A4517" t="s">
        <v>20</v>
      </c>
      <c r="B4517" t="s">
        <v>24</v>
      </c>
      <c r="C4517" s="1">
        <v>45875</v>
      </c>
      <c r="D4517">
        <f t="shared" si="327"/>
        <v>6</v>
      </c>
      <c r="E4517">
        <f t="shared" si="328"/>
        <v>8</v>
      </c>
      <c r="F4517">
        <f t="shared" si="329"/>
        <v>2025</v>
      </c>
      <c r="G4517" t="s">
        <v>50</v>
      </c>
      <c r="H4517" s="98">
        <v>13624</v>
      </c>
      <c r="I4517" s="29">
        <v>1212.8</v>
      </c>
      <c r="J4517" s="12" t="s">
        <v>31</v>
      </c>
      <c r="K4517" s="76">
        <f t="shared" si="326"/>
        <v>1212.8</v>
      </c>
      <c r="L4517">
        <v>1</v>
      </c>
      <c r="M4517" s="29">
        <v>0</v>
      </c>
      <c r="N4517" t="s">
        <v>42</v>
      </c>
      <c r="O4517" t="s">
        <v>33</v>
      </c>
      <c r="P4517" t="s">
        <v>34</v>
      </c>
      <c r="Q4517" t="s">
        <v>34</v>
      </c>
      <c r="R4517" t="s">
        <v>34</v>
      </c>
      <c r="S4517" t="s">
        <v>34</v>
      </c>
      <c r="T4517" s="117">
        <v>0</v>
      </c>
      <c r="U4517" s="209" t="s">
        <v>1395</v>
      </c>
    </row>
    <row r="4518" spans="1:21" x14ac:dyDescent="0.35">
      <c r="A4518" t="s">
        <v>20</v>
      </c>
      <c r="B4518" t="s">
        <v>24</v>
      </c>
      <c r="C4518" s="1">
        <v>45875</v>
      </c>
      <c r="D4518">
        <f t="shared" ref="D4518" si="330">DAY(C4518)</f>
        <v>6</v>
      </c>
      <c r="E4518">
        <f t="shared" ref="E4518" si="331">MONTH(C4518)</f>
        <v>8</v>
      </c>
      <c r="F4518">
        <f t="shared" ref="F4518" si="332">YEAR(C4518)</f>
        <v>2025</v>
      </c>
      <c r="G4518" t="s">
        <v>50</v>
      </c>
      <c r="H4518" s="98">
        <v>13217</v>
      </c>
      <c r="I4518" s="29">
        <v>29.8</v>
      </c>
      <c r="J4518" s="12" t="s">
        <v>31</v>
      </c>
      <c r="K4518" s="76">
        <f t="shared" ref="K4518" si="333">IF(J4518="USD",I4518,I4518*L4518)</f>
        <v>29.8</v>
      </c>
      <c r="L4518">
        <v>1</v>
      </c>
      <c r="M4518" s="29">
        <v>0</v>
      </c>
      <c r="N4518" t="s">
        <v>42</v>
      </c>
      <c r="O4518" t="s">
        <v>33</v>
      </c>
      <c r="P4518" t="s">
        <v>34</v>
      </c>
      <c r="Q4518" t="s">
        <v>34</v>
      </c>
      <c r="R4518" t="s">
        <v>34</v>
      </c>
      <c r="S4518" t="s">
        <v>34</v>
      </c>
      <c r="T4518" s="117">
        <v>0</v>
      </c>
      <c r="U4518" s="209" t="s">
        <v>749</v>
      </c>
    </row>
    <row r="4519" spans="1:21" x14ac:dyDescent="0.35">
      <c r="A4519" t="s">
        <v>20</v>
      </c>
      <c r="B4519" t="s">
        <v>24</v>
      </c>
      <c r="C4519" s="1">
        <v>45875</v>
      </c>
      <c r="D4519">
        <f t="shared" si="327"/>
        <v>6</v>
      </c>
      <c r="E4519">
        <f t="shared" si="328"/>
        <v>8</v>
      </c>
      <c r="F4519">
        <f t="shared" si="329"/>
        <v>2025</v>
      </c>
      <c r="G4519" t="s">
        <v>50</v>
      </c>
      <c r="H4519" s="98">
        <v>13377</v>
      </c>
      <c r="I4519" s="29">
        <v>3055.7000000000003</v>
      </c>
      <c r="J4519" s="12" t="s">
        <v>31</v>
      </c>
      <c r="K4519" s="76">
        <f t="shared" si="326"/>
        <v>3055.7000000000003</v>
      </c>
      <c r="L4519">
        <v>1</v>
      </c>
      <c r="M4519" s="29">
        <v>0</v>
      </c>
      <c r="N4519" t="s">
        <v>42</v>
      </c>
      <c r="O4519" t="s">
        <v>33</v>
      </c>
      <c r="P4519" t="s">
        <v>34</v>
      </c>
      <c r="Q4519" t="s">
        <v>34</v>
      </c>
      <c r="R4519" t="s">
        <v>34</v>
      </c>
      <c r="S4519" t="s">
        <v>34</v>
      </c>
      <c r="T4519" s="117">
        <v>0</v>
      </c>
      <c r="U4519" s="209" t="s">
        <v>749</v>
      </c>
    </row>
    <row r="4520" spans="1:21" x14ac:dyDescent="0.35">
      <c r="A4520" t="s">
        <v>20</v>
      </c>
      <c r="B4520" t="s">
        <v>24</v>
      </c>
      <c r="C4520" s="1">
        <v>45875</v>
      </c>
      <c r="D4520">
        <f t="shared" si="327"/>
        <v>6</v>
      </c>
      <c r="E4520">
        <f t="shared" si="328"/>
        <v>8</v>
      </c>
      <c r="F4520">
        <f t="shared" si="329"/>
        <v>2025</v>
      </c>
      <c r="G4520" t="s">
        <v>50</v>
      </c>
      <c r="H4520" s="98">
        <v>13629</v>
      </c>
      <c r="I4520" s="29">
        <v>6089</v>
      </c>
      <c r="J4520" s="12" t="s">
        <v>31</v>
      </c>
      <c r="K4520" s="76">
        <f t="shared" si="326"/>
        <v>6089</v>
      </c>
      <c r="L4520">
        <v>1</v>
      </c>
      <c r="M4520" s="29">
        <v>0</v>
      </c>
      <c r="N4520" t="s">
        <v>42</v>
      </c>
      <c r="O4520" t="s">
        <v>33</v>
      </c>
      <c r="P4520" t="s">
        <v>34</v>
      </c>
      <c r="Q4520" t="s">
        <v>34</v>
      </c>
      <c r="R4520" t="s">
        <v>34</v>
      </c>
      <c r="S4520" t="s">
        <v>34</v>
      </c>
      <c r="T4520" s="117">
        <v>0</v>
      </c>
      <c r="U4520" s="209" t="s">
        <v>1548</v>
      </c>
    </row>
    <row r="4521" spans="1:21" x14ac:dyDescent="0.35">
      <c r="A4521" t="s">
        <v>20</v>
      </c>
      <c r="B4521" t="s">
        <v>24</v>
      </c>
      <c r="C4521" s="1">
        <v>45875</v>
      </c>
      <c r="D4521">
        <f t="shared" si="327"/>
        <v>6</v>
      </c>
      <c r="E4521">
        <f t="shared" si="328"/>
        <v>8</v>
      </c>
      <c r="F4521">
        <f t="shared" si="329"/>
        <v>2025</v>
      </c>
      <c r="G4521" t="s">
        <v>50</v>
      </c>
      <c r="H4521" s="98">
        <v>13379</v>
      </c>
      <c r="I4521" s="29">
        <v>7455.4</v>
      </c>
      <c r="J4521" s="12" t="s">
        <v>31</v>
      </c>
      <c r="K4521" s="76">
        <f t="shared" si="326"/>
        <v>7455.4</v>
      </c>
      <c r="L4521">
        <v>1</v>
      </c>
      <c r="M4521" s="29">
        <v>0</v>
      </c>
      <c r="N4521" t="s">
        <v>42</v>
      </c>
      <c r="O4521" t="s">
        <v>33</v>
      </c>
      <c r="P4521" t="s">
        <v>34</v>
      </c>
      <c r="Q4521" t="s">
        <v>34</v>
      </c>
      <c r="R4521" t="s">
        <v>34</v>
      </c>
      <c r="S4521" t="s">
        <v>34</v>
      </c>
      <c r="T4521" s="117">
        <v>0</v>
      </c>
      <c r="U4521" s="209" t="s">
        <v>749</v>
      </c>
    </row>
    <row r="4522" spans="1:21" x14ac:dyDescent="0.35">
      <c r="A4522" t="s">
        <v>20</v>
      </c>
      <c r="B4522" t="s">
        <v>21</v>
      </c>
      <c r="C4522" s="1">
        <v>45875</v>
      </c>
      <c r="D4522">
        <f t="shared" si="327"/>
        <v>6</v>
      </c>
      <c r="E4522">
        <f t="shared" si="328"/>
        <v>8</v>
      </c>
      <c r="F4522">
        <f t="shared" si="329"/>
        <v>2025</v>
      </c>
      <c r="G4522" t="s">
        <v>265</v>
      </c>
      <c r="H4522" s="98">
        <v>13380</v>
      </c>
      <c r="I4522" s="29">
        <v>146</v>
      </c>
      <c r="J4522" s="12" t="s">
        <v>31</v>
      </c>
      <c r="K4522" s="76">
        <f t="shared" si="326"/>
        <v>146</v>
      </c>
      <c r="L4522">
        <v>1</v>
      </c>
      <c r="M4522" s="29">
        <v>0</v>
      </c>
      <c r="N4522" t="s">
        <v>32</v>
      </c>
      <c r="O4522" t="s">
        <v>33</v>
      </c>
      <c r="P4522" t="s">
        <v>34</v>
      </c>
      <c r="Q4522" t="s">
        <v>34</v>
      </c>
      <c r="R4522" t="s">
        <v>34</v>
      </c>
      <c r="S4522" t="s">
        <v>34</v>
      </c>
      <c r="T4522" s="117">
        <v>0</v>
      </c>
    </row>
    <row r="4523" spans="1:21" x14ac:dyDescent="0.35">
      <c r="A4523" t="s">
        <v>20</v>
      </c>
      <c r="B4523" t="s">
        <v>21</v>
      </c>
      <c r="C4523" s="1">
        <v>45875</v>
      </c>
      <c r="D4523">
        <f t="shared" si="327"/>
        <v>6</v>
      </c>
      <c r="E4523">
        <f t="shared" si="328"/>
        <v>8</v>
      </c>
      <c r="F4523">
        <f t="shared" si="329"/>
        <v>2025</v>
      </c>
      <c r="G4523" t="s">
        <v>265</v>
      </c>
      <c r="H4523" s="98">
        <v>13381</v>
      </c>
      <c r="I4523" s="29">
        <v>1777.4</v>
      </c>
      <c r="J4523" s="12" t="s">
        <v>31</v>
      </c>
      <c r="K4523" s="76">
        <f t="shared" si="326"/>
        <v>1777.4</v>
      </c>
      <c r="L4523">
        <v>1</v>
      </c>
      <c r="M4523" s="29">
        <v>0</v>
      </c>
      <c r="N4523" t="s">
        <v>32</v>
      </c>
      <c r="O4523" t="s">
        <v>33</v>
      </c>
      <c r="P4523" t="s">
        <v>34</v>
      </c>
      <c r="Q4523" t="s">
        <v>34</v>
      </c>
      <c r="R4523" t="s">
        <v>34</v>
      </c>
      <c r="S4523" t="s">
        <v>34</v>
      </c>
      <c r="T4523" s="117">
        <v>0</v>
      </c>
    </row>
    <row r="4524" spans="1:21" x14ac:dyDescent="0.35">
      <c r="A4524" t="s">
        <v>20</v>
      </c>
      <c r="B4524" t="s">
        <v>23</v>
      </c>
      <c r="C4524" s="1">
        <v>45875</v>
      </c>
      <c r="D4524">
        <f t="shared" si="327"/>
        <v>6</v>
      </c>
      <c r="E4524">
        <f t="shared" si="328"/>
        <v>8</v>
      </c>
      <c r="F4524">
        <f t="shared" si="329"/>
        <v>2025</v>
      </c>
      <c r="G4524" t="s">
        <v>118</v>
      </c>
      <c r="H4524" s="98">
        <v>13382</v>
      </c>
      <c r="I4524" s="29">
        <v>23.5</v>
      </c>
      <c r="J4524" s="12" t="s">
        <v>31</v>
      </c>
      <c r="K4524" s="76">
        <f t="shared" si="326"/>
        <v>23.5</v>
      </c>
      <c r="L4524">
        <v>1</v>
      </c>
      <c r="M4524" s="29">
        <v>0</v>
      </c>
      <c r="N4524" t="s">
        <v>42</v>
      </c>
      <c r="O4524" t="s">
        <v>33</v>
      </c>
      <c r="P4524" t="s">
        <v>34</v>
      </c>
      <c r="Q4524" t="s">
        <v>34</v>
      </c>
      <c r="R4524" t="s">
        <v>34</v>
      </c>
      <c r="S4524" t="s">
        <v>34</v>
      </c>
      <c r="T4524" s="117">
        <v>0</v>
      </c>
    </row>
    <row r="4525" spans="1:21" x14ac:dyDescent="0.35">
      <c r="A4525" t="s">
        <v>20</v>
      </c>
      <c r="B4525" t="s">
        <v>23</v>
      </c>
      <c r="C4525" s="1">
        <v>45875</v>
      </c>
      <c r="D4525">
        <f t="shared" si="327"/>
        <v>6</v>
      </c>
      <c r="E4525">
        <f t="shared" si="328"/>
        <v>8</v>
      </c>
      <c r="F4525">
        <f t="shared" si="329"/>
        <v>2025</v>
      </c>
      <c r="G4525" t="s">
        <v>118</v>
      </c>
      <c r="H4525" s="98">
        <v>13383</v>
      </c>
      <c r="I4525" s="29">
        <v>1175</v>
      </c>
      <c r="J4525" s="12" t="s">
        <v>31</v>
      </c>
      <c r="K4525" s="76">
        <f t="shared" si="326"/>
        <v>1175</v>
      </c>
      <c r="L4525">
        <v>1</v>
      </c>
      <c r="M4525" s="29">
        <v>0</v>
      </c>
      <c r="N4525" t="s">
        <v>42</v>
      </c>
      <c r="O4525" t="s">
        <v>33</v>
      </c>
      <c r="P4525" t="s">
        <v>34</v>
      </c>
      <c r="Q4525" t="s">
        <v>34</v>
      </c>
      <c r="R4525" t="s">
        <v>34</v>
      </c>
      <c r="S4525" t="s">
        <v>34</v>
      </c>
      <c r="T4525" s="117">
        <v>0</v>
      </c>
    </row>
    <row r="4526" spans="1:21" x14ac:dyDescent="0.35">
      <c r="A4526" t="s">
        <v>20</v>
      </c>
      <c r="B4526" t="s">
        <v>25</v>
      </c>
      <c r="C4526" s="1">
        <v>45875</v>
      </c>
      <c r="D4526">
        <f t="shared" si="327"/>
        <v>6</v>
      </c>
      <c r="E4526">
        <f t="shared" si="328"/>
        <v>8</v>
      </c>
      <c r="F4526">
        <f t="shared" si="329"/>
        <v>2025</v>
      </c>
      <c r="G4526" t="s">
        <v>81</v>
      </c>
      <c r="H4526" s="98">
        <v>12669</v>
      </c>
      <c r="I4526" s="29">
        <v>53220.57</v>
      </c>
      <c r="J4526" s="12" t="s">
        <v>31</v>
      </c>
      <c r="K4526" s="76">
        <f t="shared" si="326"/>
        <v>53220.57</v>
      </c>
      <c r="L4526">
        <v>1</v>
      </c>
      <c r="M4526" s="29">
        <v>0</v>
      </c>
      <c r="N4526" t="s">
        <v>32</v>
      </c>
      <c r="O4526" t="s">
        <v>33</v>
      </c>
      <c r="P4526" t="s">
        <v>34</v>
      </c>
      <c r="Q4526" t="s">
        <v>34</v>
      </c>
      <c r="R4526" t="s">
        <v>34</v>
      </c>
      <c r="S4526" t="s">
        <v>34</v>
      </c>
      <c r="T4526" s="117">
        <v>0</v>
      </c>
    </row>
    <row r="4527" spans="1:21" x14ac:dyDescent="0.35">
      <c r="A4527" t="s">
        <v>20</v>
      </c>
      <c r="B4527" t="s">
        <v>24</v>
      </c>
      <c r="C4527" s="1">
        <v>45875</v>
      </c>
      <c r="D4527">
        <f t="shared" si="327"/>
        <v>6</v>
      </c>
      <c r="E4527">
        <f t="shared" si="328"/>
        <v>8</v>
      </c>
      <c r="F4527">
        <f t="shared" si="329"/>
        <v>2025</v>
      </c>
      <c r="G4527" t="s">
        <v>81</v>
      </c>
      <c r="H4527" s="98">
        <v>13348</v>
      </c>
      <c r="I4527" s="29">
        <v>2075.5</v>
      </c>
      <c r="J4527" s="12" t="s">
        <v>31</v>
      </c>
      <c r="K4527" s="76">
        <f t="shared" si="326"/>
        <v>2075.5</v>
      </c>
      <c r="L4527">
        <v>1</v>
      </c>
      <c r="M4527" s="29">
        <v>0</v>
      </c>
      <c r="N4527" t="s">
        <v>42</v>
      </c>
      <c r="O4527" t="s">
        <v>33</v>
      </c>
      <c r="P4527" t="s">
        <v>34</v>
      </c>
      <c r="Q4527" t="s">
        <v>34</v>
      </c>
      <c r="R4527" t="s">
        <v>34</v>
      </c>
      <c r="S4527" t="s">
        <v>34</v>
      </c>
      <c r="T4527" s="117">
        <v>0</v>
      </c>
    </row>
    <row r="4528" spans="1:21" x14ac:dyDescent="0.35">
      <c r="A4528" t="s">
        <v>20</v>
      </c>
      <c r="B4528" t="s">
        <v>24</v>
      </c>
      <c r="C4528" s="1">
        <v>45875</v>
      </c>
      <c r="D4528">
        <f t="shared" si="327"/>
        <v>6</v>
      </c>
      <c r="E4528">
        <f t="shared" si="328"/>
        <v>8</v>
      </c>
      <c r="F4528">
        <f t="shared" si="329"/>
        <v>2025</v>
      </c>
      <c r="G4528" t="s">
        <v>81</v>
      </c>
      <c r="H4528" s="98">
        <v>13349</v>
      </c>
      <c r="I4528" s="29">
        <v>1123.5</v>
      </c>
      <c r="J4528" s="12" t="s">
        <v>31</v>
      </c>
      <c r="K4528" s="76">
        <f t="shared" si="326"/>
        <v>1123.5</v>
      </c>
      <c r="L4528">
        <v>1</v>
      </c>
      <c r="M4528" s="29">
        <v>0</v>
      </c>
      <c r="N4528" t="s">
        <v>42</v>
      </c>
      <c r="O4528" t="s">
        <v>33</v>
      </c>
      <c r="P4528" t="s">
        <v>34</v>
      </c>
      <c r="Q4528" t="s">
        <v>34</v>
      </c>
      <c r="R4528" t="s">
        <v>34</v>
      </c>
      <c r="S4528" t="s">
        <v>34</v>
      </c>
      <c r="T4528" s="117">
        <v>0</v>
      </c>
    </row>
    <row r="4529" spans="1:20" x14ac:dyDescent="0.35">
      <c r="A4529" t="s">
        <v>20</v>
      </c>
      <c r="B4529" t="s">
        <v>24</v>
      </c>
      <c r="C4529" s="1">
        <v>45875</v>
      </c>
      <c r="D4529">
        <f t="shared" si="327"/>
        <v>6</v>
      </c>
      <c r="E4529">
        <f t="shared" si="328"/>
        <v>8</v>
      </c>
      <c r="F4529">
        <f t="shared" si="329"/>
        <v>2025</v>
      </c>
      <c r="G4529" t="s">
        <v>81</v>
      </c>
      <c r="H4529" s="98">
        <v>13350</v>
      </c>
      <c r="I4529" s="29">
        <v>2380</v>
      </c>
      <c r="J4529" s="12" t="s">
        <v>31</v>
      </c>
      <c r="K4529" s="76">
        <f t="shared" si="326"/>
        <v>2380</v>
      </c>
      <c r="L4529">
        <v>1</v>
      </c>
      <c r="M4529" s="29">
        <v>0</v>
      </c>
      <c r="N4529" t="s">
        <v>42</v>
      </c>
      <c r="O4529" t="s">
        <v>33</v>
      </c>
      <c r="P4529" t="s">
        <v>34</v>
      </c>
      <c r="Q4529" t="s">
        <v>34</v>
      </c>
      <c r="R4529" t="s">
        <v>34</v>
      </c>
      <c r="S4529" t="s">
        <v>34</v>
      </c>
      <c r="T4529" s="117">
        <v>0</v>
      </c>
    </row>
    <row r="4530" spans="1:20" x14ac:dyDescent="0.35">
      <c r="A4530" t="s">
        <v>20</v>
      </c>
      <c r="B4530" t="s">
        <v>24</v>
      </c>
      <c r="C4530" s="1">
        <v>45875</v>
      </c>
      <c r="D4530">
        <f t="shared" si="327"/>
        <v>6</v>
      </c>
      <c r="E4530">
        <f t="shared" si="328"/>
        <v>8</v>
      </c>
      <c r="F4530">
        <f t="shared" si="329"/>
        <v>2025</v>
      </c>
      <c r="G4530" t="s">
        <v>81</v>
      </c>
      <c r="H4530" s="98">
        <v>13351</v>
      </c>
      <c r="I4530" s="29">
        <v>33.24</v>
      </c>
      <c r="J4530" s="12" t="s">
        <v>31</v>
      </c>
      <c r="K4530" s="76">
        <f t="shared" si="326"/>
        <v>33.24</v>
      </c>
      <c r="L4530">
        <v>1</v>
      </c>
      <c r="M4530" s="29">
        <v>0</v>
      </c>
      <c r="N4530" t="s">
        <v>42</v>
      </c>
      <c r="O4530" t="s">
        <v>33</v>
      </c>
      <c r="P4530" t="s">
        <v>34</v>
      </c>
      <c r="Q4530" t="s">
        <v>34</v>
      </c>
      <c r="R4530" t="s">
        <v>34</v>
      </c>
      <c r="S4530" t="s">
        <v>34</v>
      </c>
      <c r="T4530" s="117">
        <v>0</v>
      </c>
    </row>
    <row r="4531" spans="1:20" x14ac:dyDescent="0.35">
      <c r="A4531" t="s">
        <v>20</v>
      </c>
      <c r="B4531" t="s">
        <v>21</v>
      </c>
      <c r="C4531" s="1">
        <v>45875</v>
      </c>
      <c r="D4531">
        <f t="shared" si="327"/>
        <v>6</v>
      </c>
      <c r="E4531">
        <f t="shared" si="328"/>
        <v>8</v>
      </c>
      <c r="F4531">
        <f t="shared" si="329"/>
        <v>2025</v>
      </c>
      <c r="G4531" t="s">
        <v>47</v>
      </c>
      <c r="H4531" s="98">
        <v>13372</v>
      </c>
      <c r="I4531" s="29">
        <v>89.2</v>
      </c>
      <c r="J4531" s="12" t="s">
        <v>31</v>
      </c>
      <c r="K4531" s="76">
        <f t="shared" si="326"/>
        <v>89.2</v>
      </c>
      <c r="L4531">
        <v>1</v>
      </c>
      <c r="M4531" s="29">
        <v>0</v>
      </c>
      <c r="N4531" t="s">
        <v>42</v>
      </c>
      <c r="O4531" t="s">
        <v>33</v>
      </c>
      <c r="P4531" t="s">
        <v>34</v>
      </c>
      <c r="Q4531" t="s">
        <v>34</v>
      </c>
      <c r="R4531" t="s">
        <v>34</v>
      </c>
      <c r="S4531" t="s">
        <v>34</v>
      </c>
      <c r="T4531" s="117">
        <v>0</v>
      </c>
    </row>
    <row r="4532" spans="1:20" x14ac:dyDescent="0.35">
      <c r="A4532" t="s">
        <v>20</v>
      </c>
      <c r="B4532" t="s">
        <v>21</v>
      </c>
      <c r="C4532" s="1">
        <v>45875</v>
      </c>
      <c r="D4532">
        <f t="shared" si="327"/>
        <v>6</v>
      </c>
      <c r="E4532">
        <f t="shared" si="328"/>
        <v>8</v>
      </c>
      <c r="F4532">
        <f t="shared" si="329"/>
        <v>2025</v>
      </c>
      <c r="G4532" t="s">
        <v>47</v>
      </c>
      <c r="H4532" s="98">
        <v>13375</v>
      </c>
      <c r="I4532" s="29">
        <v>1783.56</v>
      </c>
      <c r="J4532" s="12" t="s">
        <v>31</v>
      </c>
      <c r="K4532" s="76">
        <f t="shared" si="326"/>
        <v>1783.56</v>
      </c>
      <c r="L4532">
        <v>1</v>
      </c>
      <c r="M4532" s="29">
        <v>0</v>
      </c>
      <c r="N4532" t="s">
        <v>42</v>
      </c>
      <c r="O4532" t="s">
        <v>33</v>
      </c>
      <c r="P4532" t="s">
        <v>34</v>
      </c>
      <c r="Q4532" t="s">
        <v>34</v>
      </c>
      <c r="R4532" t="s">
        <v>34</v>
      </c>
      <c r="S4532" t="s">
        <v>34</v>
      </c>
      <c r="T4532" s="117">
        <v>0</v>
      </c>
    </row>
    <row r="4533" spans="1:20" x14ac:dyDescent="0.35">
      <c r="A4533" t="s">
        <v>20</v>
      </c>
      <c r="B4533" t="s">
        <v>21</v>
      </c>
      <c r="C4533" s="1">
        <v>45875</v>
      </c>
      <c r="D4533">
        <f t="shared" si="327"/>
        <v>6</v>
      </c>
      <c r="E4533">
        <f t="shared" si="328"/>
        <v>8</v>
      </c>
      <c r="F4533">
        <f t="shared" si="329"/>
        <v>2025</v>
      </c>
      <c r="G4533" t="s">
        <v>43</v>
      </c>
      <c r="H4533" s="98">
        <v>12757</v>
      </c>
      <c r="I4533" s="29">
        <v>124.8</v>
      </c>
      <c r="J4533" s="12" t="s">
        <v>31</v>
      </c>
      <c r="K4533" s="76">
        <f t="shared" si="326"/>
        <v>124.8</v>
      </c>
      <c r="L4533">
        <v>1</v>
      </c>
      <c r="M4533" s="29">
        <v>0</v>
      </c>
      <c r="N4533" t="s">
        <v>32</v>
      </c>
      <c r="O4533" t="s">
        <v>33</v>
      </c>
      <c r="P4533" t="s">
        <v>34</v>
      </c>
      <c r="Q4533" t="s">
        <v>34</v>
      </c>
      <c r="R4533" t="s">
        <v>34</v>
      </c>
      <c r="S4533" t="s">
        <v>34</v>
      </c>
      <c r="T4533" s="117">
        <v>0</v>
      </c>
    </row>
    <row r="4534" spans="1:20" x14ac:dyDescent="0.35">
      <c r="A4534" t="s">
        <v>20</v>
      </c>
      <c r="B4534" t="s">
        <v>24</v>
      </c>
      <c r="C4534" s="1">
        <v>45875</v>
      </c>
      <c r="D4534">
        <f t="shared" si="327"/>
        <v>6</v>
      </c>
      <c r="E4534">
        <f t="shared" si="328"/>
        <v>8</v>
      </c>
      <c r="F4534">
        <f t="shared" si="329"/>
        <v>2025</v>
      </c>
      <c r="G4534" t="s">
        <v>46</v>
      </c>
      <c r="H4534" s="98">
        <v>13360</v>
      </c>
      <c r="I4534" s="29">
        <v>111.2</v>
      </c>
      <c r="J4534" s="12" t="s">
        <v>31</v>
      </c>
      <c r="K4534" s="76">
        <f t="shared" ref="K4534:K4600" si="334">IF(J4534="USD",I4534,I4534*L4534)</f>
        <v>111.2</v>
      </c>
      <c r="L4534">
        <v>1</v>
      </c>
      <c r="M4534" s="29">
        <v>0</v>
      </c>
      <c r="N4534" t="s">
        <v>42</v>
      </c>
      <c r="O4534" t="s">
        <v>33</v>
      </c>
      <c r="P4534" t="s">
        <v>34</v>
      </c>
      <c r="Q4534" t="s">
        <v>34</v>
      </c>
      <c r="R4534" t="s">
        <v>34</v>
      </c>
      <c r="S4534" t="s">
        <v>34</v>
      </c>
      <c r="T4534" s="117">
        <v>0</v>
      </c>
    </row>
    <row r="4535" spans="1:20" x14ac:dyDescent="0.35">
      <c r="A4535" t="s">
        <v>20</v>
      </c>
      <c r="B4535" t="s">
        <v>24</v>
      </c>
      <c r="C4535" s="1">
        <v>45875</v>
      </c>
      <c r="D4535">
        <f t="shared" si="327"/>
        <v>6</v>
      </c>
      <c r="E4535">
        <f t="shared" si="328"/>
        <v>8</v>
      </c>
      <c r="F4535">
        <f t="shared" si="329"/>
        <v>2025</v>
      </c>
      <c r="G4535" t="s">
        <v>46</v>
      </c>
      <c r="H4535" s="98">
        <v>13361</v>
      </c>
      <c r="I4535" s="29">
        <v>1445.6</v>
      </c>
      <c r="J4535" s="12" t="s">
        <v>31</v>
      </c>
      <c r="K4535" s="76">
        <f t="shared" si="334"/>
        <v>1445.6</v>
      </c>
      <c r="L4535">
        <v>1</v>
      </c>
      <c r="M4535" s="29">
        <v>0</v>
      </c>
      <c r="N4535" t="s">
        <v>42</v>
      </c>
      <c r="O4535" t="s">
        <v>33</v>
      </c>
      <c r="P4535" t="s">
        <v>34</v>
      </c>
      <c r="Q4535" t="s">
        <v>34</v>
      </c>
      <c r="R4535" t="s">
        <v>34</v>
      </c>
      <c r="S4535" t="s">
        <v>34</v>
      </c>
      <c r="T4535" s="117">
        <v>0</v>
      </c>
    </row>
    <row r="4536" spans="1:20" x14ac:dyDescent="0.35">
      <c r="A4536" t="s">
        <v>19</v>
      </c>
      <c r="B4536" t="s">
        <v>19</v>
      </c>
      <c r="C4536" s="1">
        <v>45875</v>
      </c>
      <c r="D4536">
        <f t="shared" si="327"/>
        <v>6</v>
      </c>
      <c r="E4536">
        <f t="shared" si="328"/>
        <v>8</v>
      </c>
      <c r="F4536">
        <f t="shared" si="329"/>
        <v>2025</v>
      </c>
      <c r="G4536" t="s">
        <v>1003</v>
      </c>
      <c r="H4536" s="98" t="s">
        <v>1224</v>
      </c>
      <c r="I4536" s="15">
        <v>39195.060000000005</v>
      </c>
      <c r="J4536" s="12" t="s">
        <v>31</v>
      </c>
      <c r="K4536" s="76">
        <f t="shared" si="334"/>
        <v>39195.060000000005</v>
      </c>
      <c r="L4536">
        <v>1</v>
      </c>
      <c r="M4536" s="29">
        <v>0</v>
      </c>
      <c r="N4536" t="s">
        <v>32</v>
      </c>
      <c r="O4536" t="s">
        <v>33</v>
      </c>
      <c r="P4536" t="s">
        <v>34</v>
      </c>
      <c r="Q4536" t="s">
        <v>34</v>
      </c>
      <c r="R4536" t="s">
        <v>34</v>
      </c>
      <c r="S4536" t="s">
        <v>34</v>
      </c>
      <c r="T4536" s="117">
        <v>0</v>
      </c>
    </row>
    <row r="4537" spans="1:20" x14ac:dyDescent="0.35">
      <c r="A4537" t="s">
        <v>19</v>
      </c>
      <c r="B4537" t="s">
        <v>19</v>
      </c>
      <c r="C4537" s="1">
        <v>45875</v>
      </c>
      <c r="D4537">
        <f t="shared" si="327"/>
        <v>6</v>
      </c>
      <c r="E4537">
        <f t="shared" si="328"/>
        <v>8</v>
      </c>
      <c r="F4537">
        <f t="shared" si="329"/>
        <v>2025</v>
      </c>
      <c r="G4537" t="s">
        <v>213</v>
      </c>
      <c r="H4537" s="98" t="s">
        <v>1225</v>
      </c>
      <c r="I4537" s="15">
        <v>114277.89</v>
      </c>
      <c r="J4537" s="12" t="s">
        <v>31</v>
      </c>
      <c r="K4537" s="76">
        <f t="shared" si="334"/>
        <v>114277.89</v>
      </c>
      <c r="L4537">
        <v>1</v>
      </c>
      <c r="M4537" s="29">
        <v>0</v>
      </c>
      <c r="N4537" t="s">
        <v>32</v>
      </c>
      <c r="O4537" t="s">
        <v>33</v>
      </c>
      <c r="P4537" t="s">
        <v>34</v>
      </c>
      <c r="Q4537" t="s">
        <v>34</v>
      </c>
      <c r="R4537" t="s">
        <v>34</v>
      </c>
      <c r="S4537" t="s">
        <v>34</v>
      </c>
      <c r="T4537" s="117">
        <v>0</v>
      </c>
    </row>
    <row r="4538" spans="1:20" x14ac:dyDescent="0.35">
      <c r="A4538" t="s">
        <v>19</v>
      </c>
      <c r="B4538" t="s">
        <v>19</v>
      </c>
      <c r="C4538" s="1">
        <v>45875</v>
      </c>
      <c r="D4538">
        <f t="shared" si="327"/>
        <v>6</v>
      </c>
      <c r="E4538">
        <f t="shared" si="328"/>
        <v>8</v>
      </c>
      <c r="F4538">
        <f t="shared" si="329"/>
        <v>2025</v>
      </c>
      <c r="G4538" t="s">
        <v>45</v>
      </c>
      <c r="H4538" s="98" t="s">
        <v>1226</v>
      </c>
      <c r="I4538" s="15">
        <v>44968.12</v>
      </c>
      <c r="J4538" s="12" t="s">
        <v>31</v>
      </c>
      <c r="K4538" s="76">
        <f t="shared" si="334"/>
        <v>44968.12</v>
      </c>
      <c r="L4538">
        <v>1</v>
      </c>
      <c r="M4538" s="29">
        <v>0</v>
      </c>
      <c r="N4538" t="s">
        <v>32</v>
      </c>
      <c r="O4538" t="s">
        <v>33</v>
      </c>
      <c r="P4538" t="s">
        <v>34</v>
      </c>
      <c r="Q4538" t="s">
        <v>34</v>
      </c>
      <c r="R4538" t="s">
        <v>34</v>
      </c>
      <c r="S4538" t="s">
        <v>34</v>
      </c>
      <c r="T4538" s="117">
        <v>0</v>
      </c>
    </row>
    <row r="4539" spans="1:20" x14ac:dyDescent="0.35">
      <c r="A4539" t="s">
        <v>19</v>
      </c>
      <c r="B4539" t="s">
        <v>19</v>
      </c>
      <c r="C4539" s="1">
        <v>45875</v>
      </c>
      <c r="D4539">
        <f t="shared" si="327"/>
        <v>6</v>
      </c>
      <c r="E4539">
        <f t="shared" si="328"/>
        <v>8</v>
      </c>
      <c r="F4539">
        <f t="shared" si="329"/>
        <v>2025</v>
      </c>
      <c r="G4539" t="s">
        <v>45</v>
      </c>
      <c r="H4539" s="98" t="s">
        <v>1227</v>
      </c>
      <c r="I4539" s="15">
        <v>55455.22</v>
      </c>
      <c r="J4539" s="12" t="s">
        <v>31</v>
      </c>
      <c r="K4539" s="76">
        <f t="shared" si="334"/>
        <v>55455.22</v>
      </c>
      <c r="L4539">
        <v>1</v>
      </c>
      <c r="M4539" s="29">
        <v>0</v>
      </c>
      <c r="N4539" t="s">
        <v>32</v>
      </c>
      <c r="O4539" t="s">
        <v>33</v>
      </c>
      <c r="P4539" t="s">
        <v>34</v>
      </c>
      <c r="Q4539" t="s">
        <v>34</v>
      </c>
      <c r="R4539" t="s">
        <v>34</v>
      </c>
      <c r="S4539" t="s">
        <v>34</v>
      </c>
      <c r="T4539" s="117">
        <v>0</v>
      </c>
    </row>
    <row r="4540" spans="1:20" x14ac:dyDescent="0.35">
      <c r="A4540" t="s">
        <v>19</v>
      </c>
      <c r="B4540" t="s">
        <v>19</v>
      </c>
      <c r="C4540" s="1">
        <v>45875</v>
      </c>
      <c r="D4540">
        <f t="shared" si="327"/>
        <v>6</v>
      </c>
      <c r="E4540">
        <f t="shared" si="328"/>
        <v>8</v>
      </c>
      <c r="F4540">
        <f t="shared" si="329"/>
        <v>2025</v>
      </c>
      <c r="G4540" t="s">
        <v>1061</v>
      </c>
      <c r="H4540" s="98" t="s">
        <v>1230</v>
      </c>
      <c r="I4540" s="15">
        <v>168149.35</v>
      </c>
      <c r="J4540" s="12" t="s">
        <v>31</v>
      </c>
      <c r="K4540" s="76">
        <f t="shared" si="334"/>
        <v>168149.35</v>
      </c>
      <c r="L4540">
        <v>1</v>
      </c>
      <c r="M4540" s="29">
        <v>0</v>
      </c>
      <c r="N4540" t="s">
        <v>32</v>
      </c>
      <c r="O4540" t="s">
        <v>33</v>
      </c>
      <c r="P4540" t="s">
        <v>34</v>
      </c>
      <c r="Q4540" t="s">
        <v>34</v>
      </c>
      <c r="R4540" t="s">
        <v>34</v>
      </c>
      <c r="S4540" t="s">
        <v>34</v>
      </c>
      <c r="T4540" s="117">
        <v>0</v>
      </c>
    </row>
    <row r="4541" spans="1:20" x14ac:dyDescent="0.35">
      <c r="A4541" t="s">
        <v>19</v>
      </c>
      <c r="B4541" t="s">
        <v>19</v>
      </c>
      <c r="C4541" s="1">
        <v>45875</v>
      </c>
      <c r="D4541">
        <f t="shared" si="327"/>
        <v>6</v>
      </c>
      <c r="E4541">
        <f t="shared" si="328"/>
        <v>8</v>
      </c>
      <c r="F4541">
        <f t="shared" si="329"/>
        <v>2025</v>
      </c>
      <c r="G4541" t="s">
        <v>803</v>
      </c>
      <c r="H4541" s="98" t="s">
        <v>1231</v>
      </c>
      <c r="I4541" s="15">
        <v>7968.6</v>
      </c>
      <c r="J4541" s="12" t="s">
        <v>31</v>
      </c>
      <c r="K4541" s="76">
        <f t="shared" si="334"/>
        <v>7968.6</v>
      </c>
      <c r="L4541">
        <v>1</v>
      </c>
      <c r="M4541" s="29">
        <v>0</v>
      </c>
      <c r="N4541" t="s">
        <v>32</v>
      </c>
      <c r="O4541" t="s">
        <v>33</v>
      </c>
      <c r="P4541" t="s">
        <v>34</v>
      </c>
      <c r="Q4541" t="s">
        <v>34</v>
      </c>
      <c r="R4541" t="s">
        <v>34</v>
      </c>
      <c r="S4541" t="s">
        <v>34</v>
      </c>
      <c r="T4541" s="117">
        <v>0</v>
      </c>
    </row>
    <row r="4542" spans="1:20" x14ac:dyDescent="0.35">
      <c r="A4542" t="s">
        <v>19</v>
      </c>
      <c r="B4542" t="s">
        <v>19</v>
      </c>
      <c r="C4542" s="1">
        <v>45875</v>
      </c>
      <c r="D4542">
        <f t="shared" si="327"/>
        <v>6</v>
      </c>
      <c r="E4542">
        <f t="shared" si="328"/>
        <v>8</v>
      </c>
      <c r="F4542">
        <f t="shared" si="329"/>
        <v>2025</v>
      </c>
      <c r="G4542" t="s">
        <v>86</v>
      </c>
      <c r="H4542" s="98" t="s">
        <v>1232</v>
      </c>
      <c r="I4542" s="15">
        <v>4317.9399999999996</v>
      </c>
      <c r="J4542" s="12" t="s">
        <v>31</v>
      </c>
      <c r="K4542" s="76">
        <f t="shared" si="334"/>
        <v>4317.9399999999996</v>
      </c>
      <c r="L4542">
        <v>1</v>
      </c>
      <c r="M4542" s="29">
        <v>0</v>
      </c>
      <c r="N4542" t="s">
        <v>32</v>
      </c>
      <c r="O4542" t="s">
        <v>33</v>
      </c>
      <c r="P4542" t="s">
        <v>34</v>
      </c>
      <c r="Q4542" t="s">
        <v>34</v>
      </c>
      <c r="R4542" t="s">
        <v>34</v>
      </c>
      <c r="S4542" t="s">
        <v>34</v>
      </c>
      <c r="T4542" s="117">
        <v>0</v>
      </c>
    </row>
    <row r="4543" spans="1:20" x14ac:dyDescent="0.35">
      <c r="A4543" t="s">
        <v>19</v>
      </c>
      <c r="B4543" t="s">
        <v>19</v>
      </c>
      <c r="C4543" s="1">
        <v>45875</v>
      </c>
      <c r="D4543">
        <f t="shared" si="327"/>
        <v>6</v>
      </c>
      <c r="E4543">
        <f t="shared" si="328"/>
        <v>8</v>
      </c>
      <c r="F4543">
        <f t="shared" si="329"/>
        <v>2025</v>
      </c>
      <c r="G4543" t="s">
        <v>129</v>
      </c>
      <c r="H4543" s="98" t="s">
        <v>1233</v>
      </c>
      <c r="I4543" s="15">
        <v>111351.82</v>
      </c>
      <c r="J4543" s="12" t="s">
        <v>31</v>
      </c>
      <c r="K4543" s="76">
        <f t="shared" si="334"/>
        <v>111351.82</v>
      </c>
      <c r="L4543">
        <v>1</v>
      </c>
      <c r="M4543" s="29">
        <v>0</v>
      </c>
      <c r="N4543" t="s">
        <v>32</v>
      </c>
      <c r="O4543" t="s">
        <v>33</v>
      </c>
      <c r="P4543" t="s">
        <v>34</v>
      </c>
      <c r="Q4543" t="s">
        <v>34</v>
      </c>
      <c r="R4543" t="s">
        <v>34</v>
      </c>
      <c r="S4543" t="s">
        <v>34</v>
      </c>
      <c r="T4543" s="117">
        <v>0</v>
      </c>
    </row>
    <row r="4544" spans="1:20" x14ac:dyDescent="0.35">
      <c r="A4544" t="s">
        <v>19</v>
      </c>
      <c r="B4544" t="s">
        <v>19</v>
      </c>
      <c r="C4544" s="1">
        <v>45875</v>
      </c>
      <c r="D4544">
        <f t="shared" si="327"/>
        <v>6</v>
      </c>
      <c r="E4544">
        <f t="shared" si="328"/>
        <v>8</v>
      </c>
      <c r="F4544">
        <f t="shared" si="329"/>
        <v>2025</v>
      </c>
      <c r="G4544" t="s">
        <v>601</v>
      </c>
      <c r="H4544" s="171" t="s">
        <v>1234</v>
      </c>
      <c r="I4544" s="15">
        <v>100000</v>
      </c>
      <c r="J4544" s="12" t="s">
        <v>31</v>
      </c>
      <c r="K4544" s="76">
        <f t="shared" si="334"/>
        <v>100000</v>
      </c>
      <c r="L4544">
        <v>1</v>
      </c>
      <c r="M4544" s="29">
        <v>0</v>
      </c>
      <c r="N4544" t="s">
        <v>32</v>
      </c>
      <c r="O4544" t="s">
        <v>33</v>
      </c>
      <c r="P4544" t="s">
        <v>34</v>
      </c>
      <c r="Q4544" t="s">
        <v>34</v>
      </c>
      <c r="R4544" t="s">
        <v>34</v>
      </c>
      <c r="S4544" t="s">
        <v>34</v>
      </c>
      <c r="T4544" s="117">
        <v>0</v>
      </c>
    </row>
    <row r="4545" spans="1:21" x14ac:dyDescent="0.35">
      <c r="A4545" t="s">
        <v>19</v>
      </c>
      <c r="B4545" t="s">
        <v>19</v>
      </c>
      <c r="C4545" s="1">
        <v>45875</v>
      </c>
      <c r="D4545">
        <f t="shared" si="327"/>
        <v>6</v>
      </c>
      <c r="E4545">
        <f t="shared" si="328"/>
        <v>8</v>
      </c>
      <c r="F4545">
        <f t="shared" si="329"/>
        <v>2025</v>
      </c>
      <c r="G4545" t="s">
        <v>1117</v>
      </c>
      <c r="H4545" s="98" t="s">
        <v>1235</v>
      </c>
      <c r="I4545" s="15">
        <v>29040</v>
      </c>
      <c r="J4545" s="12" t="s">
        <v>31</v>
      </c>
      <c r="K4545" s="76">
        <f t="shared" si="334"/>
        <v>29040</v>
      </c>
      <c r="L4545">
        <v>1</v>
      </c>
      <c r="M4545" s="29">
        <v>0</v>
      </c>
      <c r="N4545" t="s">
        <v>32</v>
      </c>
      <c r="O4545" t="s">
        <v>33</v>
      </c>
      <c r="P4545" t="s">
        <v>34</v>
      </c>
      <c r="Q4545" t="s">
        <v>34</v>
      </c>
      <c r="R4545" t="s">
        <v>34</v>
      </c>
      <c r="S4545" t="s">
        <v>34</v>
      </c>
      <c r="T4545" s="117">
        <v>0</v>
      </c>
    </row>
    <row r="4546" spans="1:21" x14ac:dyDescent="0.35">
      <c r="A4546" t="s">
        <v>19</v>
      </c>
      <c r="B4546" t="s">
        <v>19</v>
      </c>
      <c r="C4546" s="1">
        <v>45875</v>
      </c>
      <c r="D4546">
        <f t="shared" si="327"/>
        <v>6</v>
      </c>
      <c r="E4546">
        <f t="shared" si="328"/>
        <v>8</v>
      </c>
      <c r="F4546">
        <f t="shared" si="329"/>
        <v>2025</v>
      </c>
      <c r="G4546" t="s">
        <v>1117</v>
      </c>
      <c r="H4546" s="98" t="s">
        <v>1236</v>
      </c>
      <c r="I4546" s="15">
        <v>71580.960000000006</v>
      </c>
      <c r="J4546" s="12" t="s">
        <v>31</v>
      </c>
      <c r="K4546" s="76">
        <f t="shared" si="334"/>
        <v>71580.960000000006</v>
      </c>
      <c r="L4546">
        <v>1</v>
      </c>
      <c r="M4546" s="29">
        <v>0</v>
      </c>
      <c r="N4546" t="s">
        <v>32</v>
      </c>
      <c r="O4546" t="s">
        <v>33</v>
      </c>
      <c r="P4546" t="s">
        <v>34</v>
      </c>
      <c r="Q4546" t="s">
        <v>34</v>
      </c>
      <c r="R4546" t="s">
        <v>34</v>
      </c>
      <c r="S4546" t="s">
        <v>34</v>
      </c>
      <c r="T4546" s="117">
        <v>0</v>
      </c>
    </row>
    <row r="4547" spans="1:21" x14ac:dyDescent="0.35">
      <c r="A4547" t="s">
        <v>19</v>
      </c>
      <c r="B4547" t="s">
        <v>19</v>
      </c>
      <c r="C4547" s="1">
        <v>45875</v>
      </c>
      <c r="D4547">
        <f t="shared" si="327"/>
        <v>6</v>
      </c>
      <c r="E4547">
        <f t="shared" si="328"/>
        <v>8</v>
      </c>
      <c r="F4547">
        <f t="shared" si="329"/>
        <v>2025</v>
      </c>
      <c r="G4547" t="s">
        <v>106</v>
      </c>
      <c r="H4547" s="98" t="s">
        <v>1192</v>
      </c>
      <c r="I4547" s="15">
        <v>116725.75</v>
      </c>
      <c r="J4547" s="12" t="s">
        <v>31</v>
      </c>
      <c r="K4547" s="76">
        <f t="shared" si="334"/>
        <v>116725.75</v>
      </c>
      <c r="L4547">
        <v>1</v>
      </c>
      <c r="M4547" s="29">
        <v>0</v>
      </c>
      <c r="N4547" t="s">
        <v>32</v>
      </c>
      <c r="O4547" t="s">
        <v>33</v>
      </c>
      <c r="P4547" t="s">
        <v>34</v>
      </c>
      <c r="Q4547" t="s">
        <v>34</v>
      </c>
      <c r="R4547" t="s">
        <v>34</v>
      </c>
      <c r="S4547" t="s">
        <v>34</v>
      </c>
      <c r="T4547" s="117">
        <v>0</v>
      </c>
    </row>
    <row r="4548" spans="1:21" x14ac:dyDescent="0.35">
      <c r="A4548" t="s">
        <v>19</v>
      </c>
      <c r="B4548" t="s">
        <v>19</v>
      </c>
      <c r="C4548" s="1">
        <v>45875</v>
      </c>
      <c r="D4548">
        <f t="shared" si="327"/>
        <v>6</v>
      </c>
      <c r="E4548">
        <f t="shared" si="328"/>
        <v>8</v>
      </c>
      <c r="F4548">
        <f t="shared" si="329"/>
        <v>2025</v>
      </c>
      <c r="G4548" t="s">
        <v>126</v>
      </c>
      <c r="H4548" s="98" t="s">
        <v>1237</v>
      </c>
      <c r="I4548" s="15">
        <v>30821.01</v>
      </c>
      <c r="J4548" s="12" t="s">
        <v>31</v>
      </c>
      <c r="K4548" s="76">
        <f t="shared" si="334"/>
        <v>30821.01</v>
      </c>
      <c r="L4548">
        <v>1</v>
      </c>
      <c r="M4548" s="29">
        <v>0</v>
      </c>
      <c r="N4548" t="s">
        <v>32</v>
      </c>
      <c r="O4548" t="s">
        <v>33</v>
      </c>
      <c r="P4548" t="s">
        <v>34</v>
      </c>
      <c r="Q4548" t="s">
        <v>34</v>
      </c>
      <c r="R4548" t="s">
        <v>34</v>
      </c>
      <c r="S4548" t="s">
        <v>34</v>
      </c>
      <c r="T4548" s="117">
        <v>0</v>
      </c>
    </row>
    <row r="4549" spans="1:21" x14ac:dyDescent="0.35">
      <c r="A4549" t="s">
        <v>19</v>
      </c>
      <c r="B4549" t="s">
        <v>19</v>
      </c>
      <c r="C4549" s="1">
        <v>45875</v>
      </c>
      <c r="D4549">
        <f t="shared" si="327"/>
        <v>6</v>
      </c>
      <c r="E4549">
        <f t="shared" si="328"/>
        <v>8</v>
      </c>
      <c r="F4549">
        <f t="shared" si="329"/>
        <v>2025</v>
      </c>
      <c r="G4549" t="s">
        <v>59</v>
      </c>
      <c r="H4549" s="171" t="s">
        <v>1182</v>
      </c>
      <c r="I4549" s="15">
        <v>80000</v>
      </c>
      <c r="J4549" s="12" t="s">
        <v>31</v>
      </c>
      <c r="K4549" s="76">
        <f t="shared" si="334"/>
        <v>80000</v>
      </c>
      <c r="L4549">
        <v>1</v>
      </c>
      <c r="M4549" s="29">
        <v>0</v>
      </c>
      <c r="N4549" t="s">
        <v>32</v>
      </c>
      <c r="O4549" t="s">
        <v>33</v>
      </c>
      <c r="P4549" t="s">
        <v>34</v>
      </c>
      <c r="Q4549" t="s">
        <v>34</v>
      </c>
      <c r="R4549" t="s">
        <v>34</v>
      </c>
      <c r="S4549" t="s">
        <v>34</v>
      </c>
      <c r="T4549" s="117">
        <v>0</v>
      </c>
    </row>
    <row r="4550" spans="1:21" x14ac:dyDescent="0.35">
      <c r="A4550" t="s">
        <v>19</v>
      </c>
      <c r="B4550" t="s">
        <v>26</v>
      </c>
      <c r="C4550" s="1">
        <v>45877</v>
      </c>
      <c r="D4550">
        <f>DAY(C4550)</f>
        <v>8</v>
      </c>
      <c r="E4550">
        <f>MONTH(C4550)</f>
        <v>8</v>
      </c>
      <c r="F4550">
        <f>YEAR(C4550)</f>
        <v>2025</v>
      </c>
      <c r="G4550" t="s">
        <v>73</v>
      </c>
      <c r="H4550" s="171">
        <v>13527</v>
      </c>
      <c r="I4550" s="15">
        <v>14692.79</v>
      </c>
      <c r="J4550" s="12" t="s">
        <v>51</v>
      </c>
      <c r="K4550" s="76">
        <f t="shared" si="334"/>
        <v>17146.485930000003</v>
      </c>
      <c r="L4550">
        <v>1.167</v>
      </c>
      <c r="M4550" s="29">
        <v>0</v>
      </c>
      <c r="N4550" t="s">
        <v>32</v>
      </c>
      <c r="O4550" t="s">
        <v>33</v>
      </c>
      <c r="P4550" t="s">
        <v>34</v>
      </c>
      <c r="Q4550" t="s">
        <v>34</v>
      </c>
      <c r="R4550" t="s">
        <v>34</v>
      </c>
      <c r="S4550" t="s">
        <v>34</v>
      </c>
      <c r="T4550" s="117">
        <v>0</v>
      </c>
      <c r="U4550" s="209" t="s">
        <v>94</v>
      </c>
    </row>
    <row r="4551" spans="1:21" x14ac:dyDescent="0.35">
      <c r="A4551" t="s">
        <v>19</v>
      </c>
      <c r="B4551" t="s">
        <v>26</v>
      </c>
      <c r="C4551" s="1">
        <v>45877</v>
      </c>
      <c r="D4551">
        <f>DAY(C4551)</f>
        <v>8</v>
      </c>
      <c r="E4551">
        <f>MONTH(C4551)</f>
        <v>8</v>
      </c>
      <c r="F4551">
        <f>YEAR(C4551)</f>
        <v>2025</v>
      </c>
      <c r="G4551" t="s">
        <v>73</v>
      </c>
      <c r="H4551" s="171">
        <v>13544</v>
      </c>
      <c r="I4551" s="15">
        <v>13970.72</v>
      </c>
      <c r="J4551" s="12" t="s">
        <v>51</v>
      </c>
      <c r="K4551" s="76">
        <f t="shared" si="334"/>
        <v>16303.830239999999</v>
      </c>
      <c r="L4551">
        <v>1.167</v>
      </c>
      <c r="M4551" s="29">
        <v>0</v>
      </c>
      <c r="N4551" t="s">
        <v>32</v>
      </c>
      <c r="O4551" t="s">
        <v>33</v>
      </c>
      <c r="P4551" t="s">
        <v>34</v>
      </c>
      <c r="Q4551" t="s">
        <v>34</v>
      </c>
      <c r="R4551" t="s">
        <v>34</v>
      </c>
      <c r="S4551" t="s">
        <v>34</v>
      </c>
      <c r="T4551" s="117">
        <v>0</v>
      </c>
      <c r="U4551" s="209" t="s">
        <v>94</v>
      </c>
    </row>
    <row r="4552" spans="1:21" x14ac:dyDescent="0.35">
      <c r="A4552" t="s">
        <v>19</v>
      </c>
      <c r="B4552" t="s">
        <v>26</v>
      </c>
      <c r="C4552" s="1">
        <v>45877</v>
      </c>
      <c r="D4552">
        <f>DAY(C4552)</f>
        <v>8</v>
      </c>
      <c r="E4552">
        <f>MONTH(C4552)</f>
        <v>8</v>
      </c>
      <c r="F4552">
        <f>YEAR(C4552)</f>
        <v>2025</v>
      </c>
      <c r="G4552" t="s">
        <v>73</v>
      </c>
      <c r="H4552" s="171">
        <v>13585</v>
      </c>
      <c r="I4552" s="15">
        <v>85294.3</v>
      </c>
      <c r="J4552" s="12" t="s">
        <v>51</v>
      </c>
      <c r="K4552" s="76">
        <f t="shared" si="334"/>
        <v>99538.448100000009</v>
      </c>
      <c r="L4552">
        <v>1.167</v>
      </c>
      <c r="M4552" s="29">
        <v>0</v>
      </c>
      <c r="N4552" t="s">
        <v>32</v>
      </c>
      <c r="O4552" t="s">
        <v>33</v>
      </c>
      <c r="P4552" t="s">
        <v>34</v>
      </c>
      <c r="Q4552" t="s">
        <v>34</v>
      </c>
      <c r="R4552" t="s">
        <v>34</v>
      </c>
      <c r="S4552" t="s">
        <v>34</v>
      </c>
      <c r="T4552" s="117">
        <v>0</v>
      </c>
      <c r="U4552" s="209" t="s">
        <v>94</v>
      </c>
    </row>
    <row r="4553" spans="1:21" x14ac:dyDescent="0.35">
      <c r="A4553" t="s">
        <v>19</v>
      </c>
      <c r="B4553" t="s">
        <v>26</v>
      </c>
      <c r="C4553" s="1">
        <v>45877</v>
      </c>
      <c r="D4553">
        <f t="shared" si="327"/>
        <v>8</v>
      </c>
      <c r="E4553">
        <f t="shared" si="328"/>
        <v>8</v>
      </c>
      <c r="F4553">
        <f t="shared" si="329"/>
        <v>2025</v>
      </c>
      <c r="G4553" t="s">
        <v>73</v>
      </c>
      <c r="H4553" s="121">
        <v>13586</v>
      </c>
      <c r="I4553" s="15">
        <v>47753.56</v>
      </c>
      <c r="J4553" s="12" t="s">
        <v>51</v>
      </c>
      <c r="K4553" s="76">
        <f t="shared" si="334"/>
        <v>55728.404519999996</v>
      </c>
      <c r="L4553">
        <v>1.167</v>
      </c>
      <c r="M4553" s="29">
        <v>0</v>
      </c>
      <c r="N4553" t="s">
        <v>42</v>
      </c>
      <c r="O4553" t="s">
        <v>33</v>
      </c>
      <c r="P4553" t="s">
        <v>34</v>
      </c>
      <c r="Q4553" t="s">
        <v>34</v>
      </c>
      <c r="R4553" t="s">
        <v>34</v>
      </c>
      <c r="S4553" t="s">
        <v>34</v>
      </c>
      <c r="T4553" s="117">
        <v>0</v>
      </c>
      <c r="U4553" s="209" t="s">
        <v>94</v>
      </c>
    </row>
    <row r="4554" spans="1:21" x14ac:dyDescent="0.35">
      <c r="A4554" t="s">
        <v>19</v>
      </c>
      <c r="B4554" t="s">
        <v>21</v>
      </c>
      <c r="C4554" s="1">
        <v>45882</v>
      </c>
      <c r="D4554">
        <f t="shared" si="327"/>
        <v>13</v>
      </c>
      <c r="E4554">
        <f t="shared" si="328"/>
        <v>8</v>
      </c>
      <c r="F4554">
        <f t="shared" si="329"/>
        <v>2025</v>
      </c>
      <c r="G4554" t="s">
        <v>77</v>
      </c>
      <c r="H4554" s="98">
        <v>13232</v>
      </c>
      <c r="I4554" s="29">
        <v>9508.1</v>
      </c>
      <c r="J4554" s="12" t="s">
        <v>31</v>
      </c>
      <c r="K4554" s="76">
        <f t="shared" si="334"/>
        <v>9508.1</v>
      </c>
      <c r="L4554">
        <v>1</v>
      </c>
      <c r="M4554" s="29">
        <v>0</v>
      </c>
      <c r="N4554" t="s">
        <v>32</v>
      </c>
      <c r="O4554" t="s">
        <v>33</v>
      </c>
      <c r="P4554" t="s">
        <v>34</v>
      </c>
      <c r="Q4554" t="s">
        <v>34</v>
      </c>
      <c r="R4554" t="s">
        <v>34</v>
      </c>
      <c r="S4554" t="s">
        <v>34</v>
      </c>
      <c r="T4554" s="117">
        <v>0</v>
      </c>
    </row>
    <row r="4555" spans="1:21" x14ac:dyDescent="0.35">
      <c r="A4555" t="s">
        <v>19</v>
      </c>
      <c r="B4555" t="s">
        <v>23</v>
      </c>
      <c r="C4555" s="1">
        <v>45882</v>
      </c>
      <c r="D4555">
        <f t="shared" si="327"/>
        <v>13</v>
      </c>
      <c r="E4555">
        <f t="shared" si="328"/>
        <v>8</v>
      </c>
      <c r="F4555">
        <f t="shared" si="329"/>
        <v>2025</v>
      </c>
      <c r="G4555" t="s">
        <v>76</v>
      </c>
      <c r="H4555" s="98">
        <v>13352</v>
      </c>
      <c r="I4555" s="29">
        <v>34035.5</v>
      </c>
      <c r="J4555" s="12" t="s">
        <v>31</v>
      </c>
      <c r="K4555" s="76">
        <f t="shared" si="334"/>
        <v>34035.5</v>
      </c>
      <c r="L4555">
        <v>1</v>
      </c>
      <c r="M4555" s="29">
        <v>0</v>
      </c>
      <c r="N4555" t="s">
        <v>42</v>
      </c>
      <c r="O4555" t="s">
        <v>33</v>
      </c>
      <c r="P4555" t="s">
        <v>34</v>
      </c>
      <c r="Q4555" t="s">
        <v>34</v>
      </c>
      <c r="R4555" t="s">
        <v>34</v>
      </c>
      <c r="S4555" t="s">
        <v>34</v>
      </c>
      <c r="T4555" s="117">
        <v>0</v>
      </c>
    </row>
    <row r="4556" spans="1:21" x14ac:dyDescent="0.35">
      <c r="A4556" t="s">
        <v>19</v>
      </c>
      <c r="B4556" t="s">
        <v>21</v>
      </c>
      <c r="C4556" s="1">
        <v>45882</v>
      </c>
      <c r="D4556">
        <f t="shared" si="327"/>
        <v>13</v>
      </c>
      <c r="E4556">
        <f t="shared" si="328"/>
        <v>8</v>
      </c>
      <c r="F4556">
        <f t="shared" si="329"/>
        <v>2025</v>
      </c>
      <c r="G4556" t="s">
        <v>76</v>
      </c>
      <c r="H4556" s="98">
        <v>13352</v>
      </c>
      <c r="I4556" s="29">
        <v>24219.82</v>
      </c>
      <c r="J4556" s="12" t="s">
        <v>31</v>
      </c>
      <c r="K4556" s="76">
        <f t="shared" si="334"/>
        <v>24219.82</v>
      </c>
      <c r="L4556">
        <v>1</v>
      </c>
      <c r="M4556" s="29">
        <v>0</v>
      </c>
      <c r="N4556" t="s">
        <v>42</v>
      </c>
      <c r="O4556" t="s">
        <v>33</v>
      </c>
      <c r="P4556" t="s">
        <v>34</v>
      </c>
      <c r="Q4556" t="s">
        <v>34</v>
      </c>
      <c r="R4556" t="s">
        <v>34</v>
      </c>
      <c r="S4556" t="s">
        <v>34</v>
      </c>
      <c r="T4556" s="117">
        <v>0</v>
      </c>
    </row>
    <row r="4557" spans="1:21" x14ac:dyDescent="0.35">
      <c r="A4557" t="s">
        <v>19</v>
      </c>
      <c r="B4557" t="s">
        <v>25</v>
      </c>
      <c r="C4557" s="1">
        <v>45882</v>
      </c>
      <c r="D4557">
        <f t="shared" si="327"/>
        <v>13</v>
      </c>
      <c r="E4557">
        <f t="shared" si="328"/>
        <v>8</v>
      </c>
      <c r="F4557">
        <f t="shared" si="329"/>
        <v>2025</v>
      </c>
      <c r="G4557" t="s">
        <v>76</v>
      </c>
      <c r="H4557" s="98">
        <v>13352</v>
      </c>
      <c r="I4557" s="29">
        <v>10191</v>
      </c>
      <c r="J4557" s="12" t="s">
        <v>31</v>
      </c>
      <c r="K4557" s="76">
        <f t="shared" si="334"/>
        <v>10191</v>
      </c>
      <c r="L4557">
        <v>1</v>
      </c>
      <c r="M4557" s="29">
        <v>0</v>
      </c>
      <c r="N4557" t="s">
        <v>42</v>
      </c>
      <c r="O4557" t="s">
        <v>33</v>
      </c>
      <c r="P4557" t="s">
        <v>34</v>
      </c>
      <c r="Q4557" t="s">
        <v>34</v>
      </c>
      <c r="R4557" t="s">
        <v>34</v>
      </c>
      <c r="S4557" t="s">
        <v>34</v>
      </c>
      <c r="T4557" s="117">
        <v>0</v>
      </c>
    </row>
    <row r="4558" spans="1:21" x14ac:dyDescent="0.35">
      <c r="A4558" t="s">
        <v>19</v>
      </c>
      <c r="B4558" t="s">
        <v>21</v>
      </c>
      <c r="C4558" s="1">
        <v>45882</v>
      </c>
      <c r="D4558">
        <f t="shared" si="327"/>
        <v>13</v>
      </c>
      <c r="E4558">
        <f t="shared" si="328"/>
        <v>8</v>
      </c>
      <c r="F4558">
        <f t="shared" si="329"/>
        <v>2025</v>
      </c>
      <c r="G4558" t="s">
        <v>40</v>
      </c>
      <c r="H4558" s="98">
        <v>13257</v>
      </c>
      <c r="I4558" s="29">
        <v>7182.75</v>
      </c>
      <c r="J4558" s="12" t="s">
        <v>31</v>
      </c>
      <c r="K4558" s="76">
        <f t="shared" si="334"/>
        <v>7182.75</v>
      </c>
      <c r="L4558">
        <v>1</v>
      </c>
      <c r="M4558" s="29">
        <v>0</v>
      </c>
      <c r="N4558" t="s">
        <v>42</v>
      </c>
      <c r="O4558" t="s">
        <v>33</v>
      </c>
      <c r="P4558" t="s">
        <v>34</v>
      </c>
      <c r="Q4558" t="s">
        <v>34</v>
      </c>
      <c r="R4558" t="s">
        <v>34</v>
      </c>
      <c r="S4558" t="s">
        <v>34</v>
      </c>
      <c r="T4558" s="117">
        <v>0</v>
      </c>
    </row>
    <row r="4559" spans="1:21" x14ac:dyDescent="0.35">
      <c r="A4559" t="s">
        <v>19</v>
      </c>
      <c r="B4559" t="s">
        <v>21</v>
      </c>
      <c r="C4559" s="1">
        <v>45882</v>
      </c>
      <c r="D4559">
        <f t="shared" si="327"/>
        <v>13</v>
      </c>
      <c r="E4559">
        <f t="shared" si="328"/>
        <v>8</v>
      </c>
      <c r="F4559">
        <f t="shared" si="329"/>
        <v>2025</v>
      </c>
      <c r="G4559" t="s">
        <v>40</v>
      </c>
      <c r="H4559" s="98">
        <v>13256</v>
      </c>
      <c r="I4559" s="29">
        <v>19.5</v>
      </c>
      <c r="J4559" s="12" t="s">
        <v>31</v>
      </c>
      <c r="K4559" s="76">
        <f t="shared" si="334"/>
        <v>19.5</v>
      </c>
      <c r="L4559">
        <v>1</v>
      </c>
      <c r="M4559" s="29">
        <v>0</v>
      </c>
      <c r="N4559" t="s">
        <v>32</v>
      </c>
      <c r="O4559" t="s">
        <v>33</v>
      </c>
      <c r="P4559" t="s">
        <v>34</v>
      </c>
      <c r="Q4559" t="s">
        <v>34</v>
      </c>
      <c r="R4559" t="s">
        <v>34</v>
      </c>
      <c r="S4559" t="s">
        <v>34</v>
      </c>
      <c r="T4559" s="117">
        <v>0</v>
      </c>
    </row>
    <row r="4560" spans="1:21" x14ac:dyDescent="0.35">
      <c r="A4560" t="s">
        <v>19</v>
      </c>
      <c r="B4560" t="s">
        <v>22</v>
      </c>
      <c r="C4560" s="1">
        <v>45882</v>
      </c>
      <c r="D4560">
        <f t="shared" si="327"/>
        <v>13</v>
      </c>
      <c r="E4560">
        <f t="shared" si="328"/>
        <v>8</v>
      </c>
      <c r="F4560">
        <f t="shared" si="329"/>
        <v>2025</v>
      </c>
      <c r="G4560" t="s">
        <v>98</v>
      </c>
      <c r="H4560" s="171">
        <v>12291</v>
      </c>
      <c r="I4560" s="90">
        <v>36900</v>
      </c>
      <c r="J4560" s="12" t="s">
        <v>31</v>
      </c>
      <c r="K4560" s="76">
        <f t="shared" si="334"/>
        <v>36900</v>
      </c>
      <c r="L4560">
        <v>1</v>
      </c>
      <c r="M4560" s="29">
        <v>0</v>
      </c>
      <c r="N4560" t="s">
        <v>32</v>
      </c>
      <c r="O4560" t="s">
        <v>33</v>
      </c>
      <c r="P4560" t="s">
        <v>34</v>
      </c>
      <c r="Q4560" t="s">
        <v>34</v>
      </c>
      <c r="R4560" t="s">
        <v>34</v>
      </c>
      <c r="S4560" t="s">
        <v>34</v>
      </c>
      <c r="T4560" s="117">
        <v>0</v>
      </c>
    </row>
    <row r="4561" spans="1:20" x14ac:dyDescent="0.35">
      <c r="A4561" t="s">
        <v>19</v>
      </c>
      <c r="B4561" t="s">
        <v>25</v>
      </c>
      <c r="C4561" s="1">
        <v>45882</v>
      </c>
      <c r="D4561">
        <f t="shared" si="327"/>
        <v>13</v>
      </c>
      <c r="E4561">
        <f t="shared" si="328"/>
        <v>8</v>
      </c>
      <c r="F4561">
        <f t="shared" si="329"/>
        <v>2025</v>
      </c>
      <c r="G4561" t="s">
        <v>351</v>
      </c>
      <c r="H4561" s="98">
        <v>12813</v>
      </c>
      <c r="I4561" s="29">
        <v>1607.25</v>
      </c>
      <c r="J4561" s="12" t="s">
        <v>31</v>
      </c>
      <c r="K4561" s="76">
        <f t="shared" si="334"/>
        <v>1607.25</v>
      </c>
      <c r="L4561">
        <v>1</v>
      </c>
      <c r="M4561" s="29">
        <v>0</v>
      </c>
      <c r="N4561" t="s">
        <v>32</v>
      </c>
      <c r="O4561" t="s">
        <v>33</v>
      </c>
      <c r="P4561" t="s">
        <v>34</v>
      </c>
      <c r="Q4561" t="s">
        <v>34</v>
      </c>
      <c r="R4561" t="s">
        <v>34</v>
      </c>
      <c r="S4561" t="s">
        <v>34</v>
      </c>
      <c r="T4561" s="117">
        <v>0</v>
      </c>
    </row>
    <row r="4562" spans="1:20" x14ac:dyDescent="0.35">
      <c r="A4562" t="s">
        <v>19</v>
      </c>
      <c r="B4562" t="s">
        <v>27</v>
      </c>
      <c r="C4562" s="1">
        <v>45882</v>
      </c>
      <c r="D4562">
        <f t="shared" si="327"/>
        <v>13</v>
      </c>
      <c r="E4562">
        <f t="shared" si="328"/>
        <v>8</v>
      </c>
      <c r="F4562">
        <f t="shared" si="329"/>
        <v>2025</v>
      </c>
      <c r="G4562" t="s">
        <v>100</v>
      </c>
      <c r="H4562" s="98">
        <v>12877</v>
      </c>
      <c r="I4562" s="29">
        <v>248573.69</v>
      </c>
      <c r="J4562" s="12" t="s">
        <v>31</v>
      </c>
      <c r="K4562" s="76">
        <f t="shared" si="334"/>
        <v>248573.69</v>
      </c>
      <c r="L4562">
        <v>1</v>
      </c>
      <c r="M4562" s="29">
        <v>0</v>
      </c>
      <c r="N4562" t="s">
        <v>32</v>
      </c>
      <c r="O4562" t="s">
        <v>33</v>
      </c>
      <c r="P4562" t="s">
        <v>34</v>
      </c>
      <c r="Q4562" t="s">
        <v>34</v>
      </c>
      <c r="R4562" t="s">
        <v>34</v>
      </c>
      <c r="S4562" t="s">
        <v>34</v>
      </c>
      <c r="T4562" s="117">
        <v>0</v>
      </c>
    </row>
    <row r="4563" spans="1:20" x14ac:dyDescent="0.35">
      <c r="A4563" t="s">
        <v>19</v>
      </c>
      <c r="B4563" t="s">
        <v>27</v>
      </c>
      <c r="C4563" s="1">
        <v>45882</v>
      </c>
      <c r="D4563">
        <f t="shared" si="327"/>
        <v>13</v>
      </c>
      <c r="E4563">
        <f t="shared" si="328"/>
        <v>8</v>
      </c>
      <c r="F4563">
        <f t="shared" si="329"/>
        <v>2025</v>
      </c>
      <c r="G4563" t="s">
        <v>100</v>
      </c>
      <c r="H4563" s="98">
        <v>12922</v>
      </c>
      <c r="I4563" s="29">
        <v>130000</v>
      </c>
      <c r="J4563" s="12" t="s">
        <v>31</v>
      </c>
      <c r="K4563" s="76">
        <f t="shared" si="334"/>
        <v>130000</v>
      </c>
      <c r="L4563">
        <v>1</v>
      </c>
      <c r="M4563" s="29">
        <v>0</v>
      </c>
      <c r="N4563" t="s">
        <v>32</v>
      </c>
      <c r="O4563" t="s">
        <v>33</v>
      </c>
      <c r="P4563" t="s">
        <v>34</v>
      </c>
      <c r="Q4563" t="s">
        <v>34</v>
      </c>
      <c r="R4563" t="s">
        <v>34</v>
      </c>
      <c r="S4563" t="s">
        <v>34</v>
      </c>
      <c r="T4563" s="117">
        <v>0</v>
      </c>
    </row>
    <row r="4564" spans="1:20" x14ac:dyDescent="0.35">
      <c r="A4564" t="s">
        <v>19</v>
      </c>
      <c r="B4564" t="s">
        <v>24</v>
      </c>
      <c r="C4564" s="1">
        <v>45882</v>
      </c>
      <c r="D4564">
        <f t="shared" si="327"/>
        <v>13</v>
      </c>
      <c r="E4564">
        <f t="shared" si="328"/>
        <v>8</v>
      </c>
      <c r="F4564">
        <f t="shared" si="329"/>
        <v>2025</v>
      </c>
      <c r="G4564" t="s">
        <v>36</v>
      </c>
      <c r="H4564" s="98">
        <v>12505</v>
      </c>
      <c r="I4564" s="29">
        <v>27011.1096</v>
      </c>
      <c r="J4564" s="12" t="s">
        <v>31</v>
      </c>
      <c r="K4564" s="76">
        <f t="shared" si="334"/>
        <v>27011.1096</v>
      </c>
      <c r="L4564">
        <v>1</v>
      </c>
      <c r="M4564" s="29">
        <v>0</v>
      </c>
      <c r="N4564" t="s">
        <v>32</v>
      </c>
      <c r="O4564" t="s">
        <v>33</v>
      </c>
      <c r="P4564" t="s">
        <v>34</v>
      </c>
      <c r="Q4564" t="s">
        <v>34</v>
      </c>
      <c r="R4564" t="s">
        <v>34</v>
      </c>
      <c r="S4564" t="s">
        <v>34</v>
      </c>
      <c r="T4564" s="117">
        <v>0</v>
      </c>
    </row>
    <row r="4565" spans="1:20" x14ac:dyDescent="0.35">
      <c r="A4565" t="s">
        <v>19</v>
      </c>
      <c r="B4565" t="s">
        <v>25</v>
      </c>
      <c r="C4565" s="1">
        <v>45882</v>
      </c>
      <c r="D4565">
        <f t="shared" si="327"/>
        <v>13</v>
      </c>
      <c r="E4565">
        <f t="shared" si="328"/>
        <v>8</v>
      </c>
      <c r="F4565">
        <f t="shared" si="329"/>
        <v>2025</v>
      </c>
      <c r="G4565" t="s">
        <v>36</v>
      </c>
      <c r="H4565" s="98">
        <v>12505</v>
      </c>
      <c r="I4565" s="29">
        <v>57044.01</v>
      </c>
      <c r="J4565" s="12" t="s">
        <v>31</v>
      </c>
      <c r="K4565" s="76">
        <f t="shared" si="334"/>
        <v>57044.01</v>
      </c>
      <c r="L4565">
        <v>1</v>
      </c>
      <c r="M4565" s="29">
        <v>0</v>
      </c>
      <c r="N4565" t="s">
        <v>32</v>
      </c>
      <c r="O4565" t="s">
        <v>33</v>
      </c>
      <c r="P4565" t="s">
        <v>34</v>
      </c>
      <c r="Q4565" t="s">
        <v>34</v>
      </c>
      <c r="R4565" t="s">
        <v>34</v>
      </c>
      <c r="S4565" t="s">
        <v>34</v>
      </c>
      <c r="T4565" s="117">
        <v>0</v>
      </c>
    </row>
    <row r="4566" spans="1:20" x14ac:dyDescent="0.35">
      <c r="A4566" t="s">
        <v>19</v>
      </c>
      <c r="B4566" t="s">
        <v>21</v>
      </c>
      <c r="C4566" s="1">
        <v>45882</v>
      </c>
      <c r="D4566">
        <f t="shared" ref="D4566:D4632" si="335">DAY(C4566)</f>
        <v>13</v>
      </c>
      <c r="E4566">
        <f t="shared" ref="E4566:E4632" si="336">MONTH(C4566)</f>
        <v>8</v>
      </c>
      <c r="F4566">
        <f t="shared" ref="F4566:F4632" si="337">YEAR(C4566)</f>
        <v>2025</v>
      </c>
      <c r="G4566" t="s">
        <v>36</v>
      </c>
      <c r="H4566" s="98">
        <v>12505</v>
      </c>
      <c r="I4566" s="29">
        <v>18726.880399999998</v>
      </c>
      <c r="J4566" s="12" t="s">
        <v>31</v>
      </c>
      <c r="K4566" s="76">
        <f t="shared" si="334"/>
        <v>18726.880399999998</v>
      </c>
      <c r="L4566">
        <v>1</v>
      </c>
      <c r="M4566" s="29">
        <v>0</v>
      </c>
      <c r="N4566" t="s">
        <v>32</v>
      </c>
      <c r="O4566" t="s">
        <v>33</v>
      </c>
      <c r="P4566" t="s">
        <v>34</v>
      </c>
      <c r="Q4566" t="s">
        <v>34</v>
      </c>
      <c r="R4566" t="s">
        <v>34</v>
      </c>
      <c r="S4566" t="s">
        <v>34</v>
      </c>
      <c r="T4566" s="117">
        <v>0</v>
      </c>
    </row>
    <row r="4567" spans="1:20" x14ac:dyDescent="0.35">
      <c r="A4567" t="s">
        <v>19</v>
      </c>
      <c r="B4567" t="s">
        <v>25</v>
      </c>
      <c r="C4567" s="1">
        <v>45882</v>
      </c>
      <c r="D4567">
        <f t="shared" si="335"/>
        <v>13</v>
      </c>
      <c r="E4567">
        <f t="shared" si="336"/>
        <v>8</v>
      </c>
      <c r="F4567">
        <f t="shared" si="337"/>
        <v>2025</v>
      </c>
      <c r="G4567" t="s">
        <v>36</v>
      </c>
      <c r="H4567" s="98">
        <v>12540</v>
      </c>
      <c r="I4567" s="29">
        <v>78392.143605999998</v>
      </c>
      <c r="J4567" s="12" t="s">
        <v>31</v>
      </c>
      <c r="K4567" s="76">
        <f t="shared" si="334"/>
        <v>78392.143605999998</v>
      </c>
      <c r="L4567">
        <v>1</v>
      </c>
      <c r="M4567" s="29">
        <v>0</v>
      </c>
      <c r="N4567" t="s">
        <v>32</v>
      </c>
      <c r="O4567" t="s">
        <v>33</v>
      </c>
      <c r="P4567" t="s">
        <v>34</v>
      </c>
      <c r="Q4567" t="s">
        <v>34</v>
      </c>
      <c r="R4567" t="s">
        <v>34</v>
      </c>
      <c r="S4567" t="s">
        <v>34</v>
      </c>
      <c r="T4567" s="117">
        <v>0</v>
      </c>
    </row>
    <row r="4568" spans="1:20" x14ac:dyDescent="0.35">
      <c r="A4568" t="s">
        <v>19</v>
      </c>
      <c r="B4568" t="s">
        <v>21</v>
      </c>
      <c r="C4568" s="1">
        <v>45882</v>
      </c>
      <c r="D4568">
        <f t="shared" si="335"/>
        <v>13</v>
      </c>
      <c r="E4568">
        <f t="shared" si="336"/>
        <v>8</v>
      </c>
      <c r="F4568">
        <f t="shared" si="337"/>
        <v>2025</v>
      </c>
      <c r="G4568" t="s">
        <v>36</v>
      </c>
      <c r="H4568" s="98">
        <v>12540</v>
      </c>
      <c r="I4568" s="29">
        <v>8690.8863939999992</v>
      </c>
      <c r="J4568" s="12" t="s">
        <v>31</v>
      </c>
      <c r="K4568" s="76">
        <f t="shared" si="334"/>
        <v>8690.8863939999992</v>
      </c>
      <c r="L4568">
        <v>1</v>
      </c>
      <c r="M4568" s="29">
        <v>0</v>
      </c>
      <c r="N4568" t="s">
        <v>32</v>
      </c>
      <c r="O4568" t="s">
        <v>33</v>
      </c>
      <c r="P4568" t="s">
        <v>34</v>
      </c>
      <c r="Q4568" t="s">
        <v>34</v>
      </c>
      <c r="R4568" t="s">
        <v>34</v>
      </c>
      <c r="S4568" t="s">
        <v>34</v>
      </c>
      <c r="T4568" s="117">
        <v>0</v>
      </c>
    </row>
    <row r="4569" spans="1:20" x14ac:dyDescent="0.35">
      <c r="A4569" t="s">
        <v>19</v>
      </c>
      <c r="B4569" t="s">
        <v>21</v>
      </c>
      <c r="C4569" s="1">
        <v>45882</v>
      </c>
      <c r="D4569">
        <f t="shared" si="335"/>
        <v>13</v>
      </c>
      <c r="E4569">
        <f t="shared" si="336"/>
        <v>8</v>
      </c>
      <c r="F4569">
        <f t="shared" si="337"/>
        <v>2025</v>
      </c>
      <c r="G4569" t="s">
        <v>36</v>
      </c>
      <c r="H4569" s="98">
        <v>12777</v>
      </c>
      <c r="I4569" s="29">
        <v>104418.64</v>
      </c>
      <c r="J4569" s="12" t="s">
        <v>31</v>
      </c>
      <c r="K4569" s="76">
        <f t="shared" si="334"/>
        <v>104418.64</v>
      </c>
      <c r="L4569">
        <v>1</v>
      </c>
      <c r="M4569" s="29">
        <v>0</v>
      </c>
      <c r="N4569" t="s">
        <v>42</v>
      </c>
      <c r="O4569" t="s">
        <v>33</v>
      </c>
      <c r="P4569" t="s">
        <v>34</v>
      </c>
      <c r="Q4569" t="s">
        <v>34</v>
      </c>
      <c r="R4569" t="s">
        <v>34</v>
      </c>
      <c r="S4569" t="s">
        <v>34</v>
      </c>
      <c r="T4569" s="117">
        <v>0</v>
      </c>
    </row>
    <row r="4570" spans="1:20" x14ac:dyDescent="0.35">
      <c r="A4570" t="s">
        <v>19</v>
      </c>
      <c r="B4570" t="s">
        <v>25</v>
      </c>
      <c r="C4570" s="1">
        <v>45882</v>
      </c>
      <c r="D4570">
        <f t="shared" si="335"/>
        <v>13</v>
      </c>
      <c r="E4570">
        <f t="shared" si="336"/>
        <v>8</v>
      </c>
      <c r="F4570">
        <f t="shared" si="337"/>
        <v>2025</v>
      </c>
      <c r="G4570" t="s">
        <v>36</v>
      </c>
      <c r="H4570" s="98">
        <v>12777</v>
      </c>
      <c r="I4570" s="29">
        <v>14725.71</v>
      </c>
      <c r="J4570" s="12" t="s">
        <v>31</v>
      </c>
      <c r="K4570" s="76">
        <f t="shared" si="334"/>
        <v>14725.71</v>
      </c>
      <c r="L4570">
        <v>1</v>
      </c>
      <c r="M4570" s="29">
        <v>0</v>
      </c>
      <c r="N4570" t="s">
        <v>42</v>
      </c>
      <c r="O4570" t="s">
        <v>33</v>
      </c>
      <c r="P4570" t="s">
        <v>34</v>
      </c>
      <c r="Q4570" t="s">
        <v>34</v>
      </c>
      <c r="R4570" t="s">
        <v>34</v>
      </c>
      <c r="S4570" t="s">
        <v>34</v>
      </c>
      <c r="T4570" s="117">
        <v>0</v>
      </c>
    </row>
    <row r="4571" spans="1:20" x14ac:dyDescent="0.35">
      <c r="A4571" t="s">
        <v>19</v>
      </c>
      <c r="B4571" t="s">
        <v>24</v>
      </c>
      <c r="C4571" s="1">
        <v>45882</v>
      </c>
      <c r="D4571">
        <f t="shared" si="335"/>
        <v>13</v>
      </c>
      <c r="E4571">
        <f t="shared" si="336"/>
        <v>8</v>
      </c>
      <c r="F4571">
        <f t="shared" si="337"/>
        <v>2025</v>
      </c>
      <c r="G4571" t="s">
        <v>36</v>
      </c>
      <c r="H4571" s="98">
        <v>12777</v>
      </c>
      <c r="I4571" s="29">
        <v>14725.71</v>
      </c>
      <c r="J4571" s="12" t="s">
        <v>31</v>
      </c>
      <c r="K4571" s="76">
        <f t="shared" si="334"/>
        <v>14725.71</v>
      </c>
      <c r="L4571">
        <v>1</v>
      </c>
      <c r="M4571" s="29">
        <v>0</v>
      </c>
      <c r="N4571" t="s">
        <v>42</v>
      </c>
      <c r="O4571" t="s">
        <v>33</v>
      </c>
      <c r="P4571" t="s">
        <v>34</v>
      </c>
      <c r="Q4571" t="s">
        <v>34</v>
      </c>
      <c r="R4571" t="s">
        <v>34</v>
      </c>
      <c r="S4571" t="s">
        <v>34</v>
      </c>
      <c r="T4571" s="117">
        <v>0</v>
      </c>
    </row>
    <row r="4572" spans="1:20" x14ac:dyDescent="0.35">
      <c r="A4572" t="s">
        <v>19</v>
      </c>
      <c r="B4572" t="s">
        <v>21</v>
      </c>
      <c r="C4572" s="1">
        <v>45882</v>
      </c>
      <c r="D4572">
        <f t="shared" si="335"/>
        <v>13</v>
      </c>
      <c r="E4572">
        <f t="shared" si="336"/>
        <v>8</v>
      </c>
      <c r="F4572">
        <f t="shared" si="337"/>
        <v>2025</v>
      </c>
      <c r="G4572" t="s">
        <v>36</v>
      </c>
      <c r="H4572" s="98">
        <v>12953</v>
      </c>
      <c r="I4572" s="29">
        <v>44433</v>
      </c>
      <c r="J4572" s="12" t="s">
        <v>31</v>
      </c>
      <c r="K4572" s="76">
        <f t="shared" si="334"/>
        <v>44433</v>
      </c>
      <c r="L4572">
        <v>1</v>
      </c>
      <c r="M4572" s="29">
        <v>0</v>
      </c>
      <c r="N4572" t="s">
        <v>42</v>
      </c>
      <c r="O4572" t="s">
        <v>33</v>
      </c>
      <c r="P4572" t="s">
        <v>34</v>
      </c>
      <c r="Q4572" t="s">
        <v>34</v>
      </c>
      <c r="R4572" t="s">
        <v>34</v>
      </c>
      <c r="S4572" t="s">
        <v>34</v>
      </c>
      <c r="T4572" s="117">
        <v>0</v>
      </c>
    </row>
    <row r="4573" spans="1:20" x14ac:dyDescent="0.35">
      <c r="A4573" t="s">
        <v>19</v>
      </c>
      <c r="B4573" t="s">
        <v>21</v>
      </c>
      <c r="C4573" s="1">
        <v>45882</v>
      </c>
      <c r="D4573">
        <f t="shared" si="335"/>
        <v>13</v>
      </c>
      <c r="E4573">
        <f t="shared" si="336"/>
        <v>8</v>
      </c>
      <c r="F4573">
        <f t="shared" si="337"/>
        <v>2025</v>
      </c>
      <c r="G4573" t="s">
        <v>36</v>
      </c>
      <c r="H4573" s="98">
        <v>13158</v>
      </c>
      <c r="I4573" s="29">
        <v>18161</v>
      </c>
      <c r="J4573" s="12" t="s">
        <v>31</v>
      </c>
      <c r="K4573" s="76">
        <f t="shared" si="334"/>
        <v>18161</v>
      </c>
      <c r="L4573">
        <v>1</v>
      </c>
      <c r="M4573" s="29">
        <v>0</v>
      </c>
      <c r="N4573" t="s">
        <v>32</v>
      </c>
      <c r="O4573" t="s">
        <v>33</v>
      </c>
      <c r="P4573" t="s">
        <v>34</v>
      </c>
      <c r="Q4573" t="s">
        <v>34</v>
      </c>
      <c r="R4573" t="s">
        <v>34</v>
      </c>
      <c r="S4573" t="s">
        <v>34</v>
      </c>
      <c r="T4573" s="117">
        <v>0</v>
      </c>
    </row>
    <row r="4574" spans="1:20" x14ac:dyDescent="0.35">
      <c r="A4574" t="s">
        <v>19</v>
      </c>
      <c r="B4574" t="s">
        <v>25</v>
      </c>
      <c r="C4574" s="1">
        <v>45882</v>
      </c>
      <c r="D4574">
        <f t="shared" si="335"/>
        <v>13</v>
      </c>
      <c r="E4574">
        <f t="shared" si="336"/>
        <v>8</v>
      </c>
      <c r="F4574">
        <f t="shared" si="337"/>
        <v>2025</v>
      </c>
      <c r="G4574" t="s">
        <v>39</v>
      </c>
      <c r="H4574" s="98">
        <v>13048</v>
      </c>
      <c r="I4574" s="29">
        <v>9618.75</v>
      </c>
      <c r="J4574" s="12" t="s">
        <v>31</v>
      </c>
      <c r="K4574" s="76">
        <f t="shared" si="334"/>
        <v>9618.75</v>
      </c>
      <c r="L4574">
        <v>1</v>
      </c>
      <c r="M4574" s="29">
        <v>0</v>
      </c>
      <c r="N4574" t="s">
        <v>32</v>
      </c>
      <c r="O4574" t="s">
        <v>33</v>
      </c>
      <c r="P4574" t="s">
        <v>34</v>
      </c>
      <c r="Q4574" t="s">
        <v>34</v>
      </c>
      <c r="R4574" t="s">
        <v>34</v>
      </c>
      <c r="S4574" t="s">
        <v>34</v>
      </c>
      <c r="T4574" s="117">
        <v>0</v>
      </c>
    </row>
    <row r="4575" spans="1:20" x14ac:dyDescent="0.35">
      <c r="A4575" t="s">
        <v>19</v>
      </c>
      <c r="B4575" t="s">
        <v>21</v>
      </c>
      <c r="C4575" s="1">
        <v>45882</v>
      </c>
      <c r="D4575">
        <f t="shared" si="335"/>
        <v>13</v>
      </c>
      <c r="E4575">
        <f t="shared" si="336"/>
        <v>8</v>
      </c>
      <c r="F4575">
        <f t="shared" si="337"/>
        <v>2025</v>
      </c>
      <c r="G4575" t="s">
        <v>39</v>
      </c>
      <c r="H4575" s="98">
        <v>13271</v>
      </c>
      <c r="I4575" s="29">
        <v>19</v>
      </c>
      <c r="J4575" s="12" t="s">
        <v>31</v>
      </c>
      <c r="K4575" s="76">
        <f t="shared" si="334"/>
        <v>19</v>
      </c>
      <c r="L4575">
        <v>1</v>
      </c>
      <c r="M4575" s="29">
        <v>0</v>
      </c>
      <c r="N4575" t="s">
        <v>32</v>
      </c>
      <c r="O4575" t="s">
        <v>33</v>
      </c>
      <c r="P4575" t="s">
        <v>34</v>
      </c>
      <c r="Q4575" t="s">
        <v>34</v>
      </c>
      <c r="R4575" t="s">
        <v>34</v>
      </c>
      <c r="S4575" t="s">
        <v>34</v>
      </c>
      <c r="T4575" s="117">
        <v>0</v>
      </c>
    </row>
    <row r="4576" spans="1:20" x14ac:dyDescent="0.35">
      <c r="A4576" t="s">
        <v>19</v>
      </c>
      <c r="B4576" t="s">
        <v>25</v>
      </c>
      <c r="C4576" s="1">
        <v>45882</v>
      </c>
      <c r="D4576">
        <f t="shared" si="335"/>
        <v>13</v>
      </c>
      <c r="E4576">
        <f t="shared" si="336"/>
        <v>8</v>
      </c>
      <c r="F4576">
        <f t="shared" si="337"/>
        <v>2025</v>
      </c>
      <c r="G4576" t="s">
        <v>80</v>
      </c>
      <c r="H4576" s="98">
        <v>12535</v>
      </c>
      <c r="I4576" s="29">
        <v>1043</v>
      </c>
      <c r="J4576" s="12" t="s">
        <v>31</v>
      </c>
      <c r="K4576" s="76">
        <f t="shared" si="334"/>
        <v>1043</v>
      </c>
      <c r="L4576">
        <v>1</v>
      </c>
      <c r="M4576" s="29">
        <v>0</v>
      </c>
      <c r="N4576" t="s">
        <v>32</v>
      </c>
      <c r="O4576" t="s">
        <v>33</v>
      </c>
      <c r="P4576" t="s">
        <v>34</v>
      </c>
      <c r="Q4576" t="s">
        <v>34</v>
      </c>
      <c r="R4576" t="s">
        <v>34</v>
      </c>
      <c r="S4576" t="s">
        <v>34</v>
      </c>
      <c r="T4576" s="117">
        <v>0</v>
      </c>
    </row>
    <row r="4577" spans="1:21" x14ac:dyDescent="0.35">
      <c r="A4577" t="s">
        <v>19</v>
      </c>
      <c r="B4577" t="s">
        <v>25</v>
      </c>
      <c r="C4577" s="1">
        <v>45882</v>
      </c>
      <c r="D4577">
        <f t="shared" si="335"/>
        <v>13</v>
      </c>
      <c r="E4577">
        <f t="shared" si="336"/>
        <v>8</v>
      </c>
      <c r="F4577">
        <f t="shared" si="337"/>
        <v>2025</v>
      </c>
      <c r="G4577" t="s">
        <v>38</v>
      </c>
      <c r="H4577" s="98">
        <v>12644</v>
      </c>
      <c r="I4577" s="29">
        <v>437.09</v>
      </c>
      <c r="J4577" s="12" t="s">
        <v>31</v>
      </c>
      <c r="K4577" s="76">
        <f t="shared" si="334"/>
        <v>437.09</v>
      </c>
      <c r="L4577">
        <v>1</v>
      </c>
      <c r="M4577" s="29">
        <v>0</v>
      </c>
      <c r="N4577" t="s">
        <v>32</v>
      </c>
      <c r="O4577" t="s">
        <v>33</v>
      </c>
      <c r="P4577" t="s">
        <v>34</v>
      </c>
      <c r="Q4577" t="s">
        <v>34</v>
      </c>
      <c r="R4577" t="s">
        <v>34</v>
      </c>
      <c r="S4577" t="s">
        <v>34</v>
      </c>
      <c r="T4577" s="117">
        <v>0</v>
      </c>
    </row>
    <row r="4578" spans="1:21" x14ac:dyDescent="0.35">
      <c r="A4578" t="s">
        <v>19</v>
      </c>
      <c r="B4578" t="s">
        <v>25</v>
      </c>
      <c r="C4578" s="1">
        <v>45882</v>
      </c>
      <c r="D4578">
        <f t="shared" si="335"/>
        <v>13</v>
      </c>
      <c r="E4578">
        <f t="shared" si="336"/>
        <v>8</v>
      </c>
      <c r="F4578">
        <f t="shared" si="337"/>
        <v>2025</v>
      </c>
      <c r="G4578" t="s">
        <v>38</v>
      </c>
      <c r="H4578" s="98">
        <v>13157</v>
      </c>
      <c r="I4578" s="29">
        <v>75</v>
      </c>
      <c r="J4578" s="12" t="s">
        <v>31</v>
      </c>
      <c r="K4578" s="76">
        <f t="shared" si="334"/>
        <v>75</v>
      </c>
      <c r="L4578">
        <v>1</v>
      </c>
      <c r="M4578" s="29">
        <v>0</v>
      </c>
      <c r="N4578" t="s">
        <v>32</v>
      </c>
      <c r="O4578" t="s">
        <v>33</v>
      </c>
      <c r="P4578" t="s">
        <v>34</v>
      </c>
      <c r="Q4578" t="s">
        <v>34</v>
      </c>
      <c r="R4578" t="s">
        <v>34</v>
      </c>
      <c r="S4578" t="s">
        <v>34</v>
      </c>
      <c r="T4578" s="117">
        <v>0</v>
      </c>
    </row>
    <row r="4579" spans="1:21" x14ac:dyDescent="0.35">
      <c r="A4579" t="s">
        <v>19</v>
      </c>
      <c r="B4579" t="s">
        <v>25</v>
      </c>
      <c r="C4579" s="1">
        <v>45882</v>
      </c>
      <c r="D4579">
        <f t="shared" si="335"/>
        <v>13</v>
      </c>
      <c r="E4579">
        <f t="shared" si="336"/>
        <v>8</v>
      </c>
      <c r="F4579">
        <f t="shared" si="337"/>
        <v>2025</v>
      </c>
      <c r="G4579" t="s">
        <v>38</v>
      </c>
      <c r="H4579" s="98">
        <v>13242</v>
      </c>
      <c r="I4579" s="29">
        <v>42667.73</v>
      </c>
      <c r="J4579" s="12" t="s">
        <v>31</v>
      </c>
      <c r="K4579" s="76">
        <f t="shared" si="334"/>
        <v>42667.73</v>
      </c>
      <c r="L4579">
        <v>1</v>
      </c>
      <c r="M4579" s="29">
        <v>0</v>
      </c>
      <c r="N4579" t="s">
        <v>32</v>
      </c>
      <c r="O4579" t="s">
        <v>33</v>
      </c>
      <c r="P4579" t="s">
        <v>34</v>
      </c>
      <c r="Q4579" t="s">
        <v>34</v>
      </c>
      <c r="R4579" t="s">
        <v>34</v>
      </c>
      <c r="S4579" t="s">
        <v>34</v>
      </c>
      <c r="T4579" s="117">
        <v>0</v>
      </c>
    </row>
    <row r="4580" spans="1:21" x14ac:dyDescent="0.35">
      <c r="A4580" t="s">
        <v>19</v>
      </c>
      <c r="B4580" t="s">
        <v>24</v>
      </c>
      <c r="C4580" s="1">
        <v>45882</v>
      </c>
      <c r="D4580">
        <f t="shared" si="335"/>
        <v>13</v>
      </c>
      <c r="E4580">
        <f t="shared" si="336"/>
        <v>8</v>
      </c>
      <c r="F4580">
        <f t="shared" si="337"/>
        <v>2025</v>
      </c>
      <c r="G4580" t="s">
        <v>37</v>
      </c>
      <c r="H4580" s="98">
        <v>12725</v>
      </c>
      <c r="I4580" s="29">
        <v>72</v>
      </c>
      <c r="J4580" s="12" t="s">
        <v>31</v>
      </c>
      <c r="K4580" s="76">
        <f t="shared" si="334"/>
        <v>72</v>
      </c>
      <c r="L4580">
        <v>1</v>
      </c>
      <c r="M4580" s="29">
        <v>0</v>
      </c>
      <c r="N4580" t="s">
        <v>32</v>
      </c>
      <c r="O4580" t="s">
        <v>33</v>
      </c>
      <c r="P4580" t="s">
        <v>34</v>
      </c>
      <c r="Q4580" t="s">
        <v>34</v>
      </c>
      <c r="R4580" t="s">
        <v>34</v>
      </c>
      <c r="S4580" t="s">
        <v>34</v>
      </c>
      <c r="T4580" s="117">
        <v>0</v>
      </c>
    </row>
    <row r="4581" spans="1:21" x14ac:dyDescent="0.35">
      <c r="A4581" t="s">
        <v>19</v>
      </c>
      <c r="B4581" t="s">
        <v>21</v>
      </c>
      <c r="C4581" s="1">
        <v>45882</v>
      </c>
      <c r="D4581">
        <f t="shared" si="335"/>
        <v>13</v>
      </c>
      <c r="E4581">
        <f t="shared" si="336"/>
        <v>8</v>
      </c>
      <c r="F4581">
        <f t="shared" si="337"/>
        <v>2025</v>
      </c>
      <c r="G4581" t="s">
        <v>37</v>
      </c>
      <c r="H4581" s="98">
        <v>12725</v>
      </c>
      <c r="I4581" s="29">
        <v>55.8</v>
      </c>
      <c r="J4581" s="12" t="s">
        <v>31</v>
      </c>
      <c r="K4581" s="76">
        <f t="shared" si="334"/>
        <v>55.8</v>
      </c>
      <c r="L4581">
        <v>1</v>
      </c>
      <c r="M4581" s="29">
        <v>0</v>
      </c>
      <c r="N4581" t="s">
        <v>32</v>
      </c>
      <c r="O4581" t="s">
        <v>33</v>
      </c>
      <c r="P4581" t="s">
        <v>34</v>
      </c>
      <c r="Q4581" t="s">
        <v>34</v>
      </c>
      <c r="R4581" t="s">
        <v>34</v>
      </c>
      <c r="S4581" t="s">
        <v>34</v>
      </c>
      <c r="T4581" s="117">
        <v>0</v>
      </c>
    </row>
    <row r="4582" spans="1:21" x14ac:dyDescent="0.35">
      <c r="A4582" t="s">
        <v>19</v>
      </c>
      <c r="B4582" t="s">
        <v>21</v>
      </c>
      <c r="C4582" s="1">
        <v>45882</v>
      </c>
      <c r="D4582">
        <f t="shared" si="335"/>
        <v>13</v>
      </c>
      <c r="E4582">
        <f t="shared" si="336"/>
        <v>8</v>
      </c>
      <c r="F4582">
        <f t="shared" si="337"/>
        <v>2025</v>
      </c>
      <c r="G4582" t="s">
        <v>37</v>
      </c>
      <c r="H4582" s="98">
        <v>12715</v>
      </c>
      <c r="I4582" s="29">
        <v>50.8</v>
      </c>
      <c r="J4582" s="12" t="s">
        <v>31</v>
      </c>
      <c r="K4582" s="76">
        <f t="shared" si="334"/>
        <v>50.8</v>
      </c>
      <c r="L4582">
        <v>1</v>
      </c>
      <c r="M4582" s="29">
        <v>0</v>
      </c>
      <c r="N4582" t="s">
        <v>32</v>
      </c>
      <c r="O4582" t="s">
        <v>33</v>
      </c>
      <c r="P4582" t="s">
        <v>34</v>
      </c>
      <c r="Q4582" t="s">
        <v>34</v>
      </c>
      <c r="R4582" t="s">
        <v>34</v>
      </c>
      <c r="S4582" t="s">
        <v>34</v>
      </c>
      <c r="T4582" s="117">
        <v>0</v>
      </c>
    </row>
    <row r="4583" spans="1:21" x14ac:dyDescent="0.35">
      <c r="A4583" t="s">
        <v>19</v>
      </c>
      <c r="B4583" t="s">
        <v>24</v>
      </c>
      <c r="C4583" s="1">
        <v>45882</v>
      </c>
      <c r="D4583">
        <f t="shared" si="335"/>
        <v>13</v>
      </c>
      <c r="E4583">
        <f t="shared" si="336"/>
        <v>8</v>
      </c>
      <c r="F4583">
        <f t="shared" si="337"/>
        <v>2025</v>
      </c>
      <c r="G4583" t="s">
        <v>37</v>
      </c>
      <c r="H4583" s="98">
        <v>12715</v>
      </c>
      <c r="I4583" s="29">
        <v>83</v>
      </c>
      <c r="J4583" s="12" t="s">
        <v>31</v>
      </c>
      <c r="K4583" s="76">
        <f t="shared" si="334"/>
        <v>83</v>
      </c>
      <c r="L4583">
        <v>1</v>
      </c>
      <c r="M4583" s="29">
        <v>0</v>
      </c>
      <c r="N4583" t="s">
        <v>32</v>
      </c>
      <c r="O4583" t="s">
        <v>33</v>
      </c>
      <c r="P4583" t="s">
        <v>34</v>
      </c>
      <c r="Q4583" t="s">
        <v>34</v>
      </c>
      <c r="R4583" t="s">
        <v>34</v>
      </c>
      <c r="S4583" t="s">
        <v>34</v>
      </c>
      <c r="T4583" s="117">
        <v>0</v>
      </c>
    </row>
    <row r="4584" spans="1:21" x14ac:dyDescent="0.35">
      <c r="A4584" t="s">
        <v>20</v>
      </c>
      <c r="B4584" t="s">
        <v>24</v>
      </c>
      <c r="C4584" s="1">
        <v>45882</v>
      </c>
      <c r="D4584">
        <f t="shared" si="335"/>
        <v>13</v>
      </c>
      <c r="E4584">
        <f t="shared" si="336"/>
        <v>8</v>
      </c>
      <c r="F4584">
        <f t="shared" si="337"/>
        <v>2025</v>
      </c>
      <c r="G4584" t="s">
        <v>50</v>
      </c>
      <c r="H4584" s="98">
        <v>12513</v>
      </c>
      <c r="I4584" s="29">
        <v>23166</v>
      </c>
      <c r="J4584" s="12" t="s">
        <v>31</v>
      </c>
      <c r="K4584" s="76">
        <f t="shared" si="334"/>
        <v>23166</v>
      </c>
      <c r="L4584">
        <v>1</v>
      </c>
      <c r="M4584" s="29">
        <v>0</v>
      </c>
      <c r="N4584" t="s">
        <v>32</v>
      </c>
      <c r="O4584" t="s">
        <v>33</v>
      </c>
      <c r="P4584" t="s">
        <v>34</v>
      </c>
      <c r="Q4584" t="s">
        <v>34</v>
      </c>
      <c r="R4584" t="s">
        <v>34</v>
      </c>
      <c r="S4584" t="s">
        <v>34</v>
      </c>
      <c r="T4584" s="117">
        <v>0</v>
      </c>
    </row>
    <row r="4585" spans="1:21" x14ac:dyDescent="0.35">
      <c r="A4585" t="s">
        <v>20</v>
      </c>
      <c r="B4585" t="s">
        <v>25</v>
      </c>
      <c r="C4585" s="1">
        <v>45882</v>
      </c>
      <c r="D4585">
        <f t="shared" si="335"/>
        <v>13</v>
      </c>
      <c r="E4585">
        <f t="shared" si="336"/>
        <v>8</v>
      </c>
      <c r="F4585">
        <f t="shared" si="337"/>
        <v>2025</v>
      </c>
      <c r="G4585" t="s">
        <v>50</v>
      </c>
      <c r="H4585" s="98">
        <v>12656</v>
      </c>
      <c r="I4585" s="29">
        <v>10764</v>
      </c>
      <c r="J4585" s="12" t="s">
        <v>31</v>
      </c>
      <c r="K4585" s="76">
        <f t="shared" si="334"/>
        <v>10764</v>
      </c>
      <c r="L4585">
        <v>1</v>
      </c>
      <c r="M4585" s="29">
        <v>0</v>
      </c>
      <c r="N4585" t="s">
        <v>32</v>
      </c>
      <c r="O4585" t="s">
        <v>33</v>
      </c>
      <c r="P4585" t="s">
        <v>34</v>
      </c>
      <c r="Q4585" t="s">
        <v>34</v>
      </c>
      <c r="R4585" t="s">
        <v>34</v>
      </c>
      <c r="S4585" t="s">
        <v>34</v>
      </c>
      <c r="T4585" s="117">
        <v>0</v>
      </c>
    </row>
    <row r="4586" spans="1:21" x14ac:dyDescent="0.35">
      <c r="A4586" t="s">
        <v>20</v>
      </c>
      <c r="B4586" t="s">
        <v>24</v>
      </c>
      <c r="C4586" s="1">
        <v>45882</v>
      </c>
      <c r="D4586">
        <f t="shared" si="335"/>
        <v>13</v>
      </c>
      <c r="E4586">
        <f t="shared" si="336"/>
        <v>8</v>
      </c>
      <c r="F4586">
        <f t="shared" si="337"/>
        <v>2025</v>
      </c>
      <c r="G4586" t="s">
        <v>118</v>
      </c>
      <c r="H4586" s="98">
        <v>12801</v>
      </c>
      <c r="I4586" s="29">
        <v>4109.76</v>
      </c>
      <c r="J4586" s="12" t="s">
        <v>31</v>
      </c>
      <c r="K4586" s="76">
        <f t="shared" si="334"/>
        <v>4109.76</v>
      </c>
      <c r="L4586">
        <v>1</v>
      </c>
      <c r="M4586" s="29">
        <v>0</v>
      </c>
      <c r="N4586" t="s">
        <v>42</v>
      </c>
      <c r="O4586" t="s">
        <v>33</v>
      </c>
      <c r="P4586" t="s">
        <v>34</v>
      </c>
      <c r="Q4586" t="s">
        <v>34</v>
      </c>
      <c r="R4586" t="s">
        <v>34</v>
      </c>
      <c r="S4586" t="s">
        <v>34</v>
      </c>
      <c r="T4586" s="117">
        <v>0</v>
      </c>
    </row>
    <row r="4587" spans="1:21" x14ac:dyDescent="0.35">
      <c r="A4587" t="s">
        <v>20</v>
      </c>
      <c r="B4587" t="s">
        <v>25</v>
      </c>
      <c r="C4587" s="1">
        <v>45882</v>
      </c>
      <c r="D4587">
        <f t="shared" si="335"/>
        <v>13</v>
      </c>
      <c r="E4587">
        <f t="shared" si="336"/>
        <v>8</v>
      </c>
      <c r="F4587">
        <f t="shared" si="337"/>
        <v>2025</v>
      </c>
      <c r="G4587" t="s">
        <v>118</v>
      </c>
      <c r="H4587" s="98">
        <v>12801</v>
      </c>
      <c r="I4587" s="29">
        <v>19268.37</v>
      </c>
      <c r="J4587" s="12" t="s">
        <v>31</v>
      </c>
      <c r="K4587" s="76">
        <f t="shared" si="334"/>
        <v>19268.37</v>
      </c>
      <c r="L4587">
        <v>1</v>
      </c>
      <c r="M4587" s="29">
        <v>0</v>
      </c>
      <c r="N4587" t="s">
        <v>42</v>
      </c>
      <c r="O4587" t="s">
        <v>33</v>
      </c>
      <c r="P4587" t="s">
        <v>34</v>
      </c>
      <c r="Q4587" t="s">
        <v>34</v>
      </c>
      <c r="R4587" t="s">
        <v>34</v>
      </c>
      <c r="S4587" t="s">
        <v>34</v>
      </c>
      <c r="T4587" s="117">
        <v>0</v>
      </c>
    </row>
    <row r="4588" spans="1:21" x14ac:dyDescent="0.35">
      <c r="A4588" t="s">
        <v>20</v>
      </c>
      <c r="B4588" t="s">
        <v>23</v>
      </c>
      <c r="C4588" s="1">
        <v>45882</v>
      </c>
      <c r="D4588">
        <f t="shared" si="335"/>
        <v>13</v>
      </c>
      <c r="E4588">
        <f t="shared" si="336"/>
        <v>8</v>
      </c>
      <c r="F4588">
        <f t="shared" si="337"/>
        <v>2025</v>
      </c>
      <c r="G4588" t="s">
        <v>118</v>
      </c>
      <c r="H4588" s="98">
        <v>12801</v>
      </c>
      <c r="I4588" s="29">
        <v>11420.38</v>
      </c>
      <c r="J4588" s="12" t="s">
        <v>31</v>
      </c>
      <c r="K4588" s="76">
        <f t="shared" si="334"/>
        <v>11420.38</v>
      </c>
      <c r="L4588">
        <v>1</v>
      </c>
      <c r="M4588" s="29">
        <v>0</v>
      </c>
      <c r="N4588" t="s">
        <v>42</v>
      </c>
      <c r="O4588" t="s">
        <v>33</v>
      </c>
      <c r="P4588" t="s">
        <v>34</v>
      </c>
      <c r="Q4588" t="s">
        <v>34</v>
      </c>
      <c r="R4588" t="s">
        <v>34</v>
      </c>
      <c r="S4588" t="s">
        <v>34</v>
      </c>
      <c r="T4588" s="117">
        <v>0</v>
      </c>
    </row>
    <row r="4589" spans="1:21" x14ac:dyDescent="0.35">
      <c r="A4589" t="s">
        <v>20</v>
      </c>
      <c r="B4589" t="s">
        <v>23</v>
      </c>
      <c r="C4589" s="1">
        <v>45882</v>
      </c>
      <c r="D4589">
        <f t="shared" si="335"/>
        <v>13</v>
      </c>
      <c r="E4589">
        <f t="shared" si="336"/>
        <v>8</v>
      </c>
      <c r="F4589">
        <f t="shared" si="337"/>
        <v>2025</v>
      </c>
      <c r="G4589" t="s">
        <v>118</v>
      </c>
      <c r="H4589" s="98">
        <v>13402</v>
      </c>
      <c r="I4589" s="29">
        <v>29.5</v>
      </c>
      <c r="J4589" s="12" t="s">
        <v>31</v>
      </c>
      <c r="K4589" s="76">
        <f t="shared" si="334"/>
        <v>29.5</v>
      </c>
      <c r="L4589">
        <v>1</v>
      </c>
      <c r="M4589" s="29">
        <v>0</v>
      </c>
      <c r="N4589" t="s">
        <v>42</v>
      </c>
      <c r="O4589" t="s">
        <v>33</v>
      </c>
      <c r="P4589" t="s">
        <v>34</v>
      </c>
      <c r="Q4589" t="s">
        <v>34</v>
      </c>
      <c r="R4589" t="s">
        <v>34</v>
      </c>
      <c r="S4589" t="s">
        <v>34</v>
      </c>
      <c r="T4589" s="117">
        <v>0</v>
      </c>
    </row>
    <row r="4590" spans="1:21" x14ac:dyDescent="0.35">
      <c r="A4590" t="s">
        <v>20</v>
      </c>
      <c r="B4590" t="s">
        <v>23</v>
      </c>
      <c r="C4590" s="1">
        <v>45882</v>
      </c>
      <c r="D4590">
        <f t="shared" si="335"/>
        <v>13</v>
      </c>
      <c r="E4590">
        <f t="shared" si="336"/>
        <v>8</v>
      </c>
      <c r="F4590">
        <f t="shared" si="337"/>
        <v>2025</v>
      </c>
      <c r="G4590" t="s">
        <v>118</v>
      </c>
      <c r="H4590" s="98">
        <v>13304</v>
      </c>
      <c r="I4590" s="29">
        <v>708</v>
      </c>
      <c r="J4590" s="12" t="s">
        <v>31</v>
      </c>
      <c r="K4590" s="76">
        <f t="shared" si="334"/>
        <v>708</v>
      </c>
      <c r="L4590">
        <v>1</v>
      </c>
      <c r="M4590" s="29">
        <v>0</v>
      </c>
      <c r="N4590" t="s">
        <v>42</v>
      </c>
      <c r="O4590" t="s">
        <v>33</v>
      </c>
      <c r="P4590" t="s">
        <v>34</v>
      </c>
      <c r="Q4590" t="s">
        <v>34</v>
      </c>
      <c r="R4590" t="s">
        <v>34</v>
      </c>
      <c r="S4590" t="s">
        <v>34</v>
      </c>
      <c r="T4590" s="117">
        <v>0</v>
      </c>
      <c r="U4590" s="209" t="s">
        <v>1389</v>
      </c>
    </row>
    <row r="4591" spans="1:21" x14ac:dyDescent="0.35">
      <c r="A4591" t="s">
        <v>20</v>
      </c>
      <c r="B4591" t="s">
        <v>24</v>
      </c>
      <c r="C4591" s="1">
        <v>45882</v>
      </c>
      <c r="D4591">
        <f t="shared" si="335"/>
        <v>13</v>
      </c>
      <c r="E4591">
        <f t="shared" si="336"/>
        <v>8</v>
      </c>
      <c r="F4591">
        <f t="shared" si="337"/>
        <v>2025</v>
      </c>
      <c r="G4591" t="s">
        <v>265</v>
      </c>
      <c r="H4591" s="98">
        <v>13413</v>
      </c>
      <c r="I4591" s="29">
        <v>126</v>
      </c>
      <c r="J4591" s="12" t="s">
        <v>31</v>
      </c>
      <c r="K4591" s="76">
        <f t="shared" si="334"/>
        <v>126</v>
      </c>
      <c r="L4591">
        <v>1</v>
      </c>
      <c r="M4591" s="29">
        <v>0</v>
      </c>
      <c r="N4591" t="s">
        <v>42</v>
      </c>
      <c r="O4591" t="s">
        <v>33</v>
      </c>
      <c r="P4591" t="s">
        <v>34</v>
      </c>
      <c r="Q4591" t="s">
        <v>34</v>
      </c>
      <c r="R4591" t="s">
        <v>34</v>
      </c>
      <c r="S4591" t="s">
        <v>34</v>
      </c>
      <c r="T4591" s="117">
        <v>0</v>
      </c>
    </row>
    <row r="4592" spans="1:21" x14ac:dyDescent="0.35">
      <c r="A4592" t="s">
        <v>20</v>
      </c>
      <c r="B4592" t="s">
        <v>24</v>
      </c>
      <c r="C4592" s="1">
        <v>45882</v>
      </c>
      <c r="D4592">
        <f t="shared" si="335"/>
        <v>13</v>
      </c>
      <c r="E4592">
        <f t="shared" si="336"/>
        <v>8</v>
      </c>
      <c r="F4592">
        <f t="shared" si="337"/>
        <v>2025</v>
      </c>
      <c r="G4592" t="s">
        <v>265</v>
      </c>
      <c r="H4592" s="98">
        <v>13414</v>
      </c>
      <c r="I4592" s="29">
        <v>2205</v>
      </c>
      <c r="J4592" s="12" t="s">
        <v>31</v>
      </c>
      <c r="K4592" s="76">
        <f t="shared" si="334"/>
        <v>2205</v>
      </c>
      <c r="L4592">
        <v>1</v>
      </c>
      <c r="M4592" s="29">
        <v>0</v>
      </c>
      <c r="N4592" t="s">
        <v>42</v>
      </c>
      <c r="O4592" t="s">
        <v>33</v>
      </c>
      <c r="P4592" t="s">
        <v>34</v>
      </c>
      <c r="Q4592" t="s">
        <v>34</v>
      </c>
      <c r="R4592" t="s">
        <v>34</v>
      </c>
      <c r="S4592" t="s">
        <v>34</v>
      </c>
      <c r="T4592" s="117">
        <v>0</v>
      </c>
    </row>
    <row r="4593" spans="1:21" x14ac:dyDescent="0.35">
      <c r="A4593" t="s">
        <v>20</v>
      </c>
      <c r="B4593" t="s">
        <v>24</v>
      </c>
      <c r="C4593" s="1">
        <v>45882</v>
      </c>
      <c r="D4593">
        <f t="shared" si="335"/>
        <v>13</v>
      </c>
      <c r="E4593">
        <f t="shared" si="336"/>
        <v>8</v>
      </c>
      <c r="F4593">
        <f t="shared" si="337"/>
        <v>2025</v>
      </c>
      <c r="G4593" t="s">
        <v>118</v>
      </c>
      <c r="H4593" s="98">
        <v>13415</v>
      </c>
      <c r="I4593" s="29">
        <v>269.60000000000002</v>
      </c>
      <c r="J4593" s="12" t="s">
        <v>31</v>
      </c>
      <c r="K4593" s="76">
        <f t="shared" si="334"/>
        <v>269.60000000000002</v>
      </c>
      <c r="L4593">
        <v>1</v>
      </c>
      <c r="M4593" s="29">
        <v>0</v>
      </c>
      <c r="N4593" t="s">
        <v>42</v>
      </c>
      <c r="O4593" t="s">
        <v>33</v>
      </c>
      <c r="P4593" t="s">
        <v>34</v>
      </c>
      <c r="Q4593" t="s">
        <v>34</v>
      </c>
      <c r="R4593" t="s">
        <v>34</v>
      </c>
      <c r="S4593" t="s">
        <v>34</v>
      </c>
      <c r="T4593" s="117">
        <v>0</v>
      </c>
    </row>
    <row r="4594" spans="1:21" x14ac:dyDescent="0.35">
      <c r="A4594" t="s">
        <v>20</v>
      </c>
      <c r="B4594" t="s">
        <v>24</v>
      </c>
      <c r="C4594" s="1">
        <v>45882</v>
      </c>
      <c r="D4594">
        <f t="shared" si="335"/>
        <v>13</v>
      </c>
      <c r="E4594">
        <f t="shared" si="336"/>
        <v>8</v>
      </c>
      <c r="F4594">
        <f t="shared" si="337"/>
        <v>2025</v>
      </c>
      <c r="G4594" t="s">
        <v>118</v>
      </c>
      <c r="H4594" s="98">
        <v>13760</v>
      </c>
      <c r="I4594" s="29">
        <v>7760</v>
      </c>
      <c r="J4594" s="12" t="s">
        <v>31</v>
      </c>
      <c r="K4594" s="76">
        <f t="shared" si="334"/>
        <v>7760</v>
      </c>
      <c r="L4594">
        <v>1</v>
      </c>
      <c r="M4594" s="29">
        <v>0</v>
      </c>
      <c r="N4594" t="s">
        <v>42</v>
      </c>
      <c r="O4594" t="s">
        <v>33</v>
      </c>
      <c r="P4594" t="s">
        <v>34</v>
      </c>
      <c r="Q4594" t="s">
        <v>34</v>
      </c>
      <c r="R4594" t="s">
        <v>34</v>
      </c>
      <c r="S4594" t="s">
        <v>34</v>
      </c>
      <c r="T4594" s="117">
        <v>0</v>
      </c>
      <c r="U4594" s="212">
        <v>13416</v>
      </c>
    </row>
    <row r="4595" spans="1:21" x14ac:dyDescent="0.35">
      <c r="A4595" t="s">
        <v>20</v>
      </c>
      <c r="B4595" t="s">
        <v>25</v>
      </c>
      <c r="C4595" s="1">
        <v>45882</v>
      </c>
      <c r="D4595">
        <f t="shared" si="335"/>
        <v>13</v>
      </c>
      <c r="E4595">
        <f t="shared" si="336"/>
        <v>8</v>
      </c>
      <c r="F4595">
        <f t="shared" si="337"/>
        <v>2025</v>
      </c>
      <c r="G4595" t="s">
        <v>84</v>
      </c>
      <c r="H4595" s="98">
        <v>12742</v>
      </c>
      <c r="I4595" s="29">
        <v>24777.55</v>
      </c>
      <c r="J4595" s="12" t="s">
        <v>31</v>
      </c>
      <c r="K4595" s="76">
        <f t="shared" si="334"/>
        <v>24777.55</v>
      </c>
      <c r="L4595">
        <v>1</v>
      </c>
      <c r="M4595" s="29">
        <v>0</v>
      </c>
      <c r="N4595" t="s">
        <v>42</v>
      </c>
      <c r="O4595" t="s">
        <v>33</v>
      </c>
      <c r="P4595" t="s">
        <v>34</v>
      </c>
      <c r="Q4595" t="s">
        <v>34</v>
      </c>
      <c r="R4595" t="s">
        <v>34</v>
      </c>
      <c r="S4595" t="s">
        <v>34</v>
      </c>
      <c r="T4595" s="117">
        <v>0</v>
      </c>
    </row>
    <row r="4596" spans="1:21" x14ac:dyDescent="0.35">
      <c r="A4596" t="s">
        <v>20</v>
      </c>
      <c r="B4596" t="s">
        <v>25</v>
      </c>
      <c r="C4596" s="1">
        <v>45882</v>
      </c>
      <c r="D4596">
        <f t="shared" si="335"/>
        <v>13</v>
      </c>
      <c r="E4596">
        <f t="shared" si="336"/>
        <v>8</v>
      </c>
      <c r="F4596">
        <f t="shared" si="337"/>
        <v>2025</v>
      </c>
      <c r="G4596" t="s">
        <v>81</v>
      </c>
      <c r="H4596" s="98">
        <v>13351</v>
      </c>
      <c r="I4596" s="29">
        <v>92.21</v>
      </c>
      <c r="J4596" s="12" t="s">
        <v>31</v>
      </c>
      <c r="K4596" s="76">
        <f t="shared" si="334"/>
        <v>92.21</v>
      </c>
      <c r="L4596">
        <v>1</v>
      </c>
      <c r="M4596" s="29">
        <v>0</v>
      </c>
      <c r="N4596" t="s">
        <v>42</v>
      </c>
      <c r="O4596" t="s">
        <v>33</v>
      </c>
      <c r="P4596" t="s">
        <v>34</v>
      </c>
      <c r="Q4596" t="s">
        <v>34</v>
      </c>
      <c r="R4596" t="s">
        <v>34</v>
      </c>
      <c r="S4596" t="s">
        <v>34</v>
      </c>
      <c r="T4596" s="117">
        <v>0</v>
      </c>
      <c r="U4596" s="209" t="s">
        <v>1309</v>
      </c>
    </row>
    <row r="4597" spans="1:21" x14ac:dyDescent="0.35">
      <c r="A4597" t="s">
        <v>20</v>
      </c>
      <c r="B4597" t="s">
        <v>25</v>
      </c>
      <c r="C4597" s="1">
        <v>45882</v>
      </c>
      <c r="D4597">
        <f t="shared" si="335"/>
        <v>13</v>
      </c>
      <c r="E4597">
        <f t="shared" si="336"/>
        <v>8</v>
      </c>
      <c r="F4597">
        <f t="shared" si="337"/>
        <v>2025</v>
      </c>
      <c r="G4597" t="s">
        <v>81</v>
      </c>
      <c r="H4597" s="98">
        <v>13418</v>
      </c>
      <c r="I4597" s="29">
        <v>7999.12</v>
      </c>
      <c r="J4597" s="12" t="s">
        <v>31</v>
      </c>
      <c r="K4597" s="76">
        <f t="shared" si="334"/>
        <v>7999.12</v>
      </c>
      <c r="L4597">
        <v>1</v>
      </c>
      <c r="M4597" s="29">
        <v>0</v>
      </c>
      <c r="N4597" t="s">
        <v>42</v>
      </c>
      <c r="O4597" t="s">
        <v>33</v>
      </c>
      <c r="P4597" t="s">
        <v>34</v>
      </c>
      <c r="Q4597" t="s">
        <v>34</v>
      </c>
      <c r="R4597" t="s">
        <v>34</v>
      </c>
      <c r="S4597" t="s">
        <v>34</v>
      </c>
      <c r="T4597" s="117">
        <v>0</v>
      </c>
    </row>
    <row r="4598" spans="1:21" x14ac:dyDescent="0.35">
      <c r="A4598" t="s">
        <v>20</v>
      </c>
      <c r="B4598" t="s">
        <v>25</v>
      </c>
      <c r="C4598" s="1">
        <v>45882</v>
      </c>
      <c r="D4598">
        <f t="shared" si="335"/>
        <v>13</v>
      </c>
      <c r="E4598">
        <f t="shared" si="336"/>
        <v>8</v>
      </c>
      <c r="F4598">
        <f t="shared" si="337"/>
        <v>2025</v>
      </c>
      <c r="G4598" t="s">
        <v>81</v>
      </c>
      <c r="H4598" s="98">
        <v>13419</v>
      </c>
      <c r="I4598" s="29">
        <v>25.2</v>
      </c>
      <c r="J4598" s="12" t="s">
        <v>31</v>
      </c>
      <c r="K4598" s="76">
        <f t="shared" si="334"/>
        <v>25.2</v>
      </c>
      <c r="L4598">
        <v>1</v>
      </c>
      <c r="M4598" s="29">
        <v>0</v>
      </c>
      <c r="N4598" t="s">
        <v>42</v>
      </c>
      <c r="O4598" t="s">
        <v>33</v>
      </c>
      <c r="P4598" t="s">
        <v>34</v>
      </c>
      <c r="Q4598" t="s">
        <v>34</v>
      </c>
      <c r="R4598" t="s">
        <v>34</v>
      </c>
      <c r="S4598" t="s">
        <v>34</v>
      </c>
      <c r="T4598" s="117">
        <v>0</v>
      </c>
    </row>
    <row r="4599" spans="1:21" x14ac:dyDescent="0.35">
      <c r="A4599" t="s">
        <v>20</v>
      </c>
      <c r="B4599" t="s">
        <v>25</v>
      </c>
      <c r="C4599" s="1">
        <v>45882</v>
      </c>
      <c r="D4599">
        <f t="shared" si="335"/>
        <v>13</v>
      </c>
      <c r="E4599">
        <f t="shared" si="336"/>
        <v>8</v>
      </c>
      <c r="F4599">
        <f t="shared" si="337"/>
        <v>2025</v>
      </c>
      <c r="G4599" t="s">
        <v>81</v>
      </c>
      <c r="H4599" s="98">
        <v>13420</v>
      </c>
      <c r="I4599" s="29">
        <v>2654.75</v>
      </c>
      <c r="J4599" s="12" t="s">
        <v>31</v>
      </c>
      <c r="K4599" s="76">
        <f t="shared" si="334"/>
        <v>2654.75</v>
      </c>
      <c r="L4599">
        <v>1</v>
      </c>
      <c r="M4599" s="29">
        <v>0</v>
      </c>
      <c r="N4599" t="s">
        <v>42</v>
      </c>
      <c r="O4599" t="s">
        <v>33</v>
      </c>
      <c r="P4599" t="s">
        <v>34</v>
      </c>
      <c r="Q4599" t="s">
        <v>34</v>
      </c>
      <c r="R4599" t="s">
        <v>34</v>
      </c>
      <c r="S4599" t="s">
        <v>34</v>
      </c>
      <c r="T4599" s="117">
        <v>0</v>
      </c>
    </row>
    <row r="4600" spans="1:21" x14ac:dyDescent="0.35">
      <c r="A4600" t="s">
        <v>20</v>
      </c>
      <c r="B4600" t="s">
        <v>25</v>
      </c>
      <c r="C4600" s="1">
        <v>45882</v>
      </c>
      <c r="D4600">
        <f t="shared" si="335"/>
        <v>13</v>
      </c>
      <c r="E4600">
        <f t="shared" si="336"/>
        <v>8</v>
      </c>
      <c r="F4600">
        <f t="shared" si="337"/>
        <v>2025</v>
      </c>
      <c r="G4600" t="s">
        <v>81</v>
      </c>
      <c r="H4600" s="98">
        <v>13421</v>
      </c>
      <c r="I4600" s="29">
        <v>2421</v>
      </c>
      <c r="J4600" s="12" t="s">
        <v>31</v>
      </c>
      <c r="K4600" s="76">
        <f t="shared" si="334"/>
        <v>2421</v>
      </c>
      <c r="L4600">
        <v>1</v>
      </c>
      <c r="M4600" s="29">
        <v>0</v>
      </c>
      <c r="N4600" t="s">
        <v>42</v>
      </c>
      <c r="O4600" t="s">
        <v>33</v>
      </c>
      <c r="P4600" t="s">
        <v>34</v>
      </c>
      <c r="Q4600" t="s">
        <v>34</v>
      </c>
      <c r="R4600" t="s">
        <v>34</v>
      </c>
      <c r="S4600" t="s">
        <v>34</v>
      </c>
      <c r="T4600" s="117">
        <v>0</v>
      </c>
    </row>
    <row r="4601" spans="1:21" x14ac:dyDescent="0.35">
      <c r="A4601" t="s">
        <v>20</v>
      </c>
      <c r="B4601" t="s">
        <v>25</v>
      </c>
      <c r="C4601" s="1">
        <v>45882</v>
      </c>
      <c r="D4601">
        <f t="shared" si="335"/>
        <v>13</v>
      </c>
      <c r="E4601">
        <f t="shared" si="336"/>
        <v>8</v>
      </c>
      <c r="F4601">
        <f t="shared" si="337"/>
        <v>2025</v>
      </c>
      <c r="G4601" t="s">
        <v>81</v>
      </c>
      <c r="H4601" s="98">
        <v>13422</v>
      </c>
      <c r="I4601" s="29">
        <v>7977</v>
      </c>
      <c r="J4601" s="12" t="s">
        <v>31</v>
      </c>
      <c r="K4601" s="76">
        <f t="shared" ref="K4601:K4670" si="338">IF(J4601="USD",I4601,I4601*L4601)</f>
        <v>7977</v>
      </c>
      <c r="L4601">
        <v>1</v>
      </c>
      <c r="M4601" s="29">
        <v>0</v>
      </c>
      <c r="N4601" t="s">
        <v>42</v>
      </c>
      <c r="O4601" t="s">
        <v>33</v>
      </c>
      <c r="P4601" t="s">
        <v>34</v>
      </c>
      <c r="Q4601" t="s">
        <v>34</v>
      </c>
      <c r="R4601" t="s">
        <v>34</v>
      </c>
      <c r="S4601" t="s">
        <v>34</v>
      </c>
      <c r="T4601" s="117">
        <v>0</v>
      </c>
    </row>
    <row r="4602" spans="1:21" x14ac:dyDescent="0.35">
      <c r="A4602" t="s">
        <v>20</v>
      </c>
      <c r="B4602" t="s">
        <v>24</v>
      </c>
      <c r="C4602" s="1">
        <v>45882</v>
      </c>
      <c r="D4602">
        <f t="shared" si="335"/>
        <v>13</v>
      </c>
      <c r="E4602">
        <f t="shared" si="336"/>
        <v>8</v>
      </c>
      <c r="F4602">
        <f t="shared" si="337"/>
        <v>2025</v>
      </c>
      <c r="G4602" t="s">
        <v>1238</v>
      </c>
      <c r="H4602" s="98">
        <v>13400</v>
      </c>
      <c r="I4602" s="29">
        <v>83.34</v>
      </c>
      <c r="J4602" s="12" t="s">
        <v>31</v>
      </c>
      <c r="K4602" s="76">
        <f t="shared" si="338"/>
        <v>83.34</v>
      </c>
      <c r="L4602">
        <v>1</v>
      </c>
      <c r="M4602" s="29">
        <v>0</v>
      </c>
      <c r="N4602" t="s">
        <v>42</v>
      </c>
      <c r="O4602" t="s">
        <v>33</v>
      </c>
      <c r="P4602" t="s">
        <v>34</v>
      </c>
      <c r="Q4602" t="s">
        <v>34</v>
      </c>
      <c r="R4602" t="s">
        <v>34</v>
      </c>
      <c r="S4602" t="s">
        <v>34</v>
      </c>
      <c r="T4602" s="117">
        <v>0</v>
      </c>
    </row>
    <row r="4603" spans="1:21" x14ac:dyDescent="0.35">
      <c r="A4603" t="s">
        <v>20</v>
      </c>
      <c r="B4603" t="s">
        <v>24</v>
      </c>
      <c r="C4603" s="1">
        <v>45882</v>
      </c>
      <c r="D4603">
        <f t="shared" si="335"/>
        <v>13</v>
      </c>
      <c r="E4603">
        <f t="shared" si="336"/>
        <v>8</v>
      </c>
      <c r="F4603">
        <f t="shared" si="337"/>
        <v>2025</v>
      </c>
      <c r="G4603" t="s">
        <v>1238</v>
      </c>
      <c r="H4603" s="98">
        <v>13401</v>
      </c>
      <c r="I4603" s="29">
        <v>4808.55</v>
      </c>
      <c r="J4603" s="12" t="s">
        <v>31</v>
      </c>
      <c r="K4603" s="76">
        <f t="shared" si="338"/>
        <v>4808.55</v>
      </c>
      <c r="L4603">
        <v>1</v>
      </c>
      <c r="M4603" s="29">
        <v>0</v>
      </c>
      <c r="N4603" t="s">
        <v>42</v>
      </c>
      <c r="O4603" t="s">
        <v>33</v>
      </c>
      <c r="P4603" t="s">
        <v>34</v>
      </c>
      <c r="Q4603" t="s">
        <v>34</v>
      </c>
      <c r="R4603" t="s">
        <v>34</v>
      </c>
      <c r="S4603" t="s">
        <v>34</v>
      </c>
      <c r="T4603" s="117">
        <v>0</v>
      </c>
    </row>
    <row r="4604" spans="1:21" x14ac:dyDescent="0.35">
      <c r="A4604" t="s">
        <v>20</v>
      </c>
      <c r="B4604" t="s">
        <v>24</v>
      </c>
      <c r="C4604" s="1">
        <v>45882</v>
      </c>
      <c r="D4604">
        <f t="shared" si="335"/>
        <v>13</v>
      </c>
      <c r="E4604">
        <f t="shared" si="336"/>
        <v>8</v>
      </c>
      <c r="F4604">
        <f t="shared" si="337"/>
        <v>2025</v>
      </c>
      <c r="G4604" t="s">
        <v>435</v>
      </c>
      <c r="H4604" s="98">
        <v>12823</v>
      </c>
      <c r="I4604" s="29">
        <v>175.8</v>
      </c>
      <c r="J4604" s="12" t="s">
        <v>31</v>
      </c>
      <c r="K4604" s="76">
        <f t="shared" si="338"/>
        <v>175.8</v>
      </c>
      <c r="L4604">
        <v>1</v>
      </c>
      <c r="M4604" s="29">
        <v>0</v>
      </c>
      <c r="N4604" t="s">
        <v>32</v>
      </c>
      <c r="O4604" t="s">
        <v>33</v>
      </c>
      <c r="P4604" t="s">
        <v>34</v>
      </c>
      <c r="Q4604" t="s">
        <v>34</v>
      </c>
      <c r="R4604" t="s">
        <v>34</v>
      </c>
      <c r="S4604" t="s">
        <v>34</v>
      </c>
      <c r="T4604" s="117">
        <v>0</v>
      </c>
    </row>
    <row r="4605" spans="1:21" x14ac:dyDescent="0.35">
      <c r="A4605" t="s">
        <v>20</v>
      </c>
      <c r="B4605" t="s">
        <v>21</v>
      </c>
      <c r="C4605" s="1">
        <v>45882</v>
      </c>
      <c r="D4605">
        <f t="shared" si="335"/>
        <v>13</v>
      </c>
      <c r="E4605">
        <f t="shared" si="336"/>
        <v>8</v>
      </c>
      <c r="F4605">
        <f t="shared" si="337"/>
        <v>2025</v>
      </c>
      <c r="G4605" t="s">
        <v>435</v>
      </c>
      <c r="H4605" s="98">
        <v>12625</v>
      </c>
      <c r="I4605" s="29">
        <v>44</v>
      </c>
      <c r="J4605" s="12" t="s">
        <v>31</v>
      </c>
      <c r="K4605" s="76">
        <f t="shared" si="338"/>
        <v>44</v>
      </c>
      <c r="L4605">
        <v>1</v>
      </c>
      <c r="M4605" s="29">
        <v>0</v>
      </c>
      <c r="N4605" t="s">
        <v>32</v>
      </c>
      <c r="O4605" t="s">
        <v>33</v>
      </c>
      <c r="P4605" t="s">
        <v>34</v>
      </c>
      <c r="Q4605" t="s">
        <v>34</v>
      </c>
      <c r="R4605" t="s">
        <v>34</v>
      </c>
      <c r="S4605" t="s">
        <v>34</v>
      </c>
      <c r="T4605" s="117">
        <v>0</v>
      </c>
    </row>
    <row r="4606" spans="1:21" x14ac:dyDescent="0.35">
      <c r="A4606" t="s">
        <v>20</v>
      </c>
      <c r="B4606" t="s">
        <v>24</v>
      </c>
      <c r="C4606" s="1">
        <v>45882</v>
      </c>
      <c r="D4606">
        <f t="shared" si="335"/>
        <v>13</v>
      </c>
      <c r="E4606">
        <f t="shared" si="336"/>
        <v>8</v>
      </c>
      <c r="F4606">
        <f t="shared" si="337"/>
        <v>2025</v>
      </c>
      <c r="G4606" t="s">
        <v>435</v>
      </c>
      <c r="H4606" s="98">
        <v>12824</v>
      </c>
      <c r="I4606" s="29">
        <v>21590.58</v>
      </c>
      <c r="J4606" s="12" t="s">
        <v>31</v>
      </c>
      <c r="K4606" s="76">
        <f t="shared" si="338"/>
        <v>21590.58</v>
      </c>
      <c r="L4606">
        <v>1</v>
      </c>
      <c r="M4606" s="29">
        <v>0</v>
      </c>
      <c r="N4606" t="s">
        <v>32</v>
      </c>
      <c r="O4606" t="s">
        <v>33</v>
      </c>
      <c r="P4606" t="s">
        <v>34</v>
      </c>
      <c r="Q4606" t="s">
        <v>34</v>
      </c>
      <c r="R4606" t="s">
        <v>34</v>
      </c>
      <c r="S4606" t="s">
        <v>34</v>
      </c>
      <c r="T4606" s="117">
        <v>0</v>
      </c>
    </row>
    <row r="4607" spans="1:21" x14ac:dyDescent="0.35">
      <c r="A4607" t="s">
        <v>20</v>
      </c>
      <c r="B4607" t="s">
        <v>21</v>
      </c>
      <c r="C4607" s="1">
        <v>45882</v>
      </c>
      <c r="D4607">
        <f t="shared" si="335"/>
        <v>13</v>
      </c>
      <c r="E4607">
        <f t="shared" si="336"/>
        <v>8</v>
      </c>
      <c r="F4607">
        <f t="shared" si="337"/>
        <v>2025</v>
      </c>
      <c r="G4607" t="s">
        <v>43</v>
      </c>
      <c r="H4607" s="98">
        <v>13081</v>
      </c>
      <c r="I4607" s="29">
        <v>160.6</v>
      </c>
      <c r="J4607" s="12" t="s">
        <v>31</v>
      </c>
      <c r="K4607" s="76">
        <f t="shared" si="338"/>
        <v>160.6</v>
      </c>
      <c r="L4607">
        <v>1</v>
      </c>
      <c r="M4607" s="29">
        <v>0</v>
      </c>
      <c r="N4607" t="s">
        <v>32</v>
      </c>
      <c r="O4607" t="s">
        <v>33</v>
      </c>
      <c r="P4607" t="s">
        <v>34</v>
      </c>
      <c r="Q4607" t="s">
        <v>34</v>
      </c>
      <c r="R4607" t="s">
        <v>34</v>
      </c>
      <c r="S4607" t="s">
        <v>34</v>
      </c>
      <c r="T4607" s="117">
        <v>0</v>
      </c>
    </row>
    <row r="4608" spans="1:21" x14ac:dyDescent="0.35">
      <c r="A4608" t="s">
        <v>20</v>
      </c>
      <c r="B4608" t="s">
        <v>21</v>
      </c>
      <c r="C4608" s="1">
        <v>45882</v>
      </c>
      <c r="D4608">
        <f t="shared" si="335"/>
        <v>13</v>
      </c>
      <c r="E4608">
        <f t="shared" si="336"/>
        <v>8</v>
      </c>
      <c r="F4608">
        <f t="shared" si="337"/>
        <v>2025</v>
      </c>
      <c r="G4608" t="s">
        <v>90</v>
      </c>
      <c r="H4608" s="98">
        <v>12301</v>
      </c>
      <c r="I4608" s="29">
        <v>99.96</v>
      </c>
      <c r="J4608" s="12" t="s">
        <v>31</v>
      </c>
      <c r="K4608" s="76">
        <f t="shared" si="338"/>
        <v>99.96</v>
      </c>
      <c r="L4608">
        <v>1</v>
      </c>
      <c r="M4608" s="29">
        <v>0</v>
      </c>
      <c r="N4608" t="s">
        <v>32</v>
      </c>
      <c r="O4608" t="s">
        <v>33</v>
      </c>
      <c r="P4608" t="s">
        <v>34</v>
      </c>
      <c r="Q4608" t="s">
        <v>34</v>
      </c>
      <c r="R4608" t="s">
        <v>34</v>
      </c>
      <c r="S4608" t="s">
        <v>34</v>
      </c>
      <c r="T4608" s="117">
        <v>0</v>
      </c>
    </row>
    <row r="4609" spans="1:20" x14ac:dyDescent="0.35">
      <c r="A4609" t="s">
        <v>20</v>
      </c>
      <c r="B4609" t="s">
        <v>21</v>
      </c>
      <c r="C4609" s="1">
        <v>45882</v>
      </c>
      <c r="D4609">
        <f t="shared" si="335"/>
        <v>13</v>
      </c>
      <c r="E4609">
        <f t="shared" si="336"/>
        <v>8</v>
      </c>
      <c r="F4609">
        <f t="shared" si="337"/>
        <v>2025</v>
      </c>
      <c r="G4609" t="s">
        <v>90</v>
      </c>
      <c r="H4609" s="98">
        <v>11506</v>
      </c>
      <c r="I4609" s="29">
        <v>136.82</v>
      </c>
      <c r="J4609" s="12" t="s">
        <v>31</v>
      </c>
      <c r="K4609" s="76">
        <f t="shared" si="338"/>
        <v>136.82</v>
      </c>
      <c r="L4609">
        <v>1</v>
      </c>
      <c r="M4609" s="29">
        <v>0</v>
      </c>
      <c r="N4609" t="s">
        <v>32</v>
      </c>
      <c r="O4609" t="s">
        <v>33</v>
      </c>
      <c r="P4609" t="s">
        <v>34</v>
      </c>
      <c r="Q4609" t="s">
        <v>34</v>
      </c>
      <c r="R4609" t="s">
        <v>34</v>
      </c>
      <c r="S4609" t="s">
        <v>34</v>
      </c>
      <c r="T4609" s="117">
        <v>0</v>
      </c>
    </row>
    <row r="4610" spans="1:20" x14ac:dyDescent="0.35">
      <c r="A4610" t="s">
        <v>20</v>
      </c>
      <c r="B4610" t="s">
        <v>25</v>
      </c>
      <c r="C4610" s="1">
        <v>45882</v>
      </c>
      <c r="D4610">
        <f t="shared" si="335"/>
        <v>13</v>
      </c>
      <c r="E4610">
        <f t="shared" si="336"/>
        <v>8</v>
      </c>
      <c r="F4610">
        <f t="shared" si="337"/>
        <v>2025</v>
      </c>
      <c r="G4610" t="s">
        <v>46</v>
      </c>
      <c r="H4610" s="98">
        <v>13391</v>
      </c>
      <c r="I4610" s="29">
        <v>70.400000000000006</v>
      </c>
      <c r="J4610" s="12" t="s">
        <v>31</v>
      </c>
      <c r="K4610" s="76">
        <f t="shared" si="338"/>
        <v>70.400000000000006</v>
      </c>
      <c r="L4610">
        <v>1</v>
      </c>
      <c r="M4610" s="29">
        <v>0</v>
      </c>
      <c r="N4610" t="s">
        <v>32</v>
      </c>
      <c r="O4610" t="s">
        <v>33</v>
      </c>
      <c r="P4610" t="s">
        <v>34</v>
      </c>
      <c r="Q4610" t="s">
        <v>34</v>
      </c>
      <c r="R4610" t="s">
        <v>34</v>
      </c>
      <c r="S4610" t="s">
        <v>34</v>
      </c>
      <c r="T4610" s="117">
        <v>0</v>
      </c>
    </row>
    <row r="4611" spans="1:20" x14ac:dyDescent="0.35">
      <c r="A4611" t="s">
        <v>20</v>
      </c>
      <c r="B4611" t="s">
        <v>25</v>
      </c>
      <c r="C4611" s="1">
        <v>45882</v>
      </c>
      <c r="D4611">
        <f t="shared" si="335"/>
        <v>13</v>
      </c>
      <c r="E4611">
        <f t="shared" si="336"/>
        <v>8</v>
      </c>
      <c r="F4611">
        <f t="shared" si="337"/>
        <v>2025</v>
      </c>
      <c r="G4611" t="s">
        <v>46</v>
      </c>
      <c r="H4611" s="98">
        <v>13392</v>
      </c>
      <c r="I4611" s="29">
        <v>563.20000000000005</v>
      </c>
      <c r="J4611" s="12" t="s">
        <v>31</v>
      </c>
      <c r="K4611" s="76">
        <f t="shared" si="338"/>
        <v>563.20000000000005</v>
      </c>
      <c r="L4611">
        <v>1</v>
      </c>
      <c r="M4611" s="29">
        <v>0</v>
      </c>
      <c r="N4611" t="s">
        <v>32</v>
      </c>
      <c r="O4611" t="s">
        <v>33</v>
      </c>
      <c r="P4611" t="s">
        <v>34</v>
      </c>
      <c r="Q4611" t="s">
        <v>34</v>
      </c>
      <c r="R4611" t="s">
        <v>34</v>
      </c>
      <c r="S4611" t="s">
        <v>34</v>
      </c>
      <c r="T4611" s="117">
        <v>0</v>
      </c>
    </row>
    <row r="4612" spans="1:20" x14ac:dyDescent="0.35">
      <c r="A4612" t="s">
        <v>19</v>
      </c>
      <c r="B4612" t="s">
        <v>19</v>
      </c>
      <c r="C4612" s="1">
        <v>45882</v>
      </c>
      <c r="D4612">
        <f t="shared" si="335"/>
        <v>13</v>
      </c>
      <c r="E4612">
        <f t="shared" si="336"/>
        <v>8</v>
      </c>
      <c r="F4612">
        <f t="shared" si="337"/>
        <v>2025</v>
      </c>
      <c r="G4612" t="s">
        <v>124</v>
      </c>
      <c r="H4612" s="98" t="s">
        <v>1239</v>
      </c>
      <c r="I4612" s="15">
        <v>135</v>
      </c>
      <c r="J4612" s="12" t="s">
        <v>31</v>
      </c>
      <c r="K4612" s="76">
        <f t="shared" si="338"/>
        <v>135</v>
      </c>
      <c r="L4612">
        <v>1</v>
      </c>
      <c r="M4612" s="29">
        <v>0</v>
      </c>
      <c r="N4612" t="s">
        <v>32</v>
      </c>
      <c r="O4612" t="s">
        <v>33</v>
      </c>
      <c r="P4612" t="s">
        <v>34</v>
      </c>
      <c r="Q4612" t="s">
        <v>34</v>
      </c>
      <c r="R4612" t="s">
        <v>34</v>
      </c>
      <c r="S4612" t="s">
        <v>34</v>
      </c>
      <c r="T4612" s="117">
        <v>0</v>
      </c>
    </row>
    <row r="4613" spans="1:20" x14ac:dyDescent="0.35">
      <c r="A4613" t="s">
        <v>19</v>
      </c>
      <c r="B4613" t="s">
        <v>19</v>
      </c>
      <c r="C4613" s="1">
        <v>45882</v>
      </c>
      <c r="D4613">
        <f t="shared" si="335"/>
        <v>13</v>
      </c>
      <c r="E4613">
        <f t="shared" si="336"/>
        <v>8</v>
      </c>
      <c r="F4613">
        <f t="shared" si="337"/>
        <v>2025</v>
      </c>
      <c r="G4613" t="s">
        <v>90</v>
      </c>
      <c r="H4613" s="98" t="s">
        <v>1240</v>
      </c>
      <c r="I4613" s="15">
        <v>157850.82</v>
      </c>
      <c r="J4613" s="12" t="s">
        <v>31</v>
      </c>
      <c r="K4613" s="76">
        <f t="shared" si="338"/>
        <v>157850.82</v>
      </c>
      <c r="L4613">
        <v>1</v>
      </c>
      <c r="M4613" s="29">
        <v>0</v>
      </c>
      <c r="N4613" t="s">
        <v>32</v>
      </c>
      <c r="O4613" t="s">
        <v>33</v>
      </c>
      <c r="P4613" t="s">
        <v>34</v>
      </c>
      <c r="Q4613" t="s">
        <v>34</v>
      </c>
      <c r="R4613" t="s">
        <v>34</v>
      </c>
      <c r="S4613" t="s">
        <v>34</v>
      </c>
      <c r="T4613" s="117">
        <v>0</v>
      </c>
    </row>
    <row r="4614" spans="1:20" x14ac:dyDescent="0.35">
      <c r="A4614" t="s">
        <v>19</v>
      </c>
      <c r="B4614" t="s">
        <v>19</v>
      </c>
      <c r="C4614" s="1">
        <v>45882</v>
      </c>
      <c r="D4614">
        <f t="shared" si="335"/>
        <v>13</v>
      </c>
      <c r="E4614">
        <f t="shared" si="336"/>
        <v>8</v>
      </c>
      <c r="F4614">
        <f t="shared" si="337"/>
        <v>2025</v>
      </c>
      <c r="G4614" t="s">
        <v>213</v>
      </c>
      <c r="H4614" s="98" t="s">
        <v>1241</v>
      </c>
      <c r="I4614" s="15">
        <v>16137.38</v>
      </c>
      <c r="J4614" s="12" t="s">
        <v>31</v>
      </c>
      <c r="K4614" s="76">
        <f t="shared" si="338"/>
        <v>16137.38</v>
      </c>
      <c r="L4614">
        <v>1</v>
      </c>
      <c r="M4614" s="29">
        <v>0</v>
      </c>
      <c r="N4614" t="s">
        <v>32</v>
      </c>
      <c r="O4614" t="s">
        <v>33</v>
      </c>
      <c r="P4614" t="s">
        <v>34</v>
      </c>
      <c r="Q4614" t="s">
        <v>34</v>
      </c>
      <c r="R4614" t="s">
        <v>34</v>
      </c>
      <c r="S4614" t="s">
        <v>34</v>
      </c>
      <c r="T4614" s="117">
        <v>0</v>
      </c>
    </row>
    <row r="4615" spans="1:20" x14ac:dyDescent="0.35">
      <c r="A4615" t="s">
        <v>19</v>
      </c>
      <c r="B4615" t="s">
        <v>19</v>
      </c>
      <c r="C4615" s="1">
        <v>45882</v>
      </c>
      <c r="D4615">
        <f t="shared" si="335"/>
        <v>13</v>
      </c>
      <c r="E4615">
        <f t="shared" si="336"/>
        <v>8</v>
      </c>
      <c r="F4615">
        <f t="shared" si="337"/>
        <v>2025</v>
      </c>
      <c r="G4615" t="s">
        <v>213</v>
      </c>
      <c r="H4615" s="98" t="s">
        <v>1241</v>
      </c>
      <c r="I4615" s="15">
        <v>129531.64</v>
      </c>
      <c r="J4615" s="12" t="s">
        <v>31</v>
      </c>
      <c r="K4615" s="76">
        <f t="shared" si="338"/>
        <v>129531.64</v>
      </c>
      <c r="L4615">
        <v>1</v>
      </c>
      <c r="M4615" s="29">
        <v>0</v>
      </c>
      <c r="N4615" t="s">
        <v>32</v>
      </c>
      <c r="O4615" t="s">
        <v>33</v>
      </c>
      <c r="P4615" t="s">
        <v>34</v>
      </c>
      <c r="Q4615" t="s">
        <v>34</v>
      </c>
      <c r="R4615" t="s">
        <v>34</v>
      </c>
      <c r="S4615" t="s">
        <v>34</v>
      </c>
      <c r="T4615" s="117">
        <v>0</v>
      </c>
    </row>
    <row r="4616" spans="1:20" x14ac:dyDescent="0.35">
      <c r="A4616" t="s">
        <v>19</v>
      </c>
      <c r="B4616" t="s">
        <v>19</v>
      </c>
      <c r="C4616" s="1">
        <v>45882</v>
      </c>
      <c r="D4616">
        <f t="shared" si="335"/>
        <v>13</v>
      </c>
      <c r="E4616">
        <f t="shared" si="336"/>
        <v>8</v>
      </c>
      <c r="F4616">
        <f t="shared" si="337"/>
        <v>2025</v>
      </c>
      <c r="G4616" t="s">
        <v>601</v>
      </c>
      <c r="H4616" s="171" t="s">
        <v>1242</v>
      </c>
      <c r="I4616" s="15">
        <v>20233.5</v>
      </c>
      <c r="J4616" s="12" t="s">
        <v>31</v>
      </c>
      <c r="K4616" s="76">
        <f t="shared" si="338"/>
        <v>20233.5</v>
      </c>
      <c r="L4616">
        <v>1</v>
      </c>
      <c r="M4616" s="29">
        <v>0</v>
      </c>
      <c r="N4616" t="s">
        <v>32</v>
      </c>
      <c r="O4616" t="s">
        <v>33</v>
      </c>
      <c r="P4616" t="s">
        <v>34</v>
      </c>
      <c r="Q4616" t="s">
        <v>34</v>
      </c>
      <c r="R4616" t="s">
        <v>34</v>
      </c>
      <c r="S4616" t="s">
        <v>34</v>
      </c>
      <c r="T4616" s="117">
        <v>0</v>
      </c>
    </row>
    <row r="4617" spans="1:20" x14ac:dyDescent="0.35">
      <c r="A4617" t="s">
        <v>19</v>
      </c>
      <c r="B4617" t="s">
        <v>19</v>
      </c>
      <c r="C4617" s="1">
        <v>45882</v>
      </c>
      <c r="D4617">
        <f t="shared" si="335"/>
        <v>13</v>
      </c>
      <c r="E4617">
        <f t="shared" si="336"/>
        <v>8</v>
      </c>
      <c r="F4617">
        <f t="shared" si="337"/>
        <v>2025</v>
      </c>
      <c r="G4617" t="s">
        <v>601</v>
      </c>
      <c r="H4617" s="98" t="s">
        <v>1234</v>
      </c>
      <c r="I4617" s="15">
        <v>90163.88</v>
      </c>
      <c r="J4617" s="12" t="s">
        <v>31</v>
      </c>
      <c r="K4617" s="76">
        <f t="shared" si="338"/>
        <v>90163.88</v>
      </c>
      <c r="L4617">
        <v>1</v>
      </c>
      <c r="M4617" s="29">
        <v>0</v>
      </c>
      <c r="N4617" t="s">
        <v>32</v>
      </c>
      <c r="O4617" t="s">
        <v>33</v>
      </c>
      <c r="P4617" t="s">
        <v>34</v>
      </c>
      <c r="Q4617" t="s">
        <v>34</v>
      </c>
      <c r="R4617" t="s">
        <v>34</v>
      </c>
      <c r="S4617" t="s">
        <v>34</v>
      </c>
      <c r="T4617" s="117">
        <v>0</v>
      </c>
    </row>
    <row r="4618" spans="1:20" x14ac:dyDescent="0.35">
      <c r="A4618" t="s">
        <v>19</v>
      </c>
      <c r="B4618" t="s">
        <v>19</v>
      </c>
      <c r="C4618" s="1">
        <v>45882</v>
      </c>
      <c r="D4618">
        <f t="shared" si="335"/>
        <v>13</v>
      </c>
      <c r="E4618">
        <f t="shared" si="336"/>
        <v>8</v>
      </c>
      <c r="F4618">
        <f t="shared" si="337"/>
        <v>2025</v>
      </c>
      <c r="G4618" t="s">
        <v>523</v>
      </c>
      <c r="H4618" s="98" t="s">
        <v>1236</v>
      </c>
      <c r="I4618" s="15">
        <v>98884.04</v>
      </c>
      <c r="J4618" s="12" t="s">
        <v>31</v>
      </c>
      <c r="K4618" s="76">
        <f t="shared" si="338"/>
        <v>98884.04</v>
      </c>
      <c r="L4618">
        <v>1</v>
      </c>
      <c r="M4618" s="29">
        <v>0</v>
      </c>
      <c r="N4618" t="s">
        <v>32</v>
      </c>
      <c r="O4618" t="s">
        <v>33</v>
      </c>
      <c r="P4618" t="s">
        <v>34</v>
      </c>
      <c r="Q4618" t="s">
        <v>34</v>
      </c>
      <c r="R4618" t="s">
        <v>34</v>
      </c>
      <c r="S4618" t="s">
        <v>34</v>
      </c>
      <c r="T4618" s="117">
        <v>0</v>
      </c>
    </row>
    <row r="4619" spans="1:20" x14ac:dyDescent="0.35">
      <c r="A4619" t="s">
        <v>19</v>
      </c>
      <c r="B4619" t="s">
        <v>19</v>
      </c>
      <c r="C4619" s="1">
        <v>45882</v>
      </c>
      <c r="D4619">
        <f t="shared" si="335"/>
        <v>13</v>
      </c>
      <c r="E4619">
        <f t="shared" si="336"/>
        <v>8</v>
      </c>
      <c r="F4619">
        <f t="shared" si="337"/>
        <v>2025</v>
      </c>
      <c r="G4619" t="s">
        <v>523</v>
      </c>
      <c r="H4619" s="98" t="s">
        <v>1243</v>
      </c>
      <c r="I4619" s="15">
        <v>23620.48</v>
      </c>
      <c r="J4619" s="12" t="s">
        <v>31</v>
      </c>
      <c r="K4619" s="76">
        <f t="shared" si="338"/>
        <v>23620.48</v>
      </c>
      <c r="L4619">
        <v>1</v>
      </c>
      <c r="M4619" s="29">
        <v>0</v>
      </c>
      <c r="N4619" t="s">
        <v>32</v>
      </c>
      <c r="O4619" t="s">
        <v>33</v>
      </c>
      <c r="P4619" t="s">
        <v>34</v>
      </c>
      <c r="Q4619" t="s">
        <v>34</v>
      </c>
      <c r="R4619" t="s">
        <v>34</v>
      </c>
      <c r="S4619" t="s">
        <v>34</v>
      </c>
      <c r="T4619" s="117">
        <v>0</v>
      </c>
    </row>
    <row r="4620" spans="1:20" x14ac:dyDescent="0.35">
      <c r="A4620" t="s">
        <v>19</v>
      </c>
      <c r="B4620" t="s">
        <v>19</v>
      </c>
      <c r="C4620" s="1">
        <v>45882</v>
      </c>
      <c r="D4620">
        <f t="shared" si="335"/>
        <v>13</v>
      </c>
      <c r="E4620">
        <f t="shared" si="336"/>
        <v>8</v>
      </c>
      <c r="F4620">
        <f t="shared" si="337"/>
        <v>2025</v>
      </c>
      <c r="G4620" t="s">
        <v>523</v>
      </c>
      <c r="H4620" s="98" t="s">
        <v>1244</v>
      </c>
      <c r="I4620" s="15">
        <v>89536.5</v>
      </c>
      <c r="J4620" s="12" t="s">
        <v>31</v>
      </c>
      <c r="K4620" s="76">
        <f t="shared" si="338"/>
        <v>89536.5</v>
      </c>
      <c r="L4620">
        <v>1</v>
      </c>
      <c r="M4620" s="29">
        <v>0</v>
      </c>
      <c r="N4620" t="s">
        <v>32</v>
      </c>
      <c r="O4620" t="s">
        <v>33</v>
      </c>
      <c r="P4620" t="s">
        <v>34</v>
      </c>
      <c r="Q4620" t="s">
        <v>34</v>
      </c>
      <c r="R4620" t="s">
        <v>34</v>
      </c>
      <c r="S4620" t="s">
        <v>34</v>
      </c>
      <c r="T4620" s="117">
        <v>0</v>
      </c>
    </row>
    <row r="4621" spans="1:20" x14ac:dyDescent="0.35">
      <c r="A4621" t="s">
        <v>19</v>
      </c>
      <c r="B4621" t="s">
        <v>19</v>
      </c>
      <c r="C4621" s="1">
        <v>45882</v>
      </c>
      <c r="D4621">
        <f t="shared" si="335"/>
        <v>13</v>
      </c>
      <c r="E4621">
        <f t="shared" si="336"/>
        <v>8</v>
      </c>
      <c r="F4621">
        <f t="shared" si="337"/>
        <v>2025</v>
      </c>
      <c r="G4621" t="s">
        <v>57</v>
      </c>
      <c r="H4621" s="171" t="s">
        <v>1243</v>
      </c>
      <c r="I4621" s="90">
        <v>22723.8</v>
      </c>
      <c r="J4621" s="12" t="s">
        <v>31</v>
      </c>
      <c r="K4621" s="76">
        <f t="shared" si="338"/>
        <v>22723.8</v>
      </c>
      <c r="L4621">
        <v>1</v>
      </c>
      <c r="M4621" s="29">
        <v>0</v>
      </c>
      <c r="N4621" t="s">
        <v>32</v>
      </c>
      <c r="O4621" t="s">
        <v>33</v>
      </c>
      <c r="P4621" t="s">
        <v>34</v>
      </c>
      <c r="Q4621" t="s">
        <v>34</v>
      </c>
      <c r="R4621" t="s">
        <v>34</v>
      </c>
      <c r="S4621" t="s">
        <v>34</v>
      </c>
      <c r="T4621" s="117">
        <v>0</v>
      </c>
    </row>
    <row r="4622" spans="1:20" x14ac:dyDescent="0.35">
      <c r="A4622" t="s">
        <v>19</v>
      </c>
      <c r="B4622" t="s">
        <v>19</v>
      </c>
      <c r="C4622" s="1">
        <v>45882</v>
      </c>
      <c r="D4622">
        <f t="shared" si="335"/>
        <v>13</v>
      </c>
      <c r="E4622">
        <f t="shared" si="336"/>
        <v>8</v>
      </c>
      <c r="F4622">
        <f t="shared" si="337"/>
        <v>2025</v>
      </c>
      <c r="G4622" t="s">
        <v>750</v>
      </c>
      <c r="H4622" s="171" t="s">
        <v>1245</v>
      </c>
      <c r="I4622" s="90">
        <v>28628.76</v>
      </c>
      <c r="J4622" s="12" t="s">
        <v>31</v>
      </c>
      <c r="K4622" s="76">
        <f t="shared" si="338"/>
        <v>28628.76</v>
      </c>
      <c r="L4622">
        <v>1</v>
      </c>
      <c r="M4622" s="29">
        <v>0</v>
      </c>
      <c r="N4622" t="s">
        <v>32</v>
      </c>
      <c r="O4622" t="s">
        <v>33</v>
      </c>
      <c r="P4622" t="s">
        <v>34</v>
      </c>
      <c r="Q4622" t="s">
        <v>34</v>
      </c>
      <c r="R4622" t="s">
        <v>34</v>
      </c>
      <c r="S4622" t="s">
        <v>34</v>
      </c>
      <c r="T4622" s="117">
        <v>0</v>
      </c>
    </row>
    <row r="4623" spans="1:20" x14ac:dyDescent="0.35">
      <c r="A4623" t="s">
        <v>19</v>
      </c>
      <c r="B4623" t="s">
        <v>19</v>
      </c>
      <c r="C4623" s="1">
        <v>45882</v>
      </c>
      <c r="D4623">
        <f t="shared" si="335"/>
        <v>13</v>
      </c>
      <c r="E4623">
        <f t="shared" si="336"/>
        <v>8</v>
      </c>
      <c r="F4623">
        <f t="shared" si="337"/>
        <v>2025</v>
      </c>
      <c r="G4623" t="s">
        <v>118</v>
      </c>
      <c r="H4623" s="98" t="s">
        <v>1246</v>
      </c>
      <c r="I4623" s="15">
        <v>154680.85</v>
      </c>
      <c r="J4623" s="12" t="s">
        <v>31</v>
      </c>
      <c r="K4623" s="76">
        <f t="shared" si="338"/>
        <v>154680.85</v>
      </c>
      <c r="L4623">
        <v>1</v>
      </c>
      <c r="M4623" s="29">
        <v>0</v>
      </c>
      <c r="N4623" t="s">
        <v>32</v>
      </c>
      <c r="O4623" t="s">
        <v>33</v>
      </c>
      <c r="P4623" t="s">
        <v>34</v>
      </c>
      <c r="Q4623" t="s">
        <v>34</v>
      </c>
      <c r="R4623" t="s">
        <v>34</v>
      </c>
      <c r="S4623" t="s">
        <v>34</v>
      </c>
      <c r="T4623" s="117">
        <v>0</v>
      </c>
    </row>
    <row r="4624" spans="1:20" x14ac:dyDescent="0.35">
      <c r="A4624" t="s">
        <v>19</v>
      </c>
      <c r="B4624" t="s">
        <v>19</v>
      </c>
      <c r="C4624" s="1">
        <v>45882</v>
      </c>
      <c r="D4624">
        <f t="shared" si="335"/>
        <v>13</v>
      </c>
      <c r="E4624">
        <f t="shared" si="336"/>
        <v>8</v>
      </c>
      <c r="F4624">
        <f t="shared" si="337"/>
        <v>2025</v>
      </c>
      <c r="G4624" t="s">
        <v>263</v>
      </c>
      <c r="H4624" s="98" t="s">
        <v>1247</v>
      </c>
      <c r="I4624" s="15">
        <v>8679.7199999999993</v>
      </c>
      <c r="J4624" s="12" t="s">
        <v>31</v>
      </c>
      <c r="K4624" s="76">
        <f t="shared" si="338"/>
        <v>8679.7199999999993</v>
      </c>
      <c r="L4624">
        <v>1</v>
      </c>
      <c r="M4624" s="29">
        <v>0</v>
      </c>
      <c r="N4624" t="s">
        <v>32</v>
      </c>
      <c r="O4624" t="s">
        <v>33</v>
      </c>
      <c r="P4624" t="s">
        <v>34</v>
      </c>
      <c r="Q4624" t="s">
        <v>34</v>
      </c>
      <c r="R4624" t="s">
        <v>34</v>
      </c>
      <c r="S4624" t="s">
        <v>34</v>
      </c>
      <c r="T4624" s="117">
        <v>0</v>
      </c>
    </row>
    <row r="4625" spans="1:21" x14ac:dyDescent="0.35">
      <c r="A4625" t="s">
        <v>19</v>
      </c>
      <c r="B4625" t="s">
        <v>26</v>
      </c>
      <c r="C4625" s="1">
        <v>45883</v>
      </c>
      <c r="D4625">
        <f>DAY(C4625)</f>
        <v>14</v>
      </c>
      <c r="E4625">
        <f>MONTH(C4625)</f>
        <v>8</v>
      </c>
      <c r="F4625">
        <f>YEAR(C4625)</f>
        <v>2025</v>
      </c>
      <c r="G4625" t="s">
        <v>73</v>
      </c>
      <c r="H4625" s="98">
        <v>13586</v>
      </c>
      <c r="I4625" s="15">
        <v>39946.959999999999</v>
      </c>
      <c r="J4625" s="12" t="s">
        <v>51</v>
      </c>
      <c r="K4625" s="76">
        <f t="shared" si="338"/>
        <v>46666.038671999995</v>
      </c>
      <c r="L4625">
        <v>1.1681999999999999</v>
      </c>
      <c r="M4625" s="29">
        <v>0</v>
      </c>
      <c r="N4625" t="s">
        <v>32</v>
      </c>
      <c r="O4625" t="s">
        <v>33</v>
      </c>
      <c r="P4625" t="s">
        <v>34</v>
      </c>
      <c r="Q4625" t="s">
        <v>34</v>
      </c>
      <c r="R4625" t="s">
        <v>34</v>
      </c>
      <c r="S4625" t="s">
        <v>34</v>
      </c>
      <c r="T4625" s="117">
        <v>0</v>
      </c>
      <c r="U4625" s="209" t="s">
        <v>94</v>
      </c>
    </row>
    <row r="4626" spans="1:21" x14ac:dyDescent="0.35">
      <c r="A4626" t="s">
        <v>19</v>
      </c>
      <c r="B4626" t="s">
        <v>26</v>
      </c>
      <c r="C4626" s="1">
        <v>45883</v>
      </c>
      <c r="D4626">
        <f>DAY(C4626)</f>
        <v>14</v>
      </c>
      <c r="E4626">
        <f>MONTH(C4626)</f>
        <v>8</v>
      </c>
      <c r="F4626">
        <f>YEAR(C4626)</f>
        <v>2025</v>
      </c>
      <c r="G4626" t="s">
        <v>73</v>
      </c>
      <c r="H4626" s="98">
        <v>13587</v>
      </c>
      <c r="I4626" s="15">
        <v>72648.63</v>
      </c>
      <c r="J4626" s="12" t="s">
        <v>51</v>
      </c>
      <c r="K4626" s="76">
        <f t="shared" si="338"/>
        <v>84868.129566000003</v>
      </c>
      <c r="L4626">
        <v>1.1681999999999999</v>
      </c>
      <c r="M4626" s="29">
        <v>0</v>
      </c>
      <c r="N4626" t="s">
        <v>32</v>
      </c>
      <c r="O4626" t="s">
        <v>33</v>
      </c>
      <c r="P4626" t="s">
        <v>34</v>
      </c>
      <c r="Q4626" t="s">
        <v>34</v>
      </c>
      <c r="R4626" t="s">
        <v>34</v>
      </c>
      <c r="S4626" t="s">
        <v>34</v>
      </c>
      <c r="T4626" s="117">
        <v>0</v>
      </c>
      <c r="U4626" s="209" t="s">
        <v>94</v>
      </c>
    </row>
    <row r="4627" spans="1:21" x14ac:dyDescent="0.35">
      <c r="A4627" t="s">
        <v>19</v>
      </c>
      <c r="B4627" t="s">
        <v>26</v>
      </c>
      <c r="C4627" s="1">
        <v>45883</v>
      </c>
      <c r="D4627">
        <f>DAY(C4627)</f>
        <v>14</v>
      </c>
      <c r="E4627">
        <f>MONTH(C4627)</f>
        <v>8</v>
      </c>
      <c r="F4627">
        <f>YEAR(C4627)</f>
        <v>2025</v>
      </c>
      <c r="G4627" t="s">
        <v>73</v>
      </c>
      <c r="H4627" s="98">
        <v>13588</v>
      </c>
      <c r="I4627" s="15">
        <v>40907.199999999997</v>
      </c>
      <c r="J4627" s="12" t="s">
        <v>51</v>
      </c>
      <c r="K4627" s="76">
        <f t="shared" si="338"/>
        <v>47787.791039999989</v>
      </c>
      <c r="L4627">
        <v>1.1681999999999999</v>
      </c>
      <c r="M4627" s="29">
        <v>0</v>
      </c>
      <c r="N4627" t="s">
        <v>32</v>
      </c>
      <c r="O4627" t="s">
        <v>33</v>
      </c>
      <c r="P4627" t="s">
        <v>34</v>
      </c>
      <c r="Q4627" t="s">
        <v>34</v>
      </c>
      <c r="R4627" t="s">
        <v>34</v>
      </c>
      <c r="S4627" t="s">
        <v>34</v>
      </c>
      <c r="T4627" s="117">
        <v>0</v>
      </c>
      <c r="U4627" s="209" t="s">
        <v>94</v>
      </c>
    </row>
    <row r="4628" spans="1:21" x14ac:dyDescent="0.35">
      <c r="A4628" t="s">
        <v>19</v>
      </c>
      <c r="B4628" t="s">
        <v>26</v>
      </c>
      <c r="C4628" s="1">
        <v>45883</v>
      </c>
      <c r="D4628">
        <f t="shared" si="335"/>
        <v>14</v>
      </c>
      <c r="E4628">
        <f t="shared" si="336"/>
        <v>8</v>
      </c>
      <c r="F4628">
        <f t="shared" si="337"/>
        <v>2025</v>
      </c>
      <c r="G4628" t="s">
        <v>73</v>
      </c>
      <c r="H4628" s="98">
        <v>13589</v>
      </c>
      <c r="I4628" s="15">
        <v>24008.68</v>
      </c>
      <c r="J4628" s="12" t="s">
        <v>51</v>
      </c>
      <c r="K4628" s="76">
        <f t="shared" si="338"/>
        <v>28046.939975999998</v>
      </c>
      <c r="L4628">
        <v>1.1681999999999999</v>
      </c>
      <c r="M4628" s="29">
        <v>0</v>
      </c>
      <c r="N4628" t="s">
        <v>32</v>
      </c>
      <c r="O4628" t="s">
        <v>33</v>
      </c>
      <c r="P4628" t="s">
        <v>34</v>
      </c>
      <c r="Q4628" t="s">
        <v>34</v>
      </c>
      <c r="R4628" t="s">
        <v>34</v>
      </c>
      <c r="S4628" t="s">
        <v>34</v>
      </c>
      <c r="T4628" s="117">
        <v>0</v>
      </c>
      <c r="U4628" s="209" t="s">
        <v>94</v>
      </c>
    </row>
    <row r="4629" spans="1:21" x14ac:dyDescent="0.35">
      <c r="A4629" t="s">
        <v>19</v>
      </c>
      <c r="B4629" t="s">
        <v>27</v>
      </c>
      <c r="C4629" s="1">
        <v>45884</v>
      </c>
      <c r="D4629">
        <f t="shared" si="335"/>
        <v>15</v>
      </c>
      <c r="E4629">
        <f t="shared" si="336"/>
        <v>8</v>
      </c>
      <c r="F4629">
        <f t="shared" si="337"/>
        <v>2025</v>
      </c>
      <c r="G4629" t="s">
        <v>100</v>
      </c>
      <c r="H4629" s="98">
        <v>12922</v>
      </c>
      <c r="I4629" s="29">
        <v>83010.509999999995</v>
      </c>
      <c r="J4629" s="12" t="s">
        <v>31</v>
      </c>
      <c r="K4629" s="76">
        <f t="shared" si="338"/>
        <v>83010.509999999995</v>
      </c>
      <c r="L4629">
        <v>1</v>
      </c>
      <c r="M4629" s="29">
        <v>0</v>
      </c>
      <c r="N4629" t="s">
        <v>32</v>
      </c>
      <c r="O4629" t="s">
        <v>33</v>
      </c>
      <c r="P4629" t="s">
        <v>34</v>
      </c>
      <c r="Q4629" t="s">
        <v>34</v>
      </c>
      <c r="R4629" t="s">
        <v>34</v>
      </c>
      <c r="S4629" t="s">
        <v>34</v>
      </c>
      <c r="T4629" s="117">
        <v>0</v>
      </c>
    </row>
    <row r="4630" spans="1:21" x14ac:dyDescent="0.35">
      <c r="A4630" t="s">
        <v>20</v>
      </c>
      <c r="B4630" t="s">
        <v>21</v>
      </c>
      <c r="C4630" s="1">
        <v>45884</v>
      </c>
      <c r="D4630">
        <f t="shared" si="335"/>
        <v>15</v>
      </c>
      <c r="E4630">
        <f t="shared" si="336"/>
        <v>8</v>
      </c>
      <c r="F4630">
        <f t="shared" si="337"/>
        <v>2025</v>
      </c>
      <c r="G4630" t="s">
        <v>299</v>
      </c>
      <c r="H4630" s="98">
        <v>12090</v>
      </c>
      <c r="I4630" s="29">
        <v>16689.669999999998</v>
      </c>
      <c r="J4630" s="12" t="s">
        <v>31</v>
      </c>
      <c r="K4630" s="76">
        <f t="shared" si="338"/>
        <v>16689.669999999998</v>
      </c>
      <c r="L4630">
        <v>1</v>
      </c>
      <c r="M4630" s="29">
        <v>0</v>
      </c>
      <c r="N4630" t="s">
        <v>32</v>
      </c>
      <c r="O4630" t="s">
        <v>33</v>
      </c>
      <c r="P4630" t="s">
        <v>34</v>
      </c>
      <c r="Q4630" t="s">
        <v>34</v>
      </c>
      <c r="R4630" t="s">
        <v>34</v>
      </c>
      <c r="S4630" t="s">
        <v>34</v>
      </c>
      <c r="T4630" s="117">
        <v>0</v>
      </c>
    </row>
    <row r="4631" spans="1:21" x14ac:dyDescent="0.35">
      <c r="A4631" t="s">
        <v>19</v>
      </c>
      <c r="B4631" t="s">
        <v>23</v>
      </c>
      <c r="C4631" s="1">
        <v>45889</v>
      </c>
      <c r="D4631">
        <f t="shared" si="335"/>
        <v>20</v>
      </c>
      <c r="E4631">
        <f t="shared" si="336"/>
        <v>8</v>
      </c>
      <c r="F4631">
        <f t="shared" si="337"/>
        <v>2025</v>
      </c>
      <c r="G4631" t="s">
        <v>882</v>
      </c>
      <c r="H4631" s="98">
        <v>13145</v>
      </c>
      <c r="I4631" s="29">
        <v>12560</v>
      </c>
      <c r="J4631" s="12" t="s">
        <v>31</v>
      </c>
      <c r="K4631" s="76">
        <f t="shared" si="338"/>
        <v>12560</v>
      </c>
      <c r="L4631">
        <v>1</v>
      </c>
      <c r="M4631" s="29">
        <v>0</v>
      </c>
      <c r="N4631" t="s">
        <v>32</v>
      </c>
      <c r="O4631" t="s">
        <v>33</v>
      </c>
      <c r="P4631" t="s">
        <v>34</v>
      </c>
      <c r="Q4631" t="s">
        <v>34</v>
      </c>
      <c r="R4631" t="s">
        <v>34</v>
      </c>
      <c r="S4631" t="s">
        <v>34</v>
      </c>
      <c r="T4631" s="117">
        <v>0</v>
      </c>
    </row>
    <row r="4632" spans="1:21" x14ac:dyDescent="0.35">
      <c r="A4632" t="s">
        <v>19</v>
      </c>
      <c r="B4632" t="s">
        <v>23</v>
      </c>
      <c r="C4632" s="1">
        <v>45889</v>
      </c>
      <c r="D4632">
        <f t="shared" si="335"/>
        <v>20</v>
      </c>
      <c r="E4632">
        <f t="shared" si="336"/>
        <v>8</v>
      </c>
      <c r="F4632">
        <f t="shared" si="337"/>
        <v>2025</v>
      </c>
      <c r="G4632" t="s">
        <v>74</v>
      </c>
      <c r="H4632" s="98">
        <v>12825</v>
      </c>
      <c r="I4632" s="29">
        <v>56291.85</v>
      </c>
      <c r="J4632" s="12" t="s">
        <v>31</v>
      </c>
      <c r="K4632" s="76">
        <f t="shared" si="338"/>
        <v>56291.85</v>
      </c>
      <c r="L4632">
        <v>1</v>
      </c>
      <c r="M4632" s="29">
        <v>0</v>
      </c>
      <c r="N4632" t="s">
        <v>32</v>
      </c>
      <c r="O4632" t="s">
        <v>33</v>
      </c>
      <c r="P4632" t="s">
        <v>34</v>
      </c>
      <c r="Q4632" t="s">
        <v>34</v>
      </c>
      <c r="R4632" t="s">
        <v>34</v>
      </c>
      <c r="S4632" t="s">
        <v>34</v>
      </c>
      <c r="T4632" s="117">
        <v>0</v>
      </c>
    </row>
    <row r="4633" spans="1:21" x14ac:dyDescent="0.35">
      <c r="A4633" t="s">
        <v>19</v>
      </c>
      <c r="B4633" t="s">
        <v>21</v>
      </c>
      <c r="C4633" s="1">
        <v>45889</v>
      </c>
      <c r="D4633">
        <f t="shared" ref="D4633:D4703" si="339">DAY(C4633)</f>
        <v>20</v>
      </c>
      <c r="E4633">
        <f t="shared" ref="E4633:E4703" si="340">MONTH(C4633)</f>
        <v>8</v>
      </c>
      <c r="F4633">
        <f t="shared" ref="F4633:F4703" si="341">YEAR(C4633)</f>
        <v>2025</v>
      </c>
      <c r="G4633" t="s">
        <v>75</v>
      </c>
      <c r="H4633" s="98">
        <v>13239</v>
      </c>
      <c r="I4633" s="29">
        <v>11648</v>
      </c>
      <c r="J4633" s="12" t="s">
        <v>31</v>
      </c>
      <c r="K4633" s="76">
        <f t="shared" si="338"/>
        <v>11648</v>
      </c>
      <c r="L4633">
        <v>1</v>
      </c>
      <c r="M4633" s="29">
        <v>0</v>
      </c>
      <c r="N4633" t="s">
        <v>32</v>
      </c>
      <c r="O4633" t="s">
        <v>33</v>
      </c>
      <c r="P4633" t="s">
        <v>34</v>
      </c>
      <c r="Q4633" t="s">
        <v>34</v>
      </c>
      <c r="R4633" t="s">
        <v>34</v>
      </c>
      <c r="S4633" t="s">
        <v>34</v>
      </c>
      <c r="T4633" s="117">
        <v>0</v>
      </c>
    </row>
    <row r="4634" spans="1:21" x14ac:dyDescent="0.35">
      <c r="A4634" t="s">
        <v>19</v>
      </c>
      <c r="B4634" t="s">
        <v>21</v>
      </c>
      <c r="C4634" s="1">
        <v>45889</v>
      </c>
      <c r="D4634">
        <f t="shared" si="339"/>
        <v>20</v>
      </c>
      <c r="E4634">
        <f t="shared" si="340"/>
        <v>8</v>
      </c>
      <c r="F4634">
        <f t="shared" si="341"/>
        <v>2025</v>
      </c>
      <c r="G4634" t="s">
        <v>75</v>
      </c>
      <c r="H4634" s="98">
        <v>13208</v>
      </c>
      <c r="I4634" s="29">
        <v>40197.949999999997</v>
      </c>
      <c r="J4634" s="12" t="s">
        <v>31</v>
      </c>
      <c r="K4634" s="76">
        <f t="shared" si="338"/>
        <v>40197.949999999997</v>
      </c>
      <c r="L4634">
        <v>1</v>
      </c>
      <c r="M4634" s="29">
        <v>0</v>
      </c>
      <c r="N4634" t="s">
        <v>42</v>
      </c>
      <c r="O4634" t="s">
        <v>33</v>
      </c>
      <c r="P4634" t="s">
        <v>34</v>
      </c>
      <c r="Q4634" t="s">
        <v>34</v>
      </c>
      <c r="R4634" t="s">
        <v>34</v>
      </c>
      <c r="S4634" t="s">
        <v>34</v>
      </c>
      <c r="T4634" s="117">
        <v>0</v>
      </c>
    </row>
    <row r="4635" spans="1:21" x14ac:dyDescent="0.35">
      <c r="A4635" t="s">
        <v>19</v>
      </c>
      <c r="B4635" t="s">
        <v>25</v>
      </c>
      <c r="C4635" s="1">
        <v>45889</v>
      </c>
      <c r="D4635">
        <f t="shared" si="339"/>
        <v>20</v>
      </c>
      <c r="E4635">
        <f t="shared" si="340"/>
        <v>8</v>
      </c>
      <c r="F4635">
        <f t="shared" si="341"/>
        <v>2025</v>
      </c>
      <c r="G4635" t="s">
        <v>1146</v>
      </c>
      <c r="H4635" s="98">
        <v>13110</v>
      </c>
      <c r="I4635" s="29">
        <v>13124</v>
      </c>
      <c r="J4635" s="12" t="s">
        <v>51</v>
      </c>
      <c r="K4635" s="76">
        <f t="shared" si="338"/>
        <v>15383.890001659998</v>
      </c>
      <c r="L4635" s="2">
        <v>1.1721952149999999</v>
      </c>
      <c r="M4635" s="29">
        <v>0</v>
      </c>
      <c r="N4635" t="s">
        <v>42</v>
      </c>
      <c r="O4635" t="s">
        <v>33</v>
      </c>
      <c r="P4635" t="s">
        <v>34</v>
      </c>
      <c r="Q4635" t="s">
        <v>34</v>
      </c>
      <c r="R4635" t="s">
        <v>34</v>
      </c>
      <c r="S4635" t="s">
        <v>34</v>
      </c>
      <c r="T4635" s="117">
        <v>0</v>
      </c>
    </row>
    <row r="4636" spans="1:21" x14ac:dyDescent="0.35">
      <c r="A4636" t="s">
        <v>19</v>
      </c>
      <c r="B4636" t="s">
        <v>25</v>
      </c>
      <c r="C4636" s="1">
        <v>45889</v>
      </c>
      <c r="D4636">
        <f t="shared" si="339"/>
        <v>20</v>
      </c>
      <c r="E4636">
        <f t="shared" si="340"/>
        <v>8</v>
      </c>
      <c r="F4636">
        <f t="shared" si="341"/>
        <v>2025</v>
      </c>
      <c r="G4636" t="s">
        <v>93</v>
      </c>
      <c r="H4636" s="98">
        <v>12543</v>
      </c>
      <c r="I4636" s="29">
        <v>6767.53</v>
      </c>
      <c r="J4636" s="12" t="s">
        <v>31</v>
      </c>
      <c r="K4636" s="76">
        <f t="shared" si="338"/>
        <v>6767.53</v>
      </c>
      <c r="L4636">
        <v>1</v>
      </c>
      <c r="M4636" s="29">
        <v>0</v>
      </c>
      <c r="N4636" t="s">
        <v>32</v>
      </c>
      <c r="O4636" t="s">
        <v>33</v>
      </c>
      <c r="P4636" t="s">
        <v>34</v>
      </c>
      <c r="Q4636" t="s">
        <v>34</v>
      </c>
      <c r="R4636" t="s">
        <v>34</v>
      </c>
      <c r="S4636" t="s">
        <v>34</v>
      </c>
      <c r="T4636" s="117">
        <v>0</v>
      </c>
    </row>
    <row r="4637" spans="1:21" x14ac:dyDescent="0.35">
      <c r="A4637" t="s">
        <v>20</v>
      </c>
      <c r="B4637" t="s">
        <v>25</v>
      </c>
      <c r="C4637" s="1">
        <v>45889</v>
      </c>
      <c r="D4637">
        <f t="shared" si="339"/>
        <v>20</v>
      </c>
      <c r="E4637">
        <f t="shared" si="340"/>
        <v>8</v>
      </c>
      <c r="F4637">
        <f t="shared" si="341"/>
        <v>2025</v>
      </c>
      <c r="G4637" t="s">
        <v>50</v>
      </c>
      <c r="H4637" s="98">
        <v>12887</v>
      </c>
      <c r="I4637" s="29">
        <v>34041.15</v>
      </c>
      <c r="J4637" s="12" t="s">
        <v>31</v>
      </c>
      <c r="K4637" s="76">
        <f t="shared" si="338"/>
        <v>34041.15</v>
      </c>
      <c r="L4637">
        <v>1</v>
      </c>
      <c r="M4637" s="29">
        <v>0</v>
      </c>
      <c r="N4637" t="s">
        <v>32</v>
      </c>
      <c r="O4637" t="s">
        <v>33</v>
      </c>
      <c r="P4637" t="s">
        <v>34</v>
      </c>
      <c r="Q4637" t="s">
        <v>34</v>
      </c>
      <c r="R4637" t="s">
        <v>34</v>
      </c>
      <c r="S4637" t="s">
        <v>34</v>
      </c>
      <c r="T4637" s="117">
        <v>0</v>
      </c>
    </row>
    <row r="4638" spans="1:21" x14ac:dyDescent="0.35">
      <c r="A4638" t="s">
        <v>20</v>
      </c>
      <c r="B4638" t="s">
        <v>25</v>
      </c>
      <c r="C4638" s="1">
        <v>45889</v>
      </c>
      <c r="D4638">
        <f t="shared" si="339"/>
        <v>20</v>
      </c>
      <c r="E4638">
        <f t="shared" si="340"/>
        <v>8</v>
      </c>
      <c r="F4638">
        <f t="shared" si="341"/>
        <v>2025</v>
      </c>
      <c r="G4638" t="s">
        <v>50</v>
      </c>
      <c r="H4638" s="98">
        <v>12887</v>
      </c>
      <c r="I4638" s="29">
        <v>19895.7</v>
      </c>
      <c r="J4638" s="12" t="s">
        <v>31</v>
      </c>
      <c r="K4638" s="76">
        <f t="shared" si="338"/>
        <v>19895.7</v>
      </c>
      <c r="L4638">
        <v>1</v>
      </c>
      <c r="M4638" s="29">
        <v>0</v>
      </c>
      <c r="N4638" t="s">
        <v>32</v>
      </c>
      <c r="O4638" t="s">
        <v>33</v>
      </c>
      <c r="P4638" t="s">
        <v>34</v>
      </c>
      <c r="Q4638" t="s">
        <v>34</v>
      </c>
      <c r="R4638" t="s">
        <v>34</v>
      </c>
      <c r="S4638" t="s">
        <v>34</v>
      </c>
      <c r="T4638" s="117">
        <v>0</v>
      </c>
    </row>
    <row r="4639" spans="1:21" x14ac:dyDescent="0.35">
      <c r="A4639" t="s">
        <v>20</v>
      </c>
      <c r="B4639" t="s">
        <v>21</v>
      </c>
      <c r="C4639" s="1">
        <v>45889</v>
      </c>
      <c r="D4639">
        <f t="shared" si="339"/>
        <v>20</v>
      </c>
      <c r="E4639">
        <f t="shared" si="340"/>
        <v>8</v>
      </c>
      <c r="F4639">
        <f t="shared" si="341"/>
        <v>2025</v>
      </c>
      <c r="G4639" t="s">
        <v>82</v>
      </c>
      <c r="H4639" s="160">
        <v>12638</v>
      </c>
      <c r="I4639" s="29">
        <v>31959.14</v>
      </c>
      <c r="J4639" s="12" t="s">
        <v>31</v>
      </c>
      <c r="K4639" s="76">
        <f t="shared" si="338"/>
        <v>31959.14</v>
      </c>
      <c r="L4639">
        <v>1</v>
      </c>
      <c r="M4639" s="29">
        <v>0</v>
      </c>
      <c r="N4639" t="s">
        <v>32</v>
      </c>
      <c r="O4639" t="s">
        <v>33</v>
      </c>
      <c r="P4639" t="s">
        <v>34</v>
      </c>
      <c r="Q4639" t="s">
        <v>34</v>
      </c>
      <c r="R4639" t="s">
        <v>34</v>
      </c>
      <c r="S4639" t="s">
        <v>34</v>
      </c>
      <c r="T4639" s="117">
        <v>0</v>
      </c>
    </row>
    <row r="4640" spans="1:21" x14ac:dyDescent="0.35">
      <c r="A4640" t="s">
        <v>20</v>
      </c>
      <c r="B4640" t="s">
        <v>23</v>
      </c>
      <c r="C4640" s="1">
        <v>45889</v>
      </c>
      <c r="D4640">
        <f t="shared" si="339"/>
        <v>20</v>
      </c>
      <c r="E4640">
        <f t="shared" si="340"/>
        <v>8</v>
      </c>
      <c r="F4640">
        <f t="shared" si="341"/>
        <v>2025</v>
      </c>
      <c r="G4640" t="s">
        <v>82</v>
      </c>
      <c r="H4640" s="160">
        <v>12638</v>
      </c>
      <c r="I4640" s="29">
        <v>8845.68</v>
      </c>
      <c r="J4640" s="12" t="s">
        <v>31</v>
      </c>
      <c r="K4640" s="76">
        <f t="shared" si="338"/>
        <v>8845.68</v>
      </c>
      <c r="L4640">
        <v>1</v>
      </c>
      <c r="M4640" s="29">
        <v>0</v>
      </c>
      <c r="N4640" t="s">
        <v>32</v>
      </c>
      <c r="O4640" t="s">
        <v>33</v>
      </c>
      <c r="P4640" t="s">
        <v>34</v>
      </c>
      <c r="Q4640" t="s">
        <v>34</v>
      </c>
      <c r="R4640" t="s">
        <v>34</v>
      </c>
      <c r="S4640" t="s">
        <v>34</v>
      </c>
      <c r="T4640" s="117">
        <v>0</v>
      </c>
    </row>
    <row r="4641" spans="1:21" x14ac:dyDescent="0.35">
      <c r="A4641" t="s">
        <v>20</v>
      </c>
      <c r="B4641" t="s">
        <v>23</v>
      </c>
      <c r="C4641" s="1">
        <v>45889</v>
      </c>
      <c r="D4641">
        <f t="shared" si="339"/>
        <v>20</v>
      </c>
      <c r="E4641">
        <f t="shared" si="340"/>
        <v>8</v>
      </c>
      <c r="F4641">
        <f t="shared" si="341"/>
        <v>2025</v>
      </c>
      <c r="G4641" t="s">
        <v>82</v>
      </c>
      <c r="H4641" s="186">
        <v>13266</v>
      </c>
      <c r="I4641" s="76">
        <v>31.8</v>
      </c>
      <c r="J4641" s="12" t="s">
        <v>31</v>
      </c>
      <c r="K4641" s="76">
        <f t="shared" si="338"/>
        <v>31.8</v>
      </c>
      <c r="L4641">
        <v>1</v>
      </c>
      <c r="M4641" s="29">
        <v>0</v>
      </c>
      <c r="N4641" t="s">
        <v>32</v>
      </c>
      <c r="O4641" t="s">
        <v>33</v>
      </c>
      <c r="P4641" t="s">
        <v>34</v>
      </c>
      <c r="Q4641" t="s">
        <v>34</v>
      </c>
      <c r="R4641" t="s">
        <v>34</v>
      </c>
      <c r="S4641" t="s">
        <v>34</v>
      </c>
      <c r="T4641" s="117">
        <v>0</v>
      </c>
    </row>
    <row r="4642" spans="1:21" x14ac:dyDescent="0.35">
      <c r="A4642" t="s">
        <v>20</v>
      </c>
      <c r="B4642" t="s">
        <v>21</v>
      </c>
      <c r="C4642" s="1">
        <v>45889</v>
      </c>
      <c r="D4642">
        <f t="shared" ref="D4642:D4643" si="342">DAY(C4642)</f>
        <v>20</v>
      </c>
      <c r="E4642">
        <f t="shared" ref="E4642:E4643" si="343">MONTH(C4642)</f>
        <v>8</v>
      </c>
      <c r="F4642">
        <f t="shared" ref="F4642:F4643" si="344">YEAR(C4642)</f>
        <v>2025</v>
      </c>
      <c r="G4642" t="s">
        <v>595</v>
      </c>
      <c r="H4642" s="186">
        <v>12671</v>
      </c>
      <c r="I4642" s="76">
        <v>33721.620000000003</v>
      </c>
      <c r="J4642" s="12" t="s">
        <v>31</v>
      </c>
      <c r="K4642" s="76">
        <f t="shared" ref="K4642:K4643" si="345">IF(J4642="USD",I4642,I4642*L4642)</f>
        <v>33721.620000000003</v>
      </c>
      <c r="L4642">
        <v>1</v>
      </c>
      <c r="M4642" s="29">
        <v>0</v>
      </c>
      <c r="N4642" t="s">
        <v>32</v>
      </c>
      <c r="O4642" t="s">
        <v>33</v>
      </c>
      <c r="P4642" t="s">
        <v>34</v>
      </c>
      <c r="Q4642" t="s">
        <v>34</v>
      </c>
      <c r="R4642" t="s">
        <v>34</v>
      </c>
      <c r="S4642" t="s">
        <v>34</v>
      </c>
      <c r="T4642" s="117">
        <v>0</v>
      </c>
      <c r="U4642" s="209" t="s">
        <v>1394</v>
      </c>
    </row>
    <row r="4643" spans="1:21" x14ac:dyDescent="0.35">
      <c r="A4643" t="s">
        <v>20</v>
      </c>
      <c r="B4643" t="s">
        <v>21</v>
      </c>
      <c r="C4643" s="1">
        <v>45889</v>
      </c>
      <c r="D4643">
        <f t="shared" si="342"/>
        <v>20</v>
      </c>
      <c r="E4643">
        <f t="shared" si="343"/>
        <v>8</v>
      </c>
      <c r="F4643">
        <f t="shared" si="344"/>
        <v>2025</v>
      </c>
      <c r="G4643" t="s">
        <v>595</v>
      </c>
      <c r="H4643" s="186">
        <v>13538</v>
      </c>
      <c r="I4643" s="76">
        <v>5836.83</v>
      </c>
      <c r="J4643" s="12" t="s">
        <v>31</v>
      </c>
      <c r="K4643" s="76">
        <f t="shared" si="345"/>
        <v>5836.83</v>
      </c>
      <c r="L4643">
        <v>1</v>
      </c>
      <c r="M4643" s="29">
        <v>0</v>
      </c>
      <c r="N4643" t="s">
        <v>32</v>
      </c>
      <c r="O4643" t="s">
        <v>33</v>
      </c>
      <c r="P4643" t="s">
        <v>34</v>
      </c>
      <c r="Q4643" t="s">
        <v>34</v>
      </c>
      <c r="R4643" t="s">
        <v>34</v>
      </c>
      <c r="S4643" t="s">
        <v>34</v>
      </c>
      <c r="T4643" s="117">
        <v>0</v>
      </c>
      <c r="U4643" s="209" t="s">
        <v>1394</v>
      </c>
    </row>
    <row r="4644" spans="1:21" x14ac:dyDescent="0.35">
      <c r="A4644" t="s">
        <v>20</v>
      </c>
      <c r="B4644" t="s">
        <v>23</v>
      </c>
      <c r="C4644" s="1">
        <v>45889</v>
      </c>
      <c r="D4644">
        <f t="shared" si="339"/>
        <v>20</v>
      </c>
      <c r="E4644">
        <f t="shared" si="340"/>
        <v>8</v>
      </c>
      <c r="F4644">
        <f t="shared" si="341"/>
        <v>2025</v>
      </c>
      <c r="G4644" t="s">
        <v>595</v>
      </c>
      <c r="H4644" s="186">
        <v>13842</v>
      </c>
      <c r="I4644" s="76">
        <v>704.52000000000044</v>
      </c>
      <c r="J4644" s="12" t="s">
        <v>31</v>
      </c>
      <c r="K4644" s="76">
        <f t="shared" si="338"/>
        <v>704.52000000000044</v>
      </c>
      <c r="L4644">
        <v>1</v>
      </c>
      <c r="M4644" s="29">
        <v>0</v>
      </c>
      <c r="N4644" t="s">
        <v>42</v>
      </c>
      <c r="O4644" t="s">
        <v>33</v>
      </c>
      <c r="P4644" t="s">
        <v>34</v>
      </c>
      <c r="Q4644" t="s">
        <v>34</v>
      </c>
      <c r="R4644" t="s">
        <v>34</v>
      </c>
      <c r="S4644" t="s">
        <v>34</v>
      </c>
      <c r="T4644" s="117">
        <v>0</v>
      </c>
    </row>
    <row r="4645" spans="1:21" x14ac:dyDescent="0.35">
      <c r="A4645" t="s">
        <v>20</v>
      </c>
      <c r="B4645" t="s">
        <v>23</v>
      </c>
      <c r="C4645" s="1">
        <v>45889</v>
      </c>
      <c r="D4645">
        <f t="shared" ref="D4645" si="346">DAY(C4645)</f>
        <v>20</v>
      </c>
      <c r="E4645">
        <f t="shared" ref="E4645" si="347">MONTH(C4645)</f>
        <v>8</v>
      </c>
      <c r="F4645">
        <f t="shared" ref="F4645" si="348">YEAR(C4645)</f>
        <v>2025</v>
      </c>
      <c r="G4645" t="s">
        <v>118</v>
      </c>
      <c r="H4645" s="186">
        <v>13485</v>
      </c>
      <c r="I4645" s="76">
        <v>21</v>
      </c>
      <c r="J4645" s="12" t="s">
        <v>31</v>
      </c>
      <c r="K4645" s="76">
        <f t="shared" ref="K4645" si="349">IF(J4645="USD",I4645,I4645*L4645)</f>
        <v>21</v>
      </c>
      <c r="L4645">
        <v>1</v>
      </c>
      <c r="M4645" s="29">
        <v>0</v>
      </c>
      <c r="N4645" t="s">
        <v>42</v>
      </c>
      <c r="O4645" t="s">
        <v>33</v>
      </c>
      <c r="P4645" t="s">
        <v>34</v>
      </c>
      <c r="Q4645" t="s">
        <v>34</v>
      </c>
      <c r="R4645" t="s">
        <v>34</v>
      </c>
      <c r="S4645" t="s">
        <v>34</v>
      </c>
      <c r="T4645" s="117">
        <v>0</v>
      </c>
      <c r="U4645" s="209" t="s">
        <v>1390</v>
      </c>
    </row>
    <row r="4646" spans="1:21" x14ac:dyDescent="0.35">
      <c r="A4646" t="s">
        <v>20</v>
      </c>
      <c r="B4646" t="s">
        <v>23</v>
      </c>
      <c r="C4646" s="1">
        <v>45889</v>
      </c>
      <c r="D4646">
        <f t="shared" si="339"/>
        <v>20</v>
      </c>
      <c r="E4646">
        <f t="shared" si="340"/>
        <v>8</v>
      </c>
      <c r="F4646">
        <f t="shared" si="341"/>
        <v>2025</v>
      </c>
      <c r="G4646" t="s">
        <v>118</v>
      </c>
      <c r="H4646" s="160">
        <v>13304</v>
      </c>
      <c r="I4646" s="29">
        <v>420</v>
      </c>
      <c r="J4646" s="12" t="s">
        <v>31</v>
      </c>
      <c r="K4646" s="76">
        <f t="shared" si="338"/>
        <v>420</v>
      </c>
      <c r="L4646">
        <v>1</v>
      </c>
      <c r="M4646" s="29">
        <v>0</v>
      </c>
      <c r="N4646" t="s">
        <v>42</v>
      </c>
      <c r="O4646" t="s">
        <v>33</v>
      </c>
      <c r="P4646" t="s">
        <v>34</v>
      </c>
      <c r="Q4646" t="s">
        <v>34</v>
      </c>
      <c r="R4646" t="s">
        <v>34</v>
      </c>
      <c r="S4646" t="s">
        <v>34</v>
      </c>
      <c r="T4646" s="117">
        <v>0</v>
      </c>
      <c r="U4646" s="209" t="s">
        <v>1390</v>
      </c>
    </row>
    <row r="4647" spans="1:21" x14ac:dyDescent="0.35">
      <c r="A4647" t="s">
        <v>20</v>
      </c>
      <c r="B4647" t="s">
        <v>25</v>
      </c>
      <c r="C4647" s="1">
        <v>45889</v>
      </c>
      <c r="D4647">
        <f t="shared" si="339"/>
        <v>20</v>
      </c>
      <c r="E4647">
        <f t="shared" si="340"/>
        <v>8</v>
      </c>
      <c r="F4647">
        <f t="shared" si="341"/>
        <v>2025</v>
      </c>
      <c r="G4647" t="s">
        <v>118</v>
      </c>
      <c r="H4647" s="160">
        <v>13487</v>
      </c>
      <c r="I4647" s="29">
        <v>126</v>
      </c>
      <c r="J4647" s="12" t="s">
        <v>31</v>
      </c>
      <c r="K4647" s="76">
        <f t="shared" si="338"/>
        <v>126</v>
      </c>
      <c r="L4647">
        <v>1</v>
      </c>
      <c r="M4647" s="29">
        <v>0</v>
      </c>
      <c r="N4647" t="s">
        <v>42</v>
      </c>
      <c r="O4647" t="s">
        <v>33</v>
      </c>
      <c r="P4647" t="s">
        <v>34</v>
      </c>
      <c r="Q4647" t="s">
        <v>34</v>
      </c>
      <c r="R4647" t="s">
        <v>34</v>
      </c>
      <c r="S4647" t="s">
        <v>34</v>
      </c>
      <c r="T4647" s="117">
        <v>0</v>
      </c>
    </row>
    <row r="4648" spans="1:21" x14ac:dyDescent="0.35">
      <c r="A4648" t="s">
        <v>20</v>
      </c>
      <c r="B4648" t="s">
        <v>25</v>
      </c>
      <c r="C4648" s="1">
        <v>45889</v>
      </c>
      <c r="D4648">
        <f t="shared" si="339"/>
        <v>20</v>
      </c>
      <c r="E4648">
        <f t="shared" si="340"/>
        <v>8</v>
      </c>
      <c r="F4648">
        <f t="shared" si="341"/>
        <v>2025</v>
      </c>
      <c r="G4648" t="s">
        <v>118</v>
      </c>
      <c r="H4648" s="160">
        <v>13603</v>
      </c>
      <c r="I4648" s="29">
        <v>238</v>
      </c>
      <c r="J4648" s="12" t="s">
        <v>31</v>
      </c>
      <c r="K4648" s="76">
        <f t="shared" si="338"/>
        <v>238</v>
      </c>
      <c r="L4648">
        <v>1</v>
      </c>
      <c r="M4648" s="29">
        <v>0</v>
      </c>
      <c r="N4648" t="s">
        <v>42</v>
      </c>
      <c r="O4648" t="s">
        <v>33</v>
      </c>
      <c r="P4648" t="s">
        <v>34</v>
      </c>
      <c r="Q4648" t="s">
        <v>34</v>
      </c>
      <c r="R4648" t="s">
        <v>34</v>
      </c>
      <c r="S4648" t="s">
        <v>34</v>
      </c>
      <c r="T4648" s="117">
        <v>0</v>
      </c>
    </row>
    <row r="4649" spans="1:21" x14ac:dyDescent="0.35">
      <c r="A4649" t="s">
        <v>20</v>
      </c>
      <c r="B4649" t="s">
        <v>25</v>
      </c>
      <c r="C4649" s="1">
        <v>45889</v>
      </c>
      <c r="D4649">
        <f t="shared" ref="D4649" si="350">DAY(C4649)</f>
        <v>20</v>
      </c>
      <c r="E4649">
        <f t="shared" ref="E4649" si="351">MONTH(C4649)</f>
        <v>8</v>
      </c>
      <c r="F4649">
        <f t="shared" ref="F4649" si="352">YEAR(C4649)</f>
        <v>2025</v>
      </c>
      <c r="G4649" t="s">
        <v>118</v>
      </c>
      <c r="H4649" s="160">
        <v>13832</v>
      </c>
      <c r="I4649" s="29">
        <v>151.19999999999999</v>
      </c>
      <c r="J4649" s="12" t="s">
        <v>31</v>
      </c>
      <c r="K4649" s="76">
        <f t="shared" ref="K4649" si="353">IF(J4649="USD",I4649,I4649*L4649)</f>
        <v>151.19999999999999</v>
      </c>
      <c r="L4649">
        <v>1</v>
      </c>
      <c r="M4649" s="29">
        <v>0</v>
      </c>
      <c r="N4649" t="s">
        <v>42</v>
      </c>
      <c r="O4649" t="s">
        <v>33</v>
      </c>
      <c r="P4649" t="s">
        <v>34</v>
      </c>
      <c r="Q4649" t="s">
        <v>34</v>
      </c>
      <c r="R4649" t="s">
        <v>34</v>
      </c>
      <c r="S4649" t="s">
        <v>34</v>
      </c>
      <c r="T4649" s="117">
        <v>0</v>
      </c>
    </row>
    <row r="4650" spans="1:21" x14ac:dyDescent="0.35">
      <c r="A4650" t="s">
        <v>20</v>
      </c>
      <c r="B4650" t="s">
        <v>25</v>
      </c>
      <c r="C4650" s="1">
        <v>45889</v>
      </c>
      <c r="D4650">
        <f t="shared" si="339"/>
        <v>20</v>
      </c>
      <c r="E4650">
        <f t="shared" si="340"/>
        <v>8</v>
      </c>
      <c r="F4650">
        <f t="shared" si="341"/>
        <v>2025</v>
      </c>
      <c r="G4650" t="s">
        <v>118</v>
      </c>
      <c r="H4650" s="160">
        <v>13489</v>
      </c>
      <c r="I4650" s="29">
        <v>2520</v>
      </c>
      <c r="J4650" s="12" t="s">
        <v>31</v>
      </c>
      <c r="K4650" s="76">
        <f t="shared" si="338"/>
        <v>2520</v>
      </c>
      <c r="L4650">
        <v>1</v>
      </c>
      <c r="M4650" s="29">
        <v>0</v>
      </c>
      <c r="N4650" t="s">
        <v>42</v>
      </c>
      <c r="O4650" t="s">
        <v>33</v>
      </c>
      <c r="P4650" t="s">
        <v>34</v>
      </c>
      <c r="Q4650" t="s">
        <v>34</v>
      </c>
      <c r="R4650" t="s">
        <v>34</v>
      </c>
      <c r="S4650" t="s">
        <v>34</v>
      </c>
      <c r="T4650" s="117">
        <v>0</v>
      </c>
    </row>
    <row r="4651" spans="1:21" x14ac:dyDescent="0.35">
      <c r="A4651" t="s">
        <v>20</v>
      </c>
      <c r="B4651" t="s">
        <v>25</v>
      </c>
      <c r="C4651" s="1">
        <v>45889</v>
      </c>
      <c r="D4651">
        <f t="shared" si="339"/>
        <v>20</v>
      </c>
      <c r="E4651">
        <f t="shared" si="340"/>
        <v>8</v>
      </c>
      <c r="F4651">
        <f t="shared" si="341"/>
        <v>2025</v>
      </c>
      <c r="G4651" t="s">
        <v>118</v>
      </c>
      <c r="H4651" s="98">
        <v>13760</v>
      </c>
      <c r="I4651" s="29">
        <v>4681.8</v>
      </c>
      <c r="J4651" s="12" t="s">
        <v>31</v>
      </c>
      <c r="K4651" s="76">
        <f t="shared" si="338"/>
        <v>4681.8</v>
      </c>
      <c r="L4651">
        <v>1</v>
      </c>
      <c r="M4651" s="29">
        <v>0</v>
      </c>
      <c r="N4651" t="s">
        <v>42</v>
      </c>
      <c r="O4651" t="s">
        <v>33</v>
      </c>
      <c r="P4651" t="s">
        <v>34</v>
      </c>
      <c r="Q4651" t="s">
        <v>34</v>
      </c>
      <c r="R4651" t="s">
        <v>34</v>
      </c>
      <c r="S4651" t="s">
        <v>34</v>
      </c>
      <c r="T4651" s="117">
        <v>0</v>
      </c>
      <c r="U4651" s="213">
        <v>13490</v>
      </c>
    </row>
    <row r="4652" spans="1:21" x14ac:dyDescent="0.35">
      <c r="A4652" t="s">
        <v>20</v>
      </c>
      <c r="B4652" t="s">
        <v>25</v>
      </c>
      <c r="C4652" s="1">
        <v>45889</v>
      </c>
      <c r="D4652">
        <f t="shared" si="339"/>
        <v>20</v>
      </c>
      <c r="E4652">
        <f t="shared" si="340"/>
        <v>8</v>
      </c>
      <c r="F4652">
        <f t="shared" si="341"/>
        <v>2025</v>
      </c>
      <c r="G4652" t="s">
        <v>174</v>
      </c>
      <c r="H4652" s="98">
        <v>13491</v>
      </c>
      <c r="I4652" s="29">
        <v>88.6</v>
      </c>
      <c r="J4652" s="12" t="s">
        <v>31</v>
      </c>
      <c r="K4652" s="76">
        <f t="shared" si="338"/>
        <v>88.6</v>
      </c>
      <c r="L4652">
        <v>1</v>
      </c>
      <c r="M4652" s="29">
        <v>0</v>
      </c>
      <c r="N4652" t="s">
        <v>42</v>
      </c>
      <c r="O4652" t="s">
        <v>33</v>
      </c>
      <c r="P4652" t="s">
        <v>34</v>
      </c>
      <c r="Q4652" t="s">
        <v>34</v>
      </c>
      <c r="R4652" t="s">
        <v>34</v>
      </c>
      <c r="S4652" t="s">
        <v>34</v>
      </c>
      <c r="T4652" s="117">
        <v>0</v>
      </c>
    </row>
    <row r="4653" spans="1:21" x14ac:dyDescent="0.35">
      <c r="A4653" t="s">
        <v>20</v>
      </c>
      <c r="B4653" t="s">
        <v>25</v>
      </c>
      <c r="C4653" s="1">
        <v>45889</v>
      </c>
      <c r="D4653">
        <f t="shared" si="339"/>
        <v>20</v>
      </c>
      <c r="E4653">
        <f t="shared" si="340"/>
        <v>8</v>
      </c>
      <c r="F4653">
        <f t="shared" si="341"/>
        <v>2025</v>
      </c>
      <c r="G4653" t="s">
        <v>174</v>
      </c>
      <c r="H4653" s="98">
        <v>13492</v>
      </c>
      <c r="I4653" s="29">
        <v>35</v>
      </c>
      <c r="J4653" s="12" t="s">
        <v>31</v>
      </c>
      <c r="K4653" s="76">
        <f t="shared" si="338"/>
        <v>35</v>
      </c>
      <c r="L4653">
        <v>1</v>
      </c>
      <c r="M4653" s="29">
        <v>0</v>
      </c>
      <c r="N4653" t="s">
        <v>42</v>
      </c>
      <c r="O4653" t="s">
        <v>33</v>
      </c>
      <c r="P4653" t="s">
        <v>34</v>
      </c>
      <c r="Q4653" t="s">
        <v>34</v>
      </c>
      <c r="R4653" t="s">
        <v>34</v>
      </c>
      <c r="S4653" t="s">
        <v>34</v>
      </c>
      <c r="T4653" s="117">
        <v>0</v>
      </c>
    </row>
    <row r="4654" spans="1:21" x14ac:dyDescent="0.35">
      <c r="A4654" t="s">
        <v>20</v>
      </c>
      <c r="B4654" t="s">
        <v>25</v>
      </c>
      <c r="C4654" s="1">
        <v>45889</v>
      </c>
      <c r="D4654">
        <f t="shared" si="339"/>
        <v>20</v>
      </c>
      <c r="E4654">
        <f t="shared" si="340"/>
        <v>8</v>
      </c>
      <c r="F4654">
        <f t="shared" si="341"/>
        <v>2025</v>
      </c>
      <c r="G4654" t="s">
        <v>174</v>
      </c>
      <c r="H4654" s="98">
        <v>13493</v>
      </c>
      <c r="I4654" s="29">
        <v>1939.5</v>
      </c>
      <c r="J4654" s="12" t="s">
        <v>31</v>
      </c>
      <c r="K4654" s="76">
        <f t="shared" si="338"/>
        <v>1939.5</v>
      </c>
      <c r="L4654">
        <v>1</v>
      </c>
      <c r="M4654" s="29">
        <v>0</v>
      </c>
      <c r="N4654" t="s">
        <v>42</v>
      </c>
      <c r="O4654" t="s">
        <v>33</v>
      </c>
      <c r="P4654" t="s">
        <v>34</v>
      </c>
      <c r="Q4654" t="s">
        <v>34</v>
      </c>
      <c r="R4654" t="s">
        <v>34</v>
      </c>
      <c r="S4654" t="s">
        <v>34</v>
      </c>
      <c r="T4654" s="117">
        <v>0</v>
      </c>
    </row>
    <row r="4655" spans="1:21" x14ac:dyDescent="0.35">
      <c r="A4655" t="s">
        <v>20</v>
      </c>
      <c r="B4655" t="s">
        <v>25</v>
      </c>
      <c r="C4655" s="1">
        <v>45889</v>
      </c>
      <c r="D4655">
        <f t="shared" si="339"/>
        <v>20</v>
      </c>
      <c r="E4655">
        <f t="shared" si="340"/>
        <v>8</v>
      </c>
      <c r="F4655">
        <f t="shared" si="341"/>
        <v>2025</v>
      </c>
      <c r="G4655" t="s">
        <v>174</v>
      </c>
      <c r="H4655" s="98">
        <v>14021</v>
      </c>
      <c r="I4655" s="29">
        <v>892.5</v>
      </c>
      <c r="J4655" s="12" t="s">
        <v>31</v>
      </c>
      <c r="K4655" s="76">
        <f t="shared" si="338"/>
        <v>892.5</v>
      </c>
      <c r="L4655">
        <v>1</v>
      </c>
      <c r="M4655" s="29">
        <v>0</v>
      </c>
      <c r="N4655" t="s">
        <v>42</v>
      </c>
      <c r="O4655" t="s">
        <v>33</v>
      </c>
      <c r="P4655" t="s">
        <v>34</v>
      </c>
      <c r="Q4655" t="s">
        <v>34</v>
      </c>
      <c r="R4655" t="s">
        <v>34</v>
      </c>
      <c r="S4655" t="s">
        <v>34</v>
      </c>
      <c r="T4655" s="117">
        <v>0</v>
      </c>
      <c r="U4655" s="209">
        <v>13494</v>
      </c>
    </row>
    <row r="4656" spans="1:21" x14ac:dyDescent="0.35">
      <c r="A4656" t="s">
        <v>20</v>
      </c>
      <c r="B4656" t="s">
        <v>23</v>
      </c>
      <c r="C4656" s="1">
        <v>45889</v>
      </c>
      <c r="D4656">
        <f t="shared" si="339"/>
        <v>20</v>
      </c>
      <c r="E4656">
        <f t="shared" si="340"/>
        <v>8</v>
      </c>
      <c r="F4656">
        <f t="shared" si="341"/>
        <v>2025</v>
      </c>
      <c r="G4656" t="s">
        <v>1109</v>
      </c>
      <c r="H4656" s="98">
        <v>13495</v>
      </c>
      <c r="I4656" s="29">
        <v>131.80000000000001</v>
      </c>
      <c r="J4656" s="12" t="s">
        <v>31</v>
      </c>
      <c r="K4656" s="76">
        <f t="shared" si="338"/>
        <v>131.80000000000001</v>
      </c>
      <c r="L4656">
        <v>1</v>
      </c>
      <c r="M4656" s="29">
        <v>0</v>
      </c>
      <c r="N4656" t="s">
        <v>42</v>
      </c>
      <c r="O4656" t="s">
        <v>33</v>
      </c>
      <c r="P4656" t="s">
        <v>34</v>
      </c>
      <c r="Q4656" t="s">
        <v>34</v>
      </c>
      <c r="R4656" t="s">
        <v>34</v>
      </c>
      <c r="S4656" t="s">
        <v>34</v>
      </c>
      <c r="T4656" s="117">
        <v>0</v>
      </c>
    </row>
    <row r="4657" spans="1:21" x14ac:dyDescent="0.35">
      <c r="A4657" t="s">
        <v>20</v>
      </c>
      <c r="B4657" t="s">
        <v>23</v>
      </c>
      <c r="C4657" s="1">
        <v>45889</v>
      </c>
      <c r="D4657">
        <f t="shared" si="339"/>
        <v>20</v>
      </c>
      <c r="E4657">
        <f t="shared" si="340"/>
        <v>8</v>
      </c>
      <c r="F4657">
        <f t="shared" si="341"/>
        <v>2025</v>
      </c>
      <c r="G4657" t="s">
        <v>1109</v>
      </c>
      <c r="H4657" s="98">
        <v>13496</v>
      </c>
      <c r="I4657" s="29">
        <v>2427.2000000000003</v>
      </c>
      <c r="J4657" s="12" t="s">
        <v>31</v>
      </c>
      <c r="K4657" s="76">
        <f t="shared" si="338"/>
        <v>2427.2000000000003</v>
      </c>
      <c r="L4657">
        <v>1</v>
      </c>
      <c r="M4657" s="29">
        <v>0</v>
      </c>
      <c r="N4657" t="s">
        <v>42</v>
      </c>
      <c r="O4657" t="s">
        <v>33</v>
      </c>
      <c r="P4657" t="s">
        <v>34</v>
      </c>
      <c r="Q4657" t="s">
        <v>34</v>
      </c>
      <c r="R4657" t="s">
        <v>34</v>
      </c>
      <c r="S4657" t="s">
        <v>34</v>
      </c>
      <c r="T4657" s="117">
        <v>0</v>
      </c>
    </row>
    <row r="4658" spans="1:21" x14ac:dyDescent="0.35">
      <c r="A4658" t="s">
        <v>20</v>
      </c>
      <c r="B4658" t="s">
        <v>23</v>
      </c>
      <c r="C4658" s="1">
        <v>45889</v>
      </c>
      <c r="D4658">
        <f t="shared" si="339"/>
        <v>20</v>
      </c>
      <c r="E4658">
        <f t="shared" si="340"/>
        <v>8</v>
      </c>
      <c r="F4658">
        <f t="shared" si="341"/>
        <v>2025</v>
      </c>
      <c r="G4658" t="s">
        <v>1109</v>
      </c>
      <c r="H4658" s="98">
        <v>13496</v>
      </c>
      <c r="I4658" s="29">
        <v>1016.4</v>
      </c>
      <c r="J4658" s="12" t="s">
        <v>31</v>
      </c>
      <c r="K4658" s="76">
        <f t="shared" si="338"/>
        <v>1016.4</v>
      </c>
      <c r="L4658">
        <v>1</v>
      </c>
      <c r="M4658" s="29">
        <v>0</v>
      </c>
      <c r="N4658" t="s">
        <v>42</v>
      </c>
      <c r="O4658" t="s">
        <v>33</v>
      </c>
      <c r="P4658" t="s">
        <v>34</v>
      </c>
      <c r="Q4658" t="s">
        <v>34</v>
      </c>
      <c r="R4658" t="s">
        <v>34</v>
      </c>
      <c r="S4658" t="s">
        <v>34</v>
      </c>
      <c r="T4658" s="117">
        <v>0</v>
      </c>
    </row>
    <row r="4659" spans="1:21" x14ac:dyDescent="0.35">
      <c r="A4659" t="s">
        <v>20</v>
      </c>
      <c r="B4659" t="s">
        <v>24</v>
      </c>
      <c r="C4659" s="1">
        <v>45889</v>
      </c>
      <c r="D4659">
        <f t="shared" si="339"/>
        <v>20</v>
      </c>
      <c r="E4659">
        <f t="shared" si="340"/>
        <v>8</v>
      </c>
      <c r="F4659">
        <f t="shared" si="341"/>
        <v>2025</v>
      </c>
      <c r="G4659" t="s">
        <v>265</v>
      </c>
      <c r="H4659" s="98">
        <v>13497</v>
      </c>
      <c r="I4659" s="29">
        <v>326</v>
      </c>
      <c r="J4659" s="12" t="s">
        <v>31</v>
      </c>
      <c r="K4659" s="76">
        <f t="shared" si="338"/>
        <v>326</v>
      </c>
      <c r="L4659">
        <v>1</v>
      </c>
      <c r="M4659" s="29">
        <v>0</v>
      </c>
      <c r="N4659" t="s">
        <v>42</v>
      </c>
      <c r="O4659" t="s">
        <v>33</v>
      </c>
      <c r="P4659" t="s">
        <v>34</v>
      </c>
      <c r="Q4659" t="s">
        <v>34</v>
      </c>
      <c r="R4659" t="s">
        <v>34</v>
      </c>
      <c r="S4659" t="s">
        <v>34</v>
      </c>
      <c r="T4659" s="117">
        <v>0</v>
      </c>
    </row>
    <row r="4660" spans="1:21" x14ac:dyDescent="0.35">
      <c r="A4660" t="s">
        <v>20</v>
      </c>
      <c r="B4660" t="s">
        <v>24</v>
      </c>
      <c r="C4660" s="1">
        <v>45889</v>
      </c>
      <c r="D4660">
        <f t="shared" si="339"/>
        <v>20</v>
      </c>
      <c r="E4660">
        <f t="shared" si="340"/>
        <v>8</v>
      </c>
      <c r="F4660">
        <f t="shared" si="341"/>
        <v>2025</v>
      </c>
      <c r="G4660" t="s">
        <v>265</v>
      </c>
      <c r="H4660" s="98">
        <v>13498</v>
      </c>
      <c r="I4660" s="29">
        <v>5028</v>
      </c>
      <c r="J4660" s="12" t="s">
        <v>31</v>
      </c>
      <c r="K4660" s="76">
        <f t="shared" si="338"/>
        <v>5028</v>
      </c>
      <c r="L4660">
        <v>1</v>
      </c>
      <c r="M4660" s="29">
        <v>0</v>
      </c>
      <c r="N4660" t="s">
        <v>42</v>
      </c>
      <c r="O4660" t="s">
        <v>33</v>
      </c>
      <c r="P4660" t="s">
        <v>34</v>
      </c>
      <c r="Q4660" t="s">
        <v>34</v>
      </c>
      <c r="R4660" t="s">
        <v>34</v>
      </c>
      <c r="S4660" t="s">
        <v>34</v>
      </c>
      <c r="T4660" s="117">
        <v>0</v>
      </c>
    </row>
    <row r="4661" spans="1:21" x14ac:dyDescent="0.35">
      <c r="A4661" t="s">
        <v>20</v>
      </c>
      <c r="B4661" t="s">
        <v>21</v>
      </c>
      <c r="C4661" s="1">
        <v>45889</v>
      </c>
      <c r="D4661">
        <f t="shared" si="339"/>
        <v>20</v>
      </c>
      <c r="E4661">
        <f t="shared" si="340"/>
        <v>8</v>
      </c>
      <c r="F4661">
        <f t="shared" si="341"/>
        <v>2025</v>
      </c>
      <c r="G4661" t="s">
        <v>1110</v>
      </c>
      <c r="H4661" s="98">
        <v>13004</v>
      </c>
      <c r="I4661" s="29">
        <v>11977.5</v>
      </c>
      <c r="J4661" s="12" t="s">
        <v>31</v>
      </c>
      <c r="K4661" s="76">
        <f t="shared" si="338"/>
        <v>11977.5</v>
      </c>
      <c r="L4661">
        <v>1</v>
      </c>
      <c r="M4661" s="29">
        <v>0</v>
      </c>
      <c r="N4661" t="s">
        <v>42</v>
      </c>
      <c r="O4661" t="s">
        <v>33</v>
      </c>
      <c r="P4661" t="s">
        <v>34</v>
      </c>
      <c r="Q4661" t="s">
        <v>34</v>
      </c>
      <c r="R4661" t="s">
        <v>34</v>
      </c>
      <c r="S4661" t="s">
        <v>34</v>
      </c>
      <c r="T4661" s="117">
        <v>0</v>
      </c>
    </row>
    <row r="4662" spans="1:21" x14ac:dyDescent="0.35">
      <c r="A4662" t="s">
        <v>20</v>
      </c>
      <c r="B4662" t="s">
        <v>25</v>
      </c>
      <c r="C4662" s="1">
        <v>45889</v>
      </c>
      <c r="D4662">
        <f t="shared" si="339"/>
        <v>20</v>
      </c>
      <c r="E4662">
        <f t="shared" si="340"/>
        <v>8</v>
      </c>
      <c r="F4662">
        <f t="shared" si="341"/>
        <v>2025</v>
      </c>
      <c r="G4662" t="s">
        <v>84</v>
      </c>
      <c r="H4662" s="98">
        <v>12743</v>
      </c>
      <c r="I4662" s="29">
        <v>5152.3</v>
      </c>
      <c r="J4662" s="12" t="s">
        <v>31</v>
      </c>
      <c r="K4662" s="76">
        <f t="shared" si="338"/>
        <v>5152.3</v>
      </c>
      <c r="L4662">
        <v>1</v>
      </c>
      <c r="M4662" s="29">
        <v>0</v>
      </c>
      <c r="N4662" t="s">
        <v>32</v>
      </c>
      <c r="O4662" t="s">
        <v>33</v>
      </c>
      <c r="P4662" t="s">
        <v>34</v>
      </c>
      <c r="Q4662" t="s">
        <v>34</v>
      </c>
      <c r="R4662" t="s">
        <v>34</v>
      </c>
      <c r="S4662" t="s">
        <v>34</v>
      </c>
      <c r="T4662" s="117">
        <v>0</v>
      </c>
    </row>
    <row r="4663" spans="1:21" x14ac:dyDescent="0.35">
      <c r="A4663" t="s">
        <v>20</v>
      </c>
      <c r="B4663" t="s">
        <v>21</v>
      </c>
      <c r="C4663" s="1">
        <v>45889</v>
      </c>
      <c r="D4663">
        <f t="shared" si="339"/>
        <v>20</v>
      </c>
      <c r="E4663">
        <f t="shared" si="340"/>
        <v>8</v>
      </c>
      <c r="F4663">
        <f t="shared" si="341"/>
        <v>2025</v>
      </c>
      <c r="G4663" t="s">
        <v>300</v>
      </c>
      <c r="H4663" s="98">
        <v>13437</v>
      </c>
      <c r="I4663" s="29">
        <v>1730.4</v>
      </c>
      <c r="J4663" s="12" t="s">
        <v>31</v>
      </c>
      <c r="K4663" s="76">
        <f t="shared" si="338"/>
        <v>1730.4</v>
      </c>
      <c r="L4663">
        <v>1</v>
      </c>
      <c r="M4663" s="29">
        <v>0</v>
      </c>
      <c r="N4663" t="s">
        <v>42</v>
      </c>
      <c r="O4663" t="s">
        <v>33</v>
      </c>
      <c r="P4663" t="s">
        <v>34</v>
      </c>
      <c r="Q4663" t="s">
        <v>34</v>
      </c>
      <c r="R4663" t="s">
        <v>34</v>
      </c>
      <c r="S4663" t="s">
        <v>34</v>
      </c>
      <c r="T4663" s="117">
        <v>0</v>
      </c>
    </row>
    <row r="4664" spans="1:21" x14ac:dyDescent="0.35">
      <c r="A4664" t="s">
        <v>20</v>
      </c>
      <c r="B4664" t="s">
        <v>24</v>
      </c>
      <c r="C4664" s="1">
        <v>45889</v>
      </c>
      <c r="D4664">
        <f t="shared" si="339"/>
        <v>20</v>
      </c>
      <c r="E4664">
        <f t="shared" si="340"/>
        <v>8</v>
      </c>
      <c r="F4664">
        <f t="shared" si="341"/>
        <v>2025</v>
      </c>
      <c r="G4664" t="s">
        <v>90</v>
      </c>
      <c r="H4664" s="98">
        <v>12687</v>
      </c>
      <c r="I4664" s="29">
        <v>5812.32</v>
      </c>
      <c r="J4664" s="12" t="s">
        <v>31</v>
      </c>
      <c r="K4664" s="76">
        <f t="shared" si="338"/>
        <v>5812.32</v>
      </c>
      <c r="L4664">
        <v>1</v>
      </c>
      <c r="M4664" s="29">
        <v>0</v>
      </c>
      <c r="N4664" t="s">
        <v>32</v>
      </c>
      <c r="O4664" t="s">
        <v>33</v>
      </c>
      <c r="P4664" t="s">
        <v>34</v>
      </c>
      <c r="Q4664" t="s">
        <v>34</v>
      </c>
      <c r="R4664" t="s">
        <v>34</v>
      </c>
      <c r="S4664" t="s">
        <v>34</v>
      </c>
      <c r="T4664" s="117">
        <v>0</v>
      </c>
    </row>
    <row r="4665" spans="1:21" x14ac:dyDescent="0.35">
      <c r="A4665" t="s">
        <v>20</v>
      </c>
      <c r="B4665" t="s">
        <v>21</v>
      </c>
      <c r="C4665" s="1">
        <v>45889</v>
      </c>
      <c r="D4665">
        <f t="shared" si="339"/>
        <v>20</v>
      </c>
      <c r="E4665">
        <f t="shared" si="340"/>
        <v>8</v>
      </c>
      <c r="F4665">
        <f t="shared" si="341"/>
        <v>2025</v>
      </c>
      <c r="G4665" t="s">
        <v>90</v>
      </c>
      <c r="H4665" s="98">
        <v>12687</v>
      </c>
      <c r="I4665" s="29">
        <v>3923.19</v>
      </c>
      <c r="J4665" s="12" t="s">
        <v>31</v>
      </c>
      <c r="K4665" s="76">
        <f t="shared" si="338"/>
        <v>3923.19</v>
      </c>
      <c r="L4665">
        <v>1</v>
      </c>
      <c r="M4665" s="29">
        <v>0</v>
      </c>
      <c r="N4665" t="s">
        <v>32</v>
      </c>
      <c r="O4665" t="s">
        <v>33</v>
      </c>
      <c r="P4665" t="s">
        <v>34</v>
      </c>
      <c r="Q4665" t="s">
        <v>34</v>
      </c>
      <c r="R4665" t="s">
        <v>34</v>
      </c>
      <c r="S4665" t="s">
        <v>34</v>
      </c>
      <c r="T4665" s="117">
        <v>0</v>
      </c>
    </row>
    <row r="4666" spans="1:21" x14ac:dyDescent="0.35">
      <c r="A4666" t="s">
        <v>20</v>
      </c>
      <c r="B4666" t="s">
        <v>21</v>
      </c>
      <c r="C4666" s="1">
        <v>45889</v>
      </c>
      <c r="D4666">
        <f t="shared" si="339"/>
        <v>20</v>
      </c>
      <c r="E4666">
        <f t="shared" si="340"/>
        <v>8</v>
      </c>
      <c r="F4666">
        <f t="shared" si="341"/>
        <v>2025</v>
      </c>
      <c r="G4666" t="s">
        <v>52</v>
      </c>
      <c r="H4666" s="98">
        <v>12930</v>
      </c>
      <c r="I4666" s="29">
        <v>292.22000000000003</v>
      </c>
      <c r="J4666" s="12" t="s">
        <v>31</v>
      </c>
      <c r="K4666" s="76">
        <f t="shared" si="338"/>
        <v>292.22000000000003</v>
      </c>
      <c r="L4666">
        <v>1</v>
      </c>
      <c r="M4666" s="29">
        <v>0</v>
      </c>
      <c r="N4666" t="s">
        <v>32</v>
      </c>
      <c r="O4666" t="s">
        <v>33</v>
      </c>
      <c r="P4666" t="s">
        <v>34</v>
      </c>
      <c r="Q4666" t="s">
        <v>34</v>
      </c>
      <c r="R4666" t="s">
        <v>34</v>
      </c>
      <c r="S4666" t="s">
        <v>34</v>
      </c>
      <c r="T4666" s="117">
        <v>0</v>
      </c>
    </row>
    <row r="4667" spans="1:21" x14ac:dyDescent="0.35">
      <c r="A4667" t="s">
        <v>20</v>
      </c>
      <c r="B4667" t="s">
        <v>21</v>
      </c>
      <c r="C4667" s="1">
        <v>45889</v>
      </c>
      <c r="D4667">
        <f t="shared" si="339"/>
        <v>20</v>
      </c>
      <c r="E4667">
        <f t="shared" si="340"/>
        <v>8</v>
      </c>
      <c r="F4667">
        <f t="shared" si="341"/>
        <v>2025</v>
      </c>
      <c r="G4667" t="s">
        <v>52</v>
      </c>
      <c r="H4667" s="98">
        <v>12584</v>
      </c>
      <c r="I4667" s="29">
        <v>80034.75</v>
      </c>
      <c r="J4667" s="12" t="s">
        <v>31</v>
      </c>
      <c r="K4667" s="76">
        <f t="shared" si="338"/>
        <v>80034.75</v>
      </c>
      <c r="L4667">
        <v>1</v>
      </c>
      <c r="M4667" s="29">
        <v>0</v>
      </c>
      <c r="N4667" t="s">
        <v>32</v>
      </c>
      <c r="O4667" t="s">
        <v>33</v>
      </c>
      <c r="P4667" t="s">
        <v>34</v>
      </c>
      <c r="Q4667" t="s">
        <v>34</v>
      </c>
      <c r="R4667" t="s">
        <v>34</v>
      </c>
      <c r="S4667" t="s">
        <v>34</v>
      </c>
      <c r="T4667" s="117">
        <v>0</v>
      </c>
    </row>
    <row r="4668" spans="1:21" x14ac:dyDescent="0.35">
      <c r="A4668" t="s">
        <v>20</v>
      </c>
      <c r="B4668" t="s">
        <v>23</v>
      </c>
      <c r="C4668" s="1">
        <v>45889</v>
      </c>
      <c r="D4668">
        <f t="shared" si="339"/>
        <v>20</v>
      </c>
      <c r="E4668">
        <f t="shared" si="340"/>
        <v>8</v>
      </c>
      <c r="F4668">
        <f t="shared" si="341"/>
        <v>2025</v>
      </c>
      <c r="G4668" t="s">
        <v>53</v>
      </c>
      <c r="H4668" s="171">
        <v>12917</v>
      </c>
      <c r="I4668" s="90">
        <v>33973.79</v>
      </c>
      <c r="J4668" s="12" t="s">
        <v>31</v>
      </c>
      <c r="K4668" s="76">
        <f t="shared" si="338"/>
        <v>33973.79</v>
      </c>
      <c r="L4668">
        <v>1</v>
      </c>
      <c r="M4668" s="29">
        <v>0</v>
      </c>
      <c r="N4668" t="s">
        <v>32</v>
      </c>
      <c r="O4668" t="s">
        <v>33</v>
      </c>
      <c r="P4668" t="s">
        <v>34</v>
      </c>
      <c r="Q4668" t="s">
        <v>34</v>
      </c>
      <c r="R4668" t="s">
        <v>34</v>
      </c>
      <c r="S4668" t="s">
        <v>34</v>
      </c>
      <c r="T4668" s="117">
        <v>0</v>
      </c>
    </row>
    <row r="4669" spans="1:21" x14ac:dyDescent="0.35">
      <c r="A4669" t="s">
        <v>20</v>
      </c>
      <c r="B4669" t="s">
        <v>21</v>
      </c>
      <c r="C4669" s="1">
        <v>45889</v>
      </c>
      <c r="D4669">
        <f t="shared" si="339"/>
        <v>20</v>
      </c>
      <c r="E4669">
        <f t="shared" si="340"/>
        <v>8</v>
      </c>
      <c r="F4669">
        <f t="shared" si="341"/>
        <v>2025</v>
      </c>
      <c r="G4669" t="s">
        <v>46</v>
      </c>
      <c r="H4669" s="98">
        <v>13445</v>
      </c>
      <c r="I4669" s="29">
        <v>140.80000000000001</v>
      </c>
      <c r="J4669" s="12" t="s">
        <v>31</v>
      </c>
      <c r="K4669" s="76">
        <f t="shared" si="338"/>
        <v>140.80000000000001</v>
      </c>
      <c r="L4669">
        <v>1</v>
      </c>
      <c r="M4669" s="29">
        <v>0</v>
      </c>
      <c r="N4669" t="s">
        <v>42</v>
      </c>
      <c r="O4669" t="s">
        <v>33</v>
      </c>
      <c r="P4669" t="s">
        <v>34</v>
      </c>
      <c r="Q4669" t="s">
        <v>34</v>
      </c>
      <c r="R4669" t="s">
        <v>34</v>
      </c>
      <c r="S4669" t="s">
        <v>34</v>
      </c>
      <c r="T4669" s="117">
        <v>0</v>
      </c>
    </row>
    <row r="4670" spans="1:21" x14ac:dyDescent="0.35">
      <c r="A4670" t="s">
        <v>20</v>
      </c>
      <c r="B4670" t="s">
        <v>21</v>
      </c>
      <c r="C4670" s="1">
        <v>45889</v>
      </c>
      <c r="D4670">
        <f t="shared" si="339"/>
        <v>20</v>
      </c>
      <c r="E4670">
        <f t="shared" si="340"/>
        <v>8</v>
      </c>
      <c r="F4670">
        <f t="shared" si="341"/>
        <v>2025</v>
      </c>
      <c r="G4670" t="s">
        <v>46</v>
      </c>
      <c r="H4670" s="98">
        <v>13361</v>
      </c>
      <c r="I4670" s="29">
        <v>2551.2960000000003</v>
      </c>
      <c r="J4670" s="12" t="s">
        <v>31</v>
      </c>
      <c r="K4670" s="76">
        <f t="shared" si="338"/>
        <v>2551.2960000000003</v>
      </c>
      <c r="L4670">
        <v>1</v>
      </c>
      <c r="M4670" s="29">
        <v>0</v>
      </c>
      <c r="N4670" t="s">
        <v>42</v>
      </c>
      <c r="O4670" t="s">
        <v>33</v>
      </c>
      <c r="P4670" t="s">
        <v>34</v>
      </c>
      <c r="Q4670" t="s">
        <v>34</v>
      </c>
      <c r="R4670" t="s">
        <v>34</v>
      </c>
      <c r="S4670" t="s">
        <v>34</v>
      </c>
      <c r="T4670" s="117">
        <v>0</v>
      </c>
      <c r="U4670" s="209">
        <v>13447</v>
      </c>
    </row>
    <row r="4671" spans="1:21" x14ac:dyDescent="0.35">
      <c r="A4671" t="s">
        <v>20</v>
      </c>
      <c r="B4671" t="s">
        <v>23</v>
      </c>
      <c r="C4671" s="1">
        <v>45889</v>
      </c>
      <c r="D4671">
        <f t="shared" si="339"/>
        <v>20</v>
      </c>
      <c r="E4671">
        <f t="shared" si="340"/>
        <v>8</v>
      </c>
      <c r="F4671">
        <f t="shared" si="341"/>
        <v>2025</v>
      </c>
      <c r="G4671" t="s">
        <v>46</v>
      </c>
      <c r="H4671" s="98">
        <v>13476</v>
      </c>
      <c r="I4671" s="29">
        <v>79.8</v>
      </c>
      <c r="J4671" s="12" t="s">
        <v>31</v>
      </c>
      <c r="K4671" s="76">
        <f t="shared" ref="K4671:K4738" si="354">IF(J4671="USD",I4671,I4671*L4671)</f>
        <v>79.8</v>
      </c>
      <c r="L4671">
        <v>1</v>
      </c>
      <c r="M4671" s="29">
        <v>0</v>
      </c>
      <c r="N4671" t="s">
        <v>42</v>
      </c>
      <c r="O4671" t="s">
        <v>33</v>
      </c>
      <c r="P4671" t="s">
        <v>34</v>
      </c>
      <c r="Q4671" t="s">
        <v>34</v>
      </c>
      <c r="R4671" t="s">
        <v>34</v>
      </c>
      <c r="S4671" t="s">
        <v>34</v>
      </c>
      <c r="T4671" s="117">
        <v>0</v>
      </c>
    </row>
    <row r="4672" spans="1:21" x14ac:dyDescent="0.35">
      <c r="A4672" t="s">
        <v>20</v>
      </c>
      <c r="B4672" t="s">
        <v>23</v>
      </c>
      <c r="C4672" s="1">
        <v>45889</v>
      </c>
      <c r="D4672">
        <f t="shared" si="339"/>
        <v>20</v>
      </c>
      <c r="E4672">
        <f t="shared" si="340"/>
        <v>8</v>
      </c>
      <c r="F4672">
        <f t="shared" si="341"/>
        <v>2025</v>
      </c>
      <c r="G4672" t="s">
        <v>46</v>
      </c>
      <c r="H4672" s="98">
        <v>13477</v>
      </c>
      <c r="I4672" s="29">
        <v>2074.8000000000002</v>
      </c>
      <c r="J4672" s="12" t="s">
        <v>31</v>
      </c>
      <c r="K4672" s="76">
        <f t="shared" si="354"/>
        <v>2074.8000000000002</v>
      </c>
      <c r="L4672">
        <v>1</v>
      </c>
      <c r="M4672" s="29">
        <v>0</v>
      </c>
      <c r="N4672" t="s">
        <v>42</v>
      </c>
      <c r="O4672" t="s">
        <v>33</v>
      </c>
      <c r="P4672" t="s">
        <v>34</v>
      </c>
      <c r="Q4672" t="s">
        <v>34</v>
      </c>
      <c r="R4672" t="s">
        <v>34</v>
      </c>
      <c r="S4672" t="s">
        <v>34</v>
      </c>
      <c r="T4672" s="117">
        <v>0</v>
      </c>
    </row>
    <row r="4673" spans="1:21" x14ac:dyDescent="0.35">
      <c r="A4673" t="s">
        <v>19</v>
      </c>
      <c r="B4673" t="s">
        <v>19</v>
      </c>
      <c r="C4673" s="1">
        <v>45889</v>
      </c>
      <c r="D4673">
        <f t="shared" si="339"/>
        <v>20</v>
      </c>
      <c r="E4673">
        <f t="shared" si="340"/>
        <v>8</v>
      </c>
      <c r="F4673">
        <f t="shared" si="341"/>
        <v>2025</v>
      </c>
      <c r="G4673" t="s">
        <v>56</v>
      </c>
      <c r="H4673" s="98" t="s">
        <v>1250</v>
      </c>
      <c r="I4673" s="15">
        <v>154862.21</v>
      </c>
      <c r="J4673" s="12" t="s">
        <v>31</v>
      </c>
      <c r="K4673" s="76">
        <f t="shared" si="354"/>
        <v>154862.21</v>
      </c>
      <c r="L4673">
        <v>1</v>
      </c>
      <c r="M4673" s="29">
        <v>0</v>
      </c>
      <c r="N4673" t="s">
        <v>32</v>
      </c>
      <c r="O4673" t="s">
        <v>33</v>
      </c>
      <c r="P4673" t="s">
        <v>34</v>
      </c>
      <c r="Q4673" t="s">
        <v>34</v>
      </c>
      <c r="R4673" t="s">
        <v>34</v>
      </c>
      <c r="S4673" t="s">
        <v>34</v>
      </c>
      <c r="T4673" s="117">
        <v>0</v>
      </c>
    </row>
    <row r="4674" spans="1:21" x14ac:dyDescent="0.35">
      <c r="A4674" t="s">
        <v>19</v>
      </c>
      <c r="B4674" t="s">
        <v>19</v>
      </c>
      <c r="C4674" s="1">
        <v>45889</v>
      </c>
      <c r="D4674">
        <f t="shared" si="339"/>
        <v>20</v>
      </c>
      <c r="E4674">
        <f t="shared" si="340"/>
        <v>8</v>
      </c>
      <c r="F4674">
        <f t="shared" si="341"/>
        <v>2025</v>
      </c>
      <c r="G4674" t="s">
        <v>56</v>
      </c>
      <c r="H4674" s="98" t="s">
        <v>1251</v>
      </c>
      <c r="I4674" s="15">
        <v>189483.17</v>
      </c>
      <c r="J4674" s="12" t="s">
        <v>31</v>
      </c>
      <c r="K4674" s="76">
        <f t="shared" si="354"/>
        <v>189483.17</v>
      </c>
      <c r="L4674">
        <v>1</v>
      </c>
      <c r="M4674" s="29">
        <v>0</v>
      </c>
      <c r="N4674" t="s">
        <v>32</v>
      </c>
      <c r="O4674" t="s">
        <v>33</v>
      </c>
      <c r="P4674" t="s">
        <v>34</v>
      </c>
      <c r="Q4674" t="s">
        <v>34</v>
      </c>
      <c r="R4674" t="s">
        <v>34</v>
      </c>
      <c r="S4674" t="s">
        <v>34</v>
      </c>
      <c r="T4674" s="117">
        <v>0</v>
      </c>
    </row>
    <row r="4675" spans="1:21" x14ac:dyDescent="0.35">
      <c r="A4675" t="s">
        <v>19</v>
      </c>
      <c r="B4675" t="s">
        <v>19</v>
      </c>
      <c r="C4675" s="1">
        <v>45889</v>
      </c>
      <c r="D4675">
        <f t="shared" si="339"/>
        <v>20</v>
      </c>
      <c r="E4675">
        <f t="shared" si="340"/>
        <v>8</v>
      </c>
      <c r="F4675">
        <f t="shared" si="341"/>
        <v>2025</v>
      </c>
      <c r="G4675" t="s">
        <v>56</v>
      </c>
      <c r="H4675" s="98" t="s">
        <v>1252</v>
      </c>
      <c r="I4675" s="15">
        <v>190902.25</v>
      </c>
      <c r="J4675" s="12" t="s">
        <v>31</v>
      </c>
      <c r="K4675" s="76">
        <f t="shared" si="354"/>
        <v>190902.25</v>
      </c>
      <c r="L4675">
        <v>1</v>
      </c>
      <c r="M4675" s="29">
        <v>0</v>
      </c>
      <c r="N4675" t="s">
        <v>32</v>
      </c>
      <c r="O4675" t="s">
        <v>33</v>
      </c>
      <c r="P4675" t="s">
        <v>34</v>
      </c>
      <c r="Q4675" t="s">
        <v>34</v>
      </c>
      <c r="R4675" t="s">
        <v>34</v>
      </c>
      <c r="S4675" t="s">
        <v>34</v>
      </c>
      <c r="T4675" s="117">
        <v>0</v>
      </c>
    </row>
    <row r="4676" spans="1:21" x14ac:dyDescent="0.35">
      <c r="A4676" t="s">
        <v>19</v>
      </c>
      <c r="B4676" t="s">
        <v>19</v>
      </c>
      <c r="C4676" s="1">
        <v>45889</v>
      </c>
      <c r="D4676">
        <f t="shared" si="339"/>
        <v>20</v>
      </c>
      <c r="E4676">
        <f t="shared" si="340"/>
        <v>8</v>
      </c>
      <c r="F4676">
        <f t="shared" si="341"/>
        <v>2025</v>
      </c>
      <c r="G4676" t="s">
        <v>56</v>
      </c>
      <c r="H4676" s="98" t="s">
        <v>1253</v>
      </c>
      <c r="I4676" s="15">
        <v>183315.97</v>
      </c>
      <c r="J4676" s="12" t="s">
        <v>31</v>
      </c>
      <c r="K4676" s="76">
        <f t="shared" si="354"/>
        <v>183315.97</v>
      </c>
      <c r="L4676">
        <v>1</v>
      </c>
      <c r="M4676" s="29">
        <v>0</v>
      </c>
      <c r="N4676" t="s">
        <v>32</v>
      </c>
      <c r="O4676" t="s">
        <v>33</v>
      </c>
      <c r="P4676" t="s">
        <v>34</v>
      </c>
      <c r="Q4676" t="s">
        <v>34</v>
      </c>
      <c r="R4676" t="s">
        <v>34</v>
      </c>
      <c r="S4676" t="s">
        <v>34</v>
      </c>
      <c r="T4676" s="117">
        <v>0</v>
      </c>
    </row>
    <row r="4677" spans="1:21" x14ac:dyDescent="0.35">
      <c r="A4677" t="s">
        <v>19</v>
      </c>
      <c r="B4677" t="s">
        <v>19</v>
      </c>
      <c r="C4677" s="1">
        <v>45889</v>
      </c>
      <c r="D4677">
        <f t="shared" si="339"/>
        <v>20</v>
      </c>
      <c r="E4677">
        <f t="shared" si="340"/>
        <v>8</v>
      </c>
      <c r="F4677">
        <f t="shared" si="341"/>
        <v>2025</v>
      </c>
      <c r="G4677" t="s">
        <v>56</v>
      </c>
      <c r="H4677" s="98" t="s">
        <v>1254</v>
      </c>
      <c r="I4677" s="15">
        <v>191292.98</v>
      </c>
      <c r="J4677" s="12" t="s">
        <v>31</v>
      </c>
      <c r="K4677" s="76">
        <f t="shared" si="354"/>
        <v>191292.98</v>
      </c>
      <c r="L4677">
        <v>1</v>
      </c>
      <c r="M4677" s="29">
        <v>0</v>
      </c>
      <c r="N4677" t="s">
        <v>32</v>
      </c>
      <c r="O4677" t="s">
        <v>33</v>
      </c>
      <c r="P4677" t="s">
        <v>34</v>
      </c>
      <c r="Q4677" t="s">
        <v>34</v>
      </c>
      <c r="R4677" t="s">
        <v>34</v>
      </c>
      <c r="S4677" t="s">
        <v>34</v>
      </c>
      <c r="T4677" s="117">
        <v>0</v>
      </c>
    </row>
    <row r="4678" spans="1:21" x14ac:dyDescent="0.35">
      <c r="A4678" t="s">
        <v>19</v>
      </c>
      <c r="B4678" t="s">
        <v>19</v>
      </c>
      <c r="C4678" s="1">
        <v>45889</v>
      </c>
      <c r="D4678">
        <f t="shared" si="339"/>
        <v>20</v>
      </c>
      <c r="E4678">
        <f t="shared" si="340"/>
        <v>8</v>
      </c>
      <c r="F4678">
        <f t="shared" si="341"/>
        <v>2025</v>
      </c>
      <c r="G4678" t="s">
        <v>523</v>
      </c>
      <c r="H4678" s="98" t="s">
        <v>1255</v>
      </c>
      <c r="I4678" s="15">
        <v>10616.36</v>
      </c>
      <c r="J4678" s="12" t="s">
        <v>31</v>
      </c>
      <c r="K4678" s="76">
        <f t="shared" si="354"/>
        <v>10616.36</v>
      </c>
      <c r="L4678">
        <v>1</v>
      </c>
      <c r="M4678" s="29">
        <v>0</v>
      </c>
      <c r="N4678" t="s">
        <v>32</v>
      </c>
      <c r="O4678" t="s">
        <v>33</v>
      </c>
      <c r="P4678" t="s">
        <v>34</v>
      </c>
      <c r="Q4678" t="s">
        <v>34</v>
      </c>
      <c r="R4678" t="s">
        <v>34</v>
      </c>
      <c r="S4678" t="s">
        <v>34</v>
      </c>
      <c r="T4678" s="117">
        <v>0</v>
      </c>
    </row>
    <row r="4679" spans="1:21" x14ac:dyDescent="0.35">
      <c r="A4679" t="s">
        <v>19</v>
      </c>
      <c r="B4679" t="s">
        <v>19</v>
      </c>
      <c r="C4679" s="1">
        <v>45889</v>
      </c>
      <c r="D4679">
        <f t="shared" si="339"/>
        <v>20</v>
      </c>
      <c r="E4679">
        <f t="shared" si="340"/>
        <v>8</v>
      </c>
      <c r="F4679">
        <f t="shared" si="341"/>
        <v>2025</v>
      </c>
      <c r="G4679" t="s">
        <v>119</v>
      </c>
      <c r="H4679" s="98" t="s">
        <v>1256</v>
      </c>
      <c r="I4679" s="29">
        <v>6021.21</v>
      </c>
      <c r="J4679" s="12" t="s">
        <v>31</v>
      </c>
      <c r="K4679" s="76">
        <f t="shared" si="354"/>
        <v>6021.21</v>
      </c>
      <c r="L4679">
        <v>1</v>
      </c>
      <c r="M4679" s="29">
        <v>0</v>
      </c>
      <c r="N4679" t="s">
        <v>32</v>
      </c>
      <c r="O4679" t="s">
        <v>33</v>
      </c>
      <c r="P4679" t="s">
        <v>34</v>
      </c>
      <c r="Q4679" t="s">
        <v>34</v>
      </c>
      <c r="R4679" t="s">
        <v>34</v>
      </c>
      <c r="S4679" t="s">
        <v>34</v>
      </c>
      <c r="T4679" s="117">
        <v>0</v>
      </c>
    </row>
    <row r="4680" spans="1:21" x14ac:dyDescent="0.35">
      <c r="A4680" t="s">
        <v>20</v>
      </c>
      <c r="B4680" t="s">
        <v>223</v>
      </c>
      <c r="C4680" s="1">
        <v>45889</v>
      </c>
      <c r="D4680">
        <f t="shared" si="339"/>
        <v>20</v>
      </c>
      <c r="E4680">
        <f t="shared" si="340"/>
        <v>8</v>
      </c>
      <c r="F4680">
        <f t="shared" si="341"/>
        <v>2025</v>
      </c>
      <c r="G4680" t="s">
        <v>223</v>
      </c>
      <c r="H4680" s="98">
        <v>13106</v>
      </c>
      <c r="I4680" s="29">
        <v>52923.8</v>
      </c>
      <c r="J4680" s="12" t="s">
        <v>51</v>
      </c>
      <c r="K4680" s="76">
        <f t="shared" si="354"/>
        <v>61830.875540000001</v>
      </c>
      <c r="L4680">
        <v>1.1682999999999999</v>
      </c>
      <c r="M4680" s="29">
        <v>0</v>
      </c>
      <c r="N4680" t="s">
        <v>32</v>
      </c>
      <c r="O4680" t="s">
        <v>186</v>
      </c>
      <c r="P4680" s="1">
        <v>45888</v>
      </c>
      <c r="Q4680" t="s">
        <v>34</v>
      </c>
      <c r="R4680">
        <v>10010015388</v>
      </c>
      <c r="S4680" t="s">
        <v>34</v>
      </c>
      <c r="T4680" s="117">
        <v>0</v>
      </c>
    </row>
    <row r="4681" spans="1:21" x14ac:dyDescent="0.35">
      <c r="A4681" t="s">
        <v>19</v>
      </c>
      <c r="B4681" t="s">
        <v>26</v>
      </c>
      <c r="C4681" s="1">
        <v>45891</v>
      </c>
      <c r="D4681">
        <f>DAY(C4681)</f>
        <v>22</v>
      </c>
      <c r="E4681">
        <f>MONTH(C4681)</f>
        <v>8</v>
      </c>
      <c r="F4681">
        <f>YEAR(C4681)</f>
        <v>2025</v>
      </c>
      <c r="G4681" t="s">
        <v>73</v>
      </c>
      <c r="H4681" s="98">
        <v>13589</v>
      </c>
      <c r="I4681" s="15">
        <v>34005.089999999997</v>
      </c>
      <c r="J4681" s="12" t="s">
        <v>51</v>
      </c>
      <c r="K4681" s="76">
        <f t="shared" si="354"/>
        <v>39809.758862999995</v>
      </c>
      <c r="L4681">
        <v>1.1707000000000001</v>
      </c>
      <c r="M4681" s="29">
        <v>0</v>
      </c>
      <c r="N4681" t="s">
        <v>42</v>
      </c>
      <c r="O4681" t="s">
        <v>33</v>
      </c>
      <c r="P4681" t="s">
        <v>34</v>
      </c>
      <c r="Q4681" t="s">
        <v>34</v>
      </c>
      <c r="R4681" t="s">
        <v>34</v>
      </c>
      <c r="S4681" t="s">
        <v>34</v>
      </c>
      <c r="T4681" s="117">
        <v>0</v>
      </c>
      <c r="U4681" s="209" t="s">
        <v>94</v>
      </c>
    </row>
    <row r="4682" spans="1:21" x14ac:dyDescent="0.35">
      <c r="A4682" t="s">
        <v>19</v>
      </c>
      <c r="B4682" t="s">
        <v>26</v>
      </c>
      <c r="C4682" s="1">
        <v>45891</v>
      </c>
      <c r="D4682">
        <f>DAY(C4682)</f>
        <v>22</v>
      </c>
      <c r="E4682">
        <f>MONTH(C4682)</f>
        <v>8</v>
      </c>
      <c r="F4682">
        <f>YEAR(C4682)</f>
        <v>2025</v>
      </c>
      <c r="G4682" t="s">
        <v>73</v>
      </c>
      <c r="H4682" s="98">
        <v>13590</v>
      </c>
      <c r="I4682" s="15">
        <v>82513.69</v>
      </c>
      <c r="J4682" s="12" t="s">
        <v>51</v>
      </c>
      <c r="K4682" s="76">
        <f t="shared" si="354"/>
        <v>96598.776883000013</v>
      </c>
      <c r="L4682">
        <v>1.1707000000000001</v>
      </c>
      <c r="M4682" s="29">
        <v>0</v>
      </c>
      <c r="N4682" t="s">
        <v>42</v>
      </c>
      <c r="O4682" t="s">
        <v>33</v>
      </c>
      <c r="P4682" t="s">
        <v>34</v>
      </c>
      <c r="Q4682" t="s">
        <v>34</v>
      </c>
      <c r="R4682" t="s">
        <v>34</v>
      </c>
      <c r="S4682" t="s">
        <v>34</v>
      </c>
      <c r="T4682" s="117">
        <v>0</v>
      </c>
      <c r="U4682" s="209" t="s">
        <v>94</v>
      </c>
    </row>
    <row r="4683" spans="1:21" x14ac:dyDescent="0.35">
      <c r="A4683" t="s">
        <v>19</v>
      </c>
      <c r="B4683" t="s">
        <v>26</v>
      </c>
      <c r="C4683" s="1">
        <v>45891</v>
      </c>
      <c r="D4683">
        <f>DAY(C4683)</f>
        <v>22</v>
      </c>
      <c r="E4683">
        <f>MONTH(C4683)</f>
        <v>8</v>
      </c>
      <c r="F4683">
        <f>YEAR(C4683)</f>
        <v>2025</v>
      </c>
      <c r="G4683" t="s">
        <v>73</v>
      </c>
      <c r="H4683" s="98">
        <v>13545</v>
      </c>
      <c r="I4683" s="15">
        <v>62533.63</v>
      </c>
      <c r="J4683" s="12" t="s">
        <v>51</v>
      </c>
      <c r="K4683" s="76">
        <f t="shared" si="354"/>
        <v>73208.120641000001</v>
      </c>
      <c r="L4683">
        <v>1.1707000000000001</v>
      </c>
      <c r="M4683" s="29">
        <v>0</v>
      </c>
      <c r="N4683" t="s">
        <v>42</v>
      </c>
      <c r="O4683" t="s">
        <v>33</v>
      </c>
      <c r="P4683" t="s">
        <v>34</v>
      </c>
      <c r="Q4683" t="s">
        <v>34</v>
      </c>
      <c r="R4683" t="s">
        <v>34</v>
      </c>
      <c r="S4683" t="s">
        <v>34</v>
      </c>
      <c r="T4683" s="117">
        <v>0</v>
      </c>
      <c r="U4683" s="209" t="s">
        <v>94</v>
      </c>
    </row>
    <row r="4684" spans="1:21" x14ac:dyDescent="0.35">
      <c r="A4684" t="s">
        <v>19</v>
      </c>
      <c r="B4684" t="s">
        <v>26</v>
      </c>
      <c r="C4684" s="1">
        <v>45891</v>
      </c>
      <c r="D4684">
        <f>DAY(C4684)</f>
        <v>22</v>
      </c>
      <c r="E4684">
        <f>MONTH(C4684)</f>
        <v>8</v>
      </c>
      <c r="F4684">
        <f>YEAR(C4684)</f>
        <v>2025</v>
      </c>
      <c r="G4684" t="s">
        <v>73</v>
      </c>
      <c r="H4684" s="98">
        <v>13646</v>
      </c>
      <c r="I4684" s="15">
        <v>44849.59</v>
      </c>
      <c r="J4684" s="12" t="s">
        <v>51</v>
      </c>
      <c r="K4684" s="76">
        <f t="shared" si="354"/>
        <v>52505.415012999998</v>
      </c>
      <c r="L4684">
        <v>1.1707000000000001</v>
      </c>
      <c r="M4684" s="29">
        <v>0</v>
      </c>
      <c r="N4684" t="s">
        <v>42</v>
      </c>
      <c r="O4684" t="s">
        <v>33</v>
      </c>
      <c r="P4684" t="s">
        <v>34</v>
      </c>
      <c r="Q4684" t="s">
        <v>34</v>
      </c>
      <c r="R4684" t="s">
        <v>34</v>
      </c>
      <c r="S4684" t="s">
        <v>34</v>
      </c>
      <c r="T4684" s="117">
        <v>0</v>
      </c>
      <c r="U4684" s="209" t="s">
        <v>94</v>
      </c>
    </row>
    <row r="4685" spans="1:21" x14ac:dyDescent="0.35">
      <c r="A4685" t="s">
        <v>19</v>
      </c>
      <c r="B4685" t="s">
        <v>26</v>
      </c>
      <c r="C4685" s="1">
        <v>45891</v>
      </c>
      <c r="D4685">
        <f t="shared" si="339"/>
        <v>22</v>
      </c>
      <c r="E4685">
        <f t="shared" si="340"/>
        <v>8</v>
      </c>
      <c r="F4685">
        <f t="shared" si="341"/>
        <v>2025</v>
      </c>
      <c r="G4685" t="s">
        <v>73</v>
      </c>
      <c r="H4685" s="121">
        <v>13647</v>
      </c>
      <c r="I4685" s="15">
        <v>21123.200000000001</v>
      </c>
      <c r="J4685" s="12" t="s">
        <v>51</v>
      </c>
      <c r="K4685" s="76">
        <f t="shared" si="354"/>
        <v>24728.930240000002</v>
      </c>
      <c r="L4685">
        <v>1.1707000000000001</v>
      </c>
      <c r="M4685" s="29">
        <v>0</v>
      </c>
      <c r="N4685" t="s">
        <v>42</v>
      </c>
      <c r="O4685" t="s">
        <v>33</v>
      </c>
      <c r="P4685" t="s">
        <v>34</v>
      </c>
      <c r="Q4685" t="s">
        <v>34</v>
      </c>
      <c r="R4685" t="s">
        <v>34</v>
      </c>
      <c r="S4685" t="s">
        <v>34</v>
      </c>
      <c r="T4685" s="117">
        <v>0</v>
      </c>
      <c r="U4685" s="209" t="s">
        <v>94</v>
      </c>
    </row>
    <row r="4686" spans="1:21" x14ac:dyDescent="0.35">
      <c r="A4686" t="s">
        <v>19</v>
      </c>
      <c r="B4686" t="s">
        <v>23</v>
      </c>
      <c r="C4686" s="1">
        <v>45896</v>
      </c>
      <c r="D4686">
        <f t="shared" si="339"/>
        <v>27</v>
      </c>
      <c r="E4686">
        <f t="shared" si="340"/>
        <v>8</v>
      </c>
      <c r="F4686">
        <f t="shared" si="341"/>
        <v>2025</v>
      </c>
      <c r="G4686" t="s">
        <v>1519</v>
      </c>
      <c r="H4686" s="98">
        <v>13446</v>
      </c>
      <c r="I4686" s="29">
        <v>2439</v>
      </c>
      <c r="J4686" s="12" t="s">
        <v>31</v>
      </c>
      <c r="K4686" s="76">
        <f t="shared" si="354"/>
        <v>2439</v>
      </c>
      <c r="L4686">
        <v>1</v>
      </c>
      <c r="M4686" s="29">
        <v>0</v>
      </c>
      <c r="N4686" t="s">
        <v>42</v>
      </c>
      <c r="O4686" t="s">
        <v>33</v>
      </c>
      <c r="P4686" t="s">
        <v>34</v>
      </c>
      <c r="Q4686" t="s">
        <v>34</v>
      </c>
      <c r="R4686" t="s">
        <v>34</v>
      </c>
      <c r="S4686" t="s">
        <v>34</v>
      </c>
      <c r="T4686" s="117">
        <v>0</v>
      </c>
    </row>
    <row r="4687" spans="1:21" x14ac:dyDescent="0.35">
      <c r="A4687" t="s">
        <v>19</v>
      </c>
      <c r="B4687" t="s">
        <v>23</v>
      </c>
      <c r="C4687" s="1">
        <v>45896</v>
      </c>
      <c r="D4687">
        <f t="shared" si="339"/>
        <v>27</v>
      </c>
      <c r="E4687">
        <f t="shared" si="340"/>
        <v>8</v>
      </c>
      <c r="F4687">
        <f t="shared" si="341"/>
        <v>2025</v>
      </c>
      <c r="G4687" t="s">
        <v>882</v>
      </c>
      <c r="H4687" s="171">
        <v>13353</v>
      </c>
      <c r="I4687" s="90">
        <v>16812</v>
      </c>
      <c r="J4687" s="12" t="s">
        <v>31</v>
      </c>
      <c r="K4687" s="76">
        <f t="shared" si="354"/>
        <v>16812</v>
      </c>
      <c r="L4687">
        <v>1</v>
      </c>
      <c r="M4687" s="29">
        <v>0</v>
      </c>
      <c r="N4687" t="s">
        <v>42</v>
      </c>
      <c r="O4687" t="s">
        <v>33</v>
      </c>
      <c r="P4687" t="s">
        <v>34</v>
      </c>
      <c r="Q4687" t="s">
        <v>34</v>
      </c>
      <c r="R4687" t="s">
        <v>34</v>
      </c>
      <c r="S4687" t="s">
        <v>34</v>
      </c>
      <c r="T4687" s="117">
        <v>0</v>
      </c>
    </row>
    <row r="4688" spans="1:21" x14ac:dyDescent="0.35">
      <c r="A4688" t="s">
        <v>19</v>
      </c>
      <c r="B4688" t="s">
        <v>23</v>
      </c>
      <c r="C4688" s="1">
        <v>45896</v>
      </c>
      <c r="D4688">
        <f t="shared" si="339"/>
        <v>27</v>
      </c>
      <c r="E4688">
        <f t="shared" si="340"/>
        <v>8</v>
      </c>
      <c r="F4688">
        <f t="shared" si="341"/>
        <v>2025</v>
      </c>
      <c r="G4688" t="s">
        <v>885</v>
      </c>
      <c r="H4688" s="98">
        <v>13441</v>
      </c>
      <c r="I4688" s="29">
        <v>6825</v>
      </c>
      <c r="J4688" s="12" t="s">
        <v>31</v>
      </c>
      <c r="K4688" s="76">
        <f t="shared" si="354"/>
        <v>6825</v>
      </c>
      <c r="L4688">
        <v>1</v>
      </c>
      <c r="M4688" s="29">
        <v>0</v>
      </c>
      <c r="N4688" t="s">
        <v>42</v>
      </c>
      <c r="O4688" t="s">
        <v>33</v>
      </c>
      <c r="P4688" t="s">
        <v>34</v>
      </c>
      <c r="Q4688" t="s">
        <v>34</v>
      </c>
      <c r="R4688" t="s">
        <v>34</v>
      </c>
      <c r="S4688" t="s">
        <v>34</v>
      </c>
      <c r="T4688" s="117">
        <v>0</v>
      </c>
    </row>
    <row r="4689" spans="1:21" x14ac:dyDescent="0.35">
      <c r="A4689" t="s">
        <v>19</v>
      </c>
      <c r="B4689" t="s">
        <v>23</v>
      </c>
      <c r="C4689" s="1">
        <v>45896</v>
      </c>
      <c r="D4689">
        <f t="shared" si="339"/>
        <v>27</v>
      </c>
      <c r="E4689">
        <f t="shared" si="340"/>
        <v>8</v>
      </c>
      <c r="F4689">
        <f t="shared" si="341"/>
        <v>2025</v>
      </c>
      <c r="G4689" t="s">
        <v>885</v>
      </c>
      <c r="H4689" s="98">
        <v>13442</v>
      </c>
      <c r="I4689" s="29">
        <v>5900</v>
      </c>
      <c r="J4689" s="12" t="s">
        <v>31</v>
      </c>
      <c r="K4689" s="76">
        <f t="shared" si="354"/>
        <v>5900</v>
      </c>
      <c r="L4689">
        <v>1</v>
      </c>
      <c r="M4689" s="29">
        <v>0</v>
      </c>
      <c r="N4689" t="s">
        <v>42</v>
      </c>
      <c r="O4689" t="s">
        <v>33</v>
      </c>
      <c r="P4689" t="s">
        <v>34</v>
      </c>
      <c r="Q4689" t="s">
        <v>34</v>
      </c>
      <c r="R4689" t="s">
        <v>34</v>
      </c>
      <c r="S4689" t="s">
        <v>34</v>
      </c>
      <c r="T4689" s="117">
        <v>0</v>
      </c>
    </row>
    <row r="4690" spans="1:21" x14ac:dyDescent="0.35">
      <c r="A4690" t="s">
        <v>19</v>
      </c>
      <c r="B4690" t="s">
        <v>21</v>
      </c>
      <c r="C4690" s="1">
        <v>45896</v>
      </c>
      <c r="D4690">
        <f t="shared" si="339"/>
        <v>27</v>
      </c>
      <c r="E4690">
        <f t="shared" si="340"/>
        <v>8</v>
      </c>
      <c r="F4690">
        <f t="shared" si="341"/>
        <v>2025</v>
      </c>
      <c r="G4690" t="s">
        <v>76</v>
      </c>
      <c r="H4690" s="98">
        <v>12872</v>
      </c>
      <c r="I4690" s="29">
        <v>297.68</v>
      </c>
      <c r="J4690" s="12" t="s">
        <v>31</v>
      </c>
      <c r="K4690" s="76">
        <f t="shared" si="354"/>
        <v>297.68</v>
      </c>
      <c r="L4690">
        <v>1</v>
      </c>
      <c r="M4690" s="29">
        <v>0</v>
      </c>
      <c r="N4690" t="s">
        <v>32</v>
      </c>
      <c r="O4690" t="s">
        <v>33</v>
      </c>
      <c r="P4690" t="s">
        <v>34</v>
      </c>
      <c r="Q4690" t="s">
        <v>34</v>
      </c>
      <c r="R4690" t="s">
        <v>34</v>
      </c>
      <c r="S4690" t="s">
        <v>34</v>
      </c>
      <c r="T4690" s="117">
        <v>0</v>
      </c>
    </row>
    <row r="4691" spans="1:21" x14ac:dyDescent="0.35">
      <c r="A4691" t="s">
        <v>19</v>
      </c>
      <c r="B4691" t="s">
        <v>23</v>
      </c>
      <c r="C4691" s="1">
        <v>45896</v>
      </c>
      <c r="D4691">
        <f t="shared" si="339"/>
        <v>27</v>
      </c>
      <c r="E4691">
        <f t="shared" si="340"/>
        <v>8</v>
      </c>
      <c r="F4691">
        <f t="shared" si="341"/>
        <v>2025</v>
      </c>
      <c r="G4691" t="s">
        <v>76</v>
      </c>
      <c r="H4691" s="98">
        <v>13188</v>
      </c>
      <c r="I4691" s="29">
        <v>5069.2</v>
      </c>
      <c r="J4691" s="12" t="s">
        <v>31</v>
      </c>
      <c r="K4691" s="76">
        <f t="shared" si="354"/>
        <v>5069.2</v>
      </c>
      <c r="L4691">
        <v>1</v>
      </c>
      <c r="M4691" s="29">
        <v>0</v>
      </c>
      <c r="N4691" t="s">
        <v>42</v>
      </c>
      <c r="O4691" t="s">
        <v>33</v>
      </c>
      <c r="P4691" t="s">
        <v>34</v>
      </c>
      <c r="Q4691" t="s">
        <v>34</v>
      </c>
      <c r="R4691" t="s">
        <v>34</v>
      </c>
      <c r="S4691" t="s">
        <v>34</v>
      </c>
      <c r="T4691" s="117">
        <v>0</v>
      </c>
    </row>
    <row r="4692" spans="1:21" x14ac:dyDescent="0.35">
      <c r="A4692" t="s">
        <v>19</v>
      </c>
      <c r="B4692" t="s">
        <v>21</v>
      </c>
      <c r="C4692" s="1">
        <v>45896</v>
      </c>
      <c r="D4692">
        <f t="shared" si="339"/>
        <v>27</v>
      </c>
      <c r="E4692">
        <f t="shared" si="340"/>
        <v>8</v>
      </c>
      <c r="F4692">
        <f t="shared" si="341"/>
        <v>2025</v>
      </c>
      <c r="G4692" t="s">
        <v>76</v>
      </c>
      <c r="H4692" s="98">
        <v>13188</v>
      </c>
      <c r="I4692" s="29">
        <v>46926.3</v>
      </c>
      <c r="J4692" s="12" t="s">
        <v>31</v>
      </c>
      <c r="K4692" s="76">
        <f t="shared" si="354"/>
        <v>46926.3</v>
      </c>
      <c r="L4692">
        <v>1</v>
      </c>
      <c r="M4692" s="29">
        <v>0</v>
      </c>
      <c r="N4692" t="s">
        <v>42</v>
      </c>
      <c r="O4692" t="s">
        <v>33</v>
      </c>
      <c r="P4692" t="s">
        <v>34</v>
      </c>
      <c r="Q4692" t="s">
        <v>34</v>
      </c>
      <c r="R4692" t="s">
        <v>34</v>
      </c>
      <c r="S4692" t="s">
        <v>34</v>
      </c>
      <c r="T4692" s="117">
        <v>0</v>
      </c>
    </row>
    <row r="4693" spans="1:21" x14ac:dyDescent="0.35">
      <c r="A4693" t="s">
        <v>19</v>
      </c>
      <c r="B4693" t="s">
        <v>25</v>
      </c>
      <c r="C4693" s="1">
        <v>45896</v>
      </c>
      <c r="D4693">
        <f t="shared" si="339"/>
        <v>27</v>
      </c>
      <c r="E4693">
        <f t="shared" si="340"/>
        <v>8</v>
      </c>
      <c r="F4693">
        <f t="shared" si="341"/>
        <v>2025</v>
      </c>
      <c r="G4693" t="s">
        <v>37</v>
      </c>
      <c r="H4693" s="98">
        <v>12721</v>
      </c>
      <c r="I4693" s="29">
        <v>2278.15</v>
      </c>
      <c r="J4693" s="12" t="s">
        <v>31</v>
      </c>
      <c r="K4693" s="76">
        <f t="shared" si="354"/>
        <v>2278.15</v>
      </c>
      <c r="L4693">
        <v>1</v>
      </c>
      <c r="M4693" s="29">
        <v>0</v>
      </c>
      <c r="N4693" t="s">
        <v>32</v>
      </c>
      <c r="O4693" t="s">
        <v>33</v>
      </c>
      <c r="P4693" t="s">
        <v>34</v>
      </c>
      <c r="Q4693" t="s">
        <v>34</v>
      </c>
      <c r="R4693" t="s">
        <v>34</v>
      </c>
      <c r="S4693" t="s">
        <v>34</v>
      </c>
      <c r="T4693" s="117">
        <v>0</v>
      </c>
    </row>
    <row r="4694" spans="1:21" x14ac:dyDescent="0.35">
      <c r="A4694" t="s">
        <v>19</v>
      </c>
      <c r="B4694" t="s">
        <v>24</v>
      </c>
      <c r="C4694" s="1">
        <v>45896</v>
      </c>
      <c r="D4694">
        <f t="shared" si="339"/>
        <v>27</v>
      </c>
      <c r="E4694">
        <f t="shared" si="340"/>
        <v>8</v>
      </c>
      <c r="F4694">
        <f t="shared" si="341"/>
        <v>2025</v>
      </c>
      <c r="G4694" t="s">
        <v>37</v>
      </c>
      <c r="H4694" s="98">
        <v>12721</v>
      </c>
      <c r="I4694" s="29">
        <v>8152</v>
      </c>
      <c r="J4694" s="12" t="s">
        <v>31</v>
      </c>
      <c r="K4694" s="76">
        <f t="shared" si="354"/>
        <v>8152</v>
      </c>
      <c r="L4694">
        <v>1</v>
      </c>
      <c r="M4694" s="29">
        <v>0</v>
      </c>
      <c r="N4694" t="s">
        <v>32</v>
      </c>
      <c r="O4694" t="s">
        <v>33</v>
      </c>
      <c r="P4694" t="s">
        <v>34</v>
      </c>
      <c r="Q4694" t="s">
        <v>34</v>
      </c>
      <c r="R4694" t="s">
        <v>34</v>
      </c>
      <c r="S4694" t="s">
        <v>34</v>
      </c>
      <c r="T4694" s="117">
        <v>0</v>
      </c>
    </row>
    <row r="4695" spans="1:21" x14ac:dyDescent="0.35">
      <c r="A4695" t="s">
        <v>19</v>
      </c>
      <c r="B4695" t="s">
        <v>21</v>
      </c>
      <c r="C4695" s="1">
        <v>45896</v>
      </c>
      <c r="D4695">
        <f t="shared" si="339"/>
        <v>27</v>
      </c>
      <c r="E4695">
        <f t="shared" si="340"/>
        <v>8</v>
      </c>
      <c r="F4695">
        <f t="shared" si="341"/>
        <v>2025</v>
      </c>
      <c r="G4695" t="s">
        <v>37</v>
      </c>
      <c r="H4695" s="98">
        <v>12721</v>
      </c>
      <c r="I4695" s="29">
        <v>13317.6</v>
      </c>
      <c r="J4695" s="12" t="s">
        <v>31</v>
      </c>
      <c r="K4695" s="76">
        <f t="shared" si="354"/>
        <v>13317.6</v>
      </c>
      <c r="L4695">
        <v>1</v>
      </c>
      <c r="M4695" s="29">
        <v>0</v>
      </c>
      <c r="N4695" t="s">
        <v>32</v>
      </c>
      <c r="O4695" t="s">
        <v>33</v>
      </c>
      <c r="P4695" t="s">
        <v>34</v>
      </c>
      <c r="Q4695" t="s">
        <v>34</v>
      </c>
      <c r="R4695" t="s">
        <v>34</v>
      </c>
      <c r="S4695" t="s">
        <v>34</v>
      </c>
      <c r="T4695" s="117">
        <v>0</v>
      </c>
    </row>
    <row r="4696" spans="1:21" x14ac:dyDescent="0.35">
      <c r="A4696" t="s">
        <v>20</v>
      </c>
      <c r="B4696" t="s">
        <v>25</v>
      </c>
      <c r="C4696" s="1">
        <v>45896</v>
      </c>
      <c r="D4696">
        <f t="shared" si="339"/>
        <v>27</v>
      </c>
      <c r="E4696">
        <f t="shared" si="340"/>
        <v>8</v>
      </c>
      <c r="F4696">
        <f t="shared" si="341"/>
        <v>2025</v>
      </c>
      <c r="G4696" t="s">
        <v>50</v>
      </c>
      <c r="H4696" s="98">
        <v>12888</v>
      </c>
      <c r="I4696" s="29">
        <v>89678.75</v>
      </c>
      <c r="J4696" s="12" t="s">
        <v>31</v>
      </c>
      <c r="K4696" s="76">
        <f t="shared" si="354"/>
        <v>89678.75</v>
      </c>
      <c r="L4696">
        <v>1</v>
      </c>
      <c r="M4696" s="29">
        <v>0</v>
      </c>
      <c r="N4696" t="s">
        <v>32</v>
      </c>
      <c r="O4696" t="s">
        <v>33</v>
      </c>
      <c r="P4696" t="s">
        <v>34</v>
      </c>
      <c r="Q4696" t="s">
        <v>34</v>
      </c>
      <c r="R4696" t="s">
        <v>34</v>
      </c>
      <c r="S4696" t="s">
        <v>34</v>
      </c>
      <c r="T4696" s="117">
        <v>0</v>
      </c>
    </row>
    <row r="4697" spans="1:21" x14ac:dyDescent="0.35">
      <c r="A4697" t="s">
        <v>20</v>
      </c>
      <c r="B4697" t="s">
        <v>23</v>
      </c>
      <c r="C4697" s="1">
        <v>45896</v>
      </c>
      <c r="D4697">
        <f t="shared" si="339"/>
        <v>27</v>
      </c>
      <c r="E4697">
        <f t="shared" si="340"/>
        <v>8</v>
      </c>
      <c r="F4697">
        <f t="shared" si="341"/>
        <v>2025</v>
      </c>
      <c r="G4697" t="s">
        <v>1109</v>
      </c>
      <c r="H4697" s="98">
        <v>13023</v>
      </c>
      <c r="I4697" s="29">
        <v>20989.32</v>
      </c>
      <c r="J4697" s="12" t="s">
        <v>31</v>
      </c>
      <c r="K4697" s="76">
        <f t="shared" si="354"/>
        <v>20989.32</v>
      </c>
      <c r="L4697">
        <v>1</v>
      </c>
      <c r="M4697" s="29">
        <v>0</v>
      </c>
      <c r="N4697" t="s">
        <v>32</v>
      </c>
      <c r="O4697" t="s">
        <v>33</v>
      </c>
      <c r="P4697" t="s">
        <v>34</v>
      </c>
      <c r="Q4697" t="s">
        <v>34</v>
      </c>
      <c r="R4697" t="s">
        <v>34</v>
      </c>
      <c r="S4697" t="s">
        <v>34</v>
      </c>
      <c r="T4697" s="117">
        <v>0</v>
      </c>
    </row>
    <row r="4698" spans="1:21" x14ac:dyDescent="0.35">
      <c r="A4698" t="s">
        <v>20</v>
      </c>
      <c r="B4698" t="s">
        <v>23</v>
      </c>
      <c r="C4698" s="1">
        <v>45896</v>
      </c>
      <c r="D4698">
        <f t="shared" si="339"/>
        <v>27</v>
      </c>
      <c r="E4698">
        <f t="shared" si="340"/>
        <v>8</v>
      </c>
      <c r="F4698">
        <f t="shared" si="341"/>
        <v>2025</v>
      </c>
      <c r="G4698" t="s">
        <v>265</v>
      </c>
      <c r="H4698" s="98">
        <v>13031</v>
      </c>
      <c r="I4698" s="29">
        <v>1901.82</v>
      </c>
      <c r="J4698" s="12" t="s">
        <v>31</v>
      </c>
      <c r="K4698" s="76">
        <f t="shared" si="354"/>
        <v>1901.82</v>
      </c>
      <c r="L4698">
        <v>1</v>
      </c>
      <c r="M4698" s="29">
        <v>0</v>
      </c>
      <c r="N4698" t="s">
        <v>32</v>
      </c>
      <c r="O4698" t="s">
        <v>33</v>
      </c>
      <c r="P4698" t="s">
        <v>34</v>
      </c>
      <c r="Q4698" t="s">
        <v>34</v>
      </c>
      <c r="R4698" t="s">
        <v>34</v>
      </c>
      <c r="S4698" t="s">
        <v>34</v>
      </c>
      <c r="T4698" s="117">
        <v>0</v>
      </c>
    </row>
    <row r="4699" spans="1:21" x14ac:dyDescent="0.35">
      <c r="A4699" t="s">
        <v>20</v>
      </c>
      <c r="B4699" t="s">
        <v>25</v>
      </c>
      <c r="C4699" s="1">
        <v>45896</v>
      </c>
      <c r="D4699">
        <f t="shared" si="339"/>
        <v>27</v>
      </c>
      <c r="E4699">
        <f t="shared" si="340"/>
        <v>8</v>
      </c>
      <c r="F4699">
        <f t="shared" si="341"/>
        <v>2025</v>
      </c>
      <c r="G4699" t="s">
        <v>265</v>
      </c>
      <c r="H4699" s="98">
        <v>13031</v>
      </c>
      <c r="I4699" s="29">
        <v>7313.3599999999988</v>
      </c>
      <c r="J4699" s="12" t="s">
        <v>31</v>
      </c>
      <c r="K4699" s="76">
        <f t="shared" si="354"/>
        <v>7313.3599999999988</v>
      </c>
      <c r="L4699">
        <v>1</v>
      </c>
      <c r="M4699" s="29">
        <v>0</v>
      </c>
      <c r="N4699" t="s">
        <v>32</v>
      </c>
      <c r="O4699" t="s">
        <v>33</v>
      </c>
      <c r="P4699" t="s">
        <v>34</v>
      </c>
      <c r="Q4699" t="s">
        <v>34</v>
      </c>
      <c r="R4699" t="s">
        <v>34</v>
      </c>
      <c r="S4699" t="s">
        <v>34</v>
      </c>
      <c r="T4699" s="117">
        <v>0</v>
      </c>
    </row>
    <row r="4700" spans="1:21" x14ac:dyDescent="0.35">
      <c r="A4700" t="s">
        <v>20</v>
      </c>
      <c r="B4700" t="s">
        <v>24</v>
      </c>
      <c r="C4700" s="1">
        <v>45896</v>
      </c>
      <c r="D4700">
        <f t="shared" si="339"/>
        <v>27</v>
      </c>
      <c r="E4700">
        <f t="shared" si="340"/>
        <v>8</v>
      </c>
      <c r="F4700">
        <f t="shared" si="341"/>
        <v>2025</v>
      </c>
      <c r="G4700" t="s">
        <v>265</v>
      </c>
      <c r="H4700" s="98">
        <v>13531</v>
      </c>
      <c r="I4700" s="29">
        <v>72</v>
      </c>
      <c r="J4700" s="12" t="s">
        <v>31</v>
      </c>
      <c r="K4700" s="76">
        <f t="shared" si="354"/>
        <v>72</v>
      </c>
      <c r="L4700">
        <v>1</v>
      </c>
      <c r="M4700" s="29">
        <v>0</v>
      </c>
      <c r="N4700" t="s">
        <v>42</v>
      </c>
      <c r="O4700" t="s">
        <v>33</v>
      </c>
      <c r="P4700" t="s">
        <v>34</v>
      </c>
      <c r="Q4700" t="s">
        <v>34</v>
      </c>
      <c r="R4700" t="s">
        <v>34</v>
      </c>
      <c r="S4700" t="s">
        <v>34</v>
      </c>
      <c r="T4700" s="117">
        <v>0</v>
      </c>
    </row>
    <row r="4701" spans="1:21" x14ac:dyDescent="0.35">
      <c r="A4701" t="s">
        <v>20</v>
      </c>
      <c r="B4701" t="s">
        <v>24</v>
      </c>
      <c r="C4701" s="1">
        <v>45896</v>
      </c>
      <c r="D4701">
        <f t="shared" si="339"/>
        <v>27</v>
      </c>
      <c r="E4701">
        <f t="shared" si="340"/>
        <v>8</v>
      </c>
      <c r="F4701">
        <f t="shared" si="341"/>
        <v>2025</v>
      </c>
      <c r="G4701" t="s">
        <v>265</v>
      </c>
      <c r="H4701" s="98">
        <v>13498</v>
      </c>
      <c r="I4701" s="29">
        <v>720</v>
      </c>
      <c r="J4701" s="12" t="s">
        <v>31</v>
      </c>
      <c r="K4701" s="76">
        <f t="shared" si="354"/>
        <v>720</v>
      </c>
      <c r="L4701">
        <v>1</v>
      </c>
      <c r="M4701" s="29">
        <v>0</v>
      </c>
      <c r="N4701" t="s">
        <v>42</v>
      </c>
      <c r="O4701" t="s">
        <v>33</v>
      </c>
      <c r="P4701" t="s">
        <v>34</v>
      </c>
      <c r="Q4701" t="s">
        <v>34</v>
      </c>
      <c r="R4701" t="s">
        <v>34</v>
      </c>
      <c r="S4701" t="s">
        <v>34</v>
      </c>
      <c r="T4701" s="117">
        <v>0</v>
      </c>
      <c r="U4701" s="209">
        <v>13534</v>
      </c>
    </row>
    <row r="4702" spans="1:21" x14ac:dyDescent="0.35">
      <c r="A4702" t="s">
        <v>20</v>
      </c>
      <c r="B4702" t="s">
        <v>23</v>
      </c>
      <c r="C4702" s="1">
        <v>45896</v>
      </c>
      <c r="D4702">
        <f t="shared" si="339"/>
        <v>27</v>
      </c>
      <c r="E4702">
        <f t="shared" si="340"/>
        <v>8</v>
      </c>
      <c r="F4702">
        <f t="shared" si="341"/>
        <v>2025</v>
      </c>
      <c r="G4702" t="s">
        <v>265</v>
      </c>
      <c r="H4702" s="98">
        <v>13533</v>
      </c>
      <c r="I4702" s="29">
        <v>103</v>
      </c>
      <c r="J4702" s="12" t="s">
        <v>31</v>
      </c>
      <c r="K4702" s="76">
        <f t="shared" si="354"/>
        <v>103</v>
      </c>
      <c r="L4702">
        <v>1</v>
      </c>
      <c r="M4702" s="29">
        <v>0</v>
      </c>
      <c r="N4702" t="s">
        <v>42</v>
      </c>
      <c r="O4702" t="s">
        <v>33</v>
      </c>
      <c r="P4702" t="s">
        <v>34</v>
      </c>
      <c r="Q4702" t="s">
        <v>34</v>
      </c>
      <c r="R4702" t="s">
        <v>34</v>
      </c>
      <c r="S4702" t="s">
        <v>34</v>
      </c>
      <c r="T4702" s="117">
        <v>0</v>
      </c>
    </row>
    <row r="4703" spans="1:21" ht="15.5" x14ac:dyDescent="0.35">
      <c r="A4703" t="s">
        <v>20</v>
      </c>
      <c r="B4703" t="s">
        <v>23</v>
      </c>
      <c r="C4703" s="1">
        <v>45896</v>
      </c>
      <c r="D4703">
        <f t="shared" si="339"/>
        <v>27</v>
      </c>
      <c r="E4703">
        <f t="shared" si="340"/>
        <v>8</v>
      </c>
      <c r="F4703">
        <f t="shared" si="341"/>
        <v>2025</v>
      </c>
      <c r="G4703" t="s">
        <v>265</v>
      </c>
      <c r="H4703" s="98">
        <v>13498</v>
      </c>
      <c r="I4703" s="29">
        <v>2453.2000000000003</v>
      </c>
      <c r="J4703" s="12" t="s">
        <v>31</v>
      </c>
      <c r="K4703" s="76">
        <f t="shared" si="354"/>
        <v>2453.2000000000003</v>
      </c>
      <c r="L4703">
        <v>1</v>
      </c>
      <c r="M4703" s="29">
        <v>0</v>
      </c>
      <c r="N4703" t="s">
        <v>42</v>
      </c>
      <c r="O4703" t="s">
        <v>33</v>
      </c>
      <c r="P4703" t="s">
        <v>34</v>
      </c>
      <c r="Q4703" t="s">
        <v>34</v>
      </c>
      <c r="R4703" t="s">
        <v>34</v>
      </c>
      <c r="S4703" t="s">
        <v>34</v>
      </c>
      <c r="T4703" s="117">
        <v>0</v>
      </c>
      <c r="U4703" s="215">
        <v>13536</v>
      </c>
    </row>
    <row r="4704" spans="1:21" x14ac:dyDescent="0.35">
      <c r="A4704" t="s">
        <v>20</v>
      </c>
      <c r="B4704" t="s">
        <v>25</v>
      </c>
      <c r="C4704" s="1">
        <v>45896</v>
      </c>
      <c r="D4704">
        <f t="shared" ref="D4704:D4769" si="355">DAY(C4704)</f>
        <v>27</v>
      </c>
      <c r="E4704">
        <f t="shared" ref="E4704:E4769" si="356">MONTH(C4704)</f>
        <v>8</v>
      </c>
      <c r="F4704">
        <f t="shared" ref="F4704:F4769" si="357">YEAR(C4704)</f>
        <v>2025</v>
      </c>
      <c r="G4704" t="s">
        <v>265</v>
      </c>
      <c r="H4704" s="98">
        <v>13535</v>
      </c>
      <c r="I4704" s="29">
        <v>40</v>
      </c>
      <c r="J4704" s="12" t="s">
        <v>31</v>
      </c>
      <c r="K4704" s="76">
        <f t="shared" si="354"/>
        <v>40</v>
      </c>
      <c r="L4704">
        <v>1</v>
      </c>
      <c r="M4704" s="29">
        <v>0</v>
      </c>
      <c r="N4704" t="s">
        <v>42</v>
      </c>
      <c r="O4704" t="s">
        <v>33</v>
      </c>
      <c r="P4704" t="s">
        <v>34</v>
      </c>
      <c r="Q4704" t="s">
        <v>34</v>
      </c>
      <c r="R4704" t="s">
        <v>34</v>
      </c>
      <c r="S4704" t="s">
        <v>34</v>
      </c>
      <c r="T4704" s="117">
        <v>0</v>
      </c>
    </row>
    <row r="4705" spans="1:21" ht="15.5" x14ac:dyDescent="0.35">
      <c r="A4705" t="s">
        <v>20</v>
      </c>
      <c r="B4705" t="s">
        <v>25</v>
      </c>
      <c r="C4705" s="1">
        <v>45896</v>
      </c>
      <c r="D4705">
        <f t="shared" si="355"/>
        <v>27</v>
      </c>
      <c r="E4705">
        <f t="shared" si="356"/>
        <v>8</v>
      </c>
      <c r="F4705">
        <f t="shared" si="357"/>
        <v>2025</v>
      </c>
      <c r="G4705" t="s">
        <v>265</v>
      </c>
      <c r="H4705" s="98">
        <v>13498</v>
      </c>
      <c r="I4705" s="29">
        <v>680</v>
      </c>
      <c r="J4705" s="12" t="s">
        <v>31</v>
      </c>
      <c r="K4705" s="76">
        <f t="shared" si="354"/>
        <v>680</v>
      </c>
      <c r="L4705">
        <v>1</v>
      </c>
      <c r="M4705" s="29">
        <v>0</v>
      </c>
      <c r="N4705" t="s">
        <v>42</v>
      </c>
      <c r="O4705" t="s">
        <v>33</v>
      </c>
      <c r="P4705" t="s">
        <v>34</v>
      </c>
      <c r="Q4705" t="s">
        <v>34</v>
      </c>
      <c r="R4705" t="s">
        <v>34</v>
      </c>
      <c r="S4705" t="s">
        <v>34</v>
      </c>
      <c r="T4705" s="117">
        <v>0</v>
      </c>
      <c r="U4705" s="215">
        <v>13532</v>
      </c>
    </row>
    <row r="4706" spans="1:21" x14ac:dyDescent="0.35">
      <c r="A4706" t="s">
        <v>20</v>
      </c>
      <c r="B4706" t="s">
        <v>21</v>
      </c>
      <c r="C4706" s="1">
        <v>45896</v>
      </c>
      <c r="D4706">
        <f t="shared" si="355"/>
        <v>27</v>
      </c>
      <c r="E4706">
        <f t="shared" si="356"/>
        <v>8</v>
      </c>
      <c r="F4706">
        <f t="shared" si="357"/>
        <v>2025</v>
      </c>
      <c r="G4706" t="s">
        <v>595</v>
      </c>
      <c r="H4706" s="98">
        <v>13537</v>
      </c>
      <c r="I4706" s="29">
        <v>130.6</v>
      </c>
      <c r="J4706" s="12" t="s">
        <v>31</v>
      </c>
      <c r="K4706" s="76">
        <f t="shared" si="354"/>
        <v>130.6</v>
      </c>
      <c r="L4706">
        <v>1</v>
      </c>
      <c r="M4706" s="29">
        <v>0</v>
      </c>
      <c r="N4706" t="s">
        <v>42</v>
      </c>
      <c r="O4706" t="s">
        <v>33</v>
      </c>
      <c r="P4706" t="s">
        <v>34</v>
      </c>
      <c r="Q4706" t="s">
        <v>34</v>
      </c>
      <c r="R4706" t="s">
        <v>34</v>
      </c>
      <c r="S4706" t="s">
        <v>34</v>
      </c>
      <c r="T4706" s="117">
        <v>0</v>
      </c>
    </row>
    <row r="4707" spans="1:21" x14ac:dyDescent="0.35">
      <c r="A4707" t="s">
        <v>20</v>
      </c>
      <c r="B4707" t="s">
        <v>21</v>
      </c>
      <c r="C4707" s="1">
        <v>45896</v>
      </c>
      <c r="D4707">
        <f t="shared" si="355"/>
        <v>27</v>
      </c>
      <c r="E4707">
        <f t="shared" si="356"/>
        <v>8</v>
      </c>
      <c r="F4707">
        <f t="shared" si="357"/>
        <v>2025</v>
      </c>
      <c r="G4707" t="s">
        <v>595</v>
      </c>
      <c r="H4707" s="98">
        <v>13538</v>
      </c>
      <c r="I4707" s="29">
        <v>3586.6350000000002</v>
      </c>
      <c r="J4707" s="12" t="s">
        <v>31</v>
      </c>
      <c r="K4707" s="76">
        <f t="shared" si="354"/>
        <v>3586.6350000000002</v>
      </c>
      <c r="L4707">
        <v>1</v>
      </c>
      <c r="M4707" s="29">
        <v>0</v>
      </c>
      <c r="N4707" t="s">
        <v>42</v>
      </c>
      <c r="O4707" t="s">
        <v>33</v>
      </c>
      <c r="P4707" t="s">
        <v>34</v>
      </c>
      <c r="Q4707" t="s">
        <v>34</v>
      </c>
      <c r="R4707" t="s">
        <v>34</v>
      </c>
      <c r="S4707" t="s">
        <v>34</v>
      </c>
      <c r="T4707" s="117">
        <v>0</v>
      </c>
    </row>
    <row r="4708" spans="1:21" x14ac:dyDescent="0.35">
      <c r="A4708" t="s">
        <v>20</v>
      </c>
      <c r="B4708" t="s">
        <v>21</v>
      </c>
      <c r="C4708" s="1">
        <v>45896</v>
      </c>
      <c r="D4708">
        <f t="shared" si="355"/>
        <v>27</v>
      </c>
      <c r="E4708">
        <f t="shared" si="356"/>
        <v>8</v>
      </c>
      <c r="F4708">
        <f t="shared" si="357"/>
        <v>2025</v>
      </c>
      <c r="G4708" t="s">
        <v>299</v>
      </c>
      <c r="H4708" s="98">
        <v>11261</v>
      </c>
      <c r="I4708" s="29">
        <v>159</v>
      </c>
      <c r="J4708" s="12" t="s">
        <v>31</v>
      </c>
      <c r="K4708" s="76">
        <f t="shared" si="354"/>
        <v>159</v>
      </c>
      <c r="L4708">
        <v>1</v>
      </c>
      <c r="M4708" s="29">
        <v>0</v>
      </c>
      <c r="N4708" t="s">
        <v>32</v>
      </c>
      <c r="O4708" t="s">
        <v>33</v>
      </c>
      <c r="P4708" t="s">
        <v>34</v>
      </c>
      <c r="Q4708" t="s">
        <v>34</v>
      </c>
      <c r="R4708" t="s">
        <v>34</v>
      </c>
      <c r="S4708" t="s">
        <v>34</v>
      </c>
      <c r="T4708" s="117">
        <v>0</v>
      </c>
    </row>
    <row r="4709" spans="1:21" x14ac:dyDescent="0.35">
      <c r="A4709" t="s">
        <v>20</v>
      </c>
      <c r="B4709" t="s">
        <v>21</v>
      </c>
      <c r="C4709" s="1">
        <v>45896</v>
      </c>
      <c r="D4709">
        <f t="shared" si="355"/>
        <v>27</v>
      </c>
      <c r="E4709">
        <f t="shared" si="356"/>
        <v>8</v>
      </c>
      <c r="F4709">
        <f t="shared" si="357"/>
        <v>2025</v>
      </c>
      <c r="G4709" t="s">
        <v>299</v>
      </c>
      <c r="H4709" s="98">
        <v>11460</v>
      </c>
      <c r="I4709" s="29">
        <v>56.75</v>
      </c>
      <c r="J4709" s="12" t="s">
        <v>31</v>
      </c>
      <c r="K4709" s="76">
        <f t="shared" si="354"/>
        <v>56.75</v>
      </c>
      <c r="L4709">
        <v>1</v>
      </c>
      <c r="M4709" s="29">
        <v>0</v>
      </c>
      <c r="N4709" t="s">
        <v>32</v>
      </c>
      <c r="O4709" t="s">
        <v>33</v>
      </c>
      <c r="P4709" t="s">
        <v>34</v>
      </c>
      <c r="Q4709" t="s">
        <v>34</v>
      </c>
      <c r="R4709" t="s">
        <v>34</v>
      </c>
      <c r="S4709" t="s">
        <v>34</v>
      </c>
      <c r="T4709" s="117">
        <v>0</v>
      </c>
    </row>
    <row r="4710" spans="1:21" x14ac:dyDescent="0.35">
      <c r="A4710" t="s">
        <v>20</v>
      </c>
      <c r="B4710" t="s">
        <v>21</v>
      </c>
      <c r="C4710" s="1">
        <v>45896</v>
      </c>
      <c r="D4710">
        <f t="shared" si="355"/>
        <v>27</v>
      </c>
      <c r="E4710">
        <f t="shared" si="356"/>
        <v>8</v>
      </c>
      <c r="F4710">
        <f t="shared" si="357"/>
        <v>2025</v>
      </c>
      <c r="G4710" t="s">
        <v>299</v>
      </c>
      <c r="H4710" s="98">
        <v>11459</v>
      </c>
      <c r="I4710" s="29">
        <v>288.3</v>
      </c>
      <c r="J4710" s="12" t="s">
        <v>31</v>
      </c>
      <c r="K4710" s="76">
        <f t="shared" si="354"/>
        <v>288.3</v>
      </c>
      <c r="L4710">
        <v>1</v>
      </c>
      <c r="M4710" s="29">
        <v>0</v>
      </c>
      <c r="N4710" t="s">
        <v>32</v>
      </c>
      <c r="O4710" t="s">
        <v>33</v>
      </c>
      <c r="P4710" t="s">
        <v>34</v>
      </c>
      <c r="Q4710" t="s">
        <v>34</v>
      </c>
      <c r="R4710" t="s">
        <v>34</v>
      </c>
      <c r="S4710" t="s">
        <v>34</v>
      </c>
      <c r="T4710" s="117">
        <v>0</v>
      </c>
    </row>
    <row r="4711" spans="1:21" x14ac:dyDescent="0.35">
      <c r="A4711" t="s">
        <v>20</v>
      </c>
      <c r="B4711" t="s">
        <v>21</v>
      </c>
      <c r="C4711" s="1">
        <v>45896</v>
      </c>
      <c r="D4711">
        <f t="shared" si="355"/>
        <v>27</v>
      </c>
      <c r="E4711">
        <f t="shared" si="356"/>
        <v>8</v>
      </c>
      <c r="F4711">
        <f t="shared" si="357"/>
        <v>2025</v>
      </c>
      <c r="G4711" t="s">
        <v>299</v>
      </c>
      <c r="H4711" s="98">
        <v>12514</v>
      </c>
      <c r="I4711" s="29">
        <v>68</v>
      </c>
      <c r="J4711" s="12" t="s">
        <v>31</v>
      </c>
      <c r="K4711" s="76">
        <f t="shared" si="354"/>
        <v>68</v>
      </c>
      <c r="L4711">
        <v>1</v>
      </c>
      <c r="M4711" s="29">
        <v>0</v>
      </c>
      <c r="N4711" t="s">
        <v>32</v>
      </c>
      <c r="O4711" t="s">
        <v>33</v>
      </c>
      <c r="P4711" t="s">
        <v>34</v>
      </c>
      <c r="Q4711" t="s">
        <v>34</v>
      </c>
      <c r="R4711" t="s">
        <v>34</v>
      </c>
      <c r="S4711" t="s">
        <v>34</v>
      </c>
      <c r="T4711" s="117">
        <v>0</v>
      </c>
    </row>
    <row r="4712" spans="1:21" x14ac:dyDescent="0.35">
      <c r="A4712" t="s">
        <v>20</v>
      </c>
      <c r="B4712" t="s">
        <v>21</v>
      </c>
      <c r="C4712" s="1">
        <v>45896</v>
      </c>
      <c r="D4712">
        <f t="shared" si="355"/>
        <v>27</v>
      </c>
      <c r="E4712">
        <f t="shared" si="356"/>
        <v>8</v>
      </c>
      <c r="F4712">
        <f t="shared" si="357"/>
        <v>2025</v>
      </c>
      <c r="G4712" t="s">
        <v>299</v>
      </c>
      <c r="H4712" s="98">
        <v>11455</v>
      </c>
      <c r="I4712" s="29">
        <v>8237.4</v>
      </c>
      <c r="J4712" s="12" t="s">
        <v>31</v>
      </c>
      <c r="K4712" s="76">
        <f t="shared" si="354"/>
        <v>8237.4</v>
      </c>
      <c r="L4712">
        <v>1</v>
      </c>
      <c r="M4712" s="29">
        <v>0</v>
      </c>
      <c r="N4712" t="s">
        <v>32</v>
      </c>
      <c r="O4712" t="s">
        <v>33</v>
      </c>
      <c r="P4712" t="s">
        <v>34</v>
      </c>
      <c r="Q4712" t="s">
        <v>34</v>
      </c>
      <c r="R4712" t="s">
        <v>34</v>
      </c>
      <c r="S4712" t="s">
        <v>34</v>
      </c>
      <c r="T4712" s="117">
        <v>0</v>
      </c>
    </row>
    <row r="4713" spans="1:21" x14ac:dyDescent="0.35">
      <c r="A4713" t="s">
        <v>20</v>
      </c>
      <c r="B4713" t="s">
        <v>21</v>
      </c>
      <c r="C4713" s="1">
        <v>45896</v>
      </c>
      <c r="D4713">
        <f t="shared" si="355"/>
        <v>27</v>
      </c>
      <c r="E4713">
        <f t="shared" si="356"/>
        <v>8</v>
      </c>
      <c r="F4713">
        <f t="shared" si="357"/>
        <v>2025</v>
      </c>
      <c r="G4713" t="s">
        <v>209</v>
      </c>
      <c r="H4713" s="98">
        <v>12641</v>
      </c>
      <c r="I4713" s="29">
        <v>306.23</v>
      </c>
      <c r="J4713" s="12" t="s">
        <v>31</v>
      </c>
      <c r="K4713" s="76">
        <f t="shared" si="354"/>
        <v>306.23</v>
      </c>
      <c r="L4713">
        <v>1</v>
      </c>
      <c r="M4713" s="29">
        <v>0</v>
      </c>
      <c r="N4713" t="s">
        <v>32</v>
      </c>
      <c r="O4713" t="s">
        <v>33</v>
      </c>
      <c r="P4713" t="s">
        <v>34</v>
      </c>
      <c r="Q4713" t="s">
        <v>34</v>
      </c>
      <c r="R4713" t="s">
        <v>34</v>
      </c>
      <c r="S4713" t="s">
        <v>34</v>
      </c>
      <c r="T4713" s="117">
        <v>0</v>
      </c>
    </row>
    <row r="4714" spans="1:21" x14ac:dyDescent="0.35">
      <c r="A4714" t="s">
        <v>20</v>
      </c>
      <c r="B4714" t="s">
        <v>21</v>
      </c>
      <c r="C4714" s="1">
        <v>45896</v>
      </c>
      <c r="D4714">
        <f t="shared" si="355"/>
        <v>27</v>
      </c>
      <c r="E4714">
        <f t="shared" si="356"/>
        <v>8</v>
      </c>
      <c r="F4714">
        <f t="shared" si="357"/>
        <v>2025</v>
      </c>
      <c r="G4714" t="s">
        <v>209</v>
      </c>
      <c r="H4714" s="98">
        <v>12642</v>
      </c>
      <c r="I4714" s="29">
        <v>22274.37</v>
      </c>
      <c r="J4714" s="12" t="s">
        <v>31</v>
      </c>
      <c r="K4714" s="76">
        <f t="shared" si="354"/>
        <v>22274.37</v>
      </c>
      <c r="L4714">
        <v>1</v>
      </c>
      <c r="M4714" s="29">
        <v>0</v>
      </c>
      <c r="N4714" t="s">
        <v>32</v>
      </c>
      <c r="O4714" t="s">
        <v>33</v>
      </c>
      <c r="P4714" t="s">
        <v>34</v>
      </c>
      <c r="Q4714" t="s">
        <v>34</v>
      </c>
      <c r="R4714" t="s">
        <v>34</v>
      </c>
      <c r="S4714" t="s">
        <v>34</v>
      </c>
      <c r="T4714" s="117">
        <v>0</v>
      </c>
    </row>
    <row r="4715" spans="1:21" x14ac:dyDescent="0.35">
      <c r="A4715" t="s">
        <v>20</v>
      </c>
      <c r="B4715" t="s">
        <v>23</v>
      </c>
      <c r="C4715" s="1">
        <v>45896</v>
      </c>
      <c r="D4715">
        <f t="shared" si="355"/>
        <v>27</v>
      </c>
      <c r="E4715">
        <f t="shared" si="356"/>
        <v>8</v>
      </c>
      <c r="F4715">
        <f t="shared" si="357"/>
        <v>2025</v>
      </c>
      <c r="G4715" t="s">
        <v>108</v>
      </c>
      <c r="H4715" s="121">
        <v>13134</v>
      </c>
      <c r="I4715" s="76">
        <v>3483.3</v>
      </c>
      <c r="J4715" s="12" t="s">
        <v>31</v>
      </c>
      <c r="K4715" s="76">
        <f t="shared" si="354"/>
        <v>3483.3</v>
      </c>
      <c r="L4715">
        <v>1</v>
      </c>
      <c r="M4715" s="29">
        <v>0</v>
      </c>
      <c r="N4715" t="s">
        <v>32</v>
      </c>
      <c r="O4715" t="s">
        <v>33</v>
      </c>
      <c r="P4715" t="s">
        <v>34</v>
      </c>
      <c r="Q4715" t="s">
        <v>34</v>
      </c>
      <c r="R4715" t="s">
        <v>34</v>
      </c>
      <c r="S4715" t="s">
        <v>34</v>
      </c>
      <c r="T4715" s="117">
        <v>0</v>
      </c>
    </row>
    <row r="4716" spans="1:21" x14ac:dyDescent="0.35">
      <c r="A4716" t="s">
        <v>20</v>
      </c>
      <c r="B4716" t="s">
        <v>24</v>
      </c>
      <c r="C4716" s="1">
        <v>45896</v>
      </c>
      <c r="D4716">
        <f t="shared" si="355"/>
        <v>27</v>
      </c>
      <c r="E4716">
        <f t="shared" si="356"/>
        <v>8</v>
      </c>
      <c r="F4716">
        <f t="shared" si="357"/>
        <v>2025</v>
      </c>
      <c r="G4716" t="s">
        <v>97</v>
      </c>
      <c r="H4716" s="121">
        <v>13130</v>
      </c>
      <c r="I4716" s="76">
        <v>65.400000000000006</v>
      </c>
      <c r="J4716" s="12" t="s">
        <v>31</v>
      </c>
      <c r="K4716" s="76">
        <f t="shared" si="354"/>
        <v>65.400000000000006</v>
      </c>
      <c r="L4716">
        <v>1</v>
      </c>
      <c r="M4716" s="29">
        <v>0</v>
      </c>
      <c r="N4716" t="s">
        <v>32</v>
      </c>
      <c r="O4716" t="s">
        <v>33</v>
      </c>
      <c r="P4716" t="s">
        <v>34</v>
      </c>
      <c r="Q4716" t="s">
        <v>34</v>
      </c>
      <c r="R4716" t="s">
        <v>34</v>
      </c>
      <c r="S4716" t="s">
        <v>34</v>
      </c>
      <c r="T4716" s="117">
        <v>0</v>
      </c>
    </row>
    <row r="4717" spans="1:21" x14ac:dyDescent="0.35">
      <c r="A4717" t="s">
        <v>20</v>
      </c>
      <c r="B4717" t="s">
        <v>23</v>
      </c>
      <c r="C4717" s="1">
        <v>45896</v>
      </c>
      <c r="D4717">
        <f t="shared" si="355"/>
        <v>27</v>
      </c>
      <c r="E4717">
        <f t="shared" si="356"/>
        <v>8</v>
      </c>
      <c r="F4717">
        <f t="shared" si="357"/>
        <v>2025</v>
      </c>
      <c r="G4717" t="s">
        <v>97</v>
      </c>
      <c r="H4717" s="121">
        <v>13197</v>
      </c>
      <c r="I4717" s="76">
        <v>254.5</v>
      </c>
      <c r="J4717" s="12" t="s">
        <v>31</v>
      </c>
      <c r="K4717" s="76">
        <f t="shared" si="354"/>
        <v>254.5</v>
      </c>
      <c r="L4717">
        <v>1</v>
      </c>
      <c r="M4717" s="29">
        <v>0</v>
      </c>
      <c r="N4717" t="s">
        <v>32</v>
      </c>
      <c r="O4717" t="s">
        <v>33</v>
      </c>
      <c r="P4717" t="s">
        <v>34</v>
      </c>
      <c r="Q4717" t="s">
        <v>34</v>
      </c>
      <c r="R4717" t="s">
        <v>34</v>
      </c>
      <c r="S4717" t="s">
        <v>34</v>
      </c>
      <c r="T4717" s="117">
        <v>0</v>
      </c>
    </row>
    <row r="4718" spans="1:21" x14ac:dyDescent="0.35">
      <c r="A4718" t="s">
        <v>20</v>
      </c>
      <c r="B4718" t="s">
        <v>23</v>
      </c>
      <c r="C4718" s="1">
        <v>45896</v>
      </c>
      <c r="D4718">
        <f t="shared" si="355"/>
        <v>27</v>
      </c>
      <c r="E4718">
        <f t="shared" si="356"/>
        <v>8</v>
      </c>
      <c r="F4718">
        <f t="shared" si="357"/>
        <v>2025</v>
      </c>
      <c r="G4718" t="s">
        <v>97</v>
      </c>
      <c r="H4718" s="121">
        <v>13229</v>
      </c>
      <c r="I4718" s="76">
        <v>179.5</v>
      </c>
      <c r="J4718" s="12" t="s">
        <v>31</v>
      </c>
      <c r="K4718" s="76">
        <f t="shared" si="354"/>
        <v>179.5</v>
      </c>
      <c r="L4718">
        <v>1</v>
      </c>
      <c r="M4718" s="29">
        <v>0</v>
      </c>
      <c r="N4718" t="s">
        <v>32</v>
      </c>
      <c r="O4718" t="s">
        <v>33</v>
      </c>
      <c r="P4718" t="s">
        <v>34</v>
      </c>
      <c r="Q4718" t="s">
        <v>34</v>
      </c>
      <c r="R4718" t="s">
        <v>34</v>
      </c>
      <c r="S4718" t="s">
        <v>34</v>
      </c>
      <c r="T4718" s="117">
        <v>0</v>
      </c>
    </row>
    <row r="4719" spans="1:21" x14ac:dyDescent="0.35">
      <c r="A4719" t="s">
        <v>20</v>
      </c>
      <c r="B4719" t="s">
        <v>23</v>
      </c>
      <c r="C4719" s="1">
        <v>45896</v>
      </c>
      <c r="D4719">
        <f t="shared" si="355"/>
        <v>27</v>
      </c>
      <c r="E4719">
        <f t="shared" si="356"/>
        <v>8</v>
      </c>
      <c r="F4719">
        <f t="shared" si="357"/>
        <v>2025</v>
      </c>
      <c r="G4719" t="s">
        <v>97</v>
      </c>
      <c r="H4719" s="121">
        <v>13326</v>
      </c>
      <c r="I4719" s="76">
        <v>147.5</v>
      </c>
      <c r="J4719" s="12" t="s">
        <v>31</v>
      </c>
      <c r="K4719" s="76">
        <f t="shared" si="354"/>
        <v>147.5</v>
      </c>
      <c r="L4719">
        <v>1</v>
      </c>
      <c r="M4719" s="29">
        <v>0</v>
      </c>
      <c r="N4719" t="s">
        <v>32</v>
      </c>
      <c r="O4719" t="s">
        <v>33</v>
      </c>
      <c r="P4719" t="s">
        <v>34</v>
      </c>
      <c r="Q4719" t="s">
        <v>34</v>
      </c>
      <c r="R4719" t="s">
        <v>34</v>
      </c>
      <c r="S4719" t="s">
        <v>34</v>
      </c>
      <c r="T4719" s="117">
        <v>0</v>
      </c>
    </row>
    <row r="4720" spans="1:21" x14ac:dyDescent="0.35">
      <c r="A4720" t="s">
        <v>20</v>
      </c>
      <c r="B4720" t="s">
        <v>25</v>
      </c>
      <c r="C4720" s="1">
        <v>45896</v>
      </c>
      <c r="D4720">
        <f t="shared" si="355"/>
        <v>27</v>
      </c>
      <c r="E4720">
        <f t="shared" si="356"/>
        <v>8</v>
      </c>
      <c r="F4720">
        <f t="shared" si="357"/>
        <v>2025</v>
      </c>
      <c r="G4720" t="s">
        <v>97</v>
      </c>
      <c r="H4720" s="121">
        <v>13265</v>
      </c>
      <c r="I4720" s="76">
        <v>296</v>
      </c>
      <c r="J4720" s="12" t="s">
        <v>31</v>
      </c>
      <c r="K4720" s="76">
        <f t="shared" si="354"/>
        <v>296</v>
      </c>
      <c r="L4720">
        <v>1</v>
      </c>
      <c r="M4720" s="29">
        <v>0</v>
      </c>
      <c r="N4720" t="s">
        <v>32</v>
      </c>
      <c r="O4720" t="s">
        <v>33</v>
      </c>
      <c r="P4720" t="s">
        <v>34</v>
      </c>
      <c r="Q4720" t="s">
        <v>34</v>
      </c>
      <c r="R4720" t="s">
        <v>34</v>
      </c>
      <c r="S4720" t="s">
        <v>34</v>
      </c>
      <c r="T4720" s="117">
        <v>0</v>
      </c>
    </row>
    <row r="4721" spans="1:21" x14ac:dyDescent="0.35">
      <c r="A4721" t="s">
        <v>20</v>
      </c>
      <c r="B4721" t="s">
        <v>21</v>
      </c>
      <c r="C4721" s="1">
        <v>45896</v>
      </c>
      <c r="D4721">
        <f t="shared" si="355"/>
        <v>27</v>
      </c>
      <c r="E4721">
        <f t="shared" si="356"/>
        <v>8</v>
      </c>
      <c r="F4721">
        <f t="shared" si="357"/>
        <v>2025</v>
      </c>
      <c r="G4721" t="s">
        <v>97</v>
      </c>
      <c r="H4721" s="121">
        <v>13155</v>
      </c>
      <c r="I4721" s="76">
        <v>35130.101999999999</v>
      </c>
      <c r="J4721" s="12" t="s">
        <v>31</v>
      </c>
      <c r="K4721" s="76">
        <f t="shared" si="354"/>
        <v>35130.101999999999</v>
      </c>
      <c r="L4721">
        <v>1</v>
      </c>
      <c r="M4721" s="29">
        <v>1086.1199999999999</v>
      </c>
      <c r="N4721" t="s">
        <v>32</v>
      </c>
      <c r="O4721" t="s">
        <v>114</v>
      </c>
      <c r="P4721" s="1">
        <v>45896</v>
      </c>
      <c r="Q4721" s="1">
        <f>Tabla1[[#This Row],[FECHA DE APERTURA CREDITO -UTILIZACION LC]]+91</f>
        <v>45987</v>
      </c>
      <c r="R4721" s="101">
        <v>8021000594836</v>
      </c>
      <c r="S4721" t="s">
        <v>34</v>
      </c>
      <c r="T4721" s="117">
        <v>0</v>
      </c>
      <c r="U4721" s="209" t="s">
        <v>1221</v>
      </c>
    </row>
    <row r="4722" spans="1:21" x14ac:dyDescent="0.35">
      <c r="A4722" t="s">
        <v>20</v>
      </c>
      <c r="B4722" t="s">
        <v>25</v>
      </c>
      <c r="C4722" s="1">
        <v>45896</v>
      </c>
      <c r="D4722">
        <f t="shared" si="355"/>
        <v>27</v>
      </c>
      <c r="E4722">
        <f t="shared" si="356"/>
        <v>8</v>
      </c>
      <c r="F4722">
        <f t="shared" si="357"/>
        <v>2025</v>
      </c>
      <c r="G4722" t="s">
        <v>97</v>
      </c>
      <c r="H4722" s="121">
        <v>13155</v>
      </c>
      <c r="I4722" s="76">
        <v>36104.277199999997</v>
      </c>
      <c r="J4722" s="12" t="s">
        <v>31</v>
      </c>
      <c r="K4722" s="76">
        <f t="shared" si="354"/>
        <v>36104.277199999997</v>
      </c>
      <c r="L4722">
        <v>1</v>
      </c>
      <c r="M4722" s="29">
        <v>1116.3800000000001</v>
      </c>
      <c r="N4722" t="s">
        <v>32</v>
      </c>
      <c r="O4722" t="s">
        <v>114</v>
      </c>
      <c r="P4722" s="1">
        <v>45896</v>
      </c>
      <c r="Q4722" s="1">
        <f>Tabla1[[#This Row],[FECHA DE APERTURA CREDITO -UTILIZACION LC]]+91</f>
        <v>45987</v>
      </c>
      <c r="R4722" s="101">
        <v>8021000594836</v>
      </c>
      <c r="S4722" t="s">
        <v>34</v>
      </c>
      <c r="T4722" s="117">
        <v>2000</v>
      </c>
      <c r="U4722" s="209" t="s">
        <v>1221</v>
      </c>
    </row>
    <row r="4723" spans="1:21" x14ac:dyDescent="0.35">
      <c r="A4723" t="s">
        <v>20</v>
      </c>
      <c r="B4723" t="s">
        <v>23</v>
      </c>
      <c r="C4723" s="1">
        <v>45896</v>
      </c>
      <c r="D4723">
        <f t="shared" si="355"/>
        <v>27</v>
      </c>
      <c r="E4723">
        <f t="shared" si="356"/>
        <v>8</v>
      </c>
      <c r="F4723">
        <f t="shared" si="357"/>
        <v>2025</v>
      </c>
      <c r="G4723" t="s">
        <v>97</v>
      </c>
      <c r="H4723" s="121">
        <v>13155</v>
      </c>
      <c r="I4723" s="76">
        <v>78801.802199999991</v>
      </c>
      <c r="J4723" s="12" t="s">
        <v>31</v>
      </c>
      <c r="K4723" s="76">
        <f t="shared" si="354"/>
        <v>78801.802199999991</v>
      </c>
      <c r="L4723">
        <v>1</v>
      </c>
      <c r="M4723" s="29">
        <v>2437.0369999999998</v>
      </c>
      <c r="N4723" t="s">
        <v>32</v>
      </c>
      <c r="O4723" t="s">
        <v>114</v>
      </c>
      <c r="P4723" s="1">
        <v>45896</v>
      </c>
      <c r="Q4723" s="1">
        <f>Tabla1[[#This Row],[FECHA DE APERTURA CREDITO -UTILIZACION LC]]+91</f>
        <v>45987</v>
      </c>
      <c r="R4723" s="101">
        <v>8021000594836</v>
      </c>
      <c r="S4723" t="s">
        <v>34</v>
      </c>
      <c r="T4723" s="117">
        <v>850</v>
      </c>
      <c r="U4723" s="209" t="s">
        <v>1221</v>
      </c>
    </row>
    <row r="4724" spans="1:21" x14ac:dyDescent="0.35">
      <c r="A4724" t="s">
        <v>20</v>
      </c>
      <c r="B4724" t="s">
        <v>25</v>
      </c>
      <c r="C4724" s="1">
        <v>45896</v>
      </c>
      <c r="D4724">
        <f t="shared" si="355"/>
        <v>27</v>
      </c>
      <c r="E4724">
        <f t="shared" si="356"/>
        <v>8</v>
      </c>
      <c r="F4724">
        <f t="shared" si="357"/>
        <v>2025</v>
      </c>
      <c r="G4724" s="4" t="s">
        <v>96</v>
      </c>
      <c r="H4724" s="121">
        <v>12846</v>
      </c>
      <c r="I4724" s="76">
        <v>347.2</v>
      </c>
      <c r="J4724" s="12" t="s">
        <v>31</v>
      </c>
      <c r="K4724" s="76">
        <f t="shared" si="354"/>
        <v>347.2</v>
      </c>
      <c r="L4724">
        <v>1</v>
      </c>
      <c r="M4724" s="29">
        <v>0</v>
      </c>
      <c r="N4724" t="s">
        <v>32</v>
      </c>
      <c r="O4724" t="s">
        <v>33</v>
      </c>
      <c r="P4724" t="s">
        <v>34</v>
      </c>
      <c r="Q4724" t="s">
        <v>34</v>
      </c>
      <c r="R4724" t="s">
        <v>34</v>
      </c>
      <c r="S4724" t="s">
        <v>34</v>
      </c>
      <c r="T4724" s="117">
        <v>0</v>
      </c>
    </row>
    <row r="4725" spans="1:21" x14ac:dyDescent="0.35">
      <c r="A4725" t="s">
        <v>20</v>
      </c>
      <c r="B4725" t="s">
        <v>25</v>
      </c>
      <c r="C4725" s="1">
        <v>45896</v>
      </c>
      <c r="D4725">
        <f t="shared" si="355"/>
        <v>27</v>
      </c>
      <c r="E4725">
        <f t="shared" si="356"/>
        <v>8</v>
      </c>
      <c r="F4725">
        <f t="shared" si="357"/>
        <v>2025</v>
      </c>
      <c r="G4725" s="4" t="s">
        <v>96</v>
      </c>
      <c r="H4725" s="98">
        <v>13295</v>
      </c>
      <c r="I4725" s="29">
        <v>159</v>
      </c>
      <c r="J4725" s="12" t="s">
        <v>31</v>
      </c>
      <c r="K4725" s="76">
        <f t="shared" si="354"/>
        <v>159</v>
      </c>
      <c r="L4725">
        <v>1</v>
      </c>
      <c r="M4725" s="29">
        <v>0</v>
      </c>
      <c r="N4725" t="s">
        <v>32</v>
      </c>
      <c r="O4725" t="s">
        <v>33</v>
      </c>
      <c r="P4725" t="s">
        <v>34</v>
      </c>
      <c r="Q4725" t="s">
        <v>34</v>
      </c>
      <c r="R4725" t="s">
        <v>34</v>
      </c>
      <c r="S4725" t="s">
        <v>34</v>
      </c>
      <c r="T4725" s="117">
        <v>0</v>
      </c>
    </row>
    <row r="4726" spans="1:21" x14ac:dyDescent="0.35">
      <c r="A4726" t="s">
        <v>20</v>
      </c>
      <c r="B4726" t="s">
        <v>25</v>
      </c>
      <c r="C4726" s="1">
        <v>45896</v>
      </c>
      <c r="D4726">
        <f t="shared" si="355"/>
        <v>27</v>
      </c>
      <c r="E4726">
        <f t="shared" si="356"/>
        <v>8</v>
      </c>
      <c r="F4726">
        <f t="shared" si="357"/>
        <v>2025</v>
      </c>
      <c r="G4726" s="4" t="s">
        <v>96</v>
      </c>
      <c r="H4726" s="98">
        <v>12847</v>
      </c>
      <c r="I4726" s="29">
        <v>29624.62</v>
      </c>
      <c r="J4726" s="12" t="s">
        <v>31</v>
      </c>
      <c r="K4726" s="76">
        <f t="shared" si="354"/>
        <v>29624.62</v>
      </c>
      <c r="L4726">
        <v>1</v>
      </c>
      <c r="M4726" s="29">
        <v>0</v>
      </c>
      <c r="N4726" t="s">
        <v>32</v>
      </c>
      <c r="O4726" t="s">
        <v>33</v>
      </c>
      <c r="P4726" t="s">
        <v>34</v>
      </c>
      <c r="Q4726" t="s">
        <v>34</v>
      </c>
      <c r="R4726" t="s">
        <v>34</v>
      </c>
      <c r="S4726" t="s">
        <v>34</v>
      </c>
      <c r="T4726" s="117">
        <v>197.69</v>
      </c>
    </row>
    <row r="4727" spans="1:21" x14ac:dyDescent="0.35">
      <c r="A4727" t="s">
        <v>20</v>
      </c>
      <c r="B4727" t="s">
        <v>25</v>
      </c>
      <c r="C4727" s="1">
        <v>45896</v>
      </c>
      <c r="D4727">
        <f t="shared" si="355"/>
        <v>27</v>
      </c>
      <c r="E4727">
        <f t="shared" si="356"/>
        <v>8</v>
      </c>
      <c r="F4727">
        <f t="shared" si="357"/>
        <v>2025</v>
      </c>
      <c r="G4727" s="4" t="s">
        <v>96</v>
      </c>
      <c r="H4727" s="98">
        <v>13296</v>
      </c>
      <c r="I4727" s="29">
        <v>17561.43</v>
      </c>
      <c r="J4727" s="12" t="s">
        <v>31</v>
      </c>
      <c r="K4727" s="76">
        <f t="shared" si="354"/>
        <v>17561.43</v>
      </c>
      <c r="L4727">
        <v>1</v>
      </c>
      <c r="M4727" s="29">
        <v>0</v>
      </c>
      <c r="N4727" t="s">
        <v>32</v>
      </c>
      <c r="O4727" t="s">
        <v>33</v>
      </c>
      <c r="P4727" t="s">
        <v>34</v>
      </c>
      <c r="Q4727" t="s">
        <v>34</v>
      </c>
      <c r="R4727" t="s">
        <v>34</v>
      </c>
      <c r="S4727" t="s">
        <v>34</v>
      </c>
      <c r="T4727" s="117">
        <v>0</v>
      </c>
    </row>
    <row r="4728" spans="1:21" x14ac:dyDescent="0.35">
      <c r="A4728" t="s">
        <v>20</v>
      </c>
      <c r="B4728" t="s">
        <v>23</v>
      </c>
      <c r="C4728" s="1">
        <v>45896</v>
      </c>
      <c r="D4728">
        <f t="shared" si="355"/>
        <v>27</v>
      </c>
      <c r="E4728">
        <f t="shared" si="356"/>
        <v>8</v>
      </c>
      <c r="F4728">
        <f t="shared" si="357"/>
        <v>2025</v>
      </c>
      <c r="G4728" t="s">
        <v>177</v>
      </c>
      <c r="H4728" s="98">
        <v>12923</v>
      </c>
      <c r="I4728" s="29">
        <v>110.6</v>
      </c>
      <c r="J4728" s="12" t="s">
        <v>31</v>
      </c>
      <c r="K4728" s="76">
        <f t="shared" si="354"/>
        <v>110.6</v>
      </c>
      <c r="L4728">
        <v>1</v>
      </c>
      <c r="M4728" s="29">
        <v>0</v>
      </c>
      <c r="N4728" t="s">
        <v>32</v>
      </c>
      <c r="O4728" t="s">
        <v>33</v>
      </c>
      <c r="P4728" t="s">
        <v>34</v>
      </c>
      <c r="Q4728" t="s">
        <v>34</v>
      </c>
      <c r="R4728" t="s">
        <v>34</v>
      </c>
      <c r="S4728" t="s">
        <v>34</v>
      </c>
      <c r="T4728" s="117">
        <v>0</v>
      </c>
    </row>
    <row r="4729" spans="1:21" x14ac:dyDescent="0.35">
      <c r="A4729" t="s">
        <v>20</v>
      </c>
      <c r="B4729" t="s">
        <v>23</v>
      </c>
      <c r="C4729" s="1">
        <v>45896</v>
      </c>
      <c r="D4729">
        <f t="shared" si="355"/>
        <v>27</v>
      </c>
      <c r="E4729">
        <f t="shared" si="356"/>
        <v>8</v>
      </c>
      <c r="F4729">
        <f t="shared" si="357"/>
        <v>2025</v>
      </c>
      <c r="G4729" t="s">
        <v>177</v>
      </c>
      <c r="H4729" s="98">
        <v>12924</v>
      </c>
      <c r="I4729" s="29">
        <v>26147.42</v>
      </c>
      <c r="J4729" s="12" t="s">
        <v>31</v>
      </c>
      <c r="K4729" s="76">
        <f t="shared" si="354"/>
        <v>26147.42</v>
      </c>
      <c r="L4729">
        <v>1</v>
      </c>
      <c r="M4729" s="29">
        <v>0</v>
      </c>
      <c r="N4729" t="s">
        <v>32</v>
      </c>
      <c r="O4729" t="s">
        <v>33</v>
      </c>
      <c r="P4729" t="s">
        <v>34</v>
      </c>
      <c r="Q4729" t="s">
        <v>34</v>
      </c>
      <c r="R4729" t="s">
        <v>34</v>
      </c>
      <c r="S4729" t="s">
        <v>34</v>
      </c>
      <c r="T4729" s="117">
        <v>0</v>
      </c>
    </row>
    <row r="4730" spans="1:21" x14ac:dyDescent="0.35">
      <c r="A4730" t="s">
        <v>20</v>
      </c>
      <c r="B4730" t="s">
        <v>23</v>
      </c>
      <c r="C4730" s="1">
        <v>45896</v>
      </c>
      <c r="D4730">
        <f t="shared" si="355"/>
        <v>27</v>
      </c>
      <c r="E4730">
        <f t="shared" si="356"/>
        <v>8</v>
      </c>
      <c r="F4730">
        <f t="shared" si="357"/>
        <v>2025</v>
      </c>
      <c r="G4730" t="s">
        <v>177</v>
      </c>
      <c r="H4730" s="98">
        <v>12992</v>
      </c>
      <c r="I4730" s="29">
        <v>33539.32</v>
      </c>
      <c r="J4730" s="12" t="s">
        <v>31</v>
      </c>
      <c r="K4730" s="76">
        <f t="shared" si="354"/>
        <v>33539.32</v>
      </c>
      <c r="L4730">
        <v>1</v>
      </c>
      <c r="M4730" s="29">
        <v>0</v>
      </c>
      <c r="N4730" t="s">
        <v>32</v>
      </c>
      <c r="O4730" t="s">
        <v>33</v>
      </c>
      <c r="P4730" t="s">
        <v>34</v>
      </c>
      <c r="Q4730" t="s">
        <v>34</v>
      </c>
      <c r="R4730" t="s">
        <v>34</v>
      </c>
      <c r="S4730" t="s">
        <v>34</v>
      </c>
      <c r="T4730" s="117">
        <v>0</v>
      </c>
    </row>
    <row r="4731" spans="1:21" x14ac:dyDescent="0.35">
      <c r="A4731" t="s">
        <v>20</v>
      </c>
      <c r="B4731" t="s">
        <v>25</v>
      </c>
      <c r="C4731" s="1">
        <v>45896</v>
      </c>
      <c r="D4731">
        <f t="shared" si="355"/>
        <v>27</v>
      </c>
      <c r="E4731">
        <f t="shared" si="356"/>
        <v>8</v>
      </c>
      <c r="F4731">
        <f t="shared" si="357"/>
        <v>2025</v>
      </c>
      <c r="G4731" t="s">
        <v>211</v>
      </c>
      <c r="H4731" s="98">
        <v>13199</v>
      </c>
      <c r="I4731" s="29">
        <v>189.97</v>
      </c>
      <c r="J4731" s="12" t="s">
        <v>31</v>
      </c>
      <c r="K4731" s="76">
        <f t="shared" si="354"/>
        <v>189.97</v>
      </c>
      <c r="L4731">
        <v>1</v>
      </c>
      <c r="M4731" s="29">
        <v>0</v>
      </c>
      <c r="N4731" t="s">
        <v>32</v>
      </c>
      <c r="O4731" t="s">
        <v>33</v>
      </c>
      <c r="P4731" t="s">
        <v>34</v>
      </c>
      <c r="Q4731" t="s">
        <v>34</v>
      </c>
      <c r="R4731" t="s">
        <v>34</v>
      </c>
      <c r="S4731" t="s">
        <v>34</v>
      </c>
      <c r="T4731" s="117">
        <v>0</v>
      </c>
    </row>
    <row r="4732" spans="1:21" x14ac:dyDescent="0.35">
      <c r="A4732" t="s">
        <v>20</v>
      </c>
      <c r="B4732" t="s">
        <v>25</v>
      </c>
      <c r="C4732" s="1">
        <v>45896</v>
      </c>
      <c r="D4732">
        <f t="shared" si="355"/>
        <v>27</v>
      </c>
      <c r="E4732">
        <f t="shared" si="356"/>
        <v>8</v>
      </c>
      <c r="F4732">
        <f t="shared" si="357"/>
        <v>2025</v>
      </c>
      <c r="G4732" t="s">
        <v>211</v>
      </c>
      <c r="H4732" s="98">
        <v>13201</v>
      </c>
      <c r="I4732" s="29">
        <v>9621.91</v>
      </c>
      <c r="J4732" s="12" t="s">
        <v>31</v>
      </c>
      <c r="K4732" s="76">
        <f t="shared" si="354"/>
        <v>9621.91</v>
      </c>
      <c r="L4732">
        <v>1</v>
      </c>
      <c r="M4732" s="29">
        <v>0</v>
      </c>
      <c r="N4732" t="s">
        <v>32</v>
      </c>
      <c r="O4732" t="s">
        <v>33</v>
      </c>
      <c r="P4732" t="s">
        <v>34</v>
      </c>
      <c r="Q4732" t="s">
        <v>34</v>
      </c>
      <c r="R4732" t="s">
        <v>34</v>
      </c>
      <c r="S4732" t="s">
        <v>34</v>
      </c>
      <c r="T4732" s="117">
        <v>0</v>
      </c>
    </row>
    <row r="4733" spans="1:21" x14ac:dyDescent="0.35">
      <c r="A4733" t="s">
        <v>20</v>
      </c>
      <c r="B4733" t="s">
        <v>21</v>
      </c>
      <c r="C4733" s="1">
        <v>45896</v>
      </c>
      <c r="D4733">
        <f t="shared" si="355"/>
        <v>27</v>
      </c>
      <c r="E4733">
        <f t="shared" si="356"/>
        <v>8</v>
      </c>
      <c r="F4733">
        <f t="shared" si="357"/>
        <v>2025</v>
      </c>
      <c r="G4733" t="s">
        <v>84</v>
      </c>
      <c r="H4733" s="98">
        <v>13101</v>
      </c>
      <c r="I4733" s="29">
        <v>35606.9</v>
      </c>
      <c r="J4733" s="12" t="s">
        <v>31</v>
      </c>
      <c r="K4733" s="76">
        <f t="shared" si="354"/>
        <v>35606.9</v>
      </c>
      <c r="L4733">
        <v>1</v>
      </c>
      <c r="M4733" s="29">
        <v>0</v>
      </c>
      <c r="N4733" t="s">
        <v>32</v>
      </c>
      <c r="O4733" t="s">
        <v>33</v>
      </c>
      <c r="P4733" t="s">
        <v>34</v>
      </c>
      <c r="Q4733" t="s">
        <v>34</v>
      </c>
      <c r="R4733" t="s">
        <v>34</v>
      </c>
      <c r="S4733" t="s">
        <v>34</v>
      </c>
      <c r="T4733" s="117">
        <v>0</v>
      </c>
    </row>
    <row r="4734" spans="1:21" x14ac:dyDescent="0.35">
      <c r="A4734" t="s">
        <v>20</v>
      </c>
      <c r="B4734" t="s">
        <v>25</v>
      </c>
      <c r="C4734" s="1">
        <v>45896</v>
      </c>
      <c r="D4734">
        <f t="shared" si="355"/>
        <v>27</v>
      </c>
      <c r="E4734">
        <f t="shared" si="356"/>
        <v>8</v>
      </c>
      <c r="F4734">
        <f t="shared" si="357"/>
        <v>2025</v>
      </c>
      <c r="G4734" t="s">
        <v>1238</v>
      </c>
      <c r="H4734" s="98">
        <v>13539</v>
      </c>
      <c r="I4734" s="29">
        <v>25.2</v>
      </c>
      <c r="J4734" s="12" t="s">
        <v>31</v>
      </c>
      <c r="K4734" s="76">
        <f t="shared" si="354"/>
        <v>25.2</v>
      </c>
      <c r="L4734">
        <v>1</v>
      </c>
      <c r="M4734" s="29">
        <v>0</v>
      </c>
      <c r="N4734" t="s">
        <v>42</v>
      </c>
      <c r="O4734" t="s">
        <v>33</v>
      </c>
      <c r="P4734" t="s">
        <v>34</v>
      </c>
      <c r="Q4734" t="s">
        <v>34</v>
      </c>
      <c r="R4734" t="s">
        <v>34</v>
      </c>
      <c r="S4734" t="s">
        <v>34</v>
      </c>
      <c r="T4734" s="117">
        <v>0</v>
      </c>
    </row>
    <row r="4735" spans="1:21" x14ac:dyDescent="0.35">
      <c r="A4735" t="s">
        <v>20</v>
      </c>
      <c r="B4735" t="s">
        <v>25</v>
      </c>
      <c r="C4735" s="1">
        <v>45896</v>
      </c>
      <c r="D4735">
        <f t="shared" si="355"/>
        <v>27</v>
      </c>
      <c r="E4735">
        <f t="shared" si="356"/>
        <v>8</v>
      </c>
      <c r="F4735">
        <f t="shared" si="357"/>
        <v>2025</v>
      </c>
      <c r="G4735" t="s">
        <v>1238</v>
      </c>
      <c r="H4735" s="98">
        <v>13540</v>
      </c>
      <c r="I4735" s="29">
        <v>2142</v>
      </c>
      <c r="J4735" s="12" t="s">
        <v>31</v>
      </c>
      <c r="K4735" s="76">
        <f t="shared" si="354"/>
        <v>2142</v>
      </c>
      <c r="L4735">
        <v>1</v>
      </c>
      <c r="M4735" s="29">
        <v>0</v>
      </c>
      <c r="N4735" t="s">
        <v>42</v>
      </c>
      <c r="O4735" t="s">
        <v>33</v>
      </c>
      <c r="P4735" t="s">
        <v>34</v>
      </c>
      <c r="Q4735" t="s">
        <v>34</v>
      </c>
      <c r="R4735" t="s">
        <v>34</v>
      </c>
      <c r="S4735" t="s">
        <v>34</v>
      </c>
      <c r="T4735" s="117">
        <v>0</v>
      </c>
    </row>
    <row r="4736" spans="1:21" x14ac:dyDescent="0.35">
      <c r="A4736" t="s">
        <v>20</v>
      </c>
      <c r="B4736" t="s">
        <v>25</v>
      </c>
      <c r="C4736" s="1">
        <v>45896</v>
      </c>
      <c r="D4736">
        <f t="shared" si="355"/>
        <v>27</v>
      </c>
      <c r="E4736">
        <f t="shared" si="356"/>
        <v>8</v>
      </c>
      <c r="F4736">
        <f t="shared" si="357"/>
        <v>2025</v>
      </c>
      <c r="G4736" t="s">
        <v>274</v>
      </c>
      <c r="H4736" s="98">
        <v>13541</v>
      </c>
      <c r="I4736" s="29">
        <v>81</v>
      </c>
      <c r="J4736" s="12" t="s">
        <v>31</v>
      </c>
      <c r="K4736" s="76">
        <f t="shared" si="354"/>
        <v>81</v>
      </c>
      <c r="L4736">
        <v>1</v>
      </c>
      <c r="M4736" s="29">
        <v>0</v>
      </c>
      <c r="N4736" t="s">
        <v>42</v>
      </c>
      <c r="O4736" t="s">
        <v>33</v>
      </c>
      <c r="P4736" t="s">
        <v>34</v>
      </c>
      <c r="Q4736" t="s">
        <v>34</v>
      </c>
      <c r="R4736" t="s">
        <v>34</v>
      </c>
      <c r="S4736" t="s">
        <v>34</v>
      </c>
      <c r="T4736" s="117">
        <v>0</v>
      </c>
    </row>
    <row r="4737" spans="1:20" x14ac:dyDescent="0.35">
      <c r="A4737" t="s">
        <v>20</v>
      </c>
      <c r="B4737" t="s">
        <v>25</v>
      </c>
      <c r="C4737" s="1">
        <v>45896</v>
      </c>
      <c r="D4737">
        <f t="shared" si="355"/>
        <v>27</v>
      </c>
      <c r="E4737">
        <f t="shared" si="356"/>
        <v>8</v>
      </c>
      <c r="F4737">
        <f t="shared" si="357"/>
        <v>2025</v>
      </c>
      <c r="G4737" t="s">
        <v>274</v>
      </c>
      <c r="H4737" s="98">
        <v>13542</v>
      </c>
      <c r="I4737" s="29">
        <v>5577</v>
      </c>
      <c r="J4737" s="12" t="s">
        <v>31</v>
      </c>
      <c r="K4737" s="76">
        <f t="shared" si="354"/>
        <v>5577</v>
      </c>
      <c r="L4737">
        <v>1</v>
      </c>
      <c r="M4737" s="29">
        <v>0</v>
      </c>
      <c r="N4737" t="s">
        <v>42</v>
      </c>
      <c r="O4737" t="s">
        <v>33</v>
      </c>
      <c r="P4737" t="s">
        <v>34</v>
      </c>
      <c r="Q4737" t="s">
        <v>34</v>
      </c>
      <c r="R4737" t="s">
        <v>34</v>
      </c>
      <c r="S4737" t="s">
        <v>34</v>
      </c>
      <c r="T4737" s="117">
        <v>0</v>
      </c>
    </row>
    <row r="4738" spans="1:20" x14ac:dyDescent="0.35">
      <c r="A4738" t="s">
        <v>20</v>
      </c>
      <c r="B4738" t="s">
        <v>25</v>
      </c>
      <c r="C4738" s="1">
        <v>45896</v>
      </c>
      <c r="D4738">
        <f t="shared" si="355"/>
        <v>27</v>
      </c>
      <c r="E4738">
        <f t="shared" si="356"/>
        <v>8</v>
      </c>
      <c r="F4738">
        <f t="shared" si="357"/>
        <v>2025</v>
      </c>
      <c r="G4738" t="s">
        <v>274</v>
      </c>
      <c r="H4738" s="98">
        <v>13543</v>
      </c>
      <c r="I4738" s="29">
        <v>5557</v>
      </c>
      <c r="J4738" s="12" t="s">
        <v>31</v>
      </c>
      <c r="K4738" s="76">
        <f t="shared" si="354"/>
        <v>5557</v>
      </c>
      <c r="L4738">
        <v>1</v>
      </c>
      <c r="M4738" s="29">
        <v>0</v>
      </c>
      <c r="N4738" t="s">
        <v>42</v>
      </c>
      <c r="O4738" t="s">
        <v>33</v>
      </c>
      <c r="P4738" t="s">
        <v>34</v>
      </c>
      <c r="Q4738" t="s">
        <v>34</v>
      </c>
      <c r="R4738" t="s">
        <v>34</v>
      </c>
      <c r="S4738" t="s">
        <v>34</v>
      </c>
      <c r="T4738" s="117">
        <v>0</v>
      </c>
    </row>
    <row r="4739" spans="1:20" x14ac:dyDescent="0.35">
      <c r="A4739" t="s">
        <v>20</v>
      </c>
      <c r="B4739" t="s">
        <v>25</v>
      </c>
      <c r="C4739" s="1">
        <v>45896</v>
      </c>
      <c r="D4739">
        <f t="shared" si="355"/>
        <v>27</v>
      </c>
      <c r="E4739">
        <f t="shared" si="356"/>
        <v>8</v>
      </c>
      <c r="F4739">
        <f t="shared" si="357"/>
        <v>2025</v>
      </c>
      <c r="G4739" t="s">
        <v>442</v>
      </c>
      <c r="H4739" s="98">
        <v>12965</v>
      </c>
      <c r="I4739" s="29">
        <v>22390.42</v>
      </c>
      <c r="J4739" s="12" t="s">
        <v>51</v>
      </c>
      <c r="K4739" s="76">
        <f t="shared" ref="K4739:K4804" si="358">IF(J4739="USD",I4739,I4739*L4739)</f>
        <v>26078.130010646997</v>
      </c>
      <c r="L4739" s="2">
        <v>1.1647003499999999</v>
      </c>
      <c r="M4739" s="29">
        <v>0</v>
      </c>
      <c r="N4739" t="s">
        <v>32</v>
      </c>
      <c r="O4739" t="s">
        <v>33</v>
      </c>
      <c r="P4739" t="s">
        <v>34</v>
      </c>
      <c r="Q4739" t="s">
        <v>34</v>
      </c>
      <c r="R4739" t="s">
        <v>34</v>
      </c>
      <c r="S4739" t="s">
        <v>34</v>
      </c>
      <c r="T4739" s="117">
        <v>0</v>
      </c>
    </row>
    <row r="4740" spans="1:20" x14ac:dyDescent="0.35">
      <c r="A4740" t="s">
        <v>20</v>
      </c>
      <c r="B4740" t="s">
        <v>23</v>
      </c>
      <c r="C4740" s="1">
        <v>45896</v>
      </c>
      <c r="D4740">
        <f t="shared" si="355"/>
        <v>27</v>
      </c>
      <c r="E4740">
        <f t="shared" si="356"/>
        <v>8</v>
      </c>
      <c r="F4740">
        <f t="shared" si="357"/>
        <v>2025</v>
      </c>
      <c r="G4740" t="s">
        <v>53</v>
      </c>
      <c r="H4740" s="171">
        <v>13044</v>
      </c>
      <c r="I4740" s="90">
        <v>6403.28</v>
      </c>
      <c r="J4740" s="12" t="s">
        <v>31</v>
      </c>
      <c r="K4740" s="76">
        <f t="shared" si="358"/>
        <v>6403.28</v>
      </c>
      <c r="L4740">
        <v>1</v>
      </c>
      <c r="M4740" s="29">
        <v>0</v>
      </c>
      <c r="N4740" t="s">
        <v>32</v>
      </c>
      <c r="O4740" t="s">
        <v>33</v>
      </c>
      <c r="P4740" t="s">
        <v>34</v>
      </c>
      <c r="Q4740" t="s">
        <v>34</v>
      </c>
      <c r="R4740" t="s">
        <v>34</v>
      </c>
      <c r="S4740" t="s">
        <v>34</v>
      </c>
      <c r="T4740" s="117">
        <v>0</v>
      </c>
    </row>
    <row r="4741" spans="1:20" x14ac:dyDescent="0.35">
      <c r="A4741" t="s">
        <v>20</v>
      </c>
      <c r="B4741" t="s">
        <v>21</v>
      </c>
      <c r="C4741" s="1">
        <v>45896</v>
      </c>
      <c r="D4741">
        <f t="shared" si="355"/>
        <v>27</v>
      </c>
      <c r="E4741">
        <f t="shared" si="356"/>
        <v>8</v>
      </c>
      <c r="F4741">
        <f t="shared" si="357"/>
        <v>2025</v>
      </c>
      <c r="G4741" t="s">
        <v>43</v>
      </c>
      <c r="H4741" s="98">
        <v>13084</v>
      </c>
      <c r="I4741" s="29">
        <v>13293.92</v>
      </c>
      <c r="J4741" s="12" t="s">
        <v>31</v>
      </c>
      <c r="K4741" s="76">
        <f t="shared" si="358"/>
        <v>13293.92</v>
      </c>
      <c r="L4741">
        <v>1</v>
      </c>
      <c r="M4741" s="29">
        <v>0</v>
      </c>
      <c r="N4741" t="s">
        <v>32</v>
      </c>
      <c r="O4741" t="s">
        <v>33</v>
      </c>
      <c r="P4741" t="s">
        <v>34</v>
      </c>
      <c r="Q4741" t="s">
        <v>34</v>
      </c>
      <c r="R4741" t="s">
        <v>34</v>
      </c>
      <c r="S4741" t="s">
        <v>34</v>
      </c>
      <c r="T4741" s="117">
        <v>0</v>
      </c>
    </row>
    <row r="4742" spans="1:20" x14ac:dyDescent="0.35">
      <c r="A4742" t="s">
        <v>20</v>
      </c>
      <c r="B4742" t="s">
        <v>21</v>
      </c>
      <c r="C4742" s="1">
        <v>45896</v>
      </c>
      <c r="D4742">
        <f t="shared" si="355"/>
        <v>27</v>
      </c>
      <c r="E4742">
        <f t="shared" si="356"/>
        <v>8</v>
      </c>
      <c r="F4742">
        <f t="shared" si="357"/>
        <v>2025</v>
      </c>
      <c r="G4742" t="s">
        <v>435</v>
      </c>
      <c r="H4742" s="98">
        <v>12977</v>
      </c>
      <c r="I4742" s="29">
        <v>38</v>
      </c>
      <c r="J4742" s="12" t="s">
        <v>31</v>
      </c>
      <c r="K4742" s="76">
        <f t="shared" si="358"/>
        <v>38</v>
      </c>
      <c r="L4742">
        <v>1</v>
      </c>
      <c r="M4742" s="29">
        <v>0</v>
      </c>
      <c r="N4742" t="s">
        <v>32</v>
      </c>
      <c r="O4742" t="s">
        <v>33</v>
      </c>
      <c r="P4742" t="s">
        <v>34</v>
      </c>
      <c r="Q4742" t="s">
        <v>34</v>
      </c>
      <c r="R4742" t="s">
        <v>34</v>
      </c>
      <c r="S4742" t="s">
        <v>34</v>
      </c>
      <c r="T4742" s="117">
        <v>0</v>
      </c>
    </row>
    <row r="4743" spans="1:20" x14ac:dyDescent="0.35">
      <c r="A4743" t="s">
        <v>20</v>
      </c>
      <c r="B4743" t="s">
        <v>21</v>
      </c>
      <c r="C4743" s="1">
        <v>45896</v>
      </c>
      <c r="D4743">
        <f t="shared" si="355"/>
        <v>27</v>
      </c>
      <c r="E4743">
        <f t="shared" si="356"/>
        <v>8</v>
      </c>
      <c r="F4743">
        <f t="shared" si="357"/>
        <v>2025</v>
      </c>
      <c r="G4743" t="s">
        <v>435</v>
      </c>
      <c r="H4743" s="98">
        <v>12978</v>
      </c>
      <c r="I4743" s="29">
        <v>7750.48</v>
      </c>
      <c r="J4743" s="12" t="s">
        <v>31</v>
      </c>
      <c r="K4743" s="76">
        <f t="shared" si="358"/>
        <v>7750.48</v>
      </c>
      <c r="L4743">
        <v>1</v>
      </c>
      <c r="M4743" s="29">
        <v>0</v>
      </c>
      <c r="N4743" t="s">
        <v>32</v>
      </c>
      <c r="O4743" t="s">
        <v>33</v>
      </c>
      <c r="P4743" t="s">
        <v>34</v>
      </c>
      <c r="Q4743" t="s">
        <v>34</v>
      </c>
      <c r="R4743" t="s">
        <v>34</v>
      </c>
      <c r="S4743" t="s">
        <v>34</v>
      </c>
      <c r="T4743" s="117">
        <v>0</v>
      </c>
    </row>
    <row r="4744" spans="1:20" x14ac:dyDescent="0.35">
      <c r="A4744" t="s">
        <v>20</v>
      </c>
      <c r="B4744" t="s">
        <v>23</v>
      </c>
      <c r="C4744" s="1">
        <v>45896</v>
      </c>
      <c r="D4744">
        <f t="shared" si="355"/>
        <v>27</v>
      </c>
      <c r="E4744">
        <f t="shared" si="356"/>
        <v>8</v>
      </c>
      <c r="F4744">
        <f t="shared" si="357"/>
        <v>2025</v>
      </c>
      <c r="G4744" t="s">
        <v>46</v>
      </c>
      <c r="H4744" s="98">
        <v>13528</v>
      </c>
      <c r="I4744" s="29">
        <v>95.5</v>
      </c>
      <c r="J4744" s="12" t="s">
        <v>31</v>
      </c>
      <c r="K4744" s="76">
        <f t="shared" si="358"/>
        <v>95.5</v>
      </c>
      <c r="L4744">
        <v>1</v>
      </c>
      <c r="M4744" s="29">
        <v>0</v>
      </c>
      <c r="N4744" t="s">
        <v>42</v>
      </c>
      <c r="O4744" t="s">
        <v>33</v>
      </c>
      <c r="P4744" t="s">
        <v>34</v>
      </c>
      <c r="Q4744" t="s">
        <v>34</v>
      </c>
      <c r="R4744" t="s">
        <v>34</v>
      </c>
      <c r="S4744" t="s">
        <v>34</v>
      </c>
      <c r="T4744" s="117">
        <v>0</v>
      </c>
    </row>
    <row r="4745" spans="1:20" x14ac:dyDescent="0.35">
      <c r="A4745" t="s">
        <v>20</v>
      </c>
      <c r="B4745" t="s">
        <v>23</v>
      </c>
      <c r="C4745" s="1">
        <v>45896</v>
      </c>
      <c r="D4745">
        <f t="shared" si="355"/>
        <v>27</v>
      </c>
      <c r="E4745">
        <f t="shared" si="356"/>
        <v>8</v>
      </c>
      <c r="F4745">
        <f t="shared" si="357"/>
        <v>2025</v>
      </c>
      <c r="G4745" t="s">
        <v>46</v>
      </c>
      <c r="H4745" s="98">
        <v>13529</v>
      </c>
      <c r="I4745" s="29">
        <v>2278</v>
      </c>
      <c r="J4745" s="12" t="s">
        <v>31</v>
      </c>
      <c r="K4745" s="76">
        <f t="shared" si="358"/>
        <v>2278</v>
      </c>
      <c r="L4745">
        <v>1</v>
      </c>
      <c r="M4745" s="29">
        <v>0</v>
      </c>
      <c r="N4745" t="s">
        <v>42</v>
      </c>
      <c r="O4745" t="s">
        <v>33</v>
      </c>
      <c r="P4745" t="s">
        <v>34</v>
      </c>
      <c r="Q4745" t="s">
        <v>34</v>
      </c>
      <c r="R4745" t="s">
        <v>34</v>
      </c>
      <c r="S4745" t="s">
        <v>34</v>
      </c>
      <c r="T4745" s="117">
        <v>0</v>
      </c>
    </row>
    <row r="4746" spans="1:20" x14ac:dyDescent="0.35">
      <c r="A4746" t="s">
        <v>19</v>
      </c>
      <c r="B4746" t="s">
        <v>19</v>
      </c>
      <c r="C4746" s="1">
        <v>45896</v>
      </c>
      <c r="D4746">
        <f t="shared" si="355"/>
        <v>27</v>
      </c>
      <c r="E4746">
        <f t="shared" si="356"/>
        <v>8</v>
      </c>
      <c r="F4746">
        <f t="shared" si="357"/>
        <v>2025</v>
      </c>
      <c r="G4746" t="s">
        <v>56</v>
      </c>
      <c r="H4746" s="98" t="s">
        <v>1261</v>
      </c>
      <c r="I4746" s="29">
        <v>76642.820000000007</v>
      </c>
      <c r="J4746" s="12" t="s">
        <v>31</v>
      </c>
      <c r="K4746" s="76">
        <f t="shared" si="358"/>
        <v>76642.820000000007</v>
      </c>
      <c r="L4746">
        <v>1</v>
      </c>
      <c r="M4746" s="29">
        <v>0</v>
      </c>
      <c r="N4746" t="s">
        <v>32</v>
      </c>
      <c r="O4746" t="s">
        <v>33</v>
      </c>
      <c r="P4746" t="s">
        <v>34</v>
      </c>
      <c r="Q4746" t="s">
        <v>34</v>
      </c>
      <c r="R4746" t="s">
        <v>34</v>
      </c>
      <c r="S4746" t="s">
        <v>34</v>
      </c>
      <c r="T4746" s="117">
        <v>0</v>
      </c>
    </row>
    <row r="4747" spans="1:20" x14ac:dyDescent="0.35">
      <c r="A4747" t="s">
        <v>19</v>
      </c>
      <c r="B4747" t="s">
        <v>19</v>
      </c>
      <c r="C4747" s="1">
        <v>45896</v>
      </c>
      <c r="D4747">
        <f t="shared" si="355"/>
        <v>27</v>
      </c>
      <c r="E4747">
        <f t="shared" si="356"/>
        <v>8</v>
      </c>
      <c r="F4747">
        <f t="shared" si="357"/>
        <v>2025</v>
      </c>
      <c r="G4747" t="s">
        <v>57</v>
      </c>
      <c r="H4747" s="171" t="s">
        <v>1262</v>
      </c>
      <c r="I4747" s="90">
        <v>68182.3</v>
      </c>
      <c r="J4747" s="12" t="s">
        <v>31</v>
      </c>
      <c r="K4747" s="76">
        <f t="shared" si="358"/>
        <v>68182.3</v>
      </c>
      <c r="L4747">
        <v>1</v>
      </c>
      <c r="M4747" s="29">
        <v>0</v>
      </c>
      <c r="N4747" t="s">
        <v>32</v>
      </c>
      <c r="O4747" t="s">
        <v>33</v>
      </c>
      <c r="P4747" t="s">
        <v>34</v>
      </c>
      <c r="Q4747" t="s">
        <v>34</v>
      </c>
      <c r="R4747" t="s">
        <v>34</v>
      </c>
      <c r="S4747" t="s">
        <v>34</v>
      </c>
      <c r="T4747" s="117">
        <v>0</v>
      </c>
    </row>
    <row r="4748" spans="1:20" x14ac:dyDescent="0.35">
      <c r="A4748" t="s">
        <v>19</v>
      </c>
      <c r="B4748" t="s">
        <v>19</v>
      </c>
      <c r="C4748" s="1">
        <v>45896</v>
      </c>
      <c r="D4748">
        <f t="shared" si="355"/>
        <v>27</v>
      </c>
      <c r="E4748">
        <f t="shared" si="356"/>
        <v>8</v>
      </c>
      <c r="F4748">
        <f t="shared" si="357"/>
        <v>2025</v>
      </c>
      <c r="G4748" t="s">
        <v>1115</v>
      </c>
      <c r="H4748" s="98" t="s">
        <v>1183</v>
      </c>
      <c r="I4748" s="29">
        <v>100000</v>
      </c>
      <c r="J4748" s="12" t="s">
        <v>31</v>
      </c>
      <c r="K4748" s="76">
        <f t="shared" si="358"/>
        <v>100000</v>
      </c>
      <c r="L4748">
        <v>1</v>
      </c>
      <c r="M4748" s="29">
        <v>0</v>
      </c>
      <c r="N4748" t="s">
        <v>32</v>
      </c>
      <c r="O4748" t="s">
        <v>33</v>
      </c>
      <c r="P4748" t="s">
        <v>34</v>
      </c>
      <c r="Q4748" t="s">
        <v>34</v>
      </c>
      <c r="R4748" t="s">
        <v>34</v>
      </c>
      <c r="S4748" t="s">
        <v>34</v>
      </c>
      <c r="T4748" s="117">
        <v>0</v>
      </c>
    </row>
    <row r="4749" spans="1:20" x14ac:dyDescent="0.35">
      <c r="A4749" t="s">
        <v>19</v>
      </c>
      <c r="B4749" t="s">
        <v>19</v>
      </c>
      <c r="C4749" s="1">
        <v>45896</v>
      </c>
      <c r="D4749">
        <f t="shared" si="355"/>
        <v>27</v>
      </c>
      <c r="E4749">
        <f t="shared" si="356"/>
        <v>8</v>
      </c>
      <c r="F4749">
        <f t="shared" si="357"/>
        <v>2025</v>
      </c>
      <c r="G4749" t="s">
        <v>125</v>
      </c>
      <c r="H4749" s="98" t="s">
        <v>1263</v>
      </c>
      <c r="I4749" s="29">
        <v>150896.82</v>
      </c>
      <c r="J4749" s="12" t="s">
        <v>31</v>
      </c>
      <c r="K4749" s="76">
        <f t="shared" si="358"/>
        <v>150896.82</v>
      </c>
      <c r="L4749">
        <v>1</v>
      </c>
      <c r="M4749" s="29">
        <v>0</v>
      </c>
      <c r="N4749" t="s">
        <v>32</v>
      </c>
      <c r="O4749" t="s">
        <v>33</v>
      </c>
      <c r="P4749" t="s">
        <v>34</v>
      </c>
      <c r="Q4749" t="s">
        <v>34</v>
      </c>
      <c r="R4749" t="s">
        <v>34</v>
      </c>
      <c r="S4749" t="s">
        <v>34</v>
      </c>
      <c r="T4749" s="117">
        <v>0</v>
      </c>
    </row>
    <row r="4750" spans="1:20" x14ac:dyDescent="0.35">
      <c r="A4750" t="s">
        <v>19</v>
      </c>
      <c r="B4750" t="s">
        <v>19</v>
      </c>
      <c r="C4750" s="1">
        <v>45896</v>
      </c>
      <c r="D4750">
        <f t="shared" si="355"/>
        <v>27</v>
      </c>
      <c r="E4750">
        <f t="shared" si="356"/>
        <v>8</v>
      </c>
      <c r="F4750">
        <f t="shared" si="357"/>
        <v>2025</v>
      </c>
      <c r="G4750" t="s">
        <v>523</v>
      </c>
      <c r="H4750" s="98" t="s">
        <v>1237</v>
      </c>
      <c r="I4750" s="29">
        <v>31832.95</v>
      </c>
      <c r="J4750" s="12" t="s">
        <v>31</v>
      </c>
      <c r="K4750" s="76">
        <f t="shared" si="358"/>
        <v>31832.95</v>
      </c>
      <c r="L4750">
        <v>1</v>
      </c>
      <c r="M4750" s="29">
        <v>0</v>
      </c>
      <c r="N4750" t="s">
        <v>32</v>
      </c>
      <c r="O4750" t="s">
        <v>33</v>
      </c>
      <c r="P4750" t="s">
        <v>34</v>
      </c>
      <c r="Q4750" t="s">
        <v>34</v>
      </c>
      <c r="R4750" t="s">
        <v>34</v>
      </c>
      <c r="S4750" t="s">
        <v>34</v>
      </c>
      <c r="T4750" s="117">
        <v>0</v>
      </c>
    </row>
    <row r="4751" spans="1:20" x14ac:dyDescent="0.35">
      <c r="A4751" t="s">
        <v>19</v>
      </c>
      <c r="B4751" t="s">
        <v>19</v>
      </c>
      <c r="C4751" s="1">
        <v>45896</v>
      </c>
      <c r="D4751">
        <f t="shared" si="355"/>
        <v>27</v>
      </c>
      <c r="E4751">
        <f t="shared" si="356"/>
        <v>8</v>
      </c>
      <c r="F4751">
        <f t="shared" si="357"/>
        <v>2025</v>
      </c>
      <c r="G4751" t="s">
        <v>523</v>
      </c>
      <c r="H4751" s="98" t="s">
        <v>1264</v>
      </c>
      <c r="I4751" s="29">
        <v>19718.669999999998</v>
      </c>
      <c r="J4751" s="12" t="s">
        <v>31</v>
      </c>
      <c r="K4751" s="76">
        <f t="shared" si="358"/>
        <v>19718.669999999998</v>
      </c>
      <c r="L4751">
        <v>1</v>
      </c>
      <c r="M4751" s="29">
        <v>0</v>
      </c>
      <c r="N4751" t="s">
        <v>32</v>
      </c>
      <c r="O4751" t="s">
        <v>33</v>
      </c>
      <c r="P4751" t="s">
        <v>34</v>
      </c>
      <c r="Q4751" t="s">
        <v>34</v>
      </c>
      <c r="R4751" t="s">
        <v>34</v>
      </c>
      <c r="S4751" t="s">
        <v>34</v>
      </c>
      <c r="T4751" s="117">
        <v>0</v>
      </c>
    </row>
    <row r="4752" spans="1:20" x14ac:dyDescent="0.35">
      <c r="A4752" t="s">
        <v>19</v>
      </c>
      <c r="B4752" t="s">
        <v>19</v>
      </c>
      <c r="C4752" s="1">
        <v>45896</v>
      </c>
      <c r="D4752">
        <f t="shared" si="355"/>
        <v>27</v>
      </c>
      <c r="E4752">
        <f t="shared" si="356"/>
        <v>8</v>
      </c>
      <c r="F4752">
        <f t="shared" si="357"/>
        <v>2025</v>
      </c>
      <c r="G4752" t="s">
        <v>1002</v>
      </c>
      <c r="H4752" s="98" t="s">
        <v>1265</v>
      </c>
      <c r="I4752" s="29">
        <v>9201.44</v>
      </c>
      <c r="J4752" s="12" t="s">
        <v>31</v>
      </c>
      <c r="K4752" s="76">
        <f t="shared" si="358"/>
        <v>9201.44</v>
      </c>
      <c r="L4752">
        <v>1</v>
      </c>
      <c r="M4752" s="29">
        <v>0</v>
      </c>
      <c r="N4752" t="s">
        <v>32</v>
      </c>
      <c r="O4752" t="s">
        <v>33</v>
      </c>
      <c r="P4752" t="s">
        <v>34</v>
      </c>
      <c r="Q4752" t="s">
        <v>34</v>
      </c>
      <c r="R4752" t="s">
        <v>34</v>
      </c>
      <c r="S4752" t="s">
        <v>34</v>
      </c>
      <c r="T4752" s="117">
        <v>0</v>
      </c>
    </row>
    <row r="4753" spans="1:21" x14ac:dyDescent="0.35">
      <c r="A4753" t="s">
        <v>19</v>
      </c>
      <c r="B4753" t="s">
        <v>19</v>
      </c>
      <c r="C4753" s="1">
        <v>45896</v>
      </c>
      <c r="D4753">
        <f t="shared" si="355"/>
        <v>27</v>
      </c>
      <c r="E4753">
        <f t="shared" si="356"/>
        <v>8</v>
      </c>
      <c r="F4753">
        <f t="shared" si="357"/>
        <v>2025</v>
      </c>
      <c r="G4753" t="s">
        <v>117</v>
      </c>
      <c r="H4753" s="98" t="s">
        <v>1265</v>
      </c>
      <c r="I4753" s="29">
        <v>73867.05</v>
      </c>
      <c r="J4753" s="12" t="s">
        <v>31</v>
      </c>
      <c r="K4753" s="76">
        <f t="shared" si="358"/>
        <v>73867.05</v>
      </c>
      <c r="L4753">
        <v>1</v>
      </c>
      <c r="M4753" s="29">
        <v>0</v>
      </c>
      <c r="N4753" t="s">
        <v>32</v>
      </c>
      <c r="O4753" t="s">
        <v>33</v>
      </c>
      <c r="P4753" t="s">
        <v>34</v>
      </c>
      <c r="Q4753" t="s">
        <v>34</v>
      </c>
      <c r="R4753" t="s">
        <v>34</v>
      </c>
      <c r="S4753" t="s">
        <v>34</v>
      </c>
      <c r="T4753" s="117">
        <v>0</v>
      </c>
    </row>
    <row r="4754" spans="1:21" x14ac:dyDescent="0.35">
      <c r="A4754" t="s">
        <v>19</v>
      </c>
      <c r="B4754" t="s">
        <v>19</v>
      </c>
      <c r="C4754" s="1">
        <v>45896</v>
      </c>
      <c r="D4754">
        <f t="shared" si="355"/>
        <v>27</v>
      </c>
      <c r="E4754">
        <f t="shared" si="356"/>
        <v>8</v>
      </c>
      <c r="F4754">
        <f t="shared" si="357"/>
        <v>2025</v>
      </c>
      <c r="G4754" t="s">
        <v>523</v>
      </c>
      <c r="H4754" s="98" t="s">
        <v>1268</v>
      </c>
      <c r="I4754" s="29">
        <v>181615.5</v>
      </c>
      <c r="J4754" s="12" t="s">
        <v>31</v>
      </c>
      <c r="K4754" s="76">
        <f t="shared" si="358"/>
        <v>181615.5</v>
      </c>
      <c r="L4754">
        <v>1</v>
      </c>
      <c r="M4754" s="29">
        <v>0</v>
      </c>
      <c r="N4754" t="s">
        <v>32</v>
      </c>
      <c r="O4754" t="s">
        <v>114</v>
      </c>
      <c r="P4754" s="1">
        <v>45896</v>
      </c>
      <c r="Q4754" s="1">
        <f>Tabla1[[#This Row],[FECHA DE APERTURA CREDITO -UTILIZACION LC]]+84</f>
        <v>45980</v>
      </c>
      <c r="R4754" s="101">
        <v>8021000594775</v>
      </c>
      <c r="S4754" t="s">
        <v>34</v>
      </c>
      <c r="T4754" s="117">
        <v>0</v>
      </c>
      <c r="U4754" s="209" t="s">
        <v>1221</v>
      </c>
    </row>
    <row r="4755" spans="1:21" x14ac:dyDescent="0.35">
      <c r="A4755" t="s">
        <v>19</v>
      </c>
      <c r="B4755" t="s">
        <v>19</v>
      </c>
      <c r="C4755" s="1">
        <v>45896</v>
      </c>
      <c r="D4755">
        <f t="shared" si="355"/>
        <v>27</v>
      </c>
      <c r="E4755">
        <f t="shared" si="356"/>
        <v>8</v>
      </c>
      <c r="F4755">
        <f t="shared" si="357"/>
        <v>2025</v>
      </c>
      <c r="G4755" t="s">
        <v>523</v>
      </c>
      <c r="H4755" s="98" t="s">
        <v>1269</v>
      </c>
      <c r="I4755" s="29">
        <v>88172.160000000003</v>
      </c>
      <c r="J4755" s="12" t="s">
        <v>31</v>
      </c>
      <c r="K4755" s="76">
        <f t="shared" si="358"/>
        <v>88172.160000000003</v>
      </c>
      <c r="L4755">
        <v>1</v>
      </c>
      <c r="M4755" s="29">
        <v>0</v>
      </c>
      <c r="N4755" t="s">
        <v>32</v>
      </c>
      <c r="O4755" t="s">
        <v>114</v>
      </c>
      <c r="P4755" s="1">
        <v>45896</v>
      </c>
      <c r="Q4755" s="1">
        <f>Tabla1[[#This Row],[FECHA DE APERTURA CREDITO -UTILIZACION LC]]+84</f>
        <v>45980</v>
      </c>
      <c r="R4755" s="101">
        <v>8021000594775</v>
      </c>
      <c r="S4755" t="s">
        <v>34</v>
      </c>
      <c r="T4755" s="117">
        <v>0</v>
      </c>
      <c r="U4755" s="209" t="s">
        <v>1221</v>
      </c>
    </row>
    <row r="4756" spans="1:21" x14ac:dyDescent="0.35">
      <c r="A4756" t="s">
        <v>19</v>
      </c>
      <c r="B4756" t="s">
        <v>26</v>
      </c>
      <c r="C4756" s="1">
        <v>45897</v>
      </c>
      <c r="D4756">
        <f>DAY(C4756)</f>
        <v>28</v>
      </c>
      <c r="E4756">
        <f>MONTH(C4756)</f>
        <v>8</v>
      </c>
      <c r="F4756">
        <f>YEAR(C4756)</f>
        <v>2025</v>
      </c>
      <c r="G4756" t="s">
        <v>73</v>
      </c>
      <c r="H4756" s="98">
        <v>13647</v>
      </c>
      <c r="I4756" s="15">
        <v>45133.08</v>
      </c>
      <c r="J4756" s="12" t="s">
        <v>51</v>
      </c>
      <c r="K4756" s="76">
        <f t="shared" si="358"/>
        <v>52728.977363999998</v>
      </c>
      <c r="L4756">
        <v>1.1682999999999999</v>
      </c>
      <c r="M4756" s="29">
        <v>0</v>
      </c>
      <c r="N4756" t="s">
        <v>42</v>
      </c>
      <c r="O4756" t="s">
        <v>33</v>
      </c>
      <c r="P4756" t="s">
        <v>34</v>
      </c>
      <c r="Q4756" t="s">
        <v>34</v>
      </c>
      <c r="R4756" t="s">
        <v>34</v>
      </c>
      <c r="S4756" t="s">
        <v>34</v>
      </c>
      <c r="T4756" s="117">
        <v>0</v>
      </c>
      <c r="U4756" s="209" t="s">
        <v>94</v>
      </c>
    </row>
    <row r="4757" spans="1:21" x14ac:dyDescent="0.35">
      <c r="A4757" t="s">
        <v>19</v>
      </c>
      <c r="B4757" t="s">
        <v>26</v>
      </c>
      <c r="C4757" s="1">
        <v>45897</v>
      </c>
      <c r="D4757">
        <f>DAY(C4757)</f>
        <v>28</v>
      </c>
      <c r="E4757">
        <f>MONTH(C4757)</f>
        <v>8</v>
      </c>
      <c r="F4757">
        <f>YEAR(C4757)</f>
        <v>2025</v>
      </c>
      <c r="G4757" t="s">
        <v>73</v>
      </c>
      <c r="H4757" s="98">
        <v>13668</v>
      </c>
      <c r="I4757" s="15">
        <v>40233.31</v>
      </c>
      <c r="J4757" s="12" t="s">
        <v>51</v>
      </c>
      <c r="K4757" s="76">
        <f t="shared" si="358"/>
        <v>47004.576072999997</v>
      </c>
      <c r="L4757">
        <v>1.1682999999999999</v>
      </c>
      <c r="M4757" s="29">
        <v>0</v>
      </c>
      <c r="N4757" t="s">
        <v>42</v>
      </c>
      <c r="O4757" t="s">
        <v>33</v>
      </c>
      <c r="P4757" t="s">
        <v>34</v>
      </c>
      <c r="Q4757" t="s">
        <v>34</v>
      </c>
      <c r="R4757" t="s">
        <v>34</v>
      </c>
      <c r="S4757" t="s">
        <v>34</v>
      </c>
      <c r="T4757" s="117">
        <v>0</v>
      </c>
      <c r="U4757" s="209" t="s">
        <v>94</v>
      </c>
    </row>
    <row r="4758" spans="1:21" x14ac:dyDescent="0.35">
      <c r="A4758" t="s">
        <v>19</v>
      </c>
      <c r="B4758" t="s">
        <v>26</v>
      </c>
      <c r="C4758" s="1">
        <v>45897</v>
      </c>
      <c r="D4758">
        <f t="shared" si="355"/>
        <v>28</v>
      </c>
      <c r="E4758">
        <f t="shared" si="356"/>
        <v>8</v>
      </c>
      <c r="F4758">
        <f t="shared" si="357"/>
        <v>2025</v>
      </c>
      <c r="G4758" t="s">
        <v>73</v>
      </c>
      <c r="H4758" s="121">
        <v>13670</v>
      </c>
      <c r="I4758" s="15">
        <v>46760.62</v>
      </c>
      <c r="J4758" s="12" t="s">
        <v>51</v>
      </c>
      <c r="K4758" s="76">
        <f t="shared" si="358"/>
        <v>54630.432346000001</v>
      </c>
      <c r="L4758">
        <v>1.1682999999999999</v>
      </c>
      <c r="M4758" s="29">
        <v>0</v>
      </c>
      <c r="N4758" t="s">
        <v>42</v>
      </c>
      <c r="O4758" t="s">
        <v>33</v>
      </c>
      <c r="P4758" t="s">
        <v>34</v>
      </c>
      <c r="Q4758" t="s">
        <v>34</v>
      </c>
      <c r="R4758" t="s">
        <v>34</v>
      </c>
      <c r="S4758" t="s">
        <v>34</v>
      </c>
      <c r="T4758" s="117">
        <v>0</v>
      </c>
      <c r="U4758" s="209" t="s">
        <v>94</v>
      </c>
    </row>
    <row r="4759" spans="1:21" x14ac:dyDescent="0.35">
      <c r="A4759" t="s">
        <v>19</v>
      </c>
      <c r="B4759" t="s">
        <v>21</v>
      </c>
      <c r="C4759" s="1">
        <v>45898</v>
      </c>
      <c r="D4759">
        <f t="shared" si="355"/>
        <v>29</v>
      </c>
      <c r="E4759">
        <f t="shared" si="356"/>
        <v>8</v>
      </c>
      <c r="F4759">
        <f t="shared" si="357"/>
        <v>2025</v>
      </c>
      <c r="G4759" t="s">
        <v>885</v>
      </c>
      <c r="H4759" s="98">
        <v>13634</v>
      </c>
      <c r="I4759" s="29">
        <v>1280</v>
      </c>
      <c r="J4759" s="12" t="s">
        <v>31</v>
      </c>
      <c r="K4759" s="76">
        <f t="shared" si="358"/>
        <v>1280</v>
      </c>
      <c r="L4759">
        <v>1</v>
      </c>
      <c r="M4759" s="29">
        <v>0</v>
      </c>
      <c r="N4759" t="s">
        <v>42</v>
      </c>
      <c r="O4759" t="s">
        <v>33</v>
      </c>
      <c r="P4759" t="s">
        <v>34</v>
      </c>
      <c r="Q4759" t="s">
        <v>34</v>
      </c>
      <c r="R4759" t="s">
        <v>34</v>
      </c>
      <c r="S4759" t="s">
        <v>34</v>
      </c>
      <c r="T4759" s="117">
        <v>0</v>
      </c>
    </row>
    <row r="4760" spans="1:21" x14ac:dyDescent="0.35">
      <c r="A4760" t="s">
        <v>19</v>
      </c>
      <c r="B4760" t="s">
        <v>21</v>
      </c>
      <c r="C4760" s="1">
        <v>45898</v>
      </c>
      <c r="D4760">
        <f t="shared" si="355"/>
        <v>29</v>
      </c>
      <c r="E4760">
        <f t="shared" si="356"/>
        <v>8</v>
      </c>
      <c r="F4760">
        <f t="shared" si="357"/>
        <v>2025</v>
      </c>
      <c r="G4760" t="s">
        <v>885</v>
      </c>
      <c r="H4760" s="98">
        <v>13636</v>
      </c>
      <c r="I4760" s="29">
        <v>32</v>
      </c>
      <c r="J4760" s="12" t="s">
        <v>31</v>
      </c>
      <c r="K4760" s="76">
        <f t="shared" si="358"/>
        <v>32</v>
      </c>
      <c r="L4760">
        <v>1</v>
      </c>
      <c r="M4760" s="29">
        <v>0</v>
      </c>
      <c r="N4760" t="s">
        <v>42</v>
      </c>
      <c r="O4760" t="s">
        <v>33</v>
      </c>
      <c r="P4760" t="s">
        <v>34</v>
      </c>
      <c r="Q4760" t="s">
        <v>34</v>
      </c>
      <c r="R4760" t="s">
        <v>34</v>
      </c>
      <c r="S4760" t="s">
        <v>34</v>
      </c>
      <c r="T4760" s="117">
        <v>0</v>
      </c>
    </row>
    <row r="4761" spans="1:21" x14ac:dyDescent="0.35">
      <c r="A4761" t="s">
        <v>19</v>
      </c>
      <c r="B4761" t="s">
        <v>19</v>
      </c>
      <c r="C4761" s="1">
        <v>45902</v>
      </c>
      <c r="D4761">
        <f t="shared" si="355"/>
        <v>2</v>
      </c>
      <c r="E4761">
        <f t="shared" si="356"/>
        <v>9</v>
      </c>
      <c r="F4761">
        <f t="shared" si="357"/>
        <v>2025</v>
      </c>
      <c r="G4761" t="s">
        <v>265</v>
      </c>
      <c r="H4761" s="121" t="s">
        <v>1272</v>
      </c>
      <c r="I4761" s="76">
        <v>648</v>
      </c>
      <c r="J4761" s="12" t="s">
        <v>31</v>
      </c>
      <c r="K4761" s="76">
        <f t="shared" si="358"/>
        <v>648</v>
      </c>
      <c r="L4761">
        <v>1</v>
      </c>
      <c r="M4761" s="76">
        <v>0</v>
      </c>
      <c r="N4761" t="s">
        <v>42</v>
      </c>
      <c r="O4761" t="s">
        <v>33</v>
      </c>
      <c r="P4761" t="s">
        <v>34</v>
      </c>
      <c r="Q4761" t="s">
        <v>34</v>
      </c>
      <c r="R4761" t="s">
        <v>34</v>
      </c>
      <c r="S4761" t="s">
        <v>34</v>
      </c>
      <c r="T4761" s="117">
        <v>0</v>
      </c>
    </row>
    <row r="4762" spans="1:21" x14ac:dyDescent="0.35">
      <c r="A4762" t="s">
        <v>19</v>
      </c>
      <c r="B4762" t="s">
        <v>19</v>
      </c>
      <c r="C4762" s="1">
        <v>45902</v>
      </c>
      <c r="D4762">
        <f t="shared" si="355"/>
        <v>2</v>
      </c>
      <c r="E4762">
        <f t="shared" si="356"/>
        <v>9</v>
      </c>
      <c r="F4762">
        <f t="shared" si="357"/>
        <v>2025</v>
      </c>
      <c r="G4762" t="s">
        <v>265</v>
      </c>
      <c r="H4762" s="121" t="s">
        <v>1273</v>
      </c>
      <c r="I4762" s="76">
        <v>18</v>
      </c>
      <c r="J4762" s="12" t="s">
        <v>31</v>
      </c>
      <c r="K4762" s="76">
        <f t="shared" si="358"/>
        <v>18</v>
      </c>
      <c r="L4762">
        <v>1</v>
      </c>
      <c r="M4762" s="76">
        <v>0</v>
      </c>
      <c r="N4762" t="s">
        <v>42</v>
      </c>
      <c r="O4762" t="s">
        <v>33</v>
      </c>
      <c r="P4762" t="s">
        <v>34</v>
      </c>
      <c r="Q4762" t="s">
        <v>34</v>
      </c>
      <c r="R4762" t="s">
        <v>34</v>
      </c>
      <c r="S4762" t="s">
        <v>34</v>
      </c>
      <c r="T4762" s="117">
        <v>0</v>
      </c>
    </row>
    <row r="4763" spans="1:21" x14ac:dyDescent="0.35">
      <c r="A4763" t="s">
        <v>19</v>
      </c>
      <c r="B4763" t="s">
        <v>19</v>
      </c>
      <c r="C4763" s="1">
        <v>45902</v>
      </c>
      <c r="D4763">
        <f t="shared" si="355"/>
        <v>2</v>
      </c>
      <c r="E4763">
        <f t="shared" si="356"/>
        <v>9</v>
      </c>
      <c r="F4763">
        <f t="shared" si="357"/>
        <v>2025</v>
      </c>
      <c r="G4763" t="s">
        <v>46</v>
      </c>
      <c r="H4763" s="121" t="s">
        <v>1274</v>
      </c>
      <c r="I4763" s="76">
        <v>44.4</v>
      </c>
      <c r="J4763" s="12" t="s">
        <v>31</v>
      </c>
      <c r="K4763" s="76">
        <f t="shared" si="358"/>
        <v>44.4</v>
      </c>
      <c r="L4763">
        <v>1</v>
      </c>
      <c r="M4763" s="76">
        <v>0</v>
      </c>
      <c r="N4763" t="s">
        <v>42</v>
      </c>
      <c r="O4763" t="s">
        <v>33</v>
      </c>
      <c r="P4763" t="s">
        <v>34</v>
      </c>
      <c r="Q4763" t="s">
        <v>34</v>
      </c>
      <c r="R4763" t="s">
        <v>34</v>
      </c>
      <c r="S4763" t="s">
        <v>34</v>
      </c>
      <c r="T4763" s="117">
        <v>0</v>
      </c>
    </row>
    <row r="4764" spans="1:21" x14ac:dyDescent="0.35">
      <c r="A4764" t="s">
        <v>19</v>
      </c>
      <c r="B4764" t="s">
        <v>19</v>
      </c>
      <c r="C4764" s="1">
        <v>45902</v>
      </c>
      <c r="D4764">
        <f t="shared" si="355"/>
        <v>2</v>
      </c>
      <c r="E4764">
        <f t="shared" si="356"/>
        <v>9</v>
      </c>
      <c r="F4764">
        <f t="shared" si="357"/>
        <v>2025</v>
      </c>
      <c r="G4764" t="s">
        <v>46</v>
      </c>
      <c r="H4764" s="121" t="s">
        <v>1275</v>
      </c>
      <c r="I4764" s="76">
        <v>2486.4</v>
      </c>
      <c r="J4764" s="12" t="s">
        <v>31</v>
      </c>
      <c r="K4764" s="76">
        <f t="shared" si="358"/>
        <v>2486.4</v>
      </c>
      <c r="L4764">
        <v>1</v>
      </c>
      <c r="M4764" s="76">
        <v>0</v>
      </c>
      <c r="N4764" t="s">
        <v>42</v>
      </c>
      <c r="O4764" t="s">
        <v>33</v>
      </c>
      <c r="P4764" t="s">
        <v>34</v>
      </c>
      <c r="Q4764" t="s">
        <v>34</v>
      </c>
      <c r="R4764" t="s">
        <v>34</v>
      </c>
      <c r="S4764" t="s">
        <v>34</v>
      </c>
      <c r="T4764" s="117">
        <v>0</v>
      </c>
    </row>
    <row r="4765" spans="1:21" x14ac:dyDescent="0.35">
      <c r="A4765" t="s">
        <v>19</v>
      </c>
      <c r="B4765" t="s">
        <v>19</v>
      </c>
      <c r="C4765" s="1">
        <v>45902</v>
      </c>
      <c r="D4765">
        <f t="shared" si="355"/>
        <v>2</v>
      </c>
      <c r="E4765">
        <f t="shared" si="356"/>
        <v>9</v>
      </c>
      <c r="F4765">
        <f t="shared" si="357"/>
        <v>2025</v>
      </c>
      <c r="G4765" t="s">
        <v>1003</v>
      </c>
      <c r="H4765" s="121" t="s">
        <v>1276</v>
      </c>
      <c r="I4765" s="76">
        <v>171.60000000000002</v>
      </c>
      <c r="J4765" s="12" t="s">
        <v>31</v>
      </c>
      <c r="K4765" s="76">
        <f t="shared" si="358"/>
        <v>171.60000000000002</v>
      </c>
      <c r="L4765">
        <v>1</v>
      </c>
      <c r="M4765" s="76">
        <v>0</v>
      </c>
      <c r="N4765" t="s">
        <v>42</v>
      </c>
      <c r="O4765" t="s">
        <v>33</v>
      </c>
      <c r="P4765" t="s">
        <v>34</v>
      </c>
      <c r="Q4765" t="s">
        <v>34</v>
      </c>
      <c r="R4765" t="s">
        <v>34</v>
      </c>
      <c r="S4765" t="s">
        <v>34</v>
      </c>
      <c r="T4765" s="117">
        <v>0</v>
      </c>
    </row>
    <row r="4766" spans="1:21" x14ac:dyDescent="0.35">
      <c r="A4766" t="s">
        <v>19</v>
      </c>
      <c r="B4766" t="s">
        <v>19</v>
      </c>
      <c r="C4766" s="1">
        <v>45902</v>
      </c>
      <c r="D4766">
        <f t="shared" si="355"/>
        <v>2</v>
      </c>
      <c r="E4766">
        <f t="shared" si="356"/>
        <v>9</v>
      </c>
      <c r="F4766">
        <f t="shared" si="357"/>
        <v>2025</v>
      </c>
      <c r="G4766" t="s">
        <v>183</v>
      </c>
      <c r="H4766" s="121" t="s">
        <v>1277</v>
      </c>
      <c r="I4766" s="76">
        <v>648</v>
      </c>
      <c r="J4766" s="12" t="s">
        <v>31</v>
      </c>
      <c r="K4766" s="76">
        <f t="shared" si="358"/>
        <v>648</v>
      </c>
      <c r="L4766">
        <v>1</v>
      </c>
      <c r="M4766" s="76">
        <v>0</v>
      </c>
      <c r="N4766" t="s">
        <v>42</v>
      </c>
      <c r="O4766" t="s">
        <v>33</v>
      </c>
      <c r="P4766" t="s">
        <v>34</v>
      </c>
      <c r="Q4766" t="s">
        <v>34</v>
      </c>
      <c r="R4766" t="s">
        <v>34</v>
      </c>
      <c r="S4766" t="s">
        <v>34</v>
      </c>
      <c r="T4766" s="117">
        <v>0</v>
      </c>
    </row>
    <row r="4767" spans="1:21" x14ac:dyDescent="0.35">
      <c r="A4767" t="s">
        <v>19</v>
      </c>
      <c r="B4767" t="s">
        <v>19</v>
      </c>
      <c r="C4767" s="1">
        <v>45902</v>
      </c>
      <c r="D4767">
        <f t="shared" si="355"/>
        <v>2</v>
      </c>
      <c r="E4767">
        <f t="shared" si="356"/>
        <v>9</v>
      </c>
      <c r="F4767">
        <f t="shared" si="357"/>
        <v>2025</v>
      </c>
      <c r="G4767" t="s">
        <v>183</v>
      </c>
      <c r="H4767" s="121" t="s">
        <v>1278</v>
      </c>
      <c r="I4767" s="76">
        <v>855.6</v>
      </c>
      <c r="J4767" s="12" t="s">
        <v>31</v>
      </c>
      <c r="K4767" s="76">
        <f t="shared" si="358"/>
        <v>855.6</v>
      </c>
      <c r="L4767">
        <v>1</v>
      </c>
      <c r="M4767" s="76">
        <v>0</v>
      </c>
      <c r="N4767" t="s">
        <v>42</v>
      </c>
      <c r="O4767" t="s">
        <v>33</v>
      </c>
      <c r="P4767" t="s">
        <v>34</v>
      </c>
      <c r="Q4767" t="s">
        <v>34</v>
      </c>
      <c r="R4767" t="s">
        <v>34</v>
      </c>
      <c r="S4767" t="s">
        <v>34</v>
      </c>
      <c r="T4767" s="117">
        <v>0</v>
      </c>
    </row>
    <row r="4768" spans="1:21" x14ac:dyDescent="0.35">
      <c r="A4768" t="s">
        <v>19</v>
      </c>
      <c r="B4768" t="s">
        <v>19</v>
      </c>
      <c r="C4768" s="1">
        <v>45902</v>
      </c>
      <c r="D4768">
        <f t="shared" si="355"/>
        <v>2</v>
      </c>
      <c r="E4768">
        <f t="shared" si="356"/>
        <v>9</v>
      </c>
      <c r="F4768">
        <f t="shared" si="357"/>
        <v>2025</v>
      </c>
      <c r="G4768" t="s">
        <v>126</v>
      </c>
      <c r="H4768" s="121" t="s">
        <v>1279</v>
      </c>
      <c r="I4768" s="76">
        <v>1003.072</v>
      </c>
      <c r="J4768" s="12" t="s">
        <v>31</v>
      </c>
      <c r="K4768" s="76">
        <f t="shared" si="358"/>
        <v>1003.072</v>
      </c>
      <c r="L4768">
        <v>1</v>
      </c>
      <c r="M4768" s="76">
        <v>0</v>
      </c>
      <c r="N4768" t="s">
        <v>42</v>
      </c>
      <c r="O4768" t="s">
        <v>33</v>
      </c>
      <c r="P4768" t="s">
        <v>34</v>
      </c>
      <c r="Q4768" t="s">
        <v>34</v>
      </c>
      <c r="R4768" t="s">
        <v>34</v>
      </c>
      <c r="S4768" t="s">
        <v>34</v>
      </c>
      <c r="T4768" s="117">
        <v>0</v>
      </c>
    </row>
    <row r="4769" spans="1:20" x14ac:dyDescent="0.35">
      <c r="A4769" t="s">
        <v>19</v>
      </c>
      <c r="B4769" t="s">
        <v>19</v>
      </c>
      <c r="C4769" s="1">
        <v>45902</v>
      </c>
      <c r="D4769">
        <f t="shared" si="355"/>
        <v>2</v>
      </c>
      <c r="E4769">
        <f t="shared" si="356"/>
        <v>9</v>
      </c>
      <c r="F4769">
        <f t="shared" si="357"/>
        <v>2025</v>
      </c>
      <c r="G4769" t="s">
        <v>45</v>
      </c>
      <c r="H4769" s="121" t="s">
        <v>1280</v>
      </c>
      <c r="I4769" s="76">
        <v>62.6</v>
      </c>
      <c r="J4769" s="12" t="s">
        <v>31</v>
      </c>
      <c r="K4769" s="76">
        <f t="shared" si="358"/>
        <v>62.6</v>
      </c>
      <c r="L4769">
        <v>1</v>
      </c>
      <c r="M4769" s="76">
        <v>0</v>
      </c>
      <c r="N4769" t="s">
        <v>42</v>
      </c>
      <c r="O4769" t="s">
        <v>33</v>
      </c>
      <c r="P4769" t="s">
        <v>34</v>
      </c>
      <c r="Q4769" t="s">
        <v>34</v>
      </c>
      <c r="R4769" t="s">
        <v>34</v>
      </c>
      <c r="S4769" t="s">
        <v>34</v>
      </c>
      <c r="T4769" s="117">
        <v>0</v>
      </c>
    </row>
    <row r="4770" spans="1:20" x14ac:dyDescent="0.35">
      <c r="A4770" t="s">
        <v>19</v>
      </c>
      <c r="B4770" t="s">
        <v>19</v>
      </c>
      <c r="C4770" s="1">
        <v>45902</v>
      </c>
      <c r="D4770">
        <f t="shared" ref="D4770:D4833" si="359">DAY(C4770)</f>
        <v>2</v>
      </c>
      <c r="E4770">
        <f t="shared" ref="E4770:E4833" si="360">MONTH(C4770)</f>
        <v>9</v>
      </c>
      <c r="F4770">
        <f t="shared" ref="F4770:F4833" si="361">YEAR(C4770)</f>
        <v>2025</v>
      </c>
      <c r="G4770" t="s">
        <v>45</v>
      </c>
      <c r="H4770" s="121" t="s">
        <v>1281</v>
      </c>
      <c r="I4770" s="76">
        <v>64</v>
      </c>
      <c r="J4770" s="12" t="s">
        <v>31</v>
      </c>
      <c r="K4770" s="76">
        <f t="shared" si="358"/>
        <v>64</v>
      </c>
      <c r="L4770">
        <v>1</v>
      </c>
      <c r="M4770" s="76">
        <v>0</v>
      </c>
      <c r="N4770" t="s">
        <v>42</v>
      </c>
      <c r="O4770" t="s">
        <v>33</v>
      </c>
      <c r="P4770" t="s">
        <v>34</v>
      </c>
      <c r="Q4770" t="s">
        <v>34</v>
      </c>
      <c r="R4770" t="s">
        <v>34</v>
      </c>
      <c r="S4770" t="s">
        <v>34</v>
      </c>
      <c r="T4770" s="117">
        <v>0</v>
      </c>
    </row>
    <row r="4771" spans="1:20" x14ac:dyDescent="0.35">
      <c r="A4771" t="s">
        <v>19</v>
      </c>
      <c r="B4771" t="s">
        <v>21</v>
      </c>
      <c r="C4771" s="1">
        <v>45903</v>
      </c>
      <c r="D4771">
        <f t="shared" si="359"/>
        <v>3</v>
      </c>
      <c r="E4771">
        <f t="shared" si="360"/>
        <v>9</v>
      </c>
      <c r="F4771">
        <f t="shared" si="361"/>
        <v>2025</v>
      </c>
      <c r="G4771" t="s">
        <v>882</v>
      </c>
      <c r="H4771" s="180">
        <v>12479</v>
      </c>
      <c r="I4771" s="94">
        <v>79862.3</v>
      </c>
      <c r="J4771" s="12" t="s">
        <v>31</v>
      </c>
      <c r="K4771" s="76">
        <f t="shared" si="358"/>
        <v>79862.3</v>
      </c>
      <c r="L4771">
        <v>1</v>
      </c>
      <c r="M4771" s="76">
        <v>0</v>
      </c>
      <c r="N4771" t="s">
        <v>32</v>
      </c>
      <c r="O4771" t="s">
        <v>33</v>
      </c>
      <c r="P4771" t="s">
        <v>34</v>
      </c>
      <c r="Q4771" t="s">
        <v>34</v>
      </c>
      <c r="R4771" t="s">
        <v>34</v>
      </c>
      <c r="S4771" t="s">
        <v>34</v>
      </c>
      <c r="T4771" s="117">
        <v>0</v>
      </c>
    </row>
    <row r="4772" spans="1:20" x14ac:dyDescent="0.35">
      <c r="A4772" t="s">
        <v>19</v>
      </c>
      <c r="B4772" t="s">
        <v>23</v>
      </c>
      <c r="C4772" s="1">
        <v>45903</v>
      </c>
      <c r="D4772">
        <f t="shared" si="359"/>
        <v>3</v>
      </c>
      <c r="E4772">
        <f t="shared" si="360"/>
        <v>9</v>
      </c>
      <c r="F4772">
        <f t="shared" si="361"/>
        <v>2025</v>
      </c>
      <c r="G4772" t="s">
        <v>74</v>
      </c>
      <c r="H4772" s="121">
        <v>12982</v>
      </c>
      <c r="I4772" s="76">
        <v>21301.9</v>
      </c>
      <c r="J4772" s="12" t="s">
        <v>31</v>
      </c>
      <c r="K4772" s="76">
        <f t="shared" si="358"/>
        <v>21301.9</v>
      </c>
      <c r="L4772">
        <v>1</v>
      </c>
      <c r="M4772" s="76">
        <v>0</v>
      </c>
      <c r="N4772" t="s">
        <v>32</v>
      </c>
      <c r="O4772" t="s">
        <v>33</v>
      </c>
      <c r="P4772" t="s">
        <v>34</v>
      </c>
      <c r="Q4772" t="s">
        <v>34</v>
      </c>
      <c r="R4772" t="s">
        <v>34</v>
      </c>
      <c r="S4772" t="s">
        <v>34</v>
      </c>
      <c r="T4772" s="117">
        <v>0</v>
      </c>
    </row>
    <row r="4773" spans="1:20" x14ac:dyDescent="0.35">
      <c r="A4773" t="s">
        <v>19</v>
      </c>
      <c r="B4773" t="s">
        <v>21</v>
      </c>
      <c r="C4773" s="1">
        <v>45903</v>
      </c>
      <c r="D4773">
        <f t="shared" si="359"/>
        <v>3</v>
      </c>
      <c r="E4773">
        <f t="shared" si="360"/>
        <v>9</v>
      </c>
      <c r="F4773">
        <f t="shared" si="361"/>
        <v>2025</v>
      </c>
      <c r="G4773" t="s">
        <v>76</v>
      </c>
      <c r="H4773" s="121">
        <v>13621</v>
      </c>
      <c r="I4773" s="76">
        <v>160.36000000000001</v>
      </c>
      <c r="J4773" s="12" t="s">
        <v>31</v>
      </c>
      <c r="K4773" s="76">
        <f t="shared" si="358"/>
        <v>160.36000000000001</v>
      </c>
      <c r="L4773">
        <v>1</v>
      </c>
      <c r="M4773" s="76">
        <v>0</v>
      </c>
      <c r="N4773" t="s">
        <v>32</v>
      </c>
      <c r="O4773" t="s">
        <v>33</v>
      </c>
      <c r="P4773" t="s">
        <v>34</v>
      </c>
      <c r="Q4773" t="s">
        <v>34</v>
      </c>
      <c r="R4773" t="s">
        <v>34</v>
      </c>
      <c r="S4773" t="s">
        <v>34</v>
      </c>
      <c r="T4773" s="117">
        <v>0</v>
      </c>
    </row>
    <row r="4774" spans="1:20" x14ac:dyDescent="0.35">
      <c r="A4774" t="s">
        <v>19</v>
      </c>
      <c r="B4774" t="s">
        <v>24</v>
      </c>
      <c r="C4774" s="1">
        <v>45903</v>
      </c>
      <c r="D4774">
        <f t="shared" si="359"/>
        <v>3</v>
      </c>
      <c r="E4774">
        <f t="shared" si="360"/>
        <v>9</v>
      </c>
      <c r="F4774">
        <f t="shared" si="361"/>
        <v>2025</v>
      </c>
      <c r="G4774" t="s">
        <v>76</v>
      </c>
      <c r="H4774" s="121">
        <v>13198</v>
      </c>
      <c r="I4774" s="76">
        <v>76.2</v>
      </c>
      <c r="J4774" s="12" t="s">
        <v>31</v>
      </c>
      <c r="K4774" s="76">
        <f t="shared" si="358"/>
        <v>76.2</v>
      </c>
      <c r="L4774">
        <v>1</v>
      </c>
      <c r="M4774" s="76">
        <v>0</v>
      </c>
      <c r="N4774" t="s">
        <v>32</v>
      </c>
      <c r="O4774" t="s">
        <v>33</v>
      </c>
      <c r="P4774" t="s">
        <v>34</v>
      </c>
      <c r="Q4774" t="s">
        <v>34</v>
      </c>
      <c r="R4774" t="s">
        <v>34</v>
      </c>
      <c r="S4774" t="s">
        <v>34</v>
      </c>
      <c r="T4774" s="117">
        <v>0</v>
      </c>
    </row>
    <row r="4775" spans="1:20" x14ac:dyDescent="0.35">
      <c r="A4775" t="s">
        <v>19</v>
      </c>
      <c r="B4775" t="s">
        <v>21</v>
      </c>
      <c r="C4775" s="1">
        <v>45903</v>
      </c>
      <c r="D4775">
        <f t="shared" si="359"/>
        <v>3</v>
      </c>
      <c r="E4775">
        <f t="shared" si="360"/>
        <v>9</v>
      </c>
      <c r="F4775">
        <f t="shared" si="361"/>
        <v>2025</v>
      </c>
      <c r="G4775" t="s">
        <v>76</v>
      </c>
      <c r="H4775" s="121">
        <v>13453</v>
      </c>
      <c r="I4775" s="76">
        <v>15434.5</v>
      </c>
      <c r="J4775" s="12" t="s">
        <v>31</v>
      </c>
      <c r="K4775" s="76">
        <f t="shared" si="358"/>
        <v>15434.5</v>
      </c>
      <c r="L4775">
        <v>1</v>
      </c>
      <c r="M4775" s="76">
        <v>0</v>
      </c>
      <c r="N4775" t="s">
        <v>42</v>
      </c>
      <c r="O4775" t="s">
        <v>33</v>
      </c>
      <c r="P4775" t="s">
        <v>34</v>
      </c>
      <c r="Q4775" t="s">
        <v>34</v>
      </c>
      <c r="R4775" t="s">
        <v>34</v>
      </c>
      <c r="S4775" t="s">
        <v>34</v>
      </c>
      <c r="T4775" s="117">
        <v>0</v>
      </c>
    </row>
    <row r="4776" spans="1:20" x14ac:dyDescent="0.35">
      <c r="A4776" t="s">
        <v>19</v>
      </c>
      <c r="B4776" t="s">
        <v>23</v>
      </c>
      <c r="C4776" s="1">
        <v>45903</v>
      </c>
      <c r="D4776">
        <f t="shared" si="359"/>
        <v>3</v>
      </c>
      <c r="E4776">
        <f t="shared" si="360"/>
        <v>9</v>
      </c>
      <c r="F4776">
        <f t="shared" si="361"/>
        <v>2025</v>
      </c>
      <c r="G4776" t="s">
        <v>76</v>
      </c>
      <c r="H4776" s="121">
        <v>13453</v>
      </c>
      <c r="I4776" s="76">
        <v>73222.7</v>
      </c>
      <c r="J4776" s="12" t="s">
        <v>31</v>
      </c>
      <c r="K4776" s="76">
        <f t="shared" si="358"/>
        <v>73222.7</v>
      </c>
      <c r="L4776">
        <v>1</v>
      </c>
      <c r="M4776" s="76">
        <v>0</v>
      </c>
      <c r="N4776" t="s">
        <v>42</v>
      </c>
      <c r="O4776" t="s">
        <v>33</v>
      </c>
      <c r="P4776" t="s">
        <v>34</v>
      </c>
      <c r="Q4776" t="s">
        <v>34</v>
      </c>
      <c r="R4776" t="s">
        <v>34</v>
      </c>
      <c r="S4776" t="s">
        <v>34</v>
      </c>
      <c r="T4776" s="117">
        <v>0</v>
      </c>
    </row>
    <row r="4777" spans="1:20" x14ac:dyDescent="0.35">
      <c r="A4777" t="s">
        <v>19</v>
      </c>
      <c r="B4777" t="s">
        <v>24</v>
      </c>
      <c r="C4777" s="1">
        <v>45903</v>
      </c>
      <c r="D4777">
        <f t="shared" si="359"/>
        <v>3</v>
      </c>
      <c r="E4777">
        <f t="shared" si="360"/>
        <v>9</v>
      </c>
      <c r="F4777">
        <f t="shared" si="361"/>
        <v>2025</v>
      </c>
      <c r="G4777" t="s">
        <v>76</v>
      </c>
      <c r="H4777" s="121">
        <v>13453</v>
      </c>
      <c r="I4777" s="76">
        <v>19532.599999999999</v>
      </c>
      <c r="J4777" s="12" t="s">
        <v>31</v>
      </c>
      <c r="K4777" s="76">
        <f t="shared" si="358"/>
        <v>19532.599999999999</v>
      </c>
      <c r="L4777">
        <v>1</v>
      </c>
      <c r="M4777" s="76">
        <v>0</v>
      </c>
      <c r="N4777" t="s">
        <v>42</v>
      </c>
      <c r="O4777" t="s">
        <v>33</v>
      </c>
      <c r="P4777" t="s">
        <v>34</v>
      </c>
      <c r="Q4777" t="s">
        <v>34</v>
      </c>
      <c r="R4777" t="s">
        <v>34</v>
      </c>
      <c r="S4777" t="s">
        <v>34</v>
      </c>
      <c r="T4777" s="117">
        <v>0</v>
      </c>
    </row>
    <row r="4778" spans="1:20" x14ac:dyDescent="0.35">
      <c r="A4778" t="s">
        <v>19</v>
      </c>
      <c r="B4778" t="s">
        <v>27</v>
      </c>
      <c r="C4778" s="1">
        <v>45903</v>
      </c>
      <c r="D4778">
        <f t="shared" si="359"/>
        <v>3</v>
      </c>
      <c r="E4778">
        <f t="shared" si="360"/>
        <v>9</v>
      </c>
      <c r="F4778">
        <f t="shared" si="361"/>
        <v>2025</v>
      </c>
      <c r="G4778" t="s">
        <v>100</v>
      </c>
      <c r="H4778" s="121">
        <v>13103</v>
      </c>
      <c r="I4778" s="76">
        <v>71319.47</v>
      </c>
      <c r="J4778" s="12" t="s">
        <v>31</v>
      </c>
      <c r="K4778" s="76">
        <f t="shared" si="358"/>
        <v>71319.47</v>
      </c>
      <c r="L4778">
        <v>1</v>
      </c>
      <c r="M4778" s="76">
        <v>0</v>
      </c>
      <c r="N4778" t="s">
        <v>32</v>
      </c>
      <c r="O4778" t="s">
        <v>33</v>
      </c>
      <c r="P4778" t="s">
        <v>34</v>
      </c>
      <c r="Q4778" t="s">
        <v>34</v>
      </c>
      <c r="R4778" t="s">
        <v>34</v>
      </c>
      <c r="S4778" t="s">
        <v>34</v>
      </c>
      <c r="T4778" s="117">
        <v>0</v>
      </c>
    </row>
    <row r="4779" spans="1:20" x14ac:dyDescent="0.35">
      <c r="A4779" t="s">
        <v>19</v>
      </c>
      <c r="B4779" t="s">
        <v>27</v>
      </c>
      <c r="C4779" s="1">
        <v>45903</v>
      </c>
      <c r="D4779">
        <f t="shared" si="359"/>
        <v>3</v>
      </c>
      <c r="E4779">
        <f t="shared" si="360"/>
        <v>9</v>
      </c>
      <c r="F4779">
        <f t="shared" si="361"/>
        <v>2025</v>
      </c>
      <c r="G4779" t="s">
        <v>100</v>
      </c>
      <c r="H4779" s="121">
        <v>13026</v>
      </c>
      <c r="I4779" s="76">
        <v>33177.019999999997</v>
      </c>
      <c r="J4779" s="12" t="s">
        <v>31</v>
      </c>
      <c r="K4779" s="76">
        <f t="shared" si="358"/>
        <v>33177.019999999997</v>
      </c>
      <c r="L4779">
        <v>1</v>
      </c>
      <c r="M4779" s="76">
        <v>0</v>
      </c>
      <c r="N4779" t="s">
        <v>32</v>
      </c>
      <c r="O4779" t="s">
        <v>33</v>
      </c>
      <c r="P4779" t="s">
        <v>34</v>
      </c>
      <c r="Q4779" t="s">
        <v>34</v>
      </c>
      <c r="R4779" t="s">
        <v>34</v>
      </c>
      <c r="S4779" t="s">
        <v>34</v>
      </c>
      <c r="T4779" s="117">
        <v>0</v>
      </c>
    </row>
    <row r="4780" spans="1:20" x14ac:dyDescent="0.35">
      <c r="A4780" t="s">
        <v>19</v>
      </c>
      <c r="B4780" t="s">
        <v>21</v>
      </c>
      <c r="C4780" s="1">
        <v>45903</v>
      </c>
      <c r="D4780">
        <f t="shared" si="359"/>
        <v>3</v>
      </c>
      <c r="E4780">
        <f t="shared" si="360"/>
        <v>9</v>
      </c>
      <c r="F4780">
        <f t="shared" si="361"/>
        <v>2025</v>
      </c>
      <c r="G4780" t="s">
        <v>36</v>
      </c>
      <c r="H4780" s="121">
        <v>12776</v>
      </c>
      <c r="I4780" s="76">
        <v>216.28</v>
      </c>
      <c r="J4780" s="12" t="s">
        <v>31</v>
      </c>
      <c r="K4780" s="76">
        <f t="shared" si="358"/>
        <v>216.28</v>
      </c>
      <c r="L4780">
        <v>1</v>
      </c>
      <c r="M4780" s="76">
        <v>0</v>
      </c>
      <c r="N4780" t="s">
        <v>32</v>
      </c>
      <c r="O4780" t="s">
        <v>33</v>
      </c>
      <c r="P4780" t="s">
        <v>34</v>
      </c>
      <c r="Q4780" t="s">
        <v>34</v>
      </c>
      <c r="R4780" t="s">
        <v>34</v>
      </c>
      <c r="S4780" t="s">
        <v>34</v>
      </c>
      <c r="T4780" s="117">
        <v>0</v>
      </c>
    </row>
    <row r="4781" spans="1:20" x14ac:dyDescent="0.35">
      <c r="A4781" t="s">
        <v>19</v>
      </c>
      <c r="B4781" t="s">
        <v>25</v>
      </c>
      <c r="C4781" s="1">
        <v>45903</v>
      </c>
      <c r="D4781">
        <f t="shared" si="359"/>
        <v>3</v>
      </c>
      <c r="E4781">
        <f t="shared" si="360"/>
        <v>9</v>
      </c>
      <c r="F4781">
        <f t="shared" si="361"/>
        <v>2025</v>
      </c>
      <c r="G4781" t="s">
        <v>36</v>
      </c>
      <c r="H4781" s="121">
        <v>12879</v>
      </c>
      <c r="I4781" s="76">
        <v>23.7</v>
      </c>
      <c r="J4781" s="12" t="s">
        <v>31</v>
      </c>
      <c r="K4781" s="76">
        <f t="shared" si="358"/>
        <v>23.7</v>
      </c>
      <c r="L4781">
        <v>1</v>
      </c>
      <c r="M4781" s="76">
        <v>0</v>
      </c>
      <c r="N4781" t="s">
        <v>32</v>
      </c>
      <c r="O4781" t="s">
        <v>33</v>
      </c>
      <c r="P4781" t="s">
        <v>34</v>
      </c>
      <c r="Q4781" t="s">
        <v>34</v>
      </c>
      <c r="R4781" t="s">
        <v>34</v>
      </c>
      <c r="S4781" t="s">
        <v>34</v>
      </c>
      <c r="T4781" s="117">
        <v>0</v>
      </c>
    </row>
    <row r="4782" spans="1:20" x14ac:dyDescent="0.35">
      <c r="A4782" t="s">
        <v>19</v>
      </c>
      <c r="B4782" t="s">
        <v>25</v>
      </c>
      <c r="C4782" s="1">
        <v>45903</v>
      </c>
      <c r="D4782">
        <f t="shared" si="359"/>
        <v>3</v>
      </c>
      <c r="E4782">
        <f t="shared" si="360"/>
        <v>9</v>
      </c>
      <c r="F4782">
        <f t="shared" si="361"/>
        <v>2025</v>
      </c>
      <c r="G4782" t="s">
        <v>36</v>
      </c>
      <c r="H4782" s="121">
        <v>13178</v>
      </c>
      <c r="I4782" s="76">
        <v>51</v>
      </c>
      <c r="J4782" s="12" t="s">
        <v>31</v>
      </c>
      <c r="K4782" s="76">
        <f t="shared" si="358"/>
        <v>51</v>
      </c>
      <c r="L4782">
        <v>1</v>
      </c>
      <c r="M4782" s="76">
        <v>0</v>
      </c>
      <c r="N4782" t="s">
        <v>32</v>
      </c>
      <c r="O4782" t="s">
        <v>33</v>
      </c>
      <c r="P4782" t="s">
        <v>34</v>
      </c>
      <c r="Q4782" t="s">
        <v>34</v>
      </c>
      <c r="R4782" t="s">
        <v>34</v>
      </c>
      <c r="S4782" t="s">
        <v>34</v>
      </c>
      <c r="T4782" s="117">
        <v>0</v>
      </c>
    </row>
    <row r="4783" spans="1:20" x14ac:dyDescent="0.35">
      <c r="A4783" t="s">
        <v>19</v>
      </c>
      <c r="B4783" t="s">
        <v>24</v>
      </c>
      <c r="C4783" s="1">
        <v>45903</v>
      </c>
      <c r="D4783">
        <f t="shared" si="359"/>
        <v>3</v>
      </c>
      <c r="E4783">
        <f t="shared" si="360"/>
        <v>9</v>
      </c>
      <c r="F4783">
        <f t="shared" si="361"/>
        <v>2025</v>
      </c>
      <c r="G4783" t="s">
        <v>29</v>
      </c>
      <c r="H4783" s="121">
        <v>12814</v>
      </c>
      <c r="I4783" s="76">
        <v>83.4</v>
      </c>
      <c r="J4783" s="12" t="s">
        <v>31</v>
      </c>
      <c r="K4783" s="76">
        <f t="shared" si="358"/>
        <v>83.4</v>
      </c>
      <c r="L4783">
        <v>1</v>
      </c>
      <c r="M4783" s="76">
        <v>0</v>
      </c>
      <c r="N4783" t="s">
        <v>32</v>
      </c>
      <c r="O4783" t="s">
        <v>33</v>
      </c>
      <c r="P4783" t="s">
        <v>34</v>
      </c>
      <c r="Q4783" t="s">
        <v>34</v>
      </c>
      <c r="R4783" t="s">
        <v>34</v>
      </c>
      <c r="S4783" t="s">
        <v>34</v>
      </c>
      <c r="T4783" s="117">
        <v>0</v>
      </c>
    </row>
    <row r="4784" spans="1:20" x14ac:dyDescent="0.35">
      <c r="A4784" t="s">
        <v>19</v>
      </c>
      <c r="B4784" t="s">
        <v>24</v>
      </c>
      <c r="C4784" s="1">
        <v>45903</v>
      </c>
      <c r="D4784">
        <f t="shared" si="359"/>
        <v>3</v>
      </c>
      <c r="E4784">
        <f t="shared" si="360"/>
        <v>9</v>
      </c>
      <c r="F4784">
        <f t="shared" si="361"/>
        <v>2025</v>
      </c>
      <c r="G4784" t="s">
        <v>29</v>
      </c>
      <c r="H4784" s="121">
        <v>12815</v>
      </c>
      <c r="I4784" s="76">
        <v>9739.7300000000014</v>
      </c>
      <c r="J4784" s="12" t="s">
        <v>31</v>
      </c>
      <c r="K4784" s="76">
        <f t="shared" si="358"/>
        <v>9739.7300000000014</v>
      </c>
      <c r="L4784">
        <v>1</v>
      </c>
      <c r="M4784" s="76">
        <v>0</v>
      </c>
      <c r="N4784" t="s">
        <v>32</v>
      </c>
      <c r="O4784" t="s">
        <v>33</v>
      </c>
      <c r="P4784" t="s">
        <v>34</v>
      </c>
      <c r="Q4784" t="s">
        <v>34</v>
      </c>
      <c r="R4784" t="s">
        <v>34</v>
      </c>
      <c r="S4784" t="s">
        <v>34</v>
      </c>
      <c r="T4784" s="117">
        <v>0</v>
      </c>
    </row>
    <row r="4785" spans="1:21" x14ac:dyDescent="0.35">
      <c r="A4785" t="s">
        <v>19</v>
      </c>
      <c r="B4785" t="s">
        <v>24</v>
      </c>
      <c r="C4785" s="1">
        <v>45903</v>
      </c>
      <c r="D4785">
        <f t="shared" si="359"/>
        <v>3</v>
      </c>
      <c r="E4785">
        <f t="shared" si="360"/>
        <v>9</v>
      </c>
      <c r="F4785">
        <f t="shared" si="361"/>
        <v>2025</v>
      </c>
      <c r="G4785" t="s">
        <v>39</v>
      </c>
      <c r="H4785" s="121">
        <v>13290</v>
      </c>
      <c r="I4785" s="76">
        <v>112</v>
      </c>
      <c r="J4785" s="12" t="s">
        <v>31</v>
      </c>
      <c r="K4785" s="76">
        <f t="shared" si="358"/>
        <v>112</v>
      </c>
      <c r="L4785">
        <v>1</v>
      </c>
      <c r="M4785" s="76">
        <v>0</v>
      </c>
      <c r="N4785" t="s">
        <v>32</v>
      </c>
      <c r="O4785" t="s">
        <v>33</v>
      </c>
      <c r="P4785" t="s">
        <v>34</v>
      </c>
      <c r="Q4785" t="s">
        <v>34</v>
      </c>
      <c r="R4785" t="s">
        <v>34</v>
      </c>
      <c r="S4785" t="s">
        <v>34</v>
      </c>
      <c r="T4785" s="117">
        <v>0</v>
      </c>
    </row>
    <row r="4786" spans="1:21" x14ac:dyDescent="0.35">
      <c r="A4786" t="s">
        <v>19</v>
      </c>
      <c r="B4786" t="s">
        <v>24</v>
      </c>
      <c r="C4786" s="1">
        <v>45903</v>
      </c>
      <c r="D4786">
        <f t="shared" si="359"/>
        <v>3</v>
      </c>
      <c r="E4786">
        <f t="shared" si="360"/>
        <v>9</v>
      </c>
      <c r="F4786">
        <f t="shared" si="361"/>
        <v>2025</v>
      </c>
      <c r="G4786" t="s">
        <v>39</v>
      </c>
      <c r="H4786" s="121">
        <v>13291</v>
      </c>
      <c r="I4786" s="76">
        <v>20741.806</v>
      </c>
      <c r="J4786" s="12" t="s">
        <v>31</v>
      </c>
      <c r="K4786" s="76">
        <f t="shared" si="358"/>
        <v>20741.806</v>
      </c>
      <c r="L4786">
        <v>1</v>
      </c>
      <c r="M4786" s="76">
        <v>0</v>
      </c>
      <c r="N4786" t="s">
        <v>32</v>
      </c>
      <c r="O4786" t="s">
        <v>33</v>
      </c>
      <c r="P4786" t="s">
        <v>34</v>
      </c>
      <c r="Q4786" t="s">
        <v>34</v>
      </c>
      <c r="R4786" t="s">
        <v>34</v>
      </c>
      <c r="S4786" t="s">
        <v>34</v>
      </c>
      <c r="T4786" s="117">
        <v>0</v>
      </c>
    </row>
    <row r="4787" spans="1:21" x14ac:dyDescent="0.35">
      <c r="A4787" t="s">
        <v>19</v>
      </c>
      <c r="B4787" t="s">
        <v>25</v>
      </c>
      <c r="C4787" s="1">
        <v>45903</v>
      </c>
      <c r="D4787">
        <f t="shared" si="359"/>
        <v>3</v>
      </c>
      <c r="E4787">
        <f t="shared" si="360"/>
        <v>9</v>
      </c>
      <c r="F4787">
        <f t="shared" si="361"/>
        <v>2025</v>
      </c>
      <c r="G4787" t="s">
        <v>39</v>
      </c>
      <c r="H4787" s="121">
        <v>13291</v>
      </c>
      <c r="I4787" s="76">
        <v>6550.043999999999</v>
      </c>
      <c r="J4787" s="12" t="s">
        <v>31</v>
      </c>
      <c r="K4787" s="76">
        <f t="shared" si="358"/>
        <v>6550.043999999999</v>
      </c>
      <c r="L4787">
        <v>1</v>
      </c>
      <c r="M4787" s="76">
        <v>0</v>
      </c>
      <c r="N4787" t="s">
        <v>32</v>
      </c>
      <c r="O4787" t="s">
        <v>33</v>
      </c>
      <c r="P4787" t="s">
        <v>34</v>
      </c>
      <c r="Q4787" t="s">
        <v>34</v>
      </c>
      <c r="R4787" t="s">
        <v>34</v>
      </c>
      <c r="S4787" t="s">
        <v>34</v>
      </c>
      <c r="T4787" s="117">
        <v>0</v>
      </c>
    </row>
    <row r="4788" spans="1:21" x14ac:dyDescent="0.35">
      <c r="A4788" t="s">
        <v>19</v>
      </c>
      <c r="B4788" t="s">
        <v>25</v>
      </c>
      <c r="C4788" s="1">
        <v>45903</v>
      </c>
      <c r="D4788">
        <f t="shared" si="359"/>
        <v>3</v>
      </c>
      <c r="E4788">
        <f t="shared" si="360"/>
        <v>9</v>
      </c>
      <c r="F4788">
        <f t="shared" si="361"/>
        <v>2025</v>
      </c>
      <c r="G4788" t="s">
        <v>113</v>
      </c>
      <c r="H4788" s="121">
        <v>13547</v>
      </c>
      <c r="I4788" s="76">
        <v>124880.4</v>
      </c>
      <c r="J4788" s="12" t="s">
        <v>51</v>
      </c>
      <c r="K4788" s="76">
        <f t="shared" si="358"/>
        <v>146047.62779999999</v>
      </c>
      <c r="L4788">
        <v>1.1695</v>
      </c>
      <c r="M4788" s="76">
        <v>0</v>
      </c>
      <c r="N4788" t="s">
        <v>42</v>
      </c>
      <c r="O4788" t="s">
        <v>33</v>
      </c>
      <c r="P4788" t="s">
        <v>34</v>
      </c>
      <c r="Q4788" t="s">
        <v>34</v>
      </c>
      <c r="R4788" t="s">
        <v>34</v>
      </c>
      <c r="S4788" t="s">
        <v>34</v>
      </c>
      <c r="T4788" s="117">
        <v>0</v>
      </c>
      <c r="U4788" s="209" t="s">
        <v>94</v>
      </c>
    </row>
    <row r="4789" spans="1:21" x14ac:dyDescent="0.35">
      <c r="A4789" t="s">
        <v>19</v>
      </c>
      <c r="B4789" t="s">
        <v>25</v>
      </c>
      <c r="C4789" s="1">
        <v>45903</v>
      </c>
      <c r="D4789">
        <f t="shared" si="359"/>
        <v>3</v>
      </c>
      <c r="E4789">
        <f t="shared" si="360"/>
        <v>9</v>
      </c>
      <c r="F4789">
        <f t="shared" si="361"/>
        <v>2025</v>
      </c>
      <c r="G4789" t="s">
        <v>93</v>
      </c>
      <c r="H4789" s="121">
        <v>12542</v>
      </c>
      <c r="I4789" s="76">
        <v>57448.469999999994</v>
      </c>
      <c r="J4789" s="12" t="s">
        <v>31</v>
      </c>
      <c r="K4789" s="76">
        <f t="shared" si="358"/>
        <v>57448.469999999994</v>
      </c>
      <c r="L4789">
        <v>1</v>
      </c>
      <c r="M4789" s="76">
        <v>0</v>
      </c>
      <c r="N4789" t="s">
        <v>32</v>
      </c>
      <c r="O4789" t="s">
        <v>33</v>
      </c>
      <c r="P4789" t="s">
        <v>34</v>
      </c>
      <c r="Q4789" t="s">
        <v>34</v>
      </c>
      <c r="R4789" t="s">
        <v>34</v>
      </c>
      <c r="S4789" t="s">
        <v>34</v>
      </c>
      <c r="T4789" s="117">
        <v>0</v>
      </c>
    </row>
    <row r="4790" spans="1:21" x14ac:dyDescent="0.35">
      <c r="A4790" t="s">
        <v>19</v>
      </c>
      <c r="B4790" t="s">
        <v>21</v>
      </c>
      <c r="C4790" s="1">
        <v>45903</v>
      </c>
      <c r="D4790">
        <f t="shared" si="359"/>
        <v>3</v>
      </c>
      <c r="E4790">
        <f t="shared" si="360"/>
        <v>9</v>
      </c>
      <c r="F4790">
        <f t="shared" si="361"/>
        <v>2025</v>
      </c>
      <c r="G4790" t="s">
        <v>285</v>
      </c>
      <c r="H4790" s="121">
        <v>12765</v>
      </c>
      <c r="I4790" s="76">
        <v>20128</v>
      </c>
      <c r="J4790" s="12" t="s">
        <v>31</v>
      </c>
      <c r="K4790" s="76">
        <f t="shared" si="358"/>
        <v>20128</v>
      </c>
      <c r="L4790">
        <v>1</v>
      </c>
      <c r="M4790" s="76">
        <v>0</v>
      </c>
      <c r="N4790" t="s">
        <v>32</v>
      </c>
      <c r="O4790" t="s">
        <v>33</v>
      </c>
      <c r="P4790" t="s">
        <v>34</v>
      </c>
      <c r="Q4790" t="s">
        <v>34</v>
      </c>
      <c r="R4790" t="s">
        <v>34</v>
      </c>
      <c r="S4790" t="s">
        <v>34</v>
      </c>
      <c r="T4790" s="117">
        <v>0</v>
      </c>
    </row>
    <row r="4791" spans="1:21" x14ac:dyDescent="0.35">
      <c r="A4791" t="s">
        <v>19</v>
      </c>
      <c r="B4791" t="s">
        <v>21</v>
      </c>
      <c r="C4791" s="1">
        <v>45903</v>
      </c>
      <c r="D4791">
        <f t="shared" si="359"/>
        <v>3</v>
      </c>
      <c r="E4791">
        <f t="shared" si="360"/>
        <v>9</v>
      </c>
      <c r="F4791">
        <f t="shared" si="361"/>
        <v>2025</v>
      </c>
      <c r="G4791" t="s">
        <v>285</v>
      </c>
      <c r="H4791" s="121">
        <v>12764</v>
      </c>
      <c r="I4791" s="76">
        <v>1.9</v>
      </c>
      <c r="J4791" s="12" t="s">
        <v>31</v>
      </c>
      <c r="K4791" s="76">
        <f t="shared" si="358"/>
        <v>1.9</v>
      </c>
      <c r="L4791">
        <v>1</v>
      </c>
      <c r="M4791" s="76">
        <v>0</v>
      </c>
      <c r="N4791" t="s">
        <v>32</v>
      </c>
      <c r="O4791" t="s">
        <v>33</v>
      </c>
      <c r="P4791" t="s">
        <v>34</v>
      </c>
      <c r="Q4791" t="s">
        <v>34</v>
      </c>
      <c r="R4791" t="s">
        <v>34</v>
      </c>
      <c r="S4791" t="s">
        <v>34</v>
      </c>
      <c r="T4791" s="117">
        <v>0</v>
      </c>
    </row>
    <row r="4792" spans="1:21" x14ac:dyDescent="0.35">
      <c r="A4792" t="s">
        <v>19</v>
      </c>
      <c r="B4792" t="s">
        <v>25</v>
      </c>
      <c r="C4792" s="1">
        <v>45903</v>
      </c>
      <c r="D4792">
        <f t="shared" si="359"/>
        <v>3</v>
      </c>
      <c r="E4792">
        <f t="shared" si="360"/>
        <v>9</v>
      </c>
      <c r="F4792">
        <f t="shared" si="361"/>
        <v>2025</v>
      </c>
      <c r="G4792" t="s">
        <v>37</v>
      </c>
      <c r="H4792" s="121">
        <v>12720</v>
      </c>
      <c r="I4792" s="76">
        <v>180.95</v>
      </c>
      <c r="J4792" s="12" t="s">
        <v>31</v>
      </c>
      <c r="K4792" s="76">
        <f t="shared" si="358"/>
        <v>180.95</v>
      </c>
      <c r="L4792">
        <v>1</v>
      </c>
      <c r="M4792" s="76">
        <v>0</v>
      </c>
      <c r="N4792" t="s">
        <v>32</v>
      </c>
      <c r="O4792" t="s">
        <v>33</v>
      </c>
      <c r="P4792" t="s">
        <v>34</v>
      </c>
      <c r="Q4792" t="s">
        <v>34</v>
      </c>
      <c r="R4792" t="s">
        <v>34</v>
      </c>
      <c r="S4792" t="s">
        <v>34</v>
      </c>
      <c r="T4792" s="117">
        <v>0</v>
      </c>
    </row>
    <row r="4793" spans="1:21" x14ac:dyDescent="0.35">
      <c r="A4793" t="s">
        <v>19</v>
      </c>
      <c r="B4793" t="s">
        <v>24</v>
      </c>
      <c r="C4793" s="1">
        <v>45903</v>
      </c>
      <c r="D4793">
        <f t="shared" si="359"/>
        <v>3</v>
      </c>
      <c r="E4793">
        <f t="shared" si="360"/>
        <v>9</v>
      </c>
      <c r="F4793">
        <f t="shared" si="361"/>
        <v>2025</v>
      </c>
      <c r="G4793" t="s">
        <v>37</v>
      </c>
      <c r="H4793" s="121">
        <v>12720</v>
      </c>
      <c r="I4793" s="76">
        <v>44</v>
      </c>
      <c r="J4793" s="12" t="s">
        <v>31</v>
      </c>
      <c r="K4793" s="76">
        <f t="shared" si="358"/>
        <v>44</v>
      </c>
      <c r="L4793">
        <v>1</v>
      </c>
      <c r="M4793" s="76">
        <v>0</v>
      </c>
      <c r="N4793" t="s">
        <v>32</v>
      </c>
      <c r="O4793" t="s">
        <v>33</v>
      </c>
      <c r="P4793" t="s">
        <v>34</v>
      </c>
      <c r="Q4793" t="s">
        <v>34</v>
      </c>
      <c r="R4793" t="s">
        <v>34</v>
      </c>
      <c r="S4793" t="s">
        <v>34</v>
      </c>
      <c r="T4793" s="117">
        <v>0</v>
      </c>
    </row>
    <row r="4794" spans="1:21" x14ac:dyDescent="0.35">
      <c r="A4794" t="s">
        <v>19</v>
      </c>
      <c r="B4794" t="s">
        <v>21</v>
      </c>
      <c r="C4794" s="1">
        <v>45903</v>
      </c>
      <c r="D4794">
        <f t="shared" si="359"/>
        <v>3</v>
      </c>
      <c r="E4794">
        <f t="shared" si="360"/>
        <v>9</v>
      </c>
      <c r="F4794">
        <f t="shared" si="361"/>
        <v>2025</v>
      </c>
      <c r="G4794" t="s">
        <v>37</v>
      </c>
      <c r="H4794" s="121">
        <v>12720</v>
      </c>
      <c r="I4794" s="76">
        <v>38</v>
      </c>
      <c r="J4794" s="12" t="s">
        <v>31</v>
      </c>
      <c r="K4794" s="76">
        <f t="shared" si="358"/>
        <v>38</v>
      </c>
      <c r="L4794">
        <v>1</v>
      </c>
      <c r="M4794" s="76">
        <v>0</v>
      </c>
      <c r="N4794" t="s">
        <v>32</v>
      </c>
      <c r="O4794" t="s">
        <v>33</v>
      </c>
      <c r="P4794" t="s">
        <v>34</v>
      </c>
      <c r="Q4794" t="s">
        <v>34</v>
      </c>
      <c r="R4794" t="s">
        <v>34</v>
      </c>
      <c r="S4794" t="s">
        <v>34</v>
      </c>
      <c r="T4794" s="117">
        <v>0</v>
      </c>
    </row>
    <row r="4795" spans="1:21" x14ac:dyDescent="0.35">
      <c r="A4795" t="s">
        <v>20</v>
      </c>
      <c r="B4795" t="s">
        <v>25</v>
      </c>
      <c r="C4795" s="1">
        <v>45903</v>
      </c>
      <c r="D4795">
        <f t="shared" si="359"/>
        <v>3</v>
      </c>
      <c r="E4795">
        <f t="shared" si="360"/>
        <v>9</v>
      </c>
      <c r="F4795">
        <f t="shared" si="361"/>
        <v>2025</v>
      </c>
      <c r="G4795" t="s">
        <v>50</v>
      </c>
      <c r="H4795" s="121">
        <v>13624</v>
      </c>
      <c r="I4795" s="76">
        <v>805.5</v>
      </c>
      <c r="J4795" s="12" t="s">
        <v>31</v>
      </c>
      <c r="K4795" s="76">
        <f t="shared" si="358"/>
        <v>805.5</v>
      </c>
      <c r="L4795">
        <v>1</v>
      </c>
      <c r="M4795" s="76">
        <v>0</v>
      </c>
      <c r="N4795" t="s">
        <v>42</v>
      </c>
      <c r="O4795" t="s">
        <v>33</v>
      </c>
      <c r="P4795" t="s">
        <v>34</v>
      </c>
      <c r="Q4795" t="s">
        <v>34</v>
      </c>
      <c r="R4795" t="s">
        <v>34</v>
      </c>
      <c r="S4795" t="s">
        <v>34</v>
      </c>
      <c r="T4795" s="117">
        <v>0</v>
      </c>
    </row>
    <row r="4796" spans="1:21" x14ac:dyDescent="0.35">
      <c r="A4796" t="s">
        <v>20</v>
      </c>
      <c r="B4796" t="s">
        <v>25</v>
      </c>
      <c r="C4796" s="1">
        <v>45903</v>
      </c>
      <c r="D4796">
        <f t="shared" si="359"/>
        <v>3</v>
      </c>
      <c r="E4796">
        <f t="shared" si="360"/>
        <v>9</v>
      </c>
      <c r="F4796">
        <f t="shared" si="361"/>
        <v>2025</v>
      </c>
      <c r="G4796" t="s">
        <v>50</v>
      </c>
      <c r="H4796" s="121">
        <v>13625</v>
      </c>
      <c r="I4796" s="76">
        <v>313.8</v>
      </c>
      <c r="J4796" s="12" t="s">
        <v>31</v>
      </c>
      <c r="K4796" s="76">
        <f t="shared" si="358"/>
        <v>313.8</v>
      </c>
      <c r="L4796">
        <v>1</v>
      </c>
      <c r="M4796" s="76">
        <v>0</v>
      </c>
      <c r="N4796" t="s">
        <v>42</v>
      </c>
      <c r="O4796" t="s">
        <v>33</v>
      </c>
      <c r="P4796" t="s">
        <v>34</v>
      </c>
      <c r="Q4796" t="s">
        <v>34</v>
      </c>
      <c r="R4796" t="s">
        <v>34</v>
      </c>
      <c r="S4796" t="s">
        <v>34</v>
      </c>
      <c r="T4796" s="117">
        <v>0</v>
      </c>
    </row>
    <row r="4797" spans="1:21" x14ac:dyDescent="0.35">
      <c r="A4797" t="s">
        <v>20</v>
      </c>
      <c r="B4797" t="s">
        <v>25</v>
      </c>
      <c r="C4797" s="1">
        <v>45903</v>
      </c>
      <c r="D4797">
        <f t="shared" si="359"/>
        <v>3</v>
      </c>
      <c r="E4797">
        <f t="shared" si="360"/>
        <v>9</v>
      </c>
      <c r="F4797">
        <f t="shared" si="361"/>
        <v>2025</v>
      </c>
      <c r="G4797" t="s">
        <v>50</v>
      </c>
      <c r="H4797" s="121">
        <v>13626</v>
      </c>
      <c r="I4797" s="76">
        <v>152.80000000000001</v>
      </c>
      <c r="J4797" s="12" t="s">
        <v>31</v>
      </c>
      <c r="K4797" s="76">
        <f t="shared" si="358"/>
        <v>152.80000000000001</v>
      </c>
      <c r="L4797">
        <v>1</v>
      </c>
      <c r="M4797" s="76">
        <v>0</v>
      </c>
      <c r="N4797" t="s">
        <v>42</v>
      </c>
      <c r="O4797" t="s">
        <v>33</v>
      </c>
      <c r="P4797" t="s">
        <v>34</v>
      </c>
      <c r="Q4797" t="s">
        <v>34</v>
      </c>
      <c r="R4797" t="s">
        <v>34</v>
      </c>
      <c r="S4797" t="s">
        <v>34</v>
      </c>
      <c r="T4797" s="117">
        <v>0</v>
      </c>
    </row>
    <row r="4798" spans="1:21" x14ac:dyDescent="0.35">
      <c r="A4798" t="s">
        <v>20</v>
      </c>
      <c r="B4798" t="s">
        <v>25</v>
      </c>
      <c r="C4798" s="1">
        <v>45903</v>
      </c>
      <c r="D4798">
        <f t="shared" si="359"/>
        <v>3</v>
      </c>
      <c r="E4798">
        <f t="shared" si="360"/>
        <v>9</v>
      </c>
      <c r="F4798">
        <f t="shared" si="361"/>
        <v>2025</v>
      </c>
      <c r="G4798" t="s">
        <v>50</v>
      </c>
      <c r="H4798" s="121">
        <v>13627</v>
      </c>
      <c r="I4798" s="76">
        <v>7602.6</v>
      </c>
      <c r="J4798" s="12" t="s">
        <v>31</v>
      </c>
      <c r="K4798" s="76">
        <f t="shared" si="358"/>
        <v>7602.6</v>
      </c>
      <c r="L4798">
        <v>1</v>
      </c>
      <c r="M4798" s="76">
        <v>0</v>
      </c>
      <c r="N4798" t="s">
        <v>42</v>
      </c>
      <c r="O4798" t="s">
        <v>33</v>
      </c>
      <c r="P4798" t="s">
        <v>34</v>
      </c>
      <c r="Q4798" t="s">
        <v>34</v>
      </c>
      <c r="R4798" t="s">
        <v>34</v>
      </c>
      <c r="S4798" t="s">
        <v>34</v>
      </c>
      <c r="T4798" s="117">
        <v>0</v>
      </c>
    </row>
    <row r="4799" spans="1:21" x14ac:dyDescent="0.35">
      <c r="A4799" t="s">
        <v>20</v>
      </c>
      <c r="B4799" t="s">
        <v>25</v>
      </c>
      <c r="C4799" s="1">
        <v>45903</v>
      </c>
      <c r="D4799">
        <f t="shared" si="359"/>
        <v>3</v>
      </c>
      <c r="E4799">
        <f t="shared" si="360"/>
        <v>9</v>
      </c>
      <c r="F4799">
        <f t="shared" si="361"/>
        <v>2025</v>
      </c>
      <c r="G4799" t="s">
        <v>50</v>
      </c>
      <c r="H4799" s="121">
        <v>13628</v>
      </c>
      <c r="I4799" s="76">
        <v>1089</v>
      </c>
      <c r="J4799" s="12" t="s">
        <v>31</v>
      </c>
      <c r="K4799" s="76">
        <f t="shared" si="358"/>
        <v>1089</v>
      </c>
      <c r="L4799">
        <v>1</v>
      </c>
      <c r="M4799" s="76">
        <v>0</v>
      </c>
      <c r="N4799" t="s">
        <v>42</v>
      </c>
      <c r="O4799" t="s">
        <v>33</v>
      </c>
      <c r="P4799" t="s">
        <v>34</v>
      </c>
      <c r="Q4799" t="s">
        <v>34</v>
      </c>
      <c r="R4799" t="s">
        <v>34</v>
      </c>
      <c r="S4799" t="s">
        <v>34</v>
      </c>
      <c r="T4799" s="117">
        <v>0</v>
      </c>
    </row>
    <row r="4800" spans="1:21" x14ac:dyDescent="0.35">
      <c r="A4800" t="s">
        <v>20</v>
      </c>
      <c r="B4800" t="s">
        <v>25</v>
      </c>
      <c r="C4800" s="1">
        <v>45903</v>
      </c>
      <c r="D4800">
        <f t="shared" si="359"/>
        <v>3</v>
      </c>
      <c r="E4800">
        <f t="shared" si="360"/>
        <v>9</v>
      </c>
      <c r="F4800">
        <f t="shared" si="361"/>
        <v>2025</v>
      </c>
      <c r="G4800" t="s">
        <v>50</v>
      </c>
      <c r="H4800" s="121">
        <v>13629</v>
      </c>
      <c r="I4800" s="76">
        <v>8493</v>
      </c>
      <c r="J4800" s="12" t="s">
        <v>31</v>
      </c>
      <c r="K4800" s="76">
        <f t="shared" si="358"/>
        <v>8493</v>
      </c>
      <c r="L4800">
        <v>1</v>
      </c>
      <c r="M4800" s="76">
        <v>0</v>
      </c>
      <c r="N4800" t="s">
        <v>42</v>
      </c>
      <c r="O4800" t="s">
        <v>33</v>
      </c>
      <c r="P4800" t="s">
        <v>34</v>
      </c>
      <c r="Q4800" t="s">
        <v>34</v>
      </c>
      <c r="R4800" t="s">
        <v>34</v>
      </c>
      <c r="S4800" t="s">
        <v>34</v>
      </c>
      <c r="T4800" s="117">
        <v>0</v>
      </c>
    </row>
    <row r="4801" spans="1:21" x14ac:dyDescent="0.35">
      <c r="A4801" t="s">
        <v>20</v>
      </c>
      <c r="B4801" t="s">
        <v>25</v>
      </c>
      <c r="C4801" s="1">
        <v>45903</v>
      </c>
      <c r="D4801">
        <f t="shared" si="359"/>
        <v>3</v>
      </c>
      <c r="E4801">
        <f t="shared" si="360"/>
        <v>9</v>
      </c>
      <c r="F4801">
        <f t="shared" si="361"/>
        <v>2025</v>
      </c>
      <c r="G4801" t="s">
        <v>50</v>
      </c>
      <c r="H4801" s="121">
        <v>13627</v>
      </c>
      <c r="I4801" s="76">
        <v>1508.9</v>
      </c>
      <c r="J4801" s="12" t="s">
        <v>31</v>
      </c>
      <c r="K4801" s="76">
        <f t="shared" si="358"/>
        <v>1508.9</v>
      </c>
      <c r="L4801">
        <v>1</v>
      </c>
      <c r="M4801" s="76">
        <v>0</v>
      </c>
      <c r="N4801" t="s">
        <v>42</v>
      </c>
      <c r="O4801" t="s">
        <v>33</v>
      </c>
      <c r="P4801" t="s">
        <v>34</v>
      </c>
      <c r="Q4801" t="s">
        <v>34</v>
      </c>
      <c r="R4801" t="s">
        <v>34</v>
      </c>
      <c r="S4801" t="s">
        <v>34</v>
      </c>
      <c r="T4801" s="117">
        <v>0</v>
      </c>
      <c r="U4801" s="209" t="s">
        <v>1393</v>
      </c>
    </row>
    <row r="4802" spans="1:21" x14ac:dyDescent="0.35">
      <c r="A4802" t="s">
        <v>20</v>
      </c>
      <c r="B4802" t="s">
        <v>25</v>
      </c>
      <c r="C4802" s="1">
        <v>45903</v>
      </c>
      <c r="D4802">
        <f t="shared" si="359"/>
        <v>3</v>
      </c>
      <c r="E4802">
        <f t="shared" si="360"/>
        <v>9</v>
      </c>
      <c r="F4802">
        <f t="shared" si="361"/>
        <v>2025</v>
      </c>
      <c r="G4802" t="s">
        <v>595</v>
      </c>
      <c r="H4802" s="121">
        <v>13576</v>
      </c>
      <c r="I4802" s="76">
        <v>95</v>
      </c>
      <c r="J4802" s="12" t="s">
        <v>31</v>
      </c>
      <c r="K4802" s="76">
        <f t="shared" si="358"/>
        <v>95</v>
      </c>
      <c r="L4802">
        <v>1</v>
      </c>
      <c r="M4802" s="76">
        <v>0</v>
      </c>
      <c r="N4802" t="s">
        <v>42</v>
      </c>
      <c r="O4802" t="s">
        <v>33</v>
      </c>
      <c r="P4802" t="s">
        <v>34</v>
      </c>
      <c r="Q4802" t="s">
        <v>34</v>
      </c>
      <c r="R4802" t="s">
        <v>34</v>
      </c>
      <c r="S4802" t="s">
        <v>34</v>
      </c>
      <c r="T4802" s="117">
        <v>0</v>
      </c>
    </row>
    <row r="4803" spans="1:21" x14ac:dyDescent="0.35">
      <c r="A4803" t="s">
        <v>20</v>
      </c>
      <c r="B4803" t="s">
        <v>25</v>
      </c>
      <c r="C4803" s="1">
        <v>45903</v>
      </c>
      <c r="D4803">
        <f t="shared" si="359"/>
        <v>3</v>
      </c>
      <c r="E4803">
        <f t="shared" si="360"/>
        <v>9</v>
      </c>
      <c r="F4803">
        <f t="shared" si="361"/>
        <v>2025</v>
      </c>
      <c r="G4803" t="s">
        <v>595</v>
      </c>
      <c r="H4803" s="121">
        <v>13538</v>
      </c>
      <c r="I4803" s="76">
        <v>2422.5</v>
      </c>
      <c r="J4803" s="12" t="s">
        <v>31</v>
      </c>
      <c r="K4803" s="76">
        <f t="shared" si="358"/>
        <v>2422.5</v>
      </c>
      <c r="L4803">
        <v>1</v>
      </c>
      <c r="M4803" s="76">
        <v>0</v>
      </c>
      <c r="N4803" t="s">
        <v>42</v>
      </c>
      <c r="O4803" t="s">
        <v>33</v>
      </c>
      <c r="P4803" t="s">
        <v>34</v>
      </c>
      <c r="Q4803" t="s">
        <v>34</v>
      </c>
      <c r="R4803" t="s">
        <v>34</v>
      </c>
      <c r="S4803" t="s">
        <v>34</v>
      </c>
      <c r="T4803" s="117">
        <v>0</v>
      </c>
      <c r="U4803" s="121">
        <v>13577</v>
      </c>
    </row>
    <row r="4804" spans="1:21" x14ac:dyDescent="0.35">
      <c r="A4804" t="s">
        <v>20</v>
      </c>
      <c r="B4804" t="s">
        <v>23</v>
      </c>
      <c r="C4804" s="1">
        <v>45903</v>
      </c>
      <c r="D4804">
        <f t="shared" si="359"/>
        <v>3</v>
      </c>
      <c r="E4804">
        <f t="shared" si="360"/>
        <v>9</v>
      </c>
      <c r="F4804">
        <f t="shared" si="361"/>
        <v>2025</v>
      </c>
      <c r="G4804" t="s">
        <v>265</v>
      </c>
      <c r="H4804" s="121">
        <v>13601</v>
      </c>
      <c r="I4804" s="76">
        <v>31</v>
      </c>
      <c r="J4804" s="12" t="s">
        <v>31</v>
      </c>
      <c r="K4804" s="76">
        <f t="shared" si="358"/>
        <v>31</v>
      </c>
      <c r="L4804">
        <v>1</v>
      </c>
      <c r="M4804" s="76">
        <v>0</v>
      </c>
      <c r="N4804" t="s">
        <v>42</v>
      </c>
      <c r="O4804" t="s">
        <v>33</v>
      </c>
      <c r="P4804" t="s">
        <v>34</v>
      </c>
      <c r="Q4804" t="s">
        <v>34</v>
      </c>
      <c r="R4804" t="s">
        <v>34</v>
      </c>
      <c r="S4804" t="s">
        <v>34</v>
      </c>
      <c r="T4804" s="117">
        <v>0</v>
      </c>
    </row>
    <row r="4805" spans="1:21" x14ac:dyDescent="0.35">
      <c r="A4805" t="s">
        <v>20</v>
      </c>
      <c r="B4805" t="s">
        <v>23</v>
      </c>
      <c r="C4805" s="1">
        <v>45903</v>
      </c>
      <c r="D4805">
        <f t="shared" si="359"/>
        <v>3</v>
      </c>
      <c r="E4805">
        <f t="shared" si="360"/>
        <v>9</v>
      </c>
      <c r="F4805">
        <f t="shared" si="361"/>
        <v>2025</v>
      </c>
      <c r="G4805" t="s">
        <v>265</v>
      </c>
      <c r="H4805" s="121">
        <v>13602</v>
      </c>
      <c r="I4805" s="76">
        <v>1054</v>
      </c>
      <c r="J4805" s="12" t="s">
        <v>31</v>
      </c>
      <c r="K4805" s="76">
        <f t="shared" ref="K4805:K4868" si="362">IF(J4805="USD",I4805,I4805*L4805)</f>
        <v>1054</v>
      </c>
      <c r="L4805">
        <v>1</v>
      </c>
      <c r="M4805" s="76">
        <v>0</v>
      </c>
      <c r="N4805" t="s">
        <v>42</v>
      </c>
      <c r="O4805" t="s">
        <v>33</v>
      </c>
      <c r="P4805" t="s">
        <v>34</v>
      </c>
      <c r="Q4805" t="s">
        <v>34</v>
      </c>
      <c r="R4805" t="s">
        <v>34</v>
      </c>
      <c r="S4805" t="s">
        <v>34</v>
      </c>
      <c r="T4805" s="117">
        <v>0</v>
      </c>
    </row>
    <row r="4806" spans="1:21" x14ac:dyDescent="0.35">
      <c r="A4806" t="s">
        <v>20</v>
      </c>
      <c r="B4806" t="s">
        <v>25</v>
      </c>
      <c r="C4806" s="1">
        <v>45903</v>
      </c>
      <c r="D4806">
        <f t="shared" si="359"/>
        <v>3</v>
      </c>
      <c r="E4806">
        <f t="shared" si="360"/>
        <v>9</v>
      </c>
      <c r="F4806">
        <f t="shared" si="361"/>
        <v>2025</v>
      </c>
      <c r="G4806" t="s">
        <v>118</v>
      </c>
      <c r="H4806" s="121">
        <v>13603</v>
      </c>
      <c r="I4806" s="76">
        <v>60</v>
      </c>
      <c r="J4806" s="12" t="s">
        <v>31</v>
      </c>
      <c r="K4806" s="76">
        <f t="shared" si="362"/>
        <v>60</v>
      </c>
      <c r="L4806">
        <v>1</v>
      </c>
      <c r="M4806" s="76">
        <v>0</v>
      </c>
      <c r="N4806" t="s">
        <v>42</v>
      </c>
      <c r="O4806" t="s">
        <v>33</v>
      </c>
      <c r="P4806" t="s">
        <v>34</v>
      </c>
      <c r="Q4806" t="s">
        <v>34</v>
      </c>
      <c r="R4806" t="s">
        <v>34</v>
      </c>
      <c r="S4806" t="s">
        <v>34</v>
      </c>
      <c r="T4806" s="117">
        <v>0</v>
      </c>
    </row>
    <row r="4807" spans="1:21" x14ac:dyDescent="0.35">
      <c r="A4807" t="s">
        <v>20</v>
      </c>
      <c r="B4807" t="s">
        <v>25</v>
      </c>
      <c r="C4807" s="1">
        <v>45903</v>
      </c>
      <c r="D4807">
        <f t="shared" si="359"/>
        <v>3</v>
      </c>
      <c r="E4807">
        <f t="shared" si="360"/>
        <v>9</v>
      </c>
      <c r="F4807">
        <f t="shared" si="361"/>
        <v>2025</v>
      </c>
      <c r="G4807" t="s">
        <v>118</v>
      </c>
      <c r="H4807" s="98">
        <v>13760</v>
      </c>
      <c r="I4807" s="76">
        <v>840</v>
      </c>
      <c r="J4807" s="12" t="s">
        <v>31</v>
      </c>
      <c r="K4807" s="76">
        <f t="shared" si="362"/>
        <v>840</v>
      </c>
      <c r="L4807">
        <v>1</v>
      </c>
      <c r="M4807" s="76">
        <v>0</v>
      </c>
      <c r="N4807" t="s">
        <v>42</v>
      </c>
      <c r="O4807" t="s">
        <v>33</v>
      </c>
      <c r="P4807" t="s">
        <v>34</v>
      </c>
      <c r="Q4807" t="s">
        <v>34</v>
      </c>
      <c r="R4807" t="s">
        <v>34</v>
      </c>
      <c r="S4807" t="s">
        <v>34</v>
      </c>
      <c r="T4807" s="117">
        <v>0</v>
      </c>
      <c r="U4807" s="214">
        <v>13604</v>
      </c>
    </row>
    <row r="4808" spans="1:21" x14ac:dyDescent="0.35">
      <c r="A4808" t="s">
        <v>20</v>
      </c>
      <c r="B4808" t="s">
        <v>21</v>
      </c>
      <c r="C4808" s="1">
        <v>45903</v>
      </c>
      <c r="D4808">
        <f t="shared" si="359"/>
        <v>3</v>
      </c>
      <c r="E4808">
        <f t="shared" si="360"/>
        <v>9</v>
      </c>
      <c r="F4808">
        <f t="shared" si="361"/>
        <v>2025</v>
      </c>
      <c r="G4808" t="s">
        <v>118</v>
      </c>
      <c r="H4808" s="121">
        <v>13631</v>
      </c>
      <c r="I4808" s="76">
        <v>124</v>
      </c>
      <c r="J4808" s="12" t="s">
        <v>31</v>
      </c>
      <c r="K4808" s="76">
        <f t="shared" si="362"/>
        <v>124</v>
      </c>
      <c r="L4808">
        <v>1</v>
      </c>
      <c r="M4808" s="76">
        <v>0</v>
      </c>
      <c r="N4808" t="s">
        <v>42</v>
      </c>
      <c r="O4808" t="s">
        <v>33</v>
      </c>
      <c r="P4808" t="s">
        <v>34</v>
      </c>
      <c r="Q4808" t="s">
        <v>34</v>
      </c>
      <c r="R4808" t="s">
        <v>34</v>
      </c>
      <c r="S4808" t="s">
        <v>34</v>
      </c>
      <c r="T4808" s="117">
        <v>0</v>
      </c>
    </row>
    <row r="4809" spans="1:21" x14ac:dyDescent="0.35">
      <c r="A4809" t="s">
        <v>20</v>
      </c>
      <c r="B4809" t="s">
        <v>21</v>
      </c>
      <c r="C4809" s="1">
        <v>45903</v>
      </c>
      <c r="D4809">
        <f t="shared" si="359"/>
        <v>3</v>
      </c>
      <c r="E4809">
        <f t="shared" si="360"/>
        <v>9</v>
      </c>
      <c r="F4809">
        <f t="shared" si="361"/>
        <v>2025</v>
      </c>
      <c r="G4809" t="s">
        <v>118</v>
      </c>
      <c r="H4809" s="121">
        <v>13632</v>
      </c>
      <c r="I4809" s="76">
        <v>2434.59</v>
      </c>
      <c r="J4809" s="12" t="s">
        <v>31</v>
      </c>
      <c r="K4809" s="76">
        <f t="shared" si="362"/>
        <v>2434.59</v>
      </c>
      <c r="L4809">
        <v>1</v>
      </c>
      <c r="M4809" s="76">
        <v>0</v>
      </c>
      <c r="N4809" t="s">
        <v>42</v>
      </c>
      <c r="O4809" t="s">
        <v>33</v>
      </c>
      <c r="P4809" t="s">
        <v>34</v>
      </c>
      <c r="Q4809" t="s">
        <v>34</v>
      </c>
      <c r="R4809" t="s">
        <v>34</v>
      </c>
      <c r="S4809" t="s">
        <v>34</v>
      </c>
      <c r="T4809" s="117">
        <v>0</v>
      </c>
    </row>
    <row r="4810" spans="1:21" x14ac:dyDescent="0.35">
      <c r="A4810" t="s">
        <v>20</v>
      </c>
      <c r="B4810" t="s">
        <v>25</v>
      </c>
      <c r="C4810" s="1">
        <v>45903</v>
      </c>
      <c r="D4810">
        <f t="shared" si="359"/>
        <v>3</v>
      </c>
      <c r="E4810">
        <f t="shared" si="360"/>
        <v>9</v>
      </c>
      <c r="F4810">
        <f t="shared" si="361"/>
        <v>2025</v>
      </c>
      <c r="G4810" t="s">
        <v>1109</v>
      </c>
      <c r="H4810" s="121">
        <v>13609</v>
      </c>
      <c r="I4810" s="76">
        <v>98.4</v>
      </c>
      <c r="J4810" s="12" t="s">
        <v>31</v>
      </c>
      <c r="K4810" s="76">
        <f t="shared" si="362"/>
        <v>98.4</v>
      </c>
      <c r="L4810">
        <v>1</v>
      </c>
      <c r="M4810" s="76">
        <v>0</v>
      </c>
      <c r="N4810" t="s">
        <v>42</v>
      </c>
      <c r="O4810" t="s">
        <v>33</v>
      </c>
      <c r="P4810" t="s">
        <v>34</v>
      </c>
      <c r="Q4810" t="s">
        <v>34</v>
      </c>
      <c r="R4810" t="s">
        <v>34</v>
      </c>
      <c r="S4810" t="s">
        <v>34</v>
      </c>
      <c r="T4810" s="117">
        <v>0</v>
      </c>
    </row>
    <row r="4811" spans="1:21" x14ac:dyDescent="0.35">
      <c r="A4811" t="s">
        <v>20</v>
      </c>
      <c r="B4811" t="s">
        <v>25</v>
      </c>
      <c r="C4811" s="1">
        <v>45903</v>
      </c>
      <c r="D4811">
        <f t="shared" si="359"/>
        <v>3</v>
      </c>
      <c r="E4811">
        <f t="shared" si="360"/>
        <v>9</v>
      </c>
      <c r="F4811">
        <f t="shared" si="361"/>
        <v>2025</v>
      </c>
      <c r="G4811" t="s">
        <v>1109</v>
      </c>
      <c r="H4811" s="121">
        <v>13610</v>
      </c>
      <c r="I4811" s="76">
        <v>1180.8</v>
      </c>
      <c r="J4811" s="12" t="s">
        <v>31</v>
      </c>
      <c r="K4811" s="76">
        <f t="shared" si="362"/>
        <v>1180.8</v>
      </c>
      <c r="L4811">
        <v>1</v>
      </c>
      <c r="M4811" s="76">
        <v>0</v>
      </c>
      <c r="N4811" t="s">
        <v>42</v>
      </c>
      <c r="O4811" t="s">
        <v>33</v>
      </c>
      <c r="P4811" t="s">
        <v>34</v>
      </c>
      <c r="Q4811" t="s">
        <v>34</v>
      </c>
      <c r="R4811" t="s">
        <v>34</v>
      </c>
      <c r="S4811" t="s">
        <v>34</v>
      </c>
      <c r="T4811" s="117">
        <v>0</v>
      </c>
    </row>
    <row r="4812" spans="1:21" x14ac:dyDescent="0.35">
      <c r="A4812" t="s">
        <v>20</v>
      </c>
      <c r="B4812" t="s">
        <v>25</v>
      </c>
      <c r="C4812" s="1">
        <v>45903</v>
      </c>
      <c r="D4812">
        <f t="shared" si="359"/>
        <v>3</v>
      </c>
      <c r="E4812">
        <f t="shared" si="360"/>
        <v>9</v>
      </c>
      <c r="F4812">
        <f t="shared" si="361"/>
        <v>2025</v>
      </c>
      <c r="G4812" t="s">
        <v>41</v>
      </c>
      <c r="H4812" s="121">
        <v>13220</v>
      </c>
      <c r="I4812" s="76">
        <v>4071.14</v>
      </c>
      <c r="J4812" s="12" t="s">
        <v>31</v>
      </c>
      <c r="K4812" s="76">
        <f t="shared" si="362"/>
        <v>4071.14</v>
      </c>
      <c r="L4812">
        <v>1</v>
      </c>
      <c r="M4812" s="76">
        <v>0</v>
      </c>
      <c r="N4812" t="s">
        <v>42</v>
      </c>
      <c r="O4812" t="s">
        <v>33</v>
      </c>
      <c r="P4812" t="s">
        <v>34</v>
      </c>
      <c r="Q4812" t="s">
        <v>34</v>
      </c>
      <c r="R4812" t="s">
        <v>34</v>
      </c>
      <c r="S4812" t="s">
        <v>34</v>
      </c>
      <c r="T4812" s="117">
        <v>0</v>
      </c>
    </row>
    <row r="4813" spans="1:21" x14ac:dyDescent="0.35">
      <c r="A4813" t="s">
        <v>20</v>
      </c>
      <c r="B4813" t="s">
        <v>21</v>
      </c>
      <c r="C4813" s="1">
        <v>45903</v>
      </c>
      <c r="D4813">
        <f t="shared" si="359"/>
        <v>3</v>
      </c>
      <c r="E4813">
        <f t="shared" si="360"/>
        <v>9</v>
      </c>
      <c r="F4813">
        <f t="shared" si="361"/>
        <v>2025</v>
      </c>
      <c r="G4813" t="s">
        <v>273</v>
      </c>
      <c r="H4813" s="121">
        <v>13595</v>
      </c>
      <c r="I4813" s="76">
        <v>23.76</v>
      </c>
      <c r="J4813" s="12" t="s">
        <v>31</v>
      </c>
      <c r="K4813" s="76">
        <f t="shared" si="362"/>
        <v>23.76</v>
      </c>
      <c r="L4813">
        <v>1</v>
      </c>
      <c r="M4813" s="76">
        <v>0</v>
      </c>
      <c r="N4813" t="s">
        <v>42</v>
      </c>
      <c r="O4813" t="s">
        <v>33</v>
      </c>
      <c r="P4813" t="s">
        <v>34</v>
      </c>
      <c r="Q4813" t="s">
        <v>34</v>
      </c>
      <c r="R4813" t="s">
        <v>34</v>
      </c>
      <c r="S4813" t="s">
        <v>34</v>
      </c>
      <c r="T4813" s="117">
        <v>0</v>
      </c>
    </row>
    <row r="4814" spans="1:21" x14ac:dyDescent="0.35">
      <c r="A4814" t="s">
        <v>20</v>
      </c>
      <c r="B4814" t="s">
        <v>21</v>
      </c>
      <c r="C4814" s="1">
        <v>45903</v>
      </c>
      <c r="D4814">
        <f t="shared" si="359"/>
        <v>3</v>
      </c>
      <c r="E4814">
        <f t="shared" si="360"/>
        <v>9</v>
      </c>
      <c r="F4814">
        <f t="shared" si="361"/>
        <v>2025</v>
      </c>
      <c r="G4814" t="s">
        <v>273</v>
      </c>
      <c r="H4814" s="121">
        <v>13596</v>
      </c>
      <c r="I4814" s="76">
        <v>1009.49</v>
      </c>
      <c r="J4814" s="12" t="s">
        <v>31</v>
      </c>
      <c r="K4814" s="76">
        <f t="shared" si="362"/>
        <v>1009.49</v>
      </c>
      <c r="L4814">
        <v>1</v>
      </c>
      <c r="M4814" s="76">
        <v>0</v>
      </c>
      <c r="N4814" t="s">
        <v>42</v>
      </c>
      <c r="O4814" t="s">
        <v>33</v>
      </c>
      <c r="P4814" t="s">
        <v>34</v>
      </c>
      <c r="Q4814" t="s">
        <v>34</v>
      </c>
      <c r="R4814" t="s">
        <v>34</v>
      </c>
      <c r="S4814" t="s">
        <v>34</v>
      </c>
      <c r="T4814" s="117">
        <v>0</v>
      </c>
    </row>
    <row r="4815" spans="1:21" x14ac:dyDescent="0.35">
      <c r="A4815" t="s">
        <v>20</v>
      </c>
      <c r="B4815" t="s">
        <v>21</v>
      </c>
      <c r="C4815" s="1">
        <v>45903</v>
      </c>
      <c r="D4815">
        <f t="shared" si="359"/>
        <v>3</v>
      </c>
      <c r="E4815">
        <f t="shared" si="360"/>
        <v>9</v>
      </c>
      <c r="F4815">
        <f t="shared" si="361"/>
        <v>2025</v>
      </c>
      <c r="G4815" t="s">
        <v>459</v>
      </c>
      <c r="H4815" s="121">
        <v>13611</v>
      </c>
      <c r="I4815" s="76">
        <v>14</v>
      </c>
      <c r="J4815" s="12" t="s">
        <v>31</v>
      </c>
      <c r="K4815" s="76">
        <f t="shared" si="362"/>
        <v>14</v>
      </c>
      <c r="L4815">
        <v>1</v>
      </c>
      <c r="M4815" s="76">
        <v>0</v>
      </c>
      <c r="N4815" t="s">
        <v>42</v>
      </c>
      <c r="O4815" t="s">
        <v>33</v>
      </c>
      <c r="P4815" t="s">
        <v>34</v>
      </c>
      <c r="Q4815" t="s">
        <v>34</v>
      </c>
      <c r="R4815" t="s">
        <v>34</v>
      </c>
      <c r="S4815" t="s">
        <v>34</v>
      </c>
      <c r="T4815" s="117">
        <v>0</v>
      </c>
    </row>
    <row r="4816" spans="1:21" x14ac:dyDescent="0.35">
      <c r="A4816" t="s">
        <v>20</v>
      </c>
      <c r="B4816" t="s">
        <v>21</v>
      </c>
      <c r="C4816" s="1">
        <v>45903</v>
      </c>
      <c r="D4816">
        <f t="shared" si="359"/>
        <v>3</v>
      </c>
      <c r="E4816">
        <f t="shared" si="360"/>
        <v>9</v>
      </c>
      <c r="F4816">
        <f t="shared" si="361"/>
        <v>2025</v>
      </c>
      <c r="G4816" t="s">
        <v>459</v>
      </c>
      <c r="H4816" s="121">
        <v>13612</v>
      </c>
      <c r="I4816" s="76">
        <v>684.6</v>
      </c>
      <c r="J4816" s="12" t="s">
        <v>31</v>
      </c>
      <c r="K4816" s="76">
        <f t="shared" si="362"/>
        <v>684.6</v>
      </c>
      <c r="L4816">
        <v>1</v>
      </c>
      <c r="M4816" s="76">
        <v>0</v>
      </c>
      <c r="N4816" t="s">
        <v>42</v>
      </c>
      <c r="O4816" t="s">
        <v>33</v>
      </c>
      <c r="P4816" t="s">
        <v>34</v>
      </c>
      <c r="Q4816" t="s">
        <v>34</v>
      </c>
      <c r="R4816" t="s">
        <v>34</v>
      </c>
      <c r="S4816" t="s">
        <v>34</v>
      </c>
      <c r="T4816" s="117">
        <v>0</v>
      </c>
    </row>
    <row r="4817" spans="1:21" x14ac:dyDescent="0.35">
      <c r="A4817" t="s">
        <v>20</v>
      </c>
      <c r="B4817" t="s">
        <v>23</v>
      </c>
      <c r="C4817" s="1">
        <v>45903</v>
      </c>
      <c r="D4817">
        <f t="shared" si="359"/>
        <v>3</v>
      </c>
      <c r="E4817">
        <f t="shared" si="360"/>
        <v>9</v>
      </c>
      <c r="F4817">
        <f t="shared" si="361"/>
        <v>2025</v>
      </c>
      <c r="G4817" t="s">
        <v>97</v>
      </c>
      <c r="H4817" s="121">
        <v>13228</v>
      </c>
      <c r="I4817" s="76">
        <v>17082.776699999999</v>
      </c>
      <c r="J4817" s="12" t="s">
        <v>31</v>
      </c>
      <c r="K4817" s="76">
        <f t="shared" si="362"/>
        <v>17082.776699999999</v>
      </c>
      <c r="L4817">
        <v>1</v>
      </c>
      <c r="M4817" s="76">
        <v>0</v>
      </c>
      <c r="N4817" t="s">
        <v>32</v>
      </c>
      <c r="O4817" t="s">
        <v>33</v>
      </c>
      <c r="P4817" t="s">
        <v>34</v>
      </c>
      <c r="Q4817" t="s">
        <v>34</v>
      </c>
      <c r="R4817" t="s">
        <v>34</v>
      </c>
      <c r="S4817" t="s">
        <v>34</v>
      </c>
      <c r="T4817" s="117">
        <v>0</v>
      </c>
    </row>
    <row r="4818" spans="1:21" x14ac:dyDescent="0.35">
      <c r="A4818" t="s">
        <v>20</v>
      </c>
      <c r="B4818" t="s">
        <v>25</v>
      </c>
      <c r="C4818" s="1">
        <v>45903</v>
      </c>
      <c r="D4818">
        <f t="shared" si="359"/>
        <v>3</v>
      </c>
      <c r="E4818">
        <f t="shared" si="360"/>
        <v>9</v>
      </c>
      <c r="F4818">
        <f t="shared" si="361"/>
        <v>2025</v>
      </c>
      <c r="G4818" t="s">
        <v>97</v>
      </c>
      <c r="H4818" s="121">
        <v>13228</v>
      </c>
      <c r="I4818" s="76">
        <v>55702.744700000003</v>
      </c>
      <c r="J4818" s="12" t="s">
        <v>31</v>
      </c>
      <c r="K4818" s="76">
        <f t="shared" si="362"/>
        <v>55702.744700000003</v>
      </c>
      <c r="L4818">
        <v>1</v>
      </c>
      <c r="M4818" s="76">
        <v>0</v>
      </c>
      <c r="N4818" t="s">
        <v>32</v>
      </c>
      <c r="O4818" t="s">
        <v>33</v>
      </c>
      <c r="P4818" t="s">
        <v>34</v>
      </c>
      <c r="Q4818" t="s">
        <v>34</v>
      </c>
      <c r="R4818" t="s">
        <v>34</v>
      </c>
      <c r="S4818" t="s">
        <v>34</v>
      </c>
      <c r="T4818" s="117">
        <v>0</v>
      </c>
    </row>
    <row r="4819" spans="1:21" x14ac:dyDescent="0.35">
      <c r="A4819" t="s">
        <v>20</v>
      </c>
      <c r="B4819" t="s">
        <v>24</v>
      </c>
      <c r="C4819" s="1">
        <v>45903</v>
      </c>
      <c r="D4819">
        <f t="shared" si="359"/>
        <v>3</v>
      </c>
      <c r="E4819">
        <f t="shared" si="360"/>
        <v>9</v>
      </c>
      <c r="F4819">
        <f t="shared" si="361"/>
        <v>2025</v>
      </c>
      <c r="G4819" t="s">
        <v>97</v>
      </c>
      <c r="H4819" s="121">
        <v>13228</v>
      </c>
      <c r="I4819" s="76">
        <v>5813.190599999999</v>
      </c>
      <c r="J4819" s="12" t="s">
        <v>31</v>
      </c>
      <c r="K4819" s="76">
        <f t="shared" si="362"/>
        <v>5813.190599999999</v>
      </c>
      <c r="L4819">
        <v>1</v>
      </c>
      <c r="M4819" s="76">
        <v>0</v>
      </c>
      <c r="N4819" t="s">
        <v>32</v>
      </c>
      <c r="O4819" t="s">
        <v>33</v>
      </c>
      <c r="P4819" t="s">
        <v>34</v>
      </c>
      <c r="Q4819" t="s">
        <v>34</v>
      </c>
      <c r="R4819" t="s">
        <v>34</v>
      </c>
      <c r="S4819" t="s">
        <v>34</v>
      </c>
      <c r="T4819" s="117">
        <v>0</v>
      </c>
    </row>
    <row r="4820" spans="1:21" x14ac:dyDescent="0.35">
      <c r="A4820" t="s">
        <v>20</v>
      </c>
      <c r="B4820" t="s">
        <v>21</v>
      </c>
      <c r="C4820" s="1">
        <v>45903</v>
      </c>
      <c r="D4820">
        <f t="shared" si="359"/>
        <v>3</v>
      </c>
      <c r="E4820">
        <f t="shared" si="360"/>
        <v>9</v>
      </c>
      <c r="F4820">
        <f t="shared" si="361"/>
        <v>2025</v>
      </c>
      <c r="G4820" t="s">
        <v>90</v>
      </c>
      <c r="H4820" s="121">
        <v>12428</v>
      </c>
      <c r="I4820" s="76">
        <v>7211.7</v>
      </c>
      <c r="J4820" s="12" t="s">
        <v>31</v>
      </c>
      <c r="K4820" s="76">
        <f t="shared" si="362"/>
        <v>7211.7</v>
      </c>
      <c r="L4820">
        <v>1</v>
      </c>
      <c r="M4820" s="76">
        <v>0</v>
      </c>
      <c r="N4820" t="s">
        <v>32</v>
      </c>
      <c r="O4820" t="s">
        <v>33</v>
      </c>
      <c r="P4820" t="s">
        <v>34</v>
      </c>
      <c r="Q4820" t="s">
        <v>34</v>
      </c>
      <c r="R4820" t="s">
        <v>34</v>
      </c>
      <c r="S4820" t="s">
        <v>34</v>
      </c>
      <c r="T4820" s="117">
        <v>0</v>
      </c>
    </row>
    <row r="4821" spans="1:21" x14ac:dyDescent="0.35">
      <c r="A4821" t="s">
        <v>20</v>
      </c>
      <c r="B4821" t="s">
        <v>25</v>
      </c>
      <c r="C4821" s="1">
        <v>45903</v>
      </c>
      <c r="D4821">
        <f t="shared" si="359"/>
        <v>3</v>
      </c>
      <c r="E4821">
        <f t="shared" si="360"/>
        <v>9</v>
      </c>
      <c r="F4821">
        <f t="shared" si="361"/>
        <v>2025</v>
      </c>
      <c r="G4821" t="s">
        <v>99</v>
      </c>
      <c r="H4821" s="121">
        <v>13115</v>
      </c>
      <c r="I4821" s="76">
        <v>27718.25</v>
      </c>
      <c r="J4821" s="12" t="s">
        <v>31</v>
      </c>
      <c r="K4821" s="76">
        <f t="shared" si="362"/>
        <v>27718.25</v>
      </c>
      <c r="L4821">
        <v>1</v>
      </c>
      <c r="M4821" s="76">
        <v>0</v>
      </c>
      <c r="N4821" t="s">
        <v>32</v>
      </c>
      <c r="O4821" t="s">
        <v>33</v>
      </c>
      <c r="P4821" t="s">
        <v>34</v>
      </c>
      <c r="Q4821" t="s">
        <v>34</v>
      </c>
      <c r="R4821" t="s">
        <v>34</v>
      </c>
      <c r="S4821" t="s">
        <v>34</v>
      </c>
      <c r="T4821" s="117">
        <v>445.05</v>
      </c>
    </row>
    <row r="4822" spans="1:21" x14ac:dyDescent="0.35">
      <c r="A4822" t="s">
        <v>20</v>
      </c>
      <c r="B4822" t="s">
        <v>25</v>
      </c>
      <c r="C4822" s="1">
        <v>45903</v>
      </c>
      <c r="D4822">
        <f t="shared" si="359"/>
        <v>3</v>
      </c>
      <c r="E4822">
        <f t="shared" si="360"/>
        <v>9</v>
      </c>
      <c r="F4822">
        <f t="shared" si="361"/>
        <v>2025</v>
      </c>
      <c r="G4822" t="s">
        <v>99</v>
      </c>
      <c r="H4822" s="121">
        <v>13114</v>
      </c>
      <c r="I4822" s="76">
        <v>402.6</v>
      </c>
      <c r="J4822" s="12" t="s">
        <v>31</v>
      </c>
      <c r="K4822" s="76">
        <f t="shared" si="362"/>
        <v>402.6</v>
      </c>
      <c r="L4822">
        <v>1</v>
      </c>
      <c r="M4822" s="76">
        <v>0</v>
      </c>
      <c r="N4822" t="s">
        <v>32</v>
      </c>
      <c r="O4822" t="s">
        <v>33</v>
      </c>
      <c r="P4822" t="s">
        <v>34</v>
      </c>
      <c r="Q4822" t="s">
        <v>34</v>
      </c>
      <c r="R4822" t="s">
        <v>34</v>
      </c>
      <c r="S4822" t="s">
        <v>34</v>
      </c>
      <c r="T4822" s="117">
        <v>0</v>
      </c>
    </row>
    <row r="4823" spans="1:21" x14ac:dyDescent="0.35">
      <c r="A4823" t="s">
        <v>20</v>
      </c>
      <c r="B4823" t="s">
        <v>23</v>
      </c>
      <c r="C4823" s="1">
        <v>45903</v>
      </c>
      <c r="D4823">
        <f t="shared" si="359"/>
        <v>3</v>
      </c>
      <c r="E4823">
        <f t="shared" si="360"/>
        <v>9</v>
      </c>
      <c r="F4823">
        <f t="shared" si="361"/>
        <v>2025</v>
      </c>
      <c r="G4823" t="s">
        <v>53</v>
      </c>
      <c r="H4823" s="180">
        <v>12893</v>
      </c>
      <c r="I4823" s="94">
        <v>12729</v>
      </c>
      <c r="J4823" s="12" t="s">
        <v>31</v>
      </c>
      <c r="K4823" s="76">
        <f t="shared" si="362"/>
        <v>12729</v>
      </c>
      <c r="L4823">
        <v>1</v>
      </c>
      <c r="M4823" s="76">
        <v>0</v>
      </c>
      <c r="N4823" t="s">
        <v>32</v>
      </c>
      <c r="O4823" t="s">
        <v>33</v>
      </c>
      <c r="P4823" t="s">
        <v>34</v>
      </c>
      <c r="Q4823" t="s">
        <v>34</v>
      </c>
      <c r="R4823" t="s">
        <v>34</v>
      </c>
      <c r="S4823" t="s">
        <v>34</v>
      </c>
      <c r="T4823" s="117">
        <v>0</v>
      </c>
    </row>
    <row r="4824" spans="1:21" x14ac:dyDescent="0.35">
      <c r="A4824" t="s">
        <v>20</v>
      </c>
      <c r="B4824" t="s">
        <v>23</v>
      </c>
      <c r="C4824" s="1">
        <v>45903</v>
      </c>
      <c r="D4824">
        <f t="shared" si="359"/>
        <v>3</v>
      </c>
      <c r="E4824">
        <f t="shared" si="360"/>
        <v>9</v>
      </c>
      <c r="F4824">
        <f t="shared" si="361"/>
        <v>2025</v>
      </c>
      <c r="G4824" t="s">
        <v>53</v>
      </c>
      <c r="H4824" s="180">
        <v>12892</v>
      </c>
      <c r="I4824" s="94">
        <v>143</v>
      </c>
      <c r="J4824" s="12" t="s">
        <v>31</v>
      </c>
      <c r="K4824" s="76">
        <f t="shared" si="362"/>
        <v>143</v>
      </c>
      <c r="L4824">
        <v>1</v>
      </c>
      <c r="M4824" s="76">
        <v>0</v>
      </c>
      <c r="N4824" t="s">
        <v>32</v>
      </c>
      <c r="O4824" t="s">
        <v>33</v>
      </c>
      <c r="P4824" t="s">
        <v>34</v>
      </c>
      <c r="Q4824" t="s">
        <v>34</v>
      </c>
      <c r="R4824" t="s">
        <v>34</v>
      </c>
      <c r="S4824" t="s">
        <v>34</v>
      </c>
      <c r="T4824" s="117">
        <v>0</v>
      </c>
    </row>
    <row r="4825" spans="1:21" x14ac:dyDescent="0.35">
      <c r="A4825" t="s">
        <v>20</v>
      </c>
      <c r="B4825" t="s">
        <v>21</v>
      </c>
      <c r="C4825" s="1">
        <v>45903</v>
      </c>
      <c r="D4825">
        <f t="shared" si="359"/>
        <v>3</v>
      </c>
      <c r="E4825">
        <f t="shared" si="360"/>
        <v>9</v>
      </c>
      <c r="F4825">
        <f t="shared" si="361"/>
        <v>2025</v>
      </c>
      <c r="G4825" t="s">
        <v>43</v>
      </c>
      <c r="H4825" s="121">
        <v>12918</v>
      </c>
      <c r="I4825" s="76">
        <v>124.8</v>
      </c>
      <c r="J4825" s="12" t="s">
        <v>31</v>
      </c>
      <c r="K4825" s="76">
        <f t="shared" si="362"/>
        <v>124.8</v>
      </c>
      <c r="L4825">
        <v>1</v>
      </c>
      <c r="M4825" s="76">
        <v>0</v>
      </c>
      <c r="N4825" t="s">
        <v>32</v>
      </c>
      <c r="O4825" t="s">
        <v>33</v>
      </c>
      <c r="P4825" t="s">
        <v>34</v>
      </c>
      <c r="Q4825" t="s">
        <v>34</v>
      </c>
      <c r="R4825" t="s">
        <v>34</v>
      </c>
      <c r="S4825" t="s">
        <v>34</v>
      </c>
      <c r="T4825" s="117">
        <v>0</v>
      </c>
    </row>
    <row r="4826" spans="1:21" x14ac:dyDescent="0.35">
      <c r="A4826" t="s">
        <v>20</v>
      </c>
      <c r="B4826" t="s">
        <v>21</v>
      </c>
      <c r="C4826" s="1">
        <v>45903</v>
      </c>
      <c r="D4826">
        <f t="shared" si="359"/>
        <v>3</v>
      </c>
      <c r="E4826">
        <f t="shared" si="360"/>
        <v>9</v>
      </c>
      <c r="F4826">
        <f t="shared" si="361"/>
        <v>2025</v>
      </c>
      <c r="G4826" t="s">
        <v>183</v>
      </c>
      <c r="H4826" s="121">
        <v>13561</v>
      </c>
      <c r="I4826" s="76">
        <v>173.6</v>
      </c>
      <c r="J4826" s="12" t="s">
        <v>31</v>
      </c>
      <c r="K4826" s="76">
        <f t="shared" si="362"/>
        <v>173.6</v>
      </c>
      <c r="L4826">
        <v>1</v>
      </c>
      <c r="M4826" s="76">
        <v>0</v>
      </c>
      <c r="N4826" t="s">
        <v>42</v>
      </c>
      <c r="O4826" t="s">
        <v>33</v>
      </c>
      <c r="P4826" t="s">
        <v>34</v>
      </c>
      <c r="Q4826" t="s">
        <v>34</v>
      </c>
      <c r="R4826" t="s">
        <v>34</v>
      </c>
      <c r="S4826" t="s">
        <v>34</v>
      </c>
      <c r="T4826" s="117">
        <v>0</v>
      </c>
    </row>
    <row r="4827" spans="1:21" x14ac:dyDescent="0.35">
      <c r="A4827" t="s">
        <v>20</v>
      </c>
      <c r="B4827" t="s">
        <v>21</v>
      </c>
      <c r="C4827" s="1">
        <v>45903</v>
      </c>
      <c r="D4827">
        <f t="shared" si="359"/>
        <v>3</v>
      </c>
      <c r="E4827">
        <f t="shared" si="360"/>
        <v>9</v>
      </c>
      <c r="F4827">
        <f t="shared" si="361"/>
        <v>2025</v>
      </c>
      <c r="G4827" t="s">
        <v>183</v>
      </c>
      <c r="H4827" s="121">
        <v>13562</v>
      </c>
      <c r="I4827" s="76">
        <v>2774.5300000000007</v>
      </c>
      <c r="J4827" s="12" t="s">
        <v>31</v>
      </c>
      <c r="K4827" s="76">
        <f t="shared" si="362"/>
        <v>2774.5300000000007</v>
      </c>
      <c r="L4827">
        <v>1</v>
      </c>
      <c r="M4827" s="76">
        <v>0</v>
      </c>
      <c r="N4827" t="s">
        <v>42</v>
      </c>
      <c r="O4827" t="s">
        <v>33</v>
      </c>
      <c r="P4827" t="s">
        <v>34</v>
      </c>
      <c r="Q4827" t="s">
        <v>34</v>
      </c>
      <c r="R4827" t="s">
        <v>34</v>
      </c>
      <c r="S4827" t="s">
        <v>34</v>
      </c>
      <c r="T4827" s="117">
        <v>0</v>
      </c>
    </row>
    <row r="4828" spans="1:21" x14ac:dyDescent="0.35">
      <c r="A4828" t="s">
        <v>20</v>
      </c>
      <c r="B4828" t="s">
        <v>23</v>
      </c>
      <c r="C4828" s="1">
        <v>45903</v>
      </c>
      <c r="D4828">
        <f t="shared" si="359"/>
        <v>3</v>
      </c>
      <c r="E4828">
        <f t="shared" si="360"/>
        <v>9</v>
      </c>
      <c r="F4828">
        <f t="shared" si="361"/>
        <v>2025</v>
      </c>
      <c r="G4828" t="s">
        <v>46</v>
      </c>
      <c r="H4828" s="121">
        <v>13019</v>
      </c>
      <c r="I4828" s="76">
        <v>13460.11</v>
      </c>
      <c r="J4828" s="12" t="s">
        <v>31</v>
      </c>
      <c r="K4828" s="76">
        <f t="shared" si="362"/>
        <v>13460.11</v>
      </c>
      <c r="L4828">
        <v>1</v>
      </c>
      <c r="M4828" s="76">
        <v>0</v>
      </c>
      <c r="N4828" t="s">
        <v>42</v>
      </c>
      <c r="O4828" t="s">
        <v>33</v>
      </c>
      <c r="P4828" t="s">
        <v>34</v>
      </c>
      <c r="Q4828" t="s">
        <v>34</v>
      </c>
      <c r="R4828" t="s">
        <v>34</v>
      </c>
      <c r="S4828" t="s">
        <v>34</v>
      </c>
      <c r="T4828" s="117">
        <v>0</v>
      </c>
    </row>
    <row r="4829" spans="1:21" x14ac:dyDescent="0.35">
      <c r="A4829" t="s">
        <v>20</v>
      </c>
      <c r="B4829" t="s">
        <v>25</v>
      </c>
      <c r="C4829" s="1">
        <v>45903</v>
      </c>
      <c r="D4829">
        <f t="shared" si="359"/>
        <v>3</v>
      </c>
      <c r="E4829">
        <f t="shared" si="360"/>
        <v>9</v>
      </c>
      <c r="F4829">
        <f t="shared" si="361"/>
        <v>2025</v>
      </c>
      <c r="G4829" t="s">
        <v>46</v>
      </c>
      <c r="H4829" s="121">
        <v>13613</v>
      </c>
      <c r="I4829" s="76">
        <v>247</v>
      </c>
      <c r="J4829" s="12" t="s">
        <v>31</v>
      </c>
      <c r="K4829" s="76">
        <f t="shared" si="362"/>
        <v>247</v>
      </c>
      <c r="L4829">
        <v>1</v>
      </c>
      <c r="M4829" s="76">
        <v>0</v>
      </c>
      <c r="N4829" t="s">
        <v>42</v>
      </c>
      <c r="O4829" t="s">
        <v>33</v>
      </c>
      <c r="P4829" t="s">
        <v>34</v>
      </c>
      <c r="Q4829" t="s">
        <v>34</v>
      </c>
      <c r="R4829" t="s">
        <v>34</v>
      </c>
      <c r="S4829" t="s">
        <v>34</v>
      </c>
      <c r="T4829" s="117">
        <v>0</v>
      </c>
    </row>
    <row r="4830" spans="1:21" x14ac:dyDescent="0.35">
      <c r="A4830" t="s">
        <v>20</v>
      </c>
      <c r="B4830" t="s">
        <v>25</v>
      </c>
      <c r="C4830" s="1">
        <v>45903</v>
      </c>
      <c r="D4830">
        <f t="shared" si="359"/>
        <v>3</v>
      </c>
      <c r="E4830">
        <f t="shared" si="360"/>
        <v>9</v>
      </c>
      <c r="F4830">
        <f t="shared" si="361"/>
        <v>2025</v>
      </c>
      <c r="G4830" t="s">
        <v>46</v>
      </c>
      <c r="H4830" s="98">
        <v>13361</v>
      </c>
      <c r="I4830" s="76">
        <v>2528.5</v>
      </c>
      <c r="J4830" s="12" t="s">
        <v>31</v>
      </c>
      <c r="K4830" s="76">
        <f t="shared" si="362"/>
        <v>2528.5</v>
      </c>
      <c r="L4830">
        <v>1</v>
      </c>
      <c r="M4830" s="76">
        <v>0</v>
      </c>
      <c r="N4830" t="s">
        <v>42</v>
      </c>
      <c r="O4830" t="s">
        <v>33</v>
      </c>
      <c r="P4830" t="s">
        <v>34</v>
      </c>
      <c r="Q4830" t="s">
        <v>34</v>
      </c>
      <c r="R4830" t="s">
        <v>34</v>
      </c>
      <c r="S4830" t="s">
        <v>34</v>
      </c>
      <c r="T4830" s="117">
        <v>0</v>
      </c>
      <c r="U4830" s="209">
        <v>13614</v>
      </c>
    </row>
    <row r="4831" spans="1:21" x14ac:dyDescent="0.35">
      <c r="A4831" t="s">
        <v>20</v>
      </c>
      <c r="B4831" t="s">
        <v>25</v>
      </c>
      <c r="C4831" s="1">
        <v>45903</v>
      </c>
      <c r="D4831">
        <f t="shared" si="359"/>
        <v>3</v>
      </c>
      <c r="E4831">
        <f t="shared" si="360"/>
        <v>9</v>
      </c>
      <c r="F4831">
        <f t="shared" si="361"/>
        <v>2025</v>
      </c>
      <c r="G4831" t="s">
        <v>46</v>
      </c>
      <c r="H4831" s="121">
        <v>13613</v>
      </c>
      <c r="I4831" s="76">
        <v>173</v>
      </c>
      <c r="J4831" s="12" t="s">
        <v>31</v>
      </c>
      <c r="K4831" s="76">
        <f t="shared" si="362"/>
        <v>173</v>
      </c>
      <c r="L4831">
        <v>1</v>
      </c>
      <c r="M4831" s="76">
        <v>0</v>
      </c>
      <c r="N4831" t="s">
        <v>42</v>
      </c>
      <c r="O4831" t="s">
        <v>33</v>
      </c>
      <c r="P4831" t="s">
        <v>34</v>
      </c>
      <c r="Q4831" t="s">
        <v>34</v>
      </c>
      <c r="R4831" t="s">
        <v>34</v>
      </c>
      <c r="S4831" t="s">
        <v>34</v>
      </c>
      <c r="T4831" s="117">
        <v>0</v>
      </c>
      <c r="U4831" s="209" t="s">
        <v>1474</v>
      </c>
    </row>
    <row r="4832" spans="1:21" x14ac:dyDescent="0.35">
      <c r="A4832" t="s">
        <v>20</v>
      </c>
      <c r="B4832" t="s">
        <v>25</v>
      </c>
      <c r="C4832" s="1">
        <v>45903</v>
      </c>
      <c r="D4832">
        <f t="shared" si="359"/>
        <v>3</v>
      </c>
      <c r="E4832">
        <f t="shared" si="360"/>
        <v>9</v>
      </c>
      <c r="F4832">
        <f t="shared" si="361"/>
        <v>2025</v>
      </c>
      <c r="G4832" t="s">
        <v>46</v>
      </c>
      <c r="H4832" s="98">
        <v>13361</v>
      </c>
      <c r="I4832" s="76">
        <v>2534.5</v>
      </c>
      <c r="J4832" s="12" t="s">
        <v>31</v>
      </c>
      <c r="K4832" s="76">
        <f t="shared" si="362"/>
        <v>2534.5</v>
      </c>
      <c r="L4832">
        <v>1</v>
      </c>
      <c r="M4832" s="76">
        <v>0</v>
      </c>
      <c r="N4832" t="s">
        <v>42</v>
      </c>
      <c r="O4832" t="s">
        <v>33</v>
      </c>
      <c r="P4832" t="s">
        <v>34</v>
      </c>
      <c r="Q4832" t="s">
        <v>34</v>
      </c>
      <c r="R4832" t="s">
        <v>34</v>
      </c>
      <c r="S4832" t="s">
        <v>34</v>
      </c>
      <c r="T4832" s="117">
        <v>0</v>
      </c>
      <c r="U4832" s="209">
        <v>13616</v>
      </c>
    </row>
    <row r="4833" spans="1:21" x14ac:dyDescent="0.35">
      <c r="A4833" t="s">
        <v>20</v>
      </c>
      <c r="B4833" t="s">
        <v>25</v>
      </c>
      <c r="C4833" s="1">
        <v>45903</v>
      </c>
      <c r="D4833">
        <f t="shared" si="359"/>
        <v>3</v>
      </c>
      <c r="E4833">
        <f t="shared" si="360"/>
        <v>9</v>
      </c>
      <c r="F4833">
        <f t="shared" si="361"/>
        <v>2025</v>
      </c>
      <c r="G4833" t="s">
        <v>46</v>
      </c>
      <c r="H4833" s="121">
        <v>13613</v>
      </c>
      <c r="I4833" s="76">
        <v>55.6</v>
      </c>
      <c r="J4833" s="12" t="s">
        <v>31</v>
      </c>
      <c r="K4833" s="76">
        <f t="shared" si="362"/>
        <v>55.6</v>
      </c>
      <c r="L4833">
        <v>1</v>
      </c>
      <c r="M4833" s="76">
        <v>0</v>
      </c>
      <c r="N4833" t="s">
        <v>42</v>
      </c>
      <c r="O4833" t="s">
        <v>33</v>
      </c>
      <c r="P4833" t="s">
        <v>34</v>
      </c>
      <c r="Q4833" t="s">
        <v>34</v>
      </c>
      <c r="R4833" t="s">
        <v>34</v>
      </c>
      <c r="S4833" t="s">
        <v>34</v>
      </c>
      <c r="T4833" s="117">
        <v>0</v>
      </c>
      <c r="U4833" s="209" t="s">
        <v>1475</v>
      </c>
    </row>
    <row r="4834" spans="1:21" x14ac:dyDescent="0.35">
      <c r="A4834" t="s">
        <v>20</v>
      </c>
      <c r="B4834" t="s">
        <v>25</v>
      </c>
      <c r="C4834" s="1">
        <v>45903</v>
      </c>
      <c r="D4834">
        <f t="shared" ref="D4834:D4897" si="363">DAY(C4834)</f>
        <v>3</v>
      </c>
      <c r="E4834">
        <f t="shared" ref="E4834:E4897" si="364">MONTH(C4834)</f>
        <v>9</v>
      </c>
      <c r="F4834">
        <f t="shared" ref="F4834:F4897" si="365">YEAR(C4834)</f>
        <v>2025</v>
      </c>
      <c r="G4834" t="s">
        <v>46</v>
      </c>
      <c r="H4834" s="121">
        <v>13618</v>
      </c>
      <c r="I4834" s="76">
        <v>93</v>
      </c>
      <c r="J4834" s="12" t="s">
        <v>31</v>
      </c>
      <c r="K4834" s="76">
        <f t="shared" si="362"/>
        <v>93</v>
      </c>
      <c r="L4834">
        <v>1</v>
      </c>
      <c r="M4834" s="76">
        <v>0</v>
      </c>
      <c r="N4834" t="s">
        <v>42</v>
      </c>
      <c r="O4834" t="s">
        <v>33</v>
      </c>
      <c r="P4834" t="s">
        <v>34</v>
      </c>
      <c r="Q4834" t="s">
        <v>34</v>
      </c>
      <c r="R4834" t="s">
        <v>34</v>
      </c>
      <c r="S4834" t="s">
        <v>34</v>
      </c>
      <c r="T4834" s="117">
        <v>0</v>
      </c>
    </row>
    <row r="4835" spans="1:21" x14ac:dyDescent="0.35">
      <c r="A4835" t="s">
        <v>20</v>
      </c>
      <c r="B4835" t="s">
        <v>25</v>
      </c>
      <c r="C4835" s="1">
        <v>45903</v>
      </c>
      <c r="D4835">
        <f t="shared" si="363"/>
        <v>3</v>
      </c>
      <c r="E4835">
        <f t="shared" si="364"/>
        <v>9</v>
      </c>
      <c r="F4835">
        <f t="shared" si="365"/>
        <v>2025</v>
      </c>
      <c r="G4835" t="s">
        <v>46</v>
      </c>
      <c r="H4835" s="121">
        <v>13529</v>
      </c>
      <c r="I4835" s="76">
        <v>1339.2</v>
      </c>
      <c r="J4835" s="12" t="s">
        <v>31</v>
      </c>
      <c r="K4835" s="76">
        <f t="shared" si="362"/>
        <v>1339.2</v>
      </c>
      <c r="L4835">
        <v>1</v>
      </c>
      <c r="M4835" s="76">
        <v>0</v>
      </c>
      <c r="N4835" t="s">
        <v>42</v>
      </c>
      <c r="O4835" t="s">
        <v>33</v>
      </c>
      <c r="P4835" t="s">
        <v>34</v>
      </c>
      <c r="Q4835" t="s">
        <v>34</v>
      </c>
      <c r="R4835" t="s">
        <v>34</v>
      </c>
      <c r="S4835" t="s">
        <v>34</v>
      </c>
      <c r="T4835" s="179">
        <v>0</v>
      </c>
      <c r="U4835" s="209" t="s">
        <v>1391</v>
      </c>
    </row>
    <row r="4836" spans="1:21" x14ac:dyDescent="0.35">
      <c r="A4836" t="s">
        <v>20</v>
      </c>
      <c r="B4836" t="s">
        <v>23</v>
      </c>
      <c r="C4836" s="1">
        <v>45903</v>
      </c>
      <c r="D4836">
        <f t="shared" si="363"/>
        <v>3</v>
      </c>
      <c r="E4836">
        <f t="shared" si="364"/>
        <v>9</v>
      </c>
      <c r="F4836">
        <f t="shared" si="365"/>
        <v>2025</v>
      </c>
      <c r="G4836" t="s">
        <v>46</v>
      </c>
      <c r="H4836" s="121">
        <v>13622</v>
      </c>
      <c r="I4836" s="76">
        <v>20.5</v>
      </c>
      <c r="J4836" s="12" t="s">
        <v>31</v>
      </c>
      <c r="K4836" s="76">
        <f t="shared" si="362"/>
        <v>20.5</v>
      </c>
      <c r="L4836">
        <v>1</v>
      </c>
      <c r="M4836" s="76">
        <v>0</v>
      </c>
      <c r="N4836" t="s">
        <v>42</v>
      </c>
      <c r="O4836" t="s">
        <v>33</v>
      </c>
      <c r="P4836" t="s">
        <v>34</v>
      </c>
      <c r="Q4836" t="s">
        <v>34</v>
      </c>
      <c r="R4836" t="s">
        <v>34</v>
      </c>
      <c r="S4836" t="s">
        <v>34</v>
      </c>
      <c r="T4836" s="179">
        <v>0</v>
      </c>
    </row>
    <row r="4837" spans="1:21" x14ac:dyDescent="0.35">
      <c r="A4837" t="s">
        <v>20</v>
      </c>
      <c r="B4837" t="s">
        <v>23</v>
      </c>
      <c r="C4837" s="1">
        <v>45903</v>
      </c>
      <c r="D4837">
        <f t="shared" si="363"/>
        <v>3</v>
      </c>
      <c r="E4837">
        <f t="shared" si="364"/>
        <v>9</v>
      </c>
      <c r="F4837">
        <f t="shared" si="365"/>
        <v>2025</v>
      </c>
      <c r="G4837" t="s">
        <v>46</v>
      </c>
      <c r="H4837" s="121">
        <v>13623</v>
      </c>
      <c r="I4837" s="76">
        <v>410</v>
      </c>
      <c r="J4837" s="12" t="s">
        <v>31</v>
      </c>
      <c r="K4837" s="76">
        <f t="shared" si="362"/>
        <v>410</v>
      </c>
      <c r="L4837">
        <v>1</v>
      </c>
      <c r="M4837" s="76">
        <v>0</v>
      </c>
      <c r="N4837" t="s">
        <v>42</v>
      </c>
      <c r="O4837" t="s">
        <v>33</v>
      </c>
      <c r="P4837" t="s">
        <v>34</v>
      </c>
      <c r="Q4837" t="s">
        <v>34</v>
      </c>
      <c r="R4837" t="s">
        <v>34</v>
      </c>
      <c r="S4837" t="s">
        <v>34</v>
      </c>
      <c r="T4837" s="179">
        <v>0</v>
      </c>
    </row>
    <row r="4838" spans="1:21" x14ac:dyDescent="0.35">
      <c r="A4838" t="s">
        <v>20</v>
      </c>
      <c r="B4838" t="s">
        <v>223</v>
      </c>
      <c r="C4838" s="1">
        <v>45903</v>
      </c>
      <c r="D4838">
        <f t="shared" si="363"/>
        <v>3</v>
      </c>
      <c r="E4838">
        <f t="shared" si="364"/>
        <v>9</v>
      </c>
      <c r="F4838">
        <f t="shared" si="365"/>
        <v>2025</v>
      </c>
      <c r="G4838" t="s">
        <v>223</v>
      </c>
      <c r="H4838" s="121">
        <v>13297</v>
      </c>
      <c r="I4838" s="76">
        <v>31565.57</v>
      </c>
      <c r="J4838" s="12" t="s">
        <v>51</v>
      </c>
      <c r="K4838" s="76">
        <f t="shared" si="362"/>
        <v>36915.934114999996</v>
      </c>
      <c r="L4838">
        <v>1.1695</v>
      </c>
      <c r="M4838" s="76">
        <v>0</v>
      </c>
      <c r="N4838" t="s">
        <v>32</v>
      </c>
      <c r="O4838" t="s">
        <v>186</v>
      </c>
      <c r="P4838" s="1">
        <v>45901</v>
      </c>
      <c r="Q4838" t="s">
        <v>34</v>
      </c>
      <c r="R4838">
        <v>10010015388</v>
      </c>
      <c r="S4838" t="s">
        <v>34</v>
      </c>
      <c r="T4838" s="117">
        <v>0</v>
      </c>
    </row>
    <row r="4839" spans="1:21" x14ac:dyDescent="0.35">
      <c r="A4839" t="s">
        <v>19</v>
      </c>
      <c r="B4839" t="s">
        <v>21</v>
      </c>
      <c r="C4839" s="1">
        <v>45903</v>
      </c>
      <c r="D4839">
        <f t="shared" si="363"/>
        <v>3</v>
      </c>
      <c r="E4839">
        <f t="shared" si="364"/>
        <v>9</v>
      </c>
      <c r="F4839">
        <f t="shared" si="365"/>
        <v>2025</v>
      </c>
      <c r="G4839" t="s">
        <v>36</v>
      </c>
      <c r="H4839" s="121">
        <v>12777</v>
      </c>
      <c r="I4839" s="76">
        <v>104704.8434</v>
      </c>
      <c r="J4839" s="12" t="s">
        <v>31</v>
      </c>
      <c r="K4839" s="76">
        <f t="shared" si="362"/>
        <v>104704.8434</v>
      </c>
      <c r="L4839">
        <v>1</v>
      </c>
      <c r="M4839" s="76">
        <v>0</v>
      </c>
      <c r="N4839" t="s">
        <v>32</v>
      </c>
      <c r="O4839" t="s">
        <v>114</v>
      </c>
      <c r="P4839" s="1">
        <v>45904</v>
      </c>
      <c r="Q4839" s="1">
        <f>Tabla1[[#This Row],[FECHA DE APERTURA CREDITO -UTILIZACION LC]]+98</f>
        <v>46002</v>
      </c>
      <c r="R4839" s="101">
        <v>8021000597318</v>
      </c>
      <c r="S4839" t="s">
        <v>34</v>
      </c>
      <c r="T4839" s="117">
        <v>0</v>
      </c>
      <c r="U4839" s="209" t="s">
        <v>1221</v>
      </c>
    </row>
    <row r="4840" spans="1:21" x14ac:dyDescent="0.35">
      <c r="A4840" t="s">
        <v>19</v>
      </c>
      <c r="B4840" t="s">
        <v>25</v>
      </c>
      <c r="C4840" s="1">
        <v>45903</v>
      </c>
      <c r="D4840">
        <f t="shared" si="363"/>
        <v>3</v>
      </c>
      <c r="E4840">
        <f t="shared" si="364"/>
        <v>9</v>
      </c>
      <c r="F4840">
        <f t="shared" si="365"/>
        <v>2025</v>
      </c>
      <c r="G4840" t="s">
        <v>36</v>
      </c>
      <c r="H4840" s="121">
        <v>12777</v>
      </c>
      <c r="I4840" s="76">
        <v>14766.063300000003</v>
      </c>
      <c r="J4840" s="12" t="s">
        <v>31</v>
      </c>
      <c r="K4840" s="76">
        <f t="shared" si="362"/>
        <v>14766.063300000003</v>
      </c>
      <c r="L4840">
        <v>1</v>
      </c>
      <c r="M4840" s="76">
        <v>0</v>
      </c>
      <c r="N4840" t="s">
        <v>32</v>
      </c>
      <c r="O4840" t="s">
        <v>114</v>
      </c>
      <c r="P4840" s="1">
        <v>45904</v>
      </c>
      <c r="Q4840" s="1">
        <f>Tabla1[[#This Row],[FECHA DE APERTURA CREDITO -UTILIZACION LC]]+98</f>
        <v>46002</v>
      </c>
      <c r="R4840" s="101">
        <v>8021000597318</v>
      </c>
      <c r="S4840" t="s">
        <v>34</v>
      </c>
      <c r="T4840" s="117">
        <v>0</v>
      </c>
      <c r="U4840" s="209" t="s">
        <v>1221</v>
      </c>
    </row>
    <row r="4841" spans="1:21" x14ac:dyDescent="0.35">
      <c r="A4841" t="s">
        <v>19</v>
      </c>
      <c r="B4841" t="s">
        <v>24</v>
      </c>
      <c r="C4841" s="1">
        <v>45903</v>
      </c>
      <c r="D4841">
        <f t="shared" si="363"/>
        <v>3</v>
      </c>
      <c r="E4841">
        <f t="shared" si="364"/>
        <v>9</v>
      </c>
      <c r="F4841">
        <f t="shared" si="365"/>
        <v>2025</v>
      </c>
      <c r="G4841" t="s">
        <v>36</v>
      </c>
      <c r="H4841" s="121">
        <v>12777</v>
      </c>
      <c r="I4841" s="76">
        <v>14766.063300000003</v>
      </c>
      <c r="J4841" s="12" t="s">
        <v>31</v>
      </c>
      <c r="K4841" s="76">
        <f t="shared" si="362"/>
        <v>14766.063300000003</v>
      </c>
      <c r="L4841">
        <v>1</v>
      </c>
      <c r="M4841" s="76">
        <v>0</v>
      </c>
      <c r="N4841" t="s">
        <v>32</v>
      </c>
      <c r="O4841" t="s">
        <v>114</v>
      </c>
      <c r="P4841" s="1">
        <v>45904</v>
      </c>
      <c r="Q4841" s="1">
        <f>Tabla1[[#This Row],[FECHA DE APERTURA CREDITO -UTILIZACION LC]]+98</f>
        <v>46002</v>
      </c>
      <c r="R4841" s="101">
        <v>8021000597318</v>
      </c>
      <c r="S4841" t="s">
        <v>34</v>
      </c>
      <c r="T4841" s="117">
        <v>0</v>
      </c>
      <c r="U4841" s="209" t="s">
        <v>1221</v>
      </c>
    </row>
    <row r="4842" spans="1:21" x14ac:dyDescent="0.35">
      <c r="A4842" t="s">
        <v>19</v>
      </c>
      <c r="B4842" t="s">
        <v>25</v>
      </c>
      <c r="C4842" s="1">
        <v>45903</v>
      </c>
      <c r="D4842">
        <f t="shared" si="363"/>
        <v>3</v>
      </c>
      <c r="E4842">
        <f t="shared" si="364"/>
        <v>9</v>
      </c>
      <c r="F4842">
        <f t="shared" si="365"/>
        <v>2025</v>
      </c>
      <c r="G4842" t="s">
        <v>38</v>
      </c>
      <c r="H4842" s="121">
        <v>12645</v>
      </c>
      <c r="I4842" s="76">
        <v>395840.35</v>
      </c>
      <c r="J4842" s="12" t="s">
        <v>31</v>
      </c>
      <c r="K4842" s="76">
        <f t="shared" si="362"/>
        <v>395840.35</v>
      </c>
      <c r="L4842">
        <v>1</v>
      </c>
      <c r="M4842" s="76">
        <v>0</v>
      </c>
      <c r="N4842" t="s">
        <v>32</v>
      </c>
      <c r="O4842" t="s">
        <v>114</v>
      </c>
      <c r="P4842" s="1">
        <v>45904</v>
      </c>
      <c r="Q4842" s="1">
        <f>Tabla1[[#This Row],[FECHA DE APERTURA CREDITO -UTILIZACION LC]]+91</f>
        <v>45995</v>
      </c>
      <c r="R4842" s="101">
        <v>8021000597325</v>
      </c>
      <c r="S4842" t="s">
        <v>34</v>
      </c>
      <c r="T4842" s="117">
        <v>0</v>
      </c>
      <c r="U4842" s="209" t="s">
        <v>1221</v>
      </c>
    </row>
    <row r="4843" spans="1:21" x14ac:dyDescent="0.35">
      <c r="A4843" t="s">
        <v>19</v>
      </c>
      <c r="B4843" t="s">
        <v>25</v>
      </c>
      <c r="C4843" s="1">
        <v>45903</v>
      </c>
      <c r="D4843">
        <f t="shared" si="363"/>
        <v>3</v>
      </c>
      <c r="E4843">
        <f t="shared" si="364"/>
        <v>9</v>
      </c>
      <c r="F4843">
        <f t="shared" si="365"/>
        <v>2025</v>
      </c>
      <c r="G4843" t="s">
        <v>38</v>
      </c>
      <c r="H4843" s="121">
        <v>13186</v>
      </c>
      <c r="I4843" s="76">
        <v>165339.69</v>
      </c>
      <c r="J4843" s="12" t="s">
        <v>31</v>
      </c>
      <c r="K4843" s="76">
        <f t="shared" si="362"/>
        <v>165339.69</v>
      </c>
      <c r="L4843">
        <v>1</v>
      </c>
      <c r="M4843" s="76">
        <v>0</v>
      </c>
      <c r="N4843" t="s">
        <v>32</v>
      </c>
      <c r="O4843" t="s">
        <v>114</v>
      </c>
      <c r="P4843" s="1">
        <v>45904</v>
      </c>
      <c r="Q4843" s="1">
        <f>Tabla1[[#This Row],[FECHA DE APERTURA CREDITO -UTILIZACION LC]]+91</f>
        <v>45995</v>
      </c>
      <c r="R4843" s="101">
        <v>8021000597325</v>
      </c>
      <c r="S4843" t="s">
        <v>34</v>
      </c>
      <c r="T4843" s="117">
        <v>0</v>
      </c>
      <c r="U4843" s="209" t="s">
        <v>1221</v>
      </c>
    </row>
    <row r="4844" spans="1:21" x14ac:dyDescent="0.35">
      <c r="A4844" t="s">
        <v>19</v>
      </c>
      <c r="B4844" t="s">
        <v>19</v>
      </c>
      <c r="C4844" s="1">
        <v>45903</v>
      </c>
      <c r="D4844">
        <f t="shared" si="363"/>
        <v>3</v>
      </c>
      <c r="E4844">
        <f t="shared" si="364"/>
        <v>9</v>
      </c>
      <c r="F4844">
        <f t="shared" si="365"/>
        <v>2025</v>
      </c>
      <c r="G4844" t="s">
        <v>111</v>
      </c>
      <c r="H4844" s="121" t="s">
        <v>1282</v>
      </c>
      <c r="I4844" s="76">
        <v>77936.5</v>
      </c>
      <c r="J4844" s="12" t="s">
        <v>31</v>
      </c>
      <c r="K4844" s="76">
        <f t="shared" si="362"/>
        <v>77936.5</v>
      </c>
      <c r="L4844">
        <v>1</v>
      </c>
      <c r="M4844" s="76">
        <v>0</v>
      </c>
      <c r="N4844" t="s">
        <v>32</v>
      </c>
      <c r="O4844" t="s">
        <v>33</v>
      </c>
      <c r="P4844" t="s">
        <v>34</v>
      </c>
      <c r="Q4844" t="s">
        <v>34</v>
      </c>
      <c r="R4844" t="s">
        <v>34</v>
      </c>
      <c r="S4844" t="s">
        <v>34</v>
      </c>
      <c r="T4844" s="117">
        <v>7122.36</v>
      </c>
    </row>
    <row r="4845" spans="1:21" x14ac:dyDescent="0.35">
      <c r="A4845" t="s">
        <v>19</v>
      </c>
      <c r="B4845" t="s">
        <v>19</v>
      </c>
      <c r="C4845" s="1">
        <v>45903</v>
      </c>
      <c r="D4845">
        <f t="shared" si="363"/>
        <v>3</v>
      </c>
      <c r="E4845">
        <f t="shared" si="364"/>
        <v>9</v>
      </c>
      <c r="F4845">
        <f t="shared" si="365"/>
        <v>2025</v>
      </c>
      <c r="G4845" t="s">
        <v>523</v>
      </c>
      <c r="H4845" s="121" t="s">
        <v>1283</v>
      </c>
      <c r="I4845" s="76">
        <v>180990.96</v>
      </c>
      <c r="J4845" s="12" t="s">
        <v>31</v>
      </c>
      <c r="K4845" s="76">
        <f t="shared" si="362"/>
        <v>180990.96</v>
      </c>
      <c r="L4845">
        <v>1</v>
      </c>
      <c r="M4845" s="76">
        <v>0</v>
      </c>
      <c r="N4845" t="s">
        <v>32</v>
      </c>
      <c r="O4845" t="s">
        <v>33</v>
      </c>
      <c r="P4845" t="s">
        <v>34</v>
      </c>
      <c r="Q4845" t="s">
        <v>34</v>
      </c>
      <c r="R4845" t="s">
        <v>34</v>
      </c>
      <c r="S4845" t="s">
        <v>34</v>
      </c>
      <c r="T4845" s="117">
        <v>0</v>
      </c>
    </row>
    <row r="4846" spans="1:21" x14ac:dyDescent="0.35">
      <c r="A4846" t="s">
        <v>19</v>
      </c>
      <c r="B4846" t="s">
        <v>19</v>
      </c>
      <c r="C4846" s="1">
        <v>45903</v>
      </c>
      <c r="D4846">
        <f t="shared" si="363"/>
        <v>3</v>
      </c>
      <c r="E4846">
        <f t="shared" si="364"/>
        <v>9</v>
      </c>
      <c r="F4846">
        <f t="shared" si="365"/>
        <v>2025</v>
      </c>
      <c r="G4846" t="s">
        <v>523</v>
      </c>
      <c r="H4846" s="121" t="s">
        <v>1245</v>
      </c>
      <c r="I4846" s="76">
        <v>70019.78</v>
      </c>
      <c r="J4846" s="12" t="s">
        <v>31</v>
      </c>
      <c r="K4846" s="76">
        <f t="shared" si="362"/>
        <v>70019.78</v>
      </c>
      <c r="L4846">
        <v>1</v>
      </c>
      <c r="M4846" s="76">
        <v>0</v>
      </c>
      <c r="N4846" t="s">
        <v>32</v>
      </c>
      <c r="O4846" t="s">
        <v>33</v>
      </c>
      <c r="P4846" t="s">
        <v>34</v>
      </c>
      <c r="Q4846" t="s">
        <v>34</v>
      </c>
      <c r="R4846" t="s">
        <v>34</v>
      </c>
      <c r="S4846" t="s">
        <v>34</v>
      </c>
      <c r="T4846" s="117">
        <v>0</v>
      </c>
    </row>
    <row r="4847" spans="1:21" x14ac:dyDescent="0.35">
      <c r="A4847" t="s">
        <v>19</v>
      </c>
      <c r="B4847" t="s">
        <v>19</v>
      </c>
      <c r="C4847" s="1">
        <v>45903</v>
      </c>
      <c r="D4847">
        <f t="shared" si="363"/>
        <v>3</v>
      </c>
      <c r="E4847">
        <f t="shared" si="364"/>
        <v>9</v>
      </c>
      <c r="F4847">
        <f t="shared" si="365"/>
        <v>2025</v>
      </c>
      <c r="G4847" t="s">
        <v>523</v>
      </c>
      <c r="H4847" s="121" t="s">
        <v>1284</v>
      </c>
      <c r="I4847" s="76">
        <v>40299</v>
      </c>
      <c r="J4847" s="12" t="s">
        <v>31</v>
      </c>
      <c r="K4847" s="76">
        <f t="shared" si="362"/>
        <v>40299</v>
      </c>
      <c r="L4847">
        <v>1</v>
      </c>
      <c r="M4847" s="76">
        <v>0</v>
      </c>
      <c r="N4847" t="s">
        <v>32</v>
      </c>
      <c r="O4847" t="s">
        <v>33</v>
      </c>
      <c r="P4847" t="s">
        <v>34</v>
      </c>
      <c r="Q4847" t="s">
        <v>34</v>
      </c>
      <c r="R4847" t="s">
        <v>34</v>
      </c>
      <c r="S4847" t="s">
        <v>34</v>
      </c>
      <c r="T4847" s="117">
        <v>0</v>
      </c>
    </row>
    <row r="4848" spans="1:21" x14ac:dyDescent="0.35">
      <c r="A4848" t="s">
        <v>19</v>
      </c>
      <c r="B4848" t="s">
        <v>19</v>
      </c>
      <c r="C4848" s="1">
        <v>45903</v>
      </c>
      <c r="D4848">
        <f t="shared" si="363"/>
        <v>3</v>
      </c>
      <c r="E4848">
        <f t="shared" si="364"/>
        <v>9</v>
      </c>
      <c r="F4848">
        <f t="shared" si="365"/>
        <v>2025</v>
      </c>
      <c r="G4848" t="s">
        <v>523</v>
      </c>
      <c r="H4848" s="121" t="s">
        <v>1285</v>
      </c>
      <c r="I4848" s="76">
        <v>9921.6200000000008</v>
      </c>
      <c r="J4848" s="12" t="s">
        <v>31</v>
      </c>
      <c r="K4848" s="76">
        <f t="shared" si="362"/>
        <v>9921.6200000000008</v>
      </c>
      <c r="L4848">
        <v>1</v>
      </c>
      <c r="M4848" s="76">
        <v>0</v>
      </c>
      <c r="N4848" t="s">
        <v>32</v>
      </c>
      <c r="O4848" t="s">
        <v>33</v>
      </c>
      <c r="P4848" t="s">
        <v>34</v>
      </c>
      <c r="Q4848" t="s">
        <v>34</v>
      </c>
      <c r="R4848" t="s">
        <v>34</v>
      </c>
      <c r="S4848" t="s">
        <v>34</v>
      </c>
      <c r="T4848" s="117">
        <v>0</v>
      </c>
    </row>
    <row r="4849" spans="1:21" x14ac:dyDescent="0.35">
      <c r="A4849" t="s">
        <v>19</v>
      </c>
      <c r="B4849" t="s">
        <v>19</v>
      </c>
      <c r="C4849" s="1">
        <v>45903</v>
      </c>
      <c r="D4849">
        <f t="shared" si="363"/>
        <v>3</v>
      </c>
      <c r="E4849">
        <f t="shared" si="364"/>
        <v>9</v>
      </c>
      <c r="F4849">
        <f t="shared" si="365"/>
        <v>2025</v>
      </c>
      <c r="G4849" t="s">
        <v>56</v>
      </c>
      <c r="H4849" s="121" t="s">
        <v>1286</v>
      </c>
      <c r="I4849" s="76">
        <v>619.45000000000005</v>
      </c>
      <c r="J4849" s="12" t="s">
        <v>31</v>
      </c>
      <c r="K4849" s="76">
        <f t="shared" si="362"/>
        <v>619.45000000000005</v>
      </c>
      <c r="L4849">
        <v>1</v>
      </c>
      <c r="M4849" s="76">
        <v>0</v>
      </c>
      <c r="N4849" t="s">
        <v>32</v>
      </c>
      <c r="O4849" t="s">
        <v>33</v>
      </c>
      <c r="P4849" t="s">
        <v>34</v>
      </c>
      <c r="Q4849" t="s">
        <v>34</v>
      </c>
      <c r="R4849" t="s">
        <v>34</v>
      </c>
      <c r="S4849" t="s">
        <v>34</v>
      </c>
      <c r="T4849" s="117">
        <v>0</v>
      </c>
    </row>
    <row r="4850" spans="1:21" x14ac:dyDescent="0.35">
      <c r="A4850" t="s">
        <v>19</v>
      </c>
      <c r="B4850" t="s">
        <v>19</v>
      </c>
      <c r="C4850" s="1">
        <v>45903</v>
      </c>
      <c r="D4850">
        <f t="shared" si="363"/>
        <v>3</v>
      </c>
      <c r="E4850">
        <f t="shared" si="364"/>
        <v>9</v>
      </c>
      <c r="F4850">
        <f t="shared" si="365"/>
        <v>2025</v>
      </c>
      <c r="G4850" t="s">
        <v>54</v>
      </c>
      <c r="H4850" s="121" t="s">
        <v>1287</v>
      </c>
      <c r="I4850" s="76">
        <v>121423.79000000001</v>
      </c>
      <c r="J4850" s="12" t="s">
        <v>31</v>
      </c>
      <c r="K4850" s="76">
        <f t="shared" si="362"/>
        <v>121423.79000000001</v>
      </c>
      <c r="L4850">
        <v>1</v>
      </c>
      <c r="M4850" s="76">
        <v>0</v>
      </c>
      <c r="N4850" t="s">
        <v>32</v>
      </c>
      <c r="O4850" t="s">
        <v>33</v>
      </c>
      <c r="P4850" t="s">
        <v>34</v>
      </c>
      <c r="Q4850" t="s">
        <v>34</v>
      </c>
      <c r="R4850" t="s">
        <v>34</v>
      </c>
      <c r="S4850" t="s">
        <v>34</v>
      </c>
      <c r="T4850" s="117">
        <v>1518.28</v>
      </c>
    </row>
    <row r="4851" spans="1:21" x14ac:dyDescent="0.35">
      <c r="A4851" t="s">
        <v>19</v>
      </c>
      <c r="B4851" t="s">
        <v>19</v>
      </c>
      <c r="C4851" s="1">
        <v>45903</v>
      </c>
      <c r="D4851">
        <f t="shared" si="363"/>
        <v>3</v>
      </c>
      <c r="E4851">
        <f t="shared" si="364"/>
        <v>9</v>
      </c>
      <c r="F4851">
        <f t="shared" si="365"/>
        <v>2025</v>
      </c>
      <c r="G4851" t="s">
        <v>106</v>
      </c>
      <c r="H4851" s="121" t="s">
        <v>1283</v>
      </c>
      <c r="I4851" s="76">
        <v>197266.83</v>
      </c>
      <c r="J4851" s="12" t="s">
        <v>31</v>
      </c>
      <c r="K4851" s="76">
        <f t="shared" si="362"/>
        <v>197266.83</v>
      </c>
      <c r="L4851">
        <v>1</v>
      </c>
      <c r="M4851" s="76">
        <v>0</v>
      </c>
      <c r="N4851" t="s">
        <v>32</v>
      </c>
      <c r="O4851" t="s">
        <v>33</v>
      </c>
      <c r="P4851" t="s">
        <v>34</v>
      </c>
      <c r="Q4851" t="s">
        <v>34</v>
      </c>
      <c r="R4851" t="s">
        <v>34</v>
      </c>
      <c r="S4851" t="s">
        <v>34</v>
      </c>
      <c r="T4851" s="117">
        <v>0</v>
      </c>
    </row>
    <row r="4852" spans="1:21" x14ac:dyDescent="0.35">
      <c r="A4852" t="s">
        <v>19</v>
      </c>
      <c r="B4852" t="s">
        <v>19</v>
      </c>
      <c r="C4852" s="1">
        <v>45903</v>
      </c>
      <c r="D4852">
        <f t="shared" si="363"/>
        <v>3</v>
      </c>
      <c r="E4852">
        <f t="shared" si="364"/>
        <v>9</v>
      </c>
      <c r="F4852">
        <f t="shared" si="365"/>
        <v>2025</v>
      </c>
      <c r="G4852" t="s">
        <v>1115</v>
      </c>
      <c r="H4852" s="121" t="s">
        <v>1183</v>
      </c>
      <c r="I4852" s="76">
        <v>48339.329999999987</v>
      </c>
      <c r="J4852" s="12" t="s">
        <v>31</v>
      </c>
      <c r="K4852" s="76">
        <f t="shared" si="362"/>
        <v>48339.329999999987</v>
      </c>
      <c r="L4852">
        <v>1</v>
      </c>
      <c r="M4852" s="76">
        <v>0</v>
      </c>
      <c r="N4852" t="s">
        <v>32</v>
      </c>
      <c r="O4852" t="s">
        <v>33</v>
      </c>
      <c r="P4852" t="s">
        <v>34</v>
      </c>
      <c r="Q4852" t="s">
        <v>34</v>
      </c>
      <c r="R4852" t="s">
        <v>34</v>
      </c>
      <c r="S4852" t="s">
        <v>34</v>
      </c>
      <c r="T4852" s="117">
        <v>0</v>
      </c>
    </row>
    <row r="4853" spans="1:21" x14ac:dyDescent="0.35">
      <c r="A4853" t="s">
        <v>19</v>
      </c>
      <c r="B4853" t="s">
        <v>19</v>
      </c>
      <c r="C4853" s="1">
        <v>45903</v>
      </c>
      <c r="D4853">
        <f t="shared" si="363"/>
        <v>3</v>
      </c>
      <c r="E4853">
        <f t="shared" si="364"/>
        <v>9</v>
      </c>
      <c r="F4853">
        <f t="shared" si="365"/>
        <v>2025</v>
      </c>
      <c r="G4853" t="s">
        <v>582</v>
      </c>
      <c r="H4853" s="121" t="s">
        <v>1288</v>
      </c>
      <c r="I4853" s="76">
        <v>37938.949999999997</v>
      </c>
      <c r="J4853" s="12" t="s">
        <v>31</v>
      </c>
      <c r="K4853" s="76">
        <f t="shared" si="362"/>
        <v>37938.949999999997</v>
      </c>
      <c r="L4853">
        <v>1</v>
      </c>
      <c r="M4853" s="76">
        <v>0</v>
      </c>
      <c r="N4853" t="s">
        <v>32</v>
      </c>
      <c r="O4853" t="s">
        <v>33</v>
      </c>
      <c r="P4853" t="s">
        <v>34</v>
      </c>
      <c r="Q4853" t="s">
        <v>34</v>
      </c>
      <c r="R4853" t="s">
        <v>34</v>
      </c>
      <c r="S4853" t="s">
        <v>34</v>
      </c>
      <c r="T4853" s="117">
        <v>0</v>
      </c>
    </row>
    <row r="4854" spans="1:21" x14ac:dyDescent="0.35">
      <c r="A4854" t="s">
        <v>19</v>
      </c>
      <c r="B4854" t="s">
        <v>19</v>
      </c>
      <c r="C4854" s="1">
        <v>45903</v>
      </c>
      <c r="D4854">
        <f t="shared" si="363"/>
        <v>3</v>
      </c>
      <c r="E4854">
        <f t="shared" si="364"/>
        <v>9</v>
      </c>
      <c r="F4854">
        <f t="shared" si="365"/>
        <v>2025</v>
      </c>
      <c r="G4854" t="s">
        <v>59</v>
      </c>
      <c r="H4854" s="180" t="s">
        <v>1340</v>
      </c>
      <c r="I4854" s="94">
        <v>202177.96</v>
      </c>
      <c r="J4854" s="12" t="s">
        <v>31</v>
      </c>
      <c r="K4854" s="76">
        <f t="shared" si="362"/>
        <v>202177.96</v>
      </c>
      <c r="L4854">
        <v>1</v>
      </c>
      <c r="M4854" s="76">
        <v>0</v>
      </c>
      <c r="N4854" t="s">
        <v>32</v>
      </c>
      <c r="O4854" s="4" t="s">
        <v>114</v>
      </c>
      <c r="P4854" s="84">
        <v>45904</v>
      </c>
      <c r="Q4854" s="84">
        <f>Tabla1[[#This Row],[FECHA DE APERTURA CREDITO -UTILIZACION LC]]+77</f>
        <v>45981</v>
      </c>
      <c r="R4854" s="185">
        <v>8021000597301</v>
      </c>
      <c r="S4854" s="4" t="s">
        <v>34</v>
      </c>
      <c r="T4854" s="177">
        <v>0</v>
      </c>
      <c r="U4854" s="209" t="s">
        <v>1221</v>
      </c>
    </row>
    <row r="4855" spans="1:21" x14ac:dyDescent="0.35">
      <c r="A4855" t="s">
        <v>19</v>
      </c>
      <c r="B4855" t="s">
        <v>19</v>
      </c>
      <c r="C4855" s="1">
        <v>45903</v>
      </c>
      <c r="D4855">
        <f t="shared" si="363"/>
        <v>3</v>
      </c>
      <c r="E4855">
        <f t="shared" si="364"/>
        <v>9</v>
      </c>
      <c r="F4855">
        <f t="shared" si="365"/>
        <v>2025</v>
      </c>
      <c r="G4855" t="s">
        <v>56</v>
      </c>
      <c r="H4855" s="121" t="s">
        <v>1342</v>
      </c>
      <c r="I4855" s="76">
        <v>192072.75</v>
      </c>
      <c r="J4855" s="12" t="s">
        <v>31</v>
      </c>
      <c r="K4855" s="76">
        <f t="shared" si="362"/>
        <v>192072.75</v>
      </c>
      <c r="L4855">
        <v>1</v>
      </c>
      <c r="M4855" s="76">
        <v>0</v>
      </c>
      <c r="N4855" t="s">
        <v>32</v>
      </c>
      <c r="O4855" s="4" t="s">
        <v>114</v>
      </c>
      <c r="P4855" s="84">
        <v>45904</v>
      </c>
      <c r="Q4855" s="84">
        <f>Tabla1[[#This Row],[FECHA DE APERTURA CREDITO -UTILIZACION LC]]+105</f>
        <v>46009</v>
      </c>
      <c r="R4855" s="185">
        <v>8021000597363</v>
      </c>
      <c r="S4855" s="4" t="s">
        <v>34</v>
      </c>
      <c r="T4855" s="177">
        <v>0</v>
      </c>
      <c r="U4855" s="209" t="s">
        <v>1221</v>
      </c>
    </row>
    <row r="4856" spans="1:21" x14ac:dyDescent="0.35">
      <c r="A4856" t="s">
        <v>19</v>
      </c>
      <c r="B4856" t="s">
        <v>19</v>
      </c>
      <c r="C4856" s="1">
        <v>45903</v>
      </c>
      <c r="D4856">
        <f t="shared" si="363"/>
        <v>3</v>
      </c>
      <c r="E4856">
        <f t="shared" si="364"/>
        <v>9</v>
      </c>
      <c r="F4856">
        <f t="shared" si="365"/>
        <v>2025</v>
      </c>
      <c r="G4856" t="s">
        <v>56</v>
      </c>
      <c r="H4856" s="121" t="s">
        <v>1343</v>
      </c>
      <c r="I4856" s="76">
        <v>129592.31</v>
      </c>
      <c r="J4856" s="12" t="s">
        <v>31</v>
      </c>
      <c r="K4856" s="76">
        <f t="shared" si="362"/>
        <v>129592.31</v>
      </c>
      <c r="L4856">
        <v>1</v>
      </c>
      <c r="M4856" s="76">
        <v>0</v>
      </c>
      <c r="N4856" t="s">
        <v>32</v>
      </c>
      <c r="O4856" s="4" t="s">
        <v>114</v>
      </c>
      <c r="P4856" s="84">
        <v>45904</v>
      </c>
      <c r="Q4856" s="84">
        <f>Tabla1[[#This Row],[FECHA DE APERTURA CREDITO -UTILIZACION LC]]+105</f>
        <v>46009</v>
      </c>
      <c r="R4856" s="185">
        <v>8021000597363</v>
      </c>
      <c r="S4856" s="4" t="s">
        <v>34</v>
      </c>
      <c r="T4856" s="177">
        <v>0</v>
      </c>
      <c r="U4856" s="209" t="s">
        <v>1221</v>
      </c>
    </row>
    <row r="4857" spans="1:21" x14ac:dyDescent="0.35">
      <c r="A4857" t="s">
        <v>19</v>
      </c>
      <c r="B4857" t="s">
        <v>19</v>
      </c>
      <c r="C4857" s="1">
        <v>45903</v>
      </c>
      <c r="D4857">
        <f t="shared" si="363"/>
        <v>3</v>
      </c>
      <c r="E4857">
        <f t="shared" si="364"/>
        <v>9</v>
      </c>
      <c r="F4857">
        <f t="shared" si="365"/>
        <v>2025</v>
      </c>
      <c r="G4857" t="s">
        <v>56</v>
      </c>
      <c r="H4857" s="121" t="s">
        <v>1344</v>
      </c>
      <c r="I4857" s="76">
        <v>188146.78</v>
      </c>
      <c r="J4857" s="12" t="s">
        <v>31</v>
      </c>
      <c r="K4857" s="76">
        <f t="shared" si="362"/>
        <v>188146.78</v>
      </c>
      <c r="L4857">
        <v>1</v>
      </c>
      <c r="M4857" s="76">
        <v>0</v>
      </c>
      <c r="N4857" t="s">
        <v>32</v>
      </c>
      <c r="O4857" s="4" t="s">
        <v>114</v>
      </c>
      <c r="P4857" s="84">
        <v>45904</v>
      </c>
      <c r="Q4857" s="84">
        <f>Tabla1[[#This Row],[FECHA DE APERTURA CREDITO -UTILIZACION LC]]+105</f>
        <v>46009</v>
      </c>
      <c r="R4857" s="185">
        <v>8021000597363</v>
      </c>
      <c r="S4857" s="4" t="s">
        <v>34</v>
      </c>
      <c r="T4857" s="177">
        <v>0</v>
      </c>
      <c r="U4857" s="209" t="s">
        <v>1221</v>
      </c>
    </row>
    <row r="4858" spans="1:21" x14ac:dyDescent="0.35">
      <c r="A4858" t="s">
        <v>19</v>
      </c>
      <c r="B4858" t="s">
        <v>19</v>
      </c>
      <c r="C4858" s="1">
        <v>45903</v>
      </c>
      <c r="D4858">
        <f t="shared" si="363"/>
        <v>3</v>
      </c>
      <c r="E4858">
        <f t="shared" si="364"/>
        <v>9</v>
      </c>
      <c r="F4858">
        <f t="shared" si="365"/>
        <v>2025</v>
      </c>
      <c r="G4858" t="s">
        <v>56</v>
      </c>
      <c r="H4858" s="121" t="s">
        <v>1341</v>
      </c>
      <c r="I4858" s="76">
        <v>175144.71</v>
      </c>
      <c r="J4858" s="12" t="s">
        <v>31</v>
      </c>
      <c r="K4858" s="76">
        <f t="shared" si="362"/>
        <v>175144.71</v>
      </c>
      <c r="L4858">
        <v>1</v>
      </c>
      <c r="M4858" s="76">
        <v>0</v>
      </c>
      <c r="N4858" t="s">
        <v>32</v>
      </c>
      <c r="O4858" s="4" t="s">
        <v>114</v>
      </c>
      <c r="P4858" s="84">
        <v>45904</v>
      </c>
      <c r="Q4858" s="84">
        <f>Tabla1[[#This Row],[FECHA DE APERTURA CREDITO -UTILIZACION LC]]+98</f>
        <v>46002</v>
      </c>
      <c r="R4858" s="185">
        <v>8021000597332</v>
      </c>
      <c r="S4858" s="4" t="s">
        <v>34</v>
      </c>
      <c r="T4858" s="177">
        <v>0</v>
      </c>
      <c r="U4858" s="209" t="s">
        <v>1221</v>
      </c>
    </row>
    <row r="4859" spans="1:21" x14ac:dyDescent="0.35">
      <c r="A4859" t="s">
        <v>19</v>
      </c>
      <c r="B4859" t="s">
        <v>19</v>
      </c>
      <c r="C4859" s="1">
        <v>45903</v>
      </c>
      <c r="D4859">
        <f t="shared" si="363"/>
        <v>3</v>
      </c>
      <c r="E4859">
        <f t="shared" si="364"/>
        <v>9</v>
      </c>
      <c r="F4859">
        <f t="shared" si="365"/>
        <v>2025</v>
      </c>
      <c r="G4859" t="s">
        <v>56</v>
      </c>
      <c r="H4859" s="121" t="s">
        <v>1345</v>
      </c>
      <c r="I4859" s="76">
        <v>160797.84</v>
      </c>
      <c r="J4859" s="12" t="s">
        <v>31</v>
      </c>
      <c r="K4859" s="76">
        <f t="shared" si="362"/>
        <v>160797.84</v>
      </c>
      <c r="L4859">
        <v>1</v>
      </c>
      <c r="M4859" s="76">
        <v>0</v>
      </c>
      <c r="N4859" t="s">
        <v>32</v>
      </c>
      <c r="O4859" s="4" t="s">
        <v>114</v>
      </c>
      <c r="P4859" s="84">
        <v>45904</v>
      </c>
      <c r="Q4859" s="84">
        <f>Tabla1[[#This Row],[FECHA DE APERTURA CREDITO -UTILIZACION LC]]+98</f>
        <v>46002</v>
      </c>
      <c r="R4859" s="185">
        <v>8021000597332</v>
      </c>
      <c r="S4859" s="4" t="s">
        <v>34</v>
      </c>
      <c r="T4859" s="177">
        <v>0</v>
      </c>
      <c r="U4859" s="209" t="s">
        <v>1221</v>
      </c>
    </row>
    <row r="4860" spans="1:21" x14ac:dyDescent="0.35">
      <c r="A4860" t="s">
        <v>19</v>
      </c>
      <c r="B4860" t="s">
        <v>19</v>
      </c>
      <c r="C4860" s="1">
        <v>45903</v>
      </c>
      <c r="D4860">
        <f t="shared" si="363"/>
        <v>3</v>
      </c>
      <c r="E4860">
        <f t="shared" si="364"/>
        <v>9</v>
      </c>
      <c r="F4860">
        <f t="shared" si="365"/>
        <v>2025</v>
      </c>
      <c r="G4860" t="s">
        <v>56</v>
      </c>
      <c r="H4860" s="121" t="s">
        <v>1346</v>
      </c>
      <c r="I4860" s="76">
        <v>162518.56</v>
      </c>
      <c r="J4860" s="12" t="s">
        <v>31</v>
      </c>
      <c r="K4860" s="76">
        <f t="shared" si="362"/>
        <v>162518.56</v>
      </c>
      <c r="L4860">
        <v>1</v>
      </c>
      <c r="M4860" s="76">
        <v>0</v>
      </c>
      <c r="N4860" t="s">
        <v>32</v>
      </c>
      <c r="O4860" s="4" t="s">
        <v>114</v>
      </c>
      <c r="P4860" s="84">
        <v>45904</v>
      </c>
      <c r="Q4860" s="84">
        <f>Tabla1[[#This Row],[FECHA DE APERTURA CREDITO -UTILIZACION LC]]+98</f>
        <v>46002</v>
      </c>
      <c r="R4860" s="185">
        <v>8021000597332</v>
      </c>
      <c r="S4860" s="4" t="s">
        <v>34</v>
      </c>
      <c r="T4860" s="177">
        <v>0</v>
      </c>
      <c r="U4860" s="209" t="s">
        <v>1221</v>
      </c>
    </row>
    <row r="4861" spans="1:21" x14ac:dyDescent="0.35">
      <c r="A4861" t="s">
        <v>19</v>
      </c>
      <c r="B4861" t="s">
        <v>26</v>
      </c>
      <c r="C4861" s="1">
        <v>45904</v>
      </c>
      <c r="D4861">
        <f t="shared" si="363"/>
        <v>4</v>
      </c>
      <c r="E4861">
        <f t="shared" si="364"/>
        <v>9</v>
      </c>
      <c r="F4861">
        <f t="shared" si="365"/>
        <v>2025</v>
      </c>
      <c r="G4861" t="s">
        <v>73</v>
      </c>
      <c r="H4861" s="121">
        <v>13670</v>
      </c>
      <c r="I4861" s="15">
        <v>32881.120000000003</v>
      </c>
      <c r="J4861" s="12" t="s">
        <v>51</v>
      </c>
      <c r="K4861" s="76">
        <f t="shared" si="362"/>
        <v>38355.826480000003</v>
      </c>
      <c r="L4861">
        <v>1.1665000000000001</v>
      </c>
      <c r="M4861" s="76">
        <v>0</v>
      </c>
      <c r="N4861" t="s">
        <v>42</v>
      </c>
      <c r="O4861" s="4" t="s">
        <v>33</v>
      </c>
      <c r="P4861" s="4" t="s">
        <v>34</v>
      </c>
      <c r="Q4861" s="4" t="s">
        <v>34</v>
      </c>
      <c r="R4861" s="4" t="s">
        <v>34</v>
      </c>
      <c r="S4861" s="4" t="s">
        <v>34</v>
      </c>
      <c r="T4861" s="177">
        <v>0</v>
      </c>
      <c r="U4861" s="209" t="s">
        <v>94</v>
      </c>
    </row>
    <row r="4862" spans="1:21" x14ac:dyDescent="0.35">
      <c r="A4862" t="s">
        <v>19</v>
      </c>
      <c r="B4862" t="s">
        <v>26</v>
      </c>
      <c r="C4862" s="1">
        <v>45904</v>
      </c>
      <c r="D4862">
        <f t="shared" si="363"/>
        <v>4</v>
      </c>
      <c r="E4862">
        <f t="shared" si="364"/>
        <v>9</v>
      </c>
      <c r="F4862">
        <f t="shared" si="365"/>
        <v>2025</v>
      </c>
      <c r="G4862" t="s">
        <v>73</v>
      </c>
      <c r="H4862" s="121">
        <v>13672</v>
      </c>
      <c r="I4862" s="15">
        <v>71678.34</v>
      </c>
      <c r="J4862" s="12" t="s">
        <v>51</v>
      </c>
      <c r="K4862" s="76">
        <f t="shared" si="362"/>
        <v>83612.783609999999</v>
      </c>
      <c r="L4862">
        <v>1.1665000000000001</v>
      </c>
      <c r="M4862" s="76">
        <v>0</v>
      </c>
      <c r="N4862" t="s">
        <v>42</v>
      </c>
      <c r="O4862" s="4" t="s">
        <v>33</v>
      </c>
      <c r="P4862" s="4" t="s">
        <v>34</v>
      </c>
      <c r="Q4862" s="4" t="s">
        <v>34</v>
      </c>
      <c r="R4862" s="4" t="s">
        <v>34</v>
      </c>
      <c r="S4862" s="4" t="s">
        <v>34</v>
      </c>
      <c r="T4862" s="177">
        <v>0</v>
      </c>
      <c r="U4862" s="209" t="s">
        <v>94</v>
      </c>
    </row>
    <row r="4863" spans="1:21" x14ac:dyDescent="0.35">
      <c r="A4863" t="s">
        <v>19</v>
      </c>
      <c r="B4863" t="s">
        <v>26</v>
      </c>
      <c r="C4863" s="1">
        <v>45904</v>
      </c>
      <c r="D4863">
        <f t="shared" si="363"/>
        <v>4</v>
      </c>
      <c r="E4863">
        <f t="shared" si="364"/>
        <v>9</v>
      </c>
      <c r="F4863">
        <f t="shared" si="365"/>
        <v>2025</v>
      </c>
      <c r="G4863" t="s">
        <v>73</v>
      </c>
      <c r="H4863" s="121">
        <v>13700</v>
      </c>
      <c r="I4863" s="15">
        <v>18862.41</v>
      </c>
      <c r="J4863" s="12" t="s">
        <v>51</v>
      </c>
      <c r="K4863" s="76">
        <f t="shared" si="362"/>
        <v>22003.001265000003</v>
      </c>
      <c r="L4863">
        <v>1.1665000000000001</v>
      </c>
      <c r="M4863" s="76">
        <v>0</v>
      </c>
      <c r="N4863" t="s">
        <v>42</v>
      </c>
      <c r="O4863" s="4" t="s">
        <v>33</v>
      </c>
      <c r="P4863" s="4" t="s">
        <v>34</v>
      </c>
      <c r="Q4863" s="4" t="s">
        <v>34</v>
      </c>
      <c r="R4863" s="4" t="s">
        <v>34</v>
      </c>
      <c r="S4863" s="4" t="s">
        <v>34</v>
      </c>
      <c r="T4863" s="177">
        <v>0</v>
      </c>
      <c r="U4863" s="209" t="s">
        <v>94</v>
      </c>
    </row>
    <row r="4864" spans="1:21" x14ac:dyDescent="0.35">
      <c r="A4864" t="s">
        <v>19</v>
      </c>
      <c r="B4864" t="s">
        <v>24</v>
      </c>
      <c r="C4864" s="1">
        <v>45910</v>
      </c>
      <c r="D4864">
        <f t="shared" si="363"/>
        <v>10</v>
      </c>
      <c r="E4864">
        <f t="shared" si="364"/>
        <v>9</v>
      </c>
      <c r="F4864">
        <f t="shared" si="365"/>
        <v>2025</v>
      </c>
      <c r="G4864" t="s">
        <v>77</v>
      </c>
      <c r="H4864" s="121">
        <v>12580</v>
      </c>
      <c r="I4864" s="76">
        <v>36461.300000000003</v>
      </c>
      <c r="J4864" s="12" t="s">
        <v>31</v>
      </c>
      <c r="K4864" s="76">
        <f t="shared" si="362"/>
        <v>36461.300000000003</v>
      </c>
      <c r="L4864">
        <v>1</v>
      </c>
      <c r="M4864" s="76">
        <v>0</v>
      </c>
      <c r="N4864" t="s">
        <v>32</v>
      </c>
      <c r="O4864" t="s">
        <v>33</v>
      </c>
      <c r="P4864" t="s">
        <v>34</v>
      </c>
      <c r="Q4864" t="s">
        <v>34</v>
      </c>
      <c r="R4864" t="s">
        <v>34</v>
      </c>
      <c r="S4864" t="s">
        <v>34</v>
      </c>
      <c r="T4864" s="117">
        <v>0</v>
      </c>
    </row>
    <row r="4865" spans="1:21" x14ac:dyDescent="0.35">
      <c r="A4865" t="s">
        <v>19</v>
      </c>
      <c r="B4865" t="s">
        <v>25</v>
      </c>
      <c r="C4865" s="1">
        <v>45910</v>
      </c>
      <c r="D4865">
        <f t="shared" si="363"/>
        <v>10</v>
      </c>
      <c r="E4865">
        <f t="shared" si="364"/>
        <v>9</v>
      </c>
      <c r="F4865">
        <f t="shared" si="365"/>
        <v>2025</v>
      </c>
      <c r="G4865" t="s">
        <v>77</v>
      </c>
      <c r="H4865" s="121">
        <v>12578</v>
      </c>
      <c r="I4865" s="76">
        <v>33584.15</v>
      </c>
      <c r="J4865" s="12" t="s">
        <v>31</v>
      </c>
      <c r="K4865" s="76">
        <f t="shared" si="362"/>
        <v>33584.15</v>
      </c>
      <c r="L4865">
        <v>1</v>
      </c>
      <c r="M4865" s="76">
        <v>0</v>
      </c>
      <c r="N4865" t="s">
        <v>32</v>
      </c>
      <c r="O4865" t="s">
        <v>33</v>
      </c>
      <c r="P4865" t="s">
        <v>34</v>
      </c>
      <c r="Q4865" t="s">
        <v>34</v>
      </c>
      <c r="R4865" t="s">
        <v>34</v>
      </c>
      <c r="S4865" t="s">
        <v>34</v>
      </c>
      <c r="T4865" s="117">
        <v>0</v>
      </c>
    </row>
    <row r="4866" spans="1:21" x14ac:dyDescent="0.35">
      <c r="A4866" t="s">
        <v>19</v>
      </c>
      <c r="B4866" t="s">
        <v>25</v>
      </c>
      <c r="C4866" s="1">
        <v>45910</v>
      </c>
      <c r="D4866">
        <f t="shared" si="363"/>
        <v>10</v>
      </c>
      <c r="E4866">
        <f t="shared" si="364"/>
        <v>9</v>
      </c>
      <c r="F4866">
        <f t="shared" si="365"/>
        <v>2025</v>
      </c>
      <c r="G4866" t="s">
        <v>76</v>
      </c>
      <c r="H4866" s="121">
        <v>13090</v>
      </c>
      <c r="I4866" s="76">
        <v>185.9</v>
      </c>
      <c r="J4866" s="12" t="s">
        <v>31</v>
      </c>
      <c r="K4866" s="76">
        <f t="shared" si="362"/>
        <v>185.9</v>
      </c>
      <c r="L4866">
        <v>1</v>
      </c>
      <c r="M4866" s="76">
        <v>0</v>
      </c>
      <c r="N4866" t="s">
        <v>32</v>
      </c>
      <c r="O4866" t="s">
        <v>33</v>
      </c>
      <c r="P4866" t="s">
        <v>34</v>
      </c>
      <c r="Q4866" t="s">
        <v>34</v>
      </c>
      <c r="R4866" t="s">
        <v>34</v>
      </c>
      <c r="S4866" t="s">
        <v>34</v>
      </c>
      <c r="T4866" s="117">
        <v>0</v>
      </c>
    </row>
    <row r="4867" spans="1:21" x14ac:dyDescent="0.35">
      <c r="A4867" t="s">
        <v>19</v>
      </c>
      <c r="B4867" t="s">
        <v>21</v>
      </c>
      <c r="C4867" s="1">
        <v>45910</v>
      </c>
      <c r="D4867">
        <f t="shared" si="363"/>
        <v>10</v>
      </c>
      <c r="E4867">
        <f t="shared" si="364"/>
        <v>9</v>
      </c>
      <c r="F4867">
        <f t="shared" si="365"/>
        <v>2025</v>
      </c>
      <c r="G4867" t="s">
        <v>76</v>
      </c>
      <c r="H4867" s="121">
        <v>12874</v>
      </c>
      <c r="I4867" s="76">
        <v>237.6</v>
      </c>
      <c r="J4867" s="12" t="s">
        <v>31</v>
      </c>
      <c r="K4867" s="76">
        <f t="shared" si="362"/>
        <v>237.6</v>
      </c>
      <c r="L4867">
        <v>1</v>
      </c>
      <c r="M4867" s="76">
        <v>0</v>
      </c>
      <c r="N4867" t="s">
        <v>32</v>
      </c>
      <c r="O4867" t="s">
        <v>33</v>
      </c>
      <c r="P4867" t="s">
        <v>34</v>
      </c>
      <c r="Q4867" t="s">
        <v>34</v>
      </c>
      <c r="R4867" t="s">
        <v>34</v>
      </c>
      <c r="S4867" t="s">
        <v>34</v>
      </c>
      <c r="T4867" s="117">
        <v>0</v>
      </c>
    </row>
    <row r="4868" spans="1:21" x14ac:dyDescent="0.35">
      <c r="A4868" t="s">
        <v>19</v>
      </c>
      <c r="B4868" t="s">
        <v>23</v>
      </c>
      <c r="C4868" s="1">
        <v>45910</v>
      </c>
      <c r="D4868">
        <f t="shared" si="363"/>
        <v>10</v>
      </c>
      <c r="E4868">
        <f t="shared" si="364"/>
        <v>9</v>
      </c>
      <c r="F4868">
        <f t="shared" si="365"/>
        <v>2025</v>
      </c>
      <c r="G4868" t="s">
        <v>76</v>
      </c>
      <c r="H4868" s="121">
        <v>13455</v>
      </c>
      <c r="I4868" s="76">
        <v>64329</v>
      </c>
      <c r="J4868" s="12" t="s">
        <v>31</v>
      </c>
      <c r="K4868" s="76">
        <f t="shared" si="362"/>
        <v>64329</v>
      </c>
      <c r="L4868">
        <v>1</v>
      </c>
      <c r="M4868" s="76">
        <v>0</v>
      </c>
      <c r="N4868" t="s">
        <v>32</v>
      </c>
      <c r="O4868" t="s">
        <v>114</v>
      </c>
      <c r="P4868" s="1">
        <v>45910</v>
      </c>
      <c r="Q4868" s="1">
        <f>Tabla1[[#This Row],[FECHA DE APERTURA CREDITO -UTILIZACION LC]]+91</f>
        <v>46001</v>
      </c>
      <c r="R4868" s="101">
        <v>8021000600162</v>
      </c>
      <c r="S4868" t="s">
        <v>34</v>
      </c>
      <c r="T4868" s="117">
        <v>0</v>
      </c>
      <c r="U4868" s="209" t="s">
        <v>1221</v>
      </c>
    </row>
    <row r="4869" spans="1:21" x14ac:dyDescent="0.35">
      <c r="A4869" t="s">
        <v>19</v>
      </c>
      <c r="B4869" t="s">
        <v>21</v>
      </c>
      <c r="C4869" s="1">
        <v>45910</v>
      </c>
      <c r="D4869">
        <f t="shared" si="363"/>
        <v>10</v>
      </c>
      <c r="E4869">
        <f t="shared" si="364"/>
        <v>9</v>
      </c>
      <c r="F4869">
        <f t="shared" si="365"/>
        <v>2025</v>
      </c>
      <c r="G4869" t="s">
        <v>76</v>
      </c>
      <c r="H4869" s="121">
        <v>13455</v>
      </c>
      <c r="I4869" s="76">
        <v>70715.3</v>
      </c>
      <c r="J4869" s="12" t="s">
        <v>31</v>
      </c>
      <c r="K4869" s="76">
        <f t="shared" ref="K4869:K4932" si="366">IF(J4869="USD",I4869,I4869*L4869)</f>
        <v>70715.3</v>
      </c>
      <c r="L4869">
        <v>1</v>
      </c>
      <c r="M4869" s="76">
        <v>0</v>
      </c>
      <c r="N4869" t="s">
        <v>32</v>
      </c>
      <c r="O4869" t="s">
        <v>114</v>
      </c>
      <c r="P4869" s="1">
        <v>45910</v>
      </c>
      <c r="Q4869" s="1">
        <f>Tabla1[[#This Row],[FECHA DE APERTURA CREDITO -UTILIZACION LC]]+91</f>
        <v>46001</v>
      </c>
      <c r="R4869" s="101">
        <v>8021000600162</v>
      </c>
      <c r="S4869" t="s">
        <v>34</v>
      </c>
      <c r="T4869" s="117">
        <v>0</v>
      </c>
      <c r="U4869" s="209" t="s">
        <v>1221</v>
      </c>
    </row>
    <row r="4870" spans="1:21" x14ac:dyDescent="0.35">
      <c r="A4870" t="s">
        <v>19</v>
      </c>
      <c r="B4870" t="s">
        <v>23</v>
      </c>
      <c r="C4870" s="1">
        <v>45910</v>
      </c>
      <c r="D4870">
        <f t="shared" si="363"/>
        <v>10</v>
      </c>
      <c r="E4870">
        <f t="shared" si="364"/>
        <v>9</v>
      </c>
      <c r="F4870">
        <f t="shared" si="365"/>
        <v>2025</v>
      </c>
      <c r="G4870" t="s">
        <v>74</v>
      </c>
      <c r="H4870" s="121">
        <v>12983</v>
      </c>
      <c r="I4870" s="76">
        <v>58696.05</v>
      </c>
      <c r="J4870" s="12" t="s">
        <v>31</v>
      </c>
      <c r="K4870" s="76">
        <f t="shared" si="366"/>
        <v>58696.05</v>
      </c>
      <c r="L4870">
        <v>1</v>
      </c>
      <c r="M4870" s="76">
        <v>0</v>
      </c>
      <c r="N4870" t="s">
        <v>32</v>
      </c>
      <c r="O4870" t="s">
        <v>33</v>
      </c>
      <c r="P4870" t="s">
        <v>34</v>
      </c>
      <c r="Q4870" t="s">
        <v>34</v>
      </c>
      <c r="R4870" t="s">
        <v>34</v>
      </c>
      <c r="S4870" t="s">
        <v>34</v>
      </c>
      <c r="T4870" s="117">
        <v>0</v>
      </c>
    </row>
    <row r="4871" spans="1:21" x14ac:dyDescent="0.35">
      <c r="A4871" t="s">
        <v>19</v>
      </c>
      <c r="B4871" t="s">
        <v>23</v>
      </c>
      <c r="C4871" s="1">
        <v>45910</v>
      </c>
      <c r="D4871">
        <f t="shared" si="363"/>
        <v>10</v>
      </c>
      <c r="E4871">
        <f t="shared" si="364"/>
        <v>9</v>
      </c>
      <c r="F4871">
        <f t="shared" si="365"/>
        <v>2025</v>
      </c>
      <c r="G4871" t="s">
        <v>885</v>
      </c>
      <c r="H4871" s="121">
        <v>13710</v>
      </c>
      <c r="I4871" s="76">
        <v>8400</v>
      </c>
      <c r="J4871" s="12" t="s">
        <v>31</v>
      </c>
      <c r="K4871" s="76">
        <f t="shared" si="366"/>
        <v>8400</v>
      </c>
      <c r="L4871">
        <v>1</v>
      </c>
      <c r="M4871" s="76">
        <v>0</v>
      </c>
      <c r="N4871" t="s">
        <v>42</v>
      </c>
      <c r="O4871" t="s">
        <v>33</v>
      </c>
      <c r="P4871" t="s">
        <v>34</v>
      </c>
      <c r="Q4871" t="s">
        <v>34</v>
      </c>
      <c r="R4871" t="s">
        <v>34</v>
      </c>
      <c r="S4871" t="s">
        <v>34</v>
      </c>
      <c r="T4871" s="117">
        <v>0</v>
      </c>
    </row>
    <row r="4872" spans="1:21" x14ac:dyDescent="0.35">
      <c r="A4872" t="s">
        <v>19</v>
      </c>
      <c r="B4872" t="s">
        <v>23</v>
      </c>
      <c r="C4872" s="1">
        <v>45910</v>
      </c>
      <c r="D4872">
        <f t="shared" si="363"/>
        <v>10</v>
      </c>
      <c r="E4872">
        <f t="shared" si="364"/>
        <v>9</v>
      </c>
      <c r="F4872">
        <f t="shared" si="365"/>
        <v>2025</v>
      </c>
      <c r="G4872" t="s">
        <v>1290</v>
      </c>
      <c r="H4872" s="121">
        <v>13712</v>
      </c>
      <c r="I4872" s="76">
        <v>757.5</v>
      </c>
      <c r="J4872" s="12" t="s">
        <v>31</v>
      </c>
      <c r="K4872" s="76">
        <f t="shared" si="366"/>
        <v>757.5</v>
      </c>
      <c r="L4872">
        <v>1</v>
      </c>
      <c r="M4872" s="76">
        <v>0</v>
      </c>
      <c r="N4872" t="s">
        <v>42</v>
      </c>
      <c r="O4872" t="s">
        <v>33</v>
      </c>
      <c r="P4872" t="s">
        <v>34</v>
      </c>
      <c r="Q4872" t="s">
        <v>34</v>
      </c>
      <c r="R4872" t="s">
        <v>34</v>
      </c>
      <c r="S4872" t="s">
        <v>34</v>
      </c>
      <c r="T4872" s="117">
        <v>0</v>
      </c>
    </row>
    <row r="4873" spans="1:21" x14ac:dyDescent="0.35">
      <c r="A4873" t="s">
        <v>19</v>
      </c>
      <c r="B4873" t="s">
        <v>21</v>
      </c>
      <c r="C4873" s="1">
        <v>45910</v>
      </c>
      <c r="D4873">
        <f t="shared" si="363"/>
        <v>10</v>
      </c>
      <c r="E4873">
        <f t="shared" si="364"/>
        <v>9</v>
      </c>
      <c r="F4873">
        <f t="shared" si="365"/>
        <v>2025</v>
      </c>
      <c r="G4873" t="s">
        <v>40</v>
      </c>
      <c r="H4873" s="121">
        <v>13574</v>
      </c>
      <c r="I4873" s="76">
        <v>48249.8</v>
      </c>
      <c r="J4873" s="12" t="s">
        <v>31</v>
      </c>
      <c r="K4873" s="76">
        <f t="shared" si="366"/>
        <v>48249.8</v>
      </c>
      <c r="L4873">
        <v>1</v>
      </c>
      <c r="M4873" s="76">
        <v>0</v>
      </c>
      <c r="N4873" t="s">
        <v>42</v>
      </c>
      <c r="O4873" t="s">
        <v>33</v>
      </c>
      <c r="P4873" t="s">
        <v>34</v>
      </c>
      <c r="Q4873" t="s">
        <v>34</v>
      </c>
      <c r="R4873" t="s">
        <v>34</v>
      </c>
      <c r="S4873" t="s">
        <v>34</v>
      </c>
      <c r="T4873" s="117">
        <v>0</v>
      </c>
    </row>
    <row r="4874" spans="1:21" x14ac:dyDescent="0.35">
      <c r="A4874" t="s">
        <v>19</v>
      </c>
      <c r="B4874" t="s">
        <v>25</v>
      </c>
      <c r="C4874" s="1">
        <v>45910</v>
      </c>
      <c r="D4874">
        <f t="shared" si="363"/>
        <v>10</v>
      </c>
      <c r="E4874">
        <f t="shared" si="364"/>
        <v>9</v>
      </c>
      <c r="F4874">
        <f t="shared" si="365"/>
        <v>2025</v>
      </c>
      <c r="G4874" t="s">
        <v>80</v>
      </c>
      <c r="H4874" s="121">
        <v>13170</v>
      </c>
      <c r="I4874" s="76">
        <v>537</v>
      </c>
      <c r="J4874" s="12" t="s">
        <v>31</v>
      </c>
      <c r="K4874" s="76">
        <f t="shared" si="366"/>
        <v>537</v>
      </c>
      <c r="L4874">
        <v>1</v>
      </c>
      <c r="M4874" s="76">
        <v>0</v>
      </c>
      <c r="N4874" t="s">
        <v>32</v>
      </c>
      <c r="O4874" t="s">
        <v>33</v>
      </c>
      <c r="P4874" t="s">
        <v>34</v>
      </c>
      <c r="Q4874" t="s">
        <v>34</v>
      </c>
      <c r="R4874" t="s">
        <v>34</v>
      </c>
      <c r="S4874" t="s">
        <v>34</v>
      </c>
      <c r="T4874" s="117">
        <v>0</v>
      </c>
    </row>
    <row r="4875" spans="1:21" x14ac:dyDescent="0.35">
      <c r="A4875" t="s">
        <v>19</v>
      </c>
      <c r="B4875" t="s">
        <v>25</v>
      </c>
      <c r="C4875" s="1">
        <v>45910</v>
      </c>
      <c r="D4875">
        <f t="shared" si="363"/>
        <v>10</v>
      </c>
      <c r="E4875">
        <f t="shared" si="364"/>
        <v>9</v>
      </c>
      <c r="F4875">
        <f t="shared" si="365"/>
        <v>2025</v>
      </c>
      <c r="G4875" t="s">
        <v>80</v>
      </c>
      <c r="H4875" s="121">
        <v>13642</v>
      </c>
      <c r="I4875" s="76">
        <v>2631</v>
      </c>
      <c r="J4875" s="12" t="s">
        <v>31</v>
      </c>
      <c r="K4875" s="76">
        <f t="shared" si="366"/>
        <v>2631</v>
      </c>
      <c r="L4875">
        <v>1</v>
      </c>
      <c r="M4875" s="76">
        <v>0</v>
      </c>
      <c r="N4875" t="s">
        <v>42</v>
      </c>
      <c r="O4875" t="s">
        <v>33</v>
      </c>
      <c r="P4875" t="s">
        <v>34</v>
      </c>
      <c r="Q4875" t="s">
        <v>34</v>
      </c>
      <c r="R4875" t="s">
        <v>34</v>
      </c>
      <c r="S4875" t="s">
        <v>34</v>
      </c>
      <c r="T4875" s="117">
        <v>0</v>
      </c>
    </row>
    <row r="4876" spans="1:21" x14ac:dyDescent="0.35">
      <c r="A4876" t="s">
        <v>19</v>
      </c>
      <c r="B4876" t="s">
        <v>25</v>
      </c>
      <c r="C4876" s="1">
        <v>45910</v>
      </c>
      <c r="D4876">
        <f t="shared" si="363"/>
        <v>10</v>
      </c>
      <c r="E4876">
        <f t="shared" si="364"/>
        <v>9</v>
      </c>
      <c r="F4876">
        <f t="shared" si="365"/>
        <v>2025</v>
      </c>
      <c r="G4876" t="s">
        <v>80</v>
      </c>
      <c r="H4876" s="121">
        <v>13656</v>
      </c>
      <c r="I4876" s="76">
        <v>20076.5</v>
      </c>
      <c r="J4876" s="12" t="s">
        <v>31</v>
      </c>
      <c r="K4876" s="76">
        <f t="shared" si="366"/>
        <v>20076.5</v>
      </c>
      <c r="L4876">
        <v>1</v>
      </c>
      <c r="M4876" s="76">
        <v>0</v>
      </c>
      <c r="N4876" t="s">
        <v>42</v>
      </c>
      <c r="O4876" t="s">
        <v>33</v>
      </c>
      <c r="P4876" t="s">
        <v>34</v>
      </c>
      <c r="Q4876" t="s">
        <v>34</v>
      </c>
      <c r="R4876" t="s">
        <v>34</v>
      </c>
      <c r="S4876" t="s">
        <v>34</v>
      </c>
      <c r="T4876" s="117">
        <v>0</v>
      </c>
    </row>
    <row r="4877" spans="1:21" x14ac:dyDescent="0.35">
      <c r="A4877" t="s">
        <v>19</v>
      </c>
      <c r="B4877" t="s">
        <v>25</v>
      </c>
      <c r="C4877" s="1">
        <v>45910</v>
      </c>
      <c r="D4877">
        <f t="shared" si="363"/>
        <v>10</v>
      </c>
      <c r="E4877">
        <f t="shared" si="364"/>
        <v>9</v>
      </c>
      <c r="F4877">
        <f t="shared" si="365"/>
        <v>2025</v>
      </c>
      <c r="G4877" t="s">
        <v>38</v>
      </c>
      <c r="H4877" s="121">
        <v>12646</v>
      </c>
      <c r="I4877" s="76">
        <v>75575.679999999993</v>
      </c>
      <c r="J4877" s="12" t="s">
        <v>31</v>
      </c>
      <c r="K4877" s="76">
        <f t="shared" si="366"/>
        <v>75575.679999999993</v>
      </c>
      <c r="L4877">
        <v>1</v>
      </c>
      <c r="M4877" s="76">
        <v>0</v>
      </c>
      <c r="N4877" t="s">
        <v>32</v>
      </c>
      <c r="O4877" t="s">
        <v>33</v>
      </c>
      <c r="P4877" t="s">
        <v>34</v>
      </c>
      <c r="Q4877" t="s">
        <v>34</v>
      </c>
      <c r="R4877" t="s">
        <v>34</v>
      </c>
      <c r="S4877" t="s">
        <v>34</v>
      </c>
      <c r="T4877" s="117">
        <v>0</v>
      </c>
    </row>
    <row r="4878" spans="1:21" x14ac:dyDescent="0.35">
      <c r="A4878" t="s">
        <v>19</v>
      </c>
      <c r="B4878" t="s">
        <v>24</v>
      </c>
      <c r="C4878" s="1">
        <v>45910</v>
      </c>
      <c r="D4878">
        <f t="shared" si="363"/>
        <v>10</v>
      </c>
      <c r="E4878">
        <f t="shared" si="364"/>
        <v>9</v>
      </c>
      <c r="F4878">
        <f t="shared" si="365"/>
        <v>2025</v>
      </c>
      <c r="G4878" s="4" t="s">
        <v>35</v>
      </c>
      <c r="H4878" s="139">
        <v>12899</v>
      </c>
      <c r="I4878" s="183">
        <v>11657</v>
      </c>
      <c r="J4878" s="139" t="s">
        <v>31</v>
      </c>
      <c r="K4878" s="76">
        <f t="shared" si="366"/>
        <v>11657</v>
      </c>
      <c r="L4878">
        <v>1</v>
      </c>
      <c r="M4878" s="76">
        <v>0</v>
      </c>
      <c r="N4878" t="s">
        <v>32</v>
      </c>
      <c r="O4878" t="s">
        <v>33</v>
      </c>
      <c r="P4878" t="s">
        <v>34</v>
      </c>
      <c r="Q4878" t="s">
        <v>34</v>
      </c>
      <c r="R4878" t="s">
        <v>34</v>
      </c>
      <c r="S4878" t="s">
        <v>34</v>
      </c>
      <c r="T4878" s="117">
        <v>0</v>
      </c>
    </row>
    <row r="4879" spans="1:21" x14ac:dyDescent="0.35">
      <c r="A4879" t="s">
        <v>19</v>
      </c>
      <c r="B4879" t="s">
        <v>24</v>
      </c>
      <c r="C4879" s="1">
        <v>45910</v>
      </c>
      <c r="D4879">
        <f t="shared" si="363"/>
        <v>10</v>
      </c>
      <c r="E4879">
        <f t="shared" si="364"/>
        <v>9</v>
      </c>
      <c r="F4879">
        <f t="shared" si="365"/>
        <v>2025</v>
      </c>
      <c r="G4879" s="4" t="s">
        <v>35</v>
      </c>
      <c r="H4879" s="139">
        <v>12943</v>
      </c>
      <c r="I4879" s="183">
        <v>71.599999999999994</v>
      </c>
      <c r="J4879" s="139" t="s">
        <v>31</v>
      </c>
      <c r="K4879" s="76">
        <f t="shared" si="366"/>
        <v>71.599999999999994</v>
      </c>
      <c r="L4879">
        <v>1</v>
      </c>
      <c r="M4879" s="76">
        <v>0</v>
      </c>
      <c r="N4879" t="s">
        <v>32</v>
      </c>
      <c r="O4879" t="s">
        <v>33</v>
      </c>
      <c r="P4879" t="s">
        <v>34</v>
      </c>
      <c r="Q4879" t="s">
        <v>34</v>
      </c>
      <c r="R4879" t="s">
        <v>34</v>
      </c>
      <c r="S4879" t="s">
        <v>34</v>
      </c>
      <c r="T4879" s="117">
        <v>0</v>
      </c>
    </row>
    <row r="4880" spans="1:21" x14ac:dyDescent="0.35">
      <c r="A4880" t="s">
        <v>19</v>
      </c>
      <c r="B4880" t="s">
        <v>23</v>
      </c>
      <c r="C4880" s="1">
        <v>45910</v>
      </c>
      <c r="D4880">
        <f t="shared" si="363"/>
        <v>10</v>
      </c>
      <c r="E4880">
        <f t="shared" si="364"/>
        <v>9</v>
      </c>
      <c r="F4880">
        <f t="shared" si="365"/>
        <v>2025</v>
      </c>
      <c r="G4880" s="4" t="s">
        <v>35</v>
      </c>
      <c r="H4880" s="139">
        <v>13398</v>
      </c>
      <c r="I4880" s="183">
        <v>7267.4</v>
      </c>
      <c r="J4880" s="139" t="s">
        <v>31</v>
      </c>
      <c r="K4880" s="76">
        <f t="shared" si="366"/>
        <v>7267.4</v>
      </c>
      <c r="L4880">
        <v>1</v>
      </c>
      <c r="M4880" s="76">
        <v>0</v>
      </c>
      <c r="N4880" t="s">
        <v>32</v>
      </c>
      <c r="O4880" t="s">
        <v>33</v>
      </c>
      <c r="P4880" t="s">
        <v>34</v>
      </c>
      <c r="Q4880" t="s">
        <v>34</v>
      </c>
      <c r="R4880" t="s">
        <v>34</v>
      </c>
      <c r="S4880" t="s">
        <v>34</v>
      </c>
      <c r="T4880" s="117">
        <v>0</v>
      </c>
    </row>
    <row r="4881" spans="1:20" x14ac:dyDescent="0.35">
      <c r="A4881" t="s">
        <v>19</v>
      </c>
      <c r="B4881" t="s">
        <v>21</v>
      </c>
      <c r="C4881" s="1">
        <v>45910</v>
      </c>
      <c r="D4881">
        <f t="shared" si="363"/>
        <v>10</v>
      </c>
      <c r="E4881">
        <f t="shared" si="364"/>
        <v>9</v>
      </c>
      <c r="F4881">
        <f t="shared" si="365"/>
        <v>2025</v>
      </c>
      <c r="G4881" s="4" t="s">
        <v>37</v>
      </c>
      <c r="H4881" s="139">
        <v>12828</v>
      </c>
      <c r="I4881" s="183">
        <v>59.1</v>
      </c>
      <c r="J4881" s="139" t="s">
        <v>31</v>
      </c>
      <c r="K4881" s="76">
        <f t="shared" si="366"/>
        <v>59.1</v>
      </c>
      <c r="L4881">
        <v>1</v>
      </c>
      <c r="M4881" s="76">
        <v>0</v>
      </c>
      <c r="N4881" t="s">
        <v>32</v>
      </c>
      <c r="O4881" t="s">
        <v>33</v>
      </c>
      <c r="P4881" t="s">
        <v>34</v>
      </c>
      <c r="Q4881" t="s">
        <v>34</v>
      </c>
      <c r="R4881" t="s">
        <v>34</v>
      </c>
      <c r="S4881" t="s">
        <v>34</v>
      </c>
      <c r="T4881" s="117">
        <v>0</v>
      </c>
    </row>
    <row r="4882" spans="1:20" x14ac:dyDescent="0.35">
      <c r="A4882" t="s">
        <v>19</v>
      </c>
      <c r="B4882" t="s">
        <v>21</v>
      </c>
      <c r="C4882" s="1">
        <v>45910</v>
      </c>
      <c r="D4882">
        <f t="shared" si="363"/>
        <v>10</v>
      </c>
      <c r="E4882">
        <f t="shared" si="364"/>
        <v>9</v>
      </c>
      <c r="F4882">
        <f t="shared" si="365"/>
        <v>2025</v>
      </c>
      <c r="G4882" s="4" t="s">
        <v>37</v>
      </c>
      <c r="H4882" s="139">
        <v>13069</v>
      </c>
      <c r="I4882" s="183">
        <v>5673</v>
      </c>
      <c r="J4882" s="139" t="s">
        <v>31</v>
      </c>
      <c r="K4882" s="76">
        <f t="shared" si="366"/>
        <v>5673</v>
      </c>
      <c r="L4882">
        <v>1</v>
      </c>
      <c r="M4882" s="76">
        <v>0</v>
      </c>
      <c r="N4882" t="s">
        <v>32</v>
      </c>
      <c r="O4882" t="s">
        <v>33</v>
      </c>
      <c r="P4882" t="s">
        <v>34</v>
      </c>
      <c r="Q4882" t="s">
        <v>34</v>
      </c>
      <c r="R4882" t="s">
        <v>34</v>
      </c>
      <c r="S4882" t="s">
        <v>34</v>
      </c>
      <c r="T4882" s="117">
        <v>0</v>
      </c>
    </row>
    <row r="4883" spans="1:20" x14ac:dyDescent="0.35">
      <c r="A4883" t="s">
        <v>19</v>
      </c>
      <c r="B4883" t="s">
        <v>25</v>
      </c>
      <c r="C4883" s="1">
        <v>45910</v>
      </c>
      <c r="D4883">
        <f t="shared" si="363"/>
        <v>10</v>
      </c>
      <c r="E4883">
        <f t="shared" si="364"/>
        <v>9</v>
      </c>
      <c r="F4883">
        <f t="shared" si="365"/>
        <v>2025</v>
      </c>
      <c r="G4883" s="4" t="s">
        <v>37</v>
      </c>
      <c r="H4883" s="139">
        <v>13069</v>
      </c>
      <c r="I4883" s="183">
        <v>1785</v>
      </c>
      <c r="J4883" s="139" t="s">
        <v>31</v>
      </c>
      <c r="K4883" s="76">
        <f t="shared" si="366"/>
        <v>1785</v>
      </c>
      <c r="L4883">
        <v>1</v>
      </c>
      <c r="M4883" s="76">
        <v>0</v>
      </c>
      <c r="N4883" t="s">
        <v>32</v>
      </c>
      <c r="O4883" t="s">
        <v>33</v>
      </c>
      <c r="P4883" t="s">
        <v>34</v>
      </c>
      <c r="Q4883" t="s">
        <v>34</v>
      </c>
      <c r="R4883" t="s">
        <v>34</v>
      </c>
      <c r="S4883" t="s">
        <v>34</v>
      </c>
      <c r="T4883" s="117">
        <v>0</v>
      </c>
    </row>
    <row r="4884" spans="1:20" x14ac:dyDescent="0.35">
      <c r="A4884" t="s">
        <v>19</v>
      </c>
      <c r="B4884" t="s">
        <v>24</v>
      </c>
      <c r="C4884" s="1">
        <v>45910</v>
      </c>
      <c r="D4884">
        <f t="shared" si="363"/>
        <v>10</v>
      </c>
      <c r="E4884">
        <f t="shared" si="364"/>
        <v>9</v>
      </c>
      <c r="F4884">
        <f t="shared" si="365"/>
        <v>2025</v>
      </c>
      <c r="G4884" s="4" t="s">
        <v>37</v>
      </c>
      <c r="H4884" s="139">
        <v>13069</v>
      </c>
      <c r="I4884" s="183">
        <v>15587</v>
      </c>
      <c r="J4884" s="139" t="s">
        <v>31</v>
      </c>
      <c r="K4884" s="76">
        <f t="shared" si="366"/>
        <v>15587</v>
      </c>
      <c r="L4884">
        <v>1</v>
      </c>
      <c r="M4884" s="76">
        <v>0</v>
      </c>
      <c r="N4884" t="s">
        <v>32</v>
      </c>
      <c r="O4884" t="s">
        <v>33</v>
      </c>
      <c r="P4884" t="s">
        <v>34</v>
      </c>
      <c r="Q4884" t="s">
        <v>34</v>
      </c>
      <c r="R4884" t="s">
        <v>34</v>
      </c>
      <c r="S4884" t="s">
        <v>34</v>
      </c>
      <c r="T4884" s="117">
        <v>0</v>
      </c>
    </row>
    <row r="4885" spans="1:20" x14ac:dyDescent="0.35">
      <c r="A4885" t="s">
        <v>20</v>
      </c>
      <c r="B4885" t="s">
        <v>21</v>
      </c>
      <c r="C4885" s="1">
        <v>45910</v>
      </c>
      <c r="D4885">
        <f t="shared" si="363"/>
        <v>10</v>
      </c>
      <c r="E4885">
        <f t="shared" si="364"/>
        <v>9</v>
      </c>
      <c r="F4885">
        <f t="shared" si="365"/>
        <v>2025</v>
      </c>
      <c r="G4885" t="s">
        <v>50</v>
      </c>
      <c r="H4885" s="121">
        <v>12691</v>
      </c>
      <c r="I4885" s="76">
        <v>15568.2</v>
      </c>
      <c r="J4885" s="12" t="s">
        <v>31</v>
      </c>
      <c r="K4885" s="76">
        <f t="shared" si="366"/>
        <v>15568.2</v>
      </c>
      <c r="L4885">
        <v>1</v>
      </c>
      <c r="M4885" s="76">
        <v>0</v>
      </c>
      <c r="N4885" t="s">
        <v>32</v>
      </c>
      <c r="O4885" t="s">
        <v>33</v>
      </c>
      <c r="P4885" t="s">
        <v>34</v>
      </c>
      <c r="Q4885" t="s">
        <v>34</v>
      </c>
      <c r="R4885" t="s">
        <v>34</v>
      </c>
      <c r="S4885" t="s">
        <v>34</v>
      </c>
      <c r="T4885" s="117">
        <v>0</v>
      </c>
    </row>
    <row r="4886" spans="1:20" x14ac:dyDescent="0.35">
      <c r="A4886" t="s">
        <v>20</v>
      </c>
      <c r="B4886" t="s">
        <v>21</v>
      </c>
      <c r="C4886" s="1">
        <v>45910</v>
      </c>
      <c r="D4886">
        <f t="shared" si="363"/>
        <v>10</v>
      </c>
      <c r="E4886">
        <f t="shared" si="364"/>
        <v>9</v>
      </c>
      <c r="F4886">
        <f t="shared" si="365"/>
        <v>2025</v>
      </c>
      <c r="G4886" t="s">
        <v>118</v>
      </c>
      <c r="H4886" s="121">
        <v>13371</v>
      </c>
      <c r="I4886" s="76">
        <v>6727.29</v>
      </c>
      <c r="J4886" s="12" t="s">
        <v>31</v>
      </c>
      <c r="K4886" s="76">
        <f t="shared" si="366"/>
        <v>6727.29</v>
      </c>
      <c r="L4886">
        <v>1</v>
      </c>
      <c r="M4886" s="76">
        <v>0</v>
      </c>
      <c r="N4886" t="s">
        <v>32</v>
      </c>
      <c r="O4886" t="s">
        <v>33</v>
      </c>
      <c r="P4886" t="s">
        <v>34</v>
      </c>
      <c r="Q4886" t="s">
        <v>34</v>
      </c>
      <c r="R4886" t="s">
        <v>34</v>
      </c>
      <c r="S4886" t="s">
        <v>34</v>
      </c>
      <c r="T4886" s="117">
        <v>0</v>
      </c>
    </row>
    <row r="4887" spans="1:20" x14ac:dyDescent="0.35">
      <c r="A4887" t="s">
        <v>20</v>
      </c>
      <c r="B4887" t="s">
        <v>24</v>
      </c>
      <c r="C4887" s="1">
        <v>45910</v>
      </c>
      <c r="D4887">
        <f t="shared" si="363"/>
        <v>10</v>
      </c>
      <c r="E4887">
        <f t="shared" si="364"/>
        <v>9</v>
      </c>
      <c r="F4887">
        <f t="shared" si="365"/>
        <v>2025</v>
      </c>
      <c r="G4887" t="s">
        <v>118</v>
      </c>
      <c r="H4887" s="121">
        <v>13371</v>
      </c>
      <c r="I4887" s="76">
        <v>5904.1</v>
      </c>
      <c r="J4887" s="12" t="s">
        <v>31</v>
      </c>
      <c r="K4887" s="76">
        <f t="shared" si="366"/>
        <v>5904.1</v>
      </c>
      <c r="L4887">
        <v>1</v>
      </c>
      <c r="M4887" s="76">
        <v>0</v>
      </c>
      <c r="N4887" t="s">
        <v>32</v>
      </c>
      <c r="O4887" t="s">
        <v>33</v>
      </c>
      <c r="P4887" t="s">
        <v>34</v>
      </c>
      <c r="Q4887" t="s">
        <v>34</v>
      </c>
      <c r="R4887" t="s">
        <v>34</v>
      </c>
      <c r="S4887" t="s">
        <v>34</v>
      </c>
      <c r="T4887" s="117">
        <v>0</v>
      </c>
    </row>
    <row r="4888" spans="1:20" x14ac:dyDescent="0.35">
      <c r="A4888" t="s">
        <v>20</v>
      </c>
      <c r="B4888" t="s">
        <v>25</v>
      </c>
      <c r="C4888" s="1">
        <v>45910</v>
      </c>
      <c r="D4888">
        <f t="shared" si="363"/>
        <v>10</v>
      </c>
      <c r="E4888">
        <f t="shared" si="364"/>
        <v>9</v>
      </c>
      <c r="F4888">
        <f t="shared" si="365"/>
        <v>2025</v>
      </c>
      <c r="G4888" t="s">
        <v>118</v>
      </c>
      <c r="H4888" s="121">
        <v>13371</v>
      </c>
      <c r="I4888" s="76">
        <v>4144.6000000000004</v>
      </c>
      <c r="J4888" s="12" t="s">
        <v>31</v>
      </c>
      <c r="K4888" s="76">
        <f t="shared" si="366"/>
        <v>4144.6000000000004</v>
      </c>
      <c r="L4888">
        <v>1</v>
      </c>
      <c r="M4888" s="76">
        <v>0</v>
      </c>
      <c r="N4888" t="s">
        <v>32</v>
      </c>
      <c r="O4888" t="s">
        <v>33</v>
      </c>
      <c r="P4888" t="s">
        <v>34</v>
      </c>
      <c r="Q4888" t="s">
        <v>34</v>
      </c>
      <c r="R4888" t="s">
        <v>34</v>
      </c>
      <c r="S4888" t="s">
        <v>34</v>
      </c>
      <c r="T4888" s="117">
        <v>0</v>
      </c>
    </row>
    <row r="4889" spans="1:20" x14ac:dyDescent="0.35">
      <c r="A4889" t="s">
        <v>20</v>
      </c>
      <c r="B4889" t="s">
        <v>23</v>
      </c>
      <c r="C4889" s="1">
        <v>45910</v>
      </c>
      <c r="D4889">
        <f t="shared" si="363"/>
        <v>10</v>
      </c>
      <c r="E4889">
        <f t="shared" si="364"/>
        <v>9</v>
      </c>
      <c r="F4889">
        <f t="shared" si="365"/>
        <v>2025</v>
      </c>
      <c r="G4889" t="s">
        <v>118</v>
      </c>
      <c r="H4889" s="121">
        <v>13694</v>
      </c>
      <c r="I4889" s="76">
        <v>26.5</v>
      </c>
      <c r="J4889" s="12" t="s">
        <v>31</v>
      </c>
      <c r="K4889" s="76">
        <f t="shared" si="366"/>
        <v>26.5</v>
      </c>
      <c r="L4889">
        <v>1</v>
      </c>
      <c r="M4889" s="76">
        <v>0</v>
      </c>
      <c r="N4889" t="s">
        <v>42</v>
      </c>
      <c r="O4889" t="s">
        <v>33</v>
      </c>
      <c r="P4889" t="s">
        <v>34</v>
      </c>
      <c r="Q4889" t="s">
        <v>34</v>
      </c>
      <c r="R4889" t="s">
        <v>34</v>
      </c>
      <c r="S4889" t="s">
        <v>34</v>
      </c>
      <c r="T4889" s="117">
        <v>0</v>
      </c>
    </row>
    <row r="4890" spans="1:20" x14ac:dyDescent="0.35">
      <c r="A4890" t="s">
        <v>20</v>
      </c>
      <c r="B4890" t="s">
        <v>23</v>
      </c>
      <c r="C4890" s="1">
        <v>45910</v>
      </c>
      <c r="D4890">
        <f t="shared" si="363"/>
        <v>10</v>
      </c>
      <c r="E4890">
        <f t="shared" si="364"/>
        <v>9</v>
      </c>
      <c r="F4890">
        <f t="shared" si="365"/>
        <v>2025</v>
      </c>
      <c r="G4890" t="s">
        <v>118</v>
      </c>
      <c r="H4890" s="121">
        <v>13695</v>
      </c>
      <c r="I4890" s="76">
        <v>583</v>
      </c>
      <c r="J4890" s="12" t="s">
        <v>31</v>
      </c>
      <c r="K4890" s="76">
        <f t="shared" si="366"/>
        <v>583</v>
      </c>
      <c r="L4890">
        <v>1</v>
      </c>
      <c r="M4890" s="76">
        <v>0</v>
      </c>
      <c r="N4890" t="s">
        <v>42</v>
      </c>
      <c r="O4890" t="s">
        <v>33</v>
      </c>
      <c r="P4890" t="s">
        <v>34</v>
      </c>
      <c r="Q4890" t="s">
        <v>34</v>
      </c>
      <c r="R4890" t="s">
        <v>34</v>
      </c>
      <c r="S4890" t="s">
        <v>34</v>
      </c>
      <c r="T4890" s="117">
        <v>0</v>
      </c>
    </row>
    <row r="4891" spans="1:20" x14ac:dyDescent="0.35">
      <c r="A4891" t="s">
        <v>20</v>
      </c>
      <c r="B4891" t="s">
        <v>23</v>
      </c>
      <c r="C4891" s="1">
        <v>45910</v>
      </c>
      <c r="D4891">
        <f t="shared" si="363"/>
        <v>10</v>
      </c>
      <c r="E4891">
        <f t="shared" si="364"/>
        <v>9</v>
      </c>
      <c r="F4891">
        <f t="shared" si="365"/>
        <v>2025</v>
      </c>
      <c r="G4891" t="s">
        <v>265</v>
      </c>
      <c r="H4891" s="121">
        <v>13003</v>
      </c>
      <c r="I4891" s="76">
        <v>10835.09</v>
      </c>
      <c r="J4891" s="12" t="s">
        <v>31</v>
      </c>
      <c r="K4891" s="76">
        <f t="shared" si="366"/>
        <v>10835.09</v>
      </c>
      <c r="L4891">
        <v>1</v>
      </c>
      <c r="M4891" s="76">
        <v>0</v>
      </c>
      <c r="N4891" t="s">
        <v>32</v>
      </c>
      <c r="O4891" t="s">
        <v>33</v>
      </c>
      <c r="P4891" t="s">
        <v>34</v>
      </c>
      <c r="Q4891" t="s">
        <v>34</v>
      </c>
      <c r="R4891" t="s">
        <v>34</v>
      </c>
      <c r="S4891" t="s">
        <v>34</v>
      </c>
      <c r="T4891" s="117">
        <v>0</v>
      </c>
    </row>
    <row r="4892" spans="1:20" x14ac:dyDescent="0.35">
      <c r="A4892" t="s">
        <v>20</v>
      </c>
      <c r="B4892" t="s">
        <v>23</v>
      </c>
      <c r="C4892" s="1">
        <v>45910</v>
      </c>
      <c r="D4892">
        <f t="shared" si="363"/>
        <v>10</v>
      </c>
      <c r="E4892">
        <f t="shared" si="364"/>
        <v>9</v>
      </c>
      <c r="F4892">
        <f t="shared" si="365"/>
        <v>2025</v>
      </c>
      <c r="G4892" t="s">
        <v>265</v>
      </c>
      <c r="H4892" s="98">
        <v>13498</v>
      </c>
      <c r="I4892" s="76">
        <v>100.5</v>
      </c>
      <c r="J4892" s="12" t="s">
        <v>31</v>
      </c>
      <c r="K4892" s="76">
        <f t="shared" si="366"/>
        <v>100.5</v>
      </c>
      <c r="L4892">
        <v>1</v>
      </c>
      <c r="M4892" s="76">
        <v>0</v>
      </c>
      <c r="N4892" t="s">
        <v>42</v>
      </c>
      <c r="O4892" t="s">
        <v>33</v>
      </c>
      <c r="P4892" t="s">
        <v>34</v>
      </c>
      <c r="Q4892" t="s">
        <v>34</v>
      </c>
      <c r="R4892" t="s">
        <v>34</v>
      </c>
      <c r="S4892" t="s">
        <v>34</v>
      </c>
      <c r="T4892" s="117">
        <v>0</v>
      </c>
    </row>
    <row r="4893" spans="1:20" x14ac:dyDescent="0.35">
      <c r="A4893" t="s">
        <v>20</v>
      </c>
      <c r="B4893" t="s">
        <v>23</v>
      </c>
      <c r="C4893" s="1">
        <v>45910</v>
      </c>
      <c r="D4893">
        <f t="shared" si="363"/>
        <v>10</v>
      </c>
      <c r="E4893">
        <f t="shared" si="364"/>
        <v>9</v>
      </c>
      <c r="F4893">
        <f t="shared" si="365"/>
        <v>2025</v>
      </c>
      <c r="G4893" t="s">
        <v>265</v>
      </c>
      <c r="H4893" s="98">
        <v>13498</v>
      </c>
      <c r="I4893" s="76">
        <v>2345</v>
      </c>
      <c r="J4893" s="12" t="s">
        <v>31</v>
      </c>
      <c r="K4893" s="76">
        <f t="shared" si="366"/>
        <v>2345</v>
      </c>
      <c r="L4893">
        <v>1</v>
      </c>
      <c r="M4893" s="76">
        <v>0</v>
      </c>
      <c r="N4893" t="s">
        <v>42</v>
      </c>
      <c r="O4893" t="s">
        <v>33</v>
      </c>
      <c r="P4893" t="s">
        <v>34</v>
      </c>
      <c r="Q4893" t="s">
        <v>34</v>
      </c>
      <c r="R4893" t="s">
        <v>34</v>
      </c>
      <c r="S4893" t="s">
        <v>34</v>
      </c>
      <c r="T4893" s="117">
        <v>0</v>
      </c>
    </row>
    <row r="4894" spans="1:20" x14ac:dyDescent="0.35">
      <c r="A4894" t="s">
        <v>20</v>
      </c>
      <c r="B4894" t="s">
        <v>25</v>
      </c>
      <c r="C4894" s="1">
        <v>45910</v>
      </c>
      <c r="D4894">
        <f t="shared" si="363"/>
        <v>10</v>
      </c>
      <c r="E4894">
        <f t="shared" si="364"/>
        <v>9</v>
      </c>
      <c r="F4894">
        <f t="shared" si="365"/>
        <v>2025</v>
      </c>
      <c r="G4894" t="s">
        <v>1327</v>
      </c>
      <c r="H4894" s="121">
        <v>12988</v>
      </c>
      <c r="I4894" s="76">
        <v>25978.55</v>
      </c>
      <c r="J4894" s="12" t="s">
        <v>31</v>
      </c>
      <c r="K4894" s="76">
        <f t="shared" si="366"/>
        <v>25978.55</v>
      </c>
      <c r="L4894">
        <v>1</v>
      </c>
      <c r="M4894" s="76">
        <v>0</v>
      </c>
      <c r="N4894" t="s">
        <v>32</v>
      </c>
      <c r="O4894" t="s">
        <v>33</v>
      </c>
      <c r="P4894" t="s">
        <v>34</v>
      </c>
      <c r="Q4894" t="s">
        <v>34</v>
      </c>
      <c r="R4894" t="s">
        <v>34</v>
      </c>
      <c r="S4894" t="s">
        <v>34</v>
      </c>
      <c r="T4894" s="117">
        <v>0</v>
      </c>
    </row>
    <row r="4895" spans="1:20" x14ac:dyDescent="0.35">
      <c r="A4895" t="s">
        <v>20</v>
      </c>
      <c r="B4895" t="s">
        <v>21</v>
      </c>
      <c r="C4895" s="1">
        <v>45910</v>
      </c>
      <c r="D4895">
        <f t="shared" si="363"/>
        <v>10</v>
      </c>
      <c r="E4895">
        <f t="shared" si="364"/>
        <v>9</v>
      </c>
      <c r="F4895">
        <f t="shared" si="365"/>
        <v>2025</v>
      </c>
      <c r="G4895" t="s">
        <v>1327</v>
      </c>
      <c r="H4895" s="121">
        <v>12988</v>
      </c>
      <c r="I4895" s="76">
        <v>35560.54</v>
      </c>
      <c r="J4895" s="12" t="s">
        <v>31</v>
      </c>
      <c r="K4895" s="76">
        <f t="shared" si="366"/>
        <v>35560.54</v>
      </c>
      <c r="L4895">
        <v>1</v>
      </c>
      <c r="M4895" s="76">
        <v>0</v>
      </c>
      <c r="N4895" t="s">
        <v>32</v>
      </c>
      <c r="O4895" t="s">
        <v>33</v>
      </c>
      <c r="P4895" t="s">
        <v>34</v>
      </c>
      <c r="Q4895" t="s">
        <v>34</v>
      </c>
      <c r="R4895" t="s">
        <v>34</v>
      </c>
      <c r="S4895" t="s">
        <v>34</v>
      </c>
      <c r="T4895" s="117">
        <v>0</v>
      </c>
    </row>
    <row r="4896" spans="1:20" x14ac:dyDescent="0.35">
      <c r="A4896" t="s">
        <v>20</v>
      </c>
      <c r="B4896" t="s">
        <v>23</v>
      </c>
      <c r="C4896" s="1">
        <v>45910</v>
      </c>
      <c r="D4896">
        <f t="shared" si="363"/>
        <v>10</v>
      </c>
      <c r="E4896">
        <f t="shared" si="364"/>
        <v>9</v>
      </c>
      <c r="F4896">
        <f t="shared" si="365"/>
        <v>2025</v>
      </c>
      <c r="G4896" t="s">
        <v>1327</v>
      </c>
      <c r="H4896" s="121">
        <v>13077</v>
      </c>
      <c r="I4896" s="76">
        <v>62.8</v>
      </c>
      <c r="J4896" s="12" t="s">
        <v>31</v>
      </c>
      <c r="K4896" s="76">
        <f t="shared" si="366"/>
        <v>62.8</v>
      </c>
      <c r="L4896">
        <v>1</v>
      </c>
      <c r="M4896" s="76">
        <v>0</v>
      </c>
      <c r="N4896" t="s">
        <v>32</v>
      </c>
      <c r="O4896" t="s">
        <v>33</v>
      </c>
      <c r="P4896" t="s">
        <v>34</v>
      </c>
      <c r="Q4896" t="s">
        <v>34</v>
      </c>
      <c r="R4896" t="s">
        <v>34</v>
      </c>
      <c r="S4896" t="s">
        <v>34</v>
      </c>
      <c r="T4896" s="117">
        <v>0</v>
      </c>
    </row>
    <row r="4897" spans="1:21" x14ac:dyDescent="0.35">
      <c r="A4897" t="s">
        <v>20</v>
      </c>
      <c r="B4897" t="s">
        <v>21</v>
      </c>
      <c r="C4897" s="1">
        <v>45910</v>
      </c>
      <c r="D4897">
        <f t="shared" si="363"/>
        <v>10</v>
      </c>
      <c r="E4897">
        <f t="shared" si="364"/>
        <v>9</v>
      </c>
      <c r="F4897">
        <f t="shared" si="365"/>
        <v>2025</v>
      </c>
      <c r="G4897" t="s">
        <v>1327</v>
      </c>
      <c r="H4897" s="121">
        <v>13118</v>
      </c>
      <c r="I4897" s="76">
        <v>155.19999999999999</v>
      </c>
      <c r="J4897" s="12" t="s">
        <v>31</v>
      </c>
      <c r="K4897" s="76">
        <f t="shared" si="366"/>
        <v>155.19999999999999</v>
      </c>
      <c r="L4897">
        <v>1</v>
      </c>
      <c r="M4897" s="76">
        <v>0</v>
      </c>
      <c r="N4897" t="s">
        <v>42</v>
      </c>
      <c r="O4897" t="s">
        <v>33</v>
      </c>
      <c r="P4897" t="s">
        <v>34</v>
      </c>
      <c r="Q4897" t="s">
        <v>34</v>
      </c>
      <c r="R4897" t="s">
        <v>34</v>
      </c>
      <c r="S4897" t="s">
        <v>34</v>
      </c>
      <c r="T4897" s="117">
        <v>0</v>
      </c>
    </row>
    <row r="4898" spans="1:21" x14ac:dyDescent="0.35">
      <c r="A4898" t="s">
        <v>20</v>
      </c>
      <c r="B4898" t="s">
        <v>21</v>
      </c>
      <c r="C4898" s="1">
        <v>45910</v>
      </c>
      <c r="D4898">
        <f t="shared" ref="D4898:D4961" si="367">DAY(C4898)</f>
        <v>10</v>
      </c>
      <c r="E4898">
        <f t="shared" ref="E4898:E4961" si="368">MONTH(C4898)</f>
        <v>9</v>
      </c>
      <c r="F4898">
        <f t="shared" ref="F4898:F4961" si="369">YEAR(C4898)</f>
        <v>2025</v>
      </c>
      <c r="G4898" t="s">
        <v>1327</v>
      </c>
      <c r="H4898" s="121">
        <v>13213</v>
      </c>
      <c r="I4898" s="76">
        <v>260.14999999999998</v>
      </c>
      <c r="J4898" s="12" t="s">
        <v>31</v>
      </c>
      <c r="K4898" s="76">
        <f t="shared" si="366"/>
        <v>260.14999999999998</v>
      </c>
      <c r="L4898">
        <v>1</v>
      </c>
      <c r="M4898" s="76">
        <v>0</v>
      </c>
      <c r="N4898" t="s">
        <v>32</v>
      </c>
      <c r="O4898" t="s">
        <v>33</v>
      </c>
      <c r="P4898" t="s">
        <v>34</v>
      </c>
      <c r="Q4898" t="s">
        <v>34</v>
      </c>
      <c r="R4898" t="s">
        <v>34</v>
      </c>
      <c r="S4898" t="s">
        <v>34</v>
      </c>
      <c r="T4898" s="117">
        <v>0</v>
      </c>
    </row>
    <row r="4899" spans="1:21" x14ac:dyDescent="0.35">
      <c r="A4899" t="s">
        <v>20</v>
      </c>
      <c r="B4899" t="s">
        <v>23</v>
      </c>
      <c r="C4899" s="1">
        <v>45910</v>
      </c>
      <c r="D4899">
        <f t="shared" si="367"/>
        <v>10</v>
      </c>
      <c r="E4899">
        <f t="shared" si="368"/>
        <v>9</v>
      </c>
      <c r="F4899">
        <f t="shared" si="369"/>
        <v>2025</v>
      </c>
      <c r="G4899" t="s">
        <v>86</v>
      </c>
      <c r="H4899" s="121">
        <v>12996</v>
      </c>
      <c r="I4899" s="76">
        <v>86</v>
      </c>
      <c r="J4899" s="12" t="s">
        <v>31</v>
      </c>
      <c r="K4899" s="76">
        <f t="shared" si="366"/>
        <v>86</v>
      </c>
      <c r="L4899">
        <v>1</v>
      </c>
      <c r="M4899" s="76">
        <v>0</v>
      </c>
      <c r="N4899" t="s">
        <v>42</v>
      </c>
      <c r="O4899" t="s">
        <v>33</v>
      </c>
      <c r="P4899" t="s">
        <v>34</v>
      </c>
      <c r="Q4899" t="s">
        <v>34</v>
      </c>
      <c r="R4899" t="s">
        <v>34</v>
      </c>
      <c r="S4899" t="s">
        <v>34</v>
      </c>
      <c r="T4899" s="117">
        <v>0</v>
      </c>
    </row>
    <row r="4900" spans="1:21" x14ac:dyDescent="0.35">
      <c r="A4900" t="s">
        <v>20</v>
      </c>
      <c r="B4900" t="s">
        <v>23</v>
      </c>
      <c r="C4900" s="1">
        <v>45910</v>
      </c>
      <c r="D4900">
        <f t="shared" si="367"/>
        <v>10</v>
      </c>
      <c r="E4900">
        <f t="shared" si="368"/>
        <v>9</v>
      </c>
      <c r="F4900">
        <f t="shared" si="369"/>
        <v>2025</v>
      </c>
      <c r="G4900" t="s">
        <v>86</v>
      </c>
      <c r="H4900" s="121">
        <v>13329</v>
      </c>
      <c r="I4900" s="76">
        <v>51.6</v>
      </c>
      <c r="J4900" s="12" t="s">
        <v>31</v>
      </c>
      <c r="K4900" s="76">
        <f t="shared" si="366"/>
        <v>51.6</v>
      </c>
      <c r="L4900">
        <v>1</v>
      </c>
      <c r="M4900" s="76">
        <v>0</v>
      </c>
      <c r="N4900" t="s">
        <v>42</v>
      </c>
      <c r="O4900" t="s">
        <v>33</v>
      </c>
      <c r="P4900" t="s">
        <v>34</v>
      </c>
      <c r="Q4900" t="s">
        <v>34</v>
      </c>
      <c r="R4900" t="s">
        <v>34</v>
      </c>
      <c r="S4900" t="s">
        <v>34</v>
      </c>
      <c r="T4900" s="117">
        <v>0</v>
      </c>
    </row>
    <row r="4901" spans="1:21" x14ac:dyDescent="0.35">
      <c r="A4901" t="s">
        <v>20</v>
      </c>
      <c r="B4901" t="s">
        <v>23</v>
      </c>
      <c r="C4901" s="1">
        <v>45910</v>
      </c>
      <c r="D4901">
        <f t="shared" si="367"/>
        <v>10</v>
      </c>
      <c r="E4901">
        <f t="shared" si="368"/>
        <v>9</v>
      </c>
      <c r="F4901">
        <f t="shared" si="369"/>
        <v>2025</v>
      </c>
      <c r="G4901" t="s">
        <v>86</v>
      </c>
      <c r="H4901" s="121">
        <v>12998</v>
      </c>
      <c r="I4901" s="76">
        <v>11090.04</v>
      </c>
      <c r="J4901" s="12" t="s">
        <v>31</v>
      </c>
      <c r="K4901" s="76">
        <f t="shared" si="366"/>
        <v>11090.04</v>
      </c>
      <c r="L4901">
        <v>1</v>
      </c>
      <c r="M4901" s="76">
        <v>0</v>
      </c>
      <c r="N4901" t="s">
        <v>32</v>
      </c>
      <c r="O4901" t="s">
        <v>33</v>
      </c>
      <c r="P4901" t="s">
        <v>34</v>
      </c>
      <c r="Q4901" t="s">
        <v>34</v>
      </c>
      <c r="R4901" t="s">
        <v>34</v>
      </c>
      <c r="S4901" t="s">
        <v>34</v>
      </c>
      <c r="T4901" s="117">
        <v>0</v>
      </c>
    </row>
    <row r="4902" spans="1:21" x14ac:dyDescent="0.35">
      <c r="A4902" t="s">
        <v>20</v>
      </c>
      <c r="B4902" t="s">
        <v>25</v>
      </c>
      <c r="C4902" s="1">
        <v>45910</v>
      </c>
      <c r="D4902">
        <f t="shared" si="367"/>
        <v>10</v>
      </c>
      <c r="E4902">
        <f t="shared" si="368"/>
        <v>9</v>
      </c>
      <c r="F4902">
        <f t="shared" si="369"/>
        <v>2025</v>
      </c>
      <c r="G4902" t="s">
        <v>91</v>
      </c>
      <c r="H4902" s="121">
        <v>12739</v>
      </c>
      <c r="I4902" s="76">
        <v>26527.439999999999</v>
      </c>
      <c r="J4902" s="12" t="s">
        <v>31</v>
      </c>
      <c r="K4902" s="76">
        <f t="shared" si="366"/>
        <v>26527.439999999999</v>
      </c>
      <c r="L4902">
        <v>1</v>
      </c>
      <c r="M4902" s="76">
        <v>0</v>
      </c>
      <c r="N4902" t="s">
        <v>32</v>
      </c>
      <c r="O4902" t="s">
        <v>33</v>
      </c>
      <c r="P4902" t="s">
        <v>34</v>
      </c>
      <c r="Q4902" t="s">
        <v>34</v>
      </c>
      <c r="R4902" t="s">
        <v>34</v>
      </c>
      <c r="S4902" t="s">
        <v>34</v>
      </c>
      <c r="T4902" s="117">
        <v>0</v>
      </c>
    </row>
    <row r="4903" spans="1:21" x14ac:dyDescent="0.35">
      <c r="A4903" t="s">
        <v>20</v>
      </c>
      <c r="B4903" t="s">
        <v>23</v>
      </c>
      <c r="C4903" s="1">
        <v>45910</v>
      </c>
      <c r="D4903">
        <f t="shared" si="367"/>
        <v>10</v>
      </c>
      <c r="E4903">
        <f t="shared" si="368"/>
        <v>9</v>
      </c>
      <c r="F4903">
        <f t="shared" si="369"/>
        <v>2025</v>
      </c>
      <c r="G4903" t="s">
        <v>91</v>
      </c>
      <c r="H4903" s="121">
        <v>12739</v>
      </c>
      <c r="I4903" s="76">
        <v>17638.13</v>
      </c>
      <c r="J4903" s="12" t="s">
        <v>31</v>
      </c>
      <c r="K4903" s="76">
        <f t="shared" si="366"/>
        <v>17638.13</v>
      </c>
      <c r="L4903">
        <v>1</v>
      </c>
      <c r="M4903" s="76">
        <v>0</v>
      </c>
      <c r="N4903" t="s">
        <v>32</v>
      </c>
      <c r="O4903" t="s">
        <v>33</v>
      </c>
      <c r="P4903" t="s">
        <v>34</v>
      </c>
      <c r="Q4903" t="s">
        <v>34</v>
      </c>
      <c r="R4903" t="s">
        <v>34</v>
      </c>
      <c r="S4903" t="s">
        <v>34</v>
      </c>
      <c r="T4903" s="117">
        <v>0</v>
      </c>
    </row>
    <row r="4904" spans="1:21" x14ac:dyDescent="0.35">
      <c r="A4904" t="s">
        <v>20</v>
      </c>
      <c r="B4904" t="s">
        <v>23</v>
      </c>
      <c r="C4904" s="1">
        <v>45910</v>
      </c>
      <c r="D4904">
        <f t="shared" si="367"/>
        <v>10</v>
      </c>
      <c r="E4904">
        <f t="shared" si="368"/>
        <v>9</v>
      </c>
      <c r="F4904">
        <f t="shared" si="369"/>
        <v>2025</v>
      </c>
      <c r="G4904" t="s">
        <v>91</v>
      </c>
      <c r="H4904" s="121">
        <v>13122</v>
      </c>
      <c r="I4904" s="76">
        <v>91.7</v>
      </c>
      <c r="J4904" s="12" t="s">
        <v>31</v>
      </c>
      <c r="K4904" s="76">
        <f t="shared" si="366"/>
        <v>91.7</v>
      </c>
      <c r="L4904">
        <v>1</v>
      </c>
      <c r="M4904" s="76">
        <v>0</v>
      </c>
      <c r="N4904" t="s">
        <v>42</v>
      </c>
      <c r="O4904" t="s">
        <v>33</v>
      </c>
      <c r="P4904" t="s">
        <v>34</v>
      </c>
      <c r="Q4904" t="s">
        <v>34</v>
      </c>
      <c r="R4904" t="s">
        <v>34</v>
      </c>
      <c r="S4904" t="s">
        <v>34</v>
      </c>
      <c r="T4904" s="117">
        <v>0</v>
      </c>
    </row>
    <row r="4905" spans="1:21" x14ac:dyDescent="0.35">
      <c r="A4905" t="s">
        <v>20</v>
      </c>
      <c r="B4905" t="s">
        <v>23</v>
      </c>
      <c r="C4905" s="1">
        <v>45910</v>
      </c>
      <c r="D4905">
        <f t="shared" si="367"/>
        <v>10</v>
      </c>
      <c r="E4905">
        <f t="shared" si="368"/>
        <v>9</v>
      </c>
      <c r="F4905">
        <f t="shared" si="369"/>
        <v>2025</v>
      </c>
      <c r="G4905" t="s">
        <v>1109</v>
      </c>
      <c r="H4905" s="121">
        <v>13690</v>
      </c>
      <c r="I4905" s="76">
        <v>156.30000000000001</v>
      </c>
      <c r="J4905" s="12" t="s">
        <v>31</v>
      </c>
      <c r="K4905" s="76">
        <f t="shared" si="366"/>
        <v>156.30000000000001</v>
      </c>
      <c r="L4905">
        <v>1</v>
      </c>
      <c r="M4905" s="76">
        <v>0</v>
      </c>
      <c r="N4905" t="s">
        <v>42</v>
      </c>
      <c r="O4905" t="s">
        <v>33</v>
      </c>
      <c r="P4905" t="s">
        <v>34</v>
      </c>
      <c r="Q4905" t="s">
        <v>34</v>
      </c>
      <c r="R4905" t="s">
        <v>34</v>
      </c>
      <c r="S4905" t="s">
        <v>34</v>
      </c>
      <c r="T4905" s="117">
        <v>0</v>
      </c>
    </row>
    <row r="4906" spans="1:21" x14ac:dyDescent="0.35">
      <c r="A4906" t="s">
        <v>20</v>
      </c>
      <c r="B4906" t="s">
        <v>23</v>
      </c>
      <c r="C4906" s="1">
        <v>45910</v>
      </c>
      <c r="D4906">
        <f t="shared" si="367"/>
        <v>10</v>
      </c>
      <c r="E4906">
        <f t="shared" si="368"/>
        <v>9</v>
      </c>
      <c r="F4906">
        <f t="shared" si="369"/>
        <v>2025</v>
      </c>
      <c r="G4906" t="s">
        <v>1109</v>
      </c>
      <c r="H4906" s="121">
        <v>13496</v>
      </c>
      <c r="I4906" s="76">
        <v>2345</v>
      </c>
      <c r="J4906" s="12" t="s">
        <v>31</v>
      </c>
      <c r="K4906" s="76">
        <f>IF(J4906="USD",I4906,I4906*L4906)</f>
        <v>2345</v>
      </c>
      <c r="L4906">
        <v>1</v>
      </c>
      <c r="M4906" s="76">
        <v>0</v>
      </c>
      <c r="N4906" t="s">
        <v>42</v>
      </c>
      <c r="O4906" t="s">
        <v>33</v>
      </c>
      <c r="P4906" t="s">
        <v>34</v>
      </c>
      <c r="Q4906" t="s">
        <v>34</v>
      </c>
      <c r="R4906" t="s">
        <v>34</v>
      </c>
      <c r="S4906" t="s">
        <v>34</v>
      </c>
      <c r="T4906" s="117">
        <v>0</v>
      </c>
      <c r="U4906" s="209" t="s">
        <v>1470</v>
      </c>
    </row>
    <row r="4907" spans="1:21" x14ac:dyDescent="0.35">
      <c r="A4907" t="s">
        <v>20</v>
      </c>
      <c r="B4907" t="s">
        <v>23</v>
      </c>
      <c r="C4907" s="1">
        <v>45910</v>
      </c>
      <c r="D4907">
        <f t="shared" si="367"/>
        <v>10</v>
      </c>
      <c r="E4907">
        <f t="shared" si="368"/>
        <v>9</v>
      </c>
      <c r="F4907">
        <f t="shared" si="369"/>
        <v>2025</v>
      </c>
      <c r="G4907" t="s">
        <v>1109</v>
      </c>
      <c r="H4907" s="121">
        <v>13496</v>
      </c>
      <c r="I4907" s="76">
        <v>943.8</v>
      </c>
      <c r="J4907" s="12" t="s">
        <v>31</v>
      </c>
      <c r="K4907" s="76">
        <f>IF(J4907="USD",I4907,I4907*L4907)</f>
        <v>943.8</v>
      </c>
      <c r="L4907">
        <v>1</v>
      </c>
      <c r="M4907" s="76">
        <v>0</v>
      </c>
      <c r="N4907" t="s">
        <v>42</v>
      </c>
      <c r="O4907" t="s">
        <v>33</v>
      </c>
      <c r="P4907" t="s">
        <v>34</v>
      </c>
      <c r="Q4907" t="s">
        <v>34</v>
      </c>
      <c r="R4907" t="s">
        <v>34</v>
      </c>
      <c r="S4907" t="s">
        <v>34</v>
      </c>
      <c r="T4907" s="117">
        <v>0</v>
      </c>
      <c r="U4907" s="209" t="s">
        <v>1470</v>
      </c>
    </row>
    <row r="4908" spans="1:21" x14ac:dyDescent="0.35">
      <c r="A4908" t="s">
        <v>20</v>
      </c>
      <c r="B4908" t="s">
        <v>23</v>
      </c>
      <c r="C4908" s="1">
        <v>45910</v>
      </c>
      <c r="D4908">
        <f t="shared" si="367"/>
        <v>10</v>
      </c>
      <c r="E4908">
        <f t="shared" si="368"/>
        <v>9</v>
      </c>
      <c r="F4908">
        <f t="shared" si="369"/>
        <v>2025</v>
      </c>
      <c r="G4908" t="s">
        <v>1109</v>
      </c>
      <c r="H4908" s="121">
        <v>13496</v>
      </c>
      <c r="I4908" s="76">
        <v>1961</v>
      </c>
      <c r="J4908" s="12" t="s">
        <v>31</v>
      </c>
      <c r="K4908" s="76">
        <f t="shared" si="366"/>
        <v>1961</v>
      </c>
      <c r="L4908">
        <v>1</v>
      </c>
      <c r="M4908" s="76">
        <v>0</v>
      </c>
      <c r="N4908" t="s">
        <v>42</v>
      </c>
      <c r="O4908" t="s">
        <v>33</v>
      </c>
      <c r="P4908" t="s">
        <v>34</v>
      </c>
      <c r="Q4908" t="s">
        <v>34</v>
      </c>
      <c r="R4908" t="s">
        <v>34</v>
      </c>
      <c r="S4908" t="s">
        <v>34</v>
      </c>
      <c r="T4908" s="117">
        <v>0</v>
      </c>
      <c r="U4908" s="209" t="s">
        <v>1470</v>
      </c>
    </row>
    <row r="4909" spans="1:21" x14ac:dyDescent="0.35">
      <c r="A4909" t="s">
        <v>20</v>
      </c>
      <c r="B4909" t="s">
        <v>25</v>
      </c>
      <c r="C4909" s="1">
        <v>45910</v>
      </c>
      <c r="D4909">
        <f t="shared" si="367"/>
        <v>10</v>
      </c>
      <c r="E4909">
        <f t="shared" si="368"/>
        <v>9</v>
      </c>
      <c r="F4909">
        <f t="shared" si="369"/>
        <v>2025</v>
      </c>
      <c r="G4909" t="s">
        <v>211</v>
      </c>
      <c r="H4909" s="121">
        <v>13308</v>
      </c>
      <c r="I4909" s="76">
        <v>31599.45</v>
      </c>
      <c r="J4909" s="12" t="s">
        <v>31</v>
      </c>
      <c r="K4909" s="76">
        <f t="shared" si="366"/>
        <v>31599.45</v>
      </c>
      <c r="L4909">
        <v>1</v>
      </c>
      <c r="M4909" s="76">
        <v>0</v>
      </c>
      <c r="N4909" t="s">
        <v>32</v>
      </c>
      <c r="O4909" t="s">
        <v>33</v>
      </c>
      <c r="P4909" t="s">
        <v>34</v>
      </c>
      <c r="Q4909" t="s">
        <v>34</v>
      </c>
      <c r="R4909" t="s">
        <v>34</v>
      </c>
      <c r="S4909" t="s">
        <v>34</v>
      </c>
      <c r="T4909" s="117">
        <v>0</v>
      </c>
    </row>
    <row r="4910" spans="1:21" x14ac:dyDescent="0.35">
      <c r="A4910" t="s">
        <v>20</v>
      </c>
      <c r="B4910" t="s">
        <v>25</v>
      </c>
      <c r="C4910" s="1">
        <v>45910</v>
      </c>
      <c r="D4910">
        <f t="shared" si="367"/>
        <v>10</v>
      </c>
      <c r="E4910">
        <f t="shared" si="368"/>
        <v>9</v>
      </c>
      <c r="F4910">
        <f t="shared" si="369"/>
        <v>2025</v>
      </c>
      <c r="G4910" t="s">
        <v>97</v>
      </c>
      <c r="H4910" s="121">
        <v>13465</v>
      </c>
      <c r="I4910" s="76">
        <v>67</v>
      </c>
      <c r="J4910" s="12" t="s">
        <v>31</v>
      </c>
      <c r="K4910" s="76">
        <f t="shared" si="366"/>
        <v>67</v>
      </c>
      <c r="L4910">
        <v>1</v>
      </c>
      <c r="M4910" s="76">
        <v>0</v>
      </c>
      <c r="N4910" t="s">
        <v>32</v>
      </c>
      <c r="O4910" t="s">
        <v>33</v>
      </c>
      <c r="P4910" t="s">
        <v>34</v>
      </c>
      <c r="Q4910" t="s">
        <v>34</v>
      </c>
      <c r="R4910" t="s">
        <v>34</v>
      </c>
      <c r="S4910" t="s">
        <v>34</v>
      </c>
      <c r="T4910" s="117">
        <v>0</v>
      </c>
    </row>
    <row r="4911" spans="1:21" x14ac:dyDescent="0.35">
      <c r="A4911" t="s">
        <v>20</v>
      </c>
      <c r="B4911" t="s">
        <v>23</v>
      </c>
      <c r="C4911" s="1">
        <v>45910</v>
      </c>
      <c r="D4911">
        <f t="shared" si="367"/>
        <v>10</v>
      </c>
      <c r="E4911">
        <f t="shared" si="368"/>
        <v>9</v>
      </c>
      <c r="F4911">
        <f t="shared" si="369"/>
        <v>2025</v>
      </c>
      <c r="G4911" t="s">
        <v>97</v>
      </c>
      <c r="H4911" s="121">
        <v>13327</v>
      </c>
      <c r="I4911" s="76">
        <v>25115.628000000001</v>
      </c>
      <c r="J4911" s="12" t="s">
        <v>31</v>
      </c>
      <c r="K4911" s="76">
        <f t="shared" si="366"/>
        <v>25115.628000000001</v>
      </c>
      <c r="L4911">
        <v>1</v>
      </c>
      <c r="M4911" s="76">
        <v>0</v>
      </c>
      <c r="N4911" t="s">
        <v>32</v>
      </c>
      <c r="O4911" t="s">
        <v>33</v>
      </c>
      <c r="P4911" t="s">
        <v>34</v>
      </c>
      <c r="Q4911" t="s">
        <v>34</v>
      </c>
      <c r="R4911" t="s">
        <v>34</v>
      </c>
      <c r="S4911" t="s">
        <v>34</v>
      </c>
      <c r="T4911" s="117">
        <v>0</v>
      </c>
    </row>
    <row r="4912" spans="1:21" x14ac:dyDescent="0.35">
      <c r="A4912" t="s">
        <v>20</v>
      </c>
      <c r="B4912" t="s">
        <v>25</v>
      </c>
      <c r="C4912" s="1">
        <v>45910</v>
      </c>
      <c r="D4912">
        <f t="shared" si="367"/>
        <v>10</v>
      </c>
      <c r="E4912">
        <f t="shared" si="368"/>
        <v>9</v>
      </c>
      <c r="F4912">
        <f t="shared" si="369"/>
        <v>2025</v>
      </c>
      <c r="G4912" t="s">
        <v>97</v>
      </c>
      <c r="H4912" s="121">
        <v>13327</v>
      </c>
      <c r="I4912" s="76">
        <v>1502.2874999999999</v>
      </c>
      <c r="J4912" s="12" t="s">
        <v>31</v>
      </c>
      <c r="K4912" s="76">
        <f t="shared" si="366"/>
        <v>1502.2874999999999</v>
      </c>
      <c r="L4912">
        <v>1</v>
      </c>
      <c r="M4912" s="76">
        <v>0</v>
      </c>
      <c r="N4912" t="s">
        <v>32</v>
      </c>
      <c r="O4912" t="s">
        <v>33</v>
      </c>
      <c r="P4912" t="s">
        <v>34</v>
      </c>
      <c r="Q4912" t="s">
        <v>34</v>
      </c>
      <c r="R4912" t="s">
        <v>34</v>
      </c>
      <c r="S4912" t="s">
        <v>34</v>
      </c>
      <c r="T4912" s="117">
        <v>0</v>
      </c>
    </row>
    <row r="4913" spans="1:20" x14ac:dyDescent="0.35">
      <c r="A4913" t="s">
        <v>20</v>
      </c>
      <c r="B4913" t="s">
        <v>23</v>
      </c>
      <c r="C4913" s="1">
        <v>45910</v>
      </c>
      <c r="D4913">
        <f t="shared" si="367"/>
        <v>10</v>
      </c>
      <c r="E4913">
        <f t="shared" si="368"/>
        <v>9</v>
      </c>
      <c r="F4913">
        <f t="shared" si="369"/>
        <v>2025</v>
      </c>
      <c r="G4913" t="s">
        <v>108</v>
      </c>
      <c r="H4913" s="121">
        <v>13684</v>
      </c>
      <c r="I4913" s="76">
        <v>39</v>
      </c>
      <c r="J4913" s="12" t="s">
        <v>31</v>
      </c>
      <c r="K4913" s="76">
        <f t="shared" si="366"/>
        <v>39</v>
      </c>
      <c r="L4913">
        <v>1</v>
      </c>
      <c r="M4913" s="76">
        <v>0</v>
      </c>
      <c r="N4913" t="s">
        <v>42</v>
      </c>
      <c r="O4913" t="s">
        <v>33</v>
      </c>
      <c r="P4913" t="s">
        <v>34</v>
      </c>
      <c r="Q4913" t="s">
        <v>34</v>
      </c>
      <c r="R4913" t="s">
        <v>34</v>
      </c>
      <c r="S4913" t="s">
        <v>34</v>
      </c>
      <c r="T4913" s="117">
        <v>0</v>
      </c>
    </row>
    <row r="4914" spans="1:20" x14ac:dyDescent="0.35">
      <c r="A4914" t="s">
        <v>20</v>
      </c>
      <c r="B4914" t="s">
        <v>23</v>
      </c>
      <c r="C4914" s="1">
        <v>45910</v>
      </c>
      <c r="D4914">
        <f t="shared" si="367"/>
        <v>10</v>
      </c>
      <c r="E4914">
        <f t="shared" si="368"/>
        <v>9</v>
      </c>
      <c r="F4914">
        <f t="shared" si="369"/>
        <v>2025</v>
      </c>
      <c r="G4914" t="s">
        <v>108</v>
      </c>
      <c r="H4914" s="121">
        <v>13685</v>
      </c>
      <c r="I4914" s="76">
        <v>546</v>
      </c>
      <c r="J4914" s="12" t="s">
        <v>31</v>
      </c>
      <c r="K4914" s="76">
        <f t="shared" si="366"/>
        <v>546</v>
      </c>
      <c r="L4914">
        <v>1</v>
      </c>
      <c r="M4914" s="76">
        <v>0</v>
      </c>
      <c r="N4914" t="s">
        <v>42</v>
      </c>
      <c r="O4914" t="s">
        <v>33</v>
      </c>
      <c r="P4914" t="s">
        <v>34</v>
      </c>
      <c r="Q4914" t="s">
        <v>34</v>
      </c>
      <c r="R4914" t="s">
        <v>34</v>
      </c>
      <c r="S4914" t="s">
        <v>34</v>
      </c>
      <c r="T4914" s="117">
        <v>0</v>
      </c>
    </row>
    <row r="4915" spans="1:20" x14ac:dyDescent="0.35">
      <c r="A4915" t="s">
        <v>20</v>
      </c>
      <c r="B4915" t="s">
        <v>25</v>
      </c>
      <c r="C4915" s="1">
        <v>45910</v>
      </c>
      <c r="D4915">
        <f t="shared" si="367"/>
        <v>10</v>
      </c>
      <c r="E4915">
        <f t="shared" si="368"/>
        <v>9</v>
      </c>
      <c r="F4915">
        <f t="shared" si="369"/>
        <v>2025</v>
      </c>
      <c r="G4915" t="s">
        <v>1238</v>
      </c>
      <c r="H4915" s="121">
        <v>13688</v>
      </c>
      <c r="I4915" s="76">
        <v>12.6</v>
      </c>
      <c r="J4915" s="12" t="s">
        <v>31</v>
      </c>
      <c r="K4915" s="76">
        <f t="shared" si="366"/>
        <v>12.6</v>
      </c>
      <c r="L4915">
        <v>1</v>
      </c>
      <c r="M4915" s="76">
        <v>0</v>
      </c>
      <c r="N4915" t="s">
        <v>42</v>
      </c>
      <c r="O4915" t="s">
        <v>33</v>
      </c>
      <c r="P4915" t="s">
        <v>34</v>
      </c>
      <c r="Q4915" t="s">
        <v>34</v>
      </c>
      <c r="R4915" t="s">
        <v>34</v>
      </c>
      <c r="S4915" t="s">
        <v>34</v>
      </c>
      <c r="T4915" s="117">
        <v>0</v>
      </c>
    </row>
    <row r="4916" spans="1:20" x14ac:dyDescent="0.35">
      <c r="A4916" t="s">
        <v>20</v>
      </c>
      <c r="B4916" t="s">
        <v>25</v>
      </c>
      <c r="C4916" s="1">
        <v>45910</v>
      </c>
      <c r="D4916">
        <f t="shared" si="367"/>
        <v>10</v>
      </c>
      <c r="E4916">
        <f t="shared" si="368"/>
        <v>9</v>
      </c>
      <c r="F4916">
        <f t="shared" si="369"/>
        <v>2025</v>
      </c>
      <c r="G4916" t="s">
        <v>1238</v>
      </c>
      <c r="H4916" s="121">
        <v>13689</v>
      </c>
      <c r="I4916" s="76">
        <v>891.45</v>
      </c>
      <c r="J4916" s="12" t="s">
        <v>31</v>
      </c>
      <c r="K4916" s="76">
        <f t="shared" si="366"/>
        <v>891.45</v>
      </c>
      <c r="L4916">
        <v>1</v>
      </c>
      <c r="M4916" s="76">
        <v>0</v>
      </c>
      <c r="N4916" t="s">
        <v>42</v>
      </c>
      <c r="O4916" t="s">
        <v>33</v>
      </c>
      <c r="P4916" t="s">
        <v>34</v>
      </c>
      <c r="Q4916" t="s">
        <v>34</v>
      </c>
      <c r="R4916" t="s">
        <v>34</v>
      </c>
      <c r="S4916" t="s">
        <v>34</v>
      </c>
      <c r="T4916" s="117">
        <v>0</v>
      </c>
    </row>
    <row r="4917" spans="1:20" x14ac:dyDescent="0.35">
      <c r="A4917" t="s">
        <v>20</v>
      </c>
      <c r="B4917" t="s">
        <v>23</v>
      </c>
      <c r="C4917" s="1">
        <v>45910</v>
      </c>
      <c r="D4917">
        <f t="shared" si="367"/>
        <v>10</v>
      </c>
      <c r="E4917">
        <f t="shared" si="368"/>
        <v>9</v>
      </c>
      <c r="F4917">
        <f t="shared" si="369"/>
        <v>2025</v>
      </c>
      <c r="G4917" t="s">
        <v>90</v>
      </c>
      <c r="H4917" s="121">
        <v>12891</v>
      </c>
      <c r="I4917" s="76">
        <v>6291.7</v>
      </c>
      <c r="J4917" s="12" t="s">
        <v>31</v>
      </c>
      <c r="K4917" s="76">
        <f t="shared" si="366"/>
        <v>6291.7</v>
      </c>
      <c r="L4917">
        <v>1</v>
      </c>
      <c r="M4917" s="76">
        <v>0</v>
      </c>
      <c r="N4917" t="s">
        <v>32</v>
      </c>
      <c r="O4917" t="s">
        <v>33</v>
      </c>
      <c r="P4917" t="s">
        <v>34</v>
      </c>
      <c r="Q4917" t="s">
        <v>34</v>
      </c>
      <c r="R4917" t="s">
        <v>34</v>
      </c>
      <c r="S4917" t="s">
        <v>34</v>
      </c>
      <c r="T4917" s="117">
        <v>0</v>
      </c>
    </row>
    <row r="4918" spans="1:20" x14ac:dyDescent="0.35">
      <c r="A4918" t="s">
        <v>20</v>
      </c>
      <c r="B4918" t="s">
        <v>25</v>
      </c>
      <c r="C4918" s="1">
        <v>45910</v>
      </c>
      <c r="D4918">
        <f t="shared" si="367"/>
        <v>10</v>
      </c>
      <c r="E4918">
        <f t="shared" si="368"/>
        <v>9</v>
      </c>
      <c r="F4918">
        <f t="shared" si="369"/>
        <v>2025</v>
      </c>
      <c r="G4918" t="s">
        <v>90</v>
      </c>
      <c r="H4918" s="121">
        <v>12891</v>
      </c>
      <c r="I4918" s="76">
        <v>8475.84</v>
      </c>
      <c r="J4918" s="12" t="s">
        <v>31</v>
      </c>
      <c r="K4918" s="76">
        <f t="shared" si="366"/>
        <v>8475.84</v>
      </c>
      <c r="L4918">
        <v>1</v>
      </c>
      <c r="M4918" s="76">
        <v>0</v>
      </c>
      <c r="N4918" t="s">
        <v>32</v>
      </c>
      <c r="O4918" t="s">
        <v>33</v>
      </c>
      <c r="P4918" t="s">
        <v>34</v>
      </c>
      <c r="Q4918" t="s">
        <v>34</v>
      </c>
      <c r="R4918" t="s">
        <v>34</v>
      </c>
      <c r="S4918" t="s">
        <v>34</v>
      </c>
      <c r="T4918" s="117">
        <v>0</v>
      </c>
    </row>
    <row r="4919" spans="1:20" x14ac:dyDescent="0.35">
      <c r="A4919" t="s">
        <v>20</v>
      </c>
      <c r="B4919" t="s">
        <v>24</v>
      </c>
      <c r="C4919" s="1">
        <v>45910</v>
      </c>
      <c r="D4919">
        <f t="shared" si="367"/>
        <v>10</v>
      </c>
      <c r="E4919">
        <f t="shared" si="368"/>
        <v>9</v>
      </c>
      <c r="F4919">
        <f t="shared" si="369"/>
        <v>2025</v>
      </c>
      <c r="G4919" t="s">
        <v>90</v>
      </c>
      <c r="H4919" s="121">
        <v>12779</v>
      </c>
      <c r="I4919" s="76">
        <v>17764.68</v>
      </c>
      <c r="J4919" s="12" t="s">
        <v>31</v>
      </c>
      <c r="K4919" s="76">
        <f t="shared" si="366"/>
        <v>17764.68</v>
      </c>
      <c r="L4919">
        <v>1</v>
      </c>
      <c r="M4919" s="76">
        <v>0</v>
      </c>
      <c r="N4919" t="s">
        <v>32</v>
      </c>
      <c r="O4919" t="s">
        <v>33</v>
      </c>
      <c r="P4919" t="s">
        <v>34</v>
      </c>
      <c r="Q4919" t="s">
        <v>34</v>
      </c>
      <c r="R4919" t="s">
        <v>34</v>
      </c>
      <c r="S4919" t="s">
        <v>34</v>
      </c>
      <c r="T4919" s="117">
        <v>0</v>
      </c>
    </row>
    <row r="4920" spans="1:20" x14ac:dyDescent="0.35">
      <c r="A4920" t="s">
        <v>20</v>
      </c>
      <c r="B4920" t="s">
        <v>21</v>
      </c>
      <c r="C4920" s="1">
        <v>45910</v>
      </c>
      <c r="D4920">
        <f t="shared" si="367"/>
        <v>10</v>
      </c>
      <c r="E4920">
        <f t="shared" si="368"/>
        <v>9</v>
      </c>
      <c r="F4920">
        <f t="shared" si="369"/>
        <v>2025</v>
      </c>
      <c r="G4920" t="s">
        <v>52</v>
      </c>
      <c r="H4920" s="121">
        <v>12926</v>
      </c>
      <c r="I4920" s="76">
        <v>257.39999999999998</v>
      </c>
      <c r="J4920" s="12" t="s">
        <v>31</v>
      </c>
      <c r="K4920" s="76">
        <f t="shared" si="366"/>
        <v>257.39999999999998</v>
      </c>
      <c r="L4920">
        <v>1</v>
      </c>
      <c r="M4920" s="76">
        <v>0</v>
      </c>
      <c r="N4920" t="s">
        <v>32</v>
      </c>
      <c r="O4920" t="s">
        <v>33</v>
      </c>
      <c r="P4920" t="s">
        <v>34</v>
      </c>
      <c r="Q4920" t="s">
        <v>34</v>
      </c>
      <c r="R4920" t="s">
        <v>34</v>
      </c>
      <c r="S4920" t="s">
        <v>34</v>
      </c>
      <c r="T4920" s="117">
        <v>0</v>
      </c>
    </row>
    <row r="4921" spans="1:20" x14ac:dyDescent="0.35">
      <c r="A4921" t="s">
        <v>20</v>
      </c>
      <c r="B4921" t="s">
        <v>21</v>
      </c>
      <c r="C4921" s="1">
        <v>45910</v>
      </c>
      <c r="D4921">
        <f t="shared" si="367"/>
        <v>10</v>
      </c>
      <c r="E4921">
        <f t="shared" si="368"/>
        <v>9</v>
      </c>
      <c r="F4921">
        <f t="shared" si="369"/>
        <v>2025</v>
      </c>
      <c r="G4921" t="s">
        <v>43</v>
      </c>
      <c r="H4921" s="121">
        <v>13085</v>
      </c>
      <c r="I4921" s="76">
        <v>93.8</v>
      </c>
      <c r="J4921" s="12" t="s">
        <v>31</v>
      </c>
      <c r="K4921" s="76">
        <f t="shared" si="366"/>
        <v>93.8</v>
      </c>
      <c r="L4921">
        <v>1</v>
      </c>
      <c r="M4921" s="76">
        <v>0</v>
      </c>
      <c r="N4921" t="s">
        <v>32</v>
      </c>
      <c r="O4921" t="s">
        <v>33</v>
      </c>
      <c r="P4921" t="s">
        <v>34</v>
      </c>
      <c r="Q4921" t="s">
        <v>34</v>
      </c>
      <c r="R4921" t="s">
        <v>34</v>
      </c>
      <c r="S4921" t="s">
        <v>34</v>
      </c>
      <c r="T4921" s="117">
        <v>0</v>
      </c>
    </row>
    <row r="4922" spans="1:20" x14ac:dyDescent="0.35">
      <c r="A4922" t="s">
        <v>20</v>
      </c>
      <c r="B4922" t="s">
        <v>21</v>
      </c>
      <c r="C4922" s="1">
        <v>45910</v>
      </c>
      <c r="D4922">
        <f t="shared" si="367"/>
        <v>10</v>
      </c>
      <c r="E4922">
        <f t="shared" si="368"/>
        <v>9</v>
      </c>
      <c r="F4922">
        <f t="shared" si="369"/>
        <v>2025</v>
      </c>
      <c r="G4922" t="s">
        <v>43</v>
      </c>
      <c r="H4922" s="121">
        <v>13470</v>
      </c>
      <c r="I4922" s="76">
        <v>13328.32</v>
      </c>
      <c r="J4922" s="12" t="s">
        <v>31</v>
      </c>
      <c r="K4922" s="76">
        <f t="shared" si="366"/>
        <v>13328.32</v>
      </c>
      <c r="L4922">
        <v>1</v>
      </c>
      <c r="M4922" s="76">
        <v>0</v>
      </c>
      <c r="N4922" t="s">
        <v>32</v>
      </c>
      <c r="O4922" t="s">
        <v>33</v>
      </c>
      <c r="P4922" t="s">
        <v>34</v>
      </c>
      <c r="Q4922" t="s">
        <v>34</v>
      </c>
      <c r="R4922" t="s">
        <v>34</v>
      </c>
      <c r="S4922" t="s">
        <v>34</v>
      </c>
      <c r="T4922" s="117">
        <v>0</v>
      </c>
    </row>
    <row r="4923" spans="1:20" x14ac:dyDescent="0.35">
      <c r="A4923" t="s">
        <v>20</v>
      </c>
      <c r="B4923" t="s">
        <v>23</v>
      </c>
      <c r="C4923" s="1">
        <v>45910</v>
      </c>
      <c r="D4923">
        <f t="shared" si="367"/>
        <v>10</v>
      </c>
      <c r="E4923">
        <f t="shared" si="368"/>
        <v>9</v>
      </c>
      <c r="F4923">
        <f t="shared" si="369"/>
        <v>2025</v>
      </c>
      <c r="G4923" t="s">
        <v>53</v>
      </c>
      <c r="H4923" s="180">
        <v>13263</v>
      </c>
      <c r="I4923" s="94">
        <v>22478.959999999999</v>
      </c>
      <c r="J4923" s="12" t="s">
        <v>31</v>
      </c>
      <c r="K4923" s="76">
        <f t="shared" si="366"/>
        <v>22478.959999999999</v>
      </c>
      <c r="L4923">
        <v>1</v>
      </c>
      <c r="M4923" s="76">
        <v>0</v>
      </c>
      <c r="N4923" t="s">
        <v>32</v>
      </c>
      <c r="O4923" t="s">
        <v>33</v>
      </c>
      <c r="P4923" t="s">
        <v>34</v>
      </c>
      <c r="Q4923" t="s">
        <v>34</v>
      </c>
      <c r="R4923" t="s">
        <v>34</v>
      </c>
      <c r="S4923" t="s">
        <v>34</v>
      </c>
      <c r="T4923" s="117">
        <v>0</v>
      </c>
    </row>
    <row r="4924" spans="1:20" x14ac:dyDescent="0.35">
      <c r="A4924" t="s">
        <v>20</v>
      </c>
      <c r="B4924" t="s">
        <v>21</v>
      </c>
      <c r="C4924" s="1">
        <v>45910</v>
      </c>
      <c r="D4924">
        <f t="shared" si="367"/>
        <v>10</v>
      </c>
      <c r="E4924">
        <f t="shared" si="368"/>
        <v>9</v>
      </c>
      <c r="F4924">
        <f t="shared" si="369"/>
        <v>2025</v>
      </c>
      <c r="G4924" t="s">
        <v>1189</v>
      </c>
      <c r="H4924" s="121">
        <v>13246</v>
      </c>
      <c r="I4924" s="76">
        <v>11026.36</v>
      </c>
      <c r="J4924" s="12" t="s">
        <v>31</v>
      </c>
      <c r="K4924" s="76">
        <f t="shared" si="366"/>
        <v>11026.36</v>
      </c>
      <c r="L4924">
        <v>1</v>
      </c>
      <c r="M4924" s="76">
        <v>0</v>
      </c>
      <c r="N4924" t="s">
        <v>42</v>
      </c>
      <c r="O4924" t="s">
        <v>33</v>
      </c>
      <c r="P4924" t="s">
        <v>34</v>
      </c>
      <c r="Q4924" t="s">
        <v>34</v>
      </c>
      <c r="R4924" t="s">
        <v>34</v>
      </c>
      <c r="S4924" t="s">
        <v>34</v>
      </c>
      <c r="T4924" s="117">
        <v>0</v>
      </c>
    </row>
    <row r="4925" spans="1:20" x14ac:dyDescent="0.35">
      <c r="A4925" t="s">
        <v>20</v>
      </c>
      <c r="B4925" t="s">
        <v>21</v>
      </c>
      <c r="C4925" s="1">
        <v>45910</v>
      </c>
      <c r="D4925">
        <f t="shared" si="367"/>
        <v>10</v>
      </c>
      <c r="E4925">
        <f t="shared" si="368"/>
        <v>9</v>
      </c>
      <c r="F4925">
        <f t="shared" si="369"/>
        <v>2025</v>
      </c>
      <c r="G4925" t="s">
        <v>46</v>
      </c>
      <c r="H4925" s="121">
        <v>13392</v>
      </c>
      <c r="I4925" s="76">
        <v>15047.78</v>
      </c>
      <c r="J4925" s="12" t="s">
        <v>31</v>
      </c>
      <c r="K4925" s="76">
        <f t="shared" si="366"/>
        <v>15047.78</v>
      </c>
      <c r="L4925">
        <v>1</v>
      </c>
      <c r="M4925" s="76">
        <v>0</v>
      </c>
      <c r="N4925" t="s">
        <v>42</v>
      </c>
      <c r="O4925" t="s">
        <v>33</v>
      </c>
      <c r="P4925" t="s">
        <v>34</v>
      </c>
      <c r="Q4925" t="s">
        <v>34</v>
      </c>
      <c r="R4925" t="s">
        <v>34</v>
      </c>
      <c r="S4925" t="s">
        <v>34</v>
      </c>
      <c r="T4925" s="179">
        <v>0</v>
      </c>
    </row>
    <row r="4926" spans="1:20" x14ac:dyDescent="0.35">
      <c r="A4926" t="s">
        <v>20</v>
      </c>
      <c r="B4926" t="s">
        <v>25</v>
      </c>
      <c r="C4926" s="1">
        <v>45910</v>
      </c>
      <c r="D4926">
        <f t="shared" si="367"/>
        <v>10</v>
      </c>
      <c r="E4926">
        <f t="shared" si="368"/>
        <v>9</v>
      </c>
      <c r="F4926">
        <f t="shared" si="369"/>
        <v>2025</v>
      </c>
      <c r="G4926" t="s">
        <v>46</v>
      </c>
      <c r="H4926" s="121">
        <v>13392</v>
      </c>
      <c r="I4926" s="76">
        <v>2070.46</v>
      </c>
      <c r="J4926" s="12" t="s">
        <v>31</v>
      </c>
      <c r="K4926" s="76">
        <f t="shared" si="366"/>
        <v>2070.46</v>
      </c>
      <c r="L4926">
        <v>1</v>
      </c>
      <c r="M4926" s="76">
        <v>0</v>
      </c>
      <c r="N4926" t="s">
        <v>42</v>
      </c>
      <c r="O4926" t="s">
        <v>33</v>
      </c>
      <c r="P4926" t="s">
        <v>34</v>
      </c>
      <c r="Q4926" t="s">
        <v>34</v>
      </c>
      <c r="R4926" t="s">
        <v>34</v>
      </c>
      <c r="S4926" t="s">
        <v>34</v>
      </c>
      <c r="T4926" s="179">
        <v>0</v>
      </c>
    </row>
    <row r="4927" spans="1:20" x14ac:dyDescent="0.35">
      <c r="A4927" t="s">
        <v>19</v>
      </c>
      <c r="B4927" t="s">
        <v>19</v>
      </c>
      <c r="C4927" s="1">
        <v>45910</v>
      </c>
      <c r="D4927">
        <f t="shared" si="367"/>
        <v>10</v>
      </c>
      <c r="E4927">
        <f t="shared" si="368"/>
        <v>9</v>
      </c>
      <c r="F4927">
        <f t="shared" si="369"/>
        <v>2025</v>
      </c>
      <c r="G4927" t="s">
        <v>523</v>
      </c>
      <c r="H4927" s="121" t="s">
        <v>1285</v>
      </c>
      <c r="I4927" s="15">
        <v>1638.7800000000025</v>
      </c>
      <c r="J4927" s="12" t="s">
        <v>31</v>
      </c>
      <c r="K4927" s="76">
        <f t="shared" si="366"/>
        <v>1638.7800000000025</v>
      </c>
      <c r="L4927">
        <v>1</v>
      </c>
      <c r="M4927" s="76">
        <v>0</v>
      </c>
      <c r="N4927" t="s">
        <v>32</v>
      </c>
      <c r="O4927" t="s">
        <v>33</v>
      </c>
      <c r="P4927" t="s">
        <v>34</v>
      </c>
      <c r="Q4927" t="s">
        <v>34</v>
      </c>
      <c r="R4927" t="s">
        <v>34</v>
      </c>
      <c r="S4927" t="s">
        <v>34</v>
      </c>
      <c r="T4927" s="117">
        <v>0</v>
      </c>
    </row>
    <row r="4928" spans="1:20" x14ac:dyDescent="0.35">
      <c r="A4928" t="s">
        <v>19</v>
      </c>
      <c r="B4928" t="s">
        <v>19</v>
      </c>
      <c r="C4928" s="1">
        <v>45910</v>
      </c>
      <c r="D4928">
        <f t="shared" si="367"/>
        <v>10</v>
      </c>
      <c r="E4928">
        <f t="shared" si="368"/>
        <v>9</v>
      </c>
      <c r="F4928">
        <f t="shared" si="369"/>
        <v>2025</v>
      </c>
      <c r="G4928" t="s">
        <v>523</v>
      </c>
      <c r="H4928" s="121" t="s">
        <v>1291</v>
      </c>
      <c r="I4928" s="15">
        <v>34998.25</v>
      </c>
      <c r="J4928" s="12" t="s">
        <v>31</v>
      </c>
      <c r="K4928" s="76">
        <f t="shared" si="366"/>
        <v>34998.25</v>
      </c>
      <c r="L4928">
        <v>1</v>
      </c>
      <c r="M4928" s="76">
        <v>0</v>
      </c>
      <c r="N4928" t="s">
        <v>32</v>
      </c>
      <c r="O4928" t="s">
        <v>33</v>
      </c>
      <c r="P4928" t="s">
        <v>34</v>
      </c>
      <c r="Q4928" t="s">
        <v>34</v>
      </c>
      <c r="R4928" t="s">
        <v>34</v>
      </c>
      <c r="S4928" t="s">
        <v>34</v>
      </c>
      <c r="T4928" s="117">
        <v>0</v>
      </c>
    </row>
    <row r="4929" spans="1:20" x14ac:dyDescent="0.35">
      <c r="A4929" t="s">
        <v>19</v>
      </c>
      <c r="B4929" t="s">
        <v>19</v>
      </c>
      <c r="C4929" s="1">
        <v>45910</v>
      </c>
      <c r="D4929">
        <f t="shared" si="367"/>
        <v>10</v>
      </c>
      <c r="E4929">
        <f t="shared" si="368"/>
        <v>9</v>
      </c>
      <c r="F4929">
        <f t="shared" si="369"/>
        <v>2025</v>
      </c>
      <c r="G4929" t="s">
        <v>56</v>
      </c>
      <c r="H4929" s="121" t="s">
        <v>1292</v>
      </c>
      <c r="I4929" s="15">
        <v>186606.21</v>
      </c>
      <c r="J4929" s="12" t="s">
        <v>31</v>
      </c>
      <c r="K4929" s="76">
        <f t="shared" si="366"/>
        <v>186606.21</v>
      </c>
      <c r="L4929">
        <v>1</v>
      </c>
      <c r="M4929" s="76">
        <v>0</v>
      </c>
      <c r="N4929" t="s">
        <v>32</v>
      </c>
      <c r="O4929" t="s">
        <v>33</v>
      </c>
      <c r="P4929" t="s">
        <v>34</v>
      </c>
      <c r="Q4929" t="s">
        <v>34</v>
      </c>
      <c r="R4929" t="s">
        <v>34</v>
      </c>
      <c r="S4929" t="s">
        <v>34</v>
      </c>
      <c r="T4929" s="117">
        <v>0</v>
      </c>
    </row>
    <row r="4930" spans="1:20" x14ac:dyDescent="0.35">
      <c r="A4930" t="s">
        <v>19</v>
      </c>
      <c r="B4930" t="s">
        <v>19</v>
      </c>
      <c r="C4930" s="1">
        <v>45910</v>
      </c>
      <c r="D4930">
        <f t="shared" si="367"/>
        <v>10</v>
      </c>
      <c r="E4930">
        <f t="shared" si="368"/>
        <v>9</v>
      </c>
      <c r="F4930">
        <f t="shared" si="369"/>
        <v>2025</v>
      </c>
      <c r="G4930" t="s">
        <v>56</v>
      </c>
      <c r="H4930" s="121" t="s">
        <v>1293</v>
      </c>
      <c r="I4930" s="15">
        <v>64947.74</v>
      </c>
      <c r="J4930" s="12" t="s">
        <v>31</v>
      </c>
      <c r="K4930" s="76">
        <f t="shared" si="366"/>
        <v>64947.74</v>
      </c>
      <c r="L4930">
        <v>1</v>
      </c>
      <c r="M4930" s="76">
        <v>0</v>
      </c>
      <c r="N4930" t="s">
        <v>32</v>
      </c>
      <c r="O4930" t="s">
        <v>33</v>
      </c>
      <c r="P4930" t="s">
        <v>34</v>
      </c>
      <c r="Q4930" t="s">
        <v>34</v>
      </c>
      <c r="R4930" t="s">
        <v>34</v>
      </c>
      <c r="S4930" t="s">
        <v>34</v>
      </c>
      <c r="T4930" s="117">
        <v>0</v>
      </c>
    </row>
    <row r="4931" spans="1:20" x14ac:dyDescent="0.35">
      <c r="A4931" t="s">
        <v>19</v>
      </c>
      <c r="B4931" t="s">
        <v>19</v>
      </c>
      <c r="C4931" s="1">
        <v>45910</v>
      </c>
      <c r="D4931">
        <f t="shared" si="367"/>
        <v>10</v>
      </c>
      <c r="E4931">
        <f t="shared" si="368"/>
        <v>9</v>
      </c>
      <c r="F4931">
        <f t="shared" si="369"/>
        <v>2025</v>
      </c>
      <c r="G4931" t="s">
        <v>56</v>
      </c>
      <c r="H4931" s="121" t="s">
        <v>1294</v>
      </c>
      <c r="I4931" s="15">
        <v>559.64</v>
      </c>
      <c r="J4931" s="12" t="s">
        <v>31</v>
      </c>
      <c r="K4931" s="76">
        <f t="shared" si="366"/>
        <v>559.64</v>
      </c>
      <c r="L4931">
        <v>1</v>
      </c>
      <c r="M4931" s="76">
        <v>0</v>
      </c>
      <c r="N4931" t="s">
        <v>32</v>
      </c>
      <c r="O4931" t="s">
        <v>33</v>
      </c>
      <c r="P4931" t="s">
        <v>34</v>
      </c>
      <c r="Q4931" t="s">
        <v>34</v>
      </c>
      <c r="R4931" t="s">
        <v>34</v>
      </c>
      <c r="S4931" t="s">
        <v>34</v>
      </c>
      <c r="T4931" s="117">
        <v>0</v>
      </c>
    </row>
    <row r="4932" spans="1:20" x14ac:dyDescent="0.35">
      <c r="A4932" t="s">
        <v>19</v>
      </c>
      <c r="B4932" t="s">
        <v>19</v>
      </c>
      <c r="C4932" s="1">
        <v>45910</v>
      </c>
      <c r="D4932">
        <f t="shared" si="367"/>
        <v>10</v>
      </c>
      <c r="E4932">
        <f t="shared" si="368"/>
        <v>9</v>
      </c>
      <c r="F4932">
        <f t="shared" si="369"/>
        <v>2025</v>
      </c>
      <c r="G4932" t="s">
        <v>90</v>
      </c>
      <c r="H4932" s="121" t="s">
        <v>1338</v>
      </c>
      <c r="I4932" s="15">
        <v>116155.18</v>
      </c>
      <c r="J4932" s="12" t="s">
        <v>31</v>
      </c>
      <c r="K4932" s="76">
        <f t="shared" si="366"/>
        <v>116155.18</v>
      </c>
      <c r="L4932">
        <v>1</v>
      </c>
      <c r="M4932" s="76">
        <v>0</v>
      </c>
      <c r="N4932" t="s">
        <v>32</v>
      </c>
      <c r="O4932" t="s">
        <v>33</v>
      </c>
      <c r="P4932" t="s">
        <v>34</v>
      </c>
      <c r="Q4932" t="s">
        <v>34</v>
      </c>
      <c r="R4932" t="s">
        <v>34</v>
      </c>
      <c r="S4932" t="s">
        <v>34</v>
      </c>
      <c r="T4932" s="117">
        <v>0</v>
      </c>
    </row>
    <row r="4933" spans="1:20" x14ac:dyDescent="0.35">
      <c r="A4933" t="s">
        <v>19</v>
      </c>
      <c r="B4933" t="s">
        <v>19</v>
      </c>
      <c r="C4933" s="1">
        <v>45910</v>
      </c>
      <c r="D4933">
        <f t="shared" si="367"/>
        <v>10</v>
      </c>
      <c r="E4933">
        <f t="shared" si="368"/>
        <v>9</v>
      </c>
      <c r="F4933">
        <f t="shared" si="369"/>
        <v>2025</v>
      </c>
      <c r="G4933" t="s">
        <v>125</v>
      </c>
      <c r="H4933" s="121" t="s">
        <v>1263</v>
      </c>
      <c r="I4933" s="15">
        <v>161000</v>
      </c>
      <c r="J4933" s="12" t="s">
        <v>31</v>
      </c>
      <c r="K4933" s="76">
        <f t="shared" ref="K4933:K4957" si="370">IF(J4933="USD",I4933,I4933*L4933)</f>
        <v>161000</v>
      </c>
      <c r="L4933">
        <v>1</v>
      </c>
      <c r="M4933" s="76">
        <v>0</v>
      </c>
      <c r="N4933" t="s">
        <v>32</v>
      </c>
      <c r="O4933" t="s">
        <v>33</v>
      </c>
      <c r="P4933" t="s">
        <v>34</v>
      </c>
      <c r="Q4933" t="s">
        <v>34</v>
      </c>
      <c r="R4933" t="s">
        <v>34</v>
      </c>
      <c r="S4933" t="s">
        <v>34</v>
      </c>
      <c r="T4933" s="117">
        <v>0</v>
      </c>
    </row>
    <row r="4934" spans="1:20" x14ac:dyDescent="0.35">
      <c r="A4934" t="s">
        <v>19</v>
      </c>
      <c r="B4934" t="s">
        <v>19</v>
      </c>
      <c r="C4934" s="1">
        <v>45910</v>
      </c>
      <c r="D4934">
        <f t="shared" si="367"/>
        <v>10</v>
      </c>
      <c r="E4934">
        <f t="shared" si="368"/>
        <v>9</v>
      </c>
      <c r="F4934">
        <f t="shared" si="369"/>
        <v>2025</v>
      </c>
      <c r="G4934" t="s">
        <v>91</v>
      </c>
      <c r="H4934" s="121" t="s">
        <v>1295</v>
      </c>
      <c r="I4934" s="15">
        <v>32900</v>
      </c>
      <c r="J4934" s="12" t="s">
        <v>31</v>
      </c>
      <c r="K4934" s="76">
        <f t="shared" si="370"/>
        <v>32900</v>
      </c>
      <c r="L4934">
        <v>1</v>
      </c>
      <c r="M4934" s="76">
        <v>0</v>
      </c>
      <c r="N4934" t="s">
        <v>32</v>
      </c>
      <c r="O4934" t="s">
        <v>33</v>
      </c>
      <c r="P4934" t="s">
        <v>34</v>
      </c>
      <c r="Q4934" t="s">
        <v>34</v>
      </c>
      <c r="R4934" t="s">
        <v>34</v>
      </c>
      <c r="S4934" t="s">
        <v>34</v>
      </c>
      <c r="T4934" s="117">
        <v>0</v>
      </c>
    </row>
    <row r="4935" spans="1:20" x14ac:dyDescent="0.35">
      <c r="A4935" t="s">
        <v>19</v>
      </c>
      <c r="B4935" t="s">
        <v>19</v>
      </c>
      <c r="C4935" s="1">
        <v>45910</v>
      </c>
      <c r="D4935">
        <f t="shared" si="367"/>
        <v>10</v>
      </c>
      <c r="E4935">
        <f t="shared" si="368"/>
        <v>9</v>
      </c>
      <c r="F4935">
        <f t="shared" si="369"/>
        <v>2025</v>
      </c>
      <c r="G4935" t="s">
        <v>106</v>
      </c>
      <c r="H4935" s="121" t="s">
        <v>1283</v>
      </c>
      <c r="I4935" s="15">
        <v>104841.22</v>
      </c>
      <c r="J4935" s="12" t="s">
        <v>31</v>
      </c>
      <c r="K4935" s="76">
        <f t="shared" si="370"/>
        <v>104841.22</v>
      </c>
      <c r="L4935">
        <v>1</v>
      </c>
      <c r="M4935" s="76">
        <v>0</v>
      </c>
      <c r="N4935" t="s">
        <v>32</v>
      </c>
      <c r="O4935" t="s">
        <v>33</v>
      </c>
      <c r="P4935" t="s">
        <v>34</v>
      </c>
      <c r="Q4935" t="s">
        <v>34</v>
      </c>
      <c r="R4935" t="s">
        <v>34</v>
      </c>
      <c r="S4935" t="s">
        <v>34</v>
      </c>
      <c r="T4935" s="117">
        <v>0</v>
      </c>
    </row>
    <row r="4936" spans="1:20" x14ac:dyDescent="0.35">
      <c r="A4936" t="s">
        <v>19</v>
      </c>
      <c r="B4936" t="s">
        <v>19</v>
      </c>
      <c r="C4936" s="1">
        <v>45910</v>
      </c>
      <c r="D4936">
        <f t="shared" si="367"/>
        <v>10</v>
      </c>
      <c r="E4936">
        <f t="shared" si="368"/>
        <v>9</v>
      </c>
      <c r="F4936">
        <f t="shared" si="369"/>
        <v>2025</v>
      </c>
      <c r="G4936" t="s">
        <v>106</v>
      </c>
      <c r="H4936" s="121" t="s">
        <v>1269</v>
      </c>
      <c r="I4936" s="15">
        <v>100471.89</v>
      </c>
      <c r="J4936" s="12" t="s">
        <v>31</v>
      </c>
      <c r="K4936" s="76">
        <f t="shared" si="370"/>
        <v>100471.89</v>
      </c>
      <c r="L4936">
        <v>1</v>
      </c>
      <c r="M4936" s="76">
        <v>0</v>
      </c>
      <c r="N4936" t="s">
        <v>32</v>
      </c>
      <c r="O4936" t="s">
        <v>33</v>
      </c>
      <c r="P4936" t="s">
        <v>34</v>
      </c>
      <c r="Q4936" t="s">
        <v>34</v>
      </c>
      <c r="R4936" t="s">
        <v>34</v>
      </c>
      <c r="S4936" t="s">
        <v>34</v>
      </c>
      <c r="T4936" s="117">
        <v>0</v>
      </c>
    </row>
    <row r="4937" spans="1:20" x14ac:dyDescent="0.35">
      <c r="A4937" t="s">
        <v>19</v>
      </c>
      <c r="B4937" t="s">
        <v>19</v>
      </c>
      <c r="C4937" s="1">
        <v>45910</v>
      </c>
      <c r="D4937">
        <f t="shared" si="367"/>
        <v>10</v>
      </c>
      <c r="E4937">
        <f t="shared" si="368"/>
        <v>9</v>
      </c>
      <c r="F4937">
        <f t="shared" si="369"/>
        <v>2025</v>
      </c>
      <c r="G4937" t="s">
        <v>59</v>
      </c>
      <c r="H4937" s="180" t="s">
        <v>1296</v>
      </c>
      <c r="I4937" s="15">
        <v>96834.26</v>
      </c>
      <c r="J4937" s="12" t="s">
        <v>31</v>
      </c>
      <c r="K4937" s="76">
        <f t="shared" si="370"/>
        <v>96834.26</v>
      </c>
      <c r="L4937">
        <v>1</v>
      </c>
      <c r="M4937" s="76">
        <v>0</v>
      </c>
      <c r="N4937" t="s">
        <v>32</v>
      </c>
      <c r="O4937" t="s">
        <v>33</v>
      </c>
      <c r="P4937" t="s">
        <v>34</v>
      </c>
      <c r="Q4937" t="s">
        <v>34</v>
      </c>
      <c r="R4937" t="s">
        <v>34</v>
      </c>
      <c r="S4937" t="s">
        <v>34</v>
      </c>
      <c r="T4937" s="117">
        <v>0</v>
      </c>
    </row>
    <row r="4938" spans="1:20" x14ac:dyDescent="0.35">
      <c r="A4938" t="s">
        <v>19</v>
      </c>
      <c r="B4938" t="s">
        <v>19</v>
      </c>
      <c r="C4938" s="1">
        <v>45910</v>
      </c>
      <c r="D4938">
        <f t="shared" si="367"/>
        <v>10</v>
      </c>
      <c r="E4938">
        <f t="shared" si="368"/>
        <v>9</v>
      </c>
      <c r="F4938">
        <f t="shared" si="369"/>
        <v>2025</v>
      </c>
      <c r="G4938" t="s">
        <v>57</v>
      </c>
      <c r="H4938" s="121" t="s">
        <v>1297</v>
      </c>
      <c r="I4938" s="15">
        <v>103622.41</v>
      </c>
      <c r="J4938" s="12" t="s">
        <v>31</v>
      </c>
      <c r="K4938" s="76">
        <f t="shared" si="370"/>
        <v>103622.41</v>
      </c>
      <c r="L4938">
        <v>1</v>
      </c>
      <c r="M4938" s="76">
        <v>0</v>
      </c>
      <c r="N4938" t="s">
        <v>32</v>
      </c>
      <c r="O4938" t="s">
        <v>33</v>
      </c>
      <c r="P4938" t="s">
        <v>34</v>
      </c>
      <c r="Q4938" t="s">
        <v>34</v>
      </c>
      <c r="R4938" t="s">
        <v>34</v>
      </c>
      <c r="S4938" t="s">
        <v>34</v>
      </c>
      <c r="T4938" s="117">
        <v>2459.5</v>
      </c>
    </row>
    <row r="4939" spans="1:20" x14ac:dyDescent="0.35">
      <c r="A4939" t="s">
        <v>19</v>
      </c>
      <c r="B4939" t="s">
        <v>19</v>
      </c>
      <c r="C4939" s="1">
        <v>45910</v>
      </c>
      <c r="D4939">
        <f t="shared" si="367"/>
        <v>10</v>
      </c>
      <c r="E4939">
        <f t="shared" si="368"/>
        <v>9</v>
      </c>
      <c r="F4939">
        <f t="shared" si="369"/>
        <v>2025</v>
      </c>
      <c r="G4939" t="s">
        <v>55</v>
      </c>
      <c r="H4939" s="121" t="s">
        <v>1298</v>
      </c>
      <c r="I4939" s="15">
        <v>35387.230000000003</v>
      </c>
      <c r="J4939" s="12" t="s">
        <v>31</v>
      </c>
      <c r="K4939" s="76">
        <f t="shared" si="370"/>
        <v>35387.230000000003</v>
      </c>
      <c r="L4939">
        <v>1</v>
      </c>
      <c r="M4939" s="76">
        <v>0</v>
      </c>
      <c r="N4939" t="s">
        <v>32</v>
      </c>
      <c r="O4939" t="s">
        <v>33</v>
      </c>
      <c r="P4939" t="s">
        <v>34</v>
      </c>
      <c r="Q4939" t="s">
        <v>34</v>
      </c>
      <c r="R4939" t="s">
        <v>34</v>
      </c>
      <c r="S4939" t="s">
        <v>34</v>
      </c>
      <c r="T4939" s="117">
        <v>0</v>
      </c>
    </row>
    <row r="4940" spans="1:20" x14ac:dyDescent="0.35">
      <c r="A4940" t="s">
        <v>19</v>
      </c>
      <c r="B4940" t="s">
        <v>19</v>
      </c>
      <c r="C4940" s="1">
        <v>45910</v>
      </c>
      <c r="D4940">
        <f t="shared" si="367"/>
        <v>10</v>
      </c>
      <c r="E4940">
        <f t="shared" si="368"/>
        <v>9</v>
      </c>
      <c r="F4940">
        <f t="shared" si="369"/>
        <v>2025</v>
      </c>
      <c r="G4940" t="s">
        <v>750</v>
      </c>
      <c r="H4940" s="180" t="s">
        <v>1291</v>
      </c>
      <c r="I4940" s="15">
        <v>7015.51</v>
      </c>
      <c r="J4940" s="12" t="s">
        <v>31</v>
      </c>
      <c r="K4940" s="76">
        <f t="shared" si="370"/>
        <v>7015.51</v>
      </c>
      <c r="L4940">
        <v>1</v>
      </c>
      <c r="M4940" s="76">
        <v>0</v>
      </c>
      <c r="N4940" t="s">
        <v>32</v>
      </c>
      <c r="O4940" t="s">
        <v>33</v>
      </c>
      <c r="P4940" t="s">
        <v>34</v>
      </c>
      <c r="Q4940" t="s">
        <v>34</v>
      </c>
      <c r="R4940" t="s">
        <v>34</v>
      </c>
      <c r="S4940" t="s">
        <v>34</v>
      </c>
      <c r="T4940" s="117">
        <v>0</v>
      </c>
    </row>
    <row r="4941" spans="1:20" x14ac:dyDescent="0.35">
      <c r="A4941" t="s">
        <v>19</v>
      </c>
      <c r="B4941" t="s">
        <v>19</v>
      </c>
      <c r="C4941" s="1">
        <v>45910</v>
      </c>
      <c r="D4941">
        <f t="shared" si="367"/>
        <v>10</v>
      </c>
      <c r="E4941">
        <f t="shared" si="368"/>
        <v>9</v>
      </c>
      <c r="F4941">
        <f t="shared" si="369"/>
        <v>2025</v>
      </c>
      <c r="G4941" t="s">
        <v>122</v>
      </c>
      <c r="H4941" s="121" t="s">
        <v>1299</v>
      </c>
      <c r="I4941" s="15">
        <v>6661.2</v>
      </c>
      <c r="J4941" s="12" t="s">
        <v>31</v>
      </c>
      <c r="K4941" s="76">
        <f t="shared" si="370"/>
        <v>6661.2</v>
      </c>
      <c r="L4941">
        <v>1</v>
      </c>
      <c r="M4941" s="76">
        <v>0</v>
      </c>
      <c r="N4941" t="s">
        <v>32</v>
      </c>
      <c r="O4941" t="s">
        <v>33</v>
      </c>
      <c r="P4941" t="s">
        <v>34</v>
      </c>
      <c r="Q4941" t="s">
        <v>34</v>
      </c>
      <c r="R4941" t="s">
        <v>34</v>
      </c>
      <c r="S4941" t="s">
        <v>34</v>
      </c>
      <c r="T4941" s="117">
        <v>0</v>
      </c>
    </row>
    <row r="4942" spans="1:20" x14ac:dyDescent="0.35">
      <c r="A4942" t="s">
        <v>19</v>
      </c>
      <c r="B4942" t="s">
        <v>19</v>
      </c>
      <c r="C4942" s="1">
        <v>45910</v>
      </c>
      <c r="D4942">
        <f t="shared" si="367"/>
        <v>10</v>
      </c>
      <c r="E4942">
        <f t="shared" si="368"/>
        <v>9</v>
      </c>
      <c r="F4942">
        <f t="shared" si="369"/>
        <v>2025</v>
      </c>
      <c r="G4942" t="s">
        <v>1327</v>
      </c>
      <c r="H4942" s="121" t="s">
        <v>1300</v>
      </c>
      <c r="I4942" s="15">
        <v>11648.55</v>
      </c>
      <c r="J4942" s="12" t="s">
        <v>31</v>
      </c>
      <c r="K4942" s="76">
        <f t="shared" si="370"/>
        <v>11648.55</v>
      </c>
      <c r="L4942">
        <v>1</v>
      </c>
      <c r="M4942" s="76">
        <v>0</v>
      </c>
      <c r="N4942" t="s">
        <v>32</v>
      </c>
      <c r="O4942" t="s">
        <v>33</v>
      </c>
      <c r="P4942" t="s">
        <v>34</v>
      </c>
      <c r="Q4942" t="s">
        <v>34</v>
      </c>
      <c r="R4942" t="s">
        <v>34</v>
      </c>
      <c r="S4942" t="s">
        <v>34</v>
      </c>
      <c r="T4942" s="117">
        <v>0</v>
      </c>
    </row>
    <row r="4943" spans="1:20" x14ac:dyDescent="0.35">
      <c r="A4943" t="s">
        <v>19</v>
      </c>
      <c r="B4943" t="s">
        <v>19</v>
      </c>
      <c r="C4943" s="1">
        <v>45910</v>
      </c>
      <c r="D4943">
        <f t="shared" si="367"/>
        <v>10</v>
      </c>
      <c r="E4943">
        <f t="shared" si="368"/>
        <v>9</v>
      </c>
      <c r="F4943">
        <f t="shared" si="369"/>
        <v>2025</v>
      </c>
      <c r="G4943" t="s">
        <v>111</v>
      </c>
      <c r="H4943" s="121" t="s">
        <v>1301</v>
      </c>
      <c r="I4943" s="15">
        <v>16784.59</v>
      </c>
      <c r="J4943" s="12" t="s">
        <v>31</v>
      </c>
      <c r="K4943" s="76">
        <f t="shared" si="370"/>
        <v>16784.59</v>
      </c>
      <c r="L4943">
        <v>1</v>
      </c>
      <c r="M4943" s="76">
        <v>0</v>
      </c>
      <c r="N4943" t="s">
        <v>32</v>
      </c>
      <c r="O4943" t="s">
        <v>33</v>
      </c>
      <c r="P4943" t="s">
        <v>34</v>
      </c>
      <c r="Q4943" t="s">
        <v>34</v>
      </c>
      <c r="R4943" t="s">
        <v>34</v>
      </c>
      <c r="S4943" t="s">
        <v>34</v>
      </c>
      <c r="T4943" s="117">
        <v>0</v>
      </c>
    </row>
    <row r="4944" spans="1:20" x14ac:dyDescent="0.35">
      <c r="A4944" t="s">
        <v>19</v>
      </c>
      <c r="B4944" t="s">
        <v>19</v>
      </c>
      <c r="C4944" s="1">
        <v>45910</v>
      </c>
      <c r="D4944">
        <f t="shared" si="367"/>
        <v>10</v>
      </c>
      <c r="E4944">
        <f t="shared" si="368"/>
        <v>9</v>
      </c>
      <c r="F4944">
        <f t="shared" si="369"/>
        <v>2025</v>
      </c>
      <c r="G4944" t="s">
        <v>183</v>
      </c>
      <c r="H4944" s="121" t="s">
        <v>1302</v>
      </c>
      <c r="I4944" s="15">
        <v>1493.4</v>
      </c>
      <c r="J4944" s="12" t="s">
        <v>31</v>
      </c>
      <c r="K4944" s="76">
        <f t="shared" si="370"/>
        <v>1493.4</v>
      </c>
      <c r="L4944">
        <v>1</v>
      </c>
      <c r="M4944" s="76">
        <v>0</v>
      </c>
      <c r="N4944" t="s">
        <v>32</v>
      </c>
      <c r="O4944" t="s">
        <v>33</v>
      </c>
      <c r="P4944" t="s">
        <v>34</v>
      </c>
      <c r="Q4944" t="s">
        <v>34</v>
      </c>
      <c r="R4944" t="s">
        <v>34</v>
      </c>
      <c r="S4944" t="s">
        <v>34</v>
      </c>
      <c r="T4944" s="117">
        <v>0</v>
      </c>
    </row>
    <row r="4945" spans="1:21" x14ac:dyDescent="0.35">
      <c r="A4945" t="s">
        <v>19</v>
      </c>
      <c r="B4945" t="s">
        <v>26</v>
      </c>
      <c r="C4945" s="1">
        <v>45911</v>
      </c>
      <c r="D4945">
        <f t="shared" si="367"/>
        <v>11</v>
      </c>
      <c r="E4945">
        <f t="shared" si="368"/>
        <v>9</v>
      </c>
      <c r="F4945">
        <f t="shared" si="369"/>
        <v>2025</v>
      </c>
      <c r="G4945" t="s">
        <v>73</v>
      </c>
      <c r="H4945" s="121">
        <v>13700</v>
      </c>
      <c r="I4945" s="76">
        <v>49221.06</v>
      </c>
      <c r="J4945" s="12" t="s">
        <v>51</v>
      </c>
      <c r="K4945" s="76">
        <f t="shared" si="370"/>
        <v>57829.823393999999</v>
      </c>
      <c r="L4945">
        <v>1.1749000000000001</v>
      </c>
      <c r="M4945" s="76">
        <v>0</v>
      </c>
      <c r="N4945" t="s">
        <v>32</v>
      </c>
      <c r="O4945" t="s">
        <v>33</v>
      </c>
      <c r="P4945" t="s">
        <v>34</v>
      </c>
      <c r="Q4945" t="s">
        <v>34</v>
      </c>
      <c r="R4945" t="s">
        <v>34</v>
      </c>
      <c r="S4945" t="s">
        <v>34</v>
      </c>
      <c r="T4945" s="117">
        <v>0</v>
      </c>
      <c r="U4945" s="209" t="s">
        <v>94</v>
      </c>
    </row>
    <row r="4946" spans="1:21" x14ac:dyDescent="0.35">
      <c r="A4946" t="s">
        <v>19</v>
      </c>
      <c r="B4946" t="s">
        <v>26</v>
      </c>
      <c r="C4946" s="1">
        <v>45911</v>
      </c>
      <c r="D4946">
        <f t="shared" si="367"/>
        <v>11</v>
      </c>
      <c r="E4946">
        <f t="shared" si="368"/>
        <v>9</v>
      </c>
      <c r="F4946">
        <f t="shared" si="369"/>
        <v>2025</v>
      </c>
      <c r="G4946" t="s">
        <v>73</v>
      </c>
      <c r="H4946" s="121">
        <v>13701</v>
      </c>
      <c r="I4946" s="76">
        <v>23190.04</v>
      </c>
      <c r="J4946" s="12" t="s">
        <v>51</v>
      </c>
      <c r="K4946" s="76">
        <f t="shared" si="370"/>
        <v>27245.977996000001</v>
      </c>
      <c r="L4946">
        <v>1.1749000000000001</v>
      </c>
      <c r="M4946" s="76">
        <v>0</v>
      </c>
      <c r="N4946" t="s">
        <v>32</v>
      </c>
      <c r="O4946" t="s">
        <v>33</v>
      </c>
      <c r="P4946" t="s">
        <v>34</v>
      </c>
      <c r="Q4946" t="s">
        <v>34</v>
      </c>
      <c r="R4946" t="s">
        <v>34</v>
      </c>
      <c r="S4946" t="s">
        <v>34</v>
      </c>
      <c r="T4946" s="117">
        <v>0</v>
      </c>
      <c r="U4946" s="209" t="s">
        <v>94</v>
      </c>
    </row>
    <row r="4947" spans="1:21" x14ac:dyDescent="0.35">
      <c r="A4947" t="s">
        <v>19</v>
      </c>
      <c r="B4947" t="s">
        <v>26</v>
      </c>
      <c r="C4947" s="1">
        <v>45911</v>
      </c>
      <c r="D4947">
        <f t="shared" si="367"/>
        <v>11</v>
      </c>
      <c r="E4947">
        <f t="shared" si="368"/>
        <v>9</v>
      </c>
      <c r="F4947">
        <f t="shared" si="369"/>
        <v>2025</v>
      </c>
      <c r="G4947" t="s">
        <v>73</v>
      </c>
      <c r="H4947" s="121">
        <v>13702</v>
      </c>
      <c r="I4947" s="76">
        <v>15251.83</v>
      </c>
      <c r="J4947" s="12" t="s">
        <v>51</v>
      </c>
      <c r="K4947" s="76">
        <f t="shared" si="370"/>
        <v>17919.375067000001</v>
      </c>
      <c r="L4947">
        <v>1.1749000000000001</v>
      </c>
      <c r="M4947" s="76">
        <v>0</v>
      </c>
      <c r="N4947" t="s">
        <v>32</v>
      </c>
      <c r="O4947" t="s">
        <v>33</v>
      </c>
      <c r="P4947" t="s">
        <v>34</v>
      </c>
      <c r="Q4947" t="s">
        <v>34</v>
      </c>
      <c r="R4947" t="s">
        <v>34</v>
      </c>
      <c r="S4947" t="s">
        <v>34</v>
      </c>
      <c r="T4947" s="117">
        <v>0</v>
      </c>
      <c r="U4947" s="209" t="s">
        <v>94</v>
      </c>
    </row>
    <row r="4948" spans="1:21" x14ac:dyDescent="0.35">
      <c r="A4948" t="s">
        <v>19</v>
      </c>
      <c r="B4948" t="s">
        <v>26</v>
      </c>
      <c r="C4948" s="1">
        <v>45911</v>
      </c>
      <c r="D4948">
        <f t="shared" si="367"/>
        <v>11</v>
      </c>
      <c r="E4948">
        <f t="shared" si="368"/>
        <v>9</v>
      </c>
      <c r="F4948">
        <f t="shared" si="369"/>
        <v>2025</v>
      </c>
      <c r="G4948" t="s">
        <v>73</v>
      </c>
      <c r="H4948" s="121">
        <v>13703</v>
      </c>
      <c r="I4948" s="76">
        <v>1797.14</v>
      </c>
      <c r="J4948" s="12" t="s">
        <v>51</v>
      </c>
      <c r="K4948" s="76">
        <f t="shared" si="370"/>
        <v>2111.4597860000003</v>
      </c>
      <c r="L4948">
        <v>1.1749000000000001</v>
      </c>
      <c r="M4948" s="76">
        <v>0</v>
      </c>
      <c r="N4948" t="s">
        <v>32</v>
      </c>
      <c r="O4948" t="s">
        <v>33</v>
      </c>
      <c r="P4948" t="s">
        <v>34</v>
      </c>
      <c r="Q4948" t="s">
        <v>34</v>
      </c>
      <c r="R4948" t="s">
        <v>34</v>
      </c>
      <c r="S4948" t="s">
        <v>34</v>
      </c>
      <c r="T4948" s="117">
        <v>0</v>
      </c>
      <c r="U4948" s="209" t="s">
        <v>94</v>
      </c>
    </row>
    <row r="4949" spans="1:21" x14ac:dyDescent="0.35">
      <c r="A4949" t="s">
        <v>19</v>
      </c>
      <c r="B4949" t="s">
        <v>26</v>
      </c>
      <c r="C4949" s="1">
        <v>45911</v>
      </c>
      <c r="D4949">
        <f t="shared" si="367"/>
        <v>11</v>
      </c>
      <c r="E4949">
        <f t="shared" si="368"/>
        <v>9</v>
      </c>
      <c r="F4949">
        <f t="shared" si="369"/>
        <v>2025</v>
      </c>
      <c r="G4949" t="s">
        <v>73</v>
      </c>
      <c r="H4949" s="121">
        <v>13724</v>
      </c>
      <c r="I4949" s="76">
        <v>56573.25</v>
      </c>
      <c r="J4949" s="12" t="s">
        <v>51</v>
      </c>
      <c r="K4949" s="76">
        <f t="shared" si="370"/>
        <v>66467.911424999998</v>
      </c>
      <c r="L4949">
        <v>1.1749000000000001</v>
      </c>
      <c r="M4949" s="76">
        <v>0</v>
      </c>
      <c r="N4949" t="s">
        <v>32</v>
      </c>
      <c r="O4949" t="s">
        <v>33</v>
      </c>
      <c r="P4949" t="s">
        <v>34</v>
      </c>
      <c r="Q4949" t="s">
        <v>34</v>
      </c>
      <c r="R4949" t="s">
        <v>34</v>
      </c>
      <c r="S4949" t="s">
        <v>34</v>
      </c>
      <c r="T4949" s="117">
        <v>0</v>
      </c>
      <c r="U4949" s="209" t="s">
        <v>94</v>
      </c>
    </row>
    <row r="4950" spans="1:21" x14ac:dyDescent="0.35">
      <c r="A4950" t="s">
        <v>19</v>
      </c>
      <c r="B4950" t="s">
        <v>26</v>
      </c>
      <c r="C4950" s="1">
        <v>45911</v>
      </c>
      <c r="D4950">
        <f t="shared" si="367"/>
        <v>11</v>
      </c>
      <c r="E4950">
        <f t="shared" si="368"/>
        <v>9</v>
      </c>
      <c r="F4950">
        <f t="shared" si="369"/>
        <v>2025</v>
      </c>
      <c r="G4950" t="s">
        <v>187</v>
      </c>
      <c r="H4950" s="121">
        <v>0</v>
      </c>
      <c r="I4950" s="76">
        <v>67747.23</v>
      </c>
      <c r="J4950" s="12" t="s">
        <v>51</v>
      </c>
      <c r="K4950" s="76">
        <f t="shared" si="370"/>
        <v>79596.220526999998</v>
      </c>
      <c r="L4950">
        <v>1.1749000000000001</v>
      </c>
      <c r="M4950" s="76">
        <v>0</v>
      </c>
      <c r="N4950" t="s">
        <v>32</v>
      </c>
      <c r="O4950" t="s">
        <v>33</v>
      </c>
      <c r="P4950" t="s">
        <v>34</v>
      </c>
      <c r="Q4950" t="s">
        <v>34</v>
      </c>
      <c r="R4950" t="s">
        <v>34</v>
      </c>
      <c r="S4950" t="s">
        <v>34</v>
      </c>
      <c r="T4950" s="117">
        <v>0</v>
      </c>
      <c r="U4950" s="209" t="s">
        <v>94</v>
      </c>
    </row>
    <row r="4951" spans="1:21" x14ac:dyDescent="0.35">
      <c r="A4951" t="s">
        <v>19</v>
      </c>
      <c r="B4951" t="s">
        <v>23</v>
      </c>
      <c r="C4951" s="1">
        <v>45917</v>
      </c>
      <c r="D4951">
        <f t="shared" si="367"/>
        <v>17</v>
      </c>
      <c r="E4951">
        <f t="shared" si="368"/>
        <v>9</v>
      </c>
      <c r="F4951">
        <f t="shared" si="369"/>
        <v>2025</v>
      </c>
      <c r="G4951" t="s">
        <v>74</v>
      </c>
      <c r="H4951" s="121">
        <v>13211</v>
      </c>
      <c r="I4951" s="76">
        <v>40893.35</v>
      </c>
      <c r="J4951" s="12" t="s">
        <v>31</v>
      </c>
      <c r="K4951" s="76">
        <f t="shared" si="370"/>
        <v>40893.35</v>
      </c>
      <c r="L4951">
        <v>1</v>
      </c>
      <c r="M4951" s="76">
        <v>0</v>
      </c>
      <c r="N4951" t="s">
        <v>32</v>
      </c>
      <c r="O4951" t="s">
        <v>33</v>
      </c>
      <c r="P4951" t="s">
        <v>34</v>
      </c>
      <c r="Q4951" t="s">
        <v>34</v>
      </c>
      <c r="R4951" t="s">
        <v>34</v>
      </c>
      <c r="S4951" t="s">
        <v>34</v>
      </c>
      <c r="T4951" s="117">
        <v>0</v>
      </c>
    </row>
    <row r="4952" spans="1:21" x14ac:dyDescent="0.35">
      <c r="A4952" t="s">
        <v>19</v>
      </c>
      <c r="B4952" t="s">
        <v>23</v>
      </c>
      <c r="C4952" s="1">
        <v>45917</v>
      </c>
      <c r="D4952">
        <f t="shared" si="367"/>
        <v>17</v>
      </c>
      <c r="E4952">
        <f t="shared" si="368"/>
        <v>9</v>
      </c>
      <c r="F4952">
        <f t="shared" si="369"/>
        <v>2025</v>
      </c>
      <c r="G4952" t="s">
        <v>76</v>
      </c>
      <c r="H4952" s="121">
        <v>13182</v>
      </c>
      <c r="I4952" s="76">
        <v>294.27999999999997</v>
      </c>
      <c r="J4952" s="12" t="s">
        <v>31</v>
      </c>
      <c r="K4952" s="76">
        <f t="shared" si="370"/>
        <v>294.27999999999997</v>
      </c>
      <c r="L4952">
        <v>1</v>
      </c>
      <c r="M4952" s="76">
        <v>0</v>
      </c>
      <c r="N4952" t="s">
        <v>32</v>
      </c>
      <c r="O4952" t="s">
        <v>33</v>
      </c>
      <c r="P4952" t="s">
        <v>34</v>
      </c>
      <c r="Q4952" t="s">
        <v>34</v>
      </c>
      <c r="R4952" t="s">
        <v>34</v>
      </c>
      <c r="S4952" t="s">
        <v>34</v>
      </c>
      <c r="T4952" s="117">
        <v>0</v>
      </c>
    </row>
    <row r="4953" spans="1:21" x14ac:dyDescent="0.35">
      <c r="A4953" t="s">
        <v>19</v>
      </c>
      <c r="B4953" t="s">
        <v>23</v>
      </c>
      <c r="C4953" s="1">
        <v>45917</v>
      </c>
      <c r="D4953">
        <f t="shared" si="367"/>
        <v>17</v>
      </c>
      <c r="E4953">
        <f t="shared" si="368"/>
        <v>9</v>
      </c>
      <c r="F4953">
        <f t="shared" si="369"/>
        <v>2025</v>
      </c>
      <c r="G4953" t="s">
        <v>76</v>
      </c>
      <c r="H4953" s="121">
        <v>13658</v>
      </c>
      <c r="I4953" s="76">
        <v>62066.9</v>
      </c>
      <c r="J4953" s="12" t="s">
        <v>31</v>
      </c>
      <c r="K4953" s="76">
        <f t="shared" si="370"/>
        <v>62066.9</v>
      </c>
      <c r="L4953">
        <v>1</v>
      </c>
      <c r="M4953" s="76">
        <v>0</v>
      </c>
      <c r="N4953" t="s">
        <v>32</v>
      </c>
      <c r="O4953" t="s">
        <v>33</v>
      </c>
      <c r="P4953" t="s">
        <v>34</v>
      </c>
      <c r="Q4953" t="s">
        <v>34</v>
      </c>
      <c r="R4953" t="s">
        <v>34</v>
      </c>
      <c r="S4953" t="s">
        <v>34</v>
      </c>
      <c r="T4953" s="117">
        <v>0</v>
      </c>
    </row>
    <row r="4954" spans="1:21" x14ac:dyDescent="0.35">
      <c r="A4954" t="s">
        <v>19</v>
      </c>
      <c r="B4954" t="s">
        <v>21</v>
      </c>
      <c r="C4954" s="1">
        <v>45917</v>
      </c>
      <c r="D4954">
        <f t="shared" si="367"/>
        <v>17</v>
      </c>
      <c r="E4954">
        <f t="shared" si="368"/>
        <v>9</v>
      </c>
      <c r="F4954">
        <f t="shared" si="369"/>
        <v>2025</v>
      </c>
      <c r="G4954" t="s">
        <v>76</v>
      </c>
      <c r="H4954" s="121">
        <v>13658</v>
      </c>
      <c r="I4954" s="76">
        <v>42687.46</v>
      </c>
      <c r="J4954" s="12" t="s">
        <v>31</v>
      </c>
      <c r="K4954" s="76">
        <f t="shared" si="370"/>
        <v>42687.46</v>
      </c>
      <c r="L4954">
        <v>1</v>
      </c>
      <c r="M4954" s="76">
        <v>0</v>
      </c>
      <c r="N4954" t="s">
        <v>32</v>
      </c>
      <c r="O4954" t="s">
        <v>33</v>
      </c>
      <c r="P4954" t="s">
        <v>34</v>
      </c>
      <c r="Q4954" t="s">
        <v>34</v>
      </c>
      <c r="R4954" t="s">
        <v>34</v>
      </c>
      <c r="S4954" t="s">
        <v>34</v>
      </c>
      <c r="T4954" s="117">
        <v>0</v>
      </c>
    </row>
    <row r="4955" spans="1:21" x14ac:dyDescent="0.35">
      <c r="A4955" t="s">
        <v>19</v>
      </c>
      <c r="B4955" t="s">
        <v>25</v>
      </c>
      <c r="C4955" s="1">
        <v>45917</v>
      </c>
      <c r="D4955">
        <f t="shared" si="367"/>
        <v>17</v>
      </c>
      <c r="E4955">
        <f t="shared" si="368"/>
        <v>9</v>
      </c>
      <c r="F4955">
        <f t="shared" si="369"/>
        <v>2025</v>
      </c>
      <c r="G4955" t="s">
        <v>351</v>
      </c>
      <c r="H4955" s="121">
        <v>12812</v>
      </c>
      <c r="I4955" s="76">
        <v>13108.5</v>
      </c>
      <c r="J4955" s="12" t="s">
        <v>31</v>
      </c>
      <c r="K4955" s="76">
        <f t="shared" si="370"/>
        <v>13108.5</v>
      </c>
      <c r="L4955">
        <v>1</v>
      </c>
      <c r="M4955" s="76">
        <v>0</v>
      </c>
      <c r="N4955" t="s">
        <v>32</v>
      </c>
      <c r="O4955" t="s">
        <v>33</v>
      </c>
      <c r="P4955" t="s">
        <v>34</v>
      </c>
      <c r="Q4955" t="s">
        <v>34</v>
      </c>
      <c r="R4955" t="s">
        <v>34</v>
      </c>
      <c r="S4955" t="s">
        <v>34</v>
      </c>
      <c r="T4955" s="117">
        <v>0</v>
      </c>
    </row>
    <row r="4956" spans="1:21" x14ac:dyDescent="0.35">
      <c r="A4956" t="s">
        <v>19</v>
      </c>
      <c r="B4956" t="s">
        <v>25</v>
      </c>
      <c r="C4956" s="1">
        <v>45917</v>
      </c>
      <c r="D4956">
        <f t="shared" si="367"/>
        <v>17</v>
      </c>
      <c r="E4956">
        <f t="shared" si="368"/>
        <v>9</v>
      </c>
      <c r="F4956">
        <f t="shared" si="369"/>
        <v>2025</v>
      </c>
      <c r="G4956" t="s">
        <v>351</v>
      </c>
      <c r="H4956" s="121">
        <v>12834</v>
      </c>
      <c r="I4956" s="76">
        <v>13312.81</v>
      </c>
      <c r="J4956" s="12" t="s">
        <v>31</v>
      </c>
      <c r="K4956" s="76">
        <f t="shared" si="370"/>
        <v>13312.81</v>
      </c>
      <c r="L4956">
        <v>1</v>
      </c>
      <c r="M4956" s="76">
        <v>0</v>
      </c>
      <c r="N4956" t="s">
        <v>32</v>
      </c>
      <c r="O4956" t="s">
        <v>33</v>
      </c>
      <c r="P4956" t="s">
        <v>34</v>
      </c>
      <c r="Q4956" t="s">
        <v>34</v>
      </c>
      <c r="R4956" t="s">
        <v>34</v>
      </c>
      <c r="S4956" t="s">
        <v>34</v>
      </c>
      <c r="T4956" s="117">
        <v>0</v>
      </c>
    </row>
    <row r="4957" spans="1:21" x14ac:dyDescent="0.35">
      <c r="A4957" t="s">
        <v>19</v>
      </c>
      <c r="B4957" t="s">
        <v>25</v>
      </c>
      <c r="C4957" s="1">
        <v>45917</v>
      </c>
      <c r="D4957">
        <f t="shared" si="367"/>
        <v>17</v>
      </c>
      <c r="E4957">
        <f t="shared" si="368"/>
        <v>9</v>
      </c>
      <c r="F4957">
        <f t="shared" si="369"/>
        <v>2025</v>
      </c>
      <c r="G4957" t="s">
        <v>1146</v>
      </c>
      <c r="H4957" s="121">
        <v>13109</v>
      </c>
      <c r="I4957" s="76">
        <v>334.4</v>
      </c>
      <c r="J4957" s="12" t="s">
        <v>51</v>
      </c>
      <c r="K4957" s="76">
        <f t="shared" si="370"/>
        <v>396.86592000000002</v>
      </c>
      <c r="L4957" s="2">
        <v>1.1868000000000001</v>
      </c>
      <c r="M4957" s="76">
        <v>0</v>
      </c>
      <c r="N4957" t="s">
        <v>32</v>
      </c>
      <c r="O4957" t="s">
        <v>33</v>
      </c>
      <c r="P4957" t="s">
        <v>34</v>
      </c>
      <c r="Q4957" t="s">
        <v>34</v>
      </c>
      <c r="R4957" t="s">
        <v>34</v>
      </c>
      <c r="S4957" t="s">
        <v>34</v>
      </c>
      <c r="T4957" s="117">
        <v>0</v>
      </c>
    </row>
    <row r="4958" spans="1:21" x14ac:dyDescent="0.35">
      <c r="A4958" t="s">
        <v>19</v>
      </c>
      <c r="B4958" t="s">
        <v>25</v>
      </c>
      <c r="C4958" s="1">
        <v>45917</v>
      </c>
      <c r="D4958">
        <f t="shared" si="367"/>
        <v>17</v>
      </c>
      <c r="E4958">
        <f t="shared" si="368"/>
        <v>9</v>
      </c>
      <c r="F4958">
        <f t="shared" si="369"/>
        <v>2025</v>
      </c>
      <c r="G4958" t="s">
        <v>1146</v>
      </c>
      <c r="H4958" s="121">
        <v>13753</v>
      </c>
      <c r="I4958" s="76">
        <v>144632.01</v>
      </c>
      <c r="J4958" s="12" t="s">
        <v>51</v>
      </c>
      <c r="K4958" s="76">
        <f>IF(J4958="USD",I4958,I4958*L4958)-0.01</f>
        <v>171649.259468</v>
      </c>
      <c r="L4958" s="2">
        <v>1.1868000000000001</v>
      </c>
      <c r="M4958" s="76">
        <v>0</v>
      </c>
      <c r="N4958" t="s">
        <v>42</v>
      </c>
      <c r="O4958" t="s">
        <v>33</v>
      </c>
      <c r="P4958" t="s">
        <v>34</v>
      </c>
      <c r="Q4958" t="s">
        <v>34</v>
      </c>
      <c r="R4958" t="s">
        <v>34</v>
      </c>
      <c r="S4958" t="s">
        <v>34</v>
      </c>
      <c r="T4958" s="117">
        <v>0</v>
      </c>
    </row>
    <row r="4959" spans="1:21" x14ac:dyDescent="0.35">
      <c r="A4959" t="s">
        <v>19</v>
      </c>
      <c r="B4959" t="s">
        <v>24</v>
      </c>
      <c r="C4959" s="1">
        <v>45917</v>
      </c>
      <c r="D4959">
        <f t="shared" si="367"/>
        <v>17</v>
      </c>
      <c r="E4959">
        <f t="shared" si="368"/>
        <v>9</v>
      </c>
      <c r="F4959">
        <f t="shared" si="369"/>
        <v>2025</v>
      </c>
      <c r="G4959" t="s">
        <v>36</v>
      </c>
      <c r="H4959" s="121">
        <v>13007</v>
      </c>
      <c r="I4959" s="76">
        <v>31.28</v>
      </c>
      <c r="J4959" s="12" t="s">
        <v>31</v>
      </c>
      <c r="K4959" s="76">
        <f t="shared" ref="K4959:K4990" si="371">IF(J4959="USD",I4959,I4959*L4959)</f>
        <v>31.28</v>
      </c>
      <c r="L4959">
        <v>1</v>
      </c>
      <c r="M4959" s="76">
        <v>0</v>
      </c>
      <c r="N4959" t="s">
        <v>32</v>
      </c>
      <c r="O4959" t="s">
        <v>33</v>
      </c>
      <c r="P4959" t="s">
        <v>34</v>
      </c>
      <c r="Q4959" t="s">
        <v>34</v>
      </c>
      <c r="R4959" t="s">
        <v>34</v>
      </c>
      <c r="S4959" t="s">
        <v>34</v>
      </c>
      <c r="T4959" s="117">
        <v>0</v>
      </c>
    </row>
    <row r="4960" spans="1:21" x14ac:dyDescent="0.35">
      <c r="A4960" t="s">
        <v>19</v>
      </c>
      <c r="B4960" t="s">
        <v>21</v>
      </c>
      <c r="C4960" s="1">
        <v>45917</v>
      </c>
      <c r="D4960">
        <f t="shared" si="367"/>
        <v>17</v>
      </c>
      <c r="E4960">
        <f t="shared" si="368"/>
        <v>9</v>
      </c>
      <c r="F4960">
        <f t="shared" si="369"/>
        <v>2025</v>
      </c>
      <c r="G4960" t="s">
        <v>36</v>
      </c>
      <c r="H4960" s="121">
        <v>13052</v>
      </c>
      <c r="I4960" s="76">
        <v>123.34</v>
      </c>
      <c r="J4960" s="12" t="s">
        <v>31</v>
      </c>
      <c r="K4960" s="76">
        <f t="shared" si="371"/>
        <v>123.34</v>
      </c>
      <c r="L4960">
        <v>1</v>
      </c>
      <c r="M4960" s="76">
        <v>0</v>
      </c>
      <c r="N4960" t="s">
        <v>32</v>
      </c>
      <c r="O4960" t="s">
        <v>33</v>
      </c>
      <c r="P4960" t="s">
        <v>34</v>
      </c>
      <c r="Q4960" t="s">
        <v>34</v>
      </c>
      <c r="R4960" t="s">
        <v>34</v>
      </c>
      <c r="S4960" t="s">
        <v>34</v>
      </c>
      <c r="T4960" s="117">
        <v>0</v>
      </c>
    </row>
    <row r="4961" spans="1:21" x14ac:dyDescent="0.35">
      <c r="A4961" t="s">
        <v>19</v>
      </c>
      <c r="B4961" t="s">
        <v>21</v>
      </c>
      <c r="C4961" s="1">
        <v>45917</v>
      </c>
      <c r="D4961">
        <f t="shared" si="367"/>
        <v>17</v>
      </c>
      <c r="E4961">
        <f t="shared" si="368"/>
        <v>9</v>
      </c>
      <c r="F4961">
        <f t="shared" si="369"/>
        <v>2025</v>
      </c>
      <c r="G4961" t="s">
        <v>36</v>
      </c>
      <c r="H4961" s="121">
        <v>13054</v>
      </c>
      <c r="I4961" s="76">
        <v>245.32</v>
      </c>
      <c r="J4961" s="12" t="s">
        <v>31</v>
      </c>
      <c r="K4961" s="76">
        <f t="shared" si="371"/>
        <v>245.32</v>
      </c>
      <c r="L4961">
        <v>1</v>
      </c>
      <c r="M4961" s="76">
        <v>0</v>
      </c>
      <c r="N4961" t="s">
        <v>32</v>
      </c>
      <c r="O4961" t="s">
        <v>33</v>
      </c>
      <c r="P4961" t="s">
        <v>34</v>
      </c>
      <c r="Q4961" t="s">
        <v>34</v>
      </c>
      <c r="R4961" t="s">
        <v>34</v>
      </c>
      <c r="S4961" t="s">
        <v>34</v>
      </c>
      <c r="T4961" s="117">
        <v>0</v>
      </c>
    </row>
    <row r="4962" spans="1:21" x14ac:dyDescent="0.35">
      <c r="A4962" t="s">
        <v>19</v>
      </c>
      <c r="B4962" t="s">
        <v>25</v>
      </c>
      <c r="C4962" s="1">
        <v>45917</v>
      </c>
      <c r="D4962">
        <f t="shared" ref="D4962:D5025" si="372">DAY(C4962)</f>
        <v>17</v>
      </c>
      <c r="E4962">
        <f t="shared" ref="E4962:E5025" si="373">MONTH(C4962)</f>
        <v>9</v>
      </c>
      <c r="F4962">
        <f t="shared" ref="F4962:F5025" si="374">YEAR(C4962)</f>
        <v>2025</v>
      </c>
      <c r="G4962" t="s">
        <v>36</v>
      </c>
      <c r="H4962" s="121">
        <v>13183</v>
      </c>
      <c r="I4962" s="76">
        <v>51</v>
      </c>
      <c r="J4962" s="12" t="s">
        <v>31</v>
      </c>
      <c r="K4962" s="76">
        <f t="shared" si="371"/>
        <v>51</v>
      </c>
      <c r="L4962">
        <v>1</v>
      </c>
      <c r="M4962" s="76">
        <v>0</v>
      </c>
      <c r="N4962" t="s">
        <v>32</v>
      </c>
      <c r="O4962" t="s">
        <v>33</v>
      </c>
      <c r="P4962" t="s">
        <v>34</v>
      </c>
      <c r="Q4962" t="s">
        <v>34</v>
      </c>
      <c r="R4962" t="s">
        <v>34</v>
      </c>
      <c r="S4962" t="s">
        <v>34</v>
      </c>
      <c r="T4962" s="117">
        <v>0</v>
      </c>
    </row>
    <row r="4963" spans="1:21" x14ac:dyDescent="0.35">
      <c r="A4963" t="s">
        <v>19</v>
      </c>
      <c r="B4963" t="s">
        <v>21</v>
      </c>
      <c r="C4963" s="1">
        <v>45917</v>
      </c>
      <c r="D4963">
        <f t="shared" si="372"/>
        <v>17</v>
      </c>
      <c r="E4963">
        <f t="shared" si="373"/>
        <v>9</v>
      </c>
      <c r="F4963">
        <f t="shared" si="374"/>
        <v>2025</v>
      </c>
      <c r="G4963" t="s">
        <v>36</v>
      </c>
      <c r="H4963" s="121">
        <v>13369</v>
      </c>
      <c r="I4963" s="76">
        <v>168.06</v>
      </c>
      <c r="J4963" s="12" t="s">
        <v>31</v>
      </c>
      <c r="K4963" s="76">
        <f t="shared" si="371"/>
        <v>168.06</v>
      </c>
      <c r="L4963">
        <v>1</v>
      </c>
      <c r="M4963" s="76">
        <v>0</v>
      </c>
      <c r="N4963" t="s">
        <v>32</v>
      </c>
      <c r="O4963" t="s">
        <v>33</v>
      </c>
      <c r="P4963" t="s">
        <v>34</v>
      </c>
      <c r="Q4963" t="s">
        <v>34</v>
      </c>
      <c r="R4963" t="s">
        <v>34</v>
      </c>
      <c r="S4963" t="s">
        <v>34</v>
      </c>
      <c r="T4963" s="117">
        <v>0</v>
      </c>
    </row>
    <row r="4964" spans="1:21" x14ac:dyDescent="0.35">
      <c r="A4964" t="s">
        <v>19</v>
      </c>
      <c r="B4964" t="s">
        <v>21</v>
      </c>
      <c r="C4964" s="1">
        <v>45917</v>
      </c>
      <c r="D4964">
        <f t="shared" si="372"/>
        <v>17</v>
      </c>
      <c r="E4964">
        <f t="shared" si="373"/>
        <v>9</v>
      </c>
      <c r="F4964">
        <f t="shared" si="374"/>
        <v>2025</v>
      </c>
      <c r="G4964" t="s">
        <v>39</v>
      </c>
      <c r="H4964" s="121">
        <v>13272</v>
      </c>
      <c r="I4964" s="76">
        <v>5804.5</v>
      </c>
      <c r="J4964" s="12" t="s">
        <v>31</v>
      </c>
      <c r="K4964" s="76">
        <f t="shared" si="371"/>
        <v>5804.5</v>
      </c>
      <c r="L4964">
        <v>1</v>
      </c>
      <c r="M4964" s="76">
        <v>0</v>
      </c>
      <c r="N4964" t="s">
        <v>32</v>
      </c>
      <c r="O4964" t="s">
        <v>33</v>
      </c>
      <c r="P4964" t="s">
        <v>34</v>
      </c>
      <c r="Q4964" t="s">
        <v>34</v>
      </c>
      <c r="R4964" t="s">
        <v>34</v>
      </c>
      <c r="S4964" t="s">
        <v>34</v>
      </c>
      <c r="T4964" s="117">
        <v>0</v>
      </c>
    </row>
    <row r="4965" spans="1:21" x14ac:dyDescent="0.35">
      <c r="A4965" t="s">
        <v>19</v>
      </c>
      <c r="B4965" t="s">
        <v>25</v>
      </c>
      <c r="C4965" s="1">
        <v>45917</v>
      </c>
      <c r="D4965">
        <f t="shared" si="372"/>
        <v>17</v>
      </c>
      <c r="E4965">
        <f t="shared" si="373"/>
        <v>9</v>
      </c>
      <c r="F4965">
        <f t="shared" si="374"/>
        <v>2025</v>
      </c>
      <c r="G4965" t="s">
        <v>980</v>
      </c>
      <c r="H4965" s="121">
        <v>13745</v>
      </c>
      <c r="I4965" s="76">
        <v>25376.400000000001</v>
      </c>
      <c r="J4965" s="12" t="s">
        <v>51</v>
      </c>
      <c r="K4965" s="76">
        <f t="shared" si="371"/>
        <v>30116.711520000004</v>
      </c>
      <c r="L4965" s="2">
        <v>1.1868000000000001</v>
      </c>
      <c r="M4965" s="76">
        <v>0</v>
      </c>
      <c r="N4965" t="s">
        <v>42</v>
      </c>
      <c r="O4965" t="s">
        <v>33</v>
      </c>
      <c r="P4965" t="s">
        <v>34</v>
      </c>
      <c r="Q4965" t="s">
        <v>34</v>
      </c>
      <c r="R4965" t="s">
        <v>34</v>
      </c>
      <c r="S4965" t="s">
        <v>34</v>
      </c>
      <c r="T4965" s="117">
        <v>0</v>
      </c>
    </row>
    <row r="4966" spans="1:21" x14ac:dyDescent="0.35">
      <c r="A4966" t="s">
        <v>19</v>
      </c>
      <c r="B4966" t="s">
        <v>25</v>
      </c>
      <c r="C4966" s="1">
        <v>45917</v>
      </c>
      <c r="D4966">
        <f t="shared" si="372"/>
        <v>17</v>
      </c>
      <c r="E4966">
        <f t="shared" si="373"/>
        <v>9</v>
      </c>
      <c r="F4966">
        <f t="shared" si="374"/>
        <v>2025</v>
      </c>
      <c r="G4966" t="s">
        <v>980</v>
      </c>
      <c r="H4966" s="121">
        <v>13747</v>
      </c>
      <c r="I4966" s="76">
        <v>18688.53</v>
      </c>
      <c r="J4966" s="12" t="s">
        <v>51</v>
      </c>
      <c r="K4966" s="76">
        <f t="shared" si="371"/>
        <v>22179.547404000001</v>
      </c>
      <c r="L4966" s="2">
        <v>1.1868000000000001</v>
      </c>
      <c r="M4966" s="76">
        <v>0</v>
      </c>
      <c r="N4966" t="s">
        <v>42</v>
      </c>
      <c r="O4966" t="s">
        <v>33</v>
      </c>
      <c r="P4966" t="s">
        <v>34</v>
      </c>
      <c r="Q4966" t="s">
        <v>34</v>
      </c>
      <c r="R4966" t="s">
        <v>34</v>
      </c>
      <c r="S4966" t="s">
        <v>34</v>
      </c>
      <c r="T4966" s="117">
        <v>0</v>
      </c>
    </row>
    <row r="4967" spans="1:21" x14ac:dyDescent="0.35">
      <c r="A4967" t="s">
        <v>19</v>
      </c>
      <c r="B4967" t="s">
        <v>25</v>
      </c>
      <c r="C4967" s="1">
        <v>45917</v>
      </c>
      <c r="D4967">
        <f t="shared" si="372"/>
        <v>17</v>
      </c>
      <c r="E4967">
        <f t="shared" si="373"/>
        <v>9</v>
      </c>
      <c r="F4967">
        <f t="shared" si="374"/>
        <v>2025</v>
      </c>
      <c r="G4967" t="s">
        <v>80</v>
      </c>
      <c r="H4967" s="121">
        <v>12536</v>
      </c>
      <c r="I4967" s="76">
        <v>40392.5</v>
      </c>
      <c r="J4967" s="12" t="s">
        <v>31</v>
      </c>
      <c r="K4967" s="76">
        <f t="shared" si="371"/>
        <v>40392.5</v>
      </c>
      <c r="L4967">
        <v>1</v>
      </c>
      <c r="M4967" s="76">
        <v>0</v>
      </c>
      <c r="N4967" t="s">
        <v>42</v>
      </c>
      <c r="O4967" t="s">
        <v>33</v>
      </c>
      <c r="P4967" t="s">
        <v>34</v>
      </c>
      <c r="Q4967" t="s">
        <v>34</v>
      </c>
      <c r="R4967" t="s">
        <v>34</v>
      </c>
      <c r="S4967" t="s">
        <v>34</v>
      </c>
      <c r="T4967" s="117">
        <v>0</v>
      </c>
    </row>
    <row r="4968" spans="1:21" x14ac:dyDescent="0.35">
      <c r="A4968" t="s">
        <v>19</v>
      </c>
      <c r="B4968" t="s">
        <v>25</v>
      </c>
      <c r="C4968" s="1">
        <v>45917</v>
      </c>
      <c r="D4968">
        <f t="shared" si="372"/>
        <v>17</v>
      </c>
      <c r="E4968">
        <f t="shared" si="373"/>
        <v>9</v>
      </c>
      <c r="F4968">
        <f t="shared" si="374"/>
        <v>2025</v>
      </c>
      <c r="G4968" t="s">
        <v>93</v>
      </c>
      <c r="H4968" s="121">
        <v>12543</v>
      </c>
      <c r="I4968" s="76">
        <v>2900.37</v>
      </c>
      <c r="J4968" s="12" t="s">
        <v>31</v>
      </c>
      <c r="K4968" s="76">
        <f t="shared" si="371"/>
        <v>2900.37</v>
      </c>
      <c r="L4968">
        <v>1</v>
      </c>
      <c r="M4968" s="76">
        <v>0</v>
      </c>
      <c r="N4968" t="s">
        <v>32</v>
      </c>
      <c r="O4968" t="s">
        <v>33</v>
      </c>
      <c r="P4968" t="s">
        <v>34</v>
      </c>
      <c r="Q4968" t="s">
        <v>34</v>
      </c>
      <c r="R4968" t="s">
        <v>34</v>
      </c>
      <c r="S4968" t="s">
        <v>34</v>
      </c>
      <c r="T4968" s="117">
        <v>0</v>
      </c>
    </row>
    <row r="4969" spans="1:21" x14ac:dyDescent="0.35">
      <c r="A4969" t="s">
        <v>20</v>
      </c>
      <c r="B4969" t="s">
        <v>23</v>
      </c>
      <c r="C4969" s="1">
        <v>45917</v>
      </c>
      <c r="D4969">
        <f t="shared" si="372"/>
        <v>17</v>
      </c>
      <c r="E4969">
        <f t="shared" si="373"/>
        <v>9</v>
      </c>
      <c r="F4969">
        <f t="shared" si="374"/>
        <v>2025</v>
      </c>
      <c r="G4969" t="s">
        <v>82</v>
      </c>
      <c r="H4969" s="121">
        <v>12960</v>
      </c>
      <c r="I4969" s="76">
        <v>15588.2</v>
      </c>
      <c r="J4969" s="12" t="s">
        <v>31</v>
      </c>
      <c r="K4969" s="76">
        <f t="shared" si="371"/>
        <v>15588.2</v>
      </c>
      <c r="L4969">
        <v>1</v>
      </c>
      <c r="M4969" s="76">
        <v>0</v>
      </c>
      <c r="N4969" t="s">
        <v>32</v>
      </c>
      <c r="O4969" t="s">
        <v>33</v>
      </c>
      <c r="P4969" t="s">
        <v>34</v>
      </c>
      <c r="Q4969" t="s">
        <v>34</v>
      </c>
      <c r="R4969" t="s">
        <v>34</v>
      </c>
      <c r="S4969" t="s">
        <v>34</v>
      </c>
      <c r="T4969" s="117">
        <v>0</v>
      </c>
    </row>
    <row r="4970" spans="1:21" x14ac:dyDescent="0.35">
      <c r="A4970" t="s">
        <v>20</v>
      </c>
      <c r="B4970" t="s">
        <v>21</v>
      </c>
      <c r="C4970" s="1">
        <v>45917</v>
      </c>
      <c r="D4970">
        <f t="shared" si="372"/>
        <v>17</v>
      </c>
      <c r="E4970">
        <f t="shared" si="373"/>
        <v>9</v>
      </c>
      <c r="F4970">
        <f t="shared" si="374"/>
        <v>2025</v>
      </c>
      <c r="G4970" t="s">
        <v>82</v>
      </c>
      <c r="H4970" s="121">
        <v>13097</v>
      </c>
      <c r="I4970" s="76">
        <v>47</v>
      </c>
      <c r="J4970" s="12" t="s">
        <v>31</v>
      </c>
      <c r="K4970" s="76">
        <f t="shared" si="371"/>
        <v>47</v>
      </c>
      <c r="L4970">
        <v>1</v>
      </c>
      <c r="M4970" s="76">
        <v>0</v>
      </c>
      <c r="N4970" t="s">
        <v>32</v>
      </c>
      <c r="O4970" t="s">
        <v>33</v>
      </c>
      <c r="P4970" t="s">
        <v>34</v>
      </c>
      <c r="Q4970" t="s">
        <v>34</v>
      </c>
      <c r="R4970" t="s">
        <v>34</v>
      </c>
      <c r="S4970" t="s">
        <v>34</v>
      </c>
      <c r="T4970" s="117">
        <v>0</v>
      </c>
    </row>
    <row r="4971" spans="1:21" x14ac:dyDescent="0.35">
      <c r="A4971" t="s">
        <v>20</v>
      </c>
      <c r="B4971" t="s">
        <v>23</v>
      </c>
      <c r="C4971" s="1">
        <v>45917</v>
      </c>
      <c r="D4971">
        <f t="shared" si="372"/>
        <v>17</v>
      </c>
      <c r="E4971">
        <f t="shared" si="373"/>
        <v>9</v>
      </c>
      <c r="F4971">
        <f t="shared" si="374"/>
        <v>2025</v>
      </c>
      <c r="G4971" t="s">
        <v>82</v>
      </c>
      <c r="H4971" s="121">
        <v>12993</v>
      </c>
      <c r="I4971" s="76">
        <v>26.8</v>
      </c>
      <c r="J4971" s="12" t="s">
        <v>31</v>
      </c>
      <c r="K4971" s="76">
        <f t="shared" si="371"/>
        <v>26.8</v>
      </c>
      <c r="L4971">
        <v>1</v>
      </c>
      <c r="M4971" s="76">
        <v>0</v>
      </c>
      <c r="N4971" t="s">
        <v>32</v>
      </c>
      <c r="O4971" t="s">
        <v>33</v>
      </c>
      <c r="P4971" t="s">
        <v>34</v>
      </c>
      <c r="Q4971" t="s">
        <v>34</v>
      </c>
      <c r="R4971" t="s">
        <v>34</v>
      </c>
      <c r="S4971" t="s">
        <v>34</v>
      </c>
      <c r="T4971" s="117">
        <v>0</v>
      </c>
    </row>
    <row r="4972" spans="1:21" x14ac:dyDescent="0.35">
      <c r="A4972" t="s">
        <v>20</v>
      </c>
      <c r="B4972" t="s">
        <v>21</v>
      </c>
      <c r="C4972" s="1">
        <v>45917</v>
      </c>
      <c r="D4972">
        <f t="shared" si="372"/>
        <v>17</v>
      </c>
      <c r="E4972">
        <f t="shared" si="373"/>
        <v>9</v>
      </c>
      <c r="F4972">
        <f t="shared" si="374"/>
        <v>2025</v>
      </c>
      <c r="G4972" t="s">
        <v>1327</v>
      </c>
      <c r="H4972" s="121">
        <v>13275</v>
      </c>
      <c r="I4972" s="76">
        <v>85.2</v>
      </c>
      <c r="J4972" s="12" t="s">
        <v>31</v>
      </c>
      <c r="K4972" s="76">
        <f t="shared" si="371"/>
        <v>85.2</v>
      </c>
      <c r="L4972">
        <v>1</v>
      </c>
      <c r="M4972" s="76">
        <v>0</v>
      </c>
      <c r="N4972" t="s">
        <v>32</v>
      </c>
      <c r="O4972" t="s">
        <v>33</v>
      </c>
      <c r="P4972" t="s">
        <v>34</v>
      </c>
      <c r="Q4972" t="s">
        <v>34</v>
      </c>
      <c r="R4972" t="s">
        <v>34</v>
      </c>
      <c r="S4972" t="s">
        <v>34</v>
      </c>
      <c r="T4972" s="117">
        <v>0</v>
      </c>
    </row>
    <row r="4973" spans="1:21" x14ac:dyDescent="0.35">
      <c r="A4973" t="s">
        <v>20</v>
      </c>
      <c r="B4973" t="s">
        <v>23</v>
      </c>
      <c r="C4973" s="1">
        <v>45917</v>
      </c>
      <c r="D4973">
        <f t="shared" si="372"/>
        <v>17</v>
      </c>
      <c r="E4973">
        <f t="shared" si="373"/>
        <v>9</v>
      </c>
      <c r="F4973">
        <f t="shared" si="374"/>
        <v>2025</v>
      </c>
      <c r="G4973" t="s">
        <v>1327</v>
      </c>
      <c r="H4973" s="121">
        <v>13269</v>
      </c>
      <c r="I4973" s="76">
        <v>78.400000000000006</v>
      </c>
      <c r="J4973" s="12" t="s">
        <v>31</v>
      </c>
      <c r="K4973" s="76">
        <f t="shared" si="371"/>
        <v>78.400000000000006</v>
      </c>
      <c r="L4973">
        <v>1</v>
      </c>
      <c r="M4973" s="76">
        <v>0</v>
      </c>
      <c r="N4973" t="s">
        <v>32</v>
      </c>
      <c r="O4973" t="s">
        <v>33</v>
      </c>
      <c r="P4973" t="s">
        <v>34</v>
      </c>
      <c r="Q4973" t="s">
        <v>34</v>
      </c>
      <c r="R4973" t="s">
        <v>34</v>
      </c>
      <c r="S4973" t="s">
        <v>34</v>
      </c>
      <c r="T4973" s="117">
        <v>0</v>
      </c>
    </row>
    <row r="4974" spans="1:21" x14ac:dyDescent="0.35">
      <c r="A4974" t="s">
        <v>20</v>
      </c>
      <c r="B4974" t="s">
        <v>24</v>
      </c>
      <c r="C4974" s="1">
        <v>45917</v>
      </c>
      <c r="D4974">
        <f t="shared" si="372"/>
        <v>17</v>
      </c>
      <c r="E4974">
        <f t="shared" si="373"/>
        <v>9</v>
      </c>
      <c r="F4974">
        <f t="shared" si="374"/>
        <v>2025</v>
      </c>
      <c r="G4974" t="s">
        <v>1327</v>
      </c>
      <c r="H4974" s="121">
        <v>13356</v>
      </c>
      <c r="I4974" s="76">
        <v>150.56</v>
      </c>
      <c r="J4974" s="12" t="s">
        <v>31</v>
      </c>
      <c r="K4974" s="76">
        <f t="shared" si="371"/>
        <v>150.56</v>
      </c>
      <c r="L4974">
        <v>1</v>
      </c>
      <c r="M4974" s="76">
        <v>0</v>
      </c>
      <c r="N4974" t="s">
        <v>32</v>
      </c>
      <c r="O4974" t="s">
        <v>33</v>
      </c>
      <c r="P4974" t="s">
        <v>34</v>
      </c>
      <c r="Q4974" t="s">
        <v>34</v>
      </c>
      <c r="R4974" t="s">
        <v>34</v>
      </c>
      <c r="S4974" t="s">
        <v>34</v>
      </c>
      <c r="T4974" s="117">
        <v>0</v>
      </c>
    </row>
    <row r="4975" spans="1:21" x14ac:dyDescent="0.35">
      <c r="A4975" t="s">
        <v>20</v>
      </c>
      <c r="B4975" t="s">
        <v>24</v>
      </c>
      <c r="C4975" s="1">
        <v>45917</v>
      </c>
      <c r="D4975">
        <f t="shared" si="372"/>
        <v>17</v>
      </c>
      <c r="E4975">
        <f t="shared" si="373"/>
        <v>9</v>
      </c>
      <c r="F4975">
        <f t="shared" si="374"/>
        <v>2025</v>
      </c>
      <c r="G4975" t="s">
        <v>321</v>
      </c>
      <c r="H4975" s="121">
        <v>13373</v>
      </c>
      <c r="I4975" s="76">
        <v>111.6</v>
      </c>
      <c r="J4975" s="12" t="s">
        <v>31</v>
      </c>
      <c r="K4975" s="76">
        <f t="shared" si="371"/>
        <v>111.6</v>
      </c>
      <c r="L4975">
        <v>1</v>
      </c>
      <c r="M4975" s="76">
        <v>0</v>
      </c>
      <c r="N4975" t="s">
        <v>32</v>
      </c>
      <c r="O4975" t="s">
        <v>33</v>
      </c>
      <c r="P4975" t="s">
        <v>34</v>
      </c>
      <c r="Q4975" t="s">
        <v>34</v>
      </c>
      <c r="R4975" t="s">
        <v>34</v>
      </c>
      <c r="S4975" t="s">
        <v>34</v>
      </c>
      <c r="T4975" s="117">
        <v>0</v>
      </c>
    </row>
    <row r="4976" spans="1:21" x14ac:dyDescent="0.35">
      <c r="A4976" t="s">
        <v>20</v>
      </c>
      <c r="B4976" t="s">
        <v>21</v>
      </c>
      <c r="C4976" s="1">
        <v>45917</v>
      </c>
      <c r="D4976">
        <f t="shared" si="372"/>
        <v>17</v>
      </c>
      <c r="E4976">
        <f t="shared" si="373"/>
        <v>9</v>
      </c>
      <c r="F4976">
        <f t="shared" si="374"/>
        <v>2025</v>
      </c>
      <c r="G4976" t="s">
        <v>50</v>
      </c>
      <c r="H4976" s="121">
        <v>13629</v>
      </c>
      <c r="I4976" s="76">
        <v>2727.7830000000004</v>
      </c>
      <c r="J4976" s="12" t="s">
        <v>31</v>
      </c>
      <c r="K4976" s="76">
        <f t="shared" si="371"/>
        <v>2727.7830000000004</v>
      </c>
      <c r="L4976">
        <v>1</v>
      </c>
      <c r="M4976" s="76">
        <v>0</v>
      </c>
      <c r="N4976" t="s">
        <v>42</v>
      </c>
      <c r="O4976" t="s">
        <v>33</v>
      </c>
      <c r="P4976" t="s">
        <v>34</v>
      </c>
      <c r="Q4976" t="s">
        <v>34</v>
      </c>
      <c r="R4976" t="s">
        <v>34</v>
      </c>
      <c r="S4976" t="s">
        <v>34</v>
      </c>
      <c r="T4976" s="117">
        <v>0</v>
      </c>
      <c r="U4976" s="209">
        <v>13761</v>
      </c>
    </row>
    <row r="4977" spans="1:21" x14ac:dyDescent="0.35">
      <c r="A4977" t="s">
        <v>20</v>
      </c>
      <c r="B4977" t="s">
        <v>23</v>
      </c>
      <c r="C4977" s="1">
        <v>45917</v>
      </c>
      <c r="D4977">
        <f t="shared" si="372"/>
        <v>17</v>
      </c>
      <c r="E4977">
        <f t="shared" si="373"/>
        <v>9</v>
      </c>
      <c r="F4977">
        <f t="shared" si="374"/>
        <v>2025</v>
      </c>
      <c r="G4977" t="s">
        <v>118</v>
      </c>
      <c r="H4977" s="121">
        <v>13872</v>
      </c>
      <c r="I4977" s="76">
        <v>116.5</v>
      </c>
      <c r="J4977" s="12" t="s">
        <v>31</v>
      </c>
      <c r="K4977" s="76">
        <f t="shared" si="371"/>
        <v>116.5</v>
      </c>
      <c r="L4977">
        <v>1</v>
      </c>
      <c r="M4977" s="76">
        <v>0</v>
      </c>
      <c r="N4977" t="s">
        <v>42</v>
      </c>
      <c r="O4977" t="s">
        <v>33</v>
      </c>
      <c r="P4977" t="s">
        <v>34</v>
      </c>
      <c r="Q4977" t="s">
        <v>34</v>
      </c>
      <c r="R4977" t="s">
        <v>34</v>
      </c>
      <c r="S4977" t="s">
        <v>34</v>
      </c>
      <c r="T4977" s="117">
        <v>0</v>
      </c>
      <c r="U4977" s="209" t="s">
        <v>1476</v>
      </c>
    </row>
    <row r="4978" spans="1:21" x14ac:dyDescent="0.35">
      <c r="A4978" t="s">
        <v>20</v>
      </c>
      <c r="B4978" t="s">
        <v>23</v>
      </c>
      <c r="C4978" s="1">
        <v>45917</v>
      </c>
      <c r="D4978">
        <f t="shared" si="372"/>
        <v>17</v>
      </c>
      <c r="E4978">
        <f t="shared" si="373"/>
        <v>9</v>
      </c>
      <c r="F4978">
        <f t="shared" si="374"/>
        <v>2025</v>
      </c>
      <c r="G4978" t="s">
        <v>118</v>
      </c>
      <c r="H4978" s="121">
        <v>13760</v>
      </c>
      <c r="I4978" s="76">
        <v>3656.2</v>
      </c>
      <c r="J4978" s="12" t="s">
        <v>31</v>
      </c>
      <c r="K4978" s="76">
        <f t="shared" si="371"/>
        <v>3656.2</v>
      </c>
      <c r="L4978">
        <v>1</v>
      </c>
      <c r="M4978" s="76">
        <v>0</v>
      </c>
      <c r="N4978" t="s">
        <v>42</v>
      </c>
      <c r="O4978" t="s">
        <v>33</v>
      </c>
      <c r="P4978" t="s">
        <v>34</v>
      </c>
      <c r="Q4978" t="s">
        <v>34</v>
      </c>
      <c r="R4978" t="s">
        <v>34</v>
      </c>
      <c r="S4978" t="s">
        <v>34</v>
      </c>
      <c r="T4978" s="117">
        <v>0</v>
      </c>
    </row>
    <row r="4979" spans="1:21" x14ac:dyDescent="0.35">
      <c r="A4979" t="s">
        <v>20</v>
      </c>
      <c r="B4979" t="s">
        <v>23</v>
      </c>
      <c r="C4979" s="1">
        <v>45917</v>
      </c>
      <c r="D4979">
        <f t="shared" si="372"/>
        <v>17</v>
      </c>
      <c r="E4979">
        <f t="shared" si="373"/>
        <v>9</v>
      </c>
      <c r="F4979">
        <f t="shared" si="374"/>
        <v>2025</v>
      </c>
      <c r="G4979" t="s">
        <v>118</v>
      </c>
      <c r="H4979" s="121">
        <v>13487</v>
      </c>
      <c r="I4979" s="76">
        <v>67.2</v>
      </c>
      <c r="J4979" s="12" t="s">
        <v>31</v>
      </c>
      <c r="K4979" s="76">
        <f t="shared" si="371"/>
        <v>67.2</v>
      </c>
      <c r="L4979">
        <v>1</v>
      </c>
      <c r="M4979" s="76">
        <v>0</v>
      </c>
      <c r="N4979" t="s">
        <v>42</v>
      </c>
      <c r="O4979" t="s">
        <v>33</v>
      </c>
      <c r="P4979" t="s">
        <v>34</v>
      </c>
      <c r="Q4979" t="s">
        <v>34</v>
      </c>
      <c r="R4979" t="s">
        <v>34</v>
      </c>
      <c r="S4979" t="s">
        <v>34</v>
      </c>
      <c r="T4979" s="117">
        <v>0</v>
      </c>
      <c r="U4979" s="209" t="s">
        <v>1547</v>
      </c>
    </row>
    <row r="4980" spans="1:21" x14ac:dyDescent="0.35">
      <c r="A4980" t="s">
        <v>20</v>
      </c>
      <c r="B4980" t="s">
        <v>23</v>
      </c>
      <c r="C4980" s="1">
        <v>45917</v>
      </c>
      <c r="D4980">
        <f t="shared" si="372"/>
        <v>17</v>
      </c>
      <c r="E4980">
        <f t="shared" si="373"/>
        <v>9</v>
      </c>
      <c r="F4980">
        <f t="shared" si="374"/>
        <v>2025</v>
      </c>
      <c r="G4980" t="s">
        <v>118</v>
      </c>
      <c r="H4980" s="98">
        <v>13760</v>
      </c>
      <c r="I4980" s="76">
        <v>2083.2000000000003</v>
      </c>
      <c r="J4980" s="12" t="s">
        <v>31</v>
      </c>
      <c r="K4980" s="76">
        <f t="shared" si="371"/>
        <v>2083.2000000000003</v>
      </c>
      <c r="L4980">
        <v>1</v>
      </c>
      <c r="M4980" s="76">
        <v>0</v>
      </c>
      <c r="N4980" t="s">
        <v>42</v>
      </c>
      <c r="O4980" t="s">
        <v>33</v>
      </c>
      <c r="P4980" t="s">
        <v>34</v>
      </c>
      <c r="Q4980" t="s">
        <v>34</v>
      </c>
      <c r="R4980" t="s">
        <v>34</v>
      </c>
      <c r="S4980" t="s">
        <v>34</v>
      </c>
      <c r="T4980" s="117">
        <v>0</v>
      </c>
      <c r="U4980" s="214">
        <v>13763</v>
      </c>
    </row>
    <row r="4981" spans="1:21" x14ac:dyDescent="0.35">
      <c r="A4981" t="s">
        <v>20</v>
      </c>
      <c r="B4981" t="s">
        <v>23</v>
      </c>
      <c r="C4981" s="1">
        <v>45917</v>
      </c>
      <c r="D4981">
        <f t="shared" si="372"/>
        <v>17</v>
      </c>
      <c r="E4981">
        <f t="shared" si="373"/>
        <v>9</v>
      </c>
      <c r="F4981">
        <f t="shared" si="374"/>
        <v>2025</v>
      </c>
      <c r="G4981" t="s">
        <v>265</v>
      </c>
      <c r="H4981" s="121">
        <v>13874</v>
      </c>
      <c r="I4981" s="76">
        <v>159</v>
      </c>
      <c r="J4981" s="12" t="s">
        <v>31</v>
      </c>
      <c r="K4981" s="76">
        <f t="shared" si="371"/>
        <v>159</v>
      </c>
      <c r="L4981">
        <v>1</v>
      </c>
      <c r="M4981" s="76">
        <v>0</v>
      </c>
      <c r="N4981" t="s">
        <v>42</v>
      </c>
      <c r="O4981" t="s">
        <v>33</v>
      </c>
      <c r="P4981" t="s">
        <v>34</v>
      </c>
      <c r="Q4981" t="s">
        <v>34</v>
      </c>
      <c r="R4981" t="s">
        <v>34</v>
      </c>
      <c r="S4981" t="s">
        <v>34</v>
      </c>
      <c r="T4981" s="117">
        <v>0</v>
      </c>
      <c r="U4981" s="209">
        <v>13764</v>
      </c>
    </row>
    <row r="4982" spans="1:21" x14ac:dyDescent="0.35">
      <c r="A4982" t="s">
        <v>20</v>
      </c>
      <c r="B4982" t="s">
        <v>23</v>
      </c>
      <c r="C4982" s="1">
        <v>45917</v>
      </c>
      <c r="D4982">
        <f t="shared" si="372"/>
        <v>17</v>
      </c>
      <c r="E4982">
        <f t="shared" si="373"/>
        <v>9</v>
      </c>
      <c r="F4982">
        <f t="shared" si="374"/>
        <v>2025</v>
      </c>
      <c r="G4982" t="s">
        <v>265</v>
      </c>
      <c r="H4982" s="121" t="s">
        <v>1549</v>
      </c>
      <c r="I4982" s="76">
        <v>4262</v>
      </c>
      <c r="J4982" s="12" t="s">
        <v>31</v>
      </c>
      <c r="K4982" s="76">
        <f t="shared" si="371"/>
        <v>4262</v>
      </c>
      <c r="L4982">
        <v>1</v>
      </c>
      <c r="M4982" s="76">
        <v>0</v>
      </c>
      <c r="N4982" t="s">
        <v>42</v>
      </c>
      <c r="O4982" t="s">
        <v>33</v>
      </c>
      <c r="P4982" t="s">
        <v>34</v>
      </c>
      <c r="Q4982" t="s">
        <v>34</v>
      </c>
      <c r="R4982" t="s">
        <v>34</v>
      </c>
      <c r="S4982" t="s">
        <v>34</v>
      </c>
      <c r="T4982" s="117">
        <v>0</v>
      </c>
      <c r="U4982" s="209">
        <v>13675</v>
      </c>
    </row>
    <row r="4983" spans="1:21" x14ac:dyDescent="0.35">
      <c r="A4983" t="s">
        <v>20</v>
      </c>
      <c r="B4983" t="s">
        <v>23</v>
      </c>
      <c r="C4983" s="1">
        <v>45917</v>
      </c>
      <c r="D4983">
        <f t="shared" si="372"/>
        <v>17</v>
      </c>
      <c r="E4983">
        <f t="shared" si="373"/>
        <v>9</v>
      </c>
      <c r="F4983">
        <f t="shared" si="374"/>
        <v>2025</v>
      </c>
      <c r="G4983" t="s">
        <v>483</v>
      </c>
      <c r="H4983" s="121">
        <v>13235</v>
      </c>
      <c r="I4983" s="76">
        <v>34.32</v>
      </c>
      <c r="J4983" s="12" t="s">
        <v>31</v>
      </c>
      <c r="K4983" s="76">
        <f t="shared" si="371"/>
        <v>34.32</v>
      </c>
      <c r="L4983">
        <v>1</v>
      </c>
      <c r="M4983" s="76">
        <v>0</v>
      </c>
      <c r="N4983" t="s">
        <v>32</v>
      </c>
      <c r="O4983" t="s">
        <v>33</v>
      </c>
      <c r="P4983" t="s">
        <v>34</v>
      </c>
      <c r="Q4983" t="s">
        <v>34</v>
      </c>
      <c r="R4983" t="s">
        <v>34</v>
      </c>
      <c r="S4983" t="s">
        <v>34</v>
      </c>
      <c r="T4983" s="117">
        <v>0</v>
      </c>
    </row>
    <row r="4984" spans="1:21" x14ac:dyDescent="0.35">
      <c r="A4984" t="s">
        <v>20</v>
      </c>
      <c r="B4984" t="s">
        <v>24</v>
      </c>
      <c r="C4984" s="1">
        <v>45917</v>
      </c>
      <c r="D4984">
        <f t="shared" si="372"/>
        <v>17</v>
      </c>
      <c r="E4984">
        <f t="shared" si="373"/>
        <v>9</v>
      </c>
      <c r="F4984">
        <f t="shared" si="374"/>
        <v>2025</v>
      </c>
      <c r="G4984" t="s">
        <v>1310</v>
      </c>
      <c r="H4984" s="121">
        <v>12783</v>
      </c>
      <c r="I4984" s="76">
        <v>36448.14</v>
      </c>
      <c r="J4984" s="12" t="s">
        <v>31</v>
      </c>
      <c r="K4984" s="76">
        <f t="shared" si="371"/>
        <v>36448.14</v>
      </c>
      <c r="L4984">
        <v>1</v>
      </c>
      <c r="M4984" s="76">
        <v>0</v>
      </c>
      <c r="N4984" t="s">
        <v>32</v>
      </c>
      <c r="O4984" t="s">
        <v>33</v>
      </c>
      <c r="P4984" t="s">
        <v>34</v>
      </c>
      <c r="Q4984" t="s">
        <v>34</v>
      </c>
      <c r="R4984" t="s">
        <v>34</v>
      </c>
      <c r="S4984" t="s">
        <v>34</v>
      </c>
      <c r="T4984" s="117">
        <v>560</v>
      </c>
    </row>
    <row r="4985" spans="1:21" x14ac:dyDescent="0.35">
      <c r="A4985" t="s">
        <v>20</v>
      </c>
      <c r="B4985" t="s">
        <v>21</v>
      </c>
      <c r="C4985" s="1">
        <v>45917</v>
      </c>
      <c r="D4985">
        <f t="shared" si="372"/>
        <v>17</v>
      </c>
      <c r="E4985">
        <f t="shared" si="373"/>
        <v>9</v>
      </c>
      <c r="F4985">
        <f t="shared" si="374"/>
        <v>2025</v>
      </c>
      <c r="G4985" t="s">
        <v>1110</v>
      </c>
      <c r="H4985" s="121">
        <v>13299</v>
      </c>
      <c r="I4985" s="76">
        <v>4043.66</v>
      </c>
      <c r="J4985" s="12" t="s">
        <v>31</v>
      </c>
      <c r="K4985" s="76">
        <f t="shared" si="371"/>
        <v>4043.66</v>
      </c>
      <c r="L4985">
        <v>1</v>
      </c>
      <c r="M4985" s="76">
        <v>0</v>
      </c>
      <c r="N4985" t="s">
        <v>42</v>
      </c>
      <c r="O4985" t="s">
        <v>33</v>
      </c>
      <c r="P4985" t="s">
        <v>34</v>
      </c>
      <c r="Q4985" t="s">
        <v>34</v>
      </c>
      <c r="R4985" t="s">
        <v>34</v>
      </c>
      <c r="S4985" t="s">
        <v>34</v>
      </c>
      <c r="T4985" s="117">
        <v>0</v>
      </c>
    </row>
    <row r="4986" spans="1:21" x14ac:dyDescent="0.35">
      <c r="A4986" t="s">
        <v>20</v>
      </c>
      <c r="B4986" t="s">
        <v>24</v>
      </c>
      <c r="C4986" s="1">
        <v>45917</v>
      </c>
      <c r="D4986">
        <f t="shared" si="372"/>
        <v>17</v>
      </c>
      <c r="E4986">
        <f t="shared" si="373"/>
        <v>9</v>
      </c>
      <c r="F4986">
        <f t="shared" si="374"/>
        <v>2025</v>
      </c>
      <c r="G4986" t="s">
        <v>81</v>
      </c>
      <c r="H4986" s="121">
        <v>13351</v>
      </c>
      <c r="I4986" s="76">
        <v>299.15999999999997</v>
      </c>
      <c r="J4986" s="12" t="s">
        <v>31</v>
      </c>
      <c r="K4986" s="76">
        <f t="shared" si="371"/>
        <v>299.15999999999997</v>
      </c>
      <c r="L4986">
        <v>1</v>
      </c>
      <c r="M4986" s="76">
        <v>0</v>
      </c>
      <c r="N4986" t="s">
        <v>32</v>
      </c>
      <c r="O4986" t="s">
        <v>33</v>
      </c>
      <c r="P4986" t="s">
        <v>34</v>
      </c>
      <c r="Q4986" t="s">
        <v>34</v>
      </c>
      <c r="R4986" t="s">
        <v>34</v>
      </c>
      <c r="S4986" t="s">
        <v>34</v>
      </c>
      <c r="T4986" s="117">
        <v>0</v>
      </c>
    </row>
    <row r="4987" spans="1:21" x14ac:dyDescent="0.35">
      <c r="A4987" t="s">
        <v>20</v>
      </c>
      <c r="B4987" t="s">
        <v>25</v>
      </c>
      <c r="C4987" s="1">
        <v>45917</v>
      </c>
      <c r="D4987">
        <f t="shared" si="372"/>
        <v>17</v>
      </c>
      <c r="E4987">
        <f t="shared" si="373"/>
        <v>9</v>
      </c>
      <c r="F4987">
        <f t="shared" si="374"/>
        <v>2025</v>
      </c>
      <c r="G4987" t="s">
        <v>81</v>
      </c>
      <c r="H4987" s="121">
        <v>13351</v>
      </c>
      <c r="I4987" s="76">
        <v>829.89</v>
      </c>
      <c r="J4987" s="12" t="s">
        <v>31</v>
      </c>
      <c r="K4987" s="76">
        <f t="shared" si="371"/>
        <v>829.89</v>
      </c>
      <c r="L4987">
        <v>1</v>
      </c>
      <c r="M4987" s="76">
        <v>0</v>
      </c>
      <c r="N4987" t="s">
        <v>32</v>
      </c>
      <c r="O4987" t="s">
        <v>33</v>
      </c>
      <c r="P4987" t="s">
        <v>34</v>
      </c>
      <c r="Q4987" t="s">
        <v>34</v>
      </c>
      <c r="R4987" t="s">
        <v>34</v>
      </c>
      <c r="S4987" t="s">
        <v>34</v>
      </c>
      <c r="T4987" s="117">
        <v>0</v>
      </c>
    </row>
    <row r="4988" spans="1:21" x14ac:dyDescent="0.35">
      <c r="A4988" t="s">
        <v>20</v>
      </c>
      <c r="B4988" t="s">
        <v>23</v>
      </c>
      <c r="C4988" s="1">
        <v>45917</v>
      </c>
      <c r="D4988">
        <f t="shared" si="372"/>
        <v>17</v>
      </c>
      <c r="E4988">
        <f t="shared" si="373"/>
        <v>9</v>
      </c>
      <c r="F4988">
        <f t="shared" si="374"/>
        <v>2025</v>
      </c>
      <c r="G4988" t="s">
        <v>1238</v>
      </c>
      <c r="H4988" s="121">
        <v>13706</v>
      </c>
      <c r="I4988" s="76">
        <v>17.399999999999999</v>
      </c>
      <c r="J4988" s="12" t="s">
        <v>31</v>
      </c>
      <c r="K4988" s="76">
        <f t="shared" si="371"/>
        <v>17.399999999999999</v>
      </c>
      <c r="L4988">
        <v>1</v>
      </c>
      <c r="M4988" s="76">
        <v>0</v>
      </c>
      <c r="N4988" t="s">
        <v>42</v>
      </c>
      <c r="O4988" t="s">
        <v>33</v>
      </c>
      <c r="P4988" t="s">
        <v>34</v>
      </c>
      <c r="Q4988" t="s">
        <v>34</v>
      </c>
      <c r="R4988" t="s">
        <v>34</v>
      </c>
      <c r="S4988" t="s">
        <v>34</v>
      </c>
      <c r="T4988" s="117">
        <v>0</v>
      </c>
    </row>
    <row r="4989" spans="1:21" x14ac:dyDescent="0.35">
      <c r="A4989" t="s">
        <v>20</v>
      </c>
      <c r="B4989" t="s">
        <v>23</v>
      </c>
      <c r="C4989" s="1">
        <v>45917</v>
      </c>
      <c r="D4989">
        <f t="shared" si="372"/>
        <v>17</v>
      </c>
      <c r="E4989">
        <f t="shared" si="373"/>
        <v>9</v>
      </c>
      <c r="F4989">
        <f t="shared" si="374"/>
        <v>2025</v>
      </c>
      <c r="G4989" t="s">
        <v>1238</v>
      </c>
      <c r="H4989" s="121">
        <v>13707</v>
      </c>
      <c r="I4989" s="76">
        <v>4698</v>
      </c>
      <c r="J4989" s="12" t="s">
        <v>31</v>
      </c>
      <c r="K4989" s="76">
        <f t="shared" si="371"/>
        <v>4698</v>
      </c>
      <c r="L4989">
        <v>1</v>
      </c>
      <c r="M4989" s="76">
        <v>0</v>
      </c>
      <c r="N4989" t="s">
        <v>42</v>
      </c>
      <c r="O4989" t="s">
        <v>33</v>
      </c>
      <c r="P4989" t="s">
        <v>34</v>
      </c>
      <c r="Q4989" t="s">
        <v>34</v>
      </c>
      <c r="R4989" t="s">
        <v>34</v>
      </c>
      <c r="S4989" t="s">
        <v>34</v>
      </c>
      <c r="T4989" s="117">
        <v>0</v>
      </c>
    </row>
    <row r="4990" spans="1:21" x14ac:dyDescent="0.35">
      <c r="A4990" t="s">
        <v>20</v>
      </c>
      <c r="B4990" t="s">
        <v>25</v>
      </c>
      <c r="C4990" s="1">
        <v>45917</v>
      </c>
      <c r="D4990">
        <f t="shared" si="372"/>
        <v>17</v>
      </c>
      <c r="E4990">
        <f t="shared" si="373"/>
        <v>9</v>
      </c>
      <c r="F4990">
        <f t="shared" si="374"/>
        <v>2025</v>
      </c>
      <c r="G4990" t="s">
        <v>1311</v>
      </c>
      <c r="H4990" s="121">
        <v>12984</v>
      </c>
      <c r="I4990" s="76">
        <v>42531.35</v>
      </c>
      <c r="J4990" s="12" t="s">
        <v>31</v>
      </c>
      <c r="K4990" s="76">
        <f t="shared" si="371"/>
        <v>42531.35</v>
      </c>
      <c r="L4990">
        <v>1</v>
      </c>
      <c r="M4990" s="76">
        <v>0</v>
      </c>
      <c r="N4990" t="s">
        <v>32</v>
      </c>
      <c r="O4990" t="s">
        <v>33</v>
      </c>
      <c r="P4990" t="s">
        <v>34</v>
      </c>
      <c r="Q4990" t="s">
        <v>34</v>
      </c>
      <c r="R4990" t="s">
        <v>34</v>
      </c>
      <c r="S4990" t="s">
        <v>34</v>
      </c>
      <c r="T4990" s="117">
        <v>0</v>
      </c>
    </row>
    <row r="4991" spans="1:21" x14ac:dyDescent="0.35">
      <c r="A4991" t="s">
        <v>20</v>
      </c>
      <c r="B4991" t="s">
        <v>21</v>
      </c>
      <c r="C4991" s="1">
        <v>45917</v>
      </c>
      <c r="D4991">
        <f t="shared" si="372"/>
        <v>17</v>
      </c>
      <c r="E4991">
        <f t="shared" si="373"/>
        <v>9</v>
      </c>
      <c r="F4991">
        <f t="shared" si="374"/>
        <v>2025</v>
      </c>
      <c r="G4991" t="s">
        <v>52</v>
      </c>
      <c r="H4991" s="121">
        <v>13318</v>
      </c>
      <c r="I4991" s="76">
        <v>231</v>
      </c>
      <c r="J4991" s="12" t="s">
        <v>31</v>
      </c>
      <c r="K4991" s="76">
        <f t="shared" ref="K4991:K5022" si="375">IF(J4991="USD",I4991,I4991*L4991)</f>
        <v>231</v>
      </c>
      <c r="L4991">
        <v>1</v>
      </c>
      <c r="M4991" s="76">
        <v>0</v>
      </c>
      <c r="N4991" t="s">
        <v>32</v>
      </c>
      <c r="O4991" t="s">
        <v>33</v>
      </c>
      <c r="P4991" t="s">
        <v>34</v>
      </c>
      <c r="Q4991" t="s">
        <v>34</v>
      </c>
      <c r="R4991" t="s">
        <v>34</v>
      </c>
      <c r="S4991" t="s">
        <v>34</v>
      </c>
      <c r="T4991" s="117">
        <v>0</v>
      </c>
    </row>
    <row r="4992" spans="1:21" x14ac:dyDescent="0.35">
      <c r="A4992" t="s">
        <v>20</v>
      </c>
      <c r="B4992" t="s">
        <v>21</v>
      </c>
      <c r="C4992" s="1">
        <v>45917</v>
      </c>
      <c r="D4992">
        <f t="shared" si="372"/>
        <v>17</v>
      </c>
      <c r="E4992">
        <f t="shared" si="373"/>
        <v>9</v>
      </c>
      <c r="F4992">
        <f t="shared" si="374"/>
        <v>2025</v>
      </c>
      <c r="G4992" t="s">
        <v>43</v>
      </c>
      <c r="H4992" s="121">
        <v>12919</v>
      </c>
      <c r="I4992" s="76">
        <v>22005.98</v>
      </c>
      <c r="J4992" s="12" t="s">
        <v>31</v>
      </c>
      <c r="K4992" s="76">
        <f t="shared" si="375"/>
        <v>22005.98</v>
      </c>
      <c r="L4992">
        <v>1</v>
      </c>
      <c r="M4992" s="76">
        <v>0</v>
      </c>
      <c r="N4992" t="s">
        <v>32</v>
      </c>
      <c r="O4992" t="s">
        <v>33</v>
      </c>
      <c r="P4992" t="s">
        <v>34</v>
      </c>
      <c r="Q4992" t="s">
        <v>34</v>
      </c>
      <c r="R4992" t="s">
        <v>34</v>
      </c>
      <c r="S4992" t="s">
        <v>34</v>
      </c>
      <c r="T4992" s="117">
        <v>0</v>
      </c>
    </row>
    <row r="4993" spans="1:21" x14ac:dyDescent="0.35">
      <c r="A4993" t="s">
        <v>20</v>
      </c>
      <c r="B4993" t="s">
        <v>25</v>
      </c>
      <c r="C4993" s="1">
        <v>45917</v>
      </c>
      <c r="D4993">
        <f t="shared" si="372"/>
        <v>17</v>
      </c>
      <c r="E4993">
        <f t="shared" si="373"/>
        <v>9</v>
      </c>
      <c r="F4993">
        <f t="shared" si="374"/>
        <v>2025</v>
      </c>
      <c r="G4993" t="s">
        <v>43</v>
      </c>
      <c r="H4993" s="121">
        <v>13345</v>
      </c>
      <c r="I4993" s="76">
        <v>27739.03</v>
      </c>
      <c r="J4993" s="12" t="s">
        <v>31</v>
      </c>
      <c r="K4993" s="76">
        <f t="shared" si="375"/>
        <v>27739.03</v>
      </c>
      <c r="L4993">
        <v>1</v>
      </c>
      <c r="M4993" s="76">
        <v>0</v>
      </c>
      <c r="N4993" t="s">
        <v>32</v>
      </c>
      <c r="O4993" t="s">
        <v>33</v>
      </c>
      <c r="P4993" t="s">
        <v>34</v>
      </c>
      <c r="Q4993" t="s">
        <v>34</v>
      </c>
      <c r="R4993" t="s">
        <v>34</v>
      </c>
      <c r="S4993" t="s">
        <v>34</v>
      </c>
      <c r="T4993" s="117">
        <v>0</v>
      </c>
    </row>
    <row r="4994" spans="1:21" x14ac:dyDescent="0.35">
      <c r="A4994" t="s">
        <v>20</v>
      </c>
      <c r="B4994" t="s">
        <v>21</v>
      </c>
      <c r="C4994" s="1">
        <v>45917</v>
      </c>
      <c r="D4994">
        <f t="shared" si="372"/>
        <v>17</v>
      </c>
      <c r="E4994">
        <f t="shared" si="373"/>
        <v>9</v>
      </c>
      <c r="F4994">
        <f t="shared" si="374"/>
        <v>2025</v>
      </c>
      <c r="G4994" t="s">
        <v>43</v>
      </c>
      <c r="H4994" s="121">
        <v>13345</v>
      </c>
      <c r="I4994" s="76">
        <v>7714.55</v>
      </c>
      <c r="J4994" s="12" t="s">
        <v>31</v>
      </c>
      <c r="K4994" s="76">
        <f t="shared" si="375"/>
        <v>7714.55</v>
      </c>
      <c r="L4994">
        <v>1</v>
      </c>
      <c r="M4994" s="76">
        <v>0</v>
      </c>
      <c r="N4994" t="s">
        <v>32</v>
      </c>
      <c r="O4994" t="s">
        <v>33</v>
      </c>
      <c r="P4994" t="s">
        <v>34</v>
      </c>
      <c r="Q4994" t="s">
        <v>34</v>
      </c>
      <c r="R4994" t="s">
        <v>34</v>
      </c>
      <c r="S4994" t="s">
        <v>34</v>
      </c>
      <c r="T4994" s="117">
        <v>0</v>
      </c>
    </row>
    <row r="4995" spans="1:21" x14ac:dyDescent="0.35">
      <c r="A4995" t="s">
        <v>20</v>
      </c>
      <c r="B4995" t="s">
        <v>21</v>
      </c>
      <c r="C4995" s="1">
        <v>45917</v>
      </c>
      <c r="D4995">
        <f t="shared" si="372"/>
        <v>17</v>
      </c>
      <c r="E4995">
        <f t="shared" si="373"/>
        <v>9</v>
      </c>
      <c r="F4995">
        <f t="shared" si="374"/>
        <v>2025</v>
      </c>
      <c r="G4995" t="s">
        <v>696</v>
      </c>
      <c r="H4995" s="121">
        <v>13117</v>
      </c>
      <c r="I4995" s="76">
        <v>7916.48</v>
      </c>
      <c r="J4995" s="12" t="s">
        <v>31</v>
      </c>
      <c r="K4995" s="76">
        <f t="shared" si="375"/>
        <v>7916.48</v>
      </c>
      <c r="L4995">
        <v>1</v>
      </c>
      <c r="M4995" s="76">
        <v>0</v>
      </c>
      <c r="N4995" t="s">
        <v>32</v>
      </c>
      <c r="O4995" t="s">
        <v>33</v>
      </c>
      <c r="P4995" t="s">
        <v>34</v>
      </c>
      <c r="Q4995" t="s">
        <v>34</v>
      </c>
      <c r="R4995" t="s">
        <v>34</v>
      </c>
      <c r="S4995" t="s">
        <v>34</v>
      </c>
      <c r="T4995" s="117">
        <v>0</v>
      </c>
    </row>
    <row r="4996" spans="1:21" x14ac:dyDescent="0.35">
      <c r="A4996" t="s">
        <v>20</v>
      </c>
      <c r="B4996" t="s">
        <v>21</v>
      </c>
      <c r="C4996" s="1">
        <v>45917</v>
      </c>
      <c r="D4996">
        <f t="shared" si="372"/>
        <v>17</v>
      </c>
      <c r="E4996">
        <f t="shared" si="373"/>
        <v>9</v>
      </c>
      <c r="F4996">
        <f t="shared" si="374"/>
        <v>2025</v>
      </c>
      <c r="G4996" t="s">
        <v>46</v>
      </c>
      <c r="H4996" s="121">
        <v>13278</v>
      </c>
      <c r="I4996" s="76">
        <v>2577.81</v>
      </c>
      <c r="J4996" s="12" t="s">
        <v>31</v>
      </c>
      <c r="K4996" s="76">
        <f t="shared" si="375"/>
        <v>2577.81</v>
      </c>
      <c r="L4996">
        <v>1</v>
      </c>
      <c r="M4996" s="76">
        <v>0</v>
      </c>
      <c r="N4996" t="s">
        <v>42</v>
      </c>
      <c r="O4996" t="s">
        <v>33</v>
      </c>
      <c r="P4996" t="s">
        <v>34</v>
      </c>
      <c r="Q4996" t="s">
        <v>34</v>
      </c>
      <c r="R4996" t="s">
        <v>34</v>
      </c>
      <c r="S4996" t="s">
        <v>34</v>
      </c>
      <c r="T4996" s="179">
        <v>0</v>
      </c>
    </row>
    <row r="4997" spans="1:21" x14ac:dyDescent="0.35">
      <c r="A4997" t="s">
        <v>20</v>
      </c>
      <c r="B4997" t="s">
        <v>23</v>
      </c>
      <c r="C4997" s="1">
        <v>45917</v>
      </c>
      <c r="D4997">
        <f t="shared" si="372"/>
        <v>17</v>
      </c>
      <c r="E4997">
        <f t="shared" si="373"/>
        <v>9</v>
      </c>
      <c r="F4997">
        <f t="shared" si="374"/>
        <v>2025</v>
      </c>
      <c r="G4997" t="s">
        <v>46</v>
      </c>
      <c r="H4997" s="121">
        <v>13278</v>
      </c>
      <c r="I4997" s="76">
        <v>6262.3099999999995</v>
      </c>
      <c r="J4997" s="12" t="s">
        <v>31</v>
      </c>
      <c r="K4997" s="76">
        <f t="shared" si="375"/>
        <v>6262.3099999999995</v>
      </c>
      <c r="L4997">
        <v>1</v>
      </c>
      <c r="M4997" s="76">
        <v>0</v>
      </c>
      <c r="N4997" t="s">
        <v>42</v>
      </c>
      <c r="O4997" t="s">
        <v>33</v>
      </c>
      <c r="P4997" t="s">
        <v>34</v>
      </c>
      <c r="Q4997" t="s">
        <v>34</v>
      </c>
      <c r="R4997" t="s">
        <v>34</v>
      </c>
      <c r="S4997" t="s">
        <v>34</v>
      </c>
      <c r="T4997" s="179">
        <v>0</v>
      </c>
    </row>
    <row r="4998" spans="1:21" x14ac:dyDescent="0.35">
      <c r="A4998" t="s">
        <v>20</v>
      </c>
      <c r="B4998" t="s">
        <v>25</v>
      </c>
      <c r="C4998" s="1">
        <v>45917</v>
      </c>
      <c r="D4998">
        <f t="shared" si="372"/>
        <v>17</v>
      </c>
      <c r="E4998">
        <f t="shared" si="373"/>
        <v>9</v>
      </c>
      <c r="F4998">
        <f t="shared" si="374"/>
        <v>2025</v>
      </c>
      <c r="G4998" t="s">
        <v>566</v>
      </c>
      <c r="H4998" s="121">
        <v>13766</v>
      </c>
      <c r="I4998" s="76">
        <v>124.41</v>
      </c>
      <c r="J4998" s="12" t="s">
        <v>31</v>
      </c>
      <c r="K4998" s="76">
        <f t="shared" si="375"/>
        <v>124.41</v>
      </c>
      <c r="L4998">
        <v>1</v>
      </c>
      <c r="M4998" s="76">
        <v>0</v>
      </c>
      <c r="N4998" t="s">
        <v>42</v>
      </c>
      <c r="O4998" t="s">
        <v>33</v>
      </c>
      <c r="P4998" t="s">
        <v>34</v>
      </c>
      <c r="Q4998" t="s">
        <v>34</v>
      </c>
      <c r="R4998" t="s">
        <v>34</v>
      </c>
      <c r="S4998" t="s">
        <v>34</v>
      </c>
      <c r="T4998" s="117">
        <v>0</v>
      </c>
    </row>
    <row r="4999" spans="1:21" x14ac:dyDescent="0.35">
      <c r="A4999" t="s">
        <v>20</v>
      </c>
      <c r="B4999" t="s">
        <v>25</v>
      </c>
      <c r="C4999" s="1">
        <v>45917</v>
      </c>
      <c r="D4999">
        <f t="shared" si="372"/>
        <v>17</v>
      </c>
      <c r="E4999">
        <f t="shared" si="373"/>
        <v>9</v>
      </c>
      <c r="F4999">
        <f t="shared" si="374"/>
        <v>2025</v>
      </c>
      <c r="G4999" t="s">
        <v>566</v>
      </c>
      <c r="H4999" s="121">
        <v>13767</v>
      </c>
      <c r="I4999" s="76">
        <v>1708.29</v>
      </c>
      <c r="J4999" s="12" t="s">
        <v>31</v>
      </c>
      <c r="K4999" s="76">
        <f t="shared" si="375"/>
        <v>1708.29</v>
      </c>
      <c r="L4999">
        <v>1</v>
      </c>
      <c r="M4999" s="76">
        <v>0</v>
      </c>
      <c r="N4999" t="s">
        <v>42</v>
      </c>
      <c r="O4999" t="s">
        <v>33</v>
      </c>
      <c r="P4999" t="s">
        <v>34</v>
      </c>
      <c r="Q4999" t="s">
        <v>34</v>
      </c>
      <c r="R4999" t="s">
        <v>34</v>
      </c>
      <c r="S4999" t="s">
        <v>34</v>
      </c>
      <c r="T4999" s="117">
        <v>0</v>
      </c>
      <c r="U4999" s="209" t="s">
        <v>1546</v>
      </c>
    </row>
    <row r="5000" spans="1:21" x14ac:dyDescent="0.35">
      <c r="A5000" t="s">
        <v>19</v>
      </c>
      <c r="B5000" t="s">
        <v>19</v>
      </c>
      <c r="C5000" s="1">
        <v>45917</v>
      </c>
      <c r="D5000">
        <f t="shared" si="372"/>
        <v>17</v>
      </c>
      <c r="E5000">
        <f t="shared" si="373"/>
        <v>9</v>
      </c>
      <c r="F5000">
        <f t="shared" si="374"/>
        <v>2025</v>
      </c>
      <c r="G5000" t="s">
        <v>56</v>
      </c>
      <c r="H5000" s="121" t="s">
        <v>1312</v>
      </c>
      <c r="I5000" s="76">
        <v>190714.39</v>
      </c>
      <c r="J5000" s="12" t="s">
        <v>31</v>
      </c>
      <c r="K5000" s="76">
        <f t="shared" si="375"/>
        <v>190714.39</v>
      </c>
      <c r="L5000">
        <v>1</v>
      </c>
      <c r="M5000" s="76">
        <v>0</v>
      </c>
      <c r="N5000" t="s">
        <v>32</v>
      </c>
      <c r="O5000" t="s">
        <v>33</v>
      </c>
      <c r="P5000" t="s">
        <v>34</v>
      </c>
      <c r="Q5000" t="s">
        <v>34</v>
      </c>
      <c r="R5000" t="s">
        <v>34</v>
      </c>
      <c r="S5000" t="s">
        <v>34</v>
      </c>
      <c r="T5000" s="117">
        <v>0</v>
      </c>
    </row>
    <row r="5001" spans="1:21" x14ac:dyDescent="0.35">
      <c r="A5001" t="s">
        <v>19</v>
      </c>
      <c r="B5001" t="s">
        <v>19</v>
      </c>
      <c r="C5001" s="1">
        <v>45917</v>
      </c>
      <c r="D5001">
        <f t="shared" si="372"/>
        <v>17</v>
      </c>
      <c r="E5001">
        <f t="shared" si="373"/>
        <v>9</v>
      </c>
      <c r="F5001">
        <f t="shared" si="374"/>
        <v>2025</v>
      </c>
      <c r="G5001" t="s">
        <v>56</v>
      </c>
      <c r="H5001" s="121" t="s">
        <v>1313</v>
      </c>
      <c r="I5001" s="76">
        <v>83501.320000000007</v>
      </c>
      <c r="J5001" s="12" t="s">
        <v>31</v>
      </c>
      <c r="K5001" s="76">
        <f t="shared" si="375"/>
        <v>83501.320000000007</v>
      </c>
      <c r="L5001">
        <v>1</v>
      </c>
      <c r="M5001" s="76">
        <v>0</v>
      </c>
      <c r="N5001" t="s">
        <v>32</v>
      </c>
      <c r="O5001" t="s">
        <v>33</v>
      </c>
      <c r="P5001" t="s">
        <v>34</v>
      </c>
      <c r="Q5001" t="s">
        <v>34</v>
      </c>
      <c r="R5001" t="s">
        <v>34</v>
      </c>
      <c r="S5001" t="s">
        <v>34</v>
      </c>
      <c r="T5001" s="117">
        <v>0</v>
      </c>
    </row>
    <row r="5002" spans="1:21" x14ac:dyDescent="0.35">
      <c r="A5002" t="s">
        <v>19</v>
      </c>
      <c r="B5002" t="s">
        <v>19</v>
      </c>
      <c r="C5002" s="1">
        <v>45917</v>
      </c>
      <c r="D5002">
        <f t="shared" si="372"/>
        <v>17</v>
      </c>
      <c r="E5002">
        <f t="shared" si="373"/>
        <v>9</v>
      </c>
      <c r="F5002">
        <f t="shared" si="374"/>
        <v>2025</v>
      </c>
      <c r="G5002" t="s">
        <v>1314</v>
      </c>
      <c r="H5002" s="121" t="s">
        <v>1315</v>
      </c>
      <c r="I5002" s="94">
        <f>80615.68+98943.11</f>
        <v>179558.78999999998</v>
      </c>
      <c r="J5002" s="12" t="s">
        <v>31</v>
      </c>
      <c r="K5002" s="76">
        <f t="shared" si="375"/>
        <v>179558.78999999998</v>
      </c>
      <c r="L5002">
        <v>1</v>
      </c>
      <c r="M5002" s="76">
        <v>0</v>
      </c>
      <c r="N5002" t="s">
        <v>32</v>
      </c>
      <c r="O5002" t="s">
        <v>33</v>
      </c>
      <c r="P5002" t="s">
        <v>34</v>
      </c>
      <c r="Q5002" t="s">
        <v>34</v>
      </c>
      <c r="R5002" t="s">
        <v>34</v>
      </c>
      <c r="S5002" t="s">
        <v>34</v>
      </c>
      <c r="T5002" s="117">
        <v>0</v>
      </c>
    </row>
    <row r="5003" spans="1:21" x14ac:dyDescent="0.35">
      <c r="A5003" t="s">
        <v>19</v>
      </c>
      <c r="B5003" t="s">
        <v>19</v>
      </c>
      <c r="C5003" s="1">
        <v>45917</v>
      </c>
      <c r="D5003">
        <f t="shared" si="372"/>
        <v>17</v>
      </c>
      <c r="E5003">
        <f t="shared" si="373"/>
        <v>9</v>
      </c>
      <c r="F5003">
        <f t="shared" si="374"/>
        <v>2025</v>
      </c>
      <c r="G5003" t="s">
        <v>1314</v>
      </c>
      <c r="H5003" s="121" t="s">
        <v>1316</v>
      </c>
      <c r="I5003" s="94">
        <v>24089.41</v>
      </c>
      <c r="J5003" s="12" t="s">
        <v>31</v>
      </c>
      <c r="K5003" s="76">
        <f t="shared" si="375"/>
        <v>24089.41</v>
      </c>
      <c r="L5003">
        <v>1</v>
      </c>
      <c r="M5003" s="76">
        <v>0</v>
      </c>
      <c r="N5003" t="s">
        <v>32</v>
      </c>
      <c r="O5003" t="s">
        <v>33</v>
      </c>
      <c r="P5003" t="s">
        <v>34</v>
      </c>
      <c r="Q5003" t="s">
        <v>34</v>
      </c>
      <c r="R5003" t="s">
        <v>34</v>
      </c>
      <c r="S5003" t="s">
        <v>34</v>
      </c>
      <c r="T5003" s="117">
        <v>0</v>
      </c>
    </row>
    <row r="5004" spans="1:21" x14ac:dyDescent="0.35">
      <c r="A5004" t="s">
        <v>19</v>
      </c>
      <c r="B5004" t="s">
        <v>19</v>
      </c>
      <c r="C5004" s="1">
        <v>45917</v>
      </c>
      <c r="D5004">
        <f t="shared" si="372"/>
        <v>17</v>
      </c>
      <c r="E5004">
        <f t="shared" si="373"/>
        <v>9</v>
      </c>
      <c r="F5004">
        <f t="shared" si="374"/>
        <v>2025</v>
      </c>
      <c r="G5004" t="s">
        <v>1117</v>
      </c>
      <c r="H5004" s="121" t="s">
        <v>1317</v>
      </c>
      <c r="I5004" s="76">
        <v>36839.879999999997</v>
      </c>
      <c r="J5004" s="12" t="s">
        <v>31</v>
      </c>
      <c r="K5004" s="76">
        <f t="shared" si="375"/>
        <v>36839.879999999997</v>
      </c>
      <c r="L5004">
        <v>1</v>
      </c>
      <c r="M5004" s="76">
        <v>0</v>
      </c>
      <c r="N5004" t="s">
        <v>32</v>
      </c>
      <c r="O5004" t="s">
        <v>33</v>
      </c>
      <c r="P5004" t="s">
        <v>34</v>
      </c>
      <c r="Q5004" t="s">
        <v>34</v>
      </c>
      <c r="R5004" t="s">
        <v>34</v>
      </c>
      <c r="S5004" t="s">
        <v>34</v>
      </c>
      <c r="T5004" s="117">
        <v>0</v>
      </c>
    </row>
    <row r="5005" spans="1:21" x14ac:dyDescent="0.35">
      <c r="A5005" t="s">
        <v>19</v>
      </c>
      <c r="B5005" t="s">
        <v>19</v>
      </c>
      <c r="C5005" s="1">
        <v>45917</v>
      </c>
      <c r="D5005">
        <f t="shared" si="372"/>
        <v>17</v>
      </c>
      <c r="E5005">
        <f t="shared" si="373"/>
        <v>9</v>
      </c>
      <c r="F5005">
        <f t="shared" si="374"/>
        <v>2025</v>
      </c>
      <c r="G5005" t="s">
        <v>91</v>
      </c>
      <c r="H5005" s="121" t="s">
        <v>1319</v>
      </c>
      <c r="I5005" s="76">
        <v>60194.54</v>
      </c>
      <c r="J5005" s="12" t="s">
        <v>31</v>
      </c>
      <c r="K5005" s="76">
        <f t="shared" si="375"/>
        <v>60194.54</v>
      </c>
      <c r="L5005">
        <v>1</v>
      </c>
      <c r="M5005" s="76">
        <v>0</v>
      </c>
      <c r="N5005" t="s">
        <v>32</v>
      </c>
      <c r="O5005" t="s">
        <v>33</v>
      </c>
      <c r="P5005" t="s">
        <v>34</v>
      </c>
      <c r="Q5005" t="s">
        <v>34</v>
      </c>
      <c r="R5005" t="s">
        <v>34</v>
      </c>
      <c r="S5005" t="s">
        <v>34</v>
      </c>
      <c r="T5005" s="117">
        <v>0</v>
      </c>
    </row>
    <row r="5006" spans="1:21" x14ac:dyDescent="0.35">
      <c r="A5006" t="s">
        <v>19</v>
      </c>
      <c r="B5006" t="s">
        <v>19</v>
      </c>
      <c r="C5006" s="1">
        <v>45917</v>
      </c>
      <c r="D5006">
        <f t="shared" si="372"/>
        <v>17</v>
      </c>
      <c r="E5006">
        <f t="shared" si="373"/>
        <v>9</v>
      </c>
      <c r="F5006">
        <f t="shared" si="374"/>
        <v>2025</v>
      </c>
      <c r="G5006" t="s">
        <v>1115</v>
      </c>
      <c r="H5006" s="121" t="s">
        <v>1318</v>
      </c>
      <c r="I5006" s="76">
        <v>137368.49</v>
      </c>
      <c r="J5006" s="12" t="s">
        <v>31</v>
      </c>
      <c r="K5006" s="76">
        <f t="shared" si="375"/>
        <v>137368.49</v>
      </c>
      <c r="L5006">
        <v>1</v>
      </c>
      <c r="M5006" s="76">
        <v>0</v>
      </c>
      <c r="N5006" t="s">
        <v>32</v>
      </c>
      <c r="O5006" t="s">
        <v>33</v>
      </c>
      <c r="P5006" t="s">
        <v>34</v>
      </c>
      <c r="Q5006" t="s">
        <v>34</v>
      </c>
      <c r="R5006" t="s">
        <v>34</v>
      </c>
      <c r="S5006" t="s">
        <v>34</v>
      </c>
      <c r="T5006" s="117">
        <v>0</v>
      </c>
    </row>
    <row r="5007" spans="1:21" x14ac:dyDescent="0.35">
      <c r="A5007" t="s">
        <v>19</v>
      </c>
      <c r="B5007" t="s">
        <v>19</v>
      </c>
      <c r="C5007" s="1">
        <v>45917</v>
      </c>
      <c r="D5007">
        <f t="shared" si="372"/>
        <v>17</v>
      </c>
      <c r="E5007">
        <f t="shared" si="373"/>
        <v>9</v>
      </c>
      <c r="F5007">
        <f t="shared" si="374"/>
        <v>2025</v>
      </c>
      <c r="G5007" t="s">
        <v>59</v>
      </c>
      <c r="H5007" s="121" t="s">
        <v>1320</v>
      </c>
      <c r="I5007" s="94">
        <f>100952.67+110624.08</f>
        <v>211576.75</v>
      </c>
      <c r="J5007" s="12" t="s">
        <v>31</v>
      </c>
      <c r="K5007" s="76">
        <f t="shared" si="375"/>
        <v>211576.75</v>
      </c>
      <c r="L5007">
        <v>1</v>
      </c>
      <c r="M5007" s="76">
        <v>0</v>
      </c>
      <c r="N5007" t="s">
        <v>32</v>
      </c>
      <c r="O5007" t="s">
        <v>33</v>
      </c>
      <c r="P5007" t="s">
        <v>34</v>
      </c>
      <c r="Q5007" t="s">
        <v>34</v>
      </c>
      <c r="R5007" t="s">
        <v>34</v>
      </c>
      <c r="S5007" t="s">
        <v>34</v>
      </c>
      <c r="T5007" s="117">
        <v>0</v>
      </c>
    </row>
    <row r="5008" spans="1:21" x14ac:dyDescent="0.35">
      <c r="A5008" t="s">
        <v>19</v>
      </c>
      <c r="B5008" t="s">
        <v>19</v>
      </c>
      <c r="C5008" s="1">
        <v>45917</v>
      </c>
      <c r="D5008">
        <f t="shared" si="372"/>
        <v>17</v>
      </c>
      <c r="E5008">
        <f t="shared" si="373"/>
        <v>9</v>
      </c>
      <c r="F5008">
        <f t="shared" si="374"/>
        <v>2025</v>
      </c>
      <c r="G5008" t="s">
        <v>88</v>
      </c>
      <c r="H5008" s="121" t="s">
        <v>1321</v>
      </c>
      <c r="I5008" s="76">
        <v>26482.41</v>
      </c>
      <c r="J5008" s="12" t="s">
        <v>31</v>
      </c>
      <c r="K5008" s="76">
        <f t="shared" si="375"/>
        <v>26482.41</v>
      </c>
      <c r="L5008">
        <v>1</v>
      </c>
      <c r="M5008" s="76">
        <v>0</v>
      </c>
      <c r="N5008" t="s">
        <v>32</v>
      </c>
      <c r="O5008" t="s">
        <v>33</v>
      </c>
      <c r="P5008" t="s">
        <v>34</v>
      </c>
      <c r="Q5008" t="s">
        <v>34</v>
      </c>
      <c r="R5008" t="s">
        <v>34</v>
      </c>
      <c r="S5008" t="s">
        <v>34</v>
      </c>
      <c r="T5008" s="117">
        <v>0</v>
      </c>
    </row>
    <row r="5009" spans="1:21" x14ac:dyDescent="0.35">
      <c r="A5009" t="s">
        <v>19</v>
      </c>
      <c r="B5009" t="s">
        <v>19</v>
      </c>
      <c r="C5009" s="1">
        <v>45917</v>
      </c>
      <c r="D5009">
        <f t="shared" si="372"/>
        <v>17</v>
      </c>
      <c r="E5009">
        <f t="shared" si="373"/>
        <v>9</v>
      </c>
      <c r="F5009">
        <f t="shared" si="374"/>
        <v>2025</v>
      </c>
      <c r="G5009" t="s">
        <v>117</v>
      </c>
      <c r="H5009" s="121" t="s">
        <v>1322</v>
      </c>
      <c r="I5009" s="76">
        <v>155211.54999999999</v>
      </c>
      <c r="J5009" s="12" t="s">
        <v>31</v>
      </c>
      <c r="K5009" s="76">
        <f t="shared" si="375"/>
        <v>155211.54999999999</v>
      </c>
      <c r="L5009">
        <v>1</v>
      </c>
      <c r="M5009" s="76">
        <v>0</v>
      </c>
      <c r="N5009" t="s">
        <v>32</v>
      </c>
      <c r="O5009" t="s">
        <v>33</v>
      </c>
      <c r="P5009" t="s">
        <v>34</v>
      </c>
      <c r="Q5009" t="s">
        <v>34</v>
      </c>
      <c r="R5009" t="s">
        <v>34</v>
      </c>
      <c r="S5009" t="s">
        <v>34</v>
      </c>
      <c r="T5009" s="117">
        <v>0</v>
      </c>
    </row>
    <row r="5010" spans="1:21" x14ac:dyDescent="0.35">
      <c r="A5010" t="s">
        <v>19</v>
      </c>
      <c r="B5010" t="s">
        <v>26</v>
      </c>
      <c r="C5010" s="1">
        <v>45918</v>
      </c>
      <c r="D5010">
        <f t="shared" si="372"/>
        <v>18</v>
      </c>
      <c r="E5010">
        <f t="shared" si="373"/>
        <v>9</v>
      </c>
      <c r="F5010">
        <f t="shared" si="374"/>
        <v>2025</v>
      </c>
      <c r="G5010" t="s">
        <v>73</v>
      </c>
      <c r="H5010" s="121">
        <v>13724</v>
      </c>
      <c r="I5010" s="176">
        <v>21125.88</v>
      </c>
      <c r="J5010" s="12" t="s">
        <v>51</v>
      </c>
      <c r="K5010" s="76">
        <f t="shared" si="375"/>
        <v>24877.836288000002</v>
      </c>
      <c r="L5010">
        <v>1.1776</v>
      </c>
      <c r="M5010" s="76">
        <v>0</v>
      </c>
      <c r="N5010" t="s">
        <v>32</v>
      </c>
      <c r="O5010" t="s">
        <v>33</v>
      </c>
      <c r="P5010" t="s">
        <v>34</v>
      </c>
      <c r="Q5010" t="s">
        <v>34</v>
      </c>
      <c r="R5010" t="s">
        <v>34</v>
      </c>
      <c r="S5010" t="s">
        <v>34</v>
      </c>
      <c r="T5010" s="117">
        <v>0</v>
      </c>
      <c r="U5010" s="209" t="s">
        <v>94</v>
      </c>
    </row>
    <row r="5011" spans="1:21" x14ac:dyDescent="0.35">
      <c r="A5011" t="s">
        <v>19</v>
      </c>
      <c r="B5011" t="s">
        <v>26</v>
      </c>
      <c r="C5011" s="1">
        <v>45918</v>
      </c>
      <c r="D5011">
        <f t="shared" si="372"/>
        <v>18</v>
      </c>
      <c r="E5011">
        <f t="shared" si="373"/>
        <v>9</v>
      </c>
      <c r="F5011">
        <f t="shared" si="374"/>
        <v>2025</v>
      </c>
      <c r="G5011" t="s">
        <v>73</v>
      </c>
      <c r="H5011" s="121">
        <v>13725</v>
      </c>
      <c r="I5011" s="176">
        <v>75016.009999999995</v>
      </c>
      <c r="J5011" s="12" t="s">
        <v>51</v>
      </c>
      <c r="K5011" s="76">
        <f t="shared" si="375"/>
        <v>88338.853375999999</v>
      </c>
      <c r="L5011">
        <v>1.1776</v>
      </c>
      <c r="M5011" s="76">
        <v>0</v>
      </c>
      <c r="N5011" t="s">
        <v>32</v>
      </c>
      <c r="O5011" t="s">
        <v>33</v>
      </c>
      <c r="P5011" t="s">
        <v>34</v>
      </c>
      <c r="Q5011" t="s">
        <v>34</v>
      </c>
      <c r="R5011" t="s">
        <v>34</v>
      </c>
      <c r="S5011" t="s">
        <v>34</v>
      </c>
      <c r="T5011" s="117">
        <v>0</v>
      </c>
      <c r="U5011" s="209" t="s">
        <v>94</v>
      </c>
    </row>
    <row r="5012" spans="1:21" x14ac:dyDescent="0.35">
      <c r="A5012" t="s">
        <v>19</v>
      </c>
      <c r="B5012" t="s">
        <v>26</v>
      </c>
      <c r="C5012" s="1">
        <v>45918</v>
      </c>
      <c r="D5012">
        <f t="shared" si="372"/>
        <v>18</v>
      </c>
      <c r="E5012">
        <f t="shared" si="373"/>
        <v>9</v>
      </c>
      <c r="F5012">
        <f t="shared" si="374"/>
        <v>2025</v>
      </c>
      <c r="G5012" t="s">
        <v>73</v>
      </c>
      <c r="H5012" s="121">
        <v>13726</v>
      </c>
      <c r="I5012" s="176">
        <v>113.53</v>
      </c>
      <c r="J5012" s="12" t="s">
        <v>51</v>
      </c>
      <c r="K5012" s="76">
        <f t="shared" si="375"/>
        <v>133.69292799999999</v>
      </c>
      <c r="L5012">
        <v>1.1776</v>
      </c>
      <c r="M5012" s="76">
        <v>0</v>
      </c>
      <c r="N5012" t="s">
        <v>32</v>
      </c>
      <c r="O5012" t="s">
        <v>33</v>
      </c>
      <c r="P5012" t="s">
        <v>34</v>
      </c>
      <c r="Q5012" t="s">
        <v>34</v>
      </c>
      <c r="R5012" t="s">
        <v>34</v>
      </c>
      <c r="S5012" t="s">
        <v>34</v>
      </c>
      <c r="T5012" s="117">
        <v>0</v>
      </c>
      <c r="U5012" s="209" t="s">
        <v>94</v>
      </c>
    </row>
    <row r="5013" spans="1:21" x14ac:dyDescent="0.35">
      <c r="A5013" t="s">
        <v>19</v>
      </c>
      <c r="B5013" t="s">
        <v>26</v>
      </c>
      <c r="C5013" s="1">
        <v>45918</v>
      </c>
      <c r="D5013">
        <f t="shared" si="372"/>
        <v>18</v>
      </c>
      <c r="E5013">
        <f t="shared" si="373"/>
        <v>9</v>
      </c>
      <c r="F5013">
        <f t="shared" si="374"/>
        <v>2025</v>
      </c>
      <c r="G5013" t="s">
        <v>73</v>
      </c>
      <c r="H5013" s="121">
        <v>13801</v>
      </c>
      <c r="I5013" s="176">
        <v>72144.56</v>
      </c>
      <c r="J5013" s="12" t="s">
        <v>51</v>
      </c>
      <c r="K5013" s="76">
        <f t="shared" si="375"/>
        <v>84957.433855999989</v>
      </c>
      <c r="L5013">
        <v>1.1776</v>
      </c>
      <c r="M5013" s="76">
        <v>0</v>
      </c>
      <c r="N5013" t="s">
        <v>32</v>
      </c>
      <c r="O5013" t="s">
        <v>33</v>
      </c>
      <c r="P5013" t="s">
        <v>34</v>
      </c>
      <c r="Q5013" t="s">
        <v>34</v>
      </c>
      <c r="R5013" t="s">
        <v>34</v>
      </c>
      <c r="S5013" t="s">
        <v>34</v>
      </c>
      <c r="T5013" s="117">
        <v>0</v>
      </c>
      <c r="U5013" s="209" t="s">
        <v>94</v>
      </c>
    </row>
    <row r="5014" spans="1:21" x14ac:dyDescent="0.35">
      <c r="A5014" t="s">
        <v>19</v>
      </c>
      <c r="B5014" t="s">
        <v>26</v>
      </c>
      <c r="C5014" s="1">
        <v>45918</v>
      </c>
      <c r="D5014">
        <f t="shared" si="372"/>
        <v>18</v>
      </c>
      <c r="E5014">
        <f t="shared" si="373"/>
        <v>9</v>
      </c>
      <c r="F5014">
        <f t="shared" si="374"/>
        <v>2025</v>
      </c>
      <c r="G5014" t="s">
        <v>73</v>
      </c>
      <c r="H5014" s="121">
        <v>13802</v>
      </c>
      <c r="I5014" s="176">
        <v>53498.66</v>
      </c>
      <c r="J5014" s="12" t="s">
        <v>51</v>
      </c>
      <c r="K5014" s="76">
        <f t="shared" si="375"/>
        <v>63000.022016000003</v>
      </c>
      <c r="L5014">
        <v>1.1776</v>
      </c>
      <c r="M5014" s="76">
        <v>0</v>
      </c>
      <c r="N5014" t="s">
        <v>32</v>
      </c>
      <c r="O5014" t="s">
        <v>33</v>
      </c>
      <c r="P5014" t="s">
        <v>34</v>
      </c>
      <c r="Q5014" t="s">
        <v>34</v>
      </c>
      <c r="R5014" t="s">
        <v>34</v>
      </c>
      <c r="S5014" t="s">
        <v>34</v>
      </c>
      <c r="T5014" s="117">
        <v>0</v>
      </c>
      <c r="U5014" s="209" t="s">
        <v>94</v>
      </c>
    </row>
    <row r="5015" spans="1:21" x14ac:dyDescent="0.35">
      <c r="A5015" t="s">
        <v>19</v>
      </c>
      <c r="B5015" t="s">
        <v>21</v>
      </c>
      <c r="C5015" s="1">
        <v>45917</v>
      </c>
      <c r="D5015">
        <f t="shared" si="372"/>
        <v>17</v>
      </c>
      <c r="E5015">
        <f t="shared" si="373"/>
        <v>9</v>
      </c>
      <c r="F5015">
        <f t="shared" si="374"/>
        <v>2025</v>
      </c>
      <c r="G5015" t="s">
        <v>75</v>
      </c>
      <c r="H5015" s="121">
        <v>13620</v>
      </c>
      <c r="I5015" s="76">
        <v>128696.13</v>
      </c>
      <c r="J5015" s="12" t="s">
        <v>31</v>
      </c>
      <c r="K5015" s="76">
        <f t="shared" si="375"/>
        <v>128696.13</v>
      </c>
      <c r="L5015">
        <v>1</v>
      </c>
      <c r="M5015" s="76">
        <v>0</v>
      </c>
      <c r="N5015" t="s">
        <v>32</v>
      </c>
      <c r="O5015" t="s">
        <v>114</v>
      </c>
      <c r="P5015" s="1">
        <v>45917</v>
      </c>
      <c r="Q5015" s="1">
        <f>Tabla1[[#This Row],[FECHA DE APERTURA CREDITO -UTILIZACION LC]]+84</f>
        <v>46001</v>
      </c>
      <c r="R5015" s="101">
        <v>8021000603446</v>
      </c>
      <c r="S5015" t="s">
        <v>34</v>
      </c>
      <c r="T5015" s="117">
        <v>0</v>
      </c>
      <c r="U5015" s="209" t="s">
        <v>1221</v>
      </c>
    </row>
    <row r="5016" spans="1:21" x14ac:dyDescent="0.35">
      <c r="A5016" t="s">
        <v>19</v>
      </c>
      <c r="B5016" t="s">
        <v>21</v>
      </c>
      <c r="C5016" s="1">
        <v>45917</v>
      </c>
      <c r="D5016">
        <f t="shared" si="372"/>
        <v>17</v>
      </c>
      <c r="E5016">
        <f t="shared" si="373"/>
        <v>9</v>
      </c>
      <c r="F5016">
        <f t="shared" si="374"/>
        <v>2025</v>
      </c>
      <c r="G5016" t="s">
        <v>36</v>
      </c>
      <c r="H5016" s="121">
        <v>13370</v>
      </c>
      <c r="I5016" s="76">
        <v>119640.24</v>
      </c>
      <c r="J5016" s="12" t="s">
        <v>31</v>
      </c>
      <c r="K5016" s="76">
        <f t="shared" si="375"/>
        <v>119640.24</v>
      </c>
      <c r="L5016">
        <v>1</v>
      </c>
      <c r="M5016" s="76">
        <v>0</v>
      </c>
      <c r="N5016" t="s">
        <v>32</v>
      </c>
      <c r="O5016" t="s">
        <v>114</v>
      </c>
      <c r="P5016" s="1">
        <v>45917</v>
      </c>
      <c r="Q5016" s="1">
        <f>Tabla1[[#This Row],[FECHA DE APERTURA CREDITO -UTILIZACION LC]]+91</f>
        <v>46008</v>
      </c>
      <c r="R5016" s="101">
        <v>8021000603422</v>
      </c>
      <c r="S5016" t="s">
        <v>34</v>
      </c>
      <c r="T5016" s="117">
        <v>0</v>
      </c>
      <c r="U5016" s="209" t="s">
        <v>1221</v>
      </c>
    </row>
    <row r="5017" spans="1:21" x14ac:dyDescent="0.35">
      <c r="A5017" t="s">
        <v>19</v>
      </c>
      <c r="B5017" t="s">
        <v>25</v>
      </c>
      <c r="C5017" s="1">
        <v>45917</v>
      </c>
      <c r="D5017">
        <f t="shared" si="372"/>
        <v>17</v>
      </c>
      <c r="E5017">
        <f t="shared" si="373"/>
        <v>9</v>
      </c>
      <c r="F5017">
        <f t="shared" si="374"/>
        <v>2025</v>
      </c>
      <c r="G5017" t="s">
        <v>36</v>
      </c>
      <c r="H5017" s="121">
        <v>13370</v>
      </c>
      <c r="I5017" s="76">
        <v>2442.56</v>
      </c>
      <c r="J5017" s="12" t="s">
        <v>31</v>
      </c>
      <c r="K5017" s="76">
        <f t="shared" si="375"/>
        <v>2442.56</v>
      </c>
      <c r="L5017">
        <v>1</v>
      </c>
      <c r="M5017" s="76">
        <v>0</v>
      </c>
      <c r="N5017" t="s">
        <v>32</v>
      </c>
      <c r="O5017" t="s">
        <v>114</v>
      </c>
      <c r="P5017" s="1">
        <v>45917</v>
      </c>
      <c r="Q5017" s="1">
        <f>Tabla1[[#This Row],[FECHA DE APERTURA CREDITO -UTILIZACION LC]]+91</f>
        <v>46008</v>
      </c>
      <c r="R5017" s="101">
        <v>8021000603422</v>
      </c>
      <c r="S5017" t="s">
        <v>34</v>
      </c>
      <c r="T5017" s="117">
        <v>0</v>
      </c>
      <c r="U5017" s="209" t="s">
        <v>1221</v>
      </c>
    </row>
    <row r="5018" spans="1:21" x14ac:dyDescent="0.35">
      <c r="A5018" t="s">
        <v>19</v>
      </c>
      <c r="B5018" t="s">
        <v>24</v>
      </c>
      <c r="C5018" s="1">
        <v>45917</v>
      </c>
      <c r="D5018">
        <f t="shared" si="372"/>
        <v>17</v>
      </c>
      <c r="E5018">
        <f t="shared" si="373"/>
        <v>9</v>
      </c>
      <c r="F5018">
        <f t="shared" si="374"/>
        <v>2025</v>
      </c>
      <c r="G5018" t="s">
        <v>36</v>
      </c>
      <c r="H5018" s="121">
        <v>13370</v>
      </c>
      <c r="I5018" s="76">
        <v>27767.21</v>
      </c>
      <c r="J5018" s="12" t="s">
        <v>31</v>
      </c>
      <c r="K5018" s="76">
        <f t="shared" si="375"/>
        <v>27767.21</v>
      </c>
      <c r="L5018">
        <v>1</v>
      </c>
      <c r="M5018" s="76">
        <v>0</v>
      </c>
      <c r="N5018" t="s">
        <v>32</v>
      </c>
      <c r="O5018" t="s">
        <v>114</v>
      </c>
      <c r="P5018" s="1">
        <v>45917</v>
      </c>
      <c r="Q5018" s="1">
        <f>Tabla1[[#This Row],[FECHA DE APERTURA CREDITO -UTILIZACION LC]]+91</f>
        <v>46008</v>
      </c>
      <c r="R5018" s="101">
        <v>8021000603422</v>
      </c>
      <c r="S5018" t="s">
        <v>34</v>
      </c>
      <c r="T5018" s="117">
        <v>0</v>
      </c>
      <c r="U5018" s="209" t="s">
        <v>1221</v>
      </c>
    </row>
    <row r="5019" spans="1:21" x14ac:dyDescent="0.35">
      <c r="A5019" t="s">
        <v>19</v>
      </c>
      <c r="B5019" t="s">
        <v>21</v>
      </c>
      <c r="C5019" s="1">
        <v>45924</v>
      </c>
      <c r="D5019">
        <f t="shared" si="372"/>
        <v>24</v>
      </c>
      <c r="E5019">
        <f t="shared" si="373"/>
        <v>9</v>
      </c>
      <c r="F5019">
        <f t="shared" si="374"/>
        <v>2025</v>
      </c>
      <c r="G5019" t="s">
        <v>882</v>
      </c>
      <c r="H5019" s="180">
        <v>13593</v>
      </c>
      <c r="I5019" s="94">
        <v>5381</v>
      </c>
      <c r="J5019" s="12" t="s">
        <v>31</v>
      </c>
      <c r="K5019" s="76">
        <f t="shared" si="375"/>
        <v>5381</v>
      </c>
      <c r="L5019">
        <v>1</v>
      </c>
      <c r="M5019" s="76">
        <v>0</v>
      </c>
      <c r="N5019" t="s">
        <v>32</v>
      </c>
      <c r="O5019" t="s">
        <v>33</v>
      </c>
      <c r="P5019" t="s">
        <v>34</v>
      </c>
      <c r="Q5019" t="s">
        <v>34</v>
      </c>
      <c r="R5019" t="s">
        <v>34</v>
      </c>
      <c r="S5019" t="s">
        <v>34</v>
      </c>
      <c r="T5019" s="117">
        <v>0</v>
      </c>
    </row>
    <row r="5020" spans="1:21" x14ac:dyDescent="0.35">
      <c r="A5020" t="s">
        <v>19</v>
      </c>
      <c r="B5020" t="s">
        <v>24</v>
      </c>
      <c r="C5020" s="1">
        <v>45924</v>
      </c>
      <c r="D5020">
        <f t="shared" si="372"/>
        <v>24</v>
      </c>
      <c r="E5020">
        <f t="shared" si="373"/>
        <v>9</v>
      </c>
      <c r="F5020">
        <f t="shared" si="374"/>
        <v>2025</v>
      </c>
      <c r="G5020" t="s">
        <v>36</v>
      </c>
      <c r="H5020" s="121">
        <v>13008</v>
      </c>
      <c r="I5020" s="76">
        <v>8834.39</v>
      </c>
      <c r="J5020" s="12" t="s">
        <v>31</v>
      </c>
      <c r="K5020" s="76">
        <f t="shared" si="375"/>
        <v>8834.39</v>
      </c>
      <c r="L5020">
        <v>1</v>
      </c>
      <c r="M5020" s="76">
        <v>0</v>
      </c>
      <c r="N5020" t="s">
        <v>32</v>
      </c>
      <c r="O5020" t="s">
        <v>33</v>
      </c>
      <c r="P5020" t="s">
        <v>34</v>
      </c>
      <c r="Q5020" t="s">
        <v>34</v>
      </c>
      <c r="R5020" t="s">
        <v>34</v>
      </c>
      <c r="S5020" t="s">
        <v>34</v>
      </c>
      <c r="T5020" s="117">
        <v>0</v>
      </c>
    </row>
    <row r="5021" spans="1:21" x14ac:dyDescent="0.35">
      <c r="A5021" t="s">
        <v>19</v>
      </c>
      <c r="B5021" t="s">
        <v>25</v>
      </c>
      <c r="C5021" s="1">
        <v>45924</v>
      </c>
      <c r="D5021">
        <f t="shared" si="372"/>
        <v>24</v>
      </c>
      <c r="E5021">
        <f t="shared" si="373"/>
        <v>9</v>
      </c>
      <c r="F5021">
        <f t="shared" si="374"/>
        <v>2025</v>
      </c>
      <c r="G5021" t="s">
        <v>36</v>
      </c>
      <c r="H5021" s="121">
        <v>13050</v>
      </c>
      <c r="I5021" s="76">
        <v>30420.65</v>
      </c>
      <c r="J5021" s="12" t="s">
        <v>31</v>
      </c>
      <c r="K5021" s="76">
        <f t="shared" si="375"/>
        <v>30420.65</v>
      </c>
      <c r="L5021">
        <v>1</v>
      </c>
      <c r="M5021" s="76">
        <v>0</v>
      </c>
      <c r="N5021" t="s">
        <v>32</v>
      </c>
      <c r="O5021" t="s">
        <v>33</v>
      </c>
      <c r="P5021" t="s">
        <v>34</v>
      </c>
      <c r="Q5021" t="s">
        <v>34</v>
      </c>
      <c r="R5021" t="s">
        <v>34</v>
      </c>
      <c r="S5021" t="s">
        <v>34</v>
      </c>
      <c r="T5021" s="117">
        <v>0</v>
      </c>
    </row>
    <row r="5022" spans="1:21" x14ac:dyDescent="0.35">
      <c r="A5022" t="s">
        <v>19</v>
      </c>
      <c r="B5022" t="s">
        <v>24</v>
      </c>
      <c r="C5022" s="1">
        <v>45924</v>
      </c>
      <c r="D5022">
        <f t="shared" si="372"/>
        <v>24</v>
      </c>
      <c r="E5022">
        <f t="shared" si="373"/>
        <v>9</v>
      </c>
      <c r="F5022">
        <f t="shared" si="374"/>
        <v>2025</v>
      </c>
      <c r="G5022" t="s">
        <v>36</v>
      </c>
      <c r="H5022" s="121">
        <v>13050</v>
      </c>
      <c r="I5022" s="76">
        <v>12143.57</v>
      </c>
      <c r="J5022" s="12" t="s">
        <v>31</v>
      </c>
      <c r="K5022" s="76">
        <f t="shared" si="375"/>
        <v>12143.57</v>
      </c>
      <c r="L5022">
        <v>1</v>
      </c>
      <c r="M5022" s="76">
        <v>0</v>
      </c>
      <c r="N5022" t="s">
        <v>32</v>
      </c>
      <c r="O5022" t="s">
        <v>33</v>
      </c>
      <c r="P5022" t="s">
        <v>34</v>
      </c>
      <c r="Q5022" t="s">
        <v>34</v>
      </c>
      <c r="R5022" t="s">
        <v>34</v>
      </c>
      <c r="S5022" t="s">
        <v>34</v>
      </c>
      <c r="T5022" s="117">
        <v>0</v>
      </c>
    </row>
    <row r="5023" spans="1:21" x14ac:dyDescent="0.35">
      <c r="A5023" t="s">
        <v>19</v>
      </c>
      <c r="B5023" t="s">
        <v>21</v>
      </c>
      <c r="C5023" s="1">
        <v>45924</v>
      </c>
      <c r="D5023">
        <f t="shared" si="372"/>
        <v>24</v>
      </c>
      <c r="E5023">
        <f t="shared" si="373"/>
        <v>9</v>
      </c>
      <c r="F5023">
        <f t="shared" si="374"/>
        <v>2025</v>
      </c>
      <c r="G5023" t="s">
        <v>36</v>
      </c>
      <c r="H5023" s="121">
        <v>13637</v>
      </c>
      <c r="I5023" s="76">
        <v>61</v>
      </c>
      <c r="J5023" s="12" t="s">
        <v>31</v>
      </c>
      <c r="K5023" s="76">
        <f t="shared" ref="K5023:K5054" si="376">IF(J5023="USD",I5023,I5023*L5023)</f>
        <v>61</v>
      </c>
      <c r="L5023">
        <v>1</v>
      </c>
      <c r="M5023" s="76">
        <v>0</v>
      </c>
      <c r="N5023" t="s">
        <v>32</v>
      </c>
      <c r="O5023" t="s">
        <v>33</v>
      </c>
      <c r="P5023" t="s">
        <v>34</v>
      </c>
      <c r="Q5023" t="s">
        <v>34</v>
      </c>
      <c r="R5023" t="s">
        <v>34</v>
      </c>
      <c r="S5023" t="s">
        <v>34</v>
      </c>
      <c r="T5023" s="117">
        <v>0</v>
      </c>
    </row>
    <row r="5024" spans="1:21" x14ac:dyDescent="0.35">
      <c r="A5024" t="s">
        <v>19</v>
      </c>
      <c r="B5024" t="s">
        <v>21</v>
      </c>
      <c r="C5024" s="1">
        <v>45924</v>
      </c>
      <c r="D5024">
        <f t="shared" si="372"/>
        <v>24</v>
      </c>
      <c r="E5024">
        <f t="shared" si="373"/>
        <v>9</v>
      </c>
      <c r="F5024">
        <f t="shared" si="374"/>
        <v>2025</v>
      </c>
      <c r="G5024" t="s">
        <v>36</v>
      </c>
      <c r="H5024" s="121">
        <v>13719</v>
      </c>
      <c r="I5024" s="76">
        <v>29</v>
      </c>
      <c r="J5024" s="12" t="s">
        <v>31</v>
      </c>
      <c r="K5024" s="76">
        <f t="shared" si="376"/>
        <v>29</v>
      </c>
      <c r="L5024">
        <v>1</v>
      </c>
      <c r="M5024" s="76">
        <v>0</v>
      </c>
      <c r="N5024" t="s">
        <v>32</v>
      </c>
      <c r="O5024" t="s">
        <v>33</v>
      </c>
      <c r="P5024" t="s">
        <v>34</v>
      </c>
      <c r="Q5024" t="s">
        <v>34</v>
      </c>
      <c r="R5024" t="s">
        <v>34</v>
      </c>
      <c r="S5024" t="s">
        <v>34</v>
      </c>
      <c r="T5024" s="117">
        <v>0</v>
      </c>
    </row>
    <row r="5025" spans="1:20" x14ac:dyDescent="0.35">
      <c r="A5025" t="s">
        <v>19</v>
      </c>
      <c r="B5025" t="s">
        <v>27</v>
      </c>
      <c r="C5025" s="1">
        <v>45924</v>
      </c>
      <c r="D5025">
        <f t="shared" si="372"/>
        <v>24</v>
      </c>
      <c r="E5025">
        <f t="shared" si="373"/>
        <v>9</v>
      </c>
      <c r="F5025">
        <f t="shared" si="374"/>
        <v>2025</v>
      </c>
      <c r="G5025" t="s">
        <v>1324</v>
      </c>
      <c r="H5025" s="121">
        <v>13820</v>
      </c>
      <c r="I5025" s="76">
        <v>13200</v>
      </c>
      <c r="J5025" s="12" t="s">
        <v>31</v>
      </c>
      <c r="K5025" s="76">
        <f t="shared" si="376"/>
        <v>13200</v>
      </c>
      <c r="L5025">
        <v>1</v>
      </c>
      <c r="M5025" s="76">
        <v>0</v>
      </c>
      <c r="N5025" t="s">
        <v>32</v>
      </c>
      <c r="O5025" t="s">
        <v>33</v>
      </c>
      <c r="P5025" t="s">
        <v>34</v>
      </c>
      <c r="Q5025" t="s">
        <v>34</v>
      </c>
      <c r="R5025" t="s">
        <v>34</v>
      </c>
      <c r="S5025" t="s">
        <v>34</v>
      </c>
      <c r="T5025" s="117">
        <v>0</v>
      </c>
    </row>
    <row r="5026" spans="1:20" x14ac:dyDescent="0.35">
      <c r="A5026" t="s">
        <v>19</v>
      </c>
      <c r="B5026" t="s">
        <v>27</v>
      </c>
      <c r="C5026" s="1">
        <v>45924</v>
      </c>
      <c r="D5026">
        <f t="shared" ref="D5026:D5083" si="377">DAY(C5026)</f>
        <v>24</v>
      </c>
      <c r="E5026">
        <f t="shared" ref="E5026:E5083" si="378">MONTH(C5026)</f>
        <v>9</v>
      </c>
      <c r="F5026">
        <f t="shared" ref="F5026:F5083" si="379">YEAR(C5026)</f>
        <v>2025</v>
      </c>
      <c r="G5026" t="s">
        <v>1324</v>
      </c>
      <c r="H5026" s="121">
        <v>13821</v>
      </c>
      <c r="I5026" s="76">
        <v>3040</v>
      </c>
      <c r="J5026" s="12" t="s">
        <v>31</v>
      </c>
      <c r="K5026" s="76">
        <f t="shared" si="376"/>
        <v>3040</v>
      </c>
      <c r="L5026">
        <v>1</v>
      </c>
      <c r="M5026" s="76">
        <v>0</v>
      </c>
      <c r="N5026" t="s">
        <v>32</v>
      </c>
      <c r="O5026" t="s">
        <v>33</v>
      </c>
      <c r="P5026" t="s">
        <v>34</v>
      </c>
      <c r="Q5026" t="s">
        <v>34</v>
      </c>
      <c r="R5026" t="s">
        <v>34</v>
      </c>
      <c r="S5026" t="s">
        <v>34</v>
      </c>
      <c r="T5026" s="117">
        <v>0</v>
      </c>
    </row>
    <row r="5027" spans="1:20" x14ac:dyDescent="0.35">
      <c r="A5027" t="s">
        <v>19</v>
      </c>
      <c r="B5027" t="s">
        <v>27</v>
      </c>
      <c r="C5027" s="1">
        <v>45924</v>
      </c>
      <c r="D5027">
        <f t="shared" si="377"/>
        <v>24</v>
      </c>
      <c r="E5027">
        <f t="shared" si="378"/>
        <v>9</v>
      </c>
      <c r="F5027">
        <f t="shared" si="379"/>
        <v>2025</v>
      </c>
      <c r="G5027" t="s">
        <v>100</v>
      </c>
      <c r="H5027" s="121">
        <v>13331</v>
      </c>
      <c r="I5027" s="76">
        <v>290000</v>
      </c>
      <c r="J5027" s="12" t="s">
        <v>31</v>
      </c>
      <c r="K5027" s="76">
        <f t="shared" si="376"/>
        <v>290000</v>
      </c>
      <c r="L5027">
        <v>1</v>
      </c>
      <c r="M5027" s="76">
        <v>0</v>
      </c>
      <c r="N5027" t="s">
        <v>32</v>
      </c>
      <c r="O5027" t="s">
        <v>33</v>
      </c>
      <c r="P5027" t="s">
        <v>34</v>
      </c>
      <c r="Q5027" t="s">
        <v>34</v>
      </c>
      <c r="R5027" t="s">
        <v>34</v>
      </c>
      <c r="S5027" t="s">
        <v>34</v>
      </c>
      <c r="T5027" s="117">
        <v>0</v>
      </c>
    </row>
    <row r="5028" spans="1:20" x14ac:dyDescent="0.35">
      <c r="A5028" t="s">
        <v>19</v>
      </c>
      <c r="B5028" t="s">
        <v>24</v>
      </c>
      <c r="C5028" s="1">
        <v>45924</v>
      </c>
      <c r="D5028">
        <f t="shared" si="377"/>
        <v>24</v>
      </c>
      <c r="E5028">
        <f t="shared" si="378"/>
        <v>9</v>
      </c>
      <c r="F5028">
        <f t="shared" si="379"/>
        <v>2025</v>
      </c>
      <c r="G5028" t="s">
        <v>29</v>
      </c>
      <c r="H5028" s="121">
        <v>12502</v>
      </c>
      <c r="I5028" s="76">
        <v>13834.45</v>
      </c>
      <c r="J5028" s="12" t="s">
        <v>31</v>
      </c>
      <c r="K5028" s="76">
        <f t="shared" si="376"/>
        <v>13834.45</v>
      </c>
      <c r="L5028">
        <v>1</v>
      </c>
      <c r="M5028" s="76">
        <v>0</v>
      </c>
      <c r="N5028" t="s">
        <v>32</v>
      </c>
      <c r="O5028" t="s">
        <v>33</v>
      </c>
      <c r="P5028" t="s">
        <v>34</v>
      </c>
      <c r="Q5028" t="s">
        <v>34</v>
      </c>
      <c r="R5028" t="s">
        <v>34</v>
      </c>
      <c r="S5028" t="s">
        <v>34</v>
      </c>
      <c r="T5028" s="117">
        <v>0</v>
      </c>
    </row>
    <row r="5029" spans="1:20" x14ac:dyDescent="0.35">
      <c r="A5029" t="s">
        <v>19</v>
      </c>
      <c r="B5029" t="s">
        <v>25</v>
      </c>
      <c r="C5029" s="1">
        <v>45924</v>
      </c>
      <c r="D5029">
        <f t="shared" si="377"/>
        <v>24</v>
      </c>
      <c r="E5029">
        <f t="shared" si="378"/>
        <v>9</v>
      </c>
      <c r="F5029">
        <f t="shared" si="379"/>
        <v>2025</v>
      </c>
      <c r="G5029" t="s">
        <v>936</v>
      </c>
      <c r="H5029" s="121">
        <v>12565</v>
      </c>
      <c r="I5029" s="76">
        <v>18400</v>
      </c>
      <c r="J5029" s="12" t="s">
        <v>31</v>
      </c>
      <c r="K5029" s="76">
        <f t="shared" si="376"/>
        <v>18400</v>
      </c>
      <c r="L5029">
        <v>1</v>
      </c>
      <c r="M5029" s="76">
        <v>0</v>
      </c>
      <c r="N5029" t="s">
        <v>32</v>
      </c>
      <c r="O5029" t="s">
        <v>33</v>
      </c>
      <c r="P5029" t="s">
        <v>34</v>
      </c>
      <c r="Q5029" t="s">
        <v>34</v>
      </c>
      <c r="R5029" t="s">
        <v>34</v>
      </c>
      <c r="S5029" t="s">
        <v>34</v>
      </c>
      <c r="T5029" s="117">
        <v>0</v>
      </c>
    </row>
    <row r="5030" spans="1:20" x14ac:dyDescent="0.35">
      <c r="A5030" t="s">
        <v>19</v>
      </c>
      <c r="B5030" t="s">
        <v>25</v>
      </c>
      <c r="C5030" s="1">
        <v>45924</v>
      </c>
      <c r="D5030">
        <f t="shared" si="377"/>
        <v>24</v>
      </c>
      <c r="E5030">
        <f t="shared" si="378"/>
        <v>9</v>
      </c>
      <c r="F5030">
        <f t="shared" si="379"/>
        <v>2025</v>
      </c>
      <c r="G5030" t="s">
        <v>80</v>
      </c>
      <c r="H5030" s="121">
        <v>13806</v>
      </c>
      <c r="I5030" s="76">
        <v>32867.5</v>
      </c>
      <c r="J5030" s="12" t="s">
        <v>31</v>
      </c>
      <c r="K5030" s="76">
        <f t="shared" si="376"/>
        <v>32867.5</v>
      </c>
      <c r="L5030">
        <v>1</v>
      </c>
      <c r="M5030" s="76">
        <v>0</v>
      </c>
      <c r="N5030" t="s">
        <v>42</v>
      </c>
      <c r="O5030" t="s">
        <v>33</v>
      </c>
      <c r="P5030" t="s">
        <v>34</v>
      </c>
      <c r="Q5030" t="s">
        <v>34</v>
      </c>
      <c r="R5030" t="s">
        <v>34</v>
      </c>
      <c r="S5030" t="s">
        <v>34</v>
      </c>
      <c r="T5030" s="117">
        <v>0</v>
      </c>
    </row>
    <row r="5031" spans="1:20" x14ac:dyDescent="0.35">
      <c r="A5031" t="s">
        <v>19</v>
      </c>
      <c r="B5031" t="s">
        <v>25</v>
      </c>
      <c r="C5031" s="1">
        <v>45924</v>
      </c>
      <c r="D5031">
        <f t="shared" si="377"/>
        <v>24</v>
      </c>
      <c r="E5031">
        <f t="shared" si="378"/>
        <v>9</v>
      </c>
      <c r="F5031">
        <f t="shared" si="379"/>
        <v>2025</v>
      </c>
      <c r="G5031" t="s">
        <v>1325</v>
      </c>
      <c r="H5031" s="139">
        <v>13805</v>
      </c>
      <c r="I5031" s="91">
        <v>7575</v>
      </c>
      <c r="J5031" s="139" t="s">
        <v>31</v>
      </c>
      <c r="K5031" s="76">
        <f t="shared" si="376"/>
        <v>7575</v>
      </c>
      <c r="L5031">
        <v>1</v>
      </c>
      <c r="M5031" s="76">
        <v>0</v>
      </c>
      <c r="N5031" t="s">
        <v>42</v>
      </c>
      <c r="O5031" t="s">
        <v>33</v>
      </c>
      <c r="P5031" t="s">
        <v>34</v>
      </c>
      <c r="Q5031" t="s">
        <v>34</v>
      </c>
      <c r="R5031" t="s">
        <v>34</v>
      </c>
      <c r="S5031" t="s">
        <v>34</v>
      </c>
      <c r="T5031" s="117">
        <v>0</v>
      </c>
    </row>
    <row r="5032" spans="1:20" x14ac:dyDescent="0.35">
      <c r="A5032" t="s">
        <v>19</v>
      </c>
      <c r="B5032" t="s">
        <v>21</v>
      </c>
      <c r="C5032" s="1">
        <v>45924</v>
      </c>
      <c r="D5032">
        <f t="shared" si="377"/>
        <v>24</v>
      </c>
      <c r="E5032">
        <f t="shared" si="378"/>
        <v>9</v>
      </c>
      <c r="F5032">
        <f t="shared" si="379"/>
        <v>2025</v>
      </c>
      <c r="G5032" t="s">
        <v>1326</v>
      </c>
      <c r="H5032" s="121">
        <v>13810</v>
      </c>
      <c r="I5032" s="76">
        <v>17.79</v>
      </c>
      <c r="J5032" s="12" t="s">
        <v>31</v>
      </c>
      <c r="K5032" s="76">
        <f t="shared" si="376"/>
        <v>17.79</v>
      </c>
      <c r="L5032">
        <v>1</v>
      </c>
      <c r="M5032" s="76">
        <v>0</v>
      </c>
      <c r="N5032" t="s">
        <v>42</v>
      </c>
      <c r="O5032" t="s">
        <v>33</v>
      </c>
      <c r="P5032" t="s">
        <v>34</v>
      </c>
      <c r="Q5032" t="s">
        <v>34</v>
      </c>
      <c r="R5032" t="s">
        <v>34</v>
      </c>
      <c r="S5032" t="s">
        <v>34</v>
      </c>
      <c r="T5032" s="117">
        <v>0</v>
      </c>
    </row>
    <row r="5033" spans="1:20" x14ac:dyDescent="0.35">
      <c r="A5033" t="s">
        <v>19</v>
      </c>
      <c r="B5033" t="s">
        <v>21</v>
      </c>
      <c r="C5033" s="1">
        <v>45924</v>
      </c>
      <c r="D5033">
        <f t="shared" si="377"/>
        <v>24</v>
      </c>
      <c r="E5033">
        <f t="shared" si="378"/>
        <v>9</v>
      </c>
      <c r="F5033">
        <f t="shared" si="379"/>
        <v>2025</v>
      </c>
      <c r="G5033" t="s">
        <v>1326</v>
      </c>
      <c r="H5033" s="121">
        <v>13811</v>
      </c>
      <c r="I5033" s="76">
        <v>6524.7</v>
      </c>
      <c r="J5033" s="12" t="s">
        <v>31</v>
      </c>
      <c r="K5033" s="76">
        <f t="shared" si="376"/>
        <v>6524.7</v>
      </c>
      <c r="L5033">
        <v>1</v>
      </c>
      <c r="M5033" s="76">
        <v>0</v>
      </c>
      <c r="N5033" t="s">
        <v>42</v>
      </c>
      <c r="O5033" t="s">
        <v>33</v>
      </c>
      <c r="P5033" t="s">
        <v>34</v>
      </c>
      <c r="Q5033" t="s">
        <v>34</v>
      </c>
      <c r="R5033" t="s">
        <v>34</v>
      </c>
      <c r="S5033" t="s">
        <v>34</v>
      </c>
      <c r="T5033" s="117">
        <v>0</v>
      </c>
    </row>
    <row r="5034" spans="1:20" x14ac:dyDescent="0.35">
      <c r="A5034" t="s">
        <v>19</v>
      </c>
      <c r="B5034" t="s">
        <v>21</v>
      </c>
      <c r="C5034" s="1">
        <v>45924</v>
      </c>
      <c r="D5034">
        <f t="shared" si="377"/>
        <v>24</v>
      </c>
      <c r="E5034">
        <f t="shared" si="378"/>
        <v>9</v>
      </c>
      <c r="F5034">
        <f t="shared" si="379"/>
        <v>2025</v>
      </c>
      <c r="G5034" t="s">
        <v>37</v>
      </c>
      <c r="H5034" s="139">
        <v>12716</v>
      </c>
      <c r="I5034" s="91">
        <v>39177</v>
      </c>
      <c r="J5034" s="139" t="s">
        <v>31</v>
      </c>
      <c r="K5034" s="76">
        <f t="shared" si="376"/>
        <v>39177</v>
      </c>
      <c r="L5034">
        <v>1</v>
      </c>
      <c r="M5034" s="76">
        <v>0</v>
      </c>
      <c r="N5034" t="s">
        <v>32</v>
      </c>
      <c r="O5034" t="s">
        <v>33</v>
      </c>
      <c r="P5034" t="s">
        <v>34</v>
      </c>
      <c r="Q5034" t="s">
        <v>34</v>
      </c>
      <c r="R5034" t="s">
        <v>34</v>
      </c>
      <c r="S5034" t="s">
        <v>34</v>
      </c>
      <c r="T5034" s="117">
        <v>0</v>
      </c>
    </row>
    <row r="5035" spans="1:20" x14ac:dyDescent="0.35">
      <c r="A5035" t="s">
        <v>19</v>
      </c>
      <c r="B5035" t="s">
        <v>24</v>
      </c>
      <c r="C5035" s="1">
        <v>45924</v>
      </c>
      <c r="D5035">
        <f t="shared" si="377"/>
        <v>24</v>
      </c>
      <c r="E5035">
        <f t="shared" si="378"/>
        <v>9</v>
      </c>
      <c r="F5035">
        <f t="shared" si="379"/>
        <v>2025</v>
      </c>
      <c r="G5035" t="s">
        <v>37</v>
      </c>
      <c r="H5035" s="139">
        <v>12716</v>
      </c>
      <c r="I5035" s="91">
        <v>30707.5</v>
      </c>
      <c r="J5035" s="139" t="s">
        <v>31</v>
      </c>
      <c r="K5035" s="76">
        <f t="shared" si="376"/>
        <v>30707.5</v>
      </c>
      <c r="L5035">
        <v>1</v>
      </c>
      <c r="M5035" s="76">
        <v>0</v>
      </c>
      <c r="N5035" t="s">
        <v>32</v>
      </c>
      <c r="O5035" t="s">
        <v>33</v>
      </c>
      <c r="P5035" t="s">
        <v>34</v>
      </c>
      <c r="Q5035" t="s">
        <v>34</v>
      </c>
      <c r="R5035" t="s">
        <v>34</v>
      </c>
      <c r="S5035" t="s">
        <v>34</v>
      </c>
      <c r="T5035" s="117">
        <v>0</v>
      </c>
    </row>
    <row r="5036" spans="1:20" x14ac:dyDescent="0.35">
      <c r="A5036" t="s">
        <v>19</v>
      </c>
      <c r="B5036" t="s">
        <v>25</v>
      </c>
      <c r="C5036" s="1">
        <v>45924</v>
      </c>
      <c r="D5036">
        <f t="shared" si="377"/>
        <v>24</v>
      </c>
      <c r="E5036">
        <f t="shared" si="378"/>
        <v>9</v>
      </c>
      <c r="F5036">
        <f t="shared" si="379"/>
        <v>2025</v>
      </c>
      <c r="G5036" t="s">
        <v>37</v>
      </c>
      <c r="H5036" s="139">
        <v>12716</v>
      </c>
      <c r="I5036" s="91">
        <v>15963.75</v>
      </c>
      <c r="J5036" s="139" t="s">
        <v>31</v>
      </c>
      <c r="K5036" s="76">
        <f t="shared" si="376"/>
        <v>15963.75</v>
      </c>
      <c r="L5036">
        <v>1</v>
      </c>
      <c r="M5036" s="76">
        <v>0</v>
      </c>
      <c r="N5036" t="s">
        <v>32</v>
      </c>
      <c r="O5036" t="s">
        <v>33</v>
      </c>
      <c r="P5036" t="s">
        <v>34</v>
      </c>
      <c r="Q5036" t="s">
        <v>34</v>
      </c>
      <c r="R5036" t="s">
        <v>34</v>
      </c>
      <c r="S5036" t="s">
        <v>34</v>
      </c>
      <c r="T5036" s="117">
        <v>0</v>
      </c>
    </row>
    <row r="5037" spans="1:20" x14ac:dyDescent="0.35">
      <c r="A5037" t="s">
        <v>19</v>
      </c>
      <c r="B5037" t="s">
        <v>24</v>
      </c>
      <c r="C5037" s="1">
        <v>45924</v>
      </c>
      <c r="D5037">
        <f t="shared" si="377"/>
        <v>24</v>
      </c>
      <c r="E5037">
        <f t="shared" si="378"/>
        <v>9</v>
      </c>
      <c r="F5037">
        <f t="shared" si="379"/>
        <v>2025</v>
      </c>
      <c r="G5037" t="s">
        <v>37</v>
      </c>
      <c r="H5037" s="139">
        <v>13551</v>
      </c>
      <c r="I5037" s="91">
        <v>48</v>
      </c>
      <c r="J5037" s="139" t="s">
        <v>31</v>
      </c>
      <c r="K5037" s="76">
        <f t="shared" si="376"/>
        <v>48</v>
      </c>
      <c r="L5037">
        <v>1</v>
      </c>
      <c r="M5037" s="76">
        <v>0</v>
      </c>
      <c r="N5037" t="s">
        <v>32</v>
      </c>
      <c r="O5037" t="s">
        <v>33</v>
      </c>
      <c r="P5037" t="s">
        <v>34</v>
      </c>
      <c r="Q5037" t="s">
        <v>34</v>
      </c>
      <c r="R5037" t="s">
        <v>34</v>
      </c>
      <c r="S5037" t="s">
        <v>34</v>
      </c>
      <c r="T5037" s="117">
        <v>0</v>
      </c>
    </row>
    <row r="5038" spans="1:20" x14ac:dyDescent="0.35">
      <c r="A5038" t="s">
        <v>20</v>
      </c>
      <c r="B5038" t="s">
        <v>23</v>
      </c>
      <c r="C5038" s="1">
        <v>45924</v>
      </c>
      <c r="D5038">
        <f t="shared" si="377"/>
        <v>24</v>
      </c>
      <c r="E5038">
        <f t="shared" si="378"/>
        <v>9</v>
      </c>
      <c r="F5038">
        <f t="shared" si="379"/>
        <v>2025</v>
      </c>
      <c r="G5038" t="s">
        <v>483</v>
      </c>
      <c r="H5038" s="121">
        <v>13238</v>
      </c>
      <c r="I5038" s="76">
        <v>5684.57</v>
      </c>
      <c r="J5038" s="12" t="s">
        <v>31</v>
      </c>
      <c r="K5038" s="76">
        <f t="shared" si="376"/>
        <v>5684.57</v>
      </c>
      <c r="L5038">
        <v>1</v>
      </c>
      <c r="M5038" s="76">
        <v>0</v>
      </c>
      <c r="N5038" t="s">
        <v>42</v>
      </c>
      <c r="O5038" t="s">
        <v>33</v>
      </c>
      <c r="P5038" t="s">
        <v>34</v>
      </c>
      <c r="Q5038" t="s">
        <v>34</v>
      </c>
      <c r="R5038" t="s">
        <v>34</v>
      </c>
      <c r="S5038" t="s">
        <v>34</v>
      </c>
      <c r="T5038" s="117">
        <v>360.92</v>
      </c>
    </row>
    <row r="5039" spans="1:20" x14ac:dyDescent="0.35">
      <c r="A5039" t="s">
        <v>20</v>
      </c>
      <c r="B5039" t="s">
        <v>23</v>
      </c>
      <c r="C5039" s="1">
        <v>45924</v>
      </c>
      <c r="D5039">
        <f t="shared" si="377"/>
        <v>24</v>
      </c>
      <c r="E5039">
        <f t="shared" si="378"/>
        <v>9</v>
      </c>
      <c r="F5039">
        <f t="shared" si="379"/>
        <v>2025</v>
      </c>
      <c r="G5039" t="s">
        <v>595</v>
      </c>
      <c r="H5039" s="121">
        <v>13167</v>
      </c>
      <c r="I5039" s="76">
        <v>2635.83</v>
      </c>
      <c r="J5039" s="12" t="s">
        <v>31</v>
      </c>
      <c r="K5039" s="76">
        <f t="shared" si="376"/>
        <v>2635.83</v>
      </c>
      <c r="L5039">
        <v>1</v>
      </c>
      <c r="M5039" s="76">
        <v>0</v>
      </c>
      <c r="N5039" t="s">
        <v>42</v>
      </c>
      <c r="O5039" t="s">
        <v>33</v>
      </c>
      <c r="P5039" t="s">
        <v>34</v>
      </c>
      <c r="Q5039" t="s">
        <v>34</v>
      </c>
      <c r="R5039" t="s">
        <v>34</v>
      </c>
      <c r="S5039" t="s">
        <v>34</v>
      </c>
      <c r="T5039" s="117">
        <v>0</v>
      </c>
    </row>
    <row r="5040" spans="1:20" x14ac:dyDescent="0.35">
      <c r="A5040" t="s">
        <v>20</v>
      </c>
      <c r="B5040" t="s">
        <v>25</v>
      </c>
      <c r="C5040" s="1">
        <v>45924</v>
      </c>
      <c r="D5040">
        <f t="shared" si="377"/>
        <v>24</v>
      </c>
      <c r="E5040">
        <f t="shared" si="378"/>
        <v>9</v>
      </c>
      <c r="F5040">
        <f t="shared" si="379"/>
        <v>2025</v>
      </c>
      <c r="G5040" t="s">
        <v>595</v>
      </c>
      <c r="H5040" s="121">
        <v>13167</v>
      </c>
      <c r="I5040" s="76">
        <v>1610.63</v>
      </c>
      <c r="J5040" s="12" t="s">
        <v>31</v>
      </c>
      <c r="K5040" s="76">
        <f t="shared" si="376"/>
        <v>1610.63</v>
      </c>
      <c r="L5040">
        <v>1</v>
      </c>
      <c r="M5040" s="76">
        <v>0</v>
      </c>
      <c r="N5040" t="s">
        <v>42</v>
      </c>
      <c r="O5040" t="s">
        <v>33</v>
      </c>
      <c r="P5040" t="s">
        <v>34</v>
      </c>
      <c r="Q5040" t="s">
        <v>34</v>
      </c>
      <c r="R5040" t="s">
        <v>34</v>
      </c>
      <c r="S5040" t="s">
        <v>34</v>
      </c>
      <c r="T5040" s="117">
        <v>0</v>
      </c>
    </row>
    <row r="5041" spans="1:20" x14ac:dyDescent="0.35">
      <c r="A5041" t="s">
        <v>20</v>
      </c>
      <c r="B5041" t="s">
        <v>21</v>
      </c>
      <c r="C5041" s="1">
        <v>45924</v>
      </c>
      <c r="D5041">
        <f t="shared" si="377"/>
        <v>24</v>
      </c>
      <c r="E5041">
        <f t="shared" si="378"/>
        <v>9</v>
      </c>
      <c r="F5041">
        <f t="shared" si="379"/>
        <v>2025</v>
      </c>
      <c r="G5041" t="s">
        <v>88</v>
      </c>
      <c r="H5041" s="139">
        <v>13248</v>
      </c>
      <c r="I5041" s="91">
        <v>74</v>
      </c>
      <c r="J5041" s="139" t="s">
        <v>31</v>
      </c>
      <c r="K5041" s="76">
        <f t="shared" si="376"/>
        <v>74</v>
      </c>
      <c r="L5041">
        <v>1</v>
      </c>
      <c r="M5041" s="76">
        <v>0</v>
      </c>
      <c r="N5041" t="s">
        <v>32</v>
      </c>
      <c r="O5041" t="s">
        <v>33</v>
      </c>
      <c r="P5041" t="s">
        <v>34</v>
      </c>
      <c r="Q5041" t="s">
        <v>34</v>
      </c>
      <c r="R5041" t="s">
        <v>34</v>
      </c>
      <c r="S5041" t="s">
        <v>34</v>
      </c>
      <c r="T5041" s="117">
        <v>0</v>
      </c>
    </row>
    <row r="5042" spans="1:20" x14ac:dyDescent="0.35">
      <c r="A5042" t="s">
        <v>20</v>
      </c>
      <c r="B5042" t="s">
        <v>21</v>
      </c>
      <c r="C5042" s="1">
        <v>45924</v>
      </c>
      <c r="D5042">
        <f t="shared" si="377"/>
        <v>24</v>
      </c>
      <c r="E5042">
        <f t="shared" si="378"/>
        <v>9</v>
      </c>
      <c r="F5042">
        <f t="shared" si="379"/>
        <v>2025</v>
      </c>
      <c r="G5042" t="s">
        <v>88</v>
      </c>
      <c r="H5042" s="139">
        <v>13302</v>
      </c>
      <c r="I5042" s="91">
        <v>12008.25</v>
      </c>
      <c r="J5042" s="139" t="s">
        <v>31</v>
      </c>
      <c r="K5042" s="76">
        <f t="shared" si="376"/>
        <v>12008.25</v>
      </c>
      <c r="L5042">
        <v>1</v>
      </c>
      <c r="M5042" s="76">
        <v>0</v>
      </c>
      <c r="N5042" t="s">
        <v>32</v>
      </c>
      <c r="O5042" t="s">
        <v>33</v>
      </c>
      <c r="P5042" t="s">
        <v>34</v>
      </c>
      <c r="Q5042" t="s">
        <v>34</v>
      </c>
      <c r="R5042" t="s">
        <v>34</v>
      </c>
      <c r="S5042" t="s">
        <v>34</v>
      </c>
      <c r="T5042" s="117">
        <v>0</v>
      </c>
    </row>
    <row r="5043" spans="1:20" x14ac:dyDescent="0.35">
      <c r="A5043" t="s">
        <v>20</v>
      </c>
      <c r="B5043" t="s">
        <v>23</v>
      </c>
      <c r="C5043" s="1">
        <v>45924</v>
      </c>
      <c r="D5043">
        <f t="shared" si="377"/>
        <v>24</v>
      </c>
      <c r="E5043">
        <f t="shared" si="378"/>
        <v>9</v>
      </c>
      <c r="F5043">
        <f t="shared" si="379"/>
        <v>2025</v>
      </c>
      <c r="G5043" t="s">
        <v>118</v>
      </c>
      <c r="H5043" s="139">
        <v>13383</v>
      </c>
      <c r="I5043" s="91">
        <v>5012.55</v>
      </c>
      <c r="J5043" s="139" t="s">
        <v>31</v>
      </c>
      <c r="K5043" s="76">
        <f t="shared" si="376"/>
        <v>5012.55</v>
      </c>
      <c r="L5043">
        <v>1</v>
      </c>
      <c r="M5043" s="76">
        <v>0</v>
      </c>
      <c r="N5043" t="s">
        <v>32</v>
      </c>
      <c r="O5043" t="s">
        <v>33</v>
      </c>
      <c r="P5043" t="s">
        <v>34</v>
      </c>
      <c r="Q5043" t="s">
        <v>34</v>
      </c>
      <c r="R5043" t="s">
        <v>34</v>
      </c>
      <c r="S5043" t="s">
        <v>34</v>
      </c>
      <c r="T5043" s="117">
        <v>0</v>
      </c>
    </row>
    <row r="5044" spans="1:20" x14ac:dyDescent="0.35">
      <c r="A5044" t="s">
        <v>20</v>
      </c>
      <c r="B5044" t="s">
        <v>21</v>
      </c>
      <c r="C5044" s="1">
        <v>45924</v>
      </c>
      <c r="D5044">
        <f t="shared" si="377"/>
        <v>24</v>
      </c>
      <c r="E5044">
        <f t="shared" si="378"/>
        <v>9</v>
      </c>
      <c r="F5044">
        <f t="shared" si="379"/>
        <v>2025</v>
      </c>
      <c r="G5044" t="s">
        <v>1327</v>
      </c>
      <c r="H5044" s="139">
        <v>13270</v>
      </c>
      <c r="I5044" s="91">
        <v>17790.3</v>
      </c>
      <c r="J5044" s="139" t="s">
        <v>31</v>
      </c>
      <c r="K5044" s="76">
        <f t="shared" si="376"/>
        <v>17790.3</v>
      </c>
      <c r="L5044">
        <v>1</v>
      </c>
      <c r="M5044" s="76">
        <v>0</v>
      </c>
      <c r="N5044" t="s">
        <v>32</v>
      </c>
      <c r="O5044" t="s">
        <v>33</v>
      </c>
      <c r="P5044" t="s">
        <v>34</v>
      </c>
      <c r="Q5044" t="s">
        <v>34</v>
      </c>
      <c r="R5044" t="s">
        <v>34</v>
      </c>
      <c r="S5044" t="s">
        <v>34</v>
      </c>
      <c r="T5044" s="117">
        <v>0</v>
      </c>
    </row>
    <row r="5045" spans="1:20" x14ac:dyDescent="0.35">
      <c r="A5045" t="s">
        <v>20</v>
      </c>
      <c r="B5045" t="s">
        <v>23</v>
      </c>
      <c r="C5045" s="1">
        <v>45924</v>
      </c>
      <c r="D5045">
        <f t="shared" si="377"/>
        <v>24</v>
      </c>
      <c r="E5045">
        <f t="shared" si="378"/>
        <v>9</v>
      </c>
      <c r="F5045">
        <f t="shared" si="379"/>
        <v>2025</v>
      </c>
      <c r="G5045" t="s">
        <v>1327</v>
      </c>
      <c r="H5045" s="139">
        <v>13270</v>
      </c>
      <c r="I5045" s="91">
        <v>15260.56</v>
      </c>
      <c r="J5045" s="139" t="s">
        <v>31</v>
      </c>
      <c r="K5045" s="76">
        <f t="shared" si="376"/>
        <v>15260.56</v>
      </c>
      <c r="L5045">
        <v>1</v>
      </c>
      <c r="M5045" s="76">
        <v>0</v>
      </c>
      <c r="N5045" t="s">
        <v>32</v>
      </c>
      <c r="O5045" t="s">
        <v>33</v>
      </c>
      <c r="P5045" t="s">
        <v>34</v>
      </c>
      <c r="Q5045" t="s">
        <v>34</v>
      </c>
      <c r="R5045" t="s">
        <v>34</v>
      </c>
      <c r="S5045" t="s">
        <v>34</v>
      </c>
      <c r="T5045" s="117">
        <v>0</v>
      </c>
    </row>
    <row r="5046" spans="1:20" x14ac:dyDescent="0.35">
      <c r="A5046" t="s">
        <v>20</v>
      </c>
      <c r="B5046" t="s">
        <v>24</v>
      </c>
      <c r="C5046" s="1">
        <v>45924</v>
      </c>
      <c r="D5046">
        <f t="shared" si="377"/>
        <v>24</v>
      </c>
      <c r="E5046">
        <f t="shared" si="378"/>
        <v>9</v>
      </c>
      <c r="F5046">
        <f t="shared" si="379"/>
        <v>2025</v>
      </c>
      <c r="G5046" t="s">
        <v>1327</v>
      </c>
      <c r="H5046" s="139">
        <v>13737</v>
      </c>
      <c r="I5046" s="91">
        <v>225.44</v>
      </c>
      <c r="J5046" s="139" t="s">
        <v>31</v>
      </c>
      <c r="K5046" s="76">
        <f t="shared" si="376"/>
        <v>225.44</v>
      </c>
      <c r="L5046">
        <v>1</v>
      </c>
      <c r="M5046" s="76">
        <v>0</v>
      </c>
      <c r="N5046" t="s">
        <v>32</v>
      </c>
      <c r="O5046" t="s">
        <v>33</v>
      </c>
      <c r="P5046" t="s">
        <v>34</v>
      </c>
      <c r="Q5046" t="s">
        <v>34</v>
      </c>
      <c r="R5046" t="s">
        <v>34</v>
      </c>
      <c r="S5046" t="s">
        <v>34</v>
      </c>
      <c r="T5046" s="117">
        <v>0</v>
      </c>
    </row>
    <row r="5047" spans="1:20" x14ac:dyDescent="0.35">
      <c r="A5047" t="s">
        <v>20</v>
      </c>
      <c r="B5047" t="s">
        <v>25</v>
      </c>
      <c r="C5047" s="1">
        <v>45924</v>
      </c>
      <c r="D5047">
        <f t="shared" si="377"/>
        <v>24</v>
      </c>
      <c r="E5047">
        <f t="shared" si="378"/>
        <v>9</v>
      </c>
      <c r="F5047">
        <f t="shared" si="379"/>
        <v>2025</v>
      </c>
      <c r="G5047" t="s">
        <v>104</v>
      </c>
      <c r="H5047" s="139">
        <v>13578</v>
      </c>
      <c r="I5047" s="91">
        <v>70</v>
      </c>
      <c r="J5047" s="139" t="s">
        <v>31</v>
      </c>
      <c r="K5047" s="76">
        <f t="shared" si="376"/>
        <v>70</v>
      </c>
      <c r="L5047">
        <v>1</v>
      </c>
      <c r="M5047" s="76">
        <v>0</v>
      </c>
      <c r="N5047" t="s">
        <v>32</v>
      </c>
      <c r="O5047" t="s">
        <v>33</v>
      </c>
      <c r="P5047" t="s">
        <v>34</v>
      </c>
      <c r="Q5047" t="s">
        <v>34</v>
      </c>
      <c r="R5047" t="s">
        <v>34</v>
      </c>
      <c r="S5047" t="s">
        <v>34</v>
      </c>
      <c r="T5047" s="117">
        <v>0</v>
      </c>
    </row>
    <row r="5048" spans="1:20" x14ac:dyDescent="0.35">
      <c r="A5048" t="s">
        <v>20</v>
      </c>
      <c r="B5048" t="s">
        <v>24</v>
      </c>
      <c r="C5048" s="1">
        <v>45924</v>
      </c>
      <c r="D5048">
        <f t="shared" si="377"/>
        <v>24</v>
      </c>
      <c r="E5048">
        <f t="shared" si="378"/>
        <v>9</v>
      </c>
      <c r="F5048">
        <f t="shared" si="379"/>
        <v>2025</v>
      </c>
      <c r="G5048" t="s">
        <v>104</v>
      </c>
      <c r="H5048" s="139">
        <v>13411</v>
      </c>
      <c r="I5048" s="91">
        <v>120</v>
      </c>
      <c r="J5048" s="139" t="s">
        <v>31</v>
      </c>
      <c r="K5048" s="76">
        <f t="shared" si="376"/>
        <v>120</v>
      </c>
      <c r="L5048">
        <v>1</v>
      </c>
      <c r="M5048" s="76">
        <v>0</v>
      </c>
      <c r="N5048" t="s">
        <v>42</v>
      </c>
      <c r="O5048" t="s">
        <v>33</v>
      </c>
      <c r="P5048" t="s">
        <v>34</v>
      </c>
      <c r="Q5048" t="s">
        <v>34</v>
      </c>
      <c r="R5048" t="s">
        <v>34</v>
      </c>
      <c r="S5048" t="s">
        <v>34</v>
      </c>
      <c r="T5048" s="117">
        <v>0</v>
      </c>
    </row>
    <row r="5049" spans="1:20" x14ac:dyDescent="0.35">
      <c r="A5049" t="s">
        <v>20</v>
      </c>
      <c r="B5049" t="s">
        <v>21</v>
      </c>
      <c r="C5049" s="1">
        <v>45924</v>
      </c>
      <c r="D5049">
        <f t="shared" si="377"/>
        <v>24</v>
      </c>
      <c r="E5049">
        <f t="shared" si="378"/>
        <v>9</v>
      </c>
      <c r="F5049">
        <f t="shared" si="379"/>
        <v>2025</v>
      </c>
      <c r="G5049" t="s">
        <v>209</v>
      </c>
      <c r="H5049" s="139">
        <v>12754</v>
      </c>
      <c r="I5049" s="91">
        <v>374.9</v>
      </c>
      <c r="J5049" s="139" t="s">
        <v>31</v>
      </c>
      <c r="K5049" s="76">
        <f t="shared" si="376"/>
        <v>374.9</v>
      </c>
      <c r="L5049">
        <v>1</v>
      </c>
      <c r="M5049" s="76">
        <v>0</v>
      </c>
      <c r="N5049" t="s">
        <v>32</v>
      </c>
      <c r="O5049" t="s">
        <v>33</v>
      </c>
      <c r="P5049" t="s">
        <v>34</v>
      </c>
      <c r="Q5049" t="s">
        <v>34</v>
      </c>
      <c r="R5049" t="s">
        <v>34</v>
      </c>
      <c r="S5049" t="s">
        <v>34</v>
      </c>
      <c r="T5049" s="117">
        <v>0</v>
      </c>
    </row>
    <row r="5050" spans="1:20" x14ac:dyDescent="0.35">
      <c r="A5050" t="s">
        <v>20</v>
      </c>
      <c r="B5050" t="s">
        <v>24</v>
      </c>
      <c r="C5050" s="1">
        <v>45924</v>
      </c>
      <c r="D5050">
        <f t="shared" si="377"/>
        <v>24</v>
      </c>
      <c r="E5050">
        <f t="shared" si="378"/>
        <v>9</v>
      </c>
      <c r="F5050">
        <f t="shared" si="379"/>
        <v>2025</v>
      </c>
      <c r="G5050" t="s">
        <v>209</v>
      </c>
      <c r="H5050" s="139">
        <v>12754</v>
      </c>
      <c r="I5050" s="91">
        <v>1317.18</v>
      </c>
      <c r="J5050" s="139" t="s">
        <v>31</v>
      </c>
      <c r="K5050" s="76">
        <f t="shared" si="376"/>
        <v>1317.18</v>
      </c>
      <c r="L5050">
        <v>1</v>
      </c>
      <c r="M5050" s="76">
        <v>0</v>
      </c>
      <c r="N5050" t="s">
        <v>32</v>
      </c>
      <c r="O5050" t="s">
        <v>33</v>
      </c>
      <c r="P5050" t="s">
        <v>34</v>
      </c>
      <c r="Q5050" t="s">
        <v>34</v>
      </c>
      <c r="R5050" t="s">
        <v>34</v>
      </c>
      <c r="S5050" t="s">
        <v>34</v>
      </c>
      <c r="T5050" s="117">
        <v>0</v>
      </c>
    </row>
    <row r="5051" spans="1:20" x14ac:dyDescent="0.35">
      <c r="A5051" t="s">
        <v>20</v>
      </c>
      <c r="B5051" t="s">
        <v>21</v>
      </c>
      <c r="C5051" s="1">
        <v>45924</v>
      </c>
      <c r="D5051">
        <f t="shared" si="377"/>
        <v>24</v>
      </c>
      <c r="E5051">
        <f t="shared" si="378"/>
        <v>9</v>
      </c>
      <c r="F5051">
        <f t="shared" si="379"/>
        <v>2025</v>
      </c>
      <c r="G5051" t="s">
        <v>209</v>
      </c>
      <c r="H5051" s="139">
        <v>12755</v>
      </c>
      <c r="I5051" s="91">
        <v>22005.86</v>
      </c>
      <c r="J5051" s="139" t="s">
        <v>31</v>
      </c>
      <c r="K5051" s="76">
        <f t="shared" si="376"/>
        <v>22005.86</v>
      </c>
      <c r="L5051">
        <v>1</v>
      </c>
      <c r="M5051" s="76">
        <v>0</v>
      </c>
      <c r="N5051" t="s">
        <v>32</v>
      </c>
      <c r="O5051" t="s">
        <v>33</v>
      </c>
      <c r="P5051" t="s">
        <v>34</v>
      </c>
      <c r="Q5051" t="s">
        <v>34</v>
      </c>
      <c r="R5051" t="s">
        <v>34</v>
      </c>
      <c r="S5051" t="s">
        <v>34</v>
      </c>
      <c r="T5051" s="117">
        <v>0</v>
      </c>
    </row>
    <row r="5052" spans="1:20" x14ac:dyDescent="0.35">
      <c r="A5052" t="s">
        <v>20</v>
      </c>
      <c r="B5052" t="s">
        <v>24</v>
      </c>
      <c r="C5052" s="1">
        <v>45924</v>
      </c>
      <c r="D5052">
        <f t="shared" si="377"/>
        <v>24</v>
      </c>
      <c r="E5052">
        <f t="shared" si="378"/>
        <v>9</v>
      </c>
      <c r="F5052">
        <f t="shared" si="379"/>
        <v>2025</v>
      </c>
      <c r="G5052" t="s">
        <v>209</v>
      </c>
      <c r="H5052" s="139">
        <v>12755</v>
      </c>
      <c r="I5052" s="91">
        <v>64139.67</v>
      </c>
      <c r="J5052" s="139" t="s">
        <v>31</v>
      </c>
      <c r="K5052" s="76">
        <f t="shared" si="376"/>
        <v>64139.67</v>
      </c>
      <c r="L5052">
        <v>1</v>
      </c>
      <c r="M5052" s="76">
        <v>0</v>
      </c>
      <c r="N5052" t="s">
        <v>32</v>
      </c>
      <c r="O5052" t="s">
        <v>33</v>
      </c>
      <c r="P5052" t="s">
        <v>34</v>
      </c>
      <c r="Q5052" t="s">
        <v>34</v>
      </c>
      <c r="R5052" t="s">
        <v>34</v>
      </c>
      <c r="S5052" t="s">
        <v>34</v>
      </c>
      <c r="T5052" s="117">
        <v>317.44</v>
      </c>
    </row>
    <row r="5053" spans="1:20" x14ac:dyDescent="0.35">
      <c r="A5053" t="s">
        <v>20</v>
      </c>
      <c r="B5053" t="s">
        <v>21</v>
      </c>
      <c r="C5053" s="1">
        <v>45924</v>
      </c>
      <c r="D5053">
        <f t="shared" si="377"/>
        <v>24</v>
      </c>
      <c r="E5053">
        <f t="shared" si="378"/>
        <v>9</v>
      </c>
      <c r="F5053">
        <f t="shared" si="379"/>
        <v>2025</v>
      </c>
      <c r="G5053" t="s">
        <v>1238</v>
      </c>
      <c r="H5053" s="139">
        <v>13035</v>
      </c>
      <c r="I5053" s="91">
        <v>83.72</v>
      </c>
      <c r="J5053" s="139" t="s">
        <v>31</v>
      </c>
      <c r="K5053" s="76">
        <f t="shared" si="376"/>
        <v>83.72</v>
      </c>
      <c r="L5053">
        <v>1</v>
      </c>
      <c r="M5053" s="76">
        <v>0</v>
      </c>
      <c r="N5053" t="s">
        <v>32</v>
      </c>
      <c r="O5053" t="s">
        <v>33</v>
      </c>
      <c r="P5053" t="s">
        <v>34</v>
      </c>
      <c r="Q5053" t="s">
        <v>34</v>
      </c>
      <c r="R5053" t="s">
        <v>34</v>
      </c>
      <c r="S5053" t="s">
        <v>34</v>
      </c>
      <c r="T5053" s="117">
        <v>0</v>
      </c>
    </row>
    <row r="5054" spans="1:20" x14ac:dyDescent="0.35">
      <c r="A5054" t="s">
        <v>20</v>
      </c>
      <c r="B5054" t="s">
        <v>21</v>
      </c>
      <c r="C5054" s="1">
        <v>45924</v>
      </c>
      <c r="D5054">
        <f t="shared" si="377"/>
        <v>24</v>
      </c>
      <c r="E5054">
        <f t="shared" si="378"/>
        <v>9</v>
      </c>
      <c r="F5054">
        <f t="shared" si="379"/>
        <v>2025</v>
      </c>
      <c r="G5054" t="s">
        <v>1238</v>
      </c>
      <c r="H5054" s="139">
        <v>13814</v>
      </c>
      <c r="I5054" s="91">
        <v>15</v>
      </c>
      <c r="J5054" s="139" t="s">
        <v>31</v>
      </c>
      <c r="K5054" s="76">
        <f t="shared" si="376"/>
        <v>15</v>
      </c>
      <c r="L5054">
        <v>1</v>
      </c>
      <c r="M5054" s="76">
        <v>0</v>
      </c>
      <c r="N5054" t="s">
        <v>42</v>
      </c>
      <c r="O5054" t="s">
        <v>33</v>
      </c>
      <c r="P5054" t="s">
        <v>34</v>
      </c>
      <c r="Q5054" t="s">
        <v>34</v>
      </c>
      <c r="R5054" t="s">
        <v>34</v>
      </c>
      <c r="S5054" t="s">
        <v>34</v>
      </c>
      <c r="T5054" s="117">
        <v>0</v>
      </c>
    </row>
    <row r="5055" spans="1:20" x14ac:dyDescent="0.35">
      <c r="A5055" t="s">
        <v>20</v>
      </c>
      <c r="B5055" t="s">
        <v>21</v>
      </c>
      <c r="C5055" s="1">
        <v>45924</v>
      </c>
      <c r="D5055">
        <f t="shared" si="377"/>
        <v>24</v>
      </c>
      <c r="E5055">
        <f t="shared" si="378"/>
        <v>9</v>
      </c>
      <c r="F5055">
        <f t="shared" si="379"/>
        <v>2025</v>
      </c>
      <c r="G5055" t="s">
        <v>1238</v>
      </c>
      <c r="H5055" s="139">
        <v>13815</v>
      </c>
      <c r="I5055" s="91">
        <v>1571.25</v>
      </c>
      <c r="J5055" s="139" t="s">
        <v>31</v>
      </c>
      <c r="K5055" s="76">
        <f t="shared" ref="K5055:K5071" si="380">IF(J5055="USD",I5055,I5055*L5055)</f>
        <v>1571.25</v>
      </c>
      <c r="L5055">
        <v>1</v>
      </c>
      <c r="M5055" s="76">
        <v>0</v>
      </c>
      <c r="N5055" t="s">
        <v>42</v>
      </c>
      <c r="O5055" t="s">
        <v>33</v>
      </c>
      <c r="P5055" t="s">
        <v>34</v>
      </c>
      <c r="Q5055" t="s">
        <v>34</v>
      </c>
      <c r="R5055" t="s">
        <v>34</v>
      </c>
      <c r="S5055" t="s">
        <v>34</v>
      </c>
      <c r="T5055" s="117">
        <v>0</v>
      </c>
    </row>
    <row r="5056" spans="1:20" x14ac:dyDescent="0.35">
      <c r="A5056" t="s">
        <v>20</v>
      </c>
      <c r="B5056" t="s">
        <v>21</v>
      </c>
      <c r="C5056" s="1">
        <v>45924</v>
      </c>
      <c r="D5056">
        <f t="shared" si="377"/>
        <v>24</v>
      </c>
      <c r="E5056">
        <f t="shared" si="378"/>
        <v>9</v>
      </c>
      <c r="F5056">
        <f t="shared" si="379"/>
        <v>2025</v>
      </c>
      <c r="G5056" t="s">
        <v>459</v>
      </c>
      <c r="H5056" s="139">
        <v>13099</v>
      </c>
      <c r="I5056" s="91">
        <v>10182.32</v>
      </c>
      <c r="J5056" s="139" t="s">
        <v>31</v>
      </c>
      <c r="K5056" s="76">
        <f t="shared" si="380"/>
        <v>10182.32</v>
      </c>
      <c r="L5056">
        <v>1</v>
      </c>
      <c r="M5056" s="76">
        <v>0</v>
      </c>
      <c r="N5056" t="s">
        <v>32</v>
      </c>
      <c r="O5056" t="s">
        <v>33</v>
      </c>
      <c r="P5056" t="s">
        <v>34</v>
      </c>
      <c r="Q5056" t="s">
        <v>34</v>
      </c>
      <c r="R5056" t="s">
        <v>34</v>
      </c>
      <c r="S5056" t="s">
        <v>34</v>
      </c>
      <c r="T5056" s="117">
        <v>0</v>
      </c>
    </row>
    <row r="5057" spans="1:21" x14ac:dyDescent="0.35">
      <c r="A5057" t="s">
        <v>20</v>
      </c>
      <c r="B5057" t="s">
        <v>21</v>
      </c>
      <c r="C5057" s="1">
        <v>45924</v>
      </c>
      <c r="D5057">
        <f t="shared" si="377"/>
        <v>24</v>
      </c>
      <c r="E5057">
        <f t="shared" si="378"/>
        <v>9</v>
      </c>
      <c r="F5057">
        <f t="shared" si="379"/>
        <v>2025</v>
      </c>
      <c r="G5057" t="s">
        <v>459</v>
      </c>
      <c r="H5057" s="139">
        <v>13098</v>
      </c>
      <c r="I5057" s="91">
        <v>0.47</v>
      </c>
      <c r="J5057" s="139" t="s">
        <v>31</v>
      </c>
      <c r="K5057" s="76">
        <f t="shared" si="380"/>
        <v>0.47</v>
      </c>
      <c r="L5057">
        <v>1</v>
      </c>
      <c r="M5057" s="76">
        <v>0</v>
      </c>
      <c r="N5057" t="s">
        <v>32</v>
      </c>
      <c r="O5057" t="s">
        <v>33</v>
      </c>
      <c r="P5057" t="s">
        <v>34</v>
      </c>
      <c r="Q5057" t="s">
        <v>34</v>
      </c>
      <c r="R5057" t="s">
        <v>34</v>
      </c>
      <c r="S5057" t="s">
        <v>34</v>
      </c>
      <c r="T5057" s="117">
        <v>0</v>
      </c>
    </row>
    <row r="5058" spans="1:21" x14ac:dyDescent="0.35">
      <c r="A5058" t="s">
        <v>20</v>
      </c>
      <c r="B5058" t="s">
        <v>21</v>
      </c>
      <c r="C5058" s="1">
        <v>45924</v>
      </c>
      <c r="D5058">
        <f t="shared" si="377"/>
        <v>24</v>
      </c>
      <c r="E5058">
        <f t="shared" si="378"/>
        <v>9</v>
      </c>
      <c r="F5058">
        <f t="shared" si="379"/>
        <v>2025</v>
      </c>
      <c r="G5058" t="s">
        <v>459</v>
      </c>
      <c r="H5058" s="139">
        <v>13611</v>
      </c>
      <c r="I5058" s="91">
        <v>58.91</v>
      </c>
      <c r="J5058" s="139" t="s">
        <v>31</v>
      </c>
      <c r="K5058" s="76">
        <f t="shared" si="380"/>
        <v>58.91</v>
      </c>
      <c r="L5058">
        <v>1</v>
      </c>
      <c r="M5058" s="76">
        <v>0</v>
      </c>
      <c r="N5058" t="s">
        <v>32</v>
      </c>
      <c r="O5058" t="s">
        <v>33</v>
      </c>
      <c r="P5058" t="s">
        <v>34</v>
      </c>
      <c r="Q5058" t="s">
        <v>34</v>
      </c>
      <c r="R5058" t="s">
        <v>34</v>
      </c>
      <c r="S5058" t="s">
        <v>34</v>
      </c>
      <c r="T5058" s="117">
        <v>0</v>
      </c>
    </row>
    <row r="5059" spans="1:21" x14ac:dyDescent="0.35">
      <c r="A5059" t="s">
        <v>20</v>
      </c>
      <c r="B5059" t="s">
        <v>25</v>
      </c>
      <c r="C5059" s="1">
        <v>45924</v>
      </c>
      <c r="D5059">
        <f t="shared" si="377"/>
        <v>24</v>
      </c>
      <c r="E5059">
        <f t="shared" si="378"/>
        <v>9</v>
      </c>
      <c r="F5059">
        <f t="shared" si="379"/>
        <v>2025</v>
      </c>
      <c r="G5059" t="s">
        <v>81</v>
      </c>
      <c r="H5059" s="121">
        <v>13422</v>
      </c>
      <c r="I5059" s="76">
        <v>71793</v>
      </c>
      <c r="J5059" s="12" t="s">
        <v>31</v>
      </c>
      <c r="K5059" s="76">
        <f t="shared" si="380"/>
        <v>71793</v>
      </c>
      <c r="L5059">
        <v>1</v>
      </c>
      <c r="M5059" s="76">
        <v>0</v>
      </c>
      <c r="N5059" t="s">
        <v>32</v>
      </c>
      <c r="O5059" t="s">
        <v>33</v>
      </c>
      <c r="P5059" t="s">
        <v>34</v>
      </c>
      <c r="Q5059" t="s">
        <v>34</v>
      </c>
      <c r="R5059" t="s">
        <v>34</v>
      </c>
      <c r="S5059" t="s">
        <v>34</v>
      </c>
      <c r="T5059" s="117">
        <v>0</v>
      </c>
    </row>
    <row r="5060" spans="1:21" x14ac:dyDescent="0.35">
      <c r="A5060" t="s">
        <v>20</v>
      </c>
      <c r="B5060" t="s">
        <v>23</v>
      </c>
      <c r="C5060" s="1">
        <v>45924</v>
      </c>
      <c r="D5060">
        <f t="shared" si="377"/>
        <v>24</v>
      </c>
      <c r="E5060">
        <f t="shared" si="378"/>
        <v>9</v>
      </c>
      <c r="F5060">
        <f t="shared" si="379"/>
        <v>2025</v>
      </c>
      <c r="G5060" t="s">
        <v>97</v>
      </c>
      <c r="H5060" s="139">
        <v>13558</v>
      </c>
      <c r="I5060" s="91">
        <v>35</v>
      </c>
      <c r="J5060" s="139" t="s">
        <v>31</v>
      </c>
      <c r="K5060" s="76">
        <f t="shared" si="380"/>
        <v>35</v>
      </c>
      <c r="L5060">
        <v>1</v>
      </c>
      <c r="M5060" s="76">
        <v>0</v>
      </c>
      <c r="N5060" t="s">
        <v>32</v>
      </c>
      <c r="O5060" t="s">
        <v>33</v>
      </c>
      <c r="P5060" t="s">
        <v>34</v>
      </c>
      <c r="Q5060" t="s">
        <v>34</v>
      </c>
      <c r="R5060" t="s">
        <v>34</v>
      </c>
      <c r="S5060" t="s">
        <v>34</v>
      </c>
      <c r="T5060" s="117">
        <v>0</v>
      </c>
    </row>
    <row r="5061" spans="1:21" x14ac:dyDescent="0.35">
      <c r="A5061" t="s">
        <v>20</v>
      </c>
      <c r="B5061" t="s">
        <v>25</v>
      </c>
      <c r="C5061" s="1">
        <v>45924</v>
      </c>
      <c r="D5061">
        <f t="shared" si="377"/>
        <v>24</v>
      </c>
      <c r="E5061">
        <f t="shared" si="378"/>
        <v>9</v>
      </c>
      <c r="F5061">
        <f t="shared" si="379"/>
        <v>2025</v>
      </c>
      <c r="G5061" t="s">
        <v>97</v>
      </c>
      <c r="H5061" s="139">
        <v>13568</v>
      </c>
      <c r="I5061" s="91">
        <v>140</v>
      </c>
      <c r="J5061" s="139" t="s">
        <v>31</v>
      </c>
      <c r="K5061" s="76">
        <f t="shared" si="380"/>
        <v>140</v>
      </c>
      <c r="L5061">
        <v>1</v>
      </c>
      <c r="M5061" s="76">
        <v>0</v>
      </c>
      <c r="N5061" t="s">
        <v>32</v>
      </c>
      <c r="O5061" t="s">
        <v>33</v>
      </c>
      <c r="P5061" t="s">
        <v>34</v>
      </c>
      <c r="Q5061" t="s">
        <v>34</v>
      </c>
      <c r="R5061" t="s">
        <v>34</v>
      </c>
      <c r="S5061" t="s">
        <v>34</v>
      </c>
      <c r="T5061" s="117">
        <v>0</v>
      </c>
    </row>
    <row r="5062" spans="1:21" x14ac:dyDescent="0.35">
      <c r="A5062" t="s">
        <v>20</v>
      </c>
      <c r="B5062" t="s">
        <v>25</v>
      </c>
      <c r="C5062" s="1">
        <v>45924</v>
      </c>
      <c r="D5062">
        <f t="shared" si="377"/>
        <v>24</v>
      </c>
      <c r="E5062">
        <f t="shared" si="378"/>
        <v>9</v>
      </c>
      <c r="F5062">
        <f t="shared" si="379"/>
        <v>2025</v>
      </c>
      <c r="G5062" t="s">
        <v>95</v>
      </c>
      <c r="H5062" s="121">
        <v>13813</v>
      </c>
      <c r="I5062" s="76">
        <v>1560</v>
      </c>
      <c r="J5062" s="12" t="s">
        <v>31</v>
      </c>
      <c r="K5062" s="76">
        <f t="shared" si="380"/>
        <v>1560</v>
      </c>
      <c r="L5062">
        <v>1</v>
      </c>
      <c r="M5062" s="76">
        <v>0</v>
      </c>
      <c r="N5062" t="s">
        <v>42</v>
      </c>
      <c r="O5062" t="s">
        <v>33</v>
      </c>
      <c r="P5062" t="s">
        <v>34</v>
      </c>
      <c r="Q5062" t="s">
        <v>34</v>
      </c>
      <c r="R5062" t="s">
        <v>34</v>
      </c>
      <c r="S5062" t="s">
        <v>34</v>
      </c>
      <c r="T5062" s="117">
        <v>0</v>
      </c>
    </row>
    <row r="5063" spans="1:21" x14ac:dyDescent="0.35">
      <c r="A5063" t="s">
        <v>20</v>
      </c>
      <c r="B5063" t="s">
        <v>25</v>
      </c>
      <c r="C5063" s="1">
        <v>45924</v>
      </c>
      <c r="D5063">
        <f t="shared" si="377"/>
        <v>24</v>
      </c>
      <c r="E5063">
        <f t="shared" si="378"/>
        <v>9</v>
      </c>
      <c r="F5063">
        <f t="shared" si="379"/>
        <v>2025</v>
      </c>
      <c r="G5063" s="4" t="s">
        <v>96</v>
      </c>
      <c r="H5063" s="121">
        <v>13264</v>
      </c>
      <c r="I5063" s="76">
        <v>1413.82</v>
      </c>
      <c r="J5063" s="12" t="s">
        <v>31</v>
      </c>
      <c r="K5063" s="76">
        <f t="shared" si="380"/>
        <v>1413.82</v>
      </c>
      <c r="L5063">
        <v>1</v>
      </c>
      <c r="M5063" s="76">
        <v>0</v>
      </c>
      <c r="N5063" t="s">
        <v>32</v>
      </c>
      <c r="O5063" t="s">
        <v>33</v>
      </c>
      <c r="P5063" t="s">
        <v>34</v>
      </c>
      <c r="Q5063" t="s">
        <v>34</v>
      </c>
      <c r="R5063" t="s">
        <v>34</v>
      </c>
      <c r="S5063" t="s">
        <v>34</v>
      </c>
      <c r="T5063" s="117">
        <v>0</v>
      </c>
    </row>
    <row r="5064" spans="1:21" x14ac:dyDescent="0.35">
      <c r="A5064" t="s">
        <v>20</v>
      </c>
      <c r="B5064" t="s">
        <v>25</v>
      </c>
      <c r="C5064" s="1">
        <v>45924</v>
      </c>
      <c r="D5064">
        <f t="shared" si="377"/>
        <v>24</v>
      </c>
      <c r="E5064">
        <f t="shared" si="378"/>
        <v>9</v>
      </c>
      <c r="F5064">
        <f t="shared" si="379"/>
        <v>2025</v>
      </c>
      <c r="G5064" t="s">
        <v>87</v>
      </c>
      <c r="H5064" s="121">
        <v>13227</v>
      </c>
      <c r="I5064" s="76">
        <v>15293.2</v>
      </c>
      <c r="J5064" s="12" t="s">
        <v>31</v>
      </c>
      <c r="K5064" s="76">
        <f t="shared" si="380"/>
        <v>15293.2</v>
      </c>
      <c r="L5064">
        <v>1</v>
      </c>
      <c r="M5064" s="76">
        <v>0</v>
      </c>
      <c r="N5064" t="s">
        <v>32</v>
      </c>
      <c r="O5064" t="s">
        <v>33</v>
      </c>
      <c r="P5064" t="s">
        <v>34</v>
      </c>
      <c r="Q5064" t="s">
        <v>34</v>
      </c>
      <c r="R5064" t="s">
        <v>34</v>
      </c>
      <c r="S5064" t="s">
        <v>34</v>
      </c>
      <c r="T5064" s="117">
        <v>0</v>
      </c>
    </row>
    <row r="5065" spans="1:21" x14ac:dyDescent="0.35">
      <c r="A5065" t="s">
        <v>20</v>
      </c>
      <c r="B5065" t="s">
        <v>21</v>
      </c>
      <c r="C5065" s="1">
        <v>45924</v>
      </c>
      <c r="D5065">
        <f t="shared" si="377"/>
        <v>24</v>
      </c>
      <c r="E5065">
        <f t="shared" si="378"/>
        <v>9</v>
      </c>
      <c r="F5065">
        <f t="shared" si="379"/>
        <v>2025</v>
      </c>
      <c r="G5065" t="s">
        <v>52</v>
      </c>
      <c r="H5065" s="139">
        <v>12804</v>
      </c>
      <c r="I5065" s="91">
        <v>13268.92</v>
      </c>
      <c r="J5065" s="139" t="s">
        <v>31</v>
      </c>
      <c r="K5065" s="76">
        <f t="shared" si="380"/>
        <v>13268.92</v>
      </c>
      <c r="L5065">
        <v>1</v>
      </c>
      <c r="M5065" s="76">
        <v>0</v>
      </c>
      <c r="N5065" t="s">
        <v>32</v>
      </c>
      <c r="O5065" t="s">
        <v>33</v>
      </c>
      <c r="P5065" t="s">
        <v>34</v>
      </c>
      <c r="Q5065" t="s">
        <v>34</v>
      </c>
      <c r="R5065" t="s">
        <v>34</v>
      </c>
      <c r="S5065" t="s">
        <v>34</v>
      </c>
      <c r="T5065" s="117">
        <v>0</v>
      </c>
    </row>
    <row r="5066" spans="1:21" x14ac:dyDescent="0.35">
      <c r="A5066" t="s">
        <v>20</v>
      </c>
      <c r="B5066" t="s">
        <v>23</v>
      </c>
      <c r="C5066" s="1">
        <v>45924</v>
      </c>
      <c r="D5066">
        <f t="shared" si="377"/>
        <v>24</v>
      </c>
      <c r="E5066">
        <f t="shared" si="378"/>
        <v>9</v>
      </c>
      <c r="F5066">
        <f t="shared" si="379"/>
        <v>2025</v>
      </c>
      <c r="G5066" t="s">
        <v>183</v>
      </c>
      <c r="H5066" s="139">
        <v>13789</v>
      </c>
      <c r="I5066" s="91">
        <v>27</v>
      </c>
      <c r="J5066" s="139" t="s">
        <v>31</v>
      </c>
      <c r="K5066" s="76">
        <f t="shared" si="380"/>
        <v>27</v>
      </c>
      <c r="L5066">
        <v>1</v>
      </c>
      <c r="M5066" s="76">
        <v>0</v>
      </c>
      <c r="N5066" t="s">
        <v>42</v>
      </c>
      <c r="O5066" t="s">
        <v>33</v>
      </c>
      <c r="P5066" t="s">
        <v>34</v>
      </c>
      <c r="Q5066" t="s">
        <v>34</v>
      </c>
      <c r="R5066" t="s">
        <v>34</v>
      </c>
      <c r="S5066" t="s">
        <v>34</v>
      </c>
      <c r="T5066" s="117">
        <v>0</v>
      </c>
    </row>
    <row r="5067" spans="1:21" x14ac:dyDescent="0.35">
      <c r="A5067" t="s">
        <v>20</v>
      </c>
      <c r="B5067" t="s">
        <v>23</v>
      </c>
      <c r="C5067" s="1">
        <v>45924</v>
      </c>
      <c r="D5067">
        <f t="shared" si="377"/>
        <v>24</v>
      </c>
      <c r="E5067">
        <f t="shared" si="378"/>
        <v>9</v>
      </c>
      <c r="F5067">
        <f t="shared" si="379"/>
        <v>2025</v>
      </c>
      <c r="G5067" t="s">
        <v>183</v>
      </c>
      <c r="H5067" s="139">
        <v>13790</v>
      </c>
      <c r="I5067" s="91">
        <v>1620</v>
      </c>
      <c r="J5067" s="139" t="s">
        <v>31</v>
      </c>
      <c r="K5067" s="76">
        <f t="shared" si="380"/>
        <v>1620</v>
      </c>
      <c r="L5067">
        <v>1</v>
      </c>
      <c r="M5067" s="76">
        <v>0</v>
      </c>
      <c r="N5067" t="s">
        <v>42</v>
      </c>
      <c r="O5067" t="s">
        <v>33</v>
      </c>
      <c r="P5067" t="s">
        <v>34</v>
      </c>
      <c r="Q5067" t="s">
        <v>34</v>
      </c>
      <c r="R5067" t="s">
        <v>34</v>
      </c>
      <c r="S5067" t="s">
        <v>34</v>
      </c>
      <c r="T5067" s="117">
        <v>0</v>
      </c>
    </row>
    <row r="5068" spans="1:21" x14ac:dyDescent="0.35">
      <c r="A5068" t="s">
        <v>20</v>
      </c>
      <c r="B5068" t="s">
        <v>21</v>
      </c>
      <c r="C5068" s="1">
        <v>45924</v>
      </c>
      <c r="D5068">
        <f t="shared" si="377"/>
        <v>24</v>
      </c>
      <c r="E5068">
        <f t="shared" si="378"/>
        <v>9</v>
      </c>
      <c r="F5068">
        <f t="shared" si="379"/>
        <v>2025</v>
      </c>
      <c r="G5068" t="s">
        <v>1189</v>
      </c>
      <c r="H5068" s="121">
        <v>13791</v>
      </c>
      <c r="I5068" s="76">
        <v>183</v>
      </c>
      <c r="J5068" s="12" t="s">
        <v>31</v>
      </c>
      <c r="K5068" s="76">
        <f t="shared" si="380"/>
        <v>183</v>
      </c>
      <c r="L5068">
        <v>1</v>
      </c>
      <c r="M5068" s="76">
        <v>0</v>
      </c>
      <c r="N5068" t="s">
        <v>42</v>
      </c>
      <c r="O5068" t="s">
        <v>33</v>
      </c>
      <c r="P5068" t="s">
        <v>34</v>
      </c>
      <c r="Q5068" t="s">
        <v>34</v>
      </c>
      <c r="R5068" t="s">
        <v>34</v>
      </c>
      <c r="S5068" t="s">
        <v>34</v>
      </c>
      <c r="T5068" s="117">
        <v>0</v>
      </c>
    </row>
    <row r="5069" spans="1:21" x14ac:dyDescent="0.35">
      <c r="A5069" t="s">
        <v>20</v>
      </c>
      <c r="B5069" t="s">
        <v>21</v>
      </c>
      <c r="C5069" s="1">
        <v>45924</v>
      </c>
      <c r="D5069">
        <f t="shared" si="377"/>
        <v>24</v>
      </c>
      <c r="E5069">
        <f t="shared" si="378"/>
        <v>9</v>
      </c>
      <c r="F5069">
        <f t="shared" si="379"/>
        <v>2025</v>
      </c>
      <c r="G5069" t="s">
        <v>1189</v>
      </c>
      <c r="H5069" s="121">
        <v>13792</v>
      </c>
      <c r="I5069" s="76">
        <v>2734.0200000000004</v>
      </c>
      <c r="J5069" s="12" t="s">
        <v>31</v>
      </c>
      <c r="K5069" s="76">
        <f t="shared" si="380"/>
        <v>2734.0200000000004</v>
      </c>
      <c r="L5069">
        <v>1</v>
      </c>
      <c r="M5069" s="76">
        <v>0</v>
      </c>
      <c r="N5069" t="s">
        <v>42</v>
      </c>
      <c r="O5069" t="s">
        <v>33</v>
      </c>
      <c r="P5069" t="s">
        <v>34</v>
      </c>
      <c r="Q5069" t="s">
        <v>34</v>
      </c>
      <c r="R5069" t="s">
        <v>34</v>
      </c>
      <c r="S5069" t="s">
        <v>34</v>
      </c>
      <c r="T5069" s="117">
        <v>0</v>
      </c>
    </row>
    <row r="5070" spans="1:21" x14ac:dyDescent="0.35">
      <c r="A5070" t="s">
        <v>20</v>
      </c>
      <c r="B5070" t="s">
        <v>21</v>
      </c>
      <c r="C5070" s="1">
        <v>45924</v>
      </c>
      <c r="D5070">
        <f t="shared" si="377"/>
        <v>24</v>
      </c>
      <c r="E5070">
        <f t="shared" si="378"/>
        <v>9</v>
      </c>
      <c r="F5070">
        <f t="shared" si="379"/>
        <v>2025</v>
      </c>
      <c r="G5070" t="s">
        <v>46</v>
      </c>
      <c r="H5070" s="121">
        <v>13618</v>
      </c>
      <c r="I5070" s="76">
        <v>11.25</v>
      </c>
      <c r="J5070" s="12" t="s">
        <v>31</v>
      </c>
      <c r="K5070" s="76">
        <f t="shared" si="380"/>
        <v>11.25</v>
      </c>
      <c r="L5070">
        <v>1</v>
      </c>
      <c r="M5070" s="76">
        <v>0</v>
      </c>
      <c r="N5070" t="s">
        <v>42</v>
      </c>
      <c r="O5070" t="s">
        <v>33</v>
      </c>
      <c r="P5070" t="s">
        <v>34</v>
      </c>
      <c r="Q5070" t="s">
        <v>34</v>
      </c>
      <c r="R5070" t="s">
        <v>34</v>
      </c>
      <c r="S5070" t="s">
        <v>34</v>
      </c>
      <c r="T5070" s="179">
        <v>0</v>
      </c>
      <c r="U5070" s="209">
        <v>13808</v>
      </c>
    </row>
    <row r="5071" spans="1:21" x14ac:dyDescent="0.35">
      <c r="A5071" t="s">
        <v>20</v>
      </c>
      <c r="B5071" t="s">
        <v>21</v>
      </c>
      <c r="C5071" s="1">
        <v>45924</v>
      </c>
      <c r="D5071">
        <f t="shared" si="377"/>
        <v>24</v>
      </c>
      <c r="E5071">
        <f t="shared" si="378"/>
        <v>9</v>
      </c>
      <c r="F5071">
        <f t="shared" si="379"/>
        <v>2025</v>
      </c>
      <c r="G5071" t="s">
        <v>46</v>
      </c>
      <c r="H5071" s="121">
        <v>13529</v>
      </c>
      <c r="I5071" s="76">
        <v>663.75</v>
      </c>
      <c r="J5071" s="12" t="s">
        <v>31</v>
      </c>
      <c r="K5071" s="76">
        <f t="shared" si="380"/>
        <v>663.75</v>
      </c>
      <c r="L5071">
        <v>1</v>
      </c>
      <c r="M5071" s="76">
        <v>0</v>
      </c>
      <c r="N5071" t="s">
        <v>42</v>
      </c>
      <c r="O5071" t="s">
        <v>33</v>
      </c>
      <c r="P5071" t="s">
        <v>34</v>
      </c>
      <c r="Q5071" t="s">
        <v>34</v>
      </c>
      <c r="R5071" t="s">
        <v>34</v>
      </c>
      <c r="S5071" t="s">
        <v>34</v>
      </c>
      <c r="T5071" s="179">
        <v>0</v>
      </c>
      <c r="U5071" s="209" t="s">
        <v>1392</v>
      </c>
    </row>
    <row r="5072" spans="1:21" x14ac:dyDescent="0.35">
      <c r="A5072" t="s">
        <v>19</v>
      </c>
      <c r="B5072" t="s">
        <v>19</v>
      </c>
      <c r="C5072" s="1">
        <v>45924</v>
      </c>
      <c r="D5072">
        <f t="shared" si="377"/>
        <v>24</v>
      </c>
      <c r="E5072">
        <f t="shared" si="378"/>
        <v>9</v>
      </c>
      <c r="F5072">
        <f t="shared" si="379"/>
        <v>2025</v>
      </c>
      <c r="G5072" t="s">
        <v>523</v>
      </c>
      <c r="H5072" s="121" t="s">
        <v>1328</v>
      </c>
      <c r="I5072" s="76">
        <v>21937.86</v>
      </c>
      <c r="J5072" s="12" t="s">
        <v>31</v>
      </c>
      <c r="K5072" s="76">
        <f t="shared" ref="K5072:K5102" si="381">IF(J5072="USD",I5072,I5072*L5072)</f>
        <v>21937.86</v>
      </c>
      <c r="L5072">
        <v>1</v>
      </c>
      <c r="M5072" s="76">
        <v>0</v>
      </c>
      <c r="N5072" t="s">
        <v>32</v>
      </c>
      <c r="O5072" t="s">
        <v>33</v>
      </c>
      <c r="P5072" t="s">
        <v>34</v>
      </c>
      <c r="Q5072" t="s">
        <v>34</v>
      </c>
      <c r="R5072" t="s">
        <v>34</v>
      </c>
      <c r="S5072" t="s">
        <v>34</v>
      </c>
      <c r="T5072" s="117">
        <v>0</v>
      </c>
    </row>
    <row r="5073" spans="1:21" x14ac:dyDescent="0.35">
      <c r="A5073" t="s">
        <v>19</v>
      </c>
      <c r="B5073" t="s">
        <v>19</v>
      </c>
      <c r="C5073" s="1">
        <v>45924</v>
      </c>
      <c r="D5073">
        <f t="shared" si="377"/>
        <v>24</v>
      </c>
      <c r="E5073">
        <f t="shared" si="378"/>
        <v>9</v>
      </c>
      <c r="F5073">
        <f t="shared" si="379"/>
        <v>2025</v>
      </c>
      <c r="G5073" t="s">
        <v>125</v>
      </c>
      <c r="H5073" s="121" t="s">
        <v>1329</v>
      </c>
      <c r="I5073" s="76">
        <v>92663.95</v>
      </c>
      <c r="J5073" s="12" t="s">
        <v>31</v>
      </c>
      <c r="K5073" s="76">
        <f t="shared" si="381"/>
        <v>92663.95</v>
      </c>
      <c r="L5073">
        <v>1</v>
      </c>
      <c r="M5073" s="76">
        <v>0</v>
      </c>
      <c r="N5073" t="s">
        <v>32</v>
      </c>
      <c r="O5073" t="s">
        <v>33</v>
      </c>
      <c r="P5073" t="s">
        <v>34</v>
      </c>
      <c r="Q5073" t="s">
        <v>34</v>
      </c>
      <c r="R5073" t="s">
        <v>34</v>
      </c>
      <c r="S5073" t="s">
        <v>34</v>
      </c>
      <c r="T5073" s="117">
        <v>0</v>
      </c>
    </row>
    <row r="5074" spans="1:21" x14ac:dyDescent="0.35">
      <c r="A5074" t="s">
        <v>19</v>
      </c>
      <c r="B5074" t="s">
        <v>19</v>
      </c>
      <c r="C5074" s="1">
        <v>45924</v>
      </c>
      <c r="D5074">
        <f t="shared" si="377"/>
        <v>24</v>
      </c>
      <c r="E5074">
        <f t="shared" si="378"/>
        <v>9</v>
      </c>
      <c r="F5074">
        <f t="shared" si="379"/>
        <v>2025</v>
      </c>
      <c r="G5074" t="s">
        <v>55</v>
      </c>
      <c r="H5074" s="121" t="s">
        <v>1330</v>
      </c>
      <c r="I5074" s="76">
        <v>19569.189999999999</v>
      </c>
      <c r="J5074" s="12" t="s">
        <v>31</v>
      </c>
      <c r="K5074" s="76">
        <f t="shared" si="381"/>
        <v>19569.189999999999</v>
      </c>
      <c r="L5074">
        <v>1</v>
      </c>
      <c r="M5074" s="76">
        <v>0</v>
      </c>
      <c r="N5074" t="s">
        <v>32</v>
      </c>
      <c r="O5074" t="s">
        <v>33</v>
      </c>
      <c r="P5074" t="s">
        <v>34</v>
      </c>
      <c r="Q5074" t="s">
        <v>34</v>
      </c>
      <c r="R5074" t="s">
        <v>34</v>
      </c>
      <c r="S5074" t="s">
        <v>34</v>
      </c>
      <c r="T5074" s="117">
        <v>0</v>
      </c>
    </row>
    <row r="5075" spans="1:21" x14ac:dyDescent="0.35">
      <c r="A5075" t="s">
        <v>19</v>
      </c>
      <c r="B5075" t="s">
        <v>19</v>
      </c>
      <c r="C5075" s="1">
        <v>45924</v>
      </c>
      <c r="D5075">
        <f t="shared" si="377"/>
        <v>24</v>
      </c>
      <c r="E5075">
        <f t="shared" si="378"/>
        <v>9</v>
      </c>
      <c r="F5075">
        <f t="shared" si="379"/>
        <v>2025</v>
      </c>
      <c r="G5075" t="s">
        <v>265</v>
      </c>
      <c r="H5075" s="121" t="s">
        <v>1272</v>
      </c>
      <c r="I5075" s="76">
        <v>2499.9299999999998</v>
      </c>
      <c r="J5075" s="12" t="s">
        <v>31</v>
      </c>
      <c r="K5075" s="76">
        <f t="shared" si="381"/>
        <v>2499.9299999999998</v>
      </c>
      <c r="L5075">
        <v>1</v>
      </c>
      <c r="M5075" s="76">
        <v>0</v>
      </c>
      <c r="N5075" t="s">
        <v>32</v>
      </c>
      <c r="O5075" t="s">
        <v>33</v>
      </c>
      <c r="P5075" t="s">
        <v>34</v>
      </c>
      <c r="Q5075" t="s">
        <v>34</v>
      </c>
      <c r="R5075" t="s">
        <v>34</v>
      </c>
      <c r="S5075" t="s">
        <v>34</v>
      </c>
      <c r="T5075" s="117">
        <v>0</v>
      </c>
    </row>
    <row r="5076" spans="1:21" x14ac:dyDescent="0.35">
      <c r="A5076" t="s">
        <v>19</v>
      </c>
      <c r="B5076" t="s">
        <v>19</v>
      </c>
      <c r="C5076" s="1">
        <v>45924</v>
      </c>
      <c r="D5076">
        <f t="shared" si="377"/>
        <v>24</v>
      </c>
      <c r="E5076">
        <f t="shared" si="378"/>
        <v>9</v>
      </c>
      <c r="F5076">
        <f t="shared" si="379"/>
        <v>2025</v>
      </c>
      <c r="G5076" t="s">
        <v>90</v>
      </c>
      <c r="H5076" s="121" t="s">
        <v>1339</v>
      </c>
      <c r="I5076" s="76">
        <v>197225.39</v>
      </c>
      <c r="J5076" s="12" t="s">
        <v>31</v>
      </c>
      <c r="K5076" s="76">
        <f t="shared" si="381"/>
        <v>197225.39</v>
      </c>
      <c r="L5076">
        <v>1</v>
      </c>
      <c r="M5076" s="76">
        <v>0</v>
      </c>
      <c r="N5076" t="s">
        <v>32</v>
      </c>
      <c r="O5076" t="s">
        <v>33</v>
      </c>
      <c r="P5076" t="s">
        <v>34</v>
      </c>
      <c r="Q5076" t="s">
        <v>34</v>
      </c>
      <c r="R5076" t="s">
        <v>34</v>
      </c>
      <c r="S5076" t="s">
        <v>34</v>
      </c>
      <c r="T5076" s="117">
        <v>0</v>
      </c>
    </row>
    <row r="5077" spans="1:21" x14ac:dyDescent="0.35">
      <c r="A5077" t="s">
        <v>19</v>
      </c>
      <c r="B5077" t="s">
        <v>19</v>
      </c>
      <c r="C5077" s="1">
        <v>45924</v>
      </c>
      <c r="D5077">
        <f t="shared" si="377"/>
        <v>24</v>
      </c>
      <c r="E5077">
        <f t="shared" si="378"/>
        <v>9</v>
      </c>
      <c r="F5077">
        <f t="shared" si="379"/>
        <v>2025</v>
      </c>
      <c r="G5077" t="s">
        <v>56</v>
      </c>
      <c r="H5077" s="121" t="s">
        <v>1332</v>
      </c>
      <c r="I5077" s="76">
        <v>190285.21</v>
      </c>
      <c r="J5077" s="12" t="s">
        <v>31</v>
      </c>
      <c r="K5077" s="76">
        <f t="shared" si="381"/>
        <v>190285.21</v>
      </c>
      <c r="L5077">
        <v>1</v>
      </c>
      <c r="M5077" s="76">
        <v>0</v>
      </c>
      <c r="N5077" t="s">
        <v>32</v>
      </c>
      <c r="O5077" t="s">
        <v>33</v>
      </c>
      <c r="P5077" t="s">
        <v>34</v>
      </c>
      <c r="Q5077" t="s">
        <v>34</v>
      </c>
      <c r="R5077" t="s">
        <v>34</v>
      </c>
      <c r="S5077" t="s">
        <v>34</v>
      </c>
      <c r="T5077" s="117">
        <v>0</v>
      </c>
    </row>
    <row r="5078" spans="1:21" x14ac:dyDescent="0.35">
      <c r="A5078" t="s">
        <v>19</v>
      </c>
      <c r="B5078" t="s">
        <v>19</v>
      </c>
      <c r="C5078" s="1">
        <v>45924</v>
      </c>
      <c r="D5078">
        <f t="shared" si="377"/>
        <v>24</v>
      </c>
      <c r="E5078">
        <f t="shared" si="378"/>
        <v>9</v>
      </c>
      <c r="F5078">
        <f t="shared" si="379"/>
        <v>2025</v>
      </c>
      <c r="G5078" t="s">
        <v>56</v>
      </c>
      <c r="H5078" s="121" t="s">
        <v>1333</v>
      </c>
      <c r="I5078" s="76">
        <v>187658.85</v>
      </c>
      <c r="J5078" s="12" t="s">
        <v>31</v>
      </c>
      <c r="K5078" s="76">
        <f t="shared" si="381"/>
        <v>187658.85</v>
      </c>
      <c r="L5078">
        <v>1</v>
      </c>
      <c r="M5078" s="76">
        <v>0</v>
      </c>
      <c r="N5078" t="s">
        <v>32</v>
      </c>
      <c r="O5078" t="s">
        <v>33</v>
      </c>
      <c r="P5078" t="s">
        <v>34</v>
      </c>
      <c r="Q5078" t="s">
        <v>34</v>
      </c>
      <c r="R5078" t="s">
        <v>34</v>
      </c>
      <c r="S5078" t="s">
        <v>34</v>
      </c>
      <c r="T5078" s="117">
        <v>0</v>
      </c>
    </row>
    <row r="5079" spans="1:21" x14ac:dyDescent="0.35">
      <c r="A5079" t="s">
        <v>19</v>
      </c>
      <c r="B5079" t="s">
        <v>19</v>
      </c>
      <c r="C5079" s="1">
        <v>45924</v>
      </c>
      <c r="D5079">
        <f t="shared" si="377"/>
        <v>24</v>
      </c>
      <c r="E5079">
        <f t="shared" si="378"/>
        <v>9</v>
      </c>
      <c r="F5079">
        <f t="shared" si="379"/>
        <v>2025</v>
      </c>
      <c r="G5079" t="s">
        <v>56</v>
      </c>
      <c r="H5079" s="121" t="s">
        <v>1334</v>
      </c>
      <c r="I5079" s="76">
        <v>169702.38</v>
      </c>
      <c r="J5079" s="12" t="s">
        <v>31</v>
      </c>
      <c r="K5079" s="76">
        <f t="shared" si="381"/>
        <v>169702.38</v>
      </c>
      <c r="L5079">
        <v>1</v>
      </c>
      <c r="M5079" s="76">
        <v>0</v>
      </c>
      <c r="N5079" t="s">
        <v>32</v>
      </c>
      <c r="O5079" t="s">
        <v>33</v>
      </c>
      <c r="P5079" t="s">
        <v>34</v>
      </c>
      <c r="Q5079" t="s">
        <v>34</v>
      </c>
      <c r="R5079" t="s">
        <v>34</v>
      </c>
      <c r="S5079" t="s">
        <v>34</v>
      </c>
      <c r="T5079" s="117">
        <v>0</v>
      </c>
    </row>
    <row r="5080" spans="1:21" x14ac:dyDescent="0.35">
      <c r="A5080" t="s">
        <v>19</v>
      </c>
      <c r="B5080" t="s">
        <v>19</v>
      </c>
      <c r="C5080" s="1">
        <v>45924</v>
      </c>
      <c r="D5080">
        <f t="shared" si="377"/>
        <v>24</v>
      </c>
      <c r="E5080">
        <f t="shared" si="378"/>
        <v>9</v>
      </c>
      <c r="F5080">
        <f t="shared" si="379"/>
        <v>2025</v>
      </c>
      <c r="G5080" t="s">
        <v>56</v>
      </c>
      <c r="H5080" s="121" t="s">
        <v>1335</v>
      </c>
      <c r="I5080" s="76">
        <v>1073.73</v>
      </c>
      <c r="J5080" s="12" t="s">
        <v>31</v>
      </c>
      <c r="K5080" s="76">
        <f t="shared" si="381"/>
        <v>1073.73</v>
      </c>
      <c r="L5080">
        <v>1</v>
      </c>
      <c r="M5080" s="76">
        <v>0</v>
      </c>
      <c r="N5080" t="s">
        <v>32</v>
      </c>
      <c r="O5080" t="s">
        <v>33</v>
      </c>
      <c r="P5080" t="s">
        <v>34</v>
      </c>
      <c r="Q5080" t="s">
        <v>34</v>
      </c>
      <c r="R5080" t="s">
        <v>34</v>
      </c>
      <c r="S5080" t="s">
        <v>34</v>
      </c>
      <c r="T5080" s="117">
        <v>0</v>
      </c>
    </row>
    <row r="5081" spans="1:21" x14ac:dyDescent="0.35">
      <c r="A5081" t="s">
        <v>19</v>
      </c>
      <c r="B5081" t="s">
        <v>19</v>
      </c>
      <c r="C5081" s="1">
        <v>45924</v>
      </c>
      <c r="D5081">
        <f t="shared" si="377"/>
        <v>24</v>
      </c>
      <c r="E5081">
        <f t="shared" si="378"/>
        <v>9</v>
      </c>
      <c r="F5081">
        <f t="shared" si="379"/>
        <v>2025</v>
      </c>
      <c r="G5081" t="s">
        <v>56</v>
      </c>
      <c r="H5081" s="121" t="s">
        <v>1331</v>
      </c>
      <c r="I5081" s="15">
        <v>1073.73</v>
      </c>
      <c r="J5081" s="12" t="s">
        <v>31</v>
      </c>
      <c r="K5081" s="76">
        <v>8796.2999999999993</v>
      </c>
      <c r="L5081">
        <v>1</v>
      </c>
      <c r="M5081" s="76">
        <v>0</v>
      </c>
      <c r="N5081" t="s">
        <v>32</v>
      </c>
      <c r="O5081" t="s">
        <v>33</v>
      </c>
      <c r="P5081" t="s">
        <v>34</v>
      </c>
      <c r="Q5081" t="s">
        <v>34</v>
      </c>
      <c r="R5081" t="s">
        <v>34</v>
      </c>
      <c r="S5081" t="s">
        <v>34</v>
      </c>
      <c r="T5081" s="117">
        <v>0</v>
      </c>
    </row>
    <row r="5082" spans="1:21" x14ac:dyDescent="0.35">
      <c r="A5082" t="s">
        <v>19</v>
      </c>
      <c r="B5082" t="s">
        <v>19</v>
      </c>
      <c r="C5082" s="1">
        <v>45924</v>
      </c>
      <c r="D5082">
        <f t="shared" si="377"/>
        <v>24</v>
      </c>
      <c r="E5082">
        <f t="shared" si="378"/>
        <v>9</v>
      </c>
      <c r="F5082">
        <f t="shared" si="379"/>
        <v>2025</v>
      </c>
      <c r="G5082" t="s">
        <v>54</v>
      </c>
      <c r="H5082" s="121" t="s">
        <v>1336</v>
      </c>
      <c r="I5082" s="76">
        <v>153919.74</v>
      </c>
      <c r="J5082" s="12" t="s">
        <v>31</v>
      </c>
      <c r="K5082" s="76">
        <f t="shared" si="381"/>
        <v>153919.74</v>
      </c>
      <c r="L5082">
        <v>1</v>
      </c>
      <c r="M5082" s="76">
        <v>0</v>
      </c>
      <c r="N5082" t="s">
        <v>32</v>
      </c>
      <c r="O5082" t="s">
        <v>33</v>
      </c>
      <c r="P5082" t="s">
        <v>34</v>
      </c>
      <c r="Q5082" t="s">
        <v>34</v>
      </c>
      <c r="R5082" t="s">
        <v>34</v>
      </c>
      <c r="S5082" t="s">
        <v>34</v>
      </c>
      <c r="T5082" s="117">
        <v>0</v>
      </c>
    </row>
    <row r="5083" spans="1:21" x14ac:dyDescent="0.35">
      <c r="A5083" t="s">
        <v>19</v>
      </c>
      <c r="B5083" t="s">
        <v>19</v>
      </c>
      <c r="C5083" s="1">
        <v>45924</v>
      </c>
      <c r="D5083">
        <f t="shared" si="377"/>
        <v>24</v>
      </c>
      <c r="E5083">
        <f t="shared" si="378"/>
        <v>9</v>
      </c>
      <c r="F5083">
        <f t="shared" si="379"/>
        <v>2025</v>
      </c>
      <c r="G5083" t="s">
        <v>57</v>
      </c>
      <c r="H5083" s="121" t="s">
        <v>1337</v>
      </c>
      <c r="I5083" s="76">
        <v>27071.200000000001</v>
      </c>
      <c r="J5083" s="12" t="s">
        <v>31</v>
      </c>
      <c r="K5083" s="76">
        <f t="shared" si="381"/>
        <v>27071.200000000001</v>
      </c>
      <c r="L5083">
        <v>1</v>
      </c>
      <c r="M5083" s="76">
        <v>0</v>
      </c>
      <c r="N5083" t="s">
        <v>32</v>
      </c>
      <c r="O5083" t="s">
        <v>33</v>
      </c>
      <c r="P5083" t="s">
        <v>34</v>
      </c>
      <c r="Q5083" t="s">
        <v>34</v>
      </c>
      <c r="R5083" t="s">
        <v>34</v>
      </c>
      <c r="S5083" t="s">
        <v>34</v>
      </c>
      <c r="T5083" s="117">
        <v>0</v>
      </c>
    </row>
    <row r="5084" spans="1:21" x14ac:dyDescent="0.35">
      <c r="A5084" t="s">
        <v>19</v>
      </c>
      <c r="B5084" t="s">
        <v>26</v>
      </c>
      <c r="C5084" s="1">
        <v>45925</v>
      </c>
      <c r="D5084">
        <f t="shared" ref="D5084:D5102" si="382">DAY(C5084)</f>
        <v>25</v>
      </c>
      <c r="E5084">
        <f t="shared" ref="E5084:E5102" si="383">MONTH(C5084)</f>
        <v>9</v>
      </c>
      <c r="F5084">
        <f t="shared" ref="F5084:F5102" si="384">YEAR(C5084)</f>
        <v>2025</v>
      </c>
      <c r="G5084" t="s">
        <v>73</v>
      </c>
      <c r="H5084" s="121">
        <v>13802</v>
      </c>
      <c r="I5084">
        <v>16753.54</v>
      </c>
      <c r="J5084" s="12" t="s">
        <v>51</v>
      </c>
      <c r="K5084" s="76">
        <f t="shared" si="381"/>
        <v>19586.563614000002</v>
      </c>
      <c r="L5084">
        <v>1.1691</v>
      </c>
      <c r="M5084" s="76">
        <v>0</v>
      </c>
      <c r="N5084" t="s">
        <v>32</v>
      </c>
      <c r="O5084" t="s">
        <v>33</v>
      </c>
      <c r="P5084" t="s">
        <v>34</v>
      </c>
      <c r="Q5084" t="s">
        <v>34</v>
      </c>
      <c r="R5084" t="s">
        <v>34</v>
      </c>
      <c r="S5084" t="s">
        <v>34</v>
      </c>
      <c r="T5084" s="117">
        <v>0</v>
      </c>
      <c r="U5084" s="209" t="s">
        <v>94</v>
      </c>
    </row>
    <row r="5085" spans="1:21" x14ac:dyDescent="0.35">
      <c r="A5085" t="s">
        <v>19</v>
      </c>
      <c r="B5085" t="s">
        <v>26</v>
      </c>
      <c r="C5085" s="1">
        <v>45925</v>
      </c>
      <c r="D5085">
        <f t="shared" si="382"/>
        <v>25</v>
      </c>
      <c r="E5085">
        <f t="shared" si="383"/>
        <v>9</v>
      </c>
      <c r="F5085">
        <f t="shared" si="384"/>
        <v>2025</v>
      </c>
      <c r="G5085" t="s">
        <v>73</v>
      </c>
      <c r="H5085" s="121">
        <v>13803</v>
      </c>
      <c r="I5085">
        <v>105253.32</v>
      </c>
      <c r="J5085" s="12" t="s">
        <v>51</v>
      </c>
      <c r="K5085" s="76">
        <f t="shared" si="381"/>
        <v>123051.65641200001</v>
      </c>
      <c r="L5085">
        <v>1.1691</v>
      </c>
      <c r="M5085" s="76">
        <v>0</v>
      </c>
      <c r="N5085" t="s">
        <v>32</v>
      </c>
      <c r="O5085" t="s">
        <v>33</v>
      </c>
      <c r="P5085" t="s">
        <v>34</v>
      </c>
      <c r="Q5085" t="s">
        <v>34</v>
      </c>
      <c r="R5085" t="s">
        <v>34</v>
      </c>
      <c r="S5085" t="s">
        <v>34</v>
      </c>
      <c r="T5085" s="117">
        <v>0</v>
      </c>
      <c r="U5085" s="209" t="s">
        <v>94</v>
      </c>
    </row>
    <row r="5086" spans="1:21" x14ac:dyDescent="0.35">
      <c r="A5086" t="s">
        <v>19</v>
      </c>
      <c r="B5086" t="s">
        <v>26</v>
      </c>
      <c r="C5086" s="1">
        <v>45925</v>
      </c>
      <c r="D5086">
        <f t="shared" si="382"/>
        <v>25</v>
      </c>
      <c r="E5086">
        <f t="shared" si="383"/>
        <v>9</v>
      </c>
      <c r="F5086">
        <f t="shared" si="384"/>
        <v>2025</v>
      </c>
      <c r="G5086" t="s">
        <v>73</v>
      </c>
      <c r="H5086" s="121">
        <v>13816</v>
      </c>
      <c r="I5086">
        <v>39283.19</v>
      </c>
      <c r="J5086" s="12" t="s">
        <v>51</v>
      </c>
      <c r="K5086" s="76">
        <f t="shared" si="381"/>
        <v>45925.977429000006</v>
      </c>
      <c r="L5086">
        <v>1.1691</v>
      </c>
      <c r="M5086" s="76">
        <v>0</v>
      </c>
      <c r="N5086" t="s">
        <v>32</v>
      </c>
      <c r="O5086" t="s">
        <v>33</v>
      </c>
      <c r="P5086" t="s">
        <v>34</v>
      </c>
      <c r="Q5086" t="s">
        <v>34</v>
      </c>
      <c r="R5086" t="s">
        <v>34</v>
      </c>
      <c r="S5086" t="s">
        <v>34</v>
      </c>
      <c r="T5086" s="117">
        <v>0</v>
      </c>
      <c r="U5086" s="209" t="s">
        <v>94</v>
      </c>
    </row>
    <row r="5087" spans="1:21" x14ac:dyDescent="0.35">
      <c r="A5087" t="s">
        <v>19</v>
      </c>
      <c r="B5087" t="s">
        <v>21</v>
      </c>
      <c r="C5087" s="1">
        <v>45931</v>
      </c>
      <c r="D5087">
        <f t="shared" si="382"/>
        <v>1</v>
      </c>
      <c r="E5087">
        <f t="shared" si="383"/>
        <v>10</v>
      </c>
      <c r="F5087">
        <f t="shared" si="384"/>
        <v>2025</v>
      </c>
      <c r="G5087" t="s">
        <v>77</v>
      </c>
      <c r="H5087" s="139">
        <v>13234</v>
      </c>
      <c r="I5087" s="91">
        <v>23.8</v>
      </c>
      <c r="J5087" s="12" t="s">
        <v>31</v>
      </c>
      <c r="K5087" s="76">
        <f t="shared" si="381"/>
        <v>23.8</v>
      </c>
      <c r="L5087">
        <v>1</v>
      </c>
      <c r="M5087" s="76">
        <v>0</v>
      </c>
      <c r="N5087" t="s">
        <v>32</v>
      </c>
      <c r="O5087" t="s">
        <v>33</v>
      </c>
      <c r="P5087" t="s">
        <v>34</v>
      </c>
      <c r="Q5087" t="s">
        <v>34</v>
      </c>
      <c r="R5087" t="s">
        <v>34</v>
      </c>
      <c r="S5087" t="s">
        <v>34</v>
      </c>
      <c r="T5087" s="117">
        <v>0</v>
      </c>
    </row>
    <row r="5088" spans="1:21" x14ac:dyDescent="0.35">
      <c r="A5088" t="s">
        <v>19</v>
      </c>
      <c r="B5088" t="s">
        <v>23</v>
      </c>
      <c r="C5088" s="1">
        <v>45931</v>
      </c>
      <c r="D5088">
        <f t="shared" si="382"/>
        <v>1</v>
      </c>
      <c r="E5088">
        <f t="shared" si="383"/>
        <v>10</v>
      </c>
      <c r="F5088">
        <f t="shared" si="384"/>
        <v>2025</v>
      </c>
      <c r="G5088" t="s">
        <v>77</v>
      </c>
      <c r="H5088" s="139">
        <v>13583</v>
      </c>
      <c r="I5088" s="91">
        <v>7462.5</v>
      </c>
      <c r="J5088" s="12" t="s">
        <v>31</v>
      </c>
      <c r="K5088" s="76">
        <f t="shared" si="381"/>
        <v>7462.5</v>
      </c>
      <c r="L5088">
        <v>1</v>
      </c>
      <c r="M5088" s="76">
        <v>0</v>
      </c>
      <c r="N5088" t="s">
        <v>32</v>
      </c>
      <c r="O5088" t="s">
        <v>33</v>
      </c>
      <c r="P5088" t="s">
        <v>34</v>
      </c>
      <c r="Q5088" t="s">
        <v>34</v>
      </c>
      <c r="R5088" t="s">
        <v>34</v>
      </c>
      <c r="S5088" t="s">
        <v>34</v>
      </c>
      <c r="T5088" s="117">
        <v>0</v>
      </c>
    </row>
    <row r="5089" spans="1:21" x14ac:dyDescent="0.35">
      <c r="A5089" t="s">
        <v>19</v>
      </c>
      <c r="B5089" t="s">
        <v>21</v>
      </c>
      <c r="C5089" s="1">
        <v>45931</v>
      </c>
      <c r="D5089">
        <f t="shared" si="382"/>
        <v>1</v>
      </c>
      <c r="E5089">
        <f t="shared" si="383"/>
        <v>10</v>
      </c>
      <c r="F5089">
        <f t="shared" si="384"/>
        <v>2025</v>
      </c>
      <c r="G5089" t="s">
        <v>77</v>
      </c>
      <c r="H5089" s="139">
        <v>13583</v>
      </c>
      <c r="I5089" s="91">
        <v>31125</v>
      </c>
      <c r="J5089" s="12" t="s">
        <v>31</v>
      </c>
      <c r="K5089" s="76">
        <f t="shared" si="381"/>
        <v>31125</v>
      </c>
      <c r="L5089">
        <v>1</v>
      </c>
      <c r="M5089" s="76">
        <v>0</v>
      </c>
      <c r="N5089" t="s">
        <v>32</v>
      </c>
      <c r="O5089" t="s">
        <v>33</v>
      </c>
      <c r="P5089" t="s">
        <v>34</v>
      </c>
      <c r="Q5089" t="s">
        <v>34</v>
      </c>
      <c r="R5089" t="s">
        <v>34</v>
      </c>
      <c r="S5089" t="s">
        <v>34</v>
      </c>
      <c r="T5089" s="117">
        <v>0</v>
      </c>
    </row>
    <row r="5090" spans="1:21" x14ac:dyDescent="0.35">
      <c r="A5090" t="s">
        <v>19</v>
      </c>
      <c r="B5090" t="s">
        <v>713</v>
      </c>
      <c r="C5090" s="1">
        <v>45931</v>
      </c>
      <c r="D5090">
        <f t="shared" si="382"/>
        <v>1</v>
      </c>
      <c r="E5090">
        <f t="shared" si="383"/>
        <v>10</v>
      </c>
      <c r="F5090">
        <f t="shared" si="384"/>
        <v>2025</v>
      </c>
      <c r="G5090" t="s">
        <v>1357</v>
      </c>
      <c r="H5090" s="139">
        <v>13853</v>
      </c>
      <c r="I5090" s="91">
        <v>11593.8</v>
      </c>
      <c r="J5090" s="12" t="s">
        <v>51</v>
      </c>
      <c r="K5090" s="76">
        <f t="shared" si="381"/>
        <v>13654.018259999999</v>
      </c>
      <c r="L5090">
        <v>1.1777</v>
      </c>
      <c r="M5090" s="76">
        <v>0</v>
      </c>
      <c r="N5090" t="s">
        <v>32</v>
      </c>
      <c r="O5090" t="s">
        <v>33</v>
      </c>
      <c r="P5090" t="s">
        <v>34</v>
      </c>
      <c r="Q5090" t="s">
        <v>34</v>
      </c>
      <c r="R5090" t="s">
        <v>34</v>
      </c>
      <c r="S5090" t="s">
        <v>34</v>
      </c>
      <c r="T5090" s="117">
        <v>0</v>
      </c>
    </row>
    <row r="5091" spans="1:21" x14ac:dyDescent="0.35">
      <c r="A5091" t="s">
        <v>19</v>
      </c>
      <c r="B5091" t="s">
        <v>21</v>
      </c>
      <c r="C5091" s="1">
        <v>45931</v>
      </c>
      <c r="D5091">
        <f t="shared" si="382"/>
        <v>1</v>
      </c>
      <c r="E5091">
        <f t="shared" si="383"/>
        <v>10</v>
      </c>
      <c r="F5091">
        <f t="shared" si="384"/>
        <v>2025</v>
      </c>
      <c r="G5091" t="s">
        <v>885</v>
      </c>
      <c r="H5091" s="139">
        <v>13068</v>
      </c>
      <c r="I5091" s="91">
        <v>14966.3</v>
      </c>
      <c r="J5091" s="12" t="s">
        <v>31</v>
      </c>
      <c r="K5091" s="76">
        <f t="shared" si="381"/>
        <v>14966.3</v>
      </c>
      <c r="L5091">
        <v>1</v>
      </c>
      <c r="M5091" s="76">
        <v>0</v>
      </c>
      <c r="N5091" t="s">
        <v>32</v>
      </c>
      <c r="O5091" t="s">
        <v>33</v>
      </c>
      <c r="P5091" t="s">
        <v>34</v>
      </c>
      <c r="Q5091" t="s">
        <v>34</v>
      </c>
      <c r="R5091" t="s">
        <v>34</v>
      </c>
      <c r="S5091" t="s">
        <v>34</v>
      </c>
      <c r="T5091" s="117">
        <v>0</v>
      </c>
    </row>
    <row r="5092" spans="1:21" x14ac:dyDescent="0.35">
      <c r="A5092" t="s">
        <v>19</v>
      </c>
      <c r="B5092" t="s">
        <v>23</v>
      </c>
      <c r="C5092" s="1">
        <v>45931</v>
      </c>
      <c r="D5092">
        <f t="shared" si="382"/>
        <v>1</v>
      </c>
      <c r="E5092">
        <f t="shared" si="383"/>
        <v>10</v>
      </c>
      <c r="F5092">
        <f t="shared" si="384"/>
        <v>2025</v>
      </c>
      <c r="G5092" t="s">
        <v>74</v>
      </c>
      <c r="H5092" s="139">
        <v>13131</v>
      </c>
      <c r="I5092" s="91">
        <v>74417.25</v>
      </c>
      <c r="J5092" s="12" t="s">
        <v>31</v>
      </c>
      <c r="K5092" s="76">
        <f t="shared" si="381"/>
        <v>74417.25</v>
      </c>
      <c r="L5092">
        <v>1</v>
      </c>
      <c r="M5092" s="76">
        <v>0</v>
      </c>
      <c r="N5092" t="s">
        <v>32</v>
      </c>
      <c r="O5092" t="s">
        <v>33</v>
      </c>
      <c r="P5092" t="s">
        <v>34</v>
      </c>
      <c r="Q5092" t="s">
        <v>34</v>
      </c>
      <c r="R5092" t="s">
        <v>34</v>
      </c>
      <c r="S5092" t="s">
        <v>34</v>
      </c>
      <c r="T5092" s="117">
        <v>0</v>
      </c>
    </row>
    <row r="5093" spans="1:21" x14ac:dyDescent="0.35">
      <c r="A5093" t="s">
        <v>19</v>
      </c>
      <c r="B5093" t="s">
        <v>27</v>
      </c>
      <c r="C5093" s="1">
        <v>45931</v>
      </c>
      <c r="D5093">
        <f t="shared" si="382"/>
        <v>1</v>
      </c>
      <c r="E5093">
        <f t="shared" si="383"/>
        <v>10</v>
      </c>
      <c r="F5093">
        <f t="shared" si="384"/>
        <v>2025</v>
      </c>
      <c r="G5093" t="s">
        <v>100</v>
      </c>
      <c r="H5093" s="139">
        <v>13331</v>
      </c>
      <c r="I5093" s="91">
        <v>603190.17000000004</v>
      </c>
      <c r="J5093" s="12" t="s">
        <v>31</v>
      </c>
      <c r="K5093" s="76">
        <f t="shared" si="381"/>
        <v>603190.17000000004</v>
      </c>
      <c r="L5093">
        <v>1</v>
      </c>
      <c r="M5093" s="76">
        <v>0</v>
      </c>
      <c r="N5093" t="s">
        <v>32</v>
      </c>
      <c r="O5093" t="s">
        <v>33</v>
      </c>
      <c r="P5093" t="s">
        <v>34</v>
      </c>
      <c r="Q5093" t="s">
        <v>34</v>
      </c>
      <c r="R5093" t="s">
        <v>34</v>
      </c>
      <c r="S5093" t="s">
        <v>34</v>
      </c>
      <c r="T5093" s="117">
        <v>0</v>
      </c>
    </row>
    <row r="5094" spans="1:21" x14ac:dyDescent="0.35">
      <c r="A5094" t="s">
        <v>19</v>
      </c>
      <c r="B5094" t="s">
        <v>27</v>
      </c>
      <c r="C5094" s="1">
        <v>45931</v>
      </c>
      <c r="D5094">
        <f t="shared" si="382"/>
        <v>1</v>
      </c>
      <c r="E5094">
        <f t="shared" si="383"/>
        <v>10</v>
      </c>
      <c r="F5094">
        <f t="shared" si="384"/>
        <v>2025</v>
      </c>
      <c r="G5094" t="s">
        <v>100</v>
      </c>
      <c r="H5094" s="139">
        <v>13087</v>
      </c>
      <c r="I5094" s="91">
        <v>222204.3</v>
      </c>
      <c r="J5094" s="12" t="s">
        <v>31</v>
      </c>
      <c r="K5094" s="76">
        <f t="shared" si="381"/>
        <v>222204.3</v>
      </c>
      <c r="L5094">
        <v>1</v>
      </c>
      <c r="M5094" s="76">
        <v>0</v>
      </c>
      <c r="N5094" t="s">
        <v>32</v>
      </c>
      <c r="O5094" t="s">
        <v>33</v>
      </c>
      <c r="P5094" t="s">
        <v>34</v>
      </c>
      <c r="Q5094" t="s">
        <v>34</v>
      </c>
      <c r="R5094" t="s">
        <v>34</v>
      </c>
      <c r="S5094" t="s">
        <v>34</v>
      </c>
      <c r="T5094" s="117">
        <v>0</v>
      </c>
      <c r="U5094" s="209" t="s">
        <v>501</v>
      </c>
    </row>
    <row r="5095" spans="1:21" x14ac:dyDescent="0.35">
      <c r="A5095" t="s">
        <v>19</v>
      </c>
      <c r="B5095" t="s">
        <v>25</v>
      </c>
      <c r="C5095" s="1">
        <v>45931</v>
      </c>
      <c r="D5095">
        <f t="shared" si="382"/>
        <v>1</v>
      </c>
      <c r="E5095">
        <f t="shared" si="383"/>
        <v>10</v>
      </c>
      <c r="F5095">
        <f t="shared" si="384"/>
        <v>2025</v>
      </c>
      <c r="G5095" t="s">
        <v>1146</v>
      </c>
      <c r="H5095" s="139">
        <v>13438</v>
      </c>
      <c r="I5095" s="91">
        <v>34280</v>
      </c>
      <c r="J5095" s="12" t="s">
        <v>51</v>
      </c>
      <c r="K5095" s="76">
        <f t="shared" si="381"/>
        <v>40371.555999999997</v>
      </c>
      <c r="L5095">
        <v>1.1777</v>
      </c>
      <c r="M5095" s="76">
        <v>0</v>
      </c>
      <c r="N5095" t="s">
        <v>32</v>
      </c>
      <c r="O5095" t="s">
        <v>33</v>
      </c>
      <c r="P5095" t="s">
        <v>34</v>
      </c>
      <c r="Q5095" t="s">
        <v>34</v>
      </c>
      <c r="R5095" t="s">
        <v>34</v>
      </c>
      <c r="S5095" t="s">
        <v>34</v>
      </c>
      <c r="T5095" s="117">
        <v>0</v>
      </c>
    </row>
    <row r="5096" spans="1:21" x14ac:dyDescent="0.35">
      <c r="A5096" t="s">
        <v>19</v>
      </c>
      <c r="B5096" t="s">
        <v>25</v>
      </c>
      <c r="C5096" s="1">
        <v>45931</v>
      </c>
      <c r="D5096">
        <f t="shared" si="382"/>
        <v>1</v>
      </c>
      <c r="E5096">
        <f t="shared" si="383"/>
        <v>10</v>
      </c>
      <c r="F5096">
        <f t="shared" si="384"/>
        <v>2025</v>
      </c>
      <c r="G5096" t="s">
        <v>29</v>
      </c>
      <c r="H5096" s="139">
        <v>12816</v>
      </c>
      <c r="I5096" s="91">
        <v>17440.22</v>
      </c>
      <c r="J5096" s="12" t="s">
        <v>31</v>
      </c>
      <c r="K5096" s="76">
        <f t="shared" si="381"/>
        <v>17440.22</v>
      </c>
      <c r="L5096">
        <v>1</v>
      </c>
      <c r="M5096" s="76">
        <v>0</v>
      </c>
      <c r="N5096" t="s">
        <v>32</v>
      </c>
      <c r="O5096" t="s">
        <v>33</v>
      </c>
      <c r="P5096" t="s">
        <v>34</v>
      </c>
      <c r="Q5096" t="s">
        <v>34</v>
      </c>
      <c r="R5096" t="s">
        <v>34</v>
      </c>
      <c r="S5096" t="s">
        <v>34</v>
      </c>
      <c r="T5096" s="117">
        <v>0</v>
      </c>
    </row>
    <row r="5097" spans="1:21" x14ac:dyDescent="0.35">
      <c r="A5097" t="s">
        <v>19</v>
      </c>
      <c r="B5097" t="s">
        <v>25</v>
      </c>
      <c r="C5097" s="1">
        <v>45931</v>
      </c>
      <c r="D5097">
        <f t="shared" si="382"/>
        <v>1</v>
      </c>
      <c r="E5097">
        <f t="shared" si="383"/>
        <v>10</v>
      </c>
      <c r="F5097">
        <f t="shared" si="384"/>
        <v>2025</v>
      </c>
      <c r="G5097" t="s">
        <v>113</v>
      </c>
      <c r="H5097" s="139">
        <v>13244</v>
      </c>
      <c r="I5097" s="91">
        <v>48370</v>
      </c>
      <c r="J5097" s="12" t="s">
        <v>51</v>
      </c>
      <c r="K5097" s="76">
        <f t="shared" si="381"/>
        <v>56965.349000000002</v>
      </c>
      <c r="L5097">
        <v>1.1777</v>
      </c>
      <c r="M5097" s="76">
        <v>0</v>
      </c>
      <c r="N5097" t="s">
        <v>32</v>
      </c>
      <c r="O5097" t="s">
        <v>33</v>
      </c>
      <c r="P5097" t="s">
        <v>34</v>
      </c>
      <c r="Q5097" t="s">
        <v>34</v>
      </c>
      <c r="R5097" t="s">
        <v>34</v>
      </c>
      <c r="S5097" t="s">
        <v>34</v>
      </c>
      <c r="T5097" s="117">
        <v>0</v>
      </c>
    </row>
    <row r="5098" spans="1:21" x14ac:dyDescent="0.35">
      <c r="A5098" t="s">
        <v>19</v>
      </c>
      <c r="B5098" t="s">
        <v>19</v>
      </c>
      <c r="C5098" s="1">
        <v>45931</v>
      </c>
      <c r="D5098">
        <f t="shared" si="382"/>
        <v>1</v>
      </c>
      <c r="E5098">
        <f t="shared" si="383"/>
        <v>10</v>
      </c>
      <c r="F5098">
        <f t="shared" si="384"/>
        <v>2025</v>
      </c>
      <c r="G5098" t="s">
        <v>56</v>
      </c>
      <c r="H5098" s="121" t="s">
        <v>1358</v>
      </c>
      <c r="I5098" s="91">
        <v>194649.36</v>
      </c>
      <c r="J5098" s="12" t="s">
        <v>31</v>
      </c>
      <c r="K5098" s="76">
        <f t="shared" si="381"/>
        <v>194649.36</v>
      </c>
      <c r="L5098">
        <v>1</v>
      </c>
      <c r="M5098" s="76">
        <v>0</v>
      </c>
      <c r="N5098" t="s">
        <v>32</v>
      </c>
      <c r="O5098" t="s">
        <v>33</v>
      </c>
      <c r="P5098" t="s">
        <v>34</v>
      </c>
      <c r="Q5098" t="s">
        <v>34</v>
      </c>
      <c r="R5098" t="s">
        <v>34</v>
      </c>
      <c r="S5098" t="s">
        <v>34</v>
      </c>
      <c r="T5098" s="117">
        <v>0</v>
      </c>
    </row>
    <row r="5099" spans="1:21" x14ac:dyDescent="0.35">
      <c r="A5099" t="s">
        <v>19</v>
      </c>
      <c r="B5099" t="s">
        <v>19</v>
      </c>
      <c r="C5099" s="1">
        <v>45931</v>
      </c>
      <c r="D5099">
        <f t="shared" si="382"/>
        <v>1</v>
      </c>
      <c r="E5099">
        <f t="shared" si="383"/>
        <v>10</v>
      </c>
      <c r="F5099">
        <f t="shared" si="384"/>
        <v>2025</v>
      </c>
      <c r="G5099" t="s">
        <v>56</v>
      </c>
      <c r="H5099" s="121" t="s">
        <v>1359</v>
      </c>
      <c r="I5099" s="91">
        <v>169828.25</v>
      </c>
      <c r="J5099" s="12" t="s">
        <v>31</v>
      </c>
      <c r="K5099" s="76">
        <f t="shared" si="381"/>
        <v>169828.25</v>
      </c>
      <c r="L5099">
        <v>1</v>
      </c>
      <c r="M5099" s="76">
        <v>0</v>
      </c>
      <c r="N5099" t="s">
        <v>32</v>
      </c>
      <c r="O5099" t="s">
        <v>33</v>
      </c>
      <c r="P5099" t="s">
        <v>34</v>
      </c>
      <c r="Q5099" t="s">
        <v>34</v>
      </c>
      <c r="R5099" t="s">
        <v>34</v>
      </c>
      <c r="S5099" t="s">
        <v>34</v>
      </c>
      <c r="T5099" s="117">
        <v>0</v>
      </c>
    </row>
    <row r="5100" spans="1:21" x14ac:dyDescent="0.35">
      <c r="A5100" t="s">
        <v>19</v>
      </c>
      <c r="B5100" t="s">
        <v>19</v>
      </c>
      <c r="C5100" s="1">
        <v>45931</v>
      </c>
      <c r="D5100">
        <f t="shared" si="382"/>
        <v>1</v>
      </c>
      <c r="E5100">
        <f t="shared" si="383"/>
        <v>10</v>
      </c>
      <c r="F5100">
        <f t="shared" si="384"/>
        <v>2025</v>
      </c>
      <c r="G5100" t="s">
        <v>56</v>
      </c>
      <c r="H5100" s="121" t="s">
        <v>1360</v>
      </c>
      <c r="I5100" s="91">
        <v>175434.33</v>
      </c>
      <c r="J5100" s="12" t="s">
        <v>31</v>
      </c>
      <c r="K5100" s="76">
        <f t="shared" si="381"/>
        <v>175434.33</v>
      </c>
      <c r="L5100">
        <v>1</v>
      </c>
      <c r="M5100" s="76">
        <v>0</v>
      </c>
      <c r="N5100" t="s">
        <v>32</v>
      </c>
      <c r="O5100" t="s">
        <v>33</v>
      </c>
      <c r="P5100" t="s">
        <v>34</v>
      </c>
      <c r="Q5100" t="s">
        <v>34</v>
      </c>
      <c r="R5100" t="s">
        <v>34</v>
      </c>
      <c r="S5100" t="s">
        <v>34</v>
      </c>
      <c r="T5100" s="117">
        <v>0</v>
      </c>
    </row>
    <row r="5101" spans="1:21" x14ac:dyDescent="0.35">
      <c r="A5101" t="s">
        <v>19</v>
      </c>
      <c r="B5101" t="s">
        <v>19</v>
      </c>
      <c r="C5101" s="1">
        <v>45931</v>
      </c>
      <c r="D5101">
        <f t="shared" si="382"/>
        <v>1</v>
      </c>
      <c r="E5101">
        <f t="shared" si="383"/>
        <v>10</v>
      </c>
      <c r="F5101">
        <f t="shared" si="384"/>
        <v>2025</v>
      </c>
      <c r="G5101" t="s">
        <v>56</v>
      </c>
      <c r="H5101" s="121" t="s">
        <v>1361</v>
      </c>
      <c r="I5101" s="91">
        <v>201293.12</v>
      </c>
      <c r="J5101" s="12" t="s">
        <v>31</v>
      </c>
      <c r="K5101" s="76">
        <f t="shared" si="381"/>
        <v>201293.12</v>
      </c>
      <c r="L5101">
        <v>1</v>
      </c>
      <c r="M5101" s="76">
        <v>0</v>
      </c>
      <c r="N5101" t="s">
        <v>32</v>
      </c>
      <c r="O5101" t="s">
        <v>33</v>
      </c>
      <c r="P5101" t="s">
        <v>34</v>
      </c>
      <c r="Q5101" t="s">
        <v>34</v>
      </c>
      <c r="R5101" t="s">
        <v>34</v>
      </c>
      <c r="S5101" t="s">
        <v>34</v>
      </c>
      <c r="T5101" s="117">
        <v>0</v>
      </c>
    </row>
    <row r="5102" spans="1:21" x14ac:dyDescent="0.35">
      <c r="A5102" t="s">
        <v>19</v>
      </c>
      <c r="B5102" t="s">
        <v>19</v>
      </c>
      <c r="C5102" s="1">
        <v>45931</v>
      </c>
      <c r="D5102">
        <f t="shared" si="382"/>
        <v>1</v>
      </c>
      <c r="E5102">
        <f t="shared" si="383"/>
        <v>10</v>
      </c>
      <c r="F5102">
        <f t="shared" si="384"/>
        <v>2025</v>
      </c>
      <c r="G5102" t="s">
        <v>213</v>
      </c>
      <c r="H5102" s="121" t="s">
        <v>1362</v>
      </c>
      <c r="I5102" s="76">
        <v>123760.1</v>
      </c>
      <c r="J5102" s="12" t="s">
        <v>31</v>
      </c>
      <c r="K5102" s="76">
        <f t="shared" si="381"/>
        <v>123760.1</v>
      </c>
      <c r="L5102">
        <v>1</v>
      </c>
      <c r="M5102" s="76">
        <v>0</v>
      </c>
      <c r="N5102" t="s">
        <v>32</v>
      </c>
      <c r="O5102" t="s">
        <v>33</v>
      </c>
      <c r="P5102" t="s">
        <v>34</v>
      </c>
      <c r="Q5102" t="s">
        <v>34</v>
      </c>
      <c r="R5102" t="s">
        <v>34</v>
      </c>
      <c r="S5102" t="s">
        <v>34</v>
      </c>
      <c r="T5102" s="117">
        <v>0</v>
      </c>
    </row>
    <row r="5103" spans="1:21" x14ac:dyDescent="0.35">
      <c r="A5103" t="s">
        <v>19</v>
      </c>
      <c r="B5103" t="s">
        <v>19</v>
      </c>
      <c r="C5103" s="1">
        <v>45931</v>
      </c>
      <c r="D5103">
        <f t="shared" ref="D5103:D5110" si="385">DAY(C5103)</f>
        <v>1</v>
      </c>
      <c r="E5103">
        <f t="shared" ref="E5103:E5110" si="386">MONTH(C5103)</f>
        <v>10</v>
      </c>
      <c r="F5103">
        <f t="shared" ref="F5103:F5110" si="387">YEAR(C5103)</f>
        <v>2025</v>
      </c>
      <c r="G5103" t="s">
        <v>59</v>
      </c>
      <c r="H5103" s="121" t="s">
        <v>1320</v>
      </c>
      <c r="I5103" s="76">
        <v>207985.03999999998</v>
      </c>
      <c r="J5103" s="12" t="s">
        <v>31</v>
      </c>
      <c r="K5103" s="76">
        <f t="shared" ref="K5103:K5136" si="388">IF(J5103="USD",I5103,I5103*L5103)</f>
        <v>207985.03999999998</v>
      </c>
      <c r="L5103">
        <v>1</v>
      </c>
      <c r="M5103" s="76">
        <v>0</v>
      </c>
      <c r="N5103" t="s">
        <v>32</v>
      </c>
      <c r="O5103" t="s">
        <v>33</v>
      </c>
      <c r="P5103" t="s">
        <v>34</v>
      </c>
      <c r="Q5103" t="s">
        <v>34</v>
      </c>
      <c r="R5103" t="s">
        <v>34</v>
      </c>
      <c r="S5103" t="s">
        <v>34</v>
      </c>
      <c r="T5103" s="117">
        <v>0</v>
      </c>
    </row>
    <row r="5104" spans="1:21" x14ac:dyDescent="0.35">
      <c r="A5104" t="s">
        <v>19</v>
      </c>
      <c r="B5104" t="s">
        <v>19</v>
      </c>
      <c r="C5104" s="1">
        <v>45931</v>
      </c>
      <c r="D5104">
        <f t="shared" si="385"/>
        <v>1</v>
      </c>
      <c r="E5104">
        <f t="shared" si="386"/>
        <v>10</v>
      </c>
      <c r="F5104">
        <f t="shared" si="387"/>
        <v>2025</v>
      </c>
      <c r="G5104" t="s">
        <v>111</v>
      </c>
      <c r="H5104" s="121" t="s">
        <v>1363</v>
      </c>
      <c r="I5104" s="76">
        <v>93505.59</v>
      </c>
      <c r="J5104" s="12" t="s">
        <v>31</v>
      </c>
      <c r="K5104" s="76">
        <f t="shared" si="388"/>
        <v>93505.59</v>
      </c>
      <c r="L5104">
        <v>1</v>
      </c>
      <c r="M5104" s="76">
        <v>0</v>
      </c>
      <c r="N5104" t="s">
        <v>32</v>
      </c>
      <c r="O5104" t="s">
        <v>33</v>
      </c>
      <c r="P5104" t="s">
        <v>34</v>
      </c>
      <c r="Q5104" t="s">
        <v>34</v>
      </c>
      <c r="R5104" t="s">
        <v>34</v>
      </c>
      <c r="S5104" t="s">
        <v>34</v>
      </c>
      <c r="T5104" s="117">
        <v>0</v>
      </c>
    </row>
    <row r="5105" spans="1:20" x14ac:dyDescent="0.35">
      <c r="A5105" t="s">
        <v>19</v>
      </c>
      <c r="B5105" t="s">
        <v>19</v>
      </c>
      <c r="C5105" s="1">
        <v>45931</v>
      </c>
      <c r="D5105">
        <f t="shared" si="385"/>
        <v>1</v>
      </c>
      <c r="E5105">
        <f t="shared" si="386"/>
        <v>10</v>
      </c>
      <c r="F5105">
        <f t="shared" si="387"/>
        <v>2025</v>
      </c>
      <c r="G5105" t="s">
        <v>91</v>
      </c>
      <c r="H5105" s="121" t="s">
        <v>1364</v>
      </c>
      <c r="I5105" s="76">
        <v>11714.75</v>
      </c>
      <c r="J5105" s="12" t="s">
        <v>31</v>
      </c>
      <c r="K5105" s="76">
        <f t="shared" si="388"/>
        <v>11714.75</v>
      </c>
      <c r="L5105">
        <v>1</v>
      </c>
      <c r="M5105" s="76">
        <v>0</v>
      </c>
      <c r="N5105" t="s">
        <v>32</v>
      </c>
      <c r="O5105" t="s">
        <v>33</v>
      </c>
      <c r="P5105" t="s">
        <v>34</v>
      </c>
      <c r="Q5105" t="s">
        <v>34</v>
      </c>
      <c r="R5105" t="s">
        <v>34</v>
      </c>
      <c r="S5105" t="s">
        <v>34</v>
      </c>
      <c r="T5105" s="117">
        <v>0</v>
      </c>
    </row>
    <row r="5106" spans="1:20" x14ac:dyDescent="0.35">
      <c r="A5106" t="s">
        <v>19</v>
      </c>
      <c r="B5106" t="s">
        <v>19</v>
      </c>
      <c r="C5106" s="1">
        <v>45931</v>
      </c>
      <c r="D5106">
        <f t="shared" si="385"/>
        <v>1</v>
      </c>
      <c r="E5106">
        <f t="shared" si="386"/>
        <v>10</v>
      </c>
      <c r="F5106">
        <f t="shared" si="387"/>
        <v>2025</v>
      </c>
      <c r="G5106" t="s">
        <v>91</v>
      </c>
      <c r="H5106" s="121" t="s">
        <v>1365</v>
      </c>
      <c r="I5106" s="76">
        <v>53.2</v>
      </c>
      <c r="J5106" s="12" t="s">
        <v>31</v>
      </c>
      <c r="K5106" s="76">
        <f t="shared" si="388"/>
        <v>53.2</v>
      </c>
      <c r="L5106">
        <v>1</v>
      </c>
      <c r="M5106" s="76">
        <v>0</v>
      </c>
      <c r="N5106" t="s">
        <v>32</v>
      </c>
      <c r="O5106" t="s">
        <v>33</v>
      </c>
      <c r="P5106" t="s">
        <v>34</v>
      </c>
      <c r="Q5106" t="s">
        <v>34</v>
      </c>
      <c r="R5106" t="s">
        <v>34</v>
      </c>
      <c r="S5106" t="s">
        <v>34</v>
      </c>
      <c r="T5106" s="117">
        <v>0</v>
      </c>
    </row>
    <row r="5107" spans="1:20" x14ac:dyDescent="0.35">
      <c r="A5107" t="s">
        <v>19</v>
      </c>
      <c r="B5107" t="s">
        <v>19</v>
      </c>
      <c r="C5107" s="1">
        <v>45931</v>
      </c>
      <c r="D5107">
        <f t="shared" si="385"/>
        <v>1</v>
      </c>
      <c r="E5107">
        <f t="shared" si="386"/>
        <v>10</v>
      </c>
      <c r="F5107">
        <f t="shared" si="387"/>
        <v>2025</v>
      </c>
      <c r="G5107" t="s">
        <v>523</v>
      </c>
      <c r="H5107" s="121" t="s">
        <v>1366</v>
      </c>
      <c r="I5107" s="176">
        <v>83182.5</v>
      </c>
      <c r="J5107" s="12" t="s">
        <v>31</v>
      </c>
      <c r="K5107" s="76">
        <f t="shared" si="388"/>
        <v>83182.5</v>
      </c>
      <c r="L5107">
        <v>1</v>
      </c>
      <c r="M5107" s="76">
        <v>0</v>
      </c>
      <c r="N5107" t="s">
        <v>32</v>
      </c>
      <c r="O5107" t="s">
        <v>33</v>
      </c>
      <c r="P5107" t="s">
        <v>34</v>
      </c>
      <c r="Q5107" t="s">
        <v>34</v>
      </c>
      <c r="R5107" t="s">
        <v>34</v>
      </c>
      <c r="S5107" t="s">
        <v>34</v>
      </c>
      <c r="T5107" s="117">
        <v>0</v>
      </c>
    </row>
    <row r="5108" spans="1:20" x14ac:dyDescent="0.35">
      <c r="A5108" t="s">
        <v>19</v>
      </c>
      <c r="B5108" t="s">
        <v>19</v>
      </c>
      <c r="C5108" s="1">
        <v>45931</v>
      </c>
      <c r="D5108">
        <f t="shared" si="385"/>
        <v>1</v>
      </c>
      <c r="E5108">
        <f t="shared" si="386"/>
        <v>10</v>
      </c>
      <c r="F5108">
        <f t="shared" si="387"/>
        <v>2025</v>
      </c>
      <c r="G5108" t="s">
        <v>523</v>
      </c>
      <c r="H5108" s="121" t="s">
        <v>1367</v>
      </c>
      <c r="I5108" s="176">
        <v>145365.46000000002</v>
      </c>
      <c r="J5108" s="12" t="s">
        <v>31</v>
      </c>
      <c r="K5108" s="76">
        <f t="shared" si="388"/>
        <v>145365.46000000002</v>
      </c>
      <c r="L5108">
        <v>1</v>
      </c>
      <c r="M5108" s="76">
        <v>0</v>
      </c>
      <c r="N5108" t="s">
        <v>32</v>
      </c>
      <c r="O5108" t="s">
        <v>33</v>
      </c>
      <c r="P5108" t="s">
        <v>34</v>
      </c>
      <c r="Q5108" t="s">
        <v>34</v>
      </c>
      <c r="R5108" t="s">
        <v>34</v>
      </c>
      <c r="S5108" t="s">
        <v>34</v>
      </c>
      <c r="T5108" s="117">
        <v>0</v>
      </c>
    </row>
    <row r="5109" spans="1:20" x14ac:dyDescent="0.35">
      <c r="A5109" t="s">
        <v>19</v>
      </c>
      <c r="B5109" t="s">
        <v>19</v>
      </c>
      <c r="C5109" s="1">
        <v>45931</v>
      </c>
      <c r="D5109">
        <f t="shared" si="385"/>
        <v>1</v>
      </c>
      <c r="E5109">
        <f t="shared" si="386"/>
        <v>10</v>
      </c>
      <c r="F5109">
        <f t="shared" si="387"/>
        <v>2025</v>
      </c>
      <c r="G5109" t="s">
        <v>126</v>
      </c>
      <c r="H5109" s="121" t="s">
        <v>1368</v>
      </c>
      <c r="I5109" s="176">
        <v>6130.46</v>
      </c>
      <c r="J5109" s="12" t="s">
        <v>31</v>
      </c>
      <c r="K5109" s="76">
        <f t="shared" si="388"/>
        <v>6130.46</v>
      </c>
      <c r="L5109">
        <v>1</v>
      </c>
      <c r="M5109" s="76">
        <v>0</v>
      </c>
      <c r="N5109" t="s">
        <v>32</v>
      </c>
      <c r="O5109" t="s">
        <v>33</v>
      </c>
      <c r="P5109" t="s">
        <v>34</v>
      </c>
      <c r="Q5109" t="s">
        <v>34</v>
      </c>
      <c r="R5109" t="s">
        <v>34</v>
      </c>
      <c r="S5109" t="s">
        <v>34</v>
      </c>
      <c r="T5109" s="117">
        <v>0</v>
      </c>
    </row>
    <row r="5110" spans="1:20" x14ac:dyDescent="0.35">
      <c r="A5110" t="s">
        <v>19</v>
      </c>
      <c r="B5110" t="s">
        <v>19</v>
      </c>
      <c r="C5110" s="1">
        <v>45931</v>
      </c>
      <c r="D5110">
        <f t="shared" si="385"/>
        <v>1</v>
      </c>
      <c r="E5110">
        <f t="shared" si="386"/>
        <v>10</v>
      </c>
      <c r="F5110">
        <f t="shared" si="387"/>
        <v>2025</v>
      </c>
      <c r="G5110" t="s">
        <v>183</v>
      </c>
      <c r="H5110" s="121" t="s">
        <v>1369</v>
      </c>
      <c r="I5110" s="176">
        <v>445.63</v>
      </c>
      <c r="J5110" s="12" t="s">
        <v>31</v>
      </c>
      <c r="K5110" s="76">
        <f t="shared" si="388"/>
        <v>445.63</v>
      </c>
      <c r="L5110">
        <v>1</v>
      </c>
      <c r="M5110" s="76">
        <v>0</v>
      </c>
      <c r="N5110" t="s">
        <v>32</v>
      </c>
      <c r="O5110" t="s">
        <v>33</v>
      </c>
      <c r="P5110" t="s">
        <v>34</v>
      </c>
      <c r="Q5110" t="s">
        <v>34</v>
      </c>
      <c r="R5110" t="s">
        <v>34</v>
      </c>
      <c r="S5110" t="s">
        <v>34</v>
      </c>
      <c r="T5110" s="117">
        <v>0</v>
      </c>
    </row>
    <row r="5111" spans="1:20" x14ac:dyDescent="0.35">
      <c r="A5111" t="s">
        <v>19</v>
      </c>
      <c r="B5111" t="s">
        <v>19</v>
      </c>
      <c r="C5111" s="1">
        <v>45931</v>
      </c>
      <c r="D5111">
        <f>DAY(C5111)</f>
        <v>1</v>
      </c>
      <c r="E5111">
        <f>MONTH(C5111)</f>
        <v>10</v>
      </c>
      <c r="F5111">
        <f>YEAR(C5111)</f>
        <v>2025</v>
      </c>
      <c r="G5111" t="s">
        <v>1003</v>
      </c>
      <c r="H5111" s="121" t="s">
        <v>1370</v>
      </c>
      <c r="I5111" s="176">
        <v>1172.8</v>
      </c>
      <c r="J5111" s="12" t="s">
        <v>31</v>
      </c>
      <c r="K5111" s="76">
        <f t="shared" si="388"/>
        <v>1172.8</v>
      </c>
      <c r="L5111">
        <v>1</v>
      </c>
      <c r="M5111" s="76">
        <v>0</v>
      </c>
      <c r="N5111" t="s">
        <v>32</v>
      </c>
      <c r="O5111" t="s">
        <v>33</v>
      </c>
      <c r="P5111" t="s">
        <v>34</v>
      </c>
      <c r="Q5111" t="s">
        <v>34</v>
      </c>
      <c r="R5111" t="s">
        <v>34</v>
      </c>
      <c r="S5111" t="s">
        <v>34</v>
      </c>
      <c r="T5111" s="117">
        <v>0</v>
      </c>
    </row>
    <row r="5112" spans="1:20" x14ac:dyDescent="0.35">
      <c r="A5112" t="s">
        <v>19</v>
      </c>
      <c r="B5112" t="s">
        <v>19</v>
      </c>
      <c r="C5112" s="1">
        <v>45931</v>
      </c>
      <c r="D5112">
        <f>DAY(C5112)</f>
        <v>1</v>
      </c>
      <c r="E5112">
        <f>MONTH(C5112)</f>
        <v>10</v>
      </c>
      <c r="F5112">
        <f>YEAR(C5112)</f>
        <v>2025</v>
      </c>
      <c r="G5112" t="s">
        <v>263</v>
      </c>
      <c r="H5112" s="121" t="s">
        <v>1371</v>
      </c>
      <c r="I5112" s="176">
        <v>1322.8</v>
      </c>
      <c r="J5112" s="12" t="s">
        <v>31</v>
      </c>
      <c r="K5112" s="76">
        <f t="shared" si="388"/>
        <v>1322.8</v>
      </c>
      <c r="L5112">
        <v>1</v>
      </c>
      <c r="M5112" s="76">
        <v>0</v>
      </c>
      <c r="N5112" t="s">
        <v>32</v>
      </c>
      <c r="O5112" t="s">
        <v>33</v>
      </c>
      <c r="P5112" t="s">
        <v>34</v>
      </c>
      <c r="Q5112" t="s">
        <v>34</v>
      </c>
      <c r="R5112" t="s">
        <v>34</v>
      </c>
      <c r="S5112" t="s">
        <v>34</v>
      </c>
      <c r="T5112" s="117">
        <v>0</v>
      </c>
    </row>
    <row r="5113" spans="1:20" x14ac:dyDescent="0.35">
      <c r="A5113" t="s">
        <v>20</v>
      </c>
      <c r="B5113" t="s">
        <v>25</v>
      </c>
      <c r="C5113" s="1">
        <v>45931</v>
      </c>
      <c r="D5113">
        <f>DAY(C5113)</f>
        <v>1</v>
      </c>
      <c r="E5113">
        <f>MONTH(C5113)</f>
        <v>10</v>
      </c>
      <c r="F5113">
        <f>YEAR(C5113)</f>
        <v>2025</v>
      </c>
      <c r="G5113" t="s">
        <v>265</v>
      </c>
      <c r="H5113" s="139">
        <v>13032</v>
      </c>
      <c r="I5113" s="91">
        <v>23931.75</v>
      </c>
      <c r="J5113" s="12" t="s">
        <v>31</v>
      </c>
      <c r="K5113" s="76">
        <f t="shared" si="388"/>
        <v>23931.75</v>
      </c>
      <c r="L5113">
        <v>1</v>
      </c>
      <c r="M5113" s="76">
        <v>0</v>
      </c>
      <c r="N5113" t="s">
        <v>32</v>
      </c>
      <c r="O5113" t="s">
        <v>33</v>
      </c>
      <c r="P5113" t="s">
        <v>34</v>
      </c>
      <c r="Q5113" t="s">
        <v>34</v>
      </c>
      <c r="R5113" t="s">
        <v>34</v>
      </c>
      <c r="S5113" t="s">
        <v>34</v>
      </c>
      <c r="T5113" s="117">
        <v>0</v>
      </c>
    </row>
    <row r="5114" spans="1:20" x14ac:dyDescent="0.35">
      <c r="A5114" t="s">
        <v>20</v>
      </c>
      <c r="B5114" t="s">
        <v>23</v>
      </c>
      <c r="C5114" s="1">
        <v>45931</v>
      </c>
      <c r="D5114">
        <f t="shared" ref="D5114:D5115" si="389">DAY(C5114)</f>
        <v>1</v>
      </c>
      <c r="E5114">
        <f t="shared" ref="E5114:E5115" si="390">MONTH(C5114)</f>
        <v>10</v>
      </c>
      <c r="F5114">
        <f t="shared" ref="F5114:F5115" si="391">YEAR(C5114)</f>
        <v>2025</v>
      </c>
      <c r="G5114" t="s">
        <v>265</v>
      </c>
      <c r="H5114" s="139">
        <v>13129</v>
      </c>
      <c r="I5114" s="91">
        <v>10628.65</v>
      </c>
      <c r="J5114" s="12" t="s">
        <v>31</v>
      </c>
      <c r="K5114" s="76">
        <f t="shared" si="388"/>
        <v>10628.65</v>
      </c>
      <c r="L5114">
        <v>1</v>
      </c>
      <c r="M5114" s="76">
        <v>0</v>
      </c>
      <c r="N5114" t="s">
        <v>32</v>
      </c>
      <c r="O5114" t="s">
        <v>33</v>
      </c>
      <c r="P5114" t="s">
        <v>34</v>
      </c>
      <c r="Q5114" t="s">
        <v>34</v>
      </c>
      <c r="R5114" t="s">
        <v>34</v>
      </c>
      <c r="S5114" t="s">
        <v>34</v>
      </c>
      <c r="T5114" s="117">
        <v>0</v>
      </c>
    </row>
    <row r="5115" spans="1:20" x14ac:dyDescent="0.35">
      <c r="A5115" t="s">
        <v>20</v>
      </c>
      <c r="B5115" t="s">
        <v>21</v>
      </c>
      <c r="C5115" s="1">
        <v>45931</v>
      </c>
      <c r="D5115">
        <f t="shared" si="389"/>
        <v>1</v>
      </c>
      <c r="E5115">
        <f t="shared" si="390"/>
        <v>10</v>
      </c>
      <c r="F5115">
        <f t="shared" si="391"/>
        <v>2025</v>
      </c>
      <c r="G5115" t="s">
        <v>265</v>
      </c>
      <c r="H5115" s="139">
        <v>13381</v>
      </c>
      <c r="I5115" s="91">
        <v>23236.800000000003</v>
      </c>
      <c r="J5115" s="12" t="s">
        <v>31</v>
      </c>
      <c r="K5115" s="76">
        <f t="shared" si="388"/>
        <v>23236.800000000003</v>
      </c>
      <c r="L5115">
        <v>1</v>
      </c>
      <c r="M5115" s="76">
        <v>0</v>
      </c>
      <c r="N5115" t="s">
        <v>32</v>
      </c>
      <c r="O5115" t="s">
        <v>33</v>
      </c>
      <c r="P5115" t="s">
        <v>34</v>
      </c>
      <c r="Q5115" t="s">
        <v>34</v>
      </c>
      <c r="R5115" t="s">
        <v>34</v>
      </c>
      <c r="S5115" t="s">
        <v>34</v>
      </c>
      <c r="T5115" s="117">
        <v>0</v>
      </c>
    </row>
    <row r="5116" spans="1:20" x14ac:dyDescent="0.35">
      <c r="A5116" t="s">
        <v>20</v>
      </c>
      <c r="B5116" t="s">
        <v>23</v>
      </c>
      <c r="C5116" s="1">
        <v>45931</v>
      </c>
      <c r="D5116">
        <f t="shared" ref="D5116:D5126" si="392">DAY(C5116)</f>
        <v>1</v>
      </c>
      <c r="E5116">
        <f t="shared" ref="E5116:E5126" si="393">MONTH(C5116)</f>
        <v>10</v>
      </c>
      <c r="F5116">
        <f t="shared" ref="F5116:F5126" si="394">YEAR(C5116)</f>
        <v>2025</v>
      </c>
      <c r="G5116" t="s">
        <v>1109</v>
      </c>
      <c r="H5116" s="139">
        <v>13252</v>
      </c>
      <c r="I5116" s="91">
        <v>5663.53</v>
      </c>
      <c r="J5116" s="12" t="s">
        <v>31</v>
      </c>
      <c r="K5116" s="76">
        <f t="shared" si="388"/>
        <v>5663.53</v>
      </c>
      <c r="L5116">
        <v>1</v>
      </c>
      <c r="M5116" s="76">
        <v>0</v>
      </c>
      <c r="N5116" t="s">
        <v>32</v>
      </c>
      <c r="O5116" t="s">
        <v>33</v>
      </c>
      <c r="P5116" t="s">
        <v>34</v>
      </c>
      <c r="Q5116" t="s">
        <v>34</v>
      </c>
      <c r="R5116" t="s">
        <v>34</v>
      </c>
      <c r="S5116" t="s">
        <v>34</v>
      </c>
      <c r="T5116" s="117">
        <v>0</v>
      </c>
    </row>
    <row r="5117" spans="1:20" x14ac:dyDescent="0.35">
      <c r="A5117" t="s">
        <v>20</v>
      </c>
      <c r="B5117" t="s">
        <v>21</v>
      </c>
      <c r="C5117" s="1">
        <v>45931</v>
      </c>
      <c r="D5117">
        <f t="shared" si="392"/>
        <v>1</v>
      </c>
      <c r="E5117">
        <f t="shared" si="393"/>
        <v>10</v>
      </c>
      <c r="F5117">
        <f t="shared" si="394"/>
        <v>2025</v>
      </c>
      <c r="G5117" t="s">
        <v>86</v>
      </c>
      <c r="H5117" s="139">
        <v>13124</v>
      </c>
      <c r="I5117" s="91">
        <v>95</v>
      </c>
      <c r="J5117" s="12" t="s">
        <v>31</v>
      </c>
      <c r="K5117" s="76">
        <f t="shared" si="388"/>
        <v>95</v>
      </c>
      <c r="L5117">
        <v>1</v>
      </c>
      <c r="M5117" s="76">
        <v>0</v>
      </c>
      <c r="N5117" t="s">
        <v>32</v>
      </c>
      <c r="O5117" t="s">
        <v>33</v>
      </c>
      <c r="P5117" t="s">
        <v>34</v>
      </c>
      <c r="Q5117" t="s">
        <v>34</v>
      </c>
      <c r="R5117" t="s">
        <v>34</v>
      </c>
      <c r="S5117" t="s">
        <v>34</v>
      </c>
      <c r="T5117" s="117">
        <v>0</v>
      </c>
    </row>
    <row r="5118" spans="1:20" x14ac:dyDescent="0.35">
      <c r="A5118" t="s">
        <v>20</v>
      </c>
      <c r="B5118" t="s">
        <v>23</v>
      </c>
      <c r="C5118" s="1">
        <v>45931</v>
      </c>
      <c r="D5118">
        <f t="shared" si="392"/>
        <v>1</v>
      </c>
      <c r="E5118">
        <f t="shared" si="393"/>
        <v>10</v>
      </c>
      <c r="F5118">
        <f t="shared" si="394"/>
        <v>2025</v>
      </c>
      <c r="G5118" t="s">
        <v>86</v>
      </c>
      <c r="H5118" s="139">
        <v>13330</v>
      </c>
      <c r="I5118" s="91">
        <v>3405.5580000000004</v>
      </c>
      <c r="J5118" s="12" t="s">
        <v>31</v>
      </c>
      <c r="K5118" s="76">
        <f t="shared" si="388"/>
        <v>3405.5580000000004</v>
      </c>
      <c r="L5118">
        <v>1</v>
      </c>
      <c r="M5118" s="76">
        <v>0</v>
      </c>
      <c r="N5118" t="s">
        <v>32</v>
      </c>
      <c r="O5118" t="s">
        <v>33</v>
      </c>
      <c r="P5118" t="s">
        <v>34</v>
      </c>
      <c r="Q5118" t="s">
        <v>34</v>
      </c>
      <c r="R5118" t="s">
        <v>34</v>
      </c>
      <c r="S5118" t="s">
        <v>34</v>
      </c>
      <c r="T5118" s="117">
        <v>0</v>
      </c>
    </row>
    <row r="5119" spans="1:20" x14ac:dyDescent="0.35">
      <c r="A5119" t="s">
        <v>20</v>
      </c>
      <c r="B5119" t="s">
        <v>21</v>
      </c>
      <c r="C5119" s="1">
        <v>45931</v>
      </c>
      <c r="D5119">
        <f t="shared" si="392"/>
        <v>1</v>
      </c>
      <c r="E5119">
        <f t="shared" si="393"/>
        <v>10</v>
      </c>
      <c r="F5119">
        <f t="shared" si="394"/>
        <v>2025</v>
      </c>
      <c r="G5119" t="s">
        <v>86</v>
      </c>
      <c r="H5119" s="139">
        <v>13330</v>
      </c>
      <c r="I5119" s="91">
        <v>5326.6420000000007</v>
      </c>
      <c r="J5119" s="12" t="s">
        <v>31</v>
      </c>
      <c r="K5119" s="76">
        <f t="shared" si="388"/>
        <v>5326.6420000000007</v>
      </c>
      <c r="L5119">
        <v>1</v>
      </c>
      <c r="M5119" s="76">
        <v>0</v>
      </c>
      <c r="N5119" t="s">
        <v>32</v>
      </c>
      <c r="O5119" t="s">
        <v>33</v>
      </c>
      <c r="P5119" t="s">
        <v>34</v>
      </c>
      <c r="Q5119" t="s">
        <v>34</v>
      </c>
      <c r="R5119" t="s">
        <v>34</v>
      </c>
      <c r="S5119" t="s">
        <v>34</v>
      </c>
      <c r="T5119" s="117">
        <v>0</v>
      </c>
    </row>
    <row r="5120" spans="1:20" x14ac:dyDescent="0.35">
      <c r="A5120" t="s">
        <v>20</v>
      </c>
      <c r="B5120" t="s">
        <v>24</v>
      </c>
      <c r="C5120" s="1">
        <v>45931</v>
      </c>
      <c r="D5120">
        <f t="shared" si="392"/>
        <v>1</v>
      </c>
      <c r="E5120">
        <f t="shared" si="393"/>
        <v>10</v>
      </c>
      <c r="F5120">
        <f t="shared" si="394"/>
        <v>2025</v>
      </c>
      <c r="G5120" t="s">
        <v>91</v>
      </c>
      <c r="H5120" s="121">
        <v>13404</v>
      </c>
      <c r="I5120" s="76">
        <v>527.79999999999995</v>
      </c>
      <c r="J5120" s="12" t="s">
        <v>31</v>
      </c>
      <c r="K5120" s="76">
        <f t="shared" si="388"/>
        <v>527.79999999999995</v>
      </c>
      <c r="L5120">
        <v>1</v>
      </c>
      <c r="M5120" s="76">
        <v>0</v>
      </c>
      <c r="N5120" t="s">
        <v>32</v>
      </c>
      <c r="O5120" t="s">
        <v>33</v>
      </c>
      <c r="P5120" t="s">
        <v>34</v>
      </c>
      <c r="Q5120" t="s">
        <v>34</v>
      </c>
      <c r="R5120" t="s">
        <v>34</v>
      </c>
      <c r="S5120" t="s">
        <v>34</v>
      </c>
      <c r="T5120" s="117">
        <v>0</v>
      </c>
    </row>
    <row r="5121" spans="1:20" x14ac:dyDescent="0.35">
      <c r="A5121" t="s">
        <v>20</v>
      </c>
      <c r="B5121" t="s">
        <v>21</v>
      </c>
      <c r="C5121" s="1">
        <v>45931</v>
      </c>
      <c r="D5121">
        <f t="shared" si="392"/>
        <v>1</v>
      </c>
      <c r="E5121">
        <f t="shared" si="393"/>
        <v>10</v>
      </c>
      <c r="F5121">
        <f t="shared" si="394"/>
        <v>2025</v>
      </c>
      <c r="G5121" t="s">
        <v>595</v>
      </c>
      <c r="H5121" s="139">
        <v>13841</v>
      </c>
      <c r="I5121" s="91">
        <v>95</v>
      </c>
      <c r="J5121" s="12" t="s">
        <v>31</v>
      </c>
      <c r="K5121" s="76">
        <f t="shared" si="388"/>
        <v>95</v>
      </c>
      <c r="L5121">
        <v>1</v>
      </c>
      <c r="M5121" s="76">
        <v>0</v>
      </c>
      <c r="N5121" t="s">
        <v>32</v>
      </c>
      <c r="O5121" t="s">
        <v>33</v>
      </c>
      <c r="P5121" t="s">
        <v>34</v>
      </c>
      <c r="Q5121" t="s">
        <v>34</v>
      </c>
      <c r="R5121" t="s">
        <v>34</v>
      </c>
      <c r="S5121" t="s">
        <v>34</v>
      </c>
      <c r="T5121" s="117">
        <v>0</v>
      </c>
    </row>
    <row r="5122" spans="1:20" x14ac:dyDescent="0.35">
      <c r="A5122" t="s">
        <v>20</v>
      </c>
      <c r="B5122" t="s">
        <v>21</v>
      </c>
      <c r="C5122" s="1">
        <v>45931</v>
      </c>
      <c r="D5122">
        <f t="shared" si="392"/>
        <v>1</v>
      </c>
      <c r="E5122">
        <f t="shared" si="393"/>
        <v>10</v>
      </c>
      <c r="F5122">
        <f t="shared" si="394"/>
        <v>2025</v>
      </c>
      <c r="G5122" t="s">
        <v>595</v>
      </c>
      <c r="H5122" s="139">
        <v>13842</v>
      </c>
      <c r="I5122" s="91">
        <v>3040.38</v>
      </c>
      <c r="J5122" s="12" t="s">
        <v>31</v>
      </c>
      <c r="K5122" s="76">
        <f t="shared" si="388"/>
        <v>3040.38</v>
      </c>
      <c r="L5122">
        <v>1</v>
      </c>
      <c r="M5122" s="76">
        <v>0</v>
      </c>
      <c r="N5122" t="s">
        <v>32</v>
      </c>
      <c r="O5122" t="s">
        <v>33</v>
      </c>
      <c r="P5122" t="s">
        <v>34</v>
      </c>
      <c r="Q5122" t="s">
        <v>34</v>
      </c>
      <c r="R5122" t="s">
        <v>34</v>
      </c>
      <c r="S5122" t="s">
        <v>34</v>
      </c>
      <c r="T5122" s="117">
        <v>0</v>
      </c>
    </row>
    <row r="5123" spans="1:20" x14ac:dyDescent="0.35">
      <c r="A5123" t="s">
        <v>20</v>
      </c>
      <c r="B5123" t="s">
        <v>21</v>
      </c>
      <c r="C5123" s="1">
        <v>45931</v>
      </c>
      <c r="D5123">
        <f t="shared" si="392"/>
        <v>1</v>
      </c>
      <c r="E5123">
        <f t="shared" si="393"/>
        <v>10</v>
      </c>
      <c r="F5123">
        <f t="shared" si="394"/>
        <v>2025</v>
      </c>
      <c r="G5123" t="s">
        <v>1238</v>
      </c>
      <c r="H5123" s="139">
        <v>13036</v>
      </c>
      <c r="I5123" s="91">
        <v>9446.73</v>
      </c>
      <c r="J5123" s="12" t="s">
        <v>31</v>
      </c>
      <c r="K5123" s="76">
        <f t="shared" si="388"/>
        <v>9446.73</v>
      </c>
      <c r="L5123">
        <v>1</v>
      </c>
      <c r="M5123" s="76">
        <v>0</v>
      </c>
      <c r="N5123" t="s">
        <v>32</v>
      </c>
      <c r="O5123" t="s">
        <v>33</v>
      </c>
      <c r="P5123" t="s">
        <v>34</v>
      </c>
      <c r="Q5123" t="s">
        <v>34</v>
      </c>
      <c r="R5123" t="s">
        <v>34</v>
      </c>
      <c r="S5123" t="s">
        <v>34</v>
      </c>
      <c r="T5123" s="117">
        <v>0</v>
      </c>
    </row>
    <row r="5124" spans="1:20" x14ac:dyDescent="0.35">
      <c r="A5124" t="s">
        <v>20</v>
      </c>
      <c r="B5124" t="s">
        <v>21</v>
      </c>
      <c r="C5124" s="1">
        <v>45931</v>
      </c>
      <c r="D5124">
        <f t="shared" si="392"/>
        <v>1</v>
      </c>
      <c r="E5124">
        <f t="shared" si="393"/>
        <v>10</v>
      </c>
      <c r="F5124">
        <f t="shared" si="394"/>
        <v>2025</v>
      </c>
      <c r="G5124" t="s">
        <v>97</v>
      </c>
      <c r="H5124" s="139">
        <v>13566</v>
      </c>
      <c r="I5124" s="91">
        <v>7997.26</v>
      </c>
      <c r="J5124" s="12" t="s">
        <v>31</v>
      </c>
      <c r="K5124" s="76">
        <f t="shared" si="388"/>
        <v>7997.26</v>
      </c>
      <c r="L5124">
        <v>1</v>
      </c>
      <c r="M5124" s="76">
        <v>0</v>
      </c>
      <c r="N5124" t="s">
        <v>32</v>
      </c>
      <c r="O5124" t="s">
        <v>33</v>
      </c>
      <c r="P5124" t="s">
        <v>34</v>
      </c>
      <c r="Q5124" t="s">
        <v>34</v>
      </c>
      <c r="R5124" t="s">
        <v>34</v>
      </c>
      <c r="S5124" t="s">
        <v>34</v>
      </c>
      <c r="T5124" s="117">
        <v>0</v>
      </c>
    </row>
    <row r="5125" spans="1:20" x14ac:dyDescent="0.35">
      <c r="A5125" t="s">
        <v>20</v>
      </c>
      <c r="B5125" t="s">
        <v>25</v>
      </c>
      <c r="C5125" s="1">
        <v>45931</v>
      </c>
      <c r="D5125">
        <f t="shared" si="392"/>
        <v>1</v>
      </c>
      <c r="E5125">
        <f t="shared" si="393"/>
        <v>10</v>
      </c>
      <c r="F5125">
        <f t="shared" si="394"/>
        <v>2025</v>
      </c>
      <c r="G5125" t="s">
        <v>97</v>
      </c>
      <c r="H5125" s="139">
        <v>13566</v>
      </c>
      <c r="I5125" s="91">
        <v>21284.33</v>
      </c>
      <c r="J5125" s="12" t="s">
        <v>31</v>
      </c>
      <c r="K5125" s="76">
        <f t="shared" si="388"/>
        <v>21284.33</v>
      </c>
      <c r="L5125">
        <v>1</v>
      </c>
      <c r="M5125" s="76">
        <v>0</v>
      </c>
      <c r="N5125" t="s">
        <v>32</v>
      </c>
      <c r="O5125" t="s">
        <v>33</v>
      </c>
      <c r="P5125" t="s">
        <v>34</v>
      </c>
      <c r="Q5125" t="s">
        <v>34</v>
      </c>
      <c r="R5125" t="s">
        <v>34</v>
      </c>
      <c r="S5125" t="s">
        <v>34</v>
      </c>
      <c r="T5125" s="117">
        <v>0</v>
      </c>
    </row>
    <row r="5126" spans="1:20" x14ac:dyDescent="0.35">
      <c r="A5126" t="s">
        <v>20</v>
      </c>
      <c r="B5126" t="s">
        <v>23</v>
      </c>
      <c r="C5126" s="1">
        <v>45931</v>
      </c>
      <c r="D5126">
        <f t="shared" si="392"/>
        <v>1</v>
      </c>
      <c r="E5126">
        <f t="shared" si="393"/>
        <v>10</v>
      </c>
      <c r="F5126">
        <f t="shared" si="394"/>
        <v>2025</v>
      </c>
      <c r="G5126" t="s">
        <v>97</v>
      </c>
      <c r="H5126" s="139">
        <v>13566</v>
      </c>
      <c r="I5126" s="91">
        <v>27090.31</v>
      </c>
      <c r="J5126" s="12" t="s">
        <v>31</v>
      </c>
      <c r="K5126" s="76">
        <f t="shared" si="388"/>
        <v>27090.31</v>
      </c>
      <c r="L5126">
        <v>1</v>
      </c>
      <c r="M5126" s="76">
        <v>0</v>
      </c>
      <c r="N5126" t="s">
        <v>32</v>
      </c>
      <c r="O5126" t="s">
        <v>33</v>
      </c>
      <c r="P5126" t="s">
        <v>34</v>
      </c>
      <c r="Q5126" t="s">
        <v>34</v>
      </c>
      <c r="R5126" t="s">
        <v>34</v>
      </c>
      <c r="S5126" t="s">
        <v>34</v>
      </c>
      <c r="T5126" s="117">
        <v>0</v>
      </c>
    </row>
    <row r="5127" spans="1:20" x14ac:dyDescent="0.35">
      <c r="A5127" t="s">
        <v>20</v>
      </c>
      <c r="B5127" t="s">
        <v>23</v>
      </c>
      <c r="C5127" s="1">
        <v>45931</v>
      </c>
      <c r="D5127">
        <f>DAY(C5127)</f>
        <v>1</v>
      </c>
      <c r="E5127">
        <f>MONTH(C5127)</f>
        <v>10</v>
      </c>
      <c r="F5127">
        <f>YEAR(C5127)</f>
        <v>2025</v>
      </c>
      <c r="G5127" t="s">
        <v>97</v>
      </c>
      <c r="H5127" s="139">
        <v>13645</v>
      </c>
      <c r="I5127" s="91">
        <v>348.5</v>
      </c>
      <c r="J5127" s="12" t="s">
        <v>31</v>
      </c>
      <c r="K5127" s="76">
        <f t="shared" si="388"/>
        <v>348.5</v>
      </c>
      <c r="L5127">
        <v>1</v>
      </c>
      <c r="M5127" s="76">
        <v>0</v>
      </c>
      <c r="N5127" t="s">
        <v>32</v>
      </c>
      <c r="O5127" t="s">
        <v>33</v>
      </c>
      <c r="P5127" t="s">
        <v>34</v>
      </c>
      <c r="Q5127" t="s">
        <v>34</v>
      </c>
      <c r="R5127" t="s">
        <v>34</v>
      </c>
      <c r="S5127" t="s">
        <v>34</v>
      </c>
      <c r="T5127" s="117">
        <v>0</v>
      </c>
    </row>
    <row r="5128" spans="1:20" x14ac:dyDescent="0.35">
      <c r="A5128" t="s">
        <v>20</v>
      </c>
      <c r="B5128" t="s">
        <v>25</v>
      </c>
      <c r="C5128" s="1">
        <v>45931</v>
      </c>
      <c r="D5128">
        <f t="shared" ref="D5128:D5130" si="395">DAY(C5128)</f>
        <v>1</v>
      </c>
      <c r="E5128">
        <f t="shared" ref="E5128:E5130" si="396">MONTH(C5128)</f>
        <v>10</v>
      </c>
      <c r="F5128">
        <f t="shared" ref="F5128:F5130" si="397">YEAR(C5128)</f>
        <v>2025</v>
      </c>
      <c r="G5128" t="s">
        <v>97</v>
      </c>
      <c r="H5128" s="139">
        <v>13645</v>
      </c>
      <c r="I5128" s="91">
        <v>2913</v>
      </c>
      <c r="J5128" s="12" t="s">
        <v>31</v>
      </c>
      <c r="K5128" s="76">
        <f t="shared" si="388"/>
        <v>2913</v>
      </c>
      <c r="L5128">
        <v>1</v>
      </c>
      <c r="M5128" s="76">
        <v>0</v>
      </c>
      <c r="N5128" t="s">
        <v>32</v>
      </c>
      <c r="O5128" t="s">
        <v>33</v>
      </c>
      <c r="P5128" t="s">
        <v>34</v>
      </c>
      <c r="Q5128" t="s">
        <v>34</v>
      </c>
      <c r="R5128" t="s">
        <v>34</v>
      </c>
      <c r="S5128" t="s">
        <v>34</v>
      </c>
      <c r="T5128" s="117">
        <v>0</v>
      </c>
    </row>
    <row r="5129" spans="1:20" x14ac:dyDescent="0.35">
      <c r="A5129" t="s">
        <v>20</v>
      </c>
      <c r="B5129" t="s">
        <v>24</v>
      </c>
      <c r="C5129" s="1">
        <v>45931</v>
      </c>
      <c r="D5129">
        <f t="shared" si="395"/>
        <v>1</v>
      </c>
      <c r="E5129">
        <f t="shared" si="396"/>
        <v>10</v>
      </c>
      <c r="F5129">
        <f t="shared" si="397"/>
        <v>2025</v>
      </c>
      <c r="G5129" t="s">
        <v>97</v>
      </c>
      <c r="H5129" s="139">
        <v>13645</v>
      </c>
      <c r="I5129" s="91">
        <v>1092</v>
      </c>
      <c r="J5129" s="12" t="s">
        <v>31</v>
      </c>
      <c r="K5129" s="76">
        <f t="shared" si="388"/>
        <v>1092</v>
      </c>
      <c r="L5129">
        <v>1</v>
      </c>
      <c r="M5129" s="76">
        <v>0</v>
      </c>
      <c r="N5129" t="s">
        <v>32</v>
      </c>
      <c r="O5129" t="s">
        <v>33</v>
      </c>
      <c r="P5129" t="s">
        <v>34</v>
      </c>
      <c r="Q5129" t="s">
        <v>34</v>
      </c>
      <c r="R5129" t="s">
        <v>34</v>
      </c>
      <c r="S5129" t="s">
        <v>34</v>
      </c>
      <c r="T5129" s="117">
        <v>0</v>
      </c>
    </row>
    <row r="5130" spans="1:20" x14ac:dyDescent="0.35">
      <c r="A5130" t="s">
        <v>20</v>
      </c>
      <c r="B5130" t="s">
        <v>21</v>
      </c>
      <c r="C5130" s="1">
        <v>45931</v>
      </c>
      <c r="D5130">
        <f t="shared" si="395"/>
        <v>1</v>
      </c>
      <c r="E5130">
        <f t="shared" si="396"/>
        <v>10</v>
      </c>
      <c r="F5130">
        <f t="shared" si="397"/>
        <v>2025</v>
      </c>
      <c r="G5130" t="s">
        <v>97</v>
      </c>
      <c r="H5130" s="139">
        <v>13645</v>
      </c>
      <c r="I5130" s="91">
        <v>168</v>
      </c>
      <c r="J5130" s="12" t="s">
        <v>31</v>
      </c>
      <c r="K5130" s="76">
        <f t="shared" si="388"/>
        <v>168</v>
      </c>
      <c r="L5130">
        <v>1</v>
      </c>
      <c r="M5130" s="76">
        <v>0</v>
      </c>
      <c r="N5130" t="s">
        <v>32</v>
      </c>
      <c r="O5130" t="s">
        <v>33</v>
      </c>
      <c r="P5130" t="s">
        <v>34</v>
      </c>
      <c r="Q5130" t="s">
        <v>34</v>
      </c>
      <c r="R5130" t="s">
        <v>34</v>
      </c>
      <c r="S5130" t="s">
        <v>34</v>
      </c>
      <c r="T5130" s="117">
        <v>0</v>
      </c>
    </row>
    <row r="5131" spans="1:20" x14ac:dyDescent="0.35">
      <c r="A5131" t="s">
        <v>20</v>
      </c>
      <c r="B5131" t="s">
        <v>25</v>
      </c>
      <c r="C5131" s="1">
        <v>45931</v>
      </c>
      <c r="D5131">
        <f t="shared" ref="D5131:D5136" si="398">DAY(C5131)</f>
        <v>1</v>
      </c>
      <c r="E5131">
        <f t="shared" ref="E5131:E5136" si="399">MONTH(C5131)</f>
        <v>10</v>
      </c>
      <c r="F5131">
        <f t="shared" ref="F5131:F5136" si="400">YEAR(C5131)</f>
        <v>2025</v>
      </c>
      <c r="G5131" t="s">
        <v>90</v>
      </c>
      <c r="H5131" s="139">
        <v>13112</v>
      </c>
      <c r="I5131" s="91">
        <v>3720.35</v>
      </c>
      <c r="J5131" s="12" t="s">
        <v>31</v>
      </c>
      <c r="K5131" s="76">
        <f t="shared" si="388"/>
        <v>3720.35</v>
      </c>
      <c r="L5131">
        <v>1</v>
      </c>
      <c r="M5131" s="76">
        <v>0</v>
      </c>
      <c r="N5131" t="s">
        <v>32</v>
      </c>
      <c r="O5131" t="s">
        <v>33</v>
      </c>
      <c r="P5131" t="s">
        <v>34</v>
      </c>
      <c r="Q5131" t="s">
        <v>34</v>
      </c>
      <c r="R5131" t="s">
        <v>34</v>
      </c>
      <c r="S5131" t="s">
        <v>34</v>
      </c>
      <c r="T5131" s="117">
        <v>0</v>
      </c>
    </row>
    <row r="5132" spans="1:20" x14ac:dyDescent="0.35">
      <c r="A5132" t="s">
        <v>20</v>
      </c>
      <c r="B5132" t="s">
        <v>21</v>
      </c>
      <c r="C5132" s="1">
        <v>45931</v>
      </c>
      <c r="D5132">
        <f t="shared" si="398"/>
        <v>1</v>
      </c>
      <c r="E5132">
        <f t="shared" si="399"/>
        <v>10</v>
      </c>
      <c r="F5132">
        <f t="shared" si="400"/>
        <v>2025</v>
      </c>
      <c r="G5132" t="s">
        <v>52</v>
      </c>
      <c r="H5132" s="139">
        <v>13320</v>
      </c>
      <c r="I5132" s="91">
        <v>138</v>
      </c>
      <c r="J5132" s="12" t="s">
        <v>31</v>
      </c>
      <c r="K5132" s="76">
        <f t="shared" si="388"/>
        <v>138</v>
      </c>
      <c r="L5132">
        <v>1</v>
      </c>
      <c r="M5132" s="76">
        <v>0</v>
      </c>
      <c r="N5132" t="s">
        <v>42</v>
      </c>
      <c r="O5132" t="s">
        <v>33</v>
      </c>
      <c r="P5132" t="s">
        <v>34</v>
      </c>
      <c r="Q5132" t="s">
        <v>34</v>
      </c>
      <c r="R5132" t="s">
        <v>34</v>
      </c>
      <c r="S5132" t="s">
        <v>34</v>
      </c>
      <c r="T5132" s="117">
        <v>0</v>
      </c>
    </row>
    <row r="5133" spans="1:20" x14ac:dyDescent="0.35">
      <c r="A5133" t="s">
        <v>20</v>
      </c>
      <c r="B5133" t="s">
        <v>25</v>
      </c>
      <c r="C5133" s="1">
        <v>45931</v>
      </c>
      <c r="D5133">
        <f t="shared" si="398"/>
        <v>1</v>
      </c>
      <c r="E5133">
        <f t="shared" si="399"/>
        <v>10</v>
      </c>
      <c r="F5133">
        <f t="shared" si="400"/>
        <v>2025</v>
      </c>
      <c r="G5133" t="s">
        <v>43</v>
      </c>
      <c r="H5133" s="139">
        <v>13471</v>
      </c>
      <c r="I5133" s="91">
        <v>369.2</v>
      </c>
      <c r="J5133" s="12" t="s">
        <v>31</v>
      </c>
      <c r="K5133" s="76">
        <f t="shared" si="388"/>
        <v>369.2</v>
      </c>
      <c r="L5133">
        <v>1</v>
      </c>
      <c r="M5133" s="76">
        <v>0</v>
      </c>
      <c r="N5133" t="s">
        <v>42</v>
      </c>
      <c r="O5133" t="s">
        <v>33</v>
      </c>
      <c r="P5133" t="s">
        <v>34</v>
      </c>
      <c r="Q5133" t="s">
        <v>34</v>
      </c>
      <c r="R5133" t="s">
        <v>34</v>
      </c>
      <c r="S5133" t="s">
        <v>34</v>
      </c>
      <c r="T5133" s="117">
        <v>0</v>
      </c>
    </row>
    <row r="5134" spans="1:20" x14ac:dyDescent="0.35">
      <c r="A5134" t="s">
        <v>20</v>
      </c>
      <c r="B5134" t="s">
        <v>25</v>
      </c>
      <c r="C5134" s="1">
        <v>45931</v>
      </c>
      <c r="D5134">
        <f t="shared" si="398"/>
        <v>1</v>
      </c>
      <c r="E5134">
        <f t="shared" si="399"/>
        <v>10</v>
      </c>
      <c r="F5134">
        <f t="shared" si="400"/>
        <v>2025</v>
      </c>
      <c r="G5134" t="s">
        <v>43</v>
      </c>
      <c r="H5134" s="139">
        <v>12022</v>
      </c>
      <c r="I5134" s="91">
        <v>127.6</v>
      </c>
      <c r="J5134" s="12" t="s">
        <v>31</v>
      </c>
      <c r="K5134" s="76">
        <f t="shared" si="388"/>
        <v>127.6</v>
      </c>
      <c r="L5134">
        <v>1</v>
      </c>
      <c r="M5134" s="76">
        <v>0</v>
      </c>
      <c r="N5134" t="s">
        <v>42</v>
      </c>
      <c r="O5134" t="s">
        <v>33</v>
      </c>
      <c r="P5134" t="s">
        <v>34</v>
      </c>
      <c r="Q5134" t="s">
        <v>34</v>
      </c>
      <c r="R5134" t="s">
        <v>34</v>
      </c>
      <c r="S5134" t="s">
        <v>34</v>
      </c>
      <c r="T5134" s="117">
        <v>0</v>
      </c>
    </row>
    <row r="5135" spans="1:20" x14ac:dyDescent="0.35">
      <c r="A5135" t="s">
        <v>20</v>
      </c>
      <c r="B5135" t="s">
        <v>25</v>
      </c>
      <c r="C5135" s="1">
        <v>45931</v>
      </c>
      <c r="D5135">
        <f t="shared" si="398"/>
        <v>1</v>
      </c>
      <c r="E5135">
        <f t="shared" si="399"/>
        <v>10</v>
      </c>
      <c r="F5135">
        <f t="shared" si="400"/>
        <v>2025</v>
      </c>
      <c r="G5135" t="s">
        <v>43</v>
      </c>
      <c r="H5135" s="139">
        <v>12449</v>
      </c>
      <c r="I5135" s="91">
        <v>118.4</v>
      </c>
      <c r="J5135" s="12" t="s">
        <v>31</v>
      </c>
      <c r="K5135" s="76">
        <f t="shared" si="388"/>
        <v>118.4</v>
      </c>
      <c r="L5135">
        <v>1</v>
      </c>
      <c r="M5135" s="76">
        <v>0</v>
      </c>
      <c r="N5135" t="s">
        <v>42</v>
      </c>
      <c r="O5135" t="s">
        <v>33</v>
      </c>
      <c r="P5135" t="s">
        <v>34</v>
      </c>
      <c r="Q5135" t="s">
        <v>34</v>
      </c>
      <c r="R5135" t="s">
        <v>34</v>
      </c>
      <c r="S5135" t="s">
        <v>34</v>
      </c>
      <c r="T5135" s="117">
        <v>0</v>
      </c>
    </row>
    <row r="5136" spans="1:20" x14ac:dyDescent="0.35">
      <c r="A5136" t="s">
        <v>20</v>
      </c>
      <c r="B5136" t="s">
        <v>25</v>
      </c>
      <c r="C5136" s="1">
        <v>45931</v>
      </c>
      <c r="D5136">
        <f t="shared" si="398"/>
        <v>1</v>
      </c>
      <c r="E5136">
        <f t="shared" si="399"/>
        <v>10</v>
      </c>
      <c r="F5136">
        <f t="shared" si="400"/>
        <v>2025</v>
      </c>
      <c r="G5136" t="s">
        <v>43</v>
      </c>
      <c r="H5136" s="139">
        <v>12012</v>
      </c>
      <c r="I5136" s="91">
        <v>309.39999999999998</v>
      </c>
      <c r="J5136" s="12" t="s">
        <v>31</v>
      </c>
      <c r="K5136" s="76">
        <f t="shared" si="388"/>
        <v>309.39999999999998</v>
      </c>
      <c r="L5136">
        <v>1</v>
      </c>
      <c r="M5136" s="76">
        <v>0</v>
      </c>
      <c r="N5136" t="s">
        <v>32</v>
      </c>
      <c r="O5136" t="s">
        <v>33</v>
      </c>
      <c r="P5136" t="s">
        <v>34</v>
      </c>
      <c r="Q5136" t="s">
        <v>34</v>
      </c>
      <c r="R5136" t="s">
        <v>34</v>
      </c>
      <c r="S5136" t="s">
        <v>34</v>
      </c>
      <c r="T5136" s="117">
        <v>0</v>
      </c>
    </row>
    <row r="5137" spans="1:21" x14ac:dyDescent="0.35">
      <c r="A5137" t="s">
        <v>20</v>
      </c>
      <c r="B5137" t="s">
        <v>21</v>
      </c>
      <c r="C5137" s="1">
        <v>45931</v>
      </c>
      <c r="D5137">
        <f t="shared" ref="D5137:D5139" si="401">DAY(C5137)</f>
        <v>1</v>
      </c>
      <c r="E5137">
        <f t="shared" ref="E5137:E5139" si="402">MONTH(C5137)</f>
        <v>10</v>
      </c>
      <c r="F5137">
        <f t="shared" ref="F5137:F5139" si="403">YEAR(C5137)</f>
        <v>2025</v>
      </c>
      <c r="G5137" t="s">
        <v>46</v>
      </c>
      <c r="H5137" s="139">
        <v>13827</v>
      </c>
      <c r="I5137" s="91">
        <v>332</v>
      </c>
      <c r="J5137" s="12" t="s">
        <v>31</v>
      </c>
      <c r="K5137" s="76">
        <f t="shared" ref="K5137:K5139" si="404">IF(J5137="USD",I5137,I5137*L5137)</f>
        <v>332</v>
      </c>
      <c r="L5137">
        <v>1</v>
      </c>
      <c r="M5137" s="76">
        <v>0</v>
      </c>
      <c r="N5137" t="s">
        <v>42</v>
      </c>
      <c r="O5137" t="s">
        <v>33</v>
      </c>
      <c r="P5137" t="s">
        <v>34</v>
      </c>
      <c r="Q5137" t="s">
        <v>34</v>
      </c>
      <c r="R5137" t="s">
        <v>34</v>
      </c>
      <c r="S5137" t="s">
        <v>34</v>
      </c>
      <c r="T5137" s="117">
        <v>0</v>
      </c>
    </row>
    <row r="5138" spans="1:21" x14ac:dyDescent="0.35">
      <c r="A5138" t="s">
        <v>20</v>
      </c>
      <c r="B5138" t="s">
        <v>21</v>
      </c>
      <c r="C5138" s="1">
        <v>45931</v>
      </c>
      <c r="D5138">
        <f t="shared" si="401"/>
        <v>1</v>
      </c>
      <c r="E5138">
        <f t="shared" si="402"/>
        <v>10</v>
      </c>
      <c r="F5138">
        <f t="shared" si="403"/>
        <v>2025</v>
      </c>
      <c r="G5138" t="s">
        <v>46</v>
      </c>
      <c r="H5138" s="139">
        <v>13828</v>
      </c>
      <c r="I5138" s="91">
        <v>1925.16</v>
      </c>
      <c r="J5138" s="12" t="s">
        <v>31</v>
      </c>
      <c r="K5138" s="76">
        <f t="shared" si="404"/>
        <v>1925.16</v>
      </c>
      <c r="L5138">
        <v>1</v>
      </c>
      <c r="M5138" s="76">
        <v>0</v>
      </c>
      <c r="N5138" t="s">
        <v>42</v>
      </c>
      <c r="O5138" t="s">
        <v>33</v>
      </c>
      <c r="P5138" t="s">
        <v>34</v>
      </c>
      <c r="Q5138" t="s">
        <v>34</v>
      </c>
      <c r="R5138" t="s">
        <v>34</v>
      </c>
      <c r="S5138" t="s">
        <v>34</v>
      </c>
      <c r="T5138" s="117">
        <v>0</v>
      </c>
    </row>
    <row r="5139" spans="1:21" x14ac:dyDescent="0.35">
      <c r="A5139" t="s">
        <v>20</v>
      </c>
      <c r="B5139" t="s">
        <v>27</v>
      </c>
      <c r="C5139" s="1">
        <v>45931</v>
      </c>
      <c r="D5139">
        <f t="shared" si="401"/>
        <v>1</v>
      </c>
      <c r="E5139">
        <f t="shared" si="402"/>
        <v>10</v>
      </c>
      <c r="F5139">
        <f t="shared" si="403"/>
        <v>2025</v>
      </c>
      <c r="G5139" t="s">
        <v>223</v>
      </c>
      <c r="H5139" s="139">
        <v>13594</v>
      </c>
      <c r="I5139" s="91">
        <v>51200.28</v>
      </c>
      <c r="J5139" s="12" t="s">
        <v>51</v>
      </c>
      <c r="K5139" s="76">
        <f t="shared" si="404"/>
        <v>60298.569755999997</v>
      </c>
      <c r="L5139">
        <v>1.1777</v>
      </c>
      <c r="M5139" s="76">
        <v>0</v>
      </c>
      <c r="N5139" t="s">
        <v>32</v>
      </c>
      <c r="O5139" t="s">
        <v>33</v>
      </c>
      <c r="P5139" t="s">
        <v>34</v>
      </c>
      <c r="Q5139" t="s">
        <v>34</v>
      </c>
      <c r="R5139" t="s">
        <v>34</v>
      </c>
      <c r="S5139" t="s">
        <v>34</v>
      </c>
      <c r="T5139" s="117">
        <v>0</v>
      </c>
    </row>
    <row r="5140" spans="1:21" x14ac:dyDescent="0.35">
      <c r="A5140" t="s">
        <v>19</v>
      </c>
      <c r="B5140" t="s">
        <v>23</v>
      </c>
      <c r="C5140" s="1">
        <v>45931</v>
      </c>
      <c r="D5140">
        <f>DAY(C5140)</f>
        <v>1</v>
      </c>
      <c r="E5140">
        <f>MONTH(C5140)</f>
        <v>10</v>
      </c>
      <c r="F5140">
        <f>YEAR(C5140)</f>
        <v>2025</v>
      </c>
      <c r="G5140" t="s">
        <v>76</v>
      </c>
      <c r="H5140" s="139">
        <v>13204</v>
      </c>
      <c r="I5140" s="91">
        <v>56295.8</v>
      </c>
      <c r="J5140" s="12" t="s">
        <v>31</v>
      </c>
      <c r="K5140" s="76">
        <f t="shared" ref="K5140:K5141" si="405">IF(J5140="USD",I5140,I5140*L5140)</f>
        <v>56295.8</v>
      </c>
      <c r="L5140">
        <v>1</v>
      </c>
      <c r="M5140" s="76">
        <v>0</v>
      </c>
      <c r="N5140" t="s">
        <v>32</v>
      </c>
      <c r="O5140" t="s">
        <v>114</v>
      </c>
      <c r="P5140" s="1">
        <v>45931</v>
      </c>
      <c r="Q5140" s="1">
        <f>Tabla1[[#This Row],[FECHA DE APERTURA CREDITO -UTILIZACION LC]]+77</f>
        <v>46008</v>
      </c>
      <c r="R5140" s="185">
        <v>8021000608854</v>
      </c>
      <c r="S5140" t="s">
        <v>34</v>
      </c>
      <c r="T5140" s="117">
        <v>0</v>
      </c>
      <c r="U5140" s="209" t="s">
        <v>1221</v>
      </c>
    </row>
    <row r="5141" spans="1:21" x14ac:dyDescent="0.35">
      <c r="A5141" t="s">
        <v>19</v>
      </c>
      <c r="B5141" t="s">
        <v>25</v>
      </c>
      <c r="C5141" s="1">
        <v>45931</v>
      </c>
      <c r="D5141">
        <f>DAY(C5141)</f>
        <v>1</v>
      </c>
      <c r="E5141">
        <f>MONTH(C5141)</f>
        <v>10</v>
      </c>
      <c r="F5141">
        <f>YEAR(C5141)</f>
        <v>2025</v>
      </c>
      <c r="G5141" t="s">
        <v>76</v>
      </c>
      <c r="H5141" s="139">
        <v>13204</v>
      </c>
      <c r="I5141" s="91">
        <v>12141</v>
      </c>
      <c r="J5141" s="12" t="s">
        <v>31</v>
      </c>
      <c r="K5141" s="76">
        <f t="shared" si="405"/>
        <v>12141</v>
      </c>
      <c r="L5141">
        <v>1</v>
      </c>
      <c r="M5141" s="76">
        <v>0</v>
      </c>
      <c r="N5141" t="s">
        <v>32</v>
      </c>
      <c r="O5141" t="s">
        <v>114</v>
      </c>
      <c r="P5141" s="1">
        <v>45931</v>
      </c>
      <c r="Q5141" s="1">
        <f>Tabla1[[#This Row],[FECHA DE APERTURA CREDITO -UTILIZACION LC]]+77</f>
        <v>46008</v>
      </c>
      <c r="R5141" s="185">
        <v>8021000608854</v>
      </c>
      <c r="S5141" t="s">
        <v>34</v>
      </c>
      <c r="T5141" s="117">
        <v>0</v>
      </c>
      <c r="U5141" s="209" t="s">
        <v>1221</v>
      </c>
    </row>
    <row r="5142" spans="1:21" x14ac:dyDescent="0.35">
      <c r="A5142" t="s">
        <v>19</v>
      </c>
      <c r="B5142" t="s">
        <v>21</v>
      </c>
      <c r="C5142" s="1">
        <v>45931</v>
      </c>
      <c r="D5142">
        <f t="shared" ref="D5142:D5146" si="406">DAY(C5142)</f>
        <v>1</v>
      </c>
      <c r="E5142">
        <f t="shared" ref="E5142:E5146" si="407">MONTH(C5142)</f>
        <v>10</v>
      </c>
      <c r="F5142">
        <f t="shared" ref="F5142:F5146" si="408">YEAR(C5142)</f>
        <v>2025</v>
      </c>
      <c r="G5142" t="s">
        <v>76</v>
      </c>
      <c r="H5142" s="139">
        <v>13204</v>
      </c>
      <c r="I5142" s="91">
        <v>38836.160000000003</v>
      </c>
      <c r="J5142" s="12" t="s">
        <v>31</v>
      </c>
      <c r="K5142" s="76">
        <f t="shared" ref="K5142:K5146" si="409">IF(J5142="USD",I5142,I5142*L5142)</f>
        <v>38836.160000000003</v>
      </c>
      <c r="L5142">
        <v>1</v>
      </c>
      <c r="M5142" s="76">
        <v>0</v>
      </c>
      <c r="N5142" t="s">
        <v>32</v>
      </c>
      <c r="O5142" t="s">
        <v>114</v>
      </c>
      <c r="P5142" s="1">
        <v>45931</v>
      </c>
      <c r="Q5142" s="1">
        <f>Tabla1[[#This Row],[FECHA DE APERTURA CREDITO -UTILIZACION LC]]+77</f>
        <v>46008</v>
      </c>
      <c r="R5142" s="185">
        <v>8021000608854</v>
      </c>
      <c r="S5142" t="s">
        <v>34</v>
      </c>
      <c r="T5142" s="117">
        <v>0</v>
      </c>
      <c r="U5142" s="209" t="s">
        <v>1221</v>
      </c>
    </row>
    <row r="5143" spans="1:21" x14ac:dyDescent="0.35">
      <c r="A5143" t="s">
        <v>19</v>
      </c>
      <c r="B5143" t="s">
        <v>22</v>
      </c>
      <c r="C5143" s="1">
        <v>45931</v>
      </c>
      <c r="D5143">
        <f t="shared" si="406"/>
        <v>1</v>
      </c>
      <c r="E5143">
        <f t="shared" si="407"/>
        <v>10</v>
      </c>
      <c r="F5143">
        <f t="shared" si="408"/>
        <v>2025</v>
      </c>
      <c r="G5143" t="s">
        <v>76</v>
      </c>
      <c r="H5143" s="139">
        <v>13204</v>
      </c>
      <c r="I5143" s="91">
        <v>8376</v>
      </c>
      <c r="J5143" s="12" t="s">
        <v>31</v>
      </c>
      <c r="K5143" s="76">
        <f t="shared" si="409"/>
        <v>8376</v>
      </c>
      <c r="L5143">
        <v>1</v>
      </c>
      <c r="M5143" s="76">
        <v>0</v>
      </c>
      <c r="N5143" t="s">
        <v>32</v>
      </c>
      <c r="O5143" t="s">
        <v>114</v>
      </c>
      <c r="P5143" s="1">
        <v>45931</v>
      </c>
      <c r="Q5143" s="1">
        <f>Tabla1[[#This Row],[FECHA DE APERTURA CREDITO -UTILIZACION LC]]+77</f>
        <v>46008</v>
      </c>
      <c r="R5143" s="185">
        <v>8021000608854</v>
      </c>
      <c r="S5143" t="s">
        <v>34</v>
      </c>
      <c r="T5143" s="117">
        <v>0</v>
      </c>
      <c r="U5143" s="209" t="s">
        <v>1221</v>
      </c>
    </row>
    <row r="5144" spans="1:21" x14ac:dyDescent="0.35">
      <c r="A5144" t="s">
        <v>19</v>
      </c>
      <c r="B5144" t="s">
        <v>23</v>
      </c>
      <c r="C5144" s="1">
        <v>45931</v>
      </c>
      <c r="D5144">
        <f t="shared" si="406"/>
        <v>1</v>
      </c>
      <c r="E5144">
        <f t="shared" si="407"/>
        <v>10</v>
      </c>
      <c r="F5144">
        <f t="shared" si="408"/>
        <v>2025</v>
      </c>
      <c r="G5144" t="s">
        <v>76</v>
      </c>
      <c r="H5144" s="139">
        <v>13698</v>
      </c>
      <c r="I5144" s="91">
        <v>11475.3</v>
      </c>
      <c r="J5144" s="12" t="s">
        <v>31</v>
      </c>
      <c r="K5144" s="76">
        <f t="shared" si="409"/>
        <v>11475.3</v>
      </c>
      <c r="L5144">
        <v>1</v>
      </c>
      <c r="M5144" s="76">
        <v>0</v>
      </c>
      <c r="N5144" t="s">
        <v>32</v>
      </c>
      <c r="O5144" t="s">
        <v>114</v>
      </c>
      <c r="P5144" s="1">
        <v>45931</v>
      </c>
      <c r="Q5144" s="1">
        <f>Tabla1[[#This Row],[FECHA DE APERTURA CREDITO -UTILIZACION LC]]+77</f>
        <v>46008</v>
      </c>
      <c r="R5144" s="185">
        <v>8021000608854</v>
      </c>
      <c r="S5144" t="s">
        <v>34</v>
      </c>
      <c r="T5144" s="117">
        <v>0</v>
      </c>
      <c r="U5144" s="209" t="s">
        <v>1221</v>
      </c>
    </row>
    <row r="5145" spans="1:21" x14ac:dyDescent="0.35">
      <c r="A5145" t="s">
        <v>19</v>
      </c>
      <c r="B5145" t="s">
        <v>21</v>
      </c>
      <c r="C5145" s="1">
        <v>45931</v>
      </c>
      <c r="D5145">
        <f t="shared" si="406"/>
        <v>1</v>
      </c>
      <c r="E5145">
        <f t="shared" si="407"/>
        <v>10</v>
      </c>
      <c r="F5145">
        <f t="shared" si="408"/>
        <v>2025</v>
      </c>
      <c r="G5145" t="s">
        <v>76</v>
      </c>
      <c r="H5145" s="139">
        <v>13698</v>
      </c>
      <c r="I5145" s="91">
        <v>13510.2</v>
      </c>
      <c r="J5145" s="12" t="s">
        <v>31</v>
      </c>
      <c r="K5145" s="76">
        <f t="shared" si="409"/>
        <v>13510.2</v>
      </c>
      <c r="L5145">
        <v>1</v>
      </c>
      <c r="M5145" s="76">
        <v>0</v>
      </c>
      <c r="N5145" t="s">
        <v>32</v>
      </c>
      <c r="O5145" t="s">
        <v>114</v>
      </c>
      <c r="P5145" s="1">
        <v>45931</v>
      </c>
      <c r="Q5145" s="1">
        <f>Tabla1[[#This Row],[FECHA DE APERTURA CREDITO -UTILIZACION LC]]+77</f>
        <v>46008</v>
      </c>
      <c r="R5145" s="185">
        <v>8021000608854</v>
      </c>
      <c r="S5145" t="s">
        <v>34</v>
      </c>
      <c r="T5145" s="117">
        <v>0</v>
      </c>
      <c r="U5145" s="209" t="s">
        <v>1221</v>
      </c>
    </row>
    <row r="5146" spans="1:21" x14ac:dyDescent="0.35">
      <c r="A5146" t="s">
        <v>19</v>
      </c>
      <c r="B5146" t="s">
        <v>22</v>
      </c>
      <c r="C5146" s="1">
        <v>45931</v>
      </c>
      <c r="D5146">
        <f t="shared" si="406"/>
        <v>1</v>
      </c>
      <c r="E5146">
        <f t="shared" si="407"/>
        <v>10</v>
      </c>
      <c r="F5146">
        <f t="shared" si="408"/>
        <v>2025</v>
      </c>
      <c r="G5146" t="s">
        <v>76</v>
      </c>
      <c r="H5146" s="139">
        <v>13698</v>
      </c>
      <c r="I5146" s="91">
        <v>4944</v>
      </c>
      <c r="J5146" s="12" t="s">
        <v>31</v>
      </c>
      <c r="K5146" s="76">
        <f t="shared" si="409"/>
        <v>4944</v>
      </c>
      <c r="L5146">
        <v>1</v>
      </c>
      <c r="M5146" s="76">
        <v>0</v>
      </c>
      <c r="N5146" t="s">
        <v>32</v>
      </c>
      <c r="O5146" t="s">
        <v>114</v>
      </c>
      <c r="P5146" s="1">
        <v>45931</v>
      </c>
      <c r="Q5146" s="1">
        <f>Tabla1[[#This Row],[FECHA DE APERTURA CREDITO -UTILIZACION LC]]+77</f>
        <v>46008</v>
      </c>
      <c r="R5146" s="185">
        <v>8021000608854</v>
      </c>
      <c r="S5146" t="s">
        <v>34</v>
      </c>
      <c r="T5146" s="117">
        <v>0</v>
      </c>
      <c r="U5146" s="209" t="s">
        <v>1221</v>
      </c>
    </row>
    <row r="5147" spans="1:21" x14ac:dyDescent="0.35">
      <c r="A5147" t="s">
        <v>19</v>
      </c>
      <c r="B5147" t="s">
        <v>21</v>
      </c>
      <c r="C5147" s="1">
        <v>45931</v>
      </c>
      <c r="D5147">
        <f t="shared" ref="D5147:D5149" si="410">DAY(C5147)</f>
        <v>1</v>
      </c>
      <c r="E5147">
        <f t="shared" ref="E5147:E5149" si="411">MONTH(C5147)</f>
        <v>10</v>
      </c>
      <c r="F5147">
        <f t="shared" ref="F5147:F5149" si="412">YEAR(C5147)</f>
        <v>2025</v>
      </c>
      <c r="G5147" t="s">
        <v>36</v>
      </c>
      <c r="H5147" s="139">
        <v>13370</v>
      </c>
      <c r="I5147" s="91">
        <v>119640.24</v>
      </c>
      <c r="J5147" s="12" t="s">
        <v>31</v>
      </c>
      <c r="K5147" s="76">
        <f t="shared" ref="K5147:K5166" si="413">IF(J5147="USD",I5147,I5147*L5147)</f>
        <v>119640.24</v>
      </c>
      <c r="L5147">
        <v>1</v>
      </c>
      <c r="M5147" s="76">
        <v>0</v>
      </c>
      <c r="N5147" t="s">
        <v>32</v>
      </c>
      <c r="O5147" t="s">
        <v>114</v>
      </c>
      <c r="P5147" s="1">
        <v>45931</v>
      </c>
      <c r="Q5147" s="1">
        <f>Tabla1[[#This Row],[FECHA DE APERTURA CREDITO -UTILIZACION LC]]+77</f>
        <v>46008</v>
      </c>
      <c r="R5147" s="187">
        <v>8021000608915</v>
      </c>
      <c r="S5147" t="s">
        <v>34</v>
      </c>
      <c r="T5147" s="117">
        <v>0</v>
      </c>
      <c r="U5147" s="209" t="s">
        <v>1221</v>
      </c>
    </row>
    <row r="5148" spans="1:21" x14ac:dyDescent="0.35">
      <c r="A5148" t="s">
        <v>19</v>
      </c>
      <c r="B5148" t="s">
        <v>25</v>
      </c>
      <c r="C5148" s="1">
        <v>45931</v>
      </c>
      <c r="D5148">
        <f t="shared" si="410"/>
        <v>1</v>
      </c>
      <c r="E5148">
        <f t="shared" si="411"/>
        <v>10</v>
      </c>
      <c r="F5148">
        <f t="shared" si="412"/>
        <v>2025</v>
      </c>
      <c r="G5148" t="s">
        <v>36</v>
      </c>
      <c r="H5148" s="139">
        <v>13370</v>
      </c>
      <c r="I5148" s="91">
        <v>2442.5550814999997</v>
      </c>
      <c r="J5148" s="12" t="s">
        <v>31</v>
      </c>
      <c r="K5148" s="76">
        <f t="shared" si="413"/>
        <v>2442.5550814999997</v>
      </c>
      <c r="L5148">
        <v>1</v>
      </c>
      <c r="M5148" s="76">
        <v>0</v>
      </c>
      <c r="N5148" t="s">
        <v>32</v>
      </c>
      <c r="O5148" t="s">
        <v>114</v>
      </c>
      <c r="P5148" s="1">
        <v>45931</v>
      </c>
      <c r="Q5148" s="1">
        <f>Tabla1[[#This Row],[FECHA DE APERTURA CREDITO -UTILIZACION LC]]+77</f>
        <v>46008</v>
      </c>
      <c r="R5148" s="187">
        <v>8021000608915</v>
      </c>
      <c r="S5148" t="s">
        <v>34</v>
      </c>
      <c r="T5148" s="117">
        <v>0</v>
      </c>
      <c r="U5148" s="209" t="s">
        <v>1221</v>
      </c>
    </row>
    <row r="5149" spans="1:21" x14ac:dyDescent="0.35">
      <c r="A5149" t="s">
        <v>19</v>
      </c>
      <c r="B5149" t="s">
        <v>24</v>
      </c>
      <c r="C5149" s="1">
        <v>45931</v>
      </c>
      <c r="D5149">
        <f t="shared" si="410"/>
        <v>1</v>
      </c>
      <c r="E5149">
        <f t="shared" si="411"/>
        <v>10</v>
      </c>
      <c r="F5149">
        <f t="shared" si="412"/>
        <v>2025</v>
      </c>
      <c r="G5149" t="s">
        <v>36</v>
      </c>
      <c r="H5149" s="139">
        <v>13370</v>
      </c>
      <c r="I5149" s="91">
        <v>27767.205926499999</v>
      </c>
      <c r="J5149" s="12" t="s">
        <v>31</v>
      </c>
      <c r="K5149" s="76">
        <f t="shared" si="413"/>
        <v>27767.205926499999</v>
      </c>
      <c r="L5149">
        <v>1</v>
      </c>
      <c r="M5149" s="76">
        <v>0</v>
      </c>
      <c r="N5149" t="s">
        <v>32</v>
      </c>
      <c r="O5149" t="s">
        <v>114</v>
      </c>
      <c r="P5149" s="1">
        <v>45931</v>
      </c>
      <c r="Q5149" s="1">
        <f>Tabla1[[#This Row],[FECHA DE APERTURA CREDITO -UTILIZACION LC]]+77</f>
        <v>46008</v>
      </c>
      <c r="R5149" s="187">
        <v>8021000608915</v>
      </c>
      <c r="S5149" t="s">
        <v>34</v>
      </c>
      <c r="T5149" s="117">
        <v>0</v>
      </c>
      <c r="U5149" s="209" t="s">
        <v>1221</v>
      </c>
    </row>
    <row r="5150" spans="1:21" x14ac:dyDescent="0.35">
      <c r="A5150" t="s">
        <v>19</v>
      </c>
      <c r="B5150" t="s">
        <v>22</v>
      </c>
      <c r="C5150" s="1">
        <v>45933</v>
      </c>
      <c r="D5150">
        <f t="shared" ref="D5150:D5160" si="414">DAY(C5150)</f>
        <v>3</v>
      </c>
      <c r="E5150">
        <f t="shared" ref="E5150:E5160" si="415">MONTH(C5150)</f>
        <v>10</v>
      </c>
      <c r="F5150">
        <f t="shared" ref="F5150:F5160" si="416">YEAR(C5150)</f>
        <v>2025</v>
      </c>
      <c r="G5150" t="s">
        <v>35</v>
      </c>
      <c r="H5150" s="139">
        <v>12835</v>
      </c>
      <c r="I5150" s="91">
        <v>24549.05</v>
      </c>
      <c r="J5150" s="12" t="s">
        <v>31</v>
      </c>
      <c r="K5150" s="76">
        <f t="shared" si="413"/>
        <v>24549.05</v>
      </c>
      <c r="L5150">
        <v>1</v>
      </c>
      <c r="M5150" s="76">
        <v>0</v>
      </c>
      <c r="N5150" t="s">
        <v>32</v>
      </c>
      <c r="O5150" t="s">
        <v>33</v>
      </c>
      <c r="P5150" t="s">
        <v>34</v>
      </c>
      <c r="Q5150" t="s">
        <v>34</v>
      </c>
      <c r="R5150" t="s">
        <v>34</v>
      </c>
      <c r="S5150" t="s">
        <v>34</v>
      </c>
      <c r="T5150" s="117">
        <v>0</v>
      </c>
    </row>
    <row r="5151" spans="1:21" x14ac:dyDescent="0.35">
      <c r="A5151" t="s">
        <v>19</v>
      </c>
      <c r="B5151" t="s">
        <v>24</v>
      </c>
      <c r="C5151" s="1">
        <v>45933</v>
      </c>
      <c r="D5151">
        <f t="shared" si="414"/>
        <v>3</v>
      </c>
      <c r="E5151">
        <f t="shared" si="415"/>
        <v>10</v>
      </c>
      <c r="F5151">
        <f t="shared" si="416"/>
        <v>2025</v>
      </c>
      <c r="G5151" t="s">
        <v>35</v>
      </c>
      <c r="H5151" s="139">
        <v>12897</v>
      </c>
      <c r="I5151" s="91">
        <v>59.96</v>
      </c>
      <c r="J5151" s="12" t="s">
        <v>31</v>
      </c>
      <c r="K5151" s="76">
        <f t="shared" si="413"/>
        <v>59.96</v>
      </c>
      <c r="L5151">
        <v>1</v>
      </c>
      <c r="M5151" s="76">
        <v>0</v>
      </c>
      <c r="N5151" t="s">
        <v>32</v>
      </c>
      <c r="O5151" t="s">
        <v>33</v>
      </c>
      <c r="P5151" t="s">
        <v>34</v>
      </c>
      <c r="Q5151" t="s">
        <v>34</v>
      </c>
      <c r="R5151" t="s">
        <v>34</v>
      </c>
      <c r="S5151" t="s">
        <v>34</v>
      </c>
      <c r="T5151" s="117">
        <v>0</v>
      </c>
    </row>
    <row r="5152" spans="1:21" x14ac:dyDescent="0.35">
      <c r="A5152" t="s">
        <v>19</v>
      </c>
      <c r="B5152" t="s">
        <v>22</v>
      </c>
      <c r="C5152" s="1">
        <v>45933</v>
      </c>
      <c r="D5152">
        <f t="shared" si="414"/>
        <v>3</v>
      </c>
      <c r="E5152">
        <f t="shared" si="415"/>
        <v>10</v>
      </c>
      <c r="F5152">
        <f t="shared" si="416"/>
        <v>2025</v>
      </c>
      <c r="G5152" t="s">
        <v>35</v>
      </c>
      <c r="H5152" s="139">
        <v>13111</v>
      </c>
      <c r="I5152" s="91">
        <v>56450.3</v>
      </c>
      <c r="J5152" s="12" t="s">
        <v>31</v>
      </c>
      <c r="K5152" s="76">
        <f t="shared" si="413"/>
        <v>56450.3</v>
      </c>
      <c r="L5152">
        <v>1</v>
      </c>
      <c r="M5152" s="76">
        <v>0</v>
      </c>
      <c r="N5152" t="s">
        <v>32</v>
      </c>
      <c r="O5152" t="s">
        <v>33</v>
      </c>
      <c r="P5152" t="s">
        <v>34</v>
      </c>
      <c r="Q5152" t="s">
        <v>34</v>
      </c>
      <c r="R5152" t="s">
        <v>34</v>
      </c>
      <c r="S5152" t="s">
        <v>34</v>
      </c>
      <c r="T5152" s="117">
        <v>0</v>
      </c>
    </row>
    <row r="5153" spans="1:21" x14ac:dyDescent="0.35">
      <c r="A5153" t="s">
        <v>19</v>
      </c>
      <c r="B5153" t="s">
        <v>23</v>
      </c>
      <c r="C5153" s="1">
        <v>45933</v>
      </c>
      <c r="D5153">
        <f t="shared" si="414"/>
        <v>3</v>
      </c>
      <c r="E5153">
        <f t="shared" si="415"/>
        <v>10</v>
      </c>
      <c r="F5153">
        <f t="shared" si="416"/>
        <v>2025</v>
      </c>
      <c r="G5153" t="s">
        <v>35</v>
      </c>
      <c r="H5153" s="139">
        <v>13399</v>
      </c>
      <c r="I5153" s="91">
        <v>10656</v>
      </c>
      <c r="J5153" s="12" t="s">
        <v>31</v>
      </c>
      <c r="K5153" s="76">
        <f t="shared" si="413"/>
        <v>10656</v>
      </c>
      <c r="L5153">
        <v>1</v>
      </c>
      <c r="M5153" s="76">
        <v>0</v>
      </c>
      <c r="N5153" t="s">
        <v>32</v>
      </c>
      <c r="O5153" t="s">
        <v>33</v>
      </c>
      <c r="P5153" t="s">
        <v>34</v>
      </c>
      <c r="Q5153" t="s">
        <v>34</v>
      </c>
      <c r="R5153" t="s">
        <v>34</v>
      </c>
      <c r="S5153" t="s">
        <v>34</v>
      </c>
      <c r="T5153" s="117">
        <v>0</v>
      </c>
    </row>
    <row r="5154" spans="1:21" x14ac:dyDescent="0.35">
      <c r="A5154" t="s">
        <v>19</v>
      </c>
      <c r="B5154" t="s">
        <v>21</v>
      </c>
      <c r="C5154" s="1">
        <v>45933</v>
      </c>
      <c r="D5154">
        <f t="shared" si="414"/>
        <v>3</v>
      </c>
      <c r="E5154">
        <f t="shared" si="415"/>
        <v>10</v>
      </c>
      <c r="F5154">
        <f t="shared" si="416"/>
        <v>2025</v>
      </c>
      <c r="G5154" t="s">
        <v>882</v>
      </c>
      <c r="H5154" s="139">
        <v>13575</v>
      </c>
      <c r="I5154" s="91">
        <v>11592</v>
      </c>
      <c r="J5154" s="12" t="s">
        <v>31</v>
      </c>
      <c r="K5154" s="76">
        <f t="shared" si="413"/>
        <v>11592</v>
      </c>
      <c r="L5154">
        <v>1</v>
      </c>
      <c r="M5154" s="76">
        <v>0</v>
      </c>
      <c r="N5154" t="s">
        <v>32</v>
      </c>
      <c r="O5154" t="s">
        <v>33</v>
      </c>
      <c r="P5154" t="s">
        <v>34</v>
      </c>
      <c r="Q5154" t="s">
        <v>34</v>
      </c>
      <c r="R5154" t="s">
        <v>34</v>
      </c>
      <c r="S5154" t="s">
        <v>34</v>
      </c>
      <c r="T5154" s="117">
        <v>0</v>
      </c>
    </row>
    <row r="5155" spans="1:21" x14ac:dyDescent="0.35">
      <c r="A5155" t="s">
        <v>19</v>
      </c>
      <c r="B5155" t="s">
        <v>26</v>
      </c>
      <c r="C5155" s="1">
        <v>45933</v>
      </c>
      <c r="D5155">
        <f t="shared" si="414"/>
        <v>3</v>
      </c>
      <c r="E5155">
        <f t="shared" si="415"/>
        <v>10</v>
      </c>
      <c r="F5155">
        <f t="shared" si="416"/>
        <v>2025</v>
      </c>
      <c r="G5155" t="s">
        <v>73</v>
      </c>
      <c r="H5155" s="139">
        <v>13816</v>
      </c>
      <c r="I5155" s="15">
        <v>28778.84</v>
      </c>
      <c r="J5155" s="12" t="s">
        <v>51</v>
      </c>
      <c r="K5155" s="76">
        <f t="shared" si="413"/>
        <v>33829.526420000002</v>
      </c>
      <c r="L5155">
        <v>1.1755</v>
      </c>
      <c r="M5155" s="76">
        <v>0</v>
      </c>
      <c r="N5155" t="s">
        <v>32</v>
      </c>
      <c r="O5155" t="s">
        <v>33</v>
      </c>
      <c r="P5155" t="s">
        <v>34</v>
      </c>
      <c r="Q5155" t="s">
        <v>34</v>
      </c>
      <c r="R5155" t="s">
        <v>34</v>
      </c>
      <c r="S5155" t="s">
        <v>34</v>
      </c>
      <c r="T5155" s="117">
        <v>0</v>
      </c>
      <c r="U5155" s="209" t="s">
        <v>94</v>
      </c>
    </row>
    <row r="5156" spans="1:21" x14ac:dyDescent="0.35">
      <c r="A5156" t="s">
        <v>19</v>
      </c>
      <c r="B5156" t="s">
        <v>26</v>
      </c>
      <c r="C5156" s="1">
        <v>45933</v>
      </c>
      <c r="D5156">
        <f t="shared" si="414"/>
        <v>3</v>
      </c>
      <c r="E5156">
        <f t="shared" si="415"/>
        <v>10</v>
      </c>
      <c r="F5156">
        <f t="shared" si="416"/>
        <v>2025</v>
      </c>
      <c r="G5156" t="s">
        <v>73</v>
      </c>
      <c r="H5156" s="139">
        <v>13817</v>
      </c>
      <c r="I5156" s="15">
        <v>24694.77</v>
      </c>
      <c r="J5156" s="12" t="s">
        <v>51</v>
      </c>
      <c r="K5156" s="76">
        <f t="shared" si="413"/>
        <v>29028.702135</v>
      </c>
      <c r="L5156">
        <v>1.1755</v>
      </c>
      <c r="M5156" s="76">
        <v>0</v>
      </c>
      <c r="N5156" t="s">
        <v>32</v>
      </c>
      <c r="O5156" t="s">
        <v>33</v>
      </c>
      <c r="P5156" t="s">
        <v>34</v>
      </c>
      <c r="Q5156" t="s">
        <v>34</v>
      </c>
      <c r="R5156" t="s">
        <v>34</v>
      </c>
      <c r="S5156" t="s">
        <v>34</v>
      </c>
      <c r="T5156" s="117">
        <v>0</v>
      </c>
      <c r="U5156" s="209" t="s">
        <v>94</v>
      </c>
    </row>
    <row r="5157" spans="1:21" x14ac:dyDescent="0.35">
      <c r="A5157" t="s">
        <v>19</v>
      </c>
      <c r="B5157" t="s">
        <v>26</v>
      </c>
      <c r="C5157" s="1">
        <v>45933</v>
      </c>
      <c r="D5157">
        <f t="shared" si="414"/>
        <v>3</v>
      </c>
      <c r="E5157">
        <f t="shared" si="415"/>
        <v>10</v>
      </c>
      <c r="F5157">
        <f t="shared" si="416"/>
        <v>2025</v>
      </c>
      <c r="G5157" t="s">
        <v>73</v>
      </c>
      <c r="H5157" s="139">
        <v>13824</v>
      </c>
      <c r="I5157" s="15">
        <v>70743.98</v>
      </c>
      <c r="J5157" s="12" t="s">
        <v>51</v>
      </c>
      <c r="K5157" s="76">
        <f t="shared" si="413"/>
        <v>83159.548490000001</v>
      </c>
      <c r="L5157">
        <v>1.1755</v>
      </c>
      <c r="M5157" s="76">
        <v>0</v>
      </c>
      <c r="N5157" t="s">
        <v>32</v>
      </c>
      <c r="O5157" t="s">
        <v>33</v>
      </c>
      <c r="P5157" t="s">
        <v>34</v>
      </c>
      <c r="Q5157" t="s">
        <v>34</v>
      </c>
      <c r="R5157" t="s">
        <v>34</v>
      </c>
      <c r="S5157" t="s">
        <v>34</v>
      </c>
      <c r="T5157" s="117">
        <v>0</v>
      </c>
      <c r="U5157" s="209" t="s">
        <v>94</v>
      </c>
    </row>
    <row r="5158" spans="1:21" x14ac:dyDescent="0.35">
      <c r="A5158" t="s">
        <v>19</v>
      </c>
      <c r="B5158" t="s">
        <v>26</v>
      </c>
      <c r="C5158" s="1">
        <v>45933</v>
      </c>
      <c r="D5158">
        <f t="shared" si="414"/>
        <v>3</v>
      </c>
      <c r="E5158">
        <f t="shared" si="415"/>
        <v>10</v>
      </c>
      <c r="F5158">
        <f t="shared" si="416"/>
        <v>2025</v>
      </c>
      <c r="G5158" t="s">
        <v>73</v>
      </c>
      <c r="H5158" s="139">
        <v>13825</v>
      </c>
      <c r="I5158" s="15">
        <v>27803.47</v>
      </c>
      <c r="J5158" s="12" t="s">
        <v>51</v>
      </c>
      <c r="K5158" s="76">
        <f t="shared" si="413"/>
        <v>32682.978985000002</v>
      </c>
      <c r="L5158">
        <v>1.1755</v>
      </c>
      <c r="M5158" s="76">
        <v>0</v>
      </c>
      <c r="N5158" t="s">
        <v>32</v>
      </c>
      <c r="O5158" t="s">
        <v>33</v>
      </c>
      <c r="P5158" t="s">
        <v>34</v>
      </c>
      <c r="Q5158" t="s">
        <v>34</v>
      </c>
      <c r="R5158" t="s">
        <v>34</v>
      </c>
      <c r="S5158" t="s">
        <v>34</v>
      </c>
      <c r="T5158" s="117">
        <v>0</v>
      </c>
      <c r="U5158" s="209" t="s">
        <v>94</v>
      </c>
    </row>
    <row r="5159" spans="1:21" x14ac:dyDescent="0.35">
      <c r="A5159" t="s">
        <v>19</v>
      </c>
      <c r="B5159" t="s">
        <v>26</v>
      </c>
      <c r="C5159" s="1">
        <v>45933</v>
      </c>
      <c r="D5159">
        <f t="shared" si="414"/>
        <v>3</v>
      </c>
      <c r="E5159">
        <f t="shared" si="415"/>
        <v>10</v>
      </c>
      <c r="F5159">
        <f t="shared" si="416"/>
        <v>2025</v>
      </c>
      <c r="G5159" t="s">
        <v>73</v>
      </c>
      <c r="H5159" s="139">
        <v>0</v>
      </c>
      <c r="I5159" s="15">
        <v>777.52</v>
      </c>
      <c r="J5159" s="12" t="s">
        <v>51</v>
      </c>
      <c r="K5159" s="76">
        <f t="shared" si="413"/>
        <v>913.97475999999995</v>
      </c>
      <c r="L5159">
        <v>1.1755</v>
      </c>
      <c r="M5159" s="76">
        <v>0</v>
      </c>
      <c r="N5159" t="s">
        <v>32</v>
      </c>
      <c r="O5159" t="s">
        <v>33</v>
      </c>
      <c r="P5159" t="s">
        <v>34</v>
      </c>
      <c r="Q5159" t="s">
        <v>34</v>
      </c>
      <c r="R5159" t="s">
        <v>34</v>
      </c>
      <c r="S5159" t="s">
        <v>34</v>
      </c>
      <c r="T5159" s="117">
        <v>0</v>
      </c>
      <c r="U5159" s="209" t="s">
        <v>1478</v>
      </c>
    </row>
    <row r="5160" spans="1:21" x14ac:dyDescent="0.35">
      <c r="A5160" t="s">
        <v>20</v>
      </c>
      <c r="B5160" t="s">
        <v>23</v>
      </c>
      <c r="C5160" s="1">
        <v>45933</v>
      </c>
      <c r="D5160">
        <f t="shared" si="414"/>
        <v>3</v>
      </c>
      <c r="E5160">
        <f t="shared" si="415"/>
        <v>10</v>
      </c>
      <c r="F5160">
        <f t="shared" si="416"/>
        <v>2025</v>
      </c>
      <c r="G5160" t="s">
        <v>82</v>
      </c>
      <c r="H5160" s="139">
        <v>12787</v>
      </c>
      <c r="I5160" s="91">
        <v>19452.68</v>
      </c>
      <c r="J5160" s="12" t="s">
        <v>31</v>
      </c>
      <c r="K5160" s="76">
        <f t="shared" si="413"/>
        <v>19452.68</v>
      </c>
      <c r="L5160">
        <v>1</v>
      </c>
      <c r="M5160" s="76">
        <v>0</v>
      </c>
      <c r="N5160" t="s">
        <v>32</v>
      </c>
      <c r="O5160" t="s">
        <v>33</v>
      </c>
      <c r="P5160" t="s">
        <v>34</v>
      </c>
      <c r="Q5160" t="s">
        <v>34</v>
      </c>
      <c r="R5160" t="s">
        <v>34</v>
      </c>
      <c r="S5160" t="s">
        <v>34</v>
      </c>
      <c r="T5160" s="117">
        <v>0</v>
      </c>
    </row>
    <row r="5161" spans="1:21" x14ac:dyDescent="0.35">
      <c r="A5161" t="s">
        <v>20</v>
      </c>
      <c r="B5161" t="s">
        <v>23</v>
      </c>
      <c r="C5161" s="1">
        <v>45933</v>
      </c>
      <c r="D5161">
        <f t="shared" ref="D5161:D5166" si="417">DAY(C5161)</f>
        <v>3</v>
      </c>
      <c r="E5161">
        <f t="shared" ref="E5161:E5166" si="418">MONTH(C5161)</f>
        <v>10</v>
      </c>
      <c r="F5161">
        <f t="shared" ref="F5161:F5166" si="419">YEAR(C5161)</f>
        <v>2025</v>
      </c>
      <c r="G5161" t="s">
        <v>82</v>
      </c>
      <c r="H5161" s="139">
        <v>12936</v>
      </c>
      <c r="I5161" s="91">
        <v>14480.74</v>
      </c>
      <c r="J5161" s="12" t="s">
        <v>31</v>
      </c>
      <c r="K5161" s="76">
        <f t="shared" si="413"/>
        <v>14480.74</v>
      </c>
      <c r="L5161">
        <v>1</v>
      </c>
      <c r="M5161" s="76">
        <v>0</v>
      </c>
      <c r="N5161" t="s">
        <v>32</v>
      </c>
      <c r="O5161" t="s">
        <v>33</v>
      </c>
      <c r="P5161" t="s">
        <v>34</v>
      </c>
      <c r="Q5161" t="s">
        <v>34</v>
      </c>
      <c r="R5161" t="s">
        <v>34</v>
      </c>
      <c r="S5161" t="s">
        <v>34</v>
      </c>
      <c r="T5161" s="117">
        <v>0</v>
      </c>
    </row>
    <row r="5162" spans="1:21" x14ac:dyDescent="0.35">
      <c r="A5162" t="s">
        <v>20</v>
      </c>
      <c r="B5162" t="s">
        <v>21</v>
      </c>
      <c r="C5162" s="1">
        <v>45933</v>
      </c>
      <c r="D5162">
        <f t="shared" si="417"/>
        <v>3</v>
      </c>
      <c r="E5162">
        <f t="shared" si="418"/>
        <v>10</v>
      </c>
      <c r="F5162">
        <f t="shared" si="419"/>
        <v>2025</v>
      </c>
      <c r="G5162" t="s">
        <v>82</v>
      </c>
      <c r="H5162" s="139">
        <v>13279</v>
      </c>
      <c r="I5162" s="91">
        <v>119.6</v>
      </c>
      <c r="J5162" s="12" t="s">
        <v>31</v>
      </c>
      <c r="K5162" s="76">
        <f t="shared" si="413"/>
        <v>119.6</v>
      </c>
      <c r="L5162">
        <v>1</v>
      </c>
      <c r="M5162" s="76">
        <v>0</v>
      </c>
      <c r="N5162" t="s">
        <v>32</v>
      </c>
      <c r="O5162" t="s">
        <v>33</v>
      </c>
      <c r="P5162" t="s">
        <v>34</v>
      </c>
      <c r="Q5162" t="s">
        <v>34</v>
      </c>
      <c r="R5162" t="s">
        <v>34</v>
      </c>
      <c r="S5162" t="s">
        <v>34</v>
      </c>
      <c r="T5162" s="117">
        <v>0</v>
      </c>
    </row>
    <row r="5163" spans="1:21" x14ac:dyDescent="0.35">
      <c r="A5163" t="s">
        <v>20</v>
      </c>
      <c r="B5163" t="s">
        <v>25</v>
      </c>
      <c r="C5163" s="1">
        <v>45933</v>
      </c>
      <c r="D5163">
        <f t="shared" si="417"/>
        <v>3</v>
      </c>
      <c r="E5163">
        <f t="shared" si="418"/>
        <v>10</v>
      </c>
      <c r="F5163">
        <f t="shared" si="419"/>
        <v>2025</v>
      </c>
      <c r="G5163" t="s">
        <v>1327</v>
      </c>
      <c r="H5163" s="139">
        <v>12987</v>
      </c>
      <c r="I5163" s="91">
        <v>29349.06</v>
      </c>
      <c r="J5163" s="12" t="s">
        <v>31</v>
      </c>
      <c r="K5163" s="76">
        <f t="shared" si="413"/>
        <v>29349.06</v>
      </c>
      <c r="L5163">
        <v>1</v>
      </c>
      <c r="M5163" s="76">
        <v>0</v>
      </c>
      <c r="N5163" t="s">
        <v>32</v>
      </c>
      <c r="O5163" t="s">
        <v>33</v>
      </c>
      <c r="P5163" t="s">
        <v>34</v>
      </c>
      <c r="Q5163" t="s">
        <v>34</v>
      </c>
      <c r="R5163" t="s">
        <v>34</v>
      </c>
      <c r="S5163" t="s">
        <v>34</v>
      </c>
      <c r="T5163" s="117">
        <v>0</v>
      </c>
    </row>
    <row r="5164" spans="1:21" x14ac:dyDescent="0.35">
      <c r="A5164" t="s">
        <v>20</v>
      </c>
      <c r="B5164" t="s">
        <v>21</v>
      </c>
      <c r="C5164" s="1">
        <v>45933</v>
      </c>
      <c r="D5164">
        <f t="shared" si="417"/>
        <v>3</v>
      </c>
      <c r="E5164">
        <f t="shared" si="418"/>
        <v>10</v>
      </c>
      <c r="F5164">
        <f t="shared" si="419"/>
        <v>2025</v>
      </c>
      <c r="G5164" t="s">
        <v>1327</v>
      </c>
      <c r="H5164" s="139">
        <v>12987</v>
      </c>
      <c r="I5164" s="91">
        <v>24634.12</v>
      </c>
      <c r="J5164" s="12" t="s">
        <v>31</v>
      </c>
      <c r="K5164" s="76">
        <f t="shared" si="413"/>
        <v>24634.12</v>
      </c>
      <c r="L5164">
        <v>1</v>
      </c>
      <c r="M5164" s="76">
        <v>0</v>
      </c>
      <c r="N5164" t="s">
        <v>32</v>
      </c>
      <c r="O5164" t="s">
        <v>33</v>
      </c>
      <c r="P5164" t="s">
        <v>34</v>
      </c>
      <c r="Q5164" t="s">
        <v>34</v>
      </c>
      <c r="R5164" t="s">
        <v>34</v>
      </c>
      <c r="S5164" t="s">
        <v>34</v>
      </c>
      <c r="T5164" s="117">
        <v>0</v>
      </c>
    </row>
    <row r="5165" spans="1:21" x14ac:dyDescent="0.35">
      <c r="A5165" t="s">
        <v>20</v>
      </c>
      <c r="B5165" t="s">
        <v>23</v>
      </c>
      <c r="C5165" s="1">
        <v>45933</v>
      </c>
      <c r="D5165">
        <f t="shared" si="417"/>
        <v>3</v>
      </c>
      <c r="E5165">
        <f t="shared" si="418"/>
        <v>10</v>
      </c>
      <c r="F5165">
        <f t="shared" si="419"/>
        <v>2025</v>
      </c>
      <c r="G5165" t="s">
        <v>1327</v>
      </c>
      <c r="H5165" s="139">
        <v>12987</v>
      </c>
      <c r="I5165" s="91">
        <v>14465.16</v>
      </c>
      <c r="J5165" s="12" t="s">
        <v>31</v>
      </c>
      <c r="K5165" s="76">
        <f t="shared" si="413"/>
        <v>14465.16</v>
      </c>
      <c r="L5165">
        <v>1</v>
      </c>
      <c r="M5165" s="76">
        <v>0</v>
      </c>
      <c r="N5165" t="s">
        <v>32</v>
      </c>
      <c r="O5165" t="s">
        <v>33</v>
      </c>
      <c r="P5165" t="s">
        <v>34</v>
      </c>
      <c r="Q5165" t="s">
        <v>34</v>
      </c>
      <c r="R5165" t="s">
        <v>34</v>
      </c>
      <c r="S5165" t="s">
        <v>34</v>
      </c>
      <c r="T5165" s="117">
        <v>0</v>
      </c>
    </row>
    <row r="5166" spans="1:21" x14ac:dyDescent="0.35">
      <c r="A5166" t="s">
        <v>20</v>
      </c>
      <c r="B5166" t="s">
        <v>21</v>
      </c>
      <c r="C5166" s="1">
        <v>45933</v>
      </c>
      <c r="D5166">
        <f t="shared" si="417"/>
        <v>3</v>
      </c>
      <c r="E5166">
        <f t="shared" si="418"/>
        <v>10</v>
      </c>
      <c r="F5166">
        <f t="shared" si="419"/>
        <v>2025</v>
      </c>
      <c r="G5166" t="s">
        <v>1327</v>
      </c>
      <c r="H5166" s="139">
        <v>13354</v>
      </c>
      <c r="I5166" s="91">
        <v>211.6</v>
      </c>
      <c r="J5166" s="12" t="s">
        <v>31</v>
      </c>
      <c r="K5166" s="76">
        <f t="shared" si="413"/>
        <v>211.6</v>
      </c>
      <c r="L5166">
        <v>1</v>
      </c>
      <c r="M5166" s="76">
        <v>0</v>
      </c>
      <c r="N5166" t="s">
        <v>32</v>
      </c>
      <c r="O5166" t="s">
        <v>33</v>
      </c>
      <c r="P5166" t="s">
        <v>34</v>
      </c>
      <c r="Q5166" t="s">
        <v>34</v>
      </c>
      <c r="R5166" t="s">
        <v>34</v>
      </c>
      <c r="S5166" t="s">
        <v>34</v>
      </c>
      <c r="T5166" s="117">
        <v>0</v>
      </c>
    </row>
    <row r="5167" spans="1:21" x14ac:dyDescent="0.35">
      <c r="A5167" t="s">
        <v>19</v>
      </c>
      <c r="B5167" t="s">
        <v>21</v>
      </c>
      <c r="C5167" s="1">
        <v>45938</v>
      </c>
      <c r="D5167">
        <f t="shared" ref="D5167:D5213" si="420">DAY(C5167)</f>
        <v>8</v>
      </c>
      <c r="E5167">
        <f t="shared" ref="E5167:E5213" si="421">MONTH(C5167)</f>
        <v>10</v>
      </c>
      <c r="F5167">
        <f t="shared" ref="F5167:F5213" si="422">YEAR(C5167)</f>
        <v>2025</v>
      </c>
      <c r="G5167" t="s">
        <v>77</v>
      </c>
      <c r="H5167" s="139">
        <v>12896</v>
      </c>
      <c r="I5167" s="194">
        <v>49.8</v>
      </c>
      <c r="J5167" s="12" t="s">
        <v>31</v>
      </c>
      <c r="K5167" s="76">
        <f t="shared" ref="K5167:K5174" si="423">IF(J5167="USD",I5167,I5167*L5167)</f>
        <v>49.8</v>
      </c>
      <c r="L5167">
        <v>1</v>
      </c>
      <c r="M5167" s="76">
        <v>0</v>
      </c>
      <c r="N5167" t="s">
        <v>32</v>
      </c>
      <c r="O5167" t="s">
        <v>33</v>
      </c>
      <c r="P5167" t="s">
        <v>34</v>
      </c>
      <c r="Q5167" t="s">
        <v>34</v>
      </c>
      <c r="R5167" t="s">
        <v>34</v>
      </c>
      <c r="S5167" t="s">
        <v>34</v>
      </c>
      <c r="T5167" s="117">
        <v>0</v>
      </c>
    </row>
    <row r="5168" spans="1:21" x14ac:dyDescent="0.35">
      <c r="A5168" t="s">
        <v>19</v>
      </c>
      <c r="B5168" t="s">
        <v>24</v>
      </c>
      <c r="C5168" s="1">
        <v>45938</v>
      </c>
      <c r="D5168">
        <f t="shared" si="420"/>
        <v>8</v>
      </c>
      <c r="E5168">
        <f t="shared" si="421"/>
        <v>10</v>
      </c>
      <c r="F5168">
        <f t="shared" si="422"/>
        <v>2025</v>
      </c>
      <c r="G5168" t="s">
        <v>77</v>
      </c>
      <c r="H5168" s="139">
        <v>13064</v>
      </c>
      <c r="I5168" s="194">
        <v>18267.2</v>
      </c>
      <c r="J5168" s="12" t="s">
        <v>31</v>
      </c>
      <c r="K5168" s="76">
        <f t="shared" si="423"/>
        <v>18267.2</v>
      </c>
      <c r="L5168">
        <v>1</v>
      </c>
      <c r="M5168" s="76">
        <v>0</v>
      </c>
      <c r="N5168" t="s">
        <v>42</v>
      </c>
      <c r="O5168" t="s">
        <v>33</v>
      </c>
      <c r="P5168" t="s">
        <v>34</v>
      </c>
      <c r="Q5168" t="s">
        <v>34</v>
      </c>
      <c r="R5168" t="s">
        <v>34</v>
      </c>
      <c r="S5168" t="s">
        <v>34</v>
      </c>
      <c r="T5168" s="117">
        <v>0</v>
      </c>
    </row>
    <row r="5169" spans="1:20" x14ac:dyDescent="0.35">
      <c r="A5169" t="s">
        <v>19</v>
      </c>
      <c r="B5169" t="s">
        <v>21</v>
      </c>
      <c r="C5169" s="1">
        <v>45938</v>
      </c>
      <c r="D5169">
        <f t="shared" si="420"/>
        <v>8</v>
      </c>
      <c r="E5169">
        <f t="shared" si="421"/>
        <v>10</v>
      </c>
      <c r="F5169">
        <f t="shared" si="422"/>
        <v>2025</v>
      </c>
      <c r="G5169" t="s">
        <v>882</v>
      </c>
      <c r="H5169" s="139">
        <v>13149</v>
      </c>
      <c r="I5169" s="195">
        <v>4542.8</v>
      </c>
      <c r="J5169" s="12" t="s">
        <v>31</v>
      </c>
      <c r="K5169" s="76">
        <f t="shared" si="423"/>
        <v>4542.8</v>
      </c>
      <c r="L5169">
        <v>1</v>
      </c>
      <c r="M5169" s="76">
        <v>0</v>
      </c>
      <c r="N5169" t="s">
        <v>32</v>
      </c>
      <c r="O5169" t="s">
        <v>33</v>
      </c>
      <c r="P5169" t="s">
        <v>34</v>
      </c>
      <c r="Q5169" t="s">
        <v>34</v>
      </c>
      <c r="R5169" t="s">
        <v>34</v>
      </c>
      <c r="S5169" t="s">
        <v>34</v>
      </c>
      <c r="T5169" s="117">
        <v>0</v>
      </c>
    </row>
    <row r="5170" spans="1:20" x14ac:dyDescent="0.35">
      <c r="A5170" t="s">
        <v>19</v>
      </c>
      <c r="B5170" t="s">
        <v>21</v>
      </c>
      <c r="C5170" s="1">
        <v>45938</v>
      </c>
      <c r="D5170">
        <f t="shared" si="420"/>
        <v>8</v>
      </c>
      <c r="E5170">
        <f t="shared" si="421"/>
        <v>10</v>
      </c>
      <c r="F5170">
        <f t="shared" si="422"/>
        <v>2025</v>
      </c>
      <c r="G5170" t="s">
        <v>882</v>
      </c>
      <c r="H5170" s="139">
        <v>13503</v>
      </c>
      <c r="I5170" s="196">
        <v>26992.959999999999</v>
      </c>
      <c r="J5170" s="12" t="s">
        <v>31</v>
      </c>
      <c r="K5170" s="76">
        <f t="shared" si="423"/>
        <v>26992.959999999999</v>
      </c>
      <c r="L5170">
        <v>1</v>
      </c>
      <c r="M5170" s="76">
        <v>0</v>
      </c>
      <c r="N5170" t="s">
        <v>32</v>
      </c>
      <c r="O5170" t="s">
        <v>33</v>
      </c>
      <c r="P5170" t="s">
        <v>34</v>
      </c>
      <c r="Q5170" t="s">
        <v>34</v>
      </c>
      <c r="R5170" t="s">
        <v>34</v>
      </c>
      <c r="S5170" t="s">
        <v>34</v>
      </c>
      <c r="T5170" s="117">
        <v>0</v>
      </c>
    </row>
    <row r="5171" spans="1:20" x14ac:dyDescent="0.35">
      <c r="A5171" t="s">
        <v>19</v>
      </c>
      <c r="B5171" t="s">
        <v>21</v>
      </c>
      <c r="C5171" s="1">
        <v>45938</v>
      </c>
      <c r="D5171">
        <f t="shared" si="420"/>
        <v>8</v>
      </c>
      <c r="E5171">
        <f t="shared" si="421"/>
        <v>10</v>
      </c>
      <c r="F5171">
        <f t="shared" si="422"/>
        <v>2025</v>
      </c>
      <c r="G5171" t="s">
        <v>75</v>
      </c>
      <c r="H5171" s="139">
        <v>13205</v>
      </c>
      <c r="I5171" s="194">
        <v>21.12</v>
      </c>
      <c r="J5171" s="12" t="s">
        <v>31</v>
      </c>
      <c r="K5171" s="76">
        <f t="shared" si="423"/>
        <v>21.12</v>
      </c>
      <c r="L5171">
        <v>1</v>
      </c>
      <c r="M5171" s="76">
        <v>0</v>
      </c>
      <c r="N5171" t="s">
        <v>32</v>
      </c>
      <c r="O5171" t="s">
        <v>33</v>
      </c>
      <c r="P5171" t="s">
        <v>34</v>
      </c>
      <c r="Q5171" t="s">
        <v>34</v>
      </c>
      <c r="R5171" t="s">
        <v>34</v>
      </c>
      <c r="S5171" t="s">
        <v>34</v>
      </c>
      <c r="T5171" s="117">
        <v>0</v>
      </c>
    </row>
    <row r="5172" spans="1:20" x14ac:dyDescent="0.35">
      <c r="A5172" t="s">
        <v>19</v>
      </c>
      <c r="B5172" t="s">
        <v>23</v>
      </c>
      <c r="C5172" s="1">
        <v>45938</v>
      </c>
      <c r="D5172">
        <f t="shared" si="420"/>
        <v>8</v>
      </c>
      <c r="E5172">
        <f t="shared" si="421"/>
        <v>10</v>
      </c>
      <c r="F5172">
        <f t="shared" si="422"/>
        <v>2025</v>
      </c>
      <c r="G5172" t="s">
        <v>75</v>
      </c>
      <c r="H5172" s="139">
        <v>13732</v>
      </c>
      <c r="I5172" s="194">
        <v>47540.3</v>
      </c>
      <c r="J5172" s="12" t="s">
        <v>31</v>
      </c>
      <c r="K5172" s="76">
        <f t="shared" si="423"/>
        <v>47540.3</v>
      </c>
      <c r="L5172">
        <v>1</v>
      </c>
      <c r="M5172" s="76">
        <v>0</v>
      </c>
      <c r="N5172" t="s">
        <v>42</v>
      </c>
      <c r="O5172" t="s">
        <v>33</v>
      </c>
      <c r="P5172" t="s">
        <v>34</v>
      </c>
      <c r="Q5172" t="s">
        <v>34</v>
      </c>
      <c r="R5172" t="s">
        <v>34</v>
      </c>
      <c r="S5172" t="s">
        <v>34</v>
      </c>
      <c r="T5172" s="117">
        <v>0</v>
      </c>
    </row>
    <row r="5173" spans="1:20" x14ac:dyDescent="0.35">
      <c r="A5173" t="s">
        <v>19</v>
      </c>
      <c r="B5173" t="s">
        <v>21</v>
      </c>
      <c r="C5173" s="1">
        <v>45938</v>
      </c>
      <c r="D5173">
        <f t="shared" si="420"/>
        <v>8</v>
      </c>
      <c r="E5173">
        <f t="shared" si="421"/>
        <v>10</v>
      </c>
      <c r="F5173">
        <f t="shared" si="422"/>
        <v>2025</v>
      </c>
      <c r="G5173" t="s">
        <v>75</v>
      </c>
      <c r="H5173" s="139">
        <v>13732</v>
      </c>
      <c r="I5173" s="194">
        <v>65296.98</v>
      </c>
      <c r="J5173" s="12" t="s">
        <v>31</v>
      </c>
      <c r="K5173" s="76">
        <f t="shared" si="423"/>
        <v>65296.98</v>
      </c>
      <c r="L5173">
        <v>1</v>
      </c>
      <c r="M5173" s="76">
        <v>0</v>
      </c>
      <c r="N5173" t="s">
        <v>42</v>
      </c>
      <c r="O5173" t="s">
        <v>33</v>
      </c>
      <c r="P5173" t="s">
        <v>34</v>
      </c>
      <c r="Q5173" t="s">
        <v>34</v>
      </c>
      <c r="R5173" t="s">
        <v>34</v>
      </c>
      <c r="S5173" t="s">
        <v>34</v>
      </c>
      <c r="T5173" s="117">
        <v>0</v>
      </c>
    </row>
    <row r="5174" spans="1:20" x14ac:dyDescent="0.35">
      <c r="A5174" t="s">
        <v>19</v>
      </c>
      <c r="B5174" t="s">
        <v>21</v>
      </c>
      <c r="C5174" s="1">
        <v>45938</v>
      </c>
      <c r="D5174">
        <f t="shared" si="420"/>
        <v>8</v>
      </c>
      <c r="E5174">
        <f t="shared" si="421"/>
        <v>10</v>
      </c>
      <c r="F5174">
        <f t="shared" si="422"/>
        <v>2025</v>
      </c>
      <c r="G5174" t="s">
        <v>75</v>
      </c>
      <c r="H5174" s="139">
        <v>12595</v>
      </c>
      <c r="I5174" s="197">
        <v>144.12</v>
      </c>
      <c r="J5174" s="12" t="s">
        <v>31</v>
      </c>
      <c r="K5174" s="76">
        <f t="shared" si="423"/>
        <v>144.12</v>
      </c>
      <c r="L5174">
        <v>1</v>
      </c>
      <c r="M5174" s="76">
        <v>0</v>
      </c>
      <c r="N5174" t="s">
        <v>32</v>
      </c>
      <c r="O5174" t="s">
        <v>33</v>
      </c>
      <c r="P5174" t="s">
        <v>34</v>
      </c>
      <c r="Q5174" t="s">
        <v>34</v>
      </c>
      <c r="R5174" t="s">
        <v>34</v>
      </c>
      <c r="S5174" t="s">
        <v>34</v>
      </c>
      <c r="T5174" s="117">
        <v>0</v>
      </c>
    </row>
    <row r="5175" spans="1:20" x14ac:dyDescent="0.35">
      <c r="A5175" t="s">
        <v>19</v>
      </c>
      <c r="B5175" t="s">
        <v>23</v>
      </c>
      <c r="C5175" s="1">
        <v>45938</v>
      </c>
      <c r="D5175">
        <f t="shared" si="420"/>
        <v>8</v>
      </c>
      <c r="E5175">
        <f t="shared" si="421"/>
        <v>10</v>
      </c>
      <c r="F5175">
        <f t="shared" si="422"/>
        <v>2025</v>
      </c>
      <c r="G5175" t="s">
        <v>1519</v>
      </c>
      <c r="H5175" s="139">
        <v>13446</v>
      </c>
      <c r="I5175" s="194">
        <v>8171</v>
      </c>
      <c r="J5175" s="12" t="s">
        <v>31</v>
      </c>
      <c r="K5175" s="76">
        <f t="shared" ref="K5175:K5178" si="424">IF(J5175="USD",I5175,I5175*L5175)</f>
        <v>8171</v>
      </c>
      <c r="L5175">
        <v>1</v>
      </c>
      <c r="M5175" s="76">
        <v>0</v>
      </c>
      <c r="N5175" t="s">
        <v>42</v>
      </c>
      <c r="O5175" t="s">
        <v>33</v>
      </c>
      <c r="P5175" t="s">
        <v>34</v>
      </c>
      <c r="Q5175" t="s">
        <v>34</v>
      </c>
      <c r="R5175" t="s">
        <v>34</v>
      </c>
      <c r="S5175" t="s">
        <v>34</v>
      </c>
      <c r="T5175" s="117">
        <v>0</v>
      </c>
    </row>
    <row r="5176" spans="1:20" x14ac:dyDescent="0.35">
      <c r="A5176" t="s">
        <v>19</v>
      </c>
      <c r="B5176" t="s">
        <v>23</v>
      </c>
      <c r="C5176" s="1">
        <v>45938</v>
      </c>
      <c r="D5176">
        <f t="shared" si="420"/>
        <v>8</v>
      </c>
      <c r="E5176">
        <f t="shared" si="421"/>
        <v>10</v>
      </c>
      <c r="F5176">
        <f t="shared" si="422"/>
        <v>2025</v>
      </c>
      <c r="G5176" t="s">
        <v>74</v>
      </c>
      <c r="H5176" s="139">
        <v>13584</v>
      </c>
      <c r="I5176" s="194">
        <v>4741.75</v>
      </c>
      <c r="J5176" s="12" t="s">
        <v>31</v>
      </c>
      <c r="K5176" s="76">
        <f t="shared" si="424"/>
        <v>4741.75</v>
      </c>
      <c r="L5176">
        <v>1</v>
      </c>
      <c r="M5176" s="76">
        <v>0</v>
      </c>
      <c r="N5176" t="s">
        <v>32</v>
      </c>
      <c r="O5176" t="s">
        <v>33</v>
      </c>
      <c r="P5176" t="s">
        <v>34</v>
      </c>
      <c r="Q5176" t="s">
        <v>34</v>
      </c>
      <c r="R5176" t="s">
        <v>34</v>
      </c>
      <c r="S5176" t="s">
        <v>34</v>
      </c>
      <c r="T5176" s="117">
        <v>0</v>
      </c>
    </row>
    <row r="5177" spans="1:20" x14ac:dyDescent="0.35">
      <c r="A5177" t="s">
        <v>19</v>
      </c>
      <c r="B5177" t="s">
        <v>27</v>
      </c>
      <c r="C5177" s="1">
        <v>45938</v>
      </c>
      <c r="D5177">
        <f t="shared" si="420"/>
        <v>8</v>
      </c>
      <c r="E5177">
        <f t="shared" si="421"/>
        <v>10</v>
      </c>
      <c r="F5177">
        <f t="shared" si="422"/>
        <v>2025</v>
      </c>
      <c r="G5177" t="s">
        <v>100</v>
      </c>
      <c r="H5177" s="139">
        <v>13185</v>
      </c>
      <c r="I5177" s="194">
        <v>424457.35</v>
      </c>
      <c r="J5177" s="12" t="s">
        <v>31</v>
      </c>
      <c r="K5177" s="76">
        <f t="shared" si="424"/>
        <v>424457.35</v>
      </c>
      <c r="L5177">
        <v>1</v>
      </c>
      <c r="M5177" s="76">
        <v>0</v>
      </c>
      <c r="N5177" t="s">
        <v>32</v>
      </c>
      <c r="O5177" t="s">
        <v>33</v>
      </c>
      <c r="P5177" t="s">
        <v>34</v>
      </c>
      <c r="Q5177" t="s">
        <v>34</v>
      </c>
      <c r="R5177" t="s">
        <v>34</v>
      </c>
      <c r="S5177" t="s">
        <v>34</v>
      </c>
      <c r="T5177" s="117">
        <v>0</v>
      </c>
    </row>
    <row r="5178" spans="1:20" x14ac:dyDescent="0.35">
      <c r="A5178" t="s">
        <v>19</v>
      </c>
      <c r="B5178" t="s">
        <v>27</v>
      </c>
      <c r="C5178" s="1">
        <v>45938</v>
      </c>
      <c r="D5178">
        <f t="shared" si="420"/>
        <v>8</v>
      </c>
      <c r="E5178">
        <f t="shared" si="421"/>
        <v>10</v>
      </c>
      <c r="F5178">
        <f t="shared" si="422"/>
        <v>2025</v>
      </c>
      <c r="G5178" t="s">
        <v>100</v>
      </c>
      <c r="H5178" s="139">
        <v>13287</v>
      </c>
      <c r="I5178" s="194">
        <v>294749.46000000002</v>
      </c>
      <c r="J5178" s="12" t="s">
        <v>31</v>
      </c>
      <c r="K5178" s="76">
        <f t="shared" si="424"/>
        <v>294749.46000000002</v>
      </c>
      <c r="L5178">
        <v>1</v>
      </c>
      <c r="M5178" s="76">
        <v>0</v>
      </c>
      <c r="N5178" t="s">
        <v>32</v>
      </c>
      <c r="O5178" t="s">
        <v>33</v>
      </c>
      <c r="P5178" t="s">
        <v>34</v>
      </c>
      <c r="Q5178" t="s">
        <v>34</v>
      </c>
      <c r="R5178" t="s">
        <v>34</v>
      </c>
      <c r="S5178" t="s">
        <v>34</v>
      </c>
      <c r="T5178" s="117">
        <v>0</v>
      </c>
    </row>
    <row r="5179" spans="1:20" x14ac:dyDescent="0.35">
      <c r="A5179" t="s">
        <v>19</v>
      </c>
      <c r="B5179" t="s">
        <v>23</v>
      </c>
      <c r="C5179" s="1">
        <v>45938</v>
      </c>
      <c r="D5179">
        <f t="shared" si="420"/>
        <v>8</v>
      </c>
      <c r="E5179">
        <f t="shared" si="421"/>
        <v>10</v>
      </c>
      <c r="F5179">
        <f t="shared" si="422"/>
        <v>2025</v>
      </c>
      <c r="G5179" t="s">
        <v>885</v>
      </c>
      <c r="H5179" s="139">
        <v>13068</v>
      </c>
      <c r="I5179" s="194">
        <v>1186.8</v>
      </c>
      <c r="J5179" s="12" t="s">
        <v>31</v>
      </c>
      <c r="K5179" s="76">
        <f t="shared" ref="K5179:K5181" si="425">IF(J5179="USD",I5179,I5179*L5179)</f>
        <v>1186.8</v>
      </c>
      <c r="L5179">
        <v>1</v>
      </c>
      <c r="M5179" s="76">
        <v>0</v>
      </c>
      <c r="N5179" t="s">
        <v>32</v>
      </c>
      <c r="O5179" t="s">
        <v>33</v>
      </c>
      <c r="P5179" t="s">
        <v>34</v>
      </c>
      <c r="Q5179" t="s">
        <v>34</v>
      </c>
      <c r="R5179" t="s">
        <v>34</v>
      </c>
      <c r="S5179" t="s">
        <v>34</v>
      </c>
      <c r="T5179" s="117">
        <v>0</v>
      </c>
    </row>
    <row r="5180" spans="1:20" x14ac:dyDescent="0.35">
      <c r="A5180" t="s">
        <v>19</v>
      </c>
      <c r="B5180" t="s">
        <v>21</v>
      </c>
      <c r="C5180" s="1">
        <v>45938</v>
      </c>
      <c r="D5180">
        <f t="shared" si="420"/>
        <v>8</v>
      </c>
      <c r="E5180">
        <f t="shared" si="421"/>
        <v>10</v>
      </c>
      <c r="F5180">
        <f t="shared" si="422"/>
        <v>2025</v>
      </c>
      <c r="G5180" t="s">
        <v>885</v>
      </c>
      <c r="H5180" s="139">
        <v>13890</v>
      </c>
      <c r="I5180" s="194">
        <v>2960</v>
      </c>
      <c r="J5180" s="12" t="s">
        <v>31</v>
      </c>
      <c r="K5180" s="76">
        <f t="shared" si="425"/>
        <v>2960</v>
      </c>
      <c r="L5180">
        <v>1</v>
      </c>
      <c r="M5180" s="76">
        <v>0</v>
      </c>
      <c r="N5180" t="s">
        <v>42</v>
      </c>
      <c r="O5180" t="s">
        <v>33</v>
      </c>
      <c r="P5180" t="s">
        <v>34</v>
      </c>
      <c r="Q5180" t="s">
        <v>34</v>
      </c>
      <c r="R5180" t="s">
        <v>34</v>
      </c>
      <c r="S5180" t="s">
        <v>34</v>
      </c>
      <c r="T5180" s="117">
        <v>0</v>
      </c>
    </row>
    <row r="5181" spans="1:20" x14ac:dyDescent="0.35">
      <c r="A5181" t="s">
        <v>19</v>
      </c>
      <c r="B5181" t="s">
        <v>21</v>
      </c>
      <c r="C5181" s="1">
        <v>45938</v>
      </c>
      <c r="D5181">
        <f t="shared" si="420"/>
        <v>8</v>
      </c>
      <c r="E5181">
        <f t="shared" si="421"/>
        <v>10</v>
      </c>
      <c r="F5181">
        <f t="shared" si="422"/>
        <v>2025</v>
      </c>
      <c r="G5181" t="s">
        <v>885</v>
      </c>
      <c r="H5181" s="139">
        <v>13891</v>
      </c>
      <c r="I5181" s="194">
        <v>35118.86</v>
      </c>
      <c r="J5181" s="12" t="s">
        <v>31</v>
      </c>
      <c r="K5181" s="76">
        <f t="shared" si="425"/>
        <v>35118.86</v>
      </c>
      <c r="L5181">
        <v>1</v>
      </c>
      <c r="M5181" s="76">
        <v>0</v>
      </c>
      <c r="N5181" t="s">
        <v>42</v>
      </c>
      <c r="O5181" t="s">
        <v>33</v>
      </c>
      <c r="P5181" t="s">
        <v>34</v>
      </c>
      <c r="Q5181" t="s">
        <v>34</v>
      </c>
      <c r="R5181" t="s">
        <v>34</v>
      </c>
      <c r="S5181" t="s">
        <v>34</v>
      </c>
      <c r="T5181" s="117">
        <v>0</v>
      </c>
    </row>
    <row r="5182" spans="1:20" x14ac:dyDescent="0.35">
      <c r="A5182" t="s">
        <v>19</v>
      </c>
      <c r="B5182" t="s">
        <v>25</v>
      </c>
      <c r="C5182" s="1">
        <v>45938</v>
      </c>
      <c r="D5182">
        <f t="shared" si="420"/>
        <v>8</v>
      </c>
      <c r="E5182">
        <f t="shared" si="421"/>
        <v>10</v>
      </c>
      <c r="F5182">
        <f t="shared" si="422"/>
        <v>2025</v>
      </c>
      <c r="G5182" t="s">
        <v>1146</v>
      </c>
      <c r="H5182" s="139">
        <v>13342</v>
      </c>
      <c r="I5182" s="194">
        <v>816.25</v>
      </c>
      <c r="J5182" s="12" t="s">
        <v>51</v>
      </c>
      <c r="K5182" s="76">
        <f t="shared" ref="K5182:K5201" si="426">IF(J5182="USD",I5182,I5182*L5182)</f>
        <v>953.9513750000001</v>
      </c>
      <c r="L5182">
        <v>1.1687000000000001</v>
      </c>
      <c r="M5182" s="76">
        <v>0</v>
      </c>
      <c r="N5182" t="s">
        <v>32</v>
      </c>
      <c r="O5182" t="s">
        <v>33</v>
      </c>
      <c r="P5182" t="s">
        <v>34</v>
      </c>
      <c r="Q5182" t="s">
        <v>34</v>
      </c>
      <c r="R5182" t="s">
        <v>34</v>
      </c>
      <c r="S5182" t="s">
        <v>34</v>
      </c>
      <c r="T5182" s="117">
        <v>0</v>
      </c>
    </row>
    <row r="5183" spans="1:20" x14ac:dyDescent="0.35">
      <c r="A5183" t="s">
        <v>19</v>
      </c>
      <c r="B5183" t="s">
        <v>25</v>
      </c>
      <c r="C5183" s="1">
        <v>45938</v>
      </c>
      <c r="D5183">
        <f t="shared" si="420"/>
        <v>8</v>
      </c>
      <c r="E5183">
        <f t="shared" si="421"/>
        <v>10</v>
      </c>
      <c r="F5183">
        <f t="shared" si="422"/>
        <v>2025</v>
      </c>
      <c r="G5183" t="s">
        <v>1146</v>
      </c>
      <c r="H5183" s="139">
        <v>13439</v>
      </c>
      <c r="I5183" s="194">
        <v>946.8</v>
      </c>
      <c r="J5183" s="12" t="s">
        <v>51</v>
      </c>
      <c r="K5183" s="76">
        <f t="shared" si="426"/>
        <v>1106.5251599999999</v>
      </c>
      <c r="L5183">
        <v>1.1687000000000001</v>
      </c>
      <c r="M5183" s="76">
        <v>0</v>
      </c>
      <c r="N5183" t="s">
        <v>32</v>
      </c>
      <c r="O5183" t="s">
        <v>33</v>
      </c>
      <c r="P5183" t="s">
        <v>34</v>
      </c>
      <c r="Q5183" t="s">
        <v>34</v>
      </c>
      <c r="R5183" t="s">
        <v>34</v>
      </c>
      <c r="S5183" t="s">
        <v>34</v>
      </c>
      <c r="T5183" s="117">
        <v>0</v>
      </c>
    </row>
    <row r="5184" spans="1:20" x14ac:dyDescent="0.35">
      <c r="A5184" t="s">
        <v>19</v>
      </c>
      <c r="B5184" t="s">
        <v>24</v>
      </c>
      <c r="C5184" s="1">
        <v>45938</v>
      </c>
      <c r="D5184">
        <f t="shared" si="420"/>
        <v>8</v>
      </c>
      <c r="E5184">
        <f t="shared" si="421"/>
        <v>10</v>
      </c>
      <c r="F5184">
        <f t="shared" si="422"/>
        <v>2025</v>
      </c>
      <c r="G5184" t="s">
        <v>35</v>
      </c>
      <c r="H5184" s="139">
        <v>12832</v>
      </c>
      <c r="I5184" s="194">
        <v>10773</v>
      </c>
      <c r="J5184" s="12" t="s">
        <v>31</v>
      </c>
      <c r="K5184" s="76">
        <f t="shared" si="426"/>
        <v>10773</v>
      </c>
      <c r="L5184">
        <v>1</v>
      </c>
      <c r="M5184" s="76">
        <v>0</v>
      </c>
      <c r="N5184" t="s">
        <v>32</v>
      </c>
      <c r="O5184" t="s">
        <v>33</v>
      </c>
      <c r="P5184" t="s">
        <v>34</v>
      </c>
      <c r="Q5184" t="s">
        <v>34</v>
      </c>
      <c r="R5184" t="s">
        <v>34</v>
      </c>
      <c r="S5184" t="s">
        <v>34</v>
      </c>
      <c r="T5184" s="117">
        <v>0</v>
      </c>
    </row>
    <row r="5185" spans="1:21" x14ac:dyDescent="0.35">
      <c r="A5185" t="s">
        <v>19</v>
      </c>
      <c r="B5185" t="s">
        <v>21</v>
      </c>
      <c r="C5185" s="1">
        <v>45938</v>
      </c>
      <c r="D5185">
        <f t="shared" si="420"/>
        <v>8</v>
      </c>
      <c r="E5185">
        <f t="shared" si="421"/>
        <v>10</v>
      </c>
      <c r="F5185">
        <f t="shared" si="422"/>
        <v>2025</v>
      </c>
      <c r="G5185" t="s">
        <v>92</v>
      </c>
      <c r="H5185" s="139">
        <v>13854</v>
      </c>
      <c r="I5185" s="194">
        <v>45</v>
      </c>
      <c r="J5185" s="12" t="s">
        <v>31</v>
      </c>
      <c r="K5185" s="76">
        <f t="shared" si="426"/>
        <v>45</v>
      </c>
      <c r="L5185">
        <v>1</v>
      </c>
      <c r="M5185" s="76">
        <v>0</v>
      </c>
      <c r="N5185" t="s">
        <v>42</v>
      </c>
      <c r="O5185" t="s">
        <v>33</v>
      </c>
      <c r="P5185" t="s">
        <v>34</v>
      </c>
      <c r="Q5185" t="s">
        <v>34</v>
      </c>
      <c r="R5185" t="s">
        <v>34</v>
      </c>
      <c r="S5185" t="s">
        <v>34</v>
      </c>
      <c r="T5185" s="117">
        <v>0</v>
      </c>
    </row>
    <row r="5186" spans="1:21" x14ac:dyDescent="0.35">
      <c r="A5186" t="s">
        <v>19</v>
      </c>
      <c r="B5186" t="s">
        <v>21</v>
      </c>
      <c r="C5186" s="1">
        <v>45938</v>
      </c>
      <c r="D5186">
        <f t="shared" si="420"/>
        <v>8</v>
      </c>
      <c r="E5186">
        <f t="shared" si="421"/>
        <v>10</v>
      </c>
      <c r="F5186">
        <f t="shared" si="422"/>
        <v>2025</v>
      </c>
      <c r="G5186" t="s">
        <v>92</v>
      </c>
      <c r="H5186" s="139">
        <v>13855</v>
      </c>
      <c r="I5186" s="194">
        <v>5559</v>
      </c>
      <c r="J5186" s="12" t="s">
        <v>31</v>
      </c>
      <c r="K5186" s="76">
        <f t="shared" si="426"/>
        <v>5559</v>
      </c>
      <c r="L5186">
        <v>1</v>
      </c>
      <c r="M5186" s="76">
        <v>0</v>
      </c>
      <c r="N5186" t="s">
        <v>42</v>
      </c>
      <c r="O5186" t="s">
        <v>33</v>
      </c>
      <c r="P5186" t="s">
        <v>34</v>
      </c>
      <c r="Q5186" t="s">
        <v>34</v>
      </c>
      <c r="R5186" t="s">
        <v>34</v>
      </c>
      <c r="S5186" t="s">
        <v>34</v>
      </c>
      <c r="T5186" s="117">
        <v>0</v>
      </c>
    </row>
    <row r="5187" spans="1:21" x14ac:dyDescent="0.35">
      <c r="A5187" t="s">
        <v>19</v>
      </c>
      <c r="B5187" t="s">
        <v>21</v>
      </c>
      <c r="C5187" s="1">
        <v>45938</v>
      </c>
      <c r="D5187">
        <f t="shared" ref="D5187:D5199" si="427">DAY(C5187)</f>
        <v>8</v>
      </c>
      <c r="E5187">
        <f t="shared" ref="E5187:E5199" si="428">MONTH(C5187)</f>
        <v>10</v>
      </c>
      <c r="F5187">
        <f t="shared" ref="F5187:F5199" si="429">YEAR(C5187)</f>
        <v>2025</v>
      </c>
      <c r="G5187" t="s">
        <v>37</v>
      </c>
      <c r="H5187" s="139">
        <v>12829</v>
      </c>
      <c r="I5187" s="15">
        <v>11743.35</v>
      </c>
      <c r="J5187" s="12" t="s">
        <v>31</v>
      </c>
      <c r="K5187" s="76">
        <f t="shared" si="426"/>
        <v>11743.35</v>
      </c>
      <c r="L5187">
        <v>1</v>
      </c>
      <c r="M5187" s="76">
        <v>0</v>
      </c>
      <c r="N5187" t="s">
        <v>32</v>
      </c>
      <c r="O5187" t="s">
        <v>33</v>
      </c>
      <c r="P5187" t="s">
        <v>34</v>
      </c>
      <c r="Q5187" t="s">
        <v>34</v>
      </c>
      <c r="R5187" t="s">
        <v>34</v>
      </c>
      <c r="S5187" t="s">
        <v>34</v>
      </c>
      <c r="T5187" s="188"/>
      <c r="U5187" s="209" t="s">
        <v>1402</v>
      </c>
    </row>
    <row r="5188" spans="1:21" x14ac:dyDescent="0.35">
      <c r="A5188" t="s">
        <v>19</v>
      </c>
      <c r="B5188" t="s">
        <v>21</v>
      </c>
      <c r="C5188" s="1">
        <v>45938</v>
      </c>
      <c r="D5188">
        <f t="shared" si="427"/>
        <v>8</v>
      </c>
      <c r="E5188">
        <f t="shared" si="428"/>
        <v>10</v>
      </c>
      <c r="F5188">
        <f t="shared" si="429"/>
        <v>2025</v>
      </c>
      <c r="G5188" t="s">
        <v>37</v>
      </c>
      <c r="H5188" s="139">
        <v>13059</v>
      </c>
      <c r="I5188" s="15">
        <v>24455.599999999999</v>
      </c>
      <c r="J5188" s="12" t="s">
        <v>31</v>
      </c>
      <c r="K5188" s="76">
        <f t="shared" si="426"/>
        <v>24455.599999999999</v>
      </c>
      <c r="L5188">
        <v>1</v>
      </c>
      <c r="M5188" s="76">
        <v>0</v>
      </c>
      <c r="N5188" t="s">
        <v>32</v>
      </c>
      <c r="O5188" t="s">
        <v>33</v>
      </c>
      <c r="P5188" t="s">
        <v>34</v>
      </c>
      <c r="Q5188" t="s">
        <v>34</v>
      </c>
      <c r="R5188" t="s">
        <v>34</v>
      </c>
      <c r="S5188" t="s">
        <v>34</v>
      </c>
      <c r="T5188" s="117">
        <v>0</v>
      </c>
    </row>
    <row r="5189" spans="1:21" x14ac:dyDescent="0.35">
      <c r="A5189" t="s">
        <v>19</v>
      </c>
      <c r="B5189" t="s">
        <v>25</v>
      </c>
      <c r="C5189" s="1">
        <v>45938</v>
      </c>
      <c r="D5189">
        <f t="shared" si="427"/>
        <v>8</v>
      </c>
      <c r="E5189">
        <f t="shared" si="428"/>
        <v>10</v>
      </c>
      <c r="F5189">
        <f t="shared" si="429"/>
        <v>2025</v>
      </c>
      <c r="G5189" t="s">
        <v>36</v>
      </c>
      <c r="H5189" s="139">
        <v>13050</v>
      </c>
      <c r="I5189" s="194">
        <v>30420.648034000002</v>
      </c>
      <c r="J5189" s="12" t="s">
        <v>31</v>
      </c>
      <c r="K5189" s="76">
        <f t="shared" si="426"/>
        <v>30420.648034000002</v>
      </c>
      <c r="L5189">
        <v>1</v>
      </c>
      <c r="M5189" s="76">
        <v>0</v>
      </c>
      <c r="N5189" t="s">
        <v>32</v>
      </c>
      <c r="O5189" t="s">
        <v>33</v>
      </c>
      <c r="P5189" t="s">
        <v>34</v>
      </c>
      <c r="Q5189" t="s">
        <v>34</v>
      </c>
      <c r="R5189" t="s">
        <v>34</v>
      </c>
      <c r="S5189" t="s">
        <v>34</v>
      </c>
      <c r="T5189" s="117">
        <v>0</v>
      </c>
    </row>
    <row r="5190" spans="1:21" x14ac:dyDescent="0.35">
      <c r="A5190" t="s">
        <v>19</v>
      </c>
      <c r="B5190" t="s">
        <v>24</v>
      </c>
      <c r="C5190" s="1">
        <v>45938</v>
      </c>
      <c r="D5190">
        <f t="shared" si="427"/>
        <v>8</v>
      </c>
      <c r="E5190">
        <f t="shared" si="428"/>
        <v>10</v>
      </c>
      <c r="F5190">
        <f t="shared" si="429"/>
        <v>2025</v>
      </c>
      <c r="G5190" t="s">
        <v>36</v>
      </c>
      <c r="H5190" s="139">
        <v>13050</v>
      </c>
      <c r="I5190" s="194">
        <v>12143.571966</v>
      </c>
      <c r="J5190" s="12" t="s">
        <v>31</v>
      </c>
      <c r="K5190" s="76">
        <f t="shared" si="426"/>
        <v>12143.571966</v>
      </c>
      <c r="L5190">
        <v>1</v>
      </c>
      <c r="M5190" s="76">
        <v>0</v>
      </c>
      <c r="N5190" t="s">
        <v>32</v>
      </c>
      <c r="O5190" t="s">
        <v>33</v>
      </c>
      <c r="P5190" t="s">
        <v>34</v>
      </c>
      <c r="Q5190" t="s">
        <v>34</v>
      </c>
      <c r="R5190" t="s">
        <v>34</v>
      </c>
      <c r="S5190" t="s">
        <v>34</v>
      </c>
      <c r="T5190" s="117">
        <v>0</v>
      </c>
    </row>
    <row r="5191" spans="1:21" x14ac:dyDescent="0.35">
      <c r="A5191" t="s">
        <v>19</v>
      </c>
      <c r="B5191" t="s">
        <v>21</v>
      </c>
      <c r="C5191" s="1">
        <v>45938</v>
      </c>
      <c r="D5191">
        <f>DAY(C5191)</f>
        <v>8</v>
      </c>
      <c r="E5191">
        <f>MONTH(C5191)</f>
        <v>10</v>
      </c>
      <c r="F5191">
        <f>YEAR(C5191)</f>
        <v>2025</v>
      </c>
      <c r="G5191" t="s">
        <v>36</v>
      </c>
      <c r="H5191" s="139">
        <v>13652</v>
      </c>
      <c r="I5191" s="197">
        <v>97.2</v>
      </c>
      <c r="J5191" s="12" t="s">
        <v>31</v>
      </c>
      <c r="K5191" s="76">
        <f t="shared" ref="K5191" si="430">IF(J5191="USD",I5191,I5191*L5191)</f>
        <v>97.2</v>
      </c>
      <c r="L5191">
        <v>1</v>
      </c>
      <c r="M5191" s="76">
        <v>0</v>
      </c>
      <c r="N5191" t="s">
        <v>32</v>
      </c>
      <c r="O5191" t="s">
        <v>33</v>
      </c>
      <c r="P5191" t="s">
        <v>34</v>
      </c>
      <c r="Q5191" t="s">
        <v>34</v>
      </c>
      <c r="R5191" t="s">
        <v>34</v>
      </c>
      <c r="S5191" t="s">
        <v>34</v>
      </c>
      <c r="T5191" s="117">
        <v>0</v>
      </c>
    </row>
    <row r="5192" spans="1:21" x14ac:dyDescent="0.35">
      <c r="A5192" t="s">
        <v>19</v>
      </c>
      <c r="B5192" t="s">
        <v>25</v>
      </c>
      <c r="C5192" s="1">
        <v>45938</v>
      </c>
      <c r="D5192">
        <f t="shared" si="427"/>
        <v>8</v>
      </c>
      <c r="E5192">
        <f t="shared" si="428"/>
        <v>10</v>
      </c>
      <c r="F5192">
        <f t="shared" si="429"/>
        <v>2025</v>
      </c>
      <c r="G5192" t="s">
        <v>80</v>
      </c>
      <c r="H5192" s="139">
        <v>13061</v>
      </c>
      <c r="I5192" s="176">
        <v>5422</v>
      </c>
      <c r="J5192" s="12" t="s">
        <v>31</v>
      </c>
      <c r="K5192" s="76">
        <f t="shared" si="426"/>
        <v>5422</v>
      </c>
      <c r="L5192">
        <v>1</v>
      </c>
      <c r="M5192" s="76">
        <v>0</v>
      </c>
      <c r="N5192" t="s">
        <v>42</v>
      </c>
      <c r="O5192" t="s">
        <v>33</v>
      </c>
      <c r="P5192" t="s">
        <v>34</v>
      </c>
      <c r="Q5192" t="s">
        <v>34</v>
      </c>
      <c r="R5192" t="s">
        <v>34</v>
      </c>
      <c r="S5192" t="s">
        <v>34</v>
      </c>
      <c r="T5192" s="117">
        <v>0</v>
      </c>
      <c r="U5192" s="209" t="s">
        <v>1394</v>
      </c>
    </row>
    <row r="5193" spans="1:21" x14ac:dyDescent="0.35">
      <c r="A5193" t="s">
        <v>19</v>
      </c>
      <c r="B5193" t="s">
        <v>25</v>
      </c>
      <c r="C5193" s="1">
        <v>45938</v>
      </c>
      <c r="D5193">
        <f t="shared" ref="D5193" si="431">DAY(C5193)</f>
        <v>8</v>
      </c>
      <c r="E5193">
        <f t="shared" ref="E5193" si="432">MONTH(C5193)</f>
        <v>10</v>
      </c>
      <c r="F5193">
        <f t="shared" ref="F5193" si="433">YEAR(C5193)</f>
        <v>2025</v>
      </c>
      <c r="G5193" t="s">
        <v>80</v>
      </c>
      <c r="H5193" s="139">
        <v>13061</v>
      </c>
      <c r="I5193" s="176">
        <v>215.8</v>
      </c>
      <c r="J5193" s="12" t="s">
        <v>31</v>
      </c>
      <c r="K5193" s="76">
        <f t="shared" ref="K5193" si="434">IF(J5193="USD",I5193,I5193*L5193)</f>
        <v>215.8</v>
      </c>
      <c r="L5193">
        <v>1</v>
      </c>
      <c r="M5193" s="76">
        <v>0</v>
      </c>
      <c r="N5193" t="s">
        <v>42</v>
      </c>
      <c r="O5193" t="s">
        <v>33</v>
      </c>
      <c r="P5193" t="s">
        <v>34</v>
      </c>
      <c r="Q5193" t="s">
        <v>34</v>
      </c>
      <c r="R5193" t="s">
        <v>34</v>
      </c>
      <c r="S5193" t="s">
        <v>34</v>
      </c>
      <c r="T5193" s="117">
        <v>0</v>
      </c>
    </row>
    <row r="5194" spans="1:21" x14ac:dyDescent="0.35">
      <c r="A5194" t="s">
        <v>19</v>
      </c>
      <c r="B5194" t="s">
        <v>25</v>
      </c>
      <c r="C5194" s="1">
        <v>45938</v>
      </c>
      <c r="D5194">
        <f t="shared" si="427"/>
        <v>8</v>
      </c>
      <c r="E5194">
        <f t="shared" si="428"/>
        <v>10</v>
      </c>
      <c r="F5194">
        <f t="shared" si="429"/>
        <v>2025</v>
      </c>
      <c r="G5194" t="s">
        <v>80</v>
      </c>
      <c r="H5194" s="139">
        <v>13656</v>
      </c>
      <c r="I5194" s="176">
        <v>19838.5</v>
      </c>
      <c r="J5194" s="12" t="s">
        <v>31</v>
      </c>
      <c r="K5194" s="76">
        <f t="shared" si="426"/>
        <v>19838.5</v>
      </c>
      <c r="L5194">
        <v>1</v>
      </c>
      <c r="M5194" s="76">
        <v>0</v>
      </c>
      <c r="N5194" t="s">
        <v>32</v>
      </c>
      <c r="O5194" t="s">
        <v>33</v>
      </c>
      <c r="P5194" t="s">
        <v>34</v>
      </c>
      <c r="Q5194" t="s">
        <v>34</v>
      </c>
      <c r="R5194" t="s">
        <v>34</v>
      </c>
      <c r="S5194" t="s">
        <v>34</v>
      </c>
      <c r="T5194" s="117">
        <v>0</v>
      </c>
    </row>
    <row r="5195" spans="1:21" x14ac:dyDescent="0.35">
      <c r="A5195" t="s">
        <v>19</v>
      </c>
      <c r="B5195" t="s">
        <v>25</v>
      </c>
      <c r="C5195" s="1">
        <v>45938</v>
      </c>
      <c r="D5195">
        <f t="shared" si="427"/>
        <v>8</v>
      </c>
      <c r="E5195">
        <f t="shared" si="428"/>
        <v>10</v>
      </c>
      <c r="F5195">
        <f t="shared" si="429"/>
        <v>2025</v>
      </c>
      <c r="G5195" t="s">
        <v>80</v>
      </c>
      <c r="H5195" s="139">
        <v>13806</v>
      </c>
      <c r="I5195" s="176">
        <v>32867.5</v>
      </c>
      <c r="J5195" s="12" t="s">
        <v>31</v>
      </c>
      <c r="K5195" s="76">
        <f t="shared" si="426"/>
        <v>32867.5</v>
      </c>
      <c r="L5195">
        <v>1</v>
      </c>
      <c r="M5195" s="76">
        <v>0</v>
      </c>
      <c r="N5195" t="s">
        <v>32</v>
      </c>
      <c r="O5195" t="s">
        <v>33</v>
      </c>
      <c r="P5195" t="s">
        <v>34</v>
      </c>
      <c r="Q5195" t="s">
        <v>34</v>
      </c>
      <c r="R5195" t="s">
        <v>34</v>
      </c>
      <c r="S5195" t="s">
        <v>34</v>
      </c>
      <c r="T5195" s="117">
        <v>0</v>
      </c>
    </row>
    <row r="5196" spans="1:21" x14ac:dyDescent="0.35">
      <c r="A5196" t="s">
        <v>19</v>
      </c>
      <c r="B5196" t="s">
        <v>26</v>
      </c>
      <c r="C5196" s="1">
        <v>45940</v>
      </c>
      <c r="D5196">
        <f t="shared" si="427"/>
        <v>10</v>
      </c>
      <c r="E5196">
        <f t="shared" si="428"/>
        <v>10</v>
      </c>
      <c r="F5196">
        <f t="shared" si="429"/>
        <v>2025</v>
      </c>
      <c r="G5196" t="s">
        <v>73</v>
      </c>
      <c r="H5196" s="139">
        <v>13825</v>
      </c>
      <c r="I5196" s="15">
        <v>35965.85</v>
      </c>
      <c r="J5196" s="12" t="s">
        <v>51</v>
      </c>
      <c r="K5196" s="76">
        <f t="shared" si="426"/>
        <v>41662.840640000002</v>
      </c>
      <c r="L5196">
        <v>1.1584000000000001</v>
      </c>
      <c r="M5196" s="76">
        <v>0</v>
      </c>
      <c r="N5196" t="s">
        <v>32</v>
      </c>
      <c r="O5196" t="s">
        <v>33</v>
      </c>
      <c r="P5196" t="s">
        <v>34</v>
      </c>
      <c r="Q5196" t="s">
        <v>34</v>
      </c>
      <c r="R5196" t="s">
        <v>34</v>
      </c>
      <c r="S5196" t="s">
        <v>34</v>
      </c>
      <c r="T5196" s="117">
        <v>0</v>
      </c>
      <c r="U5196" s="209" t="s">
        <v>94</v>
      </c>
    </row>
    <row r="5197" spans="1:21" x14ac:dyDescent="0.35">
      <c r="A5197" t="s">
        <v>19</v>
      </c>
      <c r="B5197" t="s">
        <v>26</v>
      </c>
      <c r="C5197" s="1">
        <v>45940</v>
      </c>
      <c r="D5197">
        <f t="shared" si="427"/>
        <v>10</v>
      </c>
      <c r="E5197">
        <f t="shared" si="428"/>
        <v>10</v>
      </c>
      <c r="F5197">
        <f t="shared" si="429"/>
        <v>2025</v>
      </c>
      <c r="G5197" t="s">
        <v>73</v>
      </c>
      <c r="H5197" s="139">
        <v>13826</v>
      </c>
      <c r="I5197" s="15">
        <v>53041.96</v>
      </c>
      <c r="J5197" s="12" t="s">
        <v>51</v>
      </c>
      <c r="K5197" s="76">
        <f t="shared" si="426"/>
        <v>61443.806464000001</v>
      </c>
      <c r="L5197">
        <v>1.1584000000000001</v>
      </c>
      <c r="M5197" s="76">
        <v>0</v>
      </c>
      <c r="N5197" t="s">
        <v>32</v>
      </c>
      <c r="O5197" t="s">
        <v>33</v>
      </c>
      <c r="P5197" t="s">
        <v>34</v>
      </c>
      <c r="Q5197" t="s">
        <v>34</v>
      </c>
      <c r="R5197" t="s">
        <v>34</v>
      </c>
      <c r="S5197" t="s">
        <v>34</v>
      </c>
      <c r="T5197" s="117">
        <v>0</v>
      </c>
      <c r="U5197" s="209" t="s">
        <v>94</v>
      </c>
    </row>
    <row r="5198" spans="1:21" x14ac:dyDescent="0.35">
      <c r="A5198" t="s">
        <v>19</v>
      </c>
      <c r="B5198" t="s">
        <v>26</v>
      </c>
      <c r="C5198" s="1">
        <v>45940</v>
      </c>
      <c r="D5198">
        <f t="shared" si="427"/>
        <v>10</v>
      </c>
      <c r="E5198">
        <f t="shared" si="428"/>
        <v>10</v>
      </c>
      <c r="F5198">
        <f t="shared" si="429"/>
        <v>2025</v>
      </c>
      <c r="G5198" t="s">
        <v>73</v>
      </c>
      <c r="H5198" s="139">
        <v>13846</v>
      </c>
      <c r="I5198" s="15">
        <v>71675.92</v>
      </c>
      <c r="J5198" s="12" t="s">
        <v>51</v>
      </c>
      <c r="K5198" s="76">
        <f t="shared" si="426"/>
        <v>83029.385728000008</v>
      </c>
      <c r="L5198">
        <v>1.1584000000000001</v>
      </c>
      <c r="M5198" s="76">
        <v>0</v>
      </c>
      <c r="N5198" t="s">
        <v>32</v>
      </c>
      <c r="O5198" t="s">
        <v>33</v>
      </c>
      <c r="P5198" t="s">
        <v>34</v>
      </c>
      <c r="Q5198" t="s">
        <v>34</v>
      </c>
      <c r="R5198" t="s">
        <v>34</v>
      </c>
      <c r="S5198" t="s">
        <v>34</v>
      </c>
      <c r="T5198" s="117">
        <v>0</v>
      </c>
      <c r="U5198" s="209" t="s">
        <v>94</v>
      </c>
    </row>
    <row r="5199" spans="1:21" x14ac:dyDescent="0.35">
      <c r="A5199" t="s">
        <v>19</v>
      </c>
      <c r="B5199" t="s">
        <v>26</v>
      </c>
      <c r="C5199" s="1">
        <v>45940</v>
      </c>
      <c r="D5199">
        <f t="shared" si="427"/>
        <v>10</v>
      </c>
      <c r="E5199">
        <f t="shared" si="428"/>
        <v>10</v>
      </c>
      <c r="F5199">
        <f t="shared" si="429"/>
        <v>2025</v>
      </c>
      <c r="G5199" t="s">
        <v>73</v>
      </c>
      <c r="H5199" s="139">
        <v>13850</v>
      </c>
      <c r="I5199" s="15">
        <v>26598.82</v>
      </c>
      <c r="J5199" s="12" t="s">
        <v>51</v>
      </c>
      <c r="K5199" s="76">
        <f t="shared" si="426"/>
        <v>30812.073088000001</v>
      </c>
      <c r="L5199">
        <v>1.1584000000000001</v>
      </c>
      <c r="M5199" s="76">
        <v>0</v>
      </c>
      <c r="N5199" t="s">
        <v>32</v>
      </c>
      <c r="O5199" t="s">
        <v>33</v>
      </c>
      <c r="P5199" t="s">
        <v>34</v>
      </c>
      <c r="Q5199" t="s">
        <v>34</v>
      </c>
      <c r="R5199" t="s">
        <v>34</v>
      </c>
      <c r="S5199" t="s">
        <v>34</v>
      </c>
      <c r="T5199" s="117">
        <v>0</v>
      </c>
      <c r="U5199" s="209" t="s">
        <v>94</v>
      </c>
    </row>
    <row r="5200" spans="1:21" x14ac:dyDescent="0.35">
      <c r="A5200" t="s">
        <v>19</v>
      </c>
      <c r="B5200" t="s">
        <v>26</v>
      </c>
      <c r="C5200" s="1">
        <v>45940</v>
      </c>
      <c r="D5200">
        <f t="shared" ref="D5200:D5201" si="435">DAY(C5200)</f>
        <v>10</v>
      </c>
      <c r="E5200">
        <f t="shared" ref="E5200:E5201" si="436">MONTH(C5200)</f>
        <v>10</v>
      </c>
      <c r="F5200">
        <f t="shared" ref="F5200:F5201" si="437">YEAR(C5200)</f>
        <v>2025</v>
      </c>
      <c r="G5200" t="s">
        <v>73</v>
      </c>
      <c r="H5200" s="139">
        <v>13858</v>
      </c>
      <c r="I5200" s="15">
        <v>56944.32</v>
      </c>
      <c r="J5200" s="12" t="s">
        <v>51</v>
      </c>
      <c r="K5200" s="76">
        <f t="shared" si="426"/>
        <v>65964.300287999999</v>
      </c>
      <c r="L5200">
        <v>1.1584000000000001</v>
      </c>
      <c r="M5200" s="76">
        <v>0</v>
      </c>
      <c r="N5200" t="s">
        <v>32</v>
      </c>
      <c r="O5200" t="s">
        <v>33</v>
      </c>
      <c r="P5200" t="s">
        <v>34</v>
      </c>
      <c r="Q5200" t="s">
        <v>34</v>
      </c>
      <c r="R5200" t="s">
        <v>34</v>
      </c>
      <c r="S5200" t="s">
        <v>34</v>
      </c>
      <c r="T5200" s="117">
        <v>0</v>
      </c>
      <c r="U5200" s="209" t="s">
        <v>94</v>
      </c>
    </row>
    <row r="5201" spans="1:21" x14ac:dyDescent="0.35">
      <c r="A5201" t="s">
        <v>19</v>
      </c>
      <c r="B5201" t="s">
        <v>26</v>
      </c>
      <c r="C5201" s="1">
        <v>45940</v>
      </c>
      <c r="D5201">
        <f t="shared" si="435"/>
        <v>10</v>
      </c>
      <c r="E5201">
        <f t="shared" si="436"/>
        <v>10</v>
      </c>
      <c r="F5201">
        <f t="shared" si="437"/>
        <v>2025</v>
      </c>
      <c r="G5201" t="s">
        <v>73</v>
      </c>
      <c r="H5201" s="139">
        <v>0</v>
      </c>
      <c r="I5201" s="15">
        <v>19753.8</v>
      </c>
      <c r="J5201" s="12" t="s">
        <v>51</v>
      </c>
      <c r="K5201" s="76">
        <f t="shared" si="426"/>
        <v>22882.801920000002</v>
      </c>
      <c r="L5201">
        <v>1.1584000000000001</v>
      </c>
      <c r="M5201" s="76">
        <v>0</v>
      </c>
      <c r="N5201" t="s">
        <v>32</v>
      </c>
      <c r="O5201" t="s">
        <v>33</v>
      </c>
      <c r="P5201" t="s">
        <v>34</v>
      </c>
      <c r="Q5201" t="s">
        <v>34</v>
      </c>
      <c r="R5201" t="s">
        <v>34</v>
      </c>
      <c r="S5201" t="s">
        <v>34</v>
      </c>
      <c r="T5201" s="117">
        <v>0</v>
      </c>
      <c r="U5201" s="209" t="s">
        <v>94</v>
      </c>
    </row>
    <row r="5202" spans="1:21" x14ac:dyDescent="0.35">
      <c r="A5202" t="s">
        <v>20</v>
      </c>
      <c r="B5202" t="s">
        <v>21</v>
      </c>
      <c r="C5202" s="1">
        <v>45938</v>
      </c>
      <c r="D5202">
        <f t="shared" si="420"/>
        <v>8</v>
      </c>
      <c r="E5202">
        <f t="shared" si="421"/>
        <v>10</v>
      </c>
      <c r="F5202">
        <f t="shared" si="422"/>
        <v>2025</v>
      </c>
      <c r="G5202" t="s">
        <v>118</v>
      </c>
      <c r="H5202" s="139">
        <v>13304</v>
      </c>
      <c r="I5202" s="194">
        <v>9375.0639999999985</v>
      </c>
      <c r="J5202" s="12" t="s">
        <v>31</v>
      </c>
      <c r="K5202" s="76">
        <f t="shared" ref="K5202:K5205" si="438">IF(J5202="USD",I5202,I5202*L5202)</f>
        <v>9375.0639999999985</v>
      </c>
      <c r="L5202">
        <v>1</v>
      </c>
      <c r="M5202" s="76">
        <v>0</v>
      </c>
      <c r="N5202" t="s">
        <v>32</v>
      </c>
      <c r="O5202" t="s">
        <v>33</v>
      </c>
      <c r="P5202" t="s">
        <v>34</v>
      </c>
      <c r="Q5202" t="s">
        <v>34</v>
      </c>
      <c r="R5202" t="s">
        <v>34</v>
      </c>
      <c r="S5202" t="s">
        <v>34</v>
      </c>
      <c r="T5202" s="117">
        <v>0</v>
      </c>
    </row>
    <row r="5203" spans="1:21" x14ac:dyDescent="0.35">
      <c r="A5203" t="s">
        <v>20</v>
      </c>
      <c r="B5203" t="s">
        <v>23</v>
      </c>
      <c r="C5203" s="1">
        <v>45938</v>
      </c>
      <c r="D5203">
        <f t="shared" si="420"/>
        <v>8</v>
      </c>
      <c r="E5203">
        <f t="shared" si="421"/>
        <v>10</v>
      </c>
      <c r="F5203">
        <f t="shared" si="422"/>
        <v>2025</v>
      </c>
      <c r="G5203" t="s">
        <v>118</v>
      </c>
      <c r="H5203" s="139">
        <v>13304</v>
      </c>
      <c r="I5203" s="194">
        <v>5076</v>
      </c>
      <c r="J5203" s="12" t="s">
        <v>31</v>
      </c>
      <c r="K5203" s="76">
        <f t="shared" si="438"/>
        <v>5076</v>
      </c>
      <c r="L5203">
        <v>1</v>
      </c>
      <c r="M5203" s="76">
        <v>0</v>
      </c>
      <c r="N5203" t="s">
        <v>32</v>
      </c>
      <c r="O5203" t="s">
        <v>33</v>
      </c>
      <c r="P5203" t="s">
        <v>34</v>
      </c>
      <c r="Q5203" t="s">
        <v>34</v>
      </c>
      <c r="R5203" t="s">
        <v>34</v>
      </c>
      <c r="S5203" t="s">
        <v>34</v>
      </c>
      <c r="T5203" s="117">
        <v>0</v>
      </c>
    </row>
    <row r="5204" spans="1:21" x14ac:dyDescent="0.35">
      <c r="A5204" t="s">
        <v>20</v>
      </c>
      <c r="B5204" t="s">
        <v>23</v>
      </c>
      <c r="C5204" s="1">
        <v>45938</v>
      </c>
      <c r="D5204">
        <f t="shared" si="420"/>
        <v>8</v>
      </c>
      <c r="E5204">
        <f t="shared" si="421"/>
        <v>10</v>
      </c>
      <c r="F5204">
        <f t="shared" si="422"/>
        <v>2025</v>
      </c>
      <c r="G5204" t="s">
        <v>118</v>
      </c>
      <c r="H5204" s="139">
        <v>13872</v>
      </c>
      <c r="I5204" s="194">
        <v>26.5</v>
      </c>
      <c r="J5204" s="12" t="s">
        <v>31</v>
      </c>
      <c r="K5204" s="76">
        <f t="shared" si="438"/>
        <v>26.5</v>
      </c>
      <c r="L5204">
        <v>1</v>
      </c>
      <c r="M5204" s="76">
        <v>0</v>
      </c>
      <c r="N5204" t="s">
        <v>42</v>
      </c>
      <c r="O5204" t="s">
        <v>33</v>
      </c>
      <c r="P5204" t="s">
        <v>34</v>
      </c>
      <c r="Q5204" t="s">
        <v>34</v>
      </c>
      <c r="R5204" t="s">
        <v>34</v>
      </c>
      <c r="S5204" t="s">
        <v>34</v>
      </c>
      <c r="T5204" s="117">
        <v>0</v>
      </c>
    </row>
    <row r="5205" spans="1:21" x14ac:dyDescent="0.35">
      <c r="A5205" t="s">
        <v>20</v>
      </c>
      <c r="B5205" t="s">
        <v>23</v>
      </c>
      <c r="C5205" s="1">
        <v>45938</v>
      </c>
      <c r="D5205">
        <f t="shared" si="420"/>
        <v>8</v>
      </c>
      <c r="E5205">
        <f t="shared" si="421"/>
        <v>10</v>
      </c>
      <c r="F5205">
        <f t="shared" si="422"/>
        <v>2025</v>
      </c>
      <c r="G5205" t="s">
        <v>118</v>
      </c>
      <c r="H5205" s="98">
        <v>13760</v>
      </c>
      <c r="I5205" s="194">
        <v>530</v>
      </c>
      <c r="J5205" s="12" t="s">
        <v>31</v>
      </c>
      <c r="K5205" s="76">
        <f t="shared" si="438"/>
        <v>530</v>
      </c>
      <c r="L5205">
        <v>1</v>
      </c>
      <c r="M5205" s="76">
        <v>0</v>
      </c>
      <c r="N5205" t="s">
        <v>42</v>
      </c>
      <c r="O5205" t="s">
        <v>33</v>
      </c>
      <c r="P5205" t="s">
        <v>34</v>
      </c>
      <c r="Q5205" t="s">
        <v>34</v>
      </c>
      <c r="R5205" t="s">
        <v>34</v>
      </c>
      <c r="S5205" t="s">
        <v>34</v>
      </c>
      <c r="T5205" s="117">
        <v>0</v>
      </c>
      <c r="U5205" s="211">
        <v>13873</v>
      </c>
    </row>
    <row r="5206" spans="1:21" x14ac:dyDescent="0.35">
      <c r="A5206" t="s">
        <v>20</v>
      </c>
      <c r="B5206" t="s">
        <v>23</v>
      </c>
      <c r="C5206" s="1">
        <v>45938</v>
      </c>
      <c r="D5206">
        <f t="shared" si="420"/>
        <v>8</v>
      </c>
      <c r="E5206">
        <f t="shared" si="421"/>
        <v>10</v>
      </c>
      <c r="F5206">
        <f t="shared" si="422"/>
        <v>2025</v>
      </c>
      <c r="G5206" t="s">
        <v>82</v>
      </c>
      <c r="H5206" s="139">
        <v>12937</v>
      </c>
      <c r="I5206" s="194">
        <v>7935.44</v>
      </c>
      <c r="J5206" s="12" t="s">
        <v>31</v>
      </c>
      <c r="K5206" s="76">
        <f t="shared" ref="K5206:K5207" si="439">IF(J5206="USD",I5206,I5206*L5206)</f>
        <v>7935.44</v>
      </c>
      <c r="L5206">
        <v>1</v>
      </c>
      <c r="M5206" s="76">
        <v>0</v>
      </c>
      <c r="N5206" t="s">
        <v>32</v>
      </c>
      <c r="O5206" t="s">
        <v>33</v>
      </c>
      <c r="P5206" t="s">
        <v>34</v>
      </c>
      <c r="Q5206" t="s">
        <v>34</v>
      </c>
      <c r="R5206" t="s">
        <v>34</v>
      </c>
      <c r="S5206" t="s">
        <v>34</v>
      </c>
      <c r="T5206" s="117">
        <v>0</v>
      </c>
    </row>
    <row r="5207" spans="1:21" x14ac:dyDescent="0.35">
      <c r="A5207" t="s">
        <v>20</v>
      </c>
      <c r="B5207" t="s">
        <v>24</v>
      </c>
      <c r="C5207" s="1">
        <v>45938</v>
      </c>
      <c r="D5207">
        <f t="shared" si="420"/>
        <v>8</v>
      </c>
      <c r="E5207">
        <f t="shared" si="421"/>
        <v>10</v>
      </c>
      <c r="F5207">
        <f t="shared" si="422"/>
        <v>2025</v>
      </c>
      <c r="G5207" t="s">
        <v>82</v>
      </c>
      <c r="H5207" s="139">
        <v>13466</v>
      </c>
      <c r="I5207" s="194">
        <v>72.400000000000006</v>
      </c>
      <c r="J5207" s="12" t="s">
        <v>31</v>
      </c>
      <c r="K5207" s="76">
        <f t="shared" si="439"/>
        <v>72.400000000000006</v>
      </c>
      <c r="L5207">
        <v>1</v>
      </c>
      <c r="M5207" s="76">
        <v>0</v>
      </c>
      <c r="N5207" t="s">
        <v>32</v>
      </c>
      <c r="O5207" t="s">
        <v>33</v>
      </c>
      <c r="P5207" t="s">
        <v>34</v>
      </c>
      <c r="Q5207" t="s">
        <v>34</v>
      </c>
      <c r="R5207" t="s">
        <v>34</v>
      </c>
      <c r="S5207" t="s">
        <v>34</v>
      </c>
      <c r="T5207" s="117">
        <v>0</v>
      </c>
    </row>
    <row r="5208" spans="1:21" x14ac:dyDescent="0.35">
      <c r="A5208" t="s">
        <v>20</v>
      </c>
      <c r="B5208" t="s">
        <v>25</v>
      </c>
      <c r="C5208" s="1">
        <v>45938</v>
      </c>
      <c r="D5208">
        <f t="shared" si="420"/>
        <v>8</v>
      </c>
      <c r="E5208">
        <f t="shared" si="421"/>
        <v>10</v>
      </c>
      <c r="F5208">
        <f t="shared" si="422"/>
        <v>2025</v>
      </c>
      <c r="G5208" t="s">
        <v>1327</v>
      </c>
      <c r="H5208" s="139">
        <v>13782</v>
      </c>
      <c r="I5208" s="194">
        <v>405.5</v>
      </c>
      <c r="J5208" s="12" t="s">
        <v>31</v>
      </c>
      <c r="K5208" s="76">
        <f t="shared" ref="K5208:K5209" si="440">IF(J5208="USD",I5208,I5208*L5208)</f>
        <v>405.5</v>
      </c>
      <c r="L5208">
        <v>1</v>
      </c>
      <c r="M5208" s="76">
        <v>0</v>
      </c>
      <c r="N5208" t="s">
        <v>32</v>
      </c>
      <c r="O5208" t="s">
        <v>33</v>
      </c>
      <c r="P5208" t="s">
        <v>34</v>
      </c>
      <c r="Q5208" t="s">
        <v>34</v>
      </c>
      <c r="R5208" t="s">
        <v>34</v>
      </c>
      <c r="S5208" t="s">
        <v>34</v>
      </c>
      <c r="T5208" s="117">
        <v>0</v>
      </c>
    </row>
    <row r="5209" spans="1:21" x14ac:dyDescent="0.35">
      <c r="A5209" t="s">
        <v>20</v>
      </c>
      <c r="B5209" t="s">
        <v>21</v>
      </c>
      <c r="C5209" s="1">
        <v>45938</v>
      </c>
      <c r="D5209">
        <f t="shared" si="420"/>
        <v>8</v>
      </c>
      <c r="E5209">
        <f t="shared" si="421"/>
        <v>10</v>
      </c>
      <c r="F5209">
        <f t="shared" si="422"/>
        <v>2025</v>
      </c>
      <c r="G5209" t="s">
        <v>595</v>
      </c>
      <c r="H5209" s="139">
        <v>12910</v>
      </c>
      <c r="I5209" s="194">
        <v>67</v>
      </c>
      <c r="J5209" s="12" t="s">
        <v>31</v>
      </c>
      <c r="K5209" s="76">
        <f t="shared" si="440"/>
        <v>67</v>
      </c>
      <c r="L5209">
        <v>1</v>
      </c>
      <c r="M5209" s="76">
        <v>0</v>
      </c>
      <c r="N5209" t="s">
        <v>32</v>
      </c>
      <c r="O5209" t="s">
        <v>33</v>
      </c>
      <c r="P5209" t="s">
        <v>34</v>
      </c>
      <c r="Q5209" t="s">
        <v>34</v>
      </c>
      <c r="R5209" t="s">
        <v>34</v>
      </c>
      <c r="S5209" t="s">
        <v>34</v>
      </c>
      <c r="T5209" s="117">
        <v>0</v>
      </c>
    </row>
    <row r="5210" spans="1:21" x14ac:dyDescent="0.35">
      <c r="A5210" t="s">
        <v>20</v>
      </c>
      <c r="B5210" t="s">
        <v>21</v>
      </c>
      <c r="C5210" s="1">
        <v>45938</v>
      </c>
      <c r="D5210">
        <f t="shared" si="420"/>
        <v>8</v>
      </c>
      <c r="E5210">
        <f t="shared" si="421"/>
        <v>10</v>
      </c>
      <c r="F5210">
        <f t="shared" si="422"/>
        <v>2025</v>
      </c>
      <c r="G5210" t="s">
        <v>595</v>
      </c>
      <c r="H5210" s="139">
        <v>12723</v>
      </c>
      <c r="I5210" s="194">
        <v>65</v>
      </c>
      <c r="J5210" s="12" t="s">
        <v>31</v>
      </c>
      <c r="K5210" s="76">
        <f t="shared" ref="K5210:K5211" si="441">IF(J5210="USD",I5210,I5210*L5210)</f>
        <v>65</v>
      </c>
      <c r="L5210">
        <v>1</v>
      </c>
      <c r="M5210" s="76">
        <v>0</v>
      </c>
      <c r="N5210" t="s">
        <v>32</v>
      </c>
      <c r="O5210" t="s">
        <v>33</v>
      </c>
      <c r="P5210" t="s">
        <v>34</v>
      </c>
      <c r="Q5210" t="s">
        <v>34</v>
      </c>
      <c r="R5210" t="s">
        <v>34</v>
      </c>
      <c r="S5210" t="s">
        <v>34</v>
      </c>
      <c r="T5210" s="117">
        <v>0</v>
      </c>
    </row>
    <row r="5211" spans="1:21" x14ac:dyDescent="0.35">
      <c r="A5211" t="s">
        <v>20</v>
      </c>
      <c r="B5211" t="s">
        <v>21</v>
      </c>
      <c r="C5211" s="1">
        <v>45938</v>
      </c>
      <c r="D5211">
        <f t="shared" si="420"/>
        <v>8</v>
      </c>
      <c r="E5211">
        <f t="shared" si="421"/>
        <v>10</v>
      </c>
      <c r="F5211">
        <f t="shared" si="422"/>
        <v>2025</v>
      </c>
      <c r="G5211" t="s">
        <v>595</v>
      </c>
      <c r="H5211" s="139">
        <v>13538</v>
      </c>
      <c r="I5211" s="194">
        <v>1252.8</v>
      </c>
      <c r="J5211" s="12" t="s">
        <v>31</v>
      </c>
      <c r="K5211" s="76">
        <f t="shared" si="441"/>
        <v>1252.8</v>
      </c>
      <c r="L5211">
        <v>1</v>
      </c>
      <c r="M5211" s="76">
        <v>0</v>
      </c>
      <c r="N5211" t="s">
        <v>32</v>
      </c>
      <c r="O5211" t="s">
        <v>33</v>
      </c>
      <c r="P5211" t="s">
        <v>34</v>
      </c>
      <c r="Q5211" t="s">
        <v>34</v>
      </c>
      <c r="R5211" t="s">
        <v>34</v>
      </c>
      <c r="S5211" t="s">
        <v>34</v>
      </c>
      <c r="T5211" s="117">
        <v>0</v>
      </c>
      <c r="U5211" s="139">
        <v>13876</v>
      </c>
    </row>
    <row r="5212" spans="1:21" x14ac:dyDescent="0.35">
      <c r="A5212" t="s">
        <v>20</v>
      </c>
      <c r="B5212" t="s">
        <v>21</v>
      </c>
      <c r="C5212" s="1">
        <v>45938</v>
      </c>
      <c r="D5212">
        <f t="shared" si="420"/>
        <v>8</v>
      </c>
      <c r="E5212">
        <f t="shared" si="421"/>
        <v>10</v>
      </c>
      <c r="F5212">
        <f t="shared" si="422"/>
        <v>2025</v>
      </c>
      <c r="G5212" t="s">
        <v>265</v>
      </c>
      <c r="H5212" s="98">
        <v>13498</v>
      </c>
      <c r="I5212" s="194">
        <v>238</v>
      </c>
      <c r="J5212" s="12" t="s">
        <v>31</v>
      </c>
      <c r="K5212" s="76">
        <f t="shared" ref="K5212:K5215" si="442">IF(J5212="USD",I5212,I5212*L5212)</f>
        <v>238</v>
      </c>
      <c r="L5212">
        <v>1</v>
      </c>
      <c r="M5212" s="76">
        <v>0</v>
      </c>
      <c r="N5212" t="s">
        <v>42</v>
      </c>
      <c r="O5212" t="s">
        <v>33</v>
      </c>
      <c r="P5212" t="s">
        <v>34</v>
      </c>
      <c r="Q5212" t="s">
        <v>34</v>
      </c>
      <c r="R5212" t="s">
        <v>34</v>
      </c>
      <c r="S5212" t="s">
        <v>34</v>
      </c>
      <c r="T5212" s="117">
        <v>0</v>
      </c>
    </row>
    <row r="5213" spans="1:21" x14ac:dyDescent="0.35">
      <c r="A5213" t="s">
        <v>20</v>
      </c>
      <c r="B5213" t="s">
        <v>21</v>
      </c>
      <c r="C5213" s="1">
        <v>45938</v>
      </c>
      <c r="D5213">
        <f t="shared" si="420"/>
        <v>8</v>
      </c>
      <c r="E5213">
        <f t="shared" si="421"/>
        <v>10</v>
      </c>
      <c r="F5213">
        <f t="shared" si="422"/>
        <v>2025</v>
      </c>
      <c r="G5213" t="s">
        <v>265</v>
      </c>
      <c r="H5213" s="98">
        <v>13498</v>
      </c>
      <c r="I5213" s="194">
        <v>1676.93</v>
      </c>
      <c r="J5213" s="12" t="s">
        <v>31</v>
      </c>
      <c r="K5213" s="76">
        <f t="shared" si="442"/>
        <v>1676.93</v>
      </c>
      <c r="L5213">
        <v>1</v>
      </c>
      <c r="M5213" s="76">
        <v>0</v>
      </c>
      <c r="N5213" t="s">
        <v>42</v>
      </c>
      <c r="O5213" t="s">
        <v>33</v>
      </c>
      <c r="P5213" t="s">
        <v>34</v>
      </c>
      <c r="Q5213" t="s">
        <v>34</v>
      </c>
      <c r="R5213" t="s">
        <v>34</v>
      </c>
      <c r="S5213" t="s">
        <v>34</v>
      </c>
      <c r="T5213" s="117">
        <v>0</v>
      </c>
    </row>
    <row r="5214" spans="1:21" x14ac:dyDescent="0.35">
      <c r="A5214" t="s">
        <v>20</v>
      </c>
      <c r="B5214" t="s">
        <v>23</v>
      </c>
      <c r="C5214" s="1">
        <v>45938</v>
      </c>
      <c r="D5214">
        <f t="shared" ref="D5214:D5246" si="443">DAY(C5214)</f>
        <v>8</v>
      </c>
      <c r="E5214">
        <f t="shared" ref="E5214:E5246" si="444">MONTH(C5214)</f>
        <v>10</v>
      </c>
      <c r="F5214">
        <f t="shared" ref="F5214:F5246" si="445">YEAR(C5214)</f>
        <v>2025</v>
      </c>
      <c r="G5214" t="s">
        <v>265</v>
      </c>
      <c r="H5214" s="139">
        <v>13874</v>
      </c>
      <c r="I5214" s="194">
        <v>48</v>
      </c>
      <c r="J5214" s="12" t="s">
        <v>31</v>
      </c>
      <c r="K5214" s="76">
        <f t="shared" si="442"/>
        <v>48</v>
      </c>
      <c r="L5214">
        <v>1</v>
      </c>
      <c r="M5214" s="76">
        <v>0</v>
      </c>
      <c r="N5214" t="s">
        <v>42</v>
      </c>
      <c r="O5214" t="s">
        <v>33</v>
      </c>
      <c r="P5214" t="s">
        <v>34</v>
      </c>
      <c r="Q5214" t="s">
        <v>34</v>
      </c>
      <c r="R5214" t="s">
        <v>34</v>
      </c>
      <c r="S5214" t="s">
        <v>34</v>
      </c>
      <c r="T5214" s="117">
        <v>0</v>
      </c>
    </row>
    <row r="5215" spans="1:21" x14ac:dyDescent="0.35">
      <c r="A5215" t="s">
        <v>20</v>
      </c>
      <c r="B5215" t="s">
        <v>23</v>
      </c>
      <c r="C5215" s="1">
        <v>45938</v>
      </c>
      <c r="D5215">
        <f t="shared" si="443"/>
        <v>8</v>
      </c>
      <c r="E5215">
        <f t="shared" si="444"/>
        <v>10</v>
      </c>
      <c r="F5215">
        <f t="shared" si="445"/>
        <v>2025</v>
      </c>
      <c r="G5215" t="s">
        <v>265</v>
      </c>
      <c r="H5215" s="139">
        <v>13875</v>
      </c>
      <c r="I5215" s="194">
        <v>960</v>
      </c>
      <c r="J5215" s="12" t="s">
        <v>31</v>
      </c>
      <c r="K5215" s="76">
        <f t="shared" si="442"/>
        <v>960</v>
      </c>
      <c r="L5215">
        <v>1</v>
      </c>
      <c r="M5215" s="76">
        <v>0</v>
      </c>
      <c r="N5215" t="s">
        <v>42</v>
      </c>
      <c r="O5215" t="s">
        <v>33</v>
      </c>
      <c r="P5215" t="s">
        <v>34</v>
      </c>
      <c r="Q5215" t="s">
        <v>34</v>
      </c>
      <c r="R5215" t="s">
        <v>34</v>
      </c>
      <c r="S5215" t="s">
        <v>34</v>
      </c>
      <c r="T5215" s="117">
        <v>0</v>
      </c>
    </row>
    <row r="5216" spans="1:21" x14ac:dyDescent="0.35">
      <c r="A5216" t="s">
        <v>20</v>
      </c>
      <c r="B5216" t="s">
        <v>21</v>
      </c>
      <c r="C5216" s="1">
        <v>45938</v>
      </c>
      <c r="D5216">
        <f t="shared" si="443"/>
        <v>8</v>
      </c>
      <c r="E5216">
        <f t="shared" si="444"/>
        <v>10</v>
      </c>
      <c r="F5216">
        <f t="shared" si="445"/>
        <v>2025</v>
      </c>
      <c r="G5216" t="s">
        <v>47</v>
      </c>
      <c r="H5216" s="139">
        <v>13375</v>
      </c>
      <c r="I5216" s="194">
        <v>4241.01</v>
      </c>
      <c r="J5216" s="12" t="s">
        <v>31</v>
      </c>
      <c r="K5216" s="76">
        <f t="shared" ref="K5216:K5227" si="446">IF(J5216="USD",I5216,I5216*L5216)</f>
        <v>4241.01</v>
      </c>
      <c r="L5216">
        <v>1</v>
      </c>
      <c r="M5216" s="76">
        <v>0</v>
      </c>
      <c r="N5216" t="s">
        <v>32</v>
      </c>
      <c r="O5216" t="s">
        <v>33</v>
      </c>
      <c r="P5216" t="s">
        <v>34</v>
      </c>
      <c r="Q5216" t="s">
        <v>34</v>
      </c>
      <c r="R5216" t="s">
        <v>34</v>
      </c>
      <c r="S5216" t="s">
        <v>34</v>
      </c>
      <c r="T5216" s="117">
        <v>0</v>
      </c>
    </row>
    <row r="5217" spans="1:20" x14ac:dyDescent="0.35">
      <c r="A5217" t="s">
        <v>20</v>
      </c>
      <c r="B5217" t="s">
        <v>21</v>
      </c>
      <c r="C5217" s="1">
        <v>45938</v>
      </c>
      <c r="D5217">
        <f t="shared" si="443"/>
        <v>8</v>
      </c>
      <c r="E5217">
        <f t="shared" si="444"/>
        <v>10</v>
      </c>
      <c r="F5217">
        <f t="shared" si="445"/>
        <v>2025</v>
      </c>
      <c r="G5217" t="s">
        <v>1238</v>
      </c>
      <c r="H5217" s="139">
        <v>13879</v>
      </c>
      <c r="I5217" s="194">
        <v>74.099999999999994</v>
      </c>
      <c r="J5217" s="12" t="s">
        <v>31</v>
      </c>
      <c r="K5217" s="76">
        <f t="shared" si="446"/>
        <v>74.099999999999994</v>
      </c>
      <c r="L5217">
        <v>1</v>
      </c>
      <c r="M5217" s="76">
        <v>0</v>
      </c>
      <c r="N5217" t="s">
        <v>42</v>
      </c>
      <c r="O5217" t="s">
        <v>33</v>
      </c>
      <c r="P5217" t="s">
        <v>34</v>
      </c>
      <c r="Q5217" t="s">
        <v>34</v>
      </c>
      <c r="R5217" t="s">
        <v>34</v>
      </c>
      <c r="S5217" t="s">
        <v>34</v>
      </c>
      <c r="T5217" s="117">
        <v>0</v>
      </c>
    </row>
    <row r="5218" spans="1:20" x14ac:dyDescent="0.35">
      <c r="A5218" t="s">
        <v>20</v>
      </c>
      <c r="B5218" t="s">
        <v>21</v>
      </c>
      <c r="C5218" s="1">
        <v>45938</v>
      </c>
      <c r="D5218">
        <f t="shared" si="443"/>
        <v>8</v>
      </c>
      <c r="E5218">
        <f t="shared" si="444"/>
        <v>10</v>
      </c>
      <c r="F5218">
        <f t="shared" si="445"/>
        <v>2025</v>
      </c>
      <c r="G5218" t="s">
        <v>1238</v>
      </c>
      <c r="H5218" s="139">
        <v>13880</v>
      </c>
      <c r="I5218" s="194">
        <v>6589.91</v>
      </c>
      <c r="J5218" s="12" t="s">
        <v>31</v>
      </c>
      <c r="K5218" s="76">
        <f t="shared" si="446"/>
        <v>6589.91</v>
      </c>
      <c r="L5218">
        <v>1</v>
      </c>
      <c r="M5218" s="76">
        <v>0</v>
      </c>
      <c r="N5218" t="s">
        <v>42</v>
      </c>
      <c r="O5218" t="s">
        <v>33</v>
      </c>
      <c r="P5218" t="s">
        <v>34</v>
      </c>
      <c r="Q5218" t="s">
        <v>34</v>
      </c>
      <c r="R5218" t="s">
        <v>34</v>
      </c>
      <c r="S5218" t="s">
        <v>34</v>
      </c>
      <c r="T5218" s="117">
        <v>0</v>
      </c>
    </row>
    <row r="5219" spans="1:20" x14ac:dyDescent="0.35">
      <c r="A5219" t="s">
        <v>20</v>
      </c>
      <c r="B5219" t="s">
        <v>21</v>
      </c>
      <c r="C5219" s="1">
        <v>45938</v>
      </c>
      <c r="D5219">
        <f t="shared" si="443"/>
        <v>8</v>
      </c>
      <c r="E5219">
        <f t="shared" si="444"/>
        <v>10</v>
      </c>
      <c r="F5219">
        <f t="shared" si="445"/>
        <v>2025</v>
      </c>
      <c r="G5219" t="s">
        <v>46</v>
      </c>
      <c r="H5219" s="139">
        <v>13529</v>
      </c>
      <c r="I5219" s="194">
        <v>9</v>
      </c>
      <c r="J5219" s="12" t="s">
        <v>31</v>
      </c>
      <c r="K5219" s="76">
        <f t="shared" si="446"/>
        <v>9</v>
      </c>
      <c r="L5219">
        <v>1</v>
      </c>
      <c r="M5219" s="76">
        <v>0</v>
      </c>
      <c r="N5219" t="s">
        <v>42</v>
      </c>
      <c r="O5219" t="s">
        <v>33</v>
      </c>
      <c r="P5219" t="s">
        <v>34</v>
      </c>
      <c r="Q5219" t="s">
        <v>34</v>
      </c>
      <c r="R5219" t="s">
        <v>34</v>
      </c>
      <c r="S5219" t="s">
        <v>34</v>
      </c>
      <c r="T5219" s="117">
        <v>0</v>
      </c>
    </row>
    <row r="5220" spans="1:20" x14ac:dyDescent="0.35">
      <c r="A5220" t="s">
        <v>20</v>
      </c>
      <c r="B5220" t="s">
        <v>25</v>
      </c>
      <c r="C5220" s="1">
        <v>45938</v>
      </c>
      <c r="D5220">
        <f t="shared" si="443"/>
        <v>8</v>
      </c>
      <c r="E5220">
        <f t="shared" si="444"/>
        <v>10</v>
      </c>
      <c r="F5220">
        <f t="shared" si="445"/>
        <v>2025</v>
      </c>
      <c r="G5220" t="s">
        <v>46</v>
      </c>
      <c r="H5220" s="139">
        <v>13529</v>
      </c>
      <c r="I5220" s="194">
        <v>5593.02</v>
      </c>
      <c r="J5220" s="12" t="s">
        <v>31</v>
      </c>
      <c r="K5220" s="76">
        <f t="shared" si="446"/>
        <v>5593.02</v>
      </c>
      <c r="L5220">
        <v>1</v>
      </c>
      <c r="M5220" s="76">
        <v>0</v>
      </c>
      <c r="N5220" t="s">
        <v>42</v>
      </c>
      <c r="O5220" t="s">
        <v>33</v>
      </c>
      <c r="P5220" t="s">
        <v>34</v>
      </c>
      <c r="Q5220" t="s">
        <v>34</v>
      </c>
      <c r="R5220" t="s">
        <v>34</v>
      </c>
      <c r="S5220" t="s">
        <v>34</v>
      </c>
      <c r="T5220" s="117">
        <v>0</v>
      </c>
    </row>
    <row r="5221" spans="1:20" x14ac:dyDescent="0.35">
      <c r="A5221" t="s">
        <v>20</v>
      </c>
      <c r="B5221" t="s">
        <v>23</v>
      </c>
      <c r="C5221" s="1">
        <v>45938</v>
      </c>
      <c r="D5221">
        <f t="shared" si="443"/>
        <v>8</v>
      </c>
      <c r="E5221">
        <f t="shared" si="444"/>
        <v>10</v>
      </c>
      <c r="F5221">
        <f t="shared" si="445"/>
        <v>2025</v>
      </c>
      <c r="G5221" t="s">
        <v>46</v>
      </c>
      <c r="H5221" s="139">
        <v>13529</v>
      </c>
      <c r="I5221" s="194">
        <v>8458.56</v>
      </c>
      <c r="J5221" s="12" t="s">
        <v>31</v>
      </c>
      <c r="K5221" s="76">
        <f t="shared" si="446"/>
        <v>8458.56</v>
      </c>
      <c r="L5221">
        <v>1</v>
      </c>
      <c r="M5221" s="76">
        <v>0</v>
      </c>
      <c r="N5221" t="s">
        <v>42</v>
      </c>
      <c r="O5221" t="s">
        <v>33</v>
      </c>
      <c r="P5221" t="s">
        <v>34</v>
      </c>
      <c r="Q5221" t="s">
        <v>34</v>
      </c>
      <c r="R5221" t="s">
        <v>34</v>
      </c>
      <c r="S5221" t="s">
        <v>34</v>
      </c>
      <c r="T5221" s="117">
        <v>0</v>
      </c>
    </row>
    <row r="5222" spans="1:20" x14ac:dyDescent="0.35">
      <c r="A5222" t="s">
        <v>20</v>
      </c>
      <c r="B5222" t="s">
        <v>21</v>
      </c>
      <c r="C5222" s="1">
        <v>45938</v>
      </c>
      <c r="D5222">
        <f t="shared" ref="D5222:D5227" si="447">DAY(C5222)</f>
        <v>8</v>
      </c>
      <c r="E5222">
        <f t="shared" ref="E5222:E5227" si="448">MONTH(C5222)</f>
        <v>10</v>
      </c>
      <c r="F5222">
        <f t="shared" ref="F5222:F5227" si="449">YEAR(C5222)</f>
        <v>2025</v>
      </c>
      <c r="G5222" t="s">
        <v>50</v>
      </c>
      <c r="H5222" s="139">
        <v>12942</v>
      </c>
      <c r="I5222" s="176">
        <v>8073</v>
      </c>
      <c r="J5222" s="12" t="s">
        <v>31</v>
      </c>
      <c r="K5222" s="76">
        <f t="shared" si="446"/>
        <v>8073</v>
      </c>
      <c r="L5222">
        <v>1</v>
      </c>
      <c r="M5222" s="76">
        <v>0</v>
      </c>
      <c r="N5222" t="s">
        <v>32</v>
      </c>
      <c r="O5222" t="s">
        <v>33</v>
      </c>
      <c r="P5222" t="s">
        <v>34</v>
      </c>
      <c r="Q5222" t="s">
        <v>34</v>
      </c>
      <c r="R5222" t="s">
        <v>34</v>
      </c>
      <c r="S5222" t="s">
        <v>34</v>
      </c>
      <c r="T5222" s="117">
        <v>0</v>
      </c>
    </row>
    <row r="5223" spans="1:20" x14ac:dyDescent="0.35">
      <c r="A5223" t="s">
        <v>20</v>
      </c>
      <c r="B5223" t="s">
        <v>24</v>
      </c>
      <c r="C5223" s="1">
        <v>45938</v>
      </c>
      <c r="D5223">
        <f t="shared" si="447"/>
        <v>8</v>
      </c>
      <c r="E5223">
        <f t="shared" si="448"/>
        <v>10</v>
      </c>
      <c r="F5223">
        <f t="shared" si="449"/>
        <v>2025</v>
      </c>
      <c r="G5223" t="s">
        <v>50</v>
      </c>
      <c r="H5223" s="139">
        <v>13217</v>
      </c>
      <c r="I5223" s="176">
        <v>36510.199999999997</v>
      </c>
      <c r="J5223" s="12" t="s">
        <v>31</v>
      </c>
      <c r="K5223" s="76">
        <f t="shared" si="446"/>
        <v>36510.199999999997</v>
      </c>
      <c r="L5223">
        <v>1</v>
      </c>
      <c r="M5223" s="76">
        <v>0</v>
      </c>
      <c r="N5223" t="s">
        <v>32</v>
      </c>
      <c r="O5223" t="s">
        <v>33</v>
      </c>
      <c r="P5223" t="s">
        <v>34</v>
      </c>
      <c r="Q5223" t="s">
        <v>34</v>
      </c>
      <c r="R5223" t="s">
        <v>34</v>
      </c>
      <c r="S5223" t="s">
        <v>34</v>
      </c>
      <c r="T5223" s="117">
        <v>0</v>
      </c>
    </row>
    <row r="5224" spans="1:20" x14ac:dyDescent="0.35">
      <c r="A5224" t="s">
        <v>20</v>
      </c>
      <c r="B5224" t="s">
        <v>21</v>
      </c>
      <c r="C5224" s="1">
        <v>45938</v>
      </c>
      <c r="D5224">
        <f t="shared" si="447"/>
        <v>8</v>
      </c>
      <c r="E5224">
        <f t="shared" si="448"/>
        <v>10</v>
      </c>
      <c r="F5224">
        <f t="shared" si="449"/>
        <v>2025</v>
      </c>
      <c r="G5224" t="s">
        <v>88</v>
      </c>
      <c r="H5224" s="139">
        <v>13120</v>
      </c>
      <c r="I5224" s="176">
        <v>74</v>
      </c>
      <c r="J5224" s="12" t="s">
        <v>31</v>
      </c>
      <c r="K5224" s="76">
        <f t="shared" si="446"/>
        <v>74</v>
      </c>
      <c r="L5224">
        <v>1</v>
      </c>
      <c r="M5224" s="76">
        <v>0</v>
      </c>
      <c r="N5224" t="s">
        <v>32</v>
      </c>
      <c r="O5224" t="s">
        <v>33</v>
      </c>
      <c r="P5224" t="s">
        <v>34</v>
      </c>
      <c r="Q5224" t="s">
        <v>34</v>
      </c>
      <c r="R5224" t="s">
        <v>34</v>
      </c>
      <c r="S5224" t="s">
        <v>34</v>
      </c>
      <c r="T5224" s="117">
        <v>0</v>
      </c>
    </row>
    <row r="5225" spans="1:20" x14ac:dyDescent="0.35">
      <c r="A5225" t="s">
        <v>20</v>
      </c>
      <c r="B5225" t="s">
        <v>21</v>
      </c>
      <c r="C5225" s="1">
        <v>45938</v>
      </c>
      <c r="D5225">
        <f t="shared" si="447"/>
        <v>8</v>
      </c>
      <c r="E5225">
        <f t="shared" si="448"/>
        <v>10</v>
      </c>
      <c r="F5225">
        <f t="shared" si="449"/>
        <v>2025</v>
      </c>
      <c r="G5225" t="s">
        <v>88</v>
      </c>
      <c r="H5225" s="139">
        <v>13121</v>
      </c>
      <c r="I5225" s="176">
        <v>13884.62</v>
      </c>
      <c r="J5225" s="12" t="s">
        <v>31</v>
      </c>
      <c r="K5225" s="76">
        <f t="shared" si="446"/>
        <v>13884.62</v>
      </c>
      <c r="L5225">
        <v>1</v>
      </c>
      <c r="M5225" s="76">
        <v>0</v>
      </c>
      <c r="N5225" t="s">
        <v>32</v>
      </c>
      <c r="O5225" t="s">
        <v>33</v>
      </c>
      <c r="P5225" t="s">
        <v>34</v>
      </c>
      <c r="Q5225" t="s">
        <v>34</v>
      </c>
      <c r="R5225" t="s">
        <v>34</v>
      </c>
      <c r="S5225" t="s">
        <v>34</v>
      </c>
      <c r="T5225" s="117">
        <v>0</v>
      </c>
    </row>
    <row r="5226" spans="1:20" x14ac:dyDescent="0.35">
      <c r="A5226" t="s">
        <v>20</v>
      </c>
      <c r="B5226" t="s">
        <v>25</v>
      </c>
      <c r="C5226" s="1">
        <v>45938</v>
      </c>
      <c r="D5226">
        <f t="shared" si="447"/>
        <v>8</v>
      </c>
      <c r="E5226">
        <f t="shared" si="448"/>
        <v>10</v>
      </c>
      <c r="F5226">
        <f t="shared" si="449"/>
        <v>2025</v>
      </c>
      <c r="G5226" t="s">
        <v>84</v>
      </c>
      <c r="H5226" s="139">
        <v>13555</v>
      </c>
      <c r="I5226" s="176">
        <v>44795</v>
      </c>
      <c r="J5226" s="12" t="s">
        <v>31</v>
      </c>
      <c r="K5226" s="76">
        <f t="shared" si="446"/>
        <v>44795</v>
      </c>
      <c r="L5226">
        <v>1</v>
      </c>
      <c r="M5226" s="76">
        <v>0</v>
      </c>
      <c r="N5226" t="s">
        <v>32</v>
      </c>
      <c r="O5226" t="s">
        <v>33</v>
      </c>
      <c r="P5226" t="s">
        <v>34</v>
      </c>
      <c r="Q5226" t="s">
        <v>34</v>
      </c>
      <c r="R5226" t="s">
        <v>34</v>
      </c>
      <c r="S5226" t="s">
        <v>34</v>
      </c>
      <c r="T5226" s="117">
        <v>0</v>
      </c>
    </row>
    <row r="5227" spans="1:20" x14ac:dyDescent="0.35">
      <c r="A5227" t="s">
        <v>20</v>
      </c>
      <c r="B5227" t="s">
        <v>24</v>
      </c>
      <c r="C5227" s="1">
        <v>45938</v>
      </c>
      <c r="D5227">
        <f t="shared" si="447"/>
        <v>8</v>
      </c>
      <c r="E5227">
        <f t="shared" si="448"/>
        <v>10</v>
      </c>
      <c r="F5227">
        <f t="shared" si="449"/>
        <v>2025</v>
      </c>
      <c r="G5227" t="s">
        <v>1189</v>
      </c>
      <c r="H5227" s="139">
        <v>13284</v>
      </c>
      <c r="I5227" s="176">
        <v>26550</v>
      </c>
      <c r="J5227" s="12" t="s">
        <v>31</v>
      </c>
      <c r="K5227" s="76">
        <f t="shared" si="446"/>
        <v>26550</v>
      </c>
      <c r="L5227">
        <v>1</v>
      </c>
      <c r="M5227" s="76">
        <v>0</v>
      </c>
      <c r="N5227" t="s">
        <v>42</v>
      </c>
      <c r="O5227" t="s">
        <v>33</v>
      </c>
      <c r="P5227" t="s">
        <v>34</v>
      </c>
      <c r="Q5227" t="s">
        <v>34</v>
      </c>
      <c r="R5227" t="s">
        <v>34</v>
      </c>
      <c r="S5227" t="s">
        <v>34</v>
      </c>
      <c r="T5227" s="117">
        <v>0</v>
      </c>
    </row>
    <row r="5228" spans="1:20" x14ac:dyDescent="0.35">
      <c r="A5228" t="s">
        <v>19</v>
      </c>
      <c r="B5228" t="s">
        <v>19</v>
      </c>
      <c r="C5228" s="1">
        <v>45938</v>
      </c>
      <c r="D5228">
        <f t="shared" si="443"/>
        <v>8</v>
      </c>
      <c r="E5228">
        <f t="shared" si="444"/>
        <v>10</v>
      </c>
      <c r="F5228">
        <f t="shared" si="445"/>
        <v>2025</v>
      </c>
      <c r="G5228" t="s">
        <v>1327</v>
      </c>
      <c r="H5228" s="139" t="s">
        <v>1403</v>
      </c>
      <c r="I5228" s="15">
        <v>550.4</v>
      </c>
      <c r="J5228" s="12" t="s">
        <v>31</v>
      </c>
      <c r="K5228" s="76">
        <f t="shared" ref="K5228:K5239" si="450">IF(J5228="USD",I5228,I5228*L5228)</f>
        <v>550.4</v>
      </c>
      <c r="L5228">
        <v>1</v>
      </c>
      <c r="M5228" s="76">
        <v>0</v>
      </c>
      <c r="N5228" t="s">
        <v>32</v>
      </c>
      <c r="O5228" t="s">
        <v>33</v>
      </c>
      <c r="P5228" t="s">
        <v>34</v>
      </c>
      <c r="Q5228" t="s">
        <v>34</v>
      </c>
      <c r="R5228" t="s">
        <v>34</v>
      </c>
      <c r="S5228" t="s">
        <v>34</v>
      </c>
      <c r="T5228" s="117">
        <v>0</v>
      </c>
    </row>
    <row r="5229" spans="1:20" x14ac:dyDescent="0.35">
      <c r="A5229" t="s">
        <v>19</v>
      </c>
      <c r="B5229" t="s">
        <v>19</v>
      </c>
      <c r="C5229" s="1">
        <v>45938</v>
      </c>
      <c r="D5229">
        <f t="shared" si="443"/>
        <v>8</v>
      </c>
      <c r="E5229">
        <f t="shared" si="444"/>
        <v>10</v>
      </c>
      <c r="F5229">
        <f t="shared" si="445"/>
        <v>2025</v>
      </c>
      <c r="G5229" t="s">
        <v>1327</v>
      </c>
      <c r="H5229" s="139" t="s">
        <v>1404</v>
      </c>
      <c r="I5229" s="15">
        <v>76.8</v>
      </c>
      <c r="J5229" s="12" t="s">
        <v>31</v>
      </c>
      <c r="K5229" s="76">
        <f t="shared" si="450"/>
        <v>76.8</v>
      </c>
      <c r="L5229">
        <v>1</v>
      </c>
      <c r="M5229" s="76">
        <v>0</v>
      </c>
      <c r="N5229" t="s">
        <v>32</v>
      </c>
      <c r="O5229" t="s">
        <v>33</v>
      </c>
      <c r="P5229" t="s">
        <v>34</v>
      </c>
      <c r="Q5229" t="s">
        <v>34</v>
      </c>
      <c r="R5229" t="s">
        <v>34</v>
      </c>
      <c r="S5229" t="s">
        <v>34</v>
      </c>
      <c r="T5229" s="117">
        <v>0</v>
      </c>
    </row>
    <row r="5230" spans="1:20" x14ac:dyDescent="0.35">
      <c r="A5230" t="s">
        <v>19</v>
      </c>
      <c r="B5230" t="s">
        <v>19</v>
      </c>
      <c r="C5230" s="1">
        <v>45938</v>
      </c>
      <c r="D5230">
        <f t="shared" si="443"/>
        <v>8</v>
      </c>
      <c r="E5230">
        <f t="shared" si="444"/>
        <v>10</v>
      </c>
      <c r="F5230">
        <f t="shared" si="445"/>
        <v>2025</v>
      </c>
      <c r="G5230" t="s">
        <v>1327</v>
      </c>
      <c r="H5230" s="139" t="s">
        <v>1405</v>
      </c>
      <c r="I5230" s="15">
        <v>17859.2</v>
      </c>
      <c r="J5230" s="12" t="s">
        <v>31</v>
      </c>
      <c r="K5230" s="76">
        <f t="shared" si="450"/>
        <v>17859.2</v>
      </c>
      <c r="L5230">
        <v>1</v>
      </c>
      <c r="M5230" s="76">
        <v>0</v>
      </c>
      <c r="N5230" t="s">
        <v>32</v>
      </c>
      <c r="O5230" t="s">
        <v>33</v>
      </c>
      <c r="P5230" t="s">
        <v>34</v>
      </c>
      <c r="Q5230" t="s">
        <v>34</v>
      </c>
      <c r="R5230" t="s">
        <v>34</v>
      </c>
      <c r="S5230" t="s">
        <v>34</v>
      </c>
      <c r="T5230" s="117">
        <v>0</v>
      </c>
    </row>
    <row r="5231" spans="1:20" x14ac:dyDescent="0.35">
      <c r="A5231" t="s">
        <v>19</v>
      </c>
      <c r="B5231" t="s">
        <v>19</v>
      </c>
      <c r="C5231" s="1">
        <v>45939</v>
      </c>
      <c r="D5231">
        <f t="shared" si="443"/>
        <v>9</v>
      </c>
      <c r="E5231">
        <f t="shared" si="444"/>
        <v>10</v>
      </c>
      <c r="F5231">
        <f t="shared" si="445"/>
        <v>2025</v>
      </c>
      <c r="G5231" t="s">
        <v>56</v>
      </c>
      <c r="H5231" s="139" t="s">
        <v>1406</v>
      </c>
      <c r="I5231" s="15">
        <v>170308.67</v>
      </c>
      <c r="J5231" s="12" t="s">
        <v>31</v>
      </c>
      <c r="K5231" s="76">
        <f t="shared" si="450"/>
        <v>170308.67</v>
      </c>
      <c r="L5231">
        <v>1</v>
      </c>
      <c r="M5231" s="76">
        <v>0</v>
      </c>
      <c r="N5231" t="s">
        <v>32</v>
      </c>
      <c r="O5231" t="s">
        <v>33</v>
      </c>
      <c r="P5231" t="s">
        <v>34</v>
      </c>
      <c r="Q5231" t="s">
        <v>34</v>
      </c>
      <c r="R5231" t="s">
        <v>34</v>
      </c>
      <c r="S5231" t="s">
        <v>34</v>
      </c>
      <c r="T5231" s="117">
        <v>0</v>
      </c>
    </row>
    <row r="5232" spans="1:20" x14ac:dyDescent="0.35">
      <c r="A5232" t="s">
        <v>19</v>
      </c>
      <c r="B5232" t="s">
        <v>19</v>
      </c>
      <c r="C5232" s="1">
        <v>45938</v>
      </c>
      <c r="D5232">
        <f t="shared" si="443"/>
        <v>8</v>
      </c>
      <c r="E5232">
        <f t="shared" si="444"/>
        <v>10</v>
      </c>
      <c r="F5232">
        <f t="shared" si="445"/>
        <v>2025</v>
      </c>
      <c r="G5232" t="s">
        <v>1061</v>
      </c>
      <c r="H5232" s="139" t="s">
        <v>1407</v>
      </c>
      <c r="I5232" s="15">
        <v>82828.240000000005</v>
      </c>
      <c r="J5232" s="12" t="s">
        <v>31</v>
      </c>
      <c r="K5232" s="76">
        <f t="shared" si="450"/>
        <v>82828.240000000005</v>
      </c>
      <c r="L5232">
        <v>1</v>
      </c>
      <c r="M5232" s="76">
        <v>0</v>
      </c>
      <c r="N5232" t="s">
        <v>32</v>
      </c>
      <c r="O5232" t="s">
        <v>33</v>
      </c>
      <c r="P5232" t="s">
        <v>34</v>
      </c>
      <c r="Q5232" t="s">
        <v>34</v>
      </c>
      <c r="R5232" t="s">
        <v>34</v>
      </c>
      <c r="S5232" t="s">
        <v>34</v>
      </c>
      <c r="T5232" s="117">
        <v>0</v>
      </c>
    </row>
    <row r="5233" spans="1:21" x14ac:dyDescent="0.35">
      <c r="A5233" t="s">
        <v>19</v>
      </c>
      <c r="B5233" t="s">
        <v>19</v>
      </c>
      <c r="C5233" s="1">
        <v>45938</v>
      </c>
      <c r="D5233">
        <f t="shared" si="443"/>
        <v>8</v>
      </c>
      <c r="E5233">
        <f t="shared" si="444"/>
        <v>10</v>
      </c>
      <c r="F5233">
        <f t="shared" si="445"/>
        <v>2025</v>
      </c>
      <c r="G5233" t="s">
        <v>106</v>
      </c>
      <c r="H5233" s="139" t="s">
        <v>1408</v>
      </c>
      <c r="I5233" s="15">
        <v>285627.83</v>
      </c>
      <c r="J5233" s="12" t="s">
        <v>31</v>
      </c>
      <c r="K5233" s="76">
        <f t="shared" si="450"/>
        <v>285627.83</v>
      </c>
      <c r="L5233">
        <v>1</v>
      </c>
      <c r="M5233" s="76">
        <v>0</v>
      </c>
      <c r="N5233" t="s">
        <v>32</v>
      </c>
      <c r="O5233" t="s">
        <v>33</v>
      </c>
      <c r="P5233" t="s">
        <v>34</v>
      </c>
      <c r="Q5233" t="s">
        <v>34</v>
      </c>
      <c r="R5233" t="s">
        <v>34</v>
      </c>
      <c r="S5233" t="s">
        <v>34</v>
      </c>
      <c r="T5233" s="117">
        <v>0</v>
      </c>
    </row>
    <row r="5234" spans="1:21" x14ac:dyDescent="0.35">
      <c r="A5234" t="s">
        <v>19</v>
      </c>
      <c r="B5234" t="s">
        <v>19</v>
      </c>
      <c r="C5234" s="1">
        <v>45938</v>
      </c>
      <c r="D5234">
        <f t="shared" si="443"/>
        <v>8</v>
      </c>
      <c r="E5234">
        <f t="shared" si="444"/>
        <v>10</v>
      </c>
      <c r="F5234">
        <f t="shared" si="445"/>
        <v>2025</v>
      </c>
      <c r="G5234" t="s">
        <v>90</v>
      </c>
      <c r="H5234" s="139" t="s">
        <v>1409</v>
      </c>
      <c r="I5234" s="15">
        <v>22053.759999999998</v>
      </c>
      <c r="J5234" s="12" t="s">
        <v>31</v>
      </c>
      <c r="K5234" s="76">
        <f t="shared" si="450"/>
        <v>22053.759999999998</v>
      </c>
      <c r="L5234">
        <v>1</v>
      </c>
      <c r="M5234" s="76">
        <v>0</v>
      </c>
      <c r="N5234" t="s">
        <v>32</v>
      </c>
      <c r="O5234" t="s">
        <v>33</v>
      </c>
      <c r="P5234" t="s">
        <v>34</v>
      </c>
      <c r="Q5234" t="s">
        <v>34</v>
      </c>
      <c r="R5234" t="s">
        <v>34</v>
      </c>
      <c r="S5234" t="s">
        <v>34</v>
      </c>
      <c r="T5234" s="117">
        <v>0</v>
      </c>
    </row>
    <row r="5235" spans="1:21" x14ac:dyDescent="0.35">
      <c r="A5235" t="s">
        <v>19</v>
      </c>
      <c r="B5235" t="s">
        <v>19</v>
      </c>
      <c r="C5235" s="1">
        <v>45938</v>
      </c>
      <c r="D5235">
        <f t="shared" si="443"/>
        <v>8</v>
      </c>
      <c r="E5235">
        <f t="shared" si="444"/>
        <v>10</v>
      </c>
      <c r="F5235">
        <f t="shared" si="445"/>
        <v>2025</v>
      </c>
      <c r="G5235" t="s">
        <v>133</v>
      </c>
      <c r="H5235" s="139" t="s">
        <v>1410</v>
      </c>
      <c r="I5235" s="15">
        <v>96184.05</v>
      </c>
      <c r="J5235" s="12" t="s">
        <v>31</v>
      </c>
      <c r="K5235" s="76">
        <f t="shared" si="450"/>
        <v>96184.05</v>
      </c>
      <c r="L5235">
        <v>1</v>
      </c>
      <c r="M5235" s="76">
        <v>0</v>
      </c>
      <c r="N5235" t="s">
        <v>32</v>
      </c>
      <c r="O5235" t="s">
        <v>33</v>
      </c>
      <c r="P5235" t="s">
        <v>34</v>
      </c>
      <c r="Q5235" t="s">
        <v>34</v>
      </c>
      <c r="R5235" t="s">
        <v>34</v>
      </c>
      <c r="S5235" t="s">
        <v>34</v>
      </c>
      <c r="T5235" s="117">
        <v>0</v>
      </c>
    </row>
    <row r="5236" spans="1:21" x14ac:dyDescent="0.35">
      <c r="A5236" t="s">
        <v>19</v>
      </c>
      <c r="B5236" t="s">
        <v>19</v>
      </c>
      <c r="C5236" s="1">
        <v>45938</v>
      </c>
      <c r="D5236">
        <f t="shared" si="443"/>
        <v>8</v>
      </c>
      <c r="E5236">
        <f t="shared" si="444"/>
        <v>10</v>
      </c>
      <c r="F5236">
        <f t="shared" si="445"/>
        <v>2025</v>
      </c>
      <c r="G5236" t="s">
        <v>1115</v>
      </c>
      <c r="H5236" s="139" t="s">
        <v>1411</v>
      </c>
      <c r="I5236" s="15">
        <v>124552.13</v>
      </c>
      <c r="J5236" s="12" t="s">
        <v>31</v>
      </c>
      <c r="K5236" s="76">
        <f t="shared" si="450"/>
        <v>124552.13</v>
      </c>
      <c r="L5236">
        <v>1</v>
      </c>
      <c r="M5236" s="76">
        <v>0</v>
      </c>
      <c r="N5236" t="s">
        <v>32</v>
      </c>
      <c r="O5236" t="s">
        <v>33</v>
      </c>
      <c r="P5236" t="s">
        <v>34</v>
      </c>
      <c r="Q5236" t="s">
        <v>34</v>
      </c>
      <c r="R5236" t="s">
        <v>34</v>
      </c>
      <c r="S5236" t="s">
        <v>34</v>
      </c>
      <c r="T5236" s="117">
        <v>0</v>
      </c>
    </row>
    <row r="5237" spans="1:21" x14ac:dyDescent="0.35">
      <c r="A5237" t="s">
        <v>19</v>
      </c>
      <c r="B5237" t="s">
        <v>19</v>
      </c>
      <c r="C5237" s="1">
        <v>45938</v>
      </c>
      <c r="D5237">
        <f t="shared" si="443"/>
        <v>8</v>
      </c>
      <c r="E5237">
        <f t="shared" si="444"/>
        <v>10</v>
      </c>
      <c r="F5237">
        <f t="shared" si="445"/>
        <v>2025</v>
      </c>
      <c r="G5237" t="s">
        <v>54</v>
      </c>
      <c r="H5237" s="139" t="s">
        <v>1412</v>
      </c>
      <c r="I5237" s="15">
        <v>149139.79999999999</v>
      </c>
      <c r="J5237" s="12" t="s">
        <v>31</v>
      </c>
      <c r="K5237" s="76">
        <f t="shared" si="450"/>
        <v>149139.79999999999</v>
      </c>
      <c r="L5237">
        <v>1</v>
      </c>
      <c r="M5237" s="76">
        <v>0</v>
      </c>
      <c r="N5237" t="s">
        <v>32</v>
      </c>
      <c r="O5237" t="s">
        <v>33</v>
      </c>
      <c r="P5237" t="s">
        <v>34</v>
      </c>
      <c r="Q5237" t="s">
        <v>34</v>
      </c>
      <c r="R5237" t="s">
        <v>34</v>
      </c>
      <c r="S5237" t="s">
        <v>34</v>
      </c>
      <c r="T5237" s="117">
        <v>0</v>
      </c>
    </row>
    <row r="5238" spans="1:21" x14ac:dyDescent="0.35">
      <c r="A5238" t="s">
        <v>19</v>
      </c>
      <c r="B5238" t="s">
        <v>19</v>
      </c>
      <c r="C5238" s="1">
        <v>45938</v>
      </c>
      <c r="D5238">
        <f t="shared" si="443"/>
        <v>8</v>
      </c>
      <c r="E5238">
        <f t="shared" si="444"/>
        <v>10</v>
      </c>
      <c r="F5238">
        <f t="shared" si="445"/>
        <v>2025</v>
      </c>
      <c r="G5238" t="s">
        <v>750</v>
      </c>
      <c r="H5238" s="139" t="s">
        <v>1413</v>
      </c>
      <c r="I5238" s="15">
        <v>7105.54</v>
      </c>
      <c r="J5238" s="12" t="s">
        <v>31</v>
      </c>
      <c r="K5238" s="76">
        <f t="shared" si="450"/>
        <v>7105.54</v>
      </c>
      <c r="L5238">
        <v>1</v>
      </c>
      <c r="M5238" s="76">
        <v>0</v>
      </c>
      <c r="N5238" t="s">
        <v>32</v>
      </c>
      <c r="O5238" t="s">
        <v>33</v>
      </c>
      <c r="P5238" t="s">
        <v>34</v>
      </c>
      <c r="Q5238" t="s">
        <v>34</v>
      </c>
      <c r="R5238" t="s">
        <v>34</v>
      </c>
      <c r="S5238" t="s">
        <v>34</v>
      </c>
      <c r="T5238" s="117">
        <v>0</v>
      </c>
    </row>
    <row r="5239" spans="1:21" x14ac:dyDescent="0.35">
      <c r="A5239" t="s">
        <v>19</v>
      </c>
      <c r="B5239" t="s">
        <v>19</v>
      </c>
      <c r="C5239" s="1">
        <v>45938</v>
      </c>
      <c r="D5239">
        <f t="shared" si="443"/>
        <v>8</v>
      </c>
      <c r="E5239">
        <f t="shared" si="444"/>
        <v>10</v>
      </c>
      <c r="F5239">
        <f t="shared" si="445"/>
        <v>2025</v>
      </c>
      <c r="G5239" t="s">
        <v>523</v>
      </c>
      <c r="H5239" s="139" t="s">
        <v>1413</v>
      </c>
      <c r="I5239" s="15">
        <v>35000</v>
      </c>
      <c r="J5239" s="12" t="s">
        <v>31</v>
      </c>
      <c r="K5239" s="76">
        <f t="shared" si="450"/>
        <v>35000</v>
      </c>
      <c r="L5239">
        <v>1</v>
      </c>
      <c r="M5239" s="76">
        <v>0</v>
      </c>
      <c r="N5239" t="s">
        <v>32</v>
      </c>
      <c r="O5239" t="s">
        <v>33</v>
      </c>
      <c r="P5239" t="s">
        <v>34</v>
      </c>
      <c r="Q5239" t="s">
        <v>34</v>
      </c>
      <c r="R5239" t="s">
        <v>34</v>
      </c>
      <c r="S5239" t="s">
        <v>34</v>
      </c>
      <c r="T5239" s="117">
        <v>0</v>
      </c>
    </row>
    <row r="5240" spans="1:21" x14ac:dyDescent="0.35">
      <c r="A5240" t="s">
        <v>19</v>
      </c>
      <c r="B5240" t="s">
        <v>19</v>
      </c>
      <c r="C5240" s="1">
        <v>45938</v>
      </c>
      <c r="D5240">
        <f t="shared" si="443"/>
        <v>8</v>
      </c>
      <c r="E5240">
        <f t="shared" si="444"/>
        <v>10</v>
      </c>
      <c r="F5240">
        <f t="shared" si="445"/>
        <v>2025</v>
      </c>
      <c r="G5240" t="s">
        <v>129</v>
      </c>
      <c r="H5240" s="139" t="s">
        <v>1414</v>
      </c>
      <c r="I5240" s="15">
        <v>113198.75</v>
      </c>
      <c r="J5240" s="12" t="s">
        <v>31</v>
      </c>
      <c r="K5240" s="76">
        <f t="shared" ref="K5240:K5241" si="451">IF(J5240="USD",I5240,I5240*L5240)</f>
        <v>113198.75</v>
      </c>
      <c r="L5240">
        <v>1</v>
      </c>
      <c r="M5240" s="76">
        <v>0</v>
      </c>
      <c r="N5240" t="s">
        <v>32</v>
      </c>
      <c r="O5240" t="s">
        <v>33</v>
      </c>
      <c r="P5240" t="s">
        <v>34</v>
      </c>
      <c r="Q5240" t="s">
        <v>34</v>
      </c>
      <c r="R5240" t="s">
        <v>34</v>
      </c>
      <c r="S5240" t="s">
        <v>34</v>
      </c>
      <c r="T5240" s="117">
        <v>0</v>
      </c>
    </row>
    <row r="5241" spans="1:21" x14ac:dyDescent="0.35">
      <c r="A5241" t="s">
        <v>19</v>
      </c>
      <c r="B5241" t="s">
        <v>19</v>
      </c>
      <c r="C5241" s="1">
        <v>45944</v>
      </c>
      <c r="D5241">
        <f>DAY(C5241)</f>
        <v>14</v>
      </c>
      <c r="E5241">
        <f>MONTH(C5241)</f>
        <v>10</v>
      </c>
      <c r="F5241">
        <f>YEAR(C5241)</f>
        <v>2025</v>
      </c>
      <c r="G5241" t="s">
        <v>133</v>
      </c>
      <c r="H5241" s="139" t="s">
        <v>1426</v>
      </c>
      <c r="I5241" s="15">
        <v>10224</v>
      </c>
      <c r="J5241" s="12" t="s">
        <v>31</v>
      </c>
      <c r="K5241" s="76">
        <f t="shared" si="451"/>
        <v>10224</v>
      </c>
      <c r="L5241">
        <v>1</v>
      </c>
      <c r="M5241" s="76">
        <v>0</v>
      </c>
      <c r="N5241" t="s">
        <v>32</v>
      </c>
      <c r="O5241" t="s">
        <v>33</v>
      </c>
      <c r="P5241" t="s">
        <v>34</v>
      </c>
      <c r="Q5241" t="s">
        <v>34</v>
      </c>
      <c r="R5241" t="s">
        <v>34</v>
      </c>
      <c r="S5241" t="s">
        <v>34</v>
      </c>
      <c r="T5241" s="117">
        <v>0</v>
      </c>
    </row>
    <row r="5242" spans="1:21" x14ac:dyDescent="0.35">
      <c r="A5242" t="s">
        <v>19</v>
      </c>
      <c r="B5242" t="s">
        <v>27</v>
      </c>
      <c r="C5242" s="1">
        <v>45944</v>
      </c>
      <c r="D5242">
        <f>DAY(C5242)</f>
        <v>14</v>
      </c>
      <c r="E5242">
        <f>MONTH(C5242)</f>
        <v>10</v>
      </c>
      <c r="F5242">
        <f>YEAR(C5242)</f>
        <v>2025</v>
      </c>
      <c r="G5242" t="s">
        <v>100</v>
      </c>
      <c r="H5242" s="139">
        <v>13191</v>
      </c>
      <c r="I5242" s="15">
        <v>4732.96</v>
      </c>
      <c r="J5242" s="12" t="s">
        <v>31</v>
      </c>
      <c r="K5242" s="76">
        <f t="shared" ref="K5242" si="452">IF(J5242="USD",I5242,I5242*L5242)</f>
        <v>4732.96</v>
      </c>
      <c r="L5242">
        <v>1</v>
      </c>
      <c r="M5242" s="76">
        <v>0</v>
      </c>
      <c r="N5242" t="s">
        <v>32</v>
      </c>
      <c r="O5242" t="s">
        <v>33</v>
      </c>
      <c r="P5242" t="s">
        <v>34</v>
      </c>
      <c r="Q5242" t="s">
        <v>34</v>
      </c>
      <c r="R5242" t="s">
        <v>34</v>
      </c>
      <c r="S5242" t="s">
        <v>34</v>
      </c>
      <c r="T5242" s="117">
        <v>0</v>
      </c>
    </row>
    <row r="5243" spans="1:21" x14ac:dyDescent="0.35">
      <c r="A5243" t="s">
        <v>19</v>
      </c>
      <c r="B5243" t="s">
        <v>27</v>
      </c>
      <c r="C5243" s="1">
        <v>45945</v>
      </c>
      <c r="D5243">
        <f t="shared" si="443"/>
        <v>15</v>
      </c>
      <c r="E5243">
        <f t="shared" si="444"/>
        <v>10</v>
      </c>
      <c r="F5243">
        <f t="shared" si="445"/>
        <v>2025</v>
      </c>
      <c r="G5243" t="s">
        <v>100</v>
      </c>
      <c r="H5243" s="139">
        <v>13387</v>
      </c>
      <c r="I5243" s="91">
        <v>450000</v>
      </c>
      <c r="J5243" s="12" t="s">
        <v>31</v>
      </c>
      <c r="K5243" s="76">
        <f t="shared" ref="K5243:K5245" si="453">IF(J5243="USD",I5243,I5243*L5243)</f>
        <v>450000</v>
      </c>
      <c r="L5243">
        <v>1</v>
      </c>
      <c r="M5243" s="76">
        <v>0</v>
      </c>
      <c r="N5243" t="s">
        <v>32</v>
      </c>
      <c r="O5243" t="s">
        <v>33</v>
      </c>
      <c r="P5243" t="s">
        <v>34</v>
      </c>
      <c r="Q5243" t="s">
        <v>34</v>
      </c>
      <c r="R5243" t="s">
        <v>34</v>
      </c>
      <c r="S5243" t="s">
        <v>34</v>
      </c>
      <c r="T5243" s="117">
        <v>0</v>
      </c>
    </row>
    <row r="5244" spans="1:21" x14ac:dyDescent="0.35">
      <c r="A5244" t="s">
        <v>19</v>
      </c>
      <c r="B5244" t="s">
        <v>25</v>
      </c>
      <c r="C5244" s="1">
        <v>45945</v>
      </c>
      <c r="D5244">
        <f t="shared" si="443"/>
        <v>15</v>
      </c>
      <c r="E5244">
        <f t="shared" si="444"/>
        <v>10</v>
      </c>
      <c r="F5244">
        <f t="shared" si="445"/>
        <v>2025</v>
      </c>
      <c r="G5244" s="1" t="s">
        <v>285</v>
      </c>
      <c r="H5244" s="139">
        <v>13902</v>
      </c>
      <c r="I5244" s="91">
        <v>72</v>
      </c>
      <c r="J5244" s="12" t="s">
        <v>31</v>
      </c>
      <c r="K5244" s="76">
        <f t="shared" si="453"/>
        <v>72</v>
      </c>
      <c r="L5244">
        <v>1</v>
      </c>
      <c r="M5244" s="76">
        <v>0</v>
      </c>
      <c r="N5244" t="s">
        <v>32</v>
      </c>
      <c r="O5244" t="s">
        <v>33</v>
      </c>
      <c r="P5244" t="s">
        <v>34</v>
      </c>
      <c r="Q5244" t="s">
        <v>34</v>
      </c>
      <c r="R5244" t="s">
        <v>34</v>
      </c>
      <c r="S5244" t="s">
        <v>34</v>
      </c>
      <c r="T5244" s="117">
        <v>0</v>
      </c>
    </row>
    <row r="5245" spans="1:21" x14ac:dyDescent="0.35">
      <c r="A5245" t="s">
        <v>19</v>
      </c>
      <c r="B5245" t="s">
        <v>25</v>
      </c>
      <c r="C5245" s="1">
        <v>45945</v>
      </c>
      <c r="D5245">
        <f t="shared" si="443"/>
        <v>15</v>
      </c>
      <c r="E5245">
        <f t="shared" si="444"/>
        <v>10</v>
      </c>
      <c r="F5245">
        <f t="shared" si="445"/>
        <v>2025</v>
      </c>
      <c r="G5245" s="1" t="s">
        <v>285</v>
      </c>
      <c r="H5245" s="139">
        <v>13903</v>
      </c>
      <c r="I5245" s="91">
        <v>1488</v>
      </c>
      <c r="J5245" s="12" t="s">
        <v>31</v>
      </c>
      <c r="K5245" s="76">
        <f t="shared" si="453"/>
        <v>1488</v>
      </c>
      <c r="L5245">
        <v>1</v>
      </c>
      <c r="M5245" s="76">
        <v>0</v>
      </c>
      <c r="N5245" t="s">
        <v>32</v>
      </c>
      <c r="O5245" t="s">
        <v>33</v>
      </c>
      <c r="P5245" t="s">
        <v>34</v>
      </c>
      <c r="Q5245" t="s">
        <v>34</v>
      </c>
      <c r="R5245" t="s">
        <v>34</v>
      </c>
      <c r="S5245" t="s">
        <v>34</v>
      </c>
      <c r="T5245" s="117">
        <v>0</v>
      </c>
    </row>
    <row r="5246" spans="1:21" x14ac:dyDescent="0.35">
      <c r="A5246" t="s">
        <v>20</v>
      </c>
      <c r="B5246" t="s">
        <v>23</v>
      </c>
      <c r="C5246" s="1">
        <v>45945</v>
      </c>
      <c r="D5246">
        <f t="shared" si="443"/>
        <v>15</v>
      </c>
      <c r="E5246">
        <f t="shared" si="444"/>
        <v>10</v>
      </c>
      <c r="F5246">
        <f t="shared" si="445"/>
        <v>2025</v>
      </c>
      <c r="G5246" t="s">
        <v>118</v>
      </c>
      <c r="H5246" s="139">
        <v>13695</v>
      </c>
      <c r="I5246" s="91">
        <v>2623.5</v>
      </c>
      <c r="J5246" s="12" t="s">
        <v>31</v>
      </c>
      <c r="K5246" s="76">
        <f t="shared" ref="K5246:K5248" si="454">IF(J5246="USD",I5246,I5246*L5246)</f>
        <v>2623.5</v>
      </c>
      <c r="L5246">
        <v>1</v>
      </c>
      <c r="M5246" s="76">
        <v>0</v>
      </c>
      <c r="N5246" t="s">
        <v>32</v>
      </c>
      <c r="O5246" t="s">
        <v>33</v>
      </c>
      <c r="P5246" t="s">
        <v>34</v>
      </c>
      <c r="Q5246" t="s">
        <v>34</v>
      </c>
      <c r="R5246" t="s">
        <v>34</v>
      </c>
      <c r="S5246" t="s">
        <v>34</v>
      </c>
      <c r="T5246" s="117">
        <v>0</v>
      </c>
    </row>
    <row r="5247" spans="1:21" x14ac:dyDescent="0.35">
      <c r="A5247" t="s">
        <v>20</v>
      </c>
      <c r="B5247" t="s">
        <v>21</v>
      </c>
      <c r="C5247" s="1">
        <v>45945</v>
      </c>
      <c r="D5247">
        <f t="shared" ref="D5247:D5248" si="455">DAY(C5247)</f>
        <v>15</v>
      </c>
      <c r="E5247">
        <f t="shared" ref="E5247:E5248" si="456">MONTH(C5247)</f>
        <v>10</v>
      </c>
      <c r="F5247">
        <f t="shared" ref="F5247:F5248" si="457">YEAR(C5247)</f>
        <v>2025</v>
      </c>
      <c r="G5247" t="s">
        <v>118</v>
      </c>
      <c r="H5247" s="139">
        <v>13631</v>
      </c>
      <c r="I5247" s="91">
        <v>118</v>
      </c>
      <c r="J5247" s="12" t="s">
        <v>31</v>
      </c>
      <c r="K5247" s="76">
        <f t="shared" si="454"/>
        <v>118</v>
      </c>
      <c r="L5247">
        <v>1</v>
      </c>
      <c r="M5247" s="76">
        <v>0</v>
      </c>
      <c r="N5247" t="s">
        <v>42</v>
      </c>
      <c r="O5247" t="s">
        <v>33</v>
      </c>
      <c r="P5247" t="s">
        <v>34</v>
      </c>
      <c r="Q5247" t="s">
        <v>34</v>
      </c>
      <c r="R5247" t="s">
        <v>34</v>
      </c>
      <c r="S5247" t="s">
        <v>34</v>
      </c>
      <c r="T5247" s="117">
        <v>0</v>
      </c>
      <c r="U5247" s="139">
        <v>13917</v>
      </c>
    </row>
    <row r="5248" spans="1:21" x14ac:dyDescent="0.35">
      <c r="A5248" t="s">
        <v>20</v>
      </c>
      <c r="B5248" t="s">
        <v>21</v>
      </c>
      <c r="C5248" s="1">
        <v>45945</v>
      </c>
      <c r="D5248">
        <f t="shared" si="455"/>
        <v>15</v>
      </c>
      <c r="E5248">
        <f t="shared" si="456"/>
        <v>10</v>
      </c>
      <c r="F5248">
        <f t="shared" si="457"/>
        <v>2025</v>
      </c>
      <c r="G5248" t="s">
        <v>118</v>
      </c>
      <c r="H5248" s="139">
        <v>13918</v>
      </c>
      <c r="I5248" s="91">
        <v>1800.68</v>
      </c>
      <c r="J5248" s="12" t="s">
        <v>31</v>
      </c>
      <c r="K5248" s="76">
        <f t="shared" si="454"/>
        <v>1800.68</v>
      </c>
      <c r="L5248">
        <v>1</v>
      </c>
      <c r="M5248" s="76">
        <v>0</v>
      </c>
      <c r="N5248" t="s">
        <v>42</v>
      </c>
      <c r="O5248" t="s">
        <v>33</v>
      </c>
      <c r="P5248" t="s">
        <v>34</v>
      </c>
      <c r="Q5248" t="s">
        <v>34</v>
      </c>
      <c r="R5248" t="s">
        <v>34</v>
      </c>
      <c r="S5248" t="s">
        <v>34</v>
      </c>
      <c r="T5248" s="117">
        <v>0</v>
      </c>
    </row>
    <row r="5249" spans="1:20" x14ac:dyDescent="0.35">
      <c r="A5249" t="s">
        <v>20</v>
      </c>
      <c r="B5249" t="s">
        <v>21</v>
      </c>
      <c r="C5249" s="1">
        <v>45945</v>
      </c>
      <c r="D5249">
        <f t="shared" ref="D5249:D5252" si="458">DAY(C5249)</f>
        <v>15</v>
      </c>
      <c r="E5249">
        <f t="shared" ref="E5249:E5252" si="459">MONTH(C5249)</f>
        <v>10</v>
      </c>
      <c r="F5249">
        <f t="shared" ref="F5249:F5252" si="460">YEAR(C5249)</f>
        <v>2025</v>
      </c>
      <c r="G5249" s="1" t="s">
        <v>300</v>
      </c>
      <c r="H5249" s="139">
        <v>13919</v>
      </c>
      <c r="I5249" s="91">
        <v>78.900000000000006</v>
      </c>
      <c r="J5249" s="12" t="s">
        <v>31</v>
      </c>
      <c r="K5249" s="76">
        <f t="shared" ref="K5249:K5250" si="461">IF(J5249="USD",I5249,I5249*L5249)</f>
        <v>78.900000000000006</v>
      </c>
      <c r="L5249">
        <v>1</v>
      </c>
      <c r="M5249" s="76">
        <v>0</v>
      </c>
      <c r="N5249" t="s">
        <v>42</v>
      </c>
      <c r="O5249" t="s">
        <v>33</v>
      </c>
      <c r="P5249" t="s">
        <v>34</v>
      </c>
      <c r="Q5249" t="s">
        <v>34</v>
      </c>
      <c r="R5249" t="s">
        <v>34</v>
      </c>
      <c r="S5249" t="s">
        <v>34</v>
      </c>
      <c r="T5249" s="117">
        <v>0</v>
      </c>
    </row>
    <row r="5250" spans="1:20" x14ac:dyDescent="0.35">
      <c r="A5250" t="s">
        <v>20</v>
      </c>
      <c r="B5250" t="s">
        <v>21</v>
      </c>
      <c r="C5250" s="1">
        <v>45945</v>
      </c>
      <c r="D5250">
        <f t="shared" si="458"/>
        <v>15</v>
      </c>
      <c r="E5250">
        <f t="shared" si="459"/>
        <v>10</v>
      </c>
      <c r="F5250">
        <f t="shared" si="460"/>
        <v>2025</v>
      </c>
      <c r="G5250" s="1" t="s">
        <v>300</v>
      </c>
      <c r="H5250" s="139">
        <v>13920</v>
      </c>
      <c r="I5250" s="91">
        <v>746.92</v>
      </c>
      <c r="J5250" s="12" t="s">
        <v>31</v>
      </c>
      <c r="K5250" s="76">
        <f t="shared" si="461"/>
        <v>746.92</v>
      </c>
      <c r="L5250">
        <v>1</v>
      </c>
      <c r="M5250" s="76">
        <v>0</v>
      </c>
      <c r="N5250" t="s">
        <v>42</v>
      </c>
      <c r="O5250" t="s">
        <v>33</v>
      </c>
      <c r="P5250" t="s">
        <v>34</v>
      </c>
      <c r="Q5250" t="s">
        <v>34</v>
      </c>
      <c r="R5250" t="s">
        <v>34</v>
      </c>
      <c r="S5250" t="s">
        <v>34</v>
      </c>
      <c r="T5250" s="117">
        <v>0</v>
      </c>
    </row>
    <row r="5251" spans="1:20" x14ac:dyDescent="0.35">
      <c r="A5251" t="s">
        <v>20</v>
      </c>
      <c r="B5251" t="s">
        <v>25</v>
      </c>
      <c r="C5251" s="1">
        <v>45945</v>
      </c>
      <c r="D5251">
        <f t="shared" si="458"/>
        <v>15</v>
      </c>
      <c r="E5251">
        <f t="shared" si="459"/>
        <v>10</v>
      </c>
      <c r="F5251">
        <f t="shared" si="460"/>
        <v>2025</v>
      </c>
      <c r="G5251" t="s">
        <v>265</v>
      </c>
      <c r="H5251" s="139">
        <v>13129</v>
      </c>
      <c r="I5251" s="91">
        <v>2639.8</v>
      </c>
      <c r="J5251" s="12" t="s">
        <v>31</v>
      </c>
      <c r="K5251" s="76">
        <f t="shared" ref="K5251" si="462">IF(J5251="USD",I5251,I5251*L5251)</f>
        <v>2639.8</v>
      </c>
      <c r="L5251">
        <v>1</v>
      </c>
      <c r="M5251" s="76">
        <v>0</v>
      </c>
      <c r="N5251" t="s">
        <v>32</v>
      </c>
      <c r="O5251" t="s">
        <v>33</v>
      </c>
      <c r="P5251" t="s">
        <v>34</v>
      </c>
      <c r="Q5251" t="s">
        <v>34</v>
      </c>
      <c r="R5251" t="s">
        <v>34</v>
      </c>
      <c r="S5251" t="s">
        <v>34</v>
      </c>
      <c r="T5251" s="117">
        <v>0</v>
      </c>
    </row>
    <row r="5252" spans="1:20" x14ac:dyDescent="0.35">
      <c r="A5252" t="s">
        <v>20</v>
      </c>
      <c r="B5252" t="s">
        <v>21</v>
      </c>
      <c r="C5252" s="1">
        <v>45945</v>
      </c>
      <c r="D5252">
        <f t="shared" si="458"/>
        <v>15</v>
      </c>
      <c r="E5252">
        <f t="shared" si="459"/>
        <v>10</v>
      </c>
      <c r="F5252">
        <f t="shared" si="460"/>
        <v>2025</v>
      </c>
      <c r="G5252" t="s">
        <v>183</v>
      </c>
      <c r="H5252" s="139">
        <v>13095</v>
      </c>
      <c r="I5252" s="91">
        <v>3741.3600000000006</v>
      </c>
      <c r="J5252" s="12" t="s">
        <v>31</v>
      </c>
      <c r="K5252" s="76">
        <f>IF(J5252="USD",I5252,I5252*L5252)</f>
        <v>3741.3600000000006</v>
      </c>
      <c r="L5252">
        <v>1</v>
      </c>
      <c r="M5252" s="76">
        <v>0</v>
      </c>
      <c r="N5252" t="s">
        <v>32</v>
      </c>
      <c r="O5252" t="s">
        <v>33</v>
      </c>
      <c r="P5252" t="s">
        <v>34</v>
      </c>
      <c r="Q5252" t="s">
        <v>34</v>
      </c>
      <c r="R5252" t="s">
        <v>34</v>
      </c>
      <c r="S5252" t="s">
        <v>34</v>
      </c>
      <c r="T5252" s="117">
        <v>0</v>
      </c>
    </row>
    <row r="5253" spans="1:20" x14ac:dyDescent="0.35">
      <c r="A5253" t="s">
        <v>20</v>
      </c>
      <c r="B5253" t="s">
        <v>25</v>
      </c>
      <c r="C5253" s="1">
        <v>45945</v>
      </c>
      <c r="D5253">
        <f>DAY(C5253)</f>
        <v>15</v>
      </c>
      <c r="E5253">
        <f>MONTH(C5253)</f>
        <v>10</v>
      </c>
      <c r="F5253">
        <f>YEAR(C5253)</f>
        <v>2025</v>
      </c>
      <c r="G5253" t="s">
        <v>1311</v>
      </c>
      <c r="H5253" s="139">
        <v>13268</v>
      </c>
      <c r="I5253" s="91">
        <v>13600.01</v>
      </c>
      <c r="J5253" s="12" t="s">
        <v>51</v>
      </c>
      <c r="K5253" s="76">
        <f t="shared" ref="K5253:K5256" si="463">IF(J5253="USD",I5253,I5253*L5253)</f>
        <v>15865.771666000001</v>
      </c>
      <c r="L5253">
        <v>1.1666000000000001</v>
      </c>
      <c r="M5253" s="76">
        <v>0</v>
      </c>
      <c r="N5253" t="s">
        <v>32</v>
      </c>
      <c r="O5253" t="s">
        <v>33</v>
      </c>
      <c r="P5253" t="s">
        <v>34</v>
      </c>
      <c r="Q5253" t="s">
        <v>34</v>
      </c>
      <c r="R5253" t="s">
        <v>34</v>
      </c>
      <c r="S5253" t="s">
        <v>34</v>
      </c>
      <c r="T5253" s="117">
        <v>0</v>
      </c>
    </row>
    <row r="5254" spans="1:20" x14ac:dyDescent="0.35">
      <c r="A5254" t="s">
        <v>20</v>
      </c>
      <c r="B5254" t="s">
        <v>25</v>
      </c>
      <c r="C5254" s="1">
        <v>45945</v>
      </c>
      <c r="D5254">
        <f>DAY(C5254)</f>
        <v>15</v>
      </c>
      <c r="E5254">
        <f>MONTH(C5254)</f>
        <v>10</v>
      </c>
      <c r="F5254">
        <f>YEAR(C5254)</f>
        <v>2025</v>
      </c>
      <c r="G5254" t="s">
        <v>1311</v>
      </c>
      <c r="H5254" s="139">
        <v>13267</v>
      </c>
      <c r="I5254" s="91">
        <v>264</v>
      </c>
      <c r="J5254" s="12" t="s">
        <v>51</v>
      </c>
      <c r="K5254" s="76">
        <f t="shared" si="463"/>
        <v>307.98240000000004</v>
      </c>
      <c r="L5254">
        <v>1.1666000000000001</v>
      </c>
      <c r="M5254" s="76">
        <v>0</v>
      </c>
      <c r="N5254" t="s">
        <v>32</v>
      </c>
      <c r="O5254" t="s">
        <v>33</v>
      </c>
      <c r="P5254" t="s">
        <v>34</v>
      </c>
      <c r="Q5254" t="s">
        <v>34</v>
      </c>
      <c r="R5254" t="s">
        <v>34</v>
      </c>
      <c r="S5254" t="s">
        <v>34</v>
      </c>
      <c r="T5254" s="117">
        <v>0</v>
      </c>
    </row>
    <row r="5255" spans="1:20" x14ac:dyDescent="0.35">
      <c r="A5255" t="s">
        <v>20</v>
      </c>
      <c r="B5255" t="s">
        <v>25</v>
      </c>
      <c r="C5255" s="1">
        <v>45945</v>
      </c>
      <c r="D5255">
        <f>DAY(C5255)</f>
        <v>15</v>
      </c>
      <c r="E5255">
        <f>MONTH(C5255)</f>
        <v>10</v>
      </c>
      <c r="F5255">
        <f>YEAR(C5255)</f>
        <v>2025</v>
      </c>
      <c r="G5255" t="s">
        <v>1311</v>
      </c>
      <c r="H5255" s="139">
        <v>13247</v>
      </c>
      <c r="I5255" s="91">
        <v>42914.65</v>
      </c>
      <c r="J5255" s="12" t="s">
        <v>51</v>
      </c>
      <c r="K5255" s="76">
        <f t="shared" si="463"/>
        <v>50064.230690000004</v>
      </c>
      <c r="L5255">
        <v>1.1666000000000001</v>
      </c>
      <c r="M5255" s="76">
        <v>0</v>
      </c>
      <c r="N5255" t="s">
        <v>32</v>
      </c>
      <c r="O5255" t="s">
        <v>33</v>
      </c>
      <c r="P5255" t="s">
        <v>34</v>
      </c>
      <c r="Q5255" t="s">
        <v>34</v>
      </c>
      <c r="R5255" t="s">
        <v>34</v>
      </c>
      <c r="S5255" t="s">
        <v>34</v>
      </c>
      <c r="T5255" s="117">
        <v>0</v>
      </c>
    </row>
    <row r="5256" spans="1:20" x14ac:dyDescent="0.35">
      <c r="A5256" t="s">
        <v>20</v>
      </c>
      <c r="B5256" t="s">
        <v>25</v>
      </c>
      <c r="C5256" s="1">
        <v>45945</v>
      </c>
      <c r="D5256">
        <f>DAY(C5256)</f>
        <v>15</v>
      </c>
      <c r="E5256">
        <f>MONTH(C5256)</f>
        <v>10</v>
      </c>
      <c r="F5256">
        <f>YEAR(C5256)</f>
        <v>2025</v>
      </c>
      <c r="G5256" t="s">
        <v>1311</v>
      </c>
      <c r="H5256" s="139">
        <v>13386</v>
      </c>
      <c r="I5256" s="91">
        <v>10098.35</v>
      </c>
      <c r="J5256" s="12" t="s">
        <v>51</v>
      </c>
      <c r="K5256" s="76">
        <f t="shared" si="463"/>
        <v>11780.735110000001</v>
      </c>
      <c r="L5256">
        <v>1.1666000000000001</v>
      </c>
      <c r="M5256" s="76">
        <v>0</v>
      </c>
      <c r="N5256" t="s">
        <v>32</v>
      </c>
      <c r="O5256" t="s">
        <v>33</v>
      </c>
      <c r="P5256" t="s">
        <v>34</v>
      </c>
      <c r="Q5256" t="s">
        <v>34</v>
      </c>
      <c r="R5256" t="s">
        <v>34</v>
      </c>
      <c r="S5256" t="s">
        <v>34</v>
      </c>
      <c r="T5256" s="117">
        <v>0</v>
      </c>
    </row>
    <row r="5257" spans="1:20" x14ac:dyDescent="0.35">
      <c r="A5257" t="s">
        <v>20</v>
      </c>
      <c r="B5257" t="s">
        <v>21</v>
      </c>
      <c r="C5257" s="1">
        <v>45945</v>
      </c>
      <c r="D5257">
        <f t="shared" ref="D5257:D5258" si="464">DAY(C5257)</f>
        <v>15</v>
      </c>
      <c r="E5257">
        <f t="shared" ref="E5257:E5258" si="465">MONTH(C5257)</f>
        <v>10</v>
      </c>
      <c r="F5257">
        <f t="shared" ref="F5257:F5258" si="466">YEAR(C5257)</f>
        <v>2025</v>
      </c>
      <c r="G5257" t="s">
        <v>459</v>
      </c>
      <c r="H5257" s="139">
        <v>13904</v>
      </c>
      <c r="I5257" s="91">
        <v>64</v>
      </c>
      <c r="J5257" s="12" t="s">
        <v>31</v>
      </c>
      <c r="K5257" s="76">
        <f t="shared" ref="K5257:K5258" si="467">IF(J5257="USD",I5257,I5257*L5257)</f>
        <v>64</v>
      </c>
      <c r="L5257">
        <v>1</v>
      </c>
      <c r="M5257" s="76">
        <v>0</v>
      </c>
      <c r="N5257" t="s">
        <v>42</v>
      </c>
      <c r="O5257" t="s">
        <v>33</v>
      </c>
      <c r="P5257" t="s">
        <v>34</v>
      </c>
      <c r="Q5257" t="s">
        <v>34</v>
      </c>
      <c r="R5257" t="s">
        <v>34</v>
      </c>
      <c r="S5257" t="s">
        <v>34</v>
      </c>
      <c r="T5257" s="117">
        <v>0</v>
      </c>
    </row>
    <row r="5258" spans="1:20" x14ac:dyDescent="0.35">
      <c r="A5258" t="s">
        <v>20</v>
      </c>
      <c r="B5258" t="s">
        <v>21</v>
      </c>
      <c r="C5258" s="1">
        <v>45945</v>
      </c>
      <c r="D5258">
        <f t="shared" si="464"/>
        <v>15</v>
      </c>
      <c r="E5258">
        <f t="shared" si="465"/>
        <v>10</v>
      </c>
      <c r="F5258">
        <f t="shared" si="466"/>
        <v>2025</v>
      </c>
      <c r="G5258" t="s">
        <v>459</v>
      </c>
      <c r="H5258" s="139">
        <v>13905</v>
      </c>
      <c r="I5258" s="91">
        <v>1602.56</v>
      </c>
      <c r="J5258" s="12" t="s">
        <v>31</v>
      </c>
      <c r="K5258" s="76">
        <f t="shared" si="467"/>
        <v>1602.56</v>
      </c>
      <c r="L5258">
        <v>1</v>
      </c>
      <c r="M5258" s="76">
        <v>0</v>
      </c>
      <c r="N5258" t="s">
        <v>42</v>
      </c>
      <c r="O5258" t="s">
        <v>33</v>
      </c>
      <c r="P5258" t="s">
        <v>34</v>
      </c>
      <c r="Q5258" t="s">
        <v>34</v>
      </c>
      <c r="R5258" t="s">
        <v>34</v>
      </c>
      <c r="S5258" t="s">
        <v>34</v>
      </c>
      <c r="T5258" s="117">
        <v>0</v>
      </c>
    </row>
    <row r="5259" spans="1:20" x14ac:dyDescent="0.35">
      <c r="A5259" t="s">
        <v>20</v>
      </c>
      <c r="B5259" t="s">
        <v>25</v>
      </c>
      <c r="C5259" s="1">
        <v>45945</v>
      </c>
      <c r="D5259">
        <f>DAY(C5259)</f>
        <v>15</v>
      </c>
      <c r="E5259">
        <f>MONTH(C5259)</f>
        <v>10</v>
      </c>
      <c r="F5259">
        <f>YEAR(C5259)</f>
        <v>2025</v>
      </c>
      <c r="G5259" t="s">
        <v>50</v>
      </c>
      <c r="H5259" s="139">
        <v>13253</v>
      </c>
      <c r="I5259" s="91">
        <v>13452.01</v>
      </c>
      <c r="J5259" s="12" t="s">
        <v>31</v>
      </c>
      <c r="K5259" s="76">
        <f t="shared" ref="K5259:K5261" si="468">IF(J5259="USD",I5259,I5259*L5259)</f>
        <v>13452.01</v>
      </c>
      <c r="L5259">
        <v>1</v>
      </c>
      <c r="M5259" s="76">
        <v>0</v>
      </c>
      <c r="N5259" t="s">
        <v>32</v>
      </c>
      <c r="O5259" t="s">
        <v>33</v>
      </c>
      <c r="P5259" t="s">
        <v>34</v>
      </c>
      <c r="Q5259" t="s">
        <v>34</v>
      </c>
      <c r="R5259" t="s">
        <v>34</v>
      </c>
      <c r="S5259" t="s">
        <v>34</v>
      </c>
      <c r="T5259" s="117">
        <v>0</v>
      </c>
    </row>
    <row r="5260" spans="1:20" x14ac:dyDescent="0.35">
      <c r="A5260" t="s">
        <v>20</v>
      </c>
      <c r="B5260" t="s">
        <v>25</v>
      </c>
      <c r="C5260" s="1">
        <v>45945</v>
      </c>
      <c r="D5260">
        <f>DAY(C5260)</f>
        <v>15</v>
      </c>
      <c r="E5260">
        <f>MONTH(C5260)</f>
        <v>10</v>
      </c>
      <c r="F5260">
        <f>YEAR(C5260)</f>
        <v>2025</v>
      </c>
      <c r="G5260" t="s">
        <v>211</v>
      </c>
      <c r="H5260" s="139">
        <v>13549</v>
      </c>
      <c r="I5260" s="91">
        <v>459</v>
      </c>
      <c r="J5260" s="12" t="s">
        <v>31</v>
      </c>
      <c r="K5260" s="76">
        <f t="shared" si="468"/>
        <v>459</v>
      </c>
      <c r="L5260">
        <v>1</v>
      </c>
      <c r="M5260" s="76">
        <v>0</v>
      </c>
      <c r="N5260" t="s">
        <v>32</v>
      </c>
      <c r="O5260" t="s">
        <v>33</v>
      </c>
      <c r="P5260" t="s">
        <v>34</v>
      </c>
      <c r="Q5260" t="s">
        <v>34</v>
      </c>
      <c r="R5260" t="s">
        <v>34</v>
      </c>
      <c r="S5260" t="s">
        <v>34</v>
      </c>
      <c r="T5260" s="117">
        <v>0</v>
      </c>
    </row>
    <row r="5261" spans="1:20" x14ac:dyDescent="0.35">
      <c r="A5261" t="s">
        <v>20</v>
      </c>
      <c r="B5261" t="s">
        <v>25</v>
      </c>
      <c r="C5261" s="1">
        <v>45945</v>
      </c>
      <c r="D5261">
        <f>DAY(C5261)</f>
        <v>15</v>
      </c>
      <c r="E5261">
        <f>MONTH(C5261)</f>
        <v>10</v>
      </c>
      <c r="F5261">
        <f>YEAR(C5261)</f>
        <v>2025</v>
      </c>
      <c r="G5261" t="s">
        <v>84</v>
      </c>
      <c r="H5261" s="139">
        <v>13554</v>
      </c>
      <c r="I5261" s="91">
        <v>718.6</v>
      </c>
      <c r="J5261" s="12" t="s">
        <v>31</v>
      </c>
      <c r="K5261" s="76">
        <f t="shared" si="468"/>
        <v>718.6</v>
      </c>
      <c r="L5261">
        <v>1</v>
      </c>
      <c r="M5261" s="76">
        <v>0</v>
      </c>
      <c r="N5261" t="s">
        <v>42</v>
      </c>
      <c r="O5261" t="s">
        <v>33</v>
      </c>
      <c r="P5261" t="s">
        <v>34</v>
      </c>
      <c r="Q5261" t="s">
        <v>34</v>
      </c>
      <c r="R5261" t="s">
        <v>34</v>
      </c>
      <c r="S5261" t="s">
        <v>34</v>
      </c>
      <c r="T5261" s="117">
        <v>0</v>
      </c>
    </row>
    <row r="5262" spans="1:20" x14ac:dyDescent="0.35">
      <c r="A5262" t="s">
        <v>20</v>
      </c>
      <c r="B5262" t="s">
        <v>21</v>
      </c>
      <c r="C5262" s="1">
        <v>45945</v>
      </c>
      <c r="D5262">
        <f t="shared" ref="D5262:D5263" si="469">DAY(C5262)</f>
        <v>15</v>
      </c>
      <c r="E5262">
        <f t="shared" ref="E5262:E5263" si="470">MONTH(C5262)</f>
        <v>10</v>
      </c>
      <c r="F5262">
        <f t="shared" ref="F5262:F5263" si="471">YEAR(C5262)</f>
        <v>2025</v>
      </c>
      <c r="G5262" t="s">
        <v>1238</v>
      </c>
      <c r="H5262" s="139">
        <v>13913</v>
      </c>
      <c r="I5262" s="91">
        <v>35</v>
      </c>
      <c r="J5262" s="12" t="s">
        <v>31</v>
      </c>
      <c r="K5262" s="76">
        <f t="shared" ref="K5262:K5277" si="472">IF(J5262="USD",I5262,I5262*L5262)</f>
        <v>35</v>
      </c>
      <c r="L5262">
        <v>1</v>
      </c>
      <c r="M5262" s="76">
        <v>0</v>
      </c>
      <c r="N5262" t="s">
        <v>42</v>
      </c>
      <c r="O5262" t="s">
        <v>33</v>
      </c>
      <c r="P5262" t="s">
        <v>34</v>
      </c>
      <c r="Q5262" t="s">
        <v>34</v>
      </c>
      <c r="R5262" t="s">
        <v>34</v>
      </c>
      <c r="S5262" t="s">
        <v>34</v>
      </c>
      <c r="T5262" s="117">
        <v>0</v>
      </c>
    </row>
    <row r="5263" spans="1:20" x14ac:dyDescent="0.35">
      <c r="A5263" t="s">
        <v>20</v>
      </c>
      <c r="B5263" t="s">
        <v>21</v>
      </c>
      <c r="C5263" s="1">
        <v>45945</v>
      </c>
      <c r="D5263">
        <f t="shared" si="469"/>
        <v>15</v>
      </c>
      <c r="E5263">
        <f t="shared" si="470"/>
        <v>10</v>
      </c>
      <c r="F5263">
        <f t="shared" si="471"/>
        <v>2025</v>
      </c>
      <c r="G5263" t="s">
        <v>1238</v>
      </c>
      <c r="H5263" s="139">
        <v>13914</v>
      </c>
      <c r="I5263" s="91">
        <v>1006.43</v>
      </c>
      <c r="J5263" s="12" t="s">
        <v>31</v>
      </c>
      <c r="K5263" s="76">
        <f t="shared" si="472"/>
        <v>1006.43</v>
      </c>
      <c r="L5263">
        <v>1</v>
      </c>
      <c r="M5263" s="76">
        <v>0</v>
      </c>
      <c r="N5263" t="s">
        <v>32</v>
      </c>
      <c r="O5263" t="s">
        <v>33</v>
      </c>
      <c r="P5263" t="s">
        <v>34</v>
      </c>
      <c r="Q5263" t="s">
        <v>34</v>
      </c>
      <c r="R5263" t="s">
        <v>34</v>
      </c>
      <c r="S5263" t="s">
        <v>34</v>
      </c>
      <c r="T5263" s="117">
        <v>0</v>
      </c>
    </row>
    <row r="5264" spans="1:20" x14ac:dyDescent="0.35">
      <c r="A5264" t="s">
        <v>20</v>
      </c>
      <c r="B5264" t="s">
        <v>25</v>
      </c>
      <c r="C5264" s="1">
        <v>45945</v>
      </c>
      <c r="D5264">
        <f t="shared" ref="D5264:D5265" si="473">DAY(C5264)</f>
        <v>15</v>
      </c>
      <c r="E5264">
        <f t="shared" ref="E5264:E5265" si="474">MONTH(C5264)</f>
        <v>10</v>
      </c>
      <c r="F5264">
        <f t="shared" ref="F5264:F5265" si="475">YEAR(C5264)</f>
        <v>2025</v>
      </c>
      <c r="G5264" t="s">
        <v>90</v>
      </c>
      <c r="H5264" s="139">
        <v>13195</v>
      </c>
      <c r="I5264" s="91">
        <v>7300.76</v>
      </c>
      <c r="J5264" s="12" t="s">
        <v>31</v>
      </c>
      <c r="K5264" s="76">
        <f t="shared" si="472"/>
        <v>7300.76</v>
      </c>
      <c r="L5264">
        <v>1</v>
      </c>
      <c r="M5264" s="76">
        <v>0</v>
      </c>
      <c r="N5264" t="s">
        <v>32</v>
      </c>
      <c r="O5264" t="s">
        <v>33</v>
      </c>
      <c r="P5264" t="s">
        <v>34</v>
      </c>
      <c r="Q5264" t="s">
        <v>34</v>
      </c>
      <c r="R5264" t="s">
        <v>34</v>
      </c>
      <c r="S5264" t="s">
        <v>34</v>
      </c>
      <c r="T5264" s="117">
        <v>0</v>
      </c>
    </row>
    <row r="5265" spans="1:21" x14ac:dyDescent="0.35">
      <c r="A5265" t="s">
        <v>20</v>
      </c>
      <c r="B5265" t="s">
        <v>25</v>
      </c>
      <c r="C5265" s="1">
        <v>45945</v>
      </c>
      <c r="D5265">
        <f t="shared" si="473"/>
        <v>15</v>
      </c>
      <c r="E5265">
        <f t="shared" si="474"/>
        <v>10</v>
      </c>
      <c r="F5265">
        <f t="shared" si="475"/>
        <v>2025</v>
      </c>
      <c r="G5265" t="s">
        <v>90</v>
      </c>
      <c r="H5265" s="139">
        <v>12912</v>
      </c>
      <c r="I5265" s="91">
        <v>20201.03</v>
      </c>
      <c r="J5265" s="12" t="s">
        <v>31</v>
      </c>
      <c r="K5265" s="76">
        <f t="shared" si="472"/>
        <v>20201.03</v>
      </c>
      <c r="L5265">
        <v>1</v>
      </c>
      <c r="M5265" s="76">
        <v>0</v>
      </c>
      <c r="N5265" t="s">
        <v>32</v>
      </c>
      <c r="O5265" t="s">
        <v>33</v>
      </c>
      <c r="P5265" t="s">
        <v>34</v>
      </c>
      <c r="Q5265" t="s">
        <v>34</v>
      </c>
      <c r="R5265" t="s">
        <v>34</v>
      </c>
      <c r="S5265" t="s">
        <v>34</v>
      </c>
      <c r="T5265" s="117">
        <v>0</v>
      </c>
    </row>
    <row r="5266" spans="1:21" x14ac:dyDescent="0.35">
      <c r="A5266" t="s">
        <v>20</v>
      </c>
      <c r="B5266" t="s">
        <v>21</v>
      </c>
      <c r="C5266" s="1">
        <v>45945</v>
      </c>
      <c r="D5266">
        <f t="shared" ref="D5266:D5268" si="476">DAY(C5266)</f>
        <v>15</v>
      </c>
      <c r="E5266">
        <f t="shared" ref="E5266:E5268" si="477">MONTH(C5266)</f>
        <v>10</v>
      </c>
      <c r="F5266">
        <f t="shared" ref="F5266:F5268" si="478">YEAR(C5266)</f>
        <v>2025</v>
      </c>
      <c r="G5266" t="s">
        <v>53</v>
      </c>
      <c r="H5266" s="139">
        <v>13300</v>
      </c>
      <c r="I5266" s="91">
        <v>158</v>
      </c>
      <c r="J5266" s="12" t="s">
        <v>31</v>
      </c>
      <c r="K5266" s="76">
        <f t="shared" si="472"/>
        <v>158</v>
      </c>
      <c r="L5266">
        <v>1</v>
      </c>
      <c r="M5266" s="76">
        <v>0</v>
      </c>
      <c r="N5266" t="s">
        <v>32</v>
      </c>
      <c r="O5266" t="s">
        <v>33</v>
      </c>
      <c r="P5266" t="s">
        <v>34</v>
      </c>
      <c r="Q5266" t="s">
        <v>34</v>
      </c>
      <c r="R5266" t="s">
        <v>34</v>
      </c>
      <c r="S5266" t="s">
        <v>34</v>
      </c>
      <c r="T5266" s="117">
        <v>0</v>
      </c>
    </row>
    <row r="5267" spans="1:21" x14ac:dyDescent="0.35">
      <c r="A5267" t="s">
        <v>20</v>
      </c>
      <c r="B5267" t="s">
        <v>25</v>
      </c>
      <c r="C5267" s="1">
        <v>45945</v>
      </c>
      <c r="D5267">
        <f t="shared" si="476"/>
        <v>15</v>
      </c>
      <c r="E5267">
        <f t="shared" si="477"/>
        <v>10</v>
      </c>
      <c r="F5267">
        <f t="shared" si="478"/>
        <v>2025</v>
      </c>
      <c r="G5267" t="s">
        <v>53</v>
      </c>
      <c r="H5267" s="139">
        <v>13300</v>
      </c>
      <c r="I5267" s="91">
        <v>444</v>
      </c>
      <c r="J5267" s="12" t="s">
        <v>31</v>
      </c>
      <c r="K5267" s="76">
        <f t="shared" si="472"/>
        <v>444</v>
      </c>
      <c r="L5267">
        <v>1</v>
      </c>
      <c r="M5267" s="76">
        <v>0</v>
      </c>
      <c r="N5267" t="s">
        <v>32</v>
      </c>
      <c r="O5267" t="s">
        <v>33</v>
      </c>
      <c r="P5267" t="s">
        <v>34</v>
      </c>
      <c r="Q5267" t="s">
        <v>34</v>
      </c>
      <c r="R5267" t="s">
        <v>34</v>
      </c>
      <c r="S5267" t="s">
        <v>34</v>
      </c>
      <c r="T5267" s="117">
        <v>0</v>
      </c>
    </row>
    <row r="5268" spans="1:21" x14ac:dyDescent="0.35">
      <c r="A5268" t="s">
        <v>20</v>
      </c>
      <c r="B5268" t="s">
        <v>21</v>
      </c>
      <c r="C5268" s="1">
        <v>45945</v>
      </c>
      <c r="D5268">
        <f t="shared" si="476"/>
        <v>15</v>
      </c>
      <c r="E5268">
        <f t="shared" si="477"/>
        <v>10</v>
      </c>
      <c r="F5268">
        <f t="shared" si="478"/>
        <v>2025</v>
      </c>
      <c r="G5268" t="s">
        <v>53</v>
      </c>
      <c r="H5268" s="139">
        <v>12701</v>
      </c>
      <c r="I5268" s="91">
        <v>27.95</v>
      </c>
      <c r="J5268" s="12" t="s">
        <v>31</v>
      </c>
      <c r="K5268" s="76">
        <f t="shared" si="472"/>
        <v>27.95</v>
      </c>
      <c r="L5268">
        <v>1</v>
      </c>
      <c r="M5268" s="76">
        <v>0</v>
      </c>
      <c r="N5268" t="s">
        <v>32</v>
      </c>
      <c r="O5268" t="s">
        <v>33</v>
      </c>
      <c r="P5268" t="s">
        <v>34</v>
      </c>
      <c r="Q5268" t="s">
        <v>34</v>
      </c>
      <c r="R5268" t="s">
        <v>34</v>
      </c>
      <c r="S5268" t="s">
        <v>34</v>
      </c>
      <c r="T5268" s="117">
        <v>0</v>
      </c>
    </row>
    <row r="5269" spans="1:21" x14ac:dyDescent="0.35">
      <c r="A5269" t="s">
        <v>20</v>
      </c>
      <c r="B5269" t="s">
        <v>21</v>
      </c>
      <c r="C5269" s="1">
        <v>45945</v>
      </c>
      <c r="D5269">
        <f>DAY(C5269)</f>
        <v>15</v>
      </c>
      <c r="E5269">
        <f>MONTH(C5269)</f>
        <v>10</v>
      </c>
      <c r="F5269">
        <f>YEAR(C5269)</f>
        <v>2025</v>
      </c>
      <c r="G5269" t="s">
        <v>52</v>
      </c>
      <c r="H5269" s="139">
        <v>12927</v>
      </c>
      <c r="I5269" s="91">
        <v>52723.05</v>
      </c>
      <c r="J5269" s="12" t="s">
        <v>31</v>
      </c>
      <c r="K5269" s="76">
        <f t="shared" si="472"/>
        <v>52723.05</v>
      </c>
      <c r="L5269">
        <v>1</v>
      </c>
      <c r="M5269" s="76">
        <v>0</v>
      </c>
      <c r="N5269" t="s">
        <v>32</v>
      </c>
      <c r="O5269" t="s">
        <v>33</v>
      </c>
      <c r="P5269" t="s">
        <v>34</v>
      </c>
      <c r="Q5269" t="s">
        <v>34</v>
      </c>
      <c r="R5269" t="s">
        <v>34</v>
      </c>
      <c r="S5269" t="s">
        <v>34</v>
      </c>
      <c r="T5269" s="117">
        <v>0</v>
      </c>
    </row>
    <row r="5270" spans="1:21" x14ac:dyDescent="0.35">
      <c r="A5270" t="s">
        <v>20</v>
      </c>
      <c r="B5270" t="s">
        <v>21</v>
      </c>
      <c r="C5270" s="1">
        <v>45945</v>
      </c>
      <c r="D5270">
        <f t="shared" ref="D5270:D5271" si="479">DAY(C5270)</f>
        <v>15</v>
      </c>
      <c r="E5270">
        <f t="shared" ref="E5270:E5271" si="480">MONTH(C5270)</f>
        <v>10</v>
      </c>
      <c r="F5270">
        <f t="shared" ref="F5270:F5271" si="481">YEAR(C5270)</f>
        <v>2025</v>
      </c>
      <c r="G5270" t="s">
        <v>299</v>
      </c>
      <c r="H5270" s="139">
        <v>13892</v>
      </c>
      <c r="I5270" s="91">
        <v>48</v>
      </c>
      <c r="J5270" s="12" t="s">
        <v>31</v>
      </c>
      <c r="K5270" s="76">
        <f t="shared" si="472"/>
        <v>48</v>
      </c>
      <c r="L5270">
        <v>1</v>
      </c>
      <c r="M5270" s="76">
        <v>0</v>
      </c>
      <c r="N5270" t="s">
        <v>42</v>
      </c>
      <c r="O5270" t="s">
        <v>33</v>
      </c>
      <c r="P5270" t="s">
        <v>34</v>
      </c>
      <c r="Q5270" t="s">
        <v>34</v>
      </c>
      <c r="R5270" t="s">
        <v>34</v>
      </c>
      <c r="S5270" t="s">
        <v>34</v>
      </c>
      <c r="T5270" s="117">
        <v>0</v>
      </c>
    </row>
    <row r="5271" spans="1:21" x14ac:dyDescent="0.35">
      <c r="A5271" t="s">
        <v>20</v>
      </c>
      <c r="B5271" t="s">
        <v>21</v>
      </c>
      <c r="C5271" s="1">
        <v>45945</v>
      </c>
      <c r="D5271">
        <f t="shared" si="479"/>
        <v>15</v>
      </c>
      <c r="E5271">
        <f t="shared" si="480"/>
        <v>10</v>
      </c>
      <c r="F5271">
        <f t="shared" si="481"/>
        <v>2025</v>
      </c>
      <c r="G5271" t="s">
        <v>299</v>
      </c>
      <c r="H5271" s="139">
        <v>13893</v>
      </c>
      <c r="I5271" s="91">
        <v>392.4</v>
      </c>
      <c r="J5271" s="12" t="s">
        <v>31</v>
      </c>
      <c r="K5271" s="76">
        <f t="shared" si="472"/>
        <v>392.4</v>
      </c>
      <c r="L5271">
        <v>1</v>
      </c>
      <c r="M5271" s="76">
        <v>0</v>
      </c>
      <c r="N5271" t="s">
        <v>42</v>
      </c>
      <c r="O5271" t="s">
        <v>33</v>
      </c>
      <c r="P5271" t="s">
        <v>34</v>
      </c>
      <c r="Q5271" t="s">
        <v>34</v>
      </c>
      <c r="R5271" t="s">
        <v>34</v>
      </c>
      <c r="S5271" t="s">
        <v>34</v>
      </c>
      <c r="T5271" s="117">
        <v>0</v>
      </c>
    </row>
    <row r="5272" spans="1:21" x14ac:dyDescent="0.35">
      <c r="A5272" t="s">
        <v>20</v>
      </c>
      <c r="B5272" t="s">
        <v>23</v>
      </c>
      <c r="C5272" s="1">
        <v>45945</v>
      </c>
      <c r="D5272">
        <f t="shared" ref="D5272:D5277" si="482">DAY(C5272)</f>
        <v>15</v>
      </c>
      <c r="E5272">
        <f t="shared" ref="E5272:E5277" si="483">MONTH(C5272)</f>
        <v>10</v>
      </c>
      <c r="F5272">
        <f t="shared" ref="F5272:F5277" si="484">YEAR(C5272)</f>
        <v>2025</v>
      </c>
      <c r="G5272" t="s">
        <v>435</v>
      </c>
      <c r="H5272" s="139">
        <v>13423</v>
      </c>
      <c r="I5272" s="91">
        <v>256</v>
      </c>
      <c r="J5272" s="12" t="s">
        <v>31</v>
      </c>
      <c r="K5272" s="76">
        <f t="shared" si="472"/>
        <v>256</v>
      </c>
      <c r="L5272">
        <v>1</v>
      </c>
      <c r="M5272" s="76">
        <v>0</v>
      </c>
      <c r="N5272" t="s">
        <v>32</v>
      </c>
      <c r="O5272" t="s">
        <v>33</v>
      </c>
      <c r="P5272" t="s">
        <v>34</v>
      </c>
      <c r="Q5272" t="s">
        <v>34</v>
      </c>
      <c r="R5272" t="s">
        <v>34</v>
      </c>
      <c r="S5272" t="s">
        <v>34</v>
      </c>
      <c r="T5272" s="117">
        <v>0</v>
      </c>
    </row>
    <row r="5273" spans="1:21" x14ac:dyDescent="0.35">
      <c r="A5273" t="s">
        <v>19</v>
      </c>
      <c r="B5273" t="s">
        <v>26</v>
      </c>
      <c r="C5273" s="1">
        <v>45946</v>
      </c>
      <c r="D5273">
        <f t="shared" si="482"/>
        <v>16</v>
      </c>
      <c r="E5273">
        <f t="shared" si="483"/>
        <v>10</v>
      </c>
      <c r="F5273">
        <f t="shared" si="484"/>
        <v>2025</v>
      </c>
      <c r="G5273" t="s">
        <v>73</v>
      </c>
      <c r="H5273" s="12">
        <v>13858</v>
      </c>
      <c r="I5273" s="91">
        <v>11780.06</v>
      </c>
      <c r="J5273" s="12" t="s">
        <v>51</v>
      </c>
      <c r="K5273" s="76">
        <f t="shared" si="472"/>
        <v>13755.576061999998</v>
      </c>
      <c r="L5273">
        <v>1.1677</v>
      </c>
      <c r="M5273" s="76">
        <v>0</v>
      </c>
      <c r="N5273" t="s">
        <v>32</v>
      </c>
      <c r="O5273" t="s">
        <v>33</v>
      </c>
      <c r="P5273" t="s">
        <v>34</v>
      </c>
      <c r="Q5273" t="s">
        <v>34</v>
      </c>
      <c r="R5273" t="s">
        <v>34</v>
      </c>
      <c r="S5273" t="s">
        <v>34</v>
      </c>
      <c r="T5273" s="117">
        <v>0</v>
      </c>
      <c r="U5273" s="209" t="s">
        <v>94</v>
      </c>
    </row>
    <row r="5274" spans="1:21" x14ac:dyDescent="0.35">
      <c r="A5274" t="s">
        <v>19</v>
      </c>
      <c r="B5274" t="s">
        <v>26</v>
      </c>
      <c r="C5274" s="1">
        <v>45946</v>
      </c>
      <c r="D5274">
        <f t="shared" si="482"/>
        <v>16</v>
      </c>
      <c r="E5274">
        <f t="shared" si="483"/>
        <v>10</v>
      </c>
      <c r="F5274">
        <f t="shared" si="484"/>
        <v>2025</v>
      </c>
      <c r="G5274" t="s">
        <v>73</v>
      </c>
      <c r="H5274" s="12">
        <v>13859</v>
      </c>
      <c r="I5274" s="91">
        <v>55378.720000000001</v>
      </c>
      <c r="J5274" s="12" t="s">
        <v>51</v>
      </c>
      <c r="K5274" s="76">
        <f t="shared" si="472"/>
        <v>64665.731344</v>
      </c>
      <c r="L5274">
        <v>1.1677</v>
      </c>
      <c r="M5274" s="76">
        <v>0</v>
      </c>
      <c r="N5274" t="s">
        <v>32</v>
      </c>
      <c r="O5274" t="s">
        <v>33</v>
      </c>
      <c r="P5274" t="s">
        <v>34</v>
      </c>
      <c r="Q5274" t="s">
        <v>34</v>
      </c>
      <c r="R5274" t="s">
        <v>34</v>
      </c>
      <c r="S5274" t="s">
        <v>34</v>
      </c>
      <c r="T5274" s="117">
        <v>0</v>
      </c>
      <c r="U5274" s="209" t="s">
        <v>94</v>
      </c>
    </row>
    <row r="5275" spans="1:21" x14ac:dyDescent="0.35">
      <c r="A5275" t="s">
        <v>19</v>
      </c>
      <c r="B5275" t="s">
        <v>26</v>
      </c>
      <c r="C5275" s="1">
        <v>45946</v>
      </c>
      <c r="D5275">
        <f t="shared" si="482"/>
        <v>16</v>
      </c>
      <c r="E5275">
        <f t="shared" si="483"/>
        <v>10</v>
      </c>
      <c r="F5275">
        <f t="shared" si="484"/>
        <v>2025</v>
      </c>
      <c r="G5275" t="s">
        <v>73</v>
      </c>
      <c r="H5275" s="12">
        <v>13860</v>
      </c>
      <c r="I5275" s="91">
        <v>61490.82</v>
      </c>
      <c r="J5275" s="12" t="s">
        <v>51</v>
      </c>
      <c r="K5275" s="76">
        <f t="shared" si="472"/>
        <v>71802.830514000001</v>
      </c>
      <c r="L5275">
        <v>1.1677</v>
      </c>
      <c r="M5275" s="76">
        <v>0</v>
      </c>
      <c r="N5275" t="s">
        <v>32</v>
      </c>
      <c r="O5275" t="s">
        <v>33</v>
      </c>
      <c r="P5275" t="s">
        <v>34</v>
      </c>
      <c r="Q5275" t="s">
        <v>34</v>
      </c>
      <c r="R5275" t="s">
        <v>34</v>
      </c>
      <c r="S5275" t="s">
        <v>34</v>
      </c>
      <c r="T5275" s="117">
        <v>0</v>
      </c>
      <c r="U5275" s="209" t="s">
        <v>94</v>
      </c>
    </row>
    <row r="5276" spans="1:21" x14ac:dyDescent="0.35">
      <c r="A5276" t="s">
        <v>19</v>
      </c>
      <c r="B5276" t="s">
        <v>26</v>
      </c>
      <c r="C5276" s="1">
        <v>45946</v>
      </c>
      <c r="D5276">
        <f t="shared" si="482"/>
        <v>16</v>
      </c>
      <c r="E5276">
        <f t="shared" si="483"/>
        <v>10</v>
      </c>
      <c r="F5276">
        <f t="shared" si="484"/>
        <v>2025</v>
      </c>
      <c r="G5276" t="s">
        <v>73</v>
      </c>
      <c r="H5276" s="12">
        <v>13881</v>
      </c>
      <c r="I5276" s="91">
        <v>16774.849999999999</v>
      </c>
      <c r="J5276" s="12" t="s">
        <v>51</v>
      </c>
      <c r="K5276" s="76">
        <f t="shared" si="472"/>
        <v>19587.992344999999</v>
      </c>
      <c r="L5276">
        <v>1.1677</v>
      </c>
      <c r="M5276" s="76">
        <v>0</v>
      </c>
      <c r="N5276" t="s">
        <v>32</v>
      </c>
      <c r="O5276" t="s">
        <v>33</v>
      </c>
      <c r="P5276" t="s">
        <v>34</v>
      </c>
      <c r="Q5276" t="s">
        <v>34</v>
      </c>
      <c r="R5276" t="s">
        <v>34</v>
      </c>
      <c r="S5276" t="s">
        <v>34</v>
      </c>
      <c r="T5276" s="117">
        <v>0</v>
      </c>
      <c r="U5276" s="209" t="s">
        <v>94</v>
      </c>
    </row>
    <row r="5277" spans="1:21" x14ac:dyDescent="0.35">
      <c r="A5277" t="s">
        <v>19</v>
      </c>
      <c r="B5277" t="s">
        <v>27</v>
      </c>
      <c r="C5277" s="1">
        <v>45946</v>
      </c>
      <c r="D5277">
        <f t="shared" si="482"/>
        <v>16</v>
      </c>
      <c r="E5277">
        <f t="shared" si="483"/>
        <v>10</v>
      </c>
      <c r="F5277">
        <f t="shared" si="484"/>
        <v>2025</v>
      </c>
      <c r="G5277" t="s">
        <v>100</v>
      </c>
      <c r="H5277" s="12">
        <v>13387</v>
      </c>
      <c r="I5277" s="15">
        <v>292866.2</v>
      </c>
      <c r="J5277" s="12" t="s">
        <v>31</v>
      </c>
      <c r="K5277" s="76">
        <f t="shared" si="472"/>
        <v>292866.2</v>
      </c>
      <c r="L5277">
        <v>1</v>
      </c>
      <c r="M5277" s="76">
        <v>0</v>
      </c>
      <c r="N5277" t="s">
        <v>32</v>
      </c>
      <c r="O5277" t="s">
        <v>114</v>
      </c>
      <c r="P5277" s="1">
        <v>45946</v>
      </c>
      <c r="Q5277" s="1">
        <v>46014</v>
      </c>
      <c r="R5277" s="187">
        <v>8021000613551</v>
      </c>
      <c r="S5277" t="s">
        <v>34</v>
      </c>
      <c r="T5277" s="117">
        <v>0</v>
      </c>
      <c r="U5277" s="209" t="s">
        <v>1221</v>
      </c>
    </row>
    <row r="5278" spans="1:21" x14ac:dyDescent="0.35">
      <c r="A5278" t="s">
        <v>19</v>
      </c>
      <c r="B5278" t="s">
        <v>19</v>
      </c>
      <c r="C5278" s="1">
        <v>45945</v>
      </c>
      <c r="D5278">
        <f t="shared" ref="D5278:D5285" si="485">DAY(C5278)</f>
        <v>15</v>
      </c>
      <c r="E5278">
        <f t="shared" ref="E5278:E5285" si="486">MONTH(C5278)</f>
        <v>10</v>
      </c>
      <c r="F5278">
        <f t="shared" ref="F5278:F5285" si="487">YEAR(C5278)</f>
        <v>2025</v>
      </c>
      <c r="G5278" t="s">
        <v>56</v>
      </c>
      <c r="H5278" s="121" t="s">
        <v>1415</v>
      </c>
      <c r="I5278" s="95">
        <v>189626.19999999998</v>
      </c>
      <c r="J5278" s="12" t="s">
        <v>31</v>
      </c>
      <c r="K5278" s="76">
        <f t="shared" ref="K5278:K5285" si="488">IF(J5278="USD",I5278,I5278*L5278)</f>
        <v>189626.19999999998</v>
      </c>
      <c r="L5278">
        <v>1</v>
      </c>
      <c r="M5278" s="76">
        <v>0</v>
      </c>
      <c r="N5278" t="s">
        <v>32</v>
      </c>
      <c r="O5278" t="s">
        <v>33</v>
      </c>
      <c r="P5278" t="s">
        <v>34</v>
      </c>
      <c r="Q5278" t="s">
        <v>34</v>
      </c>
      <c r="R5278" t="s">
        <v>34</v>
      </c>
      <c r="S5278" t="s">
        <v>34</v>
      </c>
      <c r="T5278" s="117">
        <v>0</v>
      </c>
    </row>
    <row r="5279" spans="1:21" x14ac:dyDescent="0.35">
      <c r="A5279" t="s">
        <v>19</v>
      </c>
      <c r="B5279" t="s">
        <v>19</v>
      </c>
      <c r="C5279" s="1">
        <v>45945</v>
      </c>
      <c r="D5279">
        <f t="shared" si="485"/>
        <v>15</v>
      </c>
      <c r="E5279">
        <f t="shared" si="486"/>
        <v>10</v>
      </c>
      <c r="F5279">
        <f t="shared" si="487"/>
        <v>2025</v>
      </c>
      <c r="G5279" t="s">
        <v>56</v>
      </c>
      <c r="H5279" s="121" t="s">
        <v>1416</v>
      </c>
      <c r="I5279" s="95">
        <v>165843.19</v>
      </c>
      <c r="J5279" s="12" t="s">
        <v>31</v>
      </c>
      <c r="K5279" s="76">
        <f t="shared" si="488"/>
        <v>165843.19</v>
      </c>
      <c r="L5279">
        <v>1</v>
      </c>
      <c r="M5279" s="76">
        <v>0</v>
      </c>
      <c r="N5279" t="s">
        <v>32</v>
      </c>
      <c r="O5279" t="s">
        <v>33</v>
      </c>
      <c r="P5279" t="s">
        <v>34</v>
      </c>
      <c r="Q5279" t="s">
        <v>34</v>
      </c>
      <c r="R5279" t="s">
        <v>34</v>
      </c>
      <c r="S5279" t="s">
        <v>34</v>
      </c>
      <c r="T5279" s="117">
        <v>0</v>
      </c>
    </row>
    <row r="5280" spans="1:21" x14ac:dyDescent="0.35">
      <c r="A5280" t="s">
        <v>19</v>
      </c>
      <c r="B5280" t="s">
        <v>19</v>
      </c>
      <c r="C5280" s="1">
        <v>45945</v>
      </c>
      <c r="D5280">
        <f t="shared" si="485"/>
        <v>15</v>
      </c>
      <c r="E5280">
        <f t="shared" si="486"/>
        <v>10</v>
      </c>
      <c r="F5280">
        <f t="shared" si="487"/>
        <v>2025</v>
      </c>
      <c r="G5280" t="s">
        <v>56</v>
      </c>
      <c r="H5280" s="121" t="s">
        <v>1417</v>
      </c>
      <c r="I5280" s="95">
        <v>185106.21</v>
      </c>
      <c r="J5280" s="12" t="s">
        <v>31</v>
      </c>
      <c r="K5280" s="76">
        <f t="shared" si="488"/>
        <v>185106.21</v>
      </c>
      <c r="L5280">
        <v>1</v>
      </c>
      <c r="M5280" s="76">
        <v>0</v>
      </c>
      <c r="N5280" t="s">
        <v>32</v>
      </c>
      <c r="O5280" t="s">
        <v>33</v>
      </c>
      <c r="P5280" t="s">
        <v>34</v>
      </c>
      <c r="Q5280" t="s">
        <v>34</v>
      </c>
      <c r="R5280" t="s">
        <v>34</v>
      </c>
      <c r="S5280" t="s">
        <v>34</v>
      </c>
      <c r="T5280" s="117">
        <v>0</v>
      </c>
    </row>
    <row r="5281" spans="1:21" x14ac:dyDescent="0.35">
      <c r="A5281" t="s">
        <v>19</v>
      </c>
      <c r="B5281" t="s">
        <v>19</v>
      </c>
      <c r="C5281" s="1">
        <v>45945</v>
      </c>
      <c r="D5281">
        <f t="shared" si="485"/>
        <v>15</v>
      </c>
      <c r="E5281">
        <f t="shared" si="486"/>
        <v>10</v>
      </c>
      <c r="F5281">
        <f t="shared" si="487"/>
        <v>2025</v>
      </c>
      <c r="G5281" t="s">
        <v>56</v>
      </c>
      <c r="H5281" s="121" t="s">
        <v>1418</v>
      </c>
      <c r="I5281" s="95">
        <v>82489.429999999993</v>
      </c>
      <c r="J5281" s="12" t="s">
        <v>31</v>
      </c>
      <c r="K5281" s="76">
        <f t="shared" si="488"/>
        <v>82489.429999999993</v>
      </c>
      <c r="L5281">
        <v>1</v>
      </c>
      <c r="M5281" s="76">
        <v>0</v>
      </c>
      <c r="N5281" t="s">
        <v>32</v>
      </c>
      <c r="O5281" t="s">
        <v>33</v>
      </c>
      <c r="P5281" t="s">
        <v>34</v>
      </c>
      <c r="Q5281" t="s">
        <v>34</v>
      </c>
      <c r="R5281" t="s">
        <v>34</v>
      </c>
      <c r="S5281" t="s">
        <v>34</v>
      </c>
      <c r="T5281" s="117">
        <v>0</v>
      </c>
    </row>
    <row r="5282" spans="1:21" x14ac:dyDescent="0.35">
      <c r="A5282" t="s">
        <v>19</v>
      </c>
      <c r="B5282" t="s">
        <v>19</v>
      </c>
      <c r="C5282" s="1">
        <v>45945</v>
      </c>
      <c r="D5282">
        <f t="shared" si="485"/>
        <v>15</v>
      </c>
      <c r="E5282">
        <f t="shared" si="486"/>
        <v>10</v>
      </c>
      <c r="F5282">
        <f t="shared" si="487"/>
        <v>2025</v>
      </c>
      <c r="G5282" t="s">
        <v>56</v>
      </c>
      <c r="H5282" s="121" t="s">
        <v>1419</v>
      </c>
      <c r="I5282" s="95">
        <v>8387.08</v>
      </c>
      <c r="J5282" s="12" t="s">
        <v>31</v>
      </c>
      <c r="K5282" s="76">
        <f t="shared" si="488"/>
        <v>8387.08</v>
      </c>
      <c r="L5282">
        <v>1</v>
      </c>
      <c r="M5282" s="76">
        <v>0</v>
      </c>
      <c r="N5282" t="s">
        <v>32</v>
      </c>
      <c r="O5282" t="s">
        <v>33</v>
      </c>
      <c r="P5282" t="s">
        <v>34</v>
      </c>
      <c r="Q5282" t="s">
        <v>34</v>
      </c>
      <c r="R5282" t="s">
        <v>34</v>
      </c>
      <c r="S5282" t="s">
        <v>34</v>
      </c>
      <c r="T5282" s="117">
        <v>0</v>
      </c>
    </row>
    <row r="5283" spans="1:21" x14ac:dyDescent="0.35">
      <c r="A5283" t="s">
        <v>19</v>
      </c>
      <c r="B5283" t="s">
        <v>19</v>
      </c>
      <c r="C5283" s="1">
        <v>45945</v>
      </c>
      <c r="D5283">
        <f t="shared" si="485"/>
        <v>15</v>
      </c>
      <c r="E5283">
        <f t="shared" si="486"/>
        <v>10</v>
      </c>
      <c r="F5283">
        <f t="shared" si="487"/>
        <v>2025</v>
      </c>
      <c r="G5283" t="s">
        <v>56</v>
      </c>
      <c r="H5283" s="121" t="s">
        <v>1420</v>
      </c>
      <c r="I5283" s="95">
        <v>541.63</v>
      </c>
      <c r="J5283" s="12" t="s">
        <v>31</v>
      </c>
      <c r="K5283" s="76">
        <f t="shared" si="488"/>
        <v>541.63</v>
      </c>
      <c r="L5283">
        <v>1</v>
      </c>
      <c r="M5283" s="76">
        <v>0</v>
      </c>
      <c r="N5283" t="s">
        <v>32</v>
      </c>
      <c r="O5283" t="s">
        <v>33</v>
      </c>
      <c r="P5283" t="s">
        <v>34</v>
      </c>
      <c r="Q5283" t="s">
        <v>34</v>
      </c>
      <c r="R5283" t="s">
        <v>34</v>
      </c>
      <c r="S5283" t="s">
        <v>34</v>
      </c>
      <c r="T5283" s="117">
        <v>0</v>
      </c>
    </row>
    <row r="5284" spans="1:21" x14ac:dyDescent="0.35">
      <c r="A5284" t="s">
        <v>19</v>
      </c>
      <c r="B5284" t="s">
        <v>19</v>
      </c>
      <c r="C5284" s="1">
        <v>45945</v>
      </c>
      <c r="D5284">
        <f t="shared" si="485"/>
        <v>15</v>
      </c>
      <c r="E5284">
        <f t="shared" si="486"/>
        <v>10</v>
      </c>
      <c r="F5284">
        <f t="shared" si="487"/>
        <v>2025</v>
      </c>
      <c r="G5284" t="s">
        <v>56</v>
      </c>
      <c r="H5284" s="121" t="s">
        <v>1421</v>
      </c>
      <c r="I5284" s="95">
        <v>1456.35</v>
      </c>
      <c r="J5284" s="12" t="s">
        <v>31</v>
      </c>
      <c r="K5284" s="76">
        <f t="shared" si="488"/>
        <v>1456.35</v>
      </c>
      <c r="L5284">
        <v>1</v>
      </c>
      <c r="M5284" s="76">
        <v>0</v>
      </c>
      <c r="N5284" t="s">
        <v>32</v>
      </c>
      <c r="O5284" t="s">
        <v>33</v>
      </c>
      <c r="P5284" t="s">
        <v>34</v>
      </c>
      <c r="Q5284" t="s">
        <v>34</v>
      </c>
      <c r="R5284" t="s">
        <v>34</v>
      </c>
      <c r="S5284" t="s">
        <v>34</v>
      </c>
      <c r="T5284" s="117">
        <v>0</v>
      </c>
    </row>
    <row r="5285" spans="1:21" x14ac:dyDescent="0.35">
      <c r="A5285" t="s">
        <v>19</v>
      </c>
      <c r="B5285" t="s">
        <v>19</v>
      </c>
      <c r="C5285" s="1">
        <v>45945</v>
      </c>
      <c r="D5285">
        <f t="shared" si="485"/>
        <v>15</v>
      </c>
      <c r="E5285">
        <f t="shared" si="486"/>
        <v>10</v>
      </c>
      <c r="F5285">
        <f t="shared" si="487"/>
        <v>2025</v>
      </c>
      <c r="G5285" t="s">
        <v>56</v>
      </c>
      <c r="H5285" s="121" t="s">
        <v>449</v>
      </c>
      <c r="I5285" s="95">
        <v>689.19</v>
      </c>
      <c r="J5285" s="12" t="s">
        <v>31</v>
      </c>
      <c r="K5285" s="76">
        <f t="shared" si="488"/>
        <v>689.19</v>
      </c>
      <c r="L5285">
        <v>1</v>
      </c>
      <c r="M5285" s="76">
        <v>0</v>
      </c>
      <c r="N5285" t="s">
        <v>32</v>
      </c>
      <c r="O5285" t="s">
        <v>33</v>
      </c>
      <c r="P5285" t="s">
        <v>34</v>
      </c>
      <c r="Q5285" t="s">
        <v>34</v>
      </c>
      <c r="R5285" t="s">
        <v>34</v>
      </c>
      <c r="S5285" t="s">
        <v>34</v>
      </c>
      <c r="T5285" s="117">
        <v>0</v>
      </c>
    </row>
    <row r="5286" spans="1:21" x14ac:dyDescent="0.35">
      <c r="A5286" t="s">
        <v>19</v>
      </c>
      <c r="B5286" t="s">
        <v>19</v>
      </c>
      <c r="C5286" s="1">
        <v>45945</v>
      </c>
      <c r="D5286">
        <f t="shared" ref="D5286:D5293" si="489">DAY(C5286)</f>
        <v>15</v>
      </c>
      <c r="E5286">
        <f t="shared" ref="E5286:E5293" si="490">MONTH(C5286)</f>
        <v>10</v>
      </c>
      <c r="F5286">
        <f t="shared" ref="F5286:F5293" si="491">YEAR(C5286)</f>
        <v>2025</v>
      </c>
      <c r="G5286" t="s">
        <v>213</v>
      </c>
      <c r="H5286" s="121" t="s">
        <v>1422</v>
      </c>
      <c r="I5286" s="95">
        <v>100000</v>
      </c>
      <c r="J5286" s="12" t="s">
        <v>31</v>
      </c>
      <c r="K5286" s="76">
        <f t="shared" ref="K5286:K5294" si="492">IF(J5286="USD",I5286,I5286*L5286)</f>
        <v>100000</v>
      </c>
      <c r="L5286">
        <v>1</v>
      </c>
      <c r="M5286" s="76">
        <v>0</v>
      </c>
      <c r="N5286" t="s">
        <v>32</v>
      </c>
      <c r="O5286" t="s">
        <v>33</v>
      </c>
      <c r="P5286" t="s">
        <v>34</v>
      </c>
      <c r="Q5286" t="s">
        <v>34</v>
      </c>
      <c r="R5286" t="s">
        <v>34</v>
      </c>
      <c r="S5286" t="s">
        <v>34</v>
      </c>
      <c r="T5286" s="117">
        <v>0</v>
      </c>
    </row>
    <row r="5287" spans="1:21" x14ac:dyDescent="0.35">
      <c r="A5287" t="s">
        <v>19</v>
      </c>
      <c r="B5287" t="s">
        <v>19</v>
      </c>
      <c r="C5287" s="1">
        <v>45945</v>
      </c>
      <c r="D5287">
        <f t="shared" si="489"/>
        <v>15</v>
      </c>
      <c r="E5287">
        <f t="shared" si="490"/>
        <v>10</v>
      </c>
      <c r="F5287">
        <f t="shared" si="491"/>
        <v>2025</v>
      </c>
      <c r="G5287" t="s">
        <v>54</v>
      </c>
      <c r="H5287" s="121" t="s">
        <v>1423</v>
      </c>
      <c r="I5287" s="95">
        <v>76559.33</v>
      </c>
      <c r="J5287" s="12" t="s">
        <v>31</v>
      </c>
      <c r="K5287" s="76">
        <f t="shared" si="492"/>
        <v>76559.33</v>
      </c>
      <c r="L5287">
        <v>1</v>
      </c>
      <c r="M5287" s="76">
        <v>0</v>
      </c>
      <c r="N5287" t="s">
        <v>32</v>
      </c>
      <c r="O5287" t="s">
        <v>33</v>
      </c>
      <c r="P5287" t="s">
        <v>34</v>
      </c>
      <c r="Q5287" t="s">
        <v>34</v>
      </c>
      <c r="R5287" t="s">
        <v>34</v>
      </c>
      <c r="S5287" t="s">
        <v>34</v>
      </c>
      <c r="T5287" s="117">
        <v>0</v>
      </c>
    </row>
    <row r="5288" spans="1:21" x14ac:dyDescent="0.35">
      <c r="A5288" t="s">
        <v>19</v>
      </c>
      <c r="B5288" t="s">
        <v>19</v>
      </c>
      <c r="C5288" s="1">
        <v>45945</v>
      </c>
      <c r="D5288">
        <f t="shared" si="489"/>
        <v>15</v>
      </c>
      <c r="E5288">
        <f t="shared" si="490"/>
        <v>10</v>
      </c>
      <c r="F5288">
        <f t="shared" si="491"/>
        <v>2025</v>
      </c>
      <c r="G5288" t="s">
        <v>125</v>
      </c>
      <c r="H5288" s="121" t="s">
        <v>1424</v>
      </c>
      <c r="I5288" s="95">
        <v>153181.32</v>
      </c>
      <c r="J5288" s="12" t="s">
        <v>31</v>
      </c>
      <c r="K5288" s="76">
        <f t="shared" si="492"/>
        <v>153181.32</v>
      </c>
      <c r="L5288">
        <v>1</v>
      </c>
      <c r="M5288" s="76">
        <v>0</v>
      </c>
      <c r="N5288" t="s">
        <v>32</v>
      </c>
      <c r="O5288" t="s">
        <v>33</v>
      </c>
      <c r="P5288" t="s">
        <v>34</v>
      </c>
      <c r="Q5288" t="s">
        <v>34</v>
      </c>
      <c r="R5288" t="s">
        <v>34</v>
      </c>
      <c r="S5288" t="s">
        <v>34</v>
      </c>
      <c r="T5288" s="117">
        <v>0</v>
      </c>
    </row>
    <row r="5289" spans="1:21" x14ac:dyDescent="0.35">
      <c r="A5289" t="s">
        <v>19</v>
      </c>
      <c r="B5289" t="s">
        <v>19</v>
      </c>
      <c r="C5289" s="1">
        <v>45945</v>
      </c>
      <c r="D5289">
        <f t="shared" si="489"/>
        <v>15</v>
      </c>
      <c r="E5289">
        <f t="shared" si="490"/>
        <v>10</v>
      </c>
      <c r="F5289">
        <f t="shared" si="491"/>
        <v>2025</v>
      </c>
      <c r="G5289" t="s">
        <v>1115</v>
      </c>
      <c r="H5289" s="121" t="s">
        <v>1411</v>
      </c>
      <c r="I5289" s="95">
        <v>60051.97</v>
      </c>
      <c r="J5289" s="12" t="s">
        <v>31</v>
      </c>
      <c r="K5289" s="76">
        <f t="shared" si="492"/>
        <v>60051.97</v>
      </c>
      <c r="L5289">
        <v>1</v>
      </c>
      <c r="M5289" s="76">
        <v>0</v>
      </c>
      <c r="N5289" t="s">
        <v>32</v>
      </c>
      <c r="O5289" t="s">
        <v>33</v>
      </c>
      <c r="P5289" t="s">
        <v>34</v>
      </c>
      <c r="Q5289" t="s">
        <v>34</v>
      </c>
      <c r="R5289" t="s">
        <v>34</v>
      </c>
      <c r="S5289" t="s">
        <v>34</v>
      </c>
      <c r="T5289" s="117">
        <v>0</v>
      </c>
    </row>
    <row r="5290" spans="1:21" x14ac:dyDescent="0.35">
      <c r="A5290" t="s">
        <v>19</v>
      </c>
      <c r="B5290" t="s">
        <v>19</v>
      </c>
      <c r="C5290" s="1">
        <v>45945</v>
      </c>
      <c r="D5290">
        <f t="shared" si="489"/>
        <v>15</v>
      </c>
      <c r="E5290">
        <f t="shared" si="490"/>
        <v>10</v>
      </c>
      <c r="F5290">
        <f t="shared" si="491"/>
        <v>2025</v>
      </c>
      <c r="G5290" t="s">
        <v>601</v>
      </c>
      <c r="H5290" s="121" t="s">
        <v>1425</v>
      </c>
      <c r="I5290" s="95">
        <v>91198.720000000001</v>
      </c>
      <c r="J5290" s="12" t="s">
        <v>31</v>
      </c>
      <c r="K5290" s="76">
        <f t="shared" si="492"/>
        <v>91198.720000000001</v>
      </c>
      <c r="L5290">
        <v>1</v>
      </c>
      <c r="M5290" s="76">
        <v>0</v>
      </c>
      <c r="N5290" t="s">
        <v>32</v>
      </c>
      <c r="O5290" t="s">
        <v>33</v>
      </c>
      <c r="P5290" t="s">
        <v>34</v>
      </c>
      <c r="Q5290" t="s">
        <v>34</v>
      </c>
      <c r="R5290" t="s">
        <v>34</v>
      </c>
      <c r="S5290" t="s">
        <v>34</v>
      </c>
      <c r="T5290" s="117">
        <v>0</v>
      </c>
    </row>
    <row r="5291" spans="1:21" x14ac:dyDescent="0.35">
      <c r="A5291" t="s">
        <v>19</v>
      </c>
      <c r="B5291" t="s">
        <v>19</v>
      </c>
      <c r="C5291" s="1">
        <v>45945</v>
      </c>
      <c r="D5291">
        <f t="shared" si="489"/>
        <v>15</v>
      </c>
      <c r="E5291">
        <f t="shared" si="490"/>
        <v>10</v>
      </c>
      <c r="F5291">
        <f t="shared" si="491"/>
        <v>2025</v>
      </c>
      <c r="G5291" t="s">
        <v>82</v>
      </c>
      <c r="H5291" s="121" t="s">
        <v>1366</v>
      </c>
      <c r="I5291" s="95">
        <v>45.2</v>
      </c>
      <c r="J5291" s="12" t="s">
        <v>31</v>
      </c>
      <c r="K5291" s="76">
        <f t="shared" si="492"/>
        <v>45.2</v>
      </c>
      <c r="L5291">
        <v>1</v>
      </c>
      <c r="M5291" s="76">
        <v>0</v>
      </c>
      <c r="N5291" t="s">
        <v>32</v>
      </c>
      <c r="O5291" t="s">
        <v>33</v>
      </c>
      <c r="P5291" t="s">
        <v>34</v>
      </c>
      <c r="Q5291" t="s">
        <v>34</v>
      </c>
      <c r="R5291" t="s">
        <v>34</v>
      </c>
      <c r="S5291" t="s">
        <v>34</v>
      </c>
      <c r="T5291" s="117">
        <v>0</v>
      </c>
    </row>
    <row r="5292" spans="1:21" x14ac:dyDescent="0.35">
      <c r="A5292" t="s">
        <v>19</v>
      </c>
      <c r="B5292" t="s">
        <v>19</v>
      </c>
      <c r="C5292" s="1">
        <v>45945</v>
      </c>
      <c r="D5292">
        <f t="shared" si="489"/>
        <v>15</v>
      </c>
      <c r="E5292">
        <f t="shared" si="490"/>
        <v>10</v>
      </c>
      <c r="F5292">
        <f t="shared" si="491"/>
        <v>2025</v>
      </c>
      <c r="G5292" t="s">
        <v>46</v>
      </c>
      <c r="H5292" s="121" t="s">
        <v>1275</v>
      </c>
      <c r="I5292" s="95">
        <v>3445.44</v>
      </c>
      <c r="J5292" s="12" t="s">
        <v>31</v>
      </c>
      <c r="K5292" s="76">
        <f t="shared" si="492"/>
        <v>3445.44</v>
      </c>
      <c r="L5292">
        <v>1</v>
      </c>
      <c r="M5292" s="76">
        <v>0</v>
      </c>
      <c r="N5292" t="s">
        <v>32</v>
      </c>
      <c r="O5292" t="s">
        <v>33</v>
      </c>
      <c r="P5292" t="s">
        <v>34</v>
      </c>
      <c r="Q5292" t="s">
        <v>34</v>
      </c>
      <c r="R5292" t="s">
        <v>34</v>
      </c>
      <c r="S5292" t="s">
        <v>34</v>
      </c>
      <c r="T5292" s="117">
        <v>0</v>
      </c>
    </row>
    <row r="5293" spans="1:21" x14ac:dyDescent="0.35">
      <c r="A5293" t="s">
        <v>19</v>
      </c>
      <c r="B5293" t="s">
        <v>19</v>
      </c>
      <c r="C5293" s="1">
        <v>45945</v>
      </c>
      <c r="D5293">
        <f t="shared" si="489"/>
        <v>15</v>
      </c>
      <c r="E5293">
        <f t="shared" si="490"/>
        <v>10</v>
      </c>
      <c r="F5293">
        <f t="shared" si="491"/>
        <v>2025</v>
      </c>
      <c r="G5293" t="s">
        <v>1003</v>
      </c>
      <c r="H5293" s="121" t="s">
        <v>1276</v>
      </c>
      <c r="I5293" s="95">
        <v>688.09</v>
      </c>
      <c r="J5293" s="12" t="s">
        <v>31</v>
      </c>
      <c r="K5293" s="76">
        <f t="shared" si="492"/>
        <v>688.09</v>
      </c>
      <c r="L5293">
        <v>1</v>
      </c>
      <c r="M5293" s="76">
        <v>0</v>
      </c>
      <c r="N5293" t="s">
        <v>32</v>
      </c>
      <c r="O5293" t="s">
        <v>33</v>
      </c>
      <c r="P5293" t="s">
        <v>34</v>
      </c>
      <c r="Q5293" t="s">
        <v>34</v>
      </c>
      <c r="R5293" t="s">
        <v>34</v>
      </c>
      <c r="S5293" t="s">
        <v>34</v>
      </c>
      <c r="T5293" s="117">
        <v>0</v>
      </c>
    </row>
    <row r="5294" spans="1:21" x14ac:dyDescent="0.35">
      <c r="A5294" t="s">
        <v>19</v>
      </c>
      <c r="B5294" t="s">
        <v>27</v>
      </c>
      <c r="C5294" s="1">
        <v>45950</v>
      </c>
      <c r="D5294">
        <f t="shared" ref="D5294" si="493">DAY(C5294)</f>
        <v>20</v>
      </c>
      <c r="E5294">
        <f t="shared" ref="E5294" si="494">MONTH(C5294)</f>
        <v>10</v>
      </c>
      <c r="F5294">
        <f t="shared" ref="F5294" si="495">YEAR(C5294)</f>
        <v>2025</v>
      </c>
      <c r="G5294" t="s">
        <v>1451</v>
      </c>
      <c r="H5294" s="121">
        <v>13387</v>
      </c>
      <c r="I5294" s="198">
        <v>101903.88</v>
      </c>
      <c r="J5294" s="12" t="s">
        <v>31</v>
      </c>
      <c r="K5294" s="76">
        <f t="shared" si="492"/>
        <v>101903.88</v>
      </c>
      <c r="L5294">
        <v>1</v>
      </c>
      <c r="M5294" s="94">
        <v>0</v>
      </c>
      <c r="N5294" t="s">
        <v>32</v>
      </c>
      <c r="O5294" t="s">
        <v>33</v>
      </c>
      <c r="P5294" t="s">
        <v>34</v>
      </c>
      <c r="Q5294" t="s">
        <v>34</v>
      </c>
      <c r="R5294" t="s">
        <v>34</v>
      </c>
      <c r="S5294" t="s">
        <v>34</v>
      </c>
      <c r="T5294" s="117">
        <v>0</v>
      </c>
      <c r="U5294" s="209" t="s">
        <v>1221</v>
      </c>
    </row>
    <row r="5295" spans="1:21" x14ac:dyDescent="0.35">
      <c r="A5295" t="s">
        <v>20</v>
      </c>
      <c r="B5295" t="s">
        <v>21</v>
      </c>
      <c r="C5295" s="1">
        <v>45952</v>
      </c>
      <c r="D5295">
        <f>DAY(C5295)</f>
        <v>22</v>
      </c>
      <c r="E5295">
        <f>MONTH(C5295)</f>
        <v>10</v>
      </c>
      <c r="F5295">
        <f>YEAR(C5295)</f>
        <v>2025</v>
      </c>
      <c r="G5295" t="s">
        <v>1327</v>
      </c>
      <c r="H5295" s="121">
        <v>13216</v>
      </c>
      <c r="I5295" s="95">
        <v>30721.439999999999</v>
      </c>
      <c r="J5295" s="12" t="s">
        <v>31</v>
      </c>
      <c r="K5295" s="76">
        <f t="shared" ref="K5295:K5298" si="496">IF(J5295="USD",I5295,I5295*L5295)</f>
        <v>30721.439999999999</v>
      </c>
      <c r="L5295">
        <v>1</v>
      </c>
      <c r="M5295" s="76">
        <v>0</v>
      </c>
      <c r="N5295" t="s">
        <v>32</v>
      </c>
      <c r="O5295" t="s">
        <v>33</v>
      </c>
      <c r="P5295" t="s">
        <v>34</v>
      </c>
      <c r="Q5295" t="s">
        <v>34</v>
      </c>
      <c r="R5295" t="s">
        <v>34</v>
      </c>
      <c r="S5295" t="s">
        <v>34</v>
      </c>
      <c r="T5295" s="117">
        <v>0</v>
      </c>
      <c r="U5295" s="209" t="s">
        <v>1453</v>
      </c>
    </row>
    <row r="5296" spans="1:21" x14ac:dyDescent="0.35">
      <c r="A5296" t="s">
        <v>20</v>
      </c>
      <c r="B5296" t="s">
        <v>25</v>
      </c>
      <c r="C5296" s="1">
        <v>45952</v>
      </c>
      <c r="D5296">
        <f>DAY(C5296)</f>
        <v>22</v>
      </c>
      <c r="E5296">
        <f>MONTH(C5296)</f>
        <v>10</v>
      </c>
      <c r="F5296">
        <f>YEAR(C5296)</f>
        <v>2025</v>
      </c>
      <c r="G5296" t="s">
        <v>1327</v>
      </c>
      <c r="H5296" s="121">
        <v>13214</v>
      </c>
      <c r="I5296" s="95">
        <v>128</v>
      </c>
      <c r="J5296" s="12" t="s">
        <v>31</v>
      </c>
      <c r="K5296" s="94">
        <f t="shared" si="496"/>
        <v>128</v>
      </c>
      <c r="L5296">
        <v>1</v>
      </c>
      <c r="M5296" s="94">
        <v>0</v>
      </c>
      <c r="N5296" t="s">
        <v>32</v>
      </c>
      <c r="O5296" t="s">
        <v>33</v>
      </c>
      <c r="P5296" t="s">
        <v>34</v>
      </c>
      <c r="Q5296" t="s">
        <v>34</v>
      </c>
      <c r="R5296" t="s">
        <v>34</v>
      </c>
      <c r="S5296" t="s">
        <v>34</v>
      </c>
      <c r="T5296" s="117">
        <v>0</v>
      </c>
      <c r="U5296" s="209" t="s">
        <v>1453</v>
      </c>
    </row>
    <row r="5297" spans="1:21" x14ac:dyDescent="0.35">
      <c r="A5297" t="s">
        <v>20</v>
      </c>
      <c r="B5297" t="s">
        <v>21</v>
      </c>
      <c r="C5297" s="1">
        <v>45952</v>
      </c>
      <c r="D5297">
        <f>DAY(C5297)</f>
        <v>22</v>
      </c>
      <c r="E5297">
        <f>MONTH(C5297)</f>
        <v>10</v>
      </c>
      <c r="F5297">
        <f>YEAR(C5297)</f>
        <v>2025</v>
      </c>
      <c r="G5297" t="s">
        <v>1327</v>
      </c>
      <c r="H5297" s="121">
        <v>13214</v>
      </c>
      <c r="I5297" s="95">
        <v>406</v>
      </c>
      <c r="J5297" s="12" t="s">
        <v>31</v>
      </c>
      <c r="K5297" s="76">
        <f t="shared" si="496"/>
        <v>406</v>
      </c>
      <c r="L5297">
        <v>1</v>
      </c>
      <c r="M5297" s="76">
        <v>0</v>
      </c>
      <c r="N5297" t="s">
        <v>32</v>
      </c>
      <c r="O5297" t="s">
        <v>33</v>
      </c>
      <c r="P5297" t="s">
        <v>34</v>
      </c>
      <c r="Q5297" t="s">
        <v>34</v>
      </c>
      <c r="R5297" t="s">
        <v>34</v>
      </c>
      <c r="S5297" t="s">
        <v>34</v>
      </c>
      <c r="T5297" s="117">
        <v>0</v>
      </c>
      <c r="U5297" s="209" t="s">
        <v>1453</v>
      </c>
    </row>
    <row r="5298" spans="1:21" x14ac:dyDescent="0.35">
      <c r="A5298" t="s">
        <v>20</v>
      </c>
      <c r="B5298" t="s">
        <v>23</v>
      </c>
      <c r="C5298" s="1">
        <v>45952</v>
      </c>
      <c r="D5298">
        <f>DAY(C5298)</f>
        <v>22</v>
      </c>
      <c r="E5298">
        <f>MONTH(C5298)</f>
        <v>10</v>
      </c>
      <c r="F5298">
        <f>YEAR(C5298)</f>
        <v>2025</v>
      </c>
      <c r="G5298" t="s">
        <v>1327</v>
      </c>
      <c r="H5298" s="121">
        <v>13214</v>
      </c>
      <c r="I5298" s="95">
        <v>33.4</v>
      </c>
      <c r="J5298" s="12" t="s">
        <v>31</v>
      </c>
      <c r="K5298" s="94">
        <f t="shared" si="496"/>
        <v>33.4</v>
      </c>
      <c r="L5298">
        <v>1</v>
      </c>
      <c r="M5298" s="94">
        <v>0</v>
      </c>
      <c r="N5298" t="s">
        <v>32</v>
      </c>
      <c r="O5298" t="s">
        <v>33</v>
      </c>
      <c r="P5298" t="s">
        <v>34</v>
      </c>
      <c r="Q5298" t="s">
        <v>34</v>
      </c>
      <c r="R5298" t="s">
        <v>34</v>
      </c>
      <c r="S5298" t="s">
        <v>34</v>
      </c>
      <c r="T5298" s="117">
        <v>0</v>
      </c>
      <c r="U5298" s="209" t="s">
        <v>1453</v>
      </c>
    </row>
    <row r="5299" spans="1:21" x14ac:dyDescent="0.35">
      <c r="A5299" t="s">
        <v>20</v>
      </c>
      <c r="B5299" t="s">
        <v>23</v>
      </c>
      <c r="C5299" s="1">
        <v>45952</v>
      </c>
      <c r="D5299">
        <f t="shared" ref="D5299:D5300" si="497">DAY(C5299)</f>
        <v>22</v>
      </c>
      <c r="E5299">
        <f t="shared" ref="E5299:E5300" si="498">MONTH(C5299)</f>
        <v>10</v>
      </c>
      <c r="F5299">
        <f t="shared" ref="F5299:F5300" si="499">YEAR(C5299)</f>
        <v>2025</v>
      </c>
      <c r="G5299" t="s">
        <v>265</v>
      </c>
      <c r="H5299" s="121">
        <v>13250</v>
      </c>
      <c r="I5299" s="95">
        <v>12803.7</v>
      </c>
      <c r="J5299" s="12" t="s">
        <v>31</v>
      </c>
      <c r="K5299" s="76">
        <f t="shared" ref="K5299:K5300" si="500">IF(J5299="USD",I5299,I5299*L5299)</f>
        <v>12803.7</v>
      </c>
      <c r="L5299">
        <v>1</v>
      </c>
      <c r="M5299" s="76">
        <v>0</v>
      </c>
      <c r="N5299" t="s">
        <v>32</v>
      </c>
      <c r="O5299" t="s">
        <v>33</v>
      </c>
      <c r="P5299" t="s">
        <v>34</v>
      </c>
      <c r="Q5299" t="s">
        <v>34</v>
      </c>
      <c r="R5299" t="s">
        <v>34</v>
      </c>
      <c r="S5299" t="s">
        <v>34</v>
      </c>
      <c r="T5299" s="117">
        <v>0</v>
      </c>
    </row>
    <row r="5300" spans="1:21" x14ac:dyDescent="0.35">
      <c r="A5300" t="s">
        <v>20</v>
      </c>
      <c r="B5300" t="s">
        <v>23</v>
      </c>
      <c r="C5300" s="1">
        <v>45952</v>
      </c>
      <c r="D5300">
        <f t="shared" si="497"/>
        <v>22</v>
      </c>
      <c r="E5300">
        <f t="shared" si="498"/>
        <v>10</v>
      </c>
      <c r="F5300">
        <f t="shared" si="499"/>
        <v>2025</v>
      </c>
      <c r="G5300" t="s">
        <v>82</v>
      </c>
      <c r="H5300" s="121">
        <v>13292</v>
      </c>
      <c r="I5300" s="95">
        <v>5599.34</v>
      </c>
      <c r="J5300" s="12" t="s">
        <v>31</v>
      </c>
      <c r="K5300" s="94">
        <f t="shared" si="500"/>
        <v>5599.34</v>
      </c>
      <c r="L5300">
        <v>1</v>
      </c>
      <c r="M5300" s="94">
        <v>0</v>
      </c>
      <c r="N5300" t="s">
        <v>32</v>
      </c>
      <c r="O5300" t="s">
        <v>33</v>
      </c>
      <c r="P5300" t="s">
        <v>34</v>
      </c>
      <c r="Q5300" t="s">
        <v>34</v>
      </c>
      <c r="R5300" t="s">
        <v>34</v>
      </c>
      <c r="S5300" t="s">
        <v>34</v>
      </c>
      <c r="T5300" s="117">
        <v>0</v>
      </c>
    </row>
    <row r="5301" spans="1:21" x14ac:dyDescent="0.35">
      <c r="A5301" t="s">
        <v>20</v>
      </c>
      <c r="B5301" t="s">
        <v>25</v>
      </c>
      <c r="C5301" s="1">
        <v>45952</v>
      </c>
      <c r="D5301">
        <f t="shared" ref="D5301:D5302" si="501">DAY(C5301)</f>
        <v>22</v>
      </c>
      <c r="E5301">
        <f t="shared" ref="E5301:E5302" si="502">MONTH(C5301)</f>
        <v>10</v>
      </c>
      <c r="F5301">
        <f t="shared" ref="F5301:F5302" si="503">YEAR(C5301)</f>
        <v>2025</v>
      </c>
      <c r="G5301" t="s">
        <v>91</v>
      </c>
      <c r="H5301" s="121">
        <v>13785</v>
      </c>
      <c r="I5301" s="95">
        <v>511.24</v>
      </c>
      <c r="J5301" s="12" t="s">
        <v>31</v>
      </c>
      <c r="K5301" s="76">
        <f t="shared" ref="K5301:K5302" si="504">IF(J5301="USD",I5301,I5301*L5301)</f>
        <v>511.24</v>
      </c>
      <c r="L5301">
        <v>1</v>
      </c>
      <c r="M5301" s="76">
        <v>0</v>
      </c>
      <c r="N5301" t="s">
        <v>32</v>
      </c>
      <c r="O5301" t="s">
        <v>33</v>
      </c>
      <c r="P5301" t="s">
        <v>34</v>
      </c>
      <c r="Q5301" t="s">
        <v>34</v>
      </c>
      <c r="R5301" t="s">
        <v>34</v>
      </c>
      <c r="S5301" t="s">
        <v>34</v>
      </c>
      <c r="T5301" s="117">
        <v>0</v>
      </c>
    </row>
    <row r="5302" spans="1:21" x14ac:dyDescent="0.35">
      <c r="A5302" t="s">
        <v>20</v>
      </c>
      <c r="B5302" t="s">
        <v>23</v>
      </c>
      <c r="C5302" s="1">
        <v>45952</v>
      </c>
      <c r="D5302">
        <f t="shared" si="501"/>
        <v>22</v>
      </c>
      <c r="E5302">
        <f t="shared" si="502"/>
        <v>10</v>
      </c>
      <c r="F5302">
        <f t="shared" si="503"/>
        <v>2025</v>
      </c>
      <c r="G5302" t="s">
        <v>91</v>
      </c>
      <c r="H5302" s="121">
        <v>13519</v>
      </c>
      <c r="I5302" s="95">
        <v>39.5</v>
      </c>
      <c r="J5302" s="12" t="s">
        <v>31</v>
      </c>
      <c r="K5302" s="94">
        <f t="shared" si="504"/>
        <v>39.5</v>
      </c>
      <c r="L5302">
        <v>1</v>
      </c>
      <c r="M5302" s="94">
        <v>0</v>
      </c>
      <c r="N5302" t="s">
        <v>32</v>
      </c>
      <c r="O5302" t="s">
        <v>33</v>
      </c>
      <c r="P5302" t="s">
        <v>34</v>
      </c>
      <c r="Q5302" t="s">
        <v>34</v>
      </c>
      <c r="R5302" t="s">
        <v>34</v>
      </c>
      <c r="S5302" t="s">
        <v>34</v>
      </c>
      <c r="T5302" s="117">
        <v>0</v>
      </c>
    </row>
    <row r="5303" spans="1:21" x14ac:dyDescent="0.35">
      <c r="A5303" t="s">
        <v>20</v>
      </c>
      <c r="B5303" t="s">
        <v>23</v>
      </c>
      <c r="C5303" s="1">
        <v>45952</v>
      </c>
      <c r="D5303">
        <f>DAY(C5303)</f>
        <v>22</v>
      </c>
      <c r="E5303">
        <f>MONTH(C5303)</f>
        <v>10</v>
      </c>
      <c r="F5303">
        <f>YEAR(C5303)</f>
        <v>2025</v>
      </c>
      <c r="G5303" t="s">
        <v>86</v>
      </c>
      <c r="H5303" s="121">
        <v>13358</v>
      </c>
      <c r="I5303" s="95">
        <v>64.599999999999994</v>
      </c>
      <c r="J5303" s="12" t="s">
        <v>31</v>
      </c>
      <c r="K5303" s="76">
        <f t="shared" ref="K5303:K5304" si="505">IF(J5303="USD",I5303,I5303*L5303)</f>
        <v>64.599999999999994</v>
      </c>
      <c r="L5303">
        <v>1</v>
      </c>
      <c r="M5303" s="76">
        <v>0</v>
      </c>
      <c r="N5303" t="s">
        <v>32</v>
      </c>
      <c r="O5303" t="s">
        <v>33</v>
      </c>
      <c r="P5303" t="s">
        <v>34</v>
      </c>
      <c r="Q5303" t="s">
        <v>34</v>
      </c>
      <c r="R5303" t="s">
        <v>34</v>
      </c>
      <c r="S5303" t="s">
        <v>34</v>
      </c>
      <c r="T5303" s="117">
        <v>0</v>
      </c>
    </row>
    <row r="5304" spans="1:21" x14ac:dyDescent="0.35">
      <c r="A5304" t="s">
        <v>20</v>
      </c>
      <c r="B5304" t="s">
        <v>23</v>
      </c>
      <c r="C5304" s="1">
        <v>45952</v>
      </c>
      <c r="D5304">
        <f>DAY(C5304)</f>
        <v>22</v>
      </c>
      <c r="E5304">
        <f>MONTH(C5304)</f>
        <v>10</v>
      </c>
      <c r="F5304">
        <f>YEAR(C5304)</f>
        <v>2025</v>
      </c>
      <c r="G5304" t="s">
        <v>86</v>
      </c>
      <c r="H5304" s="121">
        <v>13512</v>
      </c>
      <c r="I5304" s="95">
        <v>2314</v>
      </c>
      <c r="J5304" s="12" t="s">
        <v>31</v>
      </c>
      <c r="K5304" s="94">
        <f t="shared" si="505"/>
        <v>2314</v>
      </c>
      <c r="L5304">
        <v>1</v>
      </c>
      <c r="M5304" s="94">
        <v>0</v>
      </c>
      <c r="N5304" t="s">
        <v>32</v>
      </c>
      <c r="O5304" t="s">
        <v>33</v>
      </c>
      <c r="P5304" t="s">
        <v>34</v>
      </c>
      <c r="Q5304" t="s">
        <v>34</v>
      </c>
      <c r="R5304" t="s">
        <v>34</v>
      </c>
      <c r="S5304" t="s">
        <v>34</v>
      </c>
      <c r="T5304" s="117">
        <v>0</v>
      </c>
    </row>
    <row r="5305" spans="1:21" x14ac:dyDescent="0.35">
      <c r="A5305" t="s">
        <v>20</v>
      </c>
      <c r="B5305" t="s">
        <v>21</v>
      </c>
      <c r="C5305" s="1">
        <v>45952</v>
      </c>
      <c r="D5305">
        <f t="shared" ref="D5305:D5306" si="506">DAY(C5305)</f>
        <v>22</v>
      </c>
      <c r="E5305">
        <f t="shared" ref="E5305:E5306" si="507">MONTH(C5305)</f>
        <v>10</v>
      </c>
      <c r="F5305">
        <f t="shared" ref="F5305:F5306" si="508">YEAR(C5305)</f>
        <v>2025</v>
      </c>
      <c r="G5305" t="s">
        <v>299</v>
      </c>
      <c r="H5305" s="121">
        <v>12091</v>
      </c>
      <c r="I5305" s="95">
        <v>140</v>
      </c>
      <c r="J5305" s="12" t="s">
        <v>31</v>
      </c>
      <c r="K5305" s="76">
        <f t="shared" ref="K5305:K5307" si="509">IF(J5305="USD",I5305,I5305*L5305)</f>
        <v>140</v>
      </c>
      <c r="L5305">
        <v>1</v>
      </c>
      <c r="M5305" s="76">
        <v>0</v>
      </c>
      <c r="N5305" t="s">
        <v>32</v>
      </c>
      <c r="O5305" t="s">
        <v>33</v>
      </c>
      <c r="P5305" t="s">
        <v>34</v>
      </c>
      <c r="Q5305" t="s">
        <v>34</v>
      </c>
      <c r="R5305" t="s">
        <v>34</v>
      </c>
      <c r="S5305" t="s">
        <v>34</v>
      </c>
      <c r="T5305" s="117">
        <v>0</v>
      </c>
    </row>
    <row r="5306" spans="1:21" x14ac:dyDescent="0.35">
      <c r="A5306" t="s">
        <v>20</v>
      </c>
      <c r="B5306" t="s">
        <v>25</v>
      </c>
      <c r="C5306" s="1">
        <v>45952</v>
      </c>
      <c r="D5306">
        <f t="shared" si="506"/>
        <v>22</v>
      </c>
      <c r="E5306">
        <f t="shared" si="507"/>
        <v>10</v>
      </c>
      <c r="F5306">
        <f t="shared" si="508"/>
        <v>2025</v>
      </c>
      <c r="G5306" t="s">
        <v>209</v>
      </c>
      <c r="H5306" s="121">
        <v>13153</v>
      </c>
      <c r="I5306" s="95">
        <v>886.56</v>
      </c>
      <c r="J5306" s="12" t="s">
        <v>31</v>
      </c>
      <c r="K5306" s="94">
        <f t="shared" si="509"/>
        <v>886.56</v>
      </c>
      <c r="L5306">
        <v>1</v>
      </c>
      <c r="M5306" s="94">
        <v>0</v>
      </c>
      <c r="N5306" t="s">
        <v>32</v>
      </c>
      <c r="O5306" t="s">
        <v>33</v>
      </c>
      <c r="P5306" t="s">
        <v>34</v>
      </c>
      <c r="Q5306" t="s">
        <v>34</v>
      </c>
      <c r="R5306" t="s">
        <v>34</v>
      </c>
      <c r="S5306" t="s">
        <v>34</v>
      </c>
      <c r="T5306" s="117">
        <v>0</v>
      </c>
    </row>
    <row r="5307" spans="1:21" x14ac:dyDescent="0.35">
      <c r="A5307" t="s">
        <v>20</v>
      </c>
      <c r="B5307" t="s">
        <v>25</v>
      </c>
      <c r="C5307" s="1">
        <v>45952</v>
      </c>
      <c r="D5307">
        <f>DAY(C5307)</f>
        <v>22</v>
      </c>
      <c r="E5307">
        <f>MONTH(C5307)</f>
        <v>10</v>
      </c>
      <c r="F5307">
        <f>YEAR(C5307)</f>
        <v>2025</v>
      </c>
      <c r="G5307" t="s">
        <v>209</v>
      </c>
      <c r="H5307" s="121">
        <v>13154</v>
      </c>
      <c r="I5307" s="95">
        <v>60817.2</v>
      </c>
      <c r="J5307" s="12" t="s">
        <v>31</v>
      </c>
      <c r="K5307" s="76">
        <f t="shared" si="509"/>
        <v>60817.2</v>
      </c>
      <c r="L5307">
        <v>1</v>
      </c>
      <c r="M5307" s="76">
        <v>0</v>
      </c>
      <c r="N5307" t="s">
        <v>32</v>
      </c>
      <c r="O5307" t="s">
        <v>33</v>
      </c>
      <c r="P5307" t="s">
        <v>34</v>
      </c>
      <c r="Q5307" t="s">
        <v>34</v>
      </c>
      <c r="R5307" t="s">
        <v>34</v>
      </c>
      <c r="S5307" t="s">
        <v>34</v>
      </c>
      <c r="T5307" s="117">
        <v>0</v>
      </c>
    </row>
    <row r="5308" spans="1:21" x14ac:dyDescent="0.35">
      <c r="A5308" t="s">
        <v>20</v>
      </c>
      <c r="B5308" t="s">
        <v>25</v>
      </c>
      <c r="C5308" s="1">
        <v>45952</v>
      </c>
      <c r="D5308">
        <f>DAY(C5308)</f>
        <v>22</v>
      </c>
      <c r="E5308">
        <f>MONTH(C5308)</f>
        <v>10</v>
      </c>
      <c r="F5308">
        <f>YEAR(C5308)</f>
        <v>2025</v>
      </c>
      <c r="G5308" t="s">
        <v>41</v>
      </c>
      <c r="H5308" s="121">
        <v>13219</v>
      </c>
      <c r="I5308" s="95">
        <v>89.72</v>
      </c>
      <c r="J5308" s="12" t="s">
        <v>31</v>
      </c>
      <c r="K5308" s="94">
        <f t="shared" ref="K5308:K5310" si="510">IF(J5308="USD",I5308,I5308*L5308)</f>
        <v>89.72</v>
      </c>
      <c r="L5308">
        <v>1</v>
      </c>
      <c r="M5308" s="94">
        <v>0</v>
      </c>
      <c r="N5308" t="s">
        <v>32</v>
      </c>
      <c r="O5308" t="s">
        <v>33</v>
      </c>
      <c r="P5308" t="s">
        <v>34</v>
      </c>
      <c r="Q5308" t="s">
        <v>34</v>
      </c>
      <c r="R5308" t="s">
        <v>34</v>
      </c>
      <c r="S5308" t="s">
        <v>34</v>
      </c>
      <c r="T5308" s="117">
        <v>0</v>
      </c>
    </row>
    <row r="5309" spans="1:21" x14ac:dyDescent="0.35">
      <c r="A5309" t="s">
        <v>20</v>
      </c>
      <c r="B5309" t="s">
        <v>25</v>
      </c>
      <c r="C5309" s="1">
        <v>45952</v>
      </c>
      <c r="D5309">
        <f t="shared" ref="D5309:D5310" si="511">DAY(C5309)</f>
        <v>22</v>
      </c>
      <c r="E5309">
        <f t="shared" ref="E5309:E5310" si="512">MONTH(C5309)</f>
        <v>10</v>
      </c>
      <c r="F5309">
        <f t="shared" ref="F5309:F5310" si="513">YEAR(C5309)</f>
        <v>2025</v>
      </c>
      <c r="G5309" t="s">
        <v>1238</v>
      </c>
      <c r="H5309" s="121">
        <v>13539</v>
      </c>
      <c r="I5309" s="95">
        <v>58.8</v>
      </c>
      <c r="J5309" s="12" t="s">
        <v>31</v>
      </c>
      <c r="K5309" s="76">
        <f t="shared" si="510"/>
        <v>58.8</v>
      </c>
      <c r="L5309">
        <v>1</v>
      </c>
      <c r="M5309" s="76">
        <v>0</v>
      </c>
      <c r="N5309" t="s">
        <v>32</v>
      </c>
      <c r="O5309" t="s">
        <v>33</v>
      </c>
      <c r="P5309" t="s">
        <v>34</v>
      </c>
      <c r="Q5309" t="s">
        <v>34</v>
      </c>
      <c r="R5309" t="s">
        <v>34</v>
      </c>
      <c r="S5309" t="s">
        <v>34</v>
      </c>
      <c r="T5309" s="117">
        <v>0</v>
      </c>
    </row>
    <row r="5310" spans="1:21" x14ac:dyDescent="0.35">
      <c r="A5310" t="s">
        <v>20</v>
      </c>
      <c r="B5310" t="s">
        <v>25</v>
      </c>
      <c r="C5310" s="1">
        <v>45952</v>
      </c>
      <c r="D5310">
        <f t="shared" si="511"/>
        <v>22</v>
      </c>
      <c r="E5310">
        <f t="shared" si="512"/>
        <v>10</v>
      </c>
      <c r="F5310">
        <f t="shared" si="513"/>
        <v>2025</v>
      </c>
      <c r="G5310" t="s">
        <v>1238</v>
      </c>
      <c r="H5310" s="121">
        <v>13688</v>
      </c>
      <c r="I5310" s="95">
        <v>29.4</v>
      </c>
      <c r="J5310" s="12" t="s">
        <v>31</v>
      </c>
      <c r="K5310" s="94">
        <f t="shared" si="510"/>
        <v>29.4</v>
      </c>
      <c r="L5310">
        <v>1</v>
      </c>
      <c r="M5310" s="94">
        <v>0</v>
      </c>
      <c r="N5310" t="s">
        <v>32</v>
      </c>
      <c r="O5310" t="s">
        <v>33</v>
      </c>
      <c r="P5310" t="s">
        <v>34</v>
      </c>
      <c r="Q5310" t="s">
        <v>34</v>
      </c>
      <c r="R5310" t="s">
        <v>34</v>
      </c>
      <c r="S5310" t="s">
        <v>34</v>
      </c>
      <c r="T5310" s="117">
        <v>0</v>
      </c>
    </row>
    <row r="5311" spans="1:21" x14ac:dyDescent="0.35">
      <c r="A5311" t="s">
        <v>20</v>
      </c>
      <c r="B5311" t="s">
        <v>25</v>
      </c>
      <c r="C5311" s="1">
        <v>45952</v>
      </c>
      <c r="D5311">
        <f t="shared" ref="D5311:D5316" si="514">DAY(C5311)</f>
        <v>22</v>
      </c>
      <c r="E5311">
        <f t="shared" ref="E5311:E5316" si="515">MONTH(C5311)</f>
        <v>10</v>
      </c>
      <c r="F5311">
        <f t="shared" ref="F5311:F5316" si="516">YEAR(C5311)</f>
        <v>2025</v>
      </c>
      <c r="G5311" t="s">
        <v>274</v>
      </c>
      <c r="H5311" s="121">
        <v>13541</v>
      </c>
      <c r="I5311" s="95">
        <v>188.2</v>
      </c>
      <c r="J5311" s="12" t="s">
        <v>31</v>
      </c>
      <c r="K5311" s="76">
        <f t="shared" ref="K5311:K5312" si="517">IF(J5311="USD",I5311,I5311*L5311)</f>
        <v>188.2</v>
      </c>
      <c r="L5311">
        <v>1</v>
      </c>
      <c r="M5311" s="76">
        <v>0</v>
      </c>
      <c r="N5311" t="s">
        <v>42</v>
      </c>
      <c r="O5311" t="s">
        <v>33</v>
      </c>
      <c r="P5311" t="s">
        <v>34</v>
      </c>
      <c r="Q5311" t="s">
        <v>34</v>
      </c>
      <c r="R5311" t="s">
        <v>34</v>
      </c>
      <c r="S5311" t="s">
        <v>34</v>
      </c>
      <c r="T5311" s="117">
        <v>0</v>
      </c>
    </row>
    <row r="5312" spans="1:21" x14ac:dyDescent="0.35">
      <c r="A5312" t="s">
        <v>20</v>
      </c>
      <c r="B5312" t="s">
        <v>21</v>
      </c>
      <c r="C5312" s="1">
        <v>45952</v>
      </c>
      <c r="D5312">
        <f t="shared" si="514"/>
        <v>22</v>
      </c>
      <c r="E5312">
        <f t="shared" si="515"/>
        <v>10</v>
      </c>
      <c r="F5312">
        <f t="shared" si="516"/>
        <v>2025</v>
      </c>
      <c r="G5312" t="s">
        <v>84</v>
      </c>
      <c r="H5312" s="121">
        <v>13100</v>
      </c>
      <c r="I5312" s="95">
        <v>273</v>
      </c>
      <c r="J5312" s="12" t="s">
        <v>31</v>
      </c>
      <c r="K5312" s="94">
        <f t="shared" si="517"/>
        <v>273</v>
      </c>
      <c r="L5312">
        <v>1</v>
      </c>
      <c r="M5312" s="94">
        <v>0</v>
      </c>
      <c r="N5312" t="s">
        <v>32</v>
      </c>
      <c r="O5312" t="s">
        <v>33</v>
      </c>
      <c r="P5312" t="s">
        <v>34</v>
      </c>
      <c r="Q5312" t="s">
        <v>34</v>
      </c>
      <c r="R5312" t="s">
        <v>34</v>
      </c>
      <c r="S5312" t="s">
        <v>34</v>
      </c>
      <c r="T5312" s="117">
        <v>0</v>
      </c>
    </row>
    <row r="5313" spans="1:21" x14ac:dyDescent="0.35">
      <c r="A5313" t="s">
        <v>20</v>
      </c>
      <c r="B5313" t="s">
        <v>25</v>
      </c>
      <c r="C5313" s="1">
        <v>45952</v>
      </c>
      <c r="D5313">
        <f t="shared" si="514"/>
        <v>22</v>
      </c>
      <c r="E5313">
        <f t="shared" si="515"/>
        <v>10</v>
      </c>
      <c r="F5313">
        <f t="shared" si="516"/>
        <v>2025</v>
      </c>
      <c r="G5313" t="s">
        <v>97</v>
      </c>
      <c r="H5313" s="121">
        <v>13570</v>
      </c>
      <c r="I5313" s="95">
        <v>22082.476799999997</v>
      </c>
      <c r="J5313" s="12" t="s">
        <v>31</v>
      </c>
      <c r="K5313" s="76">
        <f t="shared" ref="K5313:K5315" si="518">IF(J5313="USD",I5313,I5313*L5313)</f>
        <v>22082.476799999997</v>
      </c>
      <c r="L5313">
        <v>1</v>
      </c>
      <c r="M5313" s="76">
        <v>0</v>
      </c>
      <c r="N5313" t="s">
        <v>42</v>
      </c>
      <c r="O5313" t="s">
        <v>33</v>
      </c>
      <c r="P5313" t="s">
        <v>34</v>
      </c>
      <c r="Q5313" t="s">
        <v>34</v>
      </c>
      <c r="R5313" t="s">
        <v>34</v>
      </c>
      <c r="S5313" t="s">
        <v>34</v>
      </c>
      <c r="T5313" s="117">
        <v>0</v>
      </c>
      <c r="U5313" s="209" t="s">
        <v>1453</v>
      </c>
    </row>
    <row r="5314" spans="1:21" x14ac:dyDescent="0.35">
      <c r="A5314" t="s">
        <v>20</v>
      </c>
      <c r="B5314" t="s">
        <v>23</v>
      </c>
      <c r="C5314" s="1">
        <v>45952</v>
      </c>
      <c r="D5314">
        <f t="shared" si="514"/>
        <v>22</v>
      </c>
      <c r="E5314">
        <f t="shared" si="515"/>
        <v>10</v>
      </c>
      <c r="F5314">
        <f t="shared" si="516"/>
        <v>2025</v>
      </c>
      <c r="G5314" t="s">
        <v>97</v>
      </c>
      <c r="H5314" s="121">
        <v>13570</v>
      </c>
      <c r="I5314" s="95">
        <v>28673.209699999999</v>
      </c>
      <c r="J5314" s="12" t="s">
        <v>31</v>
      </c>
      <c r="K5314" s="94">
        <f t="shared" si="518"/>
        <v>28673.209699999999</v>
      </c>
      <c r="L5314">
        <v>1</v>
      </c>
      <c r="M5314" s="94">
        <v>0</v>
      </c>
      <c r="N5314" t="s">
        <v>32</v>
      </c>
      <c r="O5314" t="s">
        <v>33</v>
      </c>
      <c r="P5314" t="s">
        <v>34</v>
      </c>
      <c r="Q5314" t="s">
        <v>34</v>
      </c>
      <c r="R5314" t="s">
        <v>34</v>
      </c>
      <c r="S5314" t="s">
        <v>34</v>
      </c>
      <c r="T5314" s="117">
        <v>0</v>
      </c>
      <c r="U5314" s="209" t="s">
        <v>1453</v>
      </c>
    </row>
    <row r="5315" spans="1:21" x14ac:dyDescent="0.35">
      <c r="A5315" t="s">
        <v>20</v>
      </c>
      <c r="B5315" t="s">
        <v>21</v>
      </c>
      <c r="C5315" s="1">
        <v>45952</v>
      </c>
      <c r="D5315">
        <f t="shared" si="514"/>
        <v>22</v>
      </c>
      <c r="E5315">
        <f t="shared" si="515"/>
        <v>10</v>
      </c>
      <c r="F5315">
        <f t="shared" si="516"/>
        <v>2025</v>
      </c>
      <c r="G5315" t="s">
        <v>43</v>
      </c>
      <c r="H5315" s="121">
        <v>13086</v>
      </c>
      <c r="I5315" s="95">
        <v>9560.16</v>
      </c>
      <c r="J5315" s="12" t="s">
        <v>31</v>
      </c>
      <c r="K5315" s="76">
        <f t="shared" si="518"/>
        <v>9560.16</v>
      </c>
      <c r="L5315">
        <v>1</v>
      </c>
      <c r="M5315" s="76">
        <v>0</v>
      </c>
      <c r="N5315" t="s">
        <v>42</v>
      </c>
      <c r="O5315" t="s">
        <v>33</v>
      </c>
      <c r="P5315" t="s">
        <v>34</v>
      </c>
      <c r="Q5315" t="s">
        <v>34</v>
      </c>
      <c r="R5315" t="s">
        <v>34</v>
      </c>
      <c r="S5315" t="s">
        <v>34</v>
      </c>
      <c r="T5315" s="117">
        <v>0</v>
      </c>
    </row>
    <row r="5316" spans="1:21" x14ac:dyDescent="0.35">
      <c r="A5316" t="s">
        <v>19</v>
      </c>
      <c r="B5316" t="s">
        <v>27</v>
      </c>
      <c r="C5316" s="1">
        <v>45952</v>
      </c>
      <c r="D5316">
        <f t="shared" si="514"/>
        <v>22</v>
      </c>
      <c r="E5316">
        <f t="shared" si="515"/>
        <v>10</v>
      </c>
      <c r="F5316">
        <f t="shared" si="516"/>
        <v>2025</v>
      </c>
      <c r="G5316" t="s">
        <v>100</v>
      </c>
      <c r="H5316" s="121">
        <v>13530</v>
      </c>
      <c r="I5316" s="95">
        <v>700000</v>
      </c>
      <c r="J5316" s="12" t="s">
        <v>31</v>
      </c>
      <c r="K5316" s="94">
        <f t="shared" ref="K5316:K5319" si="519">IF(J5316="USD",I5316,I5316*L5316)</f>
        <v>700000</v>
      </c>
      <c r="L5316">
        <v>1</v>
      </c>
      <c r="M5316" s="94">
        <v>0</v>
      </c>
      <c r="N5316" t="s">
        <v>32</v>
      </c>
      <c r="O5316" t="s">
        <v>33</v>
      </c>
      <c r="P5316" t="s">
        <v>34</v>
      </c>
      <c r="Q5316" t="s">
        <v>34</v>
      </c>
      <c r="R5316" t="s">
        <v>34</v>
      </c>
      <c r="S5316" t="s">
        <v>34</v>
      </c>
      <c r="T5316" s="117">
        <v>0</v>
      </c>
    </row>
    <row r="5317" spans="1:21" x14ac:dyDescent="0.35">
      <c r="A5317" t="s">
        <v>19</v>
      </c>
      <c r="B5317" t="s">
        <v>21</v>
      </c>
      <c r="C5317" s="1">
        <v>45952</v>
      </c>
      <c r="D5317">
        <f t="shared" ref="D5317:D5322" si="520">DAY(C5317)</f>
        <v>22</v>
      </c>
      <c r="E5317">
        <f t="shared" ref="E5317:E5322" si="521">MONTH(C5317)</f>
        <v>10</v>
      </c>
      <c r="F5317">
        <f t="shared" ref="F5317:F5322" si="522">YEAR(C5317)</f>
        <v>2025</v>
      </c>
      <c r="G5317" t="s">
        <v>28</v>
      </c>
      <c r="H5317" s="121">
        <v>12597</v>
      </c>
      <c r="I5317" s="95">
        <v>38.4</v>
      </c>
      <c r="J5317" s="12" t="s">
        <v>31</v>
      </c>
      <c r="K5317" s="76">
        <f t="shared" si="519"/>
        <v>38.4</v>
      </c>
      <c r="L5317">
        <v>1</v>
      </c>
      <c r="M5317" s="76">
        <v>0</v>
      </c>
      <c r="N5317" t="s">
        <v>32</v>
      </c>
      <c r="O5317" t="s">
        <v>33</v>
      </c>
      <c r="P5317" t="s">
        <v>34</v>
      </c>
      <c r="Q5317" t="s">
        <v>34</v>
      </c>
      <c r="R5317" t="s">
        <v>34</v>
      </c>
      <c r="S5317" t="s">
        <v>34</v>
      </c>
      <c r="T5317" s="117">
        <v>0</v>
      </c>
    </row>
    <row r="5318" spans="1:21" x14ac:dyDescent="0.35">
      <c r="A5318" t="s">
        <v>19</v>
      </c>
      <c r="B5318" t="s">
        <v>21</v>
      </c>
      <c r="C5318" s="1">
        <v>45952</v>
      </c>
      <c r="D5318">
        <f t="shared" si="520"/>
        <v>22</v>
      </c>
      <c r="E5318">
        <f t="shared" si="521"/>
        <v>10</v>
      </c>
      <c r="F5318">
        <f t="shared" si="522"/>
        <v>2025</v>
      </c>
      <c r="G5318" t="s">
        <v>28</v>
      </c>
      <c r="H5318" s="121">
        <v>12598</v>
      </c>
      <c r="I5318" s="95">
        <v>5779.2</v>
      </c>
      <c r="J5318" s="12" t="s">
        <v>31</v>
      </c>
      <c r="K5318" s="94">
        <f t="shared" si="519"/>
        <v>5779.2</v>
      </c>
      <c r="L5318">
        <v>1</v>
      </c>
      <c r="M5318" s="94">
        <v>0</v>
      </c>
      <c r="N5318" t="s">
        <v>32</v>
      </c>
      <c r="O5318" t="s">
        <v>33</v>
      </c>
      <c r="P5318" t="s">
        <v>34</v>
      </c>
      <c r="Q5318" t="s">
        <v>34</v>
      </c>
      <c r="R5318" t="s">
        <v>34</v>
      </c>
      <c r="S5318" t="s">
        <v>34</v>
      </c>
      <c r="T5318" s="117">
        <v>0</v>
      </c>
    </row>
    <row r="5319" spans="1:21" x14ac:dyDescent="0.35">
      <c r="A5319" t="s">
        <v>19</v>
      </c>
      <c r="B5319" t="s">
        <v>21</v>
      </c>
      <c r="C5319" s="1">
        <v>45952</v>
      </c>
      <c r="D5319">
        <f t="shared" si="520"/>
        <v>22</v>
      </c>
      <c r="E5319">
        <f t="shared" si="521"/>
        <v>10</v>
      </c>
      <c r="F5319">
        <f t="shared" si="522"/>
        <v>2025</v>
      </c>
      <c r="G5319" t="s">
        <v>28</v>
      </c>
      <c r="H5319" s="121">
        <v>13017</v>
      </c>
      <c r="I5319" s="95">
        <v>63.44</v>
      </c>
      <c r="J5319" s="12" t="s">
        <v>31</v>
      </c>
      <c r="K5319" s="76">
        <f t="shared" si="519"/>
        <v>63.44</v>
      </c>
      <c r="L5319">
        <v>1</v>
      </c>
      <c r="M5319" s="76">
        <v>0</v>
      </c>
      <c r="N5319" t="s">
        <v>32</v>
      </c>
      <c r="O5319" t="s">
        <v>33</v>
      </c>
      <c r="P5319" t="s">
        <v>34</v>
      </c>
      <c r="Q5319" t="s">
        <v>34</v>
      </c>
      <c r="R5319" t="s">
        <v>34</v>
      </c>
      <c r="S5319" t="s">
        <v>34</v>
      </c>
      <c r="T5319" s="117">
        <v>0</v>
      </c>
    </row>
    <row r="5320" spans="1:21" x14ac:dyDescent="0.35">
      <c r="A5320" t="s">
        <v>19</v>
      </c>
      <c r="B5320" t="s">
        <v>713</v>
      </c>
      <c r="C5320" s="1">
        <v>45952</v>
      </c>
      <c r="D5320">
        <f t="shared" si="520"/>
        <v>22</v>
      </c>
      <c r="E5320">
        <f t="shared" si="521"/>
        <v>10</v>
      </c>
      <c r="F5320">
        <f t="shared" si="522"/>
        <v>2025</v>
      </c>
      <c r="G5320" t="s">
        <v>882</v>
      </c>
      <c r="H5320" s="121">
        <v>13758</v>
      </c>
      <c r="I5320" s="95">
        <v>9134.9500000000007</v>
      </c>
      <c r="J5320" s="12" t="s">
        <v>31</v>
      </c>
      <c r="K5320" s="94">
        <f t="shared" ref="K5320:K5324" si="523">IF(J5320="USD",I5320,I5320*L5320)</f>
        <v>9134.9500000000007</v>
      </c>
      <c r="L5320">
        <v>1</v>
      </c>
      <c r="M5320" s="94">
        <v>0</v>
      </c>
      <c r="N5320" t="s">
        <v>32</v>
      </c>
      <c r="O5320" t="s">
        <v>33</v>
      </c>
      <c r="P5320" t="s">
        <v>34</v>
      </c>
      <c r="Q5320" t="s">
        <v>34</v>
      </c>
      <c r="R5320" t="s">
        <v>34</v>
      </c>
      <c r="S5320" t="s">
        <v>34</v>
      </c>
      <c r="T5320" s="117">
        <v>0</v>
      </c>
    </row>
    <row r="5321" spans="1:21" x14ac:dyDescent="0.35">
      <c r="A5321" t="s">
        <v>19</v>
      </c>
      <c r="B5321" t="s">
        <v>23</v>
      </c>
      <c r="C5321" s="1">
        <v>45952</v>
      </c>
      <c r="D5321">
        <f t="shared" si="520"/>
        <v>22</v>
      </c>
      <c r="E5321">
        <f t="shared" si="521"/>
        <v>10</v>
      </c>
      <c r="F5321">
        <f t="shared" si="522"/>
        <v>2025</v>
      </c>
      <c r="G5321" t="s">
        <v>74</v>
      </c>
      <c r="H5321" s="121">
        <v>13136</v>
      </c>
      <c r="I5321" s="95">
        <v>43909.25</v>
      </c>
      <c r="J5321" s="12" t="s">
        <v>31</v>
      </c>
      <c r="K5321" s="76">
        <f t="shared" si="523"/>
        <v>43909.25</v>
      </c>
      <c r="L5321">
        <v>1</v>
      </c>
      <c r="M5321" s="76">
        <v>0</v>
      </c>
      <c r="N5321" t="s">
        <v>32</v>
      </c>
      <c r="O5321" t="s">
        <v>33</v>
      </c>
      <c r="P5321" t="s">
        <v>34</v>
      </c>
      <c r="Q5321" t="s">
        <v>34</v>
      </c>
      <c r="R5321" t="s">
        <v>34</v>
      </c>
      <c r="S5321" t="s">
        <v>34</v>
      </c>
      <c r="T5321" s="117">
        <v>0</v>
      </c>
    </row>
    <row r="5322" spans="1:21" x14ac:dyDescent="0.35">
      <c r="A5322" t="s">
        <v>19</v>
      </c>
      <c r="B5322" t="s">
        <v>21</v>
      </c>
      <c r="C5322" s="1">
        <v>45952</v>
      </c>
      <c r="D5322">
        <f t="shared" si="520"/>
        <v>22</v>
      </c>
      <c r="E5322">
        <f t="shared" si="521"/>
        <v>10</v>
      </c>
      <c r="F5322">
        <f t="shared" si="522"/>
        <v>2025</v>
      </c>
      <c r="G5322" t="s">
        <v>37</v>
      </c>
      <c r="H5322" s="121">
        <v>13314</v>
      </c>
      <c r="I5322" s="95">
        <v>21.7</v>
      </c>
      <c r="J5322" s="12" t="s">
        <v>31</v>
      </c>
      <c r="K5322" s="94">
        <f t="shared" si="523"/>
        <v>21.7</v>
      </c>
      <c r="L5322">
        <v>1</v>
      </c>
      <c r="M5322" s="94">
        <v>0</v>
      </c>
      <c r="N5322" t="s">
        <v>32</v>
      </c>
      <c r="O5322" t="s">
        <v>33</v>
      </c>
      <c r="P5322" t="s">
        <v>34</v>
      </c>
      <c r="Q5322" t="s">
        <v>34</v>
      </c>
      <c r="R5322" t="s">
        <v>34</v>
      </c>
      <c r="S5322" t="s">
        <v>34</v>
      </c>
      <c r="T5322" s="117">
        <v>0</v>
      </c>
    </row>
    <row r="5323" spans="1:21" x14ac:dyDescent="0.35">
      <c r="A5323" t="s">
        <v>19</v>
      </c>
      <c r="B5323" t="s">
        <v>21</v>
      </c>
      <c r="C5323" s="1">
        <v>45952</v>
      </c>
      <c r="D5323">
        <f t="shared" ref="D5323:D5327" si="524">DAY(C5323)</f>
        <v>22</v>
      </c>
      <c r="E5323">
        <f t="shared" ref="E5323:E5327" si="525">MONTH(C5323)</f>
        <v>10</v>
      </c>
      <c r="F5323">
        <f t="shared" ref="F5323:F5327" si="526">YEAR(C5323)</f>
        <v>2025</v>
      </c>
      <c r="G5323" t="s">
        <v>37</v>
      </c>
      <c r="H5323" s="121">
        <v>13315</v>
      </c>
      <c r="I5323" s="95">
        <v>16147.9</v>
      </c>
      <c r="J5323" s="12" t="s">
        <v>31</v>
      </c>
      <c r="K5323" s="76">
        <f t="shared" si="523"/>
        <v>16147.9</v>
      </c>
      <c r="L5323">
        <v>1</v>
      </c>
      <c r="M5323" s="76">
        <v>0</v>
      </c>
      <c r="N5323" t="s">
        <v>32</v>
      </c>
      <c r="O5323" t="s">
        <v>33</v>
      </c>
      <c r="P5323" t="s">
        <v>34</v>
      </c>
      <c r="Q5323" t="s">
        <v>34</v>
      </c>
      <c r="R5323" t="s">
        <v>34</v>
      </c>
      <c r="S5323" t="s">
        <v>34</v>
      </c>
      <c r="T5323" s="117">
        <v>0</v>
      </c>
    </row>
    <row r="5324" spans="1:21" x14ac:dyDescent="0.35">
      <c r="A5324" t="s">
        <v>19</v>
      </c>
      <c r="B5324" t="s">
        <v>21</v>
      </c>
      <c r="C5324" s="1">
        <v>45952</v>
      </c>
      <c r="D5324">
        <f t="shared" si="524"/>
        <v>22</v>
      </c>
      <c r="E5324">
        <f t="shared" si="525"/>
        <v>10</v>
      </c>
      <c r="F5324">
        <f t="shared" si="526"/>
        <v>2025</v>
      </c>
      <c r="G5324" t="s">
        <v>37</v>
      </c>
      <c r="H5324" s="121">
        <v>13058</v>
      </c>
      <c r="I5324" s="95">
        <v>21.2</v>
      </c>
      <c r="J5324" s="12" t="s">
        <v>31</v>
      </c>
      <c r="K5324" s="76">
        <f t="shared" si="523"/>
        <v>21.2</v>
      </c>
      <c r="L5324">
        <v>1</v>
      </c>
      <c r="M5324" s="94">
        <v>0</v>
      </c>
      <c r="N5324" t="s">
        <v>32</v>
      </c>
      <c r="O5324" t="s">
        <v>33</v>
      </c>
      <c r="P5324" t="s">
        <v>34</v>
      </c>
      <c r="Q5324" t="s">
        <v>34</v>
      </c>
      <c r="R5324" t="s">
        <v>34</v>
      </c>
      <c r="S5324" t="s">
        <v>34</v>
      </c>
      <c r="T5324" s="117">
        <v>0</v>
      </c>
    </row>
    <row r="5325" spans="1:21" x14ac:dyDescent="0.35">
      <c r="A5325" t="s">
        <v>19</v>
      </c>
      <c r="B5325" t="s">
        <v>21</v>
      </c>
      <c r="C5325" s="1">
        <v>45952</v>
      </c>
      <c r="D5325">
        <f t="shared" si="524"/>
        <v>22</v>
      </c>
      <c r="E5325">
        <f t="shared" si="525"/>
        <v>10</v>
      </c>
      <c r="F5325">
        <f t="shared" si="526"/>
        <v>2025</v>
      </c>
      <c r="G5325" t="s">
        <v>885</v>
      </c>
      <c r="H5325" s="121">
        <v>13068</v>
      </c>
      <c r="I5325" s="95">
        <v>6449.6</v>
      </c>
      <c r="J5325" s="12" t="s">
        <v>31</v>
      </c>
      <c r="K5325" s="76">
        <f t="shared" ref="K5325:K5327" si="527">IF(J5325="USD",I5325,I5325*L5325)</f>
        <v>6449.6</v>
      </c>
      <c r="L5325">
        <v>1</v>
      </c>
      <c r="M5325" s="76">
        <v>0</v>
      </c>
      <c r="N5325" t="s">
        <v>32</v>
      </c>
      <c r="O5325" t="s">
        <v>33</v>
      </c>
      <c r="P5325" t="s">
        <v>34</v>
      </c>
      <c r="Q5325" t="s">
        <v>34</v>
      </c>
      <c r="R5325" t="s">
        <v>34</v>
      </c>
      <c r="S5325" t="s">
        <v>34</v>
      </c>
      <c r="T5325" s="117">
        <v>0</v>
      </c>
    </row>
    <row r="5326" spans="1:21" x14ac:dyDescent="0.35">
      <c r="A5326" t="s">
        <v>19</v>
      </c>
      <c r="B5326" t="s">
        <v>23</v>
      </c>
      <c r="C5326" s="1">
        <v>45952</v>
      </c>
      <c r="D5326">
        <f t="shared" si="524"/>
        <v>22</v>
      </c>
      <c r="E5326">
        <f t="shared" si="525"/>
        <v>10</v>
      </c>
      <c r="F5326">
        <f t="shared" si="526"/>
        <v>2025</v>
      </c>
      <c r="G5326" t="s">
        <v>885</v>
      </c>
      <c r="H5326" s="121">
        <v>13362</v>
      </c>
      <c r="I5326" s="95">
        <v>5572.95</v>
      </c>
      <c r="J5326" s="12" t="s">
        <v>31</v>
      </c>
      <c r="K5326" s="94">
        <f t="shared" si="527"/>
        <v>5572.95</v>
      </c>
      <c r="L5326">
        <v>1</v>
      </c>
      <c r="M5326" s="94">
        <v>0</v>
      </c>
      <c r="N5326" t="s">
        <v>32</v>
      </c>
      <c r="O5326" t="s">
        <v>33</v>
      </c>
      <c r="P5326" t="s">
        <v>34</v>
      </c>
      <c r="Q5326" t="s">
        <v>34</v>
      </c>
      <c r="R5326" t="s">
        <v>34</v>
      </c>
      <c r="S5326" t="s">
        <v>34</v>
      </c>
      <c r="T5326" s="117">
        <v>0</v>
      </c>
    </row>
    <row r="5327" spans="1:21" x14ac:dyDescent="0.35">
      <c r="A5327" t="s">
        <v>19</v>
      </c>
      <c r="B5327" t="s">
        <v>21</v>
      </c>
      <c r="C5327" s="1">
        <v>45952</v>
      </c>
      <c r="D5327">
        <f t="shared" si="524"/>
        <v>22</v>
      </c>
      <c r="E5327">
        <f t="shared" si="525"/>
        <v>10</v>
      </c>
      <c r="F5327">
        <f t="shared" si="526"/>
        <v>2025</v>
      </c>
      <c r="G5327" t="s">
        <v>885</v>
      </c>
      <c r="H5327" s="121">
        <v>13909</v>
      </c>
      <c r="I5327" s="95">
        <v>243.24</v>
      </c>
      <c r="J5327" s="12" t="s">
        <v>31</v>
      </c>
      <c r="K5327" s="76">
        <f t="shared" si="527"/>
        <v>243.24</v>
      </c>
      <c r="L5327">
        <v>1</v>
      </c>
      <c r="M5327" s="76">
        <v>0</v>
      </c>
      <c r="N5327" t="s">
        <v>32</v>
      </c>
      <c r="O5327" t="s">
        <v>33</v>
      </c>
      <c r="P5327" t="s">
        <v>34</v>
      </c>
      <c r="Q5327" t="s">
        <v>34</v>
      </c>
      <c r="R5327" t="s">
        <v>34</v>
      </c>
      <c r="S5327" t="s">
        <v>34</v>
      </c>
      <c r="T5327" s="117">
        <v>0</v>
      </c>
    </row>
    <row r="5328" spans="1:21" x14ac:dyDescent="0.35">
      <c r="A5328" t="s">
        <v>19</v>
      </c>
      <c r="B5328" t="s">
        <v>24</v>
      </c>
      <c r="C5328" s="1">
        <v>45952</v>
      </c>
      <c r="D5328">
        <f t="shared" ref="D5328:D5332" si="528">DAY(C5328)</f>
        <v>22</v>
      </c>
      <c r="E5328">
        <f t="shared" ref="E5328:E5332" si="529">MONTH(C5328)</f>
        <v>10</v>
      </c>
      <c r="F5328">
        <f t="shared" ref="F5328:F5332" si="530">YEAR(C5328)</f>
        <v>2025</v>
      </c>
      <c r="G5328" t="s">
        <v>36</v>
      </c>
      <c r="H5328" s="121">
        <v>13008</v>
      </c>
      <c r="I5328" s="95">
        <v>6160.7592000000004</v>
      </c>
      <c r="J5328" s="12" t="s">
        <v>31</v>
      </c>
      <c r="K5328" s="94">
        <f t="shared" ref="K5328:K5332" si="531">IF(J5328="USD",I5328,I5328*L5328)</f>
        <v>6160.7592000000004</v>
      </c>
      <c r="L5328">
        <v>1</v>
      </c>
      <c r="M5328" s="94">
        <v>0</v>
      </c>
      <c r="N5328" t="s">
        <v>32</v>
      </c>
      <c r="O5328" t="s">
        <v>33</v>
      </c>
      <c r="P5328" t="s">
        <v>34</v>
      </c>
      <c r="Q5328" t="s">
        <v>34</v>
      </c>
      <c r="R5328" t="s">
        <v>34</v>
      </c>
      <c r="S5328" t="s">
        <v>34</v>
      </c>
      <c r="T5328" s="117">
        <v>0</v>
      </c>
    </row>
    <row r="5329" spans="1:20" x14ac:dyDescent="0.35">
      <c r="A5329" t="s">
        <v>19</v>
      </c>
      <c r="B5329" t="s">
        <v>25</v>
      </c>
      <c r="C5329" s="1">
        <v>45952</v>
      </c>
      <c r="D5329">
        <f t="shared" si="528"/>
        <v>22</v>
      </c>
      <c r="E5329">
        <f t="shared" si="529"/>
        <v>10</v>
      </c>
      <c r="F5329">
        <f t="shared" si="530"/>
        <v>2025</v>
      </c>
      <c r="G5329" t="s">
        <v>36</v>
      </c>
      <c r="H5329" s="121">
        <v>13008</v>
      </c>
      <c r="I5329" s="95">
        <v>2395.8508000000006</v>
      </c>
      <c r="J5329" s="12" t="s">
        <v>31</v>
      </c>
      <c r="K5329" s="76">
        <f t="shared" si="531"/>
        <v>2395.8508000000006</v>
      </c>
      <c r="L5329">
        <v>1</v>
      </c>
      <c r="M5329" s="76">
        <v>0</v>
      </c>
      <c r="N5329" t="s">
        <v>32</v>
      </c>
      <c r="O5329" t="s">
        <v>33</v>
      </c>
      <c r="P5329" t="s">
        <v>34</v>
      </c>
      <c r="Q5329" t="s">
        <v>34</v>
      </c>
      <c r="R5329" t="s">
        <v>34</v>
      </c>
      <c r="S5329" t="s">
        <v>34</v>
      </c>
      <c r="T5329" s="117">
        <v>0</v>
      </c>
    </row>
    <row r="5330" spans="1:20" x14ac:dyDescent="0.35">
      <c r="A5330" t="s">
        <v>19</v>
      </c>
      <c r="B5330" t="s">
        <v>24</v>
      </c>
      <c r="C5330" s="1">
        <v>45952</v>
      </c>
      <c r="D5330">
        <f t="shared" si="528"/>
        <v>22</v>
      </c>
      <c r="E5330">
        <f t="shared" si="529"/>
        <v>10</v>
      </c>
      <c r="F5330">
        <f t="shared" si="530"/>
        <v>2025</v>
      </c>
      <c r="G5330" t="s">
        <v>29</v>
      </c>
      <c r="H5330" s="121">
        <v>12815</v>
      </c>
      <c r="I5330" s="95">
        <v>5244.47</v>
      </c>
      <c r="J5330" s="12" t="s">
        <v>31</v>
      </c>
      <c r="K5330" s="94">
        <f t="shared" si="531"/>
        <v>5244.47</v>
      </c>
      <c r="L5330">
        <v>1</v>
      </c>
      <c r="M5330" s="94">
        <v>0</v>
      </c>
      <c r="N5330" t="s">
        <v>32</v>
      </c>
      <c r="O5330" t="s">
        <v>33</v>
      </c>
      <c r="P5330" t="s">
        <v>34</v>
      </c>
      <c r="Q5330" t="s">
        <v>34</v>
      </c>
      <c r="R5330" t="s">
        <v>34</v>
      </c>
      <c r="S5330" t="s">
        <v>34</v>
      </c>
      <c r="T5330" s="117">
        <v>0</v>
      </c>
    </row>
    <row r="5331" spans="1:20" x14ac:dyDescent="0.35">
      <c r="A5331" t="s">
        <v>19</v>
      </c>
      <c r="B5331" t="s">
        <v>23</v>
      </c>
      <c r="C5331" s="1">
        <v>45952</v>
      </c>
      <c r="D5331">
        <f t="shared" si="528"/>
        <v>22</v>
      </c>
      <c r="E5331">
        <f t="shared" si="529"/>
        <v>10</v>
      </c>
      <c r="F5331">
        <f t="shared" si="530"/>
        <v>2025</v>
      </c>
      <c r="G5331" t="s">
        <v>39</v>
      </c>
      <c r="H5331" s="121">
        <v>13743</v>
      </c>
      <c r="I5331" s="95">
        <v>74466.94</v>
      </c>
      <c r="J5331" s="12" t="s">
        <v>31</v>
      </c>
      <c r="K5331" s="76">
        <f t="shared" si="531"/>
        <v>74466.94</v>
      </c>
      <c r="L5331">
        <v>1</v>
      </c>
      <c r="M5331" s="76">
        <v>0</v>
      </c>
      <c r="N5331" t="s">
        <v>32</v>
      </c>
      <c r="O5331" t="s">
        <v>33</v>
      </c>
      <c r="P5331" t="s">
        <v>34</v>
      </c>
      <c r="Q5331" t="s">
        <v>34</v>
      </c>
      <c r="R5331" t="s">
        <v>34</v>
      </c>
      <c r="S5331" t="s">
        <v>34</v>
      </c>
      <c r="T5331" s="117">
        <v>0</v>
      </c>
    </row>
    <row r="5332" spans="1:20" x14ac:dyDescent="0.35">
      <c r="A5332" t="s">
        <v>19</v>
      </c>
      <c r="B5332" t="s">
        <v>21</v>
      </c>
      <c r="C5332" s="1">
        <v>45952</v>
      </c>
      <c r="D5332">
        <f t="shared" si="528"/>
        <v>22</v>
      </c>
      <c r="E5332">
        <f t="shared" si="529"/>
        <v>10</v>
      </c>
      <c r="F5332">
        <f t="shared" si="530"/>
        <v>2025</v>
      </c>
      <c r="G5332" t="s">
        <v>39</v>
      </c>
      <c r="H5332" s="121">
        <v>13750</v>
      </c>
      <c r="I5332" s="95">
        <v>21</v>
      </c>
      <c r="J5332" s="12" t="s">
        <v>31</v>
      </c>
      <c r="K5332" s="94">
        <f t="shared" si="531"/>
        <v>21</v>
      </c>
      <c r="L5332">
        <v>1</v>
      </c>
      <c r="M5332" s="94">
        <v>0</v>
      </c>
      <c r="N5332" t="s">
        <v>32</v>
      </c>
      <c r="O5332" t="s">
        <v>33</v>
      </c>
      <c r="P5332" t="s">
        <v>34</v>
      </c>
      <c r="Q5332" t="s">
        <v>34</v>
      </c>
      <c r="R5332" t="s">
        <v>34</v>
      </c>
      <c r="S5332" t="s">
        <v>34</v>
      </c>
      <c r="T5332" s="117">
        <v>0</v>
      </c>
    </row>
    <row r="5333" spans="1:20" x14ac:dyDescent="0.35">
      <c r="A5333" t="s">
        <v>19</v>
      </c>
      <c r="B5333" t="s">
        <v>21</v>
      </c>
      <c r="C5333" s="1">
        <v>45952</v>
      </c>
      <c r="D5333">
        <f>DAY(C5333)</f>
        <v>22</v>
      </c>
      <c r="E5333">
        <f>MONTH(C5333)</f>
        <v>10</v>
      </c>
      <c r="F5333">
        <f>YEAR(C5333)</f>
        <v>2025</v>
      </c>
      <c r="G5333" t="s">
        <v>80</v>
      </c>
      <c r="H5333" s="121">
        <v>13339</v>
      </c>
      <c r="I5333" s="95">
        <v>5870.4554399999997</v>
      </c>
      <c r="J5333" s="12" t="s">
        <v>31</v>
      </c>
      <c r="K5333" s="76">
        <f t="shared" ref="K5333:K5359" si="532">IF(J5333="USD",I5333,I5333*L5333)</f>
        <v>5870.4554399999997</v>
      </c>
      <c r="L5333">
        <v>1</v>
      </c>
      <c r="M5333" s="76">
        <v>0</v>
      </c>
      <c r="N5333" t="s">
        <v>32</v>
      </c>
      <c r="O5333" t="s">
        <v>33</v>
      </c>
      <c r="P5333" t="s">
        <v>34</v>
      </c>
      <c r="Q5333" t="s">
        <v>34</v>
      </c>
      <c r="R5333" t="s">
        <v>34</v>
      </c>
      <c r="S5333" t="s">
        <v>34</v>
      </c>
      <c r="T5333" s="117">
        <v>0</v>
      </c>
    </row>
    <row r="5334" spans="1:20" x14ac:dyDescent="0.35">
      <c r="A5334" t="s">
        <v>19</v>
      </c>
      <c r="B5334" t="s">
        <v>25</v>
      </c>
      <c r="C5334" s="1">
        <v>45952</v>
      </c>
      <c r="D5334">
        <f t="shared" ref="D5334:D5336" si="533">DAY(C5334)</f>
        <v>22</v>
      </c>
      <c r="E5334">
        <f t="shared" ref="E5334:E5336" si="534">MONTH(C5334)</f>
        <v>10</v>
      </c>
      <c r="F5334">
        <f t="shared" ref="F5334:F5336" si="535">YEAR(C5334)</f>
        <v>2025</v>
      </c>
      <c r="G5334" t="s">
        <v>80</v>
      </c>
      <c r="H5334" s="121">
        <v>13339</v>
      </c>
      <c r="I5334" s="95">
        <v>60171.88</v>
      </c>
      <c r="J5334" s="12" t="s">
        <v>31</v>
      </c>
      <c r="K5334" s="94">
        <f t="shared" si="532"/>
        <v>60171.88</v>
      </c>
      <c r="L5334">
        <v>1</v>
      </c>
      <c r="M5334" s="94">
        <v>0</v>
      </c>
      <c r="N5334" t="s">
        <v>32</v>
      </c>
      <c r="O5334" t="s">
        <v>33</v>
      </c>
      <c r="P5334" t="s">
        <v>34</v>
      </c>
      <c r="Q5334" t="s">
        <v>34</v>
      </c>
      <c r="R5334" t="s">
        <v>34</v>
      </c>
      <c r="S5334" t="s">
        <v>34</v>
      </c>
      <c r="T5334" s="117">
        <v>0</v>
      </c>
    </row>
    <row r="5335" spans="1:20" x14ac:dyDescent="0.35">
      <c r="A5335" t="s">
        <v>19</v>
      </c>
      <c r="B5335" t="s">
        <v>21</v>
      </c>
      <c r="C5335" s="1">
        <v>45952</v>
      </c>
      <c r="D5335">
        <f t="shared" si="533"/>
        <v>22</v>
      </c>
      <c r="E5335">
        <f t="shared" si="534"/>
        <v>10</v>
      </c>
      <c r="F5335">
        <f t="shared" si="535"/>
        <v>2025</v>
      </c>
      <c r="G5335" t="s">
        <v>1428</v>
      </c>
      <c r="H5335" s="121">
        <v>13878</v>
      </c>
      <c r="I5335" s="95">
        <v>1222.8</v>
      </c>
      <c r="J5335" s="12" t="s">
        <v>31</v>
      </c>
      <c r="K5335" s="76">
        <f t="shared" si="532"/>
        <v>1222.8</v>
      </c>
      <c r="L5335">
        <v>1</v>
      </c>
      <c r="M5335" s="76">
        <v>0</v>
      </c>
      <c r="N5335" t="s">
        <v>32</v>
      </c>
      <c r="O5335" t="s">
        <v>33</v>
      </c>
      <c r="P5335" t="s">
        <v>34</v>
      </c>
      <c r="Q5335" t="s">
        <v>34</v>
      </c>
      <c r="R5335" t="s">
        <v>34</v>
      </c>
      <c r="S5335" t="s">
        <v>34</v>
      </c>
      <c r="T5335" s="117">
        <v>0</v>
      </c>
    </row>
    <row r="5336" spans="1:20" x14ac:dyDescent="0.35">
      <c r="A5336" t="s">
        <v>19</v>
      </c>
      <c r="B5336" t="s">
        <v>19</v>
      </c>
      <c r="C5336" s="1">
        <v>45952</v>
      </c>
      <c r="D5336">
        <f t="shared" si="533"/>
        <v>22</v>
      </c>
      <c r="E5336">
        <f t="shared" si="534"/>
        <v>10</v>
      </c>
      <c r="F5336">
        <f t="shared" si="535"/>
        <v>2025</v>
      </c>
      <c r="G5336" t="s">
        <v>1109</v>
      </c>
      <c r="H5336" s="121" t="s">
        <v>1553</v>
      </c>
      <c r="I5336" s="76">
        <v>2670</v>
      </c>
      <c r="J5336" s="12" t="s">
        <v>31</v>
      </c>
      <c r="K5336" s="76">
        <f t="shared" si="532"/>
        <v>2670</v>
      </c>
      <c r="L5336">
        <v>1</v>
      </c>
      <c r="M5336" s="94">
        <v>0</v>
      </c>
      <c r="N5336" t="s">
        <v>32</v>
      </c>
      <c r="O5336" t="s">
        <v>33</v>
      </c>
      <c r="P5336" t="s">
        <v>34</v>
      </c>
      <c r="Q5336" t="s">
        <v>34</v>
      </c>
      <c r="R5336" t="s">
        <v>34</v>
      </c>
      <c r="S5336" t="s">
        <v>34</v>
      </c>
      <c r="T5336" s="117">
        <v>0</v>
      </c>
    </row>
    <row r="5337" spans="1:20" x14ac:dyDescent="0.35">
      <c r="A5337" t="s">
        <v>19</v>
      </c>
      <c r="B5337" t="s">
        <v>19</v>
      </c>
      <c r="C5337" s="1">
        <v>45952</v>
      </c>
      <c r="D5337">
        <f t="shared" ref="D5337:D5352" si="536">DAY(C5337)</f>
        <v>22</v>
      </c>
      <c r="E5337">
        <f t="shared" ref="E5337:E5352" si="537">MONTH(C5337)</f>
        <v>10</v>
      </c>
      <c r="F5337">
        <f t="shared" ref="F5337:F5352" si="538">YEAR(C5337)</f>
        <v>2025</v>
      </c>
      <c r="G5337" t="s">
        <v>54</v>
      </c>
      <c r="H5337" s="121" t="s">
        <v>1430</v>
      </c>
      <c r="I5337" s="76">
        <v>129524.94</v>
      </c>
      <c r="J5337" s="12" t="s">
        <v>31</v>
      </c>
      <c r="K5337" s="76">
        <f t="shared" si="532"/>
        <v>129524.94</v>
      </c>
      <c r="L5337">
        <v>1</v>
      </c>
      <c r="M5337" s="76">
        <v>0</v>
      </c>
      <c r="N5337" t="s">
        <v>32</v>
      </c>
      <c r="O5337" t="s">
        <v>33</v>
      </c>
      <c r="P5337" t="s">
        <v>34</v>
      </c>
      <c r="Q5337" t="s">
        <v>34</v>
      </c>
      <c r="R5337" t="s">
        <v>34</v>
      </c>
      <c r="S5337" t="s">
        <v>34</v>
      </c>
      <c r="T5337" s="117">
        <v>0</v>
      </c>
    </row>
    <row r="5338" spans="1:20" x14ac:dyDescent="0.35">
      <c r="A5338" t="s">
        <v>19</v>
      </c>
      <c r="B5338" t="s">
        <v>19</v>
      </c>
      <c r="C5338" s="1">
        <v>45952</v>
      </c>
      <c r="D5338">
        <f t="shared" si="536"/>
        <v>22</v>
      </c>
      <c r="E5338">
        <f t="shared" si="537"/>
        <v>10</v>
      </c>
      <c r="F5338">
        <f t="shared" si="538"/>
        <v>2025</v>
      </c>
      <c r="G5338" t="s">
        <v>54</v>
      </c>
      <c r="H5338" s="121" t="s">
        <v>1431</v>
      </c>
      <c r="I5338" s="76">
        <v>397.13</v>
      </c>
      <c r="J5338" s="12" t="s">
        <v>31</v>
      </c>
      <c r="K5338" s="76">
        <f t="shared" si="532"/>
        <v>397.13</v>
      </c>
      <c r="L5338">
        <v>1</v>
      </c>
      <c r="M5338" s="94">
        <v>0</v>
      </c>
      <c r="N5338" t="s">
        <v>32</v>
      </c>
      <c r="O5338" t="s">
        <v>33</v>
      </c>
      <c r="P5338" t="s">
        <v>34</v>
      </c>
      <c r="Q5338" t="s">
        <v>34</v>
      </c>
      <c r="R5338" t="s">
        <v>34</v>
      </c>
      <c r="S5338" t="s">
        <v>34</v>
      </c>
      <c r="T5338" s="117">
        <v>0</v>
      </c>
    </row>
    <row r="5339" spans="1:20" x14ac:dyDescent="0.35">
      <c r="A5339" t="s">
        <v>19</v>
      </c>
      <c r="B5339" t="s">
        <v>19</v>
      </c>
      <c r="C5339" s="1">
        <v>45952</v>
      </c>
      <c r="D5339">
        <f t="shared" si="536"/>
        <v>22</v>
      </c>
      <c r="E5339">
        <f t="shared" si="537"/>
        <v>10</v>
      </c>
      <c r="F5339">
        <f t="shared" si="538"/>
        <v>2025</v>
      </c>
      <c r="G5339" t="s">
        <v>56</v>
      </c>
      <c r="H5339" s="121" t="s">
        <v>1432</v>
      </c>
      <c r="I5339" s="91">
        <v>175643.22</v>
      </c>
      <c r="J5339" s="12" t="s">
        <v>31</v>
      </c>
      <c r="K5339" s="76">
        <f t="shared" si="532"/>
        <v>175643.22</v>
      </c>
      <c r="L5339">
        <v>1</v>
      </c>
      <c r="M5339" s="76">
        <v>0</v>
      </c>
      <c r="N5339" t="s">
        <v>32</v>
      </c>
      <c r="O5339" t="s">
        <v>33</v>
      </c>
      <c r="P5339" t="s">
        <v>34</v>
      </c>
      <c r="Q5339" t="s">
        <v>34</v>
      </c>
      <c r="R5339" t="s">
        <v>34</v>
      </c>
      <c r="S5339" t="s">
        <v>34</v>
      </c>
      <c r="T5339" s="117">
        <v>0</v>
      </c>
    </row>
    <row r="5340" spans="1:20" x14ac:dyDescent="0.35">
      <c r="A5340" t="s">
        <v>19</v>
      </c>
      <c r="B5340" t="s">
        <v>19</v>
      </c>
      <c r="C5340" s="1">
        <v>45952</v>
      </c>
      <c r="D5340">
        <f t="shared" si="536"/>
        <v>22</v>
      </c>
      <c r="E5340">
        <f t="shared" si="537"/>
        <v>10</v>
      </c>
      <c r="F5340">
        <f t="shared" si="538"/>
        <v>2025</v>
      </c>
      <c r="G5340" t="s">
        <v>56</v>
      </c>
      <c r="H5340" s="121" t="s">
        <v>1432</v>
      </c>
      <c r="I5340" s="91">
        <v>4587.76</v>
      </c>
      <c r="J5340" s="12" t="s">
        <v>31</v>
      </c>
      <c r="K5340" s="76">
        <f t="shared" si="532"/>
        <v>4587.76</v>
      </c>
      <c r="L5340">
        <v>1</v>
      </c>
      <c r="M5340" s="94">
        <v>0</v>
      </c>
      <c r="N5340" t="s">
        <v>32</v>
      </c>
      <c r="O5340" t="s">
        <v>33</v>
      </c>
      <c r="P5340" t="s">
        <v>34</v>
      </c>
      <c r="Q5340" t="s">
        <v>34</v>
      </c>
      <c r="R5340" t="s">
        <v>34</v>
      </c>
      <c r="S5340" t="s">
        <v>34</v>
      </c>
      <c r="T5340" s="117">
        <v>0</v>
      </c>
    </row>
    <row r="5341" spans="1:20" x14ac:dyDescent="0.35">
      <c r="A5341" t="s">
        <v>19</v>
      </c>
      <c r="B5341" t="s">
        <v>19</v>
      </c>
      <c r="C5341" s="1">
        <v>45952</v>
      </c>
      <c r="D5341">
        <f t="shared" si="536"/>
        <v>22</v>
      </c>
      <c r="E5341">
        <f t="shared" si="537"/>
        <v>10</v>
      </c>
      <c r="F5341">
        <f t="shared" si="538"/>
        <v>2025</v>
      </c>
      <c r="G5341" t="s">
        <v>56</v>
      </c>
      <c r="H5341" s="121" t="s">
        <v>1433</v>
      </c>
      <c r="I5341" s="91">
        <v>6117</v>
      </c>
      <c r="J5341" s="12" t="s">
        <v>31</v>
      </c>
      <c r="K5341" s="76">
        <f t="shared" si="532"/>
        <v>6117</v>
      </c>
      <c r="L5341">
        <v>1</v>
      </c>
      <c r="M5341" s="76">
        <v>0</v>
      </c>
      <c r="N5341" t="s">
        <v>32</v>
      </c>
      <c r="O5341" t="s">
        <v>33</v>
      </c>
      <c r="P5341" t="s">
        <v>34</v>
      </c>
      <c r="Q5341" t="s">
        <v>34</v>
      </c>
      <c r="R5341" t="s">
        <v>34</v>
      </c>
      <c r="S5341" t="s">
        <v>34</v>
      </c>
      <c r="T5341" s="117">
        <v>0</v>
      </c>
    </row>
    <row r="5342" spans="1:20" x14ac:dyDescent="0.35">
      <c r="A5342" t="s">
        <v>19</v>
      </c>
      <c r="B5342" t="s">
        <v>19</v>
      </c>
      <c r="C5342" s="1">
        <v>45952</v>
      </c>
      <c r="D5342">
        <f t="shared" si="536"/>
        <v>22</v>
      </c>
      <c r="E5342">
        <f t="shared" si="537"/>
        <v>10</v>
      </c>
      <c r="F5342">
        <f t="shared" si="538"/>
        <v>2025</v>
      </c>
      <c r="G5342" t="s">
        <v>56</v>
      </c>
      <c r="H5342" s="121" t="s">
        <v>1434</v>
      </c>
      <c r="I5342" s="91">
        <v>9844.9500000000007</v>
      </c>
      <c r="J5342" s="12" t="s">
        <v>31</v>
      </c>
      <c r="K5342" s="76">
        <f t="shared" si="532"/>
        <v>9844.9500000000007</v>
      </c>
      <c r="L5342">
        <v>1</v>
      </c>
      <c r="M5342" s="94">
        <v>0</v>
      </c>
      <c r="N5342" t="s">
        <v>32</v>
      </c>
      <c r="O5342" t="s">
        <v>33</v>
      </c>
      <c r="P5342" t="s">
        <v>34</v>
      </c>
      <c r="Q5342" t="s">
        <v>34</v>
      </c>
      <c r="R5342" t="s">
        <v>34</v>
      </c>
      <c r="S5342" t="s">
        <v>34</v>
      </c>
      <c r="T5342" s="117">
        <v>0</v>
      </c>
    </row>
    <row r="5343" spans="1:20" x14ac:dyDescent="0.35">
      <c r="A5343" t="s">
        <v>19</v>
      </c>
      <c r="B5343" t="s">
        <v>19</v>
      </c>
      <c r="C5343" s="1">
        <v>45952</v>
      </c>
      <c r="D5343">
        <f t="shared" si="536"/>
        <v>22</v>
      </c>
      <c r="E5343">
        <f t="shared" si="537"/>
        <v>10</v>
      </c>
      <c r="F5343">
        <f t="shared" si="538"/>
        <v>2025</v>
      </c>
      <c r="G5343" t="s">
        <v>56</v>
      </c>
      <c r="H5343" s="121" t="s">
        <v>1435</v>
      </c>
      <c r="I5343" s="91">
        <v>4634.1400000000003</v>
      </c>
      <c r="J5343" s="12" t="s">
        <v>31</v>
      </c>
      <c r="K5343" s="76">
        <f t="shared" si="532"/>
        <v>4634.1400000000003</v>
      </c>
      <c r="L5343">
        <v>1</v>
      </c>
      <c r="M5343" s="76">
        <v>0</v>
      </c>
      <c r="N5343" t="s">
        <v>32</v>
      </c>
      <c r="O5343" t="s">
        <v>33</v>
      </c>
      <c r="P5343" t="s">
        <v>34</v>
      </c>
      <c r="Q5343" t="s">
        <v>34</v>
      </c>
      <c r="R5343" t="s">
        <v>34</v>
      </c>
      <c r="S5343" t="s">
        <v>34</v>
      </c>
      <c r="T5343" s="117">
        <v>0</v>
      </c>
    </row>
    <row r="5344" spans="1:20" x14ac:dyDescent="0.35">
      <c r="A5344" t="s">
        <v>19</v>
      </c>
      <c r="B5344" t="s">
        <v>19</v>
      </c>
      <c r="C5344" s="1">
        <v>45952</v>
      </c>
      <c r="D5344">
        <f t="shared" si="536"/>
        <v>22</v>
      </c>
      <c r="E5344">
        <f t="shared" si="537"/>
        <v>10</v>
      </c>
      <c r="F5344">
        <f t="shared" si="538"/>
        <v>2025</v>
      </c>
      <c r="G5344" t="s">
        <v>523</v>
      </c>
      <c r="H5344" s="121" t="s">
        <v>1436</v>
      </c>
      <c r="I5344" s="76">
        <v>78038.070000000007</v>
      </c>
      <c r="J5344" s="12" t="s">
        <v>31</v>
      </c>
      <c r="K5344" s="76">
        <f t="shared" si="532"/>
        <v>78038.070000000007</v>
      </c>
      <c r="L5344">
        <v>1</v>
      </c>
      <c r="M5344" s="94">
        <v>0</v>
      </c>
      <c r="N5344" t="s">
        <v>32</v>
      </c>
      <c r="O5344" t="s">
        <v>33</v>
      </c>
      <c r="P5344" t="s">
        <v>34</v>
      </c>
      <c r="Q5344" t="s">
        <v>34</v>
      </c>
      <c r="R5344" t="s">
        <v>34</v>
      </c>
      <c r="S5344" t="s">
        <v>34</v>
      </c>
      <c r="T5344" s="117">
        <v>0</v>
      </c>
    </row>
    <row r="5345" spans="1:20" x14ac:dyDescent="0.35">
      <c r="A5345" t="s">
        <v>19</v>
      </c>
      <c r="B5345" t="s">
        <v>19</v>
      </c>
      <c r="C5345" s="1">
        <v>45952</v>
      </c>
      <c r="D5345">
        <f t="shared" si="536"/>
        <v>22</v>
      </c>
      <c r="E5345">
        <f t="shared" si="537"/>
        <v>10</v>
      </c>
      <c r="F5345">
        <f t="shared" si="538"/>
        <v>2025</v>
      </c>
      <c r="G5345" t="s">
        <v>523</v>
      </c>
      <c r="H5345" s="121" t="s">
        <v>1436</v>
      </c>
      <c r="I5345" s="76">
        <v>86345.54</v>
      </c>
      <c r="J5345" s="12" t="s">
        <v>31</v>
      </c>
      <c r="K5345" s="76">
        <f t="shared" si="532"/>
        <v>86345.54</v>
      </c>
      <c r="L5345">
        <v>1</v>
      </c>
      <c r="M5345" s="76">
        <v>0</v>
      </c>
      <c r="N5345" t="s">
        <v>32</v>
      </c>
      <c r="O5345" t="s">
        <v>33</v>
      </c>
      <c r="P5345" t="s">
        <v>34</v>
      </c>
      <c r="Q5345" t="s">
        <v>34</v>
      </c>
      <c r="R5345" t="s">
        <v>34</v>
      </c>
      <c r="S5345" t="s">
        <v>34</v>
      </c>
      <c r="T5345" s="117">
        <v>0</v>
      </c>
    </row>
    <row r="5346" spans="1:20" x14ac:dyDescent="0.35">
      <c r="A5346" t="s">
        <v>19</v>
      </c>
      <c r="B5346" t="s">
        <v>19</v>
      </c>
      <c r="C5346" s="1">
        <v>45952</v>
      </c>
      <c r="D5346">
        <f t="shared" si="536"/>
        <v>22</v>
      </c>
      <c r="E5346">
        <f t="shared" si="537"/>
        <v>10</v>
      </c>
      <c r="F5346">
        <f t="shared" si="538"/>
        <v>2025</v>
      </c>
      <c r="G5346" t="s">
        <v>523</v>
      </c>
      <c r="H5346" s="121" t="s">
        <v>1437</v>
      </c>
      <c r="I5346" s="76">
        <v>3132</v>
      </c>
      <c r="J5346" s="12" t="s">
        <v>31</v>
      </c>
      <c r="K5346" s="76">
        <f t="shared" si="532"/>
        <v>3132</v>
      </c>
      <c r="L5346">
        <v>1</v>
      </c>
      <c r="M5346" s="94">
        <v>0</v>
      </c>
      <c r="N5346" t="s">
        <v>32</v>
      </c>
      <c r="O5346" t="s">
        <v>33</v>
      </c>
      <c r="P5346" t="s">
        <v>34</v>
      </c>
      <c r="Q5346" t="s">
        <v>34</v>
      </c>
      <c r="R5346" t="s">
        <v>34</v>
      </c>
      <c r="S5346" t="s">
        <v>34</v>
      </c>
      <c r="T5346" s="117">
        <v>0</v>
      </c>
    </row>
    <row r="5347" spans="1:20" x14ac:dyDescent="0.35">
      <c r="A5347" t="s">
        <v>19</v>
      </c>
      <c r="B5347" t="s">
        <v>19</v>
      </c>
      <c r="C5347" s="1">
        <v>45952</v>
      </c>
      <c r="D5347">
        <f t="shared" si="536"/>
        <v>22</v>
      </c>
      <c r="E5347">
        <f t="shared" si="537"/>
        <v>10</v>
      </c>
      <c r="F5347">
        <f t="shared" si="538"/>
        <v>2025</v>
      </c>
      <c r="G5347" t="s">
        <v>523</v>
      </c>
      <c r="H5347" s="121" t="s">
        <v>1438</v>
      </c>
      <c r="I5347" s="76">
        <v>3267</v>
      </c>
      <c r="J5347" s="12" t="s">
        <v>31</v>
      </c>
      <c r="K5347" s="76">
        <f t="shared" si="532"/>
        <v>3267</v>
      </c>
      <c r="L5347">
        <v>1</v>
      </c>
      <c r="M5347" s="76">
        <v>0</v>
      </c>
      <c r="N5347" t="s">
        <v>32</v>
      </c>
      <c r="O5347" t="s">
        <v>33</v>
      </c>
      <c r="P5347" t="s">
        <v>34</v>
      </c>
      <c r="Q5347" t="s">
        <v>34</v>
      </c>
      <c r="R5347" t="s">
        <v>34</v>
      </c>
      <c r="S5347" t="s">
        <v>34</v>
      </c>
      <c r="T5347" s="117">
        <v>0</v>
      </c>
    </row>
    <row r="5348" spans="1:20" x14ac:dyDescent="0.35">
      <c r="A5348" t="s">
        <v>19</v>
      </c>
      <c r="B5348" t="s">
        <v>19</v>
      </c>
      <c r="C5348" s="1">
        <v>45952</v>
      </c>
      <c r="D5348">
        <f t="shared" si="536"/>
        <v>22</v>
      </c>
      <c r="E5348">
        <f t="shared" si="537"/>
        <v>10</v>
      </c>
      <c r="F5348">
        <f t="shared" si="538"/>
        <v>2025</v>
      </c>
      <c r="G5348" t="s">
        <v>523</v>
      </c>
      <c r="H5348" s="121" t="s">
        <v>1439</v>
      </c>
      <c r="I5348" s="76">
        <v>2280</v>
      </c>
      <c r="J5348" s="12" t="s">
        <v>31</v>
      </c>
      <c r="K5348" s="76">
        <f t="shared" si="532"/>
        <v>2280</v>
      </c>
      <c r="L5348">
        <v>1</v>
      </c>
      <c r="M5348" s="94">
        <v>0</v>
      </c>
      <c r="N5348" t="s">
        <v>32</v>
      </c>
      <c r="O5348" t="s">
        <v>33</v>
      </c>
      <c r="P5348" t="s">
        <v>34</v>
      </c>
      <c r="Q5348" t="s">
        <v>34</v>
      </c>
      <c r="R5348" t="s">
        <v>34</v>
      </c>
      <c r="S5348" t="s">
        <v>34</v>
      </c>
      <c r="T5348" s="117">
        <v>0</v>
      </c>
    </row>
    <row r="5349" spans="1:20" x14ac:dyDescent="0.35">
      <c r="A5349" t="s">
        <v>19</v>
      </c>
      <c r="B5349" t="s">
        <v>19</v>
      </c>
      <c r="C5349" s="1">
        <v>45952</v>
      </c>
      <c r="D5349">
        <f t="shared" si="536"/>
        <v>22</v>
      </c>
      <c r="E5349">
        <f t="shared" si="537"/>
        <v>10</v>
      </c>
      <c r="F5349">
        <f t="shared" si="538"/>
        <v>2025</v>
      </c>
      <c r="G5349" t="s">
        <v>1117</v>
      </c>
      <c r="H5349" s="121" t="s">
        <v>1440</v>
      </c>
      <c r="I5349" s="76">
        <v>34028.28</v>
      </c>
      <c r="J5349" s="12" t="s">
        <v>31</v>
      </c>
      <c r="K5349" s="76">
        <f t="shared" si="532"/>
        <v>34028.28</v>
      </c>
      <c r="L5349">
        <v>1</v>
      </c>
      <c r="M5349" s="76">
        <v>0</v>
      </c>
      <c r="N5349" t="s">
        <v>32</v>
      </c>
      <c r="O5349" t="s">
        <v>33</v>
      </c>
      <c r="P5349" t="s">
        <v>34</v>
      </c>
      <c r="Q5349" t="s">
        <v>34</v>
      </c>
      <c r="R5349" t="s">
        <v>34</v>
      </c>
      <c r="S5349" t="s">
        <v>34</v>
      </c>
      <c r="T5349" s="117">
        <v>0</v>
      </c>
    </row>
    <row r="5350" spans="1:20" x14ac:dyDescent="0.35">
      <c r="A5350" t="s">
        <v>19</v>
      </c>
      <c r="B5350" t="s">
        <v>19</v>
      </c>
      <c r="C5350" s="1">
        <v>45952</v>
      </c>
      <c r="D5350">
        <f t="shared" si="536"/>
        <v>22</v>
      </c>
      <c r="E5350">
        <f t="shared" si="537"/>
        <v>10</v>
      </c>
      <c r="F5350">
        <f t="shared" si="538"/>
        <v>2025</v>
      </c>
      <c r="G5350" t="s">
        <v>125</v>
      </c>
      <c r="H5350" s="121" t="s">
        <v>1441</v>
      </c>
      <c r="I5350" s="76">
        <v>21568.2</v>
      </c>
      <c r="J5350" s="12" t="s">
        <v>31</v>
      </c>
      <c r="K5350" s="76">
        <f t="shared" si="532"/>
        <v>21568.2</v>
      </c>
      <c r="L5350">
        <v>1</v>
      </c>
      <c r="M5350" s="94">
        <v>0</v>
      </c>
      <c r="N5350" t="s">
        <v>32</v>
      </c>
      <c r="O5350" t="s">
        <v>33</v>
      </c>
      <c r="P5350" t="s">
        <v>34</v>
      </c>
      <c r="Q5350" t="s">
        <v>34</v>
      </c>
      <c r="R5350" t="s">
        <v>34</v>
      </c>
      <c r="S5350" t="s">
        <v>34</v>
      </c>
      <c r="T5350" s="117">
        <v>0</v>
      </c>
    </row>
    <row r="5351" spans="1:20" x14ac:dyDescent="0.35">
      <c r="A5351" t="s">
        <v>19</v>
      </c>
      <c r="B5351" t="s">
        <v>19</v>
      </c>
      <c r="C5351" s="1">
        <v>45952</v>
      </c>
      <c r="D5351">
        <f t="shared" si="536"/>
        <v>22</v>
      </c>
      <c r="E5351">
        <f t="shared" si="537"/>
        <v>10</v>
      </c>
      <c r="F5351">
        <f t="shared" si="538"/>
        <v>2025</v>
      </c>
      <c r="G5351" t="s">
        <v>91</v>
      </c>
      <c r="H5351" s="121" t="s">
        <v>1442</v>
      </c>
      <c r="I5351" s="76">
        <v>79</v>
      </c>
      <c r="J5351" s="12" t="s">
        <v>31</v>
      </c>
      <c r="K5351" s="76">
        <f t="shared" si="532"/>
        <v>79</v>
      </c>
      <c r="L5351">
        <v>1</v>
      </c>
      <c r="M5351" s="76">
        <v>0</v>
      </c>
      <c r="N5351" t="s">
        <v>32</v>
      </c>
      <c r="O5351" t="s">
        <v>33</v>
      </c>
      <c r="P5351" t="s">
        <v>34</v>
      </c>
      <c r="Q5351" t="s">
        <v>34</v>
      </c>
      <c r="R5351" t="s">
        <v>34</v>
      </c>
      <c r="S5351" t="s">
        <v>34</v>
      </c>
      <c r="T5351" s="117">
        <v>0</v>
      </c>
    </row>
    <row r="5352" spans="1:20" x14ac:dyDescent="0.35">
      <c r="A5352" t="s">
        <v>19</v>
      </c>
      <c r="B5352" t="s">
        <v>19</v>
      </c>
      <c r="C5352" s="1">
        <v>45952</v>
      </c>
      <c r="D5352">
        <f t="shared" si="536"/>
        <v>22</v>
      </c>
      <c r="E5352">
        <f t="shared" si="537"/>
        <v>10</v>
      </c>
      <c r="F5352">
        <f t="shared" si="538"/>
        <v>2025</v>
      </c>
      <c r="G5352" t="s">
        <v>1327</v>
      </c>
      <c r="H5352" s="121" t="s">
        <v>1443</v>
      </c>
      <c r="I5352" s="76">
        <v>65.400000000000006</v>
      </c>
      <c r="J5352" s="12" t="s">
        <v>31</v>
      </c>
      <c r="K5352" s="76">
        <f t="shared" si="532"/>
        <v>65.400000000000006</v>
      </c>
      <c r="L5352">
        <v>1</v>
      </c>
      <c r="M5352" s="94">
        <v>0</v>
      </c>
      <c r="N5352" t="s">
        <v>32</v>
      </c>
      <c r="O5352" t="s">
        <v>33</v>
      </c>
      <c r="P5352" t="s">
        <v>34</v>
      </c>
      <c r="Q5352" t="s">
        <v>34</v>
      </c>
      <c r="R5352" t="s">
        <v>34</v>
      </c>
      <c r="S5352" t="s">
        <v>34</v>
      </c>
      <c r="T5352" s="117">
        <v>0</v>
      </c>
    </row>
    <row r="5353" spans="1:20" x14ac:dyDescent="0.35">
      <c r="A5353" t="s">
        <v>19</v>
      </c>
      <c r="B5353" t="s">
        <v>19</v>
      </c>
      <c r="C5353" s="1">
        <v>45952</v>
      </c>
      <c r="D5353">
        <f t="shared" ref="D5353:D5359" si="539">DAY(C5353)</f>
        <v>22</v>
      </c>
      <c r="E5353">
        <f t="shared" ref="E5353:E5359" si="540">MONTH(C5353)</f>
        <v>10</v>
      </c>
      <c r="F5353">
        <f t="shared" ref="F5353:F5359" si="541">YEAR(C5353)</f>
        <v>2025</v>
      </c>
      <c r="G5353" t="s">
        <v>127</v>
      </c>
      <c r="H5353" s="121" t="s">
        <v>1444</v>
      </c>
      <c r="I5353" s="76">
        <v>8360</v>
      </c>
      <c r="J5353" s="12" t="s">
        <v>31</v>
      </c>
      <c r="K5353" s="76">
        <f t="shared" si="532"/>
        <v>8360</v>
      </c>
      <c r="L5353">
        <v>1</v>
      </c>
      <c r="M5353" s="76">
        <v>0</v>
      </c>
      <c r="N5353" t="s">
        <v>32</v>
      </c>
      <c r="O5353" t="s">
        <v>33</v>
      </c>
      <c r="P5353" t="s">
        <v>34</v>
      </c>
      <c r="Q5353" t="s">
        <v>34</v>
      </c>
      <c r="R5353" t="s">
        <v>34</v>
      </c>
      <c r="S5353" t="s">
        <v>34</v>
      </c>
      <c r="T5353" s="117">
        <v>0</v>
      </c>
    </row>
    <row r="5354" spans="1:20" x14ac:dyDescent="0.35">
      <c r="A5354" t="s">
        <v>19</v>
      </c>
      <c r="B5354" t="s">
        <v>19</v>
      </c>
      <c r="C5354" s="1">
        <v>45952</v>
      </c>
      <c r="D5354">
        <f t="shared" si="539"/>
        <v>22</v>
      </c>
      <c r="E5354">
        <f t="shared" si="540"/>
        <v>10</v>
      </c>
      <c r="F5354">
        <f t="shared" si="541"/>
        <v>2025</v>
      </c>
      <c r="G5354" t="s">
        <v>126</v>
      </c>
      <c r="H5354" s="121" t="s">
        <v>1445</v>
      </c>
      <c r="I5354" s="76">
        <v>13806</v>
      </c>
      <c r="J5354" s="12" t="s">
        <v>31</v>
      </c>
      <c r="K5354" s="76">
        <f t="shared" si="532"/>
        <v>13806</v>
      </c>
      <c r="L5354">
        <v>1</v>
      </c>
      <c r="M5354" s="94">
        <v>0</v>
      </c>
      <c r="N5354" t="s">
        <v>32</v>
      </c>
      <c r="O5354" t="s">
        <v>33</v>
      </c>
      <c r="P5354" t="s">
        <v>34</v>
      </c>
      <c r="Q5354" t="s">
        <v>34</v>
      </c>
      <c r="R5354" t="s">
        <v>34</v>
      </c>
      <c r="S5354" t="s">
        <v>34</v>
      </c>
      <c r="T5354" s="117">
        <v>0</v>
      </c>
    </row>
    <row r="5355" spans="1:20" x14ac:dyDescent="0.35">
      <c r="A5355" t="s">
        <v>19</v>
      </c>
      <c r="B5355" t="s">
        <v>19</v>
      </c>
      <c r="C5355" s="1">
        <v>45952</v>
      </c>
      <c r="D5355">
        <f t="shared" si="539"/>
        <v>22</v>
      </c>
      <c r="E5355">
        <f t="shared" si="540"/>
        <v>10</v>
      </c>
      <c r="F5355">
        <f t="shared" si="541"/>
        <v>2025</v>
      </c>
      <c r="G5355" t="s">
        <v>263</v>
      </c>
      <c r="H5355" s="121" t="s">
        <v>1446</v>
      </c>
      <c r="I5355" s="76">
        <v>9000</v>
      </c>
      <c r="J5355" s="12" t="s">
        <v>31</v>
      </c>
      <c r="K5355" s="76">
        <f t="shared" si="532"/>
        <v>9000</v>
      </c>
      <c r="L5355">
        <v>1</v>
      </c>
      <c r="M5355" s="76">
        <v>0</v>
      </c>
      <c r="N5355" t="s">
        <v>32</v>
      </c>
      <c r="O5355" t="s">
        <v>33</v>
      </c>
      <c r="P5355" t="s">
        <v>34</v>
      </c>
      <c r="Q5355" t="s">
        <v>34</v>
      </c>
      <c r="R5355" t="s">
        <v>34</v>
      </c>
      <c r="S5355" t="s">
        <v>34</v>
      </c>
      <c r="T5355" s="117">
        <v>0</v>
      </c>
    </row>
    <row r="5356" spans="1:20" x14ac:dyDescent="0.35">
      <c r="A5356" t="s">
        <v>19</v>
      </c>
      <c r="B5356" t="s">
        <v>19</v>
      </c>
      <c r="C5356" s="1">
        <v>45952</v>
      </c>
      <c r="D5356">
        <f t="shared" si="539"/>
        <v>22</v>
      </c>
      <c r="E5356">
        <f t="shared" si="540"/>
        <v>10</v>
      </c>
      <c r="F5356">
        <f t="shared" si="541"/>
        <v>2025</v>
      </c>
      <c r="G5356" t="s">
        <v>265</v>
      </c>
      <c r="H5356" s="121" t="s">
        <v>1447</v>
      </c>
      <c r="I5356" s="76">
        <v>2895</v>
      </c>
      <c r="J5356" s="12" t="s">
        <v>31</v>
      </c>
      <c r="K5356" s="76">
        <f t="shared" si="532"/>
        <v>2895</v>
      </c>
      <c r="L5356">
        <v>1</v>
      </c>
      <c r="M5356" s="94">
        <v>0</v>
      </c>
      <c r="N5356" t="s">
        <v>32</v>
      </c>
      <c r="O5356" t="s">
        <v>33</v>
      </c>
      <c r="P5356" t="s">
        <v>34</v>
      </c>
      <c r="Q5356" t="s">
        <v>34</v>
      </c>
      <c r="R5356" t="s">
        <v>34</v>
      </c>
      <c r="S5356" t="s">
        <v>34</v>
      </c>
      <c r="T5356" s="117">
        <v>0</v>
      </c>
    </row>
    <row r="5357" spans="1:20" x14ac:dyDescent="0.35">
      <c r="A5357" t="s">
        <v>19</v>
      </c>
      <c r="B5357" t="s">
        <v>19</v>
      </c>
      <c r="C5357" s="1">
        <v>45952</v>
      </c>
      <c r="D5357">
        <f t="shared" si="539"/>
        <v>22</v>
      </c>
      <c r="E5357">
        <f t="shared" si="540"/>
        <v>10</v>
      </c>
      <c r="F5357">
        <f t="shared" si="541"/>
        <v>2025</v>
      </c>
      <c r="G5357" t="s">
        <v>46</v>
      </c>
      <c r="H5357" s="121" t="s">
        <v>1448</v>
      </c>
      <c r="I5357" s="76">
        <v>1800</v>
      </c>
      <c r="J5357" s="12" t="s">
        <v>31</v>
      </c>
      <c r="K5357" s="76">
        <f t="shared" si="532"/>
        <v>1800</v>
      </c>
      <c r="L5357">
        <v>1</v>
      </c>
      <c r="M5357" s="76">
        <v>0</v>
      </c>
      <c r="N5357" t="s">
        <v>32</v>
      </c>
      <c r="O5357" t="s">
        <v>33</v>
      </c>
      <c r="P5357" t="s">
        <v>34</v>
      </c>
      <c r="Q5357" t="s">
        <v>34</v>
      </c>
      <c r="R5357" t="s">
        <v>34</v>
      </c>
      <c r="S5357" t="s">
        <v>34</v>
      </c>
      <c r="T5357" s="117">
        <v>0</v>
      </c>
    </row>
    <row r="5358" spans="1:20" x14ac:dyDescent="0.35">
      <c r="A5358" t="s">
        <v>19</v>
      </c>
      <c r="B5358" t="s">
        <v>19</v>
      </c>
      <c r="C5358" s="1">
        <v>45952</v>
      </c>
      <c r="D5358">
        <f t="shared" si="539"/>
        <v>22</v>
      </c>
      <c r="E5358">
        <f t="shared" si="540"/>
        <v>10</v>
      </c>
      <c r="F5358">
        <f t="shared" si="541"/>
        <v>2025</v>
      </c>
      <c r="G5358" t="s">
        <v>1003</v>
      </c>
      <c r="H5358" s="121" t="s">
        <v>1449</v>
      </c>
      <c r="I5358" s="76">
        <v>6396.4000000000005</v>
      </c>
      <c r="J5358" s="12" t="s">
        <v>31</v>
      </c>
      <c r="K5358" s="76">
        <f t="shared" si="532"/>
        <v>6396.4000000000005</v>
      </c>
      <c r="L5358">
        <v>1</v>
      </c>
      <c r="M5358" s="94">
        <v>0</v>
      </c>
      <c r="N5358" t="s">
        <v>32</v>
      </c>
      <c r="O5358" t="s">
        <v>33</v>
      </c>
      <c r="P5358" t="s">
        <v>34</v>
      </c>
      <c r="Q5358" t="s">
        <v>34</v>
      </c>
      <c r="R5358" t="s">
        <v>34</v>
      </c>
      <c r="S5358" t="s">
        <v>34</v>
      </c>
      <c r="T5358" s="117">
        <v>0</v>
      </c>
    </row>
    <row r="5359" spans="1:20" x14ac:dyDescent="0.35">
      <c r="A5359" t="s">
        <v>19</v>
      </c>
      <c r="B5359" t="s">
        <v>19</v>
      </c>
      <c r="C5359" s="1">
        <v>45952</v>
      </c>
      <c r="D5359">
        <f t="shared" si="539"/>
        <v>22</v>
      </c>
      <c r="E5359">
        <f t="shared" si="540"/>
        <v>10</v>
      </c>
      <c r="F5359">
        <f t="shared" si="541"/>
        <v>2025</v>
      </c>
      <c r="G5359" t="s">
        <v>111</v>
      </c>
      <c r="H5359" s="121" t="s">
        <v>1436</v>
      </c>
      <c r="I5359" s="76">
        <v>6523.81</v>
      </c>
      <c r="J5359" s="12" t="s">
        <v>31</v>
      </c>
      <c r="K5359" s="76">
        <f t="shared" si="532"/>
        <v>6523.81</v>
      </c>
      <c r="L5359">
        <v>1</v>
      </c>
      <c r="M5359" s="76">
        <v>0</v>
      </c>
      <c r="N5359" t="s">
        <v>32</v>
      </c>
      <c r="O5359" t="s">
        <v>33</v>
      </c>
      <c r="P5359" t="s">
        <v>34</v>
      </c>
      <c r="Q5359" t="s">
        <v>34</v>
      </c>
      <c r="R5359" t="s">
        <v>34</v>
      </c>
      <c r="S5359" t="s">
        <v>34</v>
      </c>
      <c r="T5359" s="117">
        <v>0</v>
      </c>
    </row>
    <row r="5360" spans="1:20" x14ac:dyDescent="0.35">
      <c r="A5360" t="s">
        <v>19</v>
      </c>
      <c r="B5360" t="s">
        <v>19</v>
      </c>
      <c r="C5360" s="1">
        <v>45952</v>
      </c>
      <c r="D5360">
        <f t="shared" ref="D5360:D5370" si="542">DAY(C5360)</f>
        <v>22</v>
      </c>
      <c r="E5360">
        <f t="shared" ref="E5360:E5370" si="543">MONTH(C5360)</f>
        <v>10</v>
      </c>
      <c r="F5360">
        <f t="shared" ref="F5360:F5370" si="544">YEAR(C5360)</f>
        <v>2025</v>
      </c>
      <c r="G5360" t="s">
        <v>183</v>
      </c>
      <c r="H5360" s="121" t="s">
        <v>1450</v>
      </c>
      <c r="I5360" s="76">
        <v>4860</v>
      </c>
      <c r="J5360" s="12" t="s">
        <v>31</v>
      </c>
      <c r="K5360" s="76">
        <f t="shared" ref="K5360:K5380" si="545">IF(J5360="USD",I5360,I5360*L5360)</f>
        <v>4860</v>
      </c>
      <c r="L5360">
        <v>1</v>
      </c>
      <c r="M5360" s="94">
        <v>0</v>
      </c>
      <c r="N5360" t="s">
        <v>32</v>
      </c>
      <c r="O5360" t="s">
        <v>33</v>
      </c>
      <c r="P5360" t="s">
        <v>34</v>
      </c>
      <c r="Q5360" t="s">
        <v>34</v>
      </c>
      <c r="R5360" t="s">
        <v>34</v>
      </c>
      <c r="S5360" t="s">
        <v>34</v>
      </c>
      <c r="T5360" s="117">
        <v>0</v>
      </c>
    </row>
    <row r="5361" spans="1:21" x14ac:dyDescent="0.35">
      <c r="A5361" t="s">
        <v>19</v>
      </c>
      <c r="B5361" t="s">
        <v>26</v>
      </c>
      <c r="C5361" s="1">
        <v>45952</v>
      </c>
      <c r="D5361">
        <f t="shared" si="542"/>
        <v>22</v>
      </c>
      <c r="E5361">
        <f t="shared" si="543"/>
        <v>10</v>
      </c>
      <c r="F5361">
        <f t="shared" si="544"/>
        <v>2025</v>
      </c>
      <c r="G5361" t="s">
        <v>73</v>
      </c>
      <c r="H5361" s="121">
        <v>13881</v>
      </c>
      <c r="I5361" s="76">
        <v>47363.19</v>
      </c>
      <c r="J5361" s="12" t="s">
        <v>51</v>
      </c>
      <c r="K5361" s="76">
        <f t="shared" ref="K5361:K5365" si="546">IF(J5361="USD",I5361,I5361*L5361)</f>
        <v>55083.389970000004</v>
      </c>
      <c r="L5361">
        <v>1.163</v>
      </c>
      <c r="M5361" s="76">
        <v>0</v>
      </c>
      <c r="N5361" t="s">
        <v>32</v>
      </c>
      <c r="O5361" t="s">
        <v>33</v>
      </c>
      <c r="P5361" t="s">
        <v>34</v>
      </c>
      <c r="Q5361" t="s">
        <v>34</v>
      </c>
      <c r="R5361" t="s">
        <v>34</v>
      </c>
      <c r="S5361" t="s">
        <v>34</v>
      </c>
      <c r="T5361" s="117">
        <v>0</v>
      </c>
      <c r="U5361" s="209" t="s">
        <v>94</v>
      </c>
    </row>
    <row r="5362" spans="1:21" x14ac:dyDescent="0.35">
      <c r="A5362" t="s">
        <v>19</v>
      </c>
      <c r="B5362" t="s">
        <v>26</v>
      </c>
      <c r="C5362" s="1">
        <v>45952</v>
      </c>
      <c r="D5362">
        <f t="shared" si="542"/>
        <v>22</v>
      </c>
      <c r="E5362">
        <f t="shared" si="543"/>
        <v>10</v>
      </c>
      <c r="F5362">
        <f t="shared" si="544"/>
        <v>2025</v>
      </c>
      <c r="G5362" t="s">
        <v>73</v>
      </c>
      <c r="H5362" s="121">
        <v>13882</v>
      </c>
      <c r="I5362" s="76">
        <v>65835.460000000006</v>
      </c>
      <c r="J5362" s="12" t="s">
        <v>51</v>
      </c>
      <c r="K5362" s="76">
        <f t="shared" si="546"/>
        <v>76566.639980000007</v>
      </c>
      <c r="L5362">
        <v>1.163</v>
      </c>
      <c r="M5362" s="94">
        <v>0</v>
      </c>
      <c r="N5362" t="s">
        <v>32</v>
      </c>
      <c r="O5362" t="s">
        <v>33</v>
      </c>
      <c r="P5362" t="s">
        <v>34</v>
      </c>
      <c r="Q5362" t="s">
        <v>34</v>
      </c>
      <c r="R5362" t="s">
        <v>34</v>
      </c>
      <c r="S5362" t="s">
        <v>34</v>
      </c>
      <c r="T5362" s="117">
        <v>0</v>
      </c>
      <c r="U5362" s="209" t="s">
        <v>94</v>
      </c>
    </row>
    <row r="5363" spans="1:21" x14ac:dyDescent="0.35">
      <c r="A5363" t="s">
        <v>19</v>
      </c>
      <c r="B5363" t="s">
        <v>26</v>
      </c>
      <c r="C5363" s="1">
        <v>45952</v>
      </c>
      <c r="D5363">
        <f t="shared" si="542"/>
        <v>22</v>
      </c>
      <c r="E5363">
        <f t="shared" si="543"/>
        <v>10</v>
      </c>
      <c r="F5363">
        <f t="shared" si="544"/>
        <v>2025</v>
      </c>
      <c r="G5363" t="s">
        <v>73</v>
      </c>
      <c r="H5363" s="121">
        <v>13895</v>
      </c>
      <c r="I5363" s="76">
        <v>9699.3799999999992</v>
      </c>
      <c r="J5363" s="12" t="s">
        <v>51</v>
      </c>
      <c r="K5363" s="76">
        <f t="shared" si="546"/>
        <v>11280.378939999999</v>
      </c>
      <c r="L5363">
        <v>1.163</v>
      </c>
      <c r="M5363" s="76">
        <v>0</v>
      </c>
      <c r="N5363" t="s">
        <v>32</v>
      </c>
      <c r="O5363" t="s">
        <v>33</v>
      </c>
      <c r="P5363" t="s">
        <v>34</v>
      </c>
      <c r="Q5363" t="s">
        <v>34</v>
      </c>
      <c r="R5363" t="s">
        <v>34</v>
      </c>
      <c r="S5363" t="s">
        <v>34</v>
      </c>
      <c r="T5363" s="117">
        <v>0</v>
      </c>
      <c r="U5363" s="209" t="s">
        <v>94</v>
      </c>
    </row>
    <row r="5364" spans="1:21" x14ac:dyDescent="0.35">
      <c r="A5364" t="s">
        <v>19</v>
      </c>
      <c r="B5364" t="s">
        <v>26</v>
      </c>
      <c r="C5364" s="1">
        <v>45952</v>
      </c>
      <c r="D5364">
        <f t="shared" si="542"/>
        <v>22</v>
      </c>
      <c r="E5364">
        <f t="shared" si="543"/>
        <v>10</v>
      </c>
      <c r="F5364">
        <f t="shared" si="544"/>
        <v>2025</v>
      </c>
      <c r="G5364" t="s">
        <v>73</v>
      </c>
      <c r="H5364" s="121">
        <v>13896</v>
      </c>
      <c r="I5364" s="76">
        <v>73628.12</v>
      </c>
      <c r="J5364" s="12" t="s">
        <v>51</v>
      </c>
      <c r="K5364" s="76">
        <f t="shared" si="546"/>
        <v>85629.503559999997</v>
      </c>
      <c r="L5364">
        <v>1.163</v>
      </c>
      <c r="M5364" s="94">
        <v>0</v>
      </c>
      <c r="N5364" t="s">
        <v>32</v>
      </c>
      <c r="O5364" t="s">
        <v>33</v>
      </c>
      <c r="P5364" t="s">
        <v>34</v>
      </c>
      <c r="Q5364" t="s">
        <v>34</v>
      </c>
      <c r="R5364" t="s">
        <v>34</v>
      </c>
      <c r="S5364" t="s">
        <v>34</v>
      </c>
      <c r="T5364" s="117">
        <v>0</v>
      </c>
      <c r="U5364" s="209" t="s">
        <v>94</v>
      </c>
    </row>
    <row r="5365" spans="1:21" x14ac:dyDescent="0.35">
      <c r="A5365" t="s">
        <v>19</v>
      </c>
      <c r="B5365" t="s">
        <v>26</v>
      </c>
      <c r="C5365" s="1">
        <v>45952</v>
      </c>
      <c r="D5365">
        <f t="shared" si="542"/>
        <v>22</v>
      </c>
      <c r="E5365">
        <f t="shared" si="543"/>
        <v>10</v>
      </c>
      <c r="F5365">
        <f t="shared" si="544"/>
        <v>2025</v>
      </c>
      <c r="G5365" t="s">
        <v>73</v>
      </c>
      <c r="H5365" s="121">
        <v>13897</v>
      </c>
      <c r="I5365" s="76">
        <v>53473.85</v>
      </c>
      <c r="J5365" s="12" t="s">
        <v>51</v>
      </c>
      <c r="K5365" s="76">
        <f t="shared" si="546"/>
        <v>62190.087549999997</v>
      </c>
      <c r="L5365">
        <v>1.163</v>
      </c>
      <c r="M5365" s="76">
        <v>0</v>
      </c>
      <c r="N5365" t="s">
        <v>32</v>
      </c>
      <c r="O5365" t="s">
        <v>33</v>
      </c>
      <c r="P5365" t="s">
        <v>34</v>
      </c>
      <c r="Q5365" t="s">
        <v>34</v>
      </c>
      <c r="R5365" t="s">
        <v>34</v>
      </c>
      <c r="S5365" t="s">
        <v>34</v>
      </c>
      <c r="T5365" s="117">
        <v>0</v>
      </c>
      <c r="U5365" s="209" t="s">
        <v>94</v>
      </c>
    </row>
    <row r="5366" spans="1:21" x14ac:dyDescent="0.35">
      <c r="A5366" t="s">
        <v>19</v>
      </c>
      <c r="B5366" t="s">
        <v>26</v>
      </c>
      <c r="C5366" s="1">
        <v>45953</v>
      </c>
      <c r="D5366">
        <f t="shared" si="542"/>
        <v>23</v>
      </c>
      <c r="E5366">
        <f t="shared" si="543"/>
        <v>10</v>
      </c>
      <c r="F5366">
        <f t="shared" si="544"/>
        <v>2025</v>
      </c>
      <c r="G5366" t="s">
        <v>73</v>
      </c>
      <c r="H5366" s="121">
        <v>13897</v>
      </c>
      <c r="I5366" s="76">
        <v>18947.16</v>
      </c>
      <c r="J5366" s="12" t="s">
        <v>51</v>
      </c>
      <c r="K5366" s="76">
        <f t="shared" si="545"/>
        <v>22035.54708</v>
      </c>
      <c r="L5366">
        <v>1.163</v>
      </c>
      <c r="M5366" s="94">
        <v>0</v>
      </c>
      <c r="N5366" t="s">
        <v>32</v>
      </c>
      <c r="O5366" t="s">
        <v>33</v>
      </c>
      <c r="P5366" t="s">
        <v>34</v>
      </c>
      <c r="Q5366" t="s">
        <v>34</v>
      </c>
      <c r="R5366" t="s">
        <v>34</v>
      </c>
      <c r="S5366" t="s">
        <v>34</v>
      </c>
      <c r="T5366" s="117">
        <v>0</v>
      </c>
      <c r="U5366" s="209" t="s">
        <v>94</v>
      </c>
    </row>
    <row r="5367" spans="1:21" x14ac:dyDescent="0.35">
      <c r="A5367" t="s">
        <v>19</v>
      </c>
      <c r="B5367" t="s">
        <v>26</v>
      </c>
      <c r="C5367" s="1">
        <v>45953</v>
      </c>
      <c r="D5367">
        <f t="shared" si="542"/>
        <v>23</v>
      </c>
      <c r="E5367">
        <f t="shared" si="543"/>
        <v>10</v>
      </c>
      <c r="F5367">
        <f t="shared" si="544"/>
        <v>2025</v>
      </c>
      <c r="G5367" t="s">
        <v>73</v>
      </c>
      <c r="H5367" s="121">
        <v>13934</v>
      </c>
      <c r="I5367" s="76">
        <v>75687.399999999994</v>
      </c>
      <c r="J5367" s="12" t="s">
        <v>51</v>
      </c>
      <c r="K5367" s="76">
        <f t="shared" si="545"/>
        <v>88024.446199999991</v>
      </c>
      <c r="L5367">
        <v>1.163</v>
      </c>
      <c r="M5367" s="76">
        <v>0</v>
      </c>
      <c r="N5367" t="s">
        <v>32</v>
      </c>
      <c r="O5367" t="s">
        <v>33</v>
      </c>
      <c r="P5367" t="s">
        <v>34</v>
      </c>
      <c r="Q5367" t="s">
        <v>34</v>
      </c>
      <c r="R5367" t="s">
        <v>34</v>
      </c>
      <c r="S5367" t="s">
        <v>34</v>
      </c>
      <c r="T5367" s="117">
        <v>0</v>
      </c>
      <c r="U5367" s="209" t="s">
        <v>94</v>
      </c>
    </row>
    <row r="5368" spans="1:21" x14ac:dyDescent="0.35">
      <c r="A5368" t="s">
        <v>19</v>
      </c>
      <c r="B5368" t="s">
        <v>26</v>
      </c>
      <c r="C5368" s="1">
        <v>45953</v>
      </c>
      <c r="D5368">
        <f t="shared" si="542"/>
        <v>23</v>
      </c>
      <c r="E5368">
        <f t="shared" si="543"/>
        <v>10</v>
      </c>
      <c r="F5368">
        <f t="shared" si="544"/>
        <v>2025</v>
      </c>
      <c r="G5368" t="s">
        <v>73</v>
      </c>
      <c r="H5368" s="121">
        <v>13935</v>
      </c>
      <c r="I5368" s="76">
        <v>66001.25</v>
      </c>
      <c r="J5368" s="12" t="s">
        <v>51</v>
      </c>
      <c r="K5368" s="76">
        <f t="shared" si="545"/>
        <v>76759.453750000001</v>
      </c>
      <c r="L5368">
        <v>1.163</v>
      </c>
      <c r="M5368" s="94">
        <v>0</v>
      </c>
      <c r="N5368" t="s">
        <v>32</v>
      </c>
      <c r="O5368" t="s">
        <v>33</v>
      </c>
      <c r="P5368" t="s">
        <v>34</v>
      </c>
      <c r="Q5368" t="s">
        <v>34</v>
      </c>
      <c r="R5368" t="s">
        <v>34</v>
      </c>
      <c r="S5368" t="s">
        <v>34</v>
      </c>
      <c r="T5368" s="117">
        <v>0</v>
      </c>
      <c r="U5368" s="209" t="s">
        <v>94</v>
      </c>
    </row>
    <row r="5369" spans="1:21" x14ac:dyDescent="0.35">
      <c r="A5369" t="s">
        <v>19</v>
      </c>
      <c r="B5369" t="s">
        <v>26</v>
      </c>
      <c r="C5369" s="1">
        <v>45953</v>
      </c>
      <c r="D5369">
        <f t="shared" si="542"/>
        <v>23</v>
      </c>
      <c r="E5369">
        <f t="shared" si="543"/>
        <v>10</v>
      </c>
      <c r="F5369">
        <f t="shared" si="544"/>
        <v>2025</v>
      </c>
      <c r="G5369" t="s">
        <v>73</v>
      </c>
      <c r="H5369" s="121">
        <v>13825</v>
      </c>
      <c r="I5369" s="76">
        <v>863.91</v>
      </c>
      <c r="J5369" s="12" t="s">
        <v>51</v>
      </c>
      <c r="K5369" s="76">
        <f t="shared" si="545"/>
        <v>1004.7273299999999</v>
      </c>
      <c r="L5369">
        <v>1.163</v>
      </c>
      <c r="M5369" s="76">
        <v>0</v>
      </c>
      <c r="N5369" t="s">
        <v>32</v>
      </c>
      <c r="O5369" t="s">
        <v>33</v>
      </c>
      <c r="P5369" t="s">
        <v>34</v>
      </c>
      <c r="Q5369" t="s">
        <v>34</v>
      </c>
      <c r="R5369" t="s">
        <v>34</v>
      </c>
      <c r="S5369" t="s">
        <v>34</v>
      </c>
      <c r="T5369" s="117">
        <v>0</v>
      </c>
      <c r="U5369" s="209" t="s">
        <v>94</v>
      </c>
    </row>
    <row r="5370" spans="1:21" x14ac:dyDescent="0.35">
      <c r="A5370" t="s">
        <v>19</v>
      </c>
      <c r="B5370" t="s">
        <v>26</v>
      </c>
      <c r="C5370" s="1">
        <v>45953</v>
      </c>
      <c r="D5370">
        <f t="shared" si="542"/>
        <v>23</v>
      </c>
      <c r="E5370">
        <f t="shared" si="543"/>
        <v>10</v>
      </c>
      <c r="F5370">
        <f t="shared" si="544"/>
        <v>2025</v>
      </c>
      <c r="G5370" t="s">
        <v>73</v>
      </c>
      <c r="H5370" s="121">
        <v>13936</v>
      </c>
      <c r="I5370" s="76">
        <v>9909.11</v>
      </c>
      <c r="J5370" s="12" t="s">
        <v>51</v>
      </c>
      <c r="K5370" s="76">
        <f t="shared" si="545"/>
        <v>11524.294930000002</v>
      </c>
      <c r="L5370">
        <v>1.163</v>
      </c>
      <c r="M5370" s="94">
        <v>0</v>
      </c>
      <c r="N5370" t="s">
        <v>32</v>
      </c>
      <c r="O5370" t="s">
        <v>33</v>
      </c>
      <c r="P5370" t="s">
        <v>34</v>
      </c>
      <c r="Q5370" t="s">
        <v>34</v>
      </c>
      <c r="R5370" t="s">
        <v>34</v>
      </c>
      <c r="S5370" t="s">
        <v>34</v>
      </c>
      <c r="T5370" s="117">
        <v>0</v>
      </c>
      <c r="U5370" s="209" t="s">
        <v>94</v>
      </c>
    </row>
    <row r="5371" spans="1:21" x14ac:dyDescent="0.35">
      <c r="A5371" t="s">
        <v>19</v>
      </c>
      <c r="B5371" t="s">
        <v>19</v>
      </c>
      <c r="C5371" s="1">
        <v>45959</v>
      </c>
      <c r="D5371">
        <f t="shared" ref="D5371:D5380" si="547">DAY(C5371)</f>
        <v>29</v>
      </c>
      <c r="E5371">
        <f t="shared" ref="E5371:E5380" si="548">MONTH(C5371)</f>
        <v>10</v>
      </c>
      <c r="F5371">
        <f t="shared" ref="F5371:F5380" si="549">YEAR(C5371)</f>
        <v>2025</v>
      </c>
      <c r="G5371" t="s">
        <v>90</v>
      </c>
      <c r="H5371" s="121" t="s">
        <v>1454</v>
      </c>
      <c r="I5371" s="76">
        <v>1910.22</v>
      </c>
      <c r="J5371" s="12" t="s">
        <v>31</v>
      </c>
      <c r="K5371" s="76">
        <f t="shared" si="545"/>
        <v>1910.22</v>
      </c>
      <c r="L5371">
        <v>1</v>
      </c>
      <c r="M5371" s="76">
        <v>0</v>
      </c>
      <c r="N5371" t="s">
        <v>32</v>
      </c>
      <c r="O5371" t="s">
        <v>33</v>
      </c>
      <c r="P5371" t="s">
        <v>34</v>
      </c>
      <c r="Q5371" t="s">
        <v>34</v>
      </c>
      <c r="R5371" t="s">
        <v>34</v>
      </c>
      <c r="S5371" t="s">
        <v>34</v>
      </c>
      <c r="T5371" s="117">
        <v>0</v>
      </c>
    </row>
    <row r="5372" spans="1:21" x14ac:dyDescent="0.35">
      <c r="A5372" t="s">
        <v>19</v>
      </c>
      <c r="B5372" t="s">
        <v>19</v>
      </c>
      <c r="C5372" s="1">
        <v>45959</v>
      </c>
      <c r="D5372">
        <f t="shared" si="547"/>
        <v>29</v>
      </c>
      <c r="E5372">
        <f t="shared" si="548"/>
        <v>10</v>
      </c>
      <c r="F5372">
        <f t="shared" si="549"/>
        <v>2025</v>
      </c>
      <c r="G5372" t="s">
        <v>54</v>
      </c>
      <c r="H5372" s="121" t="s">
        <v>1430</v>
      </c>
      <c r="I5372" s="76">
        <v>46091.54</v>
      </c>
      <c r="J5372" s="12" t="s">
        <v>31</v>
      </c>
      <c r="K5372" s="76">
        <f t="shared" si="545"/>
        <v>46091.54</v>
      </c>
      <c r="L5372">
        <v>1</v>
      </c>
      <c r="M5372" s="94">
        <v>0</v>
      </c>
      <c r="N5372" t="s">
        <v>32</v>
      </c>
      <c r="O5372" t="s">
        <v>33</v>
      </c>
      <c r="P5372" t="s">
        <v>34</v>
      </c>
      <c r="Q5372" t="s">
        <v>34</v>
      </c>
      <c r="R5372" t="s">
        <v>34</v>
      </c>
      <c r="S5372" t="s">
        <v>34</v>
      </c>
      <c r="T5372" s="117">
        <v>0</v>
      </c>
    </row>
    <row r="5373" spans="1:21" x14ac:dyDescent="0.35">
      <c r="A5373" t="s">
        <v>19</v>
      </c>
      <c r="B5373" t="s">
        <v>19</v>
      </c>
      <c r="C5373" s="1">
        <v>45959</v>
      </c>
      <c r="D5373">
        <f t="shared" si="547"/>
        <v>29</v>
      </c>
      <c r="E5373">
        <f t="shared" si="548"/>
        <v>10</v>
      </c>
      <c r="F5373">
        <f t="shared" si="549"/>
        <v>2025</v>
      </c>
      <c r="G5373" t="s">
        <v>56</v>
      </c>
      <c r="H5373" s="121" t="s">
        <v>1455</v>
      </c>
      <c r="I5373" s="76">
        <v>176284.78</v>
      </c>
      <c r="J5373" s="12" t="s">
        <v>31</v>
      </c>
      <c r="K5373" s="76">
        <f t="shared" si="545"/>
        <v>176284.78</v>
      </c>
      <c r="L5373">
        <v>1</v>
      </c>
      <c r="M5373" s="76">
        <v>0</v>
      </c>
      <c r="N5373" t="s">
        <v>32</v>
      </c>
      <c r="O5373" t="s">
        <v>33</v>
      </c>
      <c r="P5373" t="s">
        <v>34</v>
      </c>
      <c r="Q5373" t="s">
        <v>34</v>
      </c>
      <c r="R5373" t="s">
        <v>34</v>
      </c>
      <c r="S5373" t="s">
        <v>34</v>
      </c>
      <c r="T5373" s="117">
        <v>0</v>
      </c>
    </row>
    <row r="5374" spans="1:21" x14ac:dyDescent="0.35">
      <c r="A5374" t="s">
        <v>19</v>
      </c>
      <c r="B5374" t="s">
        <v>19</v>
      </c>
      <c r="C5374" s="1">
        <v>45959</v>
      </c>
      <c r="D5374">
        <f t="shared" si="547"/>
        <v>29</v>
      </c>
      <c r="E5374">
        <f t="shared" si="548"/>
        <v>10</v>
      </c>
      <c r="F5374">
        <f t="shared" si="549"/>
        <v>2025</v>
      </c>
      <c r="G5374" t="s">
        <v>59</v>
      </c>
      <c r="H5374" s="121" t="s">
        <v>1456</v>
      </c>
      <c r="I5374" s="76">
        <v>105314.18</v>
      </c>
      <c r="J5374" s="12" t="s">
        <v>31</v>
      </c>
      <c r="K5374" s="76">
        <f t="shared" si="545"/>
        <v>105314.18</v>
      </c>
      <c r="L5374">
        <v>1</v>
      </c>
      <c r="M5374" s="94">
        <v>0</v>
      </c>
      <c r="N5374" t="s">
        <v>32</v>
      </c>
      <c r="O5374" t="s">
        <v>33</v>
      </c>
      <c r="P5374" t="s">
        <v>34</v>
      </c>
      <c r="Q5374" t="s">
        <v>34</v>
      </c>
      <c r="R5374" t="s">
        <v>34</v>
      </c>
      <c r="S5374" t="s">
        <v>34</v>
      </c>
      <c r="T5374" s="117">
        <v>0</v>
      </c>
    </row>
    <row r="5375" spans="1:21" x14ac:dyDescent="0.35">
      <c r="A5375" t="s">
        <v>19</v>
      </c>
      <c r="B5375" t="s">
        <v>19</v>
      </c>
      <c r="C5375" s="1">
        <v>45959</v>
      </c>
      <c r="D5375">
        <f t="shared" si="547"/>
        <v>29</v>
      </c>
      <c r="E5375">
        <f t="shared" si="548"/>
        <v>10</v>
      </c>
      <c r="F5375">
        <f t="shared" si="549"/>
        <v>2025</v>
      </c>
      <c r="G5375" t="s">
        <v>82</v>
      </c>
      <c r="H5375" s="121" t="s">
        <v>1457</v>
      </c>
      <c r="I5375" s="76">
        <v>7313.66</v>
      </c>
      <c r="J5375" s="12" t="s">
        <v>31</v>
      </c>
      <c r="K5375" s="76">
        <f t="shared" si="545"/>
        <v>7313.66</v>
      </c>
      <c r="L5375">
        <v>1</v>
      </c>
      <c r="M5375" s="76">
        <v>0</v>
      </c>
      <c r="N5375" t="s">
        <v>32</v>
      </c>
      <c r="O5375" t="s">
        <v>33</v>
      </c>
      <c r="P5375" t="s">
        <v>34</v>
      </c>
      <c r="Q5375" t="s">
        <v>34</v>
      </c>
      <c r="R5375" t="s">
        <v>34</v>
      </c>
      <c r="S5375" t="s">
        <v>34</v>
      </c>
      <c r="T5375" s="117">
        <v>0</v>
      </c>
    </row>
    <row r="5376" spans="1:21" x14ac:dyDescent="0.35">
      <c r="A5376" t="s">
        <v>19</v>
      </c>
      <c r="B5376" t="s">
        <v>19</v>
      </c>
      <c r="C5376" s="1">
        <v>45959</v>
      </c>
      <c r="D5376">
        <f t="shared" si="547"/>
        <v>29</v>
      </c>
      <c r="E5376">
        <f t="shared" si="548"/>
        <v>10</v>
      </c>
      <c r="F5376">
        <f t="shared" si="549"/>
        <v>2025</v>
      </c>
      <c r="G5376" t="s">
        <v>55</v>
      </c>
      <c r="H5376" s="121" t="s">
        <v>1458</v>
      </c>
      <c r="I5376" s="76">
        <v>8607.2900000000009</v>
      </c>
      <c r="J5376" s="12" t="s">
        <v>31</v>
      </c>
      <c r="K5376" s="76">
        <f t="shared" si="545"/>
        <v>8607.2900000000009</v>
      </c>
      <c r="L5376">
        <v>1</v>
      </c>
      <c r="M5376" s="94">
        <v>0</v>
      </c>
      <c r="N5376" t="s">
        <v>32</v>
      </c>
      <c r="O5376" t="s">
        <v>33</v>
      </c>
      <c r="P5376" t="s">
        <v>34</v>
      </c>
      <c r="Q5376" t="s">
        <v>34</v>
      </c>
      <c r="R5376" t="s">
        <v>34</v>
      </c>
      <c r="S5376" t="s">
        <v>34</v>
      </c>
      <c r="T5376" s="117">
        <v>0</v>
      </c>
    </row>
    <row r="5377" spans="1:20" x14ac:dyDescent="0.35">
      <c r="A5377" t="s">
        <v>19</v>
      </c>
      <c r="B5377" t="s">
        <v>19</v>
      </c>
      <c r="C5377" s="1">
        <v>45959</v>
      </c>
      <c r="D5377">
        <f t="shared" si="547"/>
        <v>29</v>
      </c>
      <c r="E5377">
        <f t="shared" si="548"/>
        <v>10</v>
      </c>
      <c r="F5377">
        <f t="shared" si="549"/>
        <v>2025</v>
      </c>
      <c r="G5377" t="s">
        <v>91</v>
      </c>
      <c r="H5377" s="121" t="s">
        <v>1459</v>
      </c>
      <c r="I5377" s="76">
        <v>25535.29</v>
      </c>
      <c r="J5377" s="12" t="s">
        <v>31</v>
      </c>
      <c r="K5377" s="76">
        <f t="shared" si="545"/>
        <v>25535.29</v>
      </c>
      <c r="L5377">
        <v>1</v>
      </c>
      <c r="M5377" s="76">
        <v>0</v>
      </c>
      <c r="N5377" t="s">
        <v>32</v>
      </c>
      <c r="O5377" t="s">
        <v>33</v>
      </c>
      <c r="P5377" t="s">
        <v>34</v>
      </c>
      <c r="Q5377" t="s">
        <v>34</v>
      </c>
      <c r="R5377" t="s">
        <v>34</v>
      </c>
      <c r="S5377" t="s">
        <v>34</v>
      </c>
      <c r="T5377" s="117">
        <v>0</v>
      </c>
    </row>
    <row r="5378" spans="1:20" x14ac:dyDescent="0.35">
      <c r="A5378" t="s">
        <v>19</v>
      </c>
      <c r="B5378" t="s">
        <v>19</v>
      </c>
      <c r="C5378" s="1">
        <v>45959</v>
      </c>
      <c r="D5378">
        <f t="shared" si="547"/>
        <v>29</v>
      </c>
      <c r="E5378">
        <f t="shared" si="548"/>
        <v>10</v>
      </c>
      <c r="F5378">
        <f t="shared" si="549"/>
        <v>2025</v>
      </c>
      <c r="G5378" t="s">
        <v>265</v>
      </c>
      <c r="H5378" s="121" t="s">
        <v>1460</v>
      </c>
      <c r="I5378" s="76">
        <v>2798.96</v>
      </c>
      <c r="J5378" s="12" t="s">
        <v>31</v>
      </c>
      <c r="K5378" s="76">
        <f t="shared" si="545"/>
        <v>2798.96</v>
      </c>
      <c r="L5378">
        <v>1</v>
      </c>
      <c r="M5378" s="94">
        <v>0</v>
      </c>
      <c r="N5378" t="s">
        <v>32</v>
      </c>
      <c r="O5378" t="s">
        <v>33</v>
      </c>
      <c r="P5378" t="s">
        <v>34</v>
      </c>
      <c r="Q5378" t="s">
        <v>34</v>
      </c>
      <c r="R5378" t="s">
        <v>34</v>
      </c>
      <c r="S5378" t="s">
        <v>34</v>
      </c>
      <c r="T5378" s="117">
        <v>0</v>
      </c>
    </row>
    <row r="5379" spans="1:20" x14ac:dyDescent="0.35">
      <c r="A5379" t="s">
        <v>19</v>
      </c>
      <c r="B5379" t="s">
        <v>19</v>
      </c>
      <c r="C5379" s="1">
        <v>45959</v>
      </c>
      <c r="D5379">
        <f t="shared" si="547"/>
        <v>29</v>
      </c>
      <c r="E5379">
        <f t="shared" si="548"/>
        <v>10</v>
      </c>
      <c r="F5379">
        <f t="shared" si="549"/>
        <v>2025</v>
      </c>
      <c r="G5379" t="s">
        <v>57</v>
      </c>
      <c r="H5379" s="121" t="s">
        <v>1461</v>
      </c>
      <c r="I5379" s="76">
        <v>5626.58</v>
      </c>
      <c r="J5379" s="12" t="s">
        <v>31</v>
      </c>
      <c r="K5379" s="76">
        <f t="shared" si="545"/>
        <v>5626.58</v>
      </c>
      <c r="L5379">
        <v>1</v>
      </c>
      <c r="M5379" s="76">
        <v>0</v>
      </c>
      <c r="N5379" t="s">
        <v>32</v>
      </c>
      <c r="O5379" t="s">
        <v>33</v>
      </c>
      <c r="P5379" t="s">
        <v>34</v>
      </c>
      <c r="Q5379" t="s">
        <v>34</v>
      </c>
      <c r="R5379" t="s">
        <v>34</v>
      </c>
      <c r="S5379" t="s">
        <v>34</v>
      </c>
      <c r="T5379" s="117">
        <v>0</v>
      </c>
    </row>
    <row r="5380" spans="1:20" x14ac:dyDescent="0.35">
      <c r="A5380" t="s">
        <v>19</v>
      </c>
      <c r="B5380" t="s">
        <v>19</v>
      </c>
      <c r="C5380" s="1">
        <v>45959</v>
      </c>
      <c r="D5380">
        <f t="shared" si="547"/>
        <v>29</v>
      </c>
      <c r="E5380">
        <f t="shared" si="548"/>
        <v>10</v>
      </c>
      <c r="F5380">
        <f t="shared" si="549"/>
        <v>2025</v>
      </c>
      <c r="G5380" t="s">
        <v>523</v>
      </c>
      <c r="H5380" s="121" t="s">
        <v>1462</v>
      </c>
      <c r="I5380" s="76">
        <v>22161.88</v>
      </c>
      <c r="J5380" s="12" t="s">
        <v>31</v>
      </c>
      <c r="K5380" s="76">
        <f t="shared" si="545"/>
        <v>22161.88</v>
      </c>
      <c r="L5380">
        <v>1</v>
      </c>
      <c r="M5380" s="94">
        <v>0</v>
      </c>
      <c r="N5380" t="s">
        <v>32</v>
      </c>
      <c r="O5380" t="s">
        <v>33</v>
      </c>
      <c r="P5380" t="s">
        <v>34</v>
      </c>
      <c r="Q5380" t="s">
        <v>34</v>
      </c>
      <c r="R5380" t="s">
        <v>34</v>
      </c>
      <c r="S5380" t="s">
        <v>34</v>
      </c>
      <c r="T5380" s="117">
        <v>0</v>
      </c>
    </row>
    <row r="5381" spans="1:20" x14ac:dyDescent="0.35">
      <c r="A5381" t="s">
        <v>19</v>
      </c>
      <c r="B5381" t="s">
        <v>19</v>
      </c>
      <c r="C5381" s="1">
        <v>45960</v>
      </c>
      <c r="D5381">
        <f t="shared" ref="D5381:D5383" si="550">DAY(C5381)</f>
        <v>30</v>
      </c>
      <c r="E5381">
        <f t="shared" ref="E5381:E5383" si="551">MONTH(C5381)</f>
        <v>10</v>
      </c>
      <c r="F5381">
        <f t="shared" ref="F5381:F5383" si="552">YEAR(C5381)</f>
        <v>2025</v>
      </c>
      <c r="G5381" t="s">
        <v>56</v>
      </c>
      <c r="H5381" s="121" t="s">
        <v>1463</v>
      </c>
      <c r="I5381" s="76">
        <v>189155.83</v>
      </c>
      <c r="J5381" s="12" t="s">
        <v>31</v>
      </c>
      <c r="K5381" s="76">
        <f t="shared" ref="K5381:K5382" si="553">IF(J5381="USD",I5381,I5381*L5381)</f>
        <v>189155.83</v>
      </c>
      <c r="L5381">
        <v>1</v>
      </c>
      <c r="M5381" s="76">
        <v>0</v>
      </c>
      <c r="N5381" t="s">
        <v>32</v>
      </c>
      <c r="O5381" t="s">
        <v>33</v>
      </c>
      <c r="P5381" t="s">
        <v>34</v>
      </c>
      <c r="Q5381" t="s">
        <v>34</v>
      </c>
      <c r="R5381" t="s">
        <v>34</v>
      </c>
      <c r="S5381" t="s">
        <v>34</v>
      </c>
      <c r="T5381" s="117">
        <v>0</v>
      </c>
    </row>
    <row r="5382" spans="1:20" x14ac:dyDescent="0.35">
      <c r="A5382" t="s">
        <v>19</v>
      </c>
      <c r="B5382" t="s">
        <v>19</v>
      </c>
      <c r="C5382" s="1">
        <v>45960</v>
      </c>
      <c r="D5382">
        <f t="shared" si="550"/>
        <v>30</v>
      </c>
      <c r="E5382">
        <f t="shared" si="551"/>
        <v>10</v>
      </c>
      <c r="F5382">
        <f t="shared" si="552"/>
        <v>2025</v>
      </c>
      <c r="G5382" t="s">
        <v>56</v>
      </c>
      <c r="H5382" s="121" t="s">
        <v>1464</v>
      </c>
      <c r="I5382" s="76">
        <v>100318.54</v>
      </c>
      <c r="J5382" s="12" t="s">
        <v>31</v>
      </c>
      <c r="K5382" s="76">
        <f t="shared" si="553"/>
        <v>100318.54</v>
      </c>
      <c r="L5382">
        <v>1</v>
      </c>
      <c r="M5382" s="94">
        <v>0</v>
      </c>
      <c r="N5382" t="s">
        <v>32</v>
      </c>
      <c r="O5382" t="s">
        <v>33</v>
      </c>
      <c r="P5382" t="s">
        <v>34</v>
      </c>
      <c r="Q5382" t="s">
        <v>34</v>
      </c>
      <c r="R5382" t="s">
        <v>34</v>
      </c>
      <c r="S5382" t="s">
        <v>34</v>
      </c>
      <c r="T5382" s="117">
        <v>0</v>
      </c>
    </row>
    <row r="5383" spans="1:20" x14ac:dyDescent="0.35">
      <c r="A5383" t="s">
        <v>19</v>
      </c>
      <c r="B5383" t="s">
        <v>19</v>
      </c>
      <c r="C5383" s="1">
        <v>45960</v>
      </c>
      <c r="D5383">
        <f t="shared" si="550"/>
        <v>30</v>
      </c>
      <c r="E5383">
        <f t="shared" si="551"/>
        <v>10</v>
      </c>
      <c r="F5383">
        <f t="shared" si="552"/>
        <v>2025</v>
      </c>
      <c r="G5383" t="s">
        <v>126</v>
      </c>
      <c r="H5383" s="121" t="s">
        <v>1279</v>
      </c>
      <c r="I5383" s="76">
        <v>25286.46</v>
      </c>
      <c r="J5383" s="12" t="s">
        <v>31</v>
      </c>
      <c r="K5383" s="76">
        <f t="shared" ref="K5383:K5385" si="554">IF(J5383="USD",I5383,I5383*L5383)</f>
        <v>25286.46</v>
      </c>
      <c r="L5383">
        <v>1</v>
      </c>
      <c r="M5383" s="94">
        <v>0</v>
      </c>
      <c r="N5383" t="s">
        <v>32</v>
      </c>
      <c r="O5383" t="s">
        <v>33</v>
      </c>
      <c r="P5383" t="s">
        <v>34</v>
      </c>
      <c r="Q5383" t="s">
        <v>34</v>
      </c>
      <c r="R5383" t="s">
        <v>34</v>
      </c>
      <c r="S5383" t="s">
        <v>34</v>
      </c>
      <c r="T5383" s="117">
        <v>0</v>
      </c>
    </row>
    <row r="5384" spans="1:20" x14ac:dyDescent="0.35">
      <c r="A5384" t="s">
        <v>20</v>
      </c>
      <c r="B5384" t="s">
        <v>223</v>
      </c>
      <c r="C5384" s="1">
        <v>45958</v>
      </c>
      <c r="D5384">
        <f>DAY(C5384)</f>
        <v>28</v>
      </c>
      <c r="E5384">
        <f>MONTH(C5384)</f>
        <v>10</v>
      </c>
      <c r="F5384">
        <f>YEAR(C5384)</f>
        <v>2025</v>
      </c>
      <c r="G5384" t="s">
        <v>223</v>
      </c>
      <c r="H5384" s="121">
        <v>13823</v>
      </c>
      <c r="I5384" s="76">
        <v>69213</v>
      </c>
      <c r="J5384" s="12" t="s">
        <v>31</v>
      </c>
      <c r="K5384" s="76">
        <f t="shared" si="554"/>
        <v>69213</v>
      </c>
      <c r="L5384">
        <v>1</v>
      </c>
      <c r="M5384" s="94">
        <v>0</v>
      </c>
      <c r="N5384" t="s">
        <v>32</v>
      </c>
      <c r="O5384" t="s">
        <v>33</v>
      </c>
      <c r="P5384" t="s">
        <v>34</v>
      </c>
      <c r="Q5384" t="s">
        <v>34</v>
      </c>
      <c r="R5384" t="s">
        <v>34</v>
      </c>
      <c r="S5384" t="s">
        <v>34</v>
      </c>
      <c r="T5384" s="117">
        <v>0</v>
      </c>
    </row>
    <row r="5385" spans="1:20" x14ac:dyDescent="0.35">
      <c r="A5385" t="s">
        <v>19</v>
      </c>
      <c r="B5385" t="s">
        <v>21</v>
      </c>
      <c r="C5385" s="1">
        <v>45959</v>
      </c>
      <c r="D5385">
        <f>DAY(C5385)</f>
        <v>29</v>
      </c>
      <c r="E5385">
        <f>MONTH(C5385)</f>
        <v>10</v>
      </c>
      <c r="F5385">
        <f>YEAR(C5385)</f>
        <v>2025</v>
      </c>
      <c r="G5385" t="s">
        <v>77</v>
      </c>
      <c r="H5385" s="139">
        <v>13722</v>
      </c>
      <c r="I5385" s="91">
        <v>17641.650000000001</v>
      </c>
      <c r="J5385" s="12" t="s">
        <v>31</v>
      </c>
      <c r="K5385" s="76">
        <f t="shared" si="554"/>
        <v>17641.650000000001</v>
      </c>
      <c r="L5385">
        <v>1</v>
      </c>
      <c r="M5385" s="94">
        <v>0</v>
      </c>
      <c r="N5385" t="s">
        <v>32</v>
      </c>
      <c r="O5385" t="s">
        <v>33</v>
      </c>
      <c r="P5385" t="s">
        <v>34</v>
      </c>
      <c r="Q5385" t="s">
        <v>34</v>
      </c>
      <c r="R5385" t="s">
        <v>34</v>
      </c>
      <c r="S5385" t="s">
        <v>34</v>
      </c>
      <c r="T5385" s="117">
        <v>0</v>
      </c>
    </row>
    <row r="5386" spans="1:20" x14ac:dyDescent="0.35">
      <c r="A5386" t="s">
        <v>19</v>
      </c>
      <c r="B5386" t="s">
        <v>21</v>
      </c>
      <c r="C5386" s="1">
        <v>45959</v>
      </c>
      <c r="D5386">
        <f>DAY(C5386)</f>
        <v>29</v>
      </c>
      <c r="E5386">
        <f>MONTH(C5386)</f>
        <v>10</v>
      </c>
      <c r="F5386">
        <f>YEAR(C5386)</f>
        <v>2025</v>
      </c>
      <c r="G5386" t="s">
        <v>40</v>
      </c>
      <c r="H5386" s="139">
        <v>13711</v>
      </c>
      <c r="I5386" s="91">
        <v>8667.75</v>
      </c>
      <c r="J5386" s="12" t="s">
        <v>31</v>
      </c>
      <c r="K5386" s="76">
        <f t="shared" ref="K5386:K5443" si="555">IF(J5386="USD",I5386,I5386*L5386)</f>
        <v>8667.75</v>
      </c>
      <c r="L5386">
        <v>1</v>
      </c>
      <c r="M5386" s="94">
        <v>0</v>
      </c>
      <c r="N5386" t="s">
        <v>32</v>
      </c>
      <c r="O5386" t="s">
        <v>33</v>
      </c>
      <c r="P5386" t="s">
        <v>34</v>
      </c>
      <c r="Q5386" t="s">
        <v>34</v>
      </c>
      <c r="R5386" t="s">
        <v>34</v>
      </c>
      <c r="S5386" t="s">
        <v>34</v>
      </c>
      <c r="T5386" s="117">
        <v>0</v>
      </c>
    </row>
    <row r="5387" spans="1:20" x14ac:dyDescent="0.35">
      <c r="A5387" t="s">
        <v>19</v>
      </c>
      <c r="B5387" t="s">
        <v>23</v>
      </c>
      <c r="C5387" s="1">
        <v>45959</v>
      </c>
      <c r="D5387">
        <f t="shared" ref="D5387:D5394" si="556">DAY(C5387)</f>
        <v>29</v>
      </c>
      <c r="E5387">
        <f t="shared" ref="E5387:E5394" si="557">MONTH(C5387)</f>
        <v>10</v>
      </c>
      <c r="F5387">
        <f t="shared" ref="F5387:F5394" si="558">YEAR(C5387)</f>
        <v>2025</v>
      </c>
      <c r="G5387" t="s">
        <v>40</v>
      </c>
      <c r="H5387" s="139">
        <v>13948</v>
      </c>
      <c r="I5387" s="91">
        <v>14480</v>
      </c>
      <c r="J5387" s="12" t="s">
        <v>31</v>
      </c>
      <c r="K5387" s="76">
        <f t="shared" si="555"/>
        <v>14480</v>
      </c>
      <c r="L5387">
        <v>1</v>
      </c>
      <c r="M5387" s="94">
        <v>0</v>
      </c>
      <c r="N5387" t="s">
        <v>42</v>
      </c>
      <c r="O5387" t="s">
        <v>33</v>
      </c>
      <c r="P5387" t="s">
        <v>34</v>
      </c>
      <c r="Q5387" t="s">
        <v>34</v>
      </c>
      <c r="R5387" t="s">
        <v>34</v>
      </c>
      <c r="S5387" t="s">
        <v>34</v>
      </c>
      <c r="T5387" s="117">
        <v>0</v>
      </c>
    </row>
    <row r="5388" spans="1:20" x14ac:dyDescent="0.35">
      <c r="A5388" t="s">
        <v>19</v>
      </c>
      <c r="B5388" t="s">
        <v>27</v>
      </c>
      <c r="C5388" s="1">
        <v>45959</v>
      </c>
      <c r="D5388">
        <f t="shared" si="556"/>
        <v>29</v>
      </c>
      <c r="E5388">
        <f t="shared" si="557"/>
        <v>10</v>
      </c>
      <c r="F5388">
        <f t="shared" si="558"/>
        <v>2025</v>
      </c>
      <c r="G5388" t="s">
        <v>100</v>
      </c>
      <c r="H5388" s="139">
        <v>13530</v>
      </c>
      <c r="I5388" s="91">
        <v>88033.63</v>
      </c>
      <c r="J5388" s="12" t="s">
        <v>31</v>
      </c>
      <c r="K5388" s="76">
        <f t="shared" si="555"/>
        <v>88033.63</v>
      </c>
      <c r="L5388">
        <v>1</v>
      </c>
      <c r="M5388" s="94">
        <v>0</v>
      </c>
      <c r="N5388" t="s">
        <v>32</v>
      </c>
      <c r="O5388" t="s">
        <v>33</v>
      </c>
      <c r="P5388" t="s">
        <v>34</v>
      </c>
      <c r="Q5388" t="s">
        <v>34</v>
      </c>
      <c r="R5388" t="s">
        <v>34</v>
      </c>
      <c r="S5388" t="s">
        <v>34</v>
      </c>
      <c r="T5388" s="117">
        <v>0</v>
      </c>
    </row>
    <row r="5389" spans="1:20" x14ac:dyDescent="0.35">
      <c r="A5389" t="s">
        <v>19</v>
      </c>
      <c r="B5389" t="s">
        <v>27</v>
      </c>
      <c r="C5389" s="1">
        <v>45959</v>
      </c>
      <c r="D5389">
        <f t="shared" si="556"/>
        <v>29</v>
      </c>
      <c r="E5389">
        <f t="shared" si="557"/>
        <v>10</v>
      </c>
      <c r="F5389">
        <f t="shared" si="558"/>
        <v>2025</v>
      </c>
      <c r="G5389" t="s">
        <v>100</v>
      </c>
      <c r="H5389" s="139">
        <v>13669</v>
      </c>
      <c r="I5389" s="91">
        <v>6438.28</v>
      </c>
      <c r="J5389" s="12" t="s">
        <v>31</v>
      </c>
      <c r="K5389" s="76">
        <f t="shared" si="555"/>
        <v>6438.28</v>
      </c>
      <c r="L5389">
        <v>1</v>
      </c>
      <c r="M5389" s="94">
        <v>0</v>
      </c>
      <c r="N5389" t="s">
        <v>32</v>
      </c>
      <c r="O5389" t="s">
        <v>33</v>
      </c>
      <c r="P5389" t="s">
        <v>34</v>
      </c>
      <c r="Q5389" t="s">
        <v>34</v>
      </c>
      <c r="R5389" t="s">
        <v>34</v>
      </c>
      <c r="S5389" t="s">
        <v>34</v>
      </c>
      <c r="T5389" s="117">
        <v>0</v>
      </c>
    </row>
    <row r="5390" spans="1:20" x14ac:dyDescent="0.35">
      <c r="A5390" t="s">
        <v>19</v>
      </c>
      <c r="B5390" t="s">
        <v>27</v>
      </c>
      <c r="C5390" s="1">
        <v>45959</v>
      </c>
      <c r="D5390">
        <f t="shared" si="556"/>
        <v>29</v>
      </c>
      <c r="E5390">
        <f t="shared" si="557"/>
        <v>10</v>
      </c>
      <c r="F5390">
        <f t="shared" si="558"/>
        <v>2025</v>
      </c>
      <c r="G5390" t="s">
        <v>100</v>
      </c>
      <c r="H5390" s="139">
        <v>13484</v>
      </c>
      <c r="I5390" s="91">
        <v>105528.09</v>
      </c>
      <c r="J5390" s="12" t="s">
        <v>31</v>
      </c>
      <c r="K5390" s="76">
        <f t="shared" si="555"/>
        <v>105528.09</v>
      </c>
      <c r="L5390">
        <v>1</v>
      </c>
      <c r="M5390" s="94">
        <v>0</v>
      </c>
      <c r="N5390" t="s">
        <v>32</v>
      </c>
      <c r="O5390" t="s">
        <v>33</v>
      </c>
      <c r="P5390" t="s">
        <v>34</v>
      </c>
      <c r="Q5390" t="s">
        <v>34</v>
      </c>
      <c r="R5390" t="s">
        <v>34</v>
      </c>
      <c r="S5390" t="s">
        <v>34</v>
      </c>
      <c r="T5390" s="117">
        <v>0</v>
      </c>
    </row>
    <row r="5391" spans="1:20" x14ac:dyDescent="0.35">
      <c r="A5391" t="s">
        <v>19</v>
      </c>
      <c r="B5391" t="s">
        <v>23</v>
      </c>
      <c r="C5391" s="1">
        <v>45959</v>
      </c>
      <c r="D5391">
        <f t="shared" si="556"/>
        <v>29</v>
      </c>
      <c r="E5391">
        <f t="shared" si="557"/>
        <v>10</v>
      </c>
      <c r="F5391">
        <f t="shared" si="558"/>
        <v>2025</v>
      </c>
      <c r="G5391" t="s">
        <v>75</v>
      </c>
      <c r="H5391" s="139">
        <v>13929</v>
      </c>
      <c r="I5391" s="91">
        <v>19280.400000000001</v>
      </c>
      <c r="J5391" s="12" t="s">
        <v>31</v>
      </c>
      <c r="K5391" s="76">
        <f t="shared" si="555"/>
        <v>19280.400000000001</v>
      </c>
      <c r="L5391">
        <v>1</v>
      </c>
      <c r="M5391" s="94">
        <v>0</v>
      </c>
      <c r="N5391" t="s">
        <v>32</v>
      </c>
      <c r="O5391" t="s">
        <v>33</v>
      </c>
      <c r="P5391" t="s">
        <v>34</v>
      </c>
      <c r="Q5391" t="s">
        <v>34</v>
      </c>
      <c r="R5391" t="s">
        <v>34</v>
      </c>
      <c r="S5391" t="s">
        <v>34</v>
      </c>
      <c r="T5391" s="117">
        <v>0</v>
      </c>
    </row>
    <row r="5392" spans="1:20" x14ac:dyDescent="0.35">
      <c r="A5392" t="s">
        <v>19</v>
      </c>
      <c r="B5392" t="s">
        <v>21</v>
      </c>
      <c r="C5392" s="1">
        <v>45959</v>
      </c>
      <c r="D5392">
        <f t="shared" si="556"/>
        <v>29</v>
      </c>
      <c r="E5392">
        <f t="shared" si="557"/>
        <v>10</v>
      </c>
      <c r="F5392">
        <f t="shared" si="558"/>
        <v>2025</v>
      </c>
      <c r="G5392" t="s">
        <v>75</v>
      </c>
      <c r="H5392" s="139">
        <v>12590</v>
      </c>
      <c r="I5392" s="91">
        <v>1</v>
      </c>
      <c r="J5392" s="12" t="s">
        <v>31</v>
      </c>
      <c r="K5392" s="76">
        <f t="shared" si="555"/>
        <v>1</v>
      </c>
      <c r="L5392">
        <v>1</v>
      </c>
      <c r="M5392" s="94">
        <v>0</v>
      </c>
      <c r="N5392" t="s">
        <v>32</v>
      </c>
      <c r="O5392" t="s">
        <v>33</v>
      </c>
      <c r="P5392" t="s">
        <v>34</v>
      </c>
      <c r="Q5392" t="s">
        <v>34</v>
      </c>
      <c r="R5392" t="s">
        <v>34</v>
      </c>
      <c r="S5392" t="s">
        <v>34</v>
      </c>
      <c r="T5392" s="117">
        <v>0</v>
      </c>
    </row>
    <row r="5393" spans="1:21" x14ac:dyDescent="0.35">
      <c r="A5393" t="s">
        <v>19</v>
      </c>
      <c r="B5393" t="s">
        <v>25</v>
      </c>
      <c r="C5393" s="1">
        <v>45959</v>
      </c>
      <c r="D5393">
        <f t="shared" si="556"/>
        <v>29</v>
      </c>
      <c r="E5393">
        <f t="shared" si="557"/>
        <v>10</v>
      </c>
      <c r="F5393">
        <f t="shared" si="558"/>
        <v>2025</v>
      </c>
      <c r="G5393" t="s">
        <v>351</v>
      </c>
      <c r="H5393" s="139">
        <v>12834</v>
      </c>
      <c r="I5393" s="91">
        <v>13312.81</v>
      </c>
      <c r="J5393" s="12" t="s">
        <v>31</v>
      </c>
      <c r="K5393" s="76">
        <f t="shared" si="555"/>
        <v>13312.81</v>
      </c>
      <c r="L5393">
        <v>1</v>
      </c>
      <c r="M5393" s="94">
        <v>0</v>
      </c>
      <c r="N5393" t="s">
        <v>32</v>
      </c>
      <c r="O5393" t="s">
        <v>33</v>
      </c>
      <c r="P5393" t="s">
        <v>34</v>
      </c>
      <c r="Q5393" t="s">
        <v>34</v>
      </c>
      <c r="R5393" t="s">
        <v>34</v>
      </c>
      <c r="S5393" t="s">
        <v>34</v>
      </c>
      <c r="T5393" s="117">
        <v>0</v>
      </c>
    </row>
    <row r="5394" spans="1:21" x14ac:dyDescent="0.35">
      <c r="A5394" t="s">
        <v>19</v>
      </c>
      <c r="B5394" t="s">
        <v>25</v>
      </c>
      <c r="C5394" s="1">
        <v>45959</v>
      </c>
      <c r="D5394">
        <f t="shared" si="556"/>
        <v>29</v>
      </c>
      <c r="E5394">
        <f t="shared" si="557"/>
        <v>10</v>
      </c>
      <c r="F5394">
        <f t="shared" si="558"/>
        <v>2025</v>
      </c>
      <c r="G5394" t="s">
        <v>36</v>
      </c>
      <c r="H5394" s="139">
        <v>13179</v>
      </c>
      <c r="I5394" s="91">
        <v>8695.5</v>
      </c>
      <c r="J5394" s="12" t="s">
        <v>31</v>
      </c>
      <c r="K5394" s="76">
        <f t="shared" si="555"/>
        <v>8695.5</v>
      </c>
      <c r="L5394">
        <v>1</v>
      </c>
      <c r="M5394" s="94">
        <v>0</v>
      </c>
      <c r="N5394" t="s">
        <v>32</v>
      </c>
      <c r="O5394" t="s">
        <v>33</v>
      </c>
      <c r="P5394" t="s">
        <v>34</v>
      </c>
      <c r="Q5394" t="s">
        <v>34</v>
      </c>
      <c r="R5394" t="s">
        <v>34</v>
      </c>
      <c r="S5394" t="s">
        <v>34</v>
      </c>
      <c r="T5394" s="117">
        <v>0</v>
      </c>
    </row>
    <row r="5395" spans="1:21" x14ac:dyDescent="0.35">
      <c r="A5395" t="s">
        <v>19</v>
      </c>
      <c r="B5395" t="s">
        <v>25</v>
      </c>
      <c r="C5395" s="1">
        <v>45959</v>
      </c>
      <c r="D5395">
        <f>DAY(C5395)</f>
        <v>29</v>
      </c>
      <c r="E5395">
        <f>MONTH(C5395)</f>
        <v>10</v>
      </c>
      <c r="F5395">
        <f>YEAR(C5395)</f>
        <v>2025</v>
      </c>
      <c r="G5395" t="s">
        <v>39</v>
      </c>
      <c r="H5395" s="139">
        <v>13177</v>
      </c>
      <c r="I5395" s="91">
        <v>7200</v>
      </c>
      <c r="J5395" s="12" t="s">
        <v>31</v>
      </c>
      <c r="K5395" s="76">
        <f t="shared" si="555"/>
        <v>7200</v>
      </c>
      <c r="L5395">
        <v>1</v>
      </c>
      <c r="M5395" s="94">
        <v>0</v>
      </c>
      <c r="N5395" t="s">
        <v>32</v>
      </c>
      <c r="O5395" t="s">
        <v>33</v>
      </c>
      <c r="P5395" t="s">
        <v>34</v>
      </c>
      <c r="Q5395" t="s">
        <v>34</v>
      </c>
      <c r="R5395" t="s">
        <v>34</v>
      </c>
      <c r="S5395" t="s">
        <v>34</v>
      </c>
      <c r="T5395" s="117">
        <v>0</v>
      </c>
    </row>
    <row r="5396" spans="1:21" x14ac:dyDescent="0.35">
      <c r="A5396" t="s">
        <v>19</v>
      </c>
      <c r="B5396" t="s">
        <v>25</v>
      </c>
      <c r="C5396" s="1">
        <v>45959</v>
      </c>
      <c r="D5396">
        <f>DAY(C5396)</f>
        <v>29</v>
      </c>
      <c r="E5396">
        <f>MONTH(C5396)</f>
        <v>10</v>
      </c>
      <c r="F5396">
        <f>YEAR(C5396)</f>
        <v>2025</v>
      </c>
      <c r="G5396" t="s">
        <v>35</v>
      </c>
      <c r="H5396" s="139">
        <v>13344</v>
      </c>
      <c r="I5396" s="91">
        <v>12826.75</v>
      </c>
      <c r="J5396" s="12" t="s">
        <v>31</v>
      </c>
      <c r="K5396" s="76">
        <f t="shared" si="555"/>
        <v>12826.75</v>
      </c>
      <c r="L5396">
        <v>1</v>
      </c>
      <c r="M5396" s="94">
        <v>0</v>
      </c>
      <c r="N5396" t="s">
        <v>32</v>
      </c>
      <c r="O5396" t="s">
        <v>33</v>
      </c>
      <c r="P5396" t="s">
        <v>34</v>
      </c>
      <c r="Q5396" t="s">
        <v>34</v>
      </c>
      <c r="R5396" t="s">
        <v>34</v>
      </c>
      <c r="S5396" t="s">
        <v>34</v>
      </c>
      <c r="T5396" s="117">
        <v>0</v>
      </c>
    </row>
    <row r="5397" spans="1:21" x14ac:dyDescent="0.35">
      <c r="A5397" t="s">
        <v>19</v>
      </c>
      <c r="B5397" t="s">
        <v>23</v>
      </c>
      <c r="C5397" s="1">
        <v>45959</v>
      </c>
      <c r="D5397">
        <f>DAY(C5397)</f>
        <v>29</v>
      </c>
      <c r="E5397">
        <f>MONTH(C5397)</f>
        <v>10</v>
      </c>
      <c r="F5397">
        <f>YEAR(C5397)</f>
        <v>2025</v>
      </c>
      <c r="G5397" t="s">
        <v>74</v>
      </c>
      <c r="H5397" s="139">
        <v>13504</v>
      </c>
      <c r="I5397" s="91">
        <v>71797.75</v>
      </c>
      <c r="J5397" s="12" t="s">
        <v>31</v>
      </c>
      <c r="K5397" s="76">
        <f t="shared" si="555"/>
        <v>71797.75</v>
      </c>
      <c r="L5397">
        <v>1</v>
      </c>
      <c r="M5397" s="94">
        <v>0</v>
      </c>
      <c r="N5397" t="s">
        <v>32</v>
      </c>
      <c r="O5397" t="s">
        <v>33</v>
      </c>
      <c r="P5397" t="s">
        <v>34</v>
      </c>
      <c r="Q5397" t="s">
        <v>34</v>
      </c>
      <c r="R5397" t="s">
        <v>34</v>
      </c>
      <c r="S5397" t="s">
        <v>34</v>
      </c>
      <c r="T5397" s="117">
        <v>0</v>
      </c>
    </row>
    <row r="5398" spans="1:21" x14ac:dyDescent="0.35">
      <c r="A5398" t="s">
        <v>19</v>
      </c>
      <c r="B5398" t="s">
        <v>23</v>
      </c>
      <c r="C5398" s="1">
        <v>45960</v>
      </c>
      <c r="D5398">
        <f>DAY(C5398)</f>
        <v>30</v>
      </c>
      <c r="E5398">
        <f>MONTH(C5398)</f>
        <v>10</v>
      </c>
      <c r="F5398">
        <f>YEAR(C5398)</f>
        <v>2025</v>
      </c>
      <c r="G5398" t="s">
        <v>76</v>
      </c>
      <c r="H5398" s="139">
        <v>13452</v>
      </c>
      <c r="I5398" s="91">
        <v>14735.4</v>
      </c>
      <c r="J5398" s="12" t="s">
        <v>31</v>
      </c>
      <c r="K5398" s="76">
        <f t="shared" si="555"/>
        <v>14735.4</v>
      </c>
      <c r="L5398">
        <v>1</v>
      </c>
      <c r="M5398" s="94">
        <v>0</v>
      </c>
      <c r="N5398" t="s">
        <v>32</v>
      </c>
      <c r="O5398" t="s">
        <v>114</v>
      </c>
      <c r="P5398" s="1">
        <v>45960</v>
      </c>
      <c r="Q5398" s="1">
        <v>46014</v>
      </c>
      <c r="R5398" s="187">
        <v>8021000619072</v>
      </c>
      <c r="S5398" t="s">
        <v>34</v>
      </c>
      <c r="T5398" s="117">
        <v>0</v>
      </c>
      <c r="U5398" s="209" t="s">
        <v>1221</v>
      </c>
    </row>
    <row r="5399" spans="1:21" x14ac:dyDescent="0.35">
      <c r="A5399" t="s">
        <v>19</v>
      </c>
      <c r="B5399" t="s">
        <v>21</v>
      </c>
      <c r="C5399" s="1">
        <v>45960</v>
      </c>
      <c r="D5399">
        <f t="shared" ref="D5399:D5401" si="559">DAY(C5399)</f>
        <v>30</v>
      </c>
      <c r="E5399">
        <f t="shared" ref="E5399:E5401" si="560">MONTH(C5399)</f>
        <v>10</v>
      </c>
      <c r="F5399">
        <f t="shared" ref="F5399:F5401" si="561">YEAR(C5399)</f>
        <v>2025</v>
      </c>
      <c r="G5399" t="s">
        <v>76</v>
      </c>
      <c r="H5399" s="139">
        <v>13452</v>
      </c>
      <c r="I5399" s="91">
        <v>23631.7</v>
      </c>
      <c r="J5399" s="12" t="s">
        <v>31</v>
      </c>
      <c r="K5399" s="76">
        <f t="shared" si="555"/>
        <v>23631.7</v>
      </c>
      <c r="L5399">
        <v>1</v>
      </c>
      <c r="M5399" s="94">
        <v>0</v>
      </c>
      <c r="N5399" t="s">
        <v>32</v>
      </c>
      <c r="O5399" t="s">
        <v>114</v>
      </c>
      <c r="P5399" s="1">
        <v>45960</v>
      </c>
      <c r="Q5399" s="1">
        <v>46014</v>
      </c>
      <c r="R5399" s="187">
        <v>8021000619072</v>
      </c>
      <c r="S5399" t="s">
        <v>34</v>
      </c>
      <c r="T5399" s="117">
        <v>0</v>
      </c>
      <c r="U5399" s="209" t="s">
        <v>1221</v>
      </c>
    </row>
    <row r="5400" spans="1:21" x14ac:dyDescent="0.35">
      <c r="A5400" t="s">
        <v>19</v>
      </c>
      <c r="B5400" t="s">
        <v>21</v>
      </c>
      <c r="C5400" s="1">
        <v>45960</v>
      </c>
      <c r="D5400">
        <f t="shared" si="559"/>
        <v>30</v>
      </c>
      <c r="E5400">
        <f t="shared" si="560"/>
        <v>10</v>
      </c>
      <c r="F5400">
        <f t="shared" si="561"/>
        <v>2025</v>
      </c>
      <c r="G5400" t="s">
        <v>76</v>
      </c>
      <c r="H5400" s="139">
        <v>13833</v>
      </c>
      <c r="I5400" s="91">
        <v>28575.5</v>
      </c>
      <c r="J5400" s="12" t="s">
        <v>31</v>
      </c>
      <c r="K5400" s="76">
        <f t="shared" si="555"/>
        <v>28575.5</v>
      </c>
      <c r="L5400">
        <v>1</v>
      </c>
      <c r="M5400" s="94">
        <v>0</v>
      </c>
      <c r="N5400" t="s">
        <v>32</v>
      </c>
      <c r="O5400" t="s">
        <v>114</v>
      </c>
      <c r="P5400" s="1">
        <v>45960</v>
      </c>
      <c r="Q5400" s="1">
        <v>46014</v>
      </c>
      <c r="R5400" s="187">
        <v>8021000619072</v>
      </c>
      <c r="S5400" t="s">
        <v>34</v>
      </c>
      <c r="T5400" s="117">
        <v>0</v>
      </c>
      <c r="U5400" s="209" t="s">
        <v>1221</v>
      </c>
    </row>
    <row r="5401" spans="1:21" x14ac:dyDescent="0.35">
      <c r="A5401" t="s">
        <v>19</v>
      </c>
      <c r="B5401" t="s">
        <v>23</v>
      </c>
      <c r="C5401" s="1">
        <v>45960</v>
      </c>
      <c r="D5401">
        <f t="shared" si="559"/>
        <v>30</v>
      </c>
      <c r="E5401">
        <f t="shared" si="560"/>
        <v>10</v>
      </c>
      <c r="F5401">
        <f t="shared" si="561"/>
        <v>2025</v>
      </c>
      <c r="G5401" t="s">
        <v>76</v>
      </c>
      <c r="H5401" s="139">
        <v>13449</v>
      </c>
      <c r="I5401" s="91">
        <v>39684.800000000003</v>
      </c>
      <c r="J5401" s="12" t="s">
        <v>31</v>
      </c>
      <c r="K5401" s="76">
        <f t="shared" si="555"/>
        <v>39684.800000000003</v>
      </c>
      <c r="L5401">
        <v>1</v>
      </c>
      <c r="M5401" s="94">
        <v>0</v>
      </c>
      <c r="N5401" t="s">
        <v>32</v>
      </c>
      <c r="O5401" t="s">
        <v>114</v>
      </c>
      <c r="P5401" s="1">
        <v>45960</v>
      </c>
      <c r="Q5401" s="1">
        <v>46014</v>
      </c>
      <c r="R5401" s="187">
        <v>8021000619072</v>
      </c>
      <c r="S5401" t="s">
        <v>34</v>
      </c>
      <c r="T5401" s="117">
        <v>0</v>
      </c>
      <c r="U5401" s="209" t="s">
        <v>1221</v>
      </c>
    </row>
    <row r="5402" spans="1:21" x14ac:dyDescent="0.35">
      <c r="A5402" t="s">
        <v>20</v>
      </c>
      <c r="B5402" t="s">
        <v>24</v>
      </c>
      <c r="C5402" s="1">
        <v>45959</v>
      </c>
      <c r="D5402">
        <f>DAY(C5402)</f>
        <v>29</v>
      </c>
      <c r="E5402">
        <f>MONTH(C5402)</f>
        <v>10</v>
      </c>
      <c r="F5402">
        <f>YEAR(C5402)</f>
        <v>2025</v>
      </c>
      <c r="G5402" t="s">
        <v>86</v>
      </c>
      <c r="H5402" s="139">
        <v>13463</v>
      </c>
      <c r="I5402" s="91">
        <v>39.6</v>
      </c>
      <c r="J5402" s="12" t="s">
        <v>31</v>
      </c>
      <c r="K5402" s="76">
        <f t="shared" si="555"/>
        <v>39.6</v>
      </c>
      <c r="L5402">
        <v>1</v>
      </c>
      <c r="M5402" s="94">
        <v>0</v>
      </c>
      <c r="N5402" t="s">
        <v>32</v>
      </c>
      <c r="O5402" t="s">
        <v>33</v>
      </c>
      <c r="P5402" t="s">
        <v>34</v>
      </c>
      <c r="Q5402" t="s">
        <v>34</v>
      </c>
      <c r="R5402" t="s">
        <v>34</v>
      </c>
      <c r="S5402" t="s">
        <v>34</v>
      </c>
      <c r="T5402" s="117">
        <v>0</v>
      </c>
    </row>
    <row r="5403" spans="1:21" x14ac:dyDescent="0.35">
      <c r="A5403" t="s">
        <v>20</v>
      </c>
      <c r="B5403" t="s">
        <v>23</v>
      </c>
      <c r="C5403" s="1">
        <v>45959</v>
      </c>
      <c r="D5403">
        <f t="shared" ref="D5403:D5411" si="562">DAY(C5403)</f>
        <v>29</v>
      </c>
      <c r="E5403">
        <f t="shared" ref="E5403:E5411" si="563">MONTH(C5403)</f>
        <v>10</v>
      </c>
      <c r="F5403">
        <f t="shared" ref="F5403:F5411" si="564">YEAR(C5403)</f>
        <v>2025</v>
      </c>
      <c r="G5403" t="s">
        <v>86</v>
      </c>
      <c r="H5403" s="139">
        <v>13359</v>
      </c>
      <c r="I5403" s="91">
        <v>9394.7099999999991</v>
      </c>
      <c r="J5403" s="12" t="s">
        <v>31</v>
      </c>
      <c r="K5403" s="76">
        <f t="shared" si="555"/>
        <v>9394.7099999999991</v>
      </c>
      <c r="L5403">
        <v>1</v>
      </c>
      <c r="M5403" s="94">
        <v>0</v>
      </c>
      <c r="N5403" t="s">
        <v>32</v>
      </c>
      <c r="O5403" t="s">
        <v>33</v>
      </c>
      <c r="P5403" t="s">
        <v>34</v>
      </c>
      <c r="Q5403" t="s">
        <v>34</v>
      </c>
      <c r="R5403" t="s">
        <v>34</v>
      </c>
      <c r="S5403" t="s">
        <v>34</v>
      </c>
      <c r="T5403" s="117">
        <v>0</v>
      </c>
    </row>
    <row r="5404" spans="1:21" x14ac:dyDescent="0.35">
      <c r="A5404" t="s">
        <v>20</v>
      </c>
      <c r="B5404" t="s">
        <v>21</v>
      </c>
      <c r="C5404" s="1">
        <v>45959</v>
      </c>
      <c r="D5404">
        <f t="shared" si="562"/>
        <v>29</v>
      </c>
      <c r="E5404">
        <f t="shared" si="563"/>
        <v>10</v>
      </c>
      <c r="F5404">
        <f t="shared" si="564"/>
        <v>2025</v>
      </c>
      <c r="G5404" s="1" t="s">
        <v>300</v>
      </c>
      <c r="H5404" s="139">
        <v>13437</v>
      </c>
      <c r="I5404" s="91">
        <v>8141.53</v>
      </c>
      <c r="J5404" s="12" t="s">
        <v>31</v>
      </c>
      <c r="K5404" s="76">
        <f t="shared" si="555"/>
        <v>8141.53</v>
      </c>
      <c r="L5404">
        <v>1</v>
      </c>
      <c r="M5404" s="94">
        <v>0</v>
      </c>
      <c r="N5404" t="s">
        <v>32</v>
      </c>
      <c r="O5404" t="s">
        <v>33</v>
      </c>
      <c r="P5404" t="s">
        <v>34</v>
      </c>
      <c r="Q5404" t="s">
        <v>34</v>
      </c>
      <c r="R5404" t="s">
        <v>34</v>
      </c>
      <c r="S5404" t="s">
        <v>34</v>
      </c>
      <c r="T5404" s="117">
        <v>0</v>
      </c>
    </row>
    <row r="5405" spans="1:21" x14ac:dyDescent="0.35">
      <c r="A5405" t="s">
        <v>20</v>
      </c>
      <c r="B5405" t="s">
        <v>21</v>
      </c>
      <c r="C5405" s="1">
        <v>45959</v>
      </c>
      <c r="D5405">
        <f t="shared" si="562"/>
        <v>29</v>
      </c>
      <c r="E5405">
        <f t="shared" si="563"/>
        <v>10</v>
      </c>
      <c r="F5405">
        <f t="shared" si="564"/>
        <v>2025</v>
      </c>
      <c r="G5405" t="s">
        <v>1465</v>
      </c>
      <c r="H5405" s="139">
        <v>13977</v>
      </c>
      <c r="I5405" s="91">
        <v>238</v>
      </c>
      <c r="J5405" s="12" t="s">
        <v>31</v>
      </c>
      <c r="K5405" s="76">
        <f t="shared" si="555"/>
        <v>238</v>
      </c>
      <c r="L5405">
        <v>1</v>
      </c>
      <c r="M5405" s="94">
        <v>0</v>
      </c>
      <c r="N5405" t="s">
        <v>42</v>
      </c>
      <c r="O5405" t="s">
        <v>33</v>
      </c>
      <c r="P5405" t="s">
        <v>34</v>
      </c>
      <c r="Q5405" t="s">
        <v>34</v>
      </c>
      <c r="R5405" t="s">
        <v>34</v>
      </c>
      <c r="S5405" t="s">
        <v>34</v>
      </c>
      <c r="T5405" s="117">
        <v>0</v>
      </c>
    </row>
    <row r="5406" spans="1:21" x14ac:dyDescent="0.35">
      <c r="A5406" t="s">
        <v>20</v>
      </c>
      <c r="B5406" t="s">
        <v>21</v>
      </c>
      <c r="C5406" s="1">
        <v>45959</v>
      </c>
      <c r="D5406">
        <f t="shared" si="562"/>
        <v>29</v>
      </c>
      <c r="E5406">
        <f t="shared" si="563"/>
        <v>10</v>
      </c>
      <c r="F5406">
        <f t="shared" si="564"/>
        <v>2025</v>
      </c>
      <c r="G5406" t="s">
        <v>1465</v>
      </c>
      <c r="H5406" s="139">
        <v>13978</v>
      </c>
      <c r="I5406" s="91">
        <v>1676.93</v>
      </c>
      <c r="J5406" s="12" t="s">
        <v>31</v>
      </c>
      <c r="K5406" s="76">
        <f t="shared" si="555"/>
        <v>1676.93</v>
      </c>
      <c r="L5406">
        <v>1</v>
      </c>
      <c r="M5406" s="94">
        <v>0</v>
      </c>
      <c r="N5406" t="s">
        <v>42</v>
      </c>
      <c r="O5406" t="s">
        <v>33</v>
      </c>
      <c r="P5406" t="s">
        <v>34</v>
      </c>
      <c r="Q5406" t="s">
        <v>34</v>
      </c>
      <c r="R5406" t="s">
        <v>34</v>
      </c>
      <c r="S5406" t="s">
        <v>34</v>
      </c>
      <c r="T5406" s="117">
        <v>0</v>
      </c>
    </row>
    <row r="5407" spans="1:21" x14ac:dyDescent="0.35">
      <c r="A5407" t="s">
        <v>20</v>
      </c>
      <c r="B5407" t="s">
        <v>21</v>
      </c>
      <c r="C5407" s="1">
        <v>45959</v>
      </c>
      <c r="D5407">
        <f t="shared" si="562"/>
        <v>29</v>
      </c>
      <c r="E5407">
        <f t="shared" si="563"/>
        <v>10</v>
      </c>
      <c r="F5407">
        <f t="shared" si="564"/>
        <v>2025</v>
      </c>
      <c r="G5407" t="s">
        <v>104</v>
      </c>
      <c r="H5407" s="139">
        <v>13839</v>
      </c>
      <c r="I5407" s="91">
        <v>57</v>
      </c>
      <c r="J5407" s="12" t="s">
        <v>31</v>
      </c>
      <c r="K5407" s="76">
        <f t="shared" si="555"/>
        <v>57</v>
      </c>
      <c r="L5407">
        <v>1</v>
      </c>
      <c r="M5407" s="94">
        <v>0</v>
      </c>
      <c r="N5407" t="s">
        <v>42</v>
      </c>
      <c r="O5407" t="s">
        <v>33</v>
      </c>
      <c r="P5407" t="s">
        <v>34</v>
      </c>
      <c r="Q5407" t="s">
        <v>34</v>
      </c>
      <c r="R5407" t="s">
        <v>34</v>
      </c>
      <c r="S5407" t="s">
        <v>34</v>
      </c>
      <c r="T5407" s="117">
        <v>0</v>
      </c>
    </row>
    <row r="5408" spans="1:21" x14ac:dyDescent="0.35">
      <c r="A5408" t="s">
        <v>20</v>
      </c>
      <c r="B5408" t="s">
        <v>21</v>
      </c>
      <c r="C5408" s="1">
        <v>45959</v>
      </c>
      <c r="D5408">
        <f t="shared" si="562"/>
        <v>29</v>
      </c>
      <c r="E5408">
        <f t="shared" si="563"/>
        <v>10</v>
      </c>
      <c r="F5408">
        <f t="shared" si="564"/>
        <v>2025</v>
      </c>
      <c r="G5408" t="s">
        <v>104</v>
      </c>
      <c r="H5408" s="139">
        <v>13868</v>
      </c>
      <c r="I5408" s="91">
        <v>57</v>
      </c>
      <c r="J5408" s="12" t="s">
        <v>31</v>
      </c>
      <c r="K5408" s="76">
        <f t="shared" si="555"/>
        <v>57</v>
      </c>
      <c r="L5408">
        <v>1</v>
      </c>
      <c r="M5408" s="94">
        <v>0</v>
      </c>
      <c r="N5408" t="s">
        <v>42</v>
      </c>
      <c r="O5408" t="s">
        <v>33</v>
      </c>
      <c r="P5408" t="s">
        <v>34</v>
      </c>
      <c r="Q5408" t="s">
        <v>34</v>
      </c>
      <c r="R5408" t="s">
        <v>34</v>
      </c>
      <c r="S5408" t="s">
        <v>34</v>
      </c>
      <c r="T5408" s="117">
        <v>0</v>
      </c>
    </row>
    <row r="5409" spans="1:21" x14ac:dyDescent="0.35">
      <c r="A5409" t="s">
        <v>20</v>
      </c>
      <c r="B5409" t="s">
        <v>23</v>
      </c>
      <c r="C5409" s="1">
        <v>45959</v>
      </c>
      <c r="D5409">
        <f t="shared" si="562"/>
        <v>29</v>
      </c>
      <c r="E5409">
        <f t="shared" si="563"/>
        <v>10</v>
      </c>
      <c r="F5409">
        <f t="shared" si="564"/>
        <v>2025</v>
      </c>
      <c r="G5409" t="s">
        <v>104</v>
      </c>
      <c r="H5409" s="139">
        <v>13979</v>
      </c>
      <c r="I5409" s="91">
        <v>35</v>
      </c>
      <c r="J5409" s="12" t="s">
        <v>31</v>
      </c>
      <c r="K5409" s="76">
        <f t="shared" si="555"/>
        <v>35</v>
      </c>
      <c r="L5409">
        <v>1</v>
      </c>
      <c r="M5409" s="94">
        <v>0</v>
      </c>
      <c r="N5409" t="s">
        <v>42</v>
      </c>
      <c r="O5409" t="s">
        <v>33</v>
      </c>
      <c r="P5409" t="s">
        <v>34</v>
      </c>
      <c r="Q5409" t="s">
        <v>34</v>
      </c>
      <c r="R5409" t="s">
        <v>34</v>
      </c>
      <c r="S5409" t="s">
        <v>34</v>
      </c>
      <c r="T5409" s="117">
        <v>0</v>
      </c>
    </row>
    <row r="5410" spans="1:21" x14ac:dyDescent="0.35">
      <c r="A5410" t="s">
        <v>20</v>
      </c>
      <c r="B5410" t="s">
        <v>21</v>
      </c>
      <c r="C5410" s="1">
        <v>45959</v>
      </c>
      <c r="D5410">
        <f t="shared" si="562"/>
        <v>29</v>
      </c>
      <c r="E5410">
        <f t="shared" si="563"/>
        <v>10</v>
      </c>
      <c r="F5410">
        <f t="shared" si="564"/>
        <v>2025</v>
      </c>
      <c r="G5410" t="s">
        <v>1327</v>
      </c>
      <c r="H5410" s="205">
        <v>13518</v>
      </c>
      <c r="I5410" s="199">
        <v>11768.55</v>
      </c>
      <c r="J5410" s="12" t="s">
        <v>31</v>
      </c>
      <c r="K5410" s="76">
        <f t="shared" si="555"/>
        <v>11768.55</v>
      </c>
      <c r="L5410">
        <v>1</v>
      </c>
      <c r="M5410" s="94">
        <v>0</v>
      </c>
      <c r="N5410" t="s">
        <v>32</v>
      </c>
      <c r="O5410" t="s">
        <v>33</v>
      </c>
      <c r="P5410" t="s">
        <v>34</v>
      </c>
      <c r="Q5410" t="s">
        <v>34</v>
      </c>
      <c r="R5410" t="s">
        <v>34</v>
      </c>
      <c r="S5410" t="s">
        <v>34</v>
      </c>
      <c r="T5410" s="117">
        <v>0</v>
      </c>
    </row>
    <row r="5411" spans="1:21" x14ac:dyDescent="0.35">
      <c r="A5411" t="s">
        <v>20</v>
      </c>
      <c r="B5411" t="s">
        <v>23</v>
      </c>
      <c r="C5411" s="1">
        <v>45959</v>
      </c>
      <c r="D5411">
        <f t="shared" si="562"/>
        <v>29</v>
      </c>
      <c r="E5411">
        <f t="shared" si="563"/>
        <v>10</v>
      </c>
      <c r="F5411">
        <f t="shared" si="564"/>
        <v>2025</v>
      </c>
      <c r="G5411" t="s">
        <v>1327</v>
      </c>
      <c r="H5411" s="139">
        <v>13518</v>
      </c>
      <c r="I5411" s="91">
        <v>6669.98</v>
      </c>
      <c r="J5411" s="12" t="s">
        <v>31</v>
      </c>
      <c r="K5411" s="76">
        <f t="shared" si="555"/>
        <v>6669.98</v>
      </c>
      <c r="L5411">
        <v>1</v>
      </c>
      <c r="M5411" s="94">
        <v>0</v>
      </c>
      <c r="N5411" t="s">
        <v>32</v>
      </c>
      <c r="O5411" t="s">
        <v>33</v>
      </c>
      <c r="P5411" t="s">
        <v>34</v>
      </c>
      <c r="Q5411" t="s">
        <v>34</v>
      </c>
      <c r="R5411" t="s">
        <v>34</v>
      </c>
      <c r="S5411" t="s">
        <v>34</v>
      </c>
      <c r="T5411" s="117">
        <v>0</v>
      </c>
    </row>
    <row r="5412" spans="1:21" x14ac:dyDescent="0.35">
      <c r="A5412" t="s">
        <v>20</v>
      </c>
      <c r="B5412" t="s">
        <v>21</v>
      </c>
      <c r="C5412" s="1">
        <v>45959</v>
      </c>
      <c r="D5412">
        <f>DAY(C5412)</f>
        <v>29</v>
      </c>
      <c r="E5412">
        <f>MONTH(C5412)</f>
        <v>10</v>
      </c>
      <c r="F5412">
        <f>YEAR(C5412)</f>
        <v>2025</v>
      </c>
      <c r="G5412" t="s">
        <v>1327</v>
      </c>
      <c r="H5412" s="205">
        <v>13164</v>
      </c>
      <c r="I5412" s="199">
        <v>195</v>
      </c>
      <c r="J5412" s="12" t="s">
        <v>31</v>
      </c>
      <c r="K5412" s="76">
        <f t="shared" si="555"/>
        <v>195</v>
      </c>
      <c r="L5412">
        <v>1</v>
      </c>
      <c r="M5412" s="94">
        <v>0</v>
      </c>
      <c r="N5412" t="s">
        <v>32</v>
      </c>
      <c r="O5412" t="s">
        <v>33</v>
      </c>
      <c r="P5412" t="s">
        <v>34</v>
      </c>
      <c r="Q5412" t="s">
        <v>34</v>
      </c>
      <c r="R5412" t="s">
        <v>34</v>
      </c>
      <c r="S5412" t="s">
        <v>34</v>
      </c>
      <c r="T5412" s="117">
        <v>0</v>
      </c>
    </row>
    <row r="5413" spans="1:21" x14ac:dyDescent="0.35">
      <c r="A5413" t="s">
        <v>20</v>
      </c>
      <c r="B5413" t="s">
        <v>25</v>
      </c>
      <c r="C5413" s="1">
        <v>45959</v>
      </c>
      <c r="D5413">
        <f>DAY(C5413)</f>
        <v>29</v>
      </c>
      <c r="E5413">
        <f>MONTH(C5413)</f>
        <v>10</v>
      </c>
      <c r="F5413">
        <f>YEAR(C5413)</f>
        <v>2025</v>
      </c>
      <c r="G5413" t="s">
        <v>321</v>
      </c>
      <c r="H5413" s="139">
        <v>13607</v>
      </c>
      <c r="I5413" s="91">
        <v>90</v>
      </c>
      <c r="J5413" s="12" t="s">
        <v>31</v>
      </c>
      <c r="K5413" s="76">
        <f t="shared" si="555"/>
        <v>90</v>
      </c>
      <c r="L5413">
        <v>1</v>
      </c>
      <c r="M5413" s="94">
        <v>0</v>
      </c>
      <c r="N5413" t="s">
        <v>32</v>
      </c>
      <c r="O5413" t="s">
        <v>33</v>
      </c>
      <c r="P5413" t="s">
        <v>34</v>
      </c>
      <c r="Q5413" t="s">
        <v>34</v>
      </c>
      <c r="R5413" t="s">
        <v>34</v>
      </c>
      <c r="S5413" t="s">
        <v>34</v>
      </c>
      <c r="T5413" s="117">
        <v>0</v>
      </c>
    </row>
    <row r="5414" spans="1:21" x14ac:dyDescent="0.35">
      <c r="A5414" t="s">
        <v>20</v>
      </c>
      <c r="B5414" t="s">
        <v>24</v>
      </c>
      <c r="C5414" s="1">
        <v>45959</v>
      </c>
      <c r="D5414">
        <f>DAY(C5414)</f>
        <v>29</v>
      </c>
      <c r="E5414">
        <f>MONTH(C5414)</f>
        <v>10</v>
      </c>
      <c r="F5414">
        <f>YEAR(C5414)</f>
        <v>2025</v>
      </c>
      <c r="G5414" t="s">
        <v>321</v>
      </c>
      <c r="H5414" s="139">
        <v>13374</v>
      </c>
      <c r="I5414" s="91">
        <v>12834</v>
      </c>
      <c r="J5414" s="12" t="s">
        <v>31</v>
      </c>
      <c r="K5414" s="76">
        <f t="shared" si="555"/>
        <v>12834</v>
      </c>
      <c r="L5414">
        <v>1</v>
      </c>
      <c r="M5414" s="94">
        <v>0</v>
      </c>
      <c r="N5414" t="s">
        <v>32</v>
      </c>
      <c r="O5414" t="s">
        <v>33</v>
      </c>
      <c r="P5414" t="s">
        <v>34</v>
      </c>
      <c r="Q5414" t="s">
        <v>34</v>
      </c>
      <c r="R5414" t="s">
        <v>34</v>
      </c>
      <c r="S5414" t="s">
        <v>34</v>
      </c>
      <c r="T5414" s="117">
        <v>0</v>
      </c>
    </row>
    <row r="5415" spans="1:21" x14ac:dyDescent="0.35">
      <c r="A5415" t="s">
        <v>20</v>
      </c>
      <c r="B5415" t="s">
        <v>21</v>
      </c>
      <c r="C5415" s="1">
        <v>45959</v>
      </c>
      <c r="D5415">
        <f>DAY(C5415)</f>
        <v>29</v>
      </c>
      <c r="E5415">
        <f>MONTH(C5415)</f>
        <v>10</v>
      </c>
      <c r="F5415">
        <f>YEAR(C5415)</f>
        <v>2025</v>
      </c>
      <c r="G5415" t="s">
        <v>1109</v>
      </c>
      <c r="H5415" s="139">
        <v>13975</v>
      </c>
      <c r="I5415" s="91">
        <v>131.19999999999999</v>
      </c>
      <c r="J5415" s="12" t="s">
        <v>31</v>
      </c>
      <c r="K5415" s="76">
        <f t="shared" si="555"/>
        <v>131.19999999999999</v>
      </c>
      <c r="L5415">
        <v>1</v>
      </c>
      <c r="M5415" s="94">
        <v>0</v>
      </c>
      <c r="N5415" t="s">
        <v>42</v>
      </c>
      <c r="O5415" t="s">
        <v>33</v>
      </c>
      <c r="P5415" t="s">
        <v>34</v>
      </c>
      <c r="Q5415" t="s">
        <v>34</v>
      </c>
      <c r="R5415" t="s">
        <v>34</v>
      </c>
      <c r="S5415" t="s">
        <v>34</v>
      </c>
      <c r="T5415" s="117">
        <v>0</v>
      </c>
    </row>
    <row r="5416" spans="1:21" x14ac:dyDescent="0.35">
      <c r="A5416" t="s">
        <v>20</v>
      </c>
      <c r="B5416" t="s">
        <v>21</v>
      </c>
      <c r="C5416" s="1">
        <v>45959</v>
      </c>
      <c r="D5416">
        <f>DAY(C5416)</f>
        <v>29</v>
      </c>
      <c r="E5416">
        <f>MONTH(C5416)</f>
        <v>10</v>
      </c>
      <c r="F5416">
        <f>YEAR(C5416)</f>
        <v>2025</v>
      </c>
      <c r="G5416" t="s">
        <v>1109</v>
      </c>
      <c r="H5416" s="139">
        <v>13976</v>
      </c>
      <c r="I5416" s="91">
        <v>1607.2</v>
      </c>
      <c r="J5416" s="12" t="s">
        <v>31</v>
      </c>
      <c r="K5416" s="76">
        <f t="shared" si="555"/>
        <v>1607.2</v>
      </c>
      <c r="L5416">
        <v>1</v>
      </c>
      <c r="M5416" s="94">
        <v>0</v>
      </c>
      <c r="N5416" t="s">
        <v>42</v>
      </c>
      <c r="O5416" t="s">
        <v>33</v>
      </c>
      <c r="P5416" t="s">
        <v>34</v>
      </c>
      <c r="Q5416" t="s">
        <v>34</v>
      </c>
      <c r="R5416" t="s">
        <v>34</v>
      </c>
      <c r="S5416" t="s">
        <v>34</v>
      </c>
      <c r="T5416" s="117">
        <v>0</v>
      </c>
    </row>
    <row r="5417" spans="1:21" x14ac:dyDescent="0.35">
      <c r="A5417" t="s">
        <v>20</v>
      </c>
      <c r="B5417" t="s">
        <v>25</v>
      </c>
      <c r="C5417" s="1">
        <v>45959</v>
      </c>
      <c r="D5417">
        <f t="shared" ref="D5417:D5419" si="565">DAY(C5417)</f>
        <v>29</v>
      </c>
      <c r="E5417">
        <f t="shared" ref="E5417:E5419" si="566">MONTH(C5417)</f>
        <v>10</v>
      </c>
      <c r="F5417">
        <f t="shared" ref="F5417:F5419" si="567">YEAR(C5417)</f>
        <v>2025</v>
      </c>
      <c r="G5417" t="s">
        <v>274</v>
      </c>
      <c r="H5417" s="139">
        <v>13542</v>
      </c>
      <c r="I5417" s="91">
        <v>26709.43</v>
      </c>
      <c r="J5417" s="12" t="s">
        <v>31</v>
      </c>
      <c r="K5417" s="76">
        <f t="shared" si="555"/>
        <v>26709.43</v>
      </c>
      <c r="L5417">
        <v>1</v>
      </c>
      <c r="M5417" s="94">
        <v>0</v>
      </c>
      <c r="N5417" t="s">
        <v>42</v>
      </c>
      <c r="O5417" t="s">
        <v>33</v>
      </c>
      <c r="P5417" t="s">
        <v>34</v>
      </c>
      <c r="Q5417" t="s">
        <v>34</v>
      </c>
      <c r="R5417" t="s">
        <v>34</v>
      </c>
      <c r="S5417" t="s">
        <v>34</v>
      </c>
      <c r="T5417" s="117">
        <v>0</v>
      </c>
    </row>
    <row r="5418" spans="1:21" x14ac:dyDescent="0.35">
      <c r="A5418" t="s">
        <v>20</v>
      </c>
      <c r="B5418" t="s">
        <v>25</v>
      </c>
      <c r="C5418" s="1">
        <v>45959</v>
      </c>
      <c r="D5418">
        <f t="shared" si="565"/>
        <v>29</v>
      </c>
      <c r="E5418">
        <f t="shared" si="566"/>
        <v>10</v>
      </c>
      <c r="F5418">
        <f t="shared" si="567"/>
        <v>2025</v>
      </c>
      <c r="G5418" t="s">
        <v>90</v>
      </c>
      <c r="H5418" s="139">
        <v>13160</v>
      </c>
      <c r="I5418" s="91">
        <v>5678.65</v>
      </c>
      <c r="J5418" s="12" t="s">
        <v>31</v>
      </c>
      <c r="K5418" s="76">
        <f t="shared" si="555"/>
        <v>5678.65</v>
      </c>
      <c r="L5418">
        <v>1</v>
      </c>
      <c r="M5418" s="94">
        <v>0</v>
      </c>
      <c r="N5418" t="s">
        <v>32</v>
      </c>
      <c r="O5418" t="s">
        <v>33</v>
      </c>
      <c r="P5418" t="s">
        <v>34</v>
      </c>
      <c r="Q5418" t="s">
        <v>34</v>
      </c>
      <c r="R5418" t="s">
        <v>34</v>
      </c>
      <c r="S5418" t="s">
        <v>34</v>
      </c>
      <c r="T5418" s="117">
        <v>0</v>
      </c>
    </row>
    <row r="5419" spans="1:21" x14ac:dyDescent="0.35">
      <c r="A5419" t="s">
        <v>20</v>
      </c>
      <c r="B5419" t="s">
        <v>21</v>
      </c>
      <c r="C5419" s="1">
        <v>45959</v>
      </c>
      <c r="D5419">
        <f t="shared" si="565"/>
        <v>29</v>
      </c>
      <c r="E5419">
        <f t="shared" si="566"/>
        <v>10</v>
      </c>
      <c r="F5419">
        <f t="shared" si="567"/>
        <v>2025</v>
      </c>
      <c r="G5419" t="s">
        <v>299</v>
      </c>
      <c r="H5419" s="139">
        <v>12980</v>
      </c>
      <c r="I5419" s="91">
        <v>2358.1</v>
      </c>
      <c r="J5419" s="12" t="s">
        <v>31</v>
      </c>
      <c r="K5419" s="76">
        <f t="shared" si="555"/>
        <v>2358.1</v>
      </c>
      <c r="L5419">
        <v>1</v>
      </c>
      <c r="M5419" s="94">
        <v>0</v>
      </c>
      <c r="N5419" t="s">
        <v>32</v>
      </c>
      <c r="O5419" t="s">
        <v>33</v>
      </c>
      <c r="P5419" t="s">
        <v>34</v>
      </c>
      <c r="Q5419" t="s">
        <v>34</v>
      </c>
      <c r="R5419" t="s">
        <v>34</v>
      </c>
      <c r="S5419" t="s">
        <v>34</v>
      </c>
      <c r="T5419" s="117">
        <v>0</v>
      </c>
    </row>
    <row r="5420" spans="1:21" x14ac:dyDescent="0.35">
      <c r="A5420" t="s">
        <v>20</v>
      </c>
      <c r="B5420" t="s">
        <v>25</v>
      </c>
      <c r="C5420" s="1">
        <v>45959</v>
      </c>
      <c r="D5420">
        <f>DAY(C5420)</f>
        <v>29</v>
      </c>
      <c r="E5420">
        <f>MONTH(C5420)</f>
        <v>10</v>
      </c>
      <c r="F5420">
        <f>YEAR(C5420)</f>
        <v>2025</v>
      </c>
      <c r="G5420" t="s">
        <v>1466</v>
      </c>
      <c r="H5420" s="139">
        <v>13397</v>
      </c>
      <c r="I5420" s="91">
        <v>35974.400000000001</v>
      </c>
      <c r="J5420" s="12" t="s">
        <v>31</v>
      </c>
      <c r="K5420" s="76">
        <f t="shared" si="555"/>
        <v>35974.400000000001</v>
      </c>
      <c r="L5420">
        <v>1</v>
      </c>
      <c r="M5420" s="94">
        <v>0</v>
      </c>
      <c r="N5420" t="s">
        <v>32</v>
      </c>
      <c r="O5420" t="s">
        <v>33</v>
      </c>
      <c r="P5420" t="s">
        <v>34</v>
      </c>
      <c r="Q5420" t="s">
        <v>34</v>
      </c>
      <c r="R5420" t="s">
        <v>34</v>
      </c>
      <c r="S5420" t="s">
        <v>34</v>
      </c>
      <c r="T5420" s="117">
        <v>0</v>
      </c>
    </row>
    <row r="5421" spans="1:21" x14ac:dyDescent="0.35">
      <c r="A5421" t="s">
        <v>20</v>
      </c>
      <c r="B5421" t="s">
        <v>25</v>
      </c>
      <c r="C5421" s="1">
        <v>45959</v>
      </c>
      <c r="D5421">
        <f t="shared" ref="D5421:D5423" si="568">DAY(C5421)</f>
        <v>29</v>
      </c>
      <c r="E5421">
        <f t="shared" ref="E5421:E5423" si="569">MONTH(C5421)</f>
        <v>10</v>
      </c>
      <c r="F5421">
        <f t="shared" ref="F5421:F5423" si="570">YEAR(C5421)</f>
        <v>2025</v>
      </c>
      <c r="G5421" t="s">
        <v>81</v>
      </c>
      <c r="H5421" s="139">
        <v>13418</v>
      </c>
      <c r="I5421" s="91">
        <v>71149.03</v>
      </c>
      <c r="J5421" s="12" t="s">
        <v>31</v>
      </c>
      <c r="K5421" s="76">
        <f>IF(J5421="USD",I5421,I5421*L5421)</f>
        <v>71149.03</v>
      </c>
      <c r="L5421">
        <v>1</v>
      </c>
      <c r="M5421" s="94">
        <v>0</v>
      </c>
      <c r="N5421" t="s">
        <v>32</v>
      </c>
      <c r="O5421" t="s">
        <v>33</v>
      </c>
      <c r="P5421" t="s">
        <v>34</v>
      </c>
      <c r="Q5421" t="s">
        <v>34</v>
      </c>
      <c r="R5421" t="s">
        <v>34</v>
      </c>
      <c r="S5421" t="s">
        <v>34</v>
      </c>
      <c r="T5421" s="117">
        <v>0</v>
      </c>
    </row>
    <row r="5422" spans="1:21" x14ac:dyDescent="0.35">
      <c r="A5422" t="s">
        <v>20</v>
      </c>
      <c r="B5422" t="s">
        <v>25</v>
      </c>
      <c r="C5422" s="1">
        <v>45959</v>
      </c>
      <c r="D5422">
        <f t="shared" si="568"/>
        <v>29</v>
      </c>
      <c r="E5422">
        <f t="shared" si="569"/>
        <v>10</v>
      </c>
      <c r="F5422">
        <f t="shared" si="570"/>
        <v>2025</v>
      </c>
      <c r="G5422" t="s">
        <v>81</v>
      </c>
      <c r="H5422" s="139">
        <v>13419</v>
      </c>
      <c r="I5422" s="91">
        <v>226.8</v>
      </c>
      <c r="J5422" s="12" t="s">
        <v>31</v>
      </c>
      <c r="K5422" s="76">
        <f t="shared" si="555"/>
        <v>226.8</v>
      </c>
      <c r="L5422">
        <v>1</v>
      </c>
      <c r="M5422" s="94">
        <v>0</v>
      </c>
      <c r="N5422" t="s">
        <v>32</v>
      </c>
      <c r="O5422" t="s">
        <v>33</v>
      </c>
      <c r="P5422" t="s">
        <v>34</v>
      </c>
      <c r="Q5422" t="s">
        <v>34</v>
      </c>
      <c r="R5422" t="s">
        <v>34</v>
      </c>
      <c r="S5422" t="s">
        <v>34</v>
      </c>
      <c r="T5422" s="117">
        <v>0</v>
      </c>
    </row>
    <row r="5423" spans="1:21" x14ac:dyDescent="0.35">
      <c r="A5423" t="s">
        <v>20</v>
      </c>
      <c r="B5423" t="s">
        <v>25</v>
      </c>
      <c r="C5423" s="1">
        <v>45959</v>
      </c>
      <c r="D5423">
        <f t="shared" si="568"/>
        <v>29</v>
      </c>
      <c r="E5423">
        <f t="shared" si="569"/>
        <v>10</v>
      </c>
      <c r="F5423">
        <f t="shared" si="570"/>
        <v>2025</v>
      </c>
      <c r="G5423" t="s">
        <v>81</v>
      </c>
      <c r="H5423" s="139">
        <v>13420</v>
      </c>
      <c r="I5423" s="91">
        <v>23846.400000000001</v>
      </c>
      <c r="J5423" s="12" t="s">
        <v>31</v>
      </c>
      <c r="K5423" s="76">
        <f t="shared" si="555"/>
        <v>23846.400000000001</v>
      </c>
      <c r="L5423">
        <v>1</v>
      </c>
      <c r="M5423" s="94">
        <v>0</v>
      </c>
      <c r="N5423" t="s">
        <v>32</v>
      </c>
      <c r="O5423" t="s">
        <v>33</v>
      </c>
      <c r="P5423" t="s">
        <v>34</v>
      </c>
      <c r="Q5423" t="s">
        <v>34</v>
      </c>
      <c r="R5423" t="s">
        <v>34</v>
      </c>
      <c r="S5423" t="s">
        <v>34</v>
      </c>
      <c r="T5423" s="117">
        <v>0</v>
      </c>
    </row>
    <row r="5424" spans="1:21" x14ac:dyDescent="0.35">
      <c r="A5424" t="s">
        <v>20</v>
      </c>
      <c r="B5424" t="s">
        <v>21</v>
      </c>
      <c r="C5424" s="1">
        <v>45959</v>
      </c>
      <c r="D5424">
        <f>DAY(C5424)</f>
        <v>29</v>
      </c>
      <c r="E5424">
        <f>MONTH(C5424)</f>
        <v>10</v>
      </c>
      <c r="F5424">
        <f>YEAR(C5424)</f>
        <v>2025</v>
      </c>
      <c r="G5424" t="s">
        <v>46</v>
      </c>
      <c r="H5424" s="139">
        <v>13986</v>
      </c>
      <c r="I5424" s="91">
        <v>753.524</v>
      </c>
      <c r="J5424" s="12" t="s">
        <v>31</v>
      </c>
      <c r="K5424" s="76">
        <f t="shared" si="555"/>
        <v>753.524</v>
      </c>
      <c r="L5424">
        <v>1</v>
      </c>
      <c r="M5424" s="94">
        <v>0</v>
      </c>
      <c r="N5424" t="s">
        <v>42</v>
      </c>
      <c r="O5424" t="s">
        <v>33</v>
      </c>
      <c r="P5424" t="s">
        <v>34</v>
      </c>
      <c r="Q5424" t="s">
        <v>34</v>
      </c>
      <c r="R5424" t="s">
        <v>34</v>
      </c>
      <c r="S5424" t="s">
        <v>34</v>
      </c>
      <c r="T5424" s="117">
        <v>0</v>
      </c>
      <c r="U5424" s="209">
        <v>13952</v>
      </c>
    </row>
    <row r="5425" spans="1:21" x14ac:dyDescent="0.35">
      <c r="A5425" t="s">
        <v>20</v>
      </c>
      <c r="B5425" t="s">
        <v>24</v>
      </c>
      <c r="C5425" s="1">
        <v>45959</v>
      </c>
      <c r="D5425">
        <f t="shared" ref="D5425:D5427" si="571">DAY(C5425)</f>
        <v>29</v>
      </c>
      <c r="E5425">
        <f t="shared" ref="E5425:E5427" si="572">MONTH(C5425)</f>
        <v>10</v>
      </c>
      <c r="F5425">
        <f t="shared" ref="F5425:F5427" si="573">YEAR(C5425)</f>
        <v>2025</v>
      </c>
      <c r="G5425" t="s">
        <v>43</v>
      </c>
      <c r="H5425" s="139">
        <v>13501</v>
      </c>
      <c r="I5425" s="91">
        <v>212.8</v>
      </c>
      <c r="J5425" s="12" t="s">
        <v>31</v>
      </c>
      <c r="K5425" s="76">
        <f t="shared" si="555"/>
        <v>212.8</v>
      </c>
      <c r="L5425">
        <v>1</v>
      </c>
      <c r="M5425" s="94">
        <v>0</v>
      </c>
      <c r="N5425" t="s">
        <v>42</v>
      </c>
      <c r="O5425" t="s">
        <v>33</v>
      </c>
      <c r="P5425" t="s">
        <v>34</v>
      </c>
      <c r="Q5425" t="s">
        <v>34</v>
      </c>
      <c r="R5425" t="s">
        <v>34</v>
      </c>
      <c r="S5425" t="s">
        <v>34</v>
      </c>
      <c r="T5425" s="117">
        <v>0</v>
      </c>
    </row>
    <row r="5426" spans="1:21" x14ac:dyDescent="0.35">
      <c r="A5426" t="s">
        <v>20</v>
      </c>
      <c r="B5426" t="s">
        <v>21</v>
      </c>
      <c r="C5426" s="1">
        <v>45959</v>
      </c>
      <c r="D5426">
        <f>DAY(C5426)</f>
        <v>29</v>
      </c>
      <c r="E5426">
        <f>MONTH(C5426)</f>
        <v>10</v>
      </c>
      <c r="F5426">
        <f>YEAR(C5426)</f>
        <v>2025</v>
      </c>
      <c r="G5426" t="s">
        <v>43</v>
      </c>
      <c r="H5426" s="139">
        <v>13260</v>
      </c>
      <c r="I5426" s="91">
        <v>60</v>
      </c>
      <c r="J5426" s="12" t="s">
        <v>31</v>
      </c>
      <c r="K5426" s="76">
        <f t="shared" si="555"/>
        <v>60</v>
      </c>
      <c r="L5426">
        <v>1</v>
      </c>
      <c r="M5426" s="94">
        <v>0</v>
      </c>
      <c r="N5426" t="s">
        <v>32</v>
      </c>
      <c r="O5426" t="s">
        <v>33</v>
      </c>
      <c r="P5426" t="s">
        <v>34</v>
      </c>
      <c r="Q5426" t="s">
        <v>34</v>
      </c>
      <c r="R5426" t="s">
        <v>34</v>
      </c>
      <c r="S5426" t="s">
        <v>34</v>
      </c>
      <c r="T5426" s="117">
        <v>0</v>
      </c>
    </row>
    <row r="5427" spans="1:21" x14ac:dyDescent="0.35">
      <c r="A5427" t="s">
        <v>20</v>
      </c>
      <c r="B5427" t="s">
        <v>24</v>
      </c>
      <c r="C5427" s="1">
        <v>45959</v>
      </c>
      <c r="D5427">
        <f t="shared" si="571"/>
        <v>29</v>
      </c>
      <c r="E5427">
        <f t="shared" si="572"/>
        <v>10</v>
      </c>
      <c r="F5427">
        <f t="shared" si="573"/>
        <v>2025</v>
      </c>
      <c r="G5427" t="s">
        <v>435</v>
      </c>
      <c r="H5427" s="139">
        <v>13664</v>
      </c>
      <c r="I5427" s="91">
        <v>366</v>
      </c>
      <c r="J5427" s="12" t="s">
        <v>31</v>
      </c>
      <c r="K5427" s="76">
        <f t="shared" si="555"/>
        <v>366</v>
      </c>
      <c r="L5427">
        <v>1</v>
      </c>
      <c r="M5427" s="94">
        <v>0</v>
      </c>
      <c r="N5427" t="s">
        <v>32</v>
      </c>
      <c r="O5427" t="s">
        <v>33</v>
      </c>
      <c r="P5427" t="s">
        <v>34</v>
      </c>
      <c r="Q5427" t="s">
        <v>34</v>
      </c>
      <c r="R5427" t="s">
        <v>34</v>
      </c>
      <c r="S5427" t="s">
        <v>34</v>
      </c>
      <c r="T5427" s="117">
        <v>0</v>
      </c>
    </row>
    <row r="5428" spans="1:21" x14ac:dyDescent="0.35">
      <c r="A5428" t="s">
        <v>20</v>
      </c>
      <c r="B5428" t="s">
        <v>25</v>
      </c>
      <c r="C5428" s="1">
        <v>45959</v>
      </c>
      <c r="D5428">
        <f t="shared" ref="D5428:D5430" si="574">DAY(C5428)</f>
        <v>29</v>
      </c>
      <c r="E5428">
        <f t="shared" ref="E5428:E5430" si="575">MONTH(C5428)</f>
        <v>10</v>
      </c>
      <c r="F5428">
        <f t="shared" ref="F5428:F5430" si="576">YEAR(C5428)</f>
        <v>2025</v>
      </c>
      <c r="G5428" t="s">
        <v>435</v>
      </c>
      <c r="H5428" s="139">
        <v>13664</v>
      </c>
      <c r="I5428" s="91">
        <v>66</v>
      </c>
      <c r="J5428" s="12" t="s">
        <v>31</v>
      </c>
      <c r="K5428" s="76">
        <f t="shared" si="555"/>
        <v>66</v>
      </c>
      <c r="L5428">
        <v>1</v>
      </c>
      <c r="M5428" s="94">
        <v>0</v>
      </c>
      <c r="N5428" t="s">
        <v>32</v>
      </c>
      <c r="O5428" t="s">
        <v>33</v>
      </c>
      <c r="P5428" t="s">
        <v>34</v>
      </c>
      <c r="Q5428" t="s">
        <v>34</v>
      </c>
      <c r="R5428" t="s">
        <v>34</v>
      </c>
      <c r="S5428" t="s">
        <v>34</v>
      </c>
      <c r="T5428" s="117">
        <v>0</v>
      </c>
    </row>
    <row r="5429" spans="1:21" x14ac:dyDescent="0.35">
      <c r="A5429" t="s">
        <v>20</v>
      </c>
      <c r="B5429" t="s">
        <v>24</v>
      </c>
      <c r="C5429" s="1">
        <v>45959</v>
      </c>
      <c r="D5429">
        <f t="shared" si="574"/>
        <v>29</v>
      </c>
      <c r="E5429">
        <f t="shared" si="575"/>
        <v>10</v>
      </c>
      <c r="F5429">
        <f t="shared" si="576"/>
        <v>2025</v>
      </c>
      <c r="G5429" t="s">
        <v>435</v>
      </c>
      <c r="H5429" s="139">
        <v>13424</v>
      </c>
      <c r="I5429" s="91">
        <v>26202.240000000002</v>
      </c>
      <c r="J5429" s="12" t="s">
        <v>31</v>
      </c>
      <c r="K5429" s="76">
        <f t="shared" si="555"/>
        <v>26202.240000000002</v>
      </c>
      <c r="L5429">
        <v>1</v>
      </c>
      <c r="M5429" s="94">
        <v>0</v>
      </c>
      <c r="N5429" t="s">
        <v>42</v>
      </c>
      <c r="O5429" t="s">
        <v>33</v>
      </c>
      <c r="P5429" t="s">
        <v>34</v>
      </c>
      <c r="Q5429" t="s">
        <v>34</v>
      </c>
      <c r="R5429" t="s">
        <v>34</v>
      </c>
      <c r="S5429" t="s">
        <v>34</v>
      </c>
      <c r="T5429" s="117">
        <v>0</v>
      </c>
    </row>
    <row r="5430" spans="1:21" x14ac:dyDescent="0.35">
      <c r="A5430" t="s">
        <v>20</v>
      </c>
      <c r="B5430" t="s">
        <v>23</v>
      </c>
      <c r="C5430" s="1">
        <v>45959</v>
      </c>
      <c r="D5430">
        <f t="shared" si="574"/>
        <v>29</v>
      </c>
      <c r="E5430">
        <f t="shared" si="575"/>
        <v>10</v>
      </c>
      <c r="F5430">
        <f t="shared" si="576"/>
        <v>2025</v>
      </c>
      <c r="G5430" t="s">
        <v>97</v>
      </c>
      <c r="H5430" s="139">
        <v>13829</v>
      </c>
      <c r="I5430" s="91">
        <v>41498.85</v>
      </c>
      <c r="J5430" s="12" t="s">
        <v>31</v>
      </c>
      <c r="K5430" s="76">
        <f t="shared" si="555"/>
        <v>41498.85</v>
      </c>
      <c r="L5430">
        <v>1</v>
      </c>
      <c r="M5430" s="94">
        <v>0</v>
      </c>
      <c r="N5430" t="s">
        <v>32</v>
      </c>
      <c r="O5430" t="s">
        <v>33</v>
      </c>
      <c r="P5430" t="s">
        <v>34</v>
      </c>
      <c r="Q5430" t="s">
        <v>34</v>
      </c>
      <c r="R5430" t="s">
        <v>34</v>
      </c>
      <c r="S5430" t="s">
        <v>34</v>
      </c>
      <c r="T5430" s="117">
        <v>0</v>
      </c>
    </row>
    <row r="5431" spans="1:21" x14ac:dyDescent="0.35">
      <c r="A5431" t="s">
        <v>20</v>
      </c>
      <c r="B5431" t="s">
        <v>24</v>
      </c>
      <c r="C5431" s="1">
        <v>45959</v>
      </c>
      <c r="D5431">
        <f t="shared" ref="D5431:D5433" si="577">DAY(C5431)</f>
        <v>29</v>
      </c>
      <c r="E5431">
        <f t="shared" ref="E5431:E5433" si="578">MONTH(C5431)</f>
        <v>10</v>
      </c>
      <c r="F5431">
        <f t="shared" ref="F5431:F5433" si="579">YEAR(C5431)</f>
        <v>2025</v>
      </c>
      <c r="G5431" t="s">
        <v>97</v>
      </c>
      <c r="H5431" s="139">
        <v>13894</v>
      </c>
      <c r="I5431" s="91">
        <v>270</v>
      </c>
      <c r="J5431" s="12" t="s">
        <v>31</v>
      </c>
      <c r="K5431" s="76">
        <f t="shared" si="555"/>
        <v>270</v>
      </c>
      <c r="L5431">
        <v>1</v>
      </c>
      <c r="M5431" s="94">
        <v>0</v>
      </c>
      <c r="N5431" t="s">
        <v>32</v>
      </c>
      <c r="O5431" t="s">
        <v>33</v>
      </c>
      <c r="P5431" t="s">
        <v>34</v>
      </c>
      <c r="Q5431" t="s">
        <v>34</v>
      </c>
      <c r="R5431" t="s">
        <v>34</v>
      </c>
      <c r="S5431" t="s">
        <v>34</v>
      </c>
      <c r="T5431" s="117">
        <v>0</v>
      </c>
    </row>
    <row r="5432" spans="1:21" x14ac:dyDescent="0.35">
      <c r="A5432" t="s">
        <v>20</v>
      </c>
      <c r="B5432" t="s">
        <v>23</v>
      </c>
      <c r="C5432" s="1">
        <v>45959</v>
      </c>
      <c r="D5432">
        <f t="shared" si="577"/>
        <v>29</v>
      </c>
      <c r="E5432">
        <f t="shared" si="578"/>
        <v>10</v>
      </c>
      <c r="F5432">
        <f t="shared" si="579"/>
        <v>2025</v>
      </c>
      <c r="G5432" t="s">
        <v>97</v>
      </c>
      <c r="H5432" s="139">
        <v>13925</v>
      </c>
      <c r="I5432" s="91">
        <v>218</v>
      </c>
      <c r="J5432" s="12" t="s">
        <v>31</v>
      </c>
      <c r="K5432" s="76">
        <f t="shared" si="555"/>
        <v>218</v>
      </c>
      <c r="L5432">
        <v>1</v>
      </c>
      <c r="M5432" s="94">
        <v>0</v>
      </c>
      <c r="N5432" t="s">
        <v>32</v>
      </c>
      <c r="O5432" t="s">
        <v>33</v>
      </c>
      <c r="P5432" t="s">
        <v>34</v>
      </c>
      <c r="Q5432" t="s">
        <v>34</v>
      </c>
      <c r="R5432" t="s">
        <v>34</v>
      </c>
      <c r="S5432" t="s">
        <v>34</v>
      </c>
      <c r="T5432" s="117">
        <v>0</v>
      </c>
    </row>
    <row r="5433" spans="1:21" x14ac:dyDescent="0.35">
      <c r="A5433" t="s">
        <v>20</v>
      </c>
      <c r="B5433" t="s">
        <v>21</v>
      </c>
      <c r="C5433" s="1">
        <v>45959</v>
      </c>
      <c r="D5433">
        <f t="shared" si="577"/>
        <v>29</v>
      </c>
      <c r="E5433">
        <f t="shared" si="578"/>
        <v>10</v>
      </c>
      <c r="F5433">
        <f t="shared" si="579"/>
        <v>2025</v>
      </c>
      <c r="G5433" t="s">
        <v>52</v>
      </c>
      <c r="H5433" s="139">
        <v>13307</v>
      </c>
      <c r="I5433" s="91">
        <v>30805.29</v>
      </c>
      <c r="J5433" s="12" t="s">
        <v>31</v>
      </c>
      <c r="K5433" s="76">
        <f t="shared" si="555"/>
        <v>30805.29</v>
      </c>
      <c r="L5433">
        <v>1</v>
      </c>
      <c r="M5433" s="94">
        <v>0</v>
      </c>
      <c r="N5433" t="s">
        <v>32</v>
      </c>
      <c r="O5433" t="s">
        <v>33</v>
      </c>
      <c r="P5433" t="s">
        <v>34</v>
      </c>
      <c r="Q5433" t="s">
        <v>34</v>
      </c>
      <c r="R5433" t="s">
        <v>34</v>
      </c>
      <c r="S5433" t="s">
        <v>34</v>
      </c>
      <c r="T5433" s="117">
        <v>0</v>
      </c>
    </row>
    <row r="5434" spans="1:21" x14ac:dyDescent="0.35">
      <c r="A5434" t="s">
        <v>20</v>
      </c>
      <c r="B5434" t="s">
        <v>21</v>
      </c>
      <c r="C5434" s="1">
        <v>45959</v>
      </c>
      <c r="D5434">
        <f t="shared" ref="D5434:D5436" si="580">DAY(C5434)</f>
        <v>29</v>
      </c>
      <c r="E5434">
        <f t="shared" ref="E5434:E5436" si="581">MONTH(C5434)</f>
        <v>10</v>
      </c>
      <c r="F5434">
        <f t="shared" ref="F5434:F5436" si="582">YEAR(C5434)</f>
        <v>2025</v>
      </c>
      <c r="G5434" t="s">
        <v>52</v>
      </c>
      <c r="H5434" s="139">
        <v>13311</v>
      </c>
      <c r="I5434" s="91">
        <v>454.17</v>
      </c>
      <c r="J5434" s="12" t="s">
        <v>31</v>
      </c>
      <c r="K5434" s="76">
        <f t="shared" si="555"/>
        <v>454.17</v>
      </c>
      <c r="L5434">
        <v>1</v>
      </c>
      <c r="M5434" s="94">
        <v>0</v>
      </c>
      <c r="N5434" t="s">
        <v>32</v>
      </c>
      <c r="O5434" t="s">
        <v>33</v>
      </c>
      <c r="P5434" t="s">
        <v>34</v>
      </c>
      <c r="Q5434" t="s">
        <v>34</v>
      </c>
      <c r="R5434" t="s">
        <v>34</v>
      </c>
      <c r="S5434" t="s">
        <v>34</v>
      </c>
      <c r="T5434" s="117">
        <v>0</v>
      </c>
    </row>
    <row r="5435" spans="1:21" x14ac:dyDescent="0.35">
      <c r="A5435" t="s">
        <v>20</v>
      </c>
      <c r="B5435" t="s">
        <v>21</v>
      </c>
      <c r="C5435" s="1">
        <v>45959</v>
      </c>
      <c r="D5435">
        <f t="shared" si="580"/>
        <v>29</v>
      </c>
      <c r="E5435">
        <f t="shared" si="581"/>
        <v>10</v>
      </c>
      <c r="F5435">
        <f t="shared" si="582"/>
        <v>2025</v>
      </c>
      <c r="G5435" t="s">
        <v>52</v>
      </c>
      <c r="H5435" s="139">
        <v>13323</v>
      </c>
      <c r="I5435" s="91">
        <v>228.05</v>
      </c>
      <c r="J5435" s="12" t="s">
        <v>31</v>
      </c>
      <c r="K5435" s="76">
        <f t="shared" si="555"/>
        <v>228.05</v>
      </c>
      <c r="L5435">
        <v>1</v>
      </c>
      <c r="M5435" s="94">
        <v>0</v>
      </c>
      <c r="N5435" t="s">
        <v>32</v>
      </c>
      <c r="O5435" t="s">
        <v>33</v>
      </c>
      <c r="P5435" t="s">
        <v>34</v>
      </c>
      <c r="Q5435" t="s">
        <v>34</v>
      </c>
      <c r="R5435" t="s">
        <v>34</v>
      </c>
      <c r="S5435" t="s">
        <v>34</v>
      </c>
      <c r="T5435" s="117">
        <v>0</v>
      </c>
    </row>
    <row r="5436" spans="1:21" x14ac:dyDescent="0.35">
      <c r="A5436" t="s">
        <v>19</v>
      </c>
      <c r="B5436" t="s">
        <v>26</v>
      </c>
      <c r="C5436" s="1">
        <v>45960</v>
      </c>
      <c r="D5436">
        <f t="shared" si="580"/>
        <v>30</v>
      </c>
      <c r="E5436">
        <f t="shared" si="581"/>
        <v>10</v>
      </c>
      <c r="F5436">
        <f t="shared" si="582"/>
        <v>2025</v>
      </c>
      <c r="G5436" t="s">
        <v>73</v>
      </c>
      <c r="H5436" s="200">
        <v>13936</v>
      </c>
      <c r="I5436" s="201">
        <v>79247.64</v>
      </c>
      <c r="J5436" s="12" t="s">
        <v>51</v>
      </c>
      <c r="K5436" s="76">
        <f t="shared" si="555"/>
        <v>91879.713816000003</v>
      </c>
      <c r="L5436">
        <v>1.1594</v>
      </c>
      <c r="M5436" s="94">
        <v>0</v>
      </c>
      <c r="N5436" t="s">
        <v>32</v>
      </c>
      <c r="O5436" t="s">
        <v>33</v>
      </c>
      <c r="P5436" t="s">
        <v>34</v>
      </c>
      <c r="Q5436" t="s">
        <v>34</v>
      </c>
      <c r="R5436" t="s">
        <v>34</v>
      </c>
      <c r="S5436" t="s">
        <v>34</v>
      </c>
      <c r="T5436" s="117">
        <v>0</v>
      </c>
      <c r="U5436" s="209" t="s">
        <v>94</v>
      </c>
    </row>
    <row r="5437" spans="1:21" x14ac:dyDescent="0.35">
      <c r="A5437" t="s">
        <v>19</v>
      </c>
      <c r="B5437" t="s">
        <v>26</v>
      </c>
      <c r="C5437" s="1">
        <v>45960</v>
      </c>
      <c r="D5437">
        <f t="shared" ref="D5437:D5443" si="583">DAY(C5437)</f>
        <v>30</v>
      </c>
      <c r="E5437">
        <f t="shared" ref="E5437:E5443" si="584">MONTH(C5437)</f>
        <v>10</v>
      </c>
      <c r="F5437">
        <f t="shared" ref="F5437:F5443" si="585">YEAR(C5437)</f>
        <v>2025</v>
      </c>
      <c r="G5437" t="s">
        <v>73</v>
      </c>
      <c r="H5437" s="121">
        <v>13937</v>
      </c>
      <c r="I5437" s="76">
        <v>67910.13</v>
      </c>
      <c r="J5437" s="12" t="s">
        <v>51</v>
      </c>
      <c r="K5437" s="76">
        <f t="shared" si="555"/>
        <v>78735.004721999998</v>
      </c>
      <c r="L5437">
        <v>1.1594</v>
      </c>
      <c r="M5437" s="94">
        <v>0</v>
      </c>
      <c r="N5437" t="s">
        <v>32</v>
      </c>
      <c r="O5437" t="s">
        <v>33</v>
      </c>
      <c r="P5437" t="s">
        <v>34</v>
      </c>
      <c r="Q5437" t="s">
        <v>34</v>
      </c>
      <c r="R5437" t="s">
        <v>34</v>
      </c>
      <c r="S5437" t="s">
        <v>34</v>
      </c>
      <c r="T5437" s="117">
        <v>0</v>
      </c>
      <c r="U5437" s="209" t="s">
        <v>94</v>
      </c>
    </row>
    <row r="5438" spans="1:21" x14ac:dyDescent="0.35">
      <c r="A5438" t="s">
        <v>19</v>
      </c>
      <c r="B5438" t="s">
        <v>26</v>
      </c>
      <c r="C5438" s="1">
        <v>45960</v>
      </c>
      <c r="D5438">
        <f t="shared" si="583"/>
        <v>30</v>
      </c>
      <c r="E5438">
        <f t="shared" si="584"/>
        <v>10</v>
      </c>
      <c r="F5438">
        <f t="shared" si="585"/>
        <v>2025</v>
      </c>
      <c r="G5438" t="s">
        <v>73</v>
      </c>
      <c r="H5438" s="121">
        <v>13838</v>
      </c>
      <c r="I5438" s="76">
        <v>19784.86</v>
      </c>
      <c r="J5438" s="12" t="s">
        <v>51</v>
      </c>
      <c r="K5438" s="76">
        <f t="shared" si="555"/>
        <v>22938.566684000001</v>
      </c>
      <c r="L5438">
        <v>1.1594</v>
      </c>
      <c r="M5438" s="94">
        <v>0</v>
      </c>
      <c r="N5438" t="s">
        <v>32</v>
      </c>
      <c r="O5438" t="s">
        <v>33</v>
      </c>
      <c r="P5438" t="s">
        <v>34</v>
      </c>
      <c r="Q5438" t="s">
        <v>34</v>
      </c>
      <c r="R5438" t="s">
        <v>34</v>
      </c>
      <c r="S5438" t="s">
        <v>34</v>
      </c>
      <c r="T5438" s="117">
        <v>0</v>
      </c>
      <c r="U5438" s="209" t="s">
        <v>94</v>
      </c>
    </row>
    <row r="5439" spans="1:21" x14ac:dyDescent="0.35">
      <c r="A5439" t="s">
        <v>19</v>
      </c>
      <c r="B5439" t="s">
        <v>26</v>
      </c>
      <c r="C5439" s="1">
        <v>45960</v>
      </c>
      <c r="D5439">
        <f t="shared" si="583"/>
        <v>30</v>
      </c>
      <c r="E5439">
        <f t="shared" si="584"/>
        <v>10</v>
      </c>
      <c r="F5439">
        <f t="shared" si="585"/>
        <v>2025</v>
      </c>
      <c r="G5439" t="s">
        <v>73</v>
      </c>
      <c r="H5439" s="121">
        <v>13949</v>
      </c>
      <c r="I5439" s="76">
        <v>38036.230000000003</v>
      </c>
      <c r="J5439" s="12" t="s">
        <v>51</v>
      </c>
      <c r="K5439" s="76">
        <f t="shared" si="555"/>
        <v>44099.205062000001</v>
      </c>
      <c r="L5439">
        <v>1.1594</v>
      </c>
      <c r="M5439" s="94">
        <v>0</v>
      </c>
      <c r="N5439" t="s">
        <v>32</v>
      </c>
      <c r="O5439" t="s">
        <v>33</v>
      </c>
      <c r="P5439" t="s">
        <v>34</v>
      </c>
      <c r="Q5439" t="s">
        <v>34</v>
      </c>
      <c r="R5439" t="s">
        <v>34</v>
      </c>
      <c r="S5439" t="s">
        <v>34</v>
      </c>
      <c r="T5439" s="117">
        <v>0</v>
      </c>
      <c r="U5439" s="209" t="s">
        <v>94</v>
      </c>
    </row>
    <row r="5440" spans="1:21" x14ac:dyDescent="0.35">
      <c r="A5440" t="s">
        <v>19</v>
      </c>
      <c r="B5440" t="s">
        <v>26</v>
      </c>
      <c r="C5440" s="1">
        <v>45960</v>
      </c>
      <c r="D5440">
        <f t="shared" si="583"/>
        <v>30</v>
      </c>
      <c r="E5440">
        <f t="shared" si="584"/>
        <v>10</v>
      </c>
      <c r="F5440">
        <f t="shared" si="585"/>
        <v>2025</v>
      </c>
      <c r="G5440" t="s">
        <v>73</v>
      </c>
      <c r="H5440" s="121">
        <v>13949</v>
      </c>
      <c r="I5440" s="76">
        <v>27421.39</v>
      </c>
      <c r="J5440" s="12" t="s">
        <v>51</v>
      </c>
      <c r="K5440" s="76">
        <f t="shared" si="555"/>
        <v>31792.359565999999</v>
      </c>
      <c r="L5440">
        <v>1.1594</v>
      </c>
      <c r="M5440" s="94">
        <v>0</v>
      </c>
      <c r="N5440" t="s">
        <v>32</v>
      </c>
      <c r="O5440" t="s">
        <v>33</v>
      </c>
      <c r="P5440" t="s">
        <v>34</v>
      </c>
      <c r="Q5440" t="s">
        <v>34</v>
      </c>
      <c r="R5440" t="s">
        <v>34</v>
      </c>
      <c r="S5440" t="s">
        <v>34</v>
      </c>
      <c r="T5440" s="117">
        <v>0</v>
      </c>
      <c r="U5440" s="209" t="s">
        <v>94</v>
      </c>
    </row>
    <row r="5441" spans="1:21" x14ac:dyDescent="0.35">
      <c r="A5441" t="s">
        <v>19</v>
      </c>
      <c r="B5441" t="s">
        <v>26</v>
      </c>
      <c r="C5441" s="1">
        <v>45960</v>
      </c>
      <c r="D5441">
        <f t="shared" si="583"/>
        <v>30</v>
      </c>
      <c r="E5441">
        <f t="shared" si="584"/>
        <v>10</v>
      </c>
      <c r="F5441">
        <f t="shared" si="585"/>
        <v>2025</v>
      </c>
      <c r="G5441" t="s">
        <v>73</v>
      </c>
      <c r="H5441" s="121">
        <v>13962</v>
      </c>
      <c r="I5441" s="76">
        <v>77672.77</v>
      </c>
      <c r="J5441" s="12" t="s">
        <v>51</v>
      </c>
      <c r="K5441" s="76">
        <f t="shared" si="555"/>
        <v>90053.809538000001</v>
      </c>
      <c r="L5441">
        <v>1.1594</v>
      </c>
      <c r="M5441" s="94">
        <v>0</v>
      </c>
      <c r="N5441" t="s">
        <v>32</v>
      </c>
      <c r="O5441" t="s">
        <v>33</v>
      </c>
      <c r="P5441" t="s">
        <v>34</v>
      </c>
      <c r="Q5441" t="s">
        <v>34</v>
      </c>
      <c r="R5441" t="s">
        <v>34</v>
      </c>
      <c r="S5441" t="s">
        <v>34</v>
      </c>
      <c r="T5441" s="117">
        <v>0</v>
      </c>
      <c r="U5441" s="209" t="s">
        <v>94</v>
      </c>
    </row>
    <row r="5442" spans="1:21" x14ac:dyDescent="0.35">
      <c r="A5442" t="s">
        <v>19</v>
      </c>
      <c r="B5442" t="s">
        <v>26</v>
      </c>
      <c r="C5442" s="1">
        <v>45960</v>
      </c>
      <c r="D5442">
        <f t="shared" si="583"/>
        <v>30</v>
      </c>
      <c r="E5442">
        <f t="shared" si="584"/>
        <v>10</v>
      </c>
      <c r="F5442">
        <f t="shared" si="585"/>
        <v>2025</v>
      </c>
      <c r="G5442" t="s">
        <v>73</v>
      </c>
      <c r="H5442" s="121">
        <v>13963</v>
      </c>
      <c r="I5442" s="76">
        <v>69248.160000000003</v>
      </c>
      <c r="J5442" s="12" t="s">
        <v>51</v>
      </c>
      <c r="K5442" s="76">
        <f t="shared" si="555"/>
        <v>80286.316703999997</v>
      </c>
      <c r="L5442">
        <v>1.1594</v>
      </c>
      <c r="M5442" s="94">
        <v>0</v>
      </c>
      <c r="N5442" t="s">
        <v>32</v>
      </c>
      <c r="O5442" t="s">
        <v>33</v>
      </c>
      <c r="P5442" t="s">
        <v>34</v>
      </c>
      <c r="Q5442" t="s">
        <v>34</v>
      </c>
      <c r="R5442" t="s">
        <v>34</v>
      </c>
      <c r="S5442" t="s">
        <v>34</v>
      </c>
      <c r="T5442" s="117">
        <v>0</v>
      </c>
      <c r="U5442" s="209" t="s">
        <v>94</v>
      </c>
    </row>
    <row r="5443" spans="1:21" x14ac:dyDescent="0.35">
      <c r="A5443" t="s">
        <v>19</v>
      </c>
      <c r="B5443" t="s">
        <v>26</v>
      </c>
      <c r="C5443" s="1">
        <v>45960</v>
      </c>
      <c r="D5443">
        <f t="shared" si="583"/>
        <v>30</v>
      </c>
      <c r="E5443">
        <f t="shared" si="584"/>
        <v>10</v>
      </c>
      <c r="F5443">
        <f t="shared" si="585"/>
        <v>2025</v>
      </c>
      <c r="G5443" t="s">
        <v>73</v>
      </c>
      <c r="H5443" s="121">
        <v>13989</v>
      </c>
      <c r="I5443" s="76">
        <v>52508.5</v>
      </c>
      <c r="J5443" s="12" t="s">
        <v>51</v>
      </c>
      <c r="K5443" s="76">
        <f t="shared" si="555"/>
        <v>60878.354899999998</v>
      </c>
      <c r="L5443">
        <v>1.1594</v>
      </c>
      <c r="M5443" s="94">
        <v>0</v>
      </c>
      <c r="N5443" t="s">
        <v>32</v>
      </c>
      <c r="O5443" t="s">
        <v>33</v>
      </c>
      <c r="P5443" t="s">
        <v>34</v>
      </c>
      <c r="Q5443" t="s">
        <v>34</v>
      </c>
      <c r="R5443" t="s">
        <v>34</v>
      </c>
      <c r="S5443" t="s">
        <v>34</v>
      </c>
      <c r="T5443" s="117">
        <v>0</v>
      </c>
      <c r="U5443" s="209" t="s">
        <v>94</v>
      </c>
    </row>
    <row r="5444" spans="1:21" x14ac:dyDescent="0.35">
      <c r="A5444" t="s">
        <v>19</v>
      </c>
      <c r="B5444" t="s">
        <v>21</v>
      </c>
      <c r="C5444" s="1">
        <v>45967</v>
      </c>
      <c r="D5444">
        <f>DAY(C5444)</f>
        <v>6</v>
      </c>
      <c r="E5444">
        <f>MONTH(C5444)</f>
        <v>11</v>
      </c>
      <c r="F5444">
        <f>YEAR(C5444)</f>
        <v>2025</v>
      </c>
      <c r="G5444" t="s">
        <v>882</v>
      </c>
      <c r="H5444" s="121">
        <v>13715</v>
      </c>
      <c r="I5444" s="76">
        <v>13842</v>
      </c>
      <c r="J5444" s="12" t="s">
        <v>31</v>
      </c>
      <c r="K5444" s="76">
        <f t="shared" ref="K5444:K5465" si="586">IF(J5444="USD",I5444,I5444*L5444)</f>
        <v>13842</v>
      </c>
      <c r="L5444">
        <v>1</v>
      </c>
      <c r="M5444" s="94">
        <v>0</v>
      </c>
      <c r="N5444" t="s">
        <v>32</v>
      </c>
      <c r="O5444" t="s">
        <v>33</v>
      </c>
      <c r="P5444" t="s">
        <v>34</v>
      </c>
      <c r="Q5444" t="s">
        <v>34</v>
      </c>
      <c r="R5444" t="s">
        <v>34</v>
      </c>
      <c r="S5444" t="s">
        <v>34</v>
      </c>
      <c r="T5444" s="117">
        <v>0</v>
      </c>
    </row>
    <row r="5445" spans="1:21" x14ac:dyDescent="0.35">
      <c r="A5445" t="s">
        <v>19</v>
      </c>
      <c r="B5445" t="s">
        <v>23</v>
      </c>
      <c r="C5445" s="1">
        <v>45967</v>
      </c>
      <c r="D5445">
        <f t="shared" ref="D5445:D5453" si="587">DAY(C5445)</f>
        <v>6</v>
      </c>
      <c r="E5445">
        <f t="shared" ref="E5445:E5453" si="588">MONTH(C5445)</f>
        <v>11</v>
      </c>
      <c r="F5445">
        <f t="shared" ref="F5445:F5453" si="589">YEAR(C5445)</f>
        <v>2025</v>
      </c>
      <c r="G5445" t="s">
        <v>882</v>
      </c>
      <c r="H5445" s="121">
        <v>13715</v>
      </c>
      <c r="I5445" s="76">
        <v>28257.4</v>
      </c>
      <c r="J5445" s="12" t="s">
        <v>31</v>
      </c>
      <c r="K5445" s="76">
        <f t="shared" si="586"/>
        <v>28257.4</v>
      </c>
      <c r="L5445">
        <v>1</v>
      </c>
      <c r="M5445" s="94">
        <v>0</v>
      </c>
      <c r="N5445" t="s">
        <v>32</v>
      </c>
      <c r="O5445" t="s">
        <v>33</v>
      </c>
      <c r="P5445" t="s">
        <v>34</v>
      </c>
      <c r="Q5445" t="s">
        <v>34</v>
      </c>
      <c r="R5445" t="s">
        <v>34</v>
      </c>
      <c r="S5445" t="s">
        <v>34</v>
      </c>
      <c r="T5445" s="117">
        <v>0</v>
      </c>
    </row>
    <row r="5446" spans="1:21" x14ac:dyDescent="0.35">
      <c r="A5446" t="s">
        <v>19</v>
      </c>
      <c r="B5446" t="s">
        <v>23</v>
      </c>
      <c r="C5446" s="1">
        <v>45967</v>
      </c>
      <c r="D5446">
        <f t="shared" si="587"/>
        <v>6</v>
      </c>
      <c r="E5446">
        <f t="shared" si="588"/>
        <v>11</v>
      </c>
      <c r="F5446">
        <f t="shared" si="589"/>
        <v>2025</v>
      </c>
      <c r="G5446" t="s">
        <v>882</v>
      </c>
      <c r="H5446" s="121">
        <v>13822</v>
      </c>
      <c r="I5446" s="76">
        <v>4430</v>
      </c>
      <c r="J5446" s="12" t="s">
        <v>31</v>
      </c>
      <c r="K5446" s="76">
        <f t="shared" si="586"/>
        <v>4430</v>
      </c>
      <c r="L5446">
        <v>1</v>
      </c>
      <c r="M5446" s="94">
        <v>0</v>
      </c>
      <c r="N5446" t="s">
        <v>32</v>
      </c>
      <c r="O5446" t="s">
        <v>33</v>
      </c>
      <c r="P5446" t="s">
        <v>34</v>
      </c>
      <c r="Q5446" t="s">
        <v>34</v>
      </c>
      <c r="R5446" t="s">
        <v>34</v>
      </c>
      <c r="S5446" t="s">
        <v>34</v>
      </c>
      <c r="T5446" s="117">
        <v>0</v>
      </c>
    </row>
    <row r="5447" spans="1:21" x14ac:dyDescent="0.35">
      <c r="A5447" t="s">
        <v>19</v>
      </c>
      <c r="B5447" t="s">
        <v>21</v>
      </c>
      <c r="C5447" s="1">
        <v>45967</v>
      </c>
      <c r="D5447">
        <f t="shared" si="587"/>
        <v>6</v>
      </c>
      <c r="E5447">
        <f t="shared" si="588"/>
        <v>11</v>
      </c>
      <c r="F5447">
        <f t="shared" si="589"/>
        <v>2025</v>
      </c>
      <c r="G5447" t="s">
        <v>28</v>
      </c>
      <c r="H5447" s="121">
        <v>13016</v>
      </c>
      <c r="I5447" s="76">
        <v>8952.8700000000008</v>
      </c>
      <c r="J5447" s="12" t="s">
        <v>31</v>
      </c>
      <c r="K5447" s="76">
        <f t="shared" si="586"/>
        <v>8952.8700000000008</v>
      </c>
      <c r="L5447">
        <v>1</v>
      </c>
      <c r="M5447" s="94">
        <v>0</v>
      </c>
      <c r="N5447" t="s">
        <v>32</v>
      </c>
      <c r="O5447" t="s">
        <v>33</v>
      </c>
      <c r="P5447" t="s">
        <v>34</v>
      </c>
      <c r="Q5447" t="s">
        <v>34</v>
      </c>
      <c r="R5447" t="s">
        <v>34</v>
      </c>
      <c r="S5447" t="s">
        <v>34</v>
      </c>
      <c r="T5447" s="117">
        <v>0</v>
      </c>
    </row>
    <row r="5448" spans="1:21" x14ac:dyDescent="0.35">
      <c r="A5448" t="s">
        <v>19</v>
      </c>
      <c r="B5448" t="s">
        <v>21</v>
      </c>
      <c r="C5448" s="1">
        <v>45967</v>
      </c>
      <c r="D5448">
        <f t="shared" si="587"/>
        <v>6</v>
      </c>
      <c r="E5448">
        <f t="shared" si="588"/>
        <v>11</v>
      </c>
      <c r="F5448">
        <f t="shared" si="589"/>
        <v>2025</v>
      </c>
      <c r="G5448" t="s">
        <v>28</v>
      </c>
      <c r="H5448" s="121">
        <v>13014</v>
      </c>
      <c r="I5448" s="76">
        <v>10969.2</v>
      </c>
      <c r="J5448" s="12" t="s">
        <v>31</v>
      </c>
      <c r="K5448" s="76">
        <f t="shared" si="586"/>
        <v>10969.2</v>
      </c>
      <c r="L5448">
        <v>1</v>
      </c>
      <c r="M5448" s="94">
        <v>0</v>
      </c>
      <c r="N5448" t="s">
        <v>32</v>
      </c>
      <c r="O5448" t="s">
        <v>33</v>
      </c>
      <c r="P5448" t="s">
        <v>34</v>
      </c>
      <c r="Q5448" t="s">
        <v>34</v>
      </c>
      <c r="R5448" t="s">
        <v>34</v>
      </c>
      <c r="S5448" t="s">
        <v>34</v>
      </c>
      <c r="T5448" s="117">
        <v>0</v>
      </c>
    </row>
    <row r="5449" spans="1:21" x14ac:dyDescent="0.35">
      <c r="A5449" t="s">
        <v>19</v>
      </c>
      <c r="B5449" t="s">
        <v>23</v>
      </c>
      <c r="C5449" s="1">
        <v>45967</v>
      </c>
      <c r="D5449">
        <f t="shared" si="587"/>
        <v>6</v>
      </c>
      <c r="E5449">
        <f t="shared" si="588"/>
        <v>11</v>
      </c>
      <c r="F5449">
        <f t="shared" si="589"/>
        <v>2025</v>
      </c>
      <c r="G5449" t="s">
        <v>74</v>
      </c>
      <c r="H5449" s="121">
        <v>13591</v>
      </c>
      <c r="I5449" s="76">
        <v>122446.63</v>
      </c>
      <c r="J5449" s="12" t="s">
        <v>31</v>
      </c>
      <c r="K5449" s="76">
        <f t="shared" si="586"/>
        <v>122446.63</v>
      </c>
      <c r="L5449">
        <v>1</v>
      </c>
      <c r="M5449" s="94">
        <v>0</v>
      </c>
      <c r="N5449" t="s">
        <v>32</v>
      </c>
      <c r="O5449" t="s">
        <v>33</v>
      </c>
      <c r="P5449" t="s">
        <v>34</v>
      </c>
      <c r="Q5449" t="s">
        <v>34</v>
      </c>
      <c r="R5449" t="s">
        <v>34</v>
      </c>
      <c r="S5449" t="s">
        <v>34</v>
      </c>
      <c r="T5449" s="117">
        <v>0</v>
      </c>
    </row>
    <row r="5450" spans="1:21" x14ac:dyDescent="0.35">
      <c r="A5450" t="s">
        <v>19</v>
      </c>
      <c r="B5450" t="s">
        <v>23</v>
      </c>
      <c r="C5450" s="1">
        <v>45967</v>
      </c>
      <c r="D5450">
        <f t="shared" si="587"/>
        <v>6</v>
      </c>
      <c r="E5450">
        <f t="shared" si="588"/>
        <v>11</v>
      </c>
      <c r="F5450">
        <f t="shared" si="589"/>
        <v>2025</v>
      </c>
      <c r="G5450" t="s">
        <v>74</v>
      </c>
      <c r="H5450" s="121">
        <v>13592</v>
      </c>
      <c r="I5450" s="76">
        <v>70111.05</v>
      </c>
      <c r="J5450" s="12" t="s">
        <v>31</v>
      </c>
      <c r="K5450" s="76">
        <f t="shared" si="586"/>
        <v>70111.05</v>
      </c>
      <c r="L5450">
        <v>1</v>
      </c>
      <c r="M5450" s="94">
        <v>0</v>
      </c>
      <c r="N5450" t="s">
        <v>32</v>
      </c>
      <c r="O5450" t="s">
        <v>33</v>
      </c>
      <c r="P5450" t="s">
        <v>34</v>
      </c>
      <c r="Q5450" t="s">
        <v>34</v>
      </c>
      <c r="R5450" t="s">
        <v>34</v>
      </c>
      <c r="S5450" t="s">
        <v>34</v>
      </c>
      <c r="T5450" s="117">
        <v>0</v>
      </c>
    </row>
    <row r="5451" spans="1:21" x14ac:dyDescent="0.35">
      <c r="A5451" t="s">
        <v>19</v>
      </c>
      <c r="B5451" t="s">
        <v>23</v>
      </c>
      <c r="C5451" s="1">
        <v>45967</v>
      </c>
      <c r="D5451">
        <f t="shared" si="587"/>
        <v>6</v>
      </c>
      <c r="E5451">
        <f t="shared" si="588"/>
        <v>11</v>
      </c>
      <c r="F5451">
        <f t="shared" si="589"/>
        <v>2025</v>
      </c>
      <c r="G5451" t="s">
        <v>74</v>
      </c>
      <c r="H5451" s="121">
        <v>13838</v>
      </c>
      <c r="I5451" s="76">
        <v>34578</v>
      </c>
      <c r="J5451" s="12" t="s">
        <v>31</v>
      </c>
      <c r="K5451" s="76">
        <f t="shared" si="586"/>
        <v>34578</v>
      </c>
      <c r="L5451">
        <v>1</v>
      </c>
      <c r="M5451" s="94">
        <v>0</v>
      </c>
      <c r="N5451" t="s">
        <v>32</v>
      </c>
      <c r="O5451" t="s">
        <v>33</v>
      </c>
      <c r="P5451" t="s">
        <v>34</v>
      </c>
      <c r="Q5451" t="s">
        <v>34</v>
      </c>
      <c r="R5451" t="s">
        <v>34</v>
      </c>
      <c r="S5451" t="s">
        <v>34</v>
      </c>
      <c r="T5451" s="117">
        <v>0</v>
      </c>
    </row>
    <row r="5452" spans="1:21" x14ac:dyDescent="0.35">
      <c r="A5452" t="s">
        <v>19</v>
      </c>
      <c r="B5452" t="s">
        <v>21</v>
      </c>
      <c r="C5452" s="1">
        <v>45967</v>
      </c>
      <c r="D5452">
        <f t="shared" si="587"/>
        <v>6</v>
      </c>
      <c r="E5452">
        <f t="shared" si="588"/>
        <v>11</v>
      </c>
      <c r="F5452">
        <f t="shared" si="589"/>
        <v>2025</v>
      </c>
      <c r="G5452" t="s">
        <v>40</v>
      </c>
      <c r="H5452" s="121">
        <v>13483</v>
      </c>
      <c r="I5452" s="76">
        <v>100.3</v>
      </c>
      <c r="J5452" s="12" t="s">
        <v>31</v>
      </c>
      <c r="K5452" s="76">
        <f t="shared" si="586"/>
        <v>100.3</v>
      </c>
      <c r="L5452">
        <v>1</v>
      </c>
      <c r="M5452" s="94">
        <v>0</v>
      </c>
      <c r="N5452" t="s">
        <v>32</v>
      </c>
      <c r="O5452" t="s">
        <v>33</v>
      </c>
      <c r="P5452" t="s">
        <v>34</v>
      </c>
      <c r="Q5452" t="s">
        <v>34</v>
      </c>
      <c r="R5452" t="s">
        <v>34</v>
      </c>
      <c r="S5452" t="s">
        <v>34</v>
      </c>
      <c r="T5452" s="117">
        <v>0</v>
      </c>
    </row>
    <row r="5453" spans="1:21" x14ac:dyDescent="0.35">
      <c r="A5453" t="s">
        <v>19</v>
      </c>
      <c r="B5453" t="s">
        <v>27</v>
      </c>
      <c r="C5453" s="1">
        <v>45967</v>
      </c>
      <c r="D5453">
        <f t="shared" si="587"/>
        <v>6</v>
      </c>
      <c r="E5453">
        <f t="shared" si="588"/>
        <v>11</v>
      </c>
      <c r="F5453">
        <f t="shared" si="589"/>
        <v>2025</v>
      </c>
      <c r="G5453" t="s">
        <v>100</v>
      </c>
      <c r="H5453" s="121">
        <v>13484</v>
      </c>
      <c r="I5453" s="76">
        <v>144249.09</v>
      </c>
      <c r="J5453" s="12" t="s">
        <v>31</v>
      </c>
      <c r="K5453" s="76">
        <f t="shared" si="586"/>
        <v>144249.09</v>
      </c>
      <c r="L5453">
        <v>1</v>
      </c>
      <c r="M5453" s="94">
        <v>0</v>
      </c>
      <c r="N5453" t="s">
        <v>32</v>
      </c>
      <c r="O5453" t="s">
        <v>33</v>
      </c>
      <c r="P5453" t="s">
        <v>34</v>
      </c>
      <c r="Q5453" t="s">
        <v>34</v>
      </c>
      <c r="R5453" t="s">
        <v>34</v>
      </c>
      <c r="S5453" t="s">
        <v>34</v>
      </c>
      <c r="T5453" s="117">
        <v>0</v>
      </c>
    </row>
    <row r="5454" spans="1:21" x14ac:dyDescent="0.35">
      <c r="A5454" t="s">
        <v>19</v>
      </c>
      <c r="B5454" t="s">
        <v>27</v>
      </c>
      <c r="C5454" s="1">
        <v>45967</v>
      </c>
      <c r="D5454">
        <f>DAY(C5454)</f>
        <v>6</v>
      </c>
      <c r="E5454">
        <f>MONTH(C5454)</f>
        <v>11</v>
      </c>
      <c r="F5454">
        <f>YEAR(C5454)</f>
        <v>2025</v>
      </c>
      <c r="G5454" t="s">
        <v>100</v>
      </c>
      <c r="H5454" s="121">
        <v>13569</v>
      </c>
      <c r="I5454" s="76">
        <v>55750.91</v>
      </c>
      <c r="J5454" s="12" t="s">
        <v>31</v>
      </c>
      <c r="K5454" s="76">
        <f t="shared" si="586"/>
        <v>55750.91</v>
      </c>
      <c r="L5454">
        <v>1</v>
      </c>
      <c r="M5454" s="94">
        <v>0</v>
      </c>
      <c r="N5454" t="s">
        <v>32</v>
      </c>
      <c r="O5454" t="s">
        <v>33</v>
      </c>
      <c r="P5454" t="s">
        <v>34</v>
      </c>
      <c r="Q5454" t="s">
        <v>34</v>
      </c>
      <c r="R5454" t="s">
        <v>34</v>
      </c>
      <c r="S5454" t="s">
        <v>34</v>
      </c>
      <c r="T5454" s="117">
        <v>0</v>
      </c>
    </row>
    <row r="5455" spans="1:21" x14ac:dyDescent="0.35">
      <c r="A5455" t="s">
        <v>19</v>
      </c>
      <c r="B5455" t="s">
        <v>25</v>
      </c>
      <c r="C5455" s="1">
        <v>45967</v>
      </c>
      <c r="D5455">
        <f>DAY(C5455)</f>
        <v>6</v>
      </c>
      <c r="E5455">
        <f>MONTH(C5455)</f>
        <v>11</v>
      </c>
      <c r="F5455">
        <f>YEAR(C5455)</f>
        <v>2025</v>
      </c>
      <c r="G5455" t="s">
        <v>1146</v>
      </c>
      <c r="H5455" s="121">
        <v>13343</v>
      </c>
      <c r="I5455" s="76">
        <v>293426.94</v>
      </c>
      <c r="J5455" s="12" t="s">
        <v>51</v>
      </c>
      <c r="K5455" s="76">
        <f>IF(J5455="USD",I5455,I5455*L5455)</f>
        <v>338908.11570000002</v>
      </c>
      <c r="L5455">
        <v>1.155</v>
      </c>
      <c r="M5455" s="94">
        <v>0</v>
      </c>
      <c r="N5455" t="s">
        <v>42</v>
      </c>
      <c r="O5455" t="s">
        <v>33</v>
      </c>
      <c r="P5455" t="s">
        <v>34</v>
      </c>
      <c r="Q5455" t="s">
        <v>34</v>
      </c>
      <c r="R5455" t="s">
        <v>34</v>
      </c>
      <c r="S5455" t="s">
        <v>34</v>
      </c>
      <c r="T5455" s="117">
        <v>0</v>
      </c>
    </row>
    <row r="5456" spans="1:21" x14ac:dyDescent="0.35">
      <c r="A5456" t="s">
        <v>19</v>
      </c>
      <c r="B5456" t="s">
        <v>21</v>
      </c>
      <c r="C5456" s="1">
        <v>45967</v>
      </c>
      <c r="D5456">
        <f>DAY(C5456)</f>
        <v>6</v>
      </c>
      <c r="E5456">
        <f>MONTH(C5456)</f>
        <v>11</v>
      </c>
      <c r="F5456">
        <f>YEAR(C5456)</f>
        <v>2025</v>
      </c>
      <c r="G5456" t="s">
        <v>36</v>
      </c>
      <c r="H5456" s="121">
        <v>12952</v>
      </c>
      <c r="I5456" s="76">
        <v>228</v>
      </c>
      <c r="J5456" s="12" t="s">
        <v>31</v>
      </c>
      <c r="K5456" s="76">
        <f t="shared" si="586"/>
        <v>228</v>
      </c>
      <c r="L5456">
        <v>1</v>
      </c>
      <c r="M5456" s="94">
        <v>0</v>
      </c>
      <c r="N5456" t="s">
        <v>32</v>
      </c>
      <c r="O5456" t="s">
        <v>33</v>
      </c>
      <c r="P5456" t="s">
        <v>34</v>
      </c>
      <c r="Q5456" t="s">
        <v>34</v>
      </c>
      <c r="R5456" t="s">
        <v>34</v>
      </c>
      <c r="S5456" t="s">
        <v>34</v>
      </c>
      <c r="T5456" s="117">
        <v>0</v>
      </c>
    </row>
    <row r="5457" spans="1:20" x14ac:dyDescent="0.35">
      <c r="A5457" t="s">
        <v>19</v>
      </c>
      <c r="B5457" t="s">
        <v>21</v>
      </c>
      <c r="C5457" s="1">
        <v>45967</v>
      </c>
      <c r="D5457">
        <f>DAY(C5457)</f>
        <v>6</v>
      </c>
      <c r="E5457">
        <f>MONTH(C5457)</f>
        <v>11</v>
      </c>
      <c r="F5457">
        <f>YEAR(C5457)</f>
        <v>2025</v>
      </c>
      <c r="G5457" t="s">
        <v>36</v>
      </c>
      <c r="H5457" s="121">
        <v>13654</v>
      </c>
      <c r="I5457" s="76">
        <v>19075</v>
      </c>
      <c r="J5457" s="12" t="s">
        <v>31</v>
      </c>
      <c r="K5457" s="76">
        <f t="shared" si="586"/>
        <v>19075</v>
      </c>
      <c r="L5457">
        <v>1</v>
      </c>
      <c r="M5457" s="94">
        <v>0</v>
      </c>
      <c r="N5457" t="s">
        <v>32</v>
      </c>
      <c r="O5457" t="s">
        <v>33</v>
      </c>
      <c r="P5457" t="s">
        <v>34</v>
      </c>
      <c r="Q5457" t="s">
        <v>34</v>
      </c>
      <c r="R5457" t="s">
        <v>34</v>
      </c>
      <c r="S5457" t="s">
        <v>34</v>
      </c>
      <c r="T5457" s="117">
        <v>0</v>
      </c>
    </row>
    <row r="5458" spans="1:20" x14ac:dyDescent="0.35">
      <c r="A5458" t="s">
        <v>19</v>
      </c>
      <c r="B5458" t="s">
        <v>25</v>
      </c>
      <c r="C5458" s="1">
        <v>45967</v>
      </c>
      <c r="D5458">
        <f t="shared" ref="D5458:D5461" si="590">DAY(C5458)</f>
        <v>6</v>
      </c>
      <c r="E5458">
        <f t="shared" ref="E5458:E5461" si="591">MONTH(C5458)</f>
        <v>11</v>
      </c>
      <c r="F5458">
        <f t="shared" ref="F5458:F5461" si="592">YEAR(C5458)</f>
        <v>2025</v>
      </c>
      <c r="G5458" t="s">
        <v>39</v>
      </c>
      <c r="H5458" s="121">
        <v>13686</v>
      </c>
      <c r="I5458" s="76">
        <v>61.8</v>
      </c>
      <c r="J5458" s="12" t="s">
        <v>31</v>
      </c>
      <c r="K5458" s="76">
        <f t="shared" si="586"/>
        <v>61.8</v>
      </c>
      <c r="L5458">
        <v>1</v>
      </c>
      <c r="M5458" s="94">
        <v>0</v>
      </c>
      <c r="N5458" t="s">
        <v>32</v>
      </c>
      <c r="O5458" t="s">
        <v>33</v>
      </c>
      <c r="P5458" t="s">
        <v>34</v>
      </c>
      <c r="Q5458" t="s">
        <v>34</v>
      </c>
      <c r="R5458" t="s">
        <v>34</v>
      </c>
      <c r="S5458" t="s">
        <v>34</v>
      </c>
      <c r="T5458" s="117">
        <v>0</v>
      </c>
    </row>
    <row r="5459" spans="1:20" x14ac:dyDescent="0.35">
      <c r="A5459" t="s">
        <v>19</v>
      </c>
      <c r="B5459" t="s">
        <v>25</v>
      </c>
      <c r="C5459" s="1">
        <v>45967</v>
      </c>
      <c r="D5459">
        <f t="shared" si="590"/>
        <v>6</v>
      </c>
      <c r="E5459">
        <f t="shared" si="591"/>
        <v>11</v>
      </c>
      <c r="F5459">
        <f t="shared" si="592"/>
        <v>2025</v>
      </c>
      <c r="G5459" t="s">
        <v>39</v>
      </c>
      <c r="H5459" s="121">
        <v>13945</v>
      </c>
      <c r="I5459" s="76">
        <v>16848</v>
      </c>
      <c r="J5459" s="12" t="s">
        <v>31</v>
      </c>
      <c r="K5459" s="76">
        <f t="shared" si="586"/>
        <v>16848</v>
      </c>
      <c r="L5459">
        <v>1</v>
      </c>
      <c r="M5459" s="94">
        <v>0</v>
      </c>
      <c r="N5459" t="s">
        <v>32</v>
      </c>
      <c r="O5459" t="s">
        <v>33</v>
      </c>
      <c r="P5459" t="s">
        <v>34</v>
      </c>
      <c r="Q5459" t="s">
        <v>34</v>
      </c>
      <c r="R5459" t="s">
        <v>34</v>
      </c>
      <c r="S5459" t="s">
        <v>34</v>
      </c>
      <c r="T5459" s="117">
        <v>0</v>
      </c>
    </row>
    <row r="5460" spans="1:20" x14ac:dyDescent="0.35">
      <c r="A5460" t="s">
        <v>19</v>
      </c>
      <c r="B5460" t="s">
        <v>21</v>
      </c>
      <c r="C5460" s="1">
        <v>45967</v>
      </c>
      <c r="D5460">
        <f t="shared" si="590"/>
        <v>6</v>
      </c>
      <c r="E5460">
        <f t="shared" si="591"/>
        <v>11</v>
      </c>
      <c r="F5460">
        <f t="shared" si="592"/>
        <v>2025</v>
      </c>
      <c r="G5460" t="s">
        <v>333</v>
      </c>
      <c r="H5460" s="121">
        <v>14022</v>
      </c>
      <c r="I5460" s="76">
        <v>2287.5</v>
      </c>
      <c r="J5460" s="12" t="s">
        <v>31</v>
      </c>
      <c r="K5460" s="76">
        <f t="shared" si="586"/>
        <v>2287.5</v>
      </c>
      <c r="L5460">
        <v>1</v>
      </c>
      <c r="M5460" s="94">
        <v>0</v>
      </c>
      <c r="N5460" t="s">
        <v>42</v>
      </c>
      <c r="O5460" t="s">
        <v>33</v>
      </c>
      <c r="P5460" t="s">
        <v>34</v>
      </c>
      <c r="Q5460" t="s">
        <v>34</v>
      </c>
      <c r="R5460" t="s">
        <v>34</v>
      </c>
      <c r="S5460" t="s">
        <v>34</v>
      </c>
      <c r="T5460" s="117">
        <v>0</v>
      </c>
    </row>
    <row r="5461" spans="1:20" x14ac:dyDescent="0.35">
      <c r="A5461" t="s">
        <v>19</v>
      </c>
      <c r="B5461" t="s">
        <v>21</v>
      </c>
      <c r="C5461" s="1">
        <v>45967</v>
      </c>
      <c r="D5461">
        <f t="shared" si="590"/>
        <v>6</v>
      </c>
      <c r="E5461">
        <f t="shared" si="591"/>
        <v>11</v>
      </c>
      <c r="F5461">
        <f t="shared" si="592"/>
        <v>2025</v>
      </c>
      <c r="G5461" t="s">
        <v>738</v>
      </c>
      <c r="H5461" s="121">
        <v>14000</v>
      </c>
      <c r="I5461" s="76">
        <v>4144.2</v>
      </c>
      <c r="J5461" s="12" t="s">
        <v>31</v>
      </c>
      <c r="K5461" s="76">
        <f t="shared" si="586"/>
        <v>4144.2</v>
      </c>
      <c r="L5461">
        <v>1</v>
      </c>
      <c r="M5461" s="94">
        <v>0</v>
      </c>
      <c r="N5461" t="s">
        <v>42</v>
      </c>
      <c r="O5461" t="s">
        <v>33</v>
      </c>
      <c r="P5461" t="s">
        <v>34</v>
      </c>
      <c r="Q5461" t="s">
        <v>34</v>
      </c>
      <c r="R5461" t="s">
        <v>34</v>
      </c>
      <c r="S5461" t="s">
        <v>34</v>
      </c>
      <c r="T5461" s="117">
        <v>0</v>
      </c>
    </row>
    <row r="5462" spans="1:20" x14ac:dyDescent="0.35">
      <c r="A5462" t="s">
        <v>19</v>
      </c>
      <c r="B5462" t="s">
        <v>25</v>
      </c>
      <c r="C5462" s="1">
        <v>45967</v>
      </c>
      <c r="D5462">
        <f t="shared" ref="D5462:D5465" si="593">DAY(C5462)</f>
        <v>6</v>
      </c>
      <c r="E5462">
        <f t="shared" ref="E5462:E5465" si="594">MONTH(C5462)</f>
        <v>11</v>
      </c>
      <c r="F5462">
        <f t="shared" ref="F5462:F5465" si="595">YEAR(C5462)</f>
        <v>2025</v>
      </c>
      <c r="G5462" t="s">
        <v>80</v>
      </c>
      <c r="H5462" s="121">
        <v>14007</v>
      </c>
      <c r="I5462" s="76">
        <v>11340</v>
      </c>
      <c r="J5462" s="12" t="s">
        <v>31</v>
      </c>
      <c r="K5462" s="76">
        <f t="shared" si="586"/>
        <v>11340</v>
      </c>
      <c r="L5462">
        <v>1</v>
      </c>
      <c r="M5462" s="94">
        <v>0</v>
      </c>
      <c r="N5462" t="s">
        <v>42</v>
      </c>
      <c r="O5462" t="s">
        <v>33</v>
      </c>
      <c r="P5462" t="s">
        <v>34</v>
      </c>
      <c r="Q5462" t="s">
        <v>34</v>
      </c>
      <c r="R5462" t="s">
        <v>34</v>
      </c>
      <c r="S5462" t="s">
        <v>34</v>
      </c>
      <c r="T5462" s="117">
        <v>0</v>
      </c>
    </row>
    <row r="5463" spans="1:20" x14ac:dyDescent="0.35">
      <c r="A5463" t="s">
        <v>19</v>
      </c>
      <c r="B5463" t="s">
        <v>25</v>
      </c>
      <c r="C5463" s="1">
        <v>45967</v>
      </c>
      <c r="D5463">
        <f t="shared" si="593"/>
        <v>6</v>
      </c>
      <c r="E5463">
        <f t="shared" si="594"/>
        <v>11</v>
      </c>
      <c r="F5463">
        <f t="shared" si="595"/>
        <v>2025</v>
      </c>
      <c r="G5463" t="s">
        <v>1325</v>
      </c>
      <c r="H5463" s="121">
        <v>13804</v>
      </c>
      <c r="I5463" s="76">
        <v>125</v>
      </c>
      <c r="J5463" s="12" t="s">
        <v>31</v>
      </c>
      <c r="K5463" s="76">
        <f t="shared" si="586"/>
        <v>125</v>
      </c>
      <c r="L5463">
        <v>1</v>
      </c>
      <c r="M5463" s="94">
        <v>0</v>
      </c>
      <c r="N5463" t="s">
        <v>32</v>
      </c>
      <c r="O5463" t="s">
        <v>33</v>
      </c>
      <c r="P5463" t="s">
        <v>34</v>
      </c>
      <c r="Q5463" t="s">
        <v>34</v>
      </c>
      <c r="R5463" t="s">
        <v>34</v>
      </c>
      <c r="S5463" t="s">
        <v>34</v>
      </c>
      <c r="T5463" s="117">
        <v>0</v>
      </c>
    </row>
    <row r="5464" spans="1:20" x14ac:dyDescent="0.35">
      <c r="A5464" t="s">
        <v>19</v>
      </c>
      <c r="B5464" t="s">
        <v>25</v>
      </c>
      <c r="C5464" s="1">
        <v>45967</v>
      </c>
      <c r="D5464">
        <f t="shared" si="593"/>
        <v>6</v>
      </c>
      <c r="E5464">
        <f t="shared" si="594"/>
        <v>11</v>
      </c>
      <c r="F5464">
        <f t="shared" si="595"/>
        <v>2025</v>
      </c>
      <c r="G5464" t="s">
        <v>1325</v>
      </c>
      <c r="H5464" s="121">
        <v>13805</v>
      </c>
      <c r="I5464" s="76">
        <v>17675</v>
      </c>
      <c r="J5464" s="12" t="s">
        <v>31</v>
      </c>
      <c r="K5464" s="76">
        <f t="shared" si="586"/>
        <v>17675</v>
      </c>
      <c r="L5464">
        <v>1</v>
      </c>
      <c r="M5464" s="94">
        <v>0</v>
      </c>
      <c r="N5464" t="s">
        <v>32</v>
      </c>
      <c r="O5464" t="s">
        <v>33</v>
      </c>
      <c r="P5464" t="s">
        <v>34</v>
      </c>
      <c r="Q5464" t="s">
        <v>34</v>
      </c>
      <c r="R5464" t="s">
        <v>34</v>
      </c>
      <c r="S5464" t="s">
        <v>34</v>
      </c>
      <c r="T5464" s="117">
        <v>0</v>
      </c>
    </row>
    <row r="5465" spans="1:20" x14ac:dyDescent="0.35">
      <c r="A5465" t="s">
        <v>20</v>
      </c>
      <c r="B5465" t="s">
        <v>24</v>
      </c>
      <c r="C5465" s="1">
        <v>45967</v>
      </c>
      <c r="D5465">
        <f t="shared" si="593"/>
        <v>6</v>
      </c>
      <c r="E5465">
        <f t="shared" si="594"/>
        <v>11</v>
      </c>
      <c r="F5465">
        <f t="shared" si="595"/>
        <v>2025</v>
      </c>
      <c r="G5465" t="s">
        <v>1238</v>
      </c>
      <c r="H5465" s="121">
        <v>13400</v>
      </c>
      <c r="I5465" s="76">
        <v>194.46</v>
      </c>
      <c r="J5465" s="12" t="s">
        <v>31</v>
      </c>
      <c r="K5465" s="76">
        <f t="shared" si="586"/>
        <v>194.46</v>
      </c>
      <c r="L5465">
        <v>1</v>
      </c>
      <c r="M5465" s="94">
        <v>0</v>
      </c>
      <c r="N5465" t="s">
        <v>32</v>
      </c>
      <c r="O5465" t="s">
        <v>33</v>
      </c>
      <c r="P5465" t="s">
        <v>34</v>
      </c>
      <c r="Q5465" t="s">
        <v>34</v>
      </c>
      <c r="R5465" t="s">
        <v>34</v>
      </c>
      <c r="S5465" t="s">
        <v>34</v>
      </c>
      <c r="T5465" s="117">
        <v>0</v>
      </c>
    </row>
    <row r="5466" spans="1:20" x14ac:dyDescent="0.35">
      <c r="A5466" t="s">
        <v>20</v>
      </c>
      <c r="B5466" t="s">
        <v>21</v>
      </c>
      <c r="C5466" s="1">
        <v>45967</v>
      </c>
      <c r="D5466">
        <f t="shared" ref="D5466:D5495" si="596">DAY(C5466)</f>
        <v>6</v>
      </c>
      <c r="E5466">
        <f t="shared" ref="E5466:E5480" si="597">MONTH(C5466)</f>
        <v>11</v>
      </c>
      <c r="F5466">
        <f t="shared" ref="F5466:F5480" si="598">YEAR(C5466)</f>
        <v>2025</v>
      </c>
      <c r="G5466" t="s">
        <v>459</v>
      </c>
      <c r="H5466" s="121">
        <v>13612</v>
      </c>
      <c r="I5466" s="76">
        <v>2882.5</v>
      </c>
      <c r="J5466" s="12" t="s">
        <v>31</v>
      </c>
      <c r="K5466" s="76">
        <f t="shared" ref="K5466:K5522" si="599">IF(J5466="USD",I5466,I5466*L5466)</f>
        <v>2882.5</v>
      </c>
      <c r="L5466">
        <v>1</v>
      </c>
      <c r="M5466" s="94">
        <v>0</v>
      </c>
      <c r="N5466" t="s">
        <v>32</v>
      </c>
      <c r="O5466" t="s">
        <v>33</v>
      </c>
      <c r="P5466" t="s">
        <v>34</v>
      </c>
      <c r="Q5466" t="s">
        <v>34</v>
      </c>
      <c r="R5466" t="s">
        <v>34</v>
      </c>
      <c r="S5466" t="s">
        <v>34</v>
      </c>
      <c r="T5466" s="117">
        <v>0</v>
      </c>
    </row>
    <row r="5467" spans="1:20" x14ac:dyDescent="0.35">
      <c r="A5467" t="s">
        <v>20</v>
      </c>
      <c r="B5467" t="s">
        <v>25</v>
      </c>
      <c r="C5467" s="1">
        <v>45967</v>
      </c>
      <c r="D5467">
        <f t="shared" si="596"/>
        <v>6</v>
      </c>
      <c r="E5467">
        <f t="shared" si="597"/>
        <v>11</v>
      </c>
      <c r="F5467">
        <f t="shared" si="598"/>
        <v>2025</v>
      </c>
      <c r="G5467" s="4" t="s">
        <v>96</v>
      </c>
      <c r="H5467" s="121">
        <v>13648</v>
      </c>
      <c r="I5467" s="76">
        <v>198</v>
      </c>
      <c r="J5467" s="12" t="s">
        <v>31</v>
      </c>
      <c r="K5467" s="76">
        <f t="shared" si="599"/>
        <v>198</v>
      </c>
      <c r="L5467">
        <v>1</v>
      </c>
      <c r="M5467" s="94">
        <v>0</v>
      </c>
      <c r="N5467" t="s">
        <v>32</v>
      </c>
      <c r="O5467" t="s">
        <v>33</v>
      </c>
      <c r="P5467" t="s">
        <v>34</v>
      </c>
      <c r="Q5467" t="s">
        <v>34</v>
      </c>
      <c r="R5467" t="s">
        <v>34</v>
      </c>
      <c r="S5467" t="s">
        <v>34</v>
      </c>
      <c r="T5467" s="117">
        <v>0</v>
      </c>
    </row>
    <row r="5468" spans="1:20" x14ac:dyDescent="0.35">
      <c r="A5468" t="s">
        <v>20</v>
      </c>
      <c r="B5468" t="s">
        <v>25</v>
      </c>
      <c r="C5468" s="1">
        <v>45967</v>
      </c>
      <c r="D5468">
        <f t="shared" si="596"/>
        <v>6</v>
      </c>
      <c r="E5468">
        <f t="shared" si="597"/>
        <v>11</v>
      </c>
      <c r="F5468">
        <f t="shared" si="598"/>
        <v>2025</v>
      </c>
      <c r="G5468" t="s">
        <v>84</v>
      </c>
      <c r="H5468" s="121">
        <v>13556</v>
      </c>
      <c r="I5468" s="76">
        <v>17858.719999999998</v>
      </c>
      <c r="J5468" s="12" t="s">
        <v>31</v>
      </c>
      <c r="K5468" s="76">
        <f t="shared" si="599"/>
        <v>17858.719999999998</v>
      </c>
      <c r="L5468">
        <v>1</v>
      </c>
      <c r="M5468" s="94">
        <v>0</v>
      </c>
      <c r="N5468" t="s">
        <v>32</v>
      </c>
      <c r="O5468" t="s">
        <v>33</v>
      </c>
      <c r="P5468" t="s">
        <v>34</v>
      </c>
      <c r="Q5468" t="s">
        <v>34</v>
      </c>
      <c r="R5468" t="s">
        <v>34</v>
      </c>
      <c r="S5468" t="s">
        <v>34</v>
      </c>
      <c r="T5468" s="117">
        <v>0</v>
      </c>
    </row>
    <row r="5469" spans="1:20" x14ac:dyDescent="0.35">
      <c r="A5469" t="s">
        <v>20</v>
      </c>
      <c r="B5469" t="s">
        <v>21</v>
      </c>
      <c r="C5469" s="1">
        <v>45967</v>
      </c>
      <c r="D5469">
        <f t="shared" si="596"/>
        <v>6</v>
      </c>
      <c r="E5469">
        <f t="shared" si="597"/>
        <v>11</v>
      </c>
      <c r="F5469">
        <f t="shared" si="598"/>
        <v>2025</v>
      </c>
      <c r="G5469" t="s">
        <v>84</v>
      </c>
      <c r="H5469" s="121">
        <v>13556</v>
      </c>
      <c r="I5469" s="76">
        <v>18473.259999999998</v>
      </c>
      <c r="J5469" s="12" t="s">
        <v>31</v>
      </c>
      <c r="K5469" s="76">
        <f t="shared" si="599"/>
        <v>18473.259999999998</v>
      </c>
      <c r="L5469">
        <v>1</v>
      </c>
      <c r="M5469" s="94">
        <v>0</v>
      </c>
      <c r="N5469" t="s">
        <v>32</v>
      </c>
      <c r="O5469" t="s">
        <v>33</v>
      </c>
      <c r="P5469" t="s">
        <v>34</v>
      </c>
      <c r="Q5469" t="s">
        <v>34</v>
      </c>
      <c r="R5469" t="s">
        <v>34</v>
      </c>
      <c r="S5469" t="s">
        <v>34</v>
      </c>
      <c r="T5469" s="117">
        <v>0</v>
      </c>
    </row>
    <row r="5470" spans="1:20" x14ac:dyDescent="0.35">
      <c r="A5470" t="s">
        <v>20</v>
      </c>
      <c r="B5470" t="s">
        <v>25</v>
      </c>
      <c r="C5470" s="1">
        <v>45967</v>
      </c>
      <c r="D5470">
        <f t="shared" si="596"/>
        <v>6</v>
      </c>
      <c r="E5470">
        <f t="shared" si="597"/>
        <v>11</v>
      </c>
      <c r="F5470">
        <f t="shared" si="598"/>
        <v>2025</v>
      </c>
      <c r="G5470" t="s">
        <v>211</v>
      </c>
      <c r="H5470" s="121">
        <v>13727</v>
      </c>
      <c r="I5470" s="76">
        <v>471.72</v>
      </c>
      <c r="J5470" s="12" t="s">
        <v>31</v>
      </c>
      <c r="K5470" s="76">
        <f t="shared" si="599"/>
        <v>471.72</v>
      </c>
      <c r="L5470">
        <v>1</v>
      </c>
      <c r="M5470" s="94">
        <v>0</v>
      </c>
      <c r="N5470" t="s">
        <v>32</v>
      </c>
      <c r="O5470" t="s">
        <v>33</v>
      </c>
      <c r="P5470" t="s">
        <v>34</v>
      </c>
      <c r="Q5470" t="s">
        <v>34</v>
      </c>
      <c r="R5470" t="s">
        <v>34</v>
      </c>
      <c r="S5470" t="s">
        <v>34</v>
      </c>
      <c r="T5470" s="117">
        <v>0</v>
      </c>
    </row>
    <row r="5471" spans="1:20" x14ac:dyDescent="0.35">
      <c r="A5471" t="s">
        <v>20</v>
      </c>
      <c r="B5471" t="s">
        <v>25</v>
      </c>
      <c r="C5471" s="1">
        <v>45967</v>
      </c>
      <c r="D5471">
        <f t="shared" si="596"/>
        <v>6</v>
      </c>
      <c r="E5471">
        <f t="shared" si="597"/>
        <v>11</v>
      </c>
      <c r="F5471">
        <f t="shared" si="598"/>
        <v>2025</v>
      </c>
      <c r="G5471" t="s">
        <v>566</v>
      </c>
      <c r="H5471" s="121">
        <v>13767</v>
      </c>
      <c r="I5471" s="76">
        <v>3412.17</v>
      </c>
      <c r="J5471" s="12" t="s">
        <v>31</v>
      </c>
      <c r="K5471" s="76">
        <f t="shared" si="599"/>
        <v>3412.17</v>
      </c>
      <c r="L5471">
        <v>1</v>
      </c>
      <c r="M5471" s="94">
        <v>0</v>
      </c>
      <c r="N5471" t="s">
        <v>42</v>
      </c>
      <c r="O5471" t="s">
        <v>33</v>
      </c>
      <c r="P5471" t="s">
        <v>34</v>
      </c>
      <c r="Q5471" t="s">
        <v>34</v>
      </c>
      <c r="R5471" t="s">
        <v>34</v>
      </c>
      <c r="S5471" t="s">
        <v>34</v>
      </c>
      <c r="T5471" s="117">
        <v>0</v>
      </c>
    </row>
    <row r="5472" spans="1:20" x14ac:dyDescent="0.35">
      <c r="A5472" t="s">
        <v>20</v>
      </c>
      <c r="B5472" t="s">
        <v>24</v>
      </c>
      <c r="C5472" s="1">
        <v>45967</v>
      </c>
      <c r="D5472">
        <f t="shared" si="596"/>
        <v>6</v>
      </c>
      <c r="E5472">
        <f t="shared" si="597"/>
        <v>11</v>
      </c>
      <c r="F5472">
        <f t="shared" si="598"/>
        <v>2025</v>
      </c>
      <c r="G5472" t="s">
        <v>1189</v>
      </c>
      <c r="H5472" s="121">
        <v>13285</v>
      </c>
      <c r="I5472" s="76">
        <v>29736</v>
      </c>
      <c r="J5472" s="12" t="s">
        <v>31</v>
      </c>
      <c r="K5472" s="76">
        <f t="shared" si="599"/>
        <v>29736</v>
      </c>
      <c r="L5472">
        <v>1</v>
      </c>
      <c r="M5472" s="94">
        <v>0</v>
      </c>
      <c r="N5472" t="s">
        <v>42</v>
      </c>
      <c r="O5472" t="s">
        <v>33</v>
      </c>
      <c r="P5472" t="s">
        <v>34</v>
      </c>
      <c r="Q5472" t="s">
        <v>34</v>
      </c>
      <c r="R5472" t="s">
        <v>34</v>
      </c>
      <c r="S5472" t="s">
        <v>34</v>
      </c>
      <c r="T5472" s="117">
        <v>0</v>
      </c>
    </row>
    <row r="5473" spans="1:21" x14ac:dyDescent="0.35">
      <c r="A5473" t="s">
        <v>20</v>
      </c>
      <c r="B5473" t="s">
        <v>21</v>
      </c>
      <c r="C5473" s="1">
        <v>45967</v>
      </c>
      <c r="D5473">
        <f t="shared" si="596"/>
        <v>6</v>
      </c>
      <c r="E5473">
        <f t="shared" si="597"/>
        <v>11</v>
      </c>
      <c r="F5473">
        <f t="shared" si="598"/>
        <v>2025</v>
      </c>
      <c r="G5473" t="s">
        <v>299</v>
      </c>
      <c r="H5473" s="121">
        <v>14034</v>
      </c>
      <c r="I5473" s="76">
        <v>146</v>
      </c>
      <c r="J5473" s="12" t="s">
        <v>31</v>
      </c>
      <c r="K5473" s="76">
        <f t="shared" si="599"/>
        <v>146</v>
      </c>
      <c r="L5473">
        <v>1</v>
      </c>
      <c r="M5473" s="94">
        <v>0</v>
      </c>
      <c r="N5473" t="s">
        <v>42</v>
      </c>
      <c r="O5473" t="s">
        <v>33</v>
      </c>
      <c r="P5473" t="s">
        <v>34</v>
      </c>
      <c r="Q5473" t="s">
        <v>34</v>
      </c>
      <c r="R5473" t="s">
        <v>34</v>
      </c>
      <c r="S5473" t="s">
        <v>34</v>
      </c>
      <c r="T5473" s="117">
        <v>0</v>
      </c>
    </row>
    <row r="5474" spans="1:21" x14ac:dyDescent="0.35">
      <c r="A5474" t="s">
        <v>20</v>
      </c>
      <c r="B5474" t="s">
        <v>21</v>
      </c>
      <c r="C5474" s="1">
        <v>45967</v>
      </c>
      <c r="D5474">
        <f t="shared" si="596"/>
        <v>6</v>
      </c>
      <c r="E5474">
        <f t="shared" si="597"/>
        <v>11</v>
      </c>
      <c r="F5474">
        <f t="shared" si="598"/>
        <v>2025</v>
      </c>
      <c r="G5474" t="s">
        <v>299</v>
      </c>
      <c r="H5474" s="121">
        <v>14034</v>
      </c>
      <c r="I5474" s="76">
        <v>33</v>
      </c>
      <c r="J5474" s="12" t="s">
        <v>31</v>
      </c>
      <c r="K5474" s="76">
        <f t="shared" si="599"/>
        <v>33</v>
      </c>
      <c r="L5474">
        <v>1</v>
      </c>
      <c r="M5474" s="94">
        <v>0</v>
      </c>
      <c r="N5474" t="s">
        <v>42</v>
      </c>
      <c r="O5474" t="s">
        <v>33</v>
      </c>
      <c r="P5474" t="s">
        <v>34</v>
      </c>
      <c r="Q5474" t="s">
        <v>34</v>
      </c>
      <c r="R5474" t="s">
        <v>34</v>
      </c>
      <c r="S5474" t="s">
        <v>34</v>
      </c>
      <c r="T5474" s="117">
        <v>0</v>
      </c>
    </row>
    <row r="5475" spans="1:21" x14ac:dyDescent="0.35">
      <c r="A5475" t="s">
        <v>20</v>
      </c>
      <c r="B5475" t="s">
        <v>21</v>
      </c>
      <c r="C5475" s="1">
        <v>45967</v>
      </c>
      <c r="D5475">
        <f t="shared" si="596"/>
        <v>6</v>
      </c>
      <c r="E5475">
        <f t="shared" si="597"/>
        <v>11</v>
      </c>
      <c r="F5475">
        <f t="shared" si="598"/>
        <v>2025</v>
      </c>
      <c r="G5475" t="s">
        <v>299</v>
      </c>
      <c r="H5475" s="121">
        <v>14036</v>
      </c>
      <c r="I5475" s="76">
        <v>1893.2550000000001</v>
      </c>
      <c r="J5475" s="12" t="s">
        <v>31</v>
      </c>
      <c r="K5475" s="76">
        <f t="shared" si="599"/>
        <v>1893.2550000000001</v>
      </c>
      <c r="L5475">
        <v>1</v>
      </c>
      <c r="M5475" s="94">
        <v>0</v>
      </c>
      <c r="N5475" t="s">
        <v>42</v>
      </c>
      <c r="O5475" t="s">
        <v>33</v>
      </c>
      <c r="P5475" t="s">
        <v>34</v>
      </c>
      <c r="Q5475" t="s">
        <v>34</v>
      </c>
      <c r="R5475" t="s">
        <v>34</v>
      </c>
      <c r="S5475" t="s">
        <v>34</v>
      </c>
      <c r="T5475" s="117">
        <v>0</v>
      </c>
    </row>
    <row r="5476" spans="1:21" x14ac:dyDescent="0.35">
      <c r="A5476" t="s">
        <v>20</v>
      </c>
      <c r="B5476" t="s">
        <v>21</v>
      </c>
      <c r="C5476" s="1">
        <v>45967</v>
      </c>
      <c r="D5476">
        <f t="shared" si="596"/>
        <v>6</v>
      </c>
      <c r="E5476">
        <f t="shared" si="597"/>
        <v>11</v>
      </c>
      <c r="F5476">
        <f t="shared" si="598"/>
        <v>2025</v>
      </c>
      <c r="G5476" t="s">
        <v>299</v>
      </c>
      <c r="H5476" s="121">
        <v>14035</v>
      </c>
      <c r="I5476" s="76">
        <v>164.67</v>
      </c>
      <c r="J5476" s="12" t="s">
        <v>31</v>
      </c>
      <c r="K5476" s="76">
        <f t="shared" si="599"/>
        <v>164.67</v>
      </c>
      <c r="L5476">
        <v>1</v>
      </c>
      <c r="M5476" s="94">
        <v>0</v>
      </c>
      <c r="N5476" t="s">
        <v>42</v>
      </c>
      <c r="O5476" t="s">
        <v>33</v>
      </c>
      <c r="P5476" t="s">
        <v>34</v>
      </c>
      <c r="Q5476" t="s">
        <v>34</v>
      </c>
      <c r="R5476" t="s">
        <v>34</v>
      </c>
      <c r="S5476" t="s">
        <v>34</v>
      </c>
      <c r="T5476" s="117">
        <v>0</v>
      </c>
    </row>
    <row r="5477" spans="1:21" x14ac:dyDescent="0.35">
      <c r="A5477" t="s">
        <v>20</v>
      </c>
      <c r="B5477" t="s">
        <v>21</v>
      </c>
      <c r="C5477" s="1">
        <v>45967</v>
      </c>
      <c r="D5477">
        <f t="shared" si="596"/>
        <v>6</v>
      </c>
      <c r="E5477">
        <f t="shared" si="597"/>
        <v>11</v>
      </c>
      <c r="F5477">
        <f t="shared" si="598"/>
        <v>2025</v>
      </c>
      <c r="G5477" t="s">
        <v>595</v>
      </c>
      <c r="H5477" s="121">
        <v>13255</v>
      </c>
      <c r="I5477" s="76">
        <v>5814.27</v>
      </c>
      <c r="J5477" s="12" t="s">
        <v>31</v>
      </c>
      <c r="K5477" s="76">
        <f t="shared" si="599"/>
        <v>5814.27</v>
      </c>
      <c r="L5477">
        <v>1</v>
      </c>
      <c r="M5477" s="94">
        <v>0</v>
      </c>
      <c r="N5477" t="s">
        <v>42</v>
      </c>
      <c r="O5477" t="s">
        <v>33</v>
      </c>
      <c r="P5477" t="s">
        <v>34</v>
      </c>
      <c r="Q5477" t="s">
        <v>34</v>
      </c>
      <c r="R5477" t="s">
        <v>34</v>
      </c>
      <c r="S5477" t="s">
        <v>34</v>
      </c>
      <c r="T5477" s="117">
        <v>0</v>
      </c>
    </row>
    <row r="5478" spans="1:21" x14ac:dyDescent="0.35">
      <c r="A5478" t="s">
        <v>20</v>
      </c>
      <c r="B5478" t="s">
        <v>24</v>
      </c>
      <c r="C5478" s="1">
        <v>45967</v>
      </c>
      <c r="D5478">
        <f t="shared" si="596"/>
        <v>6</v>
      </c>
      <c r="E5478">
        <f t="shared" si="597"/>
        <v>11</v>
      </c>
      <c r="F5478">
        <f t="shared" si="598"/>
        <v>2025</v>
      </c>
      <c r="G5478" t="s">
        <v>1327</v>
      </c>
      <c r="H5478" s="121">
        <v>13468</v>
      </c>
      <c r="I5478" s="76">
        <v>1269.2</v>
      </c>
      <c r="J5478" s="12" t="s">
        <v>31</v>
      </c>
      <c r="K5478" s="76">
        <f t="shared" si="599"/>
        <v>1269.2</v>
      </c>
      <c r="L5478">
        <v>1</v>
      </c>
      <c r="M5478" s="94">
        <v>0</v>
      </c>
      <c r="N5478" t="s">
        <v>32</v>
      </c>
      <c r="O5478" t="s">
        <v>33</v>
      </c>
      <c r="P5478" t="s">
        <v>34</v>
      </c>
      <c r="Q5478" t="s">
        <v>34</v>
      </c>
      <c r="R5478" t="s">
        <v>34</v>
      </c>
      <c r="S5478" t="s">
        <v>34</v>
      </c>
      <c r="T5478" s="117">
        <v>0</v>
      </c>
    </row>
    <row r="5479" spans="1:21" x14ac:dyDescent="0.35">
      <c r="A5479" t="s">
        <v>20</v>
      </c>
      <c r="B5479" t="s">
        <v>25</v>
      </c>
      <c r="C5479" s="1">
        <v>45967</v>
      </c>
      <c r="D5479">
        <f t="shared" si="596"/>
        <v>6</v>
      </c>
      <c r="E5479">
        <f t="shared" si="597"/>
        <v>11</v>
      </c>
      <c r="F5479">
        <f t="shared" si="598"/>
        <v>2025</v>
      </c>
      <c r="G5479" t="s">
        <v>174</v>
      </c>
      <c r="H5479" s="121">
        <v>14019</v>
      </c>
      <c r="I5479" s="76">
        <v>88.6</v>
      </c>
      <c r="J5479" s="12" t="s">
        <v>31</v>
      </c>
      <c r="K5479" s="76">
        <f t="shared" si="599"/>
        <v>88.6</v>
      </c>
      <c r="L5479">
        <v>1</v>
      </c>
      <c r="M5479" s="94">
        <v>0</v>
      </c>
      <c r="N5479" t="s">
        <v>42</v>
      </c>
      <c r="O5479" t="s">
        <v>33</v>
      </c>
      <c r="P5479" t="s">
        <v>34</v>
      </c>
      <c r="Q5479" t="s">
        <v>34</v>
      </c>
      <c r="R5479" t="s">
        <v>34</v>
      </c>
      <c r="S5479" t="s">
        <v>34</v>
      </c>
      <c r="T5479" s="117">
        <v>0</v>
      </c>
    </row>
    <row r="5480" spans="1:21" x14ac:dyDescent="0.35">
      <c r="A5480" t="s">
        <v>20</v>
      </c>
      <c r="B5480" t="s">
        <v>25</v>
      </c>
      <c r="C5480" s="1">
        <v>45967</v>
      </c>
      <c r="D5480">
        <f t="shared" si="596"/>
        <v>6</v>
      </c>
      <c r="E5480">
        <f t="shared" si="597"/>
        <v>11</v>
      </c>
      <c r="F5480">
        <f t="shared" si="598"/>
        <v>2025</v>
      </c>
      <c r="G5480" t="s">
        <v>174</v>
      </c>
      <c r="H5480" s="121">
        <v>14021</v>
      </c>
      <c r="I5480" s="76">
        <v>1315.71</v>
      </c>
      <c r="J5480" s="12" t="s">
        <v>31</v>
      </c>
      <c r="K5480" s="76">
        <f t="shared" si="599"/>
        <v>1315.71</v>
      </c>
      <c r="L5480">
        <v>1</v>
      </c>
      <c r="M5480" s="94">
        <v>0</v>
      </c>
      <c r="N5480" t="s">
        <v>42</v>
      </c>
      <c r="O5480" t="s">
        <v>33</v>
      </c>
      <c r="P5480" t="s">
        <v>34</v>
      </c>
      <c r="Q5480" t="s">
        <v>34</v>
      </c>
      <c r="R5480" t="s">
        <v>34</v>
      </c>
      <c r="S5480" t="s">
        <v>34</v>
      </c>
      <c r="T5480" s="117">
        <v>0</v>
      </c>
    </row>
    <row r="5481" spans="1:21" x14ac:dyDescent="0.35">
      <c r="A5481" t="s">
        <v>19</v>
      </c>
      <c r="B5481" t="s">
        <v>26</v>
      </c>
      <c r="C5481" s="1">
        <v>45968</v>
      </c>
      <c r="D5481">
        <f t="shared" ref="D5481:D5488" si="600">DAY(C5481)</f>
        <v>7</v>
      </c>
      <c r="E5481">
        <f t="shared" ref="E5481:E5488" si="601">MONTH(C5481)</f>
        <v>11</v>
      </c>
      <c r="F5481">
        <f t="shared" ref="F5481:F5488" si="602">YEAR(C5481)</f>
        <v>2025</v>
      </c>
      <c r="G5481" t="s">
        <v>73</v>
      </c>
      <c r="H5481" s="121">
        <v>13989</v>
      </c>
      <c r="I5481">
        <v>14529.73</v>
      </c>
      <c r="J5481" s="12" t="s">
        <v>51</v>
      </c>
      <c r="K5481" s="76">
        <f t="shared" si="599"/>
        <v>16847.221934999998</v>
      </c>
      <c r="L5481">
        <v>1.1595</v>
      </c>
      <c r="M5481" s="94">
        <v>0</v>
      </c>
      <c r="N5481" t="s">
        <v>32</v>
      </c>
      <c r="O5481" t="s">
        <v>33</v>
      </c>
      <c r="P5481" t="s">
        <v>34</v>
      </c>
      <c r="Q5481" t="s">
        <v>34</v>
      </c>
      <c r="R5481" t="s">
        <v>34</v>
      </c>
      <c r="S5481" t="s">
        <v>34</v>
      </c>
      <c r="T5481" s="117">
        <v>0</v>
      </c>
      <c r="U5481" s="209" t="s">
        <v>94</v>
      </c>
    </row>
    <row r="5482" spans="1:21" x14ac:dyDescent="0.35">
      <c r="A5482" t="s">
        <v>19</v>
      </c>
      <c r="B5482" t="s">
        <v>26</v>
      </c>
      <c r="C5482" s="1">
        <v>45968</v>
      </c>
      <c r="D5482">
        <f t="shared" si="600"/>
        <v>7</v>
      </c>
      <c r="E5482">
        <f t="shared" si="601"/>
        <v>11</v>
      </c>
      <c r="F5482">
        <f t="shared" si="602"/>
        <v>2025</v>
      </c>
      <c r="G5482" t="s">
        <v>73</v>
      </c>
      <c r="H5482" s="121">
        <v>14003</v>
      </c>
      <c r="I5482">
        <v>57369.72</v>
      </c>
      <c r="J5482" s="12" t="s">
        <v>51</v>
      </c>
      <c r="K5482" s="76">
        <f t="shared" si="599"/>
        <v>66520.190340000001</v>
      </c>
      <c r="L5482">
        <v>1.1595</v>
      </c>
      <c r="M5482" s="94">
        <v>0</v>
      </c>
      <c r="N5482" t="s">
        <v>32</v>
      </c>
      <c r="O5482" t="s">
        <v>33</v>
      </c>
      <c r="P5482" t="s">
        <v>34</v>
      </c>
      <c r="Q5482" t="s">
        <v>34</v>
      </c>
      <c r="R5482" t="s">
        <v>34</v>
      </c>
      <c r="S5482" t="s">
        <v>34</v>
      </c>
      <c r="T5482" s="117">
        <v>0</v>
      </c>
      <c r="U5482" s="209" t="s">
        <v>94</v>
      </c>
    </row>
    <row r="5483" spans="1:21" x14ac:dyDescent="0.35">
      <c r="A5483" t="s">
        <v>19</v>
      </c>
      <c r="B5483" t="s">
        <v>26</v>
      </c>
      <c r="C5483" s="1">
        <v>45968</v>
      </c>
      <c r="D5483">
        <f t="shared" si="600"/>
        <v>7</v>
      </c>
      <c r="E5483">
        <f t="shared" si="601"/>
        <v>11</v>
      </c>
      <c r="F5483">
        <f t="shared" si="602"/>
        <v>2025</v>
      </c>
      <c r="G5483" t="s">
        <v>73</v>
      </c>
      <c r="H5483" s="121">
        <v>14004</v>
      </c>
      <c r="I5483">
        <v>62543.33</v>
      </c>
      <c r="J5483" s="12" t="s">
        <v>51</v>
      </c>
      <c r="K5483" s="76">
        <f t="shared" si="599"/>
        <v>72518.991135000004</v>
      </c>
      <c r="L5483">
        <v>1.1595</v>
      </c>
      <c r="M5483" s="94">
        <v>0</v>
      </c>
      <c r="N5483" t="s">
        <v>32</v>
      </c>
      <c r="O5483" t="s">
        <v>33</v>
      </c>
      <c r="P5483" t="s">
        <v>34</v>
      </c>
      <c r="Q5483" t="s">
        <v>34</v>
      </c>
      <c r="R5483" t="s">
        <v>34</v>
      </c>
      <c r="S5483" t="s">
        <v>34</v>
      </c>
      <c r="T5483" s="117">
        <v>0</v>
      </c>
      <c r="U5483" s="209" t="s">
        <v>94</v>
      </c>
    </row>
    <row r="5484" spans="1:21" x14ac:dyDescent="0.35">
      <c r="A5484" t="s">
        <v>19</v>
      </c>
      <c r="B5484" t="s">
        <v>26</v>
      </c>
      <c r="C5484" s="1">
        <v>45968</v>
      </c>
      <c r="D5484">
        <f t="shared" si="600"/>
        <v>7</v>
      </c>
      <c r="E5484">
        <f t="shared" si="601"/>
        <v>11</v>
      </c>
      <c r="F5484">
        <f t="shared" si="602"/>
        <v>2025</v>
      </c>
      <c r="G5484" t="s">
        <v>73</v>
      </c>
      <c r="H5484" s="121">
        <v>14005</v>
      </c>
      <c r="I5484">
        <v>13135.39</v>
      </c>
      <c r="J5484" s="12" t="s">
        <v>51</v>
      </c>
      <c r="K5484" s="76">
        <f t="shared" si="599"/>
        <v>15230.484704999999</v>
      </c>
      <c r="L5484">
        <v>1.1595</v>
      </c>
      <c r="M5484" s="94">
        <v>0</v>
      </c>
      <c r="N5484" t="s">
        <v>32</v>
      </c>
      <c r="O5484" t="s">
        <v>33</v>
      </c>
      <c r="P5484" t="s">
        <v>34</v>
      </c>
      <c r="Q5484" t="s">
        <v>34</v>
      </c>
      <c r="R5484" t="s">
        <v>34</v>
      </c>
      <c r="S5484" t="s">
        <v>34</v>
      </c>
      <c r="T5484" s="117">
        <v>0</v>
      </c>
      <c r="U5484" s="209" t="s">
        <v>94</v>
      </c>
    </row>
    <row r="5485" spans="1:21" x14ac:dyDescent="0.35">
      <c r="A5485" t="s">
        <v>19</v>
      </c>
      <c r="B5485" t="s">
        <v>26</v>
      </c>
      <c r="C5485" s="1">
        <v>45968</v>
      </c>
      <c r="D5485">
        <f t="shared" si="600"/>
        <v>7</v>
      </c>
      <c r="E5485">
        <f t="shared" si="601"/>
        <v>11</v>
      </c>
      <c r="F5485">
        <f t="shared" si="602"/>
        <v>2025</v>
      </c>
      <c r="G5485" t="s">
        <v>187</v>
      </c>
      <c r="H5485" s="121">
        <v>0</v>
      </c>
      <c r="I5485">
        <v>19753.8</v>
      </c>
      <c r="J5485" s="12" t="s">
        <v>51</v>
      </c>
      <c r="K5485" s="76">
        <f>IF(J5485="USD",I5485,I5485*L5485)</f>
        <v>22904.5311</v>
      </c>
      <c r="L5485">
        <v>1.1595</v>
      </c>
      <c r="M5485" s="94">
        <v>0</v>
      </c>
      <c r="N5485" t="s">
        <v>32</v>
      </c>
      <c r="O5485" t="s">
        <v>33</v>
      </c>
      <c r="P5485" t="s">
        <v>34</v>
      </c>
      <c r="Q5485" t="s">
        <v>34</v>
      </c>
      <c r="R5485" t="s">
        <v>34</v>
      </c>
      <c r="S5485" t="s">
        <v>34</v>
      </c>
      <c r="T5485" s="117">
        <v>0</v>
      </c>
      <c r="U5485" s="209" t="s">
        <v>94</v>
      </c>
    </row>
    <row r="5486" spans="1:21" x14ac:dyDescent="0.35">
      <c r="A5486" t="s">
        <v>20</v>
      </c>
      <c r="B5486" t="s">
        <v>23</v>
      </c>
      <c r="C5486" s="1">
        <v>45968</v>
      </c>
      <c r="D5486">
        <f t="shared" si="600"/>
        <v>7</v>
      </c>
      <c r="E5486">
        <f t="shared" si="601"/>
        <v>11</v>
      </c>
      <c r="F5486">
        <f t="shared" si="602"/>
        <v>2025</v>
      </c>
      <c r="G5486" t="s">
        <v>1109</v>
      </c>
      <c r="H5486" s="121">
        <v>13496</v>
      </c>
      <c r="I5486" s="15">
        <v>35109.15</v>
      </c>
      <c r="J5486" s="12" t="s">
        <v>31</v>
      </c>
      <c r="K5486" s="76">
        <f>IF(J5486="USD",I5486,I5486*L5486)</f>
        <v>35109.15</v>
      </c>
      <c r="L5486">
        <v>1</v>
      </c>
      <c r="M5486" s="94">
        <v>0</v>
      </c>
      <c r="N5486" t="s">
        <v>32</v>
      </c>
      <c r="O5486" t="s">
        <v>33</v>
      </c>
      <c r="P5486" t="s">
        <v>34</v>
      </c>
      <c r="Q5486" t="s">
        <v>34</v>
      </c>
      <c r="R5486" t="s">
        <v>34</v>
      </c>
      <c r="S5486" t="s">
        <v>34</v>
      </c>
      <c r="T5486" s="117">
        <v>0</v>
      </c>
    </row>
    <row r="5487" spans="1:21" x14ac:dyDescent="0.35">
      <c r="A5487" t="s">
        <v>20</v>
      </c>
      <c r="B5487" t="s">
        <v>25</v>
      </c>
      <c r="C5487" s="1">
        <v>45968</v>
      </c>
      <c r="D5487">
        <f t="shared" si="600"/>
        <v>7</v>
      </c>
      <c r="E5487">
        <f t="shared" si="601"/>
        <v>11</v>
      </c>
      <c r="F5487">
        <f t="shared" si="602"/>
        <v>2025</v>
      </c>
      <c r="G5487" t="s">
        <v>1311</v>
      </c>
      <c r="H5487" s="121">
        <v>13268</v>
      </c>
      <c r="I5487" s="15">
        <v>13600.01</v>
      </c>
      <c r="J5487" s="12" t="s">
        <v>51</v>
      </c>
      <c r="K5487" s="76">
        <f t="shared" ref="K5487:K5491" si="603">IF(J5487="USD",I5487,I5487*L5487)</f>
        <v>15789.546817940896</v>
      </c>
      <c r="L5487">
        <v>1.1609952358815101</v>
      </c>
      <c r="M5487" s="94">
        <v>0</v>
      </c>
      <c r="N5487" t="s">
        <v>32</v>
      </c>
      <c r="O5487" t="s">
        <v>33</v>
      </c>
      <c r="P5487" t="s">
        <v>34</v>
      </c>
      <c r="Q5487" t="s">
        <v>34</v>
      </c>
      <c r="R5487" t="s">
        <v>34</v>
      </c>
      <c r="S5487" t="s">
        <v>34</v>
      </c>
      <c r="T5487" s="117">
        <v>0</v>
      </c>
    </row>
    <row r="5488" spans="1:21" x14ac:dyDescent="0.35">
      <c r="A5488" t="s">
        <v>20</v>
      </c>
      <c r="B5488" t="s">
        <v>25</v>
      </c>
      <c r="C5488" s="1">
        <v>45968</v>
      </c>
      <c r="D5488">
        <f t="shared" si="600"/>
        <v>7</v>
      </c>
      <c r="E5488">
        <f t="shared" si="601"/>
        <v>11</v>
      </c>
      <c r="F5488">
        <f t="shared" si="602"/>
        <v>2025</v>
      </c>
      <c r="G5488" t="s">
        <v>1311</v>
      </c>
      <c r="H5488" s="121">
        <v>13267</v>
      </c>
      <c r="I5488" s="15">
        <v>264</v>
      </c>
      <c r="J5488" s="12" t="s">
        <v>51</v>
      </c>
      <c r="K5488" s="76">
        <f t="shared" si="603"/>
        <v>306.50274227271865</v>
      </c>
      <c r="L5488">
        <v>1.1609952358815101</v>
      </c>
      <c r="M5488" s="94">
        <v>0</v>
      </c>
      <c r="N5488" t="s">
        <v>32</v>
      </c>
      <c r="O5488" t="s">
        <v>33</v>
      </c>
      <c r="P5488" t="s">
        <v>34</v>
      </c>
      <c r="Q5488" t="s">
        <v>34</v>
      </c>
      <c r="R5488" t="s">
        <v>34</v>
      </c>
      <c r="S5488" t="s">
        <v>34</v>
      </c>
      <c r="T5488" s="117">
        <v>0</v>
      </c>
    </row>
    <row r="5489" spans="1:20" x14ac:dyDescent="0.35">
      <c r="A5489" t="s">
        <v>20</v>
      </c>
      <c r="B5489" t="s">
        <v>25</v>
      </c>
      <c r="C5489" s="1">
        <v>45968</v>
      </c>
      <c r="D5489">
        <f t="shared" ref="D5489:D5491" si="604">DAY(C5489)</f>
        <v>7</v>
      </c>
      <c r="E5489">
        <f t="shared" ref="E5489:E5490" si="605">MONTH(C5489)</f>
        <v>11</v>
      </c>
      <c r="F5489">
        <f t="shared" ref="F5489:F5490" si="606">YEAR(C5489)</f>
        <v>2025</v>
      </c>
      <c r="G5489" t="s">
        <v>1311</v>
      </c>
      <c r="H5489" s="121">
        <v>13247</v>
      </c>
      <c r="I5489">
        <v>42914.65</v>
      </c>
      <c r="J5489" s="12" t="s">
        <v>51</v>
      </c>
      <c r="K5489" s="76">
        <f t="shared" si="603"/>
        <v>49823.70419952245</v>
      </c>
      <c r="L5489">
        <v>1.1609952358815101</v>
      </c>
      <c r="M5489" s="94">
        <v>0</v>
      </c>
      <c r="N5489" t="s">
        <v>32</v>
      </c>
      <c r="O5489" t="s">
        <v>33</v>
      </c>
      <c r="P5489" t="s">
        <v>34</v>
      </c>
      <c r="Q5489" t="s">
        <v>34</v>
      </c>
      <c r="R5489" t="s">
        <v>34</v>
      </c>
      <c r="S5489" t="s">
        <v>34</v>
      </c>
      <c r="T5489" s="117">
        <v>0</v>
      </c>
    </row>
    <row r="5490" spans="1:20" x14ac:dyDescent="0.35">
      <c r="A5490" t="s">
        <v>20</v>
      </c>
      <c r="B5490" t="s">
        <v>25</v>
      </c>
      <c r="C5490" s="1">
        <v>45968</v>
      </c>
      <c r="D5490">
        <f t="shared" si="604"/>
        <v>7</v>
      </c>
      <c r="E5490">
        <f t="shared" si="605"/>
        <v>11</v>
      </c>
      <c r="F5490">
        <f t="shared" si="606"/>
        <v>2025</v>
      </c>
      <c r="G5490" t="s">
        <v>1311</v>
      </c>
      <c r="H5490" s="121">
        <v>13386</v>
      </c>
      <c r="I5490" s="76">
        <v>10098.35</v>
      </c>
      <c r="J5490" s="12" t="s">
        <v>51</v>
      </c>
      <c r="K5490" s="76">
        <f t="shared" si="603"/>
        <v>11724.136240264048</v>
      </c>
      <c r="L5490">
        <v>1.1609952358815101</v>
      </c>
      <c r="M5490" s="94">
        <v>0</v>
      </c>
      <c r="N5490" t="s">
        <v>32</v>
      </c>
      <c r="O5490" t="s">
        <v>33</v>
      </c>
      <c r="P5490" t="s">
        <v>34</v>
      </c>
      <c r="Q5490" t="s">
        <v>34</v>
      </c>
      <c r="R5490" t="s">
        <v>34</v>
      </c>
      <c r="S5490" t="s">
        <v>34</v>
      </c>
      <c r="T5490" s="117">
        <v>0</v>
      </c>
    </row>
    <row r="5491" spans="1:20" x14ac:dyDescent="0.35">
      <c r="A5491" t="s">
        <v>20</v>
      </c>
      <c r="B5491" t="s">
        <v>25</v>
      </c>
      <c r="C5491" s="1">
        <v>45968</v>
      </c>
      <c r="D5491">
        <f t="shared" si="604"/>
        <v>7</v>
      </c>
      <c r="E5491">
        <f t="shared" ref="E5491" si="607">MONTH(C5491)</f>
        <v>11</v>
      </c>
      <c r="F5491">
        <f t="shared" ref="F5491" si="608">YEAR(C5491)</f>
        <v>2025</v>
      </c>
      <c r="G5491" t="s">
        <v>442</v>
      </c>
      <c r="H5491" s="121">
        <v>13385</v>
      </c>
      <c r="I5491" s="76">
        <v>139</v>
      </c>
      <c r="J5491" s="12" t="s">
        <v>51</v>
      </c>
      <c r="K5491" s="76">
        <f t="shared" si="603"/>
        <v>161.37899999999999</v>
      </c>
      <c r="L5491">
        <v>1.161</v>
      </c>
      <c r="M5491" s="76"/>
      <c r="N5491" t="s">
        <v>32</v>
      </c>
      <c r="O5491" t="s">
        <v>33</v>
      </c>
      <c r="P5491" t="s">
        <v>34</v>
      </c>
      <c r="Q5491" t="s">
        <v>34</v>
      </c>
      <c r="R5491" t="s">
        <v>34</v>
      </c>
      <c r="S5491" t="s">
        <v>34</v>
      </c>
      <c r="T5491" s="117">
        <v>0</v>
      </c>
    </row>
    <row r="5492" spans="1:20" x14ac:dyDescent="0.35">
      <c r="A5492" t="s">
        <v>19</v>
      </c>
      <c r="B5492" t="s">
        <v>19</v>
      </c>
      <c r="C5492" s="1">
        <v>45967</v>
      </c>
      <c r="D5492">
        <f t="shared" si="596"/>
        <v>6</v>
      </c>
      <c r="E5492">
        <f t="shared" ref="E5492:E5495" si="609">MONTH(C5492)</f>
        <v>11</v>
      </c>
      <c r="F5492">
        <f t="shared" ref="F5492:F5495" si="610">YEAR(C5492)</f>
        <v>2025</v>
      </c>
      <c r="G5492" t="s">
        <v>56</v>
      </c>
      <c r="H5492" s="121" t="s">
        <v>1464</v>
      </c>
      <c r="I5492" s="15">
        <v>90536.42</v>
      </c>
      <c r="J5492" s="12" t="s">
        <v>31</v>
      </c>
      <c r="K5492" s="76">
        <f t="shared" ref="K5492" si="611">IF(J5492="USD",I5492,I5492*L5492)</f>
        <v>90536.42</v>
      </c>
      <c r="L5492">
        <v>1</v>
      </c>
      <c r="M5492" s="94">
        <v>0</v>
      </c>
      <c r="N5492" t="s">
        <v>32</v>
      </c>
      <c r="O5492" t="s">
        <v>33</v>
      </c>
      <c r="P5492" t="s">
        <v>34</v>
      </c>
      <c r="Q5492" t="s">
        <v>34</v>
      </c>
      <c r="R5492" t="s">
        <v>34</v>
      </c>
      <c r="S5492" t="s">
        <v>34</v>
      </c>
      <c r="T5492" s="117">
        <v>0</v>
      </c>
    </row>
    <row r="5493" spans="1:20" x14ac:dyDescent="0.35">
      <c r="A5493" t="s">
        <v>19</v>
      </c>
      <c r="B5493" t="s">
        <v>19</v>
      </c>
      <c r="C5493" s="1">
        <v>45967</v>
      </c>
      <c r="D5493">
        <f t="shared" si="596"/>
        <v>6</v>
      </c>
      <c r="E5493">
        <f t="shared" si="609"/>
        <v>11</v>
      </c>
      <c r="F5493">
        <f t="shared" si="610"/>
        <v>2025</v>
      </c>
      <c r="G5493" t="s">
        <v>56</v>
      </c>
      <c r="H5493" s="121" t="s">
        <v>1481</v>
      </c>
      <c r="I5493" s="15">
        <v>175020.63</v>
      </c>
      <c r="J5493" s="12" t="s">
        <v>31</v>
      </c>
      <c r="K5493" s="76">
        <f t="shared" si="599"/>
        <v>175020.63</v>
      </c>
      <c r="L5493">
        <v>1</v>
      </c>
      <c r="M5493" s="94">
        <v>0</v>
      </c>
      <c r="N5493" t="s">
        <v>32</v>
      </c>
      <c r="O5493" t="s">
        <v>33</v>
      </c>
      <c r="P5493" t="s">
        <v>34</v>
      </c>
      <c r="Q5493" t="s">
        <v>34</v>
      </c>
      <c r="R5493" t="s">
        <v>34</v>
      </c>
      <c r="S5493" t="s">
        <v>34</v>
      </c>
      <c r="T5493" s="117">
        <v>0</v>
      </c>
    </row>
    <row r="5494" spans="1:20" x14ac:dyDescent="0.35">
      <c r="A5494" t="s">
        <v>19</v>
      </c>
      <c r="B5494" t="s">
        <v>19</v>
      </c>
      <c r="C5494" s="1">
        <v>45967</v>
      </c>
      <c r="D5494">
        <f t="shared" si="596"/>
        <v>6</v>
      </c>
      <c r="E5494">
        <f t="shared" si="609"/>
        <v>11</v>
      </c>
      <c r="F5494">
        <f t="shared" si="610"/>
        <v>2025</v>
      </c>
      <c r="G5494" t="s">
        <v>56</v>
      </c>
      <c r="H5494" s="121" t="s">
        <v>1482</v>
      </c>
      <c r="I5494" s="15">
        <v>178840.09</v>
      </c>
      <c r="J5494" s="12" t="s">
        <v>31</v>
      </c>
      <c r="K5494" s="76">
        <f t="shared" si="599"/>
        <v>178840.09</v>
      </c>
      <c r="L5494">
        <v>1</v>
      </c>
      <c r="M5494" s="94">
        <v>0</v>
      </c>
      <c r="N5494" t="s">
        <v>32</v>
      </c>
      <c r="O5494" t="s">
        <v>33</v>
      </c>
      <c r="P5494" t="s">
        <v>34</v>
      </c>
      <c r="Q5494" t="s">
        <v>34</v>
      </c>
      <c r="R5494" t="s">
        <v>34</v>
      </c>
      <c r="S5494" t="s">
        <v>34</v>
      </c>
      <c r="T5494" s="117">
        <v>0</v>
      </c>
    </row>
    <row r="5495" spans="1:20" x14ac:dyDescent="0.35">
      <c r="A5495" t="s">
        <v>19</v>
      </c>
      <c r="B5495" t="s">
        <v>19</v>
      </c>
      <c r="C5495" s="1">
        <v>45967</v>
      </c>
      <c r="D5495">
        <f t="shared" si="596"/>
        <v>6</v>
      </c>
      <c r="E5495">
        <f t="shared" si="609"/>
        <v>11</v>
      </c>
      <c r="F5495">
        <f t="shared" si="610"/>
        <v>2025</v>
      </c>
      <c r="G5495" t="s">
        <v>56</v>
      </c>
      <c r="H5495" s="121" t="s">
        <v>1483</v>
      </c>
      <c r="I5495" s="15">
        <v>168596.65</v>
      </c>
      <c r="J5495" s="12" t="s">
        <v>31</v>
      </c>
      <c r="K5495" s="76">
        <f t="shared" si="599"/>
        <v>168596.65</v>
      </c>
      <c r="L5495">
        <v>1</v>
      </c>
      <c r="M5495" s="94">
        <v>0</v>
      </c>
      <c r="N5495" t="s">
        <v>32</v>
      </c>
      <c r="O5495" t="s">
        <v>33</v>
      </c>
      <c r="P5495" t="s">
        <v>34</v>
      </c>
      <c r="Q5495" t="s">
        <v>34</v>
      </c>
      <c r="R5495" t="s">
        <v>34</v>
      </c>
      <c r="S5495" t="s">
        <v>34</v>
      </c>
      <c r="T5495" s="117">
        <v>0</v>
      </c>
    </row>
    <row r="5496" spans="1:20" x14ac:dyDescent="0.35">
      <c r="A5496" t="s">
        <v>19</v>
      </c>
      <c r="B5496" t="s">
        <v>19</v>
      </c>
      <c r="C5496" s="1">
        <v>45967</v>
      </c>
      <c r="D5496">
        <f t="shared" ref="D5496:D5510" si="612">DAY(C5496)</f>
        <v>6</v>
      </c>
      <c r="E5496">
        <f t="shared" ref="E5496:E5510" si="613">MONTH(C5496)</f>
        <v>11</v>
      </c>
      <c r="F5496">
        <f t="shared" ref="F5496:F5510" si="614">YEAR(C5496)</f>
        <v>2025</v>
      </c>
      <c r="G5496" t="s">
        <v>56</v>
      </c>
      <c r="H5496" s="121" t="s">
        <v>1484</v>
      </c>
      <c r="I5496" s="15">
        <v>164251.67000000001</v>
      </c>
      <c r="J5496" s="12" t="s">
        <v>31</v>
      </c>
      <c r="K5496" s="76">
        <f t="shared" si="599"/>
        <v>164251.67000000001</v>
      </c>
      <c r="L5496">
        <v>1</v>
      </c>
      <c r="M5496" s="94">
        <v>0</v>
      </c>
      <c r="N5496" t="s">
        <v>32</v>
      </c>
      <c r="O5496" t="s">
        <v>33</v>
      </c>
      <c r="P5496" t="s">
        <v>34</v>
      </c>
      <c r="Q5496" t="s">
        <v>34</v>
      </c>
      <c r="R5496" t="s">
        <v>34</v>
      </c>
      <c r="S5496" t="s">
        <v>34</v>
      </c>
      <c r="T5496" s="117">
        <v>0</v>
      </c>
    </row>
    <row r="5497" spans="1:20" x14ac:dyDescent="0.35">
      <c r="A5497" t="s">
        <v>19</v>
      </c>
      <c r="B5497" t="s">
        <v>19</v>
      </c>
      <c r="C5497" s="1">
        <v>45967</v>
      </c>
      <c r="D5497">
        <f t="shared" si="612"/>
        <v>6</v>
      </c>
      <c r="E5497">
        <f t="shared" si="613"/>
        <v>11</v>
      </c>
      <c r="F5497">
        <f t="shared" si="614"/>
        <v>2025</v>
      </c>
      <c r="G5497" t="s">
        <v>213</v>
      </c>
      <c r="H5497" s="121" t="s">
        <v>1422</v>
      </c>
      <c r="I5497" s="15">
        <v>72038.990000000005</v>
      </c>
      <c r="J5497" s="12" t="s">
        <v>31</v>
      </c>
      <c r="K5497" s="76">
        <f t="shared" si="599"/>
        <v>72038.990000000005</v>
      </c>
      <c r="L5497">
        <v>1</v>
      </c>
      <c r="M5497" s="94">
        <v>0</v>
      </c>
      <c r="N5497" t="s">
        <v>32</v>
      </c>
      <c r="O5497" t="s">
        <v>33</v>
      </c>
      <c r="P5497" t="s">
        <v>34</v>
      </c>
      <c r="Q5497" t="s">
        <v>34</v>
      </c>
      <c r="R5497" t="s">
        <v>34</v>
      </c>
      <c r="S5497" t="s">
        <v>34</v>
      </c>
      <c r="T5497" s="117">
        <v>0</v>
      </c>
    </row>
    <row r="5498" spans="1:20" x14ac:dyDescent="0.35">
      <c r="A5498" t="s">
        <v>19</v>
      </c>
      <c r="B5498" t="s">
        <v>19</v>
      </c>
      <c r="C5498" s="1">
        <v>45967</v>
      </c>
      <c r="D5498">
        <f t="shared" si="612"/>
        <v>6</v>
      </c>
      <c r="E5498">
        <f t="shared" si="613"/>
        <v>11</v>
      </c>
      <c r="F5498">
        <f t="shared" si="614"/>
        <v>2025</v>
      </c>
      <c r="G5498" t="s">
        <v>90</v>
      </c>
      <c r="H5498" s="121" t="s">
        <v>1485</v>
      </c>
      <c r="I5498" s="15">
        <v>62466.92</v>
      </c>
      <c r="J5498" s="12" t="s">
        <v>31</v>
      </c>
      <c r="K5498" s="76">
        <f t="shared" si="599"/>
        <v>62466.92</v>
      </c>
      <c r="L5498">
        <v>1</v>
      </c>
      <c r="M5498" s="94">
        <v>0</v>
      </c>
      <c r="N5498" t="s">
        <v>32</v>
      </c>
      <c r="O5498" t="s">
        <v>33</v>
      </c>
      <c r="P5498" t="s">
        <v>34</v>
      </c>
      <c r="Q5498" t="s">
        <v>34</v>
      </c>
      <c r="R5498" t="s">
        <v>34</v>
      </c>
      <c r="S5498" t="s">
        <v>34</v>
      </c>
      <c r="T5498" s="117">
        <v>0</v>
      </c>
    </row>
    <row r="5499" spans="1:20" x14ac:dyDescent="0.35">
      <c r="A5499" t="s">
        <v>19</v>
      </c>
      <c r="B5499" t="s">
        <v>19</v>
      </c>
      <c r="C5499" s="1">
        <v>45967</v>
      </c>
      <c r="D5499">
        <f t="shared" si="612"/>
        <v>6</v>
      </c>
      <c r="E5499">
        <f t="shared" si="613"/>
        <v>11</v>
      </c>
      <c r="F5499">
        <f t="shared" si="614"/>
        <v>2025</v>
      </c>
      <c r="G5499" t="s">
        <v>111</v>
      </c>
      <c r="H5499" s="121" t="s">
        <v>1486</v>
      </c>
      <c r="I5499" s="15">
        <v>48182.879999999997</v>
      </c>
      <c r="J5499" s="12" t="s">
        <v>31</v>
      </c>
      <c r="K5499" s="76">
        <f t="shared" si="599"/>
        <v>48182.879999999997</v>
      </c>
      <c r="L5499">
        <v>1</v>
      </c>
      <c r="M5499" s="94">
        <v>0</v>
      </c>
      <c r="N5499" t="s">
        <v>32</v>
      </c>
      <c r="O5499" t="s">
        <v>33</v>
      </c>
      <c r="P5499" t="s">
        <v>34</v>
      </c>
      <c r="Q5499" t="s">
        <v>34</v>
      </c>
      <c r="R5499" t="s">
        <v>34</v>
      </c>
      <c r="S5499" t="s">
        <v>34</v>
      </c>
      <c r="T5499" s="117">
        <v>0</v>
      </c>
    </row>
    <row r="5500" spans="1:20" x14ac:dyDescent="0.35">
      <c r="A5500" t="s">
        <v>19</v>
      </c>
      <c r="B5500" t="s">
        <v>19</v>
      </c>
      <c r="C5500" s="1">
        <v>45967</v>
      </c>
      <c r="D5500">
        <f t="shared" ref="D5500:D5508" si="615">DAY(C5500)</f>
        <v>6</v>
      </c>
      <c r="E5500">
        <f t="shared" ref="E5500:E5508" si="616">MONTH(C5500)</f>
        <v>11</v>
      </c>
      <c r="F5500">
        <f t="shared" ref="F5500:F5508" si="617">YEAR(C5500)</f>
        <v>2025</v>
      </c>
      <c r="G5500" t="s">
        <v>750</v>
      </c>
      <c r="H5500" s="121" t="s">
        <v>1487</v>
      </c>
      <c r="I5500" s="15">
        <v>7124.57</v>
      </c>
      <c r="J5500" s="12" t="s">
        <v>31</v>
      </c>
      <c r="K5500" s="76">
        <f t="shared" si="599"/>
        <v>7124.57</v>
      </c>
      <c r="L5500">
        <v>1</v>
      </c>
      <c r="M5500" s="94">
        <v>0</v>
      </c>
      <c r="N5500" t="s">
        <v>32</v>
      </c>
      <c r="O5500" t="s">
        <v>33</v>
      </c>
      <c r="P5500" t="s">
        <v>34</v>
      </c>
      <c r="Q5500" t="s">
        <v>34</v>
      </c>
      <c r="R5500" t="s">
        <v>34</v>
      </c>
      <c r="S5500" t="s">
        <v>34</v>
      </c>
      <c r="T5500" s="117">
        <v>0</v>
      </c>
    </row>
    <row r="5501" spans="1:20" x14ac:dyDescent="0.35">
      <c r="A5501" t="s">
        <v>19</v>
      </c>
      <c r="B5501" t="s">
        <v>19</v>
      </c>
      <c r="C5501" s="1">
        <v>45967</v>
      </c>
      <c r="D5501">
        <f t="shared" si="615"/>
        <v>6</v>
      </c>
      <c r="E5501">
        <f t="shared" si="616"/>
        <v>11</v>
      </c>
      <c r="F5501">
        <f t="shared" si="617"/>
        <v>2025</v>
      </c>
      <c r="G5501" t="s">
        <v>523</v>
      </c>
      <c r="H5501" s="121" t="s">
        <v>1487</v>
      </c>
      <c r="I5501" s="15">
        <v>35000</v>
      </c>
      <c r="J5501" s="12" t="s">
        <v>31</v>
      </c>
      <c r="K5501" s="76">
        <f t="shared" si="599"/>
        <v>35000</v>
      </c>
      <c r="L5501">
        <v>1</v>
      </c>
      <c r="M5501" s="94">
        <v>0</v>
      </c>
      <c r="N5501" t="s">
        <v>32</v>
      </c>
      <c r="O5501" t="s">
        <v>33</v>
      </c>
      <c r="P5501" t="s">
        <v>34</v>
      </c>
      <c r="Q5501" t="s">
        <v>34</v>
      </c>
      <c r="R5501" t="s">
        <v>34</v>
      </c>
      <c r="S5501" t="s">
        <v>34</v>
      </c>
      <c r="T5501" s="117">
        <v>0</v>
      </c>
    </row>
    <row r="5502" spans="1:20" x14ac:dyDescent="0.35">
      <c r="A5502" t="s">
        <v>19</v>
      </c>
      <c r="B5502" t="s">
        <v>19</v>
      </c>
      <c r="C5502" s="1">
        <v>45967</v>
      </c>
      <c r="D5502">
        <f t="shared" si="615"/>
        <v>6</v>
      </c>
      <c r="E5502">
        <f t="shared" si="616"/>
        <v>11</v>
      </c>
      <c r="F5502">
        <f t="shared" si="617"/>
        <v>2025</v>
      </c>
      <c r="G5502" t="s">
        <v>523</v>
      </c>
      <c r="H5502" s="121" t="s">
        <v>1486</v>
      </c>
      <c r="I5502" s="15">
        <v>127988.24</v>
      </c>
      <c r="J5502" s="12" t="s">
        <v>31</v>
      </c>
      <c r="K5502" s="76">
        <f t="shared" si="599"/>
        <v>127988.24</v>
      </c>
      <c r="L5502">
        <v>1</v>
      </c>
      <c r="M5502" s="94">
        <v>0</v>
      </c>
      <c r="N5502" t="s">
        <v>32</v>
      </c>
      <c r="O5502" t="s">
        <v>33</v>
      </c>
      <c r="P5502" t="s">
        <v>34</v>
      </c>
      <c r="Q5502" t="s">
        <v>34</v>
      </c>
      <c r="R5502" t="s">
        <v>34</v>
      </c>
      <c r="S5502" t="s">
        <v>34</v>
      </c>
      <c r="T5502" s="117">
        <v>0</v>
      </c>
    </row>
    <row r="5503" spans="1:20" x14ac:dyDescent="0.35">
      <c r="A5503" t="s">
        <v>19</v>
      </c>
      <c r="B5503" t="s">
        <v>19</v>
      </c>
      <c r="C5503" s="1">
        <v>45967</v>
      </c>
      <c r="D5503">
        <f t="shared" si="615"/>
        <v>6</v>
      </c>
      <c r="E5503">
        <f t="shared" si="616"/>
        <v>11</v>
      </c>
      <c r="F5503">
        <f t="shared" si="617"/>
        <v>2025</v>
      </c>
      <c r="G5503" t="s">
        <v>91</v>
      </c>
      <c r="H5503" s="121" t="s">
        <v>1488</v>
      </c>
      <c r="I5503" s="15">
        <v>135</v>
      </c>
      <c r="J5503" s="12" t="s">
        <v>31</v>
      </c>
      <c r="K5503" s="76">
        <f t="shared" si="599"/>
        <v>135</v>
      </c>
      <c r="L5503">
        <v>1</v>
      </c>
      <c r="M5503" s="94">
        <v>0</v>
      </c>
      <c r="N5503" t="s">
        <v>32</v>
      </c>
      <c r="O5503" t="s">
        <v>33</v>
      </c>
      <c r="P5503" t="s">
        <v>34</v>
      </c>
      <c r="Q5503" t="s">
        <v>34</v>
      </c>
      <c r="R5503" t="s">
        <v>34</v>
      </c>
      <c r="S5503" t="s">
        <v>34</v>
      </c>
      <c r="T5503" s="117">
        <v>0</v>
      </c>
    </row>
    <row r="5504" spans="1:20" x14ac:dyDescent="0.35">
      <c r="A5504" t="s">
        <v>19</v>
      </c>
      <c r="B5504" t="s">
        <v>27</v>
      </c>
      <c r="C5504" s="1">
        <v>45973</v>
      </c>
      <c r="D5504">
        <f>DAY(C5504)</f>
        <v>12</v>
      </c>
      <c r="E5504">
        <f>MONTH(C5504)</f>
        <v>11</v>
      </c>
      <c r="F5504">
        <f>YEAR(C5504)</f>
        <v>2025</v>
      </c>
      <c r="G5504" t="s">
        <v>100</v>
      </c>
      <c r="H5504" s="121">
        <v>13569</v>
      </c>
      <c r="I5504" s="76">
        <v>100000</v>
      </c>
      <c r="J5504" s="12" t="s">
        <v>31</v>
      </c>
      <c r="K5504" s="76">
        <f>IF(J5504="USD",I5504,I5504*L5504)</f>
        <v>100000</v>
      </c>
      <c r="L5504">
        <v>1</v>
      </c>
      <c r="M5504" s="94">
        <v>0</v>
      </c>
      <c r="N5504" t="s">
        <v>32</v>
      </c>
      <c r="O5504" t="s">
        <v>33</v>
      </c>
      <c r="P5504" t="s">
        <v>34</v>
      </c>
      <c r="Q5504" t="s">
        <v>34</v>
      </c>
      <c r="R5504" t="s">
        <v>34</v>
      </c>
      <c r="S5504" t="s">
        <v>34</v>
      </c>
      <c r="T5504" s="117">
        <v>0</v>
      </c>
    </row>
    <row r="5505" spans="1:20" x14ac:dyDescent="0.35">
      <c r="A5505" t="s">
        <v>19</v>
      </c>
      <c r="B5505" t="s">
        <v>23</v>
      </c>
      <c r="C5505" s="1">
        <v>45973</v>
      </c>
      <c r="D5505">
        <f t="shared" si="615"/>
        <v>12</v>
      </c>
      <c r="E5505">
        <f t="shared" si="616"/>
        <v>11</v>
      </c>
      <c r="F5505">
        <f t="shared" si="617"/>
        <v>2025</v>
      </c>
      <c r="G5505" t="s">
        <v>885</v>
      </c>
      <c r="H5505" s="121">
        <v>14077</v>
      </c>
      <c r="I5505" s="76">
        <v>5980</v>
      </c>
      <c r="J5505" s="12" t="s">
        <v>31</v>
      </c>
      <c r="K5505" s="76">
        <f t="shared" si="599"/>
        <v>5980</v>
      </c>
      <c r="L5505">
        <v>1</v>
      </c>
      <c r="M5505" s="94">
        <v>0</v>
      </c>
      <c r="N5505" t="s">
        <v>42</v>
      </c>
      <c r="O5505" t="s">
        <v>33</v>
      </c>
      <c r="P5505" t="s">
        <v>34</v>
      </c>
      <c r="Q5505" t="s">
        <v>34</v>
      </c>
      <c r="R5505" t="s">
        <v>34</v>
      </c>
      <c r="S5505" t="s">
        <v>34</v>
      </c>
      <c r="T5505" s="117">
        <v>0</v>
      </c>
    </row>
    <row r="5506" spans="1:20" x14ac:dyDescent="0.35">
      <c r="A5506" t="s">
        <v>19</v>
      </c>
      <c r="B5506" t="s">
        <v>25</v>
      </c>
      <c r="C5506" s="1">
        <v>45973</v>
      </c>
      <c r="D5506">
        <f t="shared" si="615"/>
        <v>12</v>
      </c>
      <c r="E5506">
        <f t="shared" si="616"/>
        <v>11</v>
      </c>
      <c r="F5506">
        <f t="shared" si="617"/>
        <v>2025</v>
      </c>
      <c r="G5506" t="s">
        <v>40</v>
      </c>
      <c r="H5506" s="121">
        <v>13661</v>
      </c>
      <c r="I5506" s="76">
        <v>15499.2</v>
      </c>
      <c r="J5506" s="12" t="s">
        <v>31</v>
      </c>
      <c r="K5506" s="76">
        <f t="shared" si="599"/>
        <v>15499.2</v>
      </c>
      <c r="L5506">
        <v>1</v>
      </c>
      <c r="M5506" s="94">
        <v>0</v>
      </c>
      <c r="N5506" t="s">
        <v>32</v>
      </c>
      <c r="O5506" t="s">
        <v>33</v>
      </c>
      <c r="P5506" t="s">
        <v>34</v>
      </c>
      <c r="Q5506" t="s">
        <v>34</v>
      </c>
      <c r="R5506" t="s">
        <v>34</v>
      </c>
      <c r="S5506" t="s">
        <v>34</v>
      </c>
      <c r="T5506" s="117">
        <v>0</v>
      </c>
    </row>
    <row r="5507" spans="1:20" x14ac:dyDescent="0.35">
      <c r="A5507" t="s">
        <v>19</v>
      </c>
      <c r="B5507" t="s">
        <v>21</v>
      </c>
      <c r="C5507" s="1">
        <v>45973</v>
      </c>
      <c r="D5507">
        <f t="shared" si="615"/>
        <v>12</v>
      </c>
      <c r="E5507">
        <f t="shared" si="616"/>
        <v>11</v>
      </c>
      <c r="F5507">
        <f t="shared" si="617"/>
        <v>2025</v>
      </c>
      <c r="G5507" t="s">
        <v>40</v>
      </c>
      <c r="H5507" s="121">
        <v>13659</v>
      </c>
      <c r="I5507" s="76">
        <v>78.3</v>
      </c>
      <c r="J5507" s="12" t="s">
        <v>31</v>
      </c>
      <c r="K5507" s="76">
        <f t="shared" si="599"/>
        <v>78.3</v>
      </c>
      <c r="L5507">
        <v>1</v>
      </c>
      <c r="M5507" s="94">
        <v>0</v>
      </c>
      <c r="N5507" t="s">
        <v>32</v>
      </c>
      <c r="O5507" t="s">
        <v>33</v>
      </c>
      <c r="P5507" t="s">
        <v>34</v>
      </c>
      <c r="Q5507" t="s">
        <v>34</v>
      </c>
      <c r="R5507" t="s">
        <v>34</v>
      </c>
      <c r="S5507" t="s">
        <v>34</v>
      </c>
      <c r="T5507" s="117">
        <v>0</v>
      </c>
    </row>
    <row r="5508" spans="1:20" x14ac:dyDescent="0.35">
      <c r="A5508" t="s">
        <v>19</v>
      </c>
      <c r="B5508" t="s">
        <v>21</v>
      </c>
      <c r="C5508" s="1">
        <v>45973</v>
      </c>
      <c r="D5508">
        <f t="shared" si="615"/>
        <v>12</v>
      </c>
      <c r="E5508">
        <f t="shared" si="616"/>
        <v>11</v>
      </c>
      <c r="F5508">
        <f t="shared" si="617"/>
        <v>2025</v>
      </c>
      <c r="G5508" t="s">
        <v>76</v>
      </c>
      <c r="H5508" s="121">
        <v>13774</v>
      </c>
      <c r="I5508" s="76">
        <v>101480.2</v>
      </c>
      <c r="J5508" s="12" t="s">
        <v>31</v>
      </c>
      <c r="K5508" s="76">
        <f t="shared" si="599"/>
        <v>101480.2</v>
      </c>
      <c r="L5508">
        <v>1</v>
      </c>
      <c r="M5508" s="94">
        <v>0</v>
      </c>
      <c r="N5508" t="s">
        <v>32</v>
      </c>
      <c r="O5508" t="s">
        <v>33</v>
      </c>
      <c r="P5508" t="s">
        <v>34</v>
      </c>
      <c r="Q5508" t="s">
        <v>34</v>
      </c>
      <c r="R5508" t="s">
        <v>34</v>
      </c>
      <c r="S5508" t="s">
        <v>34</v>
      </c>
      <c r="T5508" s="117">
        <v>0</v>
      </c>
    </row>
    <row r="5509" spans="1:20" x14ac:dyDescent="0.35">
      <c r="A5509" t="s">
        <v>19</v>
      </c>
      <c r="B5509" t="s">
        <v>23</v>
      </c>
      <c r="C5509" s="1">
        <v>45973</v>
      </c>
      <c r="D5509">
        <f t="shared" si="612"/>
        <v>12</v>
      </c>
      <c r="E5509">
        <f t="shared" si="613"/>
        <v>11</v>
      </c>
      <c r="F5509">
        <f t="shared" si="614"/>
        <v>2025</v>
      </c>
      <c r="G5509" t="s">
        <v>76</v>
      </c>
      <c r="H5509" s="121">
        <v>13774</v>
      </c>
      <c r="I5509" s="76">
        <v>93977.4</v>
      </c>
      <c r="J5509" s="12" t="s">
        <v>31</v>
      </c>
      <c r="K5509" s="76">
        <f t="shared" si="599"/>
        <v>93977.4</v>
      </c>
      <c r="L5509">
        <v>1</v>
      </c>
      <c r="M5509" s="94">
        <v>0</v>
      </c>
      <c r="N5509" t="s">
        <v>32</v>
      </c>
      <c r="O5509" t="s">
        <v>33</v>
      </c>
      <c r="P5509" t="s">
        <v>34</v>
      </c>
      <c r="Q5509" t="s">
        <v>34</v>
      </c>
      <c r="R5509" t="s">
        <v>34</v>
      </c>
      <c r="S5509" t="s">
        <v>34</v>
      </c>
      <c r="T5509" s="117">
        <v>0</v>
      </c>
    </row>
    <row r="5510" spans="1:20" x14ac:dyDescent="0.35">
      <c r="A5510" t="s">
        <v>19</v>
      </c>
      <c r="B5510" t="s">
        <v>1489</v>
      </c>
      <c r="C5510" s="1">
        <v>45973</v>
      </c>
      <c r="D5510">
        <f t="shared" si="612"/>
        <v>12</v>
      </c>
      <c r="E5510">
        <f t="shared" si="613"/>
        <v>11</v>
      </c>
      <c r="F5510">
        <f t="shared" si="614"/>
        <v>2025</v>
      </c>
      <c r="G5510" t="s">
        <v>98</v>
      </c>
      <c r="H5510" s="121">
        <v>14053</v>
      </c>
      <c r="I5510" s="76">
        <v>11880</v>
      </c>
      <c r="J5510" s="12" t="s">
        <v>31</v>
      </c>
      <c r="K5510" s="76">
        <f t="shared" si="599"/>
        <v>11880</v>
      </c>
      <c r="L5510">
        <v>1</v>
      </c>
      <c r="M5510" s="94">
        <v>0</v>
      </c>
      <c r="N5510" t="s">
        <v>42</v>
      </c>
      <c r="O5510" t="s">
        <v>33</v>
      </c>
      <c r="P5510" t="s">
        <v>34</v>
      </c>
      <c r="Q5510" t="s">
        <v>34</v>
      </c>
      <c r="R5510" t="s">
        <v>34</v>
      </c>
      <c r="S5510" t="s">
        <v>34</v>
      </c>
      <c r="T5510" s="117">
        <v>0</v>
      </c>
    </row>
    <row r="5511" spans="1:20" x14ac:dyDescent="0.35">
      <c r="A5511" t="s">
        <v>19</v>
      </c>
      <c r="B5511" t="s">
        <v>25</v>
      </c>
      <c r="C5511" s="1">
        <v>45973</v>
      </c>
      <c r="D5511">
        <f t="shared" ref="D5511:D5524" si="618">DAY(C5511)</f>
        <v>12</v>
      </c>
      <c r="E5511">
        <f t="shared" ref="E5511:E5524" si="619">MONTH(C5511)</f>
        <v>11</v>
      </c>
      <c r="F5511">
        <f t="shared" ref="F5511:F5524" si="620">YEAR(C5511)</f>
        <v>2025</v>
      </c>
      <c r="G5511" t="s">
        <v>1146</v>
      </c>
      <c r="H5511" s="121">
        <v>13951</v>
      </c>
      <c r="I5511" s="76">
        <v>473</v>
      </c>
      <c r="J5511" s="12" t="s">
        <v>51</v>
      </c>
      <c r="K5511" s="76">
        <f t="shared" si="599"/>
        <v>549.81454982817718</v>
      </c>
      <c r="L5511">
        <v>1.16239862542955</v>
      </c>
      <c r="M5511" s="94">
        <v>0</v>
      </c>
      <c r="N5511" t="s">
        <v>32</v>
      </c>
      <c r="O5511" t="s">
        <v>33</v>
      </c>
      <c r="P5511" t="s">
        <v>34</v>
      </c>
      <c r="Q5511" t="s">
        <v>34</v>
      </c>
      <c r="R5511" t="s">
        <v>34</v>
      </c>
      <c r="S5511" t="s">
        <v>34</v>
      </c>
      <c r="T5511" s="117">
        <v>0</v>
      </c>
    </row>
    <row r="5512" spans="1:20" x14ac:dyDescent="0.35">
      <c r="A5512" t="s">
        <v>19</v>
      </c>
      <c r="B5512" t="s">
        <v>25</v>
      </c>
      <c r="C5512" s="1">
        <v>45973</v>
      </c>
      <c r="D5512">
        <f t="shared" si="618"/>
        <v>12</v>
      </c>
      <c r="E5512">
        <f t="shared" si="619"/>
        <v>11</v>
      </c>
      <c r="F5512">
        <f t="shared" si="620"/>
        <v>2025</v>
      </c>
      <c r="G5512" t="s">
        <v>1146</v>
      </c>
      <c r="H5512" s="121">
        <v>13953</v>
      </c>
      <c r="I5512" s="76">
        <v>497.5</v>
      </c>
      <c r="J5512" s="12" t="s">
        <v>51</v>
      </c>
      <c r="K5512" s="76">
        <f t="shared" si="599"/>
        <v>578.29331615120111</v>
      </c>
      <c r="L5512">
        <v>1.16239862542955</v>
      </c>
      <c r="M5512" s="94">
        <v>0</v>
      </c>
      <c r="N5512" t="s">
        <v>32</v>
      </c>
      <c r="O5512" t="s">
        <v>33</v>
      </c>
      <c r="P5512" t="s">
        <v>34</v>
      </c>
      <c r="Q5512" t="s">
        <v>34</v>
      </c>
      <c r="R5512" t="s">
        <v>34</v>
      </c>
      <c r="S5512" t="s">
        <v>34</v>
      </c>
      <c r="T5512" s="117">
        <v>0</v>
      </c>
    </row>
    <row r="5513" spans="1:20" x14ac:dyDescent="0.35">
      <c r="A5513" t="s">
        <v>19</v>
      </c>
      <c r="B5513" t="s">
        <v>25</v>
      </c>
      <c r="C5513" s="1">
        <v>45973</v>
      </c>
      <c r="D5513">
        <f t="shared" si="618"/>
        <v>12</v>
      </c>
      <c r="E5513">
        <f t="shared" si="619"/>
        <v>11</v>
      </c>
      <c r="F5513">
        <f t="shared" si="620"/>
        <v>2025</v>
      </c>
      <c r="G5513" t="s">
        <v>1146</v>
      </c>
      <c r="H5513" s="121">
        <v>13954</v>
      </c>
      <c r="I5513" s="76">
        <v>484.5</v>
      </c>
      <c r="J5513" s="12" t="s">
        <v>51</v>
      </c>
      <c r="K5513" s="76">
        <f t="shared" si="599"/>
        <v>563.18213402061701</v>
      </c>
      <c r="L5513">
        <v>1.16239862542955</v>
      </c>
      <c r="M5513" s="94">
        <v>0</v>
      </c>
      <c r="N5513" t="s">
        <v>32</v>
      </c>
      <c r="O5513" t="s">
        <v>33</v>
      </c>
      <c r="P5513" t="s">
        <v>34</v>
      </c>
      <c r="Q5513" t="s">
        <v>34</v>
      </c>
      <c r="R5513" t="s">
        <v>34</v>
      </c>
      <c r="S5513" t="s">
        <v>34</v>
      </c>
      <c r="T5513" s="117">
        <v>0</v>
      </c>
    </row>
    <row r="5514" spans="1:20" x14ac:dyDescent="0.35">
      <c r="A5514" t="s">
        <v>19</v>
      </c>
      <c r="B5514" t="s">
        <v>25</v>
      </c>
      <c r="C5514" s="1">
        <v>45973</v>
      </c>
      <c r="D5514">
        <f t="shared" si="618"/>
        <v>12</v>
      </c>
      <c r="E5514">
        <f t="shared" si="619"/>
        <v>11</v>
      </c>
      <c r="F5514">
        <f t="shared" si="620"/>
        <v>2025</v>
      </c>
      <c r="G5514" t="s">
        <v>36</v>
      </c>
      <c r="H5514" s="121">
        <v>13179</v>
      </c>
      <c r="I5514" s="76">
        <v>8695.5</v>
      </c>
      <c r="J5514" s="12" t="s">
        <v>31</v>
      </c>
      <c r="K5514" s="76">
        <f t="shared" si="599"/>
        <v>8695.5</v>
      </c>
      <c r="L5514">
        <v>1</v>
      </c>
      <c r="M5514" s="94">
        <v>0</v>
      </c>
      <c r="N5514" t="s">
        <v>32</v>
      </c>
      <c r="O5514" t="s">
        <v>33</v>
      </c>
      <c r="P5514" t="s">
        <v>34</v>
      </c>
      <c r="Q5514" t="s">
        <v>34</v>
      </c>
      <c r="R5514" t="s">
        <v>34</v>
      </c>
      <c r="S5514" t="s">
        <v>34</v>
      </c>
      <c r="T5514" s="117">
        <v>0</v>
      </c>
    </row>
    <row r="5515" spans="1:20" x14ac:dyDescent="0.35">
      <c r="A5515" t="s">
        <v>19</v>
      </c>
      <c r="B5515" t="s">
        <v>21</v>
      </c>
      <c r="C5515" s="1">
        <v>45973</v>
      </c>
      <c r="D5515">
        <f t="shared" si="618"/>
        <v>12</v>
      </c>
      <c r="E5515">
        <f t="shared" si="619"/>
        <v>11</v>
      </c>
      <c r="F5515">
        <f t="shared" si="620"/>
        <v>2025</v>
      </c>
      <c r="G5515" t="s">
        <v>39</v>
      </c>
      <c r="H5515" s="121">
        <v>13748</v>
      </c>
      <c r="I5515" s="76">
        <v>21</v>
      </c>
      <c r="J5515" s="12" t="s">
        <v>31</v>
      </c>
      <c r="K5515" s="76">
        <f t="shared" si="599"/>
        <v>21</v>
      </c>
      <c r="L5515">
        <v>1</v>
      </c>
      <c r="M5515" s="94">
        <v>0</v>
      </c>
      <c r="N5515" t="s">
        <v>32</v>
      </c>
      <c r="O5515" t="s">
        <v>33</v>
      </c>
      <c r="P5515" t="s">
        <v>34</v>
      </c>
      <c r="Q5515" t="s">
        <v>34</v>
      </c>
      <c r="R5515" t="s">
        <v>34</v>
      </c>
      <c r="S5515" t="s">
        <v>34</v>
      </c>
      <c r="T5515" s="117">
        <v>0</v>
      </c>
    </row>
    <row r="5516" spans="1:20" x14ac:dyDescent="0.35">
      <c r="A5516" t="s">
        <v>19</v>
      </c>
      <c r="B5516" t="s">
        <v>21</v>
      </c>
      <c r="C5516" s="1">
        <v>45973</v>
      </c>
      <c r="D5516">
        <f t="shared" si="618"/>
        <v>12</v>
      </c>
      <c r="E5516">
        <f t="shared" si="619"/>
        <v>11</v>
      </c>
      <c r="F5516">
        <f t="shared" si="620"/>
        <v>2025</v>
      </c>
      <c r="G5516" t="s">
        <v>39</v>
      </c>
      <c r="H5516" s="121">
        <v>13749</v>
      </c>
      <c r="I5516" s="76">
        <v>6394.5</v>
      </c>
      <c r="J5516" s="12" t="s">
        <v>31</v>
      </c>
      <c r="K5516" s="76">
        <f t="shared" si="599"/>
        <v>6394.5</v>
      </c>
      <c r="L5516">
        <v>1</v>
      </c>
      <c r="M5516" s="94">
        <v>0</v>
      </c>
      <c r="N5516" t="s">
        <v>32</v>
      </c>
      <c r="O5516" t="s">
        <v>33</v>
      </c>
      <c r="P5516" t="s">
        <v>34</v>
      </c>
      <c r="Q5516" t="s">
        <v>34</v>
      </c>
      <c r="R5516" t="s">
        <v>34</v>
      </c>
      <c r="S5516" t="s">
        <v>34</v>
      </c>
      <c r="T5516" s="117">
        <v>0</v>
      </c>
    </row>
    <row r="5517" spans="1:20" x14ac:dyDescent="0.35">
      <c r="A5517" t="s">
        <v>19</v>
      </c>
      <c r="B5517" t="s">
        <v>23</v>
      </c>
      <c r="C5517" s="1">
        <v>45973</v>
      </c>
      <c r="D5517">
        <f t="shared" si="618"/>
        <v>12</v>
      </c>
      <c r="E5517">
        <f t="shared" si="619"/>
        <v>11</v>
      </c>
      <c r="F5517">
        <f t="shared" si="620"/>
        <v>2025</v>
      </c>
      <c r="G5517" t="s">
        <v>1490</v>
      </c>
      <c r="H5517" s="121">
        <v>14042</v>
      </c>
      <c r="I5517" s="76">
        <v>4032</v>
      </c>
      <c r="J5517" s="12" t="s">
        <v>31</v>
      </c>
      <c r="K5517" s="76">
        <f t="shared" si="599"/>
        <v>4032</v>
      </c>
      <c r="L5517">
        <v>1</v>
      </c>
      <c r="M5517" s="94">
        <v>0</v>
      </c>
      <c r="N5517" t="s">
        <v>42</v>
      </c>
      <c r="O5517" t="s">
        <v>33</v>
      </c>
      <c r="P5517" t="s">
        <v>34</v>
      </c>
      <c r="Q5517" t="s">
        <v>34</v>
      </c>
      <c r="R5517" t="s">
        <v>34</v>
      </c>
      <c r="S5517" t="s">
        <v>34</v>
      </c>
      <c r="T5517" s="117">
        <v>0</v>
      </c>
    </row>
    <row r="5518" spans="1:20" x14ac:dyDescent="0.35">
      <c r="A5518" t="s">
        <v>19</v>
      </c>
      <c r="B5518" t="s">
        <v>1489</v>
      </c>
      <c r="C5518" s="1">
        <v>45973</v>
      </c>
      <c r="D5518">
        <f t="shared" si="618"/>
        <v>12</v>
      </c>
      <c r="E5518">
        <f t="shared" si="619"/>
        <v>11</v>
      </c>
      <c r="F5518">
        <f t="shared" si="620"/>
        <v>2025</v>
      </c>
      <c r="G5518" t="s">
        <v>35</v>
      </c>
      <c r="H5518" s="121">
        <v>13546</v>
      </c>
      <c r="I5518" s="76">
        <v>7495.78</v>
      </c>
      <c r="J5518" s="12" t="s">
        <v>31</v>
      </c>
      <c r="K5518" s="76">
        <f t="shared" si="599"/>
        <v>7495.78</v>
      </c>
      <c r="L5518">
        <v>1</v>
      </c>
      <c r="M5518" s="94">
        <v>0</v>
      </c>
      <c r="N5518" t="s">
        <v>32</v>
      </c>
      <c r="O5518" t="s">
        <v>33</v>
      </c>
      <c r="P5518" t="s">
        <v>34</v>
      </c>
      <c r="Q5518" t="s">
        <v>34</v>
      </c>
      <c r="R5518" t="s">
        <v>34</v>
      </c>
      <c r="S5518" t="s">
        <v>34</v>
      </c>
      <c r="T5518" s="117">
        <v>0</v>
      </c>
    </row>
    <row r="5519" spans="1:20" x14ac:dyDescent="0.35">
      <c r="A5519" t="s">
        <v>19</v>
      </c>
      <c r="B5519" t="s">
        <v>23</v>
      </c>
      <c r="C5519" s="1">
        <v>45973</v>
      </c>
      <c r="D5519">
        <f t="shared" si="618"/>
        <v>12</v>
      </c>
      <c r="E5519">
        <f t="shared" si="619"/>
        <v>11</v>
      </c>
      <c r="F5519">
        <f t="shared" si="620"/>
        <v>2025</v>
      </c>
      <c r="G5519" t="s">
        <v>333</v>
      </c>
      <c r="H5519" s="121">
        <v>14054</v>
      </c>
      <c r="I5519" s="76">
        <v>1029.5999999999999</v>
      </c>
      <c r="J5519" s="12" t="s">
        <v>31</v>
      </c>
      <c r="K5519" s="76">
        <f t="shared" si="599"/>
        <v>1029.5999999999999</v>
      </c>
      <c r="L5519">
        <v>1</v>
      </c>
      <c r="M5519" s="94">
        <v>0</v>
      </c>
      <c r="N5519" t="s">
        <v>32</v>
      </c>
      <c r="O5519" t="s">
        <v>33</v>
      </c>
      <c r="P5519" t="s">
        <v>34</v>
      </c>
      <c r="Q5519" t="s">
        <v>34</v>
      </c>
      <c r="R5519" t="s">
        <v>34</v>
      </c>
      <c r="S5519" t="s">
        <v>34</v>
      </c>
      <c r="T5519" s="117">
        <v>0</v>
      </c>
    </row>
    <row r="5520" spans="1:20" x14ac:dyDescent="0.35">
      <c r="A5520" t="s">
        <v>20</v>
      </c>
      <c r="B5520" t="s">
        <v>23</v>
      </c>
      <c r="C5520" s="1">
        <v>45973</v>
      </c>
      <c r="D5520">
        <f t="shared" si="618"/>
        <v>12</v>
      </c>
      <c r="E5520">
        <f t="shared" si="619"/>
        <v>11</v>
      </c>
      <c r="F5520">
        <f t="shared" si="620"/>
        <v>2025</v>
      </c>
      <c r="G5520" t="s">
        <v>91</v>
      </c>
      <c r="H5520" s="121">
        <v>13520</v>
      </c>
      <c r="I5520" s="76">
        <v>7173.2</v>
      </c>
      <c r="J5520" s="12" t="s">
        <v>31</v>
      </c>
      <c r="K5520" s="76">
        <f t="shared" si="599"/>
        <v>7173.2</v>
      </c>
      <c r="L5520">
        <v>1</v>
      </c>
      <c r="M5520" s="94">
        <v>0</v>
      </c>
      <c r="N5520" t="s">
        <v>32</v>
      </c>
      <c r="O5520" t="s">
        <v>33</v>
      </c>
      <c r="P5520" t="s">
        <v>34</v>
      </c>
      <c r="Q5520" t="s">
        <v>34</v>
      </c>
      <c r="R5520" t="s">
        <v>34</v>
      </c>
      <c r="S5520" t="s">
        <v>34</v>
      </c>
      <c r="T5520" s="117">
        <v>0</v>
      </c>
    </row>
    <row r="5521" spans="1:20" x14ac:dyDescent="0.35">
      <c r="A5521" t="s">
        <v>20</v>
      </c>
      <c r="B5521" t="s">
        <v>24</v>
      </c>
      <c r="C5521" s="1">
        <v>45973</v>
      </c>
      <c r="D5521">
        <f t="shared" si="618"/>
        <v>12</v>
      </c>
      <c r="E5521">
        <f t="shared" si="619"/>
        <v>11</v>
      </c>
      <c r="F5521">
        <f t="shared" si="620"/>
        <v>2025</v>
      </c>
      <c r="G5521" t="s">
        <v>91</v>
      </c>
      <c r="H5521" s="121">
        <v>13580</v>
      </c>
      <c r="I5521" s="76">
        <v>256</v>
      </c>
      <c r="J5521" s="12" t="s">
        <v>31</v>
      </c>
      <c r="K5521" s="76">
        <f t="shared" si="599"/>
        <v>256</v>
      </c>
      <c r="L5521">
        <v>1</v>
      </c>
      <c r="M5521" s="94">
        <v>0</v>
      </c>
      <c r="N5521" t="s">
        <v>32</v>
      </c>
      <c r="O5521" t="s">
        <v>33</v>
      </c>
      <c r="P5521" t="s">
        <v>34</v>
      </c>
      <c r="Q5521" t="s">
        <v>34</v>
      </c>
      <c r="R5521" t="s">
        <v>34</v>
      </c>
      <c r="S5521" t="s">
        <v>34</v>
      </c>
      <c r="T5521" s="117">
        <v>0</v>
      </c>
    </row>
    <row r="5522" spans="1:20" x14ac:dyDescent="0.35">
      <c r="A5522" t="s">
        <v>20</v>
      </c>
      <c r="B5522" t="s">
        <v>24</v>
      </c>
      <c r="C5522" s="1">
        <v>45973</v>
      </c>
      <c r="D5522">
        <f t="shared" si="618"/>
        <v>12</v>
      </c>
      <c r="E5522">
        <f t="shared" si="619"/>
        <v>11</v>
      </c>
      <c r="F5522">
        <f t="shared" si="620"/>
        <v>2025</v>
      </c>
      <c r="G5522" t="s">
        <v>91</v>
      </c>
      <c r="H5522" s="121">
        <v>13969</v>
      </c>
      <c r="I5522" s="76">
        <v>54.4</v>
      </c>
      <c r="J5522" s="12" t="s">
        <v>31</v>
      </c>
      <c r="K5522" s="76">
        <f t="shared" si="599"/>
        <v>54.4</v>
      </c>
      <c r="L5522">
        <v>1</v>
      </c>
      <c r="M5522" s="94">
        <v>0</v>
      </c>
      <c r="N5522" t="s">
        <v>32</v>
      </c>
      <c r="O5522" t="s">
        <v>33</v>
      </c>
      <c r="P5522" t="s">
        <v>34</v>
      </c>
      <c r="Q5522" t="s">
        <v>34</v>
      </c>
      <c r="R5522" t="s">
        <v>34</v>
      </c>
      <c r="S5522" t="s">
        <v>34</v>
      </c>
      <c r="T5522" s="117">
        <v>0</v>
      </c>
    </row>
    <row r="5523" spans="1:20" x14ac:dyDescent="0.35">
      <c r="A5523" t="s">
        <v>20</v>
      </c>
      <c r="B5523" t="s">
        <v>21</v>
      </c>
      <c r="C5523" s="1">
        <v>45973</v>
      </c>
      <c r="D5523">
        <f t="shared" si="618"/>
        <v>12</v>
      </c>
      <c r="E5523">
        <f t="shared" si="619"/>
        <v>11</v>
      </c>
      <c r="F5523">
        <f t="shared" si="620"/>
        <v>2025</v>
      </c>
      <c r="G5523" t="s">
        <v>1327</v>
      </c>
      <c r="H5523" s="121">
        <v>13165</v>
      </c>
      <c r="I5523" s="76">
        <v>31955.65</v>
      </c>
      <c r="J5523" s="12" t="s">
        <v>31</v>
      </c>
      <c r="K5523" s="76">
        <f t="shared" ref="K5523:K5525" si="621">IF(J5523="USD",I5523,I5523*L5523)</f>
        <v>31955.65</v>
      </c>
      <c r="L5523">
        <v>1</v>
      </c>
      <c r="M5523" s="94">
        <v>0</v>
      </c>
      <c r="N5523" t="s">
        <v>32</v>
      </c>
      <c r="O5523" t="s">
        <v>33</v>
      </c>
      <c r="P5523" t="s">
        <v>34</v>
      </c>
      <c r="Q5523" t="s">
        <v>34</v>
      </c>
      <c r="R5523" t="s">
        <v>34</v>
      </c>
      <c r="S5523" t="s">
        <v>34</v>
      </c>
      <c r="T5523" s="117">
        <v>0</v>
      </c>
    </row>
    <row r="5524" spans="1:20" x14ac:dyDescent="0.35">
      <c r="A5524" t="s">
        <v>20</v>
      </c>
      <c r="B5524" t="s">
        <v>23</v>
      </c>
      <c r="C5524" s="1">
        <v>45973</v>
      </c>
      <c r="D5524">
        <f t="shared" si="618"/>
        <v>12</v>
      </c>
      <c r="E5524">
        <f t="shared" si="619"/>
        <v>11</v>
      </c>
      <c r="F5524">
        <f t="shared" si="620"/>
        <v>2025</v>
      </c>
      <c r="G5524" t="s">
        <v>82</v>
      </c>
      <c r="H5524" s="121">
        <v>12994</v>
      </c>
      <c r="I5524" s="76">
        <v>5414.67</v>
      </c>
      <c r="J5524" s="12" t="s">
        <v>31</v>
      </c>
      <c r="K5524" s="76">
        <f t="shared" si="621"/>
        <v>5414.67</v>
      </c>
      <c r="L5524">
        <v>1</v>
      </c>
      <c r="M5524" s="94">
        <v>0</v>
      </c>
      <c r="N5524" t="s">
        <v>32</v>
      </c>
      <c r="O5524" t="s">
        <v>33</v>
      </c>
      <c r="P5524" t="s">
        <v>34</v>
      </c>
      <c r="Q5524" t="s">
        <v>34</v>
      </c>
      <c r="R5524" t="s">
        <v>34</v>
      </c>
      <c r="S5524" t="s">
        <v>34</v>
      </c>
      <c r="T5524" s="117">
        <v>0</v>
      </c>
    </row>
    <row r="5525" spans="1:20" x14ac:dyDescent="0.35">
      <c r="A5525" t="s">
        <v>20</v>
      </c>
      <c r="B5525" t="s">
        <v>25</v>
      </c>
      <c r="C5525" s="1">
        <v>45973</v>
      </c>
      <c r="D5525">
        <f t="shared" ref="D5525:D5531" si="622">DAY(C5525)</f>
        <v>12</v>
      </c>
      <c r="E5525">
        <f t="shared" ref="E5525:E5531" si="623">MONTH(C5525)</f>
        <v>11</v>
      </c>
      <c r="F5525">
        <f t="shared" ref="F5525:F5531" si="624">YEAR(C5525)</f>
        <v>2025</v>
      </c>
      <c r="G5525" t="s">
        <v>82</v>
      </c>
      <c r="H5525" s="121">
        <v>13605</v>
      </c>
      <c r="I5525" s="76">
        <v>84</v>
      </c>
      <c r="J5525" s="12" t="s">
        <v>31</v>
      </c>
      <c r="K5525" s="76">
        <f t="shared" si="621"/>
        <v>84</v>
      </c>
      <c r="L5525">
        <v>1</v>
      </c>
      <c r="M5525" s="94">
        <v>0</v>
      </c>
      <c r="N5525" t="s">
        <v>32</v>
      </c>
      <c r="O5525" t="s">
        <v>33</v>
      </c>
      <c r="P5525" t="s">
        <v>34</v>
      </c>
      <c r="Q5525" t="s">
        <v>34</v>
      </c>
      <c r="R5525" t="s">
        <v>34</v>
      </c>
      <c r="S5525" t="s">
        <v>34</v>
      </c>
      <c r="T5525" s="117">
        <v>0</v>
      </c>
    </row>
    <row r="5526" spans="1:20" x14ac:dyDescent="0.35">
      <c r="A5526" t="s">
        <v>20</v>
      </c>
      <c r="B5526" t="s">
        <v>23</v>
      </c>
      <c r="C5526" s="1">
        <v>45973</v>
      </c>
      <c r="D5526">
        <f t="shared" si="622"/>
        <v>12</v>
      </c>
      <c r="E5526">
        <f t="shared" si="623"/>
        <v>11</v>
      </c>
      <c r="F5526">
        <f t="shared" si="624"/>
        <v>2025</v>
      </c>
      <c r="G5526" t="s">
        <v>82</v>
      </c>
      <c r="H5526" s="121">
        <v>13605</v>
      </c>
      <c r="I5526" s="76">
        <v>36.799999999999997</v>
      </c>
      <c r="J5526" s="12" t="s">
        <v>31</v>
      </c>
      <c r="K5526" s="76">
        <f t="shared" ref="K5526:K5531" si="625">IF(J5526="USD",I5526,I5526*L5526)</f>
        <v>36.799999999999997</v>
      </c>
      <c r="L5526">
        <v>1</v>
      </c>
      <c r="M5526" s="94">
        <v>0</v>
      </c>
      <c r="N5526" t="s">
        <v>32</v>
      </c>
      <c r="O5526" t="s">
        <v>33</v>
      </c>
      <c r="P5526" t="s">
        <v>34</v>
      </c>
      <c r="Q5526" t="s">
        <v>34</v>
      </c>
      <c r="R5526" t="s">
        <v>34</v>
      </c>
      <c r="S5526" t="s">
        <v>34</v>
      </c>
      <c r="T5526" s="117">
        <v>0</v>
      </c>
    </row>
    <row r="5527" spans="1:20" x14ac:dyDescent="0.35">
      <c r="A5527" t="s">
        <v>20</v>
      </c>
      <c r="B5527" t="s">
        <v>21</v>
      </c>
      <c r="C5527" s="1">
        <v>45973</v>
      </c>
      <c r="D5527">
        <f t="shared" si="622"/>
        <v>12</v>
      </c>
      <c r="E5527">
        <f t="shared" si="623"/>
        <v>11</v>
      </c>
      <c r="F5527">
        <f t="shared" si="624"/>
        <v>2025</v>
      </c>
      <c r="G5527" t="s">
        <v>118</v>
      </c>
      <c r="H5527" s="121">
        <v>14055</v>
      </c>
      <c r="I5527" s="76">
        <v>61.6</v>
      </c>
      <c r="J5527" s="12" t="s">
        <v>31</v>
      </c>
      <c r="K5527" s="76">
        <f t="shared" si="625"/>
        <v>61.6</v>
      </c>
      <c r="L5527">
        <v>1</v>
      </c>
      <c r="M5527" s="94">
        <v>0</v>
      </c>
      <c r="N5527" t="s">
        <v>42</v>
      </c>
      <c r="O5527" t="s">
        <v>33</v>
      </c>
      <c r="P5527" t="s">
        <v>34</v>
      </c>
      <c r="Q5527" t="s">
        <v>34</v>
      </c>
      <c r="R5527" t="s">
        <v>34</v>
      </c>
      <c r="S5527" t="s">
        <v>34</v>
      </c>
      <c r="T5527" s="117">
        <v>0</v>
      </c>
    </row>
    <row r="5528" spans="1:20" x14ac:dyDescent="0.35">
      <c r="A5528" t="s">
        <v>20</v>
      </c>
      <c r="B5528" t="s">
        <v>21</v>
      </c>
      <c r="C5528" s="1">
        <v>45973</v>
      </c>
      <c r="D5528">
        <f t="shared" si="622"/>
        <v>12</v>
      </c>
      <c r="E5528">
        <f t="shared" si="623"/>
        <v>11</v>
      </c>
      <c r="F5528">
        <f t="shared" si="624"/>
        <v>2025</v>
      </c>
      <c r="G5528" t="s">
        <v>118</v>
      </c>
      <c r="H5528" s="121">
        <v>14056</v>
      </c>
      <c r="I5528" s="76">
        <v>1570.1840000000002</v>
      </c>
      <c r="J5528" s="12" t="s">
        <v>31</v>
      </c>
      <c r="K5528" s="76">
        <f t="shared" si="625"/>
        <v>1570.1840000000002</v>
      </c>
      <c r="L5528">
        <v>1</v>
      </c>
      <c r="M5528" s="94">
        <v>0</v>
      </c>
      <c r="N5528" t="s">
        <v>42</v>
      </c>
      <c r="O5528" t="s">
        <v>33</v>
      </c>
      <c r="P5528" t="s">
        <v>34</v>
      </c>
      <c r="Q5528" t="s">
        <v>34</v>
      </c>
      <c r="R5528" t="s">
        <v>34</v>
      </c>
      <c r="S5528" t="s">
        <v>34</v>
      </c>
      <c r="T5528" s="117">
        <v>0</v>
      </c>
    </row>
    <row r="5529" spans="1:20" x14ac:dyDescent="0.35">
      <c r="A5529" t="s">
        <v>20</v>
      </c>
      <c r="B5529" t="s">
        <v>21</v>
      </c>
      <c r="C5529" s="1">
        <v>45973</v>
      </c>
      <c r="D5529">
        <f t="shared" si="622"/>
        <v>12</v>
      </c>
      <c r="E5529">
        <f t="shared" si="623"/>
        <v>11</v>
      </c>
      <c r="F5529">
        <f t="shared" si="624"/>
        <v>2025</v>
      </c>
      <c r="G5529" t="s">
        <v>595</v>
      </c>
      <c r="H5529" s="121">
        <v>14059</v>
      </c>
      <c r="I5529" s="76">
        <v>69.599999999999994</v>
      </c>
      <c r="J5529" s="12" t="s">
        <v>31</v>
      </c>
      <c r="K5529" s="76">
        <f t="shared" si="625"/>
        <v>69.599999999999994</v>
      </c>
      <c r="L5529">
        <v>1</v>
      </c>
      <c r="M5529" s="94">
        <v>0</v>
      </c>
      <c r="N5529" t="s">
        <v>42</v>
      </c>
      <c r="O5529" t="s">
        <v>33</v>
      </c>
      <c r="P5529" t="s">
        <v>34</v>
      </c>
      <c r="Q5529" t="s">
        <v>34</v>
      </c>
      <c r="R5529" t="s">
        <v>34</v>
      </c>
      <c r="S5529" t="s">
        <v>34</v>
      </c>
      <c r="T5529" s="117">
        <v>0</v>
      </c>
    </row>
    <row r="5530" spans="1:20" x14ac:dyDescent="0.35">
      <c r="A5530" t="s">
        <v>20</v>
      </c>
      <c r="B5530" t="s">
        <v>21</v>
      </c>
      <c r="C5530" s="1">
        <v>45973</v>
      </c>
      <c r="D5530">
        <f t="shared" si="622"/>
        <v>12</v>
      </c>
      <c r="E5530">
        <f t="shared" si="623"/>
        <v>11</v>
      </c>
      <c r="F5530">
        <f t="shared" si="624"/>
        <v>2025</v>
      </c>
      <c r="G5530" t="s">
        <v>595</v>
      </c>
      <c r="H5530" s="121">
        <v>14060</v>
      </c>
      <c r="I5530" s="76">
        <v>1044</v>
      </c>
      <c r="J5530" s="12" t="s">
        <v>31</v>
      </c>
      <c r="K5530" s="76">
        <f t="shared" si="625"/>
        <v>1044</v>
      </c>
      <c r="L5530">
        <v>1</v>
      </c>
      <c r="M5530" s="94">
        <v>0</v>
      </c>
      <c r="N5530" t="s">
        <v>42</v>
      </c>
      <c r="O5530" t="s">
        <v>33</v>
      </c>
      <c r="P5530" t="s">
        <v>34</v>
      </c>
      <c r="Q5530" t="s">
        <v>34</v>
      </c>
      <c r="R5530" t="s">
        <v>34</v>
      </c>
      <c r="S5530" t="s">
        <v>34</v>
      </c>
      <c r="T5530" s="117">
        <v>0</v>
      </c>
    </row>
    <row r="5531" spans="1:20" x14ac:dyDescent="0.35">
      <c r="A5531" t="s">
        <v>20</v>
      </c>
      <c r="B5531" t="s">
        <v>25</v>
      </c>
      <c r="C5531" s="1">
        <v>45973</v>
      </c>
      <c r="D5531">
        <f t="shared" si="622"/>
        <v>12</v>
      </c>
      <c r="E5531">
        <f t="shared" si="623"/>
        <v>11</v>
      </c>
      <c r="F5531">
        <f t="shared" si="624"/>
        <v>2025</v>
      </c>
      <c r="G5531" t="s">
        <v>41</v>
      </c>
      <c r="H5531" s="121">
        <v>13769</v>
      </c>
      <c r="I5531" s="76">
        <v>180.64</v>
      </c>
      <c r="J5531" s="12" t="s">
        <v>31</v>
      </c>
      <c r="K5531" s="76">
        <f t="shared" si="625"/>
        <v>180.64</v>
      </c>
      <c r="L5531">
        <v>1</v>
      </c>
      <c r="M5531" s="94">
        <v>0</v>
      </c>
      <c r="N5531" t="s">
        <v>32</v>
      </c>
      <c r="O5531" t="s">
        <v>33</v>
      </c>
      <c r="P5531" t="s">
        <v>34</v>
      </c>
      <c r="Q5531" t="s">
        <v>34</v>
      </c>
      <c r="R5531" t="s">
        <v>34</v>
      </c>
      <c r="S5531" t="s">
        <v>34</v>
      </c>
      <c r="T5531" s="117">
        <v>0</v>
      </c>
    </row>
    <row r="5532" spans="1:20" x14ac:dyDescent="0.35">
      <c r="A5532" t="s">
        <v>20</v>
      </c>
      <c r="B5532" t="s">
        <v>25</v>
      </c>
      <c r="C5532" s="1">
        <v>45973</v>
      </c>
      <c r="D5532">
        <f t="shared" ref="D5532:D5542" si="626">DAY(C5532)</f>
        <v>12</v>
      </c>
      <c r="E5532">
        <f t="shared" ref="E5532:E5542" si="627">MONTH(C5532)</f>
        <v>11</v>
      </c>
      <c r="F5532">
        <f t="shared" ref="F5532:F5542" si="628">YEAR(C5532)</f>
        <v>2025</v>
      </c>
      <c r="G5532" s="4" t="s">
        <v>96</v>
      </c>
      <c r="H5532" s="121">
        <v>13650</v>
      </c>
      <c r="I5532" s="76">
        <v>21876.48</v>
      </c>
      <c r="J5532" s="12" t="s">
        <v>31</v>
      </c>
      <c r="K5532" s="76">
        <f t="shared" ref="K5532:K5542" si="629">IF(J5532="USD",I5532,I5532*L5532)</f>
        <v>21876.48</v>
      </c>
      <c r="L5532">
        <v>1</v>
      </c>
      <c r="M5532" s="94">
        <v>0</v>
      </c>
      <c r="N5532" t="s">
        <v>42</v>
      </c>
      <c r="O5532" t="s">
        <v>33</v>
      </c>
      <c r="P5532" t="s">
        <v>34</v>
      </c>
      <c r="Q5532" t="s">
        <v>34</v>
      </c>
      <c r="R5532" t="s">
        <v>34</v>
      </c>
      <c r="S5532" t="s">
        <v>34</v>
      </c>
      <c r="T5532" s="117">
        <v>0</v>
      </c>
    </row>
    <row r="5533" spans="1:20" x14ac:dyDescent="0.35">
      <c r="A5533" t="s">
        <v>20</v>
      </c>
      <c r="B5533" t="s">
        <v>23</v>
      </c>
      <c r="C5533" s="1">
        <v>45973</v>
      </c>
      <c r="D5533">
        <f t="shared" si="626"/>
        <v>12</v>
      </c>
      <c r="E5533">
        <f t="shared" si="627"/>
        <v>11</v>
      </c>
      <c r="F5533">
        <f t="shared" si="628"/>
        <v>2025</v>
      </c>
      <c r="G5533" s="1" t="s">
        <v>300</v>
      </c>
      <c r="H5533" s="121">
        <v>14047</v>
      </c>
      <c r="I5533" s="76">
        <v>435.6</v>
      </c>
      <c r="J5533" s="12" t="s">
        <v>31</v>
      </c>
      <c r="K5533" s="76">
        <f t="shared" si="629"/>
        <v>435.6</v>
      </c>
      <c r="L5533">
        <v>1</v>
      </c>
      <c r="M5533" s="94">
        <v>0</v>
      </c>
      <c r="N5533" t="s">
        <v>42</v>
      </c>
      <c r="O5533" t="s">
        <v>33</v>
      </c>
      <c r="P5533" t="s">
        <v>34</v>
      </c>
      <c r="Q5533" t="s">
        <v>34</v>
      </c>
      <c r="R5533" t="s">
        <v>34</v>
      </c>
      <c r="S5533" t="s">
        <v>34</v>
      </c>
      <c r="T5533" s="117">
        <v>0</v>
      </c>
    </row>
    <row r="5534" spans="1:20" x14ac:dyDescent="0.35">
      <c r="A5534" t="s">
        <v>20</v>
      </c>
      <c r="B5534" t="s">
        <v>21</v>
      </c>
      <c r="C5534" s="1">
        <v>45973</v>
      </c>
      <c r="D5534">
        <f t="shared" si="626"/>
        <v>12</v>
      </c>
      <c r="E5534">
        <f t="shared" si="627"/>
        <v>11</v>
      </c>
      <c r="F5534">
        <f t="shared" si="628"/>
        <v>2025</v>
      </c>
      <c r="G5534" t="s">
        <v>1238</v>
      </c>
      <c r="H5534" s="121">
        <v>13212</v>
      </c>
      <c r="I5534" s="76">
        <v>30908.18</v>
      </c>
      <c r="J5534" s="12" t="s">
        <v>31</v>
      </c>
      <c r="K5534" s="76">
        <f t="shared" si="629"/>
        <v>30908.18</v>
      </c>
      <c r="L5534">
        <v>1</v>
      </c>
      <c r="M5534" s="94">
        <v>0</v>
      </c>
      <c r="N5534" t="s">
        <v>32</v>
      </c>
      <c r="O5534" t="s">
        <v>33</v>
      </c>
      <c r="P5534" t="s">
        <v>34</v>
      </c>
      <c r="Q5534" t="s">
        <v>34</v>
      </c>
      <c r="R5534" t="s">
        <v>34</v>
      </c>
      <c r="S5534" t="s">
        <v>34</v>
      </c>
      <c r="T5534" s="117">
        <v>0</v>
      </c>
    </row>
    <row r="5535" spans="1:20" x14ac:dyDescent="0.35">
      <c r="A5535" t="s">
        <v>20</v>
      </c>
      <c r="B5535" t="s">
        <v>25</v>
      </c>
      <c r="C5535" s="1">
        <v>45973</v>
      </c>
      <c r="D5535">
        <f t="shared" ref="D5535" si="630">DAY(C5535)</f>
        <v>12</v>
      </c>
      <c r="E5535">
        <f t="shared" ref="E5535" si="631">MONTH(C5535)</f>
        <v>11</v>
      </c>
      <c r="F5535">
        <f t="shared" ref="F5535" si="632">YEAR(C5535)</f>
        <v>2025</v>
      </c>
      <c r="G5535" t="s">
        <v>442</v>
      </c>
      <c r="H5535" s="121">
        <v>13877</v>
      </c>
      <c r="I5535" s="15">
        <v>139.80000000000001</v>
      </c>
      <c r="J5535" s="12" t="s">
        <v>31</v>
      </c>
      <c r="K5535" s="76">
        <f t="shared" si="629"/>
        <v>139.80000000000001</v>
      </c>
      <c r="L5535">
        <v>1</v>
      </c>
      <c r="M5535" s="94">
        <v>0</v>
      </c>
      <c r="N5535" t="s">
        <v>32</v>
      </c>
      <c r="O5535" t="s">
        <v>33</v>
      </c>
      <c r="P5535" t="s">
        <v>34</v>
      </c>
      <c r="Q5535" t="s">
        <v>34</v>
      </c>
      <c r="R5535" t="s">
        <v>34</v>
      </c>
      <c r="S5535" t="s">
        <v>34</v>
      </c>
      <c r="T5535" s="117">
        <v>0</v>
      </c>
    </row>
    <row r="5536" spans="1:20" x14ac:dyDescent="0.35">
      <c r="A5536" t="s">
        <v>20</v>
      </c>
      <c r="B5536" t="s">
        <v>21</v>
      </c>
      <c r="C5536" s="1">
        <v>45973</v>
      </c>
      <c r="D5536">
        <f t="shared" si="626"/>
        <v>12</v>
      </c>
      <c r="E5536">
        <f t="shared" si="627"/>
        <v>11</v>
      </c>
      <c r="F5536">
        <f t="shared" si="628"/>
        <v>2025</v>
      </c>
      <c r="G5536" t="s">
        <v>52</v>
      </c>
      <c r="H5536" s="121">
        <v>13363</v>
      </c>
      <c r="I5536" s="15">
        <v>308.45</v>
      </c>
      <c r="J5536" s="12" t="s">
        <v>31</v>
      </c>
      <c r="K5536" s="76">
        <f t="shared" si="629"/>
        <v>308.45</v>
      </c>
      <c r="L5536">
        <v>1</v>
      </c>
      <c r="M5536" s="94">
        <v>0</v>
      </c>
      <c r="N5536" t="s">
        <v>32</v>
      </c>
      <c r="O5536" t="s">
        <v>33</v>
      </c>
      <c r="P5536" t="s">
        <v>34</v>
      </c>
      <c r="Q5536" t="s">
        <v>34</v>
      </c>
      <c r="R5536" t="s">
        <v>34</v>
      </c>
      <c r="S5536" t="s">
        <v>34</v>
      </c>
      <c r="T5536" s="117">
        <v>0</v>
      </c>
    </row>
    <row r="5537" spans="1:21" x14ac:dyDescent="0.35">
      <c r="A5537" t="s">
        <v>20</v>
      </c>
      <c r="B5537" t="s">
        <v>25</v>
      </c>
      <c r="C5537" s="1">
        <v>45973</v>
      </c>
      <c r="D5537">
        <f t="shared" si="626"/>
        <v>12</v>
      </c>
      <c r="E5537">
        <f t="shared" si="627"/>
        <v>11</v>
      </c>
      <c r="F5537">
        <f t="shared" si="628"/>
        <v>2025</v>
      </c>
      <c r="G5537" t="s">
        <v>53</v>
      </c>
      <c r="H5537" s="121">
        <v>13788</v>
      </c>
      <c r="I5537" s="76">
        <v>26705.119999999999</v>
      </c>
      <c r="J5537" s="12" t="s">
        <v>31</v>
      </c>
      <c r="K5537" s="76">
        <f t="shared" si="629"/>
        <v>26705.119999999999</v>
      </c>
      <c r="L5537">
        <v>1</v>
      </c>
      <c r="M5537" s="94">
        <v>0</v>
      </c>
      <c r="N5537" t="s">
        <v>32</v>
      </c>
      <c r="O5537" t="s">
        <v>33</v>
      </c>
      <c r="P5537" t="s">
        <v>34</v>
      </c>
      <c r="Q5537" t="s">
        <v>34</v>
      </c>
      <c r="R5537" t="s">
        <v>34</v>
      </c>
      <c r="S5537" t="s">
        <v>34</v>
      </c>
      <c r="T5537" s="117">
        <v>0</v>
      </c>
    </row>
    <row r="5538" spans="1:21" x14ac:dyDescent="0.35">
      <c r="A5538" t="s">
        <v>20</v>
      </c>
      <c r="B5538" t="s">
        <v>21</v>
      </c>
      <c r="C5538" s="1">
        <v>45974</v>
      </c>
      <c r="D5538">
        <f t="shared" ref="D5538:D5539" si="633">DAY(C5538)</f>
        <v>13</v>
      </c>
      <c r="E5538">
        <f t="shared" ref="E5538:E5539" si="634">MONTH(C5538)</f>
        <v>11</v>
      </c>
      <c r="F5538">
        <f>YEAR(C5538)</f>
        <v>2025</v>
      </c>
      <c r="G5538" t="s">
        <v>88</v>
      </c>
      <c r="H5538" s="121">
        <v>13509</v>
      </c>
      <c r="I5538" s="76">
        <v>30.53</v>
      </c>
      <c r="J5538" s="12" t="s">
        <v>31</v>
      </c>
      <c r="K5538" s="76">
        <f t="shared" si="629"/>
        <v>30.53</v>
      </c>
      <c r="L5538">
        <v>1</v>
      </c>
      <c r="M5538" s="94">
        <v>0</v>
      </c>
      <c r="N5538" t="s">
        <v>32</v>
      </c>
      <c r="O5538" t="s">
        <v>33</v>
      </c>
      <c r="P5538" t="s">
        <v>34</v>
      </c>
      <c r="Q5538" t="s">
        <v>34</v>
      </c>
      <c r="R5538" t="s">
        <v>34</v>
      </c>
      <c r="S5538" t="s">
        <v>34</v>
      </c>
      <c r="T5538" s="117">
        <v>0</v>
      </c>
    </row>
    <row r="5539" spans="1:21" x14ac:dyDescent="0.35">
      <c r="A5539" t="s">
        <v>20</v>
      </c>
      <c r="B5539" t="s">
        <v>21</v>
      </c>
      <c r="C5539" s="1">
        <v>45974</v>
      </c>
      <c r="D5539">
        <f t="shared" si="633"/>
        <v>13</v>
      </c>
      <c r="E5539">
        <f t="shared" si="634"/>
        <v>11</v>
      </c>
      <c r="F5539">
        <f>YEAR(C5539)</f>
        <v>2025</v>
      </c>
      <c r="G5539" t="s">
        <v>88</v>
      </c>
      <c r="H5539" s="121">
        <v>13678</v>
      </c>
      <c r="I5539" s="76">
        <v>74</v>
      </c>
      <c r="J5539" s="12" t="s">
        <v>31</v>
      </c>
      <c r="K5539" s="76">
        <f t="shared" si="629"/>
        <v>74</v>
      </c>
      <c r="L5539">
        <v>1</v>
      </c>
      <c r="M5539" s="94">
        <v>0</v>
      </c>
      <c r="N5539" t="s">
        <v>32</v>
      </c>
      <c r="O5539" t="s">
        <v>33</v>
      </c>
      <c r="P5539" t="s">
        <v>34</v>
      </c>
      <c r="Q5539" t="s">
        <v>34</v>
      </c>
      <c r="R5539" t="s">
        <v>34</v>
      </c>
      <c r="S5539" t="s">
        <v>34</v>
      </c>
      <c r="T5539" s="117">
        <v>0</v>
      </c>
    </row>
    <row r="5540" spans="1:21" x14ac:dyDescent="0.35">
      <c r="A5540" t="s">
        <v>19</v>
      </c>
      <c r="B5540" t="s">
        <v>27</v>
      </c>
      <c r="C5540" s="1">
        <v>45974</v>
      </c>
      <c r="D5540">
        <f>DAY(C5540)</f>
        <v>13</v>
      </c>
      <c r="E5540">
        <f>MONTH(C5540)</f>
        <v>11</v>
      </c>
      <c r="F5540">
        <f>YEAR(C5540)</f>
        <v>2025</v>
      </c>
      <c r="G5540" t="s">
        <v>100</v>
      </c>
      <c r="H5540" s="121">
        <v>13569</v>
      </c>
      <c r="I5540" s="76">
        <v>100000</v>
      </c>
      <c r="J5540" s="12" t="s">
        <v>31</v>
      </c>
      <c r="K5540" s="76">
        <f t="shared" si="629"/>
        <v>100000</v>
      </c>
      <c r="L5540">
        <v>1</v>
      </c>
      <c r="M5540" s="94">
        <v>0</v>
      </c>
      <c r="N5540" t="s">
        <v>32</v>
      </c>
      <c r="O5540" t="s">
        <v>33</v>
      </c>
      <c r="P5540" t="s">
        <v>34</v>
      </c>
      <c r="Q5540" t="s">
        <v>34</v>
      </c>
      <c r="R5540" t="s">
        <v>34</v>
      </c>
      <c r="S5540" t="s">
        <v>34</v>
      </c>
      <c r="T5540" s="117">
        <v>0</v>
      </c>
    </row>
    <row r="5541" spans="1:21" x14ac:dyDescent="0.35">
      <c r="A5541" t="s">
        <v>19</v>
      </c>
      <c r="B5541" t="s">
        <v>26</v>
      </c>
      <c r="C5541" s="1">
        <v>45975</v>
      </c>
      <c r="D5541">
        <f>DAY(C5541)</f>
        <v>14</v>
      </c>
      <c r="E5541">
        <f>MONTH(C5541)</f>
        <v>11</v>
      </c>
      <c r="F5541">
        <f>YEAR(C5541)</f>
        <v>2025</v>
      </c>
      <c r="G5541" t="s">
        <v>73</v>
      </c>
      <c r="H5541" s="121">
        <v>13989</v>
      </c>
      <c r="I5541" s="76">
        <v>227867.63</v>
      </c>
      <c r="J5541" s="12" t="s">
        <v>31</v>
      </c>
      <c r="K5541" s="76">
        <f t="shared" si="629"/>
        <v>227867.63</v>
      </c>
      <c r="L5541">
        <v>1</v>
      </c>
      <c r="M5541" s="94">
        <v>0</v>
      </c>
      <c r="N5541" t="s">
        <v>32</v>
      </c>
      <c r="O5541" t="s">
        <v>33</v>
      </c>
      <c r="P5541" t="s">
        <v>34</v>
      </c>
      <c r="Q5541" t="s">
        <v>34</v>
      </c>
      <c r="R5541" t="s">
        <v>34</v>
      </c>
      <c r="S5541" t="s">
        <v>34</v>
      </c>
      <c r="T5541" s="117">
        <v>0</v>
      </c>
      <c r="U5541" s="209" t="s">
        <v>94</v>
      </c>
    </row>
    <row r="5542" spans="1:21" x14ac:dyDescent="0.35">
      <c r="A5542" t="s">
        <v>19</v>
      </c>
      <c r="B5542" t="s">
        <v>19</v>
      </c>
      <c r="C5542" s="1">
        <v>45973</v>
      </c>
      <c r="D5542">
        <f t="shared" si="626"/>
        <v>12</v>
      </c>
      <c r="E5542">
        <f t="shared" si="627"/>
        <v>11</v>
      </c>
      <c r="F5542">
        <f t="shared" si="628"/>
        <v>2025</v>
      </c>
      <c r="G5542" t="s">
        <v>56</v>
      </c>
      <c r="H5542" s="121" t="s">
        <v>1491</v>
      </c>
      <c r="I5542" s="76">
        <v>176676.83</v>
      </c>
      <c r="J5542" s="12" t="s">
        <v>31</v>
      </c>
      <c r="K5542" s="76">
        <f t="shared" si="629"/>
        <v>176676.83</v>
      </c>
      <c r="L5542">
        <v>1</v>
      </c>
      <c r="M5542" s="94">
        <v>0</v>
      </c>
      <c r="N5542" t="s">
        <v>32</v>
      </c>
      <c r="O5542" t="s">
        <v>33</v>
      </c>
      <c r="P5542" t="s">
        <v>34</v>
      </c>
      <c r="Q5542" t="s">
        <v>34</v>
      </c>
      <c r="R5542" t="s">
        <v>34</v>
      </c>
      <c r="S5542" t="s">
        <v>34</v>
      </c>
      <c r="T5542" s="117">
        <v>0</v>
      </c>
    </row>
    <row r="5543" spans="1:21" x14ac:dyDescent="0.35">
      <c r="A5543" t="s">
        <v>19</v>
      </c>
      <c r="B5543" t="s">
        <v>19</v>
      </c>
      <c r="C5543" s="1">
        <v>45973</v>
      </c>
      <c r="D5543">
        <f t="shared" ref="D5543:D5553" si="635">DAY(C5543)</f>
        <v>12</v>
      </c>
      <c r="E5543">
        <f t="shared" ref="E5543:E5553" si="636">MONTH(C5543)</f>
        <v>11</v>
      </c>
      <c r="F5543">
        <f t="shared" ref="F5543:F5553" si="637">YEAR(C5543)</f>
        <v>2025</v>
      </c>
      <c r="G5543" t="s">
        <v>56</v>
      </c>
      <c r="H5543" s="121" t="s">
        <v>1492</v>
      </c>
      <c r="I5543" s="76">
        <v>193107.72</v>
      </c>
      <c r="J5543" s="12" t="s">
        <v>31</v>
      </c>
      <c r="K5543" s="76">
        <f t="shared" ref="K5543:K5553" si="638">IF(J5543="USD",I5543,I5543*L5543)</f>
        <v>193107.72</v>
      </c>
      <c r="L5543">
        <v>1</v>
      </c>
      <c r="M5543" s="94">
        <v>0</v>
      </c>
      <c r="N5543" t="s">
        <v>32</v>
      </c>
      <c r="O5543" t="s">
        <v>33</v>
      </c>
      <c r="P5543" t="s">
        <v>34</v>
      </c>
      <c r="Q5543" t="s">
        <v>34</v>
      </c>
      <c r="R5543" t="s">
        <v>34</v>
      </c>
      <c r="S5543" t="s">
        <v>34</v>
      </c>
      <c r="T5543" s="117">
        <v>0</v>
      </c>
    </row>
    <row r="5544" spans="1:21" x14ac:dyDescent="0.35">
      <c r="A5544" t="s">
        <v>19</v>
      </c>
      <c r="B5544" t="s">
        <v>19</v>
      </c>
      <c r="C5544" s="1">
        <v>45973</v>
      </c>
      <c r="D5544">
        <f t="shared" si="635"/>
        <v>12</v>
      </c>
      <c r="E5544">
        <f t="shared" si="636"/>
        <v>11</v>
      </c>
      <c r="F5544">
        <f t="shared" si="637"/>
        <v>2025</v>
      </c>
      <c r="G5544" t="s">
        <v>56</v>
      </c>
      <c r="H5544" s="121" t="s">
        <v>1493</v>
      </c>
      <c r="I5544" s="76">
        <v>199002.2</v>
      </c>
      <c r="J5544" s="12" t="s">
        <v>31</v>
      </c>
      <c r="K5544" s="76">
        <f t="shared" si="638"/>
        <v>199002.2</v>
      </c>
      <c r="L5544">
        <v>1</v>
      </c>
      <c r="M5544" s="94">
        <v>0</v>
      </c>
      <c r="N5544" t="s">
        <v>32</v>
      </c>
      <c r="O5544" t="s">
        <v>33</v>
      </c>
      <c r="P5544" t="s">
        <v>34</v>
      </c>
      <c r="Q5544" t="s">
        <v>34</v>
      </c>
      <c r="R5544" t="s">
        <v>34</v>
      </c>
      <c r="S5544" t="s">
        <v>34</v>
      </c>
      <c r="T5544" s="117">
        <v>0</v>
      </c>
    </row>
    <row r="5545" spans="1:21" x14ac:dyDescent="0.35">
      <c r="A5545" t="s">
        <v>19</v>
      </c>
      <c r="B5545" t="s">
        <v>19</v>
      </c>
      <c r="C5545" s="1">
        <v>45973</v>
      </c>
      <c r="D5545">
        <f t="shared" si="635"/>
        <v>12</v>
      </c>
      <c r="E5545">
        <f t="shared" si="636"/>
        <v>11</v>
      </c>
      <c r="F5545">
        <f t="shared" si="637"/>
        <v>2025</v>
      </c>
      <c r="G5545" t="s">
        <v>56</v>
      </c>
      <c r="H5545" s="121" t="s">
        <v>1494</v>
      </c>
      <c r="I5545" s="76">
        <v>5850.91</v>
      </c>
      <c r="J5545" s="12" t="s">
        <v>31</v>
      </c>
      <c r="K5545" s="76">
        <f t="shared" si="638"/>
        <v>5850.91</v>
      </c>
      <c r="L5545">
        <v>1</v>
      </c>
      <c r="M5545" s="94">
        <v>0</v>
      </c>
      <c r="N5545" t="s">
        <v>32</v>
      </c>
      <c r="O5545" t="s">
        <v>33</v>
      </c>
      <c r="P5545" t="s">
        <v>34</v>
      </c>
      <c r="Q5545" t="s">
        <v>34</v>
      </c>
      <c r="R5545" t="s">
        <v>34</v>
      </c>
      <c r="S5545" t="s">
        <v>34</v>
      </c>
      <c r="T5545" s="117">
        <v>0</v>
      </c>
    </row>
    <row r="5546" spans="1:21" x14ac:dyDescent="0.35">
      <c r="A5546" t="s">
        <v>19</v>
      </c>
      <c r="B5546" t="s">
        <v>19</v>
      </c>
      <c r="C5546" s="1">
        <v>45973</v>
      </c>
      <c r="D5546">
        <f t="shared" si="635"/>
        <v>12</v>
      </c>
      <c r="E5546">
        <f t="shared" si="636"/>
        <v>11</v>
      </c>
      <c r="F5546">
        <f t="shared" si="637"/>
        <v>2025</v>
      </c>
      <c r="G5546" t="s">
        <v>56</v>
      </c>
      <c r="H5546" s="121" t="s">
        <v>1495</v>
      </c>
      <c r="I5546" s="76">
        <v>8465.43</v>
      </c>
      <c r="J5546" s="12" t="s">
        <v>31</v>
      </c>
      <c r="K5546" s="76">
        <f t="shared" si="638"/>
        <v>8465.43</v>
      </c>
      <c r="L5546">
        <v>1</v>
      </c>
      <c r="M5546" s="94">
        <v>0</v>
      </c>
      <c r="N5546" t="s">
        <v>32</v>
      </c>
      <c r="O5546" t="s">
        <v>33</v>
      </c>
      <c r="P5546" t="s">
        <v>34</v>
      </c>
      <c r="Q5546" t="s">
        <v>34</v>
      </c>
      <c r="R5546" t="s">
        <v>34</v>
      </c>
      <c r="S5546" t="s">
        <v>34</v>
      </c>
      <c r="T5546" s="117">
        <v>0</v>
      </c>
    </row>
    <row r="5547" spans="1:21" x14ac:dyDescent="0.35">
      <c r="A5547" t="s">
        <v>19</v>
      </c>
      <c r="B5547" t="s">
        <v>19</v>
      </c>
      <c r="C5547" s="1">
        <v>45973</v>
      </c>
      <c r="D5547">
        <f t="shared" si="635"/>
        <v>12</v>
      </c>
      <c r="E5547">
        <f t="shared" si="636"/>
        <v>11</v>
      </c>
      <c r="F5547">
        <f t="shared" si="637"/>
        <v>2025</v>
      </c>
      <c r="G5547" t="s">
        <v>56</v>
      </c>
      <c r="H5547" s="121" t="s">
        <v>1496</v>
      </c>
      <c r="I5547" s="76">
        <v>5232.17</v>
      </c>
      <c r="J5547" s="12" t="s">
        <v>31</v>
      </c>
      <c r="K5547" s="76">
        <f t="shared" si="638"/>
        <v>5232.17</v>
      </c>
      <c r="L5547">
        <v>1</v>
      </c>
      <c r="M5547" s="94">
        <v>0</v>
      </c>
      <c r="N5547" t="s">
        <v>32</v>
      </c>
      <c r="O5547" t="s">
        <v>33</v>
      </c>
      <c r="P5547" t="s">
        <v>34</v>
      </c>
      <c r="Q5547" t="s">
        <v>34</v>
      </c>
      <c r="R5547" t="s">
        <v>34</v>
      </c>
      <c r="S5547" t="s">
        <v>34</v>
      </c>
      <c r="T5547" s="117">
        <v>0</v>
      </c>
    </row>
    <row r="5548" spans="1:21" x14ac:dyDescent="0.35">
      <c r="A5548" t="s">
        <v>19</v>
      </c>
      <c r="B5548" t="s">
        <v>19</v>
      </c>
      <c r="C5548" s="1">
        <v>45973</v>
      </c>
      <c r="D5548">
        <f t="shared" si="635"/>
        <v>12</v>
      </c>
      <c r="E5548">
        <f t="shared" si="636"/>
        <v>11</v>
      </c>
      <c r="F5548">
        <f t="shared" si="637"/>
        <v>2025</v>
      </c>
      <c r="G5548" t="s">
        <v>106</v>
      </c>
      <c r="H5548" s="121" t="s">
        <v>1497</v>
      </c>
      <c r="I5548" s="15">
        <f>105738.65+94783.08</f>
        <v>200521.72999999998</v>
      </c>
      <c r="J5548" s="12" t="s">
        <v>31</v>
      </c>
      <c r="K5548" s="76">
        <f t="shared" si="638"/>
        <v>200521.72999999998</v>
      </c>
      <c r="L5548">
        <v>1</v>
      </c>
      <c r="M5548" s="94">
        <v>0</v>
      </c>
      <c r="N5548" t="s">
        <v>32</v>
      </c>
      <c r="O5548" t="s">
        <v>33</v>
      </c>
      <c r="P5548" t="s">
        <v>34</v>
      </c>
      <c r="Q5548" t="s">
        <v>34</v>
      </c>
      <c r="R5548" t="s">
        <v>34</v>
      </c>
      <c r="S5548" t="s">
        <v>34</v>
      </c>
      <c r="T5548" s="117">
        <v>0</v>
      </c>
    </row>
    <row r="5549" spans="1:21" x14ac:dyDescent="0.35">
      <c r="A5549" t="s">
        <v>19</v>
      </c>
      <c r="B5549" t="s">
        <v>19</v>
      </c>
      <c r="C5549" s="1">
        <v>45973</v>
      </c>
      <c r="D5549">
        <f t="shared" si="635"/>
        <v>12</v>
      </c>
      <c r="E5549">
        <f t="shared" si="636"/>
        <v>11</v>
      </c>
      <c r="F5549">
        <f t="shared" si="637"/>
        <v>2025</v>
      </c>
      <c r="G5549" t="s">
        <v>59</v>
      </c>
      <c r="H5549" s="121" t="s">
        <v>1498</v>
      </c>
      <c r="I5549" s="15">
        <v>188744.59</v>
      </c>
      <c r="J5549" s="12" t="s">
        <v>31</v>
      </c>
      <c r="K5549" s="76">
        <f t="shared" si="638"/>
        <v>188744.59</v>
      </c>
      <c r="L5549">
        <v>1</v>
      </c>
      <c r="M5549" s="94">
        <v>0</v>
      </c>
      <c r="N5549" t="s">
        <v>32</v>
      </c>
      <c r="O5549" t="s">
        <v>33</v>
      </c>
      <c r="P5549" t="s">
        <v>34</v>
      </c>
      <c r="Q5549" t="s">
        <v>34</v>
      </c>
      <c r="R5549" t="s">
        <v>34</v>
      </c>
      <c r="S5549" t="s">
        <v>34</v>
      </c>
      <c r="T5549" s="117">
        <v>0</v>
      </c>
    </row>
    <row r="5550" spans="1:21" x14ac:dyDescent="0.35">
      <c r="A5550" t="s">
        <v>19</v>
      </c>
      <c r="B5550" t="s">
        <v>19</v>
      </c>
      <c r="C5550" s="1">
        <v>45973</v>
      </c>
      <c r="D5550">
        <f t="shared" si="635"/>
        <v>12</v>
      </c>
      <c r="E5550">
        <f t="shared" si="636"/>
        <v>11</v>
      </c>
      <c r="F5550">
        <f t="shared" si="637"/>
        <v>2025</v>
      </c>
      <c r="G5550" t="s">
        <v>59</v>
      </c>
      <c r="H5550" s="121" t="s">
        <v>1499</v>
      </c>
      <c r="I5550" s="15">
        <v>68807.92</v>
      </c>
      <c r="J5550" s="12" t="s">
        <v>31</v>
      </c>
      <c r="K5550" s="76">
        <f t="shared" si="638"/>
        <v>68807.92</v>
      </c>
      <c r="L5550">
        <v>1</v>
      </c>
      <c r="M5550" s="94">
        <v>0</v>
      </c>
      <c r="N5550" t="s">
        <v>32</v>
      </c>
      <c r="O5550" t="s">
        <v>33</v>
      </c>
      <c r="P5550" t="s">
        <v>34</v>
      </c>
      <c r="Q5550" t="s">
        <v>34</v>
      </c>
      <c r="R5550" t="s">
        <v>34</v>
      </c>
      <c r="S5550" t="s">
        <v>34</v>
      </c>
      <c r="T5550" s="117">
        <v>0</v>
      </c>
    </row>
    <row r="5551" spans="1:21" x14ac:dyDescent="0.35">
      <c r="A5551" t="s">
        <v>19</v>
      </c>
      <c r="B5551" t="s">
        <v>19</v>
      </c>
      <c r="C5551" s="1">
        <v>45973</v>
      </c>
      <c r="D5551">
        <f t="shared" si="635"/>
        <v>12</v>
      </c>
      <c r="E5551">
        <f t="shared" si="636"/>
        <v>11</v>
      </c>
      <c r="F5551">
        <f t="shared" si="637"/>
        <v>2025</v>
      </c>
      <c r="G5551" t="s">
        <v>523</v>
      </c>
      <c r="H5551" s="121" t="s">
        <v>1500</v>
      </c>
      <c r="I5551" s="76">
        <v>137125.5</v>
      </c>
      <c r="J5551" s="12" t="s">
        <v>31</v>
      </c>
      <c r="K5551" s="76">
        <f t="shared" si="638"/>
        <v>137125.5</v>
      </c>
      <c r="L5551">
        <v>1</v>
      </c>
      <c r="M5551" s="94">
        <v>0</v>
      </c>
      <c r="N5551" t="s">
        <v>32</v>
      </c>
      <c r="O5551" t="s">
        <v>33</v>
      </c>
      <c r="P5551" t="s">
        <v>34</v>
      </c>
      <c r="Q5551" t="s">
        <v>34</v>
      </c>
      <c r="R5551" t="s">
        <v>34</v>
      </c>
      <c r="S5551" t="s">
        <v>34</v>
      </c>
      <c r="T5551" s="117">
        <v>0</v>
      </c>
    </row>
    <row r="5552" spans="1:21" x14ac:dyDescent="0.35">
      <c r="A5552" t="s">
        <v>19</v>
      </c>
      <c r="B5552" t="s">
        <v>19</v>
      </c>
      <c r="C5552" s="1">
        <v>45973</v>
      </c>
      <c r="D5552">
        <f t="shared" si="635"/>
        <v>12</v>
      </c>
      <c r="E5552">
        <f t="shared" si="636"/>
        <v>11</v>
      </c>
      <c r="F5552">
        <f t="shared" si="637"/>
        <v>2025</v>
      </c>
      <c r="G5552" t="s">
        <v>183</v>
      </c>
      <c r="H5552" s="121" t="s">
        <v>1302</v>
      </c>
      <c r="I5552" s="15">
        <v>5811.16</v>
      </c>
      <c r="J5552" s="12" t="s">
        <v>31</v>
      </c>
      <c r="K5552" s="76">
        <f t="shared" si="638"/>
        <v>5811.16</v>
      </c>
      <c r="L5552">
        <v>1</v>
      </c>
      <c r="M5552" s="94">
        <v>0</v>
      </c>
      <c r="N5552" t="s">
        <v>32</v>
      </c>
      <c r="O5552" t="s">
        <v>33</v>
      </c>
      <c r="P5552" t="s">
        <v>34</v>
      </c>
      <c r="Q5552" t="s">
        <v>34</v>
      </c>
      <c r="R5552" t="s">
        <v>34</v>
      </c>
      <c r="S5552" t="s">
        <v>34</v>
      </c>
      <c r="T5552" s="117">
        <v>0</v>
      </c>
    </row>
    <row r="5553" spans="1:20" x14ac:dyDescent="0.35">
      <c r="A5553" t="s">
        <v>19</v>
      </c>
      <c r="B5553" t="s">
        <v>19</v>
      </c>
      <c r="C5553" s="1">
        <v>45973</v>
      </c>
      <c r="D5553">
        <f t="shared" si="635"/>
        <v>12</v>
      </c>
      <c r="E5553">
        <f t="shared" si="636"/>
        <v>11</v>
      </c>
      <c r="F5553">
        <f t="shared" si="637"/>
        <v>2025</v>
      </c>
      <c r="G5553" t="s">
        <v>1327</v>
      </c>
      <c r="H5553" s="121" t="s">
        <v>1501</v>
      </c>
      <c r="I5553" s="15">
        <v>330</v>
      </c>
      <c r="J5553" s="12" t="s">
        <v>31</v>
      </c>
      <c r="K5553" s="76">
        <f t="shared" si="638"/>
        <v>330</v>
      </c>
      <c r="L5553">
        <v>1</v>
      </c>
      <c r="M5553" s="94">
        <v>0</v>
      </c>
      <c r="N5553" t="s">
        <v>32</v>
      </c>
      <c r="O5553" t="s">
        <v>33</v>
      </c>
      <c r="P5553" t="s">
        <v>34</v>
      </c>
      <c r="Q5553" t="s">
        <v>34</v>
      </c>
      <c r="R5553" t="s">
        <v>34</v>
      </c>
      <c r="S5553" t="s">
        <v>34</v>
      </c>
      <c r="T5553" s="117">
        <v>0</v>
      </c>
    </row>
    <row r="5554" spans="1:20" x14ac:dyDescent="0.35">
      <c r="A5554" t="s">
        <v>19</v>
      </c>
      <c r="B5554" t="s">
        <v>19</v>
      </c>
      <c r="C5554" s="1">
        <v>45973</v>
      </c>
      <c r="D5554">
        <f t="shared" ref="D5554:D5558" si="639">DAY(C5554)</f>
        <v>12</v>
      </c>
      <c r="E5554">
        <f t="shared" ref="E5554:E5558" si="640">MONTH(C5554)</f>
        <v>11</v>
      </c>
      <c r="F5554">
        <f t="shared" ref="F5554:F5558" si="641">YEAR(C5554)</f>
        <v>2025</v>
      </c>
      <c r="G5554" t="s">
        <v>1327</v>
      </c>
      <c r="H5554" s="121" t="s">
        <v>1502</v>
      </c>
      <c r="I5554" s="15">
        <v>7118.79</v>
      </c>
      <c r="J5554" s="12" t="s">
        <v>31</v>
      </c>
      <c r="K5554" s="76">
        <f t="shared" ref="K5554:K5562" si="642">IF(J5554="USD",I5554,I5554*L5554)</f>
        <v>7118.79</v>
      </c>
      <c r="L5554">
        <v>1</v>
      </c>
      <c r="M5554" s="94">
        <v>0</v>
      </c>
      <c r="N5554" t="s">
        <v>32</v>
      </c>
      <c r="O5554" t="s">
        <v>33</v>
      </c>
      <c r="P5554" t="s">
        <v>34</v>
      </c>
      <c r="Q5554" t="s">
        <v>34</v>
      </c>
      <c r="R5554" t="s">
        <v>34</v>
      </c>
      <c r="S5554" t="s">
        <v>34</v>
      </c>
      <c r="T5554" s="117">
        <v>0</v>
      </c>
    </row>
    <row r="5555" spans="1:20" x14ac:dyDescent="0.35">
      <c r="A5555" t="s">
        <v>19</v>
      </c>
      <c r="B5555" t="s">
        <v>19</v>
      </c>
      <c r="C5555" s="1">
        <v>45973</v>
      </c>
      <c r="D5555">
        <f t="shared" si="639"/>
        <v>12</v>
      </c>
      <c r="E5555">
        <f t="shared" si="640"/>
        <v>11</v>
      </c>
      <c r="F5555">
        <f t="shared" si="641"/>
        <v>2025</v>
      </c>
      <c r="G5555" t="s">
        <v>263</v>
      </c>
      <c r="H5555" s="121" t="s">
        <v>1503</v>
      </c>
      <c r="I5555" s="15">
        <v>527.04</v>
      </c>
      <c r="J5555" s="12" t="s">
        <v>31</v>
      </c>
      <c r="K5555" s="76">
        <f t="shared" si="642"/>
        <v>527.04</v>
      </c>
      <c r="L5555">
        <v>1</v>
      </c>
      <c r="M5555" s="94">
        <v>0</v>
      </c>
      <c r="N5555" t="s">
        <v>32</v>
      </c>
      <c r="O5555" t="s">
        <v>33</v>
      </c>
      <c r="P5555" t="s">
        <v>34</v>
      </c>
      <c r="Q5555" t="s">
        <v>34</v>
      </c>
      <c r="R5555" t="s">
        <v>34</v>
      </c>
      <c r="S5555" t="s">
        <v>34</v>
      </c>
      <c r="T5555" s="117">
        <v>0</v>
      </c>
    </row>
    <row r="5556" spans="1:20" x14ac:dyDescent="0.35">
      <c r="A5556" t="s">
        <v>19</v>
      </c>
      <c r="B5556" t="s">
        <v>19</v>
      </c>
      <c r="C5556" s="1">
        <v>45973</v>
      </c>
      <c r="D5556">
        <f t="shared" si="639"/>
        <v>12</v>
      </c>
      <c r="E5556">
        <f t="shared" si="640"/>
        <v>11</v>
      </c>
      <c r="F5556">
        <f t="shared" si="641"/>
        <v>2025</v>
      </c>
      <c r="G5556" t="s">
        <v>133</v>
      </c>
      <c r="H5556" s="121" t="s">
        <v>1504</v>
      </c>
      <c r="I5556" s="15">
        <v>9618</v>
      </c>
      <c r="J5556" s="12" t="s">
        <v>31</v>
      </c>
      <c r="K5556" s="76">
        <f t="shared" si="642"/>
        <v>9618</v>
      </c>
      <c r="L5556">
        <v>1</v>
      </c>
      <c r="M5556" s="94">
        <v>0</v>
      </c>
      <c r="N5556" t="s">
        <v>32</v>
      </c>
      <c r="O5556" t="s">
        <v>33</v>
      </c>
      <c r="P5556" t="s">
        <v>34</v>
      </c>
      <c r="Q5556" t="s">
        <v>34</v>
      </c>
      <c r="R5556" t="s">
        <v>34</v>
      </c>
      <c r="S5556" t="s">
        <v>34</v>
      </c>
      <c r="T5556" s="117">
        <v>0</v>
      </c>
    </row>
    <row r="5557" spans="1:20" x14ac:dyDescent="0.35">
      <c r="A5557" t="s">
        <v>19</v>
      </c>
      <c r="B5557" t="s">
        <v>19</v>
      </c>
      <c r="C5557" s="1">
        <v>45973</v>
      </c>
      <c r="D5557">
        <f>DAY(C5557)</f>
        <v>12</v>
      </c>
      <c r="E5557">
        <f>MONTH(C5557)</f>
        <v>11</v>
      </c>
      <c r="F5557">
        <f>YEAR(C5557)</f>
        <v>2025</v>
      </c>
      <c r="G5557" t="s">
        <v>1515</v>
      </c>
      <c r="H5557" s="121"/>
      <c r="I5557" s="15">
        <v>4230</v>
      </c>
      <c r="J5557" s="12" t="s">
        <v>31</v>
      </c>
      <c r="K5557" s="76">
        <f t="shared" ref="K5557" si="643">IF(J5557="USD",I5557,I5557*L5557)</f>
        <v>4230</v>
      </c>
      <c r="L5557">
        <v>1</v>
      </c>
      <c r="M5557" s="94">
        <v>0</v>
      </c>
      <c r="N5557" t="s">
        <v>32</v>
      </c>
      <c r="O5557" t="s">
        <v>33</v>
      </c>
      <c r="P5557" t="s">
        <v>34</v>
      </c>
      <c r="Q5557" t="s">
        <v>34</v>
      </c>
      <c r="R5557" t="s">
        <v>34</v>
      </c>
      <c r="S5557" t="s">
        <v>34</v>
      </c>
      <c r="T5557" s="117">
        <v>0</v>
      </c>
    </row>
    <row r="5558" spans="1:20" x14ac:dyDescent="0.35">
      <c r="A5558" t="s">
        <v>19</v>
      </c>
      <c r="B5558" t="s">
        <v>21</v>
      </c>
      <c r="C5558" s="1">
        <v>45980</v>
      </c>
      <c r="D5558">
        <f t="shared" si="639"/>
        <v>19</v>
      </c>
      <c r="E5558">
        <f t="shared" si="640"/>
        <v>11</v>
      </c>
      <c r="F5558">
        <f t="shared" si="641"/>
        <v>2025</v>
      </c>
      <c r="G5558" t="s">
        <v>1517</v>
      </c>
      <c r="H5558" s="121">
        <v>13944</v>
      </c>
      <c r="I5558" s="15">
        <v>10805.7</v>
      </c>
      <c r="J5558" s="12" t="s">
        <v>31</v>
      </c>
      <c r="K5558" s="76">
        <f t="shared" si="642"/>
        <v>10805.7</v>
      </c>
      <c r="L5558">
        <v>1</v>
      </c>
      <c r="M5558" s="94">
        <v>0</v>
      </c>
      <c r="N5558" t="s">
        <v>42</v>
      </c>
      <c r="O5558" t="s">
        <v>33</v>
      </c>
      <c r="P5558" t="s">
        <v>34</v>
      </c>
      <c r="Q5558" t="s">
        <v>34</v>
      </c>
      <c r="R5558" t="s">
        <v>34</v>
      </c>
      <c r="S5558" t="s">
        <v>34</v>
      </c>
      <c r="T5558" s="117">
        <v>0</v>
      </c>
    </row>
    <row r="5559" spans="1:20" x14ac:dyDescent="0.35">
      <c r="A5559" t="s">
        <v>19</v>
      </c>
      <c r="B5559" t="s">
        <v>713</v>
      </c>
      <c r="C5559" s="1">
        <v>45980</v>
      </c>
      <c r="D5559">
        <f t="shared" ref="D5559:D5562" si="644">DAY(C5559)</f>
        <v>19</v>
      </c>
      <c r="E5559">
        <f t="shared" ref="E5559:E5562" si="645">MONTH(C5559)</f>
        <v>11</v>
      </c>
      <c r="F5559">
        <f t="shared" ref="F5559:F5562" si="646">YEAR(C5559)</f>
        <v>2025</v>
      </c>
      <c r="G5559" t="s">
        <v>1517</v>
      </c>
      <c r="H5559" s="121">
        <v>13967</v>
      </c>
      <c r="I5559" s="15">
        <v>4988.75</v>
      </c>
      <c r="J5559" s="12" t="s">
        <v>31</v>
      </c>
      <c r="K5559" s="76">
        <f t="shared" si="642"/>
        <v>4988.75</v>
      </c>
      <c r="L5559">
        <v>1</v>
      </c>
      <c r="M5559" s="94">
        <v>0</v>
      </c>
      <c r="N5559" t="s">
        <v>42</v>
      </c>
      <c r="O5559" t="s">
        <v>33</v>
      </c>
      <c r="P5559" t="s">
        <v>34</v>
      </c>
      <c r="Q5559" t="s">
        <v>34</v>
      </c>
      <c r="R5559" t="s">
        <v>34</v>
      </c>
      <c r="S5559" t="s">
        <v>34</v>
      </c>
      <c r="T5559" s="117">
        <v>0</v>
      </c>
    </row>
    <row r="5560" spans="1:20" x14ac:dyDescent="0.35">
      <c r="A5560" t="s">
        <v>19</v>
      </c>
      <c r="B5560" t="s">
        <v>27</v>
      </c>
      <c r="C5560" s="1">
        <v>45980</v>
      </c>
      <c r="D5560">
        <f t="shared" si="644"/>
        <v>19</v>
      </c>
      <c r="E5560">
        <f t="shared" si="645"/>
        <v>11</v>
      </c>
      <c r="F5560">
        <f t="shared" si="646"/>
        <v>2025</v>
      </c>
      <c r="G5560" t="s">
        <v>100</v>
      </c>
      <c r="H5560" s="121">
        <v>13569</v>
      </c>
      <c r="I5560" s="15">
        <v>115231.37000000002</v>
      </c>
      <c r="J5560" s="12" t="s">
        <v>31</v>
      </c>
      <c r="K5560" s="76">
        <f t="shared" si="642"/>
        <v>115231.37000000002</v>
      </c>
      <c r="L5560">
        <v>1</v>
      </c>
      <c r="M5560" s="94">
        <v>0</v>
      </c>
      <c r="N5560" t="s">
        <v>32</v>
      </c>
      <c r="O5560" t="s">
        <v>33</v>
      </c>
      <c r="P5560" t="s">
        <v>34</v>
      </c>
      <c r="Q5560" t="s">
        <v>34</v>
      </c>
      <c r="R5560" t="s">
        <v>34</v>
      </c>
      <c r="S5560" t="s">
        <v>34</v>
      </c>
      <c r="T5560" s="117">
        <v>0</v>
      </c>
    </row>
    <row r="5561" spans="1:20" x14ac:dyDescent="0.35">
      <c r="A5561" t="s">
        <v>19</v>
      </c>
      <c r="B5561" t="s">
        <v>27</v>
      </c>
      <c r="C5561" s="1">
        <v>45980</v>
      </c>
      <c r="D5561">
        <f t="shared" si="644"/>
        <v>19</v>
      </c>
      <c r="E5561">
        <f t="shared" si="645"/>
        <v>11</v>
      </c>
      <c r="F5561">
        <f t="shared" si="646"/>
        <v>2025</v>
      </c>
      <c r="G5561" t="s">
        <v>100</v>
      </c>
      <c r="H5561" s="121">
        <v>13704</v>
      </c>
      <c r="I5561" s="15">
        <v>180000</v>
      </c>
      <c r="J5561" s="12" t="s">
        <v>31</v>
      </c>
      <c r="K5561" s="76">
        <f t="shared" si="642"/>
        <v>180000</v>
      </c>
      <c r="L5561">
        <v>1</v>
      </c>
      <c r="M5561" s="94">
        <v>0</v>
      </c>
      <c r="N5561" t="s">
        <v>32</v>
      </c>
      <c r="O5561" t="s">
        <v>33</v>
      </c>
      <c r="P5561" t="s">
        <v>34</v>
      </c>
      <c r="Q5561" t="s">
        <v>34</v>
      </c>
      <c r="R5561" t="s">
        <v>34</v>
      </c>
      <c r="S5561" t="s">
        <v>34</v>
      </c>
      <c r="T5561" s="117">
        <v>0</v>
      </c>
    </row>
    <row r="5562" spans="1:20" x14ac:dyDescent="0.35">
      <c r="A5562" t="s">
        <v>19</v>
      </c>
      <c r="B5562" t="s">
        <v>21</v>
      </c>
      <c r="C5562" s="1">
        <v>45980</v>
      </c>
      <c r="D5562">
        <f t="shared" si="644"/>
        <v>19</v>
      </c>
      <c r="E5562">
        <f t="shared" si="645"/>
        <v>11</v>
      </c>
      <c r="F5562">
        <f t="shared" si="646"/>
        <v>2025</v>
      </c>
      <c r="G5562" t="s">
        <v>77</v>
      </c>
      <c r="H5562" s="121">
        <v>13233</v>
      </c>
      <c r="I5562" s="15">
        <v>2706.25</v>
      </c>
      <c r="J5562" s="12" t="s">
        <v>31</v>
      </c>
      <c r="K5562" s="76">
        <f t="shared" si="642"/>
        <v>2706.25</v>
      </c>
      <c r="L5562">
        <v>1</v>
      </c>
      <c r="M5562" s="94">
        <v>0</v>
      </c>
      <c r="N5562" t="s">
        <v>32</v>
      </c>
      <c r="O5562" t="s">
        <v>33</v>
      </c>
      <c r="P5562" t="s">
        <v>34</v>
      </c>
      <c r="Q5562" t="s">
        <v>34</v>
      </c>
      <c r="R5562" t="s">
        <v>34</v>
      </c>
      <c r="S5562" t="s">
        <v>34</v>
      </c>
      <c r="T5562" s="117">
        <v>0</v>
      </c>
    </row>
    <row r="5563" spans="1:20" x14ac:dyDescent="0.35">
      <c r="A5563" t="s">
        <v>19</v>
      </c>
      <c r="B5563" t="s">
        <v>21</v>
      </c>
      <c r="C5563" s="1">
        <v>45980</v>
      </c>
      <c r="D5563">
        <f t="shared" ref="D5563:D5569" si="647">DAY(C5563)</f>
        <v>19</v>
      </c>
      <c r="E5563">
        <f t="shared" ref="E5563:E5569" si="648">MONTH(C5563)</f>
        <v>11</v>
      </c>
      <c r="F5563">
        <f t="shared" ref="F5563:F5569" si="649">YEAR(C5563)</f>
        <v>2025</v>
      </c>
      <c r="G5563" t="s">
        <v>77</v>
      </c>
      <c r="H5563" s="121">
        <v>13390</v>
      </c>
      <c r="I5563" s="15">
        <v>7557.15</v>
      </c>
      <c r="J5563" s="12" t="s">
        <v>31</v>
      </c>
      <c r="K5563" s="76">
        <f t="shared" ref="K5563:K5581" si="650">IF(J5563="USD",I5563,I5563*L5563)</f>
        <v>7557.15</v>
      </c>
      <c r="L5563">
        <v>1</v>
      </c>
      <c r="M5563" s="94">
        <v>0</v>
      </c>
      <c r="N5563" t="s">
        <v>32</v>
      </c>
      <c r="O5563" t="s">
        <v>33</v>
      </c>
      <c r="P5563" t="s">
        <v>34</v>
      </c>
      <c r="Q5563" t="s">
        <v>34</v>
      </c>
      <c r="R5563" t="s">
        <v>34</v>
      </c>
      <c r="S5563" t="s">
        <v>34</v>
      </c>
      <c r="T5563" s="117">
        <v>0</v>
      </c>
    </row>
    <row r="5564" spans="1:20" x14ac:dyDescent="0.35">
      <c r="A5564" t="s">
        <v>19</v>
      </c>
      <c r="B5564" t="s">
        <v>23</v>
      </c>
      <c r="C5564" s="1">
        <v>45980</v>
      </c>
      <c r="D5564">
        <f t="shared" si="647"/>
        <v>19</v>
      </c>
      <c r="E5564">
        <f t="shared" si="648"/>
        <v>11</v>
      </c>
      <c r="F5564">
        <f t="shared" si="649"/>
        <v>2025</v>
      </c>
      <c r="G5564" t="s">
        <v>77</v>
      </c>
      <c r="H5564" s="121">
        <v>13390</v>
      </c>
      <c r="I5564" s="15">
        <f>17087.5-3138.75</f>
        <v>13948.75</v>
      </c>
      <c r="J5564" s="12" t="s">
        <v>31</v>
      </c>
      <c r="K5564" s="76">
        <f t="shared" si="650"/>
        <v>13948.75</v>
      </c>
      <c r="L5564">
        <v>1</v>
      </c>
      <c r="M5564" s="94">
        <v>0</v>
      </c>
      <c r="N5564" t="s">
        <v>32</v>
      </c>
      <c r="O5564" t="s">
        <v>33</v>
      </c>
      <c r="P5564" t="s">
        <v>34</v>
      </c>
      <c r="Q5564" t="s">
        <v>34</v>
      </c>
      <c r="R5564" t="s">
        <v>34</v>
      </c>
      <c r="S5564" t="s">
        <v>34</v>
      </c>
      <c r="T5564" s="117">
        <v>0</v>
      </c>
    </row>
    <row r="5565" spans="1:20" x14ac:dyDescent="0.35">
      <c r="A5565" t="s">
        <v>19</v>
      </c>
      <c r="B5565" t="s">
        <v>25</v>
      </c>
      <c r="C5565" s="1">
        <v>45980</v>
      </c>
      <c r="D5565">
        <f t="shared" si="647"/>
        <v>19</v>
      </c>
      <c r="E5565">
        <f t="shared" si="648"/>
        <v>11</v>
      </c>
      <c r="F5565">
        <f t="shared" si="649"/>
        <v>2025</v>
      </c>
      <c r="G5565" t="s">
        <v>1146</v>
      </c>
      <c r="H5565" s="121">
        <v>13733</v>
      </c>
      <c r="I5565" s="15">
        <v>420</v>
      </c>
      <c r="J5565" s="12" t="s">
        <v>51</v>
      </c>
      <c r="K5565" s="76">
        <f t="shared" si="650"/>
        <v>488.33</v>
      </c>
      <c r="L5565">
        <v>1.1626904761904762</v>
      </c>
      <c r="M5565" s="94">
        <v>0</v>
      </c>
      <c r="N5565" t="s">
        <v>32</v>
      </c>
      <c r="O5565" t="s">
        <v>33</v>
      </c>
      <c r="P5565" t="s">
        <v>34</v>
      </c>
      <c r="Q5565" t="s">
        <v>34</v>
      </c>
      <c r="R5565" t="s">
        <v>34</v>
      </c>
      <c r="S5565" t="s">
        <v>34</v>
      </c>
      <c r="T5565" s="117">
        <v>0</v>
      </c>
    </row>
    <row r="5566" spans="1:20" x14ac:dyDescent="0.35">
      <c r="A5566" t="s">
        <v>19</v>
      </c>
      <c r="B5566" t="s">
        <v>24</v>
      </c>
      <c r="C5566" s="1">
        <v>45980</v>
      </c>
      <c r="D5566">
        <f t="shared" si="647"/>
        <v>19</v>
      </c>
      <c r="E5566">
        <f t="shared" si="648"/>
        <v>11</v>
      </c>
      <c r="F5566">
        <f t="shared" si="649"/>
        <v>2025</v>
      </c>
      <c r="G5566" t="s">
        <v>36</v>
      </c>
      <c r="H5566" s="121">
        <v>12506</v>
      </c>
      <c r="I5566" s="15">
        <v>13236</v>
      </c>
      <c r="J5566" s="12" t="s">
        <v>31</v>
      </c>
      <c r="K5566" s="76">
        <f t="shared" si="650"/>
        <v>13236</v>
      </c>
      <c r="L5566">
        <v>1</v>
      </c>
      <c r="M5566" s="94">
        <v>0</v>
      </c>
      <c r="N5566" t="s">
        <v>32</v>
      </c>
      <c r="O5566" t="s">
        <v>33</v>
      </c>
      <c r="P5566" t="s">
        <v>34</v>
      </c>
      <c r="Q5566" t="s">
        <v>34</v>
      </c>
      <c r="R5566" t="s">
        <v>34</v>
      </c>
      <c r="S5566" t="s">
        <v>34</v>
      </c>
      <c r="T5566" s="117">
        <v>0</v>
      </c>
    </row>
    <row r="5567" spans="1:20" x14ac:dyDescent="0.35">
      <c r="A5567" t="s">
        <v>19</v>
      </c>
      <c r="B5567" t="s">
        <v>21</v>
      </c>
      <c r="C5567" s="1">
        <v>45980</v>
      </c>
      <c r="D5567">
        <f t="shared" si="647"/>
        <v>19</v>
      </c>
      <c r="E5567">
        <f t="shared" si="648"/>
        <v>11</v>
      </c>
      <c r="F5567">
        <f t="shared" si="649"/>
        <v>2025</v>
      </c>
      <c r="G5567" t="s">
        <v>36</v>
      </c>
      <c r="H5567" s="121">
        <v>13772</v>
      </c>
      <c r="I5567" s="15">
        <v>141.5</v>
      </c>
      <c r="J5567" s="12" t="s">
        <v>31</v>
      </c>
      <c r="K5567" s="76">
        <f t="shared" si="650"/>
        <v>141.5</v>
      </c>
      <c r="L5567">
        <v>1</v>
      </c>
      <c r="M5567" s="94">
        <v>0</v>
      </c>
      <c r="N5567" t="s">
        <v>32</v>
      </c>
      <c r="O5567" t="s">
        <v>33</v>
      </c>
      <c r="P5567" t="s">
        <v>34</v>
      </c>
      <c r="Q5567" t="s">
        <v>34</v>
      </c>
      <c r="R5567" t="s">
        <v>34</v>
      </c>
      <c r="S5567" t="s">
        <v>34</v>
      </c>
      <c r="T5567" s="117">
        <v>0</v>
      </c>
    </row>
    <row r="5568" spans="1:20" x14ac:dyDescent="0.35">
      <c r="A5568" t="s">
        <v>19</v>
      </c>
      <c r="B5568" t="s">
        <v>25</v>
      </c>
      <c r="C5568" s="1">
        <v>45980</v>
      </c>
      <c r="D5568">
        <f t="shared" si="647"/>
        <v>19</v>
      </c>
      <c r="E5568">
        <f t="shared" si="648"/>
        <v>11</v>
      </c>
      <c r="F5568">
        <f t="shared" si="649"/>
        <v>2025</v>
      </c>
      <c r="G5568" t="s">
        <v>39</v>
      </c>
      <c r="H5568" s="121">
        <v>13751</v>
      </c>
      <c r="I5568" s="15">
        <v>10609</v>
      </c>
      <c r="J5568" s="12" t="s">
        <v>31</v>
      </c>
      <c r="K5568" s="76">
        <f t="shared" si="650"/>
        <v>10609</v>
      </c>
      <c r="L5568">
        <v>1</v>
      </c>
      <c r="M5568" s="94">
        <v>0</v>
      </c>
      <c r="N5568" t="s">
        <v>32</v>
      </c>
      <c r="O5568" t="s">
        <v>33</v>
      </c>
      <c r="P5568" t="s">
        <v>34</v>
      </c>
      <c r="Q5568" t="s">
        <v>34</v>
      </c>
      <c r="R5568" t="s">
        <v>34</v>
      </c>
      <c r="S5568" t="s">
        <v>34</v>
      </c>
      <c r="T5568" s="117">
        <v>0</v>
      </c>
    </row>
    <row r="5569" spans="1:20" x14ac:dyDescent="0.35">
      <c r="A5569" t="s">
        <v>19</v>
      </c>
      <c r="B5569" t="s">
        <v>21</v>
      </c>
      <c r="C5569" s="1">
        <v>45980</v>
      </c>
      <c r="D5569">
        <f t="shared" si="647"/>
        <v>19</v>
      </c>
      <c r="E5569">
        <f t="shared" si="648"/>
        <v>11</v>
      </c>
      <c r="F5569">
        <f t="shared" si="649"/>
        <v>2025</v>
      </c>
      <c r="G5569" t="s">
        <v>39</v>
      </c>
      <c r="H5569" s="121">
        <v>13751</v>
      </c>
      <c r="I5569" s="15">
        <v>3297</v>
      </c>
      <c r="J5569" s="12" t="s">
        <v>31</v>
      </c>
      <c r="K5569" s="76">
        <f t="shared" si="650"/>
        <v>3297</v>
      </c>
      <c r="L5569">
        <v>1</v>
      </c>
      <c r="M5569" s="94">
        <v>0</v>
      </c>
      <c r="N5569" t="s">
        <v>32</v>
      </c>
      <c r="O5569" t="s">
        <v>33</v>
      </c>
      <c r="P5569" t="s">
        <v>34</v>
      </c>
      <c r="Q5569" t="s">
        <v>34</v>
      </c>
      <c r="R5569" t="s">
        <v>34</v>
      </c>
      <c r="S5569" t="s">
        <v>34</v>
      </c>
      <c r="T5569" s="117">
        <v>0</v>
      </c>
    </row>
    <row r="5570" spans="1:20" x14ac:dyDescent="0.35">
      <c r="A5570" t="s">
        <v>19</v>
      </c>
      <c r="B5570" t="s">
        <v>25</v>
      </c>
      <c r="C5570" s="1">
        <v>45980</v>
      </c>
      <c r="D5570">
        <f>DAY(C5570)</f>
        <v>19</v>
      </c>
      <c r="E5570">
        <f>MONTH(C5570)</f>
        <v>11</v>
      </c>
      <c r="F5570">
        <f>YEAR(C5570)</f>
        <v>2025</v>
      </c>
      <c r="G5570" t="s">
        <v>980</v>
      </c>
      <c r="H5570" s="121">
        <v>13744</v>
      </c>
      <c r="I5570" s="15">
        <v>399</v>
      </c>
      <c r="J5570" s="12" t="s">
        <v>51</v>
      </c>
      <c r="K5570" s="76">
        <f t="shared" si="650"/>
        <v>463.92</v>
      </c>
      <c r="L5570">
        <v>1.1627067669172932</v>
      </c>
      <c r="M5570" s="94">
        <v>0</v>
      </c>
      <c r="N5570" t="s">
        <v>32</v>
      </c>
      <c r="O5570" t="s">
        <v>33</v>
      </c>
      <c r="P5570" t="s">
        <v>34</v>
      </c>
      <c r="Q5570" t="s">
        <v>34</v>
      </c>
      <c r="R5570" t="s">
        <v>34</v>
      </c>
      <c r="S5570" t="s">
        <v>34</v>
      </c>
      <c r="T5570" s="117">
        <v>0</v>
      </c>
    </row>
    <row r="5571" spans="1:20" x14ac:dyDescent="0.35">
      <c r="A5571" t="s">
        <v>19</v>
      </c>
      <c r="B5571" t="s">
        <v>25</v>
      </c>
      <c r="C5571" s="1">
        <v>45980</v>
      </c>
      <c r="D5571">
        <f t="shared" ref="D5571:D5576" si="651">DAY(C5571)</f>
        <v>19</v>
      </c>
      <c r="E5571">
        <f t="shared" ref="E5571:E5576" si="652">MONTH(C5571)</f>
        <v>11</v>
      </c>
      <c r="F5571">
        <f t="shared" ref="F5571:F5576" si="653">YEAR(C5571)</f>
        <v>2025</v>
      </c>
      <c r="G5571" t="s">
        <v>38</v>
      </c>
      <c r="H5571" s="121">
        <v>13013</v>
      </c>
      <c r="I5571" s="15">
        <v>98805.17</v>
      </c>
      <c r="J5571" s="12" t="s">
        <v>31</v>
      </c>
      <c r="K5571" s="76">
        <f t="shared" si="650"/>
        <v>98805.17</v>
      </c>
      <c r="L5571">
        <v>1</v>
      </c>
      <c r="M5571" s="94">
        <v>0</v>
      </c>
      <c r="N5571" t="s">
        <v>32</v>
      </c>
      <c r="O5571" t="s">
        <v>33</v>
      </c>
      <c r="P5571" t="s">
        <v>34</v>
      </c>
      <c r="Q5571" t="s">
        <v>34</v>
      </c>
      <c r="R5571" t="s">
        <v>34</v>
      </c>
      <c r="S5571" t="s">
        <v>34</v>
      </c>
      <c r="T5571" s="117">
        <v>0</v>
      </c>
    </row>
    <row r="5572" spans="1:20" x14ac:dyDescent="0.35">
      <c r="A5572" t="s">
        <v>19</v>
      </c>
      <c r="B5572" t="s">
        <v>25</v>
      </c>
      <c r="C5572" s="1">
        <v>45980</v>
      </c>
      <c r="D5572">
        <f t="shared" si="651"/>
        <v>19</v>
      </c>
      <c r="E5572">
        <f t="shared" si="652"/>
        <v>11</v>
      </c>
      <c r="F5572">
        <f t="shared" si="653"/>
        <v>2025</v>
      </c>
      <c r="G5572" t="s">
        <v>38</v>
      </c>
      <c r="H5572" s="121">
        <v>13083</v>
      </c>
      <c r="I5572" s="15">
        <v>83.67</v>
      </c>
      <c r="J5572" s="12" t="s">
        <v>31</v>
      </c>
      <c r="K5572" s="76">
        <f t="shared" si="650"/>
        <v>83.67</v>
      </c>
      <c r="L5572">
        <v>1</v>
      </c>
      <c r="M5572" s="94">
        <v>0</v>
      </c>
      <c r="N5572" t="s">
        <v>32</v>
      </c>
      <c r="O5572" t="s">
        <v>33</v>
      </c>
      <c r="P5572" t="s">
        <v>34</v>
      </c>
      <c r="Q5572" t="s">
        <v>34</v>
      </c>
      <c r="R5572" t="s">
        <v>34</v>
      </c>
      <c r="S5572" t="s">
        <v>34</v>
      </c>
      <c r="T5572" s="117">
        <v>0</v>
      </c>
    </row>
    <row r="5573" spans="1:20" x14ac:dyDescent="0.35">
      <c r="A5573" t="s">
        <v>19</v>
      </c>
      <c r="B5573" t="s">
        <v>24</v>
      </c>
      <c r="C5573" s="1">
        <v>45980</v>
      </c>
      <c r="D5573">
        <f t="shared" si="651"/>
        <v>19</v>
      </c>
      <c r="E5573">
        <f t="shared" si="652"/>
        <v>11</v>
      </c>
      <c r="F5573">
        <f t="shared" si="653"/>
        <v>2025</v>
      </c>
      <c r="G5573" t="s">
        <v>35</v>
      </c>
      <c r="H5573" s="121">
        <v>12899</v>
      </c>
      <c r="I5573" s="15">
        <v>11657</v>
      </c>
      <c r="J5573" s="12" t="s">
        <v>31</v>
      </c>
      <c r="K5573" s="76">
        <f t="shared" si="650"/>
        <v>11657</v>
      </c>
      <c r="L5573">
        <v>1</v>
      </c>
      <c r="M5573" s="94">
        <v>0</v>
      </c>
      <c r="N5573" t="s">
        <v>32</v>
      </c>
      <c r="O5573" t="s">
        <v>33</v>
      </c>
      <c r="P5573" t="s">
        <v>34</v>
      </c>
      <c r="Q5573" t="s">
        <v>34</v>
      </c>
      <c r="R5573" t="s">
        <v>34</v>
      </c>
      <c r="S5573" t="s">
        <v>34</v>
      </c>
      <c r="T5573" s="117">
        <v>0</v>
      </c>
    </row>
    <row r="5574" spans="1:20" x14ac:dyDescent="0.35">
      <c r="A5574" t="s">
        <v>19</v>
      </c>
      <c r="B5574" t="s">
        <v>23</v>
      </c>
      <c r="C5574" s="1">
        <v>45980</v>
      </c>
      <c r="D5574">
        <f t="shared" si="651"/>
        <v>19</v>
      </c>
      <c r="E5574">
        <f t="shared" si="652"/>
        <v>11</v>
      </c>
      <c r="F5574">
        <f t="shared" si="653"/>
        <v>2025</v>
      </c>
      <c r="G5574" t="s">
        <v>35</v>
      </c>
      <c r="H5574" s="121">
        <v>13398</v>
      </c>
      <c r="I5574" s="15">
        <v>7267.4</v>
      </c>
      <c r="J5574" s="12" t="s">
        <v>31</v>
      </c>
      <c r="K5574" s="76">
        <f t="shared" si="650"/>
        <v>7267.4</v>
      </c>
      <c r="L5574">
        <v>1</v>
      </c>
      <c r="M5574" s="94">
        <v>0</v>
      </c>
      <c r="N5574" t="s">
        <v>32</v>
      </c>
      <c r="O5574" t="s">
        <v>33</v>
      </c>
      <c r="P5574" t="s">
        <v>34</v>
      </c>
      <c r="Q5574" t="s">
        <v>34</v>
      </c>
      <c r="R5574" t="s">
        <v>34</v>
      </c>
      <c r="S5574" t="s">
        <v>34</v>
      </c>
      <c r="T5574" s="117">
        <v>0</v>
      </c>
    </row>
    <row r="5575" spans="1:20" x14ac:dyDescent="0.35">
      <c r="A5575" t="s">
        <v>19</v>
      </c>
      <c r="B5575" t="s">
        <v>21</v>
      </c>
      <c r="C5575" s="1">
        <v>45980</v>
      </c>
      <c r="D5575">
        <f t="shared" si="651"/>
        <v>19</v>
      </c>
      <c r="E5575">
        <f t="shared" si="652"/>
        <v>11</v>
      </c>
      <c r="F5575">
        <f t="shared" si="653"/>
        <v>2025</v>
      </c>
      <c r="G5575" t="s">
        <v>1505</v>
      </c>
      <c r="H5575" s="121">
        <v>14078</v>
      </c>
      <c r="I5575" s="15">
        <v>2370.48</v>
      </c>
      <c r="J5575" s="12" t="s">
        <v>31</v>
      </c>
      <c r="K5575" s="76">
        <f t="shared" si="650"/>
        <v>2370.48</v>
      </c>
      <c r="L5575">
        <v>1</v>
      </c>
      <c r="M5575" s="94">
        <v>0</v>
      </c>
      <c r="N5575" t="s">
        <v>32</v>
      </c>
      <c r="O5575" t="s">
        <v>33</v>
      </c>
      <c r="P5575" t="s">
        <v>34</v>
      </c>
      <c r="Q5575" t="s">
        <v>34</v>
      </c>
      <c r="R5575" t="s">
        <v>34</v>
      </c>
      <c r="S5575" t="s">
        <v>34</v>
      </c>
      <c r="T5575" s="117">
        <v>0</v>
      </c>
    </row>
    <row r="5576" spans="1:20" x14ac:dyDescent="0.35">
      <c r="A5576" t="s">
        <v>20</v>
      </c>
      <c r="B5576" t="s">
        <v>24</v>
      </c>
      <c r="C5576" s="1">
        <v>45980</v>
      </c>
      <c r="D5576">
        <f t="shared" si="651"/>
        <v>19</v>
      </c>
      <c r="E5576">
        <f t="shared" si="652"/>
        <v>11</v>
      </c>
      <c r="F5576">
        <f t="shared" si="653"/>
        <v>2025</v>
      </c>
      <c r="G5576" t="s">
        <v>50</v>
      </c>
      <c r="H5576" s="121">
        <v>13377</v>
      </c>
      <c r="I5576" s="15">
        <v>27501.3</v>
      </c>
      <c r="J5576" s="12" t="s">
        <v>31</v>
      </c>
      <c r="K5576" s="76">
        <f t="shared" si="650"/>
        <v>27501.3</v>
      </c>
      <c r="L5576">
        <v>1</v>
      </c>
      <c r="M5576" s="94">
        <v>0</v>
      </c>
      <c r="N5576" t="s">
        <v>32</v>
      </c>
      <c r="O5576" t="s">
        <v>33</v>
      </c>
      <c r="P5576" t="s">
        <v>34</v>
      </c>
      <c r="Q5576" t="s">
        <v>34</v>
      </c>
      <c r="R5576" t="s">
        <v>34</v>
      </c>
      <c r="S5576" t="s">
        <v>34</v>
      </c>
      <c r="T5576" s="117">
        <v>0</v>
      </c>
    </row>
    <row r="5577" spans="1:20" x14ac:dyDescent="0.35">
      <c r="A5577" t="s">
        <v>20</v>
      </c>
      <c r="B5577" t="s">
        <v>25</v>
      </c>
      <c r="C5577" s="1">
        <v>45980</v>
      </c>
      <c r="D5577">
        <f t="shared" ref="D5577:D5598" si="654">DAY(C5577)</f>
        <v>19</v>
      </c>
      <c r="E5577">
        <f t="shared" ref="E5577:E5581" si="655">MONTH(C5577)</f>
        <v>11</v>
      </c>
      <c r="F5577">
        <f t="shared" ref="F5577:F5581" si="656">YEAR(C5577)</f>
        <v>2025</v>
      </c>
      <c r="G5577" t="s">
        <v>50</v>
      </c>
      <c r="H5577" s="121">
        <v>13627</v>
      </c>
      <c r="I5577" s="15">
        <v>82003.5</v>
      </c>
      <c r="J5577" s="12" t="s">
        <v>31</v>
      </c>
      <c r="K5577" s="76">
        <f t="shared" si="650"/>
        <v>82003.5</v>
      </c>
      <c r="L5577">
        <v>1</v>
      </c>
      <c r="M5577" s="94">
        <v>0</v>
      </c>
      <c r="N5577" t="s">
        <v>32</v>
      </c>
      <c r="O5577" t="s">
        <v>33</v>
      </c>
      <c r="P5577" t="s">
        <v>34</v>
      </c>
      <c r="Q5577" t="s">
        <v>34</v>
      </c>
      <c r="R5577" t="s">
        <v>34</v>
      </c>
      <c r="S5577" t="s">
        <v>34</v>
      </c>
      <c r="T5577" s="117">
        <v>0</v>
      </c>
    </row>
    <row r="5578" spans="1:20" x14ac:dyDescent="0.35">
      <c r="A5578" t="s">
        <v>20</v>
      </c>
      <c r="B5578" t="s">
        <v>21</v>
      </c>
      <c r="C5578" s="1">
        <v>45980</v>
      </c>
      <c r="D5578">
        <f t="shared" si="654"/>
        <v>19</v>
      </c>
      <c r="E5578">
        <f t="shared" si="655"/>
        <v>11</v>
      </c>
      <c r="F5578">
        <f t="shared" si="656"/>
        <v>2025</v>
      </c>
      <c r="G5578" t="s">
        <v>50</v>
      </c>
      <c r="H5578" s="121">
        <v>14128</v>
      </c>
      <c r="I5578" s="15">
        <v>1662.1410000000001</v>
      </c>
      <c r="J5578" s="12" t="s">
        <v>31</v>
      </c>
      <c r="K5578" s="76">
        <f t="shared" si="650"/>
        <v>1662.1410000000001</v>
      </c>
      <c r="L5578">
        <v>1</v>
      </c>
      <c r="M5578" s="94">
        <v>0</v>
      </c>
      <c r="N5578" t="s">
        <v>42</v>
      </c>
      <c r="O5578" t="s">
        <v>33</v>
      </c>
      <c r="P5578" t="s">
        <v>34</v>
      </c>
      <c r="Q5578" t="s">
        <v>34</v>
      </c>
      <c r="R5578" t="s">
        <v>34</v>
      </c>
      <c r="S5578" t="s">
        <v>34</v>
      </c>
      <c r="T5578" s="117">
        <v>0</v>
      </c>
    </row>
    <row r="5579" spans="1:20" x14ac:dyDescent="0.35">
      <c r="A5579" t="s">
        <v>20</v>
      </c>
      <c r="B5579" t="s">
        <v>21</v>
      </c>
      <c r="C5579" s="1">
        <v>45980</v>
      </c>
      <c r="D5579">
        <f t="shared" si="654"/>
        <v>19</v>
      </c>
      <c r="E5579">
        <f t="shared" si="655"/>
        <v>11</v>
      </c>
      <c r="F5579">
        <f t="shared" si="656"/>
        <v>2025</v>
      </c>
      <c r="G5579" t="s">
        <v>82</v>
      </c>
      <c r="H5579" s="121">
        <v>13096</v>
      </c>
      <c r="I5579" s="15">
        <v>8225.94</v>
      </c>
      <c r="J5579" s="12" t="s">
        <v>31</v>
      </c>
      <c r="K5579" s="76">
        <f t="shared" si="650"/>
        <v>8225.94</v>
      </c>
      <c r="L5579">
        <v>1</v>
      </c>
      <c r="M5579" s="94">
        <v>0</v>
      </c>
      <c r="N5579" t="s">
        <v>32</v>
      </c>
      <c r="O5579" t="s">
        <v>33</v>
      </c>
      <c r="P5579" t="s">
        <v>34</v>
      </c>
      <c r="Q5579" t="s">
        <v>34</v>
      </c>
      <c r="R5579" t="s">
        <v>34</v>
      </c>
      <c r="S5579" t="s">
        <v>34</v>
      </c>
      <c r="T5579" s="117">
        <v>0</v>
      </c>
    </row>
    <row r="5580" spans="1:20" x14ac:dyDescent="0.35">
      <c r="A5580" t="s">
        <v>20</v>
      </c>
      <c r="B5580" t="s">
        <v>23</v>
      </c>
      <c r="C5580" s="1">
        <v>45980</v>
      </c>
      <c r="D5580">
        <f t="shared" si="654"/>
        <v>19</v>
      </c>
      <c r="E5580">
        <f t="shared" si="655"/>
        <v>11</v>
      </c>
      <c r="F5580">
        <f t="shared" si="656"/>
        <v>2025</v>
      </c>
      <c r="G5580" t="s">
        <v>82</v>
      </c>
      <c r="H5580" s="121">
        <v>13096</v>
      </c>
      <c r="I5580" s="15">
        <v>7136.82</v>
      </c>
      <c r="J5580" s="12" t="s">
        <v>31</v>
      </c>
      <c r="K5580" s="76">
        <f t="shared" si="650"/>
        <v>7136.82</v>
      </c>
      <c r="L5580">
        <v>1</v>
      </c>
      <c r="M5580" s="94">
        <v>0</v>
      </c>
      <c r="N5580" t="s">
        <v>32</v>
      </c>
      <c r="O5580" t="s">
        <v>33</v>
      </c>
      <c r="P5580" t="s">
        <v>34</v>
      </c>
      <c r="Q5580" t="s">
        <v>34</v>
      </c>
      <c r="R5580" t="s">
        <v>34</v>
      </c>
      <c r="S5580" t="s">
        <v>34</v>
      </c>
      <c r="T5580" s="117">
        <v>0</v>
      </c>
    </row>
    <row r="5581" spans="1:20" x14ac:dyDescent="0.35">
      <c r="A5581" t="s">
        <v>20</v>
      </c>
      <c r="B5581" t="s">
        <v>23</v>
      </c>
      <c r="C5581" s="1">
        <v>45980</v>
      </c>
      <c r="D5581">
        <f t="shared" si="654"/>
        <v>19</v>
      </c>
      <c r="E5581">
        <f t="shared" si="655"/>
        <v>11</v>
      </c>
      <c r="F5581">
        <f t="shared" si="656"/>
        <v>2025</v>
      </c>
      <c r="G5581" t="s">
        <v>82</v>
      </c>
      <c r="H5581" s="121">
        <v>13799</v>
      </c>
      <c r="I5581" s="15">
        <v>61.6</v>
      </c>
      <c r="J5581" s="12" t="s">
        <v>31</v>
      </c>
      <c r="K5581" s="76">
        <f t="shared" si="650"/>
        <v>61.6</v>
      </c>
      <c r="L5581">
        <v>1</v>
      </c>
      <c r="M5581" s="94">
        <v>0</v>
      </c>
      <c r="N5581" t="s">
        <v>32</v>
      </c>
      <c r="O5581" t="s">
        <v>33</v>
      </c>
      <c r="P5581" t="s">
        <v>34</v>
      </c>
      <c r="Q5581" t="s">
        <v>34</v>
      </c>
      <c r="R5581" t="s">
        <v>34</v>
      </c>
      <c r="S5581" t="s">
        <v>34</v>
      </c>
      <c r="T5581" s="117">
        <v>0</v>
      </c>
    </row>
    <row r="5582" spans="1:20" x14ac:dyDescent="0.35">
      <c r="A5582" t="s">
        <v>20</v>
      </c>
      <c r="B5582" t="s">
        <v>23</v>
      </c>
      <c r="C5582" s="1">
        <v>45980</v>
      </c>
      <c r="D5582">
        <f t="shared" si="654"/>
        <v>19</v>
      </c>
      <c r="E5582">
        <f t="shared" ref="E5582:E5598" si="657">MONTH(C5582)</f>
        <v>11</v>
      </c>
      <c r="F5582">
        <f t="shared" ref="F5582:F5598" si="658">YEAR(C5582)</f>
        <v>2025</v>
      </c>
      <c r="G5582" t="s">
        <v>82</v>
      </c>
      <c r="H5582" s="121">
        <v>13908</v>
      </c>
      <c r="I5582" s="15">
        <v>29.8</v>
      </c>
      <c r="J5582" s="12" t="s">
        <v>31</v>
      </c>
      <c r="K5582" s="76">
        <f t="shared" ref="K5582:K5599" si="659">IF(J5582="USD",I5582,I5582*L5582)</f>
        <v>29.8</v>
      </c>
      <c r="L5582">
        <v>1</v>
      </c>
      <c r="M5582" s="94">
        <v>0</v>
      </c>
      <c r="N5582" t="s">
        <v>32</v>
      </c>
      <c r="O5582" t="s">
        <v>33</v>
      </c>
      <c r="P5582" t="s">
        <v>34</v>
      </c>
      <c r="Q5582" t="s">
        <v>34</v>
      </c>
      <c r="R5582" t="s">
        <v>34</v>
      </c>
      <c r="S5582" t="s">
        <v>34</v>
      </c>
      <c r="T5582" s="117">
        <v>0</v>
      </c>
    </row>
    <row r="5583" spans="1:20" x14ac:dyDescent="0.35">
      <c r="A5583" t="s">
        <v>20</v>
      </c>
      <c r="B5583" t="s">
        <v>21</v>
      </c>
      <c r="C5583" s="1">
        <v>45980</v>
      </c>
      <c r="D5583">
        <f t="shared" si="654"/>
        <v>19</v>
      </c>
      <c r="E5583">
        <f t="shared" si="657"/>
        <v>11</v>
      </c>
      <c r="F5583">
        <f t="shared" si="658"/>
        <v>2025</v>
      </c>
      <c r="G5583" t="s">
        <v>104</v>
      </c>
      <c r="H5583" s="121">
        <v>14058</v>
      </c>
      <c r="I5583" s="15">
        <v>54</v>
      </c>
      <c r="J5583" s="12" t="s">
        <v>31</v>
      </c>
      <c r="K5583" s="76">
        <f t="shared" si="659"/>
        <v>54</v>
      </c>
      <c r="L5583">
        <v>1</v>
      </c>
      <c r="M5583" s="94">
        <v>0</v>
      </c>
      <c r="N5583" t="s">
        <v>42</v>
      </c>
      <c r="O5583" t="s">
        <v>33</v>
      </c>
      <c r="P5583" t="s">
        <v>34</v>
      </c>
      <c r="Q5583" t="s">
        <v>34</v>
      </c>
      <c r="R5583" t="s">
        <v>34</v>
      </c>
      <c r="S5583" t="s">
        <v>34</v>
      </c>
      <c r="T5583" s="117">
        <v>0</v>
      </c>
    </row>
    <row r="5584" spans="1:20" x14ac:dyDescent="0.35">
      <c r="A5584" t="s">
        <v>20</v>
      </c>
      <c r="B5584" t="s">
        <v>23</v>
      </c>
      <c r="C5584" s="1">
        <v>45980</v>
      </c>
      <c r="D5584">
        <f t="shared" si="654"/>
        <v>19</v>
      </c>
      <c r="E5584">
        <f t="shared" si="657"/>
        <v>11</v>
      </c>
      <c r="F5584">
        <f t="shared" si="658"/>
        <v>2025</v>
      </c>
      <c r="G5584" t="s">
        <v>104</v>
      </c>
      <c r="H5584" s="121">
        <v>14118</v>
      </c>
      <c r="I5584" s="15">
        <v>76</v>
      </c>
      <c r="J5584" s="12" t="s">
        <v>31</v>
      </c>
      <c r="K5584" s="76">
        <f t="shared" si="659"/>
        <v>76</v>
      </c>
      <c r="L5584">
        <v>1</v>
      </c>
      <c r="M5584" s="94">
        <v>0</v>
      </c>
      <c r="N5584" t="s">
        <v>42</v>
      </c>
      <c r="O5584" t="s">
        <v>33</v>
      </c>
      <c r="P5584" t="s">
        <v>34</v>
      </c>
      <c r="Q5584" t="s">
        <v>34</v>
      </c>
      <c r="R5584" t="s">
        <v>34</v>
      </c>
      <c r="S5584" t="s">
        <v>34</v>
      </c>
      <c r="T5584" s="117">
        <v>0</v>
      </c>
    </row>
    <row r="5585" spans="1:21" x14ac:dyDescent="0.35">
      <c r="A5585" t="s">
        <v>20</v>
      </c>
      <c r="B5585" t="s">
        <v>23</v>
      </c>
      <c r="C5585" s="1">
        <v>45980</v>
      </c>
      <c r="D5585">
        <f t="shared" si="654"/>
        <v>19</v>
      </c>
      <c r="E5585">
        <f t="shared" si="657"/>
        <v>11</v>
      </c>
      <c r="F5585">
        <f t="shared" si="658"/>
        <v>2025</v>
      </c>
      <c r="G5585" t="s">
        <v>118</v>
      </c>
      <c r="H5585" s="121">
        <v>14097</v>
      </c>
      <c r="I5585" s="15">
        <v>31</v>
      </c>
      <c r="J5585" s="12" t="s">
        <v>31</v>
      </c>
      <c r="K5585" s="76">
        <f t="shared" si="659"/>
        <v>31</v>
      </c>
      <c r="L5585">
        <v>1</v>
      </c>
      <c r="M5585" s="94">
        <v>0</v>
      </c>
      <c r="N5585" t="s">
        <v>42</v>
      </c>
      <c r="O5585" t="s">
        <v>33</v>
      </c>
      <c r="P5585" t="s">
        <v>34</v>
      </c>
      <c r="Q5585" t="s">
        <v>34</v>
      </c>
      <c r="R5585" t="s">
        <v>34</v>
      </c>
      <c r="S5585" t="s">
        <v>34</v>
      </c>
      <c r="T5585" s="117">
        <v>0</v>
      </c>
    </row>
    <row r="5586" spans="1:21" x14ac:dyDescent="0.35">
      <c r="A5586" t="s">
        <v>20</v>
      </c>
      <c r="B5586" t="s">
        <v>23</v>
      </c>
      <c r="C5586" s="1">
        <v>45980</v>
      </c>
      <c r="D5586">
        <f t="shared" si="654"/>
        <v>19</v>
      </c>
      <c r="E5586">
        <f t="shared" si="657"/>
        <v>11</v>
      </c>
      <c r="F5586">
        <f t="shared" si="658"/>
        <v>2025</v>
      </c>
      <c r="G5586" t="s">
        <v>118</v>
      </c>
      <c r="H5586" s="121">
        <v>14098</v>
      </c>
      <c r="I5586" s="15">
        <v>806</v>
      </c>
      <c r="J5586" s="12" t="s">
        <v>31</v>
      </c>
      <c r="K5586" s="76">
        <f t="shared" si="659"/>
        <v>806</v>
      </c>
      <c r="L5586">
        <v>1</v>
      </c>
      <c r="M5586" s="94">
        <v>0</v>
      </c>
      <c r="N5586" t="s">
        <v>42</v>
      </c>
      <c r="O5586" t="s">
        <v>33</v>
      </c>
      <c r="P5586" t="s">
        <v>34</v>
      </c>
      <c r="Q5586" t="s">
        <v>34</v>
      </c>
      <c r="R5586" t="s">
        <v>34</v>
      </c>
      <c r="S5586" t="s">
        <v>34</v>
      </c>
      <c r="T5586" s="117">
        <v>0</v>
      </c>
    </row>
    <row r="5587" spans="1:21" x14ac:dyDescent="0.35">
      <c r="A5587" t="s">
        <v>20</v>
      </c>
      <c r="B5587" t="s">
        <v>23</v>
      </c>
      <c r="C5587" s="1">
        <v>45980</v>
      </c>
      <c r="D5587">
        <f t="shared" si="654"/>
        <v>19</v>
      </c>
      <c r="E5587">
        <f t="shared" si="657"/>
        <v>11</v>
      </c>
      <c r="F5587">
        <f t="shared" si="658"/>
        <v>2025</v>
      </c>
      <c r="G5587" t="s">
        <v>118</v>
      </c>
      <c r="H5587" s="121">
        <v>13489</v>
      </c>
      <c r="I5587" s="15">
        <v>742</v>
      </c>
      <c r="J5587" s="12" t="s">
        <v>31</v>
      </c>
      <c r="K5587" s="76">
        <f t="shared" si="659"/>
        <v>742</v>
      </c>
      <c r="L5587">
        <v>1</v>
      </c>
      <c r="M5587" s="94">
        <v>0</v>
      </c>
      <c r="N5587" t="s">
        <v>42</v>
      </c>
      <c r="O5587" t="s">
        <v>33</v>
      </c>
      <c r="P5587" t="s">
        <v>34</v>
      </c>
      <c r="Q5587" t="s">
        <v>34</v>
      </c>
      <c r="R5587" t="s">
        <v>34</v>
      </c>
      <c r="S5587" t="s">
        <v>34</v>
      </c>
      <c r="T5587" s="117">
        <v>0</v>
      </c>
      <c r="U5587" s="209">
        <v>14120</v>
      </c>
    </row>
    <row r="5588" spans="1:21" x14ac:dyDescent="0.35">
      <c r="A5588" t="s">
        <v>20</v>
      </c>
      <c r="B5588" t="s">
        <v>23</v>
      </c>
      <c r="C5588" s="1">
        <v>45980</v>
      </c>
      <c r="D5588">
        <f t="shared" si="654"/>
        <v>19</v>
      </c>
      <c r="E5588">
        <f t="shared" si="657"/>
        <v>11</v>
      </c>
      <c r="F5588">
        <f t="shared" si="658"/>
        <v>2025</v>
      </c>
      <c r="G5588" t="s">
        <v>1465</v>
      </c>
      <c r="H5588" s="121">
        <v>14115</v>
      </c>
      <c r="I5588" s="15">
        <v>17.5</v>
      </c>
      <c r="J5588" s="12" t="s">
        <v>31</v>
      </c>
      <c r="K5588" s="76">
        <f t="shared" si="659"/>
        <v>17.5</v>
      </c>
      <c r="L5588">
        <v>1</v>
      </c>
      <c r="M5588" s="94">
        <v>0</v>
      </c>
      <c r="N5588" t="s">
        <v>42</v>
      </c>
      <c r="O5588" t="s">
        <v>33</v>
      </c>
      <c r="P5588" t="s">
        <v>34</v>
      </c>
      <c r="Q5588" t="s">
        <v>34</v>
      </c>
      <c r="R5588" t="s">
        <v>34</v>
      </c>
      <c r="S5588" t="s">
        <v>34</v>
      </c>
      <c r="T5588" s="117">
        <v>0</v>
      </c>
    </row>
    <row r="5589" spans="1:21" x14ac:dyDescent="0.35">
      <c r="A5589" t="s">
        <v>20</v>
      </c>
      <c r="B5589" t="s">
        <v>23</v>
      </c>
      <c r="C5589" s="1">
        <v>45980</v>
      </c>
      <c r="D5589">
        <f t="shared" si="654"/>
        <v>19</v>
      </c>
      <c r="E5589">
        <f t="shared" si="657"/>
        <v>11</v>
      </c>
      <c r="F5589">
        <f t="shared" si="658"/>
        <v>2025</v>
      </c>
      <c r="G5589" t="s">
        <v>1465</v>
      </c>
      <c r="H5589" s="121">
        <v>14117</v>
      </c>
      <c r="I5589" s="15">
        <v>910</v>
      </c>
      <c r="J5589" s="12" t="s">
        <v>31</v>
      </c>
      <c r="K5589" s="76">
        <f t="shared" si="659"/>
        <v>910</v>
      </c>
      <c r="L5589">
        <v>1</v>
      </c>
      <c r="M5589" s="94">
        <v>0</v>
      </c>
      <c r="N5589" t="s">
        <v>42</v>
      </c>
      <c r="O5589" t="s">
        <v>33</v>
      </c>
      <c r="P5589" t="s">
        <v>34</v>
      </c>
      <c r="Q5589" t="s">
        <v>34</v>
      </c>
      <c r="R5589" t="s">
        <v>34</v>
      </c>
      <c r="S5589" t="s">
        <v>34</v>
      </c>
      <c r="T5589" s="117">
        <v>0</v>
      </c>
    </row>
    <row r="5590" spans="1:21" x14ac:dyDescent="0.35">
      <c r="A5590" t="s">
        <v>20</v>
      </c>
      <c r="B5590" t="s">
        <v>23</v>
      </c>
      <c r="C5590" s="1">
        <v>45980</v>
      </c>
      <c r="D5590">
        <f t="shared" si="654"/>
        <v>19</v>
      </c>
      <c r="E5590">
        <f t="shared" si="657"/>
        <v>11</v>
      </c>
      <c r="F5590">
        <f t="shared" si="658"/>
        <v>2025</v>
      </c>
      <c r="G5590" t="s">
        <v>1109</v>
      </c>
      <c r="H5590" s="121">
        <v>14122</v>
      </c>
      <c r="I5590" s="15">
        <v>68.599999999999994</v>
      </c>
      <c r="J5590" s="12" t="s">
        <v>31</v>
      </c>
      <c r="K5590" s="76">
        <f t="shared" si="659"/>
        <v>68.599999999999994</v>
      </c>
      <c r="L5590">
        <v>1</v>
      </c>
      <c r="M5590" s="94">
        <v>0</v>
      </c>
      <c r="N5590" t="s">
        <v>42</v>
      </c>
      <c r="O5590" t="s">
        <v>33</v>
      </c>
      <c r="P5590" t="s">
        <v>34</v>
      </c>
      <c r="Q5590" t="s">
        <v>34</v>
      </c>
      <c r="R5590" t="s">
        <v>34</v>
      </c>
      <c r="S5590" t="s">
        <v>34</v>
      </c>
      <c r="T5590" s="117">
        <v>0</v>
      </c>
    </row>
    <row r="5591" spans="1:21" x14ac:dyDescent="0.35">
      <c r="A5591" t="s">
        <v>20</v>
      </c>
      <c r="B5591" t="s">
        <v>23</v>
      </c>
      <c r="C5591" s="1">
        <v>45980</v>
      </c>
      <c r="D5591">
        <f t="shared" si="654"/>
        <v>19</v>
      </c>
      <c r="E5591">
        <f t="shared" si="657"/>
        <v>11</v>
      </c>
      <c r="F5591">
        <f t="shared" si="658"/>
        <v>2025</v>
      </c>
      <c r="G5591" t="s">
        <v>1109</v>
      </c>
      <c r="H5591" s="121">
        <v>14123</v>
      </c>
      <c r="I5591" s="15">
        <v>1097.5999999999999</v>
      </c>
      <c r="J5591" s="12" t="s">
        <v>31</v>
      </c>
      <c r="K5591" s="76">
        <f t="shared" si="659"/>
        <v>1097.5999999999999</v>
      </c>
      <c r="L5591">
        <v>1</v>
      </c>
      <c r="M5591" s="94">
        <v>0</v>
      </c>
      <c r="N5591" t="s">
        <v>42</v>
      </c>
      <c r="O5591" t="s">
        <v>33</v>
      </c>
      <c r="P5591" t="s">
        <v>34</v>
      </c>
      <c r="Q5591" t="s">
        <v>34</v>
      </c>
      <c r="R5591" t="s">
        <v>34</v>
      </c>
      <c r="S5591" t="s">
        <v>34</v>
      </c>
      <c r="T5591" s="117">
        <v>0</v>
      </c>
    </row>
    <row r="5592" spans="1:21" x14ac:dyDescent="0.35">
      <c r="A5592" t="s">
        <v>20</v>
      </c>
      <c r="B5592" t="s">
        <v>24</v>
      </c>
      <c r="C5592" s="1">
        <v>45980</v>
      </c>
      <c r="D5592">
        <f t="shared" si="654"/>
        <v>19</v>
      </c>
      <c r="E5592">
        <f t="shared" si="657"/>
        <v>11</v>
      </c>
      <c r="F5592">
        <f t="shared" si="658"/>
        <v>2025</v>
      </c>
      <c r="G5592" t="s">
        <v>81</v>
      </c>
      <c r="H5592" s="121">
        <v>13348</v>
      </c>
      <c r="I5592" s="15">
        <v>18666.28</v>
      </c>
      <c r="J5592" s="12" t="s">
        <v>31</v>
      </c>
      <c r="K5592" s="76">
        <f t="shared" si="659"/>
        <v>18666.28</v>
      </c>
      <c r="L5592">
        <v>1</v>
      </c>
      <c r="M5592" s="94">
        <v>0</v>
      </c>
      <c r="N5592" t="s">
        <v>32</v>
      </c>
      <c r="O5592" t="s">
        <v>33</v>
      </c>
      <c r="P5592" t="s">
        <v>34</v>
      </c>
      <c r="Q5592" t="s">
        <v>34</v>
      </c>
      <c r="R5592" t="s">
        <v>34</v>
      </c>
      <c r="S5592" t="s">
        <v>34</v>
      </c>
      <c r="T5592" s="117">
        <v>0</v>
      </c>
    </row>
    <row r="5593" spans="1:21" x14ac:dyDescent="0.35">
      <c r="A5593" t="s">
        <v>20</v>
      </c>
      <c r="B5593" t="s">
        <v>25</v>
      </c>
      <c r="C5593" s="1">
        <v>45980</v>
      </c>
      <c r="D5593">
        <f t="shared" si="654"/>
        <v>19</v>
      </c>
      <c r="E5593">
        <f t="shared" si="657"/>
        <v>11</v>
      </c>
      <c r="F5593">
        <f t="shared" si="658"/>
        <v>2025</v>
      </c>
      <c r="G5593" t="s">
        <v>81</v>
      </c>
      <c r="H5593" s="121">
        <v>13421</v>
      </c>
      <c r="I5593" s="15">
        <v>20834.55</v>
      </c>
      <c r="J5593" s="12" t="s">
        <v>31</v>
      </c>
      <c r="K5593" s="76">
        <f t="shared" si="659"/>
        <v>20834.55</v>
      </c>
      <c r="L5593">
        <v>1</v>
      </c>
      <c r="M5593" s="94">
        <v>0</v>
      </c>
      <c r="N5593" t="s">
        <v>32</v>
      </c>
      <c r="O5593" t="s">
        <v>33</v>
      </c>
      <c r="P5593" t="s">
        <v>34</v>
      </c>
      <c r="Q5593" t="s">
        <v>34</v>
      </c>
      <c r="R5593" t="s">
        <v>34</v>
      </c>
      <c r="S5593" t="s">
        <v>34</v>
      </c>
      <c r="T5593" s="117">
        <v>0</v>
      </c>
    </row>
    <row r="5594" spans="1:21" x14ac:dyDescent="0.35">
      <c r="A5594" t="s">
        <v>20</v>
      </c>
      <c r="B5594" t="s">
        <v>23</v>
      </c>
      <c r="C5594" s="1">
        <v>45980</v>
      </c>
      <c r="D5594">
        <f t="shared" si="654"/>
        <v>19</v>
      </c>
      <c r="E5594">
        <f t="shared" si="657"/>
        <v>11</v>
      </c>
      <c r="F5594">
        <f t="shared" si="658"/>
        <v>2025</v>
      </c>
      <c r="G5594" t="s">
        <v>108</v>
      </c>
      <c r="H5594" s="121">
        <v>13685</v>
      </c>
      <c r="I5594" s="15">
        <v>1614.9</v>
      </c>
      <c r="J5594" s="12" t="s">
        <v>31</v>
      </c>
      <c r="K5594" s="76">
        <f t="shared" si="659"/>
        <v>1614.9</v>
      </c>
      <c r="L5594">
        <v>1</v>
      </c>
      <c r="M5594" s="94">
        <v>0</v>
      </c>
      <c r="N5594" t="s">
        <v>32</v>
      </c>
      <c r="O5594" t="s">
        <v>33</v>
      </c>
      <c r="P5594" t="s">
        <v>34</v>
      </c>
      <c r="Q5594" t="s">
        <v>34</v>
      </c>
      <c r="R5594" t="s">
        <v>34</v>
      </c>
      <c r="S5594" t="s">
        <v>34</v>
      </c>
      <c r="T5594" s="117">
        <v>0</v>
      </c>
    </row>
    <row r="5595" spans="1:21" x14ac:dyDescent="0.35">
      <c r="A5595" t="s">
        <v>20</v>
      </c>
      <c r="B5595" t="s">
        <v>23</v>
      </c>
      <c r="C5595" s="1">
        <v>45980</v>
      </c>
      <c r="D5595">
        <f t="shared" si="654"/>
        <v>19</v>
      </c>
      <c r="E5595">
        <f t="shared" si="657"/>
        <v>11</v>
      </c>
      <c r="F5595">
        <f t="shared" si="658"/>
        <v>2025</v>
      </c>
      <c r="G5595" t="s">
        <v>108</v>
      </c>
      <c r="H5595" s="121">
        <v>14133</v>
      </c>
      <c r="I5595" s="15">
        <v>54</v>
      </c>
      <c r="J5595" s="12" t="s">
        <v>31</v>
      </c>
      <c r="K5595" s="76">
        <f t="shared" si="659"/>
        <v>54</v>
      </c>
      <c r="L5595">
        <v>1</v>
      </c>
      <c r="M5595" s="94">
        <v>0</v>
      </c>
      <c r="N5595" t="s">
        <v>42</v>
      </c>
      <c r="O5595" t="s">
        <v>33</v>
      </c>
      <c r="P5595" t="s">
        <v>34</v>
      </c>
      <c r="Q5595" t="s">
        <v>34</v>
      </c>
      <c r="R5595" t="s">
        <v>34</v>
      </c>
      <c r="S5595" t="s">
        <v>34</v>
      </c>
      <c r="T5595" s="117">
        <v>0</v>
      </c>
    </row>
    <row r="5596" spans="1:21" x14ac:dyDescent="0.35">
      <c r="A5596" t="s">
        <v>20</v>
      </c>
      <c r="B5596" t="s">
        <v>23</v>
      </c>
      <c r="C5596" s="1">
        <v>45980</v>
      </c>
      <c r="D5596">
        <f t="shared" si="654"/>
        <v>19</v>
      </c>
      <c r="E5596">
        <f t="shared" si="657"/>
        <v>11</v>
      </c>
      <c r="F5596">
        <f t="shared" si="658"/>
        <v>2025</v>
      </c>
      <c r="G5596" t="s">
        <v>108</v>
      </c>
      <c r="H5596" s="121">
        <v>14134</v>
      </c>
      <c r="I5596" s="15">
        <v>1566</v>
      </c>
      <c r="J5596" s="12" t="s">
        <v>31</v>
      </c>
      <c r="K5596" s="76">
        <f t="shared" si="659"/>
        <v>1566</v>
      </c>
      <c r="L5596">
        <v>1</v>
      </c>
      <c r="M5596" s="94">
        <v>0</v>
      </c>
      <c r="N5596" t="s">
        <v>42</v>
      </c>
      <c r="O5596" t="s">
        <v>33</v>
      </c>
      <c r="P5596" t="s">
        <v>34</v>
      </c>
      <c r="Q5596" t="s">
        <v>34</v>
      </c>
      <c r="R5596" t="s">
        <v>34</v>
      </c>
      <c r="S5596" t="s">
        <v>34</v>
      </c>
      <c r="T5596" s="117">
        <v>0</v>
      </c>
    </row>
    <row r="5597" spans="1:21" x14ac:dyDescent="0.35">
      <c r="A5597" t="s">
        <v>20</v>
      </c>
      <c r="B5597" t="s">
        <v>23</v>
      </c>
      <c r="C5597" s="1">
        <v>45980</v>
      </c>
      <c r="D5597">
        <f t="shared" si="654"/>
        <v>19</v>
      </c>
      <c r="E5597">
        <f t="shared" si="657"/>
        <v>11</v>
      </c>
      <c r="F5597">
        <f t="shared" si="658"/>
        <v>2025</v>
      </c>
      <c r="G5597" t="s">
        <v>1238</v>
      </c>
      <c r="H5597" s="121">
        <v>14135</v>
      </c>
      <c r="I5597" s="15">
        <v>22.5</v>
      </c>
      <c r="J5597" s="12" t="s">
        <v>31</v>
      </c>
      <c r="K5597" s="76">
        <f t="shared" si="659"/>
        <v>22.5</v>
      </c>
      <c r="L5597">
        <v>1</v>
      </c>
      <c r="M5597" s="94">
        <v>0</v>
      </c>
      <c r="N5597" t="s">
        <v>42</v>
      </c>
      <c r="O5597" t="s">
        <v>33</v>
      </c>
      <c r="P5597" t="s">
        <v>34</v>
      </c>
      <c r="Q5597" t="s">
        <v>34</v>
      </c>
      <c r="R5597" t="s">
        <v>34</v>
      </c>
      <c r="S5597" t="s">
        <v>34</v>
      </c>
      <c r="T5597" s="117">
        <v>0</v>
      </c>
    </row>
    <row r="5598" spans="1:21" x14ac:dyDescent="0.35">
      <c r="A5598" t="s">
        <v>20</v>
      </c>
      <c r="B5598" t="s">
        <v>23</v>
      </c>
      <c r="C5598" s="1">
        <v>45980</v>
      </c>
      <c r="D5598">
        <f t="shared" si="654"/>
        <v>19</v>
      </c>
      <c r="E5598">
        <f t="shared" si="657"/>
        <v>11</v>
      </c>
      <c r="F5598">
        <f t="shared" si="658"/>
        <v>2025</v>
      </c>
      <c r="G5598" t="s">
        <v>1238</v>
      </c>
      <c r="H5598" s="121">
        <v>14136</v>
      </c>
      <c r="I5598" s="15">
        <v>3367.5</v>
      </c>
      <c r="J5598" s="12" t="s">
        <v>31</v>
      </c>
      <c r="K5598" s="76">
        <f t="shared" si="659"/>
        <v>3367.5</v>
      </c>
      <c r="L5598">
        <v>1</v>
      </c>
      <c r="M5598" s="94">
        <v>0</v>
      </c>
      <c r="N5598" t="s">
        <v>42</v>
      </c>
      <c r="O5598" t="s">
        <v>33</v>
      </c>
      <c r="P5598" t="s">
        <v>34</v>
      </c>
      <c r="Q5598" t="s">
        <v>34</v>
      </c>
      <c r="R5598" t="s">
        <v>34</v>
      </c>
      <c r="S5598" t="s">
        <v>34</v>
      </c>
      <c r="T5598" s="117">
        <v>0</v>
      </c>
    </row>
    <row r="5599" spans="1:21" x14ac:dyDescent="0.35">
      <c r="A5599" t="s">
        <v>20</v>
      </c>
      <c r="B5599" t="s">
        <v>23</v>
      </c>
      <c r="C5599" s="1">
        <v>45980</v>
      </c>
      <c r="D5599">
        <f>DAY(C5599)</f>
        <v>19</v>
      </c>
      <c r="E5599">
        <f>MONTH(C5599)</f>
        <v>11</v>
      </c>
      <c r="F5599">
        <f>YEAR(C5599)</f>
        <v>2025</v>
      </c>
      <c r="G5599" t="s">
        <v>1238</v>
      </c>
      <c r="H5599" s="121">
        <v>14137</v>
      </c>
      <c r="I5599" s="15">
        <v>37.5</v>
      </c>
      <c r="J5599" s="12" t="s">
        <v>31</v>
      </c>
      <c r="K5599" s="76">
        <f t="shared" si="659"/>
        <v>37.5</v>
      </c>
      <c r="L5599">
        <v>1</v>
      </c>
      <c r="M5599" s="94">
        <v>0</v>
      </c>
      <c r="N5599" t="s">
        <v>42</v>
      </c>
      <c r="O5599" t="s">
        <v>33</v>
      </c>
      <c r="P5599" t="s">
        <v>34</v>
      </c>
      <c r="Q5599" t="s">
        <v>34</v>
      </c>
      <c r="R5599" t="s">
        <v>34</v>
      </c>
      <c r="S5599" t="s">
        <v>34</v>
      </c>
      <c r="T5599" s="117">
        <v>0</v>
      </c>
    </row>
    <row r="5600" spans="1:21" x14ac:dyDescent="0.35">
      <c r="A5600" t="s">
        <v>20</v>
      </c>
      <c r="B5600" t="s">
        <v>23</v>
      </c>
      <c r="C5600" s="1">
        <v>45980</v>
      </c>
      <c r="D5600">
        <f>DAY(C5600)</f>
        <v>19</v>
      </c>
      <c r="E5600">
        <f>MONTH(C5600)</f>
        <v>11</v>
      </c>
      <c r="F5600">
        <f>YEAR(C5600)</f>
        <v>2025</v>
      </c>
      <c r="G5600" t="s">
        <v>1238</v>
      </c>
      <c r="H5600" s="121">
        <v>14138</v>
      </c>
      <c r="I5600" s="15">
        <v>4404</v>
      </c>
      <c r="J5600" s="12" t="s">
        <v>31</v>
      </c>
      <c r="K5600" s="76">
        <f t="shared" ref="K5600:K5601" si="660">IF(J5600="USD",I5600,I5600*L5600)</f>
        <v>4404</v>
      </c>
      <c r="L5600">
        <v>1</v>
      </c>
      <c r="M5600" s="94">
        <v>0</v>
      </c>
      <c r="N5600" t="s">
        <v>42</v>
      </c>
      <c r="O5600" t="s">
        <v>33</v>
      </c>
      <c r="P5600" t="s">
        <v>34</v>
      </c>
      <c r="Q5600" t="s">
        <v>34</v>
      </c>
      <c r="R5600" t="s">
        <v>34</v>
      </c>
      <c r="S5600" t="s">
        <v>34</v>
      </c>
      <c r="T5600" s="117">
        <v>0</v>
      </c>
    </row>
    <row r="5601" spans="1:21" x14ac:dyDescent="0.35">
      <c r="A5601" t="s">
        <v>20</v>
      </c>
      <c r="B5601" t="s">
        <v>21</v>
      </c>
      <c r="C5601" s="1">
        <v>45980</v>
      </c>
      <c r="D5601">
        <f>DAY(C5601)</f>
        <v>19</v>
      </c>
      <c r="E5601">
        <f>MONTH(C5601)</f>
        <v>11</v>
      </c>
      <c r="F5601">
        <f>YEAR(C5601)</f>
        <v>2025</v>
      </c>
      <c r="G5601" t="s">
        <v>1238</v>
      </c>
      <c r="H5601" s="121">
        <v>13037</v>
      </c>
      <c r="I5601" s="15">
        <v>336.7</v>
      </c>
      <c r="J5601" s="12" t="s">
        <v>31</v>
      </c>
      <c r="K5601" s="76">
        <f t="shared" si="660"/>
        <v>336.7</v>
      </c>
      <c r="L5601">
        <v>1</v>
      </c>
      <c r="M5601" s="94">
        <v>0</v>
      </c>
      <c r="N5601" t="s">
        <v>32</v>
      </c>
      <c r="O5601" t="s">
        <v>33</v>
      </c>
      <c r="P5601" t="s">
        <v>34</v>
      </c>
      <c r="Q5601" t="s">
        <v>34</v>
      </c>
      <c r="R5601" t="s">
        <v>34</v>
      </c>
      <c r="S5601" t="s">
        <v>34</v>
      </c>
      <c r="T5601" s="117">
        <v>0</v>
      </c>
    </row>
    <row r="5602" spans="1:21" x14ac:dyDescent="0.35">
      <c r="A5602" t="s">
        <v>20</v>
      </c>
      <c r="B5602" t="s">
        <v>21</v>
      </c>
      <c r="C5602" s="1">
        <v>45980</v>
      </c>
      <c r="D5602">
        <f t="shared" ref="D5602:D5613" si="661">DAY(C5602)</f>
        <v>19</v>
      </c>
      <c r="E5602">
        <f t="shared" ref="E5602:E5613" si="662">MONTH(C5602)</f>
        <v>11</v>
      </c>
      <c r="F5602">
        <f t="shared" ref="F5602:F5613" si="663">YEAR(C5602)</f>
        <v>2025</v>
      </c>
      <c r="G5602" t="s">
        <v>52</v>
      </c>
      <c r="H5602" s="121">
        <v>13435</v>
      </c>
      <c r="I5602" s="15">
        <v>138.6</v>
      </c>
      <c r="J5602" s="12" t="s">
        <v>31</v>
      </c>
      <c r="K5602" s="76">
        <f t="shared" ref="K5602:K5618" si="664">IF(J5602="USD",I5602,I5602*L5602)</f>
        <v>138.6</v>
      </c>
      <c r="L5602">
        <v>1</v>
      </c>
      <c r="M5602" s="94">
        <v>0</v>
      </c>
      <c r="N5602" t="s">
        <v>32</v>
      </c>
      <c r="O5602" t="s">
        <v>33</v>
      </c>
      <c r="P5602" t="s">
        <v>34</v>
      </c>
      <c r="Q5602" t="s">
        <v>34</v>
      </c>
      <c r="R5602" t="s">
        <v>34</v>
      </c>
      <c r="S5602" t="s">
        <v>34</v>
      </c>
      <c r="T5602" s="117">
        <v>0</v>
      </c>
    </row>
    <row r="5603" spans="1:21" x14ac:dyDescent="0.35">
      <c r="A5603" t="s">
        <v>20</v>
      </c>
      <c r="B5603" t="s">
        <v>25</v>
      </c>
      <c r="C5603" s="1">
        <v>45980</v>
      </c>
      <c r="D5603">
        <f t="shared" si="661"/>
        <v>19</v>
      </c>
      <c r="E5603">
        <f t="shared" si="662"/>
        <v>11</v>
      </c>
      <c r="F5603">
        <f t="shared" si="663"/>
        <v>2025</v>
      </c>
      <c r="G5603" t="s">
        <v>99</v>
      </c>
      <c r="H5603" s="121">
        <v>13571</v>
      </c>
      <c r="I5603" s="15">
        <v>356.7</v>
      </c>
      <c r="J5603" s="12" t="s">
        <v>31</v>
      </c>
      <c r="K5603" s="76">
        <f t="shared" si="664"/>
        <v>356.7</v>
      </c>
      <c r="L5603">
        <v>1</v>
      </c>
      <c r="M5603" s="94">
        <v>0</v>
      </c>
      <c r="N5603" t="s">
        <v>42</v>
      </c>
      <c r="O5603" t="s">
        <v>33</v>
      </c>
      <c r="P5603" t="s">
        <v>34</v>
      </c>
      <c r="Q5603" t="s">
        <v>34</v>
      </c>
      <c r="R5603" t="s">
        <v>34</v>
      </c>
      <c r="S5603" t="s">
        <v>34</v>
      </c>
      <c r="T5603" s="117">
        <v>0</v>
      </c>
    </row>
    <row r="5604" spans="1:21" x14ac:dyDescent="0.35">
      <c r="A5604" t="s">
        <v>20</v>
      </c>
      <c r="B5604" t="s">
        <v>25</v>
      </c>
      <c r="C5604" s="1">
        <v>45980</v>
      </c>
      <c r="D5604">
        <f>DAY(C5604)</f>
        <v>19</v>
      </c>
      <c r="E5604">
        <f>MONTH(C5604)</f>
        <v>11</v>
      </c>
      <c r="F5604">
        <f>YEAR(C5604)</f>
        <v>2025</v>
      </c>
      <c r="G5604" t="s">
        <v>442</v>
      </c>
      <c r="H5604" s="121">
        <v>13559</v>
      </c>
      <c r="I5604" s="15">
        <v>131.6</v>
      </c>
      <c r="J5604" s="12" t="s">
        <v>51</v>
      </c>
      <c r="K5604" s="76">
        <f t="shared" si="664"/>
        <v>153.01</v>
      </c>
      <c r="L5604">
        <v>1.1626899696048631</v>
      </c>
      <c r="M5604" s="94">
        <v>0</v>
      </c>
      <c r="N5604" t="s">
        <v>32</v>
      </c>
      <c r="O5604" t="s">
        <v>33</v>
      </c>
      <c r="P5604" t="s">
        <v>34</v>
      </c>
      <c r="Q5604" t="s">
        <v>34</v>
      </c>
      <c r="R5604" t="s">
        <v>34</v>
      </c>
      <c r="S5604" t="s">
        <v>34</v>
      </c>
      <c r="T5604" s="117">
        <v>0</v>
      </c>
    </row>
    <row r="5605" spans="1:21" x14ac:dyDescent="0.35">
      <c r="A5605" t="s">
        <v>20</v>
      </c>
      <c r="B5605" t="s">
        <v>25</v>
      </c>
      <c r="C5605" s="1">
        <v>45980</v>
      </c>
      <c r="D5605">
        <f t="shared" si="661"/>
        <v>19</v>
      </c>
      <c r="E5605">
        <f t="shared" si="662"/>
        <v>11</v>
      </c>
      <c r="F5605">
        <f t="shared" si="663"/>
        <v>2025</v>
      </c>
      <c r="G5605" t="s">
        <v>1311</v>
      </c>
      <c r="H5605" s="121">
        <v>13559</v>
      </c>
      <c r="I5605" s="15">
        <v>15032.69</v>
      </c>
      <c r="J5605" s="12" t="s">
        <v>31</v>
      </c>
      <c r="K5605" s="76">
        <f t="shared" si="664"/>
        <v>15032.69</v>
      </c>
      <c r="L5605">
        <v>1</v>
      </c>
      <c r="M5605" s="94">
        <v>0</v>
      </c>
      <c r="N5605" t="s">
        <v>32</v>
      </c>
      <c r="O5605" t="s">
        <v>33</v>
      </c>
      <c r="P5605" t="s">
        <v>34</v>
      </c>
      <c r="Q5605" t="s">
        <v>34</v>
      </c>
      <c r="R5605" t="s">
        <v>34</v>
      </c>
      <c r="S5605" t="s">
        <v>34</v>
      </c>
      <c r="T5605" s="117">
        <v>0</v>
      </c>
    </row>
    <row r="5606" spans="1:21" x14ac:dyDescent="0.35">
      <c r="A5606" t="s">
        <v>20</v>
      </c>
      <c r="B5606" t="s">
        <v>21</v>
      </c>
      <c r="C5606" s="1">
        <v>45980</v>
      </c>
      <c r="D5606">
        <f t="shared" si="661"/>
        <v>19</v>
      </c>
      <c r="E5606">
        <f t="shared" si="662"/>
        <v>11</v>
      </c>
      <c r="F5606">
        <f t="shared" si="663"/>
        <v>2025</v>
      </c>
      <c r="G5606" t="s">
        <v>183</v>
      </c>
      <c r="H5606" s="121">
        <v>13562</v>
      </c>
      <c r="I5606" s="15">
        <v>12318.2</v>
      </c>
      <c r="J5606" s="12" t="s">
        <v>31</v>
      </c>
      <c r="K5606" s="76">
        <f t="shared" si="664"/>
        <v>12318.2</v>
      </c>
      <c r="L5606">
        <v>1</v>
      </c>
      <c r="M5606" s="94">
        <v>0</v>
      </c>
      <c r="N5606" t="s">
        <v>32</v>
      </c>
      <c r="O5606" t="s">
        <v>33</v>
      </c>
      <c r="P5606" t="s">
        <v>34</v>
      </c>
      <c r="Q5606" t="s">
        <v>34</v>
      </c>
      <c r="R5606" t="s">
        <v>34</v>
      </c>
      <c r="S5606" t="s">
        <v>34</v>
      </c>
      <c r="T5606" s="117">
        <v>0</v>
      </c>
    </row>
    <row r="5607" spans="1:21" x14ac:dyDescent="0.35">
      <c r="A5607" t="s">
        <v>20</v>
      </c>
      <c r="B5607" t="s">
        <v>23</v>
      </c>
      <c r="C5607" s="1">
        <v>45980</v>
      </c>
      <c r="D5607">
        <f t="shared" si="661"/>
        <v>19</v>
      </c>
      <c r="E5607">
        <f t="shared" si="662"/>
        <v>11</v>
      </c>
      <c r="F5607">
        <f t="shared" si="663"/>
        <v>2025</v>
      </c>
      <c r="G5607" t="s">
        <v>46</v>
      </c>
      <c r="H5607" s="121">
        <v>14083</v>
      </c>
      <c r="I5607" s="15">
        <v>102.5</v>
      </c>
      <c r="J5607" s="12" t="s">
        <v>31</v>
      </c>
      <c r="K5607" s="76">
        <f t="shared" si="664"/>
        <v>102.5</v>
      </c>
      <c r="L5607">
        <v>1</v>
      </c>
      <c r="M5607" s="94">
        <v>0</v>
      </c>
      <c r="N5607" t="s">
        <v>42</v>
      </c>
      <c r="O5607" t="s">
        <v>33</v>
      </c>
      <c r="P5607" t="s">
        <v>34</v>
      </c>
      <c r="Q5607" t="s">
        <v>34</v>
      </c>
      <c r="R5607" t="s">
        <v>34</v>
      </c>
      <c r="S5607" t="s">
        <v>34</v>
      </c>
      <c r="T5607" s="117">
        <v>0</v>
      </c>
    </row>
    <row r="5608" spans="1:21" x14ac:dyDescent="0.35">
      <c r="A5608" t="s">
        <v>20</v>
      </c>
      <c r="B5608" t="s">
        <v>23</v>
      </c>
      <c r="C5608" s="1">
        <v>45980</v>
      </c>
      <c r="D5608">
        <f t="shared" si="661"/>
        <v>19</v>
      </c>
      <c r="E5608">
        <f t="shared" si="662"/>
        <v>11</v>
      </c>
      <c r="F5608">
        <f t="shared" si="663"/>
        <v>2025</v>
      </c>
      <c r="G5608" t="s">
        <v>46</v>
      </c>
      <c r="H5608" s="121">
        <v>14084</v>
      </c>
      <c r="I5608" s="15">
        <v>1254</v>
      </c>
      <c r="J5608" s="12" t="s">
        <v>31</v>
      </c>
      <c r="K5608" s="76">
        <f t="shared" si="664"/>
        <v>1254</v>
      </c>
      <c r="L5608">
        <v>1</v>
      </c>
      <c r="M5608" s="94">
        <v>0</v>
      </c>
      <c r="N5608" t="s">
        <v>42</v>
      </c>
      <c r="O5608" t="s">
        <v>33</v>
      </c>
      <c r="P5608" t="s">
        <v>34</v>
      </c>
      <c r="Q5608" t="s">
        <v>34</v>
      </c>
      <c r="R5608" t="s">
        <v>34</v>
      </c>
      <c r="S5608" t="s">
        <v>34</v>
      </c>
      <c r="T5608" s="117">
        <v>0</v>
      </c>
    </row>
    <row r="5609" spans="1:21" x14ac:dyDescent="0.35">
      <c r="A5609" t="s">
        <v>20</v>
      </c>
      <c r="B5609" t="s">
        <v>24</v>
      </c>
      <c r="C5609" s="1">
        <v>45980</v>
      </c>
      <c r="D5609">
        <f t="shared" si="661"/>
        <v>19</v>
      </c>
      <c r="E5609">
        <f t="shared" si="662"/>
        <v>11</v>
      </c>
      <c r="F5609">
        <f t="shared" si="663"/>
        <v>2025</v>
      </c>
      <c r="G5609" t="s">
        <v>1189</v>
      </c>
      <c r="H5609" s="121">
        <v>14108</v>
      </c>
      <c r="I5609" s="15">
        <v>1102</v>
      </c>
      <c r="J5609" s="12" t="s">
        <v>31</v>
      </c>
      <c r="K5609" s="76">
        <f t="shared" si="664"/>
        <v>1102</v>
      </c>
      <c r="L5609">
        <v>1</v>
      </c>
      <c r="M5609" s="94">
        <v>0</v>
      </c>
      <c r="N5609" t="s">
        <v>42</v>
      </c>
      <c r="O5609" t="s">
        <v>33</v>
      </c>
      <c r="P5609" t="s">
        <v>34</v>
      </c>
      <c r="Q5609" t="s">
        <v>34</v>
      </c>
      <c r="R5609" t="s">
        <v>34</v>
      </c>
      <c r="S5609" t="s">
        <v>34</v>
      </c>
      <c r="T5609" s="117">
        <v>0</v>
      </c>
    </row>
    <row r="5610" spans="1:21" x14ac:dyDescent="0.35">
      <c r="A5610" t="s">
        <v>20</v>
      </c>
      <c r="B5610" t="s">
        <v>24</v>
      </c>
      <c r="C5610" s="1">
        <v>45980</v>
      </c>
      <c r="D5610">
        <f t="shared" si="661"/>
        <v>19</v>
      </c>
      <c r="E5610">
        <f t="shared" si="662"/>
        <v>11</v>
      </c>
      <c r="F5610">
        <f t="shared" si="663"/>
        <v>2025</v>
      </c>
      <c r="G5610" t="s">
        <v>1189</v>
      </c>
      <c r="H5610" s="121">
        <v>14109</v>
      </c>
      <c r="I5610" s="15">
        <v>2378</v>
      </c>
      <c r="J5610" s="12" t="s">
        <v>31</v>
      </c>
      <c r="K5610" s="76">
        <f t="shared" si="664"/>
        <v>2378</v>
      </c>
      <c r="L5610">
        <v>1</v>
      </c>
      <c r="M5610" s="94">
        <v>0</v>
      </c>
      <c r="N5610" t="s">
        <v>42</v>
      </c>
      <c r="O5610" t="s">
        <v>33</v>
      </c>
      <c r="P5610" t="s">
        <v>34</v>
      </c>
      <c r="Q5610" t="s">
        <v>34</v>
      </c>
      <c r="R5610" t="s">
        <v>34</v>
      </c>
      <c r="S5610" t="s">
        <v>34</v>
      </c>
      <c r="T5610" s="117">
        <v>0</v>
      </c>
    </row>
    <row r="5611" spans="1:21" x14ac:dyDescent="0.35">
      <c r="A5611" t="s">
        <v>20</v>
      </c>
      <c r="B5611" t="s">
        <v>24</v>
      </c>
      <c r="C5611" s="1">
        <v>45980</v>
      </c>
      <c r="D5611">
        <f t="shared" si="661"/>
        <v>19</v>
      </c>
      <c r="E5611">
        <f t="shared" si="662"/>
        <v>11</v>
      </c>
      <c r="F5611">
        <f t="shared" si="663"/>
        <v>2025</v>
      </c>
      <c r="G5611" t="s">
        <v>1189</v>
      </c>
      <c r="H5611" s="121">
        <v>14110</v>
      </c>
      <c r="I5611" s="15">
        <v>6496</v>
      </c>
      <c r="J5611" s="12" t="s">
        <v>31</v>
      </c>
      <c r="K5611" s="76">
        <f t="shared" si="664"/>
        <v>6496</v>
      </c>
      <c r="L5611">
        <v>1</v>
      </c>
      <c r="M5611" s="94">
        <v>0</v>
      </c>
      <c r="N5611" t="s">
        <v>42</v>
      </c>
      <c r="O5611" t="s">
        <v>33</v>
      </c>
      <c r="P5611" t="s">
        <v>34</v>
      </c>
      <c r="Q5611" t="s">
        <v>34</v>
      </c>
      <c r="R5611" t="s">
        <v>34</v>
      </c>
      <c r="S5611" t="s">
        <v>34</v>
      </c>
      <c r="T5611" s="117">
        <v>0</v>
      </c>
    </row>
    <row r="5612" spans="1:21" x14ac:dyDescent="0.35">
      <c r="A5612" t="s">
        <v>20</v>
      </c>
      <c r="B5612" t="s">
        <v>24</v>
      </c>
      <c r="C5612" s="1">
        <v>45980</v>
      </c>
      <c r="D5612">
        <f t="shared" si="661"/>
        <v>19</v>
      </c>
      <c r="E5612">
        <f t="shared" si="662"/>
        <v>11</v>
      </c>
      <c r="F5612">
        <f t="shared" si="663"/>
        <v>2025</v>
      </c>
      <c r="G5612" t="s">
        <v>1189</v>
      </c>
      <c r="H5612" s="121">
        <v>14111</v>
      </c>
      <c r="I5612" s="15">
        <v>6264</v>
      </c>
      <c r="J5612" s="12" t="s">
        <v>31</v>
      </c>
      <c r="K5612" s="76">
        <f t="shared" si="664"/>
        <v>6264</v>
      </c>
      <c r="L5612">
        <v>1</v>
      </c>
      <c r="M5612" s="94">
        <v>0</v>
      </c>
      <c r="N5612" t="s">
        <v>42</v>
      </c>
      <c r="O5612" t="s">
        <v>33</v>
      </c>
      <c r="P5612" t="s">
        <v>34</v>
      </c>
      <c r="Q5612" t="s">
        <v>34</v>
      </c>
      <c r="R5612" t="s">
        <v>34</v>
      </c>
      <c r="S5612" t="s">
        <v>34</v>
      </c>
      <c r="T5612" s="117">
        <v>0</v>
      </c>
    </row>
    <row r="5613" spans="1:21" x14ac:dyDescent="0.35">
      <c r="A5613" t="s">
        <v>20</v>
      </c>
      <c r="B5613" t="s">
        <v>24</v>
      </c>
      <c r="C5613" s="1">
        <v>45980</v>
      </c>
      <c r="D5613">
        <f t="shared" si="661"/>
        <v>19</v>
      </c>
      <c r="E5613">
        <f t="shared" si="662"/>
        <v>11</v>
      </c>
      <c r="F5613">
        <f t="shared" si="663"/>
        <v>2025</v>
      </c>
      <c r="G5613" t="s">
        <v>1189</v>
      </c>
      <c r="H5613" s="121">
        <v>14112</v>
      </c>
      <c r="I5613" s="15">
        <v>5800</v>
      </c>
      <c r="J5613" s="12" t="s">
        <v>31</v>
      </c>
      <c r="K5613" s="76">
        <f t="shared" si="664"/>
        <v>5800</v>
      </c>
      <c r="L5613">
        <v>1</v>
      </c>
      <c r="M5613" s="94">
        <v>0</v>
      </c>
      <c r="N5613" t="s">
        <v>42</v>
      </c>
      <c r="O5613" t="s">
        <v>33</v>
      </c>
      <c r="P5613" t="s">
        <v>34</v>
      </c>
      <c r="Q5613" t="s">
        <v>34</v>
      </c>
      <c r="R5613" t="s">
        <v>34</v>
      </c>
      <c r="S5613" t="s">
        <v>34</v>
      </c>
      <c r="T5613" s="117">
        <v>0</v>
      </c>
    </row>
    <row r="5614" spans="1:21" x14ac:dyDescent="0.35">
      <c r="A5614" t="s">
        <v>19</v>
      </c>
      <c r="B5614" t="s">
        <v>26</v>
      </c>
      <c r="C5614" s="1">
        <v>45981</v>
      </c>
      <c r="D5614">
        <f t="shared" ref="D5614:D5619" si="665">DAY(C5614)</f>
        <v>20</v>
      </c>
      <c r="E5614">
        <f t="shared" ref="E5614:E5619" si="666">MONTH(C5614)</f>
        <v>11</v>
      </c>
      <c r="F5614">
        <f t="shared" ref="F5614:F5619" si="667">YEAR(C5614)</f>
        <v>2025</v>
      </c>
      <c r="G5614" t="s">
        <v>73</v>
      </c>
      <c r="H5614" s="121">
        <v>14043</v>
      </c>
      <c r="I5614" s="15">
        <v>26810.29</v>
      </c>
      <c r="J5614" s="12" t="s">
        <v>51</v>
      </c>
      <c r="K5614" s="76">
        <f t="shared" si="664"/>
        <v>30949.798776000003</v>
      </c>
      <c r="L5614">
        <v>1.1544000000000001</v>
      </c>
      <c r="M5614" s="94">
        <v>0</v>
      </c>
      <c r="N5614" t="s">
        <v>42</v>
      </c>
      <c r="O5614" t="s">
        <v>33</v>
      </c>
      <c r="P5614" t="s">
        <v>34</v>
      </c>
      <c r="Q5614" t="s">
        <v>34</v>
      </c>
      <c r="R5614" t="s">
        <v>34</v>
      </c>
      <c r="S5614" t="s">
        <v>34</v>
      </c>
      <c r="T5614" s="117">
        <v>0</v>
      </c>
      <c r="U5614" s="209" t="s">
        <v>94</v>
      </c>
    </row>
    <row r="5615" spans="1:21" x14ac:dyDescent="0.35">
      <c r="A5615" t="s">
        <v>19</v>
      </c>
      <c r="B5615" t="s">
        <v>26</v>
      </c>
      <c r="C5615" s="1">
        <v>45981</v>
      </c>
      <c r="D5615">
        <f t="shared" si="665"/>
        <v>20</v>
      </c>
      <c r="E5615">
        <f t="shared" si="666"/>
        <v>11</v>
      </c>
      <c r="F5615">
        <f t="shared" si="667"/>
        <v>2025</v>
      </c>
      <c r="G5615" t="s">
        <v>73</v>
      </c>
      <c r="H5615" s="121">
        <v>14085</v>
      </c>
      <c r="I5615" s="15">
        <v>72458.559999999998</v>
      </c>
      <c r="J5615" s="12" t="s">
        <v>51</v>
      </c>
      <c r="K5615" s="76">
        <f t="shared" si="664"/>
        <v>83646.161663999999</v>
      </c>
      <c r="L5615">
        <v>1.1544000000000001</v>
      </c>
      <c r="M5615" s="94">
        <v>0</v>
      </c>
      <c r="N5615" t="s">
        <v>42</v>
      </c>
      <c r="O5615" t="s">
        <v>33</v>
      </c>
      <c r="P5615" t="s">
        <v>34</v>
      </c>
      <c r="Q5615" t="s">
        <v>34</v>
      </c>
      <c r="R5615" t="s">
        <v>34</v>
      </c>
      <c r="S5615" t="s">
        <v>34</v>
      </c>
      <c r="T5615" s="117">
        <v>0</v>
      </c>
      <c r="U5615" s="209" t="s">
        <v>94</v>
      </c>
    </row>
    <row r="5616" spans="1:21" x14ac:dyDescent="0.35">
      <c r="A5616" t="s">
        <v>19</v>
      </c>
      <c r="B5616" t="s">
        <v>26</v>
      </c>
      <c r="C5616" s="1">
        <v>45981</v>
      </c>
      <c r="D5616">
        <f t="shared" si="665"/>
        <v>20</v>
      </c>
      <c r="E5616">
        <f t="shared" si="666"/>
        <v>11</v>
      </c>
      <c r="F5616">
        <f t="shared" si="667"/>
        <v>2025</v>
      </c>
      <c r="G5616" t="s">
        <v>73</v>
      </c>
      <c r="H5616" s="121">
        <v>14086</v>
      </c>
      <c r="I5616" s="15">
        <v>73958.399999999994</v>
      </c>
      <c r="J5616" s="12" t="s">
        <v>51</v>
      </c>
      <c r="K5616" s="76">
        <f t="shared" si="664"/>
        <v>85377.576960000006</v>
      </c>
      <c r="L5616">
        <v>1.1544000000000001</v>
      </c>
      <c r="M5616" s="94">
        <v>0</v>
      </c>
      <c r="N5616" t="s">
        <v>42</v>
      </c>
      <c r="O5616" t="s">
        <v>33</v>
      </c>
      <c r="P5616" t="s">
        <v>34</v>
      </c>
      <c r="Q5616" t="s">
        <v>34</v>
      </c>
      <c r="R5616" t="s">
        <v>34</v>
      </c>
      <c r="S5616" t="s">
        <v>34</v>
      </c>
      <c r="T5616" s="117">
        <v>0</v>
      </c>
      <c r="U5616" s="209" t="s">
        <v>94</v>
      </c>
    </row>
    <row r="5617" spans="1:21" x14ac:dyDescent="0.35">
      <c r="A5617" t="s">
        <v>19</v>
      </c>
      <c r="B5617" t="s">
        <v>26</v>
      </c>
      <c r="C5617" s="1">
        <v>45981</v>
      </c>
      <c r="D5617">
        <f t="shared" si="665"/>
        <v>20</v>
      </c>
      <c r="E5617">
        <f t="shared" si="666"/>
        <v>11</v>
      </c>
      <c r="F5617">
        <f t="shared" si="667"/>
        <v>2025</v>
      </c>
      <c r="G5617" t="s">
        <v>73</v>
      </c>
      <c r="H5617" s="121">
        <v>14087</v>
      </c>
      <c r="I5617" s="15">
        <v>36296.019999999997</v>
      </c>
      <c r="J5617" s="12" t="s">
        <v>51</v>
      </c>
      <c r="K5617" s="76">
        <f t="shared" si="664"/>
        <v>41900.125487999998</v>
      </c>
      <c r="L5617">
        <v>1.1544000000000001</v>
      </c>
      <c r="M5617" s="94">
        <v>0</v>
      </c>
      <c r="N5617" t="s">
        <v>42</v>
      </c>
      <c r="O5617" t="s">
        <v>33</v>
      </c>
      <c r="P5617" t="s">
        <v>34</v>
      </c>
      <c r="Q5617" t="s">
        <v>34</v>
      </c>
      <c r="R5617" t="s">
        <v>34</v>
      </c>
      <c r="S5617" t="s">
        <v>34</v>
      </c>
      <c r="T5617" s="117">
        <v>0</v>
      </c>
      <c r="U5617" s="209" t="s">
        <v>94</v>
      </c>
    </row>
    <row r="5618" spans="1:21" x14ac:dyDescent="0.35">
      <c r="A5618" t="s">
        <v>19</v>
      </c>
      <c r="B5618" t="s">
        <v>26</v>
      </c>
      <c r="C5618" s="1">
        <v>45981</v>
      </c>
      <c r="D5618">
        <f t="shared" si="665"/>
        <v>20</v>
      </c>
      <c r="E5618">
        <f t="shared" si="666"/>
        <v>11</v>
      </c>
      <c r="F5618">
        <f t="shared" si="667"/>
        <v>2025</v>
      </c>
      <c r="G5618" t="s">
        <v>73</v>
      </c>
      <c r="H5618" s="121">
        <v>14126</v>
      </c>
      <c r="I5618" s="15">
        <v>1080.8</v>
      </c>
      <c r="J5618" s="12" t="s">
        <v>51</v>
      </c>
      <c r="K5618" s="76">
        <f t="shared" si="664"/>
        <v>1247.67552</v>
      </c>
      <c r="L5618">
        <v>1.1544000000000001</v>
      </c>
      <c r="M5618" s="94">
        <v>0</v>
      </c>
      <c r="N5618" t="s">
        <v>42</v>
      </c>
      <c r="O5618" t="s">
        <v>33</v>
      </c>
      <c r="P5618" t="s">
        <v>34</v>
      </c>
      <c r="Q5618" t="s">
        <v>34</v>
      </c>
      <c r="R5618" t="s">
        <v>34</v>
      </c>
      <c r="S5618" t="s">
        <v>34</v>
      </c>
      <c r="T5618" s="117">
        <v>0</v>
      </c>
      <c r="U5618" s="209" t="s">
        <v>94</v>
      </c>
    </row>
    <row r="5619" spans="1:21" x14ac:dyDescent="0.35">
      <c r="A5619" t="s">
        <v>19</v>
      </c>
      <c r="B5619" t="s">
        <v>19</v>
      </c>
      <c r="C5619" s="1">
        <v>45980</v>
      </c>
      <c r="D5619">
        <f t="shared" si="665"/>
        <v>19</v>
      </c>
      <c r="E5619">
        <f t="shared" si="666"/>
        <v>11</v>
      </c>
      <c r="F5619">
        <f t="shared" si="667"/>
        <v>2025</v>
      </c>
      <c r="G5619" t="s">
        <v>1003</v>
      </c>
      <c r="H5619" s="121" t="s">
        <v>1370</v>
      </c>
      <c r="I5619" s="15">
        <v>4862.53</v>
      </c>
      <c r="J5619" s="12" t="s">
        <v>31</v>
      </c>
      <c r="K5619" s="76">
        <f t="shared" ref="K5619:K5625" si="668">IF(J5619="USD",I5619,I5619*L5619)</f>
        <v>4862.53</v>
      </c>
      <c r="L5619">
        <v>1</v>
      </c>
      <c r="M5619" s="94">
        <v>0</v>
      </c>
      <c r="N5619" t="s">
        <v>32</v>
      </c>
      <c r="O5619" t="s">
        <v>33</v>
      </c>
      <c r="P5619" t="s">
        <v>34</v>
      </c>
      <c r="Q5619" t="s">
        <v>34</v>
      </c>
      <c r="R5619" t="s">
        <v>34</v>
      </c>
      <c r="S5619" t="s">
        <v>34</v>
      </c>
      <c r="T5619" s="117">
        <v>0</v>
      </c>
    </row>
    <row r="5620" spans="1:21" x14ac:dyDescent="0.35">
      <c r="A5620" t="s">
        <v>19</v>
      </c>
      <c r="B5620" t="s">
        <v>19</v>
      </c>
      <c r="C5620" s="1">
        <v>45980</v>
      </c>
      <c r="D5620">
        <f t="shared" ref="D5620:D5625" si="669">DAY(C5620)</f>
        <v>19</v>
      </c>
      <c r="E5620">
        <f t="shared" ref="E5620:E5625" si="670">MONTH(C5620)</f>
        <v>11</v>
      </c>
      <c r="F5620">
        <f t="shared" ref="F5620:F5625" si="671">YEAR(C5620)</f>
        <v>2025</v>
      </c>
      <c r="G5620" t="s">
        <v>213</v>
      </c>
      <c r="H5620" s="121" t="s">
        <v>1506</v>
      </c>
      <c r="I5620" s="15">
        <v>121393.63</v>
      </c>
      <c r="J5620" s="12" t="s">
        <v>31</v>
      </c>
      <c r="K5620" s="76">
        <f t="shared" si="668"/>
        <v>121393.63</v>
      </c>
      <c r="L5620">
        <v>1</v>
      </c>
      <c r="M5620" s="94">
        <v>0</v>
      </c>
      <c r="N5620" t="s">
        <v>32</v>
      </c>
      <c r="O5620" t="s">
        <v>33</v>
      </c>
      <c r="P5620" t="s">
        <v>34</v>
      </c>
      <c r="Q5620" t="s">
        <v>34</v>
      </c>
      <c r="R5620" t="s">
        <v>34</v>
      </c>
      <c r="S5620" t="s">
        <v>34</v>
      </c>
      <c r="T5620" s="117">
        <v>0</v>
      </c>
    </row>
    <row r="5621" spans="1:21" x14ac:dyDescent="0.35">
      <c r="A5621" t="s">
        <v>19</v>
      </c>
      <c r="B5621" t="s">
        <v>19</v>
      </c>
      <c r="C5621" s="1">
        <v>45980</v>
      </c>
      <c r="D5621">
        <f t="shared" si="669"/>
        <v>19</v>
      </c>
      <c r="E5621">
        <f t="shared" si="670"/>
        <v>11</v>
      </c>
      <c r="F5621">
        <f t="shared" si="671"/>
        <v>2025</v>
      </c>
      <c r="G5621" t="s">
        <v>523</v>
      </c>
      <c r="H5621" s="121" t="s">
        <v>1507</v>
      </c>
      <c r="I5621" s="15">
        <v>143245.58000000002</v>
      </c>
      <c r="J5621" s="12" t="s">
        <v>31</v>
      </c>
      <c r="K5621" s="76">
        <f t="shared" si="668"/>
        <v>143245.58000000002</v>
      </c>
      <c r="L5621">
        <v>1</v>
      </c>
      <c r="M5621" s="94">
        <v>0</v>
      </c>
      <c r="N5621" t="s">
        <v>32</v>
      </c>
      <c r="O5621" t="s">
        <v>33</v>
      </c>
      <c r="P5621" t="s">
        <v>34</v>
      </c>
      <c r="Q5621" t="s">
        <v>34</v>
      </c>
      <c r="R5621" t="s">
        <v>34</v>
      </c>
      <c r="S5621" t="s">
        <v>34</v>
      </c>
      <c r="T5621" s="117">
        <v>0</v>
      </c>
    </row>
    <row r="5622" spans="1:21" x14ac:dyDescent="0.35">
      <c r="A5622" t="s">
        <v>19</v>
      </c>
      <c r="B5622" t="s">
        <v>19</v>
      </c>
      <c r="C5622" s="1">
        <v>45980</v>
      </c>
      <c r="D5622">
        <f t="shared" si="669"/>
        <v>19</v>
      </c>
      <c r="E5622">
        <f t="shared" si="670"/>
        <v>11</v>
      </c>
      <c r="F5622">
        <f t="shared" si="671"/>
        <v>2025</v>
      </c>
      <c r="G5622" t="s">
        <v>56</v>
      </c>
      <c r="H5622" s="121" t="s">
        <v>1508</v>
      </c>
      <c r="I5622" s="15">
        <v>169331.49</v>
      </c>
      <c r="J5622" s="12" t="s">
        <v>31</v>
      </c>
      <c r="K5622" s="76">
        <f t="shared" si="668"/>
        <v>169331.49</v>
      </c>
      <c r="L5622">
        <v>1</v>
      </c>
      <c r="M5622" s="94">
        <v>0</v>
      </c>
      <c r="N5622" t="s">
        <v>32</v>
      </c>
      <c r="O5622" t="s">
        <v>33</v>
      </c>
      <c r="P5622" t="s">
        <v>34</v>
      </c>
      <c r="Q5622" t="s">
        <v>34</v>
      </c>
      <c r="R5622" t="s">
        <v>34</v>
      </c>
      <c r="S5622" t="s">
        <v>34</v>
      </c>
      <c r="T5622" s="117">
        <v>0</v>
      </c>
    </row>
    <row r="5623" spans="1:21" x14ac:dyDescent="0.35">
      <c r="A5623" t="s">
        <v>19</v>
      </c>
      <c r="B5623" t="s">
        <v>19</v>
      </c>
      <c r="C5623" s="1">
        <v>45980</v>
      </c>
      <c r="D5623">
        <f t="shared" si="669"/>
        <v>19</v>
      </c>
      <c r="E5623">
        <f t="shared" si="670"/>
        <v>11</v>
      </c>
      <c r="F5623">
        <f t="shared" si="671"/>
        <v>2025</v>
      </c>
      <c r="G5623" t="s">
        <v>56</v>
      </c>
      <c r="H5623" s="121" t="s">
        <v>1509</v>
      </c>
      <c r="I5623" s="15">
        <v>199168.69</v>
      </c>
      <c r="J5623" s="12" t="s">
        <v>31</v>
      </c>
      <c r="K5623" s="76">
        <f t="shared" si="668"/>
        <v>199168.69</v>
      </c>
      <c r="L5623">
        <v>1</v>
      </c>
      <c r="M5623" s="94">
        <v>0</v>
      </c>
      <c r="N5623" t="s">
        <v>32</v>
      </c>
      <c r="O5623" t="s">
        <v>33</v>
      </c>
      <c r="P5623" t="s">
        <v>34</v>
      </c>
      <c r="Q5623" t="s">
        <v>34</v>
      </c>
      <c r="R5623" t="s">
        <v>34</v>
      </c>
      <c r="S5623" t="s">
        <v>34</v>
      </c>
      <c r="T5623" s="117">
        <v>0</v>
      </c>
    </row>
    <row r="5624" spans="1:21" x14ac:dyDescent="0.35">
      <c r="A5624" t="s">
        <v>19</v>
      </c>
      <c r="B5624" t="s">
        <v>19</v>
      </c>
      <c r="C5624" s="1">
        <v>45980</v>
      </c>
      <c r="D5624">
        <f t="shared" si="669"/>
        <v>19</v>
      </c>
      <c r="E5624">
        <f t="shared" si="670"/>
        <v>11</v>
      </c>
      <c r="F5624">
        <f t="shared" si="671"/>
        <v>2025</v>
      </c>
      <c r="G5624" t="s">
        <v>56</v>
      </c>
      <c r="H5624" s="121" t="s">
        <v>1510</v>
      </c>
      <c r="I5624" s="15">
        <f>146363.95+528.56</f>
        <v>146892.51</v>
      </c>
      <c r="J5624" s="12" t="s">
        <v>31</v>
      </c>
      <c r="K5624" s="76">
        <f t="shared" si="668"/>
        <v>146892.51</v>
      </c>
      <c r="L5624">
        <v>1</v>
      </c>
      <c r="M5624" s="94">
        <v>0</v>
      </c>
      <c r="N5624" t="s">
        <v>32</v>
      </c>
      <c r="O5624" t="s">
        <v>33</v>
      </c>
      <c r="P5624" t="s">
        <v>34</v>
      </c>
      <c r="Q5624" t="s">
        <v>34</v>
      </c>
      <c r="R5624" t="s">
        <v>34</v>
      </c>
      <c r="S5624" t="s">
        <v>34</v>
      </c>
      <c r="T5624" s="117">
        <v>0</v>
      </c>
    </row>
    <row r="5625" spans="1:21" x14ac:dyDescent="0.35">
      <c r="A5625" t="s">
        <v>19</v>
      </c>
      <c r="B5625" t="s">
        <v>19</v>
      </c>
      <c r="C5625" s="1">
        <v>45980</v>
      </c>
      <c r="D5625">
        <f t="shared" si="669"/>
        <v>19</v>
      </c>
      <c r="E5625">
        <f t="shared" si="670"/>
        <v>11</v>
      </c>
      <c r="F5625">
        <f t="shared" si="671"/>
        <v>2025</v>
      </c>
      <c r="G5625" t="s">
        <v>59</v>
      </c>
      <c r="H5625" s="121" t="s">
        <v>1511</v>
      </c>
      <c r="I5625" s="15">
        <v>96644.57</v>
      </c>
      <c r="J5625" s="12" t="s">
        <v>31</v>
      </c>
      <c r="K5625" s="76">
        <f t="shared" si="668"/>
        <v>96644.57</v>
      </c>
      <c r="L5625">
        <v>1</v>
      </c>
      <c r="M5625" s="94">
        <v>0</v>
      </c>
      <c r="N5625" t="s">
        <v>32</v>
      </c>
      <c r="O5625" t="s">
        <v>33</v>
      </c>
      <c r="P5625" t="s">
        <v>34</v>
      </c>
      <c r="Q5625" t="s">
        <v>34</v>
      </c>
      <c r="R5625" t="s">
        <v>34</v>
      </c>
      <c r="S5625" t="s">
        <v>34</v>
      </c>
      <c r="T5625" s="117">
        <v>0</v>
      </c>
    </row>
    <row r="5626" spans="1:21" x14ac:dyDescent="0.35">
      <c r="A5626" t="s">
        <v>19</v>
      </c>
      <c r="B5626" t="s">
        <v>19</v>
      </c>
      <c r="C5626" s="1">
        <v>45980</v>
      </c>
      <c r="D5626">
        <f t="shared" ref="D5626:D5627" si="672">DAY(C5626)</f>
        <v>19</v>
      </c>
      <c r="E5626">
        <f t="shared" ref="E5626:E5627" si="673">MONTH(C5626)</f>
        <v>11</v>
      </c>
      <c r="F5626">
        <f t="shared" ref="F5626:F5627" si="674">YEAR(C5626)</f>
        <v>2025</v>
      </c>
      <c r="G5626" t="s">
        <v>1512</v>
      </c>
      <c r="H5626" s="121" t="s">
        <v>42</v>
      </c>
      <c r="I5626" s="15">
        <v>11808</v>
      </c>
      <c r="J5626" s="12" t="s">
        <v>31</v>
      </c>
      <c r="K5626" s="76">
        <f t="shared" ref="K5626:K5651" si="675">IF(J5626="USD",I5626,I5626*L5626)</f>
        <v>11808</v>
      </c>
      <c r="L5626">
        <v>1</v>
      </c>
      <c r="M5626" s="94">
        <v>0</v>
      </c>
      <c r="N5626" t="s">
        <v>42</v>
      </c>
      <c r="O5626" t="s">
        <v>33</v>
      </c>
      <c r="P5626" t="s">
        <v>34</v>
      </c>
      <c r="Q5626" t="s">
        <v>34</v>
      </c>
      <c r="R5626" t="s">
        <v>34</v>
      </c>
      <c r="S5626" t="s">
        <v>34</v>
      </c>
      <c r="T5626" s="117">
        <v>0</v>
      </c>
    </row>
    <row r="5627" spans="1:21" x14ac:dyDescent="0.35">
      <c r="A5627" t="s">
        <v>19</v>
      </c>
      <c r="B5627" t="s">
        <v>19</v>
      </c>
      <c r="C5627" s="1">
        <v>45980</v>
      </c>
      <c r="D5627">
        <f t="shared" si="672"/>
        <v>19</v>
      </c>
      <c r="E5627">
        <f t="shared" si="673"/>
        <v>11</v>
      </c>
      <c r="F5627">
        <f t="shared" si="674"/>
        <v>2025</v>
      </c>
      <c r="G5627" t="s">
        <v>44</v>
      </c>
      <c r="H5627" s="121" t="s">
        <v>569</v>
      </c>
      <c r="I5627" s="15">
        <v>86</v>
      </c>
      <c r="J5627" s="12" t="s">
        <v>31</v>
      </c>
      <c r="K5627" s="76">
        <f t="shared" si="675"/>
        <v>86</v>
      </c>
      <c r="L5627">
        <v>1</v>
      </c>
      <c r="M5627" s="94">
        <v>0</v>
      </c>
      <c r="N5627" t="s">
        <v>32</v>
      </c>
      <c r="O5627" t="s">
        <v>33</v>
      </c>
      <c r="P5627" t="s">
        <v>34</v>
      </c>
      <c r="Q5627" t="s">
        <v>34</v>
      </c>
      <c r="R5627" t="s">
        <v>34</v>
      </c>
      <c r="S5627" t="s">
        <v>34</v>
      </c>
      <c r="T5627" s="117">
        <v>0</v>
      </c>
    </row>
    <row r="5628" spans="1:21" x14ac:dyDescent="0.35">
      <c r="A5628" t="s">
        <v>19</v>
      </c>
      <c r="B5628" t="s">
        <v>27</v>
      </c>
      <c r="C5628" s="1">
        <v>45987</v>
      </c>
      <c r="D5628">
        <f>DAY(C5628)</f>
        <v>26</v>
      </c>
      <c r="E5628">
        <f>MONTH(C5628)</f>
        <v>11</v>
      </c>
      <c r="F5628">
        <f>YEAR(C5628)</f>
        <v>2025</v>
      </c>
      <c r="G5628" t="s">
        <v>100</v>
      </c>
      <c r="H5628" s="121">
        <v>13704</v>
      </c>
      <c r="I5628" s="15">
        <v>100000</v>
      </c>
      <c r="J5628" s="12" t="s">
        <v>31</v>
      </c>
      <c r="K5628" s="76">
        <f t="shared" si="675"/>
        <v>100000</v>
      </c>
      <c r="L5628">
        <v>1</v>
      </c>
      <c r="M5628" s="94">
        <v>0</v>
      </c>
      <c r="N5628" t="s">
        <v>32</v>
      </c>
      <c r="O5628" t="s">
        <v>33</v>
      </c>
      <c r="P5628" t="s">
        <v>34</v>
      </c>
      <c r="Q5628" t="s">
        <v>34</v>
      </c>
      <c r="R5628" t="s">
        <v>34</v>
      </c>
      <c r="S5628" t="s">
        <v>34</v>
      </c>
      <c r="T5628" s="117">
        <v>0</v>
      </c>
    </row>
    <row r="5629" spans="1:21" x14ac:dyDescent="0.35">
      <c r="A5629" t="s">
        <v>19</v>
      </c>
      <c r="B5629" t="s">
        <v>21</v>
      </c>
      <c r="C5629" s="1">
        <v>45987</v>
      </c>
      <c r="D5629">
        <f t="shared" ref="D5629:D5632" si="676">DAY(C5629)</f>
        <v>26</v>
      </c>
      <c r="E5629">
        <f t="shared" ref="E5629:E5632" si="677">MONTH(C5629)</f>
        <v>11</v>
      </c>
      <c r="F5629">
        <f t="shared" ref="F5629:F5632" si="678">YEAR(C5629)</f>
        <v>2025</v>
      </c>
      <c r="G5629" t="s">
        <v>1517</v>
      </c>
      <c r="H5629" s="121">
        <v>12478</v>
      </c>
      <c r="I5629" s="15">
        <v>1.6</v>
      </c>
      <c r="J5629" s="12" t="s">
        <v>31</v>
      </c>
      <c r="K5629" s="76">
        <f t="shared" si="675"/>
        <v>1.6</v>
      </c>
      <c r="L5629">
        <v>1</v>
      </c>
      <c r="M5629" s="94">
        <v>0</v>
      </c>
      <c r="N5629" t="s">
        <v>32</v>
      </c>
      <c r="O5629" t="s">
        <v>33</v>
      </c>
      <c r="P5629" t="s">
        <v>34</v>
      </c>
      <c r="Q5629" t="s">
        <v>34</v>
      </c>
      <c r="R5629" t="s">
        <v>34</v>
      </c>
      <c r="S5629" t="s">
        <v>34</v>
      </c>
      <c r="T5629" s="117">
        <v>0</v>
      </c>
    </row>
    <row r="5630" spans="1:21" x14ac:dyDescent="0.35">
      <c r="A5630" t="s">
        <v>19</v>
      </c>
      <c r="B5630" t="s">
        <v>21</v>
      </c>
      <c r="C5630" s="1">
        <v>45987</v>
      </c>
      <c r="D5630">
        <f t="shared" si="676"/>
        <v>26</v>
      </c>
      <c r="E5630">
        <f t="shared" si="677"/>
        <v>11</v>
      </c>
      <c r="F5630">
        <f t="shared" si="678"/>
        <v>2025</v>
      </c>
      <c r="G5630" t="s">
        <v>1517</v>
      </c>
      <c r="H5630" s="121">
        <v>13505</v>
      </c>
      <c r="I5630" s="15">
        <v>64.400000000000006</v>
      </c>
      <c r="J5630" s="12" t="s">
        <v>31</v>
      </c>
      <c r="K5630" s="76">
        <f t="shared" si="675"/>
        <v>64.400000000000006</v>
      </c>
      <c r="L5630">
        <v>1</v>
      </c>
      <c r="M5630" s="94">
        <v>0</v>
      </c>
      <c r="N5630" t="s">
        <v>32</v>
      </c>
      <c r="O5630" t="s">
        <v>33</v>
      </c>
      <c r="P5630" t="s">
        <v>34</v>
      </c>
      <c r="Q5630" t="s">
        <v>34</v>
      </c>
      <c r="R5630" t="s">
        <v>34</v>
      </c>
      <c r="S5630" t="s">
        <v>34</v>
      </c>
      <c r="T5630" s="117">
        <v>0</v>
      </c>
    </row>
    <row r="5631" spans="1:21" x14ac:dyDescent="0.35">
      <c r="A5631" t="s">
        <v>19</v>
      </c>
      <c r="B5631" t="s">
        <v>21</v>
      </c>
      <c r="C5631" s="1">
        <v>45987</v>
      </c>
      <c r="D5631">
        <f t="shared" si="676"/>
        <v>26</v>
      </c>
      <c r="E5631">
        <f t="shared" si="677"/>
        <v>11</v>
      </c>
      <c r="F5631">
        <f t="shared" si="678"/>
        <v>2025</v>
      </c>
      <c r="G5631" t="s">
        <v>1517</v>
      </c>
      <c r="H5631" s="121">
        <v>12480</v>
      </c>
      <c r="I5631" s="15">
        <v>63.8</v>
      </c>
      <c r="J5631" s="12" t="s">
        <v>31</v>
      </c>
      <c r="K5631" s="76">
        <f t="shared" si="675"/>
        <v>63.8</v>
      </c>
      <c r="L5631">
        <v>1</v>
      </c>
      <c r="M5631" s="94">
        <v>0</v>
      </c>
      <c r="N5631" t="s">
        <v>32</v>
      </c>
      <c r="O5631" t="s">
        <v>33</v>
      </c>
      <c r="P5631" t="s">
        <v>34</v>
      </c>
      <c r="Q5631" t="s">
        <v>34</v>
      </c>
      <c r="R5631" t="s">
        <v>34</v>
      </c>
      <c r="S5631" t="s">
        <v>34</v>
      </c>
      <c r="T5631" s="117">
        <v>0</v>
      </c>
    </row>
    <row r="5632" spans="1:21" x14ac:dyDescent="0.35">
      <c r="A5632" t="s">
        <v>19</v>
      </c>
      <c r="B5632" t="s">
        <v>23</v>
      </c>
      <c r="C5632" s="1">
        <v>45987</v>
      </c>
      <c r="D5632">
        <f t="shared" si="676"/>
        <v>26</v>
      </c>
      <c r="E5632">
        <f t="shared" si="677"/>
        <v>11</v>
      </c>
      <c r="F5632">
        <f t="shared" si="678"/>
        <v>2025</v>
      </c>
      <c r="G5632" t="s">
        <v>74</v>
      </c>
      <c r="H5632" s="121">
        <v>13946</v>
      </c>
      <c r="I5632" s="15">
        <v>75105.3</v>
      </c>
      <c r="J5632" s="12" t="s">
        <v>31</v>
      </c>
      <c r="K5632" s="76">
        <f t="shared" si="675"/>
        <v>75105.3</v>
      </c>
      <c r="L5632">
        <v>1</v>
      </c>
      <c r="M5632" s="94">
        <v>0</v>
      </c>
      <c r="N5632" t="s">
        <v>32</v>
      </c>
      <c r="O5632" t="s">
        <v>33</v>
      </c>
      <c r="P5632" t="s">
        <v>34</v>
      </c>
      <c r="Q5632" t="s">
        <v>34</v>
      </c>
      <c r="R5632" t="s">
        <v>34</v>
      </c>
      <c r="S5632" t="s">
        <v>34</v>
      </c>
      <c r="T5632" s="117">
        <v>0</v>
      </c>
    </row>
    <row r="5633" spans="1:20" x14ac:dyDescent="0.35">
      <c r="A5633" t="s">
        <v>19</v>
      </c>
      <c r="B5633" t="s">
        <v>21</v>
      </c>
      <c r="C5633" s="1">
        <v>45987</v>
      </c>
      <c r="D5633">
        <f>DAY(C5633)</f>
        <v>26</v>
      </c>
      <c r="E5633">
        <f>MONTH(C5633)</f>
        <v>11</v>
      </c>
      <c r="F5633">
        <f>YEAR(C5633)</f>
        <v>2025</v>
      </c>
      <c r="G5633" t="s">
        <v>885</v>
      </c>
      <c r="H5633" s="121">
        <v>14033</v>
      </c>
      <c r="I5633" s="15">
        <v>108</v>
      </c>
      <c r="J5633" s="12" t="s">
        <v>31</v>
      </c>
      <c r="K5633" s="76">
        <f t="shared" si="675"/>
        <v>108</v>
      </c>
      <c r="L5633">
        <v>1</v>
      </c>
      <c r="M5633" s="94">
        <v>0</v>
      </c>
      <c r="N5633" t="s">
        <v>42</v>
      </c>
      <c r="O5633" t="s">
        <v>33</v>
      </c>
      <c r="P5633" t="s">
        <v>34</v>
      </c>
      <c r="Q5633" t="s">
        <v>34</v>
      </c>
      <c r="R5633" t="s">
        <v>34</v>
      </c>
      <c r="S5633" t="s">
        <v>34</v>
      </c>
      <c r="T5633" s="117">
        <v>0</v>
      </c>
    </row>
    <row r="5634" spans="1:20" ht="15.65" customHeight="1" x14ac:dyDescent="0.35">
      <c r="A5634" t="s">
        <v>19</v>
      </c>
      <c r="B5634" t="s">
        <v>21</v>
      </c>
      <c r="C5634" s="1">
        <v>45987</v>
      </c>
      <c r="D5634">
        <f t="shared" ref="D5634:D5644" si="679">DAY(C5634)</f>
        <v>26</v>
      </c>
      <c r="E5634">
        <f t="shared" ref="E5634:E5644" si="680">MONTH(C5634)</f>
        <v>11</v>
      </c>
      <c r="F5634">
        <f t="shared" ref="F5634:F5644" si="681">YEAR(C5634)</f>
        <v>2025</v>
      </c>
      <c r="G5634" t="s">
        <v>885</v>
      </c>
      <c r="H5634" s="121">
        <v>14032</v>
      </c>
      <c r="I5634" s="15">
        <v>7286.4</v>
      </c>
      <c r="J5634" s="12" t="s">
        <v>31</v>
      </c>
      <c r="K5634" s="76">
        <f t="shared" si="675"/>
        <v>7286.4</v>
      </c>
      <c r="L5634">
        <v>1</v>
      </c>
      <c r="M5634" s="94">
        <v>0</v>
      </c>
      <c r="N5634" t="s">
        <v>42</v>
      </c>
      <c r="O5634" t="s">
        <v>33</v>
      </c>
      <c r="P5634" t="s">
        <v>34</v>
      </c>
      <c r="Q5634" t="s">
        <v>34</v>
      </c>
      <c r="R5634" t="s">
        <v>34</v>
      </c>
      <c r="S5634" t="s">
        <v>34</v>
      </c>
      <c r="T5634" s="117">
        <v>0</v>
      </c>
    </row>
    <row r="5635" spans="1:20" x14ac:dyDescent="0.35">
      <c r="A5635" t="s">
        <v>19</v>
      </c>
      <c r="B5635" t="s">
        <v>23</v>
      </c>
      <c r="C5635" s="1">
        <v>45987</v>
      </c>
      <c r="D5635">
        <f t="shared" si="679"/>
        <v>26</v>
      </c>
      <c r="E5635">
        <f t="shared" si="680"/>
        <v>11</v>
      </c>
      <c r="F5635">
        <f t="shared" si="681"/>
        <v>2025</v>
      </c>
      <c r="G5635" t="s">
        <v>76</v>
      </c>
      <c r="H5635" s="121">
        <v>13898</v>
      </c>
      <c r="I5635" s="15">
        <v>40520.400000000001</v>
      </c>
      <c r="J5635" s="12" t="s">
        <v>31</v>
      </c>
      <c r="K5635" s="76">
        <f t="shared" si="675"/>
        <v>40520.400000000001</v>
      </c>
      <c r="L5635">
        <v>1</v>
      </c>
      <c r="M5635" s="94">
        <v>0</v>
      </c>
      <c r="N5635" t="s">
        <v>32</v>
      </c>
      <c r="O5635" t="s">
        <v>33</v>
      </c>
      <c r="P5635" t="s">
        <v>34</v>
      </c>
      <c r="Q5635" t="s">
        <v>34</v>
      </c>
      <c r="R5635" t="s">
        <v>34</v>
      </c>
      <c r="S5635" t="s">
        <v>34</v>
      </c>
      <c r="T5635" s="117">
        <v>0</v>
      </c>
    </row>
    <row r="5636" spans="1:20" x14ac:dyDescent="0.35">
      <c r="A5636" t="s">
        <v>19</v>
      </c>
      <c r="B5636" t="s">
        <v>21</v>
      </c>
      <c r="C5636" s="1">
        <v>45987</v>
      </c>
      <c r="D5636">
        <f t="shared" si="679"/>
        <v>26</v>
      </c>
      <c r="E5636">
        <f t="shared" si="680"/>
        <v>11</v>
      </c>
      <c r="F5636">
        <f t="shared" si="681"/>
        <v>2025</v>
      </c>
      <c r="G5636" t="s">
        <v>76</v>
      </c>
      <c r="H5636" s="121">
        <v>13898</v>
      </c>
      <c r="I5636" s="15">
        <v>38912.199999999997</v>
      </c>
      <c r="J5636" s="12" t="s">
        <v>31</v>
      </c>
      <c r="K5636" s="76">
        <f t="shared" si="675"/>
        <v>38912.199999999997</v>
      </c>
      <c r="L5636">
        <v>1</v>
      </c>
      <c r="M5636" s="94">
        <v>0</v>
      </c>
      <c r="N5636" t="s">
        <v>32</v>
      </c>
      <c r="O5636" t="s">
        <v>33</v>
      </c>
      <c r="P5636" t="s">
        <v>34</v>
      </c>
      <c r="Q5636" t="s">
        <v>34</v>
      </c>
      <c r="R5636" t="s">
        <v>34</v>
      </c>
      <c r="S5636" t="s">
        <v>34</v>
      </c>
      <c r="T5636" s="117">
        <v>0</v>
      </c>
    </row>
    <row r="5637" spans="1:20" x14ac:dyDescent="0.35">
      <c r="A5637" t="s">
        <v>19</v>
      </c>
      <c r="B5637" t="s">
        <v>24</v>
      </c>
      <c r="C5637" s="1">
        <v>45987</v>
      </c>
      <c r="D5637">
        <f t="shared" si="679"/>
        <v>26</v>
      </c>
      <c r="E5637">
        <f t="shared" si="680"/>
        <v>11</v>
      </c>
      <c r="F5637">
        <f t="shared" si="681"/>
        <v>2025</v>
      </c>
      <c r="G5637" t="s">
        <v>76</v>
      </c>
      <c r="H5637" s="121">
        <v>13898</v>
      </c>
      <c r="I5637" s="15">
        <v>14206.2</v>
      </c>
      <c r="J5637" s="12" t="s">
        <v>31</v>
      </c>
      <c r="K5637" s="76">
        <f t="shared" si="675"/>
        <v>14206.2</v>
      </c>
      <c r="L5637">
        <v>1</v>
      </c>
      <c r="M5637" s="94">
        <v>0</v>
      </c>
      <c r="N5637" t="s">
        <v>32</v>
      </c>
      <c r="O5637" t="s">
        <v>33</v>
      </c>
      <c r="P5637" t="s">
        <v>34</v>
      </c>
      <c r="Q5637" t="s">
        <v>34</v>
      </c>
      <c r="R5637" t="s">
        <v>34</v>
      </c>
      <c r="S5637" t="s">
        <v>34</v>
      </c>
      <c r="T5637" s="117">
        <v>0</v>
      </c>
    </row>
    <row r="5638" spans="1:20" x14ac:dyDescent="0.35">
      <c r="A5638" t="s">
        <v>19</v>
      </c>
      <c r="B5638" t="s">
        <v>21</v>
      </c>
      <c r="C5638" s="1">
        <v>45987</v>
      </c>
      <c r="D5638">
        <f t="shared" si="679"/>
        <v>26</v>
      </c>
      <c r="E5638">
        <f t="shared" si="680"/>
        <v>11</v>
      </c>
      <c r="F5638">
        <f t="shared" si="681"/>
        <v>2025</v>
      </c>
      <c r="G5638" t="s">
        <v>28</v>
      </c>
      <c r="H5638" s="121">
        <v>13714</v>
      </c>
      <c r="I5638" s="15">
        <v>6751.3</v>
      </c>
      <c r="J5638" s="12" t="s">
        <v>31</v>
      </c>
      <c r="K5638" s="76">
        <f t="shared" si="675"/>
        <v>6751.3</v>
      </c>
      <c r="L5638">
        <v>1</v>
      </c>
      <c r="M5638" s="94">
        <v>0</v>
      </c>
      <c r="N5638" t="s">
        <v>32</v>
      </c>
      <c r="O5638" t="s">
        <v>33</v>
      </c>
      <c r="P5638" t="s">
        <v>34</v>
      </c>
      <c r="Q5638" t="s">
        <v>34</v>
      </c>
      <c r="R5638" t="s">
        <v>34</v>
      </c>
      <c r="S5638" t="s">
        <v>34</v>
      </c>
      <c r="T5638" s="117">
        <v>0</v>
      </c>
    </row>
    <row r="5639" spans="1:20" x14ac:dyDescent="0.35">
      <c r="A5639" t="s">
        <v>19</v>
      </c>
      <c r="B5639" t="s">
        <v>21</v>
      </c>
      <c r="C5639" s="1">
        <v>45987</v>
      </c>
      <c r="D5639">
        <f t="shared" si="679"/>
        <v>26</v>
      </c>
      <c r="E5639">
        <f t="shared" si="680"/>
        <v>11</v>
      </c>
      <c r="F5639">
        <f t="shared" si="681"/>
        <v>2025</v>
      </c>
      <c r="G5639" t="s">
        <v>28</v>
      </c>
      <c r="H5639" s="121">
        <v>13716</v>
      </c>
      <c r="I5639" s="15">
        <v>109.95</v>
      </c>
      <c r="J5639" s="12" t="s">
        <v>31</v>
      </c>
      <c r="K5639" s="76">
        <f t="shared" si="675"/>
        <v>109.95</v>
      </c>
      <c r="L5639">
        <v>1</v>
      </c>
      <c r="M5639" s="94">
        <v>0</v>
      </c>
      <c r="N5639" t="s">
        <v>32</v>
      </c>
      <c r="O5639" t="s">
        <v>33</v>
      </c>
      <c r="P5639" t="s">
        <v>34</v>
      </c>
      <c r="Q5639" t="s">
        <v>34</v>
      </c>
      <c r="R5639" t="s">
        <v>34</v>
      </c>
      <c r="S5639" t="s">
        <v>34</v>
      </c>
      <c r="T5639" s="117">
        <v>0</v>
      </c>
    </row>
    <row r="5640" spans="1:20" x14ac:dyDescent="0.35">
      <c r="A5640" t="s">
        <v>19</v>
      </c>
      <c r="B5640" t="s">
        <v>21</v>
      </c>
      <c r="C5640" s="1">
        <v>45987</v>
      </c>
      <c r="D5640">
        <f t="shared" si="679"/>
        <v>26</v>
      </c>
      <c r="E5640">
        <f t="shared" si="680"/>
        <v>11</v>
      </c>
      <c r="F5640">
        <f t="shared" si="681"/>
        <v>2025</v>
      </c>
      <c r="G5640" t="s">
        <v>75</v>
      </c>
      <c r="H5640" s="121">
        <v>14011</v>
      </c>
      <c r="I5640" s="15">
        <v>95.16</v>
      </c>
      <c r="J5640" s="12" t="s">
        <v>31</v>
      </c>
      <c r="K5640" s="76">
        <f t="shared" si="675"/>
        <v>95.16</v>
      </c>
      <c r="L5640">
        <v>1</v>
      </c>
      <c r="M5640" s="94">
        <v>0</v>
      </c>
      <c r="N5640" t="s">
        <v>32</v>
      </c>
      <c r="O5640" t="s">
        <v>33</v>
      </c>
      <c r="P5640" t="s">
        <v>34</v>
      </c>
      <c r="Q5640" t="s">
        <v>34</v>
      </c>
      <c r="R5640" t="s">
        <v>34</v>
      </c>
      <c r="S5640" t="s">
        <v>34</v>
      </c>
      <c r="T5640" s="117">
        <v>0</v>
      </c>
    </row>
    <row r="5641" spans="1:20" x14ac:dyDescent="0.35">
      <c r="A5641" t="s">
        <v>19</v>
      </c>
      <c r="B5641" t="s">
        <v>21</v>
      </c>
      <c r="C5641" s="1">
        <v>45987</v>
      </c>
      <c r="D5641">
        <f t="shared" si="679"/>
        <v>26</v>
      </c>
      <c r="E5641">
        <f t="shared" si="680"/>
        <v>11</v>
      </c>
      <c r="F5641">
        <f t="shared" si="681"/>
        <v>2025</v>
      </c>
      <c r="G5641" t="s">
        <v>75</v>
      </c>
      <c r="H5641" s="121">
        <v>13699</v>
      </c>
      <c r="I5641" s="15">
        <v>105.42</v>
      </c>
      <c r="J5641" s="12" t="s">
        <v>31</v>
      </c>
      <c r="K5641" s="76">
        <f t="shared" si="675"/>
        <v>105.42</v>
      </c>
      <c r="L5641">
        <v>1</v>
      </c>
      <c r="M5641" s="94">
        <v>0</v>
      </c>
      <c r="N5641" t="s">
        <v>32</v>
      </c>
      <c r="O5641" t="s">
        <v>33</v>
      </c>
      <c r="P5641" t="s">
        <v>34</v>
      </c>
      <c r="Q5641" t="s">
        <v>34</v>
      </c>
      <c r="R5641" t="s">
        <v>34</v>
      </c>
      <c r="S5641" t="s">
        <v>34</v>
      </c>
      <c r="T5641" s="117">
        <v>0</v>
      </c>
    </row>
    <row r="5642" spans="1:20" x14ac:dyDescent="0.35">
      <c r="A5642" t="s">
        <v>19</v>
      </c>
      <c r="B5642" t="s">
        <v>21</v>
      </c>
      <c r="C5642" s="1">
        <v>45987</v>
      </c>
      <c r="D5642">
        <f t="shared" si="679"/>
        <v>26</v>
      </c>
      <c r="E5642">
        <f t="shared" si="680"/>
        <v>11</v>
      </c>
      <c r="F5642">
        <f t="shared" si="681"/>
        <v>2025</v>
      </c>
      <c r="G5642" t="s">
        <v>75</v>
      </c>
      <c r="H5642" s="121">
        <v>14014</v>
      </c>
      <c r="I5642" s="15">
        <v>51404.07</v>
      </c>
      <c r="J5642" s="12" t="s">
        <v>31</v>
      </c>
      <c r="K5642" s="76">
        <f t="shared" si="675"/>
        <v>51404.07</v>
      </c>
      <c r="L5642">
        <v>1</v>
      </c>
      <c r="M5642" s="94">
        <v>0</v>
      </c>
      <c r="N5642" t="s">
        <v>42</v>
      </c>
      <c r="O5642" t="s">
        <v>33</v>
      </c>
      <c r="P5642" t="s">
        <v>34</v>
      </c>
      <c r="Q5642" t="s">
        <v>34</v>
      </c>
      <c r="R5642" t="s">
        <v>34</v>
      </c>
      <c r="S5642" t="s">
        <v>34</v>
      </c>
      <c r="T5642" s="117">
        <v>0</v>
      </c>
    </row>
    <row r="5643" spans="1:20" x14ac:dyDescent="0.35">
      <c r="A5643" t="s">
        <v>19</v>
      </c>
      <c r="B5643" t="s">
        <v>24</v>
      </c>
      <c r="C5643" s="1">
        <v>45987</v>
      </c>
      <c r="D5643">
        <f t="shared" si="679"/>
        <v>26</v>
      </c>
      <c r="E5643">
        <f t="shared" si="680"/>
        <v>11</v>
      </c>
      <c r="F5643">
        <f t="shared" si="681"/>
        <v>2025</v>
      </c>
      <c r="G5643" t="s">
        <v>36</v>
      </c>
      <c r="H5643" s="121">
        <v>12507</v>
      </c>
      <c r="I5643" s="15">
        <v>25297.05</v>
      </c>
      <c r="J5643" s="12" t="s">
        <v>31</v>
      </c>
      <c r="K5643" s="76">
        <f t="shared" si="675"/>
        <v>25297.05</v>
      </c>
      <c r="L5643">
        <v>1</v>
      </c>
      <c r="M5643" s="94">
        <v>0</v>
      </c>
      <c r="N5643" t="s">
        <v>32</v>
      </c>
      <c r="O5643" t="s">
        <v>33</v>
      </c>
      <c r="P5643" t="s">
        <v>34</v>
      </c>
      <c r="Q5643" t="s">
        <v>34</v>
      </c>
      <c r="R5643" t="s">
        <v>34</v>
      </c>
      <c r="S5643" t="s">
        <v>34</v>
      </c>
      <c r="T5643" s="117">
        <v>0</v>
      </c>
    </row>
    <row r="5644" spans="1:20" x14ac:dyDescent="0.35">
      <c r="A5644" t="s">
        <v>19</v>
      </c>
      <c r="B5644" t="s">
        <v>25</v>
      </c>
      <c r="C5644" s="1">
        <v>45987</v>
      </c>
      <c r="D5644">
        <f t="shared" si="679"/>
        <v>26</v>
      </c>
      <c r="E5644">
        <f t="shared" si="680"/>
        <v>11</v>
      </c>
      <c r="F5644">
        <f t="shared" si="681"/>
        <v>2025</v>
      </c>
      <c r="G5644" t="s">
        <v>36</v>
      </c>
      <c r="H5644" s="121">
        <v>12507</v>
      </c>
      <c r="I5644" s="15">
        <v>23623.95</v>
      </c>
      <c r="J5644" s="12" t="s">
        <v>31</v>
      </c>
      <c r="K5644" s="76">
        <f t="shared" si="675"/>
        <v>23623.95</v>
      </c>
      <c r="L5644">
        <v>1</v>
      </c>
      <c r="M5644" s="94">
        <v>0</v>
      </c>
      <c r="N5644" t="s">
        <v>32</v>
      </c>
      <c r="O5644" t="s">
        <v>33</v>
      </c>
      <c r="P5644" t="s">
        <v>34</v>
      </c>
      <c r="Q5644" t="s">
        <v>34</v>
      </c>
      <c r="R5644" t="s">
        <v>34</v>
      </c>
      <c r="S5644" t="s">
        <v>34</v>
      </c>
      <c r="T5644" s="117">
        <v>0</v>
      </c>
    </row>
    <row r="5645" spans="1:20" x14ac:dyDescent="0.35">
      <c r="A5645" t="s">
        <v>19</v>
      </c>
      <c r="B5645" t="s">
        <v>21</v>
      </c>
      <c r="C5645" s="1">
        <v>45987</v>
      </c>
      <c r="D5645">
        <f t="shared" ref="D5645:D5647" si="682">DAY(C5645)</f>
        <v>26</v>
      </c>
      <c r="E5645">
        <f t="shared" ref="E5645:E5647" si="683">MONTH(C5645)</f>
        <v>11</v>
      </c>
      <c r="F5645">
        <f t="shared" ref="F5645:F5647" si="684">YEAR(C5645)</f>
        <v>2025</v>
      </c>
      <c r="G5645" t="s">
        <v>36</v>
      </c>
      <c r="H5645" s="121">
        <v>13773</v>
      </c>
      <c r="I5645" s="15">
        <v>15783.5</v>
      </c>
      <c r="J5645" s="12" t="s">
        <v>31</v>
      </c>
      <c r="K5645" s="76">
        <f t="shared" si="675"/>
        <v>15783.5</v>
      </c>
      <c r="L5645">
        <v>1</v>
      </c>
      <c r="M5645" s="94">
        <v>0</v>
      </c>
      <c r="N5645" t="s">
        <v>32</v>
      </c>
      <c r="O5645" t="s">
        <v>33</v>
      </c>
      <c r="P5645" t="s">
        <v>34</v>
      </c>
      <c r="Q5645" t="s">
        <v>34</v>
      </c>
      <c r="R5645" t="s">
        <v>34</v>
      </c>
      <c r="S5645" t="s">
        <v>34</v>
      </c>
      <c r="T5645" s="117">
        <v>0</v>
      </c>
    </row>
    <row r="5646" spans="1:20" x14ac:dyDescent="0.35">
      <c r="A5646" t="s">
        <v>19</v>
      </c>
      <c r="B5646" t="s">
        <v>25</v>
      </c>
      <c r="C5646" s="1">
        <v>45987</v>
      </c>
      <c r="D5646">
        <f t="shared" si="682"/>
        <v>26</v>
      </c>
      <c r="E5646">
        <f t="shared" si="683"/>
        <v>11</v>
      </c>
      <c r="F5646">
        <f t="shared" si="684"/>
        <v>2025</v>
      </c>
      <c r="G5646" t="s">
        <v>36</v>
      </c>
      <c r="H5646" s="121">
        <v>13834</v>
      </c>
      <c r="I5646" s="15">
        <v>47.25</v>
      </c>
      <c r="J5646" s="12" t="s">
        <v>31</v>
      </c>
      <c r="K5646" s="76">
        <f t="shared" si="675"/>
        <v>47.25</v>
      </c>
      <c r="L5646">
        <v>1</v>
      </c>
      <c r="M5646" s="94">
        <v>0</v>
      </c>
      <c r="N5646" t="s">
        <v>32</v>
      </c>
      <c r="O5646" t="s">
        <v>33</v>
      </c>
      <c r="P5646" t="s">
        <v>34</v>
      </c>
      <c r="Q5646" t="s">
        <v>34</v>
      </c>
      <c r="R5646" t="s">
        <v>34</v>
      </c>
      <c r="S5646" t="s">
        <v>34</v>
      </c>
      <c r="T5646" s="117">
        <v>0</v>
      </c>
    </row>
    <row r="5647" spans="1:20" x14ac:dyDescent="0.35">
      <c r="A5647" t="s">
        <v>19</v>
      </c>
      <c r="B5647" t="s">
        <v>25</v>
      </c>
      <c r="C5647" s="1">
        <v>45987</v>
      </c>
      <c r="D5647">
        <f t="shared" si="682"/>
        <v>26</v>
      </c>
      <c r="E5647">
        <f t="shared" si="683"/>
        <v>11</v>
      </c>
      <c r="F5647">
        <f t="shared" si="684"/>
        <v>2025</v>
      </c>
      <c r="G5647" t="s">
        <v>36</v>
      </c>
      <c r="H5647" s="121">
        <v>13836</v>
      </c>
      <c r="I5647" s="15">
        <v>23625</v>
      </c>
      <c r="J5647" s="12" t="s">
        <v>31</v>
      </c>
      <c r="K5647" s="76">
        <f t="shared" si="675"/>
        <v>23625</v>
      </c>
      <c r="L5647">
        <v>1</v>
      </c>
      <c r="M5647" s="94">
        <v>0</v>
      </c>
      <c r="N5647" t="s">
        <v>32</v>
      </c>
      <c r="O5647" t="s">
        <v>33</v>
      </c>
      <c r="P5647" t="s">
        <v>34</v>
      </c>
      <c r="Q5647" t="s">
        <v>34</v>
      </c>
      <c r="R5647" t="s">
        <v>34</v>
      </c>
      <c r="S5647" t="s">
        <v>34</v>
      </c>
      <c r="T5647" s="117">
        <v>0</v>
      </c>
    </row>
    <row r="5648" spans="1:20" x14ac:dyDescent="0.35">
      <c r="A5648" t="s">
        <v>19</v>
      </c>
      <c r="B5648" t="s">
        <v>25</v>
      </c>
      <c r="C5648" s="1">
        <v>45987</v>
      </c>
      <c r="D5648">
        <f>DAY(C5648)</f>
        <v>26</v>
      </c>
      <c r="E5648">
        <f>MONTH(C5648)</f>
        <v>11</v>
      </c>
      <c r="F5648">
        <f>YEAR(C5648)</f>
        <v>2025</v>
      </c>
      <c r="G5648" t="s">
        <v>980</v>
      </c>
      <c r="H5648" s="121">
        <v>13745</v>
      </c>
      <c r="I5648" s="15">
        <v>59211.6</v>
      </c>
      <c r="J5648" s="12" t="s">
        <v>51</v>
      </c>
      <c r="K5648" s="76">
        <f t="shared" si="675"/>
        <v>68673.613679999995</v>
      </c>
      <c r="L5648">
        <v>1.1597999999999999</v>
      </c>
      <c r="M5648" s="94">
        <v>0</v>
      </c>
      <c r="N5648" t="s">
        <v>32</v>
      </c>
      <c r="O5648" t="s">
        <v>33</v>
      </c>
      <c r="P5648" t="s">
        <v>34</v>
      </c>
      <c r="Q5648" t="s">
        <v>34</v>
      </c>
      <c r="R5648" t="s">
        <v>34</v>
      </c>
      <c r="S5648" t="s">
        <v>34</v>
      </c>
      <c r="T5648" s="117">
        <v>0</v>
      </c>
    </row>
    <row r="5649" spans="1:20" x14ac:dyDescent="0.35">
      <c r="A5649" t="s">
        <v>19</v>
      </c>
      <c r="B5649" t="s">
        <v>23</v>
      </c>
      <c r="C5649" s="1">
        <v>45987</v>
      </c>
      <c r="D5649">
        <f t="shared" ref="D5649:D5655" si="685">DAY(C5649)</f>
        <v>26</v>
      </c>
      <c r="E5649">
        <f t="shared" ref="E5649:E5655" si="686">MONTH(C5649)</f>
        <v>11</v>
      </c>
      <c r="F5649">
        <f t="shared" ref="F5649:F5655" si="687">YEAR(C5649)</f>
        <v>2025</v>
      </c>
      <c r="G5649" t="s">
        <v>979</v>
      </c>
      <c r="H5649" s="121">
        <v>14183</v>
      </c>
      <c r="I5649" s="15">
        <v>2784</v>
      </c>
      <c r="J5649" s="12" t="s">
        <v>31</v>
      </c>
      <c r="K5649" s="76">
        <f t="shared" si="675"/>
        <v>2784</v>
      </c>
      <c r="L5649">
        <v>1</v>
      </c>
      <c r="M5649" s="94">
        <v>0</v>
      </c>
      <c r="N5649" t="s">
        <v>42</v>
      </c>
      <c r="O5649" t="s">
        <v>33</v>
      </c>
      <c r="P5649" t="s">
        <v>34</v>
      </c>
      <c r="Q5649" t="s">
        <v>34</v>
      </c>
      <c r="R5649" t="s">
        <v>34</v>
      </c>
      <c r="S5649" t="s">
        <v>34</v>
      </c>
      <c r="T5649" s="117">
        <v>0</v>
      </c>
    </row>
    <row r="5650" spans="1:20" x14ac:dyDescent="0.35">
      <c r="A5650" t="s">
        <v>19</v>
      </c>
      <c r="B5650" t="s">
        <v>25</v>
      </c>
      <c r="C5650" s="1">
        <v>45987</v>
      </c>
      <c r="D5650">
        <f t="shared" si="685"/>
        <v>26</v>
      </c>
      <c r="E5650">
        <f t="shared" si="686"/>
        <v>11</v>
      </c>
      <c r="F5650">
        <f t="shared" si="687"/>
        <v>2025</v>
      </c>
      <c r="G5650" t="s">
        <v>80</v>
      </c>
      <c r="H5650" s="121">
        <v>14182</v>
      </c>
      <c r="I5650" s="15">
        <v>5370</v>
      </c>
      <c r="J5650" s="12" t="s">
        <v>31</v>
      </c>
      <c r="K5650" s="76">
        <f t="shared" si="675"/>
        <v>5370</v>
      </c>
      <c r="L5650">
        <v>1</v>
      </c>
      <c r="M5650" s="94">
        <v>0</v>
      </c>
      <c r="N5650" t="s">
        <v>42</v>
      </c>
      <c r="O5650" t="s">
        <v>33</v>
      </c>
      <c r="P5650" t="s">
        <v>34</v>
      </c>
      <c r="Q5650" t="s">
        <v>34</v>
      </c>
      <c r="R5650" t="s">
        <v>34</v>
      </c>
      <c r="S5650" t="s">
        <v>34</v>
      </c>
      <c r="T5650" s="117">
        <v>0</v>
      </c>
    </row>
    <row r="5651" spans="1:20" x14ac:dyDescent="0.35">
      <c r="A5651" t="s">
        <v>19</v>
      </c>
      <c r="B5651" t="s">
        <v>25</v>
      </c>
      <c r="C5651" s="1">
        <v>45987</v>
      </c>
      <c r="D5651">
        <f t="shared" si="685"/>
        <v>26</v>
      </c>
      <c r="E5651">
        <f t="shared" si="686"/>
        <v>11</v>
      </c>
      <c r="F5651">
        <f t="shared" si="687"/>
        <v>2025</v>
      </c>
      <c r="G5651" t="s">
        <v>80</v>
      </c>
      <c r="H5651" s="121">
        <v>14192</v>
      </c>
      <c r="I5651" s="15">
        <v>65753.11</v>
      </c>
      <c r="J5651" s="12" t="s">
        <v>31</v>
      </c>
      <c r="K5651" s="76">
        <f t="shared" si="675"/>
        <v>65753.11</v>
      </c>
      <c r="L5651">
        <v>1</v>
      </c>
      <c r="M5651" s="94">
        <v>0</v>
      </c>
      <c r="N5651" t="s">
        <v>42</v>
      </c>
      <c r="O5651" t="s">
        <v>33</v>
      </c>
      <c r="P5651" t="s">
        <v>34</v>
      </c>
      <c r="Q5651" t="s">
        <v>34</v>
      </c>
      <c r="R5651" t="s">
        <v>34</v>
      </c>
      <c r="S5651" t="s">
        <v>34</v>
      </c>
      <c r="T5651" s="117">
        <v>0</v>
      </c>
    </row>
    <row r="5652" spans="1:20" x14ac:dyDescent="0.35">
      <c r="A5652" t="s">
        <v>19</v>
      </c>
      <c r="B5652" t="s">
        <v>21</v>
      </c>
      <c r="C5652" s="1">
        <v>45987</v>
      </c>
      <c r="D5652">
        <f t="shared" si="685"/>
        <v>26</v>
      </c>
      <c r="E5652">
        <f t="shared" si="686"/>
        <v>11</v>
      </c>
      <c r="F5652">
        <f t="shared" si="687"/>
        <v>2025</v>
      </c>
      <c r="G5652" t="s">
        <v>333</v>
      </c>
      <c r="H5652" s="121">
        <v>14022</v>
      </c>
      <c r="I5652" s="15">
        <v>5337.5</v>
      </c>
      <c r="J5652" s="12" t="s">
        <v>31</v>
      </c>
      <c r="K5652" s="76">
        <f t="shared" ref="K5652:K5657" si="688">IF(J5652="USD",I5652,I5652*L5652)</f>
        <v>5337.5</v>
      </c>
      <c r="L5652">
        <v>1</v>
      </c>
      <c r="M5652" s="94">
        <v>0</v>
      </c>
      <c r="N5652" t="s">
        <v>32</v>
      </c>
      <c r="O5652" t="s">
        <v>33</v>
      </c>
      <c r="P5652" t="s">
        <v>34</v>
      </c>
      <c r="Q5652" t="s">
        <v>34</v>
      </c>
      <c r="R5652" t="s">
        <v>34</v>
      </c>
      <c r="S5652" t="s">
        <v>34</v>
      </c>
      <c r="T5652" s="117">
        <v>0</v>
      </c>
    </row>
    <row r="5653" spans="1:20" x14ac:dyDescent="0.35">
      <c r="A5653" t="s">
        <v>20</v>
      </c>
      <c r="B5653" t="s">
        <v>25</v>
      </c>
      <c r="C5653" s="1">
        <v>45987</v>
      </c>
      <c r="D5653">
        <f t="shared" si="685"/>
        <v>26</v>
      </c>
      <c r="E5653">
        <f t="shared" si="686"/>
        <v>11</v>
      </c>
      <c r="F5653">
        <f t="shared" si="687"/>
        <v>2025</v>
      </c>
      <c r="G5653" t="s">
        <v>118</v>
      </c>
      <c r="H5653" s="121">
        <v>13832</v>
      </c>
      <c r="I5653" s="15">
        <v>65</v>
      </c>
      <c r="J5653" s="12" t="s">
        <v>31</v>
      </c>
      <c r="K5653" s="76">
        <f t="shared" si="688"/>
        <v>65</v>
      </c>
      <c r="L5653">
        <v>1</v>
      </c>
      <c r="M5653" s="94">
        <v>0</v>
      </c>
      <c r="N5653" t="s">
        <v>32</v>
      </c>
      <c r="O5653" t="s">
        <v>33</v>
      </c>
      <c r="P5653" t="s">
        <v>34</v>
      </c>
      <c r="Q5653" t="s">
        <v>34</v>
      </c>
      <c r="R5653" t="s">
        <v>34</v>
      </c>
      <c r="S5653" t="s">
        <v>34</v>
      </c>
      <c r="T5653" s="117">
        <v>0</v>
      </c>
    </row>
    <row r="5654" spans="1:20" x14ac:dyDescent="0.35">
      <c r="A5654" t="s">
        <v>20</v>
      </c>
      <c r="B5654" t="s">
        <v>23</v>
      </c>
      <c r="C5654" s="1">
        <v>45987</v>
      </c>
      <c r="D5654">
        <f t="shared" si="685"/>
        <v>26</v>
      </c>
      <c r="E5654">
        <f t="shared" si="686"/>
        <v>11</v>
      </c>
      <c r="F5654">
        <f t="shared" si="687"/>
        <v>2025</v>
      </c>
      <c r="G5654" t="s">
        <v>183</v>
      </c>
      <c r="H5654" s="121">
        <v>13790</v>
      </c>
      <c r="I5654" s="15">
        <v>7708.5</v>
      </c>
      <c r="J5654" s="12" t="s">
        <v>31</v>
      </c>
      <c r="K5654" s="76">
        <f t="shared" si="688"/>
        <v>7708.5</v>
      </c>
      <c r="L5654">
        <v>1</v>
      </c>
      <c r="M5654" s="94">
        <v>0</v>
      </c>
      <c r="N5654" t="s">
        <v>32</v>
      </c>
      <c r="O5654" t="s">
        <v>33</v>
      </c>
      <c r="P5654" t="s">
        <v>34</v>
      </c>
      <c r="Q5654" t="s">
        <v>34</v>
      </c>
      <c r="R5654" t="s">
        <v>34</v>
      </c>
      <c r="S5654" t="s">
        <v>34</v>
      </c>
      <c r="T5654" s="117">
        <v>0</v>
      </c>
    </row>
    <row r="5655" spans="1:20" x14ac:dyDescent="0.35">
      <c r="A5655" t="s">
        <v>20</v>
      </c>
      <c r="B5655" t="s">
        <v>21</v>
      </c>
      <c r="C5655" s="1">
        <v>45987</v>
      </c>
      <c r="D5655">
        <f t="shared" si="685"/>
        <v>26</v>
      </c>
      <c r="E5655">
        <f t="shared" si="686"/>
        <v>11</v>
      </c>
      <c r="F5655">
        <f t="shared" si="687"/>
        <v>2025</v>
      </c>
      <c r="G5655" t="s">
        <v>1518</v>
      </c>
      <c r="H5655" s="121">
        <v>14158</v>
      </c>
      <c r="I5655" s="15">
        <v>28.8</v>
      </c>
      <c r="J5655" s="12" t="s">
        <v>31</v>
      </c>
      <c r="K5655" s="76">
        <f t="shared" si="688"/>
        <v>28.8</v>
      </c>
      <c r="L5655">
        <v>1</v>
      </c>
      <c r="M5655" s="94">
        <v>0</v>
      </c>
      <c r="N5655" t="s">
        <v>42</v>
      </c>
      <c r="O5655" t="s">
        <v>33</v>
      </c>
      <c r="P5655" t="s">
        <v>34</v>
      </c>
      <c r="Q5655" t="s">
        <v>34</v>
      </c>
      <c r="R5655" t="s">
        <v>34</v>
      </c>
      <c r="S5655" t="s">
        <v>34</v>
      </c>
      <c r="T5655" s="117">
        <v>0</v>
      </c>
    </row>
    <row r="5656" spans="1:20" x14ac:dyDescent="0.35">
      <c r="A5656" t="s">
        <v>20</v>
      </c>
      <c r="B5656" t="s">
        <v>21</v>
      </c>
      <c r="C5656" s="1">
        <v>45987</v>
      </c>
      <c r="D5656">
        <f>DAY(C5656)</f>
        <v>26</v>
      </c>
      <c r="E5656">
        <f>MONTH(C5656)</f>
        <v>11</v>
      </c>
      <c r="F5656">
        <f>YEAR(C5656)</f>
        <v>2025</v>
      </c>
      <c r="G5656" t="s">
        <v>1518</v>
      </c>
      <c r="H5656" s="121">
        <v>14159</v>
      </c>
      <c r="I5656" s="15">
        <v>394.56</v>
      </c>
      <c r="J5656" s="12" t="s">
        <v>31</v>
      </c>
      <c r="K5656" s="76">
        <f t="shared" si="688"/>
        <v>394.56</v>
      </c>
      <c r="L5656">
        <v>1</v>
      </c>
      <c r="M5656" s="94">
        <v>0</v>
      </c>
      <c r="N5656" t="s">
        <v>42</v>
      </c>
      <c r="O5656" t="s">
        <v>33</v>
      </c>
      <c r="P5656" t="s">
        <v>34</v>
      </c>
      <c r="Q5656" t="s">
        <v>34</v>
      </c>
      <c r="R5656" t="s">
        <v>34</v>
      </c>
      <c r="S5656" t="s">
        <v>34</v>
      </c>
      <c r="T5656" s="117">
        <v>0</v>
      </c>
    </row>
    <row r="5657" spans="1:20" x14ac:dyDescent="0.35">
      <c r="A5657" t="s">
        <v>20</v>
      </c>
      <c r="B5657" t="s">
        <v>21</v>
      </c>
      <c r="C5657" s="1">
        <v>45987</v>
      </c>
      <c r="D5657">
        <f>DAY(C5657)</f>
        <v>26</v>
      </c>
      <c r="E5657">
        <f>MONTH(C5657)</f>
        <v>11</v>
      </c>
      <c r="F5657">
        <f>YEAR(C5657)</f>
        <v>2025</v>
      </c>
      <c r="G5657" t="s">
        <v>273</v>
      </c>
      <c r="H5657" s="121">
        <v>13595</v>
      </c>
      <c r="I5657" s="15">
        <v>95.04</v>
      </c>
      <c r="J5657" s="12" t="s">
        <v>31</v>
      </c>
      <c r="K5657" s="76">
        <f t="shared" si="688"/>
        <v>95.04</v>
      </c>
      <c r="L5657">
        <v>1</v>
      </c>
      <c r="M5657" s="94">
        <v>0</v>
      </c>
      <c r="N5657" t="s">
        <v>32</v>
      </c>
      <c r="O5657" t="s">
        <v>33</v>
      </c>
      <c r="P5657" t="s">
        <v>34</v>
      </c>
      <c r="Q5657" t="s">
        <v>34</v>
      </c>
      <c r="R5657" t="s">
        <v>34</v>
      </c>
      <c r="S5657" t="s">
        <v>34</v>
      </c>
      <c r="T5657" s="117">
        <v>0</v>
      </c>
    </row>
    <row r="5658" spans="1:20" x14ac:dyDescent="0.35">
      <c r="A5658" t="s">
        <v>20</v>
      </c>
      <c r="B5658" t="s">
        <v>21</v>
      </c>
      <c r="C5658" s="1">
        <v>45987</v>
      </c>
      <c r="D5658">
        <f t="shared" ref="D5658:D5667" si="689">DAY(C5658)</f>
        <v>26</v>
      </c>
      <c r="E5658">
        <f t="shared" ref="E5658:E5667" si="690">MONTH(C5658)</f>
        <v>11</v>
      </c>
      <c r="F5658">
        <f t="shared" ref="F5658:F5667" si="691">YEAR(C5658)</f>
        <v>2025</v>
      </c>
      <c r="G5658" t="s">
        <v>300</v>
      </c>
      <c r="H5658" s="121">
        <v>14156</v>
      </c>
      <c r="I5658" s="15">
        <v>120</v>
      </c>
      <c r="J5658" s="12" t="s">
        <v>31</v>
      </c>
      <c r="K5658" s="76">
        <f t="shared" ref="K5658:K5666" si="692">IF(J5658="USD",I5658,I5658*L5658)</f>
        <v>120</v>
      </c>
      <c r="L5658">
        <v>1</v>
      </c>
      <c r="M5658" s="94">
        <v>0</v>
      </c>
      <c r="N5658" t="s">
        <v>42</v>
      </c>
      <c r="O5658" t="s">
        <v>33</v>
      </c>
      <c r="P5658" t="s">
        <v>34</v>
      </c>
      <c r="Q5658" t="s">
        <v>34</v>
      </c>
      <c r="R5658" t="s">
        <v>34</v>
      </c>
      <c r="S5658" t="s">
        <v>34</v>
      </c>
      <c r="T5658" s="117">
        <v>0</v>
      </c>
    </row>
    <row r="5659" spans="1:20" x14ac:dyDescent="0.35">
      <c r="A5659" t="s">
        <v>20</v>
      </c>
      <c r="B5659" t="s">
        <v>21</v>
      </c>
      <c r="C5659" s="1">
        <v>45987</v>
      </c>
      <c r="D5659">
        <f t="shared" si="689"/>
        <v>26</v>
      </c>
      <c r="E5659">
        <f t="shared" si="690"/>
        <v>11</v>
      </c>
      <c r="F5659">
        <f t="shared" si="691"/>
        <v>2025</v>
      </c>
      <c r="G5659" t="s">
        <v>300</v>
      </c>
      <c r="H5659" s="121">
        <v>14157</v>
      </c>
      <c r="I5659" s="15">
        <v>2712</v>
      </c>
      <c r="J5659" s="12" t="s">
        <v>31</v>
      </c>
      <c r="K5659" s="76">
        <f t="shared" si="692"/>
        <v>2712</v>
      </c>
      <c r="L5659">
        <v>1</v>
      </c>
      <c r="M5659" s="94">
        <v>0</v>
      </c>
      <c r="N5659" t="s">
        <v>42</v>
      </c>
      <c r="O5659" t="s">
        <v>33</v>
      </c>
      <c r="P5659" t="s">
        <v>34</v>
      </c>
      <c r="Q5659" t="s">
        <v>34</v>
      </c>
      <c r="R5659" t="s">
        <v>34</v>
      </c>
      <c r="S5659" t="s">
        <v>34</v>
      </c>
      <c r="T5659" s="117">
        <v>0</v>
      </c>
    </row>
    <row r="5660" spans="1:20" x14ac:dyDescent="0.35">
      <c r="A5660" t="s">
        <v>20</v>
      </c>
      <c r="B5660" t="s">
        <v>21</v>
      </c>
      <c r="C5660" s="1">
        <v>45987</v>
      </c>
      <c r="D5660">
        <f t="shared" si="689"/>
        <v>26</v>
      </c>
      <c r="E5660">
        <f t="shared" si="690"/>
        <v>11</v>
      </c>
      <c r="F5660">
        <f t="shared" si="691"/>
        <v>2025</v>
      </c>
      <c r="G5660" t="s">
        <v>300</v>
      </c>
      <c r="H5660" s="121">
        <v>14160</v>
      </c>
      <c r="I5660" s="15">
        <v>46</v>
      </c>
      <c r="J5660" s="12" t="s">
        <v>31</v>
      </c>
      <c r="K5660" s="76">
        <f t="shared" si="692"/>
        <v>46</v>
      </c>
      <c r="L5660">
        <v>1</v>
      </c>
      <c r="M5660" s="94">
        <v>0</v>
      </c>
      <c r="N5660" t="s">
        <v>42</v>
      </c>
      <c r="O5660" t="s">
        <v>33</v>
      </c>
      <c r="P5660" t="s">
        <v>34</v>
      </c>
      <c r="Q5660" t="s">
        <v>34</v>
      </c>
      <c r="R5660" t="s">
        <v>34</v>
      </c>
      <c r="S5660" t="s">
        <v>34</v>
      </c>
      <c r="T5660" s="117">
        <v>0</v>
      </c>
    </row>
    <row r="5661" spans="1:20" x14ac:dyDescent="0.35">
      <c r="A5661" t="s">
        <v>20</v>
      </c>
      <c r="B5661" t="s">
        <v>21</v>
      </c>
      <c r="C5661" s="1">
        <v>45987</v>
      </c>
      <c r="D5661">
        <f t="shared" si="689"/>
        <v>26</v>
      </c>
      <c r="E5661">
        <f t="shared" si="690"/>
        <v>11</v>
      </c>
      <c r="F5661">
        <f t="shared" si="691"/>
        <v>2025</v>
      </c>
      <c r="G5661" t="s">
        <v>300</v>
      </c>
      <c r="H5661" s="121">
        <v>14162</v>
      </c>
      <c r="I5661" s="15">
        <v>125.2</v>
      </c>
      <c r="J5661" s="12" t="s">
        <v>31</v>
      </c>
      <c r="K5661" s="76">
        <f t="shared" si="692"/>
        <v>125.2</v>
      </c>
      <c r="L5661">
        <v>1</v>
      </c>
      <c r="M5661" s="94">
        <v>0</v>
      </c>
      <c r="N5661" t="s">
        <v>42</v>
      </c>
      <c r="O5661" t="s">
        <v>33</v>
      </c>
      <c r="P5661" t="s">
        <v>34</v>
      </c>
      <c r="Q5661" t="s">
        <v>34</v>
      </c>
      <c r="R5661" t="s">
        <v>34</v>
      </c>
      <c r="S5661" t="s">
        <v>34</v>
      </c>
      <c r="T5661" s="117">
        <v>0</v>
      </c>
    </row>
    <row r="5662" spans="1:20" x14ac:dyDescent="0.35">
      <c r="A5662" t="s">
        <v>20</v>
      </c>
      <c r="B5662" t="s">
        <v>21</v>
      </c>
      <c r="C5662" s="1">
        <v>45987</v>
      </c>
      <c r="D5662">
        <f t="shared" si="689"/>
        <v>26</v>
      </c>
      <c r="E5662">
        <f t="shared" si="690"/>
        <v>11</v>
      </c>
      <c r="F5662">
        <f t="shared" si="691"/>
        <v>2025</v>
      </c>
      <c r="G5662" t="s">
        <v>300</v>
      </c>
      <c r="H5662" s="121">
        <v>14163</v>
      </c>
      <c r="I5662" s="15">
        <v>826.32</v>
      </c>
      <c r="J5662" s="12" t="s">
        <v>31</v>
      </c>
      <c r="K5662" s="76">
        <f t="shared" si="692"/>
        <v>826.32</v>
      </c>
      <c r="L5662">
        <v>1</v>
      </c>
      <c r="M5662" s="94">
        <v>0</v>
      </c>
      <c r="N5662" t="s">
        <v>42</v>
      </c>
      <c r="O5662" t="s">
        <v>33</v>
      </c>
      <c r="P5662" t="s">
        <v>34</v>
      </c>
      <c r="Q5662" t="s">
        <v>34</v>
      </c>
      <c r="R5662" t="s">
        <v>34</v>
      </c>
      <c r="S5662" t="s">
        <v>34</v>
      </c>
      <c r="T5662" s="117">
        <v>0</v>
      </c>
    </row>
    <row r="5663" spans="1:20" x14ac:dyDescent="0.35">
      <c r="A5663" t="s">
        <v>20</v>
      </c>
      <c r="B5663" t="s">
        <v>25</v>
      </c>
      <c r="C5663" s="1">
        <v>45987</v>
      </c>
      <c r="D5663">
        <f t="shared" si="689"/>
        <v>26</v>
      </c>
      <c r="E5663">
        <f t="shared" si="690"/>
        <v>11</v>
      </c>
      <c r="F5663">
        <f t="shared" si="691"/>
        <v>2025</v>
      </c>
      <c r="G5663" t="s">
        <v>174</v>
      </c>
      <c r="H5663" s="121">
        <v>13493</v>
      </c>
      <c r="I5663" s="15">
        <v>4331.41</v>
      </c>
      <c r="J5663" s="12" t="s">
        <v>31</v>
      </c>
      <c r="K5663" s="76">
        <f t="shared" si="692"/>
        <v>4331.41</v>
      </c>
      <c r="L5663">
        <v>1</v>
      </c>
      <c r="M5663" s="94">
        <v>0</v>
      </c>
      <c r="N5663" t="s">
        <v>32</v>
      </c>
      <c r="O5663" t="s">
        <v>33</v>
      </c>
      <c r="P5663" t="s">
        <v>34</v>
      </c>
      <c r="Q5663" t="s">
        <v>34</v>
      </c>
      <c r="R5663" t="s">
        <v>34</v>
      </c>
      <c r="S5663" t="s">
        <v>34</v>
      </c>
      <c r="T5663" s="117">
        <v>0</v>
      </c>
    </row>
    <row r="5664" spans="1:20" x14ac:dyDescent="0.35">
      <c r="A5664" t="s">
        <v>20</v>
      </c>
      <c r="B5664" t="s">
        <v>25</v>
      </c>
      <c r="C5664" s="1">
        <v>45987</v>
      </c>
      <c r="D5664">
        <f t="shared" si="689"/>
        <v>26</v>
      </c>
      <c r="E5664">
        <f t="shared" si="690"/>
        <v>11</v>
      </c>
      <c r="F5664">
        <f t="shared" si="691"/>
        <v>2025</v>
      </c>
      <c r="G5664" t="s">
        <v>1327</v>
      </c>
      <c r="H5664" s="121">
        <v>13783</v>
      </c>
      <c r="I5664" s="15">
        <v>15619.32</v>
      </c>
      <c r="J5664" s="12" t="s">
        <v>31</v>
      </c>
      <c r="K5664" s="76">
        <f t="shared" si="692"/>
        <v>15619.32</v>
      </c>
      <c r="L5664">
        <v>1</v>
      </c>
      <c r="M5664" s="94">
        <v>0</v>
      </c>
      <c r="N5664" t="s">
        <v>32</v>
      </c>
      <c r="O5664" t="s">
        <v>33</v>
      </c>
      <c r="P5664" t="s">
        <v>34</v>
      </c>
      <c r="Q5664" t="s">
        <v>34</v>
      </c>
      <c r="R5664" t="s">
        <v>34</v>
      </c>
      <c r="S5664" t="s">
        <v>34</v>
      </c>
      <c r="T5664" s="117">
        <v>0</v>
      </c>
    </row>
    <row r="5665" spans="1:20" x14ac:dyDescent="0.35">
      <c r="A5665" t="s">
        <v>20</v>
      </c>
      <c r="B5665" t="s">
        <v>24</v>
      </c>
      <c r="C5665" s="1">
        <v>45987</v>
      </c>
      <c r="D5665">
        <f t="shared" si="689"/>
        <v>26</v>
      </c>
      <c r="E5665">
        <f t="shared" si="690"/>
        <v>11</v>
      </c>
      <c r="F5665">
        <f t="shared" si="691"/>
        <v>2025</v>
      </c>
      <c r="G5665" t="s">
        <v>1327</v>
      </c>
      <c r="H5665" s="121">
        <v>13597</v>
      </c>
      <c r="I5665" s="15">
        <v>59.4</v>
      </c>
      <c r="J5665" s="12" t="s">
        <v>31</v>
      </c>
      <c r="K5665" s="76">
        <f t="shared" si="692"/>
        <v>59.4</v>
      </c>
      <c r="L5665">
        <v>1</v>
      </c>
      <c r="M5665" s="94">
        <v>0</v>
      </c>
      <c r="N5665" t="s">
        <v>32</v>
      </c>
      <c r="O5665" t="s">
        <v>33</v>
      </c>
      <c r="P5665" t="s">
        <v>34</v>
      </c>
      <c r="Q5665" t="s">
        <v>34</v>
      </c>
      <c r="R5665" t="s">
        <v>34</v>
      </c>
      <c r="S5665" t="s">
        <v>34</v>
      </c>
      <c r="T5665" s="117">
        <v>0</v>
      </c>
    </row>
    <row r="5666" spans="1:20" x14ac:dyDescent="0.35">
      <c r="A5666" t="s">
        <v>20</v>
      </c>
      <c r="B5666" t="s">
        <v>21</v>
      </c>
      <c r="C5666" s="1">
        <v>45987</v>
      </c>
      <c r="D5666">
        <f t="shared" si="689"/>
        <v>26</v>
      </c>
      <c r="E5666">
        <f t="shared" si="690"/>
        <v>11</v>
      </c>
      <c r="F5666">
        <f t="shared" si="691"/>
        <v>2025</v>
      </c>
      <c r="G5666" t="s">
        <v>1327</v>
      </c>
      <c r="H5666" s="121">
        <v>13597</v>
      </c>
      <c r="I5666" s="15">
        <v>125.6</v>
      </c>
      <c r="J5666" s="12" t="s">
        <v>31</v>
      </c>
      <c r="K5666" s="76">
        <f t="shared" si="692"/>
        <v>125.6</v>
      </c>
      <c r="L5666">
        <v>1</v>
      </c>
      <c r="M5666" s="94">
        <v>0</v>
      </c>
      <c r="N5666" t="s">
        <v>32</v>
      </c>
      <c r="O5666" t="s">
        <v>33</v>
      </c>
      <c r="P5666" t="s">
        <v>34</v>
      </c>
      <c r="Q5666" t="s">
        <v>34</v>
      </c>
      <c r="R5666" t="s">
        <v>34</v>
      </c>
      <c r="S5666" t="s">
        <v>34</v>
      </c>
      <c r="T5666" s="117">
        <v>0</v>
      </c>
    </row>
    <row r="5667" spans="1:20" x14ac:dyDescent="0.35">
      <c r="A5667" t="s">
        <v>20</v>
      </c>
      <c r="B5667" t="s">
        <v>23</v>
      </c>
      <c r="C5667" s="1">
        <v>45987</v>
      </c>
      <c r="D5667">
        <f t="shared" si="689"/>
        <v>26</v>
      </c>
      <c r="E5667">
        <f t="shared" si="690"/>
        <v>11</v>
      </c>
      <c r="F5667">
        <f t="shared" si="691"/>
        <v>2025</v>
      </c>
      <c r="G5667" t="s">
        <v>164</v>
      </c>
      <c r="H5667" s="121">
        <v>13322</v>
      </c>
      <c r="I5667" s="15">
        <v>296.51</v>
      </c>
      <c r="J5667" s="12" t="s">
        <v>31</v>
      </c>
      <c r="K5667" s="76">
        <f t="shared" ref="K5667:K5671" si="693">IF(J5667="USD",I5667,I5667*L5667)</f>
        <v>296.51</v>
      </c>
      <c r="L5667">
        <v>1</v>
      </c>
      <c r="M5667" s="94">
        <v>0</v>
      </c>
      <c r="N5667" t="s">
        <v>32</v>
      </c>
      <c r="O5667" t="s">
        <v>33</v>
      </c>
      <c r="P5667" t="s">
        <v>34</v>
      </c>
      <c r="Q5667" t="s">
        <v>34</v>
      </c>
      <c r="R5667" t="s">
        <v>34</v>
      </c>
      <c r="S5667" t="s">
        <v>34</v>
      </c>
      <c r="T5667" s="117">
        <v>0</v>
      </c>
    </row>
    <row r="5668" spans="1:20" x14ac:dyDescent="0.35">
      <c r="A5668" t="s">
        <v>20</v>
      </c>
      <c r="B5668" t="s">
        <v>23</v>
      </c>
      <c r="C5668" s="1">
        <v>45987</v>
      </c>
      <c r="D5668">
        <f>DAY(C5668)</f>
        <v>26</v>
      </c>
      <c r="E5668">
        <f>MONTH(C5668)</f>
        <v>11</v>
      </c>
      <c r="F5668">
        <f>YEAR(C5668)</f>
        <v>2025</v>
      </c>
      <c r="G5668" t="s">
        <v>164</v>
      </c>
      <c r="H5668" s="121">
        <v>13325</v>
      </c>
      <c r="I5668" s="15">
        <v>15306.47</v>
      </c>
      <c r="J5668" s="12" t="s">
        <v>31</v>
      </c>
      <c r="K5668" s="76">
        <f t="shared" si="693"/>
        <v>15306.47</v>
      </c>
      <c r="L5668">
        <v>1</v>
      </c>
      <c r="M5668" s="94">
        <v>0</v>
      </c>
      <c r="N5668" t="s">
        <v>32</v>
      </c>
      <c r="O5668" t="s">
        <v>33</v>
      </c>
      <c r="P5668" t="s">
        <v>34</v>
      </c>
      <c r="Q5668" t="s">
        <v>34</v>
      </c>
      <c r="R5668" t="s">
        <v>34</v>
      </c>
      <c r="S5668" t="s">
        <v>34</v>
      </c>
      <c r="T5668" s="117">
        <v>0</v>
      </c>
    </row>
    <row r="5669" spans="1:20" x14ac:dyDescent="0.35">
      <c r="A5669" t="s">
        <v>20</v>
      </c>
      <c r="B5669" t="s">
        <v>25</v>
      </c>
      <c r="C5669" s="1">
        <v>45987</v>
      </c>
      <c r="D5669">
        <f>DAY(C5669)</f>
        <v>26</v>
      </c>
      <c r="E5669">
        <f>MONTH(C5669)</f>
        <v>11</v>
      </c>
      <c r="F5669">
        <f>YEAR(C5669)</f>
        <v>2025</v>
      </c>
      <c r="G5669" t="s">
        <v>211</v>
      </c>
      <c r="H5669" s="121">
        <v>13990</v>
      </c>
      <c r="I5669" s="15">
        <v>106.4</v>
      </c>
      <c r="J5669" s="12" t="s">
        <v>31</v>
      </c>
      <c r="K5669" s="76">
        <f t="shared" si="693"/>
        <v>106.4</v>
      </c>
      <c r="L5669">
        <v>1</v>
      </c>
      <c r="M5669" s="94">
        <v>0</v>
      </c>
      <c r="N5669" t="s">
        <v>32</v>
      </c>
      <c r="O5669" t="s">
        <v>33</v>
      </c>
      <c r="P5669" t="s">
        <v>34</v>
      </c>
      <c r="Q5669" t="s">
        <v>34</v>
      </c>
      <c r="R5669" t="s">
        <v>34</v>
      </c>
      <c r="S5669" t="s">
        <v>34</v>
      </c>
      <c r="T5669" s="117">
        <v>0</v>
      </c>
    </row>
    <row r="5670" spans="1:20" x14ac:dyDescent="0.35">
      <c r="A5670" t="s">
        <v>20</v>
      </c>
      <c r="B5670" t="s">
        <v>21</v>
      </c>
      <c r="C5670" s="1">
        <v>45987</v>
      </c>
      <c r="D5670">
        <f t="shared" ref="D5670:D5672" si="694">DAY(C5670)</f>
        <v>26</v>
      </c>
      <c r="E5670">
        <f t="shared" ref="E5670:E5672" si="695">MONTH(C5670)</f>
        <v>11</v>
      </c>
      <c r="F5670">
        <f t="shared" ref="F5670:F5672" si="696">YEAR(C5670)</f>
        <v>2025</v>
      </c>
      <c r="G5670" t="s">
        <v>435</v>
      </c>
      <c r="H5670" s="121">
        <v>13563</v>
      </c>
      <c r="I5670" s="15">
        <v>183.4</v>
      </c>
      <c r="J5670" s="12" t="s">
        <v>31</v>
      </c>
      <c r="K5670" s="76">
        <f t="shared" si="693"/>
        <v>183.4</v>
      </c>
      <c r="L5670">
        <v>1</v>
      </c>
      <c r="M5670" s="94">
        <v>0</v>
      </c>
      <c r="N5670" t="s">
        <v>32</v>
      </c>
      <c r="O5670" t="s">
        <v>33</v>
      </c>
      <c r="P5670" t="s">
        <v>34</v>
      </c>
      <c r="Q5670" t="s">
        <v>34</v>
      </c>
      <c r="R5670" t="s">
        <v>34</v>
      </c>
      <c r="S5670" t="s">
        <v>34</v>
      </c>
      <c r="T5670" s="117">
        <v>0</v>
      </c>
    </row>
    <row r="5671" spans="1:20" x14ac:dyDescent="0.35">
      <c r="A5671" t="s">
        <v>20</v>
      </c>
      <c r="B5671" t="s">
        <v>25</v>
      </c>
      <c r="C5671" s="1">
        <v>45987</v>
      </c>
      <c r="D5671">
        <f t="shared" si="694"/>
        <v>26</v>
      </c>
      <c r="E5671">
        <f t="shared" si="695"/>
        <v>11</v>
      </c>
      <c r="F5671">
        <f t="shared" si="696"/>
        <v>2025</v>
      </c>
      <c r="G5671" t="s">
        <v>43</v>
      </c>
      <c r="H5671" s="121">
        <v>13473</v>
      </c>
      <c r="I5671" s="15">
        <v>30592.59</v>
      </c>
      <c r="J5671" s="12" t="s">
        <v>31</v>
      </c>
      <c r="K5671" s="76">
        <f t="shared" si="693"/>
        <v>30592.59</v>
      </c>
      <c r="L5671">
        <v>1</v>
      </c>
      <c r="M5671" s="94">
        <v>0</v>
      </c>
      <c r="N5671" t="s">
        <v>32</v>
      </c>
      <c r="O5671" t="s">
        <v>33</v>
      </c>
      <c r="P5671" t="s">
        <v>34</v>
      </c>
      <c r="Q5671" t="s">
        <v>34</v>
      </c>
      <c r="R5671" t="s">
        <v>34</v>
      </c>
      <c r="S5671" t="s">
        <v>34</v>
      </c>
      <c r="T5671" s="117">
        <v>0</v>
      </c>
    </row>
    <row r="5672" spans="1:20" x14ac:dyDescent="0.35">
      <c r="A5672" t="s">
        <v>20</v>
      </c>
      <c r="B5672" t="s">
        <v>25</v>
      </c>
      <c r="C5672" s="1">
        <v>45987</v>
      </c>
      <c r="D5672">
        <f t="shared" si="694"/>
        <v>26</v>
      </c>
      <c r="E5672">
        <f t="shared" si="695"/>
        <v>11</v>
      </c>
      <c r="F5672">
        <f t="shared" si="696"/>
        <v>2025</v>
      </c>
      <c r="G5672" t="s">
        <v>1189</v>
      </c>
      <c r="H5672" s="121">
        <v>14147</v>
      </c>
      <c r="I5672" s="15">
        <v>615</v>
      </c>
      <c r="J5672" s="12" t="s">
        <v>31</v>
      </c>
      <c r="K5672" s="76">
        <f t="shared" ref="K5672:K5679" si="697">IF(J5672="USD",I5672,I5672*L5672)</f>
        <v>615</v>
      </c>
      <c r="L5672">
        <v>1</v>
      </c>
      <c r="M5672" s="94">
        <v>0</v>
      </c>
      <c r="N5672" t="s">
        <v>42</v>
      </c>
      <c r="O5672" t="s">
        <v>33</v>
      </c>
      <c r="P5672" t="s">
        <v>34</v>
      </c>
      <c r="Q5672" t="s">
        <v>34</v>
      </c>
      <c r="R5672" t="s">
        <v>34</v>
      </c>
      <c r="S5672" t="s">
        <v>34</v>
      </c>
      <c r="T5672" s="117">
        <v>0</v>
      </c>
    </row>
    <row r="5673" spans="1:20" x14ac:dyDescent="0.35">
      <c r="A5673" t="s">
        <v>20</v>
      </c>
      <c r="B5673" t="s">
        <v>25</v>
      </c>
      <c r="C5673" s="1">
        <v>45987</v>
      </c>
      <c r="D5673">
        <f t="shared" ref="D5673:D5679" si="698">DAY(C5673)</f>
        <v>26</v>
      </c>
      <c r="E5673">
        <f t="shared" ref="E5673:E5679" si="699">MONTH(C5673)</f>
        <v>11</v>
      </c>
      <c r="F5673">
        <f t="shared" ref="F5673:F5679" si="700">YEAR(C5673)</f>
        <v>2025</v>
      </c>
      <c r="G5673" t="s">
        <v>1189</v>
      </c>
      <c r="H5673" s="121">
        <v>14148</v>
      </c>
      <c r="I5673" s="15">
        <v>6600</v>
      </c>
      <c r="J5673" s="12" t="s">
        <v>31</v>
      </c>
      <c r="K5673" s="76">
        <f t="shared" si="697"/>
        <v>6600</v>
      </c>
      <c r="L5673">
        <v>1</v>
      </c>
      <c r="M5673" s="94">
        <v>0</v>
      </c>
      <c r="N5673" t="s">
        <v>42</v>
      </c>
      <c r="O5673" t="s">
        <v>33</v>
      </c>
      <c r="P5673" t="s">
        <v>34</v>
      </c>
      <c r="Q5673" t="s">
        <v>34</v>
      </c>
      <c r="R5673" t="s">
        <v>34</v>
      </c>
      <c r="S5673" t="s">
        <v>34</v>
      </c>
      <c r="T5673" s="117">
        <v>0</v>
      </c>
    </row>
    <row r="5674" spans="1:20" x14ac:dyDescent="0.35">
      <c r="A5674" t="s">
        <v>20</v>
      </c>
      <c r="B5674" t="s">
        <v>25</v>
      </c>
      <c r="C5674" s="1">
        <v>45987</v>
      </c>
      <c r="D5674">
        <f t="shared" si="698"/>
        <v>26</v>
      </c>
      <c r="E5674">
        <f t="shared" si="699"/>
        <v>11</v>
      </c>
      <c r="F5674">
        <f t="shared" si="700"/>
        <v>2025</v>
      </c>
      <c r="G5674" t="s">
        <v>1189</v>
      </c>
      <c r="H5674" s="121">
        <v>14149</v>
      </c>
      <c r="I5674" s="15">
        <v>1400</v>
      </c>
      <c r="J5674" s="12" t="s">
        <v>31</v>
      </c>
      <c r="K5674" s="76">
        <f t="shared" si="697"/>
        <v>1400</v>
      </c>
      <c r="L5674">
        <v>1</v>
      </c>
      <c r="M5674" s="94">
        <v>0</v>
      </c>
      <c r="N5674" t="s">
        <v>42</v>
      </c>
      <c r="O5674" t="s">
        <v>33</v>
      </c>
      <c r="P5674" t="s">
        <v>34</v>
      </c>
      <c r="Q5674" t="s">
        <v>34</v>
      </c>
      <c r="R5674" t="s">
        <v>34</v>
      </c>
      <c r="S5674" t="s">
        <v>34</v>
      </c>
      <c r="T5674" s="117">
        <v>0</v>
      </c>
    </row>
    <row r="5675" spans="1:20" x14ac:dyDescent="0.35">
      <c r="A5675" t="s">
        <v>20</v>
      </c>
      <c r="B5675" t="s">
        <v>25</v>
      </c>
      <c r="C5675" s="1">
        <v>45987</v>
      </c>
      <c r="D5675">
        <f t="shared" si="698"/>
        <v>26</v>
      </c>
      <c r="E5675">
        <f t="shared" si="699"/>
        <v>11</v>
      </c>
      <c r="F5675">
        <f t="shared" si="700"/>
        <v>2025</v>
      </c>
      <c r="G5675" t="s">
        <v>1189</v>
      </c>
      <c r="H5675" s="121">
        <v>14150</v>
      </c>
      <c r="I5675" s="15">
        <v>5075</v>
      </c>
      <c r="J5675" s="12" t="s">
        <v>31</v>
      </c>
      <c r="K5675" s="76">
        <f t="shared" si="697"/>
        <v>5075</v>
      </c>
      <c r="L5675">
        <v>1</v>
      </c>
      <c r="M5675" s="94">
        <v>0</v>
      </c>
      <c r="N5675" t="s">
        <v>42</v>
      </c>
      <c r="O5675" t="s">
        <v>33</v>
      </c>
      <c r="P5675" t="s">
        <v>34</v>
      </c>
      <c r="Q5675" t="s">
        <v>34</v>
      </c>
      <c r="R5675" t="s">
        <v>34</v>
      </c>
      <c r="S5675" t="s">
        <v>34</v>
      </c>
      <c r="T5675" s="117">
        <v>0</v>
      </c>
    </row>
    <row r="5676" spans="1:20" x14ac:dyDescent="0.35">
      <c r="A5676" t="s">
        <v>20</v>
      </c>
      <c r="B5676" t="s">
        <v>25</v>
      </c>
      <c r="C5676" s="1">
        <v>45987</v>
      </c>
      <c r="D5676">
        <f t="shared" si="698"/>
        <v>26</v>
      </c>
      <c r="E5676">
        <f t="shared" si="699"/>
        <v>11</v>
      </c>
      <c r="F5676">
        <f t="shared" si="700"/>
        <v>2025</v>
      </c>
      <c r="G5676" t="s">
        <v>1189</v>
      </c>
      <c r="H5676" s="121">
        <v>14151</v>
      </c>
      <c r="I5676" s="15">
        <v>4480</v>
      </c>
      <c r="J5676" s="12" t="s">
        <v>31</v>
      </c>
      <c r="K5676" s="76">
        <f t="shared" si="697"/>
        <v>4480</v>
      </c>
      <c r="L5676">
        <v>1</v>
      </c>
      <c r="M5676" s="94">
        <v>0</v>
      </c>
      <c r="N5676" t="s">
        <v>42</v>
      </c>
      <c r="O5676" t="s">
        <v>33</v>
      </c>
      <c r="P5676" t="s">
        <v>34</v>
      </c>
      <c r="Q5676" t="s">
        <v>34</v>
      </c>
      <c r="R5676" t="s">
        <v>34</v>
      </c>
      <c r="S5676" t="s">
        <v>34</v>
      </c>
      <c r="T5676" s="117">
        <v>0</v>
      </c>
    </row>
    <row r="5677" spans="1:20" x14ac:dyDescent="0.35">
      <c r="A5677" t="s">
        <v>20</v>
      </c>
      <c r="B5677" t="s">
        <v>25</v>
      </c>
      <c r="C5677" s="1">
        <v>45987</v>
      </c>
      <c r="D5677">
        <f t="shared" si="698"/>
        <v>26</v>
      </c>
      <c r="E5677">
        <f t="shared" si="699"/>
        <v>11</v>
      </c>
      <c r="F5677">
        <f t="shared" si="700"/>
        <v>2025</v>
      </c>
      <c r="G5677" t="s">
        <v>1189</v>
      </c>
      <c r="H5677" s="121">
        <v>14152</v>
      </c>
      <c r="I5677" s="15">
        <v>3165</v>
      </c>
      <c r="J5677" s="12" t="s">
        <v>31</v>
      </c>
      <c r="K5677" s="76">
        <f t="shared" si="697"/>
        <v>3165</v>
      </c>
      <c r="L5677">
        <v>1</v>
      </c>
      <c r="M5677" s="94">
        <v>0</v>
      </c>
      <c r="N5677" t="s">
        <v>42</v>
      </c>
      <c r="O5677" t="s">
        <v>33</v>
      </c>
      <c r="P5677" t="s">
        <v>34</v>
      </c>
      <c r="Q5677" t="s">
        <v>34</v>
      </c>
      <c r="R5677" t="s">
        <v>34</v>
      </c>
      <c r="S5677" t="s">
        <v>34</v>
      </c>
      <c r="T5677" s="117">
        <v>0</v>
      </c>
    </row>
    <row r="5678" spans="1:20" x14ac:dyDescent="0.35">
      <c r="A5678" t="s">
        <v>20</v>
      </c>
      <c r="B5678" t="s">
        <v>21</v>
      </c>
      <c r="C5678" s="1">
        <v>45987</v>
      </c>
      <c r="D5678">
        <f t="shared" si="698"/>
        <v>26</v>
      </c>
      <c r="E5678">
        <f t="shared" si="699"/>
        <v>11</v>
      </c>
      <c r="F5678">
        <f t="shared" si="700"/>
        <v>2025</v>
      </c>
      <c r="G5678" t="s">
        <v>1189</v>
      </c>
      <c r="H5678" s="121">
        <v>14153</v>
      </c>
      <c r="I5678" s="15">
        <v>244</v>
      </c>
      <c r="J5678" s="12" t="s">
        <v>31</v>
      </c>
      <c r="K5678" s="76">
        <f t="shared" si="697"/>
        <v>244</v>
      </c>
      <c r="L5678">
        <v>1</v>
      </c>
      <c r="M5678" s="94">
        <v>0</v>
      </c>
      <c r="N5678" t="s">
        <v>42</v>
      </c>
      <c r="O5678" t="s">
        <v>33</v>
      </c>
      <c r="P5678" t="s">
        <v>34</v>
      </c>
      <c r="Q5678" t="s">
        <v>34</v>
      </c>
      <c r="R5678" t="s">
        <v>34</v>
      </c>
      <c r="S5678" t="s">
        <v>34</v>
      </c>
      <c r="T5678" s="117">
        <v>0</v>
      </c>
    </row>
    <row r="5679" spans="1:20" x14ac:dyDescent="0.35">
      <c r="A5679" t="s">
        <v>20</v>
      </c>
      <c r="B5679" t="s">
        <v>21</v>
      </c>
      <c r="C5679" s="1">
        <v>45987</v>
      </c>
      <c r="D5679">
        <f t="shared" si="698"/>
        <v>26</v>
      </c>
      <c r="E5679">
        <f t="shared" si="699"/>
        <v>11</v>
      </c>
      <c r="F5679">
        <f t="shared" si="700"/>
        <v>2025</v>
      </c>
      <c r="G5679" t="s">
        <v>1189</v>
      </c>
      <c r="H5679" s="121">
        <v>14154</v>
      </c>
      <c r="I5679" s="15">
        <v>4673.21</v>
      </c>
      <c r="J5679" s="12" t="s">
        <v>31</v>
      </c>
      <c r="K5679" s="76">
        <f t="shared" si="697"/>
        <v>4673.21</v>
      </c>
      <c r="L5679">
        <v>1</v>
      </c>
      <c r="M5679" s="94">
        <v>0</v>
      </c>
      <c r="N5679" t="s">
        <v>42</v>
      </c>
      <c r="O5679" t="s">
        <v>33</v>
      </c>
      <c r="P5679" t="s">
        <v>34</v>
      </c>
      <c r="Q5679" t="s">
        <v>34</v>
      </c>
      <c r="R5679" t="s">
        <v>34</v>
      </c>
      <c r="S5679" t="s">
        <v>34</v>
      </c>
      <c r="T5679" s="117">
        <v>0</v>
      </c>
    </row>
    <row r="5680" spans="1:20" x14ac:dyDescent="0.35">
      <c r="A5680" t="s">
        <v>20</v>
      </c>
      <c r="B5680" t="s">
        <v>23</v>
      </c>
      <c r="C5680" s="1">
        <v>45987</v>
      </c>
      <c r="D5680">
        <f t="shared" ref="D5680:D5684" si="701">DAY(C5680)</f>
        <v>26</v>
      </c>
      <c r="E5680">
        <f t="shared" ref="E5680:E5684" si="702">MONTH(C5680)</f>
        <v>11</v>
      </c>
      <c r="F5680">
        <f t="shared" ref="F5680:F5684" si="703">YEAR(C5680)</f>
        <v>2025</v>
      </c>
      <c r="G5680" t="s">
        <v>46</v>
      </c>
      <c r="H5680" s="121">
        <v>13623</v>
      </c>
      <c r="I5680" s="15">
        <v>1745.37</v>
      </c>
      <c r="J5680" s="12" t="s">
        <v>31</v>
      </c>
      <c r="K5680" s="76">
        <f t="shared" ref="K5680:K5684" si="704">IF(J5680="USD",I5680,I5680*L5680)</f>
        <v>1745.37</v>
      </c>
      <c r="L5680">
        <v>1</v>
      </c>
      <c r="M5680" s="94">
        <v>0</v>
      </c>
      <c r="N5680" t="s">
        <v>32</v>
      </c>
      <c r="O5680" t="s">
        <v>33</v>
      </c>
      <c r="P5680" t="s">
        <v>34</v>
      </c>
      <c r="Q5680" t="s">
        <v>34</v>
      </c>
      <c r="R5680" t="s">
        <v>34</v>
      </c>
      <c r="S5680" t="s">
        <v>34</v>
      </c>
      <c r="T5680" s="117">
        <v>0</v>
      </c>
    </row>
    <row r="5681" spans="1:21" x14ac:dyDescent="0.35">
      <c r="A5681" t="s">
        <v>20</v>
      </c>
      <c r="B5681" t="s">
        <v>23</v>
      </c>
      <c r="C5681" s="1">
        <v>45987</v>
      </c>
      <c r="D5681">
        <f t="shared" si="701"/>
        <v>26</v>
      </c>
      <c r="E5681">
        <f t="shared" si="702"/>
        <v>11</v>
      </c>
      <c r="F5681">
        <f t="shared" si="703"/>
        <v>2025</v>
      </c>
      <c r="G5681" t="s">
        <v>46</v>
      </c>
      <c r="H5681" s="121">
        <v>13477</v>
      </c>
      <c r="I5681" s="15">
        <v>7300.1</v>
      </c>
      <c r="J5681" s="12" t="s">
        <v>31</v>
      </c>
      <c r="K5681" s="76">
        <f t="shared" si="704"/>
        <v>7300.1</v>
      </c>
      <c r="L5681">
        <v>1</v>
      </c>
      <c r="M5681" s="94">
        <v>0</v>
      </c>
      <c r="N5681" t="s">
        <v>32</v>
      </c>
      <c r="O5681" t="s">
        <v>33</v>
      </c>
      <c r="P5681" t="s">
        <v>34</v>
      </c>
      <c r="Q5681" t="s">
        <v>34</v>
      </c>
      <c r="R5681" t="s">
        <v>34</v>
      </c>
      <c r="S5681" t="s">
        <v>34</v>
      </c>
      <c r="T5681" s="117">
        <v>0</v>
      </c>
    </row>
    <row r="5682" spans="1:21" x14ac:dyDescent="0.35">
      <c r="A5682" t="s">
        <v>20</v>
      </c>
      <c r="B5682" t="s">
        <v>25</v>
      </c>
      <c r="C5682" s="1">
        <v>45987</v>
      </c>
      <c r="D5682">
        <f t="shared" si="701"/>
        <v>26</v>
      </c>
      <c r="E5682">
        <f t="shared" si="702"/>
        <v>11</v>
      </c>
      <c r="F5682">
        <f t="shared" si="703"/>
        <v>2025</v>
      </c>
      <c r="G5682" t="s">
        <v>46</v>
      </c>
      <c r="H5682" s="121">
        <v>13477</v>
      </c>
      <c r="I5682" s="15">
        <v>1679.3</v>
      </c>
      <c r="J5682" s="12" t="s">
        <v>31</v>
      </c>
      <c r="K5682" s="76">
        <f t="shared" si="704"/>
        <v>1679.3</v>
      </c>
      <c r="L5682">
        <v>1</v>
      </c>
      <c r="M5682" s="94">
        <v>0</v>
      </c>
      <c r="N5682" t="s">
        <v>32</v>
      </c>
      <c r="O5682" t="s">
        <v>33</v>
      </c>
      <c r="P5682" t="s">
        <v>34</v>
      </c>
      <c r="Q5682" t="s">
        <v>34</v>
      </c>
      <c r="R5682" t="s">
        <v>34</v>
      </c>
      <c r="S5682" t="s">
        <v>34</v>
      </c>
      <c r="T5682" s="117">
        <v>0</v>
      </c>
    </row>
    <row r="5683" spans="1:21" x14ac:dyDescent="0.35">
      <c r="A5683" t="s">
        <v>20</v>
      </c>
      <c r="B5683" t="s">
        <v>23</v>
      </c>
      <c r="C5683" s="1">
        <v>45987</v>
      </c>
      <c r="D5683">
        <f t="shared" si="701"/>
        <v>26</v>
      </c>
      <c r="E5683">
        <f t="shared" si="702"/>
        <v>11</v>
      </c>
      <c r="F5683">
        <f t="shared" si="703"/>
        <v>2025</v>
      </c>
      <c r="G5683" t="s">
        <v>46</v>
      </c>
      <c r="H5683" s="121">
        <v>14179</v>
      </c>
      <c r="I5683" s="15">
        <v>117.5</v>
      </c>
      <c r="J5683" s="12" t="s">
        <v>31</v>
      </c>
      <c r="K5683" s="76">
        <f t="shared" si="704"/>
        <v>117.5</v>
      </c>
      <c r="L5683">
        <v>1</v>
      </c>
      <c r="M5683" s="94">
        <v>0</v>
      </c>
      <c r="N5683" t="s">
        <v>42</v>
      </c>
      <c r="O5683" t="s">
        <v>33</v>
      </c>
      <c r="P5683" t="s">
        <v>34</v>
      </c>
      <c r="Q5683" t="s">
        <v>34</v>
      </c>
      <c r="R5683" t="s">
        <v>34</v>
      </c>
      <c r="S5683" t="s">
        <v>34</v>
      </c>
      <c r="T5683" s="117">
        <v>0</v>
      </c>
    </row>
    <row r="5684" spans="1:21" x14ac:dyDescent="0.35">
      <c r="A5684" t="s">
        <v>20</v>
      </c>
      <c r="B5684" t="s">
        <v>23</v>
      </c>
      <c r="C5684" s="1">
        <v>45987</v>
      </c>
      <c r="D5684">
        <f t="shared" si="701"/>
        <v>26</v>
      </c>
      <c r="E5684">
        <f t="shared" si="702"/>
        <v>11</v>
      </c>
      <c r="F5684">
        <f t="shared" si="703"/>
        <v>2025</v>
      </c>
      <c r="G5684" t="s">
        <v>46</v>
      </c>
      <c r="H5684" s="121">
        <v>14180</v>
      </c>
      <c r="I5684" s="15">
        <v>3534</v>
      </c>
      <c r="J5684" s="12" t="s">
        <v>31</v>
      </c>
      <c r="K5684" s="76">
        <f t="shared" si="704"/>
        <v>3534</v>
      </c>
      <c r="L5684">
        <v>1</v>
      </c>
      <c r="M5684" s="94">
        <v>0</v>
      </c>
      <c r="N5684" t="s">
        <v>42</v>
      </c>
      <c r="O5684" t="s">
        <v>33</v>
      </c>
      <c r="P5684" t="s">
        <v>34</v>
      </c>
      <c r="Q5684" t="s">
        <v>34</v>
      </c>
      <c r="R5684" t="s">
        <v>34</v>
      </c>
      <c r="S5684" t="s">
        <v>34</v>
      </c>
      <c r="T5684" s="117">
        <v>0</v>
      </c>
    </row>
    <row r="5685" spans="1:21" x14ac:dyDescent="0.35">
      <c r="A5685" t="s">
        <v>19</v>
      </c>
      <c r="B5685" t="s">
        <v>26</v>
      </c>
      <c r="C5685" s="1">
        <v>45987</v>
      </c>
      <c r="D5685">
        <f t="shared" ref="D5685:D5687" si="705">DAY(C5685)</f>
        <v>26</v>
      </c>
      <c r="E5685">
        <f t="shared" ref="E5685:E5687" si="706">MONTH(C5685)</f>
        <v>11</v>
      </c>
      <c r="F5685">
        <f t="shared" ref="F5685:F5687" si="707">YEAR(C5685)</f>
        <v>2025</v>
      </c>
      <c r="G5685" t="s">
        <v>73</v>
      </c>
      <c r="H5685" s="121">
        <v>14126</v>
      </c>
      <c r="I5685" s="15">
        <v>94512.04</v>
      </c>
      <c r="J5685" s="12" t="s">
        <v>51</v>
      </c>
      <c r="K5685" s="76">
        <f t="shared" ref="K5685:K5748" si="708">IF(J5685="USD",I5685,I5685*L5685)</f>
        <v>109633.96639999999</v>
      </c>
      <c r="L5685">
        <v>1.1599999999999999</v>
      </c>
      <c r="M5685" s="94">
        <v>0</v>
      </c>
      <c r="N5685" t="s">
        <v>32</v>
      </c>
      <c r="O5685" t="s">
        <v>33</v>
      </c>
      <c r="P5685" t="s">
        <v>34</v>
      </c>
      <c r="Q5685" t="s">
        <v>34</v>
      </c>
      <c r="R5685" t="s">
        <v>34</v>
      </c>
      <c r="S5685" t="s">
        <v>34</v>
      </c>
      <c r="T5685" s="117">
        <v>0</v>
      </c>
      <c r="U5685" s="209" t="s">
        <v>94</v>
      </c>
    </row>
    <row r="5686" spans="1:21" x14ac:dyDescent="0.35">
      <c r="A5686" t="s">
        <v>19</v>
      </c>
      <c r="B5686" t="s">
        <v>26</v>
      </c>
      <c r="C5686" s="1">
        <v>45987</v>
      </c>
      <c r="D5686">
        <f t="shared" si="705"/>
        <v>26</v>
      </c>
      <c r="E5686">
        <f t="shared" si="706"/>
        <v>11</v>
      </c>
      <c r="F5686">
        <f t="shared" si="707"/>
        <v>2025</v>
      </c>
      <c r="G5686" t="s">
        <v>73</v>
      </c>
      <c r="H5686" s="121">
        <v>14166</v>
      </c>
      <c r="I5686" s="15">
        <v>74864.490000000005</v>
      </c>
      <c r="J5686" s="12" t="s">
        <v>51</v>
      </c>
      <c r="K5686" s="76">
        <f t="shared" si="708"/>
        <v>86842.808399999994</v>
      </c>
      <c r="L5686">
        <v>1.1599999999999999</v>
      </c>
      <c r="M5686" s="94">
        <v>0</v>
      </c>
      <c r="N5686" t="s">
        <v>32</v>
      </c>
      <c r="O5686" t="s">
        <v>33</v>
      </c>
      <c r="P5686" t="s">
        <v>34</v>
      </c>
      <c r="Q5686" t="s">
        <v>34</v>
      </c>
      <c r="R5686" t="s">
        <v>34</v>
      </c>
      <c r="S5686" t="s">
        <v>34</v>
      </c>
      <c r="T5686" s="117">
        <v>0</v>
      </c>
      <c r="U5686" s="209" t="s">
        <v>94</v>
      </c>
    </row>
    <row r="5687" spans="1:21" x14ac:dyDescent="0.35">
      <c r="A5687" t="s">
        <v>19</v>
      </c>
      <c r="B5687" t="s">
        <v>26</v>
      </c>
      <c r="C5687" s="1">
        <v>45987</v>
      </c>
      <c r="D5687">
        <f t="shared" si="705"/>
        <v>26</v>
      </c>
      <c r="E5687">
        <f t="shared" si="706"/>
        <v>11</v>
      </c>
      <c r="F5687">
        <f t="shared" si="707"/>
        <v>2025</v>
      </c>
      <c r="G5687" t="s">
        <v>73</v>
      </c>
      <c r="H5687" s="121">
        <v>14167</v>
      </c>
      <c r="I5687" s="15">
        <v>46175.17</v>
      </c>
      <c r="J5687" s="12" t="s">
        <v>51</v>
      </c>
      <c r="K5687" s="76">
        <f t="shared" si="708"/>
        <v>53563.197199999995</v>
      </c>
      <c r="L5687">
        <v>1.1599999999999999</v>
      </c>
      <c r="M5687" s="94">
        <v>0</v>
      </c>
      <c r="N5687" t="s">
        <v>32</v>
      </c>
      <c r="O5687" t="s">
        <v>33</v>
      </c>
      <c r="P5687" t="s">
        <v>34</v>
      </c>
      <c r="Q5687" t="s">
        <v>34</v>
      </c>
      <c r="R5687" t="s">
        <v>34</v>
      </c>
      <c r="S5687" t="s">
        <v>34</v>
      </c>
      <c r="T5687" s="117">
        <v>0</v>
      </c>
      <c r="U5687" s="209" t="s">
        <v>94</v>
      </c>
    </row>
    <row r="5688" spans="1:21" x14ac:dyDescent="0.35">
      <c r="A5688" t="s">
        <v>19</v>
      </c>
      <c r="B5688" t="s">
        <v>23</v>
      </c>
      <c r="C5688" s="1">
        <v>45987</v>
      </c>
      <c r="D5688">
        <f>DAY(C5688)</f>
        <v>26</v>
      </c>
      <c r="E5688">
        <f>MONTH(C5688)</f>
        <v>11</v>
      </c>
      <c r="F5688">
        <f>YEAR(C5688)</f>
        <v>2025</v>
      </c>
      <c r="G5688" t="s">
        <v>1519</v>
      </c>
      <c r="H5688" s="121">
        <v>14090</v>
      </c>
      <c r="I5688" s="15">
        <v>4450</v>
      </c>
      <c r="J5688" s="12" t="s">
        <v>31</v>
      </c>
      <c r="K5688" s="76">
        <f t="shared" si="708"/>
        <v>4450</v>
      </c>
      <c r="L5688">
        <v>1</v>
      </c>
      <c r="M5688" s="94">
        <v>0</v>
      </c>
      <c r="N5688" t="s">
        <v>32</v>
      </c>
      <c r="O5688" t="s">
        <v>33</v>
      </c>
      <c r="P5688" t="s">
        <v>34</v>
      </c>
      <c r="Q5688" t="s">
        <v>34</v>
      </c>
      <c r="R5688" t="s">
        <v>34</v>
      </c>
      <c r="S5688" t="s">
        <v>34</v>
      </c>
      <c r="T5688" s="117">
        <v>0</v>
      </c>
    </row>
    <row r="5689" spans="1:21" x14ac:dyDescent="0.35">
      <c r="A5689" t="s">
        <v>19</v>
      </c>
      <c r="B5689" t="s">
        <v>19</v>
      </c>
      <c r="C5689" s="1">
        <v>45987</v>
      </c>
      <c r="D5689">
        <f>DAY(C5689)</f>
        <v>26</v>
      </c>
      <c r="E5689">
        <f>MONTH(C5689)</f>
        <v>11</v>
      </c>
      <c r="F5689">
        <f>YEAR(C5689)</f>
        <v>2025</v>
      </c>
      <c r="G5689" t="s">
        <v>56</v>
      </c>
      <c r="H5689" s="121" t="s">
        <v>1520</v>
      </c>
      <c r="I5689" s="15">
        <v>188943.99</v>
      </c>
      <c r="J5689" s="12" t="s">
        <v>31</v>
      </c>
      <c r="K5689" s="76">
        <f t="shared" si="708"/>
        <v>188943.99</v>
      </c>
      <c r="L5689">
        <v>1</v>
      </c>
      <c r="M5689" s="94">
        <v>0</v>
      </c>
      <c r="N5689" t="s">
        <v>32</v>
      </c>
      <c r="O5689" t="s">
        <v>33</v>
      </c>
      <c r="P5689" t="s">
        <v>34</v>
      </c>
      <c r="Q5689" t="s">
        <v>34</v>
      </c>
      <c r="R5689" t="s">
        <v>34</v>
      </c>
      <c r="S5689" t="s">
        <v>34</v>
      </c>
      <c r="T5689" s="117">
        <v>0</v>
      </c>
    </row>
    <row r="5690" spans="1:21" x14ac:dyDescent="0.35">
      <c r="A5690" t="s">
        <v>19</v>
      </c>
      <c r="B5690" t="s">
        <v>19</v>
      </c>
      <c r="C5690" s="1">
        <v>45987</v>
      </c>
      <c r="D5690">
        <f t="shared" ref="D5690:D5701" si="709">DAY(C5690)</f>
        <v>26</v>
      </c>
      <c r="E5690">
        <f t="shared" ref="E5690:E5701" si="710">MONTH(C5690)</f>
        <v>11</v>
      </c>
      <c r="F5690">
        <f t="shared" ref="F5690:F5701" si="711">YEAR(C5690)</f>
        <v>2025</v>
      </c>
      <c r="G5690" t="s">
        <v>56</v>
      </c>
      <c r="H5690" s="121" t="s">
        <v>1521</v>
      </c>
      <c r="I5690" s="15">
        <v>185301.01</v>
      </c>
      <c r="J5690" s="12" t="s">
        <v>31</v>
      </c>
      <c r="K5690" s="76">
        <f t="shared" si="708"/>
        <v>185301.01</v>
      </c>
      <c r="L5690">
        <v>1</v>
      </c>
      <c r="M5690" s="94">
        <v>0</v>
      </c>
      <c r="N5690" t="s">
        <v>32</v>
      </c>
      <c r="O5690" t="s">
        <v>33</v>
      </c>
      <c r="P5690" t="s">
        <v>34</v>
      </c>
      <c r="Q5690" t="s">
        <v>34</v>
      </c>
      <c r="R5690" t="s">
        <v>34</v>
      </c>
      <c r="S5690" t="s">
        <v>34</v>
      </c>
      <c r="T5690" s="117">
        <v>0</v>
      </c>
    </row>
    <row r="5691" spans="1:21" x14ac:dyDescent="0.35">
      <c r="A5691" t="s">
        <v>19</v>
      </c>
      <c r="B5691" t="s">
        <v>19</v>
      </c>
      <c r="C5691" s="1">
        <v>45987</v>
      </c>
      <c r="D5691">
        <f t="shared" si="709"/>
        <v>26</v>
      </c>
      <c r="E5691">
        <f t="shared" si="710"/>
        <v>11</v>
      </c>
      <c r="F5691">
        <f t="shared" si="711"/>
        <v>2025</v>
      </c>
      <c r="G5691" t="s">
        <v>56</v>
      </c>
      <c r="H5691" s="121" t="s">
        <v>1522</v>
      </c>
      <c r="I5691" s="15">
        <v>174235.88</v>
      </c>
      <c r="J5691" s="12" t="s">
        <v>31</v>
      </c>
      <c r="K5691" s="76">
        <f t="shared" si="708"/>
        <v>174235.88</v>
      </c>
      <c r="L5691">
        <v>1</v>
      </c>
      <c r="M5691" s="94">
        <v>0</v>
      </c>
      <c r="N5691" t="s">
        <v>32</v>
      </c>
      <c r="O5691" t="s">
        <v>33</v>
      </c>
      <c r="P5691" t="s">
        <v>34</v>
      </c>
      <c r="Q5691" t="s">
        <v>34</v>
      </c>
      <c r="R5691" t="s">
        <v>34</v>
      </c>
      <c r="S5691" t="s">
        <v>34</v>
      </c>
      <c r="T5691" s="117">
        <v>0</v>
      </c>
    </row>
    <row r="5692" spans="1:21" x14ac:dyDescent="0.35">
      <c r="A5692" t="s">
        <v>19</v>
      </c>
      <c r="B5692" t="s">
        <v>19</v>
      </c>
      <c r="C5692" s="1">
        <v>45987</v>
      </c>
      <c r="D5692">
        <f t="shared" si="709"/>
        <v>26</v>
      </c>
      <c r="E5692">
        <f t="shared" si="710"/>
        <v>11</v>
      </c>
      <c r="F5692">
        <f t="shared" si="711"/>
        <v>2025</v>
      </c>
      <c r="G5692" t="s">
        <v>56</v>
      </c>
      <c r="H5692" s="121" t="s">
        <v>1523</v>
      </c>
      <c r="I5692" s="15">
        <v>171481.81</v>
      </c>
      <c r="J5692" s="12" t="s">
        <v>31</v>
      </c>
      <c r="K5692" s="76">
        <f t="shared" si="708"/>
        <v>171481.81</v>
      </c>
      <c r="L5692">
        <v>1</v>
      </c>
      <c r="M5692" s="94">
        <v>0</v>
      </c>
      <c r="N5692" t="s">
        <v>32</v>
      </c>
      <c r="O5692" t="s">
        <v>33</v>
      </c>
      <c r="P5692" t="s">
        <v>34</v>
      </c>
      <c r="Q5692" t="s">
        <v>34</v>
      </c>
      <c r="R5692" t="s">
        <v>34</v>
      </c>
      <c r="S5692" t="s">
        <v>34</v>
      </c>
      <c r="T5692" s="117">
        <v>0</v>
      </c>
    </row>
    <row r="5693" spans="1:21" x14ac:dyDescent="0.35">
      <c r="A5693" t="s">
        <v>19</v>
      </c>
      <c r="B5693" t="s">
        <v>19</v>
      </c>
      <c r="C5693" s="1">
        <v>45987</v>
      </c>
      <c r="D5693">
        <f t="shared" si="709"/>
        <v>26</v>
      </c>
      <c r="E5693">
        <f t="shared" si="710"/>
        <v>11</v>
      </c>
      <c r="F5693">
        <f t="shared" si="711"/>
        <v>2025</v>
      </c>
      <c r="G5693" t="s">
        <v>56</v>
      </c>
      <c r="H5693" s="121" t="s">
        <v>1524</v>
      </c>
      <c r="I5693" s="15">
        <v>382.72</v>
      </c>
      <c r="J5693" s="12" t="s">
        <v>31</v>
      </c>
      <c r="K5693" s="76">
        <f t="shared" si="708"/>
        <v>382.72</v>
      </c>
      <c r="L5693">
        <v>1</v>
      </c>
      <c r="M5693" s="94">
        <v>0</v>
      </c>
      <c r="N5693" t="s">
        <v>32</v>
      </c>
      <c r="O5693" t="s">
        <v>33</v>
      </c>
      <c r="P5693" t="s">
        <v>34</v>
      </c>
      <c r="Q5693" t="s">
        <v>34</v>
      </c>
      <c r="R5693" t="s">
        <v>34</v>
      </c>
      <c r="S5693" t="s">
        <v>34</v>
      </c>
      <c r="T5693" s="117">
        <v>0</v>
      </c>
    </row>
    <row r="5694" spans="1:21" x14ac:dyDescent="0.35">
      <c r="A5694" t="s">
        <v>19</v>
      </c>
      <c r="B5694" t="s">
        <v>19</v>
      </c>
      <c r="C5694" s="1">
        <v>45987</v>
      </c>
      <c r="D5694">
        <f t="shared" si="709"/>
        <v>26</v>
      </c>
      <c r="E5694">
        <f t="shared" si="710"/>
        <v>11</v>
      </c>
      <c r="F5694">
        <f t="shared" si="711"/>
        <v>2025</v>
      </c>
      <c r="G5694" t="s">
        <v>56</v>
      </c>
      <c r="H5694" s="121" t="s">
        <v>1525</v>
      </c>
      <c r="I5694" s="15">
        <v>181.39</v>
      </c>
      <c r="J5694" s="12" t="s">
        <v>31</v>
      </c>
      <c r="K5694" s="76">
        <f t="shared" si="708"/>
        <v>181.39</v>
      </c>
      <c r="L5694">
        <v>1</v>
      </c>
      <c r="M5694" s="94">
        <v>0</v>
      </c>
      <c r="N5694" t="s">
        <v>32</v>
      </c>
      <c r="O5694" t="s">
        <v>33</v>
      </c>
      <c r="P5694" t="s">
        <v>34</v>
      </c>
      <c r="Q5694" t="s">
        <v>34</v>
      </c>
      <c r="R5694" t="s">
        <v>34</v>
      </c>
      <c r="S5694" t="s">
        <v>34</v>
      </c>
      <c r="T5694" s="117">
        <v>0</v>
      </c>
    </row>
    <row r="5695" spans="1:21" x14ac:dyDescent="0.35">
      <c r="A5695" t="s">
        <v>19</v>
      </c>
      <c r="B5695" t="s">
        <v>19</v>
      </c>
      <c r="C5695" s="1">
        <v>45987</v>
      </c>
      <c r="D5695">
        <f t="shared" si="709"/>
        <v>26</v>
      </c>
      <c r="E5695">
        <f t="shared" si="710"/>
        <v>11</v>
      </c>
      <c r="F5695">
        <f t="shared" si="711"/>
        <v>2025</v>
      </c>
      <c r="G5695" t="s">
        <v>90</v>
      </c>
      <c r="H5695" s="121" t="s">
        <v>1526</v>
      </c>
      <c r="I5695" s="15">
        <v>139.80000000000001</v>
      </c>
      <c r="J5695" s="12" t="s">
        <v>31</v>
      </c>
      <c r="K5695" s="76">
        <f t="shared" si="708"/>
        <v>139.80000000000001</v>
      </c>
      <c r="L5695">
        <v>1</v>
      </c>
      <c r="M5695" s="94">
        <v>0</v>
      </c>
      <c r="N5695" t="s">
        <v>32</v>
      </c>
      <c r="O5695" t="s">
        <v>33</v>
      </c>
      <c r="P5695" t="s">
        <v>34</v>
      </c>
      <c r="Q5695" t="s">
        <v>34</v>
      </c>
      <c r="R5695" t="s">
        <v>34</v>
      </c>
      <c r="S5695" t="s">
        <v>34</v>
      </c>
      <c r="T5695" s="117">
        <v>0</v>
      </c>
    </row>
    <row r="5696" spans="1:21" x14ac:dyDescent="0.35">
      <c r="A5696" t="s">
        <v>19</v>
      </c>
      <c r="B5696" t="s">
        <v>19</v>
      </c>
      <c r="C5696" s="1">
        <v>45987</v>
      </c>
      <c r="D5696">
        <f t="shared" si="709"/>
        <v>26</v>
      </c>
      <c r="E5696">
        <f t="shared" si="710"/>
        <v>11</v>
      </c>
      <c r="F5696">
        <f t="shared" si="711"/>
        <v>2025</v>
      </c>
      <c r="G5696" t="s">
        <v>82</v>
      </c>
      <c r="H5696" s="121" t="s">
        <v>1527</v>
      </c>
      <c r="I5696" s="15">
        <v>12.64</v>
      </c>
      <c r="J5696" s="12" t="s">
        <v>31</v>
      </c>
      <c r="K5696" s="76">
        <f t="shared" si="708"/>
        <v>12.64</v>
      </c>
      <c r="L5696">
        <v>1</v>
      </c>
      <c r="M5696" s="94">
        <v>0</v>
      </c>
      <c r="N5696" t="s">
        <v>32</v>
      </c>
      <c r="O5696" t="s">
        <v>33</v>
      </c>
      <c r="P5696" t="s">
        <v>34</v>
      </c>
      <c r="Q5696" t="s">
        <v>34</v>
      </c>
      <c r="R5696" t="s">
        <v>34</v>
      </c>
      <c r="S5696" t="s">
        <v>34</v>
      </c>
      <c r="T5696" s="117">
        <v>0</v>
      </c>
    </row>
    <row r="5697" spans="1:21" x14ac:dyDescent="0.35">
      <c r="A5697" t="s">
        <v>19</v>
      </c>
      <c r="B5697" t="s">
        <v>19</v>
      </c>
      <c r="C5697" s="1">
        <v>45987</v>
      </c>
      <c r="D5697">
        <f t="shared" si="709"/>
        <v>26</v>
      </c>
      <c r="E5697">
        <f t="shared" si="710"/>
        <v>11</v>
      </c>
      <c r="F5697">
        <f t="shared" si="711"/>
        <v>2025</v>
      </c>
      <c r="G5697" t="s">
        <v>183</v>
      </c>
      <c r="H5697" s="121" t="s">
        <v>1369</v>
      </c>
      <c r="I5697" s="15">
        <v>1785.17</v>
      </c>
      <c r="J5697" s="12" t="s">
        <v>31</v>
      </c>
      <c r="K5697" s="76">
        <f t="shared" si="708"/>
        <v>1785.17</v>
      </c>
      <c r="L5697">
        <v>1</v>
      </c>
      <c r="M5697" s="94">
        <v>0</v>
      </c>
      <c r="N5697" t="s">
        <v>32</v>
      </c>
      <c r="O5697" t="s">
        <v>33</v>
      </c>
      <c r="P5697" t="s">
        <v>34</v>
      </c>
      <c r="Q5697" t="s">
        <v>34</v>
      </c>
      <c r="R5697" t="s">
        <v>34</v>
      </c>
      <c r="S5697" t="s">
        <v>34</v>
      </c>
      <c r="T5697" s="117">
        <v>0</v>
      </c>
    </row>
    <row r="5698" spans="1:21" x14ac:dyDescent="0.35">
      <c r="A5698" t="s">
        <v>19</v>
      </c>
      <c r="B5698" t="s">
        <v>19</v>
      </c>
      <c r="C5698" s="1">
        <v>45987</v>
      </c>
      <c r="D5698">
        <f t="shared" si="709"/>
        <v>26</v>
      </c>
      <c r="E5698">
        <f t="shared" si="710"/>
        <v>11</v>
      </c>
      <c r="F5698">
        <f t="shared" si="711"/>
        <v>2025</v>
      </c>
      <c r="G5698" t="s">
        <v>1528</v>
      </c>
      <c r="H5698" s="121" t="s">
        <v>1529</v>
      </c>
      <c r="I5698" s="15">
        <v>82799.899999999994</v>
      </c>
      <c r="J5698" s="12" t="s">
        <v>31</v>
      </c>
      <c r="K5698" s="76">
        <f t="shared" si="708"/>
        <v>82799.899999999994</v>
      </c>
      <c r="L5698">
        <v>1</v>
      </c>
      <c r="M5698" s="94">
        <v>0</v>
      </c>
      <c r="N5698" t="s">
        <v>32</v>
      </c>
      <c r="O5698" t="s">
        <v>33</v>
      </c>
      <c r="P5698" t="s">
        <v>34</v>
      </c>
      <c r="Q5698" t="s">
        <v>34</v>
      </c>
      <c r="R5698" t="s">
        <v>34</v>
      </c>
      <c r="S5698" t="s">
        <v>34</v>
      </c>
      <c r="T5698" s="117">
        <v>0</v>
      </c>
    </row>
    <row r="5699" spans="1:21" x14ac:dyDescent="0.35">
      <c r="A5699" t="s">
        <v>19</v>
      </c>
      <c r="B5699" t="s">
        <v>19</v>
      </c>
      <c r="C5699" s="1">
        <v>45987</v>
      </c>
      <c r="D5699">
        <f t="shared" si="709"/>
        <v>26</v>
      </c>
      <c r="E5699">
        <f t="shared" si="710"/>
        <v>11</v>
      </c>
      <c r="F5699">
        <f t="shared" si="711"/>
        <v>2025</v>
      </c>
      <c r="G5699" t="s">
        <v>46</v>
      </c>
      <c r="H5699" s="121" t="s">
        <v>1530</v>
      </c>
      <c r="I5699" s="15">
        <v>6061.04</v>
      </c>
      <c r="J5699" s="12" t="s">
        <v>31</v>
      </c>
      <c r="K5699" s="76">
        <f t="shared" si="708"/>
        <v>6061.04</v>
      </c>
      <c r="L5699">
        <v>1</v>
      </c>
      <c r="M5699" s="94">
        <v>0</v>
      </c>
      <c r="N5699" t="s">
        <v>32</v>
      </c>
      <c r="O5699" t="s">
        <v>33</v>
      </c>
      <c r="P5699" t="s">
        <v>34</v>
      </c>
      <c r="Q5699" t="s">
        <v>34</v>
      </c>
      <c r="R5699" t="s">
        <v>34</v>
      </c>
      <c r="S5699" t="s">
        <v>34</v>
      </c>
      <c r="T5699" s="117">
        <v>0</v>
      </c>
    </row>
    <row r="5700" spans="1:21" x14ac:dyDescent="0.35">
      <c r="A5700" t="s">
        <v>19</v>
      </c>
      <c r="B5700" t="s">
        <v>19</v>
      </c>
      <c r="C5700" s="1">
        <v>45987</v>
      </c>
      <c r="D5700">
        <f t="shared" si="709"/>
        <v>26</v>
      </c>
      <c r="E5700">
        <f t="shared" si="710"/>
        <v>11</v>
      </c>
      <c r="F5700">
        <f t="shared" si="711"/>
        <v>2025</v>
      </c>
      <c r="G5700" t="s">
        <v>1512</v>
      </c>
      <c r="H5700" s="121" t="s">
        <v>569</v>
      </c>
      <c r="I5700" s="15">
        <v>342.9</v>
      </c>
      <c r="J5700" s="12" t="s">
        <v>31</v>
      </c>
      <c r="K5700" s="76">
        <f t="shared" si="708"/>
        <v>342.9</v>
      </c>
      <c r="L5700">
        <v>1</v>
      </c>
      <c r="M5700" s="94">
        <v>0</v>
      </c>
      <c r="N5700" t="s">
        <v>32</v>
      </c>
      <c r="O5700" t="s">
        <v>33</v>
      </c>
      <c r="P5700" t="s">
        <v>34</v>
      </c>
      <c r="Q5700" t="s">
        <v>34</v>
      </c>
      <c r="R5700" t="s">
        <v>34</v>
      </c>
      <c r="S5700" t="s">
        <v>34</v>
      </c>
      <c r="T5700" s="117">
        <v>0</v>
      </c>
    </row>
    <row r="5701" spans="1:21" x14ac:dyDescent="0.35">
      <c r="A5701" t="s">
        <v>19</v>
      </c>
      <c r="B5701" t="s">
        <v>19</v>
      </c>
      <c r="C5701" s="1">
        <v>45987</v>
      </c>
      <c r="D5701">
        <f t="shared" si="709"/>
        <v>26</v>
      </c>
      <c r="E5701">
        <f t="shared" si="710"/>
        <v>11</v>
      </c>
      <c r="F5701">
        <f t="shared" si="711"/>
        <v>2025</v>
      </c>
      <c r="G5701" t="s">
        <v>523</v>
      </c>
      <c r="H5701" s="121" t="s">
        <v>1497</v>
      </c>
      <c r="I5701" s="15">
        <v>87718.444000000003</v>
      </c>
      <c r="J5701" s="12" t="s">
        <v>31</v>
      </c>
      <c r="K5701" s="76">
        <f t="shared" si="708"/>
        <v>87718.444000000003</v>
      </c>
      <c r="L5701">
        <v>1</v>
      </c>
      <c r="M5701" s="94">
        <v>0</v>
      </c>
      <c r="N5701" t="s">
        <v>32</v>
      </c>
      <c r="O5701" t="s">
        <v>33</v>
      </c>
      <c r="P5701" t="s">
        <v>34</v>
      </c>
      <c r="Q5701" t="s">
        <v>34</v>
      </c>
      <c r="R5701" t="s">
        <v>34</v>
      </c>
      <c r="S5701" t="s">
        <v>34</v>
      </c>
      <c r="T5701" s="117">
        <v>0</v>
      </c>
    </row>
    <row r="5702" spans="1:21" x14ac:dyDescent="0.35">
      <c r="A5702" t="s">
        <v>20</v>
      </c>
      <c r="B5702" t="s">
        <v>25</v>
      </c>
      <c r="C5702" s="1">
        <v>45988</v>
      </c>
      <c r="D5702">
        <f>DAY(C5702)</f>
        <v>27</v>
      </c>
      <c r="E5702">
        <f>MONTH(C5702)</f>
        <v>11</v>
      </c>
      <c r="F5702">
        <f>YEAR(C5702)</f>
        <v>2025</v>
      </c>
      <c r="G5702" t="s">
        <v>211</v>
      </c>
      <c r="H5702" s="121">
        <v>13550</v>
      </c>
      <c r="I5702" s="15">
        <v>70714.8</v>
      </c>
      <c r="J5702" s="12" t="s">
        <v>31</v>
      </c>
      <c r="K5702" s="76">
        <f t="shared" si="708"/>
        <v>70714.8</v>
      </c>
      <c r="L5702">
        <v>1</v>
      </c>
      <c r="M5702" s="94">
        <v>0</v>
      </c>
      <c r="N5702" t="s">
        <v>32</v>
      </c>
      <c r="O5702" t="s">
        <v>114</v>
      </c>
      <c r="P5702" s="1">
        <v>45988</v>
      </c>
      <c r="Q5702" s="1">
        <v>46050</v>
      </c>
      <c r="R5702" s="187">
        <v>8021000629262</v>
      </c>
      <c r="S5702" t="s">
        <v>34</v>
      </c>
      <c r="T5702" s="117">
        <v>0</v>
      </c>
      <c r="U5702" s="209" t="s">
        <v>1221</v>
      </c>
    </row>
    <row r="5703" spans="1:21" x14ac:dyDescent="0.35">
      <c r="A5703" t="s">
        <v>20</v>
      </c>
      <c r="B5703" t="s">
        <v>25</v>
      </c>
      <c r="C5703" s="1">
        <v>45988</v>
      </c>
      <c r="D5703">
        <f>DAY(C5703)</f>
        <v>27</v>
      </c>
      <c r="E5703">
        <f>MONTH(C5703)</f>
        <v>11</v>
      </c>
      <c r="F5703">
        <f>YEAR(C5703)</f>
        <v>2025</v>
      </c>
      <c r="G5703" t="s">
        <v>211</v>
      </c>
      <c r="H5703" s="121">
        <v>13728</v>
      </c>
      <c r="I5703" s="15">
        <v>31565.59</v>
      </c>
      <c r="J5703" s="12" t="s">
        <v>31</v>
      </c>
      <c r="K5703" s="76">
        <f t="shared" si="708"/>
        <v>31565.59</v>
      </c>
      <c r="L5703">
        <v>1</v>
      </c>
      <c r="M5703" s="94">
        <v>0</v>
      </c>
      <c r="N5703" t="s">
        <v>32</v>
      </c>
      <c r="O5703" t="s">
        <v>114</v>
      </c>
      <c r="P5703" s="1">
        <v>45988</v>
      </c>
      <c r="Q5703" s="1">
        <v>46050</v>
      </c>
      <c r="R5703" s="187">
        <v>8021000629262</v>
      </c>
      <c r="S5703" t="s">
        <v>34</v>
      </c>
      <c r="T5703" s="117">
        <v>0</v>
      </c>
      <c r="U5703" s="209" t="s">
        <v>1221</v>
      </c>
    </row>
    <row r="5704" spans="1:21" x14ac:dyDescent="0.35">
      <c r="A5704" t="s">
        <v>20</v>
      </c>
      <c r="B5704" t="s">
        <v>21</v>
      </c>
      <c r="C5704" s="1">
        <v>45988</v>
      </c>
      <c r="D5704">
        <f>DAY(C5704)</f>
        <v>27</v>
      </c>
      <c r="E5704">
        <f>MONTH(C5704)</f>
        <v>11</v>
      </c>
      <c r="F5704">
        <f>YEAR(C5704)</f>
        <v>2025</v>
      </c>
      <c r="G5704" t="s">
        <v>52</v>
      </c>
      <c r="H5704" s="121">
        <v>13319</v>
      </c>
      <c r="I5704" s="15">
        <v>137345.24</v>
      </c>
      <c r="J5704" s="12" t="s">
        <v>31</v>
      </c>
      <c r="K5704" s="76">
        <f t="shared" si="708"/>
        <v>137345.24</v>
      </c>
      <c r="L5704">
        <v>1</v>
      </c>
      <c r="M5704" s="94">
        <v>0</v>
      </c>
      <c r="N5704" t="s">
        <v>32</v>
      </c>
      <c r="O5704" t="s">
        <v>114</v>
      </c>
      <c r="P5704" s="1">
        <v>45988</v>
      </c>
      <c r="Q5704" s="1">
        <v>46050</v>
      </c>
      <c r="R5704" s="187">
        <v>8021000629149</v>
      </c>
      <c r="S5704" t="s">
        <v>34</v>
      </c>
      <c r="T5704" s="117">
        <v>463.52</v>
      </c>
      <c r="U5704" s="209" t="s">
        <v>1221</v>
      </c>
    </row>
    <row r="5705" spans="1:21" x14ac:dyDescent="0.35">
      <c r="A5705" t="s">
        <v>20</v>
      </c>
      <c r="B5705" t="s">
        <v>23</v>
      </c>
      <c r="C5705" s="1">
        <v>45988</v>
      </c>
      <c r="D5705">
        <f>DAY(C5705)</f>
        <v>27</v>
      </c>
      <c r="E5705">
        <f>MONTH(C5705)</f>
        <v>11</v>
      </c>
      <c r="F5705">
        <f>YEAR(C5705)</f>
        <v>2025</v>
      </c>
      <c r="G5705" t="s">
        <v>52</v>
      </c>
      <c r="H5705" s="121">
        <v>13319</v>
      </c>
      <c r="I5705" s="76">
        <v>26334.04</v>
      </c>
      <c r="J5705" s="12" t="s">
        <v>31</v>
      </c>
      <c r="K5705" s="76">
        <f t="shared" si="708"/>
        <v>26334.04</v>
      </c>
      <c r="L5705">
        <v>1</v>
      </c>
      <c r="M5705" s="94">
        <v>0</v>
      </c>
      <c r="N5705" t="s">
        <v>32</v>
      </c>
      <c r="O5705" t="s">
        <v>114</v>
      </c>
      <c r="P5705" s="1">
        <v>45988</v>
      </c>
      <c r="Q5705" s="1">
        <v>46050</v>
      </c>
      <c r="R5705" s="187">
        <v>8021000629149</v>
      </c>
      <c r="S5705" t="s">
        <v>34</v>
      </c>
      <c r="T5705" s="117">
        <v>0</v>
      </c>
      <c r="U5705" s="209" t="s">
        <v>1221</v>
      </c>
    </row>
    <row r="5706" spans="1:21" x14ac:dyDescent="0.35">
      <c r="A5706" t="s">
        <v>19</v>
      </c>
      <c r="B5706" t="s">
        <v>27</v>
      </c>
      <c r="C5706" s="1">
        <v>45994</v>
      </c>
      <c r="D5706">
        <f>DAY(C5706)</f>
        <v>3</v>
      </c>
      <c r="E5706">
        <f>MONTH(C5706)</f>
        <v>12</v>
      </c>
      <c r="F5706">
        <f>YEAR(C5706)</f>
        <v>2025</v>
      </c>
      <c r="G5706" t="s">
        <v>100</v>
      </c>
      <c r="H5706" s="180">
        <v>13704</v>
      </c>
      <c r="I5706" s="94">
        <v>70971.320000000007</v>
      </c>
      <c r="J5706" s="12" t="s">
        <v>31</v>
      </c>
      <c r="K5706" s="94">
        <f t="shared" si="708"/>
        <v>70971.320000000007</v>
      </c>
      <c r="L5706">
        <v>1</v>
      </c>
      <c r="M5706" s="94">
        <v>0</v>
      </c>
      <c r="N5706" t="s">
        <v>32</v>
      </c>
      <c r="O5706" t="s">
        <v>33</v>
      </c>
      <c r="P5706" t="s">
        <v>34</v>
      </c>
      <c r="Q5706" t="s">
        <v>34</v>
      </c>
      <c r="R5706" t="s">
        <v>34</v>
      </c>
      <c r="S5706" t="s">
        <v>34</v>
      </c>
      <c r="T5706" s="117">
        <v>0</v>
      </c>
    </row>
    <row r="5707" spans="1:21" x14ac:dyDescent="0.35">
      <c r="A5707" t="s">
        <v>19</v>
      </c>
      <c r="B5707" t="s">
        <v>27</v>
      </c>
      <c r="C5707" s="1">
        <v>45994</v>
      </c>
      <c r="D5707">
        <f t="shared" ref="D5707:D5724" si="712">DAY(C5707)</f>
        <v>3</v>
      </c>
      <c r="E5707">
        <f t="shared" ref="E5707:E5724" si="713">MONTH(C5707)</f>
        <v>12</v>
      </c>
      <c r="F5707">
        <f t="shared" ref="F5707:F5724" si="714">YEAR(C5707)</f>
        <v>2025</v>
      </c>
      <c r="G5707" t="s">
        <v>100</v>
      </c>
      <c r="H5707" s="180">
        <v>13843</v>
      </c>
      <c r="I5707" s="94">
        <v>162769.76999999999</v>
      </c>
      <c r="J5707" s="12" t="s">
        <v>31</v>
      </c>
      <c r="K5707" s="94">
        <f t="shared" si="708"/>
        <v>162769.76999999999</v>
      </c>
      <c r="L5707">
        <v>1</v>
      </c>
      <c r="M5707" s="94">
        <v>0</v>
      </c>
      <c r="N5707" t="s">
        <v>32</v>
      </c>
      <c r="O5707" t="s">
        <v>33</v>
      </c>
      <c r="P5707" t="s">
        <v>34</v>
      </c>
      <c r="Q5707" t="s">
        <v>34</v>
      </c>
      <c r="R5707" t="s">
        <v>34</v>
      </c>
      <c r="S5707" t="s">
        <v>34</v>
      </c>
      <c r="T5707" s="117">
        <v>0</v>
      </c>
    </row>
    <row r="5708" spans="1:21" x14ac:dyDescent="0.35">
      <c r="A5708" t="s">
        <v>19</v>
      </c>
      <c r="B5708" t="s">
        <v>27</v>
      </c>
      <c r="C5708" s="1">
        <v>45994</v>
      </c>
      <c r="D5708">
        <f t="shared" si="712"/>
        <v>3</v>
      </c>
      <c r="E5708">
        <f t="shared" si="713"/>
        <v>12</v>
      </c>
      <c r="F5708">
        <f t="shared" si="714"/>
        <v>2025</v>
      </c>
      <c r="G5708" t="s">
        <v>100</v>
      </c>
      <c r="H5708" s="180">
        <v>13968</v>
      </c>
      <c r="I5708" s="94">
        <v>3878.49</v>
      </c>
      <c r="J5708" s="12" t="s">
        <v>31</v>
      </c>
      <c r="K5708" s="94">
        <f t="shared" si="708"/>
        <v>3878.49</v>
      </c>
      <c r="L5708">
        <v>1</v>
      </c>
      <c r="M5708" s="94">
        <v>0</v>
      </c>
      <c r="N5708" t="s">
        <v>32</v>
      </c>
      <c r="O5708" t="s">
        <v>33</v>
      </c>
      <c r="P5708" t="s">
        <v>34</v>
      </c>
      <c r="Q5708" t="s">
        <v>34</v>
      </c>
      <c r="R5708" t="s">
        <v>34</v>
      </c>
      <c r="S5708" t="s">
        <v>34</v>
      </c>
      <c r="T5708" s="117">
        <v>0</v>
      </c>
    </row>
    <row r="5709" spans="1:21" x14ac:dyDescent="0.35">
      <c r="A5709" t="s">
        <v>19</v>
      </c>
      <c r="B5709" t="s">
        <v>23</v>
      </c>
      <c r="C5709" s="1">
        <v>45994</v>
      </c>
      <c r="D5709">
        <f t="shared" si="712"/>
        <v>3</v>
      </c>
      <c r="E5709">
        <f t="shared" si="713"/>
        <v>12</v>
      </c>
      <c r="F5709">
        <f t="shared" si="714"/>
        <v>2025</v>
      </c>
      <c r="G5709" t="s">
        <v>74</v>
      </c>
      <c r="H5709" s="180">
        <v>14062</v>
      </c>
      <c r="I5709" s="94">
        <v>67089.55</v>
      </c>
      <c r="J5709" s="12" t="s">
        <v>31</v>
      </c>
      <c r="K5709" s="94">
        <f t="shared" si="708"/>
        <v>67089.55</v>
      </c>
      <c r="L5709">
        <v>1</v>
      </c>
      <c r="M5709" s="94">
        <v>0</v>
      </c>
      <c r="N5709" t="s">
        <v>32</v>
      </c>
      <c r="O5709" t="s">
        <v>33</v>
      </c>
      <c r="P5709" t="s">
        <v>34</v>
      </c>
      <c r="Q5709" t="s">
        <v>34</v>
      </c>
      <c r="R5709" t="s">
        <v>34</v>
      </c>
      <c r="S5709" t="s">
        <v>34</v>
      </c>
      <c r="T5709" s="117">
        <v>0</v>
      </c>
    </row>
    <row r="5710" spans="1:21" x14ac:dyDescent="0.35">
      <c r="A5710" t="s">
        <v>19</v>
      </c>
      <c r="B5710" t="s">
        <v>23</v>
      </c>
      <c r="C5710" s="1">
        <v>45994</v>
      </c>
      <c r="D5710">
        <f t="shared" si="712"/>
        <v>3</v>
      </c>
      <c r="E5710">
        <f t="shared" si="713"/>
        <v>12</v>
      </c>
      <c r="F5710">
        <f t="shared" si="714"/>
        <v>2025</v>
      </c>
      <c r="G5710" t="s">
        <v>1532</v>
      </c>
      <c r="H5710" s="180">
        <v>14316</v>
      </c>
      <c r="I5710" s="94">
        <v>950</v>
      </c>
      <c r="J5710" s="12" t="s">
        <v>31</v>
      </c>
      <c r="K5710" s="94">
        <f t="shared" si="708"/>
        <v>950</v>
      </c>
      <c r="L5710">
        <v>1</v>
      </c>
      <c r="M5710" s="94">
        <v>0</v>
      </c>
      <c r="N5710" t="s">
        <v>42</v>
      </c>
      <c r="O5710" t="s">
        <v>33</v>
      </c>
      <c r="P5710" t="s">
        <v>34</v>
      </c>
      <c r="Q5710" t="s">
        <v>34</v>
      </c>
      <c r="R5710" t="s">
        <v>34</v>
      </c>
      <c r="S5710" t="s">
        <v>34</v>
      </c>
      <c r="T5710" s="117">
        <v>0</v>
      </c>
    </row>
    <row r="5711" spans="1:21" x14ac:dyDescent="0.35">
      <c r="A5711" t="s">
        <v>19</v>
      </c>
      <c r="B5711" t="s">
        <v>25</v>
      </c>
      <c r="C5711" s="1">
        <v>45994</v>
      </c>
      <c r="D5711">
        <f t="shared" si="712"/>
        <v>3</v>
      </c>
      <c r="E5711">
        <f t="shared" si="713"/>
        <v>12</v>
      </c>
      <c r="F5711">
        <f t="shared" si="714"/>
        <v>2025</v>
      </c>
      <c r="G5711" t="s">
        <v>351</v>
      </c>
      <c r="H5711" s="180">
        <v>13883</v>
      </c>
      <c r="I5711" s="94">
        <v>707.85</v>
      </c>
      <c r="J5711" s="12" t="s">
        <v>31</v>
      </c>
      <c r="K5711" s="94">
        <f t="shared" si="708"/>
        <v>707.85</v>
      </c>
      <c r="L5711">
        <v>1</v>
      </c>
      <c r="M5711" s="94">
        <v>0</v>
      </c>
      <c r="N5711" t="s">
        <v>32</v>
      </c>
      <c r="O5711" t="s">
        <v>33</v>
      </c>
      <c r="P5711" t="s">
        <v>34</v>
      </c>
      <c r="Q5711" t="s">
        <v>34</v>
      </c>
      <c r="R5711" t="s">
        <v>34</v>
      </c>
      <c r="S5711" t="s">
        <v>34</v>
      </c>
      <c r="T5711" s="117">
        <v>0</v>
      </c>
    </row>
    <row r="5712" spans="1:21" x14ac:dyDescent="0.35">
      <c r="A5712" t="s">
        <v>19</v>
      </c>
      <c r="B5712" t="s">
        <v>24</v>
      </c>
      <c r="C5712" s="1">
        <v>45994</v>
      </c>
      <c r="D5712">
        <f t="shared" si="712"/>
        <v>3</v>
      </c>
      <c r="E5712">
        <f t="shared" si="713"/>
        <v>12</v>
      </c>
      <c r="F5712">
        <f t="shared" si="714"/>
        <v>2025</v>
      </c>
      <c r="G5712" t="s">
        <v>36</v>
      </c>
      <c r="H5712" s="180">
        <v>12506</v>
      </c>
      <c r="I5712" s="94">
        <v>13236</v>
      </c>
      <c r="J5712" s="12" t="s">
        <v>31</v>
      </c>
      <c r="K5712" s="94">
        <f t="shared" si="708"/>
        <v>13236</v>
      </c>
      <c r="L5712">
        <v>1</v>
      </c>
      <c r="M5712" s="94">
        <v>0</v>
      </c>
      <c r="N5712" t="s">
        <v>32</v>
      </c>
      <c r="O5712" t="s">
        <v>33</v>
      </c>
      <c r="P5712" t="s">
        <v>34</v>
      </c>
      <c r="Q5712" t="s">
        <v>34</v>
      </c>
      <c r="R5712" t="s">
        <v>34</v>
      </c>
      <c r="S5712" t="s">
        <v>34</v>
      </c>
      <c r="T5712" s="117">
        <v>0</v>
      </c>
    </row>
    <row r="5713" spans="1:20" x14ac:dyDescent="0.35">
      <c r="A5713" t="s">
        <v>19</v>
      </c>
      <c r="B5713" t="s">
        <v>21</v>
      </c>
      <c r="C5713" s="1">
        <v>45994</v>
      </c>
      <c r="D5713">
        <f t="shared" si="712"/>
        <v>3</v>
      </c>
      <c r="E5713">
        <f t="shared" si="713"/>
        <v>12</v>
      </c>
      <c r="F5713">
        <f t="shared" si="714"/>
        <v>2025</v>
      </c>
      <c r="G5713" t="s">
        <v>36</v>
      </c>
      <c r="H5713" s="180">
        <v>13654</v>
      </c>
      <c r="I5713" s="94">
        <v>19371.900000000001</v>
      </c>
      <c r="J5713" s="12" t="s">
        <v>31</v>
      </c>
      <c r="K5713" s="94">
        <f t="shared" si="708"/>
        <v>19371.900000000001</v>
      </c>
      <c r="L5713">
        <v>1</v>
      </c>
      <c r="M5713" s="94">
        <v>0</v>
      </c>
      <c r="N5713" t="s">
        <v>32</v>
      </c>
      <c r="O5713" t="s">
        <v>33</v>
      </c>
      <c r="P5713" t="s">
        <v>34</v>
      </c>
      <c r="Q5713" t="s">
        <v>34</v>
      </c>
      <c r="R5713" t="s">
        <v>34</v>
      </c>
      <c r="S5713" t="s">
        <v>34</v>
      </c>
      <c r="T5713" s="117">
        <v>0</v>
      </c>
    </row>
    <row r="5714" spans="1:20" x14ac:dyDescent="0.35">
      <c r="A5714" t="s">
        <v>19</v>
      </c>
      <c r="B5714" t="s">
        <v>25</v>
      </c>
      <c r="C5714" s="1">
        <v>45994</v>
      </c>
      <c r="D5714">
        <f t="shared" si="712"/>
        <v>3</v>
      </c>
      <c r="E5714">
        <f t="shared" si="713"/>
        <v>12</v>
      </c>
      <c r="F5714">
        <f t="shared" si="714"/>
        <v>2025</v>
      </c>
      <c r="G5714" t="s">
        <v>39</v>
      </c>
      <c r="H5714" s="180">
        <v>13696</v>
      </c>
      <c r="I5714" s="94">
        <v>290.64</v>
      </c>
      <c r="J5714" s="12" t="s">
        <v>31</v>
      </c>
      <c r="K5714" s="94">
        <f t="shared" si="708"/>
        <v>290.64</v>
      </c>
      <c r="L5714">
        <v>1</v>
      </c>
      <c r="M5714" s="94">
        <v>0</v>
      </c>
      <c r="N5714" t="s">
        <v>32</v>
      </c>
      <c r="O5714" t="s">
        <v>33</v>
      </c>
      <c r="P5714" t="s">
        <v>34</v>
      </c>
      <c r="Q5714" t="s">
        <v>34</v>
      </c>
      <c r="R5714" t="s">
        <v>34</v>
      </c>
      <c r="S5714" t="s">
        <v>34</v>
      </c>
      <c r="T5714" s="117">
        <v>0</v>
      </c>
    </row>
    <row r="5715" spans="1:20" x14ac:dyDescent="0.35">
      <c r="A5715" t="s">
        <v>19</v>
      </c>
      <c r="B5715" t="s">
        <v>25</v>
      </c>
      <c r="C5715" s="1">
        <v>45994</v>
      </c>
      <c r="D5715">
        <f t="shared" si="712"/>
        <v>3</v>
      </c>
      <c r="E5715">
        <f t="shared" si="713"/>
        <v>12</v>
      </c>
      <c r="F5715">
        <f t="shared" si="714"/>
        <v>2025</v>
      </c>
      <c r="G5715" t="s">
        <v>39</v>
      </c>
      <c r="H5715" s="180">
        <v>13697</v>
      </c>
      <c r="I5715" s="94">
        <v>41442.379999999997</v>
      </c>
      <c r="J5715" s="12" t="s">
        <v>31</v>
      </c>
      <c r="K5715" s="94">
        <f t="shared" si="708"/>
        <v>41442.379999999997</v>
      </c>
      <c r="L5715">
        <v>1</v>
      </c>
      <c r="M5715" s="94">
        <v>0</v>
      </c>
      <c r="N5715" t="s">
        <v>32</v>
      </c>
      <c r="O5715" t="s">
        <v>33</v>
      </c>
      <c r="P5715" t="s">
        <v>34</v>
      </c>
      <c r="Q5715" t="s">
        <v>34</v>
      </c>
      <c r="R5715" t="s">
        <v>34</v>
      </c>
      <c r="S5715" t="s">
        <v>34</v>
      </c>
      <c r="T5715" s="117">
        <v>0</v>
      </c>
    </row>
    <row r="5716" spans="1:20" x14ac:dyDescent="0.35">
      <c r="A5716" t="s">
        <v>19</v>
      </c>
      <c r="B5716" t="s">
        <v>23</v>
      </c>
      <c r="C5716" s="1">
        <v>45994</v>
      </c>
      <c r="D5716">
        <f t="shared" si="712"/>
        <v>3</v>
      </c>
      <c r="E5716">
        <f t="shared" si="713"/>
        <v>12</v>
      </c>
      <c r="F5716">
        <f t="shared" si="714"/>
        <v>2025</v>
      </c>
      <c r="G5716" t="s">
        <v>39</v>
      </c>
      <c r="H5716" s="180">
        <v>13837</v>
      </c>
      <c r="I5716" s="94">
        <v>13203</v>
      </c>
      <c r="J5716" s="12" t="s">
        <v>31</v>
      </c>
      <c r="K5716" s="94">
        <f t="shared" si="708"/>
        <v>13203</v>
      </c>
      <c r="L5716">
        <v>1</v>
      </c>
      <c r="M5716" s="94">
        <v>0</v>
      </c>
      <c r="N5716" t="s">
        <v>32</v>
      </c>
      <c r="O5716" t="s">
        <v>33</v>
      </c>
      <c r="P5716" t="s">
        <v>34</v>
      </c>
      <c r="Q5716" t="s">
        <v>34</v>
      </c>
      <c r="R5716" t="s">
        <v>34</v>
      </c>
      <c r="S5716" t="s">
        <v>34</v>
      </c>
      <c r="T5716" s="117">
        <v>0</v>
      </c>
    </row>
    <row r="5717" spans="1:20" x14ac:dyDescent="0.35">
      <c r="A5717" t="s">
        <v>19</v>
      </c>
      <c r="B5717" t="s">
        <v>25</v>
      </c>
      <c r="C5717" s="1">
        <v>45994</v>
      </c>
      <c r="D5717">
        <f t="shared" si="712"/>
        <v>3</v>
      </c>
      <c r="E5717">
        <f t="shared" si="713"/>
        <v>12</v>
      </c>
      <c r="F5717">
        <f t="shared" si="714"/>
        <v>2025</v>
      </c>
      <c r="G5717" t="s">
        <v>980</v>
      </c>
      <c r="H5717" s="180">
        <v>14292</v>
      </c>
      <c r="I5717" s="94">
        <v>31102.5</v>
      </c>
      <c r="J5717" s="12" t="s">
        <v>51</v>
      </c>
      <c r="K5717" s="94">
        <f t="shared" si="708"/>
        <v>36368.153250000003</v>
      </c>
      <c r="L5717">
        <v>1.1693</v>
      </c>
      <c r="M5717" s="94">
        <v>0</v>
      </c>
      <c r="N5717" t="s">
        <v>42</v>
      </c>
      <c r="O5717" t="s">
        <v>33</v>
      </c>
      <c r="P5717" t="s">
        <v>34</v>
      </c>
      <c r="Q5717" t="s">
        <v>34</v>
      </c>
      <c r="R5717" t="s">
        <v>34</v>
      </c>
      <c r="S5717" t="s">
        <v>34</v>
      </c>
      <c r="T5717" s="117">
        <v>0</v>
      </c>
    </row>
    <row r="5718" spans="1:20" x14ac:dyDescent="0.35">
      <c r="A5718" t="s">
        <v>19</v>
      </c>
      <c r="B5718" t="s">
        <v>25</v>
      </c>
      <c r="C5718" s="1">
        <v>45994</v>
      </c>
      <c r="D5718">
        <f t="shared" si="712"/>
        <v>3</v>
      </c>
      <c r="E5718">
        <f t="shared" si="713"/>
        <v>12</v>
      </c>
      <c r="F5718">
        <f t="shared" si="714"/>
        <v>2025</v>
      </c>
      <c r="G5718" t="s">
        <v>980</v>
      </c>
      <c r="H5718" s="180">
        <v>14294</v>
      </c>
      <c r="I5718" s="94">
        <v>10658.7</v>
      </c>
      <c r="J5718" s="12" t="s">
        <v>51</v>
      </c>
      <c r="K5718" s="94">
        <f t="shared" si="708"/>
        <v>12463.217910000001</v>
      </c>
      <c r="L5718">
        <v>1.1693</v>
      </c>
      <c r="M5718" s="94">
        <v>0</v>
      </c>
      <c r="N5718" t="s">
        <v>42</v>
      </c>
      <c r="O5718" t="s">
        <v>33</v>
      </c>
      <c r="P5718" t="s">
        <v>34</v>
      </c>
      <c r="Q5718" t="s">
        <v>34</v>
      </c>
      <c r="R5718" t="s">
        <v>34</v>
      </c>
      <c r="S5718" t="s">
        <v>34</v>
      </c>
      <c r="T5718" s="117">
        <v>0</v>
      </c>
    </row>
    <row r="5719" spans="1:20" x14ac:dyDescent="0.35">
      <c r="A5719" t="s">
        <v>19</v>
      </c>
      <c r="B5719" t="s">
        <v>25</v>
      </c>
      <c r="C5719" s="1">
        <v>45994</v>
      </c>
      <c r="D5719">
        <f t="shared" si="712"/>
        <v>3</v>
      </c>
      <c r="E5719">
        <f t="shared" si="713"/>
        <v>12</v>
      </c>
      <c r="F5719">
        <f t="shared" si="714"/>
        <v>2025</v>
      </c>
      <c r="G5719" t="s">
        <v>80</v>
      </c>
      <c r="H5719" s="180">
        <v>13642</v>
      </c>
      <c r="I5719" s="94">
        <v>6200</v>
      </c>
      <c r="J5719" s="12" t="s">
        <v>31</v>
      </c>
      <c r="K5719" s="94">
        <f t="shared" si="708"/>
        <v>6200</v>
      </c>
      <c r="L5719">
        <v>1</v>
      </c>
      <c r="M5719" s="94">
        <v>0</v>
      </c>
      <c r="N5719" t="s">
        <v>32</v>
      </c>
      <c r="O5719" t="s">
        <v>33</v>
      </c>
      <c r="P5719" t="s">
        <v>34</v>
      </c>
      <c r="Q5719" t="s">
        <v>34</v>
      </c>
      <c r="R5719" t="s">
        <v>34</v>
      </c>
      <c r="S5719" t="s">
        <v>34</v>
      </c>
      <c r="T5719" s="117">
        <v>0</v>
      </c>
    </row>
    <row r="5720" spans="1:20" x14ac:dyDescent="0.35">
      <c r="A5720" t="s">
        <v>19</v>
      </c>
      <c r="B5720" t="s">
        <v>1489</v>
      </c>
      <c r="C5720" s="1">
        <v>45994</v>
      </c>
      <c r="D5720">
        <f t="shared" si="712"/>
        <v>3</v>
      </c>
      <c r="E5720">
        <f t="shared" si="713"/>
        <v>12</v>
      </c>
      <c r="F5720">
        <f t="shared" si="714"/>
        <v>2025</v>
      </c>
      <c r="G5720" t="s">
        <v>35</v>
      </c>
      <c r="H5720" s="180">
        <v>13111</v>
      </c>
      <c r="I5720" s="94">
        <v>56450.3</v>
      </c>
      <c r="J5720" s="12" t="s">
        <v>31</v>
      </c>
      <c r="K5720" s="94">
        <f t="shared" si="708"/>
        <v>56450.3</v>
      </c>
      <c r="L5720">
        <v>1</v>
      </c>
      <c r="M5720" s="94">
        <v>0</v>
      </c>
      <c r="N5720" t="s">
        <v>32</v>
      </c>
      <c r="O5720" t="s">
        <v>33</v>
      </c>
      <c r="P5720" t="s">
        <v>34</v>
      </c>
      <c r="Q5720" t="s">
        <v>34</v>
      </c>
      <c r="R5720" t="s">
        <v>34</v>
      </c>
      <c r="S5720" t="s">
        <v>34</v>
      </c>
      <c r="T5720" s="117">
        <v>0</v>
      </c>
    </row>
    <row r="5721" spans="1:20" x14ac:dyDescent="0.35">
      <c r="A5721" t="s">
        <v>19</v>
      </c>
      <c r="B5721" t="s">
        <v>21</v>
      </c>
      <c r="C5721" s="1">
        <v>45994</v>
      </c>
      <c r="D5721">
        <f t="shared" si="712"/>
        <v>3</v>
      </c>
      <c r="E5721">
        <f t="shared" si="713"/>
        <v>12</v>
      </c>
      <c r="F5721">
        <f t="shared" si="714"/>
        <v>2025</v>
      </c>
      <c r="G5721" t="s">
        <v>1428</v>
      </c>
      <c r="H5721" s="180">
        <v>13878</v>
      </c>
      <c r="I5721" s="94">
        <v>2853.2</v>
      </c>
      <c r="J5721" s="12" t="s">
        <v>31</v>
      </c>
      <c r="K5721" s="94">
        <f t="shared" si="708"/>
        <v>2853.2</v>
      </c>
      <c r="L5721">
        <v>1</v>
      </c>
      <c r="M5721" s="94">
        <v>0</v>
      </c>
      <c r="N5721" t="s">
        <v>32</v>
      </c>
      <c r="O5721" t="s">
        <v>33</v>
      </c>
      <c r="P5721" t="s">
        <v>34</v>
      </c>
      <c r="Q5721" t="s">
        <v>34</v>
      </c>
      <c r="R5721" t="s">
        <v>34</v>
      </c>
      <c r="S5721" t="s">
        <v>34</v>
      </c>
      <c r="T5721" s="117">
        <v>0</v>
      </c>
    </row>
    <row r="5722" spans="1:20" x14ac:dyDescent="0.35">
      <c r="A5722" t="s">
        <v>19</v>
      </c>
      <c r="B5722" t="s">
        <v>25</v>
      </c>
      <c r="C5722" s="1">
        <v>45994</v>
      </c>
      <c r="D5722">
        <f t="shared" si="712"/>
        <v>3</v>
      </c>
      <c r="E5722">
        <f t="shared" si="713"/>
        <v>12</v>
      </c>
      <c r="F5722">
        <f t="shared" si="714"/>
        <v>2025</v>
      </c>
      <c r="G5722" t="s">
        <v>285</v>
      </c>
      <c r="H5722" s="180">
        <v>13902</v>
      </c>
      <c r="I5722" s="94">
        <v>168</v>
      </c>
      <c r="J5722" s="12" t="s">
        <v>31</v>
      </c>
      <c r="K5722" s="94">
        <f t="shared" si="708"/>
        <v>168</v>
      </c>
      <c r="L5722">
        <v>1</v>
      </c>
      <c r="M5722" s="94">
        <v>0</v>
      </c>
      <c r="N5722" t="s">
        <v>32</v>
      </c>
      <c r="O5722" t="s">
        <v>33</v>
      </c>
      <c r="P5722" t="s">
        <v>34</v>
      </c>
      <c r="Q5722" t="s">
        <v>34</v>
      </c>
      <c r="R5722" t="s">
        <v>34</v>
      </c>
      <c r="S5722" t="s">
        <v>34</v>
      </c>
      <c r="T5722" s="117">
        <v>0</v>
      </c>
    </row>
    <row r="5723" spans="1:20" x14ac:dyDescent="0.35">
      <c r="A5723" t="s">
        <v>19</v>
      </c>
      <c r="B5723" t="s">
        <v>23</v>
      </c>
      <c r="C5723" s="1">
        <v>45994</v>
      </c>
      <c r="D5723">
        <f t="shared" si="712"/>
        <v>3</v>
      </c>
      <c r="E5723">
        <f t="shared" si="713"/>
        <v>12</v>
      </c>
      <c r="F5723">
        <f t="shared" si="714"/>
        <v>2025</v>
      </c>
      <c r="G5723" t="s">
        <v>333</v>
      </c>
      <c r="H5723" s="180">
        <v>14227</v>
      </c>
      <c r="I5723" s="94">
        <v>3459.9</v>
      </c>
      <c r="J5723" s="12" t="s">
        <v>31</v>
      </c>
      <c r="K5723" s="94">
        <f t="shared" si="708"/>
        <v>3459.9</v>
      </c>
      <c r="L5723">
        <v>1</v>
      </c>
      <c r="M5723" s="94">
        <v>0</v>
      </c>
      <c r="N5723" t="s">
        <v>42</v>
      </c>
      <c r="O5723" t="s">
        <v>33</v>
      </c>
      <c r="P5723" t="s">
        <v>34</v>
      </c>
      <c r="Q5723" t="s">
        <v>34</v>
      </c>
      <c r="R5723" t="s">
        <v>34</v>
      </c>
      <c r="S5723" t="s">
        <v>34</v>
      </c>
      <c r="T5723" s="117">
        <v>0</v>
      </c>
    </row>
    <row r="5724" spans="1:20" x14ac:dyDescent="0.35">
      <c r="A5724" t="s">
        <v>19</v>
      </c>
      <c r="B5724" t="s">
        <v>23</v>
      </c>
      <c r="C5724" s="1">
        <v>45994</v>
      </c>
      <c r="D5724">
        <f t="shared" si="712"/>
        <v>3</v>
      </c>
      <c r="E5724">
        <f t="shared" si="713"/>
        <v>12</v>
      </c>
      <c r="F5724">
        <f t="shared" si="714"/>
        <v>2025</v>
      </c>
      <c r="G5724" t="s">
        <v>333</v>
      </c>
      <c r="H5724" s="180">
        <v>14228</v>
      </c>
      <c r="I5724" s="94">
        <v>3711</v>
      </c>
      <c r="J5724" s="12" t="s">
        <v>31</v>
      </c>
      <c r="K5724" s="94">
        <f t="shared" si="708"/>
        <v>3711</v>
      </c>
      <c r="L5724">
        <v>1</v>
      </c>
      <c r="M5724" s="94">
        <v>0</v>
      </c>
      <c r="N5724" t="s">
        <v>42</v>
      </c>
      <c r="O5724" t="s">
        <v>33</v>
      </c>
      <c r="P5724" t="s">
        <v>34</v>
      </c>
      <c r="Q5724" t="s">
        <v>34</v>
      </c>
      <c r="R5724" t="s">
        <v>34</v>
      </c>
      <c r="S5724" t="s">
        <v>34</v>
      </c>
      <c r="T5724" s="117">
        <v>0</v>
      </c>
    </row>
    <row r="5725" spans="1:20" x14ac:dyDescent="0.35">
      <c r="A5725" t="s">
        <v>20</v>
      </c>
      <c r="B5725" t="s">
        <v>25</v>
      </c>
      <c r="C5725" s="1">
        <v>45994</v>
      </c>
      <c r="D5725">
        <f>DAY(C5725)</f>
        <v>3</v>
      </c>
      <c r="E5725">
        <f>MONTH(C5725)</f>
        <v>12</v>
      </c>
      <c r="F5725">
        <f>YEAR(C5725)</f>
        <v>2025</v>
      </c>
      <c r="G5725" t="s">
        <v>97</v>
      </c>
      <c r="H5725" s="223">
        <v>13926</v>
      </c>
      <c r="I5725" s="224">
        <v>117227.51669999999</v>
      </c>
      <c r="J5725" s="12" t="s">
        <v>31</v>
      </c>
      <c r="K5725" s="94">
        <f t="shared" si="708"/>
        <v>117227.51669999999</v>
      </c>
      <c r="L5725">
        <v>1</v>
      </c>
      <c r="M5725" s="94">
        <v>0</v>
      </c>
      <c r="N5725" t="s">
        <v>32</v>
      </c>
      <c r="O5725" t="s">
        <v>33</v>
      </c>
      <c r="P5725" t="s">
        <v>34</v>
      </c>
      <c r="Q5725" t="s">
        <v>34</v>
      </c>
      <c r="R5725" t="s">
        <v>34</v>
      </c>
      <c r="S5725" t="s">
        <v>34</v>
      </c>
      <c r="T5725" s="117">
        <v>0</v>
      </c>
    </row>
    <row r="5726" spans="1:20" x14ac:dyDescent="0.35">
      <c r="A5726" t="s">
        <v>20</v>
      </c>
      <c r="B5726" t="s">
        <v>24</v>
      </c>
      <c r="C5726" s="1">
        <v>45994</v>
      </c>
      <c r="D5726">
        <f t="shared" ref="D5726:D5753" si="715">DAY(C5726)</f>
        <v>3</v>
      </c>
      <c r="E5726">
        <f t="shared" ref="E5726:E5753" si="716">MONTH(C5726)</f>
        <v>12</v>
      </c>
      <c r="F5726">
        <f t="shared" ref="F5726:F5753" si="717">YEAR(C5726)</f>
        <v>2025</v>
      </c>
      <c r="G5726" t="s">
        <v>97</v>
      </c>
      <c r="H5726" s="223">
        <v>13926</v>
      </c>
      <c r="I5726" s="224">
        <v>71774.082999999999</v>
      </c>
      <c r="J5726" s="12" t="s">
        <v>31</v>
      </c>
      <c r="K5726" s="94">
        <f t="shared" si="708"/>
        <v>71774.082999999999</v>
      </c>
      <c r="L5726">
        <v>1</v>
      </c>
      <c r="M5726" s="94">
        <v>0</v>
      </c>
      <c r="N5726" t="s">
        <v>32</v>
      </c>
      <c r="O5726" t="s">
        <v>33</v>
      </c>
      <c r="P5726" t="s">
        <v>34</v>
      </c>
      <c r="Q5726" t="s">
        <v>34</v>
      </c>
      <c r="R5726" t="s">
        <v>34</v>
      </c>
      <c r="S5726" t="s">
        <v>34</v>
      </c>
      <c r="T5726" s="117">
        <v>0</v>
      </c>
    </row>
    <row r="5727" spans="1:20" x14ac:dyDescent="0.35">
      <c r="A5727" t="s">
        <v>20</v>
      </c>
      <c r="B5727" t="s">
        <v>23</v>
      </c>
      <c r="C5727" s="1">
        <v>45994</v>
      </c>
      <c r="D5727">
        <f t="shared" si="715"/>
        <v>3</v>
      </c>
      <c r="E5727">
        <f t="shared" si="716"/>
        <v>12</v>
      </c>
      <c r="F5727">
        <f t="shared" si="717"/>
        <v>2025</v>
      </c>
      <c r="G5727" t="s">
        <v>97</v>
      </c>
      <c r="H5727" s="223">
        <v>14094</v>
      </c>
      <c r="I5727" s="201">
        <v>259</v>
      </c>
      <c r="J5727" s="12" t="s">
        <v>31</v>
      </c>
      <c r="K5727" s="94">
        <f t="shared" si="708"/>
        <v>259</v>
      </c>
      <c r="L5727">
        <v>1</v>
      </c>
      <c r="M5727" s="94">
        <v>0</v>
      </c>
      <c r="N5727" t="s">
        <v>32</v>
      </c>
      <c r="O5727" t="s">
        <v>33</v>
      </c>
      <c r="P5727" t="s">
        <v>34</v>
      </c>
      <c r="Q5727" t="s">
        <v>34</v>
      </c>
      <c r="R5727" t="s">
        <v>34</v>
      </c>
      <c r="S5727" t="s">
        <v>34</v>
      </c>
      <c r="T5727" s="117">
        <v>0</v>
      </c>
    </row>
    <row r="5728" spans="1:20" x14ac:dyDescent="0.35">
      <c r="A5728" t="s">
        <v>20</v>
      </c>
      <c r="B5728" t="s">
        <v>25</v>
      </c>
      <c r="C5728" s="1">
        <v>45994</v>
      </c>
      <c r="D5728">
        <f t="shared" si="715"/>
        <v>3</v>
      </c>
      <c r="E5728">
        <f t="shared" si="716"/>
        <v>12</v>
      </c>
      <c r="F5728">
        <f t="shared" si="717"/>
        <v>2025</v>
      </c>
      <c r="G5728" t="s">
        <v>1533</v>
      </c>
      <c r="H5728" s="223">
        <v>14285</v>
      </c>
      <c r="I5728" s="224">
        <v>85.98</v>
      </c>
      <c r="J5728" s="12" t="s">
        <v>31</v>
      </c>
      <c r="K5728" s="94">
        <f t="shared" si="708"/>
        <v>85.98</v>
      </c>
      <c r="L5728">
        <v>1</v>
      </c>
      <c r="M5728" s="94">
        <v>0</v>
      </c>
      <c r="N5728" t="s">
        <v>42</v>
      </c>
      <c r="O5728" t="s">
        <v>33</v>
      </c>
      <c r="P5728" t="s">
        <v>34</v>
      </c>
      <c r="Q5728" t="s">
        <v>34</v>
      </c>
      <c r="R5728" t="s">
        <v>34</v>
      </c>
      <c r="S5728" t="s">
        <v>34</v>
      </c>
      <c r="T5728" s="117">
        <v>0</v>
      </c>
    </row>
    <row r="5729" spans="1:20" x14ac:dyDescent="0.35">
      <c r="A5729" t="s">
        <v>20</v>
      </c>
      <c r="B5729" t="s">
        <v>25</v>
      </c>
      <c r="C5729" s="1">
        <v>45994</v>
      </c>
      <c r="D5729">
        <f t="shared" si="715"/>
        <v>3</v>
      </c>
      <c r="E5729">
        <f t="shared" si="716"/>
        <v>12</v>
      </c>
      <c r="F5729">
        <f t="shared" si="717"/>
        <v>2025</v>
      </c>
      <c r="G5729" t="s">
        <v>1533</v>
      </c>
      <c r="H5729" s="223">
        <v>14287</v>
      </c>
      <c r="I5729" s="201">
        <v>7704</v>
      </c>
      <c r="J5729" s="12" t="s">
        <v>31</v>
      </c>
      <c r="K5729" s="94">
        <f t="shared" si="708"/>
        <v>7704</v>
      </c>
      <c r="L5729">
        <v>1</v>
      </c>
      <c r="M5729" s="94">
        <v>0</v>
      </c>
      <c r="N5729" t="s">
        <v>42</v>
      </c>
      <c r="O5729" t="s">
        <v>33</v>
      </c>
      <c r="P5729" t="s">
        <v>34</v>
      </c>
      <c r="Q5729" t="s">
        <v>34</v>
      </c>
      <c r="R5729" t="s">
        <v>34</v>
      </c>
      <c r="S5729" t="s">
        <v>34</v>
      </c>
      <c r="T5729" s="117">
        <v>0</v>
      </c>
    </row>
    <row r="5730" spans="1:20" x14ac:dyDescent="0.35">
      <c r="A5730" t="s">
        <v>20</v>
      </c>
      <c r="B5730" t="s">
        <v>21</v>
      </c>
      <c r="C5730" s="1">
        <v>45994</v>
      </c>
      <c r="D5730">
        <f t="shared" si="715"/>
        <v>3</v>
      </c>
      <c r="E5730">
        <f t="shared" si="716"/>
        <v>12</v>
      </c>
      <c r="F5730">
        <f t="shared" si="717"/>
        <v>2025</v>
      </c>
      <c r="G5730" t="s">
        <v>300</v>
      </c>
      <c r="H5730" s="223">
        <v>14161</v>
      </c>
      <c r="I5730" s="224">
        <v>611.80000000000007</v>
      </c>
      <c r="J5730" s="12" t="s">
        <v>31</v>
      </c>
      <c r="K5730" s="94">
        <f t="shared" si="708"/>
        <v>611.80000000000007</v>
      </c>
      <c r="L5730">
        <v>1</v>
      </c>
      <c r="M5730" s="94">
        <v>0</v>
      </c>
      <c r="N5730" t="s">
        <v>42</v>
      </c>
      <c r="O5730" t="s">
        <v>33</v>
      </c>
      <c r="P5730" t="s">
        <v>34</v>
      </c>
      <c r="Q5730" t="s">
        <v>34</v>
      </c>
      <c r="R5730" t="s">
        <v>34</v>
      </c>
      <c r="S5730" t="s">
        <v>34</v>
      </c>
      <c r="T5730" s="117">
        <v>0</v>
      </c>
    </row>
    <row r="5731" spans="1:20" x14ac:dyDescent="0.35">
      <c r="A5731" t="s">
        <v>20</v>
      </c>
      <c r="B5731" t="s">
        <v>21</v>
      </c>
      <c r="C5731" s="1">
        <v>45994</v>
      </c>
      <c r="D5731">
        <f t="shared" si="715"/>
        <v>3</v>
      </c>
      <c r="E5731">
        <f t="shared" si="716"/>
        <v>12</v>
      </c>
      <c r="F5731">
        <f t="shared" si="717"/>
        <v>2025</v>
      </c>
      <c r="G5731" t="s">
        <v>300</v>
      </c>
      <c r="H5731" s="223">
        <v>14289</v>
      </c>
      <c r="I5731" s="224">
        <v>40</v>
      </c>
      <c r="J5731" s="12" t="s">
        <v>31</v>
      </c>
      <c r="K5731" s="94">
        <f t="shared" si="708"/>
        <v>40</v>
      </c>
      <c r="L5731">
        <v>1</v>
      </c>
      <c r="M5731" s="94">
        <v>0</v>
      </c>
      <c r="N5731" t="s">
        <v>42</v>
      </c>
      <c r="O5731" t="s">
        <v>33</v>
      </c>
      <c r="P5731" t="s">
        <v>34</v>
      </c>
      <c r="Q5731" t="s">
        <v>34</v>
      </c>
      <c r="R5731" t="s">
        <v>34</v>
      </c>
      <c r="S5731" t="s">
        <v>34</v>
      </c>
      <c r="T5731" s="117">
        <v>0</v>
      </c>
    </row>
    <row r="5732" spans="1:20" x14ac:dyDescent="0.35">
      <c r="A5732" t="s">
        <v>20</v>
      </c>
      <c r="B5732" t="s">
        <v>21</v>
      </c>
      <c r="C5732" s="1">
        <v>45994</v>
      </c>
      <c r="D5732">
        <f t="shared" si="715"/>
        <v>3</v>
      </c>
      <c r="E5732">
        <f t="shared" si="716"/>
        <v>12</v>
      </c>
      <c r="F5732">
        <f t="shared" si="717"/>
        <v>2025</v>
      </c>
      <c r="G5732" t="s">
        <v>300</v>
      </c>
      <c r="H5732" s="223">
        <v>14290</v>
      </c>
      <c r="I5732" s="201">
        <v>144</v>
      </c>
      <c r="J5732" s="12" t="s">
        <v>31</v>
      </c>
      <c r="K5732" s="94">
        <f t="shared" si="708"/>
        <v>144</v>
      </c>
      <c r="L5732">
        <v>1</v>
      </c>
      <c r="M5732" s="94">
        <v>0</v>
      </c>
      <c r="N5732" t="s">
        <v>42</v>
      </c>
      <c r="O5732" t="s">
        <v>33</v>
      </c>
      <c r="P5732" t="s">
        <v>34</v>
      </c>
      <c r="Q5732" t="s">
        <v>34</v>
      </c>
      <c r="R5732" t="s">
        <v>34</v>
      </c>
      <c r="S5732" t="s">
        <v>34</v>
      </c>
      <c r="T5732" s="117">
        <v>0</v>
      </c>
    </row>
    <row r="5733" spans="1:20" x14ac:dyDescent="0.35">
      <c r="A5733" t="s">
        <v>20</v>
      </c>
      <c r="B5733" t="s">
        <v>25</v>
      </c>
      <c r="C5733" s="1">
        <v>45994</v>
      </c>
      <c r="D5733">
        <f t="shared" si="715"/>
        <v>3</v>
      </c>
      <c r="E5733">
        <f t="shared" si="716"/>
        <v>12</v>
      </c>
      <c r="F5733">
        <f t="shared" si="717"/>
        <v>2025</v>
      </c>
      <c r="G5733" t="s">
        <v>1238</v>
      </c>
      <c r="H5733" s="223">
        <v>13540</v>
      </c>
      <c r="I5733" s="224">
        <v>4655.7</v>
      </c>
      <c r="J5733" s="12" t="s">
        <v>31</v>
      </c>
      <c r="K5733" s="94">
        <f t="shared" si="708"/>
        <v>4655.7</v>
      </c>
      <c r="L5733">
        <v>1</v>
      </c>
      <c r="M5733" s="94">
        <v>0</v>
      </c>
      <c r="N5733" t="s">
        <v>32</v>
      </c>
      <c r="O5733" t="s">
        <v>33</v>
      </c>
      <c r="P5733" t="s">
        <v>34</v>
      </c>
      <c r="Q5733" t="s">
        <v>34</v>
      </c>
      <c r="R5733" t="s">
        <v>34</v>
      </c>
      <c r="S5733" t="s">
        <v>34</v>
      </c>
      <c r="T5733" s="117">
        <v>0</v>
      </c>
    </row>
    <row r="5734" spans="1:20" x14ac:dyDescent="0.35">
      <c r="A5734" t="s">
        <v>20</v>
      </c>
      <c r="B5734" t="s">
        <v>23</v>
      </c>
      <c r="C5734" s="1">
        <v>45994</v>
      </c>
      <c r="D5734">
        <f t="shared" si="715"/>
        <v>3</v>
      </c>
      <c r="E5734">
        <f t="shared" si="716"/>
        <v>12</v>
      </c>
      <c r="F5734">
        <f t="shared" si="717"/>
        <v>2025</v>
      </c>
      <c r="G5734" t="s">
        <v>1238</v>
      </c>
      <c r="H5734" s="223">
        <v>14295</v>
      </c>
      <c r="I5734" s="224">
        <v>40.14</v>
      </c>
      <c r="J5734" s="12" t="s">
        <v>31</v>
      </c>
      <c r="K5734" s="94">
        <f t="shared" si="708"/>
        <v>40.14</v>
      </c>
      <c r="L5734">
        <v>1</v>
      </c>
      <c r="M5734" s="94">
        <v>0</v>
      </c>
      <c r="N5734" t="s">
        <v>42</v>
      </c>
      <c r="O5734" t="s">
        <v>33</v>
      </c>
      <c r="P5734" t="s">
        <v>34</v>
      </c>
      <c r="Q5734" t="s">
        <v>34</v>
      </c>
      <c r="R5734" t="s">
        <v>34</v>
      </c>
      <c r="S5734" t="s">
        <v>34</v>
      </c>
      <c r="T5734" s="117">
        <v>0</v>
      </c>
    </row>
    <row r="5735" spans="1:20" x14ac:dyDescent="0.35">
      <c r="A5735" t="s">
        <v>20</v>
      </c>
      <c r="B5735" t="s">
        <v>23</v>
      </c>
      <c r="C5735" s="1">
        <v>45994</v>
      </c>
      <c r="D5735">
        <f t="shared" si="715"/>
        <v>3</v>
      </c>
      <c r="E5735">
        <f t="shared" si="716"/>
        <v>12</v>
      </c>
      <c r="F5735">
        <f t="shared" si="717"/>
        <v>2025</v>
      </c>
      <c r="G5735" t="s">
        <v>1238</v>
      </c>
      <c r="H5735" s="223">
        <v>14296</v>
      </c>
      <c r="I5735" s="224">
        <v>6726.6</v>
      </c>
      <c r="J5735" s="12" t="s">
        <v>31</v>
      </c>
      <c r="K5735" s="94">
        <f t="shared" si="708"/>
        <v>6726.6</v>
      </c>
      <c r="L5735">
        <v>1</v>
      </c>
      <c r="M5735" s="94">
        <v>0</v>
      </c>
      <c r="N5735" t="s">
        <v>42</v>
      </c>
      <c r="O5735" t="s">
        <v>33</v>
      </c>
      <c r="P5735" t="s">
        <v>34</v>
      </c>
      <c r="Q5735" t="s">
        <v>34</v>
      </c>
      <c r="R5735" t="s">
        <v>34</v>
      </c>
      <c r="S5735" t="s">
        <v>34</v>
      </c>
      <c r="T5735" s="117">
        <v>0</v>
      </c>
    </row>
    <row r="5736" spans="1:20" x14ac:dyDescent="0.35">
      <c r="A5736" t="s">
        <v>20</v>
      </c>
      <c r="B5736" t="s">
        <v>24</v>
      </c>
      <c r="C5736" s="1">
        <v>45994</v>
      </c>
      <c r="D5736">
        <f t="shared" si="715"/>
        <v>3</v>
      </c>
      <c r="E5736">
        <f t="shared" si="716"/>
        <v>12</v>
      </c>
      <c r="F5736">
        <f t="shared" si="717"/>
        <v>2025</v>
      </c>
      <c r="G5736" t="s">
        <v>1238</v>
      </c>
      <c r="H5736" s="223">
        <v>14297</v>
      </c>
      <c r="I5736" s="224">
        <v>133.32</v>
      </c>
      <c r="J5736" s="12" t="s">
        <v>31</v>
      </c>
      <c r="K5736" s="94">
        <f t="shared" si="708"/>
        <v>133.32</v>
      </c>
      <c r="L5736">
        <v>1</v>
      </c>
      <c r="M5736" s="94">
        <v>0</v>
      </c>
      <c r="N5736" t="s">
        <v>42</v>
      </c>
      <c r="O5736" t="s">
        <v>33</v>
      </c>
      <c r="P5736" t="s">
        <v>34</v>
      </c>
      <c r="Q5736" t="s">
        <v>34</v>
      </c>
      <c r="R5736" t="s">
        <v>34</v>
      </c>
      <c r="S5736" t="s">
        <v>34</v>
      </c>
      <c r="T5736" s="117">
        <v>0</v>
      </c>
    </row>
    <row r="5737" spans="1:20" x14ac:dyDescent="0.35">
      <c r="A5737" t="s">
        <v>20</v>
      </c>
      <c r="B5737" t="s">
        <v>24</v>
      </c>
      <c r="C5737" s="1">
        <v>45994</v>
      </c>
      <c r="D5737">
        <f t="shared" si="715"/>
        <v>3</v>
      </c>
      <c r="E5737">
        <f t="shared" si="716"/>
        <v>12</v>
      </c>
      <c r="F5737">
        <f t="shared" si="717"/>
        <v>2025</v>
      </c>
      <c r="G5737" t="s">
        <v>1238</v>
      </c>
      <c r="H5737" s="223">
        <v>14298</v>
      </c>
      <c r="I5737" s="224">
        <v>57.599999999999994</v>
      </c>
      <c r="J5737" s="12" t="s">
        <v>31</v>
      </c>
      <c r="K5737" s="94">
        <f t="shared" si="708"/>
        <v>57.599999999999994</v>
      </c>
      <c r="L5737">
        <v>1</v>
      </c>
      <c r="M5737" s="94">
        <v>0</v>
      </c>
      <c r="N5737" t="s">
        <v>42</v>
      </c>
      <c r="O5737" t="s">
        <v>33</v>
      </c>
      <c r="P5737" t="s">
        <v>34</v>
      </c>
      <c r="Q5737" t="s">
        <v>34</v>
      </c>
      <c r="R5737" t="s">
        <v>34</v>
      </c>
      <c r="S5737" t="s">
        <v>34</v>
      </c>
      <c r="T5737" s="117">
        <v>0</v>
      </c>
    </row>
    <row r="5738" spans="1:20" x14ac:dyDescent="0.35">
      <c r="A5738" t="s">
        <v>20</v>
      </c>
      <c r="B5738" t="s">
        <v>24</v>
      </c>
      <c r="C5738" s="1">
        <v>45994</v>
      </c>
      <c r="D5738">
        <f t="shared" si="715"/>
        <v>3</v>
      </c>
      <c r="E5738">
        <f t="shared" si="716"/>
        <v>12</v>
      </c>
      <c r="F5738">
        <f t="shared" si="717"/>
        <v>2025</v>
      </c>
      <c r="G5738" t="s">
        <v>1238</v>
      </c>
      <c r="H5738" s="223">
        <v>14299</v>
      </c>
      <c r="I5738" s="224">
        <v>4149.6000000000004</v>
      </c>
      <c r="J5738" s="12" t="s">
        <v>31</v>
      </c>
      <c r="K5738" s="94">
        <f t="shared" si="708"/>
        <v>4149.6000000000004</v>
      </c>
      <c r="L5738">
        <v>1</v>
      </c>
      <c r="M5738" s="94">
        <v>0</v>
      </c>
      <c r="N5738" t="s">
        <v>42</v>
      </c>
      <c r="O5738" t="s">
        <v>33</v>
      </c>
      <c r="P5738" t="s">
        <v>34</v>
      </c>
      <c r="Q5738" t="s">
        <v>34</v>
      </c>
      <c r="R5738" t="s">
        <v>34</v>
      </c>
      <c r="S5738" t="s">
        <v>34</v>
      </c>
      <c r="T5738" s="117">
        <v>0</v>
      </c>
    </row>
    <row r="5739" spans="1:20" x14ac:dyDescent="0.35">
      <c r="A5739" t="s">
        <v>20</v>
      </c>
      <c r="B5739" t="s">
        <v>24</v>
      </c>
      <c r="C5739" s="1">
        <v>45994</v>
      </c>
      <c r="D5739">
        <f t="shared" si="715"/>
        <v>3</v>
      </c>
      <c r="E5739">
        <f t="shared" si="716"/>
        <v>12</v>
      </c>
      <c r="F5739">
        <f t="shared" si="717"/>
        <v>2025</v>
      </c>
      <c r="G5739" t="s">
        <v>1238</v>
      </c>
      <c r="H5739" s="223">
        <v>14300</v>
      </c>
      <c r="I5739" s="224">
        <v>4104</v>
      </c>
      <c r="J5739" s="12" t="s">
        <v>31</v>
      </c>
      <c r="K5739" s="94">
        <f t="shared" si="708"/>
        <v>4104</v>
      </c>
      <c r="L5739">
        <v>1</v>
      </c>
      <c r="M5739" s="94">
        <v>0</v>
      </c>
      <c r="N5739" t="s">
        <v>42</v>
      </c>
      <c r="O5739" t="s">
        <v>33</v>
      </c>
      <c r="P5739" t="s">
        <v>34</v>
      </c>
      <c r="Q5739" t="s">
        <v>34</v>
      </c>
      <c r="R5739" t="s">
        <v>34</v>
      </c>
      <c r="S5739" t="s">
        <v>34</v>
      </c>
      <c r="T5739" s="117">
        <v>0</v>
      </c>
    </row>
    <row r="5740" spans="1:20" x14ac:dyDescent="0.35">
      <c r="A5740" t="s">
        <v>20</v>
      </c>
      <c r="B5740" t="s">
        <v>21</v>
      </c>
      <c r="C5740" s="1">
        <v>45994</v>
      </c>
      <c r="D5740">
        <f t="shared" si="715"/>
        <v>3</v>
      </c>
      <c r="E5740">
        <f t="shared" si="716"/>
        <v>12</v>
      </c>
      <c r="F5740">
        <f t="shared" si="717"/>
        <v>2025</v>
      </c>
      <c r="G5740" t="s">
        <v>1238</v>
      </c>
      <c r="H5740" s="223">
        <v>14301</v>
      </c>
      <c r="I5740" s="224">
        <v>79.56</v>
      </c>
      <c r="J5740" s="12" t="s">
        <v>31</v>
      </c>
      <c r="K5740" s="94">
        <f t="shared" si="708"/>
        <v>79.56</v>
      </c>
      <c r="L5740">
        <v>1</v>
      </c>
      <c r="M5740" s="94">
        <v>0</v>
      </c>
      <c r="N5740" t="s">
        <v>42</v>
      </c>
      <c r="O5740" t="s">
        <v>33</v>
      </c>
      <c r="P5740" t="s">
        <v>34</v>
      </c>
      <c r="Q5740" t="s">
        <v>34</v>
      </c>
      <c r="R5740" t="s">
        <v>34</v>
      </c>
      <c r="S5740" t="s">
        <v>34</v>
      </c>
      <c r="T5740" s="117">
        <v>0</v>
      </c>
    </row>
    <row r="5741" spans="1:20" x14ac:dyDescent="0.35">
      <c r="A5741" t="s">
        <v>20</v>
      </c>
      <c r="B5741" t="s">
        <v>21</v>
      </c>
      <c r="C5741" s="1">
        <v>45994</v>
      </c>
      <c r="D5741">
        <f t="shared" si="715"/>
        <v>3</v>
      </c>
      <c r="E5741">
        <f t="shared" si="716"/>
        <v>12</v>
      </c>
      <c r="F5741">
        <f t="shared" si="717"/>
        <v>2025</v>
      </c>
      <c r="G5741" t="s">
        <v>1238</v>
      </c>
      <c r="H5741" s="223">
        <v>14302</v>
      </c>
      <c r="I5741" s="224">
        <v>10451.51</v>
      </c>
      <c r="J5741" s="12" t="s">
        <v>31</v>
      </c>
      <c r="K5741" s="94">
        <f t="shared" si="708"/>
        <v>10451.51</v>
      </c>
      <c r="L5741">
        <v>1</v>
      </c>
      <c r="M5741" s="94">
        <v>0</v>
      </c>
      <c r="N5741" t="s">
        <v>42</v>
      </c>
      <c r="O5741" t="s">
        <v>33</v>
      </c>
      <c r="P5741" t="s">
        <v>34</v>
      </c>
      <c r="Q5741" t="s">
        <v>34</v>
      </c>
      <c r="R5741" t="s">
        <v>34</v>
      </c>
      <c r="S5741" t="s">
        <v>34</v>
      </c>
      <c r="T5741" s="117">
        <v>0</v>
      </c>
    </row>
    <row r="5742" spans="1:20" x14ac:dyDescent="0.35">
      <c r="A5742" t="s">
        <v>20</v>
      </c>
      <c r="B5742" t="s">
        <v>21</v>
      </c>
      <c r="C5742" s="1">
        <v>45994</v>
      </c>
      <c r="D5742">
        <f t="shared" si="715"/>
        <v>3</v>
      </c>
      <c r="E5742">
        <f t="shared" si="716"/>
        <v>12</v>
      </c>
      <c r="F5742">
        <f t="shared" si="717"/>
        <v>2025</v>
      </c>
      <c r="G5742" t="s">
        <v>1238</v>
      </c>
      <c r="H5742" s="223">
        <v>14303</v>
      </c>
      <c r="I5742" s="224">
        <v>42.24</v>
      </c>
      <c r="J5742" s="12" t="s">
        <v>31</v>
      </c>
      <c r="K5742" s="94">
        <f t="shared" si="708"/>
        <v>42.24</v>
      </c>
      <c r="L5742">
        <v>1</v>
      </c>
      <c r="M5742" s="94">
        <v>0</v>
      </c>
      <c r="N5742" t="s">
        <v>42</v>
      </c>
      <c r="O5742" t="s">
        <v>33</v>
      </c>
      <c r="P5742" t="s">
        <v>34</v>
      </c>
      <c r="Q5742" t="s">
        <v>34</v>
      </c>
      <c r="R5742" t="s">
        <v>34</v>
      </c>
      <c r="S5742" t="s">
        <v>34</v>
      </c>
      <c r="T5742" s="117">
        <v>0</v>
      </c>
    </row>
    <row r="5743" spans="1:20" x14ac:dyDescent="0.35">
      <c r="A5743" t="s">
        <v>20</v>
      </c>
      <c r="B5743" t="s">
        <v>21</v>
      </c>
      <c r="C5743" s="1">
        <v>45994</v>
      </c>
      <c r="D5743">
        <f t="shared" si="715"/>
        <v>3</v>
      </c>
      <c r="E5743">
        <f t="shared" si="716"/>
        <v>12</v>
      </c>
      <c r="F5743">
        <f t="shared" si="717"/>
        <v>2025</v>
      </c>
      <c r="G5743" t="s">
        <v>1238</v>
      </c>
      <c r="H5743" s="223">
        <v>14304</v>
      </c>
      <c r="I5743" s="201">
        <v>3744.5</v>
      </c>
      <c r="J5743" s="12" t="s">
        <v>31</v>
      </c>
      <c r="K5743" s="94">
        <f t="shared" si="708"/>
        <v>3744.5</v>
      </c>
      <c r="L5743">
        <v>1</v>
      </c>
      <c r="M5743" s="94">
        <v>0</v>
      </c>
      <c r="N5743" t="s">
        <v>42</v>
      </c>
      <c r="O5743" t="s">
        <v>33</v>
      </c>
      <c r="P5743" t="s">
        <v>34</v>
      </c>
      <c r="Q5743" t="s">
        <v>34</v>
      </c>
      <c r="R5743" t="s">
        <v>34</v>
      </c>
      <c r="S5743" t="s">
        <v>34</v>
      </c>
      <c r="T5743" s="117">
        <v>0</v>
      </c>
    </row>
    <row r="5744" spans="1:20" x14ac:dyDescent="0.35">
      <c r="A5744" t="s">
        <v>20</v>
      </c>
      <c r="B5744" t="s">
        <v>25</v>
      </c>
      <c r="C5744" s="1">
        <v>45994</v>
      </c>
      <c r="D5744">
        <f t="shared" si="715"/>
        <v>3</v>
      </c>
      <c r="E5744">
        <f t="shared" si="716"/>
        <v>12</v>
      </c>
      <c r="F5744">
        <f t="shared" si="717"/>
        <v>2025</v>
      </c>
      <c r="G5744" t="s">
        <v>81</v>
      </c>
      <c r="H5744" s="225">
        <v>13418</v>
      </c>
      <c r="I5744" s="224">
        <v>829.45</v>
      </c>
      <c r="J5744" s="12" t="s">
        <v>31</v>
      </c>
      <c r="K5744" s="94">
        <f t="shared" si="708"/>
        <v>829.45</v>
      </c>
      <c r="L5744">
        <v>1</v>
      </c>
      <c r="M5744" s="94">
        <v>0</v>
      </c>
      <c r="N5744" t="s">
        <v>42</v>
      </c>
      <c r="O5744" t="s">
        <v>33</v>
      </c>
      <c r="P5744" t="s">
        <v>34</v>
      </c>
      <c r="Q5744" t="s">
        <v>34</v>
      </c>
      <c r="R5744" t="s">
        <v>34</v>
      </c>
      <c r="S5744" t="s">
        <v>34</v>
      </c>
      <c r="T5744" s="117">
        <v>0</v>
      </c>
    </row>
    <row r="5745" spans="1:20" x14ac:dyDescent="0.35">
      <c r="A5745" t="s">
        <v>20</v>
      </c>
      <c r="B5745" t="s">
        <v>21</v>
      </c>
      <c r="C5745" s="1">
        <v>45994</v>
      </c>
      <c r="D5745">
        <f t="shared" si="715"/>
        <v>3</v>
      </c>
      <c r="E5745">
        <f t="shared" si="716"/>
        <v>12</v>
      </c>
      <c r="F5745">
        <f t="shared" si="717"/>
        <v>2025</v>
      </c>
      <c r="G5745" t="s">
        <v>90</v>
      </c>
      <c r="H5745" s="223">
        <v>13309</v>
      </c>
      <c r="I5745" s="224">
        <v>65.89</v>
      </c>
      <c r="J5745" s="12" t="s">
        <v>31</v>
      </c>
      <c r="K5745" s="94">
        <f t="shared" si="708"/>
        <v>65.89</v>
      </c>
      <c r="L5745">
        <v>1</v>
      </c>
      <c r="M5745" s="94">
        <v>0</v>
      </c>
      <c r="N5745" t="s">
        <v>42</v>
      </c>
      <c r="O5745" t="s">
        <v>33</v>
      </c>
      <c r="P5745" t="s">
        <v>34</v>
      </c>
      <c r="Q5745" t="s">
        <v>34</v>
      </c>
      <c r="R5745" t="s">
        <v>34</v>
      </c>
      <c r="S5745" t="s">
        <v>34</v>
      </c>
      <c r="T5745" s="117">
        <v>0</v>
      </c>
    </row>
    <row r="5746" spans="1:20" x14ac:dyDescent="0.35">
      <c r="A5746" t="s">
        <v>20</v>
      </c>
      <c r="B5746" t="s">
        <v>25</v>
      </c>
      <c r="C5746" s="1">
        <v>45994</v>
      </c>
      <c r="D5746">
        <f t="shared" si="715"/>
        <v>3</v>
      </c>
      <c r="E5746">
        <f t="shared" si="716"/>
        <v>12</v>
      </c>
      <c r="F5746">
        <f t="shared" si="717"/>
        <v>2025</v>
      </c>
      <c r="G5746" t="s">
        <v>90</v>
      </c>
      <c r="H5746" s="223">
        <v>13309</v>
      </c>
      <c r="I5746" s="224">
        <v>52.6</v>
      </c>
      <c r="J5746" s="12" t="s">
        <v>31</v>
      </c>
      <c r="K5746" s="94">
        <f t="shared" si="708"/>
        <v>52.6</v>
      </c>
      <c r="L5746">
        <v>1</v>
      </c>
      <c r="M5746" s="94">
        <v>0</v>
      </c>
      <c r="N5746" t="s">
        <v>42</v>
      </c>
      <c r="O5746" t="s">
        <v>33</v>
      </c>
      <c r="P5746" t="s">
        <v>34</v>
      </c>
      <c r="Q5746" t="s">
        <v>34</v>
      </c>
      <c r="R5746" t="s">
        <v>34</v>
      </c>
      <c r="S5746" t="s">
        <v>34</v>
      </c>
      <c r="T5746" s="117">
        <v>0</v>
      </c>
    </row>
    <row r="5747" spans="1:20" x14ac:dyDescent="0.35">
      <c r="A5747" t="s">
        <v>20</v>
      </c>
      <c r="B5747" t="s">
        <v>21</v>
      </c>
      <c r="C5747" s="1">
        <v>45994</v>
      </c>
      <c r="D5747">
        <f t="shared" si="715"/>
        <v>3</v>
      </c>
      <c r="E5747">
        <f t="shared" si="716"/>
        <v>12</v>
      </c>
      <c r="F5747">
        <f t="shared" si="717"/>
        <v>2025</v>
      </c>
      <c r="G5747" t="s">
        <v>53</v>
      </c>
      <c r="H5747" s="223">
        <v>13301</v>
      </c>
      <c r="I5747" s="224">
        <v>14955.42</v>
      </c>
      <c r="J5747" s="12" t="s">
        <v>31</v>
      </c>
      <c r="K5747" s="94">
        <f t="shared" si="708"/>
        <v>14955.42</v>
      </c>
      <c r="L5747">
        <v>1</v>
      </c>
      <c r="M5747" s="94">
        <v>0</v>
      </c>
      <c r="N5747" t="s">
        <v>42</v>
      </c>
      <c r="O5747" t="s">
        <v>33</v>
      </c>
      <c r="P5747" t="s">
        <v>34</v>
      </c>
      <c r="Q5747" t="s">
        <v>34</v>
      </c>
      <c r="R5747" t="s">
        <v>34</v>
      </c>
      <c r="S5747" t="s">
        <v>34</v>
      </c>
      <c r="T5747" s="117">
        <v>0</v>
      </c>
    </row>
    <row r="5748" spans="1:20" x14ac:dyDescent="0.35">
      <c r="A5748" t="s">
        <v>20</v>
      </c>
      <c r="B5748" t="s">
        <v>21</v>
      </c>
      <c r="C5748" s="1">
        <v>45994</v>
      </c>
      <c r="D5748">
        <f t="shared" si="715"/>
        <v>3</v>
      </c>
      <c r="E5748">
        <f t="shared" si="716"/>
        <v>12</v>
      </c>
      <c r="F5748">
        <f t="shared" si="717"/>
        <v>2025</v>
      </c>
      <c r="G5748" t="s">
        <v>52</v>
      </c>
      <c r="H5748" s="223">
        <v>13429</v>
      </c>
      <c r="I5748" s="224">
        <v>300.56</v>
      </c>
      <c r="J5748" s="12" t="s">
        <v>31</v>
      </c>
      <c r="K5748" s="94">
        <f t="shared" si="708"/>
        <v>300.56</v>
      </c>
      <c r="L5748">
        <v>1</v>
      </c>
      <c r="M5748" s="94">
        <v>0</v>
      </c>
      <c r="N5748" t="s">
        <v>42</v>
      </c>
      <c r="O5748" t="s">
        <v>33</v>
      </c>
      <c r="P5748" t="s">
        <v>34</v>
      </c>
      <c r="Q5748" t="s">
        <v>34</v>
      </c>
      <c r="R5748" t="s">
        <v>34</v>
      </c>
      <c r="S5748" t="s">
        <v>34</v>
      </c>
      <c r="T5748" s="117">
        <v>0</v>
      </c>
    </row>
    <row r="5749" spans="1:20" x14ac:dyDescent="0.35">
      <c r="A5749" t="s">
        <v>20</v>
      </c>
      <c r="B5749" t="s">
        <v>21</v>
      </c>
      <c r="C5749" s="1">
        <v>45994</v>
      </c>
      <c r="D5749">
        <f t="shared" si="715"/>
        <v>3</v>
      </c>
      <c r="E5749">
        <f t="shared" si="716"/>
        <v>12</v>
      </c>
      <c r="F5749">
        <f t="shared" si="717"/>
        <v>2025</v>
      </c>
      <c r="G5749" t="s">
        <v>52</v>
      </c>
      <c r="H5749" s="223">
        <v>13671</v>
      </c>
      <c r="I5749" s="224">
        <v>154</v>
      </c>
      <c r="J5749" s="12" t="s">
        <v>31</v>
      </c>
      <c r="K5749" s="94">
        <f t="shared" ref="K5749:K5801" si="718">IF(J5749="USD",I5749,I5749*L5749)</f>
        <v>154</v>
      </c>
      <c r="L5749">
        <v>1</v>
      </c>
      <c r="M5749" s="94">
        <v>0</v>
      </c>
      <c r="N5749" t="s">
        <v>42</v>
      </c>
      <c r="O5749" t="s">
        <v>33</v>
      </c>
      <c r="P5749" t="s">
        <v>34</v>
      </c>
      <c r="Q5749" t="s">
        <v>34</v>
      </c>
      <c r="R5749" t="s">
        <v>34</v>
      </c>
      <c r="S5749" t="s">
        <v>34</v>
      </c>
      <c r="T5749" s="117">
        <v>0</v>
      </c>
    </row>
    <row r="5750" spans="1:20" x14ac:dyDescent="0.35">
      <c r="A5750" t="s">
        <v>20</v>
      </c>
      <c r="B5750" t="s">
        <v>23</v>
      </c>
      <c r="C5750" s="1">
        <v>45994</v>
      </c>
      <c r="D5750">
        <f t="shared" si="715"/>
        <v>3</v>
      </c>
      <c r="E5750">
        <f t="shared" si="716"/>
        <v>12</v>
      </c>
      <c r="F5750">
        <f t="shared" si="717"/>
        <v>2025</v>
      </c>
      <c r="G5750" t="s">
        <v>52</v>
      </c>
      <c r="H5750" s="223">
        <v>13671</v>
      </c>
      <c r="I5750" s="224">
        <v>195.33</v>
      </c>
      <c r="J5750" s="12" t="s">
        <v>31</v>
      </c>
      <c r="K5750" s="94">
        <f t="shared" si="718"/>
        <v>195.33</v>
      </c>
      <c r="L5750">
        <v>1</v>
      </c>
      <c r="M5750" s="94">
        <v>0</v>
      </c>
      <c r="N5750" t="s">
        <v>42</v>
      </c>
      <c r="O5750" t="s">
        <v>33</v>
      </c>
      <c r="P5750" t="s">
        <v>34</v>
      </c>
      <c r="Q5750" t="s">
        <v>34</v>
      </c>
      <c r="R5750" t="s">
        <v>34</v>
      </c>
      <c r="S5750" t="s">
        <v>34</v>
      </c>
      <c r="T5750" s="117">
        <v>0</v>
      </c>
    </row>
    <row r="5751" spans="1:20" x14ac:dyDescent="0.35">
      <c r="A5751" t="s">
        <v>20</v>
      </c>
      <c r="B5751" t="s">
        <v>21</v>
      </c>
      <c r="C5751" s="1">
        <v>45994</v>
      </c>
      <c r="D5751">
        <f t="shared" si="715"/>
        <v>3</v>
      </c>
      <c r="E5751">
        <f t="shared" si="716"/>
        <v>12</v>
      </c>
      <c r="F5751">
        <f t="shared" si="717"/>
        <v>2025</v>
      </c>
      <c r="G5751" t="s">
        <v>52</v>
      </c>
      <c r="H5751" s="223">
        <v>13830</v>
      </c>
      <c r="I5751" s="224">
        <v>155.04</v>
      </c>
      <c r="J5751" s="12" t="s">
        <v>31</v>
      </c>
      <c r="K5751" s="94">
        <f t="shared" si="718"/>
        <v>155.04</v>
      </c>
      <c r="L5751">
        <v>1</v>
      </c>
      <c r="M5751" s="94">
        <v>0</v>
      </c>
      <c r="N5751" t="s">
        <v>42</v>
      </c>
      <c r="O5751" t="s">
        <v>33</v>
      </c>
      <c r="P5751" t="s">
        <v>34</v>
      </c>
      <c r="Q5751" t="s">
        <v>34</v>
      </c>
      <c r="R5751" t="s">
        <v>34</v>
      </c>
      <c r="S5751" t="s">
        <v>34</v>
      </c>
      <c r="T5751" s="117">
        <v>0</v>
      </c>
    </row>
    <row r="5752" spans="1:20" x14ac:dyDescent="0.35">
      <c r="A5752" t="s">
        <v>20</v>
      </c>
      <c r="B5752" t="s">
        <v>23</v>
      </c>
      <c r="C5752" s="1">
        <v>45994</v>
      </c>
      <c r="D5752">
        <f t="shared" si="715"/>
        <v>3</v>
      </c>
      <c r="E5752">
        <f t="shared" si="716"/>
        <v>12</v>
      </c>
      <c r="F5752">
        <f t="shared" si="717"/>
        <v>2025</v>
      </c>
      <c r="G5752" t="s">
        <v>696</v>
      </c>
      <c r="H5752" s="223">
        <v>14276</v>
      </c>
      <c r="I5752" s="224">
        <v>19.2</v>
      </c>
      <c r="J5752" s="12" t="s">
        <v>31</v>
      </c>
      <c r="K5752" s="94">
        <f t="shared" si="718"/>
        <v>19.2</v>
      </c>
      <c r="L5752">
        <v>1</v>
      </c>
      <c r="M5752" s="94">
        <v>0</v>
      </c>
      <c r="N5752" t="s">
        <v>42</v>
      </c>
      <c r="O5752" t="s">
        <v>33</v>
      </c>
      <c r="P5752" t="s">
        <v>34</v>
      </c>
      <c r="Q5752" t="s">
        <v>34</v>
      </c>
      <c r="R5752" t="s">
        <v>34</v>
      </c>
      <c r="S5752" t="s">
        <v>34</v>
      </c>
      <c r="T5752" s="117">
        <v>0</v>
      </c>
    </row>
    <row r="5753" spans="1:20" x14ac:dyDescent="0.35">
      <c r="A5753" t="s">
        <v>20</v>
      </c>
      <c r="B5753" t="s">
        <v>23</v>
      </c>
      <c r="C5753" s="1">
        <v>45994</v>
      </c>
      <c r="D5753">
        <f t="shared" si="715"/>
        <v>3</v>
      </c>
      <c r="E5753">
        <f t="shared" si="716"/>
        <v>12</v>
      </c>
      <c r="F5753">
        <f t="shared" si="717"/>
        <v>2025</v>
      </c>
      <c r="G5753" t="s">
        <v>696</v>
      </c>
      <c r="H5753" s="200">
        <v>14277</v>
      </c>
      <c r="I5753" s="201">
        <v>422.4</v>
      </c>
      <c r="J5753" s="12" t="s">
        <v>31</v>
      </c>
      <c r="K5753" s="94">
        <f t="shared" si="718"/>
        <v>422.4</v>
      </c>
      <c r="L5753">
        <v>1</v>
      </c>
      <c r="M5753" s="94">
        <v>0</v>
      </c>
      <c r="N5753" t="s">
        <v>42</v>
      </c>
      <c r="O5753" t="s">
        <v>33</v>
      </c>
      <c r="P5753" t="s">
        <v>34</v>
      </c>
      <c r="Q5753" t="s">
        <v>34</v>
      </c>
      <c r="R5753" t="s">
        <v>34</v>
      </c>
      <c r="S5753" t="s">
        <v>34</v>
      </c>
      <c r="T5753" s="117">
        <v>0</v>
      </c>
    </row>
    <row r="5754" spans="1:20" x14ac:dyDescent="0.35">
      <c r="A5754" t="s">
        <v>20</v>
      </c>
      <c r="B5754" t="s">
        <v>25</v>
      </c>
      <c r="C5754" s="1">
        <v>45994</v>
      </c>
      <c r="D5754">
        <f>DAY(C5754)</f>
        <v>3</v>
      </c>
      <c r="E5754">
        <f>MONTH(C5754)</f>
        <v>12</v>
      </c>
      <c r="F5754">
        <f>YEAR(C5754)</f>
        <v>2025</v>
      </c>
      <c r="G5754" t="s">
        <v>46</v>
      </c>
      <c r="H5754" s="139">
        <v>14278</v>
      </c>
      <c r="I5754" s="91">
        <v>62.6</v>
      </c>
      <c r="J5754" s="12" t="s">
        <v>31</v>
      </c>
      <c r="K5754" s="94">
        <f t="shared" si="718"/>
        <v>62.6</v>
      </c>
      <c r="L5754">
        <v>1</v>
      </c>
      <c r="M5754" s="94">
        <v>0</v>
      </c>
      <c r="N5754" t="s">
        <v>42</v>
      </c>
      <c r="O5754" t="s">
        <v>33</v>
      </c>
      <c r="P5754" t="s">
        <v>34</v>
      </c>
      <c r="Q5754" t="s">
        <v>34</v>
      </c>
      <c r="R5754" t="s">
        <v>34</v>
      </c>
      <c r="S5754" t="s">
        <v>34</v>
      </c>
      <c r="T5754" s="117">
        <v>0</v>
      </c>
    </row>
    <row r="5755" spans="1:20" x14ac:dyDescent="0.35">
      <c r="A5755" t="s">
        <v>20</v>
      </c>
      <c r="B5755" t="s">
        <v>25</v>
      </c>
      <c r="C5755" s="1">
        <v>45994</v>
      </c>
      <c r="D5755">
        <f t="shared" ref="D5755:D5762" si="719">DAY(C5755)</f>
        <v>3</v>
      </c>
      <c r="E5755">
        <f t="shared" ref="E5755:E5762" si="720">MONTH(C5755)</f>
        <v>12</v>
      </c>
      <c r="F5755">
        <f t="shared" ref="F5755:F5762" si="721">YEAR(C5755)</f>
        <v>2025</v>
      </c>
      <c r="G5755" t="s">
        <v>46</v>
      </c>
      <c r="H5755" s="139">
        <v>14279</v>
      </c>
      <c r="I5755" s="91">
        <v>307</v>
      </c>
      <c r="J5755" s="12" t="s">
        <v>31</v>
      </c>
      <c r="K5755" s="94">
        <f t="shared" si="718"/>
        <v>307</v>
      </c>
      <c r="L5755">
        <v>1</v>
      </c>
      <c r="M5755" s="94">
        <v>0</v>
      </c>
      <c r="N5755" t="s">
        <v>42</v>
      </c>
      <c r="O5755" t="s">
        <v>33</v>
      </c>
      <c r="P5755" t="s">
        <v>34</v>
      </c>
      <c r="Q5755" t="s">
        <v>34</v>
      </c>
      <c r="R5755" t="s">
        <v>34</v>
      </c>
      <c r="S5755" t="s">
        <v>34</v>
      </c>
      <c r="T5755" s="117">
        <v>0</v>
      </c>
    </row>
    <row r="5756" spans="1:20" x14ac:dyDescent="0.35">
      <c r="A5756" t="s">
        <v>20</v>
      </c>
      <c r="B5756" t="s">
        <v>25</v>
      </c>
      <c r="C5756" s="1">
        <v>45994</v>
      </c>
      <c r="D5756">
        <f t="shared" si="719"/>
        <v>3</v>
      </c>
      <c r="E5756">
        <f t="shared" si="720"/>
        <v>12</v>
      </c>
      <c r="F5756">
        <f t="shared" si="721"/>
        <v>2025</v>
      </c>
      <c r="G5756" t="s">
        <v>46</v>
      </c>
      <c r="H5756" s="139">
        <v>14280</v>
      </c>
      <c r="I5756" s="91">
        <v>47</v>
      </c>
      <c r="J5756" s="12" t="s">
        <v>31</v>
      </c>
      <c r="K5756" s="94">
        <f t="shared" si="718"/>
        <v>47</v>
      </c>
      <c r="L5756">
        <v>1</v>
      </c>
      <c r="M5756" s="94">
        <v>0</v>
      </c>
      <c r="N5756" t="s">
        <v>42</v>
      </c>
      <c r="O5756" t="s">
        <v>33</v>
      </c>
      <c r="P5756" t="s">
        <v>34</v>
      </c>
      <c r="Q5756" t="s">
        <v>34</v>
      </c>
      <c r="R5756" t="s">
        <v>34</v>
      </c>
      <c r="S5756" t="s">
        <v>34</v>
      </c>
      <c r="T5756" s="117">
        <v>0</v>
      </c>
    </row>
    <row r="5757" spans="1:20" x14ac:dyDescent="0.35">
      <c r="A5757" t="s">
        <v>20</v>
      </c>
      <c r="B5757" t="s">
        <v>25</v>
      </c>
      <c r="C5757" s="1">
        <v>45994</v>
      </c>
      <c r="D5757">
        <f t="shared" si="719"/>
        <v>3</v>
      </c>
      <c r="E5757">
        <f t="shared" si="720"/>
        <v>12</v>
      </c>
      <c r="F5757">
        <f t="shared" si="721"/>
        <v>2025</v>
      </c>
      <c r="G5757" t="s">
        <v>46</v>
      </c>
      <c r="H5757" s="139">
        <v>14281</v>
      </c>
      <c r="I5757" s="91">
        <v>423</v>
      </c>
      <c r="J5757" s="12" t="s">
        <v>31</v>
      </c>
      <c r="K5757" s="94">
        <f t="shared" si="718"/>
        <v>423</v>
      </c>
      <c r="L5757">
        <v>1</v>
      </c>
      <c r="M5757" s="94">
        <v>0</v>
      </c>
      <c r="N5757" t="s">
        <v>42</v>
      </c>
      <c r="O5757" t="s">
        <v>33</v>
      </c>
      <c r="P5757" t="s">
        <v>34</v>
      </c>
      <c r="Q5757" t="s">
        <v>34</v>
      </c>
      <c r="R5757" t="s">
        <v>34</v>
      </c>
      <c r="S5757" t="s">
        <v>34</v>
      </c>
      <c r="T5757" s="117">
        <v>0</v>
      </c>
    </row>
    <row r="5758" spans="1:20" x14ac:dyDescent="0.35">
      <c r="A5758" t="s">
        <v>20</v>
      </c>
      <c r="B5758" t="s">
        <v>25</v>
      </c>
      <c r="C5758" s="1">
        <v>45994</v>
      </c>
      <c r="D5758">
        <f t="shared" si="719"/>
        <v>3</v>
      </c>
      <c r="E5758">
        <f t="shared" si="720"/>
        <v>12</v>
      </c>
      <c r="F5758">
        <f t="shared" si="721"/>
        <v>2025</v>
      </c>
      <c r="G5758" t="s">
        <v>46</v>
      </c>
      <c r="H5758" s="139">
        <v>14282</v>
      </c>
      <c r="I5758" s="91">
        <v>3249.5</v>
      </c>
      <c r="J5758" s="12" t="s">
        <v>31</v>
      </c>
      <c r="K5758" s="94">
        <f t="shared" si="718"/>
        <v>3249.5</v>
      </c>
      <c r="L5758">
        <v>1</v>
      </c>
      <c r="M5758" s="94">
        <v>0</v>
      </c>
      <c r="N5758" t="s">
        <v>42</v>
      </c>
      <c r="O5758" t="s">
        <v>33</v>
      </c>
      <c r="P5758" t="s">
        <v>34</v>
      </c>
      <c r="Q5758" t="s">
        <v>34</v>
      </c>
      <c r="R5758" t="s">
        <v>34</v>
      </c>
      <c r="S5758" t="s">
        <v>34</v>
      </c>
      <c r="T5758" s="117">
        <v>0</v>
      </c>
    </row>
    <row r="5759" spans="1:20" x14ac:dyDescent="0.35">
      <c r="A5759" t="s">
        <v>20</v>
      </c>
      <c r="B5759" t="s">
        <v>25</v>
      </c>
      <c r="C5759" s="1">
        <v>45994</v>
      </c>
      <c r="D5759">
        <f t="shared" si="719"/>
        <v>3</v>
      </c>
      <c r="E5759">
        <f t="shared" si="720"/>
        <v>12</v>
      </c>
      <c r="F5759">
        <f t="shared" si="721"/>
        <v>2025</v>
      </c>
      <c r="G5759" t="s">
        <v>46</v>
      </c>
      <c r="H5759" s="139">
        <v>14283</v>
      </c>
      <c r="I5759" s="91">
        <v>688.6</v>
      </c>
      <c r="J5759" s="12" t="s">
        <v>31</v>
      </c>
      <c r="K5759" s="94">
        <f t="shared" si="718"/>
        <v>688.6</v>
      </c>
      <c r="L5759">
        <v>1</v>
      </c>
      <c r="M5759" s="94">
        <v>0</v>
      </c>
      <c r="N5759" t="s">
        <v>42</v>
      </c>
      <c r="O5759" t="s">
        <v>33</v>
      </c>
      <c r="P5759" t="s">
        <v>34</v>
      </c>
      <c r="Q5759" t="s">
        <v>34</v>
      </c>
      <c r="R5759" t="s">
        <v>34</v>
      </c>
      <c r="S5759" t="s">
        <v>34</v>
      </c>
      <c r="T5759" s="117">
        <v>0</v>
      </c>
    </row>
    <row r="5760" spans="1:20" x14ac:dyDescent="0.35">
      <c r="A5760" t="s">
        <v>20</v>
      </c>
      <c r="B5760" t="s">
        <v>21</v>
      </c>
      <c r="C5760" s="1">
        <v>45994</v>
      </c>
      <c r="D5760">
        <f t="shared" si="719"/>
        <v>3</v>
      </c>
      <c r="E5760">
        <f t="shared" si="720"/>
        <v>12</v>
      </c>
      <c r="F5760">
        <f t="shared" si="721"/>
        <v>2025</v>
      </c>
      <c r="G5760" t="s">
        <v>46</v>
      </c>
      <c r="H5760" s="139">
        <v>13361</v>
      </c>
      <c r="I5760" s="91">
        <v>11338.97</v>
      </c>
      <c r="J5760" s="12" t="s">
        <v>31</v>
      </c>
      <c r="K5760" s="94">
        <f t="shared" si="718"/>
        <v>11338.97</v>
      </c>
      <c r="L5760">
        <v>1</v>
      </c>
      <c r="M5760" s="94">
        <v>0</v>
      </c>
      <c r="N5760" t="s">
        <v>42</v>
      </c>
      <c r="O5760" t="s">
        <v>33</v>
      </c>
      <c r="P5760" t="s">
        <v>34</v>
      </c>
      <c r="Q5760" t="s">
        <v>34</v>
      </c>
      <c r="R5760" t="s">
        <v>34</v>
      </c>
      <c r="S5760" t="s">
        <v>34</v>
      </c>
      <c r="T5760" s="117">
        <v>0</v>
      </c>
    </row>
    <row r="5761" spans="1:20" x14ac:dyDescent="0.35">
      <c r="A5761" t="s">
        <v>20</v>
      </c>
      <c r="B5761" t="s">
        <v>25</v>
      </c>
      <c r="C5761" s="1">
        <v>45994</v>
      </c>
      <c r="D5761">
        <f t="shared" si="719"/>
        <v>3</v>
      </c>
      <c r="E5761">
        <f t="shared" si="720"/>
        <v>12</v>
      </c>
      <c r="F5761">
        <f t="shared" si="721"/>
        <v>2025</v>
      </c>
      <c r="G5761" t="s">
        <v>46</v>
      </c>
      <c r="H5761" s="139">
        <v>13361</v>
      </c>
      <c r="I5761" s="91">
        <v>19651.2</v>
      </c>
      <c r="J5761" s="12" t="s">
        <v>31</v>
      </c>
      <c r="K5761" s="94">
        <f t="shared" si="718"/>
        <v>19651.2</v>
      </c>
      <c r="L5761">
        <v>1</v>
      </c>
      <c r="M5761" s="94">
        <v>0</v>
      </c>
      <c r="N5761" t="s">
        <v>42</v>
      </c>
      <c r="O5761" t="s">
        <v>33</v>
      </c>
      <c r="P5761" t="s">
        <v>34</v>
      </c>
      <c r="Q5761" t="s">
        <v>34</v>
      </c>
      <c r="R5761" t="s">
        <v>34</v>
      </c>
      <c r="S5761" t="s">
        <v>34</v>
      </c>
      <c r="T5761" s="117">
        <v>0</v>
      </c>
    </row>
    <row r="5762" spans="1:20" x14ac:dyDescent="0.35">
      <c r="A5762" t="s">
        <v>20</v>
      </c>
      <c r="B5762" t="s">
        <v>24</v>
      </c>
      <c r="C5762" s="1">
        <v>45994</v>
      </c>
      <c r="D5762">
        <f t="shared" si="719"/>
        <v>3</v>
      </c>
      <c r="E5762">
        <f t="shared" si="720"/>
        <v>12</v>
      </c>
      <c r="F5762">
        <f t="shared" si="721"/>
        <v>2025</v>
      </c>
      <c r="G5762" t="s">
        <v>46</v>
      </c>
      <c r="H5762" s="139">
        <v>13361</v>
      </c>
      <c r="I5762" s="226">
        <v>5511.35</v>
      </c>
      <c r="J5762" s="12" t="s">
        <v>31</v>
      </c>
      <c r="K5762" s="94">
        <f t="shared" si="718"/>
        <v>5511.35</v>
      </c>
      <c r="L5762">
        <v>1</v>
      </c>
      <c r="M5762" s="94">
        <v>0</v>
      </c>
      <c r="N5762" t="s">
        <v>42</v>
      </c>
      <c r="O5762" t="s">
        <v>33</v>
      </c>
      <c r="P5762" t="s">
        <v>34</v>
      </c>
      <c r="Q5762" t="s">
        <v>34</v>
      </c>
      <c r="R5762" t="s">
        <v>34</v>
      </c>
      <c r="S5762" t="s">
        <v>34</v>
      </c>
      <c r="T5762" s="117">
        <v>0</v>
      </c>
    </row>
    <row r="5763" spans="1:20" x14ac:dyDescent="0.35">
      <c r="A5763" t="s">
        <v>20</v>
      </c>
      <c r="B5763" t="s">
        <v>21</v>
      </c>
      <c r="C5763" s="1">
        <v>45994</v>
      </c>
      <c r="D5763">
        <f>DAY(C5763)</f>
        <v>3</v>
      </c>
      <c r="E5763">
        <f>MONTH(C5763)</f>
        <v>12</v>
      </c>
      <c r="F5763">
        <f>YEAR(C5763)</f>
        <v>2025</v>
      </c>
      <c r="G5763" t="s">
        <v>88</v>
      </c>
      <c r="H5763" s="139">
        <v>13510</v>
      </c>
      <c r="I5763" s="91">
        <v>17307.57</v>
      </c>
      <c r="J5763" s="12" t="s">
        <v>31</v>
      </c>
      <c r="K5763" s="94">
        <f t="shared" si="718"/>
        <v>17307.57</v>
      </c>
      <c r="L5763">
        <v>1</v>
      </c>
      <c r="M5763" s="94">
        <v>0</v>
      </c>
      <c r="N5763" t="s">
        <v>32</v>
      </c>
      <c r="O5763" t="s">
        <v>33</v>
      </c>
      <c r="P5763" t="s">
        <v>34</v>
      </c>
      <c r="Q5763" t="s">
        <v>34</v>
      </c>
      <c r="R5763" t="s">
        <v>34</v>
      </c>
      <c r="S5763" t="s">
        <v>34</v>
      </c>
      <c r="T5763" s="117">
        <v>0</v>
      </c>
    </row>
    <row r="5764" spans="1:20" x14ac:dyDescent="0.35">
      <c r="A5764" t="s">
        <v>20</v>
      </c>
      <c r="B5764" t="s">
        <v>23</v>
      </c>
      <c r="C5764" s="1">
        <v>45994</v>
      </c>
      <c r="D5764">
        <f t="shared" ref="D5764:D5767" si="722">DAY(C5764)</f>
        <v>3</v>
      </c>
      <c r="E5764">
        <f t="shared" ref="E5764:E5767" si="723">MONTH(C5764)</f>
        <v>12</v>
      </c>
      <c r="F5764">
        <f t="shared" ref="F5764:F5767" si="724">YEAR(C5764)</f>
        <v>2025</v>
      </c>
      <c r="G5764" t="s">
        <v>118</v>
      </c>
      <c r="H5764" s="139">
        <v>14172</v>
      </c>
      <c r="I5764" s="91">
        <v>34.5</v>
      </c>
      <c r="J5764" s="12" t="s">
        <v>31</v>
      </c>
      <c r="K5764" s="94">
        <f t="shared" si="718"/>
        <v>34.5</v>
      </c>
      <c r="L5764">
        <v>1</v>
      </c>
      <c r="M5764" s="94">
        <v>0</v>
      </c>
      <c r="N5764" t="s">
        <v>32</v>
      </c>
      <c r="O5764" t="s">
        <v>33</v>
      </c>
      <c r="P5764" t="s">
        <v>34</v>
      </c>
      <c r="Q5764" t="s">
        <v>34</v>
      </c>
      <c r="R5764" t="s">
        <v>34</v>
      </c>
      <c r="S5764" t="s">
        <v>34</v>
      </c>
      <c r="T5764" s="117">
        <v>0</v>
      </c>
    </row>
    <row r="5765" spans="1:20" x14ac:dyDescent="0.35">
      <c r="A5765" t="s">
        <v>20</v>
      </c>
      <c r="B5765" t="s">
        <v>23</v>
      </c>
      <c r="C5765" s="1">
        <v>45994</v>
      </c>
      <c r="D5765">
        <f t="shared" si="722"/>
        <v>3</v>
      </c>
      <c r="E5765">
        <f t="shared" si="723"/>
        <v>12</v>
      </c>
      <c r="F5765">
        <f t="shared" si="724"/>
        <v>2025</v>
      </c>
      <c r="G5765" t="s">
        <v>118</v>
      </c>
      <c r="H5765" s="139">
        <v>14172</v>
      </c>
      <c r="I5765" s="91">
        <v>215.6</v>
      </c>
      <c r="J5765" s="12" t="s">
        <v>31</v>
      </c>
      <c r="K5765" s="94">
        <f t="shared" si="718"/>
        <v>215.6</v>
      </c>
      <c r="L5765">
        <v>1</v>
      </c>
      <c r="M5765" s="94">
        <v>0</v>
      </c>
      <c r="N5765" t="s">
        <v>32</v>
      </c>
      <c r="O5765" t="s">
        <v>33</v>
      </c>
      <c r="P5765" t="s">
        <v>34</v>
      </c>
      <c r="Q5765" t="s">
        <v>34</v>
      </c>
      <c r="R5765" t="s">
        <v>34</v>
      </c>
      <c r="S5765" t="s">
        <v>34</v>
      </c>
      <c r="T5765" s="117">
        <v>0</v>
      </c>
    </row>
    <row r="5766" spans="1:20" x14ac:dyDescent="0.35">
      <c r="A5766" t="s">
        <v>20</v>
      </c>
      <c r="B5766" t="s">
        <v>23</v>
      </c>
      <c r="C5766" s="1">
        <v>45994</v>
      </c>
      <c r="D5766">
        <f t="shared" si="722"/>
        <v>3</v>
      </c>
      <c r="E5766">
        <f t="shared" si="723"/>
        <v>12</v>
      </c>
      <c r="F5766">
        <f t="shared" si="724"/>
        <v>2025</v>
      </c>
      <c r="G5766" t="s">
        <v>118</v>
      </c>
      <c r="H5766" s="139">
        <v>14173</v>
      </c>
      <c r="I5766" s="91">
        <v>1794</v>
      </c>
      <c r="J5766" s="12" t="s">
        <v>31</v>
      </c>
      <c r="K5766" s="94">
        <f t="shared" si="718"/>
        <v>1794</v>
      </c>
      <c r="L5766">
        <v>1</v>
      </c>
      <c r="M5766" s="94">
        <v>0</v>
      </c>
      <c r="N5766" t="s">
        <v>32</v>
      </c>
      <c r="O5766" t="s">
        <v>33</v>
      </c>
      <c r="P5766" t="s">
        <v>34</v>
      </c>
      <c r="Q5766" t="s">
        <v>34</v>
      </c>
      <c r="R5766" t="s">
        <v>34</v>
      </c>
      <c r="S5766" t="s">
        <v>34</v>
      </c>
      <c r="T5766" s="117">
        <v>0</v>
      </c>
    </row>
    <row r="5767" spans="1:20" x14ac:dyDescent="0.35">
      <c r="A5767" t="s">
        <v>20</v>
      </c>
      <c r="B5767" t="s">
        <v>23</v>
      </c>
      <c r="C5767" s="1">
        <v>45994</v>
      </c>
      <c r="D5767">
        <f t="shared" si="722"/>
        <v>3</v>
      </c>
      <c r="E5767">
        <f t="shared" si="723"/>
        <v>12</v>
      </c>
      <c r="F5767">
        <f t="shared" si="724"/>
        <v>2025</v>
      </c>
      <c r="G5767" t="s">
        <v>118</v>
      </c>
      <c r="H5767" s="139">
        <v>14173</v>
      </c>
      <c r="I5767" s="91">
        <v>4589.2</v>
      </c>
      <c r="J5767" s="12" t="s">
        <v>31</v>
      </c>
      <c r="K5767" s="94">
        <f t="shared" si="718"/>
        <v>4589.2</v>
      </c>
      <c r="L5767">
        <v>1</v>
      </c>
      <c r="M5767" s="94">
        <v>0</v>
      </c>
      <c r="N5767" t="s">
        <v>32</v>
      </c>
      <c r="O5767" t="s">
        <v>33</v>
      </c>
      <c r="P5767" t="s">
        <v>34</v>
      </c>
      <c r="Q5767" t="s">
        <v>34</v>
      </c>
      <c r="R5767" t="s">
        <v>34</v>
      </c>
      <c r="S5767" t="s">
        <v>34</v>
      </c>
      <c r="T5767" s="117">
        <v>0</v>
      </c>
    </row>
    <row r="5768" spans="1:20" x14ac:dyDescent="0.35">
      <c r="A5768" t="s">
        <v>20</v>
      </c>
      <c r="B5768" t="s">
        <v>24</v>
      </c>
      <c r="C5768" s="1">
        <v>45994</v>
      </c>
      <c r="D5768">
        <f t="shared" ref="D5768:D5778" si="725">DAY(C5768)</f>
        <v>3</v>
      </c>
      <c r="E5768">
        <f t="shared" ref="E5768:E5778" si="726">MONTH(C5768)</f>
        <v>12</v>
      </c>
      <c r="F5768">
        <f t="shared" ref="F5768:F5778" si="727">YEAR(C5768)</f>
        <v>2025</v>
      </c>
      <c r="G5768" t="s">
        <v>50</v>
      </c>
      <c r="H5768" s="223">
        <v>14174</v>
      </c>
      <c r="I5768" s="224">
        <v>3300</v>
      </c>
      <c r="J5768" s="12" t="s">
        <v>31</v>
      </c>
      <c r="K5768" s="94">
        <f t="shared" si="718"/>
        <v>3300</v>
      </c>
      <c r="L5768">
        <v>1</v>
      </c>
      <c r="M5768" s="94">
        <v>0</v>
      </c>
      <c r="N5768" t="s">
        <v>32</v>
      </c>
      <c r="O5768" t="s">
        <v>33</v>
      </c>
      <c r="P5768" t="s">
        <v>34</v>
      </c>
      <c r="Q5768" t="s">
        <v>34</v>
      </c>
      <c r="R5768" t="s">
        <v>34</v>
      </c>
      <c r="S5768" t="s">
        <v>34</v>
      </c>
      <c r="T5768" s="117">
        <v>0</v>
      </c>
    </row>
    <row r="5769" spans="1:20" x14ac:dyDescent="0.35">
      <c r="A5769" t="s">
        <v>20</v>
      </c>
      <c r="B5769" t="s">
        <v>24</v>
      </c>
      <c r="C5769" s="1">
        <v>45994</v>
      </c>
      <c r="D5769">
        <f t="shared" si="725"/>
        <v>3</v>
      </c>
      <c r="E5769">
        <f t="shared" si="726"/>
        <v>12</v>
      </c>
      <c r="F5769">
        <f t="shared" si="727"/>
        <v>2025</v>
      </c>
      <c r="G5769" t="s">
        <v>50</v>
      </c>
      <c r="H5769" s="223">
        <v>14175</v>
      </c>
      <c r="I5769" s="224">
        <v>202</v>
      </c>
      <c r="J5769" s="12" t="s">
        <v>31</v>
      </c>
      <c r="K5769" s="94">
        <f t="shared" si="718"/>
        <v>202</v>
      </c>
      <c r="L5769">
        <v>1</v>
      </c>
      <c r="M5769" s="94">
        <v>0</v>
      </c>
      <c r="N5769" t="s">
        <v>32</v>
      </c>
      <c r="O5769" t="s">
        <v>33</v>
      </c>
      <c r="P5769" t="s">
        <v>34</v>
      </c>
      <c r="Q5769" t="s">
        <v>34</v>
      </c>
      <c r="R5769" t="s">
        <v>34</v>
      </c>
      <c r="S5769" t="s">
        <v>34</v>
      </c>
      <c r="T5769" s="117">
        <v>0</v>
      </c>
    </row>
    <row r="5770" spans="1:20" x14ac:dyDescent="0.35">
      <c r="A5770" t="s">
        <v>20</v>
      </c>
      <c r="B5770" t="s">
        <v>24</v>
      </c>
      <c r="C5770" s="1">
        <v>45994</v>
      </c>
      <c r="D5770">
        <f t="shared" si="725"/>
        <v>3</v>
      </c>
      <c r="E5770">
        <f t="shared" si="726"/>
        <v>12</v>
      </c>
      <c r="F5770">
        <f t="shared" si="727"/>
        <v>2025</v>
      </c>
      <c r="G5770" t="s">
        <v>50</v>
      </c>
      <c r="H5770" s="223">
        <v>14176</v>
      </c>
      <c r="I5770" s="224">
        <v>2640</v>
      </c>
      <c r="J5770" s="12" t="s">
        <v>31</v>
      </c>
      <c r="K5770" s="94">
        <f t="shared" si="718"/>
        <v>2640</v>
      </c>
      <c r="L5770">
        <v>1</v>
      </c>
      <c r="M5770" s="94">
        <v>0</v>
      </c>
      <c r="N5770" t="s">
        <v>32</v>
      </c>
      <c r="O5770" t="s">
        <v>33</v>
      </c>
      <c r="P5770" t="s">
        <v>34</v>
      </c>
      <c r="Q5770" t="s">
        <v>34</v>
      </c>
      <c r="R5770" t="s">
        <v>34</v>
      </c>
      <c r="S5770" t="s">
        <v>34</v>
      </c>
      <c r="T5770" s="117">
        <v>0</v>
      </c>
    </row>
    <row r="5771" spans="1:20" x14ac:dyDescent="0.35">
      <c r="A5771" t="s">
        <v>20</v>
      </c>
      <c r="B5771" t="s">
        <v>24</v>
      </c>
      <c r="C5771" s="1">
        <v>45994</v>
      </c>
      <c r="D5771">
        <f t="shared" si="725"/>
        <v>3</v>
      </c>
      <c r="E5771">
        <f t="shared" si="726"/>
        <v>12</v>
      </c>
      <c r="F5771">
        <f t="shared" si="727"/>
        <v>2025</v>
      </c>
      <c r="G5771" t="s">
        <v>50</v>
      </c>
      <c r="H5771" s="223">
        <v>14177</v>
      </c>
      <c r="I5771" s="224">
        <v>1610</v>
      </c>
      <c r="J5771" s="12" t="s">
        <v>31</v>
      </c>
      <c r="K5771" s="94">
        <f t="shared" si="718"/>
        <v>1610</v>
      </c>
      <c r="L5771">
        <v>1</v>
      </c>
      <c r="M5771" s="94">
        <v>0</v>
      </c>
      <c r="N5771" t="s">
        <v>32</v>
      </c>
      <c r="O5771" t="s">
        <v>33</v>
      </c>
      <c r="P5771" t="s">
        <v>34</v>
      </c>
      <c r="Q5771" t="s">
        <v>34</v>
      </c>
      <c r="R5771" t="s">
        <v>34</v>
      </c>
      <c r="S5771" t="s">
        <v>34</v>
      </c>
      <c r="T5771" s="117">
        <v>0</v>
      </c>
    </row>
    <row r="5772" spans="1:20" x14ac:dyDescent="0.35">
      <c r="A5772" t="s">
        <v>20</v>
      </c>
      <c r="B5772" t="s">
        <v>25</v>
      </c>
      <c r="C5772" s="1">
        <v>45994</v>
      </c>
      <c r="D5772">
        <f t="shared" si="725"/>
        <v>3</v>
      </c>
      <c r="E5772">
        <f t="shared" si="726"/>
        <v>12</v>
      </c>
      <c r="F5772">
        <f t="shared" si="727"/>
        <v>2025</v>
      </c>
      <c r="G5772" t="s">
        <v>50</v>
      </c>
      <c r="H5772" s="223">
        <v>14241</v>
      </c>
      <c r="I5772" s="224">
        <v>601.79999999999995</v>
      </c>
      <c r="J5772" s="12" t="s">
        <v>31</v>
      </c>
      <c r="K5772" s="94">
        <f t="shared" si="718"/>
        <v>601.79999999999995</v>
      </c>
      <c r="L5772">
        <v>1</v>
      </c>
      <c r="M5772" s="94">
        <v>0</v>
      </c>
      <c r="N5772" t="s">
        <v>32</v>
      </c>
      <c r="O5772" t="s">
        <v>33</v>
      </c>
      <c r="P5772" t="s">
        <v>34</v>
      </c>
      <c r="Q5772" t="s">
        <v>34</v>
      </c>
      <c r="R5772" t="s">
        <v>34</v>
      </c>
      <c r="S5772" t="s">
        <v>34</v>
      </c>
      <c r="T5772" s="117">
        <v>0</v>
      </c>
    </row>
    <row r="5773" spans="1:20" x14ac:dyDescent="0.35">
      <c r="A5773" t="s">
        <v>20</v>
      </c>
      <c r="B5773" t="s">
        <v>25</v>
      </c>
      <c r="C5773" s="1">
        <v>45994</v>
      </c>
      <c r="D5773">
        <f t="shared" si="725"/>
        <v>3</v>
      </c>
      <c r="E5773">
        <f t="shared" si="726"/>
        <v>12</v>
      </c>
      <c r="F5773">
        <f t="shared" si="727"/>
        <v>2025</v>
      </c>
      <c r="G5773" t="s">
        <v>50</v>
      </c>
      <c r="H5773" s="223">
        <v>14242</v>
      </c>
      <c r="I5773" s="224">
        <v>370</v>
      </c>
      <c r="J5773" s="12" t="s">
        <v>31</v>
      </c>
      <c r="K5773" s="94">
        <f t="shared" si="718"/>
        <v>370</v>
      </c>
      <c r="L5773">
        <v>1</v>
      </c>
      <c r="M5773" s="94">
        <v>0</v>
      </c>
      <c r="N5773" t="s">
        <v>32</v>
      </c>
      <c r="O5773" t="s">
        <v>33</v>
      </c>
      <c r="P5773" t="s">
        <v>34</v>
      </c>
      <c r="Q5773" t="s">
        <v>34</v>
      </c>
      <c r="R5773" t="s">
        <v>34</v>
      </c>
      <c r="S5773" t="s">
        <v>34</v>
      </c>
      <c r="T5773" s="117">
        <v>0</v>
      </c>
    </row>
    <row r="5774" spans="1:20" x14ac:dyDescent="0.35">
      <c r="A5774" t="s">
        <v>20</v>
      </c>
      <c r="B5774" t="s">
        <v>25</v>
      </c>
      <c r="C5774" s="1">
        <v>45994</v>
      </c>
      <c r="D5774">
        <f t="shared" si="725"/>
        <v>3</v>
      </c>
      <c r="E5774">
        <f t="shared" si="726"/>
        <v>12</v>
      </c>
      <c r="F5774">
        <f t="shared" si="727"/>
        <v>2025</v>
      </c>
      <c r="G5774" t="s">
        <v>50</v>
      </c>
      <c r="H5774" s="223">
        <v>14243</v>
      </c>
      <c r="I5774" s="224">
        <v>3214.75</v>
      </c>
      <c r="J5774" s="12" t="s">
        <v>31</v>
      </c>
      <c r="K5774" s="94">
        <f t="shared" si="718"/>
        <v>3214.75</v>
      </c>
      <c r="L5774">
        <v>1</v>
      </c>
      <c r="M5774" s="94">
        <v>0</v>
      </c>
      <c r="N5774" t="s">
        <v>32</v>
      </c>
      <c r="O5774" t="s">
        <v>33</v>
      </c>
      <c r="P5774" t="s">
        <v>34</v>
      </c>
      <c r="Q5774" t="s">
        <v>34</v>
      </c>
      <c r="R5774" t="s">
        <v>34</v>
      </c>
      <c r="S5774" t="s">
        <v>34</v>
      </c>
      <c r="T5774" s="117">
        <v>0</v>
      </c>
    </row>
    <row r="5775" spans="1:20" x14ac:dyDescent="0.35">
      <c r="A5775" t="s">
        <v>20</v>
      </c>
      <c r="B5775" t="s">
        <v>25</v>
      </c>
      <c r="C5775" s="1">
        <v>45994</v>
      </c>
      <c r="D5775">
        <f t="shared" si="725"/>
        <v>3</v>
      </c>
      <c r="E5775">
        <f t="shared" si="726"/>
        <v>12</v>
      </c>
      <c r="F5775">
        <f t="shared" si="727"/>
        <v>2025</v>
      </c>
      <c r="G5775" t="s">
        <v>50</v>
      </c>
      <c r="H5775" s="223">
        <v>14244</v>
      </c>
      <c r="I5775" s="224">
        <v>11967.2</v>
      </c>
      <c r="J5775" s="12" t="s">
        <v>31</v>
      </c>
      <c r="K5775" s="94">
        <f t="shared" si="718"/>
        <v>11967.2</v>
      </c>
      <c r="L5775">
        <v>1</v>
      </c>
      <c r="M5775" s="94">
        <v>0</v>
      </c>
      <c r="N5775" t="s">
        <v>32</v>
      </c>
      <c r="O5775" t="s">
        <v>33</v>
      </c>
      <c r="P5775" t="s">
        <v>34</v>
      </c>
      <c r="Q5775" t="s">
        <v>34</v>
      </c>
      <c r="R5775" t="s">
        <v>34</v>
      </c>
      <c r="S5775" t="s">
        <v>34</v>
      </c>
      <c r="T5775" s="117">
        <v>0</v>
      </c>
    </row>
    <row r="5776" spans="1:20" x14ac:dyDescent="0.35">
      <c r="A5776" t="s">
        <v>20</v>
      </c>
      <c r="B5776" t="s">
        <v>25</v>
      </c>
      <c r="C5776" s="1">
        <v>45994</v>
      </c>
      <c r="D5776">
        <f t="shared" si="725"/>
        <v>3</v>
      </c>
      <c r="E5776">
        <f t="shared" si="726"/>
        <v>12</v>
      </c>
      <c r="F5776">
        <f t="shared" si="727"/>
        <v>2025</v>
      </c>
      <c r="G5776" t="s">
        <v>50</v>
      </c>
      <c r="H5776" s="223">
        <v>14245</v>
      </c>
      <c r="I5776" s="224">
        <v>11989.55</v>
      </c>
      <c r="J5776" s="12" t="s">
        <v>31</v>
      </c>
      <c r="K5776" s="94">
        <f t="shared" si="718"/>
        <v>11989.55</v>
      </c>
      <c r="L5776">
        <v>1</v>
      </c>
      <c r="M5776" s="94">
        <v>0</v>
      </c>
      <c r="N5776" t="s">
        <v>32</v>
      </c>
      <c r="O5776" t="s">
        <v>33</v>
      </c>
      <c r="P5776" t="s">
        <v>34</v>
      </c>
      <c r="Q5776" t="s">
        <v>34</v>
      </c>
      <c r="R5776" t="s">
        <v>34</v>
      </c>
      <c r="S5776" t="s">
        <v>34</v>
      </c>
      <c r="T5776" s="117">
        <v>0</v>
      </c>
    </row>
    <row r="5777" spans="1:20" x14ac:dyDescent="0.35">
      <c r="A5777" t="s">
        <v>20</v>
      </c>
      <c r="B5777" t="s">
        <v>25</v>
      </c>
      <c r="C5777" s="1">
        <v>45994</v>
      </c>
      <c r="D5777">
        <f t="shared" si="725"/>
        <v>3</v>
      </c>
      <c r="E5777">
        <f t="shared" si="726"/>
        <v>12</v>
      </c>
      <c r="F5777">
        <f t="shared" si="727"/>
        <v>2025</v>
      </c>
      <c r="G5777" t="s">
        <v>50</v>
      </c>
      <c r="H5777" s="223">
        <v>14246</v>
      </c>
      <c r="I5777" s="224">
        <v>16851.3</v>
      </c>
      <c r="J5777" s="12" t="s">
        <v>31</v>
      </c>
      <c r="K5777" s="94">
        <f t="shared" si="718"/>
        <v>16851.3</v>
      </c>
      <c r="L5777">
        <v>1</v>
      </c>
      <c r="M5777" s="94">
        <v>0</v>
      </c>
      <c r="N5777" t="s">
        <v>32</v>
      </c>
      <c r="O5777" t="s">
        <v>33</v>
      </c>
      <c r="P5777" t="s">
        <v>34</v>
      </c>
      <c r="Q5777" t="s">
        <v>34</v>
      </c>
      <c r="R5777" t="s">
        <v>34</v>
      </c>
      <c r="S5777" t="s">
        <v>34</v>
      </c>
      <c r="T5777" s="117">
        <v>0</v>
      </c>
    </row>
    <row r="5778" spans="1:20" x14ac:dyDescent="0.35">
      <c r="A5778" t="s">
        <v>20</v>
      </c>
      <c r="B5778" t="s">
        <v>25</v>
      </c>
      <c r="C5778" s="1">
        <v>45994</v>
      </c>
      <c r="D5778">
        <f t="shared" si="725"/>
        <v>3</v>
      </c>
      <c r="E5778">
        <f t="shared" si="726"/>
        <v>12</v>
      </c>
      <c r="F5778">
        <f t="shared" si="727"/>
        <v>2025</v>
      </c>
      <c r="G5778" t="s">
        <v>50</v>
      </c>
      <c r="H5778" s="200">
        <v>14247</v>
      </c>
      <c r="I5778" s="201">
        <v>2377.0500000000002</v>
      </c>
      <c r="J5778" s="12" t="s">
        <v>31</v>
      </c>
      <c r="K5778" s="94">
        <f t="shared" si="718"/>
        <v>2377.0500000000002</v>
      </c>
      <c r="L5778">
        <v>1</v>
      </c>
      <c r="M5778" s="94">
        <v>0</v>
      </c>
      <c r="N5778" t="s">
        <v>32</v>
      </c>
      <c r="O5778" t="s">
        <v>33</v>
      </c>
      <c r="P5778" t="s">
        <v>34</v>
      </c>
      <c r="Q5778" t="s">
        <v>34</v>
      </c>
      <c r="R5778" t="s">
        <v>34</v>
      </c>
      <c r="S5778" t="s">
        <v>34</v>
      </c>
      <c r="T5778" s="117">
        <v>0</v>
      </c>
    </row>
    <row r="5779" spans="1:20" x14ac:dyDescent="0.35">
      <c r="A5779" t="s">
        <v>20</v>
      </c>
      <c r="B5779" t="s">
        <v>25</v>
      </c>
      <c r="C5779" s="1">
        <v>45994</v>
      </c>
      <c r="D5779">
        <f t="shared" ref="D5779:D5784" si="728">DAY(C5779)</f>
        <v>3</v>
      </c>
      <c r="E5779">
        <f t="shared" ref="E5779:E5784" si="729">MONTH(C5779)</f>
        <v>12</v>
      </c>
      <c r="F5779">
        <f t="shared" ref="F5779:F5784" si="730">YEAR(C5779)</f>
        <v>2025</v>
      </c>
      <c r="G5779" t="s">
        <v>1109</v>
      </c>
      <c r="H5779" s="223">
        <v>14195</v>
      </c>
      <c r="I5779" s="224">
        <v>3798</v>
      </c>
      <c r="J5779" s="12" t="s">
        <v>31</v>
      </c>
      <c r="K5779" s="94">
        <f t="shared" si="718"/>
        <v>3798</v>
      </c>
      <c r="L5779">
        <v>1</v>
      </c>
      <c r="M5779" s="94">
        <v>0</v>
      </c>
      <c r="N5779" t="s">
        <v>42</v>
      </c>
      <c r="O5779" t="s">
        <v>33</v>
      </c>
      <c r="P5779" t="s">
        <v>34</v>
      </c>
      <c r="Q5779" t="s">
        <v>34</v>
      </c>
      <c r="R5779" t="s">
        <v>34</v>
      </c>
      <c r="S5779" t="s">
        <v>34</v>
      </c>
      <c r="T5779" s="117">
        <v>0</v>
      </c>
    </row>
    <row r="5780" spans="1:20" x14ac:dyDescent="0.35">
      <c r="A5780" t="s">
        <v>20</v>
      </c>
      <c r="B5780" t="s">
        <v>25</v>
      </c>
      <c r="C5780" s="1">
        <v>45994</v>
      </c>
      <c r="D5780">
        <f t="shared" si="728"/>
        <v>3</v>
      </c>
      <c r="E5780">
        <f t="shared" si="729"/>
        <v>12</v>
      </c>
      <c r="F5780">
        <f t="shared" si="730"/>
        <v>2025</v>
      </c>
      <c r="G5780" t="s">
        <v>1109</v>
      </c>
      <c r="H5780" s="223">
        <v>14195</v>
      </c>
      <c r="I5780" s="224">
        <v>1386</v>
      </c>
      <c r="J5780" s="12" t="s">
        <v>31</v>
      </c>
      <c r="K5780" s="94">
        <f t="shared" si="718"/>
        <v>1386</v>
      </c>
      <c r="L5780">
        <v>1</v>
      </c>
      <c r="M5780" s="94">
        <v>0</v>
      </c>
      <c r="N5780" t="s">
        <v>42</v>
      </c>
      <c r="O5780" t="s">
        <v>33</v>
      </c>
      <c r="P5780" t="s">
        <v>34</v>
      </c>
      <c r="Q5780" t="s">
        <v>34</v>
      </c>
      <c r="R5780" t="s">
        <v>34</v>
      </c>
      <c r="S5780" t="s">
        <v>34</v>
      </c>
      <c r="T5780" s="117">
        <v>0</v>
      </c>
    </row>
    <row r="5781" spans="1:20" x14ac:dyDescent="0.35">
      <c r="A5781" t="s">
        <v>20</v>
      </c>
      <c r="B5781" t="s">
        <v>25</v>
      </c>
      <c r="C5781" s="1">
        <v>45994</v>
      </c>
      <c r="D5781">
        <f t="shared" si="728"/>
        <v>3</v>
      </c>
      <c r="E5781">
        <f t="shared" si="729"/>
        <v>12</v>
      </c>
      <c r="F5781">
        <f t="shared" si="730"/>
        <v>2025</v>
      </c>
      <c r="G5781" t="s">
        <v>1109</v>
      </c>
      <c r="H5781" s="223">
        <v>14196</v>
      </c>
      <c r="I5781" s="224">
        <v>756</v>
      </c>
      <c r="J5781" s="12" t="s">
        <v>31</v>
      </c>
      <c r="K5781" s="94">
        <f t="shared" si="718"/>
        <v>756</v>
      </c>
      <c r="L5781">
        <v>1</v>
      </c>
      <c r="M5781" s="94">
        <v>0</v>
      </c>
      <c r="N5781" t="s">
        <v>42</v>
      </c>
      <c r="O5781" t="s">
        <v>33</v>
      </c>
      <c r="P5781" t="s">
        <v>34</v>
      </c>
      <c r="Q5781" t="s">
        <v>34</v>
      </c>
      <c r="R5781" t="s">
        <v>34</v>
      </c>
      <c r="S5781" t="s">
        <v>34</v>
      </c>
      <c r="T5781" s="117">
        <v>0</v>
      </c>
    </row>
    <row r="5782" spans="1:20" x14ac:dyDescent="0.35">
      <c r="A5782" t="s">
        <v>20</v>
      </c>
      <c r="B5782" t="s">
        <v>24</v>
      </c>
      <c r="C5782" s="1">
        <v>45994</v>
      </c>
      <c r="D5782">
        <f t="shared" si="728"/>
        <v>3</v>
      </c>
      <c r="E5782">
        <f t="shared" si="729"/>
        <v>12</v>
      </c>
      <c r="F5782">
        <f t="shared" si="730"/>
        <v>2025</v>
      </c>
      <c r="G5782" t="s">
        <v>1109</v>
      </c>
      <c r="H5782" s="223">
        <v>14198</v>
      </c>
      <c r="I5782" s="224">
        <v>4116</v>
      </c>
      <c r="J5782" s="12" t="s">
        <v>31</v>
      </c>
      <c r="K5782" s="94">
        <f t="shared" si="718"/>
        <v>4116</v>
      </c>
      <c r="L5782">
        <v>1</v>
      </c>
      <c r="M5782" s="94">
        <v>0</v>
      </c>
      <c r="N5782" t="s">
        <v>42</v>
      </c>
      <c r="O5782" t="s">
        <v>33</v>
      </c>
      <c r="P5782" t="s">
        <v>34</v>
      </c>
      <c r="Q5782" t="s">
        <v>34</v>
      </c>
      <c r="R5782" t="s">
        <v>34</v>
      </c>
      <c r="S5782" t="s">
        <v>34</v>
      </c>
      <c r="T5782" s="117">
        <v>0</v>
      </c>
    </row>
    <row r="5783" spans="1:20" x14ac:dyDescent="0.35">
      <c r="A5783" t="s">
        <v>20</v>
      </c>
      <c r="B5783" t="s">
        <v>24</v>
      </c>
      <c r="C5783" s="1">
        <v>45994</v>
      </c>
      <c r="D5783">
        <f t="shared" si="728"/>
        <v>3</v>
      </c>
      <c r="E5783">
        <f t="shared" si="729"/>
        <v>12</v>
      </c>
      <c r="F5783">
        <f t="shared" si="730"/>
        <v>2025</v>
      </c>
      <c r="G5783" t="s">
        <v>1109</v>
      </c>
      <c r="H5783" s="223">
        <v>14199</v>
      </c>
      <c r="I5783" s="224">
        <v>1411.2</v>
      </c>
      <c r="J5783" s="12" t="s">
        <v>31</v>
      </c>
      <c r="K5783" s="94">
        <f t="shared" si="718"/>
        <v>1411.2</v>
      </c>
      <c r="L5783">
        <v>1</v>
      </c>
      <c r="M5783" s="94">
        <v>0</v>
      </c>
      <c r="N5783" t="s">
        <v>42</v>
      </c>
      <c r="O5783" t="s">
        <v>33</v>
      </c>
      <c r="P5783" t="s">
        <v>34</v>
      </c>
      <c r="Q5783" t="s">
        <v>34</v>
      </c>
      <c r="R5783" t="s">
        <v>34</v>
      </c>
      <c r="S5783" t="s">
        <v>34</v>
      </c>
      <c r="T5783" s="117">
        <v>0</v>
      </c>
    </row>
    <row r="5784" spans="1:20" x14ac:dyDescent="0.35">
      <c r="A5784" t="s">
        <v>20</v>
      </c>
      <c r="B5784" t="s">
        <v>24</v>
      </c>
      <c r="C5784" s="1">
        <v>45994</v>
      </c>
      <c r="D5784">
        <f t="shared" si="728"/>
        <v>3</v>
      </c>
      <c r="E5784">
        <f t="shared" si="729"/>
        <v>12</v>
      </c>
      <c r="F5784">
        <f t="shared" si="730"/>
        <v>2025</v>
      </c>
      <c r="G5784" t="s">
        <v>1109</v>
      </c>
      <c r="H5784" s="223">
        <v>14199</v>
      </c>
      <c r="I5784" s="224">
        <v>3272.4</v>
      </c>
      <c r="J5784" s="12" t="s">
        <v>31</v>
      </c>
      <c r="K5784" s="94">
        <f t="shared" si="718"/>
        <v>3272.4</v>
      </c>
      <c r="L5784">
        <v>1</v>
      </c>
      <c r="M5784" s="94">
        <v>0</v>
      </c>
      <c r="N5784" t="s">
        <v>42</v>
      </c>
      <c r="O5784" t="s">
        <v>33</v>
      </c>
      <c r="P5784" t="s">
        <v>34</v>
      </c>
      <c r="Q5784" t="s">
        <v>34</v>
      </c>
      <c r="R5784" t="s">
        <v>34</v>
      </c>
      <c r="S5784" t="s">
        <v>34</v>
      </c>
      <c r="T5784" s="117">
        <v>0</v>
      </c>
    </row>
    <row r="5785" spans="1:20" x14ac:dyDescent="0.35">
      <c r="A5785" t="s">
        <v>20</v>
      </c>
      <c r="B5785" t="s">
        <v>24</v>
      </c>
      <c r="C5785" s="1">
        <v>45994</v>
      </c>
      <c r="D5785">
        <f t="shared" ref="D5785:D5795" si="731">DAY(C5785)</f>
        <v>3</v>
      </c>
      <c r="E5785">
        <f t="shared" ref="E5785:E5795" si="732">MONTH(C5785)</f>
        <v>12</v>
      </c>
      <c r="F5785">
        <f t="shared" ref="F5785:F5795" si="733">YEAR(C5785)</f>
        <v>2025</v>
      </c>
      <c r="G5785" t="s">
        <v>1465</v>
      </c>
      <c r="H5785" s="223">
        <v>13498</v>
      </c>
      <c r="I5785" s="224">
        <v>21524.55</v>
      </c>
      <c r="J5785" s="12" t="s">
        <v>31</v>
      </c>
      <c r="K5785" s="94">
        <f t="shared" si="718"/>
        <v>21524.55</v>
      </c>
      <c r="L5785">
        <v>1</v>
      </c>
      <c r="M5785" s="94">
        <v>0</v>
      </c>
      <c r="N5785" t="s">
        <v>32</v>
      </c>
      <c r="O5785" t="s">
        <v>33</v>
      </c>
      <c r="P5785" t="s">
        <v>34</v>
      </c>
      <c r="Q5785" t="s">
        <v>34</v>
      </c>
      <c r="R5785" t="s">
        <v>34</v>
      </c>
      <c r="S5785" t="s">
        <v>34</v>
      </c>
      <c r="T5785" s="117">
        <v>0</v>
      </c>
    </row>
    <row r="5786" spans="1:20" x14ac:dyDescent="0.35">
      <c r="A5786" t="s">
        <v>20</v>
      </c>
      <c r="B5786" t="s">
        <v>23</v>
      </c>
      <c r="C5786" s="1">
        <v>45994</v>
      </c>
      <c r="D5786">
        <f t="shared" si="731"/>
        <v>3</v>
      </c>
      <c r="E5786">
        <f t="shared" si="732"/>
        <v>12</v>
      </c>
      <c r="F5786">
        <f t="shared" si="733"/>
        <v>2025</v>
      </c>
      <c r="G5786" t="s">
        <v>1465</v>
      </c>
      <c r="H5786" s="223">
        <v>13498</v>
      </c>
      <c r="I5786" s="224">
        <v>7456.76</v>
      </c>
      <c r="J5786" s="12" t="s">
        <v>31</v>
      </c>
      <c r="K5786" s="94">
        <f t="shared" si="718"/>
        <v>7456.76</v>
      </c>
      <c r="L5786">
        <v>1</v>
      </c>
      <c r="M5786" s="94">
        <v>0</v>
      </c>
      <c r="N5786" t="s">
        <v>32</v>
      </c>
      <c r="O5786" t="s">
        <v>33</v>
      </c>
      <c r="P5786" t="s">
        <v>34</v>
      </c>
      <c r="Q5786" t="s">
        <v>34</v>
      </c>
      <c r="R5786" t="s">
        <v>34</v>
      </c>
      <c r="S5786" t="s">
        <v>34</v>
      </c>
      <c r="T5786" s="117">
        <v>0</v>
      </c>
    </row>
    <row r="5787" spans="1:20" x14ac:dyDescent="0.35">
      <c r="A5787" t="s">
        <v>20</v>
      </c>
      <c r="B5787" t="s">
        <v>25</v>
      </c>
      <c r="C5787" s="1">
        <v>45994</v>
      </c>
      <c r="D5787">
        <f t="shared" si="731"/>
        <v>3</v>
      </c>
      <c r="E5787">
        <f t="shared" si="732"/>
        <v>12</v>
      </c>
      <c r="F5787">
        <f t="shared" si="733"/>
        <v>2025</v>
      </c>
      <c r="G5787" t="s">
        <v>1465</v>
      </c>
      <c r="H5787" s="223">
        <v>13498</v>
      </c>
      <c r="I5787" s="224">
        <v>2832.8</v>
      </c>
      <c r="J5787" s="12" t="s">
        <v>31</v>
      </c>
      <c r="K5787" s="94">
        <f t="shared" si="718"/>
        <v>2832.8</v>
      </c>
      <c r="L5787">
        <v>1</v>
      </c>
      <c r="M5787" s="94">
        <v>0</v>
      </c>
      <c r="N5787" t="s">
        <v>32</v>
      </c>
      <c r="O5787" t="s">
        <v>33</v>
      </c>
      <c r="P5787" t="s">
        <v>34</v>
      </c>
      <c r="Q5787" t="s">
        <v>34</v>
      </c>
      <c r="R5787" t="s">
        <v>34</v>
      </c>
      <c r="S5787" t="s">
        <v>34</v>
      </c>
      <c r="T5787" s="117">
        <v>0</v>
      </c>
    </row>
    <row r="5788" spans="1:20" x14ac:dyDescent="0.35">
      <c r="A5788" t="s">
        <v>20</v>
      </c>
      <c r="B5788" t="s">
        <v>23</v>
      </c>
      <c r="C5788" s="1">
        <v>45994</v>
      </c>
      <c r="D5788">
        <f t="shared" si="731"/>
        <v>3</v>
      </c>
      <c r="E5788">
        <f t="shared" si="732"/>
        <v>12</v>
      </c>
      <c r="F5788">
        <f t="shared" si="733"/>
        <v>2025</v>
      </c>
      <c r="G5788" t="s">
        <v>1465</v>
      </c>
      <c r="H5788" s="223">
        <v>13602</v>
      </c>
      <c r="I5788" s="224">
        <v>4328.22</v>
      </c>
      <c r="J5788" s="12" t="s">
        <v>31</v>
      </c>
      <c r="K5788" s="94">
        <f t="shared" si="718"/>
        <v>4328.22</v>
      </c>
      <c r="L5788">
        <v>1</v>
      </c>
      <c r="M5788" s="94">
        <v>0</v>
      </c>
      <c r="N5788" t="s">
        <v>32</v>
      </c>
      <c r="O5788" t="s">
        <v>33</v>
      </c>
      <c r="P5788" t="s">
        <v>34</v>
      </c>
      <c r="Q5788" t="s">
        <v>34</v>
      </c>
      <c r="R5788" t="s">
        <v>34</v>
      </c>
      <c r="S5788" t="s">
        <v>34</v>
      </c>
      <c r="T5788" s="117">
        <v>0</v>
      </c>
    </row>
    <row r="5789" spans="1:20" x14ac:dyDescent="0.35">
      <c r="A5789" t="s">
        <v>20</v>
      </c>
      <c r="B5789" t="s">
        <v>21</v>
      </c>
      <c r="C5789" s="1">
        <v>45994</v>
      </c>
      <c r="D5789">
        <f t="shared" si="731"/>
        <v>3</v>
      </c>
      <c r="E5789">
        <f t="shared" si="732"/>
        <v>12</v>
      </c>
      <c r="F5789">
        <f t="shared" si="733"/>
        <v>2025</v>
      </c>
      <c r="G5789" t="s">
        <v>1465</v>
      </c>
      <c r="H5789" s="223">
        <v>14249</v>
      </c>
      <c r="I5789" s="224">
        <v>169</v>
      </c>
      <c r="J5789" s="12" t="s">
        <v>31</v>
      </c>
      <c r="K5789" s="94">
        <f t="shared" si="718"/>
        <v>169</v>
      </c>
      <c r="L5789">
        <v>1</v>
      </c>
      <c r="M5789" s="94">
        <v>0</v>
      </c>
      <c r="N5789" t="s">
        <v>42</v>
      </c>
      <c r="O5789" t="s">
        <v>33</v>
      </c>
      <c r="P5789" t="s">
        <v>34</v>
      </c>
      <c r="Q5789" t="s">
        <v>34</v>
      </c>
      <c r="R5789" t="s">
        <v>34</v>
      </c>
      <c r="S5789" t="s">
        <v>34</v>
      </c>
      <c r="T5789" s="117">
        <v>0</v>
      </c>
    </row>
    <row r="5790" spans="1:20" x14ac:dyDescent="0.35">
      <c r="A5790" t="s">
        <v>20</v>
      </c>
      <c r="B5790" t="s">
        <v>24</v>
      </c>
      <c r="C5790" s="1">
        <v>45994</v>
      </c>
      <c r="D5790">
        <f t="shared" si="731"/>
        <v>3</v>
      </c>
      <c r="E5790">
        <f t="shared" si="732"/>
        <v>12</v>
      </c>
      <c r="F5790">
        <f t="shared" si="733"/>
        <v>2025</v>
      </c>
      <c r="G5790" t="s">
        <v>1465</v>
      </c>
      <c r="H5790" s="223">
        <v>14254</v>
      </c>
      <c r="I5790" s="224">
        <v>142</v>
      </c>
      <c r="J5790" s="12" t="s">
        <v>31</v>
      </c>
      <c r="K5790" s="94">
        <f t="shared" si="718"/>
        <v>142</v>
      </c>
      <c r="L5790">
        <v>1</v>
      </c>
      <c r="M5790" s="94">
        <v>0</v>
      </c>
      <c r="N5790" t="s">
        <v>42</v>
      </c>
      <c r="O5790" t="s">
        <v>33</v>
      </c>
      <c r="P5790" t="s">
        <v>34</v>
      </c>
      <c r="Q5790" t="s">
        <v>34</v>
      </c>
      <c r="R5790" t="s">
        <v>34</v>
      </c>
      <c r="S5790" t="s">
        <v>34</v>
      </c>
      <c r="T5790" s="117">
        <v>0</v>
      </c>
    </row>
    <row r="5791" spans="1:20" x14ac:dyDescent="0.35">
      <c r="A5791" t="s">
        <v>20</v>
      </c>
      <c r="B5791" t="s">
        <v>24</v>
      </c>
      <c r="C5791" s="1">
        <v>45994</v>
      </c>
      <c r="D5791">
        <f t="shared" si="731"/>
        <v>3</v>
      </c>
      <c r="E5791">
        <f t="shared" si="732"/>
        <v>12</v>
      </c>
      <c r="F5791">
        <f t="shared" si="733"/>
        <v>2025</v>
      </c>
      <c r="G5791" t="s">
        <v>1465</v>
      </c>
      <c r="H5791" s="223">
        <v>14255</v>
      </c>
      <c r="I5791" s="224">
        <v>4260</v>
      </c>
      <c r="J5791" s="12" t="s">
        <v>31</v>
      </c>
      <c r="K5791" s="94">
        <f t="shared" si="718"/>
        <v>4260</v>
      </c>
      <c r="L5791">
        <v>1</v>
      </c>
      <c r="M5791" s="94">
        <v>0</v>
      </c>
      <c r="N5791" t="s">
        <v>42</v>
      </c>
      <c r="O5791" t="s">
        <v>33</v>
      </c>
      <c r="P5791" t="s">
        <v>34</v>
      </c>
      <c r="Q5791" t="s">
        <v>34</v>
      </c>
      <c r="R5791" t="s">
        <v>34</v>
      </c>
      <c r="S5791" t="s">
        <v>34</v>
      </c>
      <c r="T5791" s="117">
        <v>0</v>
      </c>
    </row>
    <row r="5792" spans="1:20" x14ac:dyDescent="0.35">
      <c r="A5792" t="s">
        <v>20</v>
      </c>
      <c r="B5792" t="s">
        <v>25</v>
      </c>
      <c r="C5792" s="1">
        <v>45994</v>
      </c>
      <c r="D5792">
        <f t="shared" si="731"/>
        <v>3</v>
      </c>
      <c r="E5792">
        <f t="shared" si="732"/>
        <v>12</v>
      </c>
      <c r="F5792">
        <f t="shared" si="733"/>
        <v>2025</v>
      </c>
      <c r="G5792" t="s">
        <v>1465</v>
      </c>
      <c r="H5792" s="223">
        <v>14256</v>
      </c>
      <c r="I5792" s="224">
        <v>59</v>
      </c>
      <c r="J5792" s="12" t="s">
        <v>31</v>
      </c>
      <c r="K5792" s="94">
        <f t="shared" si="718"/>
        <v>59</v>
      </c>
      <c r="L5792">
        <v>1</v>
      </c>
      <c r="M5792" s="94">
        <v>0</v>
      </c>
      <c r="N5792" t="s">
        <v>42</v>
      </c>
      <c r="O5792" t="s">
        <v>33</v>
      </c>
      <c r="P5792" t="s">
        <v>34</v>
      </c>
      <c r="Q5792" t="s">
        <v>34</v>
      </c>
      <c r="R5792" t="s">
        <v>34</v>
      </c>
      <c r="S5792" t="s">
        <v>34</v>
      </c>
      <c r="T5792" s="117">
        <v>0</v>
      </c>
    </row>
    <row r="5793" spans="1:21" x14ac:dyDescent="0.35">
      <c r="A5793" t="s">
        <v>20</v>
      </c>
      <c r="B5793" t="s">
        <v>25</v>
      </c>
      <c r="C5793" s="1">
        <v>45994</v>
      </c>
      <c r="D5793">
        <f t="shared" si="731"/>
        <v>3</v>
      </c>
      <c r="E5793">
        <f t="shared" si="732"/>
        <v>12</v>
      </c>
      <c r="F5793">
        <f t="shared" si="733"/>
        <v>2025</v>
      </c>
      <c r="G5793" t="s">
        <v>1465</v>
      </c>
      <c r="H5793" s="223">
        <v>14258</v>
      </c>
      <c r="I5793" s="224">
        <v>946</v>
      </c>
      <c r="J5793" s="12" t="s">
        <v>31</v>
      </c>
      <c r="K5793" s="94">
        <f t="shared" si="718"/>
        <v>946</v>
      </c>
      <c r="L5793">
        <v>1</v>
      </c>
      <c r="M5793" s="94">
        <v>0</v>
      </c>
      <c r="N5793" t="s">
        <v>42</v>
      </c>
      <c r="O5793" t="s">
        <v>33</v>
      </c>
      <c r="P5793" t="s">
        <v>34</v>
      </c>
      <c r="Q5793" t="s">
        <v>34</v>
      </c>
      <c r="R5793" t="s">
        <v>34</v>
      </c>
      <c r="S5793" t="s">
        <v>34</v>
      </c>
      <c r="T5793" s="117">
        <v>0</v>
      </c>
    </row>
    <row r="5794" spans="1:21" x14ac:dyDescent="0.35">
      <c r="A5794" t="s">
        <v>20</v>
      </c>
      <c r="B5794" t="s">
        <v>25</v>
      </c>
      <c r="C5794" s="1">
        <v>45994</v>
      </c>
      <c r="D5794">
        <f t="shared" si="731"/>
        <v>3</v>
      </c>
      <c r="E5794">
        <f t="shared" si="732"/>
        <v>12</v>
      </c>
      <c r="F5794">
        <f t="shared" si="733"/>
        <v>2025</v>
      </c>
      <c r="G5794" t="s">
        <v>1465</v>
      </c>
      <c r="H5794" s="223">
        <v>14314</v>
      </c>
      <c r="I5794" s="224">
        <v>100</v>
      </c>
      <c r="J5794" s="12" t="s">
        <v>31</v>
      </c>
      <c r="K5794" s="94">
        <f t="shared" si="718"/>
        <v>100</v>
      </c>
      <c r="L5794">
        <v>1</v>
      </c>
      <c r="M5794" s="94">
        <v>0</v>
      </c>
      <c r="N5794" t="s">
        <v>42</v>
      </c>
      <c r="O5794" t="s">
        <v>33</v>
      </c>
      <c r="P5794" t="s">
        <v>34</v>
      </c>
      <c r="Q5794" t="s">
        <v>34</v>
      </c>
      <c r="R5794" t="s">
        <v>34</v>
      </c>
      <c r="S5794" t="s">
        <v>34</v>
      </c>
      <c r="T5794" s="117">
        <v>0</v>
      </c>
    </row>
    <row r="5795" spans="1:21" x14ac:dyDescent="0.35">
      <c r="A5795" t="s">
        <v>20</v>
      </c>
      <c r="B5795" t="s">
        <v>25</v>
      </c>
      <c r="C5795" s="1">
        <v>45994</v>
      </c>
      <c r="D5795">
        <f t="shared" si="731"/>
        <v>3</v>
      </c>
      <c r="E5795">
        <f t="shared" si="732"/>
        <v>12</v>
      </c>
      <c r="F5795">
        <f t="shared" si="733"/>
        <v>2025</v>
      </c>
      <c r="G5795" t="s">
        <v>1465</v>
      </c>
      <c r="H5795" s="223">
        <v>14315</v>
      </c>
      <c r="I5795" s="224">
        <v>1050</v>
      </c>
      <c r="J5795" s="12" t="s">
        <v>31</v>
      </c>
      <c r="K5795" s="94">
        <f t="shared" si="718"/>
        <v>1050</v>
      </c>
      <c r="L5795">
        <v>1</v>
      </c>
      <c r="M5795" s="94">
        <v>0</v>
      </c>
      <c r="N5795" t="s">
        <v>42</v>
      </c>
      <c r="O5795" t="s">
        <v>33</v>
      </c>
      <c r="P5795" t="s">
        <v>34</v>
      </c>
      <c r="Q5795" t="s">
        <v>34</v>
      </c>
      <c r="R5795" t="s">
        <v>34</v>
      </c>
      <c r="S5795" t="s">
        <v>34</v>
      </c>
      <c r="T5795" s="117">
        <v>0</v>
      </c>
    </row>
    <row r="5796" spans="1:21" x14ac:dyDescent="0.35">
      <c r="A5796" t="s">
        <v>20</v>
      </c>
      <c r="B5796" t="s">
        <v>23</v>
      </c>
      <c r="C5796" s="1">
        <v>45994</v>
      </c>
      <c r="D5796">
        <f t="shared" ref="D5796:D5811" si="734">DAY(C5796)</f>
        <v>3</v>
      </c>
      <c r="E5796">
        <f t="shared" ref="E5796:E5811" si="735">MONTH(C5796)</f>
        <v>12</v>
      </c>
      <c r="F5796">
        <f t="shared" ref="F5796:F5811" si="736">YEAR(C5796)</f>
        <v>2025</v>
      </c>
      <c r="G5796" t="s">
        <v>177</v>
      </c>
      <c r="H5796" s="223">
        <v>13718</v>
      </c>
      <c r="I5796" s="224">
        <v>123.5</v>
      </c>
      <c r="J5796" s="12" t="s">
        <v>31</v>
      </c>
      <c r="K5796" s="94">
        <f t="shared" si="718"/>
        <v>123.5</v>
      </c>
      <c r="L5796">
        <v>1</v>
      </c>
      <c r="M5796" s="94">
        <v>0</v>
      </c>
      <c r="N5796" t="s">
        <v>32</v>
      </c>
      <c r="O5796" t="s">
        <v>33</v>
      </c>
      <c r="P5796" t="s">
        <v>34</v>
      </c>
      <c r="Q5796" t="s">
        <v>34</v>
      </c>
      <c r="R5796" t="s">
        <v>34</v>
      </c>
      <c r="S5796" t="s">
        <v>34</v>
      </c>
      <c r="T5796" s="117">
        <v>0</v>
      </c>
    </row>
    <row r="5797" spans="1:21" x14ac:dyDescent="0.35">
      <c r="A5797" t="s">
        <v>20</v>
      </c>
      <c r="B5797" t="s">
        <v>25</v>
      </c>
      <c r="C5797" s="1">
        <v>45994</v>
      </c>
      <c r="D5797">
        <f t="shared" si="734"/>
        <v>3</v>
      </c>
      <c r="E5797">
        <f t="shared" si="735"/>
        <v>12</v>
      </c>
      <c r="F5797">
        <f t="shared" si="736"/>
        <v>2025</v>
      </c>
      <c r="G5797" t="s">
        <v>1311</v>
      </c>
      <c r="H5797" s="139">
        <v>13268</v>
      </c>
      <c r="I5797" s="95">
        <v>13600.01</v>
      </c>
      <c r="J5797" s="12" t="s">
        <v>51</v>
      </c>
      <c r="K5797" s="94">
        <f t="shared" si="718"/>
        <v>15932.3451730408</v>
      </c>
      <c r="L5797">
        <v>1.17149510721248</v>
      </c>
      <c r="M5797" s="94">
        <v>0</v>
      </c>
      <c r="N5797" t="s">
        <v>32</v>
      </c>
      <c r="O5797" t="s">
        <v>33</v>
      </c>
      <c r="P5797" t="s">
        <v>34</v>
      </c>
      <c r="Q5797" t="s">
        <v>34</v>
      </c>
      <c r="R5797" t="s">
        <v>34</v>
      </c>
      <c r="S5797" t="s">
        <v>34</v>
      </c>
      <c r="T5797" s="117">
        <v>0</v>
      </c>
    </row>
    <row r="5798" spans="1:21" x14ac:dyDescent="0.35">
      <c r="A5798" t="s">
        <v>20</v>
      </c>
      <c r="B5798" t="s">
        <v>25</v>
      </c>
      <c r="C5798" s="1">
        <v>45994</v>
      </c>
      <c r="D5798">
        <f t="shared" si="734"/>
        <v>3</v>
      </c>
      <c r="E5798">
        <f t="shared" si="735"/>
        <v>12</v>
      </c>
      <c r="F5798">
        <f t="shared" si="736"/>
        <v>2025</v>
      </c>
      <c r="G5798" t="s">
        <v>1311</v>
      </c>
      <c r="H5798" s="139">
        <v>13268</v>
      </c>
      <c r="I5798" s="95">
        <v>264</v>
      </c>
      <c r="J5798" s="12" t="s">
        <v>51</v>
      </c>
      <c r="K5798" s="94">
        <f t="shared" si="718"/>
        <v>309.2747083040947</v>
      </c>
      <c r="L5798">
        <v>1.17149510721248</v>
      </c>
      <c r="M5798" s="94">
        <v>0</v>
      </c>
      <c r="N5798" t="s">
        <v>32</v>
      </c>
      <c r="O5798" t="s">
        <v>33</v>
      </c>
      <c r="P5798" t="s">
        <v>34</v>
      </c>
      <c r="Q5798" t="s">
        <v>34</v>
      </c>
      <c r="R5798" t="s">
        <v>34</v>
      </c>
      <c r="S5798" t="s">
        <v>34</v>
      </c>
      <c r="T5798" s="117">
        <v>0</v>
      </c>
    </row>
    <row r="5799" spans="1:21" x14ac:dyDescent="0.35">
      <c r="A5799" t="s">
        <v>20</v>
      </c>
      <c r="B5799" t="s">
        <v>25</v>
      </c>
      <c r="C5799" s="1">
        <v>45994</v>
      </c>
      <c r="D5799">
        <f t="shared" si="734"/>
        <v>3</v>
      </c>
      <c r="E5799">
        <f t="shared" si="735"/>
        <v>12</v>
      </c>
      <c r="F5799">
        <f t="shared" si="736"/>
        <v>2025</v>
      </c>
      <c r="G5799" t="s">
        <v>1311</v>
      </c>
      <c r="H5799" s="139">
        <v>13267</v>
      </c>
      <c r="I5799" s="95">
        <v>42914.65</v>
      </c>
      <c r="J5799" s="12" t="s">
        <v>51</v>
      </c>
      <c r="K5799" s="94">
        <f t="shared" si="718"/>
        <v>50274.302502736056</v>
      </c>
      <c r="L5799">
        <v>1.17149510721248</v>
      </c>
      <c r="M5799" s="94">
        <v>0</v>
      </c>
      <c r="N5799" t="s">
        <v>32</v>
      </c>
      <c r="O5799" t="s">
        <v>33</v>
      </c>
      <c r="P5799" t="s">
        <v>34</v>
      </c>
      <c r="Q5799" t="s">
        <v>34</v>
      </c>
      <c r="R5799" t="s">
        <v>34</v>
      </c>
      <c r="S5799" t="s">
        <v>34</v>
      </c>
      <c r="T5799" s="117">
        <v>0</v>
      </c>
    </row>
    <row r="5800" spans="1:21" x14ac:dyDescent="0.35">
      <c r="A5800" t="s">
        <v>20</v>
      </c>
      <c r="B5800" t="s">
        <v>21</v>
      </c>
      <c r="C5800" s="1">
        <v>45994</v>
      </c>
      <c r="D5800">
        <f t="shared" si="734"/>
        <v>3</v>
      </c>
      <c r="E5800">
        <f t="shared" si="735"/>
        <v>12</v>
      </c>
      <c r="F5800">
        <f t="shared" si="736"/>
        <v>2025</v>
      </c>
      <c r="G5800" t="s">
        <v>1311</v>
      </c>
      <c r="H5800" s="139">
        <v>13386</v>
      </c>
      <c r="I5800" s="95">
        <v>10098.35</v>
      </c>
      <c r="J5800" s="12" t="s">
        <v>51</v>
      </c>
      <c r="K5800" s="94">
        <f t="shared" si="718"/>
        <v>11830.167615919147</v>
      </c>
      <c r="L5800">
        <v>1.17149510721248</v>
      </c>
      <c r="M5800" s="94">
        <v>0</v>
      </c>
      <c r="N5800" t="s">
        <v>32</v>
      </c>
      <c r="O5800" t="s">
        <v>33</v>
      </c>
      <c r="P5800" t="s">
        <v>34</v>
      </c>
      <c r="Q5800" t="s">
        <v>34</v>
      </c>
      <c r="R5800" t="s">
        <v>34</v>
      </c>
      <c r="S5800" t="s">
        <v>34</v>
      </c>
      <c r="T5800" s="117">
        <v>0</v>
      </c>
    </row>
    <row r="5801" spans="1:21" x14ac:dyDescent="0.35">
      <c r="A5801" t="s">
        <v>20</v>
      </c>
      <c r="B5801" t="s">
        <v>223</v>
      </c>
      <c r="C5801" s="1">
        <v>45994</v>
      </c>
      <c r="D5801">
        <f t="shared" si="734"/>
        <v>3</v>
      </c>
      <c r="E5801">
        <f t="shared" si="735"/>
        <v>12</v>
      </c>
      <c r="F5801">
        <f t="shared" si="736"/>
        <v>2025</v>
      </c>
      <c r="G5801" t="s">
        <v>223</v>
      </c>
      <c r="H5801" s="180">
        <v>13966</v>
      </c>
      <c r="I5801" s="95">
        <v>58638.76</v>
      </c>
      <c r="J5801" s="12" t="s">
        <v>51</v>
      </c>
      <c r="K5801" s="94">
        <f t="shared" si="718"/>
        <v>68466.616175999996</v>
      </c>
      <c r="L5801">
        <v>1.1676</v>
      </c>
      <c r="M5801" s="94">
        <v>0</v>
      </c>
      <c r="N5801" t="s">
        <v>32</v>
      </c>
      <c r="O5801" t="s">
        <v>186</v>
      </c>
      <c r="P5801" s="1">
        <v>45994</v>
      </c>
      <c r="Q5801" t="s">
        <v>34</v>
      </c>
      <c r="R5801">
        <v>10010015388</v>
      </c>
      <c r="S5801" t="s">
        <v>34</v>
      </c>
      <c r="T5801" s="117">
        <v>0</v>
      </c>
    </row>
    <row r="5802" spans="1:21" x14ac:dyDescent="0.35">
      <c r="A5802" t="s">
        <v>19</v>
      </c>
      <c r="B5802" t="s">
        <v>26</v>
      </c>
      <c r="C5802" s="1">
        <v>45996</v>
      </c>
      <c r="D5802">
        <f t="shared" ref="D5802:D5810" si="737">DAY(C5802)</f>
        <v>5</v>
      </c>
      <c r="E5802">
        <f t="shared" ref="E5802:E5810" si="738">MONTH(C5802)</f>
        <v>12</v>
      </c>
      <c r="F5802">
        <f t="shared" ref="F5802:F5810" si="739">YEAR(C5802)</f>
        <v>2025</v>
      </c>
      <c r="G5802" t="s">
        <v>73</v>
      </c>
      <c r="H5802" s="180">
        <v>14167</v>
      </c>
      <c r="I5802" s="95">
        <v>2889.45</v>
      </c>
      <c r="J5802" s="12" t="s">
        <v>51</v>
      </c>
      <c r="K5802" s="94">
        <f t="shared" ref="K5802:K5817" si="740">IF(J5802="USD",I5802,I5802*L5802)</f>
        <v>3370.8323700000001</v>
      </c>
      <c r="L5802">
        <v>1.1666000000000001</v>
      </c>
      <c r="M5802" s="94">
        <v>0</v>
      </c>
      <c r="N5802" t="s">
        <v>32</v>
      </c>
      <c r="O5802" t="s">
        <v>33</v>
      </c>
      <c r="P5802" t="s">
        <v>34</v>
      </c>
      <c r="Q5802" t="s">
        <v>34</v>
      </c>
      <c r="R5802" t="s">
        <v>34</v>
      </c>
      <c r="S5802" t="s">
        <v>34</v>
      </c>
      <c r="T5802" s="117">
        <v>0</v>
      </c>
      <c r="U5802" s="209" t="s">
        <v>94</v>
      </c>
    </row>
    <row r="5803" spans="1:21" x14ac:dyDescent="0.35">
      <c r="A5803" t="s">
        <v>19</v>
      </c>
      <c r="B5803" t="s">
        <v>26</v>
      </c>
      <c r="C5803" s="1">
        <v>45996</v>
      </c>
      <c r="D5803">
        <f t="shared" si="737"/>
        <v>5</v>
      </c>
      <c r="E5803">
        <f t="shared" si="738"/>
        <v>12</v>
      </c>
      <c r="F5803">
        <f t="shared" si="739"/>
        <v>2025</v>
      </c>
      <c r="G5803" t="s">
        <v>73</v>
      </c>
      <c r="H5803" s="180">
        <v>14168</v>
      </c>
      <c r="I5803" s="95">
        <v>73741.67</v>
      </c>
      <c r="J5803" s="12" t="s">
        <v>51</v>
      </c>
      <c r="K5803" s="94">
        <f t="shared" si="740"/>
        <v>86027.032222000009</v>
      </c>
      <c r="L5803">
        <v>1.1666000000000001</v>
      </c>
      <c r="M5803" s="94">
        <v>0</v>
      </c>
      <c r="N5803" t="s">
        <v>32</v>
      </c>
      <c r="O5803" t="s">
        <v>33</v>
      </c>
      <c r="P5803" t="s">
        <v>34</v>
      </c>
      <c r="Q5803" t="s">
        <v>34</v>
      </c>
      <c r="R5803" t="s">
        <v>34</v>
      </c>
      <c r="S5803" t="s">
        <v>34</v>
      </c>
      <c r="T5803" s="117">
        <v>0</v>
      </c>
      <c r="U5803" s="209" t="s">
        <v>94</v>
      </c>
    </row>
    <row r="5804" spans="1:21" x14ac:dyDescent="0.35">
      <c r="A5804" t="s">
        <v>19</v>
      </c>
      <c r="B5804" t="s">
        <v>26</v>
      </c>
      <c r="C5804" s="1">
        <v>45996</v>
      </c>
      <c r="D5804">
        <f t="shared" si="737"/>
        <v>5</v>
      </c>
      <c r="E5804">
        <f t="shared" si="738"/>
        <v>12</v>
      </c>
      <c r="F5804">
        <f t="shared" si="739"/>
        <v>2025</v>
      </c>
      <c r="G5804" t="s">
        <v>73</v>
      </c>
      <c r="H5804" s="180">
        <v>14317</v>
      </c>
      <c r="I5804" s="95">
        <v>2565.5500000000002</v>
      </c>
      <c r="J5804" s="12" t="s">
        <v>51</v>
      </c>
      <c r="K5804" s="94">
        <f t="shared" si="740"/>
        <v>2992.9706300000003</v>
      </c>
      <c r="L5804">
        <v>1.1666000000000001</v>
      </c>
      <c r="M5804" s="94">
        <v>0</v>
      </c>
      <c r="N5804" t="s">
        <v>32</v>
      </c>
      <c r="O5804" t="s">
        <v>33</v>
      </c>
      <c r="P5804" t="s">
        <v>34</v>
      </c>
      <c r="Q5804" t="s">
        <v>34</v>
      </c>
      <c r="R5804" t="s">
        <v>34</v>
      </c>
      <c r="S5804" t="s">
        <v>34</v>
      </c>
      <c r="T5804" s="117">
        <v>0</v>
      </c>
      <c r="U5804" s="209" t="s">
        <v>94</v>
      </c>
    </row>
    <row r="5805" spans="1:21" x14ac:dyDescent="0.35">
      <c r="A5805" t="s">
        <v>19</v>
      </c>
      <c r="B5805" t="s">
        <v>26</v>
      </c>
      <c r="C5805" s="1">
        <v>45996</v>
      </c>
      <c r="D5805">
        <f t="shared" si="737"/>
        <v>5</v>
      </c>
      <c r="E5805">
        <f t="shared" si="738"/>
        <v>12</v>
      </c>
      <c r="F5805">
        <f t="shared" si="739"/>
        <v>2025</v>
      </c>
      <c r="G5805" t="s">
        <v>73</v>
      </c>
      <c r="H5805" s="180">
        <v>14319</v>
      </c>
      <c r="I5805" s="95">
        <v>77379.839999999997</v>
      </c>
      <c r="J5805" s="12" t="s">
        <v>51</v>
      </c>
      <c r="K5805" s="94">
        <f t="shared" si="740"/>
        <v>90271.321343999996</v>
      </c>
      <c r="L5805">
        <v>1.1666000000000001</v>
      </c>
      <c r="M5805" s="94">
        <v>0</v>
      </c>
      <c r="N5805" t="s">
        <v>32</v>
      </c>
      <c r="O5805" t="s">
        <v>33</v>
      </c>
      <c r="P5805" t="s">
        <v>34</v>
      </c>
      <c r="Q5805" t="s">
        <v>34</v>
      </c>
      <c r="R5805" t="s">
        <v>34</v>
      </c>
      <c r="S5805" t="s">
        <v>34</v>
      </c>
      <c r="T5805" s="117">
        <v>0</v>
      </c>
      <c r="U5805" s="209" t="s">
        <v>94</v>
      </c>
    </row>
    <row r="5806" spans="1:21" x14ac:dyDescent="0.35">
      <c r="A5806" t="s">
        <v>19</v>
      </c>
      <c r="B5806" t="s">
        <v>26</v>
      </c>
      <c r="C5806" s="1">
        <v>45996</v>
      </c>
      <c r="D5806">
        <f t="shared" si="737"/>
        <v>5</v>
      </c>
      <c r="E5806">
        <f t="shared" si="738"/>
        <v>12</v>
      </c>
      <c r="F5806">
        <f t="shared" si="739"/>
        <v>2025</v>
      </c>
      <c r="G5806" t="s">
        <v>73</v>
      </c>
      <c r="H5806" s="180">
        <v>14320</v>
      </c>
      <c r="I5806" s="95">
        <v>79412.850000000006</v>
      </c>
      <c r="J5806" s="12" t="s">
        <v>51</v>
      </c>
      <c r="K5806" s="94">
        <f t="shared" si="740"/>
        <v>92643.030810000011</v>
      </c>
      <c r="L5806">
        <v>1.1666000000000001</v>
      </c>
      <c r="M5806" s="94">
        <v>0</v>
      </c>
      <c r="N5806" t="s">
        <v>32</v>
      </c>
      <c r="O5806" t="s">
        <v>33</v>
      </c>
      <c r="P5806" t="s">
        <v>34</v>
      </c>
      <c r="Q5806" t="s">
        <v>34</v>
      </c>
      <c r="R5806" t="s">
        <v>34</v>
      </c>
      <c r="S5806" t="s">
        <v>34</v>
      </c>
      <c r="T5806" s="117">
        <v>0</v>
      </c>
      <c r="U5806" s="209" t="s">
        <v>94</v>
      </c>
    </row>
    <row r="5807" spans="1:21" x14ac:dyDescent="0.35">
      <c r="A5807" t="s">
        <v>19</v>
      </c>
      <c r="B5807" t="s">
        <v>26</v>
      </c>
      <c r="C5807" s="1">
        <v>45996</v>
      </c>
      <c r="D5807">
        <f t="shared" si="737"/>
        <v>5</v>
      </c>
      <c r="E5807">
        <f t="shared" si="738"/>
        <v>12</v>
      </c>
      <c r="F5807">
        <f t="shared" si="739"/>
        <v>2025</v>
      </c>
      <c r="G5807" t="s">
        <v>73</v>
      </c>
      <c r="H5807" s="180">
        <v>14335</v>
      </c>
      <c r="I5807" s="95">
        <v>85275.46</v>
      </c>
      <c r="J5807" s="12" t="s">
        <v>51</v>
      </c>
      <c r="K5807" s="94">
        <f t="shared" si="740"/>
        <v>99482.351636000021</v>
      </c>
      <c r="L5807">
        <v>1.1666000000000001</v>
      </c>
      <c r="M5807" s="94">
        <v>0</v>
      </c>
      <c r="N5807" t="s">
        <v>32</v>
      </c>
      <c r="O5807" t="s">
        <v>33</v>
      </c>
      <c r="P5807" t="s">
        <v>34</v>
      </c>
      <c r="Q5807" t="s">
        <v>34</v>
      </c>
      <c r="R5807" t="s">
        <v>34</v>
      </c>
      <c r="S5807" t="s">
        <v>34</v>
      </c>
      <c r="T5807" s="117">
        <v>0</v>
      </c>
      <c r="U5807" s="209" t="s">
        <v>94</v>
      </c>
    </row>
    <row r="5808" spans="1:21" x14ac:dyDescent="0.35">
      <c r="A5808" t="s">
        <v>19</v>
      </c>
      <c r="B5808" t="s">
        <v>26</v>
      </c>
      <c r="C5808" s="1">
        <v>45996</v>
      </c>
      <c r="D5808">
        <f t="shared" si="737"/>
        <v>5</v>
      </c>
      <c r="E5808">
        <f t="shared" si="738"/>
        <v>12</v>
      </c>
      <c r="F5808">
        <f t="shared" si="739"/>
        <v>2025</v>
      </c>
      <c r="G5808" t="s">
        <v>73</v>
      </c>
      <c r="H5808" s="180">
        <v>14336</v>
      </c>
      <c r="I5808" s="95">
        <v>81525.179999999993</v>
      </c>
      <c r="J5808" s="12" t="s">
        <v>51</v>
      </c>
      <c r="K5808" s="94">
        <f t="shared" si="740"/>
        <v>95107.274988000005</v>
      </c>
      <c r="L5808">
        <v>1.1666000000000001</v>
      </c>
      <c r="M5808" s="94">
        <v>0</v>
      </c>
      <c r="N5808" t="s">
        <v>32</v>
      </c>
      <c r="O5808" t="s">
        <v>33</v>
      </c>
      <c r="P5808" t="s">
        <v>34</v>
      </c>
      <c r="Q5808" t="s">
        <v>34</v>
      </c>
      <c r="R5808" t="s">
        <v>34</v>
      </c>
      <c r="S5808" t="s">
        <v>34</v>
      </c>
      <c r="T5808" s="117">
        <v>0</v>
      </c>
      <c r="U5808" s="209" t="s">
        <v>94</v>
      </c>
    </row>
    <row r="5809" spans="1:21" x14ac:dyDescent="0.35">
      <c r="A5809" t="s">
        <v>19</v>
      </c>
      <c r="B5809" t="s">
        <v>26</v>
      </c>
      <c r="C5809" s="1">
        <v>45996</v>
      </c>
      <c r="D5809">
        <f t="shared" si="737"/>
        <v>5</v>
      </c>
      <c r="E5809">
        <f t="shared" si="738"/>
        <v>12</v>
      </c>
      <c r="F5809">
        <f t="shared" si="739"/>
        <v>2025</v>
      </c>
      <c r="G5809" t="s">
        <v>73</v>
      </c>
      <c r="H5809" s="180">
        <v>14318</v>
      </c>
      <c r="I5809" s="95">
        <v>6072.7</v>
      </c>
      <c r="J5809" s="12" t="s">
        <v>51</v>
      </c>
      <c r="K5809" s="94">
        <f t="shared" si="740"/>
        <v>7084.4118200000003</v>
      </c>
      <c r="L5809">
        <v>1.1666000000000001</v>
      </c>
      <c r="M5809" s="94">
        <v>0</v>
      </c>
      <c r="N5809" t="s">
        <v>32</v>
      </c>
      <c r="O5809" t="s">
        <v>33</v>
      </c>
      <c r="P5809" t="s">
        <v>34</v>
      </c>
      <c r="Q5809" t="s">
        <v>34</v>
      </c>
      <c r="R5809" t="s">
        <v>34</v>
      </c>
      <c r="S5809" t="s">
        <v>34</v>
      </c>
      <c r="T5809" s="117">
        <v>0</v>
      </c>
      <c r="U5809" s="209" t="s">
        <v>94</v>
      </c>
    </row>
    <row r="5810" spans="1:21" x14ac:dyDescent="0.35">
      <c r="A5810" t="s">
        <v>19</v>
      </c>
      <c r="B5810" t="s">
        <v>26</v>
      </c>
      <c r="C5810" s="1">
        <v>45996</v>
      </c>
      <c r="D5810">
        <f t="shared" si="737"/>
        <v>5</v>
      </c>
      <c r="E5810">
        <f t="shared" si="738"/>
        <v>12</v>
      </c>
      <c r="F5810">
        <f t="shared" si="739"/>
        <v>2025</v>
      </c>
      <c r="G5810" t="s">
        <v>187</v>
      </c>
      <c r="H5810" s="180">
        <v>0</v>
      </c>
      <c r="I5810" s="95">
        <v>19753.8</v>
      </c>
      <c r="J5810" s="12" t="s">
        <v>51</v>
      </c>
      <c r="K5810" s="94">
        <f t="shared" si="740"/>
        <v>23044.783080000001</v>
      </c>
      <c r="L5810">
        <v>1.1666000000000001</v>
      </c>
      <c r="M5810" s="94">
        <v>0</v>
      </c>
      <c r="N5810" t="s">
        <v>32</v>
      </c>
      <c r="O5810" t="s">
        <v>33</v>
      </c>
      <c r="P5810" t="s">
        <v>34</v>
      </c>
      <c r="Q5810" t="s">
        <v>34</v>
      </c>
      <c r="R5810" t="s">
        <v>34</v>
      </c>
      <c r="S5810" t="s">
        <v>34</v>
      </c>
      <c r="T5810" s="117">
        <v>0</v>
      </c>
      <c r="U5810" s="209" t="s">
        <v>94</v>
      </c>
    </row>
    <row r="5811" spans="1:21" x14ac:dyDescent="0.35">
      <c r="A5811" t="s">
        <v>19</v>
      </c>
      <c r="B5811" t="s">
        <v>19</v>
      </c>
      <c r="C5811" s="1">
        <v>45994</v>
      </c>
      <c r="D5811">
        <f t="shared" si="734"/>
        <v>3</v>
      </c>
      <c r="E5811">
        <f t="shared" si="735"/>
        <v>12</v>
      </c>
      <c r="F5811">
        <f t="shared" si="736"/>
        <v>2025</v>
      </c>
      <c r="G5811" t="s">
        <v>1061</v>
      </c>
      <c r="H5811" s="121" t="s">
        <v>1534</v>
      </c>
      <c r="I5811" s="224">
        <v>152915.29</v>
      </c>
      <c r="J5811" s="12" t="s">
        <v>31</v>
      </c>
      <c r="K5811" s="94">
        <f t="shared" si="740"/>
        <v>152915.29</v>
      </c>
      <c r="L5811">
        <v>1</v>
      </c>
      <c r="M5811" s="94">
        <v>0</v>
      </c>
      <c r="N5811" t="s">
        <v>32</v>
      </c>
      <c r="O5811" t="s">
        <v>33</v>
      </c>
      <c r="P5811" t="s">
        <v>34</v>
      </c>
      <c r="Q5811" t="s">
        <v>34</v>
      </c>
      <c r="R5811" t="s">
        <v>34</v>
      </c>
      <c r="S5811" t="s">
        <v>34</v>
      </c>
      <c r="T5811" s="117">
        <v>0</v>
      </c>
    </row>
    <row r="5812" spans="1:21" x14ac:dyDescent="0.35">
      <c r="A5812" t="s">
        <v>19</v>
      </c>
      <c r="B5812" t="s">
        <v>19</v>
      </c>
      <c r="C5812" s="1">
        <v>45994</v>
      </c>
      <c r="D5812">
        <f t="shared" ref="D5812:D5823" si="741">DAY(C5812)</f>
        <v>3</v>
      </c>
      <c r="E5812">
        <f t="shared" ref="E5812:E5823" si="742">MONTH(C5812)</f>
        <v>12</v>
      </c>
      <c r="F5812">
        <f t="shared" ref="F5812:F5823" si="743">YEAR(C5812)</f>
        <v>2025</v>
      </c>
      <c r="G5812" t="s">
        <v>56</v>
      </c>
      <c r="H5812" s="121" t="s">
        <v>1535</v>
      </c>
      <c r="I5812" s="224">
        <v>193562.29</v>
      </c>
      <c r="J5812" s="12" t="s">
        <v>31</v>
      </c>
      <c r="K5812" s="94">
        <f t="shared" si="740"/>
        <v>193562.29</v>
      </c>
      <c r="L5812">
        <v>1</v>
      </c>
      <c r="M5812" s="94">
        <v>0</v>
      </c>
      <c r="N5812" t="s">
        <v>32</v>
      </c>
      <c r="O5812" t="s">
        <v>33</v>
      </c>
      <c r="P5812" t="s">
        <v>34</v>
      </c>
      <c r="Q5812" t="s">
        <v>34</v>
      </c>
      <c r="R5812" t="s">
        <v>34</v>
      </c>
      <c r="S5812" t="s">
        <v>34</v>
      </c>
      <c r="T5812" s="117">
        <v>0</v>
      </c>
    </row>
    <row r="5813" spans="1:21" x14ac:dyDescent="0.35">
      <c r="A5813" t="s">
        <v>19</v>
      </c>
      <c r="B5813" t="s">
        <v>19</v>
      </c>
      <c r="C5813" s="1">
        <v>45994</v>
      </c>
      <c r="D5813">
        <f t="shared" si="741"/>
        <v>3</v>
      </c>
      <c r="E5813">
        <f t="shared" si="742"/>
        <v>12</v>
      </c>
      <c r="F5813">
        <f t="shared" si="743"/>
        <v>2025</v>
      </c>
      <c r="G5813" t="s">
        <v>56</v>
      </c>
      <c r="H5813" s="121" t="s">
        <v>1536</v>
      </c>
      <c r="I5813" s="224">
        <v>3420.29</v>
      </c>
      <c r="J5813" s="12" t="s">
        <v>31</v>
      </c>
      <c r="K5813" s="94">
        <f t="shared" si="740"/>
        <v>3420.29</v>
      </c>
      <c r="L5813">
        <v>1</v>
      </c>
      <c r="M5813" s="94">
        <v>0</v>
      </c>
      <c r="N5813" t="s">
        <v>32</v>
      </c>
      <c r="O5813" t="s">
        <v>33</v>
      </c>
      <c r="P5813" t="s">
        <v>34</v>
      </c>
      <c r="Q5813" t="s">
        <v>34</v>
      </c>
      <c r="R5813" t="s">
        <v>34</v>
      </c>
      <c r="S5813" t="s">
        <v>34</v>
      </c>
      <c r="T5813" s="117">
        <v>0</v>
      </c>
    </row>
    <row r="5814" spans="1:21" x14ac:dyDescent="0.35">
      <c r="A5814" t="s">
        <v>19</v>
      </c>
      <c r="B5814" t="s">
        <v>19</v>
      </c>
      <c r="C5814" s="1">
        <v>45994</v>
      </c>
      <c r="D5814">
        <f t="shared" si="741"/>
        <v>3</v>
      </c>
      <c r="E5814">
        <f t="shared" si="742"/>
        <v>12</v>
      </c>
      <c r="F5814">
        <f t="shared" si="743"/>
        <v>2025</v>
      </c>
      <c r="G5814" t="s">
        <v>213</v>
      </c>
      <c r="H5814" s="121" t="s">
        <v>1537</v>
      </c>
      <c r="I5814" s="224">
        <v>117346.42</v>
      </c>
      <c r="J5814" s="12" t="s">
        <v>31</v>
      </c>
      <c r="K5814" s="94">
        <f t="shared" si="740"/>
        <v>117346.42</v>
      </c>
      <c r="L5814">
        <v>1</v>
      </c>
      <c r="M5814" s="94">
        <v>0</v>
      </c>
      <c r="N5814" t="s">
        <v>32</v>
      </c>
      <c r="O5814" t="s">
        <v>33</v>
      </c>
      <c r="P5814" t="s">
        <v>34</v>
      </c>
      <c r="Q5814" t="s">
        <v>34</v>
      </c>
      <c r="R5814" t="s">
        <v>34</v>
      </c>
      <c r="S5814" t="s">
        <v>34</v>
      </c>
      <c r="T5814" s="117">
        <v>0</v>
      </c>
    </row>
    <row r="5815" spans="1:21" x14ac:dyDescent="0.35">
      <c r="A5815" t="s">
        <v>19</v>
      </c>
      <c r="B5815" t="s">
        <v>19</v>
      </c>
      <c r="C5815" s="1">
        <v>45994</v>
      </c>
      <c r="D5815">
        <f t="shared" si="741"/>
        <v>3</v>
      </c>
      <c r="E5815">
        <f t="shared" si="742"/>
        <v>12</v>
      </c>
      <c r="F5815">
        <f t="shared" si="743"/>
        <v>2025</v>
      </c>
      <c r="G5815" t="s">
        <v>183</v>
      </c>
      <c r="H5815" s="121" t="s">
        <v>1277</v>
      </c>
      <c r="I5815" s="224">
        <v>2535.84</v>
      </c>
      <c r="J5815" s="12" t="s">
        <v>31</v>
      </c>
      <c r="K5815" s="94">
        <f t="shared" si="740"/>
        <v>2535.84</v>
      </c>
      <c r="L5815">
        <v>1</v>
      </c>
      <c r="M5815" s="94">
        <v>0</v>
      </c>
      <c r="N5815" t="s">
        <v>32</v>
      </c>
      <c r="O5815" t="s">
        <v>33</v>
      </c>
      <c r="P5815" t="s">
        <v>34</v>
      </c>
      <c r="Q5815" t="s">
        <v>34</v>
      </c>
      <c r="R5815" t="s">
        <v>34</v>
      </c>
      <c r="S5815" t="s">
        <v>34</v>
      </c>
      <c r="T5815" s="117">
        <v>0</v>
      </c>
    </row>
    <row r="5816" spans="1:21" x14ac:dyDescent="0.35">
      <c r="A5816" t="s">
        <v>19</v>
      </c>
      <c r="B5816" t="s">
        <v>19</v>
      </c>
      <c r="C5816" s="1">
        <v>45994</v>
      </c>
      <c r="D5816">
        <f t="shared" si="741"/>
        <v>3</v>
      </c>
      <c r="E5816">
        <f t="shared" si="742"/>
        <v>12</v>
      </c>
      <c r="F5816">
        <f t="shared" si="743"/>
        <v>2025</v>
      </c>
      <c r="G5816" t="s">
        <v>90</v>
      </c>
      <c r="H5816" s="121" t="s">
        <v>1538</v>
      </c>
      <c r="I5816" s="224">
        <v>9825.9</v>
      </c>
      <c r="J5816" s="12" t="s">
        <v>31</v>
      </c>
      <c r="K5816" s="94">
        <f t="shared" si="740"/>
        <v>9825.9</v>
      </c>
      <c r="L5816">
        <v>1</v>
      </c>
      <c r="M5816" s="94">
        <v>0</v>
      </c>
      <c r="N5816" t="s">
        <v>32</v>
      </c>
      <c r="O5816" t="s">
        <v>33</v>
      </c>
      <c r="P5816" t="s">
        <v>34</v>
      </c>
      <c r="Q5816" t="s">
        <v>34</v>
      </c>
      <c r="R5816" t="s">
        <v>34</v>
      </c>
      <c r="S5816" t="s">
        <v>34</v>
      </c>
      <c r="T5816" s="117">
        <v>0</v>
      </c>
    </row>
    <row r="5817" spans="1:21" x14ac:dyDescent="0.35">
      <c r="A5817" t="s">
        <v>19</v>
      </c>
      <c r="B5817" t="s">
        <v>19</v>
      </c>
      <c r="C5817" s="1">
        <v>45994</v>
      </c>
      <c r="D5817">
        <f t="shared" si="741"/>
        <v>3</v>
      </c>
      <c r="E5817">
        <f t="shared" si="742"/>
        <v>12</v>
      </c>
      <c r="F5817">
        <f t="shared" si="743"/>
        <v>2025</v>
      </c>
      <c r="G5817" t="s">
        <v>90</v>
      </c>
      <c r="H5817" s="121" t="s">
        <v>1539</v>
      </c>
      <c r="I5817" s="224">
        <v>138.6</v>
      </c>
      <c r="J5817" s="12" t="s">
        <v>31</v>
      </c>
      <c r="K5817" s="94">
        <f t="shared" si="740"/>
        <v>138.6</v>
      </c>
      <c r="L5817">
        <v>1</v>
      </c>
      <c r="M5817" s="94">
        <v>0</v>
      </c>
      <c r="N5817" t="s">
        <v>32</v>
      </c>
      <c r="O5817" t="s">
        <v>33</v>
      </c>
      <c r="P5817" t="s">
        <v>34</v>
      </c>
      <c r="Q5817" t="s">
        <v>34</v>
      </c>
      <c r="R5817" t="s">
        <v>34</v>
      </c>
      <c r="S5817" t="s">
        <v>34</v>
      </c>
      <c r="T5817" s="117">
        <v>0</v>
      </c>
    </row>
    <row r="5818" spans="1:21" x14ac:dyDescent="0.35">
      <c r="A5818" t="s">
        <v>19</v>
      </c>
      <c r="B5818" t="s">
        <v>19</v>
      </c>
      <c r="C5818" s="1">
        <v>45994</v>
      </c>
      <c r="D5818">
        <f t="shared" si="741"/>
        <v>3</v>
      </c>
      <c r="E5818">
        <f t="shared" si="742"/>
        <v>12</v>
      </c>
      <c r="F5818">
        <f t="shared" si="743"/>
        <v>2025</v>
      </c>
      <c r="G5818" t="s">
        <v>523</v>
      </c>
      <c r="H5818" s="121" t="s">
        <v>1540</v>
      </c>
      <c r="I5818" s="224">
        <v>89919</v>
      </c>
      <c r="J5818" s="12" t="s">
        <v>31</v>
      </c>
      <c r="K5818" s="94">
        <f t="shared" ref="K5818:K5881" si="744">IF(J5818="USD",I5818,I5818*L5818)</f>
        <v>89919</v>
      </c>
      <c r="L5818">
        <v>1</v>
      </c>
      <c r="M5818" s="94">
        <v>0</v>
      </c>
      <c r="N5818" t="s">
        <v>32</v>
      </c>
      <c r="O5818" t="s">
        <v>33</v>
      </c>
      <c r="P5818" t="s">
        <v>34</v>
      </c>
      <c r="Q5818" t="s">
        <v>34</v>
      </c>
      <c r="R5818" t="s">
        <v>34</v>
      </c>
      <c r="S5818" t="s">
        <v>34</v>
      </c>
      <c r="T5818" s="117">
        <v>0</v>
      </c>
    </row>
    <row r="5819" spans="1:21" x14ac:dyDescent="0.35">
      <c r="A5819" t="s">
        <v>19</v>
      </c>
      <c r="B5819" t="s">
        <v>19</v>
      </c>
      <c r="C5819" s="1">
        <v>45994</v>
      </c>
      <c r="D5819">
        <f t="shared" si="741"/>
        <v>3</v>
      </c>
      <c r="E5819">
        <f t="shared" si="742"/>
        <v>12</v>
      </c>
      <c r="F5819">
        <f t="shared" si="743"/>
        <v>2025</v>
      </c>
      <c r="G5819" t="s">
        <v>106</v>
      </c>
      <c r="H5819" s="121" t="s">
        <v>1541</v>
      </c>
      <c r="I5819" s="224">
        <v>94346.36</v>
      </c>
      <c r="J5819" s="12" t="s">
        <v>31</v>
      </c>
      <c r="K5819" s="94">
        <f t="shared" si="744"/>
        <v>94346.36</v>
      </c>
      <c r="L5819">
        <v>1</v>
      </c>
      <c r="M5819" s="94">
        <v>0</v>
      </c>
      <c r="N5819" t="s">
        <v>32</v>
      </c>
      <c r="O5819" t="s">
        <v>33</v>
      </c>
      <c r="P5819" t="s">
        <v>34</v>
      </c>
      <c r="Q5819" t="s">
        <v>34</v>
      </c>
      <c r="R5819" t="s">
        <v>34</v>
      </c>
      <c r="S5819" t="s">
        <v>34</v>
      </c>
      <c r="T5819" s="117">
        <v>0</v>
      </c>
    </row>
    <row r="5820" spans="1:21" x14ac:dyDescent="0.35">
      <c r="A5820" t="s">
        <v>19</v>
      </c>
      <c r="B5820" t="s">
        <v>19</v>
      </c>
      <c r="C5820" s="1">
        <v>45994</v>
      </c>
      <c r="D5820">
        <f t="shared" si="741"/>
        <v>3</v>
      </c>
      <c r="E5820">
        <f t="shared" si="742"/>
        <v>12</v>
      </c>
      <c r="F5820">
        <f t="shared" si="743"/>
        <v>2025</v>
      </c>
      <c r="G5820" t="s">
        <v>126</v>
      </c>
      <c r="H5820" s="121" t="s">
        <v>1368</v>
      </c>
      <c r="I5820" s="224">
        <v>27260.770000000004</v>
      </c>
      <c r="J5820" s="12" t="s">
        <v>31</v>
      </c>
      <c r="K5820" s="94">
        <f t="shared" si="744"/>
        <v>27260.770000000004</v>
      </c>
      <c r="L5820">
        <v>1</v>
      </c>
      <c r="M5820" s="94">
        <v>0</v>
      </c>
      <c r="N5820" t="s">
        <v>32</v>
      </c>
      <c r="O5820" t="s">
        <v>33</v>
      </c>
      <c r="P5820" t="s">
        <v>34</v>
      </c>
      <c r="Q5820" t="s">
        <v>34</v>
      </c>
      <c r="R5820" t="s">
        <v>34</v>
      </c>
      <c r="S5820" t="s">
        <v>34</v>
      </c>
      <c r="T5820" s="117">
        <v>0</v>
      </c>
    </row>
    <row r="5821" spans="1:21" x14ac:dyDescent="0.35">
      <c r="A5821" t="s">
        <v>19</v>
      </c>
      <c r="B5821" t="s">
        <v>19</v>
      </c>
      <c r="C5821" s="1">
        <v>45994</v>
      </c>
      <c r="D5821">
        <f t="shared" si="741"/>
        <v>3</v>
      </c>
      <c r="E5821">
        <f t="shared" si="742"/>
        <v>12</v>
      </c>
      <c r="F5821">
        <f t="shared" si="743"/>
        <v>2025</v>
      </c>
      <c r="G5821" t="s">
        <v>82</v>
      </c>
      <c r="H5821" s="121" t="s">
        <v>1542</v>
      </c>
      <c r="I5821" s="224">
        <v>5676.47</v>
      </c>
      <c r="J5821" s="12" t="s">
        <v>31</v>
      </c>
      <c r="K5821" s="94">
        <f t="shared" si="744"/>
        <v>5676.47</v>
      </c>
      <c r="L5821">
        <v>1</v>
      </c>
      <c r="M5821" s="94">
        <v>0</v>
      </c>
      <c r="N5821" t="s">
        <v>32</v>
      </c>
      <c r="O5821" t="s">
        <v>33</v>
      </c>
      <c r="P5821" t="s">
        <v>34</v>
      </c>
      <c r="Q5821" t="s">
        <v>34</v>
      </c>
      <c r="R5821" t="s">
        <v>34</v>
      </c>
      <c r="S5821" t="s">
        <v>34</v>
      </c>
      <c r="T5821" s="117">
        <v>0</v>
      </c>
    </row>
    <row r="5822" spans="1:21" x14ac:dyDescent="0.35">
      <c r="A5822" t="s">
        <v>19</v>
      </c>
      <c r="B5822" t="s">
        <v>19</v>
      </c>
      <c r="C5822" s="1">
        <v>45994</v>
      </c>
      <c r="D5822">
        <f t="shared" si="741"/>
        <v>3</v>
      </c>
      <c r="E5822">
        <f t="shared" si="742"/>
        <v>12</v>
      </c>
      <c r="F5822">
        <f t="shared" si="743"/>
        <v>2025</v>
      </c>
      <c r="G5822" t="s">
        <v>59</v>
      </c>
      <c r="H5822" s="121" t="s">
        <v>1543</v>
      </c>
      <c r="I5822" s="224">
        <v>95</v>
      </c>
      <c r="J5822" s="12" t="s">
        <v>31</v>
      </c>
      <c r="K5822" s="94">
        <f t="shared" si="744"/>
        <v>95</v>
      </c>
      <c r="L5822">
        <v>1</v>
      </c>
      <c r="M5822" s="94">
        <v>0</v>
      </c>
      <c r="N5822" t="s">
        <v>32</v>
      </c>
      <c r="O5822" t="s">
        <v>33</v>
      </c>
      <c r="P5822" t="s">
        <v>34</v>
      </c>
      <c r="Q5822" t="s">
        <v>34</v>
      </c>
      <c r="R5822" t="s">
        <v>34</v>
      </c>
      <c r="S5822" t="s">
        <v>34</v>
      </c>
      <c r="T5822" s="117">
        <v>0</v>
      </c>
    </row>
    <row r="5823" spans="1:21" x14ac:dyDescent="0.35">
      <c r="A5823" t="s">
        <v>19</v>
      </c>
      <c r="B5823" t="s">
        <v>19</v>
      </c>
      <c r="C5823" s="1">
        <v>45994</v>
      </c>
      <c r="D5823">
        <f t="shared" si="741"/>
        <v>3</v>
      </c>
      <c r="E5823">
        <f t="shared" si="742"/>
        <v>12</v>
      </c>
      <c r="F5823">
        <f t="shared" si="743"/>
        <v>2025</v>
      </c>
      <c r="G5823" t="s">
        <v>59</v>
      </c>
      <c r="H5823" s="121" t="s">
        <v>1544</v>
      </c>
      <c r="I5823" s="224">
        <v>103</v>
      </c>
      <c r="J5823" s="12" t="s">
        <v>31</v>
      </c>
      <c r="K5823" s="94">
        <f t="shared" si="744"/>
        <v>103</v>
      </c>
      <c r="L5823">
        <v>1</v>
      </c>
      <c r="M5823" s="94">
        <v>0</v>
      </c>
      <c r="N5823" t="s">
        <v>32</v>
      </c>
      <c r="O5823" t="s">
        <v>33</v>
      </c>
      <c r="P5823" t="s">
        <v>34</v>
      </c>
      <c r="Q5823" t="s">
        <v>34</v>
      </c>
      <c r="R5823" t="s">
        <v>34</v>
      </c>
      <c r="S5823" t="s">
        <v>34</v>
      </c>
      <c r="T5823" s="117">
        <v>0</v>
      </c>
    </row>
    <row r="5824" spans="1:21" x14ac:dyDescent="0.35">
      <c r="A5824" t="s">
        <v>19</v>
      </c>
      <c r="B5824" t="s">
        <v>19</v>
      </c>
      <c r="C5824" s="1">
        <v>45994</v>
      </c>
      <c r="D5824">
        <f t="shared" ref="D5824:D5825" si="745">DAY(C5824)</f>
        <v>3</v>
      </c>
      <c r="E5824">
        <f t="shared" ref="E5824:E5825" si="746">MONTH(C5824)</f>
        <v>12</v>
      </c>
      <c r="F5824">
        <f t="shared" ref="F5824:F5825" si="747">YEAR(C5824)</f>
        <v>2025</v>
      </c>
      <c r="G5824" t="s">
        <v>44</v>
      </c>
      <c r="H5824" s="121" t="s">
        <v>1544</v>
      </c>
      <c r="I5824" s="224">
        <v>2580</v>
      </c>
      <c r="J5824" s="12" t="s">
        <v>31</v>
      </c>
      <c r="K5824" s="94">
        <f t="shared" si="744"/>
        <v>2580</v>
      </c>
      <c r="L5824">
        <v>1</v>
      </c>
      <c r="M5824" s="94">
        <v>0</v>
      </c>
      <c r="N5824" t="s">
        <v>32</v>
      </c>
      <c r="O5824" t="s">
        <v>33</v>
      </c>
      <c r="P5824" t="s">
        <v>34</v>
      </c>
      <c r="Q5824" t="s">
        <v>34</v>
      </c>
      <c r="R5824" t="s">
        <v>34</v>
      </c>
      <c r="S5824" t="s">
        <v>34</v>
      </c>
      <c r="T5824" s="117">
        <v>0</v>
      </c>
    </row>
    <row r="5825" spans="1:20" x14ac:dyDescent="0.35">
      <c r="A5825" t="s">
        <v>19</v>
      </c>
      <c r="B5825" t="s">
        <v>23</v>
      </c>
      <c r="C5825" s="1">
        <v>46001</v>
      </c>
      <c r="D5825">
        <f t="shared" si="745"/>
        <v>10</v>
      </c>
      <c r="E5825">
        <f t="shared" si="746"/>
        <v>12</v>
      </c>
      <c r="F5825">
        <f t="shared" si="747"/>
        <v>2025</v>
      </c>
      <c r="G5825" t="s">
        <v>885</v>
      </c>
      <c r="H5825" s="121">
        <v>14208</v>
      </c>
      <c r="I5825" s="91">
        <v>8840</v>
      </c>
      <c r="J5825" s="12" t="s">
        <v>31</v>
      </c>
      <c r="K5825" s="94">
        <f t="shared" si="744"/>
        <v>8840</v>
      </c>
      <c r="L5825">
        <v>1</v>
      </c>
      <c r="M5825" s="94">
        <v>0</v>
      </c>
      <c r="N5825" t="s">
        <v>42</v>
      </c>
      <c r="O5825" t="s">
        <v>33</v>
      </c>
      <c r="P5825" t="s">
        <v>34</v>
      </c>
      <c r="Q5825" t="s">
        <v>34</v>
      </c>
      <c r="R5825" t="s">
        <v>34</v>
      </c>
      <c r="S5825" t="s">
        <v>34</v>
      </c>
      <c r="T5825" s="117">
        <v>0</v>
      </c>
    </row>
    <row r="5826" spans="1:20" x14ac:dyDescent="0.35">
      <c r="A5826" t="s">
        <v>19</v>
      </c>
      <c r="B5826" t="s">
        <v>25</v>
      </c>
      <c r="C5826" s="1">
        <v>46001</v>
      </c>
      <c r="D5826">
        <f t="shared" ref="D5826:D5833" si="748">DAY(C5826)</f>
        <v>10</v>
      </c>
      <c r="E5826">
        <f t="shared" ref="E5826:E5833" si="749">MONTH(C5826)</f>
        <v>12</v>
      </c>
      <c r="F5826">
        <f t="shared" ref="F5826:F5833" si="750">YEAR(C5826)</f>
        <v>2025</v>
      </c>
      <c r="G5826" t="s">
        <v>76</v>
      </c>
      <c r="H5826" s="121">
        <v>13888</v>
      </c>
      <c r="I5826" s="91">
        <v>19153.8</v>
      </c>
      <c r="J5826" s="12" t="s">
        <v>31</v>
      </c>
      <c r="K5826" s="94">
        <f t="shared" si="744"/>
        <v>19153.8</v>
      </c>
      <c r="L5826">
        <v>1</v>
      </c>
      <c r="M5826" s="94">
        <v>0</v>
      </c>
      <c r="N5826" t="s">
        <v>42</v>
      </c>
      <c r="O5826" t="s">
        <v>33</v>
      </c>
      <c r="P5826" t="s">
        <v>34</v>
      </c>
      <c r="Q5826" t="s">
        <v>34</v>
      </c>
      <c r="R5826" t="s">
        <v>34</v>
      </c>
      <c r="S5826" t="s">
        <v>34</v>
      </c>
      <c r="T5826" s="117">
        <v>0</v>
      </c>
    </row>
    <row r="5827" spans="1:20" x14ac:dyDescent="0.35">
      <c r="A5827" t="s">
        <v>19</v>
      </c>
      <c r="B5827" t="s">
        <v>23</v>
      </c>
      <c r="C5827" s="1">
        <v>46001</v>
      </c>
      <c r="D5827">
        <f t="shared" si="748"/>
        <v>10</v>
      </c>
      <c r="E5827">
        <f t="shared" si="749"/>
        <v>12</v>
      </c>
      <c r="F5827">
        <f t="shared" si="750"/>
        <v>2025</v>
      </c>
      <c r="G5827" t="s">
        <v>1519</v>
      </c>
      <c r="H5827" s="121">
        <v>14331</v>
      </c>
      <c r="I5827" s="91">
        <v>14460</v>
      </c>
      <c r="J5827" s="12" t="s">
        <v>31</v>
      </c>
      <c r="K5827" s="94">
        <f t="shared" si="744"/>
        <v>14460</v>
      </c>
      <c r="L5827">
        <v>1</v>
      </c>
      <c r="M5827" s="94">
        <v>0</v>
      </c>
      <c r="N5827" t="s">
        <v>42</v>
      </c>
      <c r="O5827" t="s">
        <v>33</v>
      </c>
      <c r="P5827" t="s">
        <v>34</v>
      </c>
      <c r="Q5827" t="s">
        <v>34</v>
      </c>
      <c r="R5827" t="s">
        <v>34</v>
      </c>
      <c r="S5827" t="s">
        <v>34</v>
      </c>
      <c r="T5827" s="117">
        <v>0</v>
      </c>
    </row>
    <row r="5828" spans="1:20" x14ac:dyDescent="0.35">
      <c r="A5828" t="s">
        <v>19</v>
      </c>
      <c r="B5828" t="s">
        <v>21</v>
      </c>
      <c r="C5828" s="1">
        <v>46001</v>
      </c>
      <c r="D5828">
        <f t="shared" si="748"/>
        <v>10</v>
      </c>
      <c r="E5828">
        <f t="shared" si="749"/>
        <v>12</v>
      </c>
      <c r="F5828">
        <f t="shared" si="750"/>
        <v>2025</v>
      </c>
      <c r="G5828" t="s">
        <v>75</v>
      </c>
      <c r="H5828" s="121">
        <v>14013</v>
      </c>
      <c r="I5828" s="91">
        <v>55799.3</v>
      </c>
      <c r="J5828" s="12" t="s">
        <v>31</v>
      </c>
      <c r="K5828" s="94">
        <f t="shared" si="744"/>
        <v>55799.3</v>
      </c>
      <c r="L5828">
        <v>1</v>
      </c>
      <c r="M5828" s="94">
        <v>0</v>
      </c>
      <c r="N5828" t="s">
        <v>42</v>
      </c>
      <c r="O5828" t="s">
        <v>33</v>
      </c>
      <c r="P5828" t="s">
        <v>34</v>
      </c>
      <c r="Q5828" t="s">
        <v>34</v>
      </c>
      <c r="R5828" t="s">
        <v>34</v>
      </c>
      <c r="S5828" t="s">
        <v>34</v>
      </c>
      <c r="T5828" s="117">
        <v>0</v>
      </c>
    </row>
    <row r="5829" spans="1:20" x14ac:dyDescent="0.35">
      <c r="A5829" t="s">
        <v>19</v>
      </c>
      <c r="B5829" t="s">
        <v>23</v>
      </c>
      <c r="C5829" s="1">
        <v>46001</v>
      </c>
      <c r="D5829">
        <f t="shared" si="748"/>
        <v>10</v>
      </c>
      <c r="E5829">
        <f t="shared" si="749"/>
        <v>12</v>
      </c>
      <c r="F5829">
        <f t="shared" si="750"/>
        <v>2025</v>
      </c>
      <c r="G5829" t="s">
        <v>333</v>
      </c>
      <c r="H5829" s="121">
        <v>14054</v>
      </c>
      <c r="I5829" s="91">
        <v>2402.4</v>
      </c>
      <c r="J5829" s="12" t="s">
        <v>31</v>
      </c>
      <c r="K5829" s="94">
        <f t="shared" si="744"/>
        <v>2402.4</v>
      </c>
      <c r="L5829">
        <v>1</v>
      </c>
      <c r="M5829" s="94">
        <v>0</v>
      </c>
      <c r="N5829" t="s">
        <v>32</v>
      </c>
      <c r="O5829" t="s">
        <v>33</v>
      </c>
      <c r="P5829" t="s">
        <v>34</v>
      </c>
      <c r="Q5829" t="s">
        <v>34</v>
      </c>
      <c r="R5829" t="s">
        <v>34</v>
      </c>
      <c r="S5829" t="s">
        <v>34</v>
      </c>
      <c r="T5829" s="117">
        <v>0</v>
      </c>
    </row>
    <row r="5830" spans="1:20" x14ac:dyDescent="0.35">
      <c r="A5830" t="s">
        <v>19</v>
      </c>
      <c r="B5830" t="s">
        <v>23</v>
      </c>
      <c r="C5830" s="1">
        <v>46001</v>
      </c>
      <c r="D5830">
        <f t="shared" si="748"/>
        <v>10</v>
      </c>
      <c r="E5830">
        <f t="shared" si="749"/>
        <v>12</v>
      </c>
      <c r="F5830">
        <f t="shared" si="750"/>
        <v>2025</v>
      </c>
      <c r="G5830" t="s">
        <v>333</v>
      </c>
      <c r="H5830" s="121">
        <v>14228</v>
      </c>
      <c r="I5830" s="91">
        <v>462</v>
      </c>
      <c r="J5830" s="12" t="s">
        <v>31</v>
      </c>
      <c r="K5830" s="94">
        <f t="shared" si="744"/>
        <v>462</v>
      </c>
      <c r="L5830">
        <v>1</v>
      </c>
      <c r="M5830" s="94">
        <v>0</v>
      </c>
      <c r="N5830" t="s">
        <v>42</v>
      </c>
      <c r="O5830" t="s">
        <v>33</v>
      </c>
      <c r="P5830" t="s">
        <v>34</v>
      </c>
      <c r="Q5830" t="s">
        <v>34</v>
      </c>
      <c r="R5830" t="s">
        <v>34</v>
      </c>
      <c r="S5830" t="s">
        <v>34</v>
      </c>
      <c r="T5830" s="117">
        <v>0</v>
      </c>
    </row>
    <row r="5831" spans="1:20" x14ac:dyDescent="0.35">
      <c r="A5831" t="s">
        <v>19</v>
      </c>
      <c r="B5831" t="s">
        <v>25</v>
      </c>
      <c r="C5831" s="1">
        <v>46001</v>
      </c>
      <c r="D5831">
        <f t="shared" si="748"/>
        <v>10</v>
      </c>
      <c r="E5831">
        <f t="shared" si="749"/>
        <v>12</v>
      </c>
      <c r="F5831">
        <f t="shared" si="750"/>
        <v>2025</v>
      </c>
      <c r="G5831" t="s">
        <v>1146</v>
      </c>
      <c r="H5831" s="121">
        <v>14225</v>
      </c>
      <c r="I5831" s="91">
        <v>199.5</v>
      </c>
      <c r="J5831" s="12" t="s">
        <v>51</v>
      </c>
      <c r="K5831" s="94">
        <f t="shared" si="744"/>
        <v>233.11575000000002</v>
      </c>
      <c r="L5831">
        <v>1.1685000000000001</v>
      </c>
      <c r="M5831" s="94">
        <v>0</v>
      </c>
      <c r="N5831" t="s">
        <v>32</v>
      </c>
      <c r="O5831" t="s">
        <v>33</v>
      </c>
      <c r="P5831" t="s">
        <v>34</v>
      </c>
      <c r="Q5831" t="s">
        <v>34</v>
      </c>
      <c r="R5831" t="s">
        <v>34</v>
      </c>
      <c r="S5831" t="s">
        <v>34</v>
      </c>
      <c r="T5831" s="117">
        <v>0</v>
      </c>
    </row>
    <row r="5832" spans="1:20" x14ac:dyDescent="0.35">
      <c r="A5832" t="s">
        <v>19</v>
      </c>
      <c r="B5832" t="s">
        <v>24</v>
      </c>
      <c r="C5832" s="1">
        <v>46001</v>
      </c>
      <c r="D5832">
        <f t="shared" si="748"/>
        <v>10</v>
      </c>
      <c r="E5832">
        <f t="shared" si="749"/>
        <v>12</v>
      </c>
      <c r="F5832">
        <f t="shared" si="750"/>
        <v>2025</v>
      </c>
      <c r="G5832" t="s">
        <v>36</v>
      </c>
      <c r="H5832" s="121">
        <v>12507</v>
      </c>
      <c r="I5832" s="91">
        <v>25297.0491</v>
      </c>
      <c r="J5832" s="12" t="s">
        <v>31</v>
      </c>
      <c r="K5832" s="94">
        <f t="shared" si="744"/>
        <v>25297.0491</v>
      </c>
      <c r="L5832">
        <v>1</v>
      </c>
      <c r="M5832" s="94">
        <v>0</v>
      </c>
      <c r="N5832" t="s">
        <v>32</v>
      </c>
      <c r="O5832" t="s">
        <v>33</v>
      </c>
      <c r="P5832" t="s">
        <v>34</v>
      </c>
      <c r="Q5832" t="s">
        <v>34</v>
      </c>
      <c r="R5832" t="s">
        <v>34</v>
      </c>
      <c r="S5832" t="s">
        <v>34</v>
      </c>
      <c r="T5832" s="117">
        <v>0</v>
      </c>
    </row>
    <row r="5833" spans="1:20" x14ac:dyDescent="0.35">
      <c r="A5833" t="s">
        <v>19</v>
      </c>
      <c r="B5833" t="s">
        <v>25</v>
      </c>
      <c r="C5833" s="1">
        <v>46001</v>
      </c>
      <c r="D5833">
        <f t="shared" si="748"/>
        <v>10</v>
      </c>
      <c r="E5833">
        <f t="shared" si="749"/>
        <v>12</v>
      </c>
      <c r="F5833">
        <f t="shared" si="750"/>
        <v>2025</v>
      </c>
      <c r="G5833" t="s">
        <v>36</v>
      </c>
      <c r="H5833" s="121">
        <v>12507</v>
      </c>
      <c r="I5833" s="91">
        <v>23623.9509</v>
      </c>
      <c r="J5833" s="12" t="s">
        <v>31</v>
      </c>
      <c r="K5833" s="94">
        <f t="shared" si="744"/>
        <v>23623.9509</v>
      </c>
      <c r="L5833">
        <v>1</v>
      </c>
      <c r="M5833" s="94">
        <v>0</v>
      </c>
      <c r="N5833" t="s">
        <v>32</v>
      </c>
      <c r="O5833" t="s">
        <v>33</v>
      </c>
      <c r="P5833" t="s">
        <v>34</v>
      </c>
      <c r="Q5833" t="s">
        <v>34</v>
      </c>
      <c r="R5833" t="s">
        <v>34</v>
      </c>
      <c r="S5833" t="s">
        <v>34</v>
      </c>
      <c r="T5833" s="117">
        <v>0</v>
      </c>
    </row>
    <row r="5834" spans="1:20" x14ac:dyDescent="0.35">
      <c r="A5834" t="s">
        <v>19</v>
      </c>
      <c r="B5834" t="s">
        <v>21</v>
      </c>
      <c r="C5834" s="1">
        <v>46001</v>
      </c>
      <c r="D5834">
        <f t="shared" ref="D5834:D5835" si="751">DAY(C5834)</f>
        <v>10</v>
      </c>
      <c r="E5834">
        <f t="shared" ref="E5834:E5835" si="752">MONTH(C5834)</f>
        <v>12</v>
      </c>
      <c r="F5834">
        <f t="shared" ref="F5834:F5835" si="753">YEAR(C5834)</f>
        <v>2025</v>
      </c>
      <c r="G5834" t="s">
        <v>36</v>
      </c>
      <c r="H5834" s="121">
        <v>13653</v>
      </c>
      <c r="I5834" s="91">
        <v>68</v>
      </c>
      <c r="J5834" s="12" t="s">
        <v>31</v>
      </c>
      <c r="K5834" s="94">
        <f t="shared" si="744"/>
        <v>68</v>
      </c>
      <c r="L5834">
        <v>1</v>
      </c>
      <c r="M5834" s="94">
        <v>0</v>
      </c>
      <c r="N5834" t="s">
        <v>32</v>
      </c>
      <c r="O5834" t="s">
        <v>33</v>
      </c>
      <c r="P5834" t="s">
        <v>34</v>
      </c>
      <c r="Q5834" t="s">
        <v>34</v>
      </c>
      <c r="R5834" t="s">
        <v>34</v>
      </c>
      <c r="S5834" t="s">
        <v>34</v>
      </c>
      <c r="T5834" s="117">
        <v>0</v>
      </c>
    </row>
    <row r="5835" spans="1:20" x14ac:dyDescent="0.35">
      <c r="A5835" t="s">
        <v>19</v>
      </c>
      <c r="B5835" t="s">
        <v>21</v>
      </c>
      <c r="C5835" s="1">
        <v>46001</v>
      </c>
      <c r="D5835">
        <f t="shared" si="751"/>
        <v>10</v>
      </c>
      <c r="E5835">
        <f t="shared" si="752"/>
        <v>12</v>
      </c>
      <c r="F5835">
        <f t="shared" si="753"/>
        <v>2025</v>
      </c>
      <c r="G5835" t="s">
        <v>36</v>
      </c>
      <c r="H5835" s="121">
        <v>13773</v>
      </c>
      <c r="I5835" s="91">
        <v>15783.5</v>
      </c>
      <c r="J5835" s="12" t="s">
        <v>31</v>
      </c>
      <c r="K5835" s="94">
        <f t="shared" si="744"/>
        <v>15783.5</v>
      </c>
      <c r="L5835">
        <v>1</v>
      </c>
      <c r="M5835" s="94">
        <v>0</v>
      </c>
      <c r="N5835" t="s">
        <v>32</v>
      </c>
      <c r="O5835" t="s">
        <v>33</v>
      </c>
      <c r="P5835" t="s">
        <v>34</v>
      </c>
      <c r="Q5835" t="s">
        <v>34</v>
      </c>
      <c r="R5835" t="s">
        <v>34</v>
      </c>
      <c r="S5835" t="s">
        <v>34</v>
      </c>
      <c r="T5835" s="117">
        <v>0</v>
      </c>
    </row>
    <row r="5836" spans="1:20" x14ac:dyDescent="0.35">
      <c r="A5836" t="s">
        <v>19</v>
      </c>
      <c r="B5836" t="s">
        <v>21</v>
      </c>
      <c r="C5836" s="1">
        <v>46001</v>
      </c>
      <c r="D5836">
        <f t="shared" ref="D5836:D5837" si="754">DAY(C5836)</f>
        <v>10</v>
      </c>
      <c r="E5836">
        <f t="shared" ref="E5836:E5837" si="755">MONTH(C5836)</f>
        <v>12</v>
      </c>
      <c r="F5836">
        <f t="shared" ref="F5836:F5837" si="756">YEAR(C5836)</f>
        <v>2025</v>
      </c>
      <c r="G5836" t="s">
        <v>80</v>
      </c>
      <c r="H5836" s="121">
        <v>13338</v>
      </c>
      <c r="I5836" s="91">
        <v>130</v>
      </c>
      <c r="J5836" s="12" t="s">
        <v>31</v>
      </c>
      <c r="K5836" s="94">
        <f t="shared" si="744"/>
        <v>130</v>
      </c>
      <c r="L5836">
        <v>1</v>
      </c>
      <c r="M5836" s="94">
        <v>0</v>
      </c>
      <c r="N5836" t="s">
        <v>32</v>
      </c>
      <c r="O5836" t="s">
        <v>33</v>
      </c>
      <c r="P5836" t="s">
        <v>34</v>
      </c>
      <c r="Q5836" t="s">
        <v>34</v>
      </c>
      <c r="R5836" t="s">
        <v>34</v>
      </c>
      <c r="S5836" t="s">
        <v>34</v>
      </c>
      <c r="T5836" s="117">
        <v>0</v>
      </c>
    </row>
    <row r="5837" spans="1:20" x14ac:dyDescent="0.35">
      <c r="A5837" t="s">
        <v>19</v>
      </c>
      <c r="B5837" t="s">
        <v>25</v>
      </c>
      <c r="C5837" s="1">
        <v>46001</v>
      </c>
      <c r="D5837">
        <f t="shared" si="754"/>
        <v>10</v>
      </c>
      <c r="E5837">
        <f t="shared" si="755"/>
        <v>12</v>
      </c>
      <c r="F5837">
        <f t="shared" si="756"/>
        <v>2025</v>
      </c>
      <c r="G5837" t="s">
        <v>80</v>
      </c>
      <c r="H5837" s="121">
        <v>13641</v>
      </c>
      <c r="I5837" s="91">
        <v>372</v>
      </c>
      <c r="J5837" s="12" t="s">
        <v>31</v>
      </c>
      <c r="K5837" s="94">
        <f t="shared" si="744"/>
        <v>372</v>
      </c>
      <c r="L5837">
        <v>1</v>
      </c>
      <c r="M5837" s="94">
        <v>0</v>
      </c>
      <c r="N5837" t="s">
        <v>32</v>
      </c>
      <c r="O5837" t="s">
        <v>33</v>
      </c>
      <c r="P5837" t="s">
        <v>34</v>
      </c>
      <c r="Q5837" t="s">
        <v>34</v>
      </c>
      <c r="R5837" t="s">
        <v>34</v>
      </c>
      <c r="S5837" t="s">
        <v>34</v>
      </c>
      <c r="T5837" s="117">
        <v>0</v>
      </c>
    </row>
    <row r="5838" spans="1:20" x14ac:dyDescent="0.35">
      <c r="A5838" t="s">
        <v>19</v>
      </c>
      <c r="B5838" t="s">
        <v>23</v>
      </c>
      <c r="C5838" s="1">
        <v>46001</v>
      </c>
      <c r="D5838">
        <f>DAY(C5838)</f>
        <v>10</v>
      </c>
      <c r="E5838">
        <f>MONTH(C5838)</f>
        <v>12</v>
      </c>
      <c r="F5838">
        <f>YEAR(C5838)</f>
        <v>2025</v>
      </c>
      <c r="G5838" t="s">
        <v>35</v>
      </c>
      <c r="H5838" s="121">
        <v>13399</v>
      </c>
      <c r="I5838" s="91">
        <v>10641</v>
      </c>
      <c r="J5838" s="12" t="s">
        <v>31</v>
      </c>
      <c r="K5838" s="94">
        <f t="shared" si="744"/>
        <v>10641</v>
      </c>
      <c r="L5838">
        <v>1</v>
      </c>
      <c r="M5838" s="94">
        <v>0</v>
      </c>
      <c r="N5838" t="s">
        <v>32</v>
      </c>
      <c r="O5838" t="s">
        <v>33</v>
      </c>
      <c r="P5838" t="s">
        <v>34</v>
      </c>
      <c r="Q5838" t="s">
        <v>34</v>
      </c>
      <c r="R5838" t="s">
        <v>34</v>
      </c>
      <c r="S5838" t="s">
        <v>34</v>
      </c>
      <c r="T5838" s="117">
        <v>0</v>
      </c>
    </row>
    <row r="5839" spans="1:20" x14ac:dyDescent="0.35">
      <c r="A5839" t="s">
        <v>20</v>
      </c>
      <c r="B5839" t="s">
        <v>25</v>
      </c>
      <c r="C5839" s="1">
        <v>46001</v>
      </c>
      <c r="D5839">
        <f t="shared" ref="D5839:D5847" si="757">DAY(C5839)</f>
        <v>10</v>
      </c>
      <c r="E5839">
        <f t="shared" ref="E5839:E5847" si="758">MONTH(C5839)</f>
        <v>12</v>
      </c>
      <c r="F5839">
        <f t="shared" ref="F5839:F5847" si="759">YEAR(C5839)</f>
        <v>2025</v>
      </c>
      <c r="G5839" t="s">
        <v>81</v>
      </c>
      <c r="H5839" s="121">
        <v>14376</v>
      </c>
      <c r="I5839" s="91">
        <v>67.2</v>
      </c>
      <c r="J5839" s="12" t="s">
        <v>31</v>
      </c>
      <c r="K5839" s="94">
        <f t="shared" si="744"/>
        <v>67.2</v>
      </c>
      <c r="L5839">
        <v>1</v>
      </c>
      <c r="M5839" s="94">
        <v>0</v>
      </c>
      <c r="N5839" t="s">
        <v>42</v>
      </c>
      <c r="O5839" t="s">
        <v>33</v>
      </c>
      <c r="P5839" t="s">
        <v>34</v>
      </c>
      <c r="Q5839" t="s">
        <v>34</v>
      </c>
      <c r="R5839" t="s">
        <v>34</v>
      </c>
      <c r="S5839" t="s">
        <v>34</v>
      </c>
      <c r="T5839" s="117">
        <v>0</v>
      </c>
    </row>
    <row r="5840" spans="1:20" x14ac:dyDescent="0.35">
      <c r="A5840" t="s">
        <v>20</v>
      </c>
      <c r="B5840" t="s">
        <v>25</v>
      </c>
      <c r="C5840" s="1">
        <v>46001</v>
      </c>
      <c r="D5840">
        <f t="shared" si="757"/>
        <v>10</v>
      </c>
      <c r="E5840">
        <f t="shared" si="758"/>
        <v>12</v>
      </c>
      <c r="F5840">
        <f t="shared" si="759"/>
        <v>2025</v>
      </c>
      <c r="G5840" t="s">
        <v>81</v>
      </c>
      <c r="H5840" s="121">
        <v>14377</v>
      </c>
      <c r="I5840" s="91">
        <v>2002</v>
      </c>
      <c r="J5840" s="12" t="s">
        <v>31</v>
      </c>
      <c r="K5840" s="94">
        <f t="shared" si="744"/>
        <v>2002</v>
      </c>
      <c r="L5840">
        <v>1</v>
      </c>
      <c r="M5840" s="94">
        <v>0</v>
      </c>
      <c r="N5840" t="s">
        <v>42</v>
      </c>
      <c r="O5840" t="s">
        <v>33</v>
      </c>
      <c r="P5840" t="s">
        <v>34</v>
      </c>
      <c r="Q5840" t="s">
        <v>34</v>
      </c>
      <c r="R5840" t="s">
        <v>34</v>
      </c>
      <c r="S5840" t="s">
        <v>34</v>
      </c>
      <c r="T5840" s="117">
        <v>0</v>
      </c>
    </row>
    <row r="5841" spans="1:20" x14ac:dyDescent="0.35">
      <c r="A5841" t="s">
        <v>20</v>
      </c>
      <c r="B5841" t="s">
        <v>25</v>
      </c>
      <c r="C5841" s="1">
        <v>46001</v>
      </c>
      <c r="D5841">
        <f t="shared" si="757"/>
        <v>10</v>
      </c>
      <c r="E5841">
        <f t="shared" si="758"/>
        <v>12</v>
      </c>
      <c r="F5841">
        <f t="shared" si="759"/>
        <v>2025</v>
      </c>
      <c r="G5841" t="s">
        <v>81</v>
      </c>
      <c r="H5841" s="121">
        <v>14378</v>
      </c>
      <c r="I5841" s="91">
        <v>4414.5</v>
      </c>
      <c r="J5841" s="12" t="s">
        <v>31</v>
      </c>
      <c r="K5841" s="94">
        <f t="shared" si="744"/>
        <v>4414.5</v>
      </c>
      <c r="L5841">
        <v>1</v>
      </c>
      <c r="M5841" s="94">
        <v>0</v>
      </c>
      <c r="N5841" t="s">
        <v>42</v>
      </c>
      <c r="O5841" t="s">
        <v>33</v>
      </c>
      <c r="P5841" t="s">
        <v>34</v>
      </c>
      <c r="Q5841" t="s">
        <v>34</v>
      </c>
      <c r="R5841" t="s">
        <v>34</v>
      </c>
      <c r="S5841" t="s">
        <v>34</v>
      </c>
      <c r="T5841" s="117">
        <v>0</v>
      </c>
    </row>
    <row r="5842" spans="1:20" x14ac:dyDescent="0.35">
      <c r="A5842" t="s">
        <v>20</v>
      </c>
      <c r="B5842" t="s">
        <v>25</v>
      </c>
      <c r="C5842" s="1">
        <v>46001</v>
      </c>
      <c r="D5842">
        <f t="shared" si="757"/>
        <v>10</v>
      </c>
      <c r="E5842">
        <f t="shared" si="758"/>
        <v>12</v>
      </c>
      <c r="F5842">
        <f t="shared" si="759"/>
        <v>2025</v>
      </c>
      <c r="G5842" t="s">
        <v>81</v>
      </c>
      <c r="H5842" s="121">
        <v>14379</v>
      </c>
      <c r="I5842" s="91">
        <v>4099</v>
      </c>
      <c r="J5842" s="12" t="s">
        <v>31</v>
      </c>
      <c r="K5842" s="94">
        <f t="shared" si="744"/>
        <v>4099</v>
      </c>
      <c r="L5842">
        <v>1</v>
      </c>
      <c r="M5842" s="94">
        <v>0</v>
      </c>
      <c r="N5842" t="s">
        <v>42</v>
      </c>
      <c r="O5842" t="s">
        <v>33</v>
      </c>
      <c r="P5842" t="s">
        <v>34</v>
      </c>
      <c r="Q5842" t="s">
        <v>34</v>
      </c>
      <c r="R5842" t="s">
        <v>34</v>
      </c>
      <c r="S5842" t="s">
        <v>34</v>
      </c>
      <c r="T5842" s="117">
        <v>0</v>
      </c>
    </row>
    <row r="5843" spans="1:20" x14ac:dyDescent="0.35">
      <c r="A5843" t="s">
        <v>20</v>
      </c>
      <c r="B5843" t="s">
        <v>25</v>
      </c>
      <c r="C5843" s="1">
        <v>46001</v>
      </c>
      <c r="D5843">
        <f t="shared" si="757"/>
        <v>10</v>
      </c>
      <c r="E5843">
        <f t="shared" si="758"/>
        <v>12</v>
      </c>
      <c r="F5843">
        <f t="shared" si="759"/>
        <v>2025</v>
      </c>
      <c r="G5843" t="s">
        <v>81</v>
      </c>
      <c r="H5843" s="121">
        <v>14380</v>
      </c>
      <c r="I5843" s="91">
        <v>8599.5</v>
      </c>
      <c r="J5843" s="12" t="s">
        <v>31</v>
      </c>
      <c r="K5843" s="94">
        <f t="shared" si="744"/>
        <v>8599.5</v>
      </c>
      <c r="L5843">
        <v>1</v>
      </c>
      <c r="M5843" s="94">
        <v>0</v>
      </c>
      <c r="N5843" t="s">
        <v>42</v>
      </c>
      <c r="O5843" t="s">
        <v>33</v>
      </c>
      <c r="P5843" t="s">
        <v>34</v>
      </c>
      <c r="Q5843" t="s">
        <v>34</v>
      </c>
      <c r="R5843" t="s">
        <v>34</v>
      </c>
      <c r="S5843" t="s">
        <v>34</v>
      </c>
      <c r="T5843" s="117">
        <v>0</v>
      </c>
    </row>
    <row r="5844" spans="1:20" x14ac:dyDescent="0.35">
      <c r="A5844" t="s">
        <v>20</v>
      </c>
      <c r="B5844" t="s">
        <v>24</v>
      </c>
      <c r="C5844" s="1">
        <v>46001</v>
      </c>
      <c r="D5844">
        <f t="shared" si="757"/>
        <v>10</v>
      </c>
      <c r="E5844">
        <f t="shared" si="758"/>
        <v>12</v>
      </c>
      <c r="F5844">
        <f t="shared" si="759"/>
        <v>2025</v>
      </c>
      <c r="G5844" t="s">
        <v>81</v>
      </c>
      <c r="H5844" s="121">
        <v>14381</v>
      </c>
      <c r="I5844" s="91">
        <v>25.86</v>
      </c>
      <c r="J5844" s="12" t="s">
        <v>31</v>
      </c>
      <c r="K5844" s="94">
        <f t="shared" si="744"/>
        <v>25.86</v>
      </c>
      <c r="L5844">
        <v>1</v>
      </c>
      <c r="M5844" s="94">
        <v>0</v>
      </c>
      <c r="N5844" t="s">
        <v>42</v>
      </c>
      <c r="O5844" t="s">
        <v>33</v>
      </c>
      <c r="P5844" t="s">
        <v>34</v>
      </c>
      <c r="Q5844" t="s">
        <v>34</v>
      </c>
      <c r="R5844" t="s">
        <v>34</v>
      </c>
      <c r="S5844" t="s">
        <v>34</v>
      </c>
      <c r="T5844" s="117">
        <v>0</v>
      </c>
    </row>
    <row r="5845" spans="1:20" x14ac:dyDescent="0.35">
      <c r="A5845" t="s">
        <v>20</v>
      </c>
      <c r="B5845" t="s">
        <v>24</v>
      </c>
      <c r="C5845" s="1">
        <v>46001</v>
      </c>
      <c r="D5845">
        <f t="shared" si="757"/>
        <v>10</v>
      </c>
      <c r="E5845">
        <f t="shared" si="758"/>
        <v>12</v>
      </c>
      <c r="F5845">
        <f t="shared" si="759"/>
        <v>2025</v>
      </c>
      <c r="G5845" t="s">
        <v>81</v>
      </c>
      <c r="H5845" s="121">
        <v>14382</v>
      </c>
      <c r="I5845" s="91">
        <v>4397.7</v>
      </c>
      <c r="J5845" s="12" t="s">
        <v>31</v>
      </c>
      <c r="K5845" s="94">
        <f t="shared" si="744"/>
        <v>4397.7</v>
      </c>
      <c r="L5845">
        <v>1</v>
      </c>
      <c r="M5845" s="94">
        <v>0</v>
      </c>
      <c r="N5845" t="s">
        <v>42</v>
      </c>
      <c r="O5845" t="s">
        <v>33</v>
      </c>
      <c r="P5845" t="s">
        <v>34</v>
      </c>
      <c r="Q5845" t="s">
        <v>34</v>
      </c>
      <c r="R5845" t="s">
        <v>34</v>
      </c>
      <c r="S5845" t="s">
        <v>34</v>
      </c>
      <c r="T5845" s="117">
        <v>0</v>
      </c>
    </row>
    <row r="5846" spans="1:20" x14ac:dyDescent="0.35">
      <c r="A5846" t="s">
        <v>20</v>
      </c>
      <c r="B5846" t="s">
        <v>24</v>
      </c>
      <c r="C5846" s="1">
        <v>46001</v>
      </c>
      <c r="D5846">
        <f t="shared" si="757"/>
        <v>10</v>
      </c>
      <c r="E5846">
        <f t="shared" si="758"/>
        <v>12</v>
      </c>
      <c r="F5846">
        <f t="shared" si="759"/>
        <v>2025</v>
      </c>
      <c r="G5846" t="s">
        <v>81</v>
      </c>
      <c r="H5846" s="121">
        <v>14383</v>
      </c>
      <c r="I5846" s="91">
        <v>1518</v>
      </c>
      <c r="J5846" s="12" t="s">
        <v>31</v>
      </c>
      <c r="K5846" s="94">
        <f t="shared" si="744"/>
        <v>1518</v>
      </c>
      <c r="L5846">
        <v>1</v>
      </c>
      <c r="M5846" s="94">
        <v>0</v>
      </c>
      <c r="N5846" t="s">
        <v>42</v>
      </c>
      <c r="O5846" t="s">
        <v>33</v>
      </c>
      <c r="P5846" t="s">
        <v>34</v>
      </c>
      <c r="Q5846" t="s">
        <v>34</v>
      </c>
      <c r="R5846" t="s">
        <v>34</v>
      </c>
      <c r="S5846" t="s">
        <v>34</v>
      </c>
      <c r="T5846" s="117">
        <v>0</v>
      </c>
    </row>
    <row r="5847" spans="1:20" x14ac:dyDescent="0.35">
      <c r="A5847" t="s">
        <v>20</v>
      </c>
      <c r="B5847" t="s">
        <v>24</v>
      </c>
      <c r="C5847" s="1">
        <v>46001</v>
      </c>
      <c r="D5847">
        <f t="shared" si="757"/>
        <v>10</v>
      </c>
      <c r="E5847">
        <f t="shared" si="758"/>
        <v>12</v>
      </c>
      <c r="F5847">
        <f t="shared" si="759"/>
        <v>2025</v>
      </c>
      <c r="G5847" t="s">
        <v>81</v>
      </c>
      <c r="H5847" s="121">
        <v>13349</v>
      </c>
      <c r="I5847" s="91">
        <v>10111.5</v>
      </c>
      <c r="J5847" s="12" t="s">
        <v>31</v>
      </c>
      <c r="K5847" s="94">
        <f t="shared" si="744"/>
        <v>10111.5</v>
      </c>
      <c r="L5847">
        <v>1</v>
      </c>
      <c r="M5847" s="94">
        <v>0</v>
      </c>
      <c r="N5847" t="s">
        <v>32</v>
      </c>
      <c r="O5847" t="s">
        <v>33</v>
      </c>
      <c r="P5847" t="s">
        <v>34</v>
      </c>
      <c r="Q5847" t="s">
        <v>34</v>
      </c>
      <c r="R5847" t="s">
        <v>34</v>
      </c>
      <c r="S5847" t="s">
        <v>34</v>
      </c>
      <c r="T5847" s="117">
        <v>0</v>
      </c>
    </row>
    <row r="5848" spans="1:20" x14ac:dyDescent="0.35">
      <c r="A5848" t="s">
        <v>20</v>
      </c>
      <c r="B5848" t="s">
        <v>25</v>
      </c>
      <c r="C5848" s="1">
        <v>46001</v>
      </c>
      <c r="D5848">
        <f>DAY(C5848)</f>
        <v>10</v>
      </c>
      <c r="E5848">
        <f>MONTH(C5848)</f>
        <v>12</v>
      </c>
      <c r="F5848">
        <f>YEAR(C5848)</f>
        <v>2025</v>
      </c>
      <c r="G5848" t="s">
        <v>891</v>
      </c>
      <c r="H5848" s="121">
        <v>13657</v>
      </c>
      <c r="I5848" s="91">
        <v>617.4</v>
      </c>
      <c r="J5848" s="12" t="s">
        <v>31</v>
      </c>
      <c r="K5848" s="94">
        <f t="shared" si="744"/>
        <v>617.4</v>
      </c>
      <c r="L5848">
        <v>1</v>
      </c>
      <c r="M5848" s="94">
        <v>0</v>
      </c>
      <c r="N5848" t="s">
        <v>32</v>
      </c>
      <c r="O5848" t="s">
        <v>33</v>
      </c>
      <c r="P5848" t="s">
        <v>34</v>
      </c>
      <c r="Q5848" t="s">
        <v>34</v>
      </c>
      <c r="R5848" t="s">
        <v>34</v>
      </c>
      <c r="S5848" t="s">
        <v>34</v>
      </c>
      <c r="T5848" s="117">
        <v>0</v>
      </c>
    </row>
    <row r="5849" spans="1:20" x14ac:dyDescent="0.35">
      <c r="A5849" t="s">
        <v>20</v>
      </c>
      <c r="B5849" t="s">
        <v>25</v>
      </c>
      <c r="C5849" s="1">
        <v>46001</v>
      </c>
      <c r="D5849">
        <f t="shared" ref="D5849:D5852" si="760">DAY(C5849)</f>
        <v>10</v>
      </c>
      <c r="E5849">
        <f t="shared" ref="E5849:E5852" si="761">MONTH(C5849)</f>
        <v>12</v>
      </c>
      <c r="F5849">
        <f t="shared" ref="F5849:F5852" si="762">YEAR(C5849)</f>
        <v>2025</v>
      </c>
      <c r="G5849" t="s">
        <v>696</v>
      </c>
      <c r="H5849" s="121">
        <v>14337</v>
      </c>
      <c r="I5849" s="91">
        <v>58.2</v>
      </c>
      <c r="J5849" s="12" t="s">
        <v>31</v>
      </c>
      <c r="K5849" s="94">
        <f t="shared" si="744"/>
        <v>58.2</v>
      </c>
      <c r="L5849">
        <v>1</v>
      </c>
      <c r="M5849" s="94">
        <v>0</v>
      </c>
      <c r="N5849" t="s">
        <v>42</v>
      </c>
      <c r="O5849" t="s">
        <v>33</v>
      </c>
      <c r="P5849" t="s">
        <v>34</v>
      </c>
      <c r="Q5849" t="s">
        <v>34</v>
      </c>
      <c r="R5849" t="s">
        <v>34</v>
      </c>
      <c r="S5849" t="s">
        <v>34</v>
      </c>
      <c r="T5849" s="117">
        <v>0</v>
      </c>
    </row>
    <row r="5850" spans="1:20" x14ac:dyDescent="0.35">
      <c r="A5850" t="s">
        <v>20</v>
      </c>
      <c r="B5850" t="s">
        <v>25</v>
      </c>
      <c r="C5850" s="1">
        <v>46001</v>
      </c>
      <c r="D5850">
        <f t="shared" si="760"/>
        <v>10</v>
      </c>
      <c r="E5850">
        <f t="shared" si="761"/>
        <v>12</v>
      </c>
      <c r="F5850">
        <f t="shared" si="762"/>
        <v>2025</v>
      </c>
      <c r="G5850" t="s">
        <v>696</v>
      </c>
      <c r="H5850" s="121">
        <v>14338</v>
      </c>
      <c r="I5850" s="91">
        <v>58.2</v>
      </c>
      <c r="J5850" s="12" t="s">
        <v>31</v>
      </c>
      <c r="K5850" s="94">
        <f t="shared" si="744"/>
        <v>58.2</v>
      </c>
      <c r="L5850">
        <v>1</v>
      </c>
      <c r="M5850" s="94">
        <v>0</v>
      </c>
      <c r="N5850" t="s">
        <v>42</v>
      </c>
      <c r="O5850" t="s">
        <v>33</v>
      </c>
      <c r="P5850" t="s">
        <v>34</v>
      </c>
      <c r="Q5850" t="s">
        <v>34</v>
      </c>
      <c r="R5850" t="s">
        <v>34</v>
      </c>
      <c r="S5850" t="s">
        <v>34</v>
      </c>
      <c r="T5850" s="117">
        <v>0</v>
      </c>
    </row>
    <row r="5851" spans="1:20" x14ac:dyDescent="0.35">
      <c r="A5851" t="s">
        <v>20</v>
      </c>
      <c r="B5851" t="s">
        <v>25</v>
      </c>
      <c r="C5851" s="1">
        <v>46001</v>
      </c>
      <c r="D5851">
        <f t="shared" si="760"/>
        <v>10</v>
      </c>
      <c r="E5851">
        <f t="shared" si="761"/>
        <v>12</v>
      </c>
      <c r="F5851">
        <f t="shared" si="762"/>
        <v>2025</v>
      </c>
      <c r="G5851" t="s">
        <v>696</v>
      </c>
      <c r="H5851" s="121">
        <v>14339</v>
      </c>
      <c r="I5851" s="91">
        <v>669.30000000000007</v>
      </c>
      <c r="J5851" s="12" t="s">
        <v>31</v>
      </c>
      <c r="K5851" s="94">
        <f t="shared" si="744"/>
        <v>669.30000000000007</v>
      </c>
      <c r="L5851">
        <v>1</v>
      </c>
      <c r="M5851" s="94">
        <v>0</v>
      </c>
      <c r="N5851" t="s">
        <v>42</v>
      </c>
      <c r="O5851" t="s">
        <v>33</v>
      </c>
      <c r="P5851" t="s">
        <v>34</v>
      </c>
      <c r="Q5851" t="s">
        <v>34</v>
      </c>
      <c r="R5851" t="s">
        <v>34</v>
      </c>
      <c r="S5851" t="s">
        <v>34</v>
      </c>
      <c r="T5851" s="117">
        <v>0</v>
      </c>
    </row>
    <row r="5852" spans="1:20" x14ac:dyDescent="0.35">
      <c r="A5852" t="s">
        <v>20</v>
      </c>
      <c r="B5852" t="s">
        <v>25</v>
      </c>
      <c r="C5852" s="1">
        <v>46001</v>
      </c>
      <c r="D5852">
        <f t="shared" si="760"/>
        <v>10</v>
      </c>
      <c r="E5852">
        <f t="shared" si="761"/>
        <v>12</v>
      </c>
      <c r="F5852">
        <f t="shared" si="762"/>
        <v>2025</v>
      </c>
      <c r="G5852" t="s">
        <v>696</v>
      </c>
      <c r="H5852" s="121">
        <v>14340</v>
      </c>
      <c r="I5852" s="91">
        <v>628.56000000000006</v>
      </c>
      <c r="J5852" s="12" t="s">
        <v>31</v>
      </c>
      <c r="K5852" s="94">
        <f t="shared" si="744"/>
        <v>628.56000000000006</v>
      </c>
      <c r="L5852">
        <v>1</v>
      </c>
      <c r="M5852" s="94">
        <v>0</v>
      </c>
      <c r="N5852" t="s">
        <v>42</v>
      </c>
      <c r="O5852" t="s">
        <v>33</v>
      </c>
      <c r="P5852" t="s">
        <v>34</v>
      </c>
      <c r="Q5852" t="s">
        <v>34</v>
      </c>
      <c r="R5852" t="s">
        <v>34</v>
      </c>
      <c r="S5852" t="s">
        <v>34</v>
      </c>
      <c r="T5852" s="117">
        <v>0</v>
      </c>
    </row>
    <row r="5853" spans="1:20" x14ac:dyDescent="0.35">
      <c r="A5853" t="s">
        <v>20</v>
      </c>
      <c r="B5853" t="s">
        <v>24</v>
      </c>
      <c r="C5853" s="1">
        <v>46001</v>
      </c>
      <c r="D5853">
        <f t="shared" ref="D5853:D5861" si="763">DAY(C5853)</f>
        <v>10</v>
      </c>
      <c r="E5853">
        <f t="shared" ref="E5853:E5861" si="764">MONTH(C5853)</f>
        <v>12</v>
      </c>
      <c r="F5853">
        <f t="shared" ref="F5853:F5861" si="765">YEAR(C5853)</f>
        <v>2025</v>
      </c>
      <c r="G5853" t="s">
        <v>118</v>
      </c>
      <c r="H5853" s="121">
        <v>13760</v>
      </c>
      <c r="I5853" s="91">
        <v>32173.16</v>
      </c>
      <c r="J5853" s="12" t="s">
        <v>31</v>
      </c>
      <c r="K5853" s="94">
        <f t="shared" si="744"/>
        <v>32173.16</v>
      </c>
      <c r="L5853">
        <v>1</v>
      </c>
      <c r="M5853" s="94">
        <v>0</v>
      </c>
      <c r="N5853" t="s">
        <v>32</v>
      </c>
      <c r="O5853" t="s">
        <v>33</v>
      </c>
      <c r="P5853" t="s">
        <v>34</v>
      </c>
      <c r="Q5853" t="s">
        <v>34</v>
      </c>
      <c r="R5853" t="s">
        <v>34</v>
      </c>
      <c r="S5853" t="s">
        <v>34</v>
      </c>
      <c r="T5853" s="117">
        <v>0</v>
      </c>
    </row>
    <row r="5854" spans="1:20" x14ac:dyDescent="0.35">
      <c r="A5854" t="s">
        <v>20</v>
      </c>
      <c r="B5854" t="s">
        <v>25</v>
      </c>
      <c r="C5854" s="1">
        <v>46001</v>
      </c>
      <c r="D5854">
        <f t="shared" si="763"/>
        <v>10</v>
      </c>
      <c r="E5854">
        <f t="shared" si="764"/>
        <v>12</v>
      </c>
      <c r="F5854">
        <f t="shared" si="765"/>
        <v>2025</v>
      </c>
      <c r="G5854" t="s">
        <v>118</v>
      </c>
      <c r="H5854" s="121">
        <v>13760</v>
      </c>
      <c r="I5854" s="91">
        <v>24194.400000000001</v>
      </c>
      <c r="J5854" s="12" t="s">
        <v>31</v>
      </c>
      <c r="K5854" s="94">
        <f t="shared" si="744"/>
        <v>24194.400000000001</v>
      </c>
      <c r="L5854">
        <v>1</v>
      </c>
      <c r="M5854" s="94">
        <v>0</v>
      </c>
      <c r="N5854" t="s">
        <v>32</v>
      </c>
      <c r="O5854" t="s">
        <v>33</v>
      </c>
      <c r="P5854" t="s">
        <v>34</v>
      </c>
      <c r="Q5854" t="s">
        <v>34</v>
      </c>
      <c r="R5854" t="s">
        <v>34</v>
      </c>
      <c r="S5854" t="s">
        <v>34</v>
      </c>
      <c r="T5854" s="117">
        <v>0</v>
      </c>
    </row>
    <row r="5855" spans="1:20" x14ac:dyDescent="0.35">
      <c r="A5855" t="s">
        <v>20</v>
      </c>
      <c r="B5855" t="s">
        <v>23</v>
      </c>
      <c r="C5855" s="1">
        <v>46001</v>
      </c>
      <c r="D5855">
        <f t="shared" si="763"/>
        <v>10</v>
      </c>
      <c r="E5855">
        <f t="shared" si="764"/>
        <v>12</v>
      </c>
      <c r="F5855">
        <f t="shared" si="765"/>
        <v>2025</v>
      </c>
      <c r="G5855" t="s">
        <v>118</v>
      </c>
      <c r="H5855" s="121">
        <v>13760</v>
      </c>
      <c r="I5855" s="91">
        <v>25869.21</v>
      </c>
      <c r="J5855" s="12" t="s">
        <v>31</v>
      </c>
      <c r="K5855" s="94">
        <f t="shared" si="744"/>
        <v>25869.21</v>
      </c>
      <c r="L5855">
        <v>1</v>
      </c>
      <c r="M5855" s="94">
        <v>0</v>
      </c>
      <c r="N5855" t="s">
        <v>32</v>
      </c>
      <c r="O5855" t="s">
        <v>33</v>
      </c>
      <c r="P5855" t="s">
        <v>34</v>
      </c>
      <c r="Q5855" t="s">
        <v>34</v>
      </c>
      <c r="R5855" t="s">
        <v>34</v>
      </c>
      <c r="S5855" t="s">
        <v>34</v>
      </c>
      <c r="T5855" s="117">
        <v>0</v>
      </c>
    </row>
    <row r="5856" spans="1:20" x14ac:dyDescent="0.35">
      <c r="A5856" t="s">
        <v>20</v>
      </c>
      <c r="B5856" t="s">
        <v>24</v>
      </c>
      <c r="C5856" s="1">
        <v>46001</v>
      </c>
      <c r="D5856">
        <f t="shared" si="763"/>
        <v>10</v>
      </c>
      <c r="E5856">
        <f t="shared" si="764"/>
        <v>12</v>
      </c>
      <c r="F5856">
        <f t="shared" si="765"/>
        <v>2025</v>
      </c>
      <c r="G5856" t="s">
        <v>118</v>
      </c>
      <c r="H5856" s="121">
        <v>14367</v>
      </c>
      <c r="I5856" s="91">
        <v>434.6</v>
      </c>
      <c r="J5856" s="12" t="s">
        <v>31</v>
      </c>
      <c r="K5856" s="94">
        <f t="shared" si="744"/>
        <v>434.6</v>
      </c>
      <c r="L5856">
        <v>1</v>
      </c>
      <c r="M5856" s="94">
        <v>0</v>
      </c>
      <c r="N5856" t="s">
        <v>42</v>
      </c>
      <c r="O5856" t="s">
        <v>33</v>
      </c>
      <c r="P5856" t="s">
        <v>34</v>
      </c>
      <c r="Q5856" t="s">
        <v>34</v>
      </c>
      <c r="R5856" t="s">
        <v>34</v>
      </c>
      <c r="S5856" t="s">
        <v>34</v>
      </c>
      <c r="T5856" s="117">
        <v>0</v>
      </c>
    </row>
    <row r="5857" spans="1:20" x14ac:dyDescent="0.35">
      <c r="A5857" t="s">
        <v>20</v>
      </c>
      <c r="B5857" t="s">
        <v>24</v>
      </c>
      <c r="C5857" s="1">
        <v>46001</v>
      </c>
      <c r="D5857">
        <f t="shared" si="763"/>
        <v>10</v>
      </c>
      <c r="E5857">
        <f t="shared" si="764"/>
        <v>12</v>
      </c>
      <c r="F5857">
        <f t="shared" si="765"/>
        <v>2025</v>
      </c>
      <c r="G5857" t="s">
        <v>118</v>
      </c>
      <c r="H5857" s="121">
        <v>14368</v>
      </c>
      <c r="I5857" s="91">
        <v>302</v>
      </c>
      <c r="J5857" s="12" t="s">
        <v>31</v>
      </c>
      <c r="K5857" s="94">
        <f t="shared" si="744"/>
        <v>302</v>
      </c>
      <c r="L5857">
        <v>1</v>
      </c>
      <c r="M5857" s="94">
        <v>0</v>
      </c>
      <c r="N5857" t="s">
        <v>42</v>
      </c>
      <c r="O5857" t="s">
        <v>33</v>
      </c>
      <c r="P5857" t="s">
        <v>34</v>
      </c>
      <c r="Q5857" t="s">
        <v>34</v>
      </c>
      <c r="R5857" t="s">
        <v>34</v>
      </c>
      <c r="S5857" t="s">
        <v>34</v>
      </c>
      <c r="T5857" s="117">
        <v>0</v>
      </c>
    </row>
    <row r="5858" spans="1:20" x14ac:dyDescent="0.35">
      <c r="A5858" t="s">
        <v>20</v>
      </c>
      <c r="B5858" t="s">
        <v>24</v>
      </c>
      <c r="C5858" s="1">
        <v>46001</v>
      </c>
      <c r="D5858">
        <f t="shared" si="763"/>
        <v>10</v>
      </c>
      <c r="E5858">
        <f t="shared" si="764"/>
        <v>12</v>
      </c>
      <c r="F5858">
        <f t="shared" si="765"/>
        <v>2025</v>
      </c>
      <c r="G5858" t="s">
        <v>118</v>
      </c>
      <c r="H5858" s="121">
        <v>14369</v>
      </c>
      <c r="I5858" s="91">
        <v>7291.8</v>
      </c>
      <c r="J5858" s="12" t="s">
        <v>31</v>
      </c>
      <c r="K5858" s="94">
        <f t="shared" si="744"/>
        <v>7291.8</v>
      </c>
      <c r="L5858">
        <v>1</v>
      </c>
      <c r="M5858" s="94">
        <v>0</v>
      </c>
      <c r="N5858" t="s">
        <v>42</v>
      </c>
      <c r="O5858" t="s">
        <v>33</v>
      </c>
      <c r="P5858" t="s">
        <v>34</v>
      </c>
      <c r="Q5858" t="s">
        <v>34</v>
      </c>
      <c r="R5858" t="s">
        <v>34</v>
      </c>
      <c r="S5858" t="s">
        <v>34</v>
      </c>
      <c r="T5858" s="117">
        <v>0</v>
      </c>
    </row>
    <row r="5859" spans="1:20" x14ac:dyDescent="0.35">
      <c r="A5859" t="s">
        <v>20</v>
      </c>
      <c r="B5859" t="s">
        <v>24</v>
      </c>
      <c r="C5859" s="1">
        <v>46001</v>
      </c>
      <c r="D5859">
        <f t="shared" si="763"/>
        <v>10</v>
      </c>
      <c r="E5859">
        <f t="shared" si="764"/>
        <v>12</v>
      </c>
      <c r="F5859">
        <f t="shared" si="765"/>
        <v>2025</v>
      </c>
      <c r="G5859" t="s">
        <v>118</v>
      </c>
      <c r="H5859" s="121">
        <v>14370</v>
      </c>
      <c r="I5859" s="91">
        <v>3088.4</v>
      </c>
      <c r="J5859" s="12" t="s">
        <v>31</v>
      </c>
      <c r="K5859" s="94">
        <f t="shared" si="744"/>
        <v>3088.4</v>
      </c>
      <c r="L5859">
        <v>1</v>
      </c>
      <c r="M5859" s="94">
        <v>0</v>
      </c>
      <c r="N5859" t="s">
        <v>42</v>
      </c>
      <c r="O5859" t="s">
        <v>33</v>
      </c>
      <c r="P5859" t="s">
        <v>34</v>
      </c>
      <c r="Q5859" t="s">
        <v>34</v>
      </c>
      <c r="R5859" t="s">
        <v>34</v>
      </c>
      <c r="S5859" t="s">
        <v>34</v>
      </c>
      <c r="T5859" s="117">
        <v>0</v>
      </c>
    </row>
    <row r="5860" spans="1:20" x14ac:dyDescent="0.35">
      <c r="A5860" t="s">
        <v>20</v>
      </c>
      <c r="B5860" t="s">
        <v>23</v>
      </c>
      <c r="C5860" s="1">
        <v>46001</v>
      </c>
      <c r="D5860">
        <f t="shared" si="763"/>
        <v>10</v>
      </c>
      <c r="E5860">
        <f t="shared" si="764"/>
        <v>12</v>
      </c>
      <c r="F5860">
        <f t="shared" si="765"/>
        <v>2025</v>
      </c>
      <c r="G5860" t="s">
        <v>118</v>
      </c>
      <c r="H5860" s="121">
        <v>14374</v>
      </c>
      <c r="I5860" s="91">
        <v>101.4</v>
      </c>
      <c r="J5860" s="12" t="s">
        <v>31</v>
      </c>
      <c r="K5860" s="94">
        <f t="shared" si="744"/>
        <v>101.4</v>
      </c>
      <c r="L5860">
        <v>1</v>
      </c>
      <c r="M5860" s="94">
        <v>0</v>
      </c>
      <c r="N5860" t="s">
        <v>42</v>
      </c>
      <c r="O5860" t="s">
        <v>33</v>
      </c>
      <c r="P5860" t="s">
        <v>34</v>
      </c>
      <c r="Q5860" t="s">
        <v>34</v>
      </c>
      <c r="R5860" t="s">
        <v>34</v>
      </c>
      <c r="S5860" t="s">
        <v>34</v>
      </c>
      <c r="T5860" s="117">
        <v>0</v>
      </c>
    </row>
    <row r="5861" spans="1:20" x14ac:dyDescent="0.35">
      <c r="A5861" t="s">
        <v>20</v>
      </c>
      <c r="B5861" t="s">
        <v>23</v>
      </c>
      <c r="C5861" s="1">
        <v>46001</v>
      </c>
      <c r="D5861">
        <f t="shared" si="763"/>
        <v>10</v>
      </c>
      <c r="E5861">
        <f t="shared" si="764"/>
        <v>12</v>
      </c>
      <c r="F5861">
        <f t="shared" si="765"/>
        <v>2025</v>
      </c>
      <c r="G5861" t="s">
        <v>118</v>
      </c>
      <c r="H5861" s="121">
        <v>14375</v>
      </c>
      <c r="I5861" s="91">
        <v>2734.4</v>
      </c>
      <c r="J5861" s="12" t="s">
        <v>31</v>
      </c>
      <c r="K5861" s="94">
        <f t="shared" si="744"/>
        <v>2734.4</v>
      </c>
      <c r="L5861">
        <v>1</v>
      </c>
      <c r="M5861" s="94">
        <v>0</v>
      </c>
      <c r="N5861" t="s">
        <v>42</v>
      </c>
      <c r="O5861" t="s">
        <v>33</v>
      </c>
      <c r="P5861" t="s">
        <v>34</v>
      </c>
      <c r="Q5861" t="s">
        <v>34</v>
      </c>
      <c r="R5861" t="s">
        <v>34</v>
      </c>
      <c r="S5861" t="s">
        <v>34</v>
      </c>
      <c r="T5861" s="117">
        <v>0</v>
      </c>
    </row>
    <row r="5862" spans="1:20" x14ac:dyDescent="0.35">
      <c r="A5862" t="s">
        <v>20</v>
      </c>
      <c r="B5862" t="s">
        <v>21</v>
      </c>
      <c r="C5862" s="1">
        <v>46001</v>
      </c>
      <c r="D5862">
        <f>DAY(C5862)</f>
        <v>10</v>
      </c>
      <c r="E5862">
        <f>MONTH(C5862)</f>
        <v>12</v>
      </c>
      <c r="F5862">
        <f>YEAR(C5862)</f>
        <v>2025</v>
      </c>
      <c r="G5862" t="s">
        <v>265</v>
      </c>
      <c r="H5862" s="121">
        <v>14251</v>
      </c>
      <c r="I5862" s="91">
        <v>4012.08</v>
      </c>
      <c r="J5862" s="12" t="s">
        <v>31</v>
      </c>
      <c r="K5862" s="94">
        <f t="shared" si="744"/>
        <v>4012.08</v>
      </c>
      <c r="L5862">
        <v>1</v>
      </c>
      <c r="M5862" s="94">
        <v>0</v>
      </c>
      <c r="N5862" t="s">
        <v>42</v>
      </c>
      <c r="O5862" t="s">
        <v>33</v>
      </c>
      <c r="P5862" t="s">
        <v>34</v>
      </c>
      <c r="Q5862" t="s">
        <v>34</v>
      </c>
      <c r="R5862" t="s">
        <v>34</v>
      </c>
      <c r="S5862" t="s">
        <v>34</v>
      </c>
      <c r="T5862" s="117">
        <v>0</v>
      </c>
    </row>
    <row r="5863" spans="1:20" x14ac:dyDescent="0.35">
      <c r="A5863" t="s">
        <v>20</v>
      </c>
      <c r="B5863" t="s">
        <v>24</v>
      </c>
      <c r="C5863" s="1">
        <v>46001</v>
      </c>
      <c r="D5863">
        <f t="shared" ref="D5863:D5864" si="766">DAY(C5863)</f>
        <v>10</v>
      </c>
      <c r="E5863">
        <f t="shared" ref="E5863:E5864" si="767">MONTH(C5863)</f>
        <v>12</v>
      </c>
      <c r="F5863">
        <f t="shared" ref="F5863:F5864" si="768">YEAR(C5863)</f>
        <v>2025</v>
      </c>
      <c r="G5863" t="s">
        <v>46</v>
      </c>
      <c r="H5863" s="121">
        <v>14329</v>
      </c>
      <c r="I5863" s="91">
        <v>53.6</v>
      </c>
      <c r="J5863" s="12" t="s">
        <v>31</v>
      </c>
      <c r="K5863" s="94">
        <f t="shared" si="744"/>
        <v>53.6</v>
      </c>
      <c r="L5863">
        <v>1</v>
      </c>
      <c r="M5863" s="94">
        <v>0</v>
      </c>
      <c r="N5863" t="s">
        <v>42</v>
      </c>
      <c r="O5863" t="s">
        <v>33</v>
      </c>
      <c r="P5863" t="s">
        <v>34</v>
      </c>
      <c r="Q5863" t="s">
        <v>34</v>
      </c>
      <c r="R5863" t="s">
        <v>34</v>
      </c>
      <c r="S5863" t="s">
        <v>34</v>
      </c>
      <c r="T5863" s="117">
        <v>0</v>
      </c>
    </row>
    <row r="5864" spans="1:20" x14ac:dyDescent="0.35">
      <c r="A5864" t="s">
        <v>20</v>
      </c>
      <c r="B5864" t="s">
        <v>24</v>
      </c>
      <c r="C5864" s="1">
        <v>46001</v>
      </c>
      <c r="D5864">
        <f t="shared" si="766"/>
        <v>10</v>
      </c>
      <c r="E5864">
        <f t="shared" si="767"/>
        <v>12</v>
      </c>
      <c r="F5864">
        <f t="shared" si="768"/>
        <v>2025</v>
      </c>
      <c r="G5864" t="s">
        <v>46</v>
      </c>
      <c r="H5864" s="121">
        <v>14330</v>
      </c>
      <c r="I5864" s="91">
        <v>696.80000000000007</v>
      </c>
      <c r="J5864" s="12" t="s">
        <v>31</v>
      </c>
      <c r="K5864" s="94">
        <f t="shared" si="744"/>
        <v>696.80000000000007</v>
      </c>
      <c r="L5864">
        <v>1</v>
      </c>
      <c r="M5864" s="94">
        <v>0</v>
      </c>
      <c r="N5864" t="s">
        <v>42</v>
      </c>
      <c r="O5864" t="s">
        <v>33</v>
      </c>
      <c r="P5864" t="s">
        <v>34</v>
      </c>
      <c r="Q5864" t="s">
        <v>34</v>
      </c>
      <c r="R5864" t="s">
        <v>34</v>
      </c>
      <c r="S5864" t="s">
        <v>34</v>
      </c>
      <c r="T5864" s="117">
        <v>0</v>
      </c>
    </row>
    <row r="5865" spans="1:20" x14ac:dyDescent="0.35">
      <c r="A5865" t="s">
        <v>20</v>
      </c>
      <c r="B5865" t="s">
        <v>25</v>
      </c>
      <c r="C5865" s="1">
        <v>46001</v>
      </c>
      <c r="D5865">
        <f>DAY(C5865)</f>
        <v>10</v>
      </c>
      <c r="E5865">
        <f>MONTH(C5865)</f>
        <v>12</v>
      </c>
      <c r="F5865">
        <f>YEAR(C5865)</f>
        <v>2025</v>
      </c>
      <c r="G5865" t="s">
        <v>321</v>
      </c>
      <c r="H5865" s="121">
        <v>13608</v>
      </c>
      <c r="I5865" s="91">
        <v>5691</v>
      </c>
      <c r="J5865" s="12" t="s">
        <v>31</v>
      </c>
      <c r="K5865" s="94">
        <f t="shared" si="744"/>
        <v>5691</v>
      </c>
      <c r="L5865">
        <v>1</v>
      </c>
      <c r="M5865" s="94">
        <v>0</v>
      </c>
      <c r="N5865" t="s">
        <v>32</v>
      </c>
      <c r="O5865" t="s">
        <v>33</v>
      </c>
      <c r="P5865" t="s">
        <v>34</v>
      </c>
      <c r="Q5865" t="s">
        <v>34</v>
      </c>
      <c r="R5865" t="s">
        <v>34</v>
      </c>
      <c r="S5865" t="s">
        <v>34</v>
      </c>
      <c r="T5865" s="117">
        <v>0</v>
      </c>
    </row>
    <row r="5866" spans="1:20" x14ac:dyDescent="0.35">
      <c r="A5866" t="s">
        <v>20</v>
      </c>
      <c r="B5866" t="s">
        <v>25</v>
      </c>
      <c r="C5866" s="1">
        <v>46001</v>
      </c>
      <c r="D5866">
        <f t="shared" ref="D5866:D5869" si="769">DAY(C5866)</f>
        <v>10</v>
      </c>
      <c r="E5866">
        <f t="shared" ref="E5866:E5869" si="770">MONTH(C5866)</f>
        <v>12</v>
      </c>
      <c r="F5866">
        <f t="shared" ref="F5866:F5869" si="771">YEAR(C5866)</f>
        <v>2025</v>
      </c>
      <c r="G5866" t="s">
        <v>174</v>
      </c>
      <c r="H5866" s="121">
        <v>14371</v>
      </c>
      <c r="I5866" s="91">
        <v>133.4</v>
      </c>
      <c r="J5866" s="12" t="s">
        <v>31</v>
      </c>
      <c r="K5866" s="94">
        <f t="shared" si="744"/>
        <v>133.4</v>
      </c>
      <c r="L5866">
        <v>1</v>
      </c>
      <c r="M5866" s="94">
        <v>0</v>
      </c>
      <c r="N5866" t="s">
        <v>42</v>
      </c>
      <c r="O5866" t="s">
        <v>33</v>
      </c>
      <c r="P5866" t="s">
        <v>34</v>
      </c>
      <c r="Q5866" t="s">
        <v>34</v>
      </c>
      <c r="R5866" t="s">
        <v>34</v>
      </c>
      <c r="S5866" t="s">
        <v>34</v>
      </c>
      <c r="T5866" s="117">
        <v>0</v>
      </c>
    </row>
    <row r="5867" spans="1:20" x14ac:dyDescent="0.35">
      <c r="A5867" t="s">
        <v>20</v>
      </c>
      <c r="B5867" t="s">
        <v>25</v>
      </c>
      <c r="C5867" s="1">
        <v>46001</v>
      </c>
      <c r="D5867">
        <f t="shared" si="769"/>
        <v>10</v>
      </c>
      <c r="E5867">
        <f t="shared" si="770"/>
        <v>12</v>
      </c>
      <c r="F5867">
        <f t="shared" si="771"/>
        <v>2025</v>
      </c>
      <c r="G5867" t="s">
        <v>174</v>
      </c>
      <c r="H5867" s="121">
        <v>14387</v>
      </c>
      <c r="I5867" s="91">
        <v>47.2</v>
      </c>
      <c r="J5867" s="12" t="s">
        <v>31</v>
      </c>
      <c r="K5867" s="94">
        <f t="shared" si="744"/>
        <v>47.2</v>
      </c>
      <c r="L5867">
        <v>1</v>
      </c>
      <c r="M5867" s="94">
        <v>0</v>
      </c>
      <c r="N5867" t="s">
        <v>42</v>
      </c>
      <c r="O5867" t="s">
        <v>33</v>
      </c>
      <c r="P5867" t="s">
        <v>34</v>
      </c>
      <c r="Q5867" t="s">
        <v>34</v>
      </c>
      <c r="R5867" t="s">
        <v>34</v>
      </c>
      <c r="S5867" t="s">
        <v>34</v>
      </c>
      <c r="T5867" s="117">
        <v>0</v>
      </c>
    </row>
    <row r="5868" spans="1:20" x14ac:dyDescent="0.35">
      <c r="A5868" t="s">
        <v>20</v>
      </c>
      <c r="B5868" t="s">
        <v>25</v>
      </c>
      <c r="C5868" s="1">
        <v>46001</v>
      </c>
      <c r="D5868">
        <f t="shared" si="769"/>
        <v>10</v>
      </c>
      <c r="E5868">
        <f t="shared" si="770"/>
        <v>12</v>
      </c>
      <c r="F5868">
        <f t="shared" si="771"/>
        <v>2025</v>
      </c>
      <c r="G5868" t="s">
        <v>174</v>
      </c>
      <c r="H5868" s="121">
        <v>14372</v>
      </c>
      <c r="I5868" s="91">
        <v>1861.8</v>
      </c>
      <c r="J5868" s="12" t="s">
        <v>31</v>
      </c>
      <c r="K5868" s="94">
        <f t="shared" si="744"/>
        <v>1861.8</v>
      </c>
      <c r="L5868">
        <v>1</v>
      </c>
      <c r="M5868" s="94">
        <v>0</v>
      </c>
      <c r="N5868" t="s">
        <v>42</v>
      </c>
      <c r="O5868" t="s">
        <v>33</v>
      </c>
      <c r="P5868" t="s">
        <v>34</v>
      </c>
      <c r="Q5868" t="s">
        <v>34</v>
      </c>
      <c r="R5868" t="s">
        <v>34</v>
      </c>
      <c r="S5868" t="s">
        <v>34</v>
      </c>
      <c r="T5868" s="117">
        <v>0</v>
      </c>
    </row>
    <row r="5869" spans="1:20" x14ac:dyDescent="0.35">
      <c r="A5869" t="s">
        <v>20</v>
      </c>
      <c r="B5869" t="s">
        <v>25</v>
      </c>
      <c r="C5869" s="1">
        <v>46001</v>
      </c>
      <c r="D5869">
        <f t="shared" si="769"/>
        <v>10</v>
      </c>
      <c r="E5869">
        <f t="shared" si="770"/>
        <v>12</v>
      </c>
      <c r="F5869">
        <f t="shared" si="771"/>
        <v>2025</v>
      </c>
      <c r="G5869" t="s">
        <v>174</v>
      </c>
      <c r="H5869" s="121">
        <v>14373</v>
      </c>
      <c r="I5869" s="91">
        <v>2210.1</v>
      </c>
      <c r="J5869" s="12" t="s">
        <v>31</v>
      </c>
      <c r="K5869" s="94">
        <f t="shared" si="744"/>
        <v>2210.1</v>
      </c>
      <c r="L5869">
        <v>1</v>
      </c>
      <c r="M5869" s="94">
        <v>0</v>
      </c>
      <c r="N5869" t="s">
        <v>42</v>
      </c>
      <c r="O5869" t="s">
        <v>33</v>
      </c>
      <c r="P5869" t="s">
        <v>34</v>
      </c>
      <c r="Q5869" t="s">
        <v>34</v>
      </c>
      <c r="R5869" t="s">
        <v>34</v>
      </c>
      <c r="S5869" t="s">
        <v>34</v>
      </c>
      <c r="T5869" s="117">
        <v>0</v>
      </c>
    </row>
    <row r="5870" spans="1:20" x14ac:dyDescent="0.35">
      <c r="A5870" t="s">
        <v>20</v>
      </c>
      <c r="B5870" t="s">
        <v>25</v>
      </c>
      <c r="C5870" s="1">
        <v>46001</v>
      </c>
      <c r="D5870">
        <f t="shared" ref="D5870:D5872" si="772">DAY(C5870)</f>
        <v>10</v>
      </c>
      <c r="E5870">
        <f t="shared" ref="E5870:E5872" si="773">MONTH(C5870)</f>
        <v>12</v>
      </c>
      <c r="F5870">
        <f t="shared" ref="F5870:F5872" si="774">YEAR(C5870)</f>
        <v>2025</v>
      </c>
      <c r="G5870" t="s">
        <v>97</v>
      </c>
      <c r="H5870" s="121">
        <v>13950</v>
      </c>
      <c r="I5870" s="91">
        <v>31689.589599999999</v>
      </c>
      <c r="J5870" s="12" t="s">
        <v>31</v>
      </c>
      <c r="K5870" s="94">
        <f t="shared" si="744"/>
        <v>31689.589599999999</v>
      </c>
      <c r="L5870">
        <v>1</v>
      </c>
      <c r="M5870" s="94">
        <v>0</v>
      </c>
      <c r="N5870" t="s">
        <v>32</v>
      </c>
      <c r="O5870" t="s">
        <v>33</v>
      </c>
      <c r="P5870" t="s">
        <v>34</v>
      </c>
      <c r="Q5870" t="s">
        <v>34</v>
      </c>
      <c r="R5870" t="s">
        <v>34</v>
      </c>
      <c r="S5870" t="s">
        <v>34</v>
      </c>
      <c r="T5870" s="117">
        <v>0</v>
      </c>
    </row>
    <row r="5871" spans="1:20" x14ac:dyDescent="0.35">
      <c r="A5871" t="s">
        <v>20</v>
      </c>
      <c r="B5871" t="s">
        <v>23</v>
      </c>
      <c r="C5871" s="1">
        <v>46001</v>
      </c>
      <c r="D5871">
        <f t="shared" si="772"/>
        <v>10</v>
      </c>
      <c r="E5871">
        <f t="shared" si="773"/>
        <v>12</v>
      </c>
      <c r="F5871">
        <f t="shared" si="774"/>
        <v>2025</v>
      </c>
      <c r="G5871" t="s">
        <v>97</v>
      </c>
      <c r="H5871" s="121">
        <v>13950</v>
      </c>
      <c r="I5871" s="91">
        <v>40106.580299999994</v>
      </c>
      <c r="J5871" s="12" t="s">
        <v>31</v>
      </c>
      <c r="K5871" s="94">
        <f t="shared" si="744"/>
        <v>40106.580299999994</v>
      </c>
      <c r="L5871">
        <v>1</v>
      </c>
      <c r="M5871" s="94">
        <v>0</v>
      </c>
      <c r="N5871" t="s">
        <v>32</v>
      </c>
      <c r="O5871" t="s">
        <v>33</v>
      </c>
      <c r="P5871" t="s">
        <v>34</v>
      </c>
      <c r="Q5871" t="s">
        <v>34</v>
      </c>
      <c r="R5871" t="s">
        <v>34</v>
      </c>
      <c r="S5871" t="s">
        <v>34</v>
      </c>
      <c r="T5871" s="117">
        <v>0</v>
      </c>
    </row>
    <row r="5872" spans="1:20" x14ac:dyDescent="0.35">
      <c r="A5872" t="s">
        <v>20</v>
      </c>
      <c r="B5872" t="s">
        <v>21</v>
      </c>
      <c r="C5872" s="1">
        <v>46001</v>
      </c>
      <c r="D5872">
        <f t="shared" si="772"/>
        <v>10</v>
      </c>
      <c r="E5872">
        <f t="shared" si="773"/>
        <v>12</v>
      </c>
      <c r="F5872">
        <f t="shared" si="774"/>
        <v>2025</v>
      </c>
      <c r="G5872" t="s">
        <v>97</v>
      </c>
      <c r="H5872" s="121">
        <v>13950</v>
      </c>
      <c r="I5872" s="91">
        <v>5901.48</v>
      </c>
      <c r="J5872" s="12" t="s">
        <v>31</v>
      </c>
      <c r="K5872" s="94">
        <f t="shared" si="744"/>
        <v>5901.48</v>
      </c>
      <c r="L5872">
        <v>1</v>
      </c>
      <c r="M5872" s="94">
        <v>0</v>
      </c>
      <c r="N5872" t="s">
        <v>32</v>
      </c>
      <c r="O5872" t="s">
        <v>33</v>
      </c>
      <c r="P5872" t="s">
        <v>34</v>
      </c>
      <c r="Q5872" t="s">
        <v>34</v>
      </c>
      <c r="R5872" t="s">
        <v>34</v>
      </c>
      <c r="S5872" t="s">
        <v>34</v>
      </c>
      <c r="T5872" s="117">
        <v>0</v>
      </c>
    </row>
    <row r="5873" spans="1:21" x14ac:dyDescent="0.35">
      <c r="A5873" t="s">
        <v>19</v>
      </c>
      <c r="B5873" t="s">
        <v>27</v>
      </c>
      <c r="C5873" s="1">
        <v>46001</v>
      </c>
      <c r="D5873">
        <f>DAY(C5873)</f>
        <v>10</v>
      </c>
      <c r="E5873">
        <f>MONTH(C5873)</f>
        <v>12</v>
      </c>
      <c r="F5873">
        <f>YEAR(C5873)</f>
        <v>2025</v>
      </c>
      <c r="G5873" t="s">
        <v>100</v>
      </c>
      <c r="H5873" s="121">
        <v>13388</v>
      </c>
      <c r="I5873" s="95">
        <v>182048.5</v>
      </c>
      <c r="J5873" s="12" t="s">
        <v>31</v>
      </c>
      <c r="K5873" s="94">
        <f t="shared" si="744"/>
        <v>182048.5</v>
      </c>
      <c r="L5873">
        <v>1</v>
      </c>
      <c r="M5873" s="94">
        <v>0</v>
      </c>
      <c r="N5873" t="s">
        <v>32</v>
      </c>
      <c r="O5873" t="s">
        <v>33</v>
      </c>
      <c r="P5873" t="s">
        <v>34</v>
      </c>
      <c r="Q5873" t="s">
        <v>34</v>
      </c>
      <c r="R5873" t="s">
        <v>34</v>
      </c>
      <c r="S5873" t="s">
        <v>34</v>
      </c>
      <c r="T5873" s="117">
        <v>0</v>
      </c>
      <c r="U5873" s="209" t="s">
        <v>501</v>
      </c>
    </row>
    <row r="5874" spans="1:21" x14ac:dyDescent="0.35">
      <c r="A5874" t="s">
        <v>19</v>
      </c>
      <c r="B5874" t="s">
        <v>26</v>
      </c>
      <c r="C5874" s="1">
        <v>46003</v>
      </c>
      <c r="D5874">
        <f t="shared" ref="D5874:D5880" si="775">DAY(C5874)</f>
        <v>12</v>
      </c>
      <c r="E5874">
        <f t="shared" ref="E5874:E5880" si="776">MONTH(C5874)</f>
        <v>12</v>
      </c>
      <c r="F5874">
        <f t="shared" ref="F5874:F5880" si="777">YEAR(C5874)</f>
        <v>2025</v>
      </c>
      <c r="G5874" s="6" t="s">
        <v>73</v>
      </c>
      <c r="H5874" s="121">
        <v>14318</v>
      </c>
      <c r="I5874" s="95">
        <v>74955.360000000001</v>
      </c>
      <c r="J5874" s="12" t="s">
        <v>51</v>
      </c>
      <c r="K5874" s="94">
        <f t="shared" si="744"/>
        <v>87997.592640000003</v>
      </c>
      <c r="L5874">
        <v>1.1739999999999999</v>
      </c>
      <c r="M5874" s="94">
        <v>0</v>
      </c>
      <c r="N5874" t="s">
        <v>42</v>
      </c>
      <c r="O5874" t="s">
        <v>33</v>
      </c>
      <c r="P5874" t="s">
        <v>34</v>
      </c>
      <c r="Q5874" t="s">
        <v>34</v>
      </c>
      <c r="R5874" t="s">
        <v>34</v>
      </c>
      <c r="S5874" t="s">
        <v>34</v>
      </c>
      <c r="T5874" s="117">
        <v>0</v>
      </c>
      <c r="U5874" s="209" t="s">
        <v>94</v>
      </c>
    </row>
    <row r="5875" spans="1:21" x14ac:dyDescent="0.35">
      <c r="A5875" t="s">
        <v>19</v>
      </c>
      <c r="B5875" t="s">
        <v>26</v>
      </c>
      <c r="C5875" s="1">
        <v>46003</v>
      </c>
      <c r="D5875">
        <f t="shared" si="775"/>
        <v>12</v>
      </c>
      <c r="E5875">
        <f t="shared" si="776"/>
        <v>12</v>
      </c>
      <c r="F5875">
        <f t="shared" si="777"/>
        <v>2025</v>
      </c>
      <c r="G5875" s="6" t="s">
        <v>73</v>
      </c>
      <c r="H5875" s="121">
        <v>14388</v>
      </c>
      <c r="I5875" s="95">
        <v>72339.350000000006</v>
      </c>
      <c r="J5875" s="12" t="s">
        <v>51</v>
      </c>
      <c r="K5875" s="94">
        <f t="shared" si="744"/>
        <v>84926.396900000007</v>
      </c>
      <c r="L5875">
        <v>1.1739999999999999</v>
      </c>
      <c r="M5875" s="94">
        <v>0</v>
      </c>
      <c r="N5875" t="s">
        <v>32</v>
      </c>
      <c r="O5875" t="s">
        <v>33</v>
      </c>
      <c r="P5875" t="s">
        <v>34</v>
      </c>
      <c r="Q5875" t="s">
        <v>34</v>
      </c>
      <c r="R5875" t="s">
        <v>34</v>
      </c>
      <c r="S5875" t="s">
        <v>34</v>
      </c>
      <c r="T5875" s="117">
        <v>0</v>
      </c>
      <c r="U5875" s="209" t="s">
        <v>94</v>
      </c>
    </row>
    <row r="5876" spans="1:21" x14ac:dyDescent="0.35">
      <c r="A5876" t="s">
        <v>19</v>
      </c>
      <c r="B5876" t="s">
        <v>26</v>
      </c>
      <c r="C5876" s="1">
        <v>46003</v>
      </c>
      <c r="D5876">
        <f t="shared" si="775"/>
        <v>12</v>
      </c>
      <c r="E5876">
        <f t="shared" si="776"/>
        <v>12</v>
      </c>
      <c r="F5876">
        <f t="shared" si="777"/>
        <v>2025</v>
      </c>
      <c r="G5876" s="6" t="s">
        <v>73</v>
      </c>
      <c r="H5876" s="121">
        <v>14392</v>
      </c>
      <c r="I5876" s="95">
        <v>77735.39</v>
      </c>
      <c r="J5876" s="12" t="s">
        <v>51</v>
      </c>
      <c r="K5876" s="94">
        <f t="shared" si="744"/>
        <v>91261.347859999994</v>
      </c>
      <c r="L5876">
        <v>1.1739999999999999</v>
      </c>
      <c r="M5876" s="94">
        <v>0</v>
      </c>
      <c r="N5876" t="s">
        <v>32</v>
      </c>
      <c r="O5876" t="s">
        <v>33</v>
      </c>
      <c r="P5876" t="s">
        <v>34</v>
      </c>
      <c r="Q5876" t="s">
        <v>34</v>
      </c>
      <c r="R5876" t="s">
        <v>34</v>
      </c>
      <c r="S5876" t="s">
        <v>34</v>
      </c>
      <c r="T5876" s="117">
        <v>0</v>
      </c>
      <c r="U5876" s="209" t="s">
        <v>94</v>
      </c>
    </row>
    <row r="5877" spans="1:21" x14ac:dyDescent="0.35">
      <c r="A5877" t="s">
        <v>19</v>
      </c>
      <c r="B5877" t="s">
        <v>26</v>
      </c>
      <c r="C5877" s="1">
        <v>46003</v>
      </c>
      <c r="D5877">
        <f t="shared" si="775"/>
        <v>12</v>
      </c>
      <c r="E5877">
        <f t="shared" si="776"/>
        <v>12</v>
      </c>
      <c r="F5877">
        <f t="shared" si="777"/>
        <v>2025</v>
      </c>
      <c r="G5877" s="6" t="s">
        <v>73</v>
      </c>
      <c r="H5877" s="121">
        <v>14393</v>
      </c>
      <c r="I5877" s="95">
        <v>112268.8</v>
      </c>
      <c r="J5877" s="12" t="s">
        <v>51</v>
      </c>
      <c r="K5877" s="94">
        <f t="shared" si="744"/>
        <v>131803.57120000001</v>
      </c>
      <c r="L5877">
        <v>1.1739999999999999</v>
      </c>
      <c r="M5877" s="94">
        <v>0</v>
      </c>
      <c r="N5877" t="s">
        <v>32</v>
      </c>
      <c r="O5877" t="s">
        <v>33</v>
      </c>
      <c r="P5877" t="s">
        <v>34</v>
      </c>
      <c r="Q5877" t="s">
        <v>34</v>
      </c>
      <c r="R5877" t="s">
        <v>34</v>
      </c>
      <c r="S5877" t="s">
        <v>34</v>
      </c>
      <c r="T5877" s="117">
        <v>0</v>
      </c>
      <c r="U5877" s="209" t="s">
        <v>94</v>
      </c>
    </row>
    <row r="5878" spans="1:21" x14ac:dyDescent="0.35">
      <c r="A5878" t="s">
        <v>19</v>
      </c>
      <c r="B5878" t="s">
        <v>26</v>
      </c>
      <c r="C5878" s="1">
        <v>46003</v>
      </c>
      <c r="D5878">
        <f t="shared" si="775"/>
        <v>12</v>
      </c>
      <c r="E5878">
        <f t="shared" si="776"/>
        <v>12</v>
      </c>
      <c r="F5878">
        <f t="shared" si="777"/>
        <v>2025</v>
      </c>
      <c r="G5878" s="6" t="s">
        <v>73</v>
      </c>
      <c r="H5878" s="121">
        <v>14024</v>
      </c>
      <c r="I5878" s="95">
        <v>2962.45</v>
      </c>
      <c r="J5878" s="12" t="s">
        <v>51</v>
      </c>
      <c r="K5878" s="94">
        <f t="shared" si="744"/>
        <v>3477.9162999999994</v>
      </c>
      <c r="L5878">
        <v>1.1739999999999999</v>
      </c>
      <c r="M5878" s="94">
        <v>0</v>
      </c>
      <c r="N5878" t="s">
        <v>32</v>
      </c>
      <c r="O5878" t="s">
        <v>33</v>
      </c>
      <c r="P5878" t="s">
        <v>34</v>
      </c>
      <c r="Q5878" t="s">
        <v>34</v>
      </c>
      <c r="R5878" t="s">
        <v>34</v>
      </c>
      <c r="S5878" t="s">
        <v>34</v>
      </c>
      <c r="T5878" s="117">
        <v>0</v>
      </c>
      <c r="U5878" s="209" t="s">
        <v>94</v>
      </c>
    </row>
    <row r="5879" spans="1:21" x14ac:dyDescent="0.35">
      <c r="A5879" t="s">
        <v>19</v>
      </c>
      <c r="B5879" t="s">
        <v>26</v>
      </c>
      <c r="C5879" s="1">
        <v>46003</v>
      </c>
      <c r="D5879">
        <f t="shared" si="775"/>
        <v>12</v>
      </c>
      <c r="E5879">
        <f t="shared" si="776"/>
        <v>12</v>
      </c>
      <c r="F5879">
        <f t="shared" si="777"/>
        <v>2025</v>
      </c>
      <c r="G5879" s="6" t="s">
        <v>1556</v>
      </c>
      <c r="H5879" s="234">
        <f>L5879*M5874</f>
        <v>0</v>
      </c>
      <c r="I5879" s="95">
        <v>777.52</v>
      </c>
      <c r="J5879" s="12" t="s">
        <v>51</v>
      </c>
      <c r="K5879" s="94">
        <f t="shared" si="744"/>
        <v>912.80847999999992</v>
      </c>
      <c r="L5879">
        <v>1.1739999999999999</v>
      </c>
      <c r="M5879" s="94">
        <v>0</v>
      </c>
      <c r="N5879" t="s">
        <v>32</v>
      </c>
      <c r="O5879" t="s">
        <v>33</v>
      </c>
      <c r="P5879" t="s">
        <v>34</v>
      </c>
      <c r="Q5879" t="s">
        <v>34</v>
      </c>
      <c r="R5879" t="s">
        <v>34</v>
      </c>
      <c r="S5879" t="s">
        <v>34</v>
      </c>
      <c r="T5879" s="117">
        <v>0</v>
      </c>
      <c r="U5879" s="209" t="s">
        <v>1478</v>
      </c>
    </row>
    <row r="5880" spans="1:21" x14ac:dyDescent="0.35">
      <c r="A5880" t="s">
        <v>19</v>
      </c>
      <c r="B5880" t="s">
        <v>26</v>
      </c>
      <c r="C5880" s="1">
        <v>46003</v>
      </c>
      <c r="D5880">
        <f t="shared" si="775"/>
        <v>12</v>
      </c>
      <c r="E5880">
        <f t="shared" si="776"/>
        <v>12</v>
      </c>
      <c r="F5880">
        <f t="shared" si="777"/>
        <v>2025</v>
      </c>
      <c r="G5880" s="6" t="s">
        <v>1557</v>
      </c>
      <c r="H5880" s="234">
        <f>L5880*M5874</f>
        <v>0</v>
      </c>
      <c r="I5880" s="95">
        <v>12000</v>
      </c>
      <c r="J5880" s="12" t="s">
        <v>51</v>
      </c>
      <c r="K5880" s="94">
        <f t="shared" si="744"/>
        <v>14088</v>
      </c>
      <c r="L5880">
        <v>1.1739999999999999</v>
      </c>
      <c r="M5880" s="94">
        <v>0</v>
      </c>
      <c r="N5880" t="s">
        <v>32</v>
      </c>
      <c r="O5880" t="s">
        <v>33</v>
      </c>
      <c r="P5880" t="s">
        <v>34</v>
      </c>
      <c r="Q5880" t="s">
        <v>34</v>
      </c>
      <c r="R5880" t="s">
        <v>34</v>
      </c>
      <c r="S5880" t="s">
        <v>34</v>
      </c>
      <c r="T5880" s="117">
        <v>0</v>
      </c>
      <c r="U5880" s="209" t="s">
        <v>1558</v>
      </c>
    </row>
    <row r="5881" spans="1:21" x14ac:dyDescent="0.35">
      <c r="A5881" t="s">
        <v>19</v>
      </c>
      <c r="B5881" t="s">
        <v>19</v>
      </c>
      <c r="C5881" s="1">
        <v>46001</v>
      </c>
      <c r="D5881">
        <f>DAY(C5881)</f>
        <v>10</v>
      </c>
      <c r="E5881">
        <f>MONTH(C5881)</f>
        <v>12</v>
      </c>
      <c r="F5881">
        <f>YEAR(C5881)</f>
        <v>2025</v>
      </c>
      <c r="G5881" t="s">
        <v>523</v>
      </c>
      <c r="H5881" s="121" t="s">
        <v>1559</v>
      </c>
      <c r="I5881" s="15">
        <v>92409.75</v>
      </c>
      <c r="J5881" s="12" t="s">
        <v>31</v>
      </c>
      <c r="K5881" s="94">
        <f t="shared" si="744"/>
        <v>92409.75</v>
      </c>
      <c r="L5881">
        <v>1</v>
      </c>
      <c r="M5881" s="94">
        <v>0</v>
      </c>
      <c r="N5881" t="s">
        <v>32</v>
      </c>
      <c r="O5881" t="s">
        <v>33</v>
      </c>
      <c r="P5881" t="s">
        <v>34</v>
      </c>
      <c r="Q5881" t="s">
        <v>34</v>
      </c>
      <c r="R5881" t="s">
        <v>34</v>
      </c>
      <c r="S5881" t="s">
        <v>34</v>
      </c>
      <c r="T5881" s="117">
        <v>0</v>
      </c>
    </row>
    <row r="5882" spans="1:21" x14ac:dyDescent="0.35">
      <c r="A5882" t="s">
        <v>19</v>
      </c>
      <c r="B5882" t="s">
        <v>19</v>
      </c>
      <c r="C5882" s="1">
        <v>46001</v>
      </c>
      <c r="D5882">
        <f t="shared" ref="D5882:D5888" si="778">DAY(C5882)</f>
        <v>10</v>
      </c>
      <c r="E5882">
        <f t="shared" ref="E5882:E5888" si="779">MONTH(C5882)</f>
        <v>12</v>
      </c>
      <c r="F5882">
        <f t="shared" ref="F5882:F5888" si="780">YEAR(C5882)</f>
        <v>2025</v>
      </c>
      <c r="G5882" t="s">
        <v>118</v>
      </c>
      <c r="H5882" s="121" t="s">
        <v>1560</v>
      </c>
      <c r="I5882" s="15">
        <v>86115.65</v>
      </c>
      <c r="J5882" s="12" t="s">
        <v>31</v>
      </c>
      <c r="K5882" s="94">
        <f t="shared" ref="K5882:K5890" si="781">IF(J5882="USD",I5882,I5882*L5882)</f>
        <v>86115.65</v>
      </c>
      <c r="L5882">
        <v>1</v>
      </c>
      <c r="M5882" s="94">
        <v>0</v>
      </c>
      <c r="N5882" t="s">
        <v>32</v>
      </c>
      <c r="O5882" t="s">
        <v>33</v>
      </c>
      <c r="P5882" t="s">
        <v>34</v>
      </c>
      <c r="Q5882" t="s">
        <v>34</v>
      </c>
      <c r="R5882" t="s">
        <v>34</v>
      </c>
      <c r="S5882" t="s">
        <v>34</v>
      </c>
      <c r="T5882" s="117">
        <v>0</v>
      </c>
    </row>
    <row r="5883" spans="1:21" x14ac:dyDescent="0.35">
      <c r="A5883" t="s">
        <v>19</v>
      </c>
      <c r="B5883" t="s">
        <v>19</v>
      </c>
      <c r="C5883" s="1">
        <v>46001</v>
      </c>
      <c r="D5883">
        <f t="shared" si="778"/>
        <v>10</v>
      </c>
      <c r="E5883">
        <f t="shared" si="779"/>
        <v>12</v>
      </c>
      <c r="F5883">
        <f t="shared" si="780"/>
        <v>2025</v>
      </c>
      <c r="G5883" t="s">
        <v>55</v>
      </c>
      <c r="H5883" s="121" t="s">
        <v>1561</v>
      </c>
      <c r="I5883" s="15">
        <v>7847.13</v>
      </c>
      <c r="J5883" s="12" t="s">
        <v>31</v>
      </c>
      <c r="K5883" s="94">
        <f t="shared" si="781"/>
        <v>7847.13</v>
      </c>
      <c r="L5883">
        <v>1</v>
      </c>
      <c r="M5883" s="94">
        <v>0</v>
      </c>
      <c r="N5883" t="s">
        <v>32</v>
      </c>
      <c r="O5883" t="s">
        <v>33</v>
      </c>
      <c r="P5883" t="s">
        <v>34</v>
      </c>
      <c r="Q5883" t="s">
        <v>34</v>
      </c>
      <c r="R5883" t="s">
        <v>34</v>
      </c>
      <c r="S5883" t="s">
        <v>34</v>
      </c>
      <c r="T5883" s="117">
        <v>0</v>
      </c>
    </row>
    <row r="5884" spans="1:21" x14ac:dyDescent="0.35">
      <c r="A5884" t="s">
        <v>19</v>
      </c>
      <c r="B5884" t="s">
        <v>19</v>
      </c>
      <c r="C5884" s="1">
        <v>46001</v>
      </c>
      <c r="D5884">
        <f t="shared" si="778"/>
        <v>10</v>
      </c>
      <c r="E5884">
        <f t="shared" si="779"/>
        <v>12</v>
      </c>
      <c r="F5884">
        <f t="shared" si="780"/>
        <v>2025</v>
      </c>
      <c r="G5884" t="s">
        <v>1562</v>
      </c>
      <c r="H5884" s="121" t="s">
        <v>1563</v>
      </c>
      <c r="I5884" s="15">
        <v>2946.7</v>
      </c>
      <c r="J5884" s="12" t="s">
        <v>31</v>
      </c>
      <c r="K5884" s="94">
        <f t="shared" si="781"/>
        <v>2946.7</v>
      </c>
      <c r="L5884">
        <v>1</v>
      </c>
      <c r="M5884" s="94">
        <v>0</v>
      </c>
      <c r="N5884" t="s">
        <v>32</v>
      </c>
      <c r="O5884" t="s">
        <v>33</v>
      </c>
      <c r="P5884" t="s">
        <v>34</v>
      </c>
      <c r="Q5884" t="s">
        <v>34</v>
      </c>
      <c r="R5884" t="s">
        <v>34</v>
      </c>
      <c r="S5884" t="s">
        <v>34</v>
      </c>
      <c r="T5884" s="117">
        <v>0</v>
      </c>
    </row>
    <row r="5885" spans="1:21" x14ac:dyDescent="0.35">
      <c r="A5885" t="s">
        <v>19</v>
      </c>
      <c r="B5885" t="s">
        <v>19</v>
      </c>
      <c r="C5885" s="1">
        <v>46001</v>
      </c>
      <c r="D5885">
        <f t="shared" si="778"/>
        <v>10</v>
      </c>
      <c r="E5885">
        <f t="shared" si="779"/>
        <v>12</v>
      </c>
      <c r="F5885">
        <f t="shared" si="780"/>
        <v>2025</v>
      </c>
      <c r="G5885" t="s">
        <v>129</v>
      </c>
      <c r="H5885" s="121" t="s">
        <v>1564</v>
      </c>
      <c r="I5885" s="15">
        <v>87954.75</v>
      </c>
      <c r="J5885" s="12" t="s">
        <v>31</v>
      </c>
      <c r="K5885" s="94">
        <f t="shared" si="781"/>
        <v>87954.75</v>
      </c>
      <c r="L5885">
        <v>1</v>
      </c>
      <c r="M5885" s="94">
        <v>0</v>
      </c>
      <c r="N5885" t="s">
        <v>32</v>
      </c>
      <c r="O5885" t="s">
        <v>33</v>
      </c>
      <c r="P5885" t="s">
        <v>34</v>
      </c>
      <c r="Q5885" t="s">
        <v>34</v>
      </c>
      <c r="R5885" t="s">
        <v>34</v>
      </c>
      <c r="S5885" t="s">
        <v>34</v>
      </c>
      <c r="T5885" s="117">
        <v>0</v>
      </c>
    </row>
    <row r="5886" spans="1:21" x14ac:dyDescent="0.35">
      <c r="A5886" t="s">
        <v>19</v>
      </c>
      <c r="B5886" t="s">
        <v>19</v>
      </c>
      <c r="C5886" s="1">
        <v>46001</v>
      </c>
      <c r="D5886">
        <f t="shared" si="778"/>
        <v>10</v>
      </c>
      <c r="E5886">
        <f t="shared" si="779"/>
        <v>12</v>
      </c>
      <c r="F5886">
        <f t="shared" si="780"/>
        <v>2025</v>
      </c>
      <c r="G5886" t="s">
        <v>56</v>
      </c>
      <c r="H5886" s="121" t="s">
        <v>1565</v>
      </c>
      <c r="I5886" s="15">
        <v>176235.04</v>
      </c>
      <c r="J5886" s="12" t="s">
        <v>31</v>
      </c>
      <c r="K5886" s="94">
        <f t="shared" si="781"/>
        <v>176235.04</v>
      </c>
      <c r="L5886">
        <v>1</v>
      </c>
      <c r="M5886" s="94">
        <v>0</v>
      </c>
      <c r="N5886" t="s">
        <v>32</v>
      </c>
      <c r="O5886" t="s">
        <v>33</v>
      </c>
      <c r="P5886" t="s">
        <v>34</v>
      </c>
      <c r="Q5886" t="s">
        <v>34</v>
      </c>
      <c r="R5886" t="s">
        <v>34</v>
      </c>
      <c r="S5886" t="s">
        <v>34</v>
      </c>
      <c r="T5886" s="117">
        <v>0</v>
      </c>
    </row>
    <row r="5887" spans="1:21" x14ac:dyDescent="0.35">
      <c r="A5887" t="s">
        <v>19</v>
      </c>
      <c r="B5887" t="s">
        <v>19</v>
      </c>
      <c r="C5887" s="1">
        <v>46001</v>
      </c>
      <c r="D5887">
        <f t="shared" si="778"/>
        <v>10</v>
      </c>
      <c r="E5887">
        <f t="shared" si="779"/>
        <v>12</v>
      </c>
      <c r="F5887">
        <f t="shared" si="780"/>
        <v>2025</v>
      </c>
      <c r="G5887" t="s">
        <v>56</v>
      </c>
      <c r="H5887" s="121" t="s">
        <v>1566</v>
      </c>
      <c r="I5887" s="15">
        <v>69583.98</v>
      </c>
      <c r="J5887" s="12" t="s">
        <v>31</v>
      </c>
      <c r="K5887" s="94">
        <f t="shared" si="781"/>
        <v>69583.98</v>
      </c>
      <c r="L5887">
        <v>1</v>
      </c>
      <c r="M5887" s="94">
        <v>0</v>
      </c>
      <c r="N5887" t="s">
        <v>32</v>
      </c>
      <c r="O5887" t="s">
        <v>33</v>
      </c>
      <c r="P5887" t="s">
        <v>34</v>
      </c>
      <c r="Q5887" t="s">
        <v>34</v>
      </c>
      <c r="R5887" t="s">
        <v>34</v>
      </c>
      <c r="S5887" t="s">
        <v>34</v>
      </c>
      <c r="T5887" s="117">
        <v>0</v>
      </c>
    </row>
    <row r="5888" spans="1:21" x14ac:dyDescent="0.35">
      <c r="A5888" t="s">
        <v>19</v>
      </c>
      <c r="B5888" t="s">
        <v>19</v>
      </c>
      <c r="C5888" s="1">
        <v>46001</v>
      </c>
      <c r="D5888">
        <f t="shared" si="778"/>
        <v>10</v>
      </c>
      <c r="E5888">
        <f t="shared" si="779"/>
        <v>12</v>
      </c>
      <c r="F5888">
        <f t="shared" si="780"/>
        <v>2025</v>
      </c>
      <c r="G5888" t="s">
        <v>56</v>
      </c>
      <c r="H5888" s="121" t="s">
        <v>1491</v>
      </c>
      <c r="I5888" s="15">
        <v>4095.49</v>
      </c>
      <c r="J5888" s="12" t="s">
        <v>31</v>
      </c>
      <c r="K5888" s="94">
        <f t="shared" si="781"/>
        <v>4095.49</v>
      </c>
      <c r="L5888">
        <v>1</v>
      </c>
      <c r="M5888" s="94">
        <v>0</v>
      </c>
      <c r="N5888" t="s">
        <v>32</v>
      </c>
      <c r="O5888" t="s">
        <v>33</v>
      </c>
      <c r="P5888" t="s">
        <v>34</v>
      </c>
      <c r="Q5888" t="s">
        <v>34</v>
      </c>
      <c r="R5888" t="s">
        <v>34</v>
      </c>
      <c r="S5888" t="s">
        <v>34</v>
      </c>
      <c r="T5888" s="117">
        <v>0</v>
      </c>
    </row>
    <row r="5889" spans="1:20" x14ac:dyDescent="0.35">
      <c r="A5889" t="s">
        <v>19</v>
      </c>
      <c r="B5889" t="s">
        <v>19</v>
      </c>
      <c r="C5889" s="1">
        <v>46001</v>
      </c>
      <c r="D5889">
        <f t="shared" ref="D5889:D5890" si="782">DAY(C5889)</f>
        <v>10</v>
      </c>
      <c r="E5889">
        <f t="shared" ref="E5889:E5890" si="783">MONTH(C5889)</f>
        <v>12</v>
      </c>
      <c r="F5889">
        <f t="shared" ref="F5889:F5890" si="784">YEAR(C5889)</f>
        <v>2025</v>
      </c>
      <c r="G5889" t="s">
        <v>106</v>
      </c>
      <c r="H5889" s="121" t="s">
        <v>1567</v>
      </c>
      <c r="I5889" s="15">
        <v>204319.37</v>
      </c>
      <c r="J5889" s="12" t="s">
        <v>31</v>
      </c>
      <c r="K5889" s="94">
        <f t="shared" si="781"/>
        <v>204319.37</v>
      </c>
      <c r="L5889">
        <v>1</v>
      </c>
      <c r="M5889" s="94">
        <v>0</v>
      </c>
      <c r="N5889" t="s">
        <v>32</v>
      </c>
      <c r="O5889" t="s">
        <v>33</v>
      </c>
      <c r="P5889" t="s">
        <v>34</v>
      </c>
      <c r="Q5889" t="s">
        <v>34</v>
      </c>
      <c r="R5889" t="s">
        <v>34</v>
      </c>
      <c r="S5889" t="s">
        <v>34</v>
      </c>
      <c r="T5889" s="117">
        <v>0</v>
      </c>
    </row>
    <row r="5890" spans="1:20" x14ac:dyDescent="0.35">
      <c r="A5890" t="s">
        <v>19</v>
      </c>
      <c r="B5890" t="s">
        <v>19</v>
      </c>
      <c r="C5890" s="1">
        <v>46001</v>
      </c>
      <c r="D5890">
        <f t="shared" si="782"/>
        <v>10</v>
      </c>
      <c r="E5890">
        <f t="shared" si="783"/>
        <v>12</v>
      </c>
      <c r="F5890">
        <f t="shared" si="784"/>
        <v>2025</v>
      </c>
      <c r="G5890" t="s">
        <v>1568</v>
      </c>
      <c r="H5890" s="121">
        <v>0</v>
      </c>
      <c r="I5890" s="15">
        <v>19725</v>
      </c>
      <c r="J5890" s="12" t="s">
        <v>31</v>
      </c>
      <c r="K5890" s="94">
        <f t="shared" si="781"/>
        <v>19725</v>
      </c>
      <c r="L5890">
        <v>1</v>
      </c>
      <c r="M5890" s="94">
        <v>0</v>
      </c>
      <c r="N5890" t="s">
        <v>32</v>
      </c>
      <c r="O5890" t="s">
        <v>33</v>
      </c>
      <c r="P5890" t="s">
        <v>34</v>
      </c>
      <c r="Q5890" t="s">
        <v>34</v>
      </c>
      <c r="R5890" t="s">
        <v>34</v>
      </c>
      <c r="S5890" t="s">
        <v>34</v>
      </c>
      <c r="T5890" s="117">
        <v>0</v>
      </c>
    </row>
    <row r="5891" spans="1:20" x14ac:dyDescent="0.35">
      <c r="A5891" t="s">
        <v>19</v>
      </c>
      <c r="B5891" t="s">
        <v>19</v>
      </c>
      <c r="C5891" s="1">
        <v>46001</v>
      </c>
      <c r="D5891">
        <f>DAY(C5891)</f>
        <v>10</v>
      </c>
      <c r="E5891">
        <f>MONTH(C5891)</f>
        <v>12</v>
      </c>
      <c r="F5891">
        <f>YEAR(C5891)</f>
        <v>2025</v>
      </c>
      <c r="G5891" t="s">
        <v>44</v>
      </c>
      <c r="H5891" s="121" t="s">
        <v>1569</v>
      </c>
      <c r="I5891" s="15">
        <v>6152.01</v>
      </c>
      <c r="J5891" s="12" t="s">
        <v>31</v>
      </c>
      <c r="K5891" s="94">
        <f t="shared" ref="K5891:K5958" si="785">IF(J5891="USD",I5891,I5891*L5891)</f>
        <v>6152.01</v>
      </c>
      <c r="L5891">
        <v>1</v>
      </c>
      <c r="M5891" s="94">
        <v>0</v>
      </c>
      <c r="N5891" t="s">
        <v>32</v>
      </c>
      <c r="O5891" t="s">
        <v>33</v>
      </c>
      <c r="P5891" t="s">
        <v>34</v>
      </c>
      <c r="Q5891" t="s">
        <v>34</v>
      </c>
      <c r="R5891" t="s">
        <v>34</v>
      </c>
      <c r="S5891" t="s">
        <v>34</v>
      </c>
      <c r="T5891" s="117">
        <v>0</v>
      </c>
    </row>
    <row r="5892" spans="1:20" x14ac:dyDescent="0.35">
      <c r="A5892" t="s">
        <v>19</v>
      </c>
      <c r="B5892" t="s">
        <v>21</v>
      </c>
      <c r="C5892" s="1">
        <v>46008</v>
      </c>
      <c r="D5892">
        <f>DAY(C5892)</f>
        <v>17</v>
      </c>
      <c r="E5892">
        <f>MONTH(C5892)</f>
        <v>12</v>
      </c>
      <c r="F5892">
        <f>YEAR(C5892)</f>
        <v>2025</v>
      </c>
      <c r="G5892" t="s">
        <v>1517</v>
      </c>
      <c r="H5892" s="121">
        <v>13149</v>
      </c>
      <c r="I5892" s="15">
        <v>952.8</v>
      </c>
      <c r="J5892" s="12" t="s">
        <v>31</v>
      </c>
      <c r="K5892" s="94">
        <f t="shared" si="785"/>
        <v>952.8</v>
      </c>
      <c r="L5892">
        <v>1</v>
      </c>
      <c r="M5892" s="94">
        <v>0</v>
      </c>
      <c r="N5892" t="s">
        <v>32</v>
      </c>
      <c r="O5892" t="s">
        <v>33</v>
      </c>
      <c r="P5892" t="s">
        <v>34</v>
      </c>
      <c r="Q5892" t="s">
        <v>34</v>
      </c>
      <c r="R5892" t="s">
        <v>34</v>
      </c>
      <c r="S5892" t="s">
        <v>34</v>
      </c>
      <c r="T5892" s="117">
        <v>0</v>
      </c>
    </row>
    <row r="5893" spans="1:20" x14ac:dyDescent="0.35">
      <c r="A5893" t="s">
        <v>19</v>
      </c>
      <c r="B5893" t="s">
        <v>23</v>
      </c>
      <c r="C5893" s="1">
        <v>46008</v>
      </c>
      <c r="D5893">
        <f t="shared" ref="D5893:D5903" si="786">DAY(C5893)</f>
        <v>17</v>
      </c>
      <c r="E5893">
        <f t="shared" ref="E5893:E5903" si="787">MONTH(C5893)</f>
        <v>12</v>
      </c>
      <c r="F5893">
        <f t="shared" ref="F5893:F5903" si="788">YEAR(C5893)</f>
        <v>2025</v>
      </c>
      <c r="G5893" t="s">
        <v>77</v>
      </c>
      <c r="H5893" s="121">
        <v>14025</v>
      </c>
      <c r="I5893" s="15">
        <v>24878.639999999999</v>
      </c>
      <c r="J5893" s="12" t="s">
        <v>31</v>
      </c>
      <c r="K5893" s="94">
        <f t="shared" si="785"/>
        <v>24878.639999999999</v>
      </c>
      <c r="L5893">
        <v>1</v>
      </c>
      <c r="M5893" s="94">
        <v>0</v>
      </c>
      <c r="N5893" t="s">
        <v>32</v>
      </c>
      <c r="O5893" t="s">
        <v>33</v>
      </c>
      <c r="P5893" t="s">
        <v>34</v>
      </c>
      <c r="Q5893" t="s">
        <v>34</v>
      </c>
      <c r="R5893" t="s">
        <v>34</v>
      </c>
      <c r="S5893" t="s">
        <v>34</v>
      </c>
      <c r="T5893" s="117">
        <v>0</v>
      </c>
    </row>
    <row r="5894" spans="1:20" x14ac:dyDescent="0.35">
      <c r="A5894" t="s">
        <v>19</v>
      </c>
      <c r="B5894" t="s">
        <v>23</v>
      </c>
      <c r="C5894" s="1">
        <v>46008</v>
      </c>
      <c r="D5894">
        <f t="shared" si="786"/>
        <v>17</v>
      </c>
      <c r="E5894">
        <f t="shared" si="787"/>
        <v>12</v>
      </c>
      <c r="F5894">
        <f t="shared" si="788"/>
        <v>2025</v>
      </c>
      <c r="G5894" t="s">
        <v>76</v>
      </c>
      <c r="H5894" s="121">
        <v>14009</v>
      </c>
      <c r="I5894" s="15">
        <v>115310</v>
      </c>
      <c r="J5894" s="12" t="s">
        <v>31</v>
      </c>
      <c r="K5894" s="94">
        <f t="shared" si="785"/>
        <v>115310</v>
      </c>
      <c r="L5894">
        <v>1</v>
      </c>
      <c r="M5894" s="94">
        <v>0</v>
      </c>
      <c r="N5894" t="s">
        <v>32</v>
      </c>
      <c r="O5894" t="s">
        <v>33</v>
      </c>
      <c r="P5894" t="s">
        <v>34</v>
      </c>
      <c r="Q5894" t="s">
        <v>34</v>
      </c>
      <c r="R5894" t="s">
        <v>34</v>
      </c>
      <c r="S5894" t="s">
        <v>34</v>
      </c>
      <c r="T5894" s="117">
        <v>0</v>
      </c>
    </row>
    <row r="5895" spans="1:20" x14ac:dyDescent="0.35">
      <c r="A5895" t="s">
        <v>19</v>
      </c>
      <c r="B5895" t="s">
        <v>21</v>
      </c>
      <c r="C5895" s="1">
        <v>46008</v>
      </c>
      <c r="D5895">
        <f t="shared" si="786"/>
        <v>17</v>
      </c>
      <c r="E5895">
        <f t="shared" si="787"/>
        <v>12</v>
      </c>
      <c r="F5895">
        <f t="shared" si="788"/>
        <v>2025</v>
      </c>
      <c r="G5895" t="s">
        <v>76</v>
      </c>
      <c r="H5895" s="121">
        <v>14009</v>
      </c>
      <c r="I5895" s="15">
        <v>38379.26</v>
      </c>
      <c r="J5895" s="12" t="s">
        <v>31</v>
      </c>
      <c r="K5895" s="94">
        <f t="shared" si="785"/>
        <v>38379.26</v>
      </c>
      <c r="L5895">
        <v>1</v>
      </c>
      <c r="M5895" s="94">
        <v>0</v>
      </c>
      <c r="N5895" t="s">
        <v>32</v>
      </c>
      <c r="O5895" t="s">
        <v>33</v>
      </c>
      <c r="P5895" t="s">
        <v>34</v>
      </c>
      <c r="Q5895" t="s">
        <v>34</v>
      </c>
      <c r="R5895" t="s">
        <v>34</v>
      </c>
      <c r="S5895" t="s">
        <v>34</v>
      </c>
      <c r="T5895" s="117">
        <v>0</v>
      </c>
    </row>
    <row r="5896" spans="1:20" x14ac:dyDescent="0.35">
      <c r="A5896" t="s">
        <v>20</v>
      </c>
      <c r="B5896" t="s">
        <v>1489</v>
      </c>
      <c r="C5896" s="1">
        <v>46008</v>
      </c>
      <c r="D5896">
        <f t="shared" si="786"/>
        <v>17</v>
      </c>
      <c r="E5896">
        <f t="shared" si="787"/>
        <v>12</v>
      </c>
      <c r="F5896">
        <f t="shared" si="788"/>
        <v>2025</v>
      </c>
      <c r="G5896" t="s">
        <v>98</v>
      </c>
      <c r="H5896" s="121">
        <v>13152</v>
      </c>
      <c r="I5896" s="15">
        <v>30150.26</v>
      </c>
      <c r="J5896" s="12" t="s">
        <v>31</v>
      </c>
      <c r="K5896" s="94">
        <f t="shared" si="785"/>
        <v>30150.26</v>
      </c>
      <c r="L5896">
        <v>1</v>
      </c>
      <c r="M5896" s="94">
        <v>0</v>
      </c>
      <c r="N5896" t="s">
        <v>32</v>
      </c>
      <c r="O5896" t="s">
        <v>33</v>
      </c>
      <c r="P5896" t="s">
        <v>34</v>
      </c>
      <c r="Q5896" t="s">
        <v>34</v>
      </c>
      <c r="R5896" t="s">
        <v>34</v>
      </c>
      <c r="S5896" t="s">
        <v>34</v>
      </c>
      <c r="T5896" s="117">
        <v>0</v>
      </c>
    </row>
    <row r="5897" spans="1:20" x14ac:dyDescent="0.35">
      <c r="A5897" t="s">
        <v>20</v>
      </c>
      <c r="B5897" t="s">
        <v>25</v>
      </c>
      <c r="C5897" s="1">
        <v>46008</v>
      </c>
      <c r="D5897">
        <f t="shared" si="786"/>
        <v>17</v>
      </c>
      <c r="E5897">
        <f t="shared" si="787"/>
        <v>12</v>
      </c>
      <c r="F5897">
        <f t="shared" si="788"/>
        <v>2025</v>
      </c>
      <c r="G5897" s="227" t="s">
        <v>1146</v>
      </c>
      <c r="H5897" s="121">
        <v>13752</v>
      </c>
      <c r="I5897" s="15">
        <v>392</v>
      </c>
      <c r="J5897" s="12" t="s">
        <v>51</v>
      </c>
      <c r="K5897" s="94">
        <f t="shared" si="785"/>
        <v>461.54012330456294</v>
      </c>
      <c r="L5897">
        <v>1.1773982737361299</v>
      </c>
      <c r="M5897" s="94">
        <v>0</v>
      </c>
      <c r="N5897" t="s">
        <v>32</v>
      </c>
      <c r="O5897" t="s">
        <v>33</v>
      </c>
      <c r="P5897" t="s">
        <v>34</v>
      </c>
      <c r="Q5897" t="s">
        <v>34</v>
      </c>
      <c r="R5897" t="s">
        <v>34</v>
      </c>
      <c r="S5897" t="s">
        <v>34</v>
      </c>
      <c r="T5897" s="117">
        <v>0</v>
      </c>
    </row>
    <row r="5898" spans="1:20" x14ac:dyDescent="0.35">
      <c r="A5898" t="s">
        <v>20</v>
      </c>
      <c r="B5898" t="s">
        <v>25</v>
      </c>
      <c r="C5898" s="1">
        <v>46008</v>
      </c>
      <c r="D5898">
        <f t="shared" si="786"/>
        <v>17</v>
      </c>
      <c r="E5898">
        <f t="shared" si="787"/>
        <v>12</v>
      </c>
      <c r="F5898">
        <f t="shared" si="788"/>
        <v>2025</v>
      </c>
      <c r="G5898" s="4" t="s">
        <v>1146</v>
      </c>
      <c r="H5898" s="121">
        <v>14226</v>
      </c>
      <c r="I5898" s="15">
        <v>419</v>
      </c>
      <c r="J5898" s="12" t="s">
        <v>51</v>
      </c>
      <c r="K5898" s="94">
        <f t="shared" si="785"/>
        <v>493.32987669543843</v>
      </c>
      <c r="L5898">
        <v>1.1773982737361299</v>
      </c>
      <c r="M5898" s="94">
        <v>0</v>
      </c>
      <c r="N5898" t="s">
        <v>32</v>
      </c>
      <c r="O5898" t="s">
        <v>33</v>
      </c>
      <c r="P5898" t="s">
        <v>34</v>
      </c>
      <c r="Q5898" t="s">
        <v>34</v>
      </c>
      <c r="R5898" t="s">
        <v>34</v>
      </c>
      <c r="S5898" t="s">
        <v>34</v>
      </c>
      <c r="T5898" s="117">
        <v>0</v>
      </c>
    </row>
    <row r="5899" spans="1:20" x14ac:dyDescent="0.35">
      <c r="A5899" t="s">
        <v>20</v>
      </c>
      <c r="B5899" t="s">
        <v>21</v>
      </c>
      <c r="C5899" s="1">
        <v>46008</v>
      </c>
      <c r="D5899">
        <f t="shared" si="786"/>
        <v>17</v>
      </c>
      <c r="E5899">
        <f t="shared" si="787"/>
        <v>12</v>
      </c>
      <c r="F5899">
        <f t="shared" si="788"/>
        <v>2025</v>
      </c>
      <c r="G5899" s="4" t="s">
        <v>36</v>
      </c>
      <c r="H5899" s="121">
        <v>12953</v>
      </c>
      <c r="I5899" s="15">
        <v>12895</v>
      </c>
      <c r="J5899" s="12" t="s">
        <v>31</v>
      </c>
      <c r="K5899" s="94">
        <f t="shared" si="785"/>
        <v>12895</v>
      </c>
      <c r="L5899">
        <v>1</v>
      </c>
      <c r="M5899" s="94">
        <v>0</v>
      </c>
      <c r="N5899" t="s">
        <v>32</v>
      </c>
      <c r="O5899" t="s">
        <v>33</v>
      </c>
      <c r="P5899" t="s">
        <v>34</v>
      </c>
      <c r="Q5899" t="s">
        <v>34</v>
      </c>
      <c r="R5899" t="s">
        <v>34</v>
      </c>
      <c r="S5899" t="s">
        <v>34</v>
      </c>
      <c r="T5899" s="117">
        <v>0</v>
      </c>
    </row>
    <row r="5900" spans="1:20" x14ac:dyDescent="0.35">
      <c r="A5900" t="s">
        <v>20</v>
      </c>
      <c r="B5900" t="s">
        <v>25</v>
      </c>
      <c r="C5900" s="1">
        <v>46008</v>
      </c>
      <c r="D5900">
        <f t="shared" si="786"/>
        <v>17</v>
      </c>
      <c r="E5900">
        <f t="shared" si="787"/>
        <v>12</v>
      </c>
      <c r="F5900">
        <f t="shared" si="788"/>
        <v>2025</v>
      </c>
      <c r="G5900" s="4" t="s">
        <v>36</v>
      </c>
      <c r="H5900" s="121">
        <v>13836</v>
      </c>
      <c r="I5900" s="15">
        <v>23625</v>
      </c>
      <c r="J5900" s="12" t="s">
        <v>31</v>
      </c>
      <c r="K5900" s="94">
        <f t="shared" si="785"/>
        <v>23625</v>
      </c>
      <c r="L5900">
        <v>1</v>
      </c>
      <c r="M5900" s="94">
        <v>0</v>
      </c>
      <c r="N5900" t="s">
        <v>32</v>
      </c>
      <c r="O5900" t="s">
        <v>33</v>
      </c>
      <c r="P5900" t="s">
        <v>34</v>
      </c>
      <c r="Q5900" t="s">
        <v>34</v>
      </c>
      <c r="R5900" t="s">
        <v>34</v>
      </c>
      <c r="S5900" t="s">
        <v>34</v>
      </c>
      <c r="T5900" s="117">
        <v>0</v>
      </c>
    </row>
    <row r="5901" spans="1:20" x14ac:dyDescent="0.35">
      <c r="A5901" t="s">
        <v>20</v>
      </c>
      <c r="B5901" t="s">
        <v>25</v>
      </c>
      <c r="C5901" s="1">
        <v>46008</v>
      </c>
      <c r="D5901">
        <f t="shared" si="786"/>
        <v>17</v>
      </c>
      <c r="E5901">
        <f t="shared" si="787"/>
        <v>12</v>
      </c>
      <c r="F5901">
        <f t="shared" si="788"/>
        <v>2025</v>
      </c>
      <c r="G5901" s="4" t="s">
        <v>36</v>
      </c>
      <c r="H5901" s="121">
        <v>13998</v>
      </c>
      <c r="I5901" s="15">
        <v>109.77</v>
      </c>
      <c r="J5901" s="12" t="s">
        <v>31</v>
      </c>
      <c r="K5901" s="94">
        <f t="shared" si="785"/>
        <v>109.77</v>
      </c>
      <c r="L5901">
        <v>1</v>
      </c>
      <c r="M5901" s="94">
        <v>0</v>
      </c>
      <c r="N5901" t="s">
        <v>32</v>
      </c>
      <c r="O5901" t="s">
        <v>33</v>
      </c>
      <c r="P5901" t="s">
        <v>34</v>
      </c>
      <c r="Q5901" t="s">
        <v>34</v>
      </c>
      <c r="R5901" t="s">
        <v>34</v>
      </c>
      <c r="S5901" t="s">
        <v>34</v>
      </c>
      <c r="T5901" s="117">
        <v>0</v>
      </c>
    </row>
    <row r="5902" spans="1:20" x14ac:dyDescent="0.35">
      <c r="A5902" t="s">
        <v>20</v>
      </c>
      <c r="B5902" t="s">
        <v>21</v>
      </c>
      <c r="C5902" s="1">
        <v>46008</v>
      </c>
      <c r="D5902">
        <f t="shared" si="786"/>
        <v>17</v>
      </c>
      <c r="E5902">
        <f t="shared" si="787"/>
        <v>12</v>
      </c>
      <c r="F5902">
        <f t="shared" si="788"/>
        <v>2025</v>
      </c>
      <c r="G5902" s="4" t="s">
        <v>39</v>
      </c>
      <c r="H5902" s="121">
        <v>14104</v>
      </c>
      <c r="I5902" s="15">
        <v>19.2</v>
      </c>
      <c r="J5902" s="12" t="s">
        <v>31</v>
      </c>
      <c r="K5902" s="94">
        <f t="shared" si="785"/>
        <v>19.2</v>
      </c>
      <c r="L5902">
        <v>1</v>
      </c>
      <c r="M5902" s="94">
        <v>0</v>
      </c>
      <c r="N5902" t="s">
        <v>32</v>
      </c>
      <c r="O5902" t="s">
        <v>33</v>
      </c>
      <c r="P5902" t="s">
        <v>34</v>
      </c>
      <c r="Q5902" t="s">
        <v>34</v>
      </c>
      <c r="R5902" t="s">
        <v>34</v>
      </c>
      <c r="S5902" t="s">
        <v>34</v>
      </c>
      <c r="T5902" s="117">
        <v>0</v>
      </c>
    </row>
    <row r="5903" spans="1:20" x14ac:dyDescent="0.35">
      <c r="A5903" t="s">
        <v>20</v>
      </c>
      <c r="B5903" t="s">
        <v>24</v>
      </c>
      <c r="C5903" s="1">
        <v>46008</v>
      </c>
      <c r="D5903">
        <f t="shared" si="786"/>
        <v>17</v>
      </c>
      <c r="E5903">
        <f t="shared" si="787"/>
        <v>12</v>
      </c>
      <c r="F5903">
        <f t="shared" si="788"/>
        <v>2025</v>
      </c>
      <c r="G5903" s="4" t="s">
        <v>39</v>
      </c>
      <c r="H5903" s="121">
        <v>14307</v>
      </c>
      <c r="I5903" s="15">
        <v>152.19999999999999</v>
      </c>
      <c r="J5903" s="12" t="s">
        <v>31</v>
      </c>
      <c r="K5903" s="94">
        <f t="shared" si="785"/>
        <v>152.19999999999999</v>
      </c>
      <c r="L5903">
        <v>1</v>
      </c>
      <c r="M5903" s="94">
        <v>0</v>
      </c>
      <c r="N5903" t="s">
        <v>32</v>
      </c>
      <c r="O5903" t="s">
        <v>33</v>
      </c>
      <c r="P5903" t="s">
        <v>34</v>
      </c>
      <c r="Q5903" t="s">
        <v>34</v>
      </c>
      <c r="R5903" t="s">
        <v>34</v>
      </c>
      <c r="S5903" t="s">
        <v>34</v>
      </c>
      <c r="T5903" s="117">
        <v>0</v>
      </c>
    </row>
    <row r="5904" spans="1:20" x14ac:dyDescent="0.35">
      <c r="A5904" t="s">
        <v>20</v>
      </c>
      <c r="B5904" t="s">
        <v>25</v>
      </c>
      <c r="C5904" s="1">
        <v>46008</v>
      </c>
      <c r="D5904">
        <f>DAY(C5904)</f>
        <v>17</v>
      </c>
      <c r="E5904">
        <f>MONTH(C5904)</f>
        <v>12</v>
      </c>
      <c r="F5904">
        <f>YEAR(C5904)</f>
        <v>2025</v>
      </c>
      <c r="G5904" s="228" t="s">
        <v>80</v>
      </c>
      <c r="H5904" s="121">
        <v>12536</v>
      </c>
      <c r="I5904" s="15">
        <v>7236.5</v>
      </c>
      <c r="J5904" s="12" t="s">
        <v>31</v>
      </c>
      <c r="K5904" s="94">
        <f t="shared" si="785"/>
        <v>7236.5</v>
      </c>
      <c r="L5904">
        <v>1</v>
      </c>
      <c r="M5904" s="94">
        <v>0</v>
      </c>
      <c r="N5904" t="s">
        <v>32</v>
      </c>
      <c r="O5904" t="s">
        <v>33</v>
      </c>
      <c r="P5904" t="s">
        <v>34</v>
      </c>
      <c r="Q5904" t="s">
        <v>34</v>
      </c>
      <c r="R5904" t="s">
        <v>34</v>
      </c>
      <c r="S5904" t="s">
        <v>34</v>
      </c>
      <c r="T5904" s="117">
        <v>0</v>
      </c>
    </row>
    <row r="5905" spans="1:20" x14ac:dyDescent="0.35">
      <c r="A5905" t="s">
        <v>20</v>
      </c>
      <c r="B5905" t="s">
        <v>25</v>
      </c>
      <c r="C5905" s="1">
        <v>46008</v>
      </c>
      <c r="D5905">
        <f t="shared" ref="D5905:D5906" si="789">DAY(C5905)</f>
        <v>17</v>
      </c>
      <c r="E5905">
        <f t="shared" ref="E5905:E5906" si="790">MONTH(C5905)</f>
        <v>12</v>
      </c>
      <c r="F5905">
        <f t="shared" ref="F5905:F5906" si="791">YEAR(C5905)</f>
        <v>2025</v>
      </c>
      <c r="G5905" s="4" t="s">
        <v>38</v>
      </c>
      <c r="H5905" s="121">
        <v>13638</v>
      </c>
      <c r="I5905" s="15">
        <v>314.91000000000003</v>
      </c>
      <c r="J5905" s="12" t="s">
        <v>31</v>
      </c>
      <c r="K5905" s="94">
        <f t="shared" si="785"/>
        <v>314.91000000000003</v>
      </c>
      <c r="L5905">
        <v>1</v>
      </c>
      <c r="M5905" s="94">
        <v>0</v>
      </c>
      <c r="N5905" t="s">
        <v>32</v>
      </c>
      <c r="O5905" t="s">
        <v>33</v>
      </c>
      <c r="P5905" t="s">
        <v>34</v>
      </c>
      <c r="Q5905" t="s">
        <v>34</v>
      </c>
      <c r="R5905" t="s">
        <v>34</v>
      </c>
      <c r="S5905" t="s">
        <v>34</v>
      </c>
      <c r="T5905" s="117">
        <v>0</v>
      </c>
    </row>
    <row r="5906" spans="1:20" x14ac:dyDescent="0.35">
      <c r="A5906" t="s">
        <v>20</v>
      </c>
      <c r="B5906" t="s">
        <v>25</v>
      </c>
      <c r="C5906" s="1">
        <v>46008</v>
      </c>
      <c r="D5906">
        <f t="shared" si="789"/>
        <v>17</v>
      </c>
      <c r="E5906">
        <f t="shared" si="790"/>
        <v>12</v>
      </c>
      <c r="F5906">
        <f t="shared" si="791"/>
        <v>2025</v>
      </c>
      <c r="G5906" s="228" t="s">
        <v>38</v>
      </c>
      <c r="H5906" s="121">
        <v>14146</v>
      </c>
      <c r="I5906" s="15">
        <v>207.56</v>
      </c>
      <c r="J5906" s="12" t="s">
        <v>31</v>
      </c>
      <c r="K5906" s="94">
        <f t="shared" si="785"/>
        <v>207.56</v>
      </c>
      <c r="L5906">
        <v>1</v>
      </c>
      <c r="M5906" s="94">
        <v>0</v>
      </c>
      <c r="N5906" t="s">
        <v>32</v>
      </c>
      <c r="O5906" t="s">
        <v>33</v>
      </c>
      <c r="P5906" t="s">
        <v>34</v>
      </c>
      <c r="Q5906" t="s">
        <v>34</v>
      </c>
      <c r="R5906" t="s">
        <v>34</v>
      </c>
      <c r="S5906" t="s">
        <v>34</v>
      </c>
      <c r="T5906" s="117">
        <v>0</v>
      </c>
    </row>
    <row r="5907" spans="1:20" x14ac:dyDescent="0.35">
      <c r="A5907" t="s">
        <v>20</v>
      </c>
      <c r="B5907" t="s">
        <v>25</v>
      </c>
      <c r="C5907" s="1">
        <v>46008</v>
      </c>
      <c r="D5907">
        <f t="shared" ref="D5907:D5910" si="792">DAY(C5907)</f>
        <v>17</v>
      </c>
      <c r="E5907">
        <f t="shared" ref="E5907:E5910" si="793">MONTH(C5907)</f>
        <v>12</v>
      </c>
      <c r="F5907">
        <f t="shared" ref="F5907:F5910" si="794">YEAR(C5907)</f>
        <v>2025</v>
      </c>
      <c r="G5907" s="4" t="s">
        <v>93</v>
      </c>
      <c r="H5907" s="121">
        <v>13633</v>
      </c>
      <c r="I5907" s="15">
        <v>774</v>
      </c>
      <c r="J5907" s="12" t="s">
        <v>31</v>
      </c>
      <c r="K5907" s="94">
        <f t="shared" si="785"/>
        <v>774</v>
      </c>
      <c r="L5907">
        <v>1</v>
      </c>
      <c r="M5907" s="94">
        <v>0</v>
      </c>
      <c r="N5907" t="s">
        <v>32</v>
      </c>
      <c r="O5907" t="s">
        <v>33</v>
      </c>
      <c r="P5907" t="s">
        <v>34</v>
      </c>
      <c r="Q5907" t="s">
        <v>34</v>
      </c>
      <c r="R5907" t="s">
        <v>34</v>
      </c>
      <c r="S5907" t="s">
        <v>34</v>
      </c>
      <c r="T5907" s="117">
        <v>0</v>
      </c>
    </row>
    <row r="5908" spans="1:20" x14ac:dyDescent="0.35">
      <c r="A5908" t="s">
        <v>20</v>
      </c>
      <c r="B5908" t="s">
        <v>25</v>
      </c>
      <c r="C5908" s="1">
        <v>46008</v>
      </c>
      <c r="D5908">
        <f t="shared" si="792"/>
        <v>17</v>
      </c>
      <c r="E5908">
        <f t="shared" si="793"/>
        <v>12</v>
      </c>
      <c r="F5908">
        <f t="shared" si="794"/>
        <v>2025</v>
      </c>
      <c r="G5908" s="4" t="s">
        <v>93</v>
      </c>
      <c r="H5908" s="121">
        <v>13635</v>
      </c>
      <c r="I5908" s="15">
        <v>176279</v>
      </c>
      <c r="J5908" s="12" t="s">
        <v>31</v>
      </c>
      <c r="K5908" s="94">
        <f t="shared" si="785"/>
        <v>176279</v>
      </c>
      <c r="L5908">
        <v>1</v>
      </c>
      <c r="M5908" s="94">
        <v>0</v>
      </c>
      <c r="N5908" t="s">
        <v>32</v>
      </c>
      <c r="O5908" t="s">
        <v>33</v>
      </c>
      <c r="P5908" t="s">
        <v>34</v>
      </c>
      <c r="Q5908" t="s">
        <v>34</v>
      </c>
      <c r="R5908" t="s">
        <v>34</v>
      </c>
      <c r="S5908" t="s">
        <v>34</v>
      </c>
      <c r="T5908" s="117">
        <v>0</v>
      </c>
    </row>
    <row r="5909" spans="1:20" x14ac:dyDescent="0.35">
      <c r="A5909" t="s">
        <v>20</v>
      </c>
      <c r="B5909" t="s">
        <v>25</v>
      </c>
      <c r="C5909" s="1">
        <v>46008</v>
      </c>
      <c r="D5909">
        <f t="shared" si="792"/>
        <v>17</v>
      </c>
      <c r="E5909">
        <f t="shared" si="793"/>
        <v>12</v>
      </c>
      <c r="F5909">
        <f t="shared" si="794"/>
        <v>2025</v>
      </c>
      <c r="G5909" s="4" t="s">
        <v>93</v>
      </c>
      <c r="H5909" s="121">
        <v>14268</v>
      </c>
      <c r="I5909" s="15">
        <v>325.38</v>
      </c>
      <c r="J5909" s="12" t="s">
        <v>31</v>
      </c>
      <c r="K5909" s="94">
        <f t="shared" si="785"/>
        <v>325.38</v>
      </c>
      <c r="L5909">
        <v>1</v>
      </c>
      <c r="M5909" s="94">
        <v>0</v>
      </c>
      <c r="N5909" t="s">
        <v>32</v>
      </c>
      <c r="O5909" t="s">
        <v>33</v>
      </c>
      <c r="P5909" t="s">
        <v>34</v>
      </c>
      <c r="Q5909" t="s">
        <v>34</v>
      </c>
      <c r="R5909" t="s">
        <v>34</v>
      </c>
      <c r="S5909" t="s">
        <v>34</v>
      </c>
      <c r="T5909" s="117">
        <v>0</v>
      </c>
    </row>
    <row r="5910" spans="1:20" x14ac:dyDescent="0.35">
      <c r="A5910" t="s">
        <v>20</v>
      </c>
      <c r="B5910" t="s">
        <v>25</v>
      </c>
      <c r="C5910" s="1">
        <v>46008</v>
      </c>
      <c r="D5910">
        <f t="shared" si="792"/>
        <v>17</v>
      </c>
      <c r="E5910">
        <f t="shared" si="793"/>
        <v>12</v>
      </c>
      <c r="F5910">
        <f t="shared" si="794"/>
        <v>2025</v>
      </c>
      <c r="G5910" s="228" t="s">
        <v>93</v>
      </c>
      <c r="H5910" s="121">
        <v>14270</v>
      </c>
      <c r="I5910" s="15">
        <v>16012.06</v>
      </c>
      <c r="J5910" s="12" t="s">
        <v>31</v>
      </c>
      <c r="K5910" s="94">
        <f t="shared" si="785"/>
        <v>16012.06</v>
      </c>
      <c r="L5910">
        <v>1</v>
      </c>
      <c r="M5910" s="94">
        <v>0</v>
      </c>
      <c r="N5910" t="s">
        <v>32</v>
      </c>
      <c r="O5910" t="s">
        <v>33</v>
      </c>
      <c r="P5910" t="s">
        <v>34</v>
      </c>
      <c r="Q5910" t="s">
        <v>34</v>
      </c>
      <c r="R5910" t="s">
        <v>34</v>
      </c>
      <c r="S5910" t="s">
        <v>34</v>
      </c>
      <c r="T5910" s="117">
        <v>0</v>
      </c>
    </row>
    <row r="5911" spans="1:20" x14ac:dyDescent="0.35">
      <c r="A5911" t="s">
        <v>20</v>
      </c>
      <c r="B5911" t="s">
        <v>21</v>
      </c>
      <c r="C5911" s="1">
        <v>46008</v>
      </c>
      <c r="D5911">
        <f t="shared" ref="D5911:D5912" si="795">DAY(C5911)</f>
        <v>17</v>
      </c>
      <c r="E5911">
        <f t="shared" ref="E5911:E5912" si="796">MONTH(C5911)</f>
        <v>12</v>
      </c>
      <c r="F5911">
        <f t="shared" ref="F5911:F5912" si="797">YEAR(C5911)</f>
        <v>2025</v>
      </c>
      <c r="G5911" t="s">
        <v>37</v>
      </c>
      <c r="H5911" s="121">
        <v>13393</v>
      </c>
      <c r="I5911" s="15">
        <v>73.599999999999994</v>
      </c>
      <c r="J5911" s="12" t="s">
        <v>31</v>
      </c>
      <c r="K5911" s="94">
        <f t="shared" si="785"/>
        <v>73.599999999999994</v>
      </c>
      <c r="L5911">
        <v>1</v>
      </c>
      <c r="M5911" s="94">
        <v>0</v>
      </c>
      <c r="N5911" t="s">
        <v>32</v>
      </c>
      <c r="O5911" t="s">
        <v>33</v>
      </c>
      <c r="P5911" t="s">
        <v>34</v>
      </c>
      <c r="Q5911" t="s">
        <v>34</v>
      </c>
      <c r="R5911" t="s">
        <v>34</v>
      </c>
      <c r="S5911" t="s">
        <v>34</v>
      </c>
      <c r="T5911" s="117">
        <v>0</v>
      </c>
    </row>
    <row r="5912" spans="1:20" x14ac:dyDescent="0.35">
      <c r="A5912" t="s">
        <v>20</v>
      </c>
      <c r="B5912" t="s">
        <v>21</v>
      </c>
      <c r="C5912" s="1">
        <v>46008</v>
      </c>
      <c r="D5912">
        <f t="shared" si="795"/>
        <v>17</v>
      </c>
      <c r="E5912">
        <f t="shared" si="796"/>
        <v>12</v>
      </c>
      <c r="F5912">
        <f t="shared" si="797"/>
        <v>2025</v>
      </c>
      <c r="G5912" t="s">
        <v>37</v>
      </c>
      <c r="H5912" s="121">
        <v>13885</v>
      </c>
      <c r="I5912" s="15">
        <v>51.96</v>
      </c>
      <c r="J5912" s="12" t="s">
        <v>31</v>
      </c>
      <c r="K5912" s="94">
        <f t="shared" si="785"/>
        <v>51.96</v>
      </c>
      <c r="L5912">
        <v>1</v>
      </c>
      <c r="M5912" s="94">
        <v>0</v>
      </c>
      <c r="N5912" t="s">
        <v>32</v>
      </c>
      <c r="O5912" t="s">
        <v>33</v>
      </c>
      <c r="P5912" t="s">
        <v>34</v>
      </c>
      <c r="Q5912" t="s">
        <v>34</v>
      </c>
      <c r="R5912" t="s">
        <v>34</v>
      </c>
      <c r="S5912" t="s">
        <v>34</v>
      </c>
      <c r="T5912" s="117">
        <v>0</v>
      </c>
    </row>
    <row r="5913" spans="1:20" x14ac:dyDescent="0.35">
      <c r="A5913" t="s">
        <v>20</v>
      </c>
      <c r="B5913" t="s">
        <v>21</v>
      </c>
      <c r="C5913" s="1">
        <v>46008</v>
      </c>
      <c r="D5913">
        <f t="shared" ref="D5913:D5914" si="798">DAY(C5913)</f>
        <v>17</v>
      </c>
      <c r="E5913">
        <f t="shared" ref="E5913:E5914" si="799">MONTH(C5913)</f>
        <v>12</v>
      </c>
      <c r="F5913">
        <f t="shared" ref="F5913:F5914" si="800">YEAR(C5913)</f>
        <v>2025</v>
      </c>
      <c r="G5913" s="4" t="s">
        <v>1428</v>
      </c>
      <c r="H5913" s="121">
        <v>14430</v>
      </c>
      <c r="I5913" s="15">
        <v>21.97</v>
      </c>
      <c r="J5913" s="12" t="s">
        <v>31</v>
      </c>
      <c r="K5913" s="94">
        <f t="shared" si="785"/>
        <v>21.97</v>
      </c>
      <c r="L5913">
        <v>1</v>
      </c>
      <c r="M5913" s="94">
        <v>0</v>
      </c>
      <c r="N5913" t="s">
        <v>42</v>
      </c>
      <c r="O5913" t="s">
        <v>33</v>
      </c>
      <c r="P5913" t="s">
        <v>34</v>
      </c>
      <c r="Q5913" t="s">
        <v>34</v>
      </c>
      <c r="R5913" t="s">
        <v>34</v>
      </c>
      <c r="S5913" t="s">
        <v>34</v>
      </c>
      <c r="T5913" s="117">
        <v>0</v>
      </c>
    </row>
    <row r="5914" spans="1:20" x14ac:dyDescent="0.35">
      <c r="A5914" t="s">
        <v>20</v>
      </c>
      <c r="B5914" t="s">
        <v>21</v>
      </c>
      <c r="C5914" s="1">
        <v>46008</v>
      </c>
      <c r="D5914">
        <f t="shared" si="798"/>
        <v>17</v>
      </c>
      <c r="E5914">
        <f t="shared" si="799"/>
        <v>12</v>
      </c>
      <c r="F5914">
        <f t="shared" si="800"/>
        <v>2025</v>
      </c>
      <c r="G5914" s="228" t="s">
        <v>1428</v>
      </c>
      <c r="H5914" s="121">
        <v>14431</v>
      </c>
      <c r="I5914" s="15">
        <v>1691.18</v>
      </c>
      <c r="J5914" s="12" t="s">
        <v>31</v>
      </c>
      <c r="K5914" s="94">
        <f t="shared" si="785"/>
        <v>1691.18</v>
      </c>
      <c r="L5914">
        <v>1</v>
      </c>
      <c r="M5914" s="94">
        <v>0</v>
      </c>
      <c r="N5914" t="s">
        <v>42</v>
      </c>
      <c r="O5914" t="s">
        <v>33</v>
      </c>
      <c r="P5914" t="s">
        <v>34</v>
      </c>
      <c r="Q5914" t="s">
        <v>34</v>
      </c>
      <c r="R5914" t="s">
        <v>34</v>
      </c>
      <c r="S5914" t="s">
        <v>34</v>
      </c>
      <c r="T5914" s="117">
        <v>0</v>
      </c>
    </row>
    <row r="5915" spans="1:20" x14ac:dyDescent="0.35">
      <c r="A5915" t="s">
        <v>20</v>
      </c>
      <c r="B5915" t="s">
        <v>21</v>
      </c>
      <c r="C5915" s="1">
        <v>46008</v>
      </c>
      <c r="D5915">
        <f t="shared" ref="D5915:D5920" si="801">DAY(C5915)</f>
        <v>17</v>
      </c>
      <c r="E5915">
        <f t="shared" ref="E5915:E5920" si="802">MONTH(C5915)</f>
        <v>12</v>
      </c>
      <c r="F5915">
        <f t="shared" ref="F5915:F5920" si="803">YEAR(C5915)</f>
        <v>2025</v>
      </c>
      <c r="G5915" s="228" t="s">
        <v>1505</v>
      </c>
      <c r="H5915" s="121">
        <v>14432</v>
      </c>
      <c r="I5915" s="15">
        <v>265.05</v>
      </c>
      <c r="J5915" s="12" t="s">
        <v>31</v>
      </c>
      <c r="K5915" s="94">
        <f t="shared" si="785"/>
        <v>265.05</v>
      </c>
      <c r="L5915">
        <v>1</v>
      </c>
      <c r="M5915" s="94">
        <v>0</v>
      </c>
      <c r="N5915" t="s">
        <v>42</v>
      </c>
      <c r="O5915" t="s">
        <v>33</v>
      </c>
      <c r="P5915" t="s">
        <v>34</v>
      </c>
      <c r="Q5915" t="s">
        <v>34</v>
      </c>
      <c r="R5915" t="s">
        <v>34</v>
      </c>
      <c r="S5915" t="s">
        <v>34</v>
      </c>
      <c r="T5915" s="117">
        <v>0</v>
      </c>
    </row>
    <row r="5916" spans="1:20" x14ac:dyDescent="0.35">
      <c r="A5916" t="s">
        <v>20</v>
      </c>
      <c r="B5916" t="s">
        <v>25</v>
      </c>
      <c r="C5916" s="1">
        <v>46008</v>
      </c>
      <c r="D5916">
        <f t="shared" si="801"/>
        <v>17</v>
      </c>
      <c r="E5916">
        <f t="shared" si="802"/>
        <v>12</v>
      </c>
      <c r="F5916">
        <f t="shared" si="803"/>
        <v>2025</v>
      </c>
      <c r="G5916" s="4" t="s">
        <v>285</v>
      </c>
      <c r="H5916" s="121">
        <v>14434</v>
      </c>
      <c r="I5916" s="15">
        <v>23.46</v>
      </c>
      <c r="J5916" s="12" t="s">
        <v>31</v>
      </c>
      <c r="K5916" s="94">
        <f t="shared" si="785"/>
        <v>23.46</v>
      </c>
      <c r="L5916">
        <v>1</v>
      </c>
      <c r="M5916" s="94">
        <v>0</v>
      </c>
      <c r="N5916" t="s">
        <v>42</v>
      </c>
      <c r="O5916" t="s">
        <v>33</v>
      </c>
      <c r="P5916" t="s">
        <v>34</v>
      </c>
      <c r="Q5916" t="s">
        <v>34</v>
      </c>
      <c r="R5916" t="s">
        <v>34</v>
      </c>
      <c r="S5916" t="s">
        <v>34</v>
      </c>
      <c r="T5916" s="117">
        <v>0</v>
      </c>
    </row>
    <row r="5917" spans="1:20" x14ac:dyDescent="0.35">
      <c r="A5917" t="s">
        <v>20</v>
      </c>
      <c r="B5917" t="s">
        <v>25</v>
      </c>
      <c r="C5917" s="1">
        <v>46008</v>
      </c>
      <c r="D5917">
        <f t="shared" si="801"/>
        <v>17</v>
      </c>
      <c r="E5917">
        <f t="shared" si="802"/>
        <v>12</v>
      </c>
      <c r="F5917">
        <f t="shared" si="803"/>
        <v>2025</v>
      </c>
      <c r="G5917" s="4" t="s">
        <v>285</v>
      </c>
      <c r="H5917" s="121">
        <v>14435</v>
      </c>
      <c r="I5917" s="15">
        <v>2346</v>
      </c>
      <c r="J5917" s="12" t="s">
        <v>31</v>
      </c>
      <c r="K5917" s="94">
        <f t="shared" si="785"/>
        <v>2346</v>
      </c>
      <c r="L5917">
        <v>1</v>
      </c>
      <c r="M5917" s="94">
        <v>0</v>
      </c>
      <c r="N5917" t="s">
        <v>42</v>
      </c>
      <c r="O5917" t="s">
        <v>33</v>
      </c>
      <c r="P5917" t="s">
        <v>34</v>
      </c>
      <c r="Q5917" t="s">
        <v>34</v>
      </c>
      <c r="R5917" t="s">
        <v>34</v>
      </c>
      <c r="S5917" t="s">
        <v>34</v>
      </c>
      <c r="T5917" s="117">
        <v>0</v>
      </c>
    </row>
    <row r="5918" spans="1:20" x14ac:dyDescent="0.35">
      <c r="A5918" t="s">
        <v>20</v>
      </c>
      <c r="B5918" t="s">
        <v>21</v>
      </c>
      <c r="C5918" s="1">
        <v>46008</v>
      </c>
      <c r="D5918">
        <f t="shared" si="801"/>
        <v>17</v>
      </c>
      <c r="E5918">
        <f t="shared" si="802"/>
        <v>12</v>
      </c>
      <c r="F5918">
        <f t="shared" si="803"/>
        <v>2025</v>
      </c>
      <c r="G5918" t="s">
        <v>595</v>
      </c>
      <c r="H5918" s="223">
        <v>13538</v>
      </c>
      <c r="I5918" s="224">
        <v>3737.34</v>
      </c>
      <c r="J5918" s="12" t="s">
        <v>31</v>
      </c>
      <c r="K5918" s="94">
        <f t="shared" ref="K5918:K5920" si="804">IF(J5918="USD",I5918,I5918*L5918)</f>
        <v>3737.34</v>
      </c>
      <c r="L5918">
        <v>1</v>
      </c>
      <c r="M5918" s="94">
        <v>0</v>
      </c>
      <c r="N5918" t="s">
        <v>42</v>
      </c>
      <c r="O5918" t="s">
        <v>33</v>
      </c>
      <c r="P5918" t="s">
        <v>34</v>
      </c>
      <c r="Q5918" t="s">
        <v>34</v>
      </c>
      <c r="R5918" t="s">
        <v>34</v>
      </c>
      <c r="S5918" t="s">
        <v>34</v>
      </c>
      <c r="T5918" s="117">
        <v>0</v>
      </c>
    </row>
    <row r="5919" spans="1:20" x14ac:dyDescent="0.35">
      <c r="A5919" t="s">
        <v>20</v>
      </c>
      <c r="B5919" t="s">
        <v>25</v>
      </c>
      <c r="C5919" s="1">
        <v>46008</v>
      </c>
      <c r="D5919">
        <f t="shared" si="801"/>
        <v>17</v>
      </c>
      <c r="E5919">
        <f t="shared" si="802"/>
        <v>12</v>
      </c>
      <c r="F5919">
        <f t="shared" si="803"/>
        <v>2025</v>
      </c>
      <c r="G5919" t="s">
        <v>595</v>
      </c>
      <c r="H5919" s="223">
        <v>13538</v>
      </c>
      <c r="I5919" s="224">
        <v>6460</v>
      </c>
      <c r="J5919" s="12" t="s">
        <v>31</v>
      </c>
      <c r="K5919" s="94">
        <f t="shared" si="804"/>
        <v>6460</v>
      </c>
      <c r="L5919">
        <v>1</v>
      </c>
      <c r="M5919" s="94">
        <v>0</v>
      </c>
      <c r="N5919" t="s">
        <v>42</v>
      </c>
      <c r="O5919" t="s">
        <v>33</v>
      </c>
      <c r="P5919" t="s">
        <v>34</v>
      </c>
      <c r="Q5919" t="s">
        <v>34</v>
      </c>
      <c r="R5919" t="s">
        <v>34</v>
      </c>
      <c r="S5919" t="s">
        <v>34</v>
      </c>
      <c r="T5919" s="117">
        <v>0</v>
      </c>
    </row>
    <row r="5920" spans="1:20" x14ac:dyDescent="0.35">
      <c r="A5920" t="s">
        <v>20</v>
      </c>
      <c r="B5920" t="s">
        <v>21</v>
      </c>
      <c r="C5920" s="1">
        <v>46008</v>
      </c>
      <c r="D5920">
        <f t="shared" si="801"/>
        <v>17</v>
      </c>
      <c r="E5920">
        <f t="shared" si="802"/>
        <v>12</v>
      </c>
      <c r="F5920">
        <f t="shared" si="803"/>
        <v>2025</v>
      </c>
      <c r="G5920" t="s">
        <v>595</v>
      </c>
      <c r="H5920" s="223">
        <v>13538</v>
      </c>
      <c r="I5920" s="224">
        <v>3358.7799999999997</v>
      </c>
      <c r="J5920" s="12" t="s">
        <v>31</v>
      </c>
      <c r="K5920" s="94">
        <f t="shared" si="804"/>
        <v>3358.7799999999997</v>
      </c>
      <c r="L5920">
        <v>1</v>
      </c>
      <c r="M5920" s="94">
        <v>0</v>
      </c>
      <c r="N5920" t="s">
        <v>42</v>
      </c>
      <c r="O5920" t="s">
        <v>33</v>
      </c>
      <c r="P5920" t="s">
        <v>34</v>
      </c>
      <c r="Q5920" t="s">
        <v>34</v>
      </c>
      <c r="R5920" t="s">
        <v>34</v>
      </c>
      <c r="S5920" t="s">
        <v>34</v>
      </c>
      <c r="T5920" s="117">
        <v>0</v>
      </c>
    </row>
    <row r="5921" spans="1:20" x14ac:dyDescent="0.35">
      <c r="A5921" t="s">
        <v>20</v>
      </c>
      <c r="B5921" t="s">
        <v>21</v>
      </c>
      <c r="C5921" s="1">
        <v>46008</v>
      </c>
      <c r="D5921">
        <f t="shared" ref="D5921:D5923" si="805">DAY(C5921)</f>
        <v>17</v>
      </c>
      <c r="E5921">
        <f t="shared" ref="E5921:E5923" si="806">MONTH(C5921)</f>
        <v>12</v>
      </c>
      <c r="F5921">
        <f t="shared" ref="F5921:F5923" si="807">YEAR(C5921)</f>
        <v>2025</v>
      </c>
      <c r="G5921" t="s">
        <v>82</v>
      </c>
      <c r="H5921" s="223">
        <v>13280</v>
      </c>
      <c r="I5921" s="224">
        <v>14570.55</v>
      </c>
      <c r="J5921" s="12" t="s">
        <v>31</v>
      </c>
      <c r="K5921" s="94">
        <f t="shared" si="785"/>
        <v>14570.55</v>
      </c>
      <c r="L5921">
        <v>1</v>
      </c>
      <c r="M5921" s="94">
        <v>0</v>
      </c>
      <c r="N5921" t="s">
        <v>32</v>
      </c>
      <c r="O5921" t="s">
        <v>33</v>
      </c>
      <c r="P5921" t="s">
        <v>34</v>
      </c>
      <c r="Q5921" t="s">
        <v>34</v>
      </c>
      <c r="R5921" t="s">
        <v>34</v>
      </c>
      <c r="S5921" t="s">
        <v>34</v>
      </c>
      <c r="T5921" s="117">
        <v>0</v>
      </c>
    </row>
    <row r="5922" spans="1:20" x14ac:dyDescent="0.35">
      <c r="A5922" t="s">
        <v>20</v>
      </c>
      <c r="B5922" t="s">
        <v>21</v>
      </c>
      <c r="C5922" s="1">
        <v>46008</v>
      </c>
      <c r="D5922">
        <f t="shared" si="805"/>
        <v>17</v>
      </c>
      <c r="E5922">
        <f t="shared" si="806"/>
        <v>12</v>
      </c>
      <c r="F5922">
        <f t="shared" si="807"/>
        <v>2025</v>
      </c>
      <c r="G5922" t="s">
        <v>82</v>
      </c>
      <c r="H5922" s="223">
        <v>13666</v>
      </c>
      <c r="I5922" s="224">
        <v>37.6</v>
      </c>
      <c r="J5922" s="12" t="s">
        <v>31</v>
      </c>
      <c r="K5922" s="94">
        <f t="shared" si="785"/>
        <v>37.6</v>
      </c>
      <c r="L5922">
        <v>1</v>
      </c>
      <c r="M5922" s="94">
        <v>0</v>
      </c>
      <c r="N5922" t="s">
        <v>32</v>
      </c>
      <c r="O5922" t="s">
        <v>33</v>
      </c>
      <c r="P5922" t="s">
        <v>34</v>
      </c>
      <c r="Q5922" t="s">
        <v>34</v>
      </c>
      <c r="R5922" t="s">
        <v>34</v>
      </c>
      <c r="S5922" t="s">
        <v>34</v>
      </c>
      <c r="T5922" s="117">
        <v>0</v>
      </c>
    </row>
    <row r="5923" spans="1:20" x14ac:dyDescent="0.35">
      <c r="A5923" t="s">
        <v>20</v>
      </c>
      <c r="B5923" t="s">
        <v>23</v>
      </c>
      <c r="C5923" s="1">
        <v>46008</v>
      </c>
      <c r="D5923">
        <f t="shared" si="805"/>
        <v>17</v>
      </c>
      <c r="E5923">
        <f t="shared" si="806"/>
        <v>12</v>
      </c>
      <c r="F5923">
        <f t="shared" si="807"/>
        <v>2025</v>
      </c>
      <c r="G5923" t="s">
        <v>82</v>
      </c>
      <c r="H5923" s="200">
        <v>14017</v>
      </c>
      <c r="I5923" s="201">
        <v>208</v>
      </c>
      <c r="J5923" s="12" t="s">
        <v>31</v>
      </c>
      <c r="K5923" s="94">
        <f t="shared" si="785"/>
        <v>208</v>
      </c>
      <c r="L5923">
        <v>1</v>
      </c>
      <c r="M5923" s="94">
        <v>0</v>
      </c>
      <c r="N5923" t="s">
        <v>32</v>
      </c>
      <c r="O5923" t="s">
        <v>33</v>
      </c>
      <c r="P5923" t="s">
        <v>34</v>
      </c>
      <c r="Q5923" t="s">
        <v>34</v>
      </c>
      <c r="R5923" t="s">
        <v>34</v>
      </c>
      <c r="S5923" t="s">
        <v>34</v>
      </c>
      <c r="T5923" s="117">
        <v>0</v>
      </c>
    </row>
    <row r="5924" spans="1:20" x14ac:dyDescent="0.35">
      <c r="A5924" t="s">
        <v>20</v>
      </c>
      <c r="B5924" t="s">
        <v>21</v>
      </c>
      <c r="C5924" s="1">
        <v>46008</v>
      </c>
      <c r="D5924">
        <f t="shared" ref="D5924:D5925" si="808">DAY(C5924)</f>
        <v>17</v>
      </c>
      <c r="E5924">
        <f t="shared" ref="E5924:E5925" si="809">MONTH(C5924)</f>
        <v>12</v>
      </c>
      <c r="F5924">
        <f t="shared" ref="F5924:F5925" si="810">YEAR(C5924)</f>
        <v>2025</v>
      </c>
      <c r="G5924" t="s">
        <v>104</v>
      </c>
      <c r="H5924" s="223">
        <v>13840</v>
      </c>
      <c r="I5924" s="224">
        <v>15028.05</v>
      </c>
      <c r="J5924" s="12" t="s">
        <v>31</v>
      </c>
      <c r="K5924" s="94">
        <f t="shared" si="785"/>
        <v>15028.05</v>
      </c>
      <c r="L5924">
        <v>1</v>
      </c>
      <c r="M5924" s="94">
        <v>0</v>
      </c>
      <c r="N5924" t="s">
        <v>32</v>
      </c>
      <c r="O5924" t="s">
        <v>33</v>
      </c>
      <c r="P5924" t="s">
        <v>34</v>
      </c>
      <c r="Q5924" t="s">
        <v>34</v>
      </c>
      <c r="R5924" t="s">
        <v>34</v>
      </c>
      <c r="S5924" t="s">
        <v>34</v>
      </c>
      <c r="T5924" s="117">
        <v>0</v>
      </c>
    </row>
    <row r="5925" spans="1:20" x14ac:dyDescent="0.35">
      <c r="A5925" t="s">
        <v>20</v>
      </c>
      <c r="B5925" t="s">
        <v>25</v>
      </c>
      <c r="C5925" s="1">
        <v>46008</v>
      </c>
      <c r="D5925">
        <f t="shared" si="808"/>
        <v>17</v>
      </c>
      <c r="E5925">
        <f t="shared" si="809"/>
        <v>12</v>
      </c>
      <c r="F5925">
        <f t="shared" si="810"/>
        <v>2025</v>
      </c>
      <c r="G5925" t="s">
        <v>104</v>
      </c>
      <c r="H5925" s="200">
        <v>13840</v>
      </c>
      <c r="I5925" s="201">
        <v>4916.63</v>
      </c>
      <c r="J5925" s="12" t="s">
        <v>31</v>
      </c>
      <c r="K5925" s="94">
        <f t="shared" si="785"/>
        <v>4916.63</v>
      </c>
      <c r="L5925">
        <v>1</v>
      </c>
      <c r="M5925" s="94">
        <v>0</v>
      </c>
      <c r="N5925" t="s">
        <v>32</v>
      </c>
      <c r="O5925" t="s">
        <v>33</v>
      </c>
      <c r="P5925" t="s">
        <v>34</v>
      </c>
      <c r="Q5925" t="s">
        <v>34</v>
      </c>
      <c r="R5925" t="s">
        <v>34</v>
      </c>
      <c r="S5925" t="s">
        <v>34</v>
      </c>
      <c r="T5925" s="117">
        <v>0</v>
      </c>
    </row>
    <row r="5926" spans="1:20" x14ac:dyDescent="0.35">
      <c r="A5926" t="s">
        <v>20</v>
      </c>
      <c r="B5926" t="s">
        <v>23</v>
      </c>
      <c r="C5926" s="1">
        <v>46008</v>
      </c>
      <c r="D5926">
        <f t="shared" ref="D5926:D5927" si="811">DAY(C5926)</f>
        <v>17</v>
      </c>
      <c r="E5926">
        <f t="shared" ref="E5926:E5927" si="812">MONTH(C5926)</f>
        <v>12</v>
      </c>
      <c r="F5926">
        <f t="shared" ref="F5926:F5927" si="813">YEAR(C5926)</f>
        <v>2025</v>
      </c>
      <c r="G5926" t="s">
        <v>88</v>
      </c>
      <c r="H5926" s="223">
        <v>13779</v>
      </c>
      <c r="I5926" s="224">
        <v>3747.47</v>
      </c>
      <c r="J5926" s="12" t="s">
        <v>31</v>
      </c>
      <c r="K5926" s="94">
        <f t="shared" si="785"/>
        <v>3747.47</v>
      </c>
      <c r="L5926">
        <v>1</v>
      </c>
      <c r="M5926" s="94">
        <v>0</v>
      </c>
      <c r="N5926" t="s">
        <v>32</v>
      </c>
      <c r="O5926" t="s">
        <v>33</v>
      </c>
      <c r="P5926" t="s">
        <v>34</v>
      </c>
      <c r="Q5926" t="s">
        <v>34</v>
      </c>
      <c r="R5926" t="s">
        <v>34</v>
      </c>
      <c r="S5926" t="s">
        <v>34</v>
      </c>
      <c r="T5926" s="117">
        <v>0</v>
      </c>
    </row>
    <row r="5927" spans="1:20" x14ac:dyDescent="0.35">
      <c r="A5927" t="s">
        <v>20</v>
      </c>
      <c r="B5927" t="s">
        <v>23</v>
      </c>
      <c r="C5927" s="1">
        <v>46008</v>
      </c>
      <c r="D5927">
        <f t="shared" si="811"/>
        <v>17</v>
      </c>
      <c r="E5927">
        <f t="shared" si="812"/>
        <v>12</v>
      </c>
      <c r="F5927">
        <f t="shared" si="813"/>
        <v>2025</v>
      </c>
      <c r="G5927" t="s">
        <v>88</v>
      </c>
      <c r="H5927" s="200">
        <v>13778</v>
      </c>
      <c r="I5927" s="201">
        <v>25.9</v>
      </c>
      <c r="J5927" s="12" t="s">
        <v>31</v>
      </c>
      <c r="K5927" s="94">
        <f t="shared" si="785"/>
        <v>25.9</v>
      </c>
      <c r="L5927">
        <v>1</v>
      </c>
      <c r="M5927" s="94">
        <v>0</v>
      </c>
      <c r="N5927" t="s">
        <v>32</v>
      </c>
      <c r="O5927" t="s">
        <v>33</v>
      </c>
      <c r="P5927" t="s">
        <v>34</v>
      </c>
      <c r="Q5927" t="s">
        <v>34</v>
      </c>
      <c r="R5927" t="s">
        <v>34</v>
      </c>
      <c r="S5927" t="s">
        <v>34</v>
      </c>
      <c r="T5927" s="117">
        <v>0</v>
      </c>
    </row>
    <row r="5928" spans="1:20" x14ac:dyDescent="0.35">
      <c r="A5928" t="s">
        <v>20</v>
      </c>
      <c r="B5928" t="s">
        <v>25</v>
      </c>
      <c r="C5928" s="1">
        <v>46008</v>
      </c>
      <c r="D5928">
        <f>DAY(C5928)</f>
        <v>17</v>
      </c>
      <c r="E5928">
        <f>MONTH(C5928)</f>
        <v>12</v>
      </c>
      <c r="F5928">
        <f>YEAR(C5928)</f>
        <v>2025</v>
      </c>
      <c r="G5928" s="228" t="s">
        <v>174</v>
      </c>
      <c r="H5928" s="200">
        <v>14021</v>
      </c>
      <c r="I5928" s="201">
        <v>7002.2</v>
      </c>
      <c r="J5928" s="12" t="s">
        <v>31</v>
      </c>
      <c r="K5928" s="94">
        <f t="shared" si="785"/>
        <v>7002.2</v>
      </c>
      <c r="L5928">
        <v>1</v>
      </c>
      <c r="M5928" s="94">
        <v>0</v>
      </c>
      <c r="N5928" t="s">
        <v>42</v>
      </c>
      <c r="O5928" t="s">
        <v>33</v>
      </c>
      <c r="P5928" t="s">
        <v>34</v>
      </c>
      <c r="Q5928" t="s">
        <v>34</v>
      </c>
      <c r="R5928" t="s">
        <v>34</v>
      </c>
      <c r="S5928" t="s">
        <v>34</v>
      </c>
      <c r="T5928" s="117">
        <v>0</v>
      </c>
    </row>
    <row r="5929" spans="1:20" x14ac:dyDescent="0.35">
      <c r="A5929" t="s">
        <v>20</v>
      </c>
      <c r="B5929" t="s">
        <v>25</v>
      </c>
      <c r="C5929" s="1">
        <v>46008</v>
      </c>
      <c r="D5929">
        <f t="shared" ref="D5929:D5944" si="814">DAY(C5929)</f>
        <v>17</v>
      </c>
      <c r="E5929">
        <f t="shared" ref="E5929:E5944" si="815">MONTH(C5929)</f>
        <v>12</v>
      </c>
      <c r="F5929">
        <f t="shared" ref="F5929:F5944" si="816">YEAR(C5929)</f>
        <v>2025</v>
      </c>
      <c r="G5929" t="s">
        <v>118</v>
      </c>
      <c r="H5929" s="200">
        <v>14421</v>
      </c>
      <c r="I5929" s="201">
        <v>140</v>
      </c>
      <c r="J5929" s="12" t="s">
        <v>31</v>
      </c>
      <c r="K5929" s="94">
        <f t="shared" si="785"/>
        <v>140</v>
      </c>
      <c r="L5929">
        <v>1</v>
      </c>
      <c r="M5929" s="94">
        <v>0</v>
      </c>
      <c r="N5929" t="s">
        <v>42</v>
      </c>
      <c r="O5929" t="s">
        <v>33</v>
      </c>
      <c r="P5929" t="s">
        <v>34</v>
      </c>
      <c r="Q5929" t="s">
        <v>34</v>
      </c>
      <c r="R5929" t="s">
        <v>34</v>
      </c>
      <c r="S5929" t="s">
        <v>34</v>
      </c>
      <c r="T5929" s="117">
        <v>0</v>
      </c>
    </row>
    <row r="5930" spans="1:20" x14ac:dyDescent="0.35">
      <c r="A5930" t="s">
        <v>20</v>
      </c>
      <c r="B5930" t="s">
        <v>25</v>
      </c>
      <c r="C5930" s="1">
        <v>46008</v>
      </c>
      <c r="D5930">
        <f t="shared" si="814"/>
        <v>17</v>
      </c>
      <c r="E5930">
        <f t="shared" si="815"/>
        <v>12</v>
      </c>
      <c r="F5930">
        <f t="shared" si="816"/>
        <v>2025</v>
      </c>
      <c r="G5930" t="s">
        <v>118</v>
      </c>
      <c r="H5930" s="200">
        <v>14422</v>
      </c>
      <c r="I5930" s="201">
        <v>152.6</v>
      </c>
      <c r="J5930" s="12" t="s">
        <v>31</v>
      </c>
      <c r="K5930" s="94">
        <f t="shared" si="785"/>
        <v>152.6</v>
      </c>
      <c r="L5930">
        <v>1</v>
      </c>
      <c r="M5930" s="94">
        <v>0</v>
      </c>
      <c r="N5930" t="s">
        <v>42</v>
      </c>
      <c r="O5930" t="s">
        <v>33</v>
      </c>
      <c r="P5930" t="s">
        <v>34</v>
      </c>
      <c r="Q5930" t="s">
        <v>34</v>
      </c>
      <c r="R5930" t="s">
        <v>34</v>
      </c>
      <c r="S5930" t="s">
        <v>34</v>
      </c>
      <c r="T5930" s="117">
        <v>0</v>
      </c>
    </row>
    <row r="5931" spans="1:20" x14ac:dyDescent="0.35">
      <c r="A5931" t="s">
        <v>20</v>
      </c>
      <c r="B5931" t="s">
        <v>25</v>
      </c>
      <c r="C5931" s="1">
        <v>46008</v>
      </c>
      <c r="D5931">
        <f t="shared" si="814"/>
        <v>17</v>
      </c>
      <c r="E5931">
        <f t="shared" si="815"/>
        <v>12</v>
      </c>
      <c r="F5931">
        <f t="shared" si="816"/>
        <v>2025</v>
      </c>
      <c r="G5931" t="s">
        <v>118</v>
      </c>
      <c r="H5931" s="200">
        <v>14422</v>
      </c>
      <c r="I5931" s="201">
        <v>137</v>
      </c>
      <c r="J5931" s="12" t="s">
        <v>31</v>
      </c>
      <c r="K5931" s="94">
        <f t="shared" si="785"/>
        <v>137</v>
      </c>
      <c r="L5931">
        <v>1</v>
      </c>
      <c r="M5931" s="94">
        <v>0</v>
      </c>
      <c r="N5931" t="s">
        <v>42</v>
      </c>
      <c r="O5931" t="s">
        <v>33</v>
      </c>
      <c r="P5931" t="s">
        <v>34</v>
      </c>
      <c r="Q5931" t="s">
        <v>34</v>
      </c>
      <c r="R5931" t="s">
        <v>34</v>
      </c>
      <c r="S5931" t="s">
        <v>34</v>
      </c>
      <c r="T5931" s="117">
        <v>0</v>
      </c>
    </row>
    <row r="5932" spans="1:20" x14ac:dyDescent="0.35">
      <c r="A5932" t="s">
        <v>20</v>
      </c>
      <c r="B5932" t="s">
        <v>25</v>
      </c>
      <c r="C5932" s="1">
        <v>46008</v>
      </c>
      <c r="D5932">
        <f t="shared" si="814"/>
        <v>17</v>
      </c>
      <c r="E5932">
        <f t="shared" si="815"/>
        <v>12</v>
      </c>
      <c r="F5932">
        <f t="shared" si="816"/>
        <v>2025</v>
      </c>
      <c r="G5932" t="s">
        <v>118</v>
      </c>
      <c r="H5932" s="200">
        <v>14422</v>
      </c>
      <c r="I5932" s="201">
        <v>166.4</v>
      </c>
      <c r="J5932" s="12" t="s">
        <v>31</v>
      </c>
      <c r="K5932" s="94">
        <f t="shared" si="785"/>
        <v>166.4</v>
      </c>
      <c r="L5932">
        <v>1</v>
      </c>
      <c r="M5932" s="94">
        <v>0</v>
      </c>
      <c r="N5932" t="s">
        <v>42</v>
      </c>
      <c r="O5932" t="s">
        <v>33</v>
      </c>
      <c r="P5932" t="s">
        <v>34</v>
      </c>
      <c r="Q5932" t="s">
        <v>34</v>
      </c>
      <c r="R5932" t="s">
        <v>34</v>
      </c>
      <c r="S5932" t="s">
        <v>34</v>
      </c>
      <c r="T5932" s="117">
        <v>0</v>
      </c>
    </row>
    <row r="5933" spans="1:20" x14ac:dyDescent="0.35">
      <c r="A5933" t="s">
        <v>20</v>
      </c>
      <c r="B5933" t="s">
        <v>25</v>
      </c>
      <c r="C5933" s="1">
        <v>46008</v>
      </c>
      <c r="D5933">
        <f t="shared" si="814"/>
        <v>17</v>
      </c>
      <c r="E5933">
        <f t="shared" si="815"/>
        <v>12</v>
      </c>
      <c r="F5933">
        <f t="shared" si="816"/>
        <v>2025</v>
      </c>
      <c r="G5933" t="s">
        <v>118</v>
      </c>
      <c r="H5933" s="200">
        <v>14423</v>
      </c>
      <c r="I5933" s="201">
        <v>457.2</v>
      </c>
      <c r="J5933" s="12" t="s">
        <v>31</v>
      </c>
      <c r="K5933" s="94">
        <f t="shared" si="785"/>
        <v>457.2</v>
      </c>
      <c r="L5933">
        <v>1</v>
      </c>
      <c r="M5933" s="94">
        <v>0</v>
      </c>
      <c r="N5933" t="s">
        <v>42</v>
      </c>
      <c r="O5933" t="s">
        <v>33</v>
      </c>
      <c r="P5933" t="s">
        <v>34</v>
      </c>
      <c r="Q5933" t="s">
        <v>34</v>
      </c>
      <c r="R5933" t="s">
        <v>34</v>
      </c>
      <c r="S5933" t="s">
        <v>34</v>
      </c>
      <c r="T5933" s="117">
        <v>0</v>
      </c>
    </row>
    <row r="5934" spans="1:20" x14ac:dyDescent="0.35">
      <c r="A5934" t="s">
        <v>20</v>
      </c>
      <c r="B5934" t="s">
        <v>25</v>
      </c>
      <c r="C5934" s="1">
        <v>46008</v>
      </c>
      <c r="D5934">
        <f t="shared" si="814"/>
        <v>17</v>
      </c>
      <c r="E5934">
        <f t="shared" si="815"/>
        <v>12</v>
      </c>
      <c r="F5934">
        <f t="shared" si="816"/>
        <v>2025</v>
      </c>
      <c r="G5934" t="s">
        <v>118</v>
      </c>
      <c r="H5934" s="200">
        <v>14423</v>
      </c>
      <c r="I5934" s="201">
        <v>213.2</v>
      </c>
      <c r="J5934" s="12" t="s">
        <v>31</v>
      </c>
      <c r="K5934" s="94">
        <f t="shared" si="785"/>
        <v>213.2</v>
      </c>
      <c r="L5934">
        <v>1</v>
      </c>
      <c r="M5934" s="94">
        <v>0</v>
      </c>
      <c r="N5934" t="s">
        <v>42</v>
      </c>
      <c r="O5934" t="s">
        <v>33</v>
      </c>
      <c r="P5934" t="s">
        <v>34</v>
      </c>
      <c r="Q5934" t="s">
        <v>34</v>
      </c>
      <c r="R5934" t="s">
        <v>34</v>
      </c>
      <c r="S5934" t="s">
        <v>34</v>
      </c>
      <c r="T5934" s="117">
        <v>0</v>
      </c>
    </row>
    <row r="5935" spans="1:20" x14ac:dyDescent="0.35">
      <c r="A5935" t="s">
        <v>20</v>
      </c>
      <c r="B5935" t="s">
        <v>25</v>
      </c>
      <c r="C5935" s="1">
        <v>46008</v>
      </c>
      <c r="D5935">
        <f t="shared" si="814"/>
        <v>17</v>
      </c>
      <c r="E5935">
        <f t="shared" si="815"/>
        <v>12</v>
      </c>
      <c r="F5935">
        <f t="shared" si="816"/>
        <v>2025</v>
      </c>
      <c r="G5935" t="s">
        <v>118</v>
      </c>
      <c r="H5935" s="200">
        <v>14423</v>
      </c>
      <c r="I5935" s="201">
        <v>52.4</v>
      </c>
      <c r="J5935" s="12" t="s">
        <v>31</v>
      </c>
      <c r="K5935" s="94">
        <f t="shared" si="785"/>
        <v>52.4</v>
      </c>
      <c r="L5935">
        <v>1</v>
      </c>
      <c r="M5935" s="94">
        <v>0</v>
      </c>
      <c r="N5935" t="s">
        <v>42</v>
      </c>
      <c r="O5935" t="s">
        <v>33</v>
      </c>
      <c r="P5935" t="s">
        <v>34</v>
      </c>
      <c r="Q5935" t="s">
        <v>34</v>
      </c>
      <c r="R5935" t="s">
        <v>34</v>
      </c>
      <c r="S5935" t="s">
        <v>34</v>
      </c>
      <c r="T5935" s="117">
        <v>0</v>
      </c>
    </row>
    <row r="5936" spans="1:20" x14ac:dyDescent="0.35">
      <c r="A5936" t="s">
        <v>20</v>
      </c>
      <c r="B5936" t="s">
        <v>25</v>
      </c>
      <c r="C5936" s="1">
        <v>46008</v>
      </c>
      <c r="D5936">
        <f t="shared" si="814"/>
        <v>17</v>
      </c>
      <c r="E5936">
        <f t="shared" si="815"/>
        <v>12</v>
      </c>
      <c r="F5936">
        <f t="shared" si="816"/>
        <v>2025</v>
      </c>
      <c r="G5936" t="s">
        <v>118</v>
      </c>
      <c r="H5936" s="200">
        <v>14423</v>
      </c>
      <c r="I5936" s="201">
        <v>145</v>
      </c>
      <c r="J5936" s="12" t="s">
        <v>31</v>
      </c>
      <c r="K5936" s="94">
        <f t="shared" si="785"/>
        <v>145</v>
      </c>
      <c r="L5936">
        <v>1</v>
      </c>
      <c r="M5936" s="94">
        <v>0</v>
      </c>
      <c r="N5936" t="s">
        <v>42</v>
      </c>
      <c r="O5936" t="s">
        <v>33</v>
      </c>
      <c r="P5936" t="s">
        <v>34</v>
      </c>
      <c r="Q5936" t="s">
        <v>34</v>
      </c>
      <c r="R5936" t="s">
        <v>34</v>
      </c>
      <c r="S5936" t="s">
        <v>34</v>
      </c>
      <c r="T5936" s="117">
        <v>0</v>
      </c>
    </row>
    <row r="5937" spans="1:20" x14ac:dyDescent="0.35">
      <c r="A5937" t="s">
        <v>20</v>
      </c>
      <c r="B5937" t="s">
        <v>25</v>
      </c>
      <c r="C5937" s="1">
        <v>46008</v>
      </c>
      <c r="D5937">
        <f t="shared" si="814"/>
        <v>17</v>
      </c>
      <c r="E5937">
        <f t="shared" si="815"/>
        <v>12</v>
      </c>
      <c r="F5937">
        <f t="shared" si="816"/>
        <v>2025</v>
      </c>
      <c r="G5937" t="s">
        <v>118</v>
      </c>
      <c r="H5937" s="200">
        <v>14424</v>
      </c>
      <c r="I5937" s="201">
        <v>3107.5</v>
      </c>
      <c r="J5937" s="12" t="s">
        <v>31</v>
      </c>
      <c r="K5937" s="94">
        <f t="shared" si="785"/>
        <v>3107.5</v>
      </c>
      <c r="L5937">
        <v>1</v>
      </c>
      <c r="M5937" s="94">
        <v>0</v>
      </c>
      <c r="N5937" t="s">
        <v>42</v>
      </c>
      <c r="O5937" t="s">
        <v>33</v>
      </c>
      <c r="P5937" t="s">
        <v>34</v>
      </c>
      <c r="Q5937" t="s">
        <v>34</v>
      </c>
      <c r="R5937" t="s">
        <v>34</v>
      </c>
      <c r="S5937" t="s">
        <v>34</v>
      </c>
      <c r="T5937" s="117">
        <v>0</v>
      </c>
    </row>
    <row r="5938" spans="1:20" x14ac:dyDescent="0.35">
      <c r="A5938" t="s">
        <v>20</v>
      </c>
      <c r="B5938" t="s">
        <v>25</v>
      </c>
      <c r="C5938" s="1">
        <v>46008</v>
      </c>
      <c r="D5938">
        <f t="shared" si="814"/>
        <v>17</v>
      </c>
      <c r="E5938">
        <f t="shared" si="815"/>
        <v>12</v>
      </c>
      <c r="F5938">
        <f t="shared" si="816"/>
        <v>2025</v>
      </c>
      <c r="G5938" t="s">
        <v>118</v>
      </c>
      <c r="H5938" s="200">
        <v>14425</v>
      </c>
      <c r="I5938" s="201">
        <v>1780.48</v>
      </c>
      <c r="J5938" s="12" t="s">
        <v>31</v>
      </c>
      <c r="K5938" s="94">
        <f t="shared" si="785"/>
        <v>1780.48</v>
      </c>
      <c r="L5938">
        <v>1</v>
      </c>
      <c r="M5938" s="94">
        <v>0</v>
      </c>
      <c r="N5938" t="s">
        <v>42</v>
      </c>
      <c r="O5938" t="s">
        <v>33</v>
      </c>
      <c r="P5938" t="s">
        <v>34</v>
      </c>
      <c r="Q5938" t="s">
        <v>34</v>
      </c>
      <c r="R5938" t="s">
        <v>34</v>
      </c>
      <c r="S5938" t="s">
        <v>34</v>
      </c>
      <c r="T5938" s="117">
        <v>0</v>
      </c>
    </row>
    <row r="5939" spans="1:20" x14ac:dyDescent="0.35">
      <c r="A5939" t="s">
        <v>20</v>
      </c>
      <c r="B5939" t="s">
        <v>25</v>
      </c>
      <c r="C5939" s="1">
        <v>46008</v>
      </c>
      <c r="D5939">
        <f t="shared" si="814"/>
        <v>17</v>
      </c>
      <c r="E5939">
        <f t="shared" si="815"/>
        <v>12</v>
      </c>
      <c r="F5939">
        <f t="shared" si="816"/>
        <v>2025</v>
      </c>
      <c r="G5939" t="s">
        <v>118</v>
      </c>
      <c r="H5939" s="200">
        <v>14426</v>
      </c>
      <c r="I5939" s="201">
        <v>628.80000000000007</v>
      </c>
      <c r="J5939" s="12" t="s">
        <v>31</v>
      </c>
      <c r="K5939" s="94">
        <f t="shared" si="785"/>
        <v>628.80000000000007</v>
      </c>
      <c r="L5939">
        <v>1</v>
      </c>
      <c r="M5939" s="94">
        <v>0</v>
      </c>
      <c r="N5939" t="s">
        <v>42</v>
      </c>
      <c r="O5939" t="s">
        <v>33</v>
      </c>
      <c r="P5939" t="s">
        <v>34</v>
      </c>
      <c r="Q5939" t="s">
        <v>34</v>
      </c>
      <c r="R5939" t="s">
        <v>34</v>
      </c>
      <c r="S5939" t="s">
        <v>34</v>
      </c>
      <c r="T5939" s="117">
        <v>0</v>
      </c>
    </row>
    <row r="5940" spans="1:20" x14ac:dyDescent="0.35">
      <c r="A5940" t="s">
        <v>20</v>
      </c>
      <c r="B5940" t="s">
        <v>25</v>
      </c>
      <c r="C5940" s="1">
        <v>46008</v>
      </c>
      <c r="D5940">
        <f t="shared" si="814"/>
        <v>17</v>
      </c>
      <c r="E5940">
        <f t="shared" si="815"/>
        <v>12</v>
      </c>
      <c r="F5940">
        <f t="shared" si="816"/>
        <v>2025</v>
      </c>
      <c r="G5940" t="s">
        <v>118</v>
      </c>
      <c r="H5940" s="200">
        <v>14426</v>
      </c>
      <c r="I5940" s="201">
        <v>1809.5</v>
      </c>
      <c r="J5940" s="12" t="s">
        <v>31</v>
      </c>
      <c r="K5940" s="94">
        <f t="shared" si="785"/>
        <v>1809.5</v>
      </c>
      <c r="L5940">
        <v>1</v>
      </c>
      <c r="M5940" s="94">
        <v>0</v>
      </c>
      <c r="N5940" t="s">
        <v>42</v>
      </c>
      <c r="O5940" t="s">
        <v>33</v>
      </c>
      <c r="P5940" t="s">
        <v>34</v>
      </c>
      <c r="Q5940" t="s">
        <v>34</v>
      </c>
      <c r="R5940" t="s">
        <v>34</v>
      </c>
      <c r="S5940" t="s">
        <v>34</v>
      </c>
      <c r="T5940" s="117">
        <v>0</v>
      </c>
    </row>
    <row r="5941" spans="1:20" x14ac:dyDescent="0.35">
      <c r="A5941" t="s">
        <v>20</v>
      </c>
      <c r="B5941" t="s">
        <v>25</v>
      </c>
      <c r="C5941" s="1">
        <v>46008</v>
      </c>
      <c r="D5941">
        <f t="shared" si="814"/>
        <v>17</v>
      </c>
      <c r="E5941">
        <f t="shared" si="815"/>
        <v>12</v>
      </c>
      <c r="F5941">
        <f t="shared" si="816"/>
        <v>2025</v>
      </c>
      <c r="G5941" t="s">
        <v>118</v>
      </c>
      <c r="H5941" s="200">
        <v>14427</v>
      </c>
      <c r="I5941" s="201">
        <v>1915.2</v>
      </c>
      <c r="J5941" s="12" t="s">
        <v>31</v>
      </c>
      <c r="K5941" s="94">
        <f t="shared" si="785"/>
        <v>1915.2</v>
      </c>
      <c r="L5941">
        <v>1</v>
      </c>
      <c r="M5941" s="94">
        <v>0</v>
      </c>
      <c r="N5941" t="s">
        <v>42</v>
      </c>
      <c r="O5941" t="s">
        <v>33</v>
      </c>
      <c r="P5941" t="s">
        <v>34</v>
      </c>
      <c r="Q5941" t="s">
        <v>34</v>
      </c>
      <c r="R5941" t="s">
        <v>34</v>
      </c>
      <c r="S5941" t="s">
        <v>34</v>
      </c>
      <c r="T5941" s="117">
        <v>0</v>
      </c>
    </row>
    <row r="5942" spans="1:20" x14ac:dyDescent="0.35">
      <c r="A5942" t="s">
        <v>20</v>
      </c>
      <c r="B5942" t="s">
        <v>25</v>
      </c>
      <c r="C5942" s="1">
        <v>46008</v>
      </c>
      <c r="D5942">
        <f t="shared" si="814"/>
        <v>17</v>
      </c>
      <c r="E5942">
        <f t="shared" si="815"/>
        <v>12</v>
      </c>
      <c r="F5942">
        <f t="shared" si="816"/>
        <v>2025</v>
      </c>
      <c r="G5942" t="s">
        <v>118</v>
      </c>
      <c r="H5942" s="200">
        <v>14428</v>
      </c>
      <c r="I5942" s="201">
        <v>6313.8</v>
      </c>
      <c r="J5942" s="12" t="s">
        <v>31</v>
      </c>
      <c r="K5942" s="94">
        <f t="shared" si="785"/>
        <v>6313.8</v>
      </c>
      <c r="L5942">
        <v>1</v>
      </c>
      <c r="M5942" s="94">
        <v>0</v>
      </c>
      <c r="N5942" t="s">
        <v>42</v>
      </c>
      <c r="O5942" t="s">
        <v>33</v>
      </c>
      <c r="P5942" t="s">
        <v>34</v>
      </c>
      <c r="Q5942" t="s">
        <v>34</v>
      </c>
      <c r="R5942" t="s">
        <v>34</v>
      </c>
      <c r="S5942" t="s">
        <v>34</v>
      </c>
      <c r="T5942" s="117">
        <v>0</v>
      </c>
    </row>
    <row r="5943" spans="1:20" x14ac:dyDescent="0.35">
      <c r="A5943" t="s">
        <v>20</v>
      </c>
      <c r="B5943" t="s">
        <v>25</v>
      </c>
      <c r="C5943" s="1">
        <v>46008</v>
      </c>
      <c r="D5943">
        <f t="shared" si="814"/>
        <v>17</v>
      </c>
      <c r="E5943">
        <f t="shared" si="815"/>
        <v>12</v>
      </c>
      <c r="F5943">
        <f t="shared" si="816"/>
        <v>2025</v>
      </c>
      <c r="G5943" t="s">
        <v>118</v>
      </c>
      <c r="H5943" s="200">
        <v>14428</v>
      </c>
      <c r="I5943" s="201">
        <v>1955.6</v>
      </c>
      <c r="J5943" s="12" t="s">
        <v>31</v>
      </c>
      <c r="K5943" s="94">
        <f t="shared" si="785"/>
        <v>1955.6</v>
      </c>
      <c r="L5943">
        <v>1</v>
      </c>
      <c r="M5943" s="94">
        <v>0</v>
      </c>
      <c r="N5943" t="s">
        <v>42</v>
      </c>
      <c r="O5943" t="s">
        <v>33</v>
      </c>
      <c r="P5943" t="s">
        <v>34</v>
      </c>
      <c r="Q5943" t="s">
        <v>34</v>
      </c>
      <c r="R5943" t="s">
        <v>34</v>
      </c>
      <c r="S5943" t="s">
        <v>34</v>
      </c>
      <c r="T5943" s="117">
        <v>0</v>
      </c>
    </row>
    <row r="5944" spans="1:20" x14ac:dyDescent="0.35">
      <c r="A5944" t="s">
        <v>20</v>
      </c>
      <c r="B5944" t="s">
        <v>23</v>
      </c>
      <c r="C5944" s="1">
        <v>46008</v>
      </c>
      <c r="D5944">
        <f t="shared" si="814"/>
        <v>17</v>
      </c>
      <c r="E5944">
        <f t="shared" si="815"/>
        <v>12</v>
      </c>
      <c r="F5944">
        <f t="shared" si="816"/>
        <v>2025</v>
      </c>
      <c r="G5944" t="s">
        <v>118</v>
      </c>
      <c r="H5944" s="200">
        <v>14429</v>
      </c>
      <c r="I5944" s="201">
        <v>2438</v>
      </c>
      <c r="J5944" s="12" t="s">
        <v>31</v>
      </c>
      <c r="K5944" s="94">
        <f t="shared" si="785"/>
        <v>2438</v>
      </c>
      <c r="L5944">
        <v>1</v>
      </c>
      <c r="M5944" s="94">
        <v>0</v>
      </c>
      <c r="N5944" t="s">
        <v>42</v>
      </c>
      <c r="O5944" t="s">
        <v>33</v>
      </c>
      <c r="P5944" t="s">
        <v>34</v>
      </c>
      <c r="Q5944" t="s">
        <v>34</v>
      </c>
      <c r="R5944" t="s">
        <v>34</v>
      </c>
      <c r="S5944" t="s">
        <v>34</v>
      </c>
      <c r="T5944" s="117">
        <v>0</v>
      </c>
    </row>
    <row r="5945" spans="1:20" x14ac:dyDescent="0.35">
      <c r="A5945" t="s">
        <v>20</v>
      </c>
      <c r="B5945" t="s">
        <v>23</v>
      </c>
      <c r="C5945" s="1">
        <v>46008</v>
      </c>
      <c r="D5945">
        <f t="shared" ref="D5945:D5946" si="817">DAY(C5945)</f>
        <v>17</v>
      </c>
      <c r="E5945">
        <f t="shared" ref="E5945:E5946" si="818">MONTH(C5945)</f>
        <v>12</v>
      </c>
      <c r="F5945">
        <f t="shared" ref="F5945:F5946" si="819">YEAR(C5945)</f>
        <v>2025</v>
      </c>
      <c r="G5945" s="228" t="s">
        <v>1571</v>
      </c>
      <c r="H5945" s="200">
        <v>13922</v>
      </c>
      <c r="I5945" s="201">
        <v>60</v>
      </c>
      <c r="J5945" s="12" t="s">
        <v>31</v>
      </c>
      <c r="K5945" s="94">
        <f t="shared" si="785"/>
        <v>60</v>
      </c>
      <c r="L5945">
        <v>1</v>
      </c>
      <c r="M5945" s="94">
        <v>0</v>
      </c>
      <c r="N5945" t="s">
        <v>32</v>
      </c>
      <c r="O5945" t="s">
        <v>33</v>
      </c>
      <c r="P5945" t="s">
        <v>34</v>
      </c>
      <c r="Q5945" t="s">
        <v>34</v>
      </c>
      <c r="R5945" t="s">
        <v>34</v>
      </c>
      <c r="S5945" t="s">
        <v>34</v>
      </c>
      <c r="T5945" s="117">
        <v>0</v>
      </c>
    </row>
    <row r="5946" spans="1:20" x14ac:dyDescent="0.35">
      <c r="A5946" t="s">
        <v>20</v>
      </c>
      <c r="B5946" t="s">
        <v>23</v>
      </c>
      <c r="C5946" s="1">
        <v>46008</v>
      </c>
      <c r="D5946">
        <f t="shared" si="817"/>
        <v>17</v>
      </c>
      <c r="E5946">
        <f t="shared" si="818"/>
        <v>12</v>
      </c>
      <c r="F5946">
        <f t="shared" si="819"/>
        <v>2025</v>
      </c>
      <c r="G5946" s="228" t="s">
        <v>1571</v>
      </c>
      <c r="H5946" s="200">
        <v>13921</v>
      </c>
      <c r="I5946" s="201">
        <v>6720.71</v>
      </c>
      <c r="J5946" s="12" t="s">
        <v>31</v>
      </c>
      <c r="K5946" s="94">
        <f t="shared" si="785"/>
        <v>6720.71</v>
      </c>
      <c r="L5946">
        <v>1</v>
      </c>
      <c r="M5946" s="94">
        <v>0</v>
      </c>
      <c r="N5946" t="s">
        <v>32</v>
      </c>
      <c r="O5946" t="s">
        <v>33</v>
      </c>
      <c r="P5946" t="s">
        <v>34</v>
      </c>
      <c r="Q5946" t="s">
        <v>34</v>
      </c>
      <c r="R5946" t="s">
        <v>34</v>
      </c>
      <c r="S5946" t="s">
        <v>34</v>
      </c>
      <c r="T5946" s="117">
        <v>0</v>
      </c>
    </row>
    <row r="5947" spans="1:20" x14ac:dyDescent="0.35">
      <c r="A5947" t="s">
        <v>20</v>
      </c>
      <c r="B5947" t="s">
        <v>24</v>
      </c>
      <c r="C5947" s="1">
        <v>46008</v>
      </c>
      <c r="D5947">
        <f t="shared" ref="D5947:D5949" si="820">DAY(C5947)</f>
        <v>17</v>
      </c>
      <c r="E5947">
        <f t="shared" ref="E5947:E5949" si="821">MONTH(C5947)</f>
        <v>12</v>
      </c>
      <c r="F5947">
        <f t="shared" ref="F5947:F5949" si="822">YEAR(C5947)</f>
        <v>2025</v>
      </c>
      <c r="G5947" s="228" t="s">
        <v>1238</v>
      </c>
      <c r="H5947" s="200">
        <v>13401</v>
      </c>
      <c r="I5947" s="201">
        <v>9303.1200000000008</v>
      </c>
      <c r="J5947" s="12" t="s">
        <v>31</v>
      </c>
      <c r="K5947" s="94">
        <f t="shared" si="785"/>
        <v>9303.1200000000008</v>
      </c>
      <c r="L5947">
        <v>1</v>
      </c>
      <c r="M5947" s="94">
        <v>0</v>
      </c>
      <c r="N5947" t="s">
        <v>32</v>
      </c>
      <c r="O5947" t="s">
        <v>33</v>
      </c>
      <c r="P5947" t="s">
        <v>34</v>
      </c>
      <c r="Q5947" t="s">
        <v>34</v>
      </c>
      <c r="R5947" t="s">
        <v>34</v>
      </c>
      <c r="S5947" t="s">
        <v>34</v>
      </c>
      <c r="T5947" s="117">
        <v>0</v>
      </c>
    </row>
    <row r="5948" spans="1:20" x14ac:dyDescent="0.35">
      <c r="A5948" t="s">
        <v>20</v>
      </c>
      <c r="B5948" t="s">
        <v>25</v>
      </c>
      <c r="C5948" s="1">
        <v>46008</v>
      </c>
      <c r="D5948">
        <f t="shared" si="820"/>
        <v>17</v>
      </c>
      <c r="E5948">
        <f t="shared" si="821"/>
        <v>12</v>
      </c>
      <c r="F5948">
        <f t="shared" si="822"/>
        <v>2025</v>
      </c>
      <c r="G5948" s="228" t="s">
        <v>1238</v>
      </c>
      <c r="H5948" s="200">
        <v>13689</v>
      </c>
      <c r="I5948" s="201">
        <v>1714.65</v>
      </c>
      <c r="J5948" s="12" t="s">
        <v>31</v>
      </c>
      <c r="K5948" s="94">
        <f t="shared" si="785"/>
        <v>1714.65</v>
      </c>
      <c r="L5948">
        <v>1</v>
      </c>
      <c r="M5948" s="94">
        <v>0</v>
      </c>
      <c r="N5948" t="s">
        <v>32</v>
      </c>
      <c r="O5948" t="s">
        <v>33</v>
      </c>
      <c r="P5948" t="s">
        <v>34</v>
      </c>
      <c r="Q5948" t="s">
        <v>34</v>
      </c>
      <c r="R5948" t="s">
        <v>34</v>
      </c>
      <c r="S5948" t="s">
        <v>34</v>
      </c>
      <c r="T5948" s="117">
        <v>0</v>
      </c>
    </row>
    <row r="5949" spans="1:20" x14ac:dyDescent="0.35">
      <c r="A5949" t="s">
        <v>20</v>
      </c>
      <c r="B5949" t="s">
        <v>23</v>
      </c>
      <c r="C5949" s="1">
        <v>46008</v>
      </c>
      <c r="D5949">
        <f t="shared" si="820"/>
        <v>17</v>
      </c>
      <c r="E5949">
        <f t="shared" si="821"/>
        <v>12</v>
      </c>
      <c r="F5949">
        <f t="shared" si="822"/>
        <v>2025</v>
      </c>
      <c r="G5949" s="228" t="s">
        <v>1238</v>
      </c>
      <c r="H5949" s="200">
        <v>13706</v>
      </c>
      <c r="I5949" s="201">
        <v>40.6</v>
      </c>
      <c r="J5949" s="12" t="s">
        <v>31</v>
      </c>
      <c r="K5949" s="94">
        <f t="shared" si="785"/>
        <v>40.6</v>
      </c>
      <c r="L5949">
        <v>1</v>
      </c>
      <c r="M5949" s="94">
        <v>0</v>
      </c>
      <c r="N5949" t="s">
        <v>32</v>
      </c>
      <c r="O5949" t="s">
        <v>33</v>
      </c>
      <c r="P5949" t="s">
        <v>34</v>
      </c>
      <c r="Q5949" t="s">
        <v>34</v>
      </c>
      <c r="R5949" t="s">
        <v>34</v>
      </c>
      <c r="S5949" t="s">
        <v>34</v>
      </c>
      <c r="T5949" s="117">
        <v>0</v>
      </c>
    </row>
    <row r="5950" spans="1:20" x14ac:dyDescent="0.35">
      <c r="A5950" t="s">
        <v>20</v>
      </c>
      <c r="B5950" t="s">
        <v>21</v>
      </c>
      <c r="C5950" s="1">
        <v>46008</v>
      </c>
      <c r="D5950">
        <f>DAY(C5950)</f>
        <v>17</v>
      </c>
      <c r="E5950">
        <f>MONTH(C5950)</f>
        <v>12</v>
      </c>
      <c r="F5950">
        <f>YEAR(C5950)</f>
        <v>2025</v>
      </c>
      <c r="G5950" s="228" t="s">
        <v>459</v>
      </c>
      <c r="H5950" s="200">
        <v>13905</v>
      </c>
      <c r="I5950" s="201">
        <v>6286.62</v>
      </c>
      <c r="J5950" s="12" t="s">
        <v>31</v>
      </c>
      <c r="K5950" s="94">
        <f t="shared" si="785"/>
        <v>6286.62</v>
      </c>
      <c r="L5950">
        <v>1</v>
      </c>
      <c r="M5950" s="94">
        <v>0</v>
      </c>
      <c r="N5950" t="s">
        <v>32</v>
      </c>
      <c r="O5950" t="s">
        <v>33</v>
      </c>
      <c r="P5950" t="s">
        <v>34</v>
      </c>
      <c r="Q5950" t="s">
        <v>34</v>
      </c>
      <c r="R5950" t="s">
        <v>34</v>
      </c>
      <c r="S5950" t="s">
        <v>34</v>
      </c>
      <c r="T5950" s="117">
        <v>0</v>
      </c>
    </row>
    <row r="5951" spans="1:20" x14ac:dyDescent="0.35">
      <c r="A5951" t="s">
        <v>20</v>
      </c>
      <c r="B5951" t="s">
        <v>21</v>
      </c>
      <c r="C5951" s="1">
        <v>46008</v>
      </c>
      <c r="D5951">
        <f t="shared" ref="D5951:D5957" si="823">DAY(C5951)</f>
        <v>17</v>
      </c>
      <c r="E5951">
        <f t="shared" ref="E5951:E5954" si="824">MONTH(C5951)</f>
        <v>12</v>
      </c>
      <c r="F5951">
        <f t="shared" ref="F5951:F5954" si="825">YEAR(C5951)</f>
        <v>2025</v>
      </c>
      <c r="G5951" t="s">
        <v>300</v>
      </c>
      <c r="H5951" s="200">
        <v>14046</v>
      </c>
      <c r="I5951" s="201">
        <v>30</v>
      </c>
      <c r="J5951" s="12" t="s">
        <v>31</v>
      </c>
      <c r="K5951" s="94">
        <f t="shared" si="785"/>
        <v>30</v>
      </c>
      <c r="L5951">
        <v>1</v>
      </c>
      <c r="M5951" s="94">
        <v>0</v>
      </c>
      <c r="N5951" t="s">
        <v>42</v>
      </c>
      <c r="O5951" t="s">
        <v>33</v>
      </c>
      <c r="P5951" t="s">
        <v>34</v>
      </c>
      <c r="Q5951" t="s">
        <v>34</v>
      </c>
      <c r="R5951" t="s">
        <v>34</v>
      </c>
      <c r="S5951" t="s">
        <v>34</v>
      </c>
      <c r="T5951" s="117">
        <v>0</v>
      </c>
    </row>
    <row r="5952" spans="1:20" x14ac:dyDescent="0.35">
      <c r="A5952" t="s">
        <v>20</v>
      </c>
      <c r="B5952" t="s">
        <v>21</v>
      </c>
      <c r="C5952" s="1">
        <v>46008</v>
      </c>
      <c r="D5952">
        <f t="shared" si="823"/>
        <v>17</v>
      </c>
      <c r="E5952">
        <f t="shared" ref="E5952" si="826">MONTH(C5952)</f>
        <v>12</v>
      </c>
      <c r="F5952">
        <f t="shared" ref="F5952" si="827">YEAR(C5952)</f>
        <v>2025</v>
      </c>
      <c r="G5952" t="s">
        <v>300</v>
      </c>
      <c r="H5952" s="200">
        <v>14437</v>
      </c>
      <c r="I5952" s="201">
        <v>13.2</v>
      </c>
      <c r="J5952" s="12" t="s">
        <v>31</v>
      </c>
      <c r="K5952" s="94">
        <f t="shared" si="785"/>
        <v>13.2</v>
      </c>
      <c r="L5952">
        <v>1</v>
      </c>
      <c r="M5952" s="94">
        <v>0</v>
      </c>
      <c r="N5952" t="s">
        <v>42</v>
      </c>
      <c r="O5952" t="s">
        <v>33</v>
      </c>
      <c r="P5952" t="s">
        <v>34</v>
      </c>
      <c r="Q5952" t="s">
        <v>34</v>
      </c>
      <c r="R5952" t="s">
        <v>34</v>
      </c>
      <c r="S5952" t="s">
        <v>34</v>
      </c>
      <c r="T5952" s="117">
        <v>0</v>
      </c>
    </row>
    <row r="5953" spans="1:20" x14ac:dyDescent="0.35">
      <c r="A5953" t="s">
        <v>20</v>
      </c>
      <c r="B5953" t="s">
        <v>21</v>
      </c>
      <c r="C5953" s="1">
        <v>46008</v>
      </c>
      <c r="D5953">
        <f t="shared" si="823"/>
        <v>17</v>
      </c>
      <c r="E5953">
        <f t="shared" si="824"/>
        <v>12</v>
      </c>
      <c r="F5953">
        <f t="shared" si="825"/>
        <v>2025</v>
      </c>
      <c r="G5953" t="s">
        <v>300</v>
      </c>
      <c r="H5953" s="200">
        <v>14438</v>
      </c>
      <c r="I5953" s="201">
        <v>802.56</v>
      </c>
      <c r="J5953" s="12" t="s">
        <v>31</v>
      </c>
      <c r="K5953" s="94">
        <f t="shared" si="785"/>
        <v>802.56</v>
      </c>
      <c r="L5953">
        <v>1</v>
      </c>
      <c r="M5953" s="94">
        <v>0</v>
      </c>
      <c r="N5953" t="s">
        <v>42</v>
      </c>
      <c r="O5953" t="s">
        <v>33</v>
      </c>
      <c r="P5953" t="s">
        <v>34</v>
      </c>
      <c r="Q5953" t="s">
        <v>34</v>
      </c>
      <c r="R5953" t="s">
        <v>34</v>
      </c>
      <c r="S5953" t="s">
        <v>34</v>
      </c>
      <c r="T5953" s="117">
        <v>0</v>
      </c>
    </row>
    <row r="5954" spans="1:20" x14ac:dyDescent="0.35">
      <c r="A5954" t="s">
        <v>20</v>
      </c>
      <c r="B5954" t="s">
        <v>25</v>
      </c>
      <c r="C5954" s="1">
        <v>46008</v>
      </c>
      <c r="D5954">
        <f t="shared" si="823"/>
        <v>17</v>
      </c>
      <c r="E5954">
        <f t="shared" si="824"/>
        <v>12</v>
      </c>
      <c r="F5954">
        <f t="shared" si="825"/>
        <v>2025</v>
      </c>
      <c r="G5954" t="s">
        <v>90</v>
      </c>
      <c r="H5954" s="200">
        <v>13674</v>
      </c>
      <c r="I5954" s="201">
        <v>93.1</v>
      </c>
      <c r="J5954" s="12" t="s">
        <v>31</v>
      </c>
      <c r="K5954" s="94">
        <f t="shared" si="785"/>
        <v>93.1</v>
      </c>
      <c r="L5954">
        <v>1</v>
      </c>
      <c r="M5954" s="94">
        <v>0</v>
      </c>
      <c r="N5954" t="s">
        <v>32</v>
      </c>
      <c r="O5954" t="s">
        <v>33</v>
      </c>
      <c r="P5954" t="s">
        <v>34</v>
      </c>
      <c r="Q5954" t="s">
        <v>34</v>
      </c>
      <c r="R5954" t="s">
        <v>34</v>
      </c>
      <c r="S5954" t="s">
        <v>34</v>
      </c>
      <c r="T5954" s="117">
        <v>0</v>
      </c>
    </row>
    <row r="5955" spans="1:20" x14ac:dyDescent="0.35">
      <c r="A5955" t="s">
        <v>20</v>
      </c>
      <c r="B5955" t="s">
        <v>21</v>
      </c>
      <c r="C5955" s="1">
        <v>46008</v>
      </c>
      <c r="D5955">
        <f t="shared" si="823"/>
        <v>17</v>
      </c>
      <c r="E5955">
        <f t="shared" ref="E5955:E5956" si="828">MONTH(C5955)</f>
        <v>12</v>
      </c>
      <c r="F5955">
        <f t="shared" ref="F5955:F5956" si="829">YEAR(C5955)</f>
        <v>2025</v>
      </c>
      <c r="G5955" t="s">
        <v>435</v>
      </c>
      <c r="H5955" s="200">
        <v>13845</v>
      </c>
      <c r="I5955" s="201">
        <v>6220.46</v>
      </c>
      <c r="J5955" s="12" t="s">
        <v>31</v>
      </c>
      <c r="K5955" s="94">
        <f t="shared" si="785"/>
        <v>6220.46</v>
      </c>
      <c r="L5955">
        <v>1</v>
      </c>
      <c r="M5955" s="94">
        <v>0</v>
      </c>
      <c r="N5955" t="s">
        <v>32</v>
      </c>
      <c r="O5955" t="s">
        <v>33</v>
      </c>
      <c r="P5955" t="s">
        <v>34</v>
      </c>
      <c r="Q5955" t="s">
        <v>34</v>
      </c>
      <c r="R5955" t="s">
        <v>34</v>
      </c>
      <c r="S5955" t="s">
        <v>34</v>
      </c>
      <c r="T5955" s="117">
        <v>0</v>
      </c>
    </row>
    <row r="5956" spans="1:20" x14ac:dyDescent="0.35">
      <c r="A5956" t="s">
        <v>20</v>
      </c>
      <c r="B5956" t="s">
        <v>25</v>
      </c>
      <c r="C5956" s="1">
        <v>46008</v>
      </c>
      <c r="D5956">
        <f t="shared" si="823"/>
        <v>17</v>
      </c>
      <c r="E5956">
        <f t="shared" si="828"/>
        <v>12</v>
      </c>
      <c r="F5956">
        <f t="shared" si="829"/>
        <v>2025</v>
      </c>
      <c r="G5956" t="s">
        <v>99</v>
      </c>
      <c r="H5956" s="200">
        <v>13572</v>
      </c>
      <c r="I5956" s="201">
        <v>8831.4</v>
      </c>
      <c r="J5956" s="12" t="s">
        <v>31</v>
      </c>
      <c r="K5956" s="94">
        <f t="shared" si="785"/>
        <v>8831.4</v>
      </c>
      <c r="L5956">
        <v>1</v>
      </c>
      <c r="M5956" s="94">
        <v>0</v>
      </c>
      <c r="N5956" t="s">
        <v>32</v>
      </c>
      <c r="O5956" t="s">
        <v>33</v>
      </c>
      <c r="P5956" t="s">
        <v>34</v>
      </c>
      <c r="Q5956" t="s">
        <v>34</v>
      </c>
      <c r="R5956" t="s">
        <v>34</v>
      </c>
      <c r="S5956" t="s">
        <v>34</v>
      </c>
      <c r="T5956" s="117">
        <v>0</v>
      </c>
    </row>
    <row r="5957" spans="1:20" x14ac:dyDescent="0.35">
      <c r="A5957" t="s">
        <v>20</v>
      </c>
      <c r="B5957" t="s">
        <v>25</v>
      </c>
      <c r="C5957" s="1">
        <v>46008</v>
      </c>
      <c r="D5957">
        <f t="shared" si="823"/>
        <v>17</v>
      </c>
      <c r="E5957">
        <f t="shared" ref="E5957" si="830">MONTH(C5957)</f>
        <v>12</v>
      </c>
      <c r="F5957">
        <f t="shared" ref="F5957" si="831">YEAR(C5957)</f>
        <v>2025</v>
      </c>
      <c r="G5957" t="s">
        <v>87</v>
      </c>
      <c r="H5957" s="200">
        <v>13507</v>
      </c>
      <c r="I5957" s="201">
        <v>65204.46</v>
      </c>
      <c r="J5957" s="12" t="s">
        <v>31</v>
      </c>
      <c r="K5957" s="94">
        <f t="shared" si="785"/>
        <v>65204.46</v>
      </c>
      <c r="L5957">
        <v>1</v>
      </c>
      <c r="M5957" s="94">
        <v>0</v>
      </c>
      <c r="N5957" t="s">
        <v>32</v>
      </c>
      <c r="O5957" t="s">
        <v>33</v>
      </c>
      <c r="P5957" t="s">
        <v>34</v>
      </c>
      <c r="Q5957" t="s">
        <v>34</v>
      </c>
      <c r="R5957" t="s">
        <v>34</v>
      </c>
      <c r="S5957" t="s">
        <v>34</v>
      </c>
      <c r="T5957" s="117">
        <v>0</v>
      </c>
    </row>
    <row r="5958" spans="1:20" x14ac:dyDescent="0.35">
      <c r="A5958" t="s">
        <v>19</v>
      </c>
      <c r="B5958" t="s">
        <v>26</v>
      </c>
      <c r="C5958" s="1">
        <v>46009</v>
      </c>
      <c r="D5958">
        <f>DAY(C5958)</f>
        <v>18</v>
      </c>
      <c r="E5958">
        <f>MONTH(C5958)</f>
        <v>12</v>
      </c>
      <c r="F5958">
        <f>YEAR(C5958)</f>
        <v>2025</v>
      </c>
      <c r="G5958" t="s">
        <v>112</v>
      </c>
      <c r="H5958" s="200">
        <v>14024</v>
      </c>
      <c r="I5958" s="15">
        <v>125177.84</v>
      </c>
      <c r="J5958" s="12" t="s">
        <v>51</v>
      </c>
      <c r="K5958" s="94">
        <f t="shared" si="785"/>
        <v>147209.13983999999</v>
      </c>
      <c r="L5958">
        <v>1.1759999999999999</v>
      </c>
      <c r="M5958" s="94">
        <v>0</v>
      </c>
      <c r="N5958" t="s">
        <v>32</v>
      </c>
      <c r="O5958" t="s">
        <v>33</v>
      </c>
      <c r="P5958" t="s">
        <v>34</v>
      </c>
      <c r="Q5958" t="s">
        <v>34</v>
      </c>
      <c r="R5958" t="s">
        <v>34</v>
      </c>
      <c r="S5958" t="s">
        <v>34</v>
      </c>
      <c r="T5958" s="117">
        <v>0</v>
      </c>
    </row>
    <row r="5959" spans="1:20" x14ac:dyDescent="0.35">
      <c r="A5959" t="s">
        <v>19</v>
      </c>
      <c r="B5959" t="s">
        <v>26</v>
      </c>
      <c r="C5959" s="1">
        <v>46009</v>
      </c>
      <c r="D5959">
        <f t="shared" ref="D5959:D5964" si="832">DAY(C5959)</f>
        <v>18</v>
      </c>
      <c r="E5959">
        <f t="shared" ref="E5959:E5964" si="833">MONTH(C5959)</f>
        <v>12</v>
      </c>
      <c r="F5959">
        <f t="shared" ref="F5959:F5964" si="834">YEAR(C5959)</f>
        <v>2025</v>
      </c>
      <c r="G5959" t="s">
        <v>112</v>
      </c>
      <c r="H5959" s="200">
        <v>14394</v>
      </c>
      <c r="I5959" s="15">
        <v>79146.02</v>
      </c>
      <c r="J5959" s="12" t="s">
        <v>51</v>
      </c>
      <c r="K5959" s="94">
        <f t="shared" ref="K5959:K5999" si="835">IF(J5959="USD",I5959,I5959*L5959)</f>
        <v>93075.719519999999</v>
      </c>
      <c r="L5959">
        <v>1.1759999999999999</v>
      </c>
      <c r="M5959" s="94">
        <v>0</v>
      </c>
      <c r="N5959" t="s">
        <v>32</v>
      </c>
      <c r="O5959" t="s">
        <v>33</v>
      </c>
      <c r="P5959" t="s">
        <v>34</v>
      </c>
      <c r="Q5959" t="s">
        <v>34</v>
      </c>
      <c r="R5959" t="s">
        <v>34</v>
      </c>
      <c r="S5959" t="s">
        <v>34</v>
      </c>
      <c r="T5959" s="117">
        <v>0</v>
      </c>
    </row>
    <row r="5960" spans="1:20" x14ac:dyDescent="0.35">
      <c r="A5960" t="s">
        <v>19</v>
      </c>
      <c r="B5960" t="s">
        <v>26</v>
      </c>
      <c r="C5960" s="1">
        <v>46009</v>
      </c>
      <c r="D5960">
        <f t="shared" si="832"/>
        <v>18</v>
      </c>
      <c r="E5960">
        <f t="shared" si="833"/>
        <v>12</v>
      </c>
      <c r="F5960">
        <f t="shared" si="834"/>
        <v>2025</v>
      </c>
      <c r="G5960" t="s">
        <v>112</v>
      </c>
      <c r="H5960" s="200">
        <v>14466</v>
      </c>
      <c r="I5960" s="15">
        <v>19457.87</v>
      </c>
      <c r="J5960" s="12" t="s">
        <v>51</v>
      </c>
      <c r="K5960" s="94">
        <f t="shared" si="835"/>
        <v>22882.455119999999</v>
      </c>
      <c r="L5960">
        <v>1.1759999999999999</v>
      </c>
      <c r="M5960" s="94">
        <v>0</v>
      </c>
      <c r="N5960" t="s">
        <v>32</v>
      </c>
      <c r="O5960" t="s">
        <v>33</v>
      </c>
      <c r="P5960" t="s">
        <v>34</v>
      </c>
      <c r="Q5960" t="s">
        <v>34</v>
      </c>
      <c r="R5960" t="s">
        <v>34</v>
      </c>
      <c r="S5960" t="s">
        <v>34</v>
      </c>
      <c r="T5960" s="117">
        <v>0</v>
      </c>
    </row>
    <row r="5961" spans="1:20" x14ac:dyDescent="0.35">
      <c r="A5961" t="s">
        <v>19</v>
      </c>
      <c r="B5961" t="s">
        <v>26</v>
      </c>
      <c r="C5961" s="1">
        <v>46009</v>
      </c>
      <c r="D5961">
        <f t="shared" si="832"/>
        <v>18</v>
      </c>
      <c r="E5961">
        <f t="shared" si="833"/>
        <v>12</v>
      </c>
      <c r="F5961">
        <f t="shared" si="834"/>
        <v>2025</v>
      </c>
      <c r="G5961" t="s">
        <v>112</v>
      </c>
      <c r="H5961" s="200">
        <v>14496</v>
      </c>
      <c r="I5961" s="15">
        <v>334.01</v>
      </c>
      <c r="J5961" s="12" t="s">
        <v>51</v>
      </c>
      <c r="K5961" s="94">
        <f t="shared" si="835"/>
        <v>392.79575999999997</v>
      </c>
      <c r="L5961">
        <v>1.1759999999999999</v>
      </c>
      <c r="M5961" s="94">
        <v>0</v>
      </c>
      <c r="N5961" t="s">
        <v>32</v>
      </c>
      <c r="O5961" t="s">
        <v>33</v>
      </c>
      <c r="P5961" t="s">
        <v>34</v>
      </c>
      <c r="Q5961" t="s">
        <v>34</v>
      </c>
      <c r="R5961" t="s">
        <v>34</v>
      </c>
      <c r="S5961" t="s">
        <v>34</v>
      </c>
      <c r="T5961" s="117">
        <v>0</v>
      </c>
    </row>
    <row r="5962" spans="1:20" x14ac:dyDescent="0.35">
      <c r="A5962" t="s">
        <v>19</v>
      </c>
      <c r="B5962" t="s">
        <v>26</v>
      </c>
      <c r="C5962" s="1">
        <v>46009</v>
      </c>
      <c r="D5962">
        <f t="shared" si="832"/>
        <v>18</v>
      </c>
      <c r="E5962">
        <f t="shared" si="833"/>
        <v>12</v>
      </c>
      <c r="F5962">
        <f t="shared" si="834"/>
        <v>2025</v>
      </c>
      <c r="G5962" t="s">
        <v>112</v>
      </c>
      <c r="H5962" s="200">
        <v>14498</v>
      </c>
      <c r="I5962" s="15">
        <v>1909.11</v>
      </c>
      <c r="J5962" s="12" t="s">
        <v>51</v>
      </c>
      <c r="K5962" s="94">
        <f t="shared" si="835"/>
        <v>2245.1133599999998</v>
      </c>
      <c r="L5962">
        <v>1.1759999999999999</v>
      </c>
      <c r="M5962" s="94">
        <v>0</v>
      </c>
      <c r="N5962" t="s">
        <v>32</v>
      </c>
      <c r="O5962" t="s">
        <v>33</v>
      </c>
      <c r="P5962" t="s">
        <v>34</v>
      </c>
      <c r="Q5962" t="s">
        <v>34</v>
      </c>
      <c r="R5962" t="s">
        <v>34</v>
      </c>
      <c r="S5962" t="s">
        <v>34</v>
      </c>
      <c r="T5962" s="117">
        <v>0</v>
      </c>
    </row>
    <row r="5963" spans="1:20" x14ac:dyDescent="0.35">
      <c r="A5963" t="s">
        <v>19</v>
      </c>
      <c r="B5963" t="s">
        <v>26</v>
      </c>
      <c r="C5963" s="1">
        <v>46009</v>
      </c>
      <c r="D5963">
        <f t="shared" si="832"/>
        <v>18</v>
      </c>
      <c r="E5963">
        <f t="shared" si="833"/>
        <v>12</v>
      </c>
      <c r="F5963">
        <f t="shared" si="834"/>
        <v>2025</v>
      </c>
      <c r="G5963" t="s">
        <v>112</v>
      </c>
      <c r="H5963" s="200">
        <v>14497</v>
      </c>
      <c r="I5963" s="15">
        <v>95572.86</v>
      </c>
      <c r="J5963" s="12" t="s">
        <v>51</v>
      </c>
      <c r="K5963" s="94">
        <f t="shared" si="835"/>
        <v>112393.68336</v>
      </c>
      <c r="L5963">
        <v>1.1759999999999999</v>
      </c>
      <c r="M5963" s="94">
        <v>0</v>
      </c>
      <c r="N5963" t="s">
        <v>32</v>
      </c>
      <c r="O5963" t="s">
        <v>33</v>
      </c>
      <c r="P5963" t="s">
        <v>34</v>
      </c>
      <c r="Q5963" t="s">
        <v>34</v>
      </c>
      <c r="R5963" t="s">
        <v>34</v>
      </c>
      <c r="S5963" t="s">
        <v>34</v>
      </c>
      <c r="T5963" s="117">
        <v>0</v>
      </c>
    </row>
    <row r="5964" spans="1:20" x14ac:dyDescent="0.35">
      <c r="A5964" t="s">
        <v>19</v>
      </c>
      <c r="B5964" t="s">
        <v>26</v>
      </c>
      <c r="C5964" s="1">
        <v>46009</v>
      </c>
      <c r="D5964">
        <f t="shared" si="832"/>
        <v>18</v>
      </c>
      <c r="E5964">
        <f t="shared" si="833"/>
        <v>12</v>
      </c>
      <c r="F5964">
        <f t="shared" si="834"/>
        <v>2025</v>
      </c>
      <c r="G5964" t="s">
        <v>112</v>
      </c>
      <c r="H5964" s="200">
        <v>14511</v>
      </c>
      <c r="I5964" s="15">
        <v>36176.17</v>
      </c>
      <c r="J5964" s="12" t="s">
        <v>51</v>
      </c>
      <c r="K5964" s="94">
        <f t="shared" si="835"/>
        <v>42543.175919999994</v>
      </c>
      <c r="L5964">
        <v>1.1759999999999999</v>
      </c>
      <c r="M5964" s="94">
        <v>0</v>
      </c>
      <c r="N5964" t="s">
        <v>32</v>
      </c>
      <c r="O5964" t="s">
        <v>33</v>
      </c>
      <c r="P5964" t="s">
        <v>34</v>
      </c>
      <c r="Q5964" t="s">
        <v>34</v>
      </c>
      <c r="R5964" t="s">
        <v>34</v>
      </c>
      <c r="S5964" t="s">
        <v>34</v>
      </c>
      <c r="T5964" s="117">
        <v>0</v>
      </c>
    </row>
    <row r="5965" spans="1:20" x14ac:dyDescent="0.35">
      <c r="A5965" t="s">
        <v>19</v>
      </c>
      <c r="B5965" t="s">
        <v>19</v>
      </c>
      <c r="C5965" s="1">
        <v>46008</v>
      </c>
      <c r="D5965">
        <f t="shared" ref="D5965:D5974" si="836">DAY(C5965)</f>
        <v>17</v>
      </c>
      <c r="E5965">
        <f t="shared" ref="E5965:E5974" si="837">MONTH(C5965)</f>
        <v>12</v>
      </c>
      <c r="F5965">
        <f t="shared" ref="F5965:F5974" si="838">YEAR(C5965)</f>
        <v>2025</v>
      </c>
      <c r="G5965" t="s">
        <v>125</v>
      </c>
      <c r="H5965" s="121" t="s">
        <v>1579</v>
      </c>
      <c r="I5965" s="76">
        <v>106300.9</v>
      </c>
      <c r="J5965" s="12" t="s">
        <v>31</v>
      </c>
      <c r="K5965" s="94">
        <f t="shared" si="835"/>
        <v>106300.9</v>
      </c>
      <c r="L5965">
        <v>1</v>
      </c>
      <c r="M5965" s="94">
        <v>0</v>
      </c>
      <c r="N5965" t="s">
        <v>32</v>
      </c>
      <c r="O5965" t="s">
        <v>33</v>
      </c>
      <c r="P5965" t="s">
        <v>34</v>
      </c>
      <c r="Q5965" t="s">
        <v>34</v>
      </c>
      <c r="R5965" t="s">
        <v>34</v>
      </c>
      <c r="S5965" t="s">
        <v>34</v>
      </c>
      <c r="T5965" s="117">
        <v>0</v>
      </c>
    </row>
    <row r="5966" spans="1:20" x14ac:dyDescent="0.35">
      <c r="A5966" t="s">
        <v>19</v>
      </c>
      <c r="B5966" t="s">
        <v>19</v>
      </c>
      <c r="C5966" s="1">
        <v>46008</v>
      </c>
      <c r="D5966">
        <f t="shared" si="836"/>
        <v>17</v>
      </c>
      <c r="E5966">
        <f t="shared" si="837"/>
        <v>12</v>
      </c>
      <c r="F5966">
        <f t="shared" si="838"/>
        <v>2025</v>
      </c>
      <c r="G5966" t="s">
        <v>265</v>
      </c>
      <c r="H5966" s="121" t="s">
        <v>1447</v>
      </c>
      <c r="I5966" s="76">
        <v>12056.87</v>
      </c>
      <c r="J5966" s="12" t="s">
        <v>31</v>
      </c>
      <c r="K5966" s="94">
        <f t="shared" si="835"/>
        <v>12056.87</v>
      </c>
      <c r="L5966">
        <v>1</v>
      </c>
      <c r="M5966" s="94">
        <v>0</v>
      </c>
      <c r="N5966" t="s">
        <v>32</v>
      </c>
      <c r="O5966" t="s">
        <v>33</v>
      </c>
      <c r="P5966" t="s">
        <v>34</v>
      </c>
      <c r="Q5966" t="s">
        <v>34</v>
      </c>
      <c r="R5966" t="s">
        <v>34</v>
      </c>
      <c r="S5966" t="s">
        <v>34</v>
      </c>
      <c r="T5966" s="117">
        <v>0</v>
      </c>
    </row>
    <row r="5967" spans="1:20" x14ac:dyDescent="0.35">
      <c r="A5967" t="s">
        <v>19</v>
      </c>
      <c r="B5967" t="s">
        <v>19</v>
      </c>
      <c r="C5967" s="1">
        <v>46008</v>
      </c>
      <c r="D5967">
        <f t="shared" si="836"/>
        <v>17</v>
      </c>
      <c r="E5967">
        <f t="shared" si="837"/>
        <v>12</v>
      </c>
      <c r="F5967">
        <f t="shared" si="838"/>
        <v>2025</v>
      </c>
      <c r="G5967" t="s">
        <v>56</v>
      </c>
      <c r="H5967" s="121" t="s">
        <v>1580</v>
      </c>
      <c r="I5967" s="76">
        <v>176901.76000000001</v>
      </c>
      <c r="J5967" s="12" t="s">
        <v>31</v>
      </c>
      <c r="K5967" s="94">
        <f t="shared" si="835"/>
        <v>176901.76000000001</v>
      </c>
      <c r="L5967">
        <v>1</v>
      </c>
      <c r="M5967" s="94">
        <v>0</v>
      </c>
      <c r="N5967" t="s">
        <v>32</v>
      </c>
      <c r="O5967" t="s">
        <v>33</v>
      </c>
      <c r="P5967" t="s">
        <v>34</v>
      </c>
      <c r="Q5967" t="s">
        <v>34</v>
      </c>
      <c r="R5967" t="s">
        <v>34</v>
      </c>
      <c r="S5967" t="s">
        <v>34</v>
      </c>
      <c r="T5967" s="117">
        <v>0</v>
      </c>
    </row>
    <row r="5968" spans="1:20" x14ac:dyDescent="0.35">
      <c r="A5968" t="s">
        <v>19</v>
      </c>
      <c r="B5968" t="s">
        <v>19</v>
      </c>
      <c r="C5968" s="1">
        <v>46008</v>
      </c>
      <c r="D5968">
        <f t="shared" si="836"/>
        <v>17</v>
      </c>
      <c r="E5968">
        <f t="shared" si="837"/>
        <v>12</v>
      </c>
      <c r="F5968">
        <f t="shared" si="838"/>
        <v>2025</v>
      </c>
      <c r="G5968" t="s">
        <v>56</v>
      </c>
      <c r="H5968" s="121" t="s">
        <v>1581</v>
      </c>
      <c r="I5968" s="76">
        <v>178173.29</v>
      </c>
      <c r="J5968" s="12" t="s">
        <v>31</v>
      </c>
      <c r="K5968" s="94">
        <f t="shared" si="835"/>
        <v>178173.29</v>
      </c>
      <c r="L5968">
        <v>1</v>
      </c>
      <c r="M5968" s="94">
        <v>0</v>
      </c>
      <c r="N5968" t="s">
        <v>32</v>
      </c>
      <c r="O5968" t="s">
        <v>33</v>
      </c>
      <c r="P5968" t="s">
        <v>34</v>
      </c>
      <c r="Q5968" t="s">
        <v>34</v>
      </c>
      <c r="R5968" t="s">
        <v>34</v>
      </c>
      <c r="S5968" t="s">
        <v>34</v>
      </c>
      <c r="T5968" s="117">
        <v>0</v>
      </c>
    </row>
    <row r="5969" spans="1:20" x14ac:dyDescent="0.35">
      <c r="A5969" t="s">
        <v>19</v>
      </c>
      <c r="B5969" t="s">
        <v>19</v>
      </c>
      <c r="C5969" s="1">
        <v>46008</v>
      </c>
      <c r="D5969">
        <f t="shared" si="836"/>
        <v>17</v>
      </c>
      <c r="E5969">
        <f t="shared" si="837"/>
        <v>12</v>
      </c>
      <c r="F5969">
        <f t="shared" si="838"/>
        <v>2025</v>
      </c>
      <c r="G5969" t="s">
        <v>56</v>
      </c>
      <c r="H5969" s="121" t="s">
        <v>1582</v>
      </c>
      <c r="I5969" s="76">
        <v>171734.45</v>
      </c>
      <c r="J5969" s="12" t="s">
        <v>31</v>
      </c>
      <c r="K5969" s="94">
        <f t="shared" si="835"/>
        <v>171734.45</v>
      </c>
      <c r="L5969">
        <v>1</v>
      </c>
      <c r="M5969" s="94">
        <v>0</v>
      </c>
      <c r="N5969" t="s">
        <v>32</v>
      </c>
      <c r="O5969" t="s">
        <v>33</v>
      </c>
      <c r="P5969" t="s">
        <v>34</v>
      </c>
      <c r="Q5969" t="s">
        <v>34</v>
      </c>
      <c r="R5969" t="s">
        <v>34</v>
      </c>
      <c r="S5969" t="s">
        <v>34</v>
      </c>
      <c r="T5969" s="117">
        <v>0</v>
      </c>
    </row>
    <row r="5970" spans="1:20" x14ac:dyDescent="0.35">
      <c r="A5970" t="s">
        <v>19</v>
      </c>
      <c r="B5970" t="s">
        <v>19</v>
      </c>
      <c r="C5970" s="1">
        <v>46008</v>
      </c>
      <c r="D5970">
        <f t="shared" si="836"/>
        <v>17</v>
      </c>
      <c r="E5970">
        <f t="shared" si="837"/>
        <v>12</v>
      </c>
      <c r="F5970">
        <f t="shared" si="838"/>
        <v>2025</v>
      </c>
      <c r="G5970" t="s">
        <v>424</v>
      </c>
      <c r="H5970" s="121" t="s">
        <v>1583</v>
      </c>
      <c r="I5970" s="76">
        <v>54429.58</v>
      </c>
      <c r="J5970" s="12" t="s">
        <v>31</v>
      </c>
      <c r="K5970" s="94">
        <f t="shared" si="835"/>
        <v>54429.58</v>
      </c>
      <c r="L5970">
        <v>1</v>
      </c>
      <c r="M5970" s="94">
        <v>0</v>
      </c>
      <c r="N5970" t="s">
        <v>32</v>
      </c>
      <c r="O5970" t="s">
        <v>33</v>
      </c>
      <c r="P5970" t="s">
        <v>34</v>
      </c>
      <c r="Q5970" t="s">
        <v>34</v>
      </c>
      <c r="R5970" t="s">
        <v>34</v>
      </c>
      <c r="S5970" t="s">
        <v>34</v>
      </c>
      <c r="T5970" s="117">
        <v>0</v>
      </c>
    </row>
    <row r="5971" spans="1:20" x14ac:dyDescent="0.35">
      <c r="A5971" t="s">
        <v>19</v>
      </c>
      <c r="B5971" t="s">
        <v>19</v>
      </c>
      <c r="C5971" s="1">
        <v>46008</v>
      </c>
      <c r="D5971">
        <f t="shared" si="836"/>
        <v>17</v>
      </c>
      <c r="E5971">
        <f t="shared" si="837"/>
        <v>12</v>
      </c>
      <c r="F5971">
        <f t="shared" si="838"/>
        <v>2025</v>
      </c>
      <c r="G5971" t="s">
        <v>523</v>
      </c>
      <c r="H5971" s="121" t="s">
        <v>1584</v>
      </c>
      <c r="I5971" s="76">
        <v>114</v>
      </c>
      <c r="J5971" s="12" t="s">
        <v>31</v>
      </c>
      <c r="K5971" s="94">
        <f t="shared" si="835"/>
        <v>114</v>
      </c>
      <c r="L5971">
        <v>1</v>
      </c>
      <c r="M5971" s="94">
        <v>0</v>
      </c>
      <c r="N5971" t="s">
        <v>32</v>
      </c>
      <c r="O5971" t="s">
        <v>33</v>
      </c>
      <c r="P5971" t="s">
        <v>34</v>
      </c>
      <c r="Q5971" t="s">
        <v>34</v>
      </c>
      <c r="R5971" t="s">
        <v>34</v>
      </c>
      <c r="S5971" t="s">
        <v>34</v>
      </c>
      <c r="T5971" s="117">
        <v>0</v>
      </c>
    </row>
    <row r="5972" spans="1:20" x14ac:dyDescent="0.35">
      <c r="A5972" t="s">
        <v>19</v>
      </c>
      <c r="B5972" t="s">
        <v>19</v>
      </c>
      <c r="C5972" s="1">
        <v>46008</v>
      </c>
      <c r="D5972">
        <f t="shared" si="836"/>
        <v>17</v>
      </c>
      <c r="E5972">
        <f t="shared" si="837"/>
        <v>12</v>
      </c>
      <c r="F5972">
        <f t="shared" si="838"/>
        <v>2025</v>
      </c>
      <c r="G5972" t="s">
        <v>263</v>
      </c>
      <c r="H5972" s="121" t="s">
        <v>1371</v>
      </c>
      <c r="I5972" s="76">
        <v>1983.98</v>
      </c>
      <c r="J5972" s="12" t="s">
        <v>31</v>
      </c>
      <c r="K5972" s="94">
        <f t="shared" si="835"/>
        <v>1983.98</v>
      </c>
      <c r="L5972">
        <v>1</v>
      </c>
      <c r="M5972" s="94">
        <v>0</v>
      </c>
      <c r="N5972" t="s">
        <v>32</v>
      </c>
      <c r="O5972" t="s">
        <v>33</v>
      </c>
      <c r="P5972" t="s">
        <v>34</v>
      </c>
      <c r="Q5972" t="s">
        <v>34</v>
      </c>
      <c r="R5972" t="s">
        <v>34</v>
      </c>
      <c r="S5972" t="s">
        <v>34</v>
      </c>
      <c r="T5972" s="117">
        <v>0</v>
      </c>
    </row>
    <row r="5973" spans="1:20" x14ac:dyDescent="0.35">
      <c r="A5973" t="s">
        <v>19</v>
      </c>
      <c r="B5973" t="s">
        <v>19</v>
      </c>
      <c r="C5973" s="1">
        <v>46008</v>
      </c>
      <c r="D5973">
        <f t="shared" si="836"/>
        <v>17</v>
      </c>
      <c r="E5973">
        <f t="shared" si="837"/>
        <v>12</v>
      </c>
      <c r="F5973">
        <f t="shared" si="838"/>
        <v>2025</v>
      </c>
      <c r="G5973" t="s">
        <v>183</v>
      </c>
      <c r="H5973" s="121" t="s">
        <v>1278</v>
      </c>
      <c r="I5973" s="76">
        <v>3443.56</v>
      </c>
      <c r="J5973" s="12" t="s">
        <v>31</v>
      </c>
      <c r="K5973" s="94">
        <f t="shared" si="835"/>
        <v>3443.56</v>
      </c>
      <c r="L5973">
        <v>1</v>
      </c>
      <c r="M5973" s="94">
        <v>0</v>
      </c>
      <c r="N5973" t="s">
        <v>32</v>
      </c>
      <c r="O5973" t="s">
        <v>33</v>
      </c>
      <c r="P5973" t="s">
        <v>34</v>
      </c>
      <c r="Q5973" t="s">
        <v>34</v>
      </c>
      <c r="R5973" t="s">
        <v>34</v>
      </c>
      <c r="S5973" t="s">
        <v>34</v>
      </c>
      <c r="T5973" s="117">
        <v>0</v>
      </c>
    </row>
    <row r="5974" spans="1:20" x14ac:dyDescent="0.35">
      <c r="A5974" t="s">
        <v>19</v>
      </c>
      <c r="B5974" t="s">
        <v>19</v>
      </c>
      <c r="C5974" s="1">
        <v>46008</v>
      </c>
      <c r="D5974">
        <f t="shared" si="836"/>
        <v>17</v>
      </c>
      <c r="E5974">
        <f t="shared" si="837"/>
        <v>12</v>
      </c>
      <c r="F5974">
        <f t="shared" si="838"/>
        <v>2025</v>
      </c>
      <c r="G5974" t="s">
        <v>127</v>
      </c>
      <c r="H5974" s="121" t="s">
        <v>1444</v>
      </c>
      <c r="I5974" s="76">
        <v>33441.1</v>
      </c>
      <c r="J5974" s="12" t="s">
        <v>31</v>
      </c>
      <c r="K5974" s="94">
        <f t="shared" si="835"/>
        <v>33441.1</v>
      </c>
      <c r="L5974">
        <v>1</v>
      </c>
      <c r="M5974" s="94">
        <v>0</v>
      </c>
      <c r="N5974" t="s">
        <v>32</v>
      </c>
      <c r="O5974" t="s">
        <v>33</v>
      </c>
      <c r="P5974" t="s">
        <v>34</v>
      </c>
      <c r="Q5974" t="s">
        <v>34</v>
      </c>
      <c r="R5974" t="s">
        <v>34</v>
      </c>
      <c r="S5974" t="s">
        <v>34</v>
      </c>
      <c r="T5974" s="117">
        <v>0</v>
      </c>
    </row>
    <row r="5975" spans="1:20" x14ac:dyDescent="0.35">
      <c r="A5975" t="s">
        <v>19</v>
      </c>
      <c r="B5975" t="s">
        <v>23</v>
      </c>
      <c r="C5975" s="1">
        <v>46014</v>
      </c>
      <c r="D5975">
        <f t="shared" ref="D5975:D5979" si="839">DAY(C5975)</f>
        <v>23</v>
      </c>
      <c r="E5975">
        <f t="shared" ref="E5975:E5979" si="840">MONTH(C5975)</f>
        <v>12</v>
      </c>
      <c r="F5975">
        <f t="shared" ref="F5975:F5979" si="841">YEAR(C5975)</f>
        <v>2025</v>
      </c>
      <c r="G5975" t="s">
        <v>1517</v>
      </c>
      <c r="H5975" s="121">
        <v>13974</v>
      </c>
      <c r="I5975" s="76">
        <v>19481</v>
      </c>
      <c r="J5975" s="12" t="s">
        <v>31</v>
      </c>
      <c r="K5975" s="94">
        <f t="shared" si="835"/>
        <v>19481</v>
      </c>
      <c r="L5975">
        <v>1</v>
      </c>
      <c r="M5975" s="94">
        <v>0</v>
      </c>
      <c r="N5975" t="s">
        <v>32</v>
      </c>
      <c r="O5975" t="s">
        <v>33</v>
      </c>
      <c r="P5975" t="s">
        <v>34</v>
      </c>
      <c r="Q5975" t="s">
        <v>34</v>
      </c>
      <c r="R5975" t="s">
        <v>34</v>
      </c>
      <c r="S5975" t="s">
        <v>34</v>
      </c>
      <c r="T5975" s="117">
        <v>0</v>
      </c>
    </row>
    <row r="5976" spans="1:20" x14ac:dyDescent="0.35">
      <c r="A5976" t="s">
        <v>19</v>
      </c>
      <c r="B5976" t="s">
        <v>21</v>
      </c>
      <c r="C5976" s="1">
        <v>46014</v>
      </c>
      <c r="D5976">
        <f t="shared" si="839"/>
        <v>23</v>
      </c>
      <c r="E5976">
        <f t="shared" si="840"/>
        <v>12</v>
      </c>
      <c r="F5976">
        <f t="shared" si="841"/>
        <v>2025</v>
      </c>
      <c r="G5976" t="s">
        <v>1517</v>
      </c>
      <c r="H5976" s="121">
        <v>14464</v>
      </c>
      <c r="I5976" s="76">
        <v>110</v>
      </c>
      <c r="J5976" s="12" t="s">
        <v>31</v>
      </c>
      <c r="K5976" s="94">
        <f t="shared" si="835"/>
        <v>110</v>
      </c>
      <c r="L5976">
        <v>1</v>
      </c>
      <c r="M5976" s="94">
        <v>0</v>
      </c>
      <c r="N5976" t="s">
        <v>42</v>
      </c>
      <c r="O5976" t="s">
        <v>33</v>
      </c>
      <c r="P5976" t="s">
        <v>34</v>
      </c>
      <c r="Q5976" t="s">
        <v>34</v>
      </c>
      <c r="R5976" t="s">
        <v>34</v>
      </c>
      <c r="S5976" t="s">
        <v>34</v>
      </c>
      <c r="T5976" s="117">
        <v>0</v>
      </c>
    </row>
    <row r="5977" spans="1:20" x14ac:dyDescent="0.35">
      <c r="A5977" t="s">
        <v>19</v>
      </c>
      <c r="B5977" t="s">
        <v>21</v>
      </c>
      <c r="C5977" s="1">
        <v>46014</v>
      </c>
      <c r="D5977">
        <f t="shared" si="839"/>
        <v>23</v>
      </c>
      <c r="E5977">
        <f t="shared" si="840"/>
        <v>12</v>
      </c>
      <c r="F5977">
        <f t="shared" si="841"/>
        <v>2025</v>
      </c>
      <c r="G5977" t="s">
        <v>1517</v>
      </c>
      <c r="H5977" s="121">
        <v>14465</v>
      </c>
      <c r="I5977" s="76">
        <v>6748.5</v>
      </c>
      <c r="J5977" s="12" t="s">
        <v>31</v>
      </c>
      <c r="K5977" s="94">
        <f t="shared" si="835"/>
        <v>6748.5</v>
      </c>
      <c r="L5977">
        <v>1</v>
      </c>
      <c r="M5977" s="94">
        <v>0</v>
      </c>
      <c r="N5977" t="s">
        <v>42</v>
      </c>
      <c r="O5977" t="s">
        <v>33</v>
      </c>
      <c r="P5977" t="s">
        <v>34</v>
      </c>
      <c r="Q5977" t="s">
        <v>34</v>
      </c>
      <c r="R5977" t="s">
        <v>34</v>
      </c>
      <c r="S5977" t="s">
        <v>34</v>
      </c>
      <c r="T5977" s="117">
        <v>0</v>
      </c>
    </row>
    <row r="5978" spans="1:20" x14ac:dyDescent="0.35">
      <c r="A5978" t="s">
        <v>19</v>
      </c>
      <c r="B5978" t="s">
        <v>21</v>
      </c>
      <c r="C5978" s="1">
        <v>46014</v>
      </c>
      <c r="D5978">
        <f t="shared" si="839"/>
        <v>23</v>
      </c>
      <c r="E5978">
        <f t="shared" si="840"/>
        <v>12</v>
      </c>
      <c r="F5978">
        <f t="shared" si="841"/>
        <v>2025</v>
      </c>
      <c r="G5978" t="s">
        <v>1517</v>
      </c>
      <c r="H5978" s="121">
        <v>14467</v>
      </c>
      <c r="I5978" s="76">
        <v>81.400000000000006</v>
      </c>
      <c r="J5978" s="12" t="s">
        <v>31</v>
      </c>
      <c r="K5978" s="94">
        <f t="shared" si="835"/>
        <v>81.400000000000006</v>
      </c>
      <c r="L5978">
        <v>1</v>
      </c>
      <c r="M5978" s="94">
        <v>0</v>
      </c>
      <c r="N5978" t="s">
        <v>42</v>
      </c>
      <c r="O5978" t="s">
        <v>33</v>
      </c>
      <c r="P5978" t="s">
        <v>34</v>
      </c>
      <c r="Q5978" t="s">
        <v>34</v>
      </c>
      <c r="R5978" t="s">
        <v>34</v>
      </c>
      <c r="S5978" t="s">
        <v>34</v>
      </c>
      <c r="T5978" s="117">
        <v>0</v>
      </c>
    </row>
    <row r="5979" spans="1:20" x14ac:dyDescent="0.35">
      <c r="A5979" t="s">
        <v>19</v>
      </c>
      <c r="B5979" t="s">
        <v>21</v>
      </c>
      <c r="C5979" s="1">
        <v>46014</v>
      </c>
      <c r="D5979">
        <f t="shared" si="839"/>
        <v>23</v>
      </c>
      <c r="E5979">
        <f t="shared" si="840"/>
        <v>12</v>
      </c>
      <c r="F5979">
        <f t="shared" si="841"/>
        <v>2025</v>
      </c>
      <c r="G5979" t="s">
        <v>1517</v>
      </c>
      <c r="H5979" s="121">
        <v>14468</v>
      </c>
      <c r="I5979" s="76">
        <v>5463.15</v>
      </c>
      <c r="J5979" s="12" t="s">
        <v>31</v>
      </c>
      <c r="K5979" s="94">
        <f t="shared" si="835"/>
        <v>5463.15</v>
      </c>
      <c r="L5979">
        <v>1</v>
      </c>
      <c r="M5979" s="94">
        <v>0</v>
      </c>
      <c r="N5979" t="s">
        <v>42</v>
      </c>
      <c r="O5979" t="s">
        <v>33</v>
      </c>
      <c r="P5979" t="s">
        <v>34</v>
      </c>
      <c r="Q5979" t="s">
        <v>34</v>
      </c>
      <c r="R5979" t="s">
        <v>34</v>
      </c>
      <c r="S5979" t="s">
        <v>34</v>
      </c>
      <c r="T5979" s="117">
        <v>0</v>
      </c>
    </row>
    <row r="5980" spans="1:20" x14ac:dyDescent="0.35">
      <c r="A5980" t="s">
        <v>19</v>
      </c>
      <c r="B5980" t="s">
        <v>21</v>
      </c>
      <c r="C5980" s="1">
        <v>46014</v>
      </c>
      <c r="D5980">
        <f t="shared" ref="D5980:D5983" si="842">DAY(C5980)</f>
        <v>23</v>
      </c>
      <c r="E5980">
        <f t="shared" ref="E5980:E5983" si="843">MONTH(C5980)</f>
        <v>12</v>
      </c>
      <c r="F5980">
        <f t="shared" ref="F5980:F5983" si="844">YEAR(C5980)</f>
        <v>2025</v>
      </c>
      <c r="G5980" t="s">
        <v>75</v>
      </c>
      <c r="H5980" s="121">
        <v>14444</v>
      </c>
      <c r="I5980" s="76">
        <v>27647.55</v>
      </c>
      <c r="J5980" s="12" t="s">
        <v>31</v>
      </c>
      <c r="K5980" s="94">
        <f t="shared" si="835"/>
        <v>27647.55</v>
      </c>
      <c r="L5980">
        <v>1</v>
      </c>
      <c r="M5980" s="94">
        <v>0</v>
      </c>
      <c r="N5980" t="s">
        <v>42</v>
      </c>
      <c r="O5980" t="s">
        <v>33</v>
      </c>
      <c r="P5980" t="s">
        <v>34</v>
      </c>
      <c r="Q5980" t="s">
        <v>34</v>
      </c>
      <c r="R5980" t="s">
        <v>34</v>
      </c>
      <c r="S5980" t="s">
        <v>34</v>
      </c>
      <c r="T5980" s="117">
        <v>0</v>
      </c>
    </row>
    <row r="5981" spans="1:20" x14ac:dyDescent="0.35">
      <c r="A5981" t="s">
        <v>19</v>
      </c>
      <c r="B5981" t="s">
        <v>23</v>
      </c>
      <c r="C5981" s="1">
        <v>46014</v>
      </c>
      <c r="D5981">
        <f t="shared" si="842"/>
        <v>23</v>
      </c>
      <c r="E5981">
        <f t="shared" si="843"/>
        <v>12</v>
      </c>
      <c r="F5981">
        <f t="shared" si="844"/>
        <v>2025</v>
      </c>
      <c r="G5981" t="s">
        <v>75</v>
      </c>
      <c r="H5981" s="121">
        <v>14444</v>
      </c>
      <c r="I5981" s="76">
        <v>5820</v>
      </c>
      <c r="J5981" s="12" t="s">
        <v>31</v>
      </c>
      <c r="K5981" s="94">
        <f t="shared" si="835"/>
        <v>5820</v>
      </c>
      <c r="L5981">
        <v>1</v>
      </c>
      <c r="M5981" s="94">
        <v>0</v>
      </c>
      <c r="N5981" t="s">
        <v>42</v>
      </c>
      <c r="O5981" t="s">
        <v>33</v>
      </c>
      <c r="P5981" t="s">
        <v>34</v>
      </c>
      <c r="Q5981" t="s">
        <v>34</v>
      </c>
      <c r="R5981" t="s">
        <v>34</v>
      </c>
      <c r="S5981" t="s">
        <v>34</v>
      </c>
      <c r="T5981" s="117">
        <v>0</v>
      </c>
    </row>
    <row r="5982" spans="1:20" x14ac:dyDescent="0.35">
      <c r="A5982" t="s">
        <v>19</v>
      </c>
      <c r="B5982" t="s">
        <v>21</v>
      </c>
      <c r="C5982" s="1">
        <v>46014</v>
      </c>
      <c r="D5982">
        <f t="shared" si="842"/>
        <v>23</v>
      </c>
      <c r="E5982">
        <f t="shared" si="843"/>
        <v>12</v>
      </c>
      <c r="F5982">
        <f t="shared" si="844"/>
        <v>2025</v>
      </c>
      <c r="G5982" t="s">
        <v>75</v>
      </c>
      <c r="H5982" s="121">
        <v>14472</v>
      </c>
      <c r="I5982" s="76">
        <v>18231.2</v>
      </c>
      <c r="J5982" s="12" t="s">
        <v>31</v>
      </c>
      <c r="K5982" s="94">
        <f t="shared" si="835"/>
        <v>18231.2</v>
      </c>
      <c r="L5982">
        <v>1</v>
      </c>
      <c r="M5982" s="94">
        <v>0</v>
      </c>
      <c r="N5982" t="s">
        <v>42</v>
      </c>
      <c r="O5982" t="s">
        <v>33</v>
      </c>
      <c r="P5982" t="s">
        <v>34</v>
      </c>
      <c r="Q5982" t="s">
        <v>34</v>
      </c>
      <c r="R5982" t="s">
        <v>34</v>
      </c>
      <c r="S5982" t="s">
        <v>34</v>
      </c>
      <c r="T5982" s="117">
        <v>0</v>
      </c>
    </row>
    <row r="5983" spans="1:20" x14ac:dyDescent="0.35">
      <c r="A5983" t="s">
        <v>19</v>
      </c>
      <c r="B5983" t="s">
        <v>21</v>
      </c>
      <c r="C5983" s="1">
        <v>46014</v>
      </c>
      <c r="D5983">
        <f t="shared" si="842"/>
        <v>23</v>
      </c>
      <c r="E5983">
        <f t="shared" si="843"/>
        <v>12</v>
      </c>
      <c r="F5983">
        <f t="shared" si="844"/>
        <v>2025</v>
      </c>
      <c r="G5983" t="s">
        <v>75</v>
      </c>
      <c r="H5983" s="121">
        <v>14012</v>
      </c>
      <c r="I5983" s="76">
        <v>136.1</v>
      </c>
      <c r="J5983" s="12" t="s">
        <v>31</v>
      </c>
      <c r="K5983" s="94">
        <f t="shared" si="835"/>
        <v>136.1</v>
      </c>
      <c r="L5983">
        <v>1</v>
      </c>
      <c r="M5983" s="94">
        <v>0</v>
      </c>
      <c r="N5983" t="s">
        <v>32</v>
      </c>
      <c r="O5983" t="s">
        <v>33</v>
      </c>
      <c r="P5983" t="s">
        <v>34</v>
      </c>
      <c r="Q5983" t="s">
        <v>34</v>
      </c>
      <c r="R5983" t="s">
        <v>34</v>
      </c>
      <c r="S5983" t="s">
        <v>34</v>
      </c>
      <c r="T5983" s="117">
        <v>0</v>
      </c>
    </row>
    <row r="5984" spans="1:20" x14ac:dyDescent="0.35">
      <c r="A5984" t="s">
        <v>19</v>
      </c>
      <c r="B5984" t="s">
        <v>23</v>
      </c>
      <c r="C5984" s="1">
        <v>46014</v>
      </c>
      <c r="D5984">
        <f>DAY(C5984)</f>
        <v>23</v>
      </c>
      <c r="E5984">
        <f>MONTH(C5984)</f>
        <v>12</v>
      </c>
      <c r="F5984">
        <f>YEAR(C5984)</f>
        <v>2025</v>
      </c>
      <c r="G5984" t="s">
        <v>74</v>
      </c>
      <c r="H5984" s="121">
        <v>14328</v>
      </c>
      <c r="I5984" s="76">
        <v>62263.8</v>
      </c>
      <c r="J5984" s="12" t="s">
        <v>31</v>
      </c>
      <c r="K5984" s="94">
        <f t="shared" si="835"/>
        <v>62263.8</v>
      </c>
      <c r="L5984">
        <v>1</v>
      </c>
      <c r="M5984" s="94">
        <v>0</v>
      </c>
      <c r="N5984" t="s">
        <v>32</v>
      </c>
      <c r="O5984" t="s">
        <v>33</v>
      </c>
      <c r="P5984" t="s">
        <v>34</v>
      </c>
      <c r="Q5984" t="s">
        <v>34</v>
      </c>
      <c r="R5984" t="s">
        <v>34</v>
      </c>
      <c r="S5984" t="s">
        <v>34</v>
      </c>
      <c r="T5984" s="117">
        <v>0</v>
      </c>
    </row>
    <row r="5985" spans="1:20" x14ac:dyDescent="0.35">
      <c r="A5985" t="s">
        <v>19</v>
      </c>
      <c r="B5985" t="s">
        <v>25</v>
      </c>
      <c r="C5985" s="1">
        <v>46014</v>
      </c>
      <c r="D5985">
        <f t="shared" ref="D5985:D5987" si="845">DAY(C5985)</f>
        <v>23</v>
      </c>
      <c r="E5985">
        <f t="shared" ref="E5985:E5987" si="846">MONTH(C5985)</f>
        <v>12</v>
      </c>
      <c r="F5985">
        <f t="shared" ref="F5985:F5987" si="847">YEAR(C5985)</f>
        <v>2025</v>
      </c>
      <c r="G5985" t="s">
        <v>76</v>
      </c>
      <c r="H5985" s="121">
        <v>13776</v>
      </c>
      <c r="I5985" s="76">
        <v>30820.9</v>
      </c>
      <c r="J5985" s="12" t="s">
        <v>31</v>
      </c>
      <c r="K5985" s="94">
        <f t="shared" si="835"/>
        <v>30820.9</v>
      </c>
      <c r="L5985">
        <v>1</v>
      </c>
      <c r="M5985" s="94">
        <v>0</v>
      </c>
      <c r="N5985" t="s">
        <v>42</v>
      </c>
      <c r="O5985" t="s">
        <v>33</v>
      </c>
      <c r="P5985" t="s">
        <v>34</v>
      </c>
      <c r="Q5985" t="s">
        <v>34</v>
      </c>
      <c r="R5985" t="s">
        <v>34</v>
      </c>
      <c r="S5985" t="s">
        <v>34</v>
      </c>
      <c r="T5985" s="117">
        <v>0</v>
      </c>
    </row>
    <row r="5986" spans="1:20" x14ac:dyDescent="0.35">
      <c r="A5986" t="s">
        <v>19</v>
      </c>
      <c r="B5986" t="s">
        <v>23</v>
      </c>
      <c r="C5986" s="1">
        <v>46014</v>
      </c>
      <c r="D5986">
        <f t="shared" si="845"/>
        <v>23</v>
      </c>
      <c r="E5986">
        <f t="shared" si="846"/>
        <v>12</v>
      </c>
      <c r="F5986">
        <f t="shared" si="847"/>
        <v>2025</v>
      </c>
      <c r="G5986" t="s">
        <v>76</v>
      </c>
      <c r="H5986" s="121">
        <v>13776</v>
      </c>
      <c r="I5986" s="76">
        <v>36546.61</v>
      </c>
      <c r="J5986" s="12" t="s">
        <v>31</v>
      </c>
      <c r="K5986" s="94">
        <f t="shared" si="835"/>
        <v>36546.61</v>
      </c>
      <c r="L5986">
        <v>1</v>
      </c>
      <c r="M5986" s="94">
        <v>0</v>
      </c>
      <c r="N5986" t="s">
        <v>42</v>
      </c>
      <c r="O5986" t="s">
        <v>33</v>
      </c>
      <c r="P5986" t="s">
        <v>34</v>
      </c>
      <c r="Q5986" t="s">
        <v>34</v>
      </c>
      <c r="R5986" t="s">
        <v>34</v>
      </c>
      <c r="S5986" t="s">
        <v>34</v>
      </c>
      <c r="T5986" s="117">
        <v>0</v>
      </c>
    </row>
    <row r="5987" spans="1:20" x14ac:dyDescent="0.35">
      <c r="A5987" t="s">
        <v>19</v>
      </c>
      <c r="B5987" t="s">
        <v>21</v>
      </c>
      <c r="C5987" s="1">
        <v>46014</v>
      </c>
      <c r="D5987">
        <f t="shared" si="845"/>
        <v>23</v>
      </c>
      <c r="E5987">
        <f t="shared" si="846"/>
        <v>12</v>
      </c>
      <c r="F5987">
        <f t="shared" si="847"/>
        <v>2025</v>
      </c>
      <c r="G5987" t="s">
        <v>76</v>
      </c>
      <c r="H5987" s="121">
        <v>13776</v>
      </c>
      <c r="I5987" s="76">
        <v>65758.62</v>
      </c>
      <c r="J5987" s="12" t="s">
        <v>31</v>
      </c>
      <c r="K5987" s="94">
        <f t="shared" si="835"/>
        <v>65758.62</v>
      </c>
      <c r="L5987">
        <v>1</v>
      </c>
      <c r="M5987" s="94">
        <v>0</v>
      </c>
      <c r="N5987" t="s">
        <v>42</v>
      </c>
      <c r="O5987" t="s">
        <v>33</v>
      </c>
      <c r="P5987" t="s">
        <v>34</v>
      </c>
      <c r="Q5987" t="s">
        <v>34</v>
      </c>
      <c r="R5987" t="s">
        <v>34</v>
      </c>
      <c r="S5987" t="s">
        <v>34</v>
      </c>
      <c r="T5987" s="117">
        <v>0</v>
      </c>
    </row>
    <row r="5988" spans="1:20" x14ac:dyDescent="0.35">
      <c r="A5988" t="s">
        <v>19</v>
      </c>
      <c r="B5988" t="s">
        <v>21</v>
      </c>
      <c r="C5988" s="1">
        <v>46014</v>
      </c>
      <c r="D5988">
        <f>DAY(C5988)</f>
        <v>23</v>
      </c>
      <c r="E5988">
        <f>MONTH(C5988)</f>
        <v>12</v>
      </c>
      <c r="F5988">
        <f>YEAR(C5988)</f>
        <v>2025</v>
      </c>
      <c r="G5988" t="s">
        <v>1586</v>
      </c>
      <c r="H5988" s="121">
        <v>14478</v>
      </c>
      <c r="I5988" s="76">
        <v>4842</v>
      </c>
      <c r="J5988" s="12" t="s">
        <v>31</v>
      </c>
      <c r="K5988" s="94">
        <f t="shared" si="835"/>
        <v>4842</v>
      </c>
      <c r="L5988">
        <v>1</v>
      </c>
      <c r="M5988" s="94">
        <v>0</v>
      </c>
      <c r="N5988" t="s">
        <v>42</v>
      </c>
      <c r="O5988" t="s">
        <v>33</v>
      </c>
      <c r="P5988" t="s">
        <v>34</v>
      </c>
      <c r="Q5988" t="s">
        <v>34</v>
      </c>
      <c r="R5988" t="s">
        <v>34</v>
      </c>
      <c r="S5988" t="s">
        <v>34</v>
      </c>
      <c r="T5988" s="117">
        <v>0</v>
      </c>
    </row>
    <row r="5989" spans="1:20" x14ac:dyDescent="0.35">
      <c r="A5989" t="s">
        <v>19</v>
      </c>
      <c r="B5989" t="s">
        <v>1489</v>
      </c>
      <c r="C5989" s="1">
        <v>46014</v>
      </c>
      <c r="D5989">
        <f t="shared" ref="D5989:D5990" si="848">DAY(C5989)</f>
        <v>23</v>
      </c>
      <c r="E5989">
        <f t="shared" ref="E5989:E5990" si="849">MONTH(C5989)</f>
        <v>12</v>
      </c>
      <c r="F5989">
        <f t="shared" ref="F5989:F5990" si="850">YEAR(C5989)</f>
        <v>2025</v>
      </c>
      <c r="G5989" t="s">
        <v>35</v>
      </c>
      <c r="H5989" s="121">
        <v>13546</v>
      </c>
      <c r="I5989" s="76">
        <v>7495.77</v>
      </c>
      <c r="J5989" s="12" t="s">
        <v>31</v>
      </c>
      <c r="K5989" s="94">
        <f t="shared" si="835"/>
        <v>7495.77</v>
      </c>
      <c r="L5989">
        <v>1</v>
      </c>
      <c r="M5989" s="94">
        <v>0</v>
      </c>
      <c r="N5989" t="s">
        <v>32</v>
      </c>
      <c r="O5989" t="s">
        <v>33</v>
      </c>
      <c r="P5989" t="s">
        <v>34</v>
      </c>
      <c r="Q5989" t="s">
        <v>34</v>
      </c>
      <c r="R5989" t="s">
        <v>34</v>
      </c>
      <c r="S5989" t="s">
        <v>34</v>
      </c>
      <c r="T5989" s="117">
        <v>0</v>
      </c>
    </row>
    <row r="5990" spans="1:20" x14ac:dyDescent="0.35">
      <c r="A5990" t="s">
        <v>19</v>
      </c>
      <c r="B5990" t="s">
        <v>1489</v>
      </c>
      <c r="C5990" s="1">
        <v>46014</v>
      </c>
      <c r="D5990">
        <f t="shared" si="848"/>
        <v>23</v>
      </c>
      <c r="E5990">
        <f t="shared" si="849"/>
        <v>12</v>
      </c>
      <c r="F5990">
        <f t="shared" si="850"/>
        <v>2025</v>
      </c>
      <c r="G5990" t="s">
        <v>35</v>
      </c>
      <c r="H5990" s="121">
        <v>13768</v>
      </c>
      <c r="I5990" s="76">
        <v>23514.65</v>
      </c>
      <c r="J5990" s="12" t="s">
        <v>31</v>
      </c>
      <c r="K5990" s="94">
        <f t="shared" si="835"/>
        <v>23514.65</v>
      </c>
      <c r="L5990">
        <v>1</v>
      </c>
      <c r="M5990" s="94">
        <v>0</v>
      </c>
      <c r="N5990" t="s">
        <v>32</v>
      </c>
      <c r="O5990" t="s">
        <v>33</v>
      </c>
      <c r="P5990" t="s">
        <v>34</v>
      </c>
      <c r="Q5990" t="s">
        <v>34</v>
      </c>
      <c r="R5990" t="s">
        <v>34</v>
      </c>
      <c r="S5990" t="s">
        <v>34</v>
      </c>
      <c r="T5990" s="117">
        <v>0</v>
      </c>
    </row>
    <row r="5991" spans="1:20" x14ac:dyDescent="0.35">
      <c r="A5991" t="s">
        <v>20</v>
      </c>
      <c r="B5991" t="s">
        <v>21</v>
      </c>
      <c r="C5991" s="1">
        <v>46014</v>
      </c>
      <c r="D5991">
        <f>DAY(C5991)</f>
        <v>23</v>
      </c>
      <c r="E5991">
        <f>MONTH(C5991)</f>
        <v>12</v>
      </c>
      <c r="F5991">
        <f>YEAR(C5991)</f>
        <v>2025</v>
      </c>
      <c r="G5991" t="s">
        <v>273</v>
      </c>
      <c r="H5991" s="121">
        <v>13596</v>
      </c>
      <c r="I5991" s="76">
        <v>4540.01</v>
      </c>
      <c r="J5991" s="12" t="s">
        <v>31</v>
      </c>
      <c r="K5991" s="94">
        <f t="shared" si="835"/>
        <v>4540.01</v>
      </c>
      <c r="L5991">
        <v>1</v>
      </c>
      <c r="M5991" s="94">
        <v>0</v>
      </c>
      <c r="N5991" t="s">
        <v>32</v>
      </c>
      <c r="O5991" t="s">
        <v>33</v>
      </c>
      <c r="P5991" t="s">
        <v>34</v>
      </c>
      <c r="Q5991" t="s">
        <v>34</v>
      </c>
      <c r="R5991" t="s">
        <v>34</v>
      </c>
      <c r="S5991" t="s">
        <v>34</v>
      </c>
      <c r="T5991" s="117">
        <v>0</v>
      </c>
    </row>
    <row r="5992" spans="1:20" x14ac:dyDescent="0.35">
      <c r="A5992" t="s">
        <v>20</v>
      </c>
      <c r="B5992" t="s">
        <v>23</v>
      </c>
      <c r="C5992" s="1">
        <v>46014</v>
      </c>
      <c r="D5992">
        <f>DAY(C5992)</f>
        <v>23</v>
      </c>
      <c r="E5992">
        <f>MONTH(C5992)</f>
        <v>12</v>
      </c>
      <c r="F5992">
        <f>YEAR(C5992)</f>
        <v>2025</v>
      </c>
      <c r="G5992" t="s">
        <v>177</v>
      </c>
      <c r="H5992" s="121">
        <v>13720</v>
      </c>
      <c r="I5992" s="76">
        <v>10642.5</v>
      </c>
      <c r="J5992" s="12" t="s">
        <v>31</v>
      </c>
      <c r="K5992" s="94">
        <f t="shared" si="835"/>
        <v>10642.5</v>
      </c>
      <c r="L5992">
        <v>1</v>
      </c>
      <c r="M5992" s="94">
        <v>0</v>
      </c>
      <c r="N5992" t="s">
        <v>32</v>
      </c>
      <c r="O5992" t="s">
        <v>33</v>
      </c>
      <c r="P5992" t="s">
        <v>34</v>
      </c>
      <c r="Q5992" t="s">
        <v>34</v>
      </c>
      <c r="R5992" t="s">
        <v>34</v>
      </c>
      <c r="S5992" t="s">
        <v>34</v>
      </c>
      <c r="T5992" s="117">
        <v>0</v>
      </c>
    </row>
    <row r="5993" spans="1:20" x14ac:dyDescent="0.35">
      <c r="A5993" t="s">
        <v>20</v>
      </c>
      <c r="B5993" t="s">
        <v>21</v>
      </c>
      <c r="C5993" s="1">
        <v>46014</v>
      </c>
      <c r="D5993">
        <f t="shared" ref="D5993:D5994" si="851">DAY(C5993)</f>
        <v>23</v>
      </c>
      <c r="E5993">
        <f t="shared" ref="E5993:E5994" si="852">MONTH(C5993)</f>
        <v>12</v>
      </c>
      <c r="F5993">
        <f t="shared" ref="F5993:F5994" si="853">YEAR(C5993)</f>
        <v>2025</v>
      </c>
      <c r="G5993" t="s">
        <v>300</v>
      </c>
      <c r="H5993" s="121">
        <v>14470</v>
      </c>
      <c r="I5993" s="76">
        <v>62.4</v>
      </c>
      <c r="J5993" s="12" t="s">
        <v>31</v>
      </c>
      <c r="K5993" s="94">
        <f t="shared" si="835"/>
        <v>62.4</v>
      </c>
      <c r="L5993">
        <v>1</v>
      </c>
      <c r="M5993" s="94">
        <v>0</v>
      </c>
      <c r="N5993" t="s">
        <v>42</v>
      </c>
      <c r="O5993" t="s">
        <v>33</v>
      </c>
      <c r="P5993" t="s">
        <v>34</v>
      </c>
      <c r="Q5993" t="s">
        <v>34</v>
      </c>
      <c r="R5993" t="s">
        <v>34</v>
      </c>
      <c r="S5993" t="s">
        <v>34</v>
      </c>
      <c r="T5993" s="117">
        <v>0</v>
      </c>
    </row>
    <row r="5994" spans="1:20" x14ac:dyDescent="0.35">
      <c r="A5994" t="s">
        <v>20</v>
      </c>
      <c r="B5994" t="s">
        <v>21</v>
      </c>
      <c r="C5994" s="1">
        <v>46014</v>
      </c>
      <c r="D5994">
        <f t="shared" si="851"/>
        <v>23</v>
      </c>
      <c r="E5994">
        <f t="shared" si="852"/>
        <v>12</v>
      </c>
      <c r="F5994">
        <f t="shared" si="853"/>
        <v>2025</v>
      </c>
      <c r="G5994" t="s">
        <v>300</v>
      </c>
      <c r="H5994" s="121">
        <v>14471</v>
      </c>
      <c r="I5994" s="76">
        <v>1273.58</v>
      </c>
      <c r="J5994" s="12" t="s">
        <v>31</v>
      </c>
      <c r="K5994" s="94">
        <f t="shared" si="835"/>
        <v>1273.58</v>
      </c>
      <c r="L5994">
        <v>1</v>
      </c>
      <c r="M5994" s="94">
        <v>0</v>
      </c>
      <c r="N5994" t="s">
        <v>42</v>
      </c>
      <c r="O5994" t="s">
        <v>33</v>
      </c>
      <c r="P5994" t="s">
        <v>34</v>
      </c>
      <c r="Q5994" t="s">
        <v>34</v>
      </c>
      <c r="R5994" t="s">
        <v>34</v>
      </c>
      <c r="S5994" t="s">
        <v>34</v>
      </c>
      <c r="T5994" s="117">
        <v>0</v>
      </c>
    </row>
    <row r="5995" spans="1:20" x14ac:dyDescent="0.35">
      <c r="A5995" t="s">
        <v>20</v>
      </c>
      <c r="B5995" t="s">
        <v>24</v>
      </c>
      <c r="C5995" s="1">
        <v>46014</v>
      </c>
      <c r="D5995">
        <f>DAY(C5995)</f>
        <v>23</v>
      </c>
      <c r="E5995">
        <f>MONTH(C5995)</f>
        <v>12</v>
      </c>
      <c r="F5995">
        <f>YEAR(C5995)</f>
        <v>2025</v>
      </c>
      <c r="G5995" t="s">
        <v>43</v>
      </c>
      <c r="H5995" s="121">
        <v>13426</v>
      </c>
      <c r="I5995" s="76">
        <v>14317.3</v>
      </c>
      <c r="J5995" s="12" t="s">
        <v>31</v>
      </c>
      <c r="K5995" s="94">
        <f t="shared" si="835"/>
        <v>14317.3</v>
      </c>
      <c r="L5995">
        <v>1</v>
      </c>
      <c r="M5995" s="94">
        <v>0</v>
      </c>
      <c r="N5995" t="s">
        <v>42</v>
      </c>
      <c r="O5995" t="s">
        <v>33</v>
      </c>
      <c r="P5995" t="s">
        <v>34</v>
      </c>
      <c r="Q5995" t="s">
        <v>34</v>
      </c>
      <c r="R5995" t="s">
        <v>34</v>
      </c>
      <c r="S5995" t="s">
        <v>34</v>
      </c>
      <c r="T5995" s="117">
        <v>0</v>
      </c>
    </row>
    <row r="5996" spans="1:20" x14ac:dyDescent="0.35">
      <c r="A5996" t="s">
        <v>20</v>
      </c>
      <c r="B5996" t="s">
        <v>23</v>
      </c>
      <c r="C5996" s="1">
        <v>46014</v>
      </c>
      <c r="D5996">
        <f t="shared" ref="D5996:D5997" si="854">DAY(C5996)</f>
        <v>23</v>
      </c>
      <c r="E5996">
        <f t="shared" ref="E5996:E5997" si="855">MONTH(C5996)</f>
        <v>12</v>
      </c>
      <c r="F5996">
        <f t="shared" ref="F5996:F5997" si="856">YEAR(C5996)</f>
        <v>2025</v>
      </c>
      <c r="G5996" t="s">
        <v>82</v>
      </c>
      <c r="H5996" s="121">
        <v>13781</v>
      </c>
      <c r="I5996" s="76">
        <v>5666.14</v>
      </c>
      <c r="J5996" s="12" t="s">
        <v>31</v>
      </c>
      <c r="K5996" s="94">
        <f t="shared" si="835"/>
        <v>5666.14</v>
      </c>
      <c r="L5996">
        <v>1</v>
      </c>
      <c r="M5996" s="94">
        <v>0</v>
      </c>
      <c r="N5996" t="s">
        <v>32</v>
      </c>
      <c r="O5996" t="s">
        <v>33</v>
      </c>
      <c r="P5996" t="s">
        <v>34</v>
      </c>
      <c r="Q5996" t="s">
        <v>34</v>
      </c>
      <c r="R5996" t="s">
        <v>34</v>
      </c>
      <c r="S5996" t="s">
        <v>34</v>
      </c>
      <c r="T5996" s="117">
        <v>0</v>
      </c>
    </row>
    <row r="5997" spans="1:20" x14ac:dyDescent="0.35">
      <c r="A5997" t="s">
        <v>20</v>
      </c>
      <c r="B5997" t="s">
        <v>24</v>
      </c>
      <c r="C5997" s="1">
        <v>46014</v>
      </c>
      <c r="D5997">
        <f t="shared" si="854"/>
        <v>23</v>
      </c>
      <c r="E5997">
        <f t="shared" si="855"/>
        <v>12</v>
      </c>
      <c r="F5997">
        <f t="shared" si="856"/>
        <v>2025</v>
      </c>
      <c r="G5997" t="s">
        <v>82</v>
      </c>
      <c r="H5997" s="121">
        <v>13680</v>
      </c>
      <c r="I5997" s="76">
        <v>87.6</v>
      </c>
      <c r="J5997" s="12" t="s">
        <v>31</v>
      </c>
      <c r="K5997" s="94">
        <f t="shared" si="835"/>
        <v>87.6</v>
      </c>
      <c r="L5997">
        <v>1</v>
      </c>
      <c r="M5997" s="94">
        <v>0</v>
      </c>
      <c r="N5997" t="s">
        <v>32</v>
      </c>
      <c r="O5997" t="s">
        <v>33</v>
      </c>
      <c r="P5997" t="s">
        <v>34</v>
      </c>
      <c r="Q5997" t="s">
        <v>34</v>
      </c>
      <c r="R5997" t="s">
        <v>34</v>
      </c>
      <c r="S5997" t="s">
        <v>34</v>
      </c>
      <c r="T5997" s="117">
        <v>0</v>
      </c>
    </row>
    <row r="5998" spans="1:20" x14ac:dyDescent="0.35">
      <c r="A5998" t="s">
        <v>20</v>
      </c>
      <c r="B5998" t="s">
        <v>21</v>
      </c>
      <c r="C5998" s="1">
        <v>46014</v>
      </c>
      <c r="D5998">
        <f t="shared" ref="D5998:D5999" si="857">DAY(C5998)</f>
        <v>23</v>
      </c>
      <c r="E5998">
        <f t="shared" ref="E5998:E5999" si="858">MONTH(C5998)</f>
        <v>12</v>
      </c>
      <c r="F5998">
        <f t="shared" ref="F5998:F5999" si="859">YEAR(C5998)</f>
        <v>2025</v>
      </c>
      <c r="G5998" t="s">
        <v>1327</v>
      </c>
      <c r="H5998" s="121">
        <v>13215</v>
      </c>
      <c r="I5998" s="76">
        <v>44991.1</v>
      </c>
      <c r="J5998" s="12" t="s">
        <v>31</v>
      </c>
      <c r="K5998" s="94">
        <f t="shared" si="835"/>
        <v>44991.1</v>
      </c>
      <c r="L5998">
        <v>1</v>
      </c>
      <c r="M5998" s="94">
        <v>0</v>
      </c>
      <c r="N5998" t="s">
        <v>32</v>
      </c>
      <c r="O5998" t="s">
        <v>33</v>
      </c>
      <c r="P5998" t="s">
        <v>34</v>
      </c>
      <c r="Q5998" t="s">
        <v>34</v>
      </c>
      <c r="R5998" t="s">
        <v>34</v>
      </c>
      <c r="S5998" t="s">
        <v>34</v>
      </c>
      <c r="T5998" s="117">
        <v>0</v>
      </c>
    </row>
    <row r="5999" spans="1:20" x14ac:dyDescent="0.35">
      <c r="A5999" t="s">
        <v>20</v>
      </c>
      <c r="B5999" t="s">
        <v>25</v>
      </c>
      <c r="C5999" s="1">
        <v>46014</v>
      </c>
      <c r="D5999">
        <f t="shared" si="857"/>
        <v>23</v>
      </c>
      <c r="E5999">
        <f t="shared" si="858"/>
        <v>12</v>
      </c>
      <c r="F5999">
        <f t="shared" si="859"/>
        <v>2025</v>
      </c>
      <c r="G5999" t="s">
        <v>1327</v>
      </c>
      <c r="H5999" s="121">
        <v>13215</v>
      </c>
      <c r="I5999" s="76">
        <v>9139.2000000000007</v>
      </c>
      <c r="J5999" s="12" t="s">
        <v>31</v>
      </c>
      <c r="K5999" s="94">
        <f t="shared" si="835"/>
        <v>9139.2000000000007</v>
      </c>
      <c r="L5999">
        <v>1</v>
      </c>
      <c r="M5999" s="94">
        <v>0</v>
      </c>
      <c r="N5999" t="s">
        <v>32</v>
      </c>
      <c r="O5999" t="s">
        <v>33</v>
      </c>
      <c r="P5999" t="s">
        <v>34</v>
      </c>
      <c r="Q5999" t="s">
        <v>34</v>
      </c>
      <c r="R5999" t="s">
        <v>34</v>
      </c>
      <c r="S5999" t="s">
        <v>34</v>
      </c>
      <c r="T5999" s="117">
        <v>0</v>
      </c>
    </row>
    <row r="6000" spans="1:20" x14ac:dyDescent="0.35">
      <c r="A6000" t="s">
        <v>20</v>
      </c>
      <c r="B6000" t="s">
        <v>25</v>
      </c>
      <c r="C6000" s="1">
        <v>46014</v>
      </c>
      <c r="D6000">
        <f t="shared" ref="D6000:D6001" si="860">DAY(C6000)</f>
        <v>23</v>
      </c>
      <c r="E6000">
        <f t="shared" ref="E6000:E6001" si="861">MONTH(C6000)</f>
        <v>12</v>
      </c>
      <c r="F6000">
        <f t="shared" ref="F6000:F6001" si="862">YEAR(C6000)</f>
        <v>2025</v>
      </c>
      <c r="G6000" t="s">
        <v>91</v>
      </c>
      <c r="H6000" s="121">
        <v>13405</v>
      </c>
      <c r="I6000" s="76">
        <v>26015.65</v>
      </c>
      <c r="J6000" s="12" t="s">
        <v>31</v>
      </c>
      <c r="K6000" s="94">
        <f t="shared" ref="K6000:K6060" si="863">IF(J6000="USD",I6000,I6000*L6000)</f>
        <v>26015.65</v>
      </c>
      <c r="L6000">
        <v>1</v>
      </c>
      <c r="M6000" s="94">
        <v>0</v>
      </c>
      <c r="N6000" t="s">
        <v>32</v>
      </c>
      <c r="O6000" t="s">
        <v>33</v>
      </c>
      <c r="P6000" t="s">
        <v>34</v>
      </c>
      <c r="Q6000" t="s">
        <v>34</v>
      </c>
      <c r="R6000" t="s">
        <v>34</v>
      </c>
      <c r="S6000" t="s">
        <v>34</v>
      </c>
      <c r="T6000" s="117">
        <v>0</v>
      </c>
    </row>
    <row r="6001" spans="1:21" x14ac:dyDescent="0.35">
      <c r="A6001" t="s">
        <v>20</v>
      </c>
      <c r="B6001" t="s">
        <v>24</v>
      </c>
      <c r="C6001" s="1">
        <v>46014</v>
      </c>
      <c r="D6001">
        <f t="shared" si="860"/>
        <v>23</v>
      </c>
      <c r="E6001">
        <f t="shared" si="861"/>
        <v>12</v>
      </c>
      <c r="F6001">
        <f t="shared" si="862"/>
        <v>2025</v>
      </c>
      <c r="G6001" t="s">
        <v>91</v>
      </c>
      <c r="H6001" s="121">
        <v>13405</v>
      </c>
      <c r="I6001" s="76">
        <v>17875.25</v>
      </c>
      <c r="J6001" s="12" t="s">
        <v>31</v>
      </c>
      <c r="K6001" s="94">
        <f t="shared" si="863"/>
        <v>17875.25</v>
      </c>
      <c r="L6001">
        <v>1</v>
      </c>
      <c r="M6001" s="94">
        <v>0</v>
      </c>
      <c r="N6001" t="s">
        <v>32</v>
      </c>
      <c r="O6001" t="s">
        <v>33</v>
      </c>
      <c r="P6001" t="s">
        <v>34</v>
      </c>
      <c r="Q6001" t="s">
        <v>34</v>
      </c>
      <c r="R6001" t="s">
        <v>34</v>
      </c>
      <c r="S6001" t="s">
        <v>34</v>
      </c>
      <c r="T6001" s="117">
        <v>0</v>
      </c>
    </row>
    <row r="6002" spans="1:21" x14ac:dyDescent="0.35">
      <c r="A6002" t="s">
        <v>20</v>
      </c>
      <c r="B6002" t="s">
        <v>24</v>
      </c>
      <c r="C6002" s="1">
        <v>46014</v>
      </c>
      <c r="D6002">
        <f>DAY(C6002)</f>
        <v>23</v>
      </c>
      <c r="E6002">
        <f>MONTH(C6002)</f>
        <v>12</v>
      </c>
      <c r="F6002">
        <f>YEAR(C6002)</f>
        <v>2025</v>
      </c>
      <c r="G6002" t="s">
        <v>50</v>
      </c>
      <c r="H6002" s="121">
        <v>14482</v>
      </c>
      <c r="I6002" s="76">
        <v>3300</v>
      </c>
      <c r="J6002" s="12" t="s">
        <v>31</v>
      </c>
      <c r="K6002" s="94">
        <f t="shared" si="863"/>
        <v>3300</v>
      </c>
      <c r="L6002">
        <v>1</v>
      </c>
      <c r="M6002" s="94">
        <v>0</v>
      </c>
      <c r="N6002" t="s">
        <v>42</v>
      </c>
      <c r="O6002" t="s">
        <v>33</v>
      </c>
      <c r="P6002" t="s">
        <v>34</v>
      </c>
      <c r="Q6002" t="s">
        <v>34</v>
      </c>
      <c r="R6002" t="s">
        <v>34</v>
      </c>
      <c r="S6002" t="s">
        <v>34</v>
      </c>
      <c r="T6002" s="117">
        <v>0</v>
      </c>
    </row>
    <row r="6003" spans="1:21" x14ac:dyDescent="0.35">
      <c r="A6003" t="s">
        <v>20</v>
      </c>
      <c r="B6003" t="s">
        <v>21</v>
      </c>
      <c r="C6003" s="1">
        <v>46014</v>
      </c>
      <c r="D6003">
        <f t="shared" ref="D6003:D6004" si="864">DAY(C6003)</f>
        <v>23</v>
      </c>
      <c r="E6003">
        <f t="shared" ref="E6003:E6004" si="865">MONTH(C6003)</f>
        <v>12</v>
      </c>
      <c r="F6003">
        <f t="shared" ref="F6003:F6004" si="866">YEAR(C6003)</f>
        <v>2025</v>
      </c>
      <c r="G6003" t="s">
        <v>595</v>
      </c>
      <c r="H6003" s="121">
        <v>14483</v>
      </c>
      <c r="I6003" s="76">
        <v>73</v>
      </c>
      <c r="J6003" s="12" t="s">
        <v>31</v>
      </c>
      <c r="K6003" s="94">
        <f t="shared" si="863"/>
        <v>73</v>
      </c>
      <c r="L6003">
        <v>1</v>
      </c>
      <c r="M6003" s="94">
        <v>0</v>
      </c>
      <c r="N6003" t="s">
        <v>42</v>
      </c>
      <c r="O6003" t="s">
        <v>33</v>
      </c>
      <c r="P6003" t="s">
        <v>34</v>
      </c>
      <c r="Q6003" t="s">
        <v>34</v>
      </c>
      <c r="R6003" t="s">
        <v>34</v>
      </c>
      <c r="S6003" t="s">
        <v>34</v>
      </c>
      <c r="T6003" s="117">
        <v>0</v>
      </c>
    </row>
    <row r="6004" spans="1:21" x14ac:dyDescent="0.35">
      <c r="A6004" t="s">
        <v>20</v>
      </c>
      <c r="B6004" t="s">
        <v>21</v>
      </c>
      <c r="C6004" s="1">
        <v>46014</v>
      </c>
      <c r="D6004">
        <f t="shared" si="864"/>
        <v>23</v>
      </c>
      <c r="E6004">
        <f t="shared" si="865"/>
        <v>12</v>
      </c>
      <c r="F6004">
        <f t="shared" si="866"/>
        <v>2025</v>
      </c>
      <c r="G6004" t="s">
        <v>595</v>
      </c>
      <c r="H6004" s="121">
        <v>14484</v>
      </c>
      <c r="I6004" s="76">
        <v>2532.7350000000001</v>
      </c>
      <c r="J6004" s="12" t="s">
        <v>31</v>
      </c>
      <c r="K6004" s="94">
        <f t="shared" si="863"/>
        <v>2532.7350000000001</v>
      </c>
      <c r="L6004">
        <v>1</v>
      </c>
      <c r="M6004" s="94">
        <v>0</v>
      </c>
      <c r="N6004" t="s">
        <v>42</v>
      </c>
      <c r="O6004" t="s">
        <v>33</v>
      </c>
      <c r="P6004" t="s">
        <v>34</v>
      </c>
      <c r="Q6004" t="s">
        <v>34</v>
      </c>
      <c r="R6004" t="s">
        <v>34</v>
      </c>
      <c r="S6004" t="s">
        <v>34</v>
      </c>
      <c r="T6004" s="117">
        <v>0</v>
      </c>
    </row>
    <row r="6005" spans="1:21" x14ac:dyDescent="0.35">
      <c r="A6005" t="s">
        <v>19</v>
      </c>
      <c r="B6005" t="s">
        <v>26</v>
      </c>
      <c r="C6005" s="1">
        <v>46014</v>
      </c>
      <c r="D6005">
        <f t="shared" ref="D6005:D6011" si="867">DAY(C6005)</f>
        <v>23</v>
      </c>
      <c r="E6005">
        <f t="shared" ref="E6005:E6011" si="868">MONTH(C6005)</f>
        <v>12</v>
      </c>
      <c r="F6005">
        <f t="shared" ref="F6005:F6011" si="869">YEAR(C6005)</f>
        <v>2025</v>
      </c>
      <c r="G6005" t="s">
        <v>112</v>
      </c>
      <c r="H6005" s="121">
        <v>14511</v>
      </c>
      <c r="I6005" s="76">
        <v>48300.32</v>
      </c>
      <c r="J6005" s="12" t="s">
        <v>51</v>
      </c>
      <c r="K6005" s="94">
        <f t="shared" si="863"/>
        <v>57042.677920000002</v>
      </c>
      <c r="L6005">
        <v>1.181</v>
      </c>
      <c r="M6005" s="94">
        <v>0</v>
      </c>
      <c r="N6005" t="s">
        <v>32</v>
      </c>
      <c r="O6005" t="s">
        <v>33</v>
      </c>
      <c r="P6005" t="s">
        <v>34</v>
      </c>
      <c r="Q6005" t="s">
        <v>34</v>
      </c>
      <c r="R6005" t="s">
        <v>34</v>
      </c>
      <c r="S6005" t="s">
        <v>34</v>
      </c>
      <c r="T6005" s="117">
        <v>0</v>
      </c>
      <c r="U6005" s="209" t="s">
        <v>94</v>
      </c>
    </row>
    <row r="6006" spans="1:21" x14ac:dyDescent="0.35">
      <c r="A6006" t="s">
        <v>19</v>
      </c>
      <c r="B6006" t="s">
        <v>26</v>
      </c>
      <c r="C6006" s="1">
        <v>46014</v>
      </c>
      <c r="D6006">
        <f t="shared" si="867"/>
        <v>23</v>
      </c>
      <c r="E6006">
        <f t="shared" si="868"/>
        <v>12</v>
      </c>
      <c r="F6006">
        <f t="shared" si="869"/>
        <v>2025</v>
      </c>
      <c r="G6006" t="s">
        <v>112</v>
      </c>
      <c r="H6006" s="121">
        <v>14529</v>
      </c>
      <c r="I6006" s="76">
        <v>10356.85</v>
      </c>
      <c r="J6006" s="12" t="s">
        <v>51</v>
      </c>
      <c r="K6006" s="94">
        <f t="shared" si="863"/>
        <v>12231.439850000001</v>
      </c>
      <c r="L6006">
        <v>1.181</v>
      </c>
      <c r="M6006" s="94">
        <v>0</v>
      </c>
      <c r="N6006" t="s">
        <v>32</v>
      </c>
      <c r="O6006" t="s">
        <v>33</v>
      </c>
      <c r="P6006" t="s">
        <v>34</v>
      </c>
      <c r="Q6006" t="s">
        <v>34</v>
      </c>
      <c r="R6006" t="s">
        <v>34</v>
      </c>
      <c r="S6006" t="s">
        <v>34</v>
      </c>
      <c r="T6006" s="117">
        <v>0</v>
      </c>
      <c r="U6006" s="209" t="s">
        <v>94</v>
      </c>
    </row>
    <row r="6007" spans="1:21" x14ac:dyDescent="0.35">
      <c r="A6007" t="s">
        <v>19</v>
      </c>
      <c r="B6007" t="s">
        <v>26</v>
      </c>
      <c r="C6007" s="1">
        <v>46014</v>
      </c>
      <c r="D6007">
        <f t="shared" si="867"/>
        <v>23</v>
      </c>
      <c r="E6007">
        <f t="shared" si="868"/>
        <v>12</v>
      </c>
      <c r="F6007">
        <f t="shared" si="869"/>
        <v>2025</v>
      </c>
      <c r="G6007" t="s">
        <v>112</v>
      </c>
      <c r="H6007" s="121">
        <v>14530</v>
      </c>
      <c r="I6007" s="76">
        <v>65649.710000000006</v>
      </c>
      <c r="J6007" s="12" t="s">
        <v>51</v>
      </c>
      <c r="K6007" s="94">
        <f t="shared" si="863"/>
        <v>77532.307510000013</v>
      </c>
      <c r="L6007">
        <v>1.181</v>
      </c>
      <c r="M6007" s="94">
        <v>0</v>
      </c>
      <c r="N6007" t="s">
        <v>32</v>
      </c>
      <c r="O6007" t="s">
        <v>33</v>
      </c>
      <c r="P6007" t="s">
        <v>34</v>
      </c>
      <c r="Q6007" t="s">
        <v>34</v>
      </c>
      <c r="R6007" t="s">
        <v>34</v>
      </c>
      <c r="S6007" t="s">
        <v>34</v>
      </c>
      <c r="T6007" s="117">
        <v>0</v>
      </c>
      <c r="U6007" s="209" t="s">
        <v>94</v>
      </c>
    </row>
    <row r="6008" spans="1:21" x14ac:dyDescent="0.35">
      <c r="A6008" t="s">
        <v>19</v>
      </c>
      <c r="B6008" t="s">
        <v>26</v>
      </c>
      <c r="C6008" s="1">
        <v>46014</v>
      </c>
      <c r="D6008">
        <f t="shared" si="867"/>
        <v>23</v>
      </c>
      <c r="E6008">
        <f t="shared" si="868"/>
        <v>12</v>
      </c>
      <c r="F6008">
        <f t="shared" si="869"/>
        <v>2025</v>
      </c>
      <c r="G6008" t="s">
        <v>112</v>
      </c>
      <c r="H6008" s="121">
        <v>14531</v>
      </c>
      <c r="I6008" s="76">
        <v>43336.97</v>
      </c>
      <c r="J6008" s="12" t="s">
        <v>51</v>
      </c>
      <c r="K6008" s="94">
        <f t="shared" si="863"/>
        <v>51180.961570000007</v>
      </c>
      <c r="L6008">
        <v>1.181</v>
      </c>
      <c r="M6008" s="94">
        <v>0</v>
      </c>
      <c r="N6008" t="s">
        <v>32</v>
      </c>
      <c r="O6008" t="s">
        <v>33</v>
      </c>
      <c r="P6008" t="s">
        <v>34</v>
      </c>
      <c r="Q6008" t="s">
        <v>34</v>
      </c>
      <c r="R6008" t="s">
        <v>34</v>
      </c>
      <c r="S6008" t="s">
        <v>34</v>
      </c>
      <c r="T6008" s="117">
        <v>0</v>
      </c>
      <c r="U6008" s="209" t="s">
        <v>94</v>
      </c>
    </row>
    <row r="6009" spans="1:21" x14ac:dyDescent="0.35">
      <c r="A6009" t="s">
        <v>19</v>
      </c>
      <c r="B6009" t="s">
        <v>26</v>
      </c>
      <c r="C6009" s="1">
        <v>46014</v>
      </c>
      <c r="D6009">
        <f t="shared" si="867"/>
        <v>23</v>
      </c>
      <c r="E6009">
        <f t="shared" si="868"/>
        <v>12</v>
      </c>
      <c r="F6009">
        <f t="shared" si="869"/>
        <v>2025</v>
      </c>
      <c r="G6009" t="s">
        <v>112</v>
      </c>
      <c r="H6009" s="234">
        <v>0</v>
      </c>
      <c r="I6009" s="76">
        <v>207945.66</v>
      </c>
      <c r="J6009" s="12" t="s">
        <v>51</v>
      </c>
      <c r="K6009" s="94">
        <f t="shared" si="863"/>
        <v>245583.82446</v>
      </c>
      <c r="L6009">
        <v>1.181</v>
      </c>
      <c r="M6009" s="94">
        <v>0</v>
      </c>
      <c r="N6009" t="s">
        <v>42</v>
      </c>
      <c r="O6009" t="s">
        <v>33</v>
      </c>
      <c r="P6009" t="s">
        <v>34</v>
      </c>
      <c r="Q6009" t="s">
        <v>34</v>
      </c>
      <c r="R6009" t="s">
        <v>34</v>
      </c>
      <c r="S6009" t="s">
        <v>34</v>
      </c>
      <c r="T6009" s="117">
        <v>0</v>
      </c>
      <c r="U6009" s="209" t="s">
        <v>94</v>
      </c>
    </row>
    <row r="6010" spans="1:21" x14ac:dyDescent="0.35">
      <c r="A6010" t="s">
        <v>19</v>
      </c>
      <c r="B6010" t="s">
        <v>26</v>
      </c>
      <c r="C6010" s="1">
        <v>46014</v>
      </c>
      <c r="D6010">
        <f t="shared" si="867"/>
        <v>23</v>
      </c>
      <c r="E6010">
        <f t="shared" si="868"/>
        <v>12</v>
      </c>
      <c r="F6010">
        <f t="shared" si="869"/>
        <v>2025</v>
      </c>
      <c r="G6010" t="s">
        <v>187</v>
      </c>
      <c r="H6010" s="234">
        <v>0</v>
      </c>
      <c r="I6010" s="76">
        <v>57496.45</v>
      </c>
      <c r="J6010" s="12" t="s">
        <v>51</v>
      </c>
      <c r="K6010" s="94">
        <f t="shared" si="863"/>
        <v>67903.307449999993</v>
      </c>
      <c r="L6010">
        <v>1.181</v>
      </c>
      <c r="M6010" s="94">
        <v>0</v>
      </c>
      <c r="N6010" t="s">
        <v>32</v>
      </c>
      <c r="O6010" t="s">
        <v>33</v>
      </c>
      <c r="P6010" t="s">
        <v>34</v>
      </c>
      <c r="Q6010" t="s">
        <v>34</v>
      </c>
      <c r="R6010" t="s">
        <v>34</v>
      </c>
      <c r="S6010" t="s">
        <v>34</v>
      </c>
      <c r="T6010" s="117">
        <v>0</v>
      </c>
      <c r="U6010" s="6" t="s">
        <v>1598</v>
      </c>
    </row>
    <row r="6011" spans="1:21" x14ac:dyDescent="0.35">
      <c r="A6011" t="s">
        <v>19</v>
      </c>
      <c r="B6011" t="s">
        <v>26</v>
      </c>
      <c r="C6011" s="1">
        <v>46014</v>
      </c>
      <c r="D6011">
        <f t="shared" si="867"/>
        <v>23</v>
      </c>
      <c r="E6011">
        <f t="shared" si="868"/>
        <v>12</v>
      </c>
      <c r="F6011">
        <f t="shared" si="869"/>
        <v>2025</v>
      </c>
      <c r="G6011" t="s">
        <v>187</v>
      </c>
      <c r="H6011" s="234">
        <v>0</v>
      </c>
      <c r="I6011" s="76">
        <v>5355</v>
      </c>
      <c r="J6011" s="12" t="s">
        <v>51</v>
      </c>
      <c r="K6011" s="94">
        <f t="shared" si="863"/>
        <v>6324.2550000000001</v>
      </c>
      <c r="L6011">
        <v>1.181</v>
      </c>
      <c r="M6011" s="94">
        <v>0</v>
      </c>
      <c r="N6011" t="s">
        <v>32</v>
      </c>
      <c r="O6011" t="s">
        <v>33</v>
      </c>
      <c r="P6011" t="s">
        <v>34</v>
      </c>
      <c r="Q6011" t="s">
        <v>34</v>
      </c>
      <c r="R6011" t="s">
        <v>34</v>
      </c>
      <c r="S6011" t="s">
        <v>34</v>
      </c>
      <c r="T6011" s="117">
        <v>0</v>
      </c>
      <c r="U6011" s="6" t="s">
        <v>1599</v>
      </c>
    </row>
    <row r="6012" spans="1:21" x14ac:dyDescent="0.35">
      <c r="A6012" t="s">
        <v>19</v>
      </c>
      <c r="B6012" t="s">
        <v>19</v>
      </c>
      <c r="C6012" s="1">
        <v>46014</v>
      </c>
      <c r="D6012">
        <f>DAY(C6012)</f>
        <v>23</v>
      </c>
      <c r="E6012">
        <f>MONTH(C6012)</f>
        <v>12</v>
      </c>
      <c r="F6012">
        <f>YEAR(C6012)</f>
        <v>2025</v>
      </c>
      <c r="G6012" t="s">
        <v>56</v>
      </c>
      <c r="H6012" s="121" t="s">
        <v>1590</v>
      </c>
      <c r="I6012" s="95">
        <v>173479.28</v>
      </c>
      <c r="J6012" s="12" t="s">
        <v>31</v>
      </c>
      <c r="K6012" s="94">
        <f t="shared" si="863"/>
        <v>173479.28</v>
      </c>
      <c r="L6012">
        <v>1</v>
      </c>
      <c r="M6012" s="94">
        <v>0</v>
      </c>
      <c r="N6012" t="s">
        <v>32</v>
      </c>
      <c r="O6012" t="s">
        <v>33</v>
      </c>
      <c r="P6012" t="s">
        <v>34</v>
      </c>
      <c r="Q6012" t="s">
        <v>34</v>
      </c>
      <c r="R6012" t="s">
        <v>34</v>
      </c>
      <c r="S6012" t="s">
        <v>34</v>
      </c>
      <c r="T6012" s="117">
        <v>0</v>
      </c>
    </row>
    <row r="6013" spans="1:21" x14ac:dyDescent="0.35">
      <c r="A6013" t="s">
        <v>19</v>
      </c>
      <c r="B6013" t="s">
        <v>19</v>
      </c>
      <c r="C6013" s="1">
        <v>46014</v>
      </c>
      <c r="D6013">
        <f t="shared" ref="D6013:D6016" si="870">DAY(C6013)</f>
        <v>23</v>
      </c>
      <c r="E6013">
        <f t="shared" ref="E6013:E6016" si="871">MONTH(C6013)</f>
        <v>12</v>
      </c>
      <c r="F6013">
        <f t="shared" ref="F6013:F6016" si="872">YEAR(C6013)</f>
        <v>2025</v>
      </c>
      <c r="G6013" t="s">
        <v>523</v>
      </c>
      <c r="H6013" s="121" t="s">
        <v>1437</v>
      </c>
      <c r="I6013" s="31">
        <v>11954.67</v>
      </c>
      <c r="J6013" s="12" t="s">
        <v>31</v>
      </c>
      <c r="K6013" s="94">
        <f t="shared" si="863"/>
        <v>11954.67</v>
      </c>
      <c r="L6013">
        <v>1</v>
      </c>
      <c r="M6013" s="94">
        <v>0</v>
      </c>
      <c r="N6013" t="s">
        <v>32</v>
      </c>
      <c r="O6013" t="s">
        <v>33</v>
      </c>
      <c r="P6013" t="s">
        <v>34</v>
      </c>
      <c r="Q6013" t="s">
        <v>34</v>
      </c>
      <c r="R6013" t="s">
        <v>34</v>
      </c>
      <c r="S6013" t="s">
        <v>34</v>
      </c>
      <c r="T6013" s="117">
        <v>0</v>
      </c>
    </row>
    <row r="6014" spans="1:21" x14ac:dyDescent="0.35">
      <c r="A6014" t="s">
        <v>19</v>
      </c>
      <c r="B6014" t="s">
        <v>19</v>
      </c>
      <c r="C6014" s="1">
        <v>46014</v>
      </c>
      <c r="D6014">
        <f t="shared" si="870"/>
        <v>23</v>
      </c>
      <c r="E6014">
        <f t="shared" si="871"/>
        <v>12</v>
      </c>
      <c r="F6014">
        <f t="shared" si="872"/>
        <v>2025</v>
      </c>
      <c r="G6014" t="s">
        <v>523</v>
      </c>
      <c r="H6014" s="121" t="s">
        <v>1439</v>
      </c>
      <c r="I6014" s="31">
        <v>9155.7999999999993</v>
      </c>
      <c r="J6014" s="12" t="s">
        <v>31</v>
      </c>
      <c r="K6014" s="94">
        <f t="shared" si="863"/>
        <v>9155.7999999999993</v>
      </c>
      <c r="L6014">
        <v>1</v>
      </c>
      <c r="M6014" s="94">
        <v>0</v>
      </c>
      <c r="N6014" t="s">
        <v>32</v>
      </c>
      <c r="O6014" t="s">
        <v>33</v>
      </c>
      <c r="P6014" t="s">
        <v>34</v>
      </c>
      <c r="Q6014" t="s">
        <v>34</v>
      </c>
      <c r="R6014" t="s">
        <v>34</v>
      </c>
      <c r="S6014" t="s">
        <v>34</v>
      </c>
      <c r="T6014" s="117">
        <v>0</v>
      </c>
    </row>
    <row r="6015" spans="1:21" x14ac:dyDescent="0.35">
      <c r="A6015" t="s">
        <v>19</v>
      </c>
      <c r="B6015" t="s">
        <v>19</v>
      </c>
      <c r="C6015" s="1">
        <v>46014</v>
      </c>
      <c r="D6015">
        <f t="shared" si="870"/>
        <v>23</v>
      </c>
      <c r="E6015">
        <f t="shared" si="871"/>
        <v>12</v>
      </c>
      <c r="F6015">
        <f t="shared" si="872"/>
        <v>2025</v>
      </c>
      <c r="G6015" t="s">
        <v>523</v>
      </c>
      <c r="H6015" s="121" t="s">
        <v>1591</v>
      </c>
      <c r="I6015" s="31">
        <v>272810.5</v>
      </c>
      <c r="J6015" s="12" t="s">
        <v>31</v>
      </c>
      <c r="K6015" s="94">
        <f t="shared" si="863"/>
        <v>272810.5</v>
      </c>
      <c r="L6015">
        <v>1</v>
      </c>
      <c r="M6015" s="94">
        <v>0</v>
      </c>
      <c r="N6015" t="s">
        <v>32</v>
      </c>
      <c r="O6015" t="s">
        <v>33</v>
      </c>
      <c r="P6015" t="s">
        <v>34</v>
      </c>
      <c r="Q6015" t="s">
        <v>34</v>
      </c>
      <c r="R6015" t="s">
        <v>34</v>
      </c>
      <c r="S6015" t="s">
        <v>34</v>
      </c>
      <c r="T6015" s="117">
        <v>0</v>
      </c>
    </row>
    <row r="6016" spans="1:21" x14ac:dyDescent="0.35">
      <c r="A6016" t="s">
        <v>19</v>
      </c>
      <c r="B6016" t="s">
        <v>19</v>
      </c>
      <c r="C6016" s="1">
        <v>46014</v>
      </c>
      <c r="D6016">
        <f t="shared" si="870"/>
        <v>23</v>
      </c>
      <c r="E6016">
        <f t="shared" si="871"/>
        <v>12</v>
      </c>
      <c r="F6016">
        <f t="shared" si="872"/>
        <v>2025</v>
      </c>
      <c r="G6016" t="s">
        <v>523</v>
      </c>
      <c r="H6016" s="121" t="s">
        <v>1592</v>
      </c>
      <c r="I6016" s="31">
        <v>100287.63</v>
      </c>
      <c r="J6016" s="12" t="s">
        <v>31</v>
      </c>
      <c r="K6016" s="94">
        <f t="shared" si="863"/>
        <v>100287.63</v>
      </c>
      <c r="L6016">
        <v>1</v>
      </c>
      <c r="M6016" s="94">
        <v>0</v>
      </c>
      <c r="N6016" t="s">
        <v>32</v>
      </c>
      <c r="O6016" t="s">
        <v>33</v>
      </c>
      <c r="P6016" t="s">
        <v>34</v>
      </c>
      <c r="Q6016" t="s">
        <v>34</v>
      </c>
      <c r="R6016" t="s">
        <v>34</v>
      </c>
      <c r="S6016" t="s">
        <v>34</v>
      </c>
      <c r="T6016" s="117">
        <v>0</v>
      </c>
    </row>
    <row r="6017" spans="1:20" x14ac:dyDescent="0.35">
      <c r="A6017" t="s">
        <v>19</v>
      </c>
      <c r="B6017" t="s">
        <v>19</v>
      </c>
      <c r="C6017" s="1">
        <v>46014</v>
      </c>
      <c r="D6017">
        <f t="shared" ref="D6017:D6022" si="873">DAY(C6017)</f>
        <v>23</v>
      </c>
      <c r="E6017">
        <f t="shared" ref="E6017:E6022" si="874">MONTH(C6017)</f>
        <v>12</v>
      </c>
      <c r="F6017">
        <f t="shared" ref="F6017:F6022" si="875">YEAR(C6017)</f>
        <v>2025</v>
      </c>
      <c r="G6017" t="s">
        <v>126</v>
      </c>
      <c r="H6017" s="121" t="s">
        <v>1445</v>
      </c>
      <c r="I6017" s="31">
        <v>63880.57</v>
      </c>
      <c r="J6017" s="12" t="s">
        <v>31</v>
      </c>
      <c r="K6017" s="94">
        <f t="shared" si="863"/>
        <v>63880.57</v>
      </c>
      <c r="L6017">
        <v>1</v>
      </c>
      <c r="M6017" s="94">
        <v>0</v>
      </c>
      <c r="N6017" t="s">
        <v>32</v>
      </c>
      <c r="O6017" t="s">
        <v>33</v>
      </c>
      <c r="P6017" t="s">
        <v>34</v>
      </c>
      <c r="Q6017" t="s">
        <v>34</v>
      </c>
      <c r="R6017" t="s">
        <v>34</v>
      </c>
      <c r="S6017" t="s">
        <v>34</v>
      </c>
      <c r="T6017" s="117">
        <v>0</v>
      </c>
    </row>
    <row r="6018" spans="1:20" x14ac:dyDescent="0.35">
      <c r="A6018" t="s">
        <v>19</v>
      </c>
      <c r="B6018" t="s">
        <v>19</v>
      </c>
      <c r="C6018" s="1">
        <v>46014</v>
      </c>
      <c r="D6018">
        <f t="shared" si="873"/>
        <v>23</v>
      </c>
      <c r="E6018">
        <f t="shared" si="874"/>
        <v>12</v>
      </c>
      <c r="F6018">
        <f t="shared" si="875"/>
        <v>2025</v>
      </c>
      <c r="G6018" t="s">
        <v>1003</v>
      </c>
      <c r="H6018" s="121" t="s">
        <v>1449</v>
      </c>
      <c r="I6018" s="31">
        <v>22231.449999999997</v>
      </c>
      <c r="J6018" s="12" t="s">
        <v>31</v>
      </c>
      <c r="K6018" s="94">
        <f t="shared" si="863"/>
        <v>22231.449999999997</v>
      </c>
      <c r="L6018">
        <v>1</v>
      </c>
      <c r="M6018" s="94">
        <v>0</v>
      </c>
      <c r="N6018" t="s">
        <v>32</v>
      </c>
      <c r="O6018" t="s">
        <v>33</v>
      </c>
      <c r="P6018" t="s">
        <v>34</v>
      </c>
      <c r="Q6018" t="s">
        <v>34</v>
      </c>
      <c r="R6018" t="s">
        <v>34</v>
      </c>
      <c r="S6018" t="s">
        <v>34</v>
      </c>
      <c r="T6018" s="117">
        <v>0</v>
      </c>
    </row>
    <row r="6019" spans="1:20" x14ac:dyDescent="0.35">
      <c r="A6019" t="s">
        <v>19</v>
      </c>
      <c r="B6019" t="s">
        <v>19</v>
      </c>
      <c r="C6019" s="1">
        <v>46014</v>
      </c>
      <c r="D6019">
        <f t="shared" si="873"/>
        <v>23</v>
      </c>
      <c r="E6019">
        <f t="shared" si="874"/>
        <v>12</v>
      </c>
      <c r="F6019">
        <f t="shared" si="875"/>
        <v>2025</v>
      </c>
      <c r="G6019" t="s">
        <v>91</v>
      </c>
      <c r="H6019" s="121" t="s">
        <v>1593</v>
      </c>
      <c r="I6019" s="31">
        <v>10962.24</v>
      </c>
      <c r="J6019" s="12" t="s">
        <v>31</v>
      </c>
      <c r="K6019" s="94">
        <f t="shared" si="863"/>
        <v>10962.24</v>
      </c>
      <c r="L6019">
        <v>1</v>
      </c>
      <c r="M6019" s="94">
        <v>0</v>
      </c>
      <c r="N6019" t="s">
        <v>32</v>
      </c>
      <c r="O6019" t="s">
        <v>33</v>
      </c>
      <c r="P6019" t="s">
        <v>34</v>
      </c>
      <c r="Q6019" t="s">
        <v>34</v>
      </c>
      <c r="R6019" t="s">
        <v>34</v>
      </c>
      <c r="S6019" t="s">
        <v>34</v>
      </c>
      <c r="T6019" s="117">
        <v>0</v>
      </c>
    </row>
    <row r="6020" spans="1:20" x14ac:dyDescent="0.35">
      <c r="A6020" t="s">
        <v>19</v>
      </c>
      <c r="B6020" t="s">
        <v>19</v>
      </c>
      <c r="C6020" s="1">
        <v>46014</v>
      </c>
      <c r="D6020">
        <f t="shared" si="873"/>
        <v>23</v>
      </c>
      <c r="E6020">
        <f t="shared" si="874"/>
        <v>12</v>
      </c>
      <c r="F6020">
        <f t="shared" si="875"/>
        <v>2025</v>
      </c>
      <c r="G6020" t="s">
        <v>91</v>
      </c>
      <c r="H6020" s="121" t="s">
        <v>1594</v>
      </c>
      <c r="I6020" s="31">
        <v>30.4</v>
      </c>
      <c r="J6020" s="12" t="s">
        <v>31</v>
      </c>
      <c r="K6020" s="94">
        <f t="shared" si="863"/>
        <v>30.4</v>
      </c>
      <c r="L6020">
        <v>1</v>
      </c>
      <c r="M6020" s="94">
        <v>0</v>
      </c>
      <c r="N6020" t="s">
        <v>32</v>
      </c>
      <c r="O6020" t="s">
        <v>33</v>
      </c>
      <c r="P6020" t="s">
        <v>34</v>
      </c>
      <c r="Q6020" t="s">
        <v>34</v>
      </c>
      <c r="R6020" t="s">
        <v>34</v>
      </c>
      <c r="S6020" t="s">
        <v>34</v>
      </c>
      <c r="T6020" s="117">
        <v>0</v>
      </c>
    </row>
    <row r="6021" spans="1:20" x14ac:dyDescent="0.35">
      <c r="A6021" t="s">
        <v>19</v>
      </c>
      <c r="B6021" t="s">
        <v>19</v>
      </c>
      <c r="C6021" s="1">
        <v>46014</v>
      </c>
      <c r="D6021">
        <f t="shared" si="873"/>
        <v>23</v>
      </c>
      <c r="E6021">
        <f t="shared" si="874"/>
        <v>12</v>
      </c>
      <c r="F6021">
        <f t="shared" si="875"/>
        <v>2025</v>
      </c>
      <c r="G6021" t="s">
        <v>1109</v>
      </c>
      <c r="H6021" s="121" t="s">
        <v>1553</v>
      </c>
      <c r="I6021" s="31">
        <v>10969.7</v>
      </c>
      <c r="J6021" s="12" t="s">
        <v>31</v>
      </c>
      <c r="K6021" s="94">
        <f t="shared" si="863"/>
        <v>10969.7</v>
      </c>
      <c r="L6021">
        <v>1</v>
      </c>
      <c r="M6021" s="94">
        <v>0</v>
      </c>
      <c r="N6021" t="s">
        <v>32</v>
      </c>
      <c r="O6021" t="s">
        <v>33</v>
      </c>
      <c r="P6021" t="s">
        <v>34</v>
      </c>
      <c r="Q6021" t="s">
        <v>34</v>
      </c>
      <c r="R6021" t="s">
        <v>34</v>
      </c>
      <c r="S6021" t="s">
        <v>34</v>
      </c>
      <c r="T6021" s="117">
        <v>0</v>
      </c>
    </row>
    <row r="6022" spans="1:20" x14ac:dyDescent="0.35">
      <c r="A6022" t="s">
        <v>19</v>
      </c>
      <c r="B6022" t="s">
        <v>19</v>
      </c>
      <c r="C6022" s="1">
        <v>46014</v>
      </c>
      <c r="D6022">
        <f t="shared" si="873"/>
        <v>23</v>
      </c>
      <c r="E6022">
        <f t="shared" si="874"/>
        <v>12</v>
      </c>
      <c r="F6022">
        <f t="shared" si="875"/>
        <v>2025</v>
      </c>
      <c r="G6022" t="s">
        <v>1109</v>
      </c>
      <c r="H6022" s="121" t="s">
        <v>1595</v>
      </c>
      <c r="I6022" s="31">
        <v>133.5</v>
      </c>
      <c r="J6022" s="12" t="s">
        <v>31</v>
      </c>
      <c r="K6022" s="94">
        <f t="shared" si="863"/>
        <v>133.5</v>
      </c>
      <c r="L6022">
        <v>1</v>
      </c>
      <c r="M6022" s="94">
        <v>0</v>
      </c>
      <c r="N6022" t="s">
        <v>32</v>
      </c>
      <c r="O6022" t="s">
        <v>33</v>
      </c>
      <c r="P6022" t="s">
        <v>34</v>
      </c>
      <c r="Q6022" t="s">
        <v>34</v>
      </c>
      <c r="R6022" t="s">
        <v>34</v>
      </c>
      <c r="S6022" t="s">
        <v>34</v>
      </c>
      <c r="T6022" s="117">
        <v>0</v>
      </c>
    </row>
    <row r="6023" spans="1:20" x14ac:dyDescent="0.35">
      <c r="A6023" t="s">
        <v>19</v>
      </c>
      <c r="B6023" t="s">
        <v>19</v>
      </c>
      <c r="C6023" s="1">
        <v>46014</v>
      </c>
      <c r="D6023">
        <f t="shared" ref="D6023:D6024" si="876">DAY(C6023)</f>
        <v>23</v>
      </c>
      <c r="E6023">
        <f t="shared" ref="E6023:E6024" si="877">MONTH(C6023)</f>
        <v>12</v>
      </c>
      <c r="F6023">
        <f t="shared" ref="F6023:F6024" si="878">YEAR(C6023)</f>
        <v>2025</v>
      </c>
      <c r="G6023" t="s">
        <v>1327</v>
      </c>
      <c r="H6023" s="121" t="s">
        <v>1596</v>
      </c>
      <c r="I6023" s="31">
        <v>13192.4</v>
      </c>
      <c r="J6023" s="12" t="s">
        <v>31</v>
      </c>
      <c r="K6023" s="94">
        <f t="shared" si="863"/>
        <v>13192.4</v>
      </c>
      <c r="L6023">
        <v>1</v>
      </c>
      <c r="M6023" s="94">
        <v>0</v>
      </c>
      <c r="N6023" t="s">
        <v>32</v>
      </c>
      <c r="O6023" t="s">
        <v>33</v>
      </c>
      <c r="P6023" t="s">
        <v>34</v>
      </c>
      <c r="Q6023" t="s">
        <v>34</v>
      </c>
      <c r="R6023" t="s">
        <v>34</v>
      </c>
      <c r="S6023" t="s">
        <v>34</v>
      </c>
      <c r="T6023" s="117">
        <v>0</v>
      </c>
    </row>
    <row r="6024" spans="1:20" x14ac:dyDescent="0.35">
      <c r="A6024" t="s">
        <v>19</v>
      </c>
      <c r="B6024" t="s">
        <v>19</v>
      </c>
      <c r="C6024" s="1">
        <v>46014</v>
      </c>
      <c r="D6024">
        <f t="shared" si="876"/>
        <v>23</v>
      </c>
      <c r="E6024">
        <f t="shared" si="877"/>
        <v>12</v>
      </c>
      <c r="F6024">
        <f t="shared" si="878"/>
        <v>2025</v>
      </c>
      <c r="G6024" t="s">
        <v>1327</v>
      </c>
      <c r="H6024" s="121" t="s">
        <v>1597</v>
      </c>
      <c r="I6024" s="31">
        <v>43035.64</v>
      </c>
      <c r="J6024" s="12" t="s">
        <v>31</v>
      </c>
      <c r="K6024" s="94">
        <f t="shared" si="863"/>
        <v>43035.64</v>
      </c>
      <c r="L6024">
        <v>1</v>
      </c>
      <c r="M6024" s="94">
        <v>0</v>
      </c>
      <c r="N6024" t="s">
        <v>32</v>
      </c>
      <c r="O6024" t="s">
        <v>33</v>
      </c>
      <c r="P6024" t="s">
        <v>34</v>
      </c>
      <c r="Q6024" t="s">
        <v>34</v>
      </c>
      <c r="R6024" t="s">
        <v>34</v>
      </c>
      <c r="S6024" t="s">
        <v>34</v>
      </c>
      <c r="T6024" s="117">
        <v>0</v>
      </c>
    </row>
    <row r="6025" spans="1:20" x14ac:dyDescent="0.35">
      <c r="A6025" t="s">
        <v>19</v>
      </c>
      <c r="B6025" t="s">
        <v>25</v>
      </c>
      <c r="C6025" s="1">
        <v>46029</v>
      </c>
      <c r="D6025">
        <f>DAY(C6025)</f>
        <v>7</v>
      </c>
      <c r="E6025">
        <f>MONTH(C6025)</f>
        <v>1</v>
      </c>
      <c r="F6025">
        <f>YEAR(C6025)</f>
        <v>2026</v>
      </c>
      <c r="G6025" t="s">
        <v>285</v>
      </c>
      <c r="H6025" s="121">
        <v>13903</v>
      </c>
      <c r="I6025" s="76">
        <v>3549</v>
      </c>
      <c r="J6025" s="12" t="s">
        <v>31</v>
      </c>
      <c r="K6025" s="94">
        <f t="shared" si="863"/>
        <v>3549</v>
      </c>
      <c r="L6025">
        <v>1</v>
      </c>
      <c r="M6025" s="94">
        <v>0</v>
      </c>
      <c r="N6025" t="s">
        <v>32</v>
      </c>
      <c r="O6025" t="s">
        <v>33</v>
      </c>
      <c r="P6025" t="s">
        <v>34</v>
      </c>
      <c r="Q6025" t="s">
        <v>34</v>
      </c>
      <c r="R6025" t="s">
        <v>34</v>
      </c>
      <c r="S6025" t="s">
        <v>34</v>
      </c>
      <c r="T6025" s="117">
        <v>0</v>
      </c>
    </row>
    <row r="6026" spans="1:20" x14ac:dyDescent="0.35">
      <c r="A6026" t="s">
        <v>19</v>
      </c>
      <c r="B6026" t="s">
        <v>21</v>
      </c>
      <c r="C6026" s="1">
        <v>46029</v>
      </c>
      <c r="D6026">
        <f t="shared" ref="D6026:D6027" si="879">DAY(C6026)</f>
        <v>7</v>
      </c>
      <c r="E6026">
        <f t="shared" ref="E6026:E6027" si="880">MONTH(C6026)</f>
        <v>1</v>
      </c>
      <c r="F6026">
        <f t="shared" ref="F6026:F6027" si="881">YEAR(C6026)</f>
        <v>2026</v>
      </c>
      <c r="G6026" t="s">
        <v>37</v>
      </c>
      <c r="H6026" s="121">
        <v>13394</v>
      </c>
      <c r="I6026" s="76">
        <v>18454.400000000001</v>
      </c>
      <c r="J6026" s="12" t="s">
        <v>31</v>
      </c>
      <c r="K6026" s="94">
        <f t="shared" si="863"/>
        <v>18454.400000000001</v>
      </c>
      <c r="L6026">
        <v>1</v>
      </c>
      <c r="M6026" s="94">
        <v>0</v>
      </c>
      <c r="N6026" t="s">
        <v>32</v>
      </c>
      <c r="O6026" t="s">
        <v>33</v>
      </c>
      <c r="P6026" t="s">
        <v>34</v>
      </c>
      <c r="Q6026" t="s">
        <v>34</v>
      </c>
      <c r="R6026" t="s">
        <v>34</v>
      </c>
      <c r="S6026" t="s">
        <v>34</v>
      </c>
      <c r="T6026" s="117">
        <v>0</v>
      </c>
    </row>
    <row r="6027" spans="1:20" x14ac:dyDescent="0.35">
      <c r="A6027" t="s">
        <v>19</v>
      </c>
      <c r="B6027" t="s">
        <v>21</v>
      </c>
      <c r="C6027" s="1">
        <v>46029</v>
      </c>
      <c r="D6027">
        <f t="shared" si="879"/>
        <v>7</v>
      </c>
      <c r="E6027">
        <f t="shared" si="880"/>
        <v>1</v>
      </c>
      <c r="F6027">
        <f t="shared" si="881"/>
        <v>2026</v>
      </c>
      <c r="G6027" t="s">
        <v>37</v>
      </c>
      <c r="H6027" s="121">
        <v>13553</v>
      </c>
      <c r="I6027" s="76">
        <v>11728</v>
      </c>
      <c r="J6027" s="12" t="s">
        <v>31</v>
      </c>
      <c r="K6027" s="94">
        <f t="shared" si="863"/>
        <v>11728</v>
      </c>
      <c r="L6027">
        <v>1</v>
      </c>
      <c r="M6027" s="94">
        <v>0</v>
      </c>
      <c r="N6027" t="s">
        <v>32</v>
      </c>
      <c r="O6027" t="s">
        <v>33</v>
      </c>
      <c r="P6027" t="s">
        <v>34</v>
      </c>
      <c r="Q6027" t="s">
        <v>34</v>
      </c>
      <c r="R6027" t="s">
        <v>34</v>
      </c>
      <c r="S6027" t="s">
        <v>34</v>
      </c>
      <c r="T6027" s="117">
        <v>0</v>
      </c>
    </row>
    <row r="6028" spans="1:20" x14ac:dyDescent="0.35">
      <c r="A6028" t="s">
        <v>19</v>
      </c>
      <c r="B6028" t="s">
        <v>27</v>
      </c>
      <c r="C6028" s="1">
        <v>46029</v>
      </c>
      <c r="D6028">
        <f t="shared" ref="D6028:D6029" si="882">DAY(C6028)</f>
        <v>7</v>
      </c>
      <c r="E6028">
        <f t="shared" ref="E6028:E6029" si="883">MONTH(C6028)</f>
        <v>1</v>
      </c>
      <c r="F6028">
        <f t="shared" ref="F6028:F6029" si="884">YEAR(C6028)</f>
        <v>2026</v>
      </c>
      <c r="G6028" t="s">
        <v>100</v>
      </c>
      <c r="H6028" s="121">
        <v>13972</v>
      </c>
      <c r="I6028" s="76">
        <v>3151.8</v>
      </c>
      <c r="J6028" s="12" t="s">
        <v>31</v>
      </c>
      <c r="K6028" s="94">
        <f t="shared" si="863"/>
        <v>3151.8</v>
      </c>
      <c r="L6028">
        <v>1</v>
      </c>
      <c r="M6028" s="94">
        <v>0</v>
      </c>
      <c r="N6028" t="s">
        <v>32</v>
      </c>
      <c r="O6028" t="s">
        <v>33</v>
      </c>
      <c r="P6028" t="s">
        <v>34</v>
      </c>
      <c r="Q6028" t="s">
        <v>34</v>
      </c>
      <c r="R6028" t="s">
        <v>34</v>
      </c>
      <c r="S6028" t="s">
        <v>34</v>
      </c>
      <c r="T6028" s="117">
        <v>0</v>
      </c>
    </row>
    <row r="6029" spans="1:20" x14ac:dyDescent="0.35">
      <c r="A6029" t="s">
        <v>19</v>
      </c>
      <c r="B6029" t="s">
        <v>27</v>
      </c>
      <c r="C6029" s="1">
        <v>46029</v>
      </c>
      <c r="D6029">
        <f t="shared" si="882"/>
        <v>7</v>
      </c>
      <c r="E6029">
        <f t="shared" si="883"/>
        <v>1</v>
      </c>
      <c r="F6029">
        <f t="shared" si="884"/>
        <v>2026</v>
      </c>
      <c r="G6029" t="s">
        <v>100</v>
      </c>
      <c r="H6029" s="121">
        <v>14039</v>
      </c>
      <c r="I6029" s="76">
        <v>96848.2</v>
      </c>
      <c r="J6029" s="12" t="s">
        <v>31</v>
      </c>
      <c r="K6029" s="94">
        <f t="shared" si="863"/>
        <v>96848.2</v>
      </c>
      <c r="L6029">
        <v>1</v>
      </c>
      <c r="M6029" s="94">
        <v>0</v>
      </c>
      <c r="N6029" t="s">
        <v>32</v>
      </c>
      <c r="O6029" t="s">
        <v>33</v>
      </c>
      <c r="P6029" t="s">
        <v>34</v>
      </c>
      <c r="Q6029" t="s">
        <v>34</v>
      </c>
      <c r="R6029" t="s">
        <v>34</v>
      </c>
      <c r="S6029" t="s">
        <v>34</v>
      </c>
      <c r="T6029" s="117">
        <v>0</v>
      </c>
    </row>
    <row r="6030" spans="1:20" x14ac:dyDescent="0.35">
      <c r="A6030" t="s">
        <v>19</v>
      </c>
      <c r="B6030" t="s">
        <v>23</v>
      </c>
      <c r="C6030" s="1">
        <v>46029</v>
      </c>
      <c r="D6030">
        <f t="shared" ref="D6030:D6032" si="885">DAY(C6030)</f>
        <v>7</v>
      </c>
      <c r="E6030">
        <f t="shared" ref="E6030:E6032" si="886">MONTH(C6030)</f>
        <v>1</v>
      </c>
      <c r="F6030">
        <f t="shared" ref="F6030:F6032" si="887">YEAR(C6030)</f>
        <v>2026</v>
      </c>
      <c r="G6030" t="s">
        <v>333</v>
      </c>
      <c r="H6030" s="121">
        <v>14227</v>
      </c>
      <c r="I6030" s="76">
        <v>8073.1</v>
      </c>
      <c r="J6030" s="12" t="s">
        <v>31</v>
      </c>
      <c r="K6030" s="94">
        <f t="shared" si="863"/>
        <v>8073.1</v>
      </c>
      <c r="L6030">
        <v>1</v>
      </c>
      <c r="M6030" s="94">
        <v>0</v>
      </c>
      <c r="N6030" t="s">
        <v>32</v>
      </c>
      <c r="O6030" t="s">
        <v>33</v>
      </c>
      <c r="P6030" t="s">
        <v>34</v>
      </c>
      <c r="Q6030" t="s">
        <v>34</v>
      </c>
      <c r="R6030" t="s">
        <v>34</v>
      </c>
      <c r="S6030" t="s">
        <v>34</v>
      </c>
      <c r="T6030" s="117">
        <v>0</v>
      </c>
    </row>
    <row r="6031" spans="1:20" x14ac:dyDescent="0.35">
      <c r="A6031" t="s">
        <v>19</v>
      </c>
      <c r="B6031" t="s">
        <v>21</v>
      </c>
      <c r="C6031" s="1">
        <v>46029</v>
      </c>
      <c r="D6031">
        <f t="shared" si="885"/>
        <v>7</v>
      </c>
      <c r="E6031">
        <f t="shared" si="886"/>
        <v>1</v>
      </c>
      <c r="F6031">
        <f t="shared" si="887"/>
        <v>2026</v>
      </c>
      <c r="G6031" t="s">
        <v>333</v>
      </c>
      <c r="H6031" s="121">
        <v>14514</v>
      </c>
      <c r="I6031" s="76">
        <v>39.46</v>
      </c>
      <c r="J6031" s="12" t="s">
        <v>31</v>
      </c>
      <c r="K6031" s="94">
        <f t="shared" si="863"/>
        <v>39.46</v>
      </c>
      <c r="L6031">
        <v>1</v>
      </c>
      <c r="M6031" s="94">
        <v>0</v>
      </c>
      <c r="N6031" t="s">
        <v>42</v>
      </c>
      <c r="O6031" t="s">
        <v>33</v>
      </c>
      <c r="P6031" t="s">
        <v>34</v>
      </c>
      <c r="Q6031" t="s">
        <v>34</v>
      </c>
      <c r="R6031" t="s">
        <v>34</v>
      </c>
      <c r="S6031" t="s">
        <v>34</v>
      </c>
      <c r="T6031" s="117">
        <v>0</v>
      </c>
    </row>
    <row r="6032" spans="1:20" x14ac:dyDescent="0.35">
      <c r="A6032" t="s">
        <v>19</v>
      </c>
      <c r="B6032" t="s">
        <v>21</v>
      </c>
      <c r="C6032" s="1">
        <v>46029</v>
      </c>
      <c r="D6032">
        <f t="shared" si="885"/>
        <v>7</v>
      </c>
      <c r="E6032">
        <f t="shared" si="886"/>
        <v>1</v>
      </c>
      <c r="F6032">
        <f t="shared" si="887"/>
        <v>2026</v>
      </c>
      <c r="G6032" t="s">
        <v>333</v>
      </c>
      <c r="H6032" s="121">
        <v>14515</v>
      </c>
      <c r="I6032" s="76">
        <v>958.2</v>
      </c>
      <c r="J6032" s="12" t="s">
        <v>31</v>
      </c>
      <c r="K6032" s="94">
        <f t="shared" si="863"/>
        <v>958.2</v>
      </c>
      <c r="L6032">
        <v>1</v>
      </c>
      <c r="M6032" s="94">
        <v>0</v>
      </c>
      <c r="N6032" t="s">
        <v>42</v>
      </c>
      <c r="O6032" t="s">
        <v>33</v>
      </c>
      <c r="P6032" t="s">
        <v>34</v>
      </c>
      <c r="Q6032" t="s">
        <v>34</v>
      </c>
      <c r="R6032" t="s">
        <v>34</v>
      </c>
      <c r="S6032" t="s">
        <v>34</v>
      </c>
      <c r="T6032" s="117">
        <v>0</v>
      </c>
    </row>
    <row r="6033" spans="1:20" x14ac:dyDescent="0.35">
      <c r="A6033" t="s">
        <v>19</v>
      </c>
      <c r="B6033" t="s">
        <v>25</v>
      </c>
      <c r="C6033" s="1">
        <v>46029</v>
      </c>
      <c r="D6033">
        <f>DAY(C6033)</f>
        <v>7</v>
      </c>
      <c r="E6033">
        <f>MONTH(C6033)</f>
        <v>1</v>
      </c>
      <c r="F6033">
        <f>YEAR(C6033)</f>
        <v>2026</v>
      </c>
      <c r="G6033" t="s">
        <v>1146</v>
      </c>
      <c r="H6033" s="200">
        <v>14020</v>
      </c>
      <c r="I6033" s="76">
        <v>406</v>
      </c>
      <c r="J6033" s="12" t="s">
        <v>51</v>
      </c>
      <c r="K6033" s="94">
        <f t="shared" si="863"/>
        <v>476.56</v>
      </c>
      <c r="L6033">
        <v>1.1737931034482758</v>
      </c>
      <c r="M6033" s="94">
        <v>0</v>
      </c>
      <c r="N6033" t="s">
        <v>32</v>
      </c>
      <c r="O6033" t="s">
        <v>33</v>
      </c>
      <c r="P6033" t="s">
        <v>34</v>
      </c>
      <c r="Q6033" t="s">
        <v>34</v>
      </c>
      <c r="R6033" t="s">
        <v>34</v>
      </c>
      <c r="S6033" t="s">
        <v>34</v>
      </c>
      <c r="T6033" s="117">
        <v>0</v>
      </c>
    </row>
    <row r="6034" spans="1:20" x14ac:dyDescent="0.35">
      <c r="A6034" t="s">
        <v>19</v>
      </c>
      <c r="B6034" t="s">
        <v>21</v>
      </c>
      <c r="C6034" s="1">
        <v>46029</v>
      </c>
      <c r="D6034">
        <f t="shared" ref="D6034:D6043" si="888">DAY(C6034)</f>
        <v>7</v>
      </c>
      <c r="E6034">
        <f t="shared" ref="E6034:E6043" si="889">MONTH(C6034)</f>
        <v>1</v>
      </c>
      <c r="F6034">
        <f t="shared" ref="F6034:F6043" si="890">YEAR(C6034)</f>
        <v>2026</v>
      </c>
      <c r="G6034" t="s">
        <v>36</v>
      </c>
      <c r="H6034" s="139">
        <v>13655</v>
      </c>
      <c r="I6034" s="76">
        <v>23301.913670000002</v>
      </c>
      <c r="J6034" s="12" t="s">
        <v>31</v>
      </c>
      <c r="K6034" s="94">
        <f t="shared" si="863"/>
        <v>23301.913670000002</v>
      </c>
      <c r="L6034">
        <v>1</v>
      </c>
      <c r="M6034" s="94">
        <v>0</v>
      </c>
      <c r="N6034" t="s">
        <v>32</v>
      </c>
      <c r="O6034" t="s">
        <v>33</v>
      </c>
      <c r="P6034" t="s">
        <v>34</v>
      </c>
      <c r="Q6034" t="s">
        <v>34</v>
      </c>
      <c r="R6034" t="s">
        <v>34</v>
      </c>
      <c r="S6034" t="s">
        <v>34</v>
      </c>
      <c r="T6034" s="117">
        <v>0</v>
      </c>
    </row>
    <row r="6035" spans="1:20" x14ac:dyDescent="0.35">
      <c r="A6035" t="s">
        <v>19</v>
      </c>
      <c r="B6035" t="s">
        <v>24</v>
      </c>
      <c r="C6035" s="1">
        <v>46029</v>
      </c>
      <c r="D6035">
        <f t="shared" si="888"/>
        <v>7</v>
      </c>
      <c r="E6035">
        <f t="shared" si="889"/>
        <v>1</v>
      </c>
      <c r="F6035">
        <f t="shared" si="890"/>
        <v>2026</v>
      </c>
      <c r="G6035" t="s">
        <v>36</v>
      </c>
      <c r="H6035" s="139">
        <v>13655</v>
      </c>
      <c r="I6035" s="76">
        <v>26258.443491000002</v>
      </c>
      <c r="J6035" s="12" t="s">
        <v>31</v>
      </c>
      <c r="K6035" s="94">
        <f t="shared" si="863"/>
        <v>26258.443491000002</v>
      </c>
      <c r="L6035">
        <v>1</v>
      </c>
      <c r="M6035" s="94">
        <v>0</v>
      </c>
      <c r="N6035" t="s">
        <v>32</v>
      </c>
      <c r="O6035" t="s">
        <v>33</v>
      </c>
      <c r="P6035" t="s">
        <v>34</v>
      </c>
      <c r="Q6035" t="s">
        <v>34</v>
      </c>
      <c r="R6035" t="s">
        <v>34</v>
      </c>
      <c r="S6035" t="s">
        <v>34</v>
      </c>
      <c r="T6035" s="117">
        <v>0</v>
      </c>
    </row>
    <row r="6036" spans="1:20" x14ac:dyDescent="0.35">
      <c r="A6036" t="s">
        <v>19</v>
      </c>
      <c r="B6036" t="s">
        <v>25</v>
      </c>
      <c r="C6036" s="1">
        <v>46029</v>
      </c>
      <c r="D6036">
        <f t="shared" si="888"/>
        <v>7</v>
      </c>
      <c r="E6036">
        <f t="shared" si="889"/>
        <v>1</v>
      </c>
      <c r="F6036">
        <f t="shared" si="890"/>
        <v>2026</v>
      </c>
      <c r="G6036" t="s">
        <v>36</v>
      </c>
      <c r="H6036" s="139">
        <v>13655</v>
      </c>
      <c r="I6036" s="76">
        <v>3519.1728389999998</v>
      </c>
      <c r="J6036" s="12" t="s">
        <v>31</v>
      </c>
      <c r="K6036" s="94">
        <f t="shared" si="863"/>
        <v>3519.1728389999998</v>
      </c>
      <c r="L6036">
        <v>1</v>
      </c>
      <c r="M6036" s="94">
        <v>0</v>
      </c>
      <c r="N6036" t="s">
        <v>32</v>
      </c>
      <c r="O6036" t="s">
        <v>33</v>
      </c>
      <c r="P6036" t="s">
        <v>34</v>
      </c>
      <c r="Q6036" t="s">
        <v>34</v>
      </c>
      <c r="R6036" t="s">
        <v>34</v>
      </c>
      <c r="S6036" t="s">
        <v>34</v>
      </c>
      <c r="T6036" s="117">
        <v>0</v>
      </c>
    </row>
    <row r="6037" spans="1:20" x14ac:dyDescent="0.35">
      <c r="A6037" t="s">
        <v>19</v>
      </c>
      <c r="B6037" t="s">
        <v>25</v>
      </c>
      <c r="C6037" s="1">
        <v>46029</v>
      </c>
      <c r="D6037">
        <f t="shared" si="888"/>
        <v>7</v>
      </c>
      <c r="E6037">
        <f t="shared" si="889"/>
        <v>1</v>
      </c>
      <c r="F6037">
        <f t="shared" si="890"/>
        <v>2026</v>
      </c>
      <c r="G6037" t="s">
        <v>36</v>
      </c>
      <c r="H6037" s="139">
        <v>14184</v>
      </c>
      <c r="I6037" s="76">
        <v>476.28</v>
      </c>
      <c r="J6037" s="12" t="s">
        <v>31</v>
      </c>
      <c r="K6037" s="94">
        <f t="shared" si="863"/>
        <v>476.28</v>
      </c>
      <c r="L6037">
        <v>1</v>
      </c>
      <c r="M6037" s="94">
        <v>0</v>
      </c>
      <c r="N6037" t="s">
        <v>32</v>
      </c>
      <c r="O6037" t="s">
        <v>33</v>
      </c>
      <c r="P6037" t="s">
        <v>34</v>
      </c>
      <c r="Q6037" t="s">
        <v>34</v>
      </c>
      <c r="R6037" t="s">
        <v>34</v>
      </c>
      <c r="S6037" t="s">
        <v>34</v>
      </c>
      <c r="T6037" s="117">
        <v>0</v>
      </c>
    </row>
    <row r="6038" spans="1:20" x14ac:dyDescent="0.35">
      <c r="A6038" t="s">
        <v>19</v>
      </c>
      <c r="B6038" t="s">
        <v>24</v>
      </c>
      <c r="C6038" s="1">
        <v>46029</v>
      </c>
      <c r="D6038">
        <f t="shared" si="888"/>
        <v>7</v>
      </c>
      <c r="E6038">
        <f t="shared" si="889"/>
        <v>1</v>
      </c>
      <c r="F6038">
        <f t="shared" si="890"/>
        <v>2026</v>
      </c>
      <c r="G6038" t="s">
        <v>36</v>
      </c>
      <c r="H6038" s="139">
        <v>14186</v>
      </c>
      <c r="I6038" s="76">
        <v>180.88</v>
      </c>
      <c r="J6038" s="12" t="s">
        <v>31</v>
      </c>
      <c r="K6038" s="94">
        <f t="shared" si="863"/>
        <v>180.88</v>
      </c>
      <c r="L6038">
        <v>1</v>
      </c>
      <c r="M6038" s="94">
        <v>0</v>
      </c>
      <c r="N6038" t="s">
        <v>32</v>
      </c>
      <c r="O6038" t="s">
        <v>33</v>
      </c>
      <c r="P6038" t="s">
        <v>34</v>
      </c>
      <c r="Q6038" t="s">
        <v>34</v>
      </c>
      <c r="R6038" t="s">
        <v>34</v>
      </c>
      <c r="S6038" t="s">
        <v>34</v>
      </c>
      <c r="T6038" s="117">
        <v>0</v>
      </c>
    </row>
    <row r="6039" spans="1:20" x14ac:dyDescent="0.35">
      <c r="A6039" t="s">
        <v>19</v>
      </c>
      <c r="B6039" t="s">
        <v>21</v>
      </c>
      <c r="C6039" s="1">
        <v>46029</v>
      </c>
      <c r="D6039">
        <f t="shared" si="888"/>
        <v>7</v>
      </c>
      <c r="E6039">
        <f t="shared" si="889"/>
        <v>1</v>
      </c>
      <c r="F6039">
        <f t="shared" si="890"/>
        <v>2026</v>
      </c>
      <c r="G6039" t="s">
        <v>36</v>
      </c>
      <c r="H6039" s="139">
        <v>14261</v>
      </c>
      <c r="I6039" s="76">
        <v>258.10000000000002</v>
      </c>
      <c r="J6039" s="12" t="s">
        <v>31</v>
      </c>
      <c r="K6039" s="94">
        <f t="shared" si="863"/>
        <v>258.10000000000002</v>
      </c>
      <c r="L6039">
        <v>1</v>
      </c>
      <c r="M6039" s="94">
        <v>0</v>
      </c>
      <c r="N6039" t="s">
        <v>32</v>
      </c>
      <c r="O6039" t="s">
        <v>33</v>
      </c>
      <c r="P6039" t="s">
        <v>34</v>
      </c>
      <c r="Q6039" t="s">
        <v>34</v>
      </c>
      <c r="R6039" t="s">
        <v>34</v>
      </c>
      <c r="S6039" t="s">
        <v>34</v>
      </c>
      <c r="T6039" s="117">
        <v>0</v>
      </c>
    </row>
    <row r="6040" spans="1:20" x14ac:dyDescent="0.35">
      <c r="A6040" t="s">
        <v>19</v>
      </c>
      <c r="B6040" t="s">
        <v>21</v>
      </c>
      <c r="C6040" s="1">
        <v>46029</v>
      </c>
      <c r="D6040">
        <f t="shared" si="888"/>
        <v>7</v>
      </c>
      <c r="E6040">
        <f t="shared" si="889"/>
        <v>1</v>
      </c>
      <c r="F6040">
        <f t="shared" si="890"/>
        <v>2026</v>
      </c>
      <c r="G6040" t="s">
        <v>36</v>
      </c>
      <c r="H6040" s="139">
        <v>14402</v>
      </c>
      <c r="I6040" s="76">
        <v>190</v>
      </c>
      <c r="J6040" s="12" t="s">
        <v>31</v>
      </c>
      <c r="K6040" s="94">
        <f t="shared" si="863"/>
        <v>190</v>
      </c>
      <c r="L6040">
        <v>1</v>
      </c>
      <c r="M6040" s="94">
        <v>0</v>
      </c>
      <c r="N6040" t="s">
        <v>32</v>
      </c>
      <c r="O6040" t="s">
        <v>33</v>
      </c>
      <c r="P6040" t="s">
        <v>34</v>
      </c>
      <c r="Q6040" t="s">
        <v>34</v>
      </c>
      <c r="R6040" t="s">
        <v>34</v>
      </c>
      <c r="S6040" t="s">
        <v>34</v>
      </c>
      <c r="T6040" s="117">
        <v>0</v>
      </c>
    </row>
    <row r="6041" spans="1:20" x14ac:dyDescent="0.35">
      <c r="A6041" t="s">
        <v>19</v>
      </c>
      <c r="B6041" t="s">
        <v>25</v>
      </c>
      <c r="C6041" s="1">
        <v>46029</v>
      </c>
      <c r="D6041">
        <f t="shared" si="888"/>
        <v>7</v>
      </c>
      <c r="E6041">
        <f t="shared" si="889"/>
        <v>1</v>
      </c>
      <c r="F6041">
        <f t="shared" si="890"/>
        <v>2026</v>
      </c>
      <c r="G6041" t="s">
        <v>39</v>
      </c>
      <c r="H6041" s="139">
        <v>14100</v>
      </c>
      <c r="I6041" s="76">
        <v>71.400000000000006</v>
      </c>
      <c r="J6041" s="12" t="s">
        <v>31</v>
      </c>
      <c r="K6041" s="94">
        <f t="shared" si="863"/>
        <v>71.400000000000006</v>
      </c>
      <c r="L6041">
        <v>1</v>
      </c>
      <c r="M6041" s="94">
        <v>0</v>
      </c>
      <c r="N6041" t="s">
        <v>32</v>
      </c>
      <c r="O6041" t="s">
        <v>33</v>
      </c>
      <c r="P6041" t="s">
        <v>34</v>
      </c>
      <c r="Q6041" t="s">
        <v>34</v>
      </c>
      <c r="R6041" t="s">
        <v>34</v>
      </c>
      <c r="S6041" t="s">
        <v>34</v>
      </c>
      <c r="T6041" s="117">
        <v>0</v>
      </c>
    </row>
    <row r="6042" spans="1:20" x14ac:dyDescent="0.35">
      <c r="A6042" t="s">
        <v>19</v>
      </c>
      <c r="B6042" t="s">
        <v>24</v>
      </c>
      <c r="C6042" s="1">
        <v>46029</v>
      </c>
      <c r="D6042">
        <f t="shared" si="888"/>
        <v>7</v>
      </c>
      <c r="E6042">
        <f t="shared" si="889"/>
        <v>1</v>
      </c>
      <c r="F6042">
        <f t="shared" si="890"/>
        <v>2026</v>
      </c>
      <c r="G6042" t="s">
        <v>39</v>
      </c>
      <c r="H6042" s="139">
        <v>14308</v>
      </c>
      <c r="I6042" s="76">
        <v>31609.8</v>
      </c>
      <c r="J6042" s="12" t="s">
        <v>31</v>
      </c>
      <c r="K6042" s="94">
        <f t="shared" si="863"/>
        <v>31609.8</v>
      </c>
      <c r="L6042">
        <v>1</v>
      </c>
      <c r="M6042" s="94">
        <v>0</v>
      </c>
      <c r="N6042" t="s">
        <v>32</v>
      </c>
      <c r="O6042" t="s">
        <v>33</v>
      </c>
      <c r="P6042" t="s">
        <v>34</v>
      </c>
      <c r="Q6042" t="s">
        <v>34</v>
      </c>
      <c r="R6042" t="s">
        <v>34</v>
      </c>
      <c r="S6042" t="s">
        <v>34</v>
      </c>
      <c r="T6042" s="117">
        <v>0</v>
      </c>
    </row>
    <row r="6043" spans="1:20" x14ac:dyDescent="0.35">
      <c r="A6043" t="s">
        <v>19</v>
      </c>
      <c r="B6043" t="s">
        <v>25</v>
      </c>
      <c r="C6043" s="1">
        <v>46029</v>
      </c>
      <c r="D6043">
        <f t="shared" si="888"/>
        <v>7</v>
      </c>
      <c r="E6043">
        <f t="shared" si="889"/>
        <v>1</v>
      </c>
      <c r="F6043">
        <f t="shared" si="890"/>
        <v>2026</v>
      </c>
      <c r="G6043" t="s">
        <v>39</v>
      </c>
      <c r="H6043" s="139">
        <v>14308</v>
      </c>
      <c r="I6043" s="76">
        <v>21974.400000000001</v>
      </c>
      <c r="J6043" s="12" t="s">
        <v>31</v>
      </c>
      <c r="K6043" s="94">
        <f t="shared" si="863"/>
        <v>21974.400000000001</v>
      </c>
      <c r="L6043">
        <v>1</v>
      </c>
      <c r="M6043" s="94">
        <v>0</v>
      </c>
      <c r="N6043" t="s">
        <v>32</v>
      </c>
      <c r="O6043" t="s">
        <v>33</v>
      </c>
      <c r="P6043" t="s">
        <v>34</v>
      </c>
      <c r="Q6043" t="s">
        <v>34</v>
      </c>
      <c r="R6043" t="s">
        <v>34</v>
      </c>
      <c r="S6043" t="s">
        <v>34</v>
      </c>
      <c r="T6043" s="117">
        <v>0</v>
      </c>
    </row>
    <row r="6044" spans="1:20" x14ac:dyDescent="0.35">
      <c r="A6044" t="s">
        <v>19</v>
      </c>
      <c r="B6044" t="s">
        <v>25</v>
      </c>
      <c r="C6044" s="1">
        <v>46029</v>
      </c>
      <c r="D6044">
        <f t="shared" ref="D6044:D6045" si="891">DAY(C6044)</f>
        <v>7</v>
      </c>
      <c r="E6044">
        <f t="shared" ref="E6044:E6045" si="892">MONTH(C6044)</f>
        <v>1</v>
      </c>
      <c r="F6044">
        <f t="shared" ref="F6044:F6045" si="893">YEAR(C6044)</f>
        <v>2026</v>
      </c>
      <c r="G6044" t="s">
        <v>39</v>
      </c>
      <c r="H6044" s="139">
        <v>14309</v>
      </c>
      <c r="I6044" s="76">
        <v>91.8</v>
      </c>
      <c r="J6044" s="12" t="s">
        <v>31</v>
      </c>
      <c r="K6044" s="94">
        <f t="shared" si="863"/>
        <v>91.8</v>
      </c>
      <c r="L6044">
        <v>1</v>
      </c>
      <c r="M6044" s="94">
        <v>0</v>
      </c>
      <c r="N6044" t="s">
        <v>32</v>
      </c>
      <c r="O6044" t="s">
        <v>33</v>
      </c>
      <c r="P6044" t="s">
        <v>34</v>
      </c>
      <c r="Q6044" t="s">
        <v>34</v>
      </c>
      <c r="R6044" t="s">
        <v>34</v>
      </c>
      <c r="S6044" t="s">
        <v>34</v>
      </c>
      <c r="T6044" s="117">
        <v>0</v>
      </c>
    </row>
    <row r="6045" spans="1:20" x14ac:dyDescent="0.35">
      <c r="A6045" t="s">
        <v>19</v>
      </c>
      <c r="B6045" t="s">
        <v>1489</v>
      </c>
      <c r="C6045" s="1">
        <v>46029</v>
      </c>
      <c r="D6045">
        <f t="shared" si="891"/>
        <v>7</v>
      </c>
      <c r="E6045">
        <f t="shared" si="892"/>
        <v>1</v>
      </c>
      <c r="F6045">
        <f t="shared" si="893"/>
        <v>2026</v>
      </c>
      <c r="G6045" t="s">
        <v>39</v>
      </c>
      <c r="H6045" s="139">
        <v>14516</v>
      </c>
      <c r="I6045" s="76">
        <v>8175</v>
      </c>
      <c r="J6045" s="12" t="s">
        <v>31</v>
      </c>
      <c r="K6045" s="94">
        <f t="shared" si="863"/>
        <v>8175</v>
      </c>
      <c r="L6045">
        <v>1</v>
      </c>
      <c r="M6045" s="94">
        <v>0</v>
      </c>
      <c r="N6045" t="s">
        <v>42</v>
      </c>
      <c r="O6045" t="s">
        <v>33</v>
      </c>
      <c r="P6045" t="s">
        <v>34</v>
      </c>
      <c r="Q6045" t="s">
        <v>34</v>
      </c>
      <c r="R6045" t="s">
        <v>34</v>
      </c>
      <c r="S6045" t="s">
        <v>34</v>
      </c>
      <c r="T6045" s="117">
        <v>0</v>
      </c>
    </row>
    <row r="6046" spans="1:20" x14ac:dyDescent="0.35">
      <c r="A6046" t="s">
        <v>19</v>
      </c>
      <c r="B6046" t="s">
        <v>21</v>
      </c>
      <c r="C6046" s="1">
        <v>46029</v>
      </c>
      <c r="D6046">
        <f>DAY(C6046)</f>
        <v>7</v>
      </c>
      <c r="E6046">
        <f>MONTH(C6046)</f>
        <v>1</v>
      </c>
      <c r="F6046">
        <f>YEAR(C6046)</f>
        <v>2026</v>
      </c>
      <c r="G6046" t="s">
        <v>1600</v>
      </c>
      <c r="H6046" s="200">
        <v>14000</v>
      </c>
      <c r="I6046" s="76">
        <v>9669.7999999999993</v>
      </c>
      <c r="J6046" s="12" t="s">
        <v>31</v>
      </c>
      <c r="K6046" s="94">
        <f t="shared" si="863"/>
        <v>9669.7999999999993</v>
      </c>
      <c r="L6046">
        <v>1</v>
      </c>
      <c r="M6046" s="94">
        <v>0</v>
      </c>
      <c r="N6046" t="s">
        <v>32</v>
      </c>
      <c r="O6046" t="s">
        <v>33</v>
      </c>
      <c r="P6046" t="s">
        <v>34</v>
      </c>
      <c r="Q6046" t="s">
        <v>34</v>
      </c>
      <c r="R6046" t="s">
        <v>34</v>
      </c>
      <c r="S6046" t="s">
        <v>34</v>
      </c>
      <c r="T6046" s="117">
        <v>0</v>
      </c>
    </row>
    <row r="6047" spans="1:20" x14ac:dyDescent="0.35">
      <c r="A6047" t="s">
        <v>19</v>
      </c>
      <c r="B6047" t="s">
        <v>25</v>
      </c>
      <c r="C6047" s="1">
        <v>46029</v>
      </c>
      <c r="D6047">
        <f>DAY(C6047)</f>
        <v>7</v>
      </c>
      <c r="E6047">
        <f>MONTH(C6047)</f>
        <v>1</v>
      </c>
      <c r="F6047">
        <f>YEAR(C6047)</f>
        <v>2026</v>
      </c>
      <c r="G6047" t="s">
        <v>980</v>
      </c>
      <c r="H6047" s="200">
        <v>14293</v>
      </c>
      <c r="I6047" s="76">
        <v>394.5</v>
      </c>
      <c r="J6047" s="12" t="s">
        <v>51</v>
      </c>
      <c r="K6047" s="94">
        <f t="shared" si="863"/>
        <v>463.07000000000005</v>
      </c>
      <c r="L6047">
        <v>1.1738149556400508</v>
      </c>
      <c r="M6047" s="94">
        <v>0</v>
      </c>
      <c r="N6047" t="s">
        <v>32</v>
      </c>
      <c r="O6047" t="s">
        <v>33</v>
      </c>
      <c r="P6047" t="s">
        <v>34</v>
      </c>
      <c r="Q6047" t="s">
        <v>34</v>
      </c>
      <c r="R6047" t="s">
        <v>34</v>
      </c>
      <c r="S6047" t="s">
        <v>34</v>
      </c>
      <c r="T6047" s="117">
        <v>0</v>
      </c>
    </row>
    <row r="6048" spans="1:20" x14ac:dyDescent="0.35">
      <c r="A6048" t="s">
        <v>19</v>
      </c>
      <c r="B6048" t="s">
        <v>25</v>
      </c>
      <c r="C6048" s="1">
        <v>46029</v>
      </c>
      <c r="D6048">
        <f t="shared" ref="D6048:D6049" si="894">DAY(C6048)</f>
        <v>7</v>
      </c>
      <c r="E6048">
        <f t="shared" ref="E6048:E6049" si="895">MONTH(C6048)</f>
        <v>1</v>
      </c>
      <c r="F6048">
        <f t="shared" ref="F6048:F6049" si="896">YEAR(C6048)</f>
        <v>2026</v>
      </c>
      <c r="G6048" t="s">
        <v>80</v>
      </c>
      <c r="H6048" s="223">
        <v>13642</v>
      </c>
      <c r="I6048" s="76">
        <v>2480</v>
      </c>
      <c r="J6048" s="12" t="s">
        <v>31</v>
      </c>
      <c r="K6048" s="94">
        <f t="shared" si="863"/>
        <v>2480</v>
      </c>
      <c r="L6048">
        <v>1</v>
      </c>
      <c r="M6048" s="94">
        <v>0</v>
      </c>
      <c r="N6048" t="s">
        <v>32</v>
      </c>
      <c r="O6048" t="s">
        <v>33</v>
      </c>
      <c r="P6048" t="s">
        <v>34</v>
      </c>
      <c r="Q6048" t="s">
        <v>34</v>
      </c>
      <c r="R6048" t="s">
        <v>34</v>
      </c>
      <c r="S6048" t="s">
        <v>34</v>
      </c>
      <c r="T6048" s="117">
        <v>0</v>
      </c>
    </row>
    <row r="6049" spans="1:20" x14ac:dyDescent="0.35">
      <c r="A6049" t="s">
        <v>19</v>
      </c>
      <c r="B6049" t="s">
        <v>25</v>
      </c>
      <c r="C6049" s="1">
        <v>46029</v>
      </c>
      <c r="D6049">
        <f t="shared" si="894"/>
        <v>7</v>
      </c>
      <c r="E6049">
        <f t="shared" si="895"/>
        <v>1</v>
      </c>
      <c r="F6049">
        <f t="shared" si="896"/>
        <v>2026</v>
      </c>
      <c r="G6049" t="s">
        <v>80</v>
      </c>
      <c r="H6049" s="200">
        <v>14192</v>
      </c>
      <c r="I6049" s="201">
        <v>80818.02</v>
      </c>
      <c r="J6049" s="12" t="s">
        <v>31</v>
      </c>
      <c r="K6049" s="94">
        <f t="shared" si="863"/>
        <v>80818.02</v>
      </c>
      <c r="L6049">
        <v>1</v>
      </c>
      <c r="M6049" s="94">
        <v>0</v>
      </c>
      <c r="N6049" t="s">
        <v>42</v>
      </c>
      <c r="O6049" t="s">
        <v>33</v>
      </c>
      <c r="P6049" t="s">
        <v>34</v>
      </c>
      <c r="Q6049" t="s">
        <v>34</v>
      </c>
      <c r="R6049" t="s">
        <v>34</v>
      </c>
      <c r="S6049" t="s">
        <v>34</v>
      </c>
      <c r="T6049" s="117">
        <v>0</v>
      </c>
    </row>
    <row r="6050" spans="1:20" x14ac:dyDescent="0.35">
      <c r="A6050" t="s">
        <v>20</v>
      </c>
      <c r="B6050" t="s">
        <v>24</v>
      </c>
      <c r="C6050" s="1">
        <v>46029</v>
      </c>
      <c r="D6050">
        <f t="shared" ref="D6050:D6054" si="897">DAY(C6050)</f>
        <v>7</v>
      </c>
      <c r="E6050">
        <f t="shared" ref="E6050:E6054" si="898">MONTH(C6050)</f>
        <v>1</v>
      </c>
      <c r="F6050">
        <f t="shared" ref="F6050:F6054" si="899">YEAR(C6050)</f>
        <v>2026</v>
      </c>
      <c r="G6050" t="s">
        <v>50</v>
      </c>
      <c r="H6050" s="200">
        <v>13629</v>
      </c>
      <c r="I6050" s="76">
        <v>53674.559999999998</v>
      </c>
      <c r="J6050" s="12" t="s">
        <v>31</v>
      </c>
      <c r="K6050" s="94">
        <f t="shared" si="863"/>
        <v>53674.559999999998</v>
      </c>
      <c r="L6050">
        <v>1</v>
      </c>
      <c r="M6050" s="94">
        <v>0</v>
      </c>
      <c r="N6050" t="s">
        <v>32</v>
      </c>
      <c r="O6050" t="s">
        <v>33</v>
      </c>
      <c r="P6050" t="s">
        <v>34</v>
      </c>
      <c r="Q6050" t="s">
        <v>34</v>
      </c>
      <c r="R6050" t="s">
        <v>34</v>
      </c>
      <c r="S6050" t="s">
        <v>34</v>
      </c>
      <c r="T6050" s="117">
        <v>0</v>
      </c>
    </row>
    <row r="6051" spans="1:20" x14ac:dyDescent="0.35">
      <c r="A6051" t="s">
        <v>20</v>
      </c>
      <c r="B6051" t="s">
        <v>25</v>
      </c>
      <c r="C6051" s="1">
        <v>46029</v>
      </c>
      <c r="D6051">
        <f t="shared" si="897"/>
        <v>7</v>
      </c>
      <c r="E6051">
        <f t="shared" si="898"/>
        <v>1</v>
      </c>
      <c r="F6051">
        <f t="shared" si="899"/>
        <v>2026</v>
      </c>
      <c r="G6051" t="s">
        <v>50</v>
      </c>
      <c r="H6051" s="200">
        <v>13629</v>
      </c>
      <c r="I6051" s="76">
        <v>75464.5</v>
      </c>
      <c r="J6051" s="12" t="s">
        <v>31</v>
      </c>
      <c r="K6051" s="94">
        <f t="shared" si="863"/>
        <v>75464.5</v>
      </c>
      <c r="L6051">
        <v>1</v>
      </c>
      <c r="M6051" s="94">
        <v>0</v>
      </c>
      <c r="N6051" t="s">
        <v>32</v>
      </c>
      <c r="O6051" t="s">
        <v>33</v>
      </c>
      <c r="P6051" t="s">
        <v>34</v>
      </c>
      <c r="Q6051" t="s">
        <v>34</v>
      </c>
      <c r="R6051" t="s">
        <v>34</v>
      </c>
      <c r="S6051" t="s">
        <v>34</v>
      </c>
      <c r="T6051" s="117">
        <v>0</v>
      </c>
    </row>
    <row r="6052" spans="1:20" x14ac:dyDescent="0.35">
      <c r="A6052" t="s">
        <v>20</v>
      </c>
      <c r="B6052" t="s">
        <v>21</v>
      </c>
      <c r="C6052" s="1">
        <v>46029</v>
      </c>
      <c r="D6052">
        <f t="shared" si="897"/>
        <v>7</v>
      </c>
      <c r="E6052">
        <f t="shared" si="898"/>
        <v>1</v>
      </c>
      <c r="F6052">
        <f t="shared" si="899"/>
        <v>2026</v>
      </c>
      <c r="G6052" t="s">
        <v>50</v>
      </c>
      <c r="H6052" s="200">
        <v>13629</v>
      </c>
      <c r="I6052" s="76">
        <v>24346.377</v>
      </c>
      <c r="J6052" s="12" t="s">
        <v>31</v>
      </c>
      <c r="K6052" s="94">
        <f t="shared" si="863"/>
        <v>24346.377</v>
      </c>
      <c r="L6052">
        <v>1</v>
      </c>
      <c r="M6052" s="94">
        <v>0</v>
      </c>
      <c r="N6052" t="s">
        <v>32</v>
      </c>
      <c r="O6052" t="s">
        <v>33</v>
      </c>
      <c r="P6052" t="s">
        <v>34</v>
      </c>
      <c r="Q6052" t="s">
        <v>34</v>
      </c>
      <c r="R6052" t="s">
        <v>34</v>
      </c>
      <c r="S6052" t="s">
        <v>34</v>
      </c>
      <c r="T6052" s="117">
        <v>0</v>
      </c>
    </row>
    <row r="6053" spans="1:20" x14ac:dyDescent="0.35">
      <c r="A6053" t="s">
        <v>20</v>
      </c>
      <c r="B6053" t="s">
        <v>25</v>
      </c>
      <c r="C6053" s="1">
        <v>46029</v>
      </c>
      <c r="D6053">
        <f t="shared" si="897"/>
        <v>7</v>
      </c>
      <c r="E6053">
        <f t="shared" si="898"/>
        <v>1</v>
      </c>
      <c r="F6053">
        <f t="shared" si="899"/>
        <v>2026</v>
      </c>
      <c r="G6053" t="s">
        <v>50</v>
      </c>
      <c r="H6053" s="200">
        <v>13628</v>
      </c>
      <c r="I6053" s="76">
        <v>9801</v>
      </c>
      <c r="J6053" s="12" t="s">
        <v>31</v>
      </c>
      <c r="K6053" s="94">
        <f t="shared" si="863"/>
        <v>9801</v>
      </c>
      <c r="L6053">
        <v>1</v>
      </c>
      <c r="M6053" s="94">
        <v>0</v>
      </c>
      <c r="N6053" t="s">
        <v>32</v>
      </c>
      <c r="O6053" t="s">
        <v>33</v>
      </c>
      <c r="P6053" t="s">
        <v>34</v>
      </c>
      <c r="Q6053" t="s">
        <v>34</v>
      </c>
      <c r="R6053" t="s">
        <v>34</v>
      </c>
      <c r="S6053" t="s">
        <v>34</v>
      </c>
      <c r="T6053" s="117">
        <v>0</v>
      </c>
    </row>
    <row r="6054" spans="1:20" x14ac:dyDescent="0.35">
      <c r="A6054" t="s">
        <v>20</v>
      </c>
      <c r="B6054" t="s">
        <v>25</v>
      </c>
      <c r="C6054" s="1">
        <v>46029</v>
      </c>
      <c r="D6054">
        <f t="shared" si="897"/>
        <v>7</v>
      </c>
      <c r="E6054">
        <f t="shared" si="898"/>
        <v>1</v>
      </c>
      <c r="F6054">
        <f t="shared" si="899"/>
        <v>2026</v>
      </c>
      <c r="G6054" t="s">
        <v>50</v>
      </c>
      <c r="H6054" s="200">
        <v>14532</v>
      </c>
      <c r="I6054" s="76">
        <v>358.8</v>
      </c>
      <c r="J6054" s="12" t="s">
        <v>31</v>
      </c>
      <c r="K6054" s="94">
        <f t="shared" si="863"/>
        <v>358.8</v>
      </c>
      <c r="L6054">
        <v>1</v>
      </c>
      <c r="M6054" s="94">
        <v>0</v>
      </c>
      <c r="N6054" t="s">
        <v>42</v>
      </c>
      <c r="O6054" t="s">
        <v>33</v>
      </c>
      <c r="P6054" t="s">
        <v>34</v>
      </c>
      <c r="Q6054" t="s">
        <v>34</v>
      </c>
      <c r="R6054" t="s">
        <v>34</v>
      </c>
      <c r="S6054" t="s">
        <v>34</v>
      </c>
      <c r="T6054" s="117">
        <v>0</v>
      </c>
    </row>
    <row r="6055" spans="1:20" x14ac:dyDescent="0.35">
      <c r="A6055" t="s">
        <v>20</v>
      </c>
      <c r="B6055" t="s">
        <v>25</v>
      </c>
      <c r="C6055" s="1">
        <v>46029</v>
      </c>
      <c r="D6055">
        <f>DAY(C6055)</f>
        <v>7</v>
      </c>
      <c r="E6055">
        <f>MONTH(C6055)</f>
        <v>1</v>
      </c>
      <c r="F6055">
        <f>YEAR(C6055)</f>
        <v>2026</v>
      </c>
      <c r="G6055" t="s">
        <v>1109</v>
      </c>
      <c r="H6055" s="200">
        <v>13610</v>
      </c>
      <c r="I6055" s="76">
        <v>4676.62</v>
      </c>
      <c r="J6055" s="12" t="s">
        <v>31</v>
      </c>
      <c r="K6055" s="94">
        <f t="shared" si="863"/>
        <v>4676.62</v>
      </c>
      <c r="L6055">
        <v>1</v>
      </c>
      <c r="M6055" s="94">
        <v>0</v>
      </c>
      <c r="N6055" t="s">
        <v>32</v>
      </c>
      <c r="O6055" t="s">
        <v>33</v>
      </c>
      <c r="P6055" t="s">
        <v>34</v>
      </c>
      <c r="Q6055" t="s">
        <v>34</v>
      </c>
      <c r="R6055" t="s">
        <v>34</v>
      </c>
      <c r="S6055" t="s">
        <v>34</v>
      </c>
      <c r="T6055" s="117">
        <v>0</v>
      </c>
    </row>
    <row r="6056" spans="1:20" x14ac:dyDescent="0.35">
      <c r="A6056" t="s">
        <v>20</v>
      </c>
      <c r="B6056" t="s">
        <v>24</v>
      </c>
      <c r="C6056" s="1">
        <v>46029</v>
      </c>
      <c r="D6056">
        <f>DAY(C6056)</f>
        <v>7</v>
      </c>
      <c r="E6056">
        <f>MONTH(C6056)</f>
        <v>1</v>
      </c>
      <c r="F6056">
        <f>YEAR(C6056)</f>
        <v>2026</v>
      </c>
      <c r="G6056" t="s">
        <v>1601</v>
      </c>
      <c r="H6056" s="200">
        <v>13460</v>
      </c>
      <c r="I6056" s="76">
        <v>542.53</v>
      </c>
      <c r="J6056" s="12" t="s">
        <v>31</v>
      </c>
      <c r="K6056" s="94">
        <f t="shared" si="863"/>
        <v>542.53</v>
      </c>
      <c r="L6056">
        <v>1</v>
      </c>
      <c r="M6056" s="94">
        <v>0</v>
      </c>
      <c r="N6056" t="s">
        <v>32</v>
      </c>
      <c r="O6056" t="s">
        <v>33</v>
      </c>
      <c r="P6056" t="s">
        <v>34</v>
      </c>
      <c r="Q6056" t="s">
        <v>34</v>
      </c>
      <c r="R6056" t="s">
        <v>34</v>
      </c>
      <c r="S6056" t="s">
        <v>34</v>
      </c>
      <c r="T6056" s="117">
        <v>0</v>
      </c>
    </row>
    <row r="6057" spans="1:20" x14ac:dyDescent="0.35">
      <c r="A6057" t="s">
        <v>20</v>
      </c>
      <c r="B6057" t="s">
        <v>24</v>
      </c>
      <c r="C6057" s="1">
        <v>46029</v>
      </c>
      <c r="D6057">
        <f t="shared" ref="D6057:D6058" si="900">DAY(C6057)</f>
        <v>7</v>
      </c>
      <c r="E6057">
        <f t="shared" ref="E6057:E6058" si="901">MONTH(C6057)</f>
        <v>1</v>
      </c>
      <c r="F6057">
        <f t="shared" ref="F6057:F6058" si="902">YEAR(C6057)</f>
        <v>2026</v>
      </c>
      <c r="G6057" t="s">
        <v>104</v>
      </c>
      <c r="H6057" s="200">
        <v>13980</v>
      </c>
      <c r="I6057" s="76">
        <v>8410.92</v>
      </c>
      <c r="J6057" s="12" t="s">
        <v>31</v>
      </c>
      <c r="K6057" s="94">
        <f t="shared" si="863"/>
        <v>8410.92</v>
      </c>
      <c r="L6057">
        <v>1</v>
      </c>
      <c r="M6057" s="94">
        <v>0</v>
      </c>
      <c r="N6057" t="s">
        <v>32</v>
      </c>
      <c r="O6057" t="s">
        <v>33</v>
      </c>
      <c r="P6057" t="s">
        <v>34</v>
      </c>
      <c r="Q6057" t="s">
        <v>34</v>
      </c>
      <c r="R6057" t="s">
        <v>34</v>
      </c>
      <c r="S6057" t="s">
        <v>34</v>
      </c>
      <c r="T6057" s="117">
        <v>0</v>
      </c>
    </row>
    <row r="6058" spans="1:20" x14ac:dyDescent="0.35">
      <c r="A6058" t="s">
        <v>20</v>
      </c>
      <c r="B6058" t="s">
        <v>23</v>
      </c>
      <c r="C6058" s="1">
        <v>46029</v>
      </c>
      <c r="D6058">
        <f t="shared" si="900"/>
        <v>7</v>
      </c>
      <c r="E6058">
        <f t="shared" si="901"/>
        <v>1</v>
      </c>
      <c r="F6058">
        <f t="shared" si="902"/>
        <v>2026</v>
      </c>
      <c r="G6058" t="s">
        <v>104</v>
      </c>
      <c r="H6058" s="200">
        <v>13980</v>
      </c>
      <c r="I6058" s="76">
        <v>3013.5</v>
      </c>
      <c r="J6058" s="12" t="s">
        <v>31</v>
      </c>
      <c r="K6058" s="94">
        <f t="shared" si="863"/>
        <v>3013.5</v>
      </c>
      <c r="L6058">
        <v>1</v>
      </c>
      <c r="M6058" s="94">
        <v>0</v>
      </c>
      <c r="N6058" t="s">
        <v>32</v>
      </c>
      <c r="O6058" t="s">
        <v>33</v>
      </c>
      <c r="P6058" t="s">
        <v>34</v>
      </c>
      <c r="Q6058" t="s">
        <v>34</v>
      </c>
      <c r="R6058" t="s">
        <v>34</v>
      </c>
      <c r="S6058" t="s">
        <v>34</v>
      </c>
      <c r="T6058" s="117">
        <v>0</v>
      </c>
    </row>
    <row r="6059" spans="1:20" x14ac:dyDescent="0.35">
      <c r="A6059" t="s">
        <v>20</v>
      </c>
      <c r="B6059" t="s">
        <v>21</v>
      </c>
      <c r="C6059" s="1">
        <v>46029</v>
      </c>
      <c r="D6059">
        <f t="shared" ref="D6059:D6060" si="903">DAY(C6059)</f>
        <v>7</v>
      </c>
      <c r="E6059">
        <f t="shared" ref="E6059:E6060" si="904">MONTH(C6059)</f>
        <v>1</v>
      </c>
      <c r="F6059">
        <f t="shared" ref="F6059:F6060" si="905">YEAR(C6059)</f>
        <v>2026</v>
      </c>
      <c r="G6059" t="s">
        <v>1327</v>
      </c>
      <c r="H6059" s="200">
        <v>13818</v>
      </c>
      <c r="I6059" s="76">
        <v>135.19999999999999</v>
      </c>
      <c r="J6059" s="12" t="s">
        <v>31</v>
      </c>
      <c r="K6059" s="94">
        <f t="shared" si="863"/>
        <v>135.19999999999999</v>
      </c>
      <c r="L6059">
        <v>1</v>
      </c>
      <c r="M6059" s="94">
        <v>0</v>
      </c>
      <c r="N6059" t="s">
        <v>32</v>
      </c>
      <c r="O6059" t="s">
        <v>33</v>
      </c>
      <c r="P6059" t="s">
        <v>34</v>
      </c>
      <c r="Q6059" t="s">
        <v>34</v>
      </c>
      <c r="R6059" t="s">
        <v>34</v>
      </c>
      <c r="S6059" t="s">
        <v>34</v>
      </c>
      <c r="T6059" s="117">
        <v>0</v>
      </c>
    </row>
    <row r="6060" spans="1:20" x14ac:dyDescent="0.35">
      <c r="A6060" t="s">
        <v>20</v>
      </c>
      <c r="B6060" t="s">
        <v>24</v>
      </c>
      <c r="C6060" s="1">
        <v>46029</v>
      </c>
      <c r="D6060">
        <f t="shared" si="903"/>
        <v>7</v>
      </c>
      <c r="E6060">
        <f t="shared" si="904"/>
        <v>1</v>
      </c>
      <c r="F6060">
        <f t="shared" si="905"/>
        <v>2026</v>
      </c>
      <c r="G6060" t="s">
        <v>1327</v>
      </c>
      <c r="H6060" s="200">
        <v>14229</v>
      </c>
      <c r="I6060" s="76">
        <v>779.6</v>
      </c>
      <c r="J6060" s="12" t="s">
        <v>31</v>
      </c>
      <c r="K6060" s="94">
        <f t="shared" si="863"/>
        <v>779.6</v>
      </c>
      <c r="L6060">
        <v>1</v>
      </c>
      <c r="M6060" s="94">
        <v>0</v>
      </c>
      <c r="N6060" t="s">
        <v>32</v>
      </c>
      <c r="O6060" t="s">
        <v>33</v>
      </c>
      <c r="P6060" t="s">
        <v>34</v>
      </c>
      <c r="Q6060" t="s">
        <v>34</v>
      </c>
      <c r="R6060" t="s">
        <v>34</v>
      </c>
      <c r="S6060" t="s">
        <v>34</v>
      </c>
      <c r="T6060" s="117">
        <v>0</v>
      </c>
    </row>
    <row r="6061" spans="1:20" x14ac:dyDescent="0.35">
      <c r="A6061" t="s">
        <v>20</v>
      </c>
      <c r="B6061" t="s">
        <v>21</v>
      </c>
      <c r="C6061" s="1">
        <v>46029</v>
      </c>
      <c r="D6061">
        <f t="shared" ref="D6061:D6062" si="906">DAY(C6061)</f>
        <v>7</v>
      </c>
      <c r="E6061">
        <f t="shared" ref="E6061:E6062" si="907">MONTH(C6061)</f>
        <v>1</v>
      </c>
      <c r="F6061">
        <f t="shared" ref="F6061:F6062" si="908">YEAR(C6061)</f>
        <v>2026</v>
      </c>
      <c r="G6061" t="s">
        <v>1562</v>
      </c>
      <c r="H6061" s="200">
        <v>13856</v>
      </c>
      <c r="I6061" s="76">
        <v>77.599999999999994</v>
      </c>
      <c r="J6061" s="12" t="s">
        <v>31</v>
      </c>
      <c r="K6061" s="94">
        <f t="shared" ref="K6061:K6069" si="909">IF(J6061="USD",I6061,I6061*L6061)</f>
        <v>77.599999999999994</v>
      </c>
      <c r="L6061">
        <v>1</v>
      </c>
      <c r="M6061" s="94">
        <v>0</v>
      </c>
      <c r="N6061" t="s">
        <v>32</v>
      </c>
      <c r="O6061" t="s">
        <v>33</v>
      </c>
      <c r="P6061" t="s">
        <v>34</v>
      </c>
      <c r="Q6061" t="s">
        <v>34</v>
      </c>
      <c r="R6061" t="s">
        <v>34</v>
      </c>
      <c r="S6061" t="s">
        <v>34</v>
      </c>
      <c r="T6061" s="117">
        <v>0</v>
      </c>
    </row>
    <row r="6062" spans="1:20" x14ac:dyDescent="0.35">
      <c r="A6062" t="s">
        <v>20</v>
      </c>
      <c r="B6062" t="s">
        <v>24</v>
      </c>
      <c r="C6062" s="1">
        <v>46029</v>
      </c>
      <c r="D6062">
        <f t="shared" si="906"/>
        <v>7</v>
      </c>
      <c r="E6062">
        <f t="shared" si="907"/>
        <v>1</v>
      </c>
      <c r="F6062">
        <f t="shared" si="908"/>
        <v>2026</v>
      </c>
      <c r="G6062" t="s">
        <v>1562</v>
      </c>
      <c r="H6062" s="200">
        <v>13464</v>
      </c>
      <c r="I6062" s="76">
        <v>988</v>
      </c>
      <c r="J6062" s="12" t="s">
        <v>31</v>
      </c>
      <c r="K6062" s="94">
        <f t="shared" si="909"/>
        <v>988</v>
      </c>
      <c r="L6062">
        <v>1</v>
      </c>
      <c r="M6062" s="94">
        <v>0</v>
      </c>
      <c r="N6062" t="s">
        <v>32</v>
      </c>
      <c r="O6062" t="s">
        <v>33</v>
      </c>
      <c r="P6062" t="s">
        <v>34</v>
      </c>
      <c r="Q6062" t="s">
        <v>34</v>
      </c>
      <c r="R6062" t="s">
        <v>34</v>
      </c>
      <c r="S6062" t="s">
        <v>34</v>
      </c>
      <c r="T6062" s="117">
        <v>0</v>
      </c>
    </row>
    <row r="6063" spans="1:20" x14ac:dyDescent="0.35">
      <c r="A6063" t="s">
        <v>20</v>
      </c>
      <c r="B6063" t="s">
        <v>25</v>
      </c>
      <c r="C6063" s="1">
        <v>46029</v>
      </c>
      <c r="D6063">
        <f>DAY(C6063)</f>
        <v>7</v>
      </c>
      <c r="E6063">
        <f>MONTH(C6063)</f>
        <v>1</v>
      </c>
      <c r="F6063">
        <f>YEAR(C6063)</f>
        <v>2026</v>
      </c>
      <c r="G6063" t="s">
        <v>91</v>
      </c>
      <c r="H6063" s="200">
        <v>13786</v>
      </c>
      <c r="I6063" s="76">
        <v>32375.22</v>
      </c>
      <c r="J6063" s="12" t="s">
        <v>31</v>
      </c>
      <c r="K6063" s="94">
        <f t="shared" si="909"/>
        <v>32375.22</v>
      </c>
      <c r="L6063">
        <v>1</v>
      </c>
      <c r="M6063" s="94">
        <v>0</v>
      </c>
      <c r="N6063" t="s">
        <v>32</v>
      </c>
      <c r="O6063" t="s">
        <v>33</v>
      </c>
      <c r="P6063" t="s">
        <v>34</v>
      </c>
      <c r="Q6063" t="s">
        <v>34</v>
      </c>
      <c r="R6063" t="s">
        <v>34</v>
      </c>
      <c r="S6063" t="s">
        <v>34</v>
      </c>
      <c r="T6063" s="117">
        <v>0</v>
      </c>
    </row>
    <row r="6064" spans="1:20" x14ac:dyDescent="0.35">
      <c r="A6064" t="s">
        <v>20</v>
      </c>
      <c r="B6064" t="s">
        <v>21</v>
      </c>
      <c r="C6064" s="1">
        <v>46029</v>
      </c>
      <c r="D6064">
        <f t="shared" ref="D6064:D6065" si="910">DAY(C6064)</f>
        <v>7</v>
      </c>
      <c r="E6064">
        <f t="shared" ref="E6064:E6065" si="911">MONTH(C6064)</f>
        <v>1</v>
      </c>
      <c r="F6064">
        <f t="shared" ref="F6064:F6065" si="912">YEAR(C6064)</f>
        <v>2026</v>
      </c>
      <c r="G6064" t="s">
        <v>88</v>
      </c>
      <c r="H6064" s="200">
        <v>13862</v>
      </c>
      <c r="I6064" s="76">
        <v>76.400000000000006</v>
      </c>
      <c r="J6064" s="12" t="s">
        <v>31</v>
      </c>
      <c r="K6064" s="94">
        <f t="shared" si="909"/>
        <v>76.400000000000006</v>
      </c>
      <c r="L6064">
        <v>1</v>
      </c>
      <c r="M6064" s="94">
        <v>0</v>
      </c>
      <c r="N6064" t="s">
        <v>32</v>
      </c>
      <c r="O6064" t="s">
        <v>33</v>
      </c>
      <c r="P6064" t="s">
        <v>34</v>
      </c>
      <c r="Q6064" t="s">
        <v>34</v>
      </c>
      <c r="R6064" t="s">
        <v>34</v>
      </c>
      <c r="S6064" t="s">
        <v>34</v>
      </c>
      <c r="T6064" s="117">
        <v>0</v>
      </c>
    </row>
    <row r="6065" spans="1:20" x14ac:dyDescent="0.35">
      <c r="A6065" t="s">
        <v>20</v>
      </c>
      <c r="B6065" t="s">
        <v>21</v>
      </c>
      <c r="C6065" s="1">
        <v>46029</v>
      </c>
      <c r="D6065">
        <f t="shared" si="910"/>
        <v>7</v>
      </c>
      <c r="E6065">
        <f t="shared" si="911"/>
        <v>1</v>
      </c>
      <c r="F6065">
        <f t="shared" si="912"/>
        <v>2026</v>
      </c>
      <c r="G6065" t="s">
        <v>88</v>
      </c>
      <c r="H6065" s="200">
        <v>13851</v>
      </c>
      <c r="I6065" s="76">
        <v>18.399999999999999</v>
      </c>
      <c r="J6065" s="12" t="s">
        <v>31</v>
      </c>
      <c r="K6065" s="94">
        <f t="shared" si="909"/>
        <v>18.399999999999999</v>
      </c>
      <c r="L6065">
        <v>1</v>
      </c>
      <c r="M6065" s="94">
        <v>0</v>
      </c>
      <c r="N6065" t="s">
        <v>32</v>
      </c>
      <c r="O6065" t="s">
        <v>33</v>
      </c>
      <c r="P6065" t="s">
        <v>34</v>
      </c>
      <c r="Q6065" t="s">
        <v>34</v>
      </c>
      <c r="R6065" t="s">
        <v>34</v>
      </c>
      <c r="S6065" t="s">
        <v>34</v>
      </c>
      <c r="T6065" s="117">
        <v>0</v>
      </c>
    </row>
    <row r="6066" spans="1:20" x14ac:dyDescent="0.35">
      <c r="A6066" t="s">
        <v>20</v>
      </c>
      <c r="B6066" t="s">
        <v>25</v>
      </c>
      <c r="C6066" s="1">
        <v>46029</v>
      </c>
      <c r="D6066">
        <f t="shared" ref="D6066:D6067" si="913">DAY(C6066)</f>
        <v>7</v>
      </c>
      <c r="E6066">
        <f t="shared" ref="E6066:E6067" si="914">MONTH(C6066)</f>
        <v>1</v>
      </c>
      <c r="F6066">
        <f t="shared" ref="F6066:F6067" si="915">YEAR(C6066)</f>
        <v>2026</v>
      </c>
      <c r="G6066" t="s">
        <v>174</v>
      </c>
      <c r="H6066" s="200">
        <v>14533</v>
      </c>
      <c r="I6066" s="76">
        <v>1563.15</v>
      </c>
      <c r="J6066" s="12" t="s">
        <v>31</v>
      </c>
      <c r="K6066" s="94">
        <f t="shared" si="909"/>
        <v>1563.15</v>
      </c>
      <c r="L6066">
        <v>1</v>
      </c>
      <c r="M6066" s="94">
        <v>0</v>
      </c>
      <c r="N6066" t="s">
        <v>42</v>
      </c>
      <c r="O6066" t="s">
        <v>33</v>
      </c>
      <c r="P6066" t="s">
        <v>34</v>
      </c>
      <c r="Q6066" t="s">
        <v>34</v>
      </c>
      <c r="R6066" t="s">
        <v>34</v>
      </c>
      <c r="S6066" t="s">
        <v>34</v>
      </c>
      <c r="T6066" s="117">
        <v>0</v>
      </c>
    </row>
    <row r="6067" spans="1:20" x14ac:dyDescent="0.35">
      <c r="A6067" t="s">
        <v>20</v>
      </c>
      <c r="B6067" t="s">
        <v>25</v>
      </c>
      <c r="C6067" s="1">
        <v>46029</v>
      </c>
      <c r="D6067">
        <f t="shared" si="913"/>
        <v>7</v>
      </c>
      <c r="E6067">
        <f t="shared" si="914"/>
        <v>1</v>
      </c>
      <c r="F6067">
        <f t="shared" si="915"/>
        <v>2026</v>
      </c>
      <c r="G6067" t="s">
        <v>174</v>
      </c>
      <c r="H6067" s="200">
        <v>14534</v>
      </c>
      <c r="I6067" s="76">
        <v>928.87800000000004</v>
      </c>
      <c r="J6067" s="12" t="s">
        <v>31</v>
      </c>
      <c r="K6067" s="94">
        <f t="shared" si="909"/>
        <v>928.87800000000004</v>
      </c>
      <c r="L6067">
        <v>1</v>
      </c>
      <c r="M6067" s="94">
        <v>0</v>
      </c>
      <c r="N6067" t="s">
        <v>42</v>
      </c>
      <c r="O6067" t="s">
        <v>33</v>
      </c>
      <c r="P6067" t="s">
        <v>34</v>
      </c>
      <c r="Q6067" t="s">
        <v>34</v>
      </c>
      <c r="R6067" t="s">
        <v>34</v>
      </c>
      <c r="S6067" t="s">
        <v>34</v>
      </c>
      <c r="T6067" s="117">
        <v>0</v>
      </c>
    </row>
    <row r="6068" spans="1:20" x14ac:dyDescent="0.35">
      <c r="A6068" t="s">
        <v>20</v>
      </c>
      <c r="B6068" t="s">
        <v>24</v>
      </c>
      <c r="C6068" s="1">
        <v>46029</v>
      </c>
      <c r="D6068">
        <f t="shared" ref="D6068:D6069" si="916">DAY(C6068)</f>
        <v>7</v>
      </c>
      <c r="E6068">
        <f t="shared" ref="E6068:E6069" si="917">MONTH(C6068)</f>
        <v>1</v>
      </c>
      <c r="F6068">
        <f t="shared" ref="F6068:F6069" si="918">YEAR(C6068)</f>
        <v>2026</v>
      </c>
      <c r="G6068" t="s">
        <v>1238</v>
      </c>
      <c r="H6068" s="200">
        <v>13401</v>
      </c>
      <c r="I6068" s="76">
        <v>3659.82</v>
      </c>
      <c r="J6068" s="12" t="s">
        <v>31</v>
      </c>
      <c r="K6068" s="94">
        <f t="shared" si="909"/>
        <v>3659.82</v>
      </c>
      <c r="L6068">
        <v>1</v>
      </c>
      <c r="M6068" s="94">
        <v>0</v>
      </c>
      <c r="N6068" t="s">
        <v>32</v>
      </c>
      <c r="O6068" t="s">
        <v>33</v>
      </c>
      <c r="P6068" t="s">
        <v>34</v>
      </c>
      <c r="Q6068" t="s">
        <v>34</v>
      </c>
      <c r="R6068" t="s">
        <v>34</v>
      </c>
      <c r="S6068" t="s">
        <v>34</v>
      </c>
      <c r="T6068" s="117">
        <v>0</v>
      </c>
    </row>
    <row r="6069" spans="1:20" x14ac:dyDescent="0.35">
      <c r="A6069" t="s">
        <v>20</v>
      </c>
      <c r="B6069" t="s">
        <v>23</v>
      </c>
      <c r="C6069" s="1">
        <v>46029</v>
      </c>
      <c r="D6069">
        <f t="shared" si="916"/>
        <v>7</v>
      </c>
      <c r="E6069">
        <f t="shared" si="917"/>
        <v>1</v>
      </c>
      <c r="F6069">
        <f t="shared" si="918"/>
        <v>2026</v>
      </c>
      <c r="G6069" t="s">
        <v>1238</v>
      </c>
      <c r="H6069" s="200">
        <v>13707</v>
      </c>
      <c r="I6069" s="76">
        <v>9538.1</v>
      </c>
      <c r="J6069" s="12" t="s">
        <v>31</v>
      </c>
      <c r="K6069" s="94">
        <f t="shared" si="909"/>
        <v>9538.1</v>
      </c>
      <c r="L6069">
        <v>1</v>
      </c>
      <c r="M6069" s="94">
        <v>0</v>
      </c>
      <c r="N6069" t="s">
        <v>32</v>
      </c>
      <c r="O6069" t="s">
        <v>33</v>
      </c>
      <c r="P6069" t="s">
        <v>34</v>
      </c>
      <c r="Q6069" t="s">
        <v>34</v>
      </c>
      <c r="R6069" t="s">
        <v>34</v>
      </c>
      <c r="S6069" t="s">
        <v>34</v>
      </c>
      <c r="T6069" s="117">
        <v>0</v>
      </c>
    </row>
    <row r="6070" spans="1:20" x14ac:dyDescent="0.35">
      <c r="A6070" t="s">
        <v>20</v>
      </c>
      <c r="B6070" t="s">
        <v>25</v>
      </c>
      <c r="C6070" s="1">
        <v>46029</v>
      </c>
      <c r="D6070">
        <f>DAY(C6070)</f>
        <v>7</v>
      </c>
      <c r="E6070">
        <f>MONTH(C6070)</f>
        <v>1</v>
      </c>
      <c r="F6070">
        <f>YEAR(C6070)</f>
        <v>2026</v>
      </c>
      <c r="G6070" t="s">
        <v>211</v>
      </c>
      <c r="H6070" s="200">
        <v>13991</v>
      </c>
      <c r="I6070" s="76">
        <v>13339.37</v>
      </c>
      <c r="J6070" s="12" t="s">
        <v>31</v>
      </c>
      <c r="K6070" s="94">
        <f t="shared" ref="K6070:K6097" si="919">IF(J6070="USD",I6070,I6070*L6070)</f>
        <v>13339.37</v>
      </c>
      <c r="L6070">
        <v>1</v>
      </c>
      <c r="M6070" s="94">
        <v>0</v>
      </c>
      <c r="N6070" t="s">
        <v>32</v>
      </c>
      <c r="O6070" t="s">
        <v>33</v>
      </c>
      <c r="P6070" t="s">
        <v>34</v>
      </c>
      <c r="Q6070" t="s">
        <v>34</v>
      </c>
      <c r="R6070" t="s">
        <v>34</v>
      </c>
      <c r="S6070" t="s">
        <v>34</v>
      </c>
      <c r="T6070" s="117">
        <v>0</v>
      </c>
    </row>
    <row r="6071" spans="1:20" x14ac:dyDescent="0.35">
      <c r="A6071" t="s">
        <v>20</v>
      </c>
      <c r="B6071" t="s">
        <v>25</v>
      </c>
      <c r="C6071" s="1">
        <v>46029</v>
      </c>
      <c r="D6071">
        <f t="shared" ref="D6071:D6073" si="920">DAY(C6071)</f>
        <v>7</v>
      </c>
      <c r="E6071">
        <f t="shared" ref="E6071:E6073" si="921">MONTH(C6071)</f>
        <v>1</v>
      </c>
      <c r="F6071">
        <f t="shared" ref="F6071:F6073" si="922">YEAR(C6071)</f>
        <v>2026</v>
      </c>
      <c r="G6071" t="s">
        <v>97</v>
      </c>
      <c r="H6071" s="200">
        <v>14352</v>
      </c>
      <c r="I6071" s="76">
        <v>67.5</v>
      </c>
      <c r="J6071" s="12" t="s">
        <v>31</v>
      </c>
      <c r="K6071" s="94">
        <f t="shared" si="919"/>
        <v>67.5</v>
      </c>
      <c r="L6071">
        <v>1</v>
      </c>
      <c r="M6071" s="94">
        <v>0</v>
      </c>
      <c r="N6071" t="s">
        <v>32</v>
      </c>
      <c r="O6071" t="s">
        <v>33</v>
      </c>
      <c r="P6071" t="s">
        <v>34</v>
      </c>
      <c r="Q6071" t="s">
        <v>34</v>
      </c>
      <c r="R6071" t="s">
        <v>34</v>
      </c>
      <c r="S6071" t="s">
        <v>34</v>
      </c>
      <c r="T6071" s="117">
        <v>0</v>
      </c>
    </row>
    <row r="6072" spans="1:20" x14ac:dyDescent="0.35">
      <c r="A6072" t="s">
        <v>20</v>
      </c>
      <c r="B6072" t="s">
        <v>21</v>
      </c>
      <c r="C6072" s="1">
        <v>46029</v>
      </c>
      <c r="D6072">
        <f t="shared" si="920"/>
        <v>7</v>
      </c>
      <c r="E6072">
        <f t="shared" si="921"/>
        <v>1</v>
      </c>
      <c r="F6072">
        <f t="shared" si="922"/>
        <v>2026</v>
      </c>
      <c r="G6072" t="s">
        <v>97</v>
      </c>
      <c r="H6072" s="200">
        <v>14355</v>
      </c>
      <c r="I6072" s="76">
        <v>132</v>
      </c>
      <c r="J6072" s="12" t="s">
        <v>31</v>
      </c>
      <c r="K6072" s="94">
        <f t="shared" si="919"/>
        <v>132</v>
      </c>
      <c r="L6072">
        <v>1</v>
      </c>
      <c r="M6072" s="94">
        <v>0</v>
      </c>
      <c r="N6072" t="s">
        <v>32</v>
      </c>
      <c r="O6072" t="s">
        <v>33</v>
      </c>
      <c r="P6072" t="s">
        <v>34</v>
      </c>
      <c r="Q6072" t="s">
        <v>34</v>
      </c>
      <c r="R6072" t="s">
        <v>34</v>
      </c>
      <c r="S6072" t="s">
        <v>34</v>
      </c>
      <c r="T6072" s="117">
        <v>0</v>
      </c>
    </row>
    <row r="6073" spans="1:20" x14ac:dyDescent="0.35">
      <c r="A6073" t="s">
        <v>20</v>
      </c>
      <c r="B6073" t="s">
        <v>21</v>
      </c>
      <c r="C6073" s="1">
        <v>46029</v>
      </c>
      <c r="D6073">
        <f t="shared" si="920"/>
        <v>7</v>
      </c>
      <c r="E6073">
        <f t="shared" si="921"/>
        <v>1</v>
      </c>
      <c r="F6073">
        <f t="shared" si="922"/>
        <v>2026</v>
      </c>
      <c r="G6073" t="s">
        <v>97</v>
      </c>
      <c r="H6073" s="200">
        <v>14139</v>
      </c>
      <c r="I6073" s="76">
        <v>90</v>
      </c>
      <c r="J6073" s="12" t="s">
        <v>31</v>
      </c>
      <c r="K6073" s="94">
        <f t="shared" si="919"/>
        <v>90</v>
      </c>
      <c r="L6073">
        <v>1</v>
      </c>
      <c r="M6073" s="94">
        <v>0</v>
      </c>
      <c r="N6073" t="s">
        <v>32</v>
      </c>
      <c r="O6073" t="s">
        <v>33</v>
      </c>
      <c r="P6073" t="s">
        <v>34</v>
      </c>
      <c r="Q6073" t="s">
        <v>34</v>
      </c>
      <c r="R6073" t="s">
        <v>34</v>
      </c>
      <c r="S6073" t="s">
        <v>34</v>
      </c>
      <c r="T6073" s="117">
        <v>0</v>
      </c>
    </row>
    <row r="6074" spans="1:20" x14ac:dyDescent="0.35">
      <c r="A6074" t="s">
        <v>20</v>
      </c>
      <c r="B6074" t="s">
        <v>25</v>
      </c>
      <c r="C6074" s="1">
        <v>46029</v>
      </c>
      <c r="D6074">
        <f>DAY(C6074)</f>
        <v>7</v>
      </c>
      <c r="E6074">
        <f>MONTH(C6074)</f>
        <v>1</v>
      </c>
      <c r="F6074">
        <f>YEAR(C6074)</f>
        <v>2026</v>
      </c>
      <c r="G6074" t="s">
        <v>81</v>
      </c>
      <c r="H6074" s="200">
        <v>14519</v>
      </c>
      <c r="I6074" s="76">
        <v>5257.5</v>
      </c>
      <c r="J6074" s="12" t="s">
        <v>31</v>
      </c>
      <c r="K6074" s="94">
        <f t="shared" si="919"/>
        <v>5257.5</v>
      </c>
      <c r="L6074">
        <v>1</v>
      </c>
      <c r="M6074" s="94">
        <v>0</v>
      </c>
      <c r="N6074" t="s">
        <v>42</v>
      </c>
      <c r="O6074" t="s">
        <v>33</v>
      </c>
      <c r="P6074" t="s">
        <v>34</v>
      </c>
      <c r="Q6074" t="s">
        <v>34</v>
      </c>
      <c r="R6074" t="s">
        <v>34</v>
      </c>
      <c r="S6074" t="s">
        <v>34</v>
      </c>
      <c r="T6074" s="117">
        <v>0</v>
      </c>
    </row>
    <row r="6075" spans="1:20" x14ac:dyDescent="0.35">
      <c r="A6075" t="s">
        <v>20</v>
      </c>
      <c r="B6075" t="s">
        <v>25</v>
      </c>
      <c r="C6075" s="1">
        <v>46029</v>
      </c>
      <c r="D6075">
        <f>DAY(C6075)</f>
        <v>7</v>
      </c>
      <c r="E6075">
        <f>MONTH(C6075)</f>
        <v>1</v>
      </c>
      <c r="F6075">
        <f>YEAR(C6075)</f>
        <v>2026</v>
      </c>
      <c r="G6075" t="s">
        <v>87</v>
      </c>
      <c r="H6075" s="200">
        <v>13506</v>
      </c>
      <c r="I6075" s="76">
        <v>435.2</v>
      </c>
      <c r="J6075" s="12" t="s">
        <v>31</v>
      </c>
      <c r="K6075" s="94">
        <f t="shared" si="919"/>
        <v>435.2</v>
      </c>
      <c r="L6075">
        <v>1</v>
      </c>
      <c r="M6075" s="94">
        <v>0</v>
      </c>
      <c r="N6075" t="s">
        <v>32</v>
      </c>
      <c r="O6075" t="s">
        <v>33</v>
      </c>
      <c r="P6075" t="s">
        <v>34</v>
      </c>
      <c r="Q6075" t="s">
        <v>34</v>
      </c>
      <c r="R6075" t="s">
        <v>34</v>
      </c>
      <c r="S6075" t="s">
        <v>34</v>
      </c>
      <c r="T6075" s="117">
        <v>0</v>
      </c>
    </row>
    <row r="6076" spans="1:20" x14ac:dyDescent="0.35">
      <c r="A6076" t="s">
        <v>20</v>
      </c>
      <c r="B6076" t="s">
        <v>24</v>
      </c>
      <c r="C6076" s="1">
        <v>46029</v>
      </c>
      <c r="D6076">
        <f t="shared" ref="D6076:D6077" si="923">DAY(C6076)</f>
        <v>7</v>
      </c>
      <c r="E6076">
        <f t="shared" ref="E6076:E6077" si="924">MONTH(C6076)</f>
        <v>1</v>
      </c>
      <c r="F6076">
        <f t="shared" ref="F6076:F6077" si="925">YEAR(C6076)</f>
        <v>2026</v>
      </c>
      <c r="G6076" t="s">
        <v>1189</v>
      </c>
      <c r="H6076" s="200">
        <v>13286</v>
      </c>
      <c r="I6076" s="76">
        <v>14875</v>
      </c>
      <c r="J6076" s="12" t="s">
        <v>31</v>
      </c>
      <c r="K6076" s="94">
        <f t="shared" si="919"/>
        <v>14875</v>
      </c>
      <c r="L6076">
        <v>1</v>
      </c>
      <c r="M6076" s="94">
        <v>0</v>
      </c>
      <c r="N6076" t="s">
        <v>42</v>
      </c>
      <c r="O6076" t="s">
        <v>33</v>
      </c>
      <c r="P6076" t="s">
        <v>34</v>
      </c>
      <c r="Q6076" t="s">
        <v>34</v>
      </c>
      <c r="R6076" t="s">
        <v>34</v>
      </c>
      <c r="S6076" t="s">
        <v>34</v>
      </c>
      <c r="T6076" s="117">
        <v>0</v>
      </c>
    </row>
    <row r="6077" spans="1:20" x14ac:dyDescent="0.35">
      <c r="A6077" t="s">
        <v>20</v>
      </c>
      <c r="B6077" t="s">
        <v>24</v>
      </c>
      <c r="C6077" s="1">
        <v>46029</v>
      </c>
      <c r="D6077">
        <f t="shared" si="923"/>
        <v>7</v>
      </c>
      <c r="E6077">
        <f t="shared" si="924"/>
        <v>1</v>
      </c>
      <c r="F6077">
        <f t="shared" si="925"/>
        <v>2026</v>
      </c>
      <c r="G6077" t="s">
        <v>1189</v>
      </c>
      <c r="H6077" s="200">
        <v>14518</v>
      </c>
      <c r="I6077" s="76">
        <v>4350</v>
      </c>
      <c r="J6077" s="12" t="s">
        <v>31</v>
      </c>
      <c r="K6077" s="94">
        <f t="shared" si="919"/>
        <v>4350</v>
      </c>
      <c r="L6077">
        <v>1</v>
      </c>
      <c r="M6077" s="94">
        <v>0</v>
      </c>
      <c r="N6077" t="s">
        <v>42</v>
      </c>
      <c r="O6077" t="s">
        <v>33</v>
      </c>
      <c r="P6077" t="s">
        <v>34</v>
      </c>
      <c r="Q6077" t="s">
        <v>34</v>
      </c>
      <c r="R6077" t="s">
        <v>34</v>
      </c>
      <c r="S6077" t="s">
        <v>34</v>
      </c>
      <c r="T6077" s="117">
        <v>0</v>
      </c>
    </row>
    <row r="6078" spans="1:20" x14ac:dyDescent="0.35">
      <c r="A6078" t="s">
        <v>20</v>
      </c>
      <c r="B6078" t="s">
        <v>21</v>
      </c>
      <c r="C6078" s="1">
        <v>46029</v>
      </c>
      <c r="D6078">
        <f>DAY(C6078)</f>
        <v>7</v>
      </c>
      <c r="E6078">
        <f>MONTH(C6078)</f>
        <v>1</v>
      </c>
      <c r="F6078">
        <f>YEAR(C6078)</f>
        <v>2026</v>
      </c>
      <c r="G6078" t="s">
        <v>90</v>
      </c>
      <c r="H6078" s="200">
        <v>13310</v>
      </c>
      <c r="I6078" s="76">
        <v>4697.3900000000003</v>
      </c>
      <c r="J6078" s="12" t="s">
        <v>31</v>
      </c>
      <c r="K6078" s="94">
        <f t="shared" si="919"/>
        <v>4697.3900000000003</v>
      </c>
      <c r="L6078">
        <v>1</v>
      </c>
      <c r="M6078" s="94">
        <v>0</v>
      </c>
      <c r="N6078" t="s">
        <v>32</v>
      </c>
      <c r="O6078" t="s">
        <v>33</v>
      </c>
      <c r="P6078" t="s">
        <v>34</v>
      </c>
      <c r="Q6078" t="s">
        <v>34</v>
      </c>
      <c r="R6078" t="s">
        <v>34</v>
      </c>
      <c r="S6078" t="s">
        <v>34</v>
      </c>
      <c r="T6078" s="117">
        <v>0</v>
      </c>
    </row>
    <row r="6079" spans="1:20" x14ac:dyDescent="0.35">
      <c r="A6079" t="s">
        <v>20</v>
      </c>
      <c r="B6079" t="s">
        <v>21</v>
      </c>
      <c r="C6079" s="1">
        <v>46029</v>
      </c>
      <c r="D6079">
        <f t="shared" ref="D6079:D6080" si="926">DAY(C6079)</f>
        <v>7</v>
      </c>
      <c r="E6079">
        <f t="shared" ref="E6079:E6080" si="927">MONTH(C6079)</f>
        <v>1</v>
      </c>
      <c r="F6079">
        <f t="shared" ref="F6079:F6080" si="928">YEAR(C6079)</f>
        <v>2026</v>
      </c>
      <c r="G6079" t="s">
        <v>52</v>
      </c>
      <c r="H6079" s="200">
        <v>13955</v>
      </c>
      <c r="I6079" s="76">
        <v>486.22</v>
      </c>
      <c r="J6079" s="12" t="s">
        <v>31</v>
      </c>
      <c r="K6079" s="94">
        <f t="shared" si="919"/>
        <v>486.22</v>
      </c>
      <c r="L6079">
        <v>1</v>
      </c>
      <c r="M6079" s="94">
        <v>0</v>
      </c>
      <c r="N6079" t="s">
        <v>32</v>
      </c>
      <c r="O6079" t="s">
        <v>33</v>
      </c>
      <c r="P6079" t="s">
        <v>34</v>
      </c>
      <c r="Q6079" t="s">
        <v>34</v>
      </c>
      <c r="R6079" t="s">
        <v>34</v>
      </c>
      <c r="S6079" t="s">
        <v>34</v>
      </c>
      <c r="T6079" s="117">
        <v>0</v>
      </c>
    </row>
    <row r="6080" spans="1:20" x14ac:dyDescent="0.35">
      <c r="A6080" t="s">
        <v>20</v>
      </c>
      <c r="B6080" t="s">
        <v>21</v>
      </c>
      <c r="C6080" s="1">
        <v>46029</v>
      </c>
      <c r="D6080">
        <f t="shared" si="926"/>
        <v>7</v>
      </c>
      <c r="E6080">
        <f t="shared" si="927"/>
        <v>1</v>
      </c>
      <c r="F6080">
        <f t="shared" si="928"/>
        <v>2026</v>
      </c>
      <c r="G6080" t="s">
        <v>52</v>
      </c>
      <c r="H6080" s="200">
        <v>13847</v>
      </c>
      <c r="I6080" s="76">
        <v>607.04</v>
      </c>
      <c r="J6080" s="12" t="s">
        <v>31</v>
      </c>
      <c r="K6080" s="94">
        <f t="shared" si="919"/>
        <v>607.04</v>
      </c>
      <c r="L6080">
        <v>1</v>
      </c>
      <c r="M6080" s="94">
        <v>0</v>
      </c>
      <c r="N6080" t="s">
        <v>32</v>
      </c>
      <c r="O6080" t="s">
        <v>33</v>
      </c>
      <c r="P6080" t="s">
        <v>34</v>
      </c>
      <c r="Q6080" t="s">
        <v>34</v>
      </c>
      <c r="R6080" t="s">
        <v>34</v>
      </c>
      <c r="S6080" t="s">
        <v>34</v>
      </c>
      <c r="T6080" s="117">
        <v>0</v>
      </c>
    </row>
    <row r="6081" spans="1:21" x14ac:dyDescent="0.35">
      <c r="A6081" t="s">
        <v>20</v>
      </c>
      <c r="B6081" t="s">
        <v>25</v>
      </c>
      <c r="C6081" s="1">
        <v>46029</v>
      </c>
      <c r="D6081">
        <f t="shared" ref="D6081:D6082" si="929">DAY(C6081)</f>
        <v>7</v>
      </c>
      <c r="E6081">
        <f t="shared" ref="E6081:E6082" si="930">MONTH(C6081)</f>
        <v>1</v>
      </c>
      <c r="F6081">
        <f t="shared" ref="F6081:F6082" si="931">YEAR(C6081)</f>
        <v>2026</v>
      </c>
      <c r="G6081" t="s">
        <v>53</v>
      </c>
      <c r="H6081" s="200">
        <v>14050</v>
      </c>
      <c r="I6081" s="76">
        <v>148</v>
      </c>
      <c r="J6081" s="12" t="s">
        <v>31</v>
      </c>
      <c r="K6081" s="94">
        <f t="shared" si="919"/>
        <v>148</v>
      </c>
      <c r="L6081">
        <v>1</v>
      </c>
      <c r="M6081" s="94">
        <v>0</v>
      </c>
      <c r="N6081" t="s">
        <v>32</v>
      </c>
      <c r="O6081" t="s">
        <v>33</v>
      </c>
      <c r="P6081" t="s">
        <v>34</v>
      </c>
      <c r="Q6081" t="s">
        <v>34</v>
      </c>
      <c r="R6081" t="s">
        <v>34</v>
      </c>
      <c r="S6081" t="s">
        <v>34</v>
      </c>
      <c r="T6081" s="117">
        <v>0</v>
      </c>
    </row>
    <row r="6082" spans="1:21" x14ac:dyDescent="0.35">
      <c r="A6082" t="s">
        <v>20</v>
      </c>
      <c r="B6082" t="s">
        <v>25</v>
      </c>
      <c r="C6082" s="1">
        <v>46029</v>
      </c>
      <c r="D6082">
        <f t="shared" si="929"/>
        <v>7</v>
      </c>
      <c r="E6082">
        <f t="shared" si="930"/>
        <v>1</v>
      </c>
      <c r="F6082">
        <f t="shared" si="931"/>
        <v>2026</v>
      </c>
      <c r="G6082" t="s">
        <v>53</v>
      </c>
      <c r="H6082" s="200">
        <v>14439</v>
      </c>
      <c r="I6082" s="76">
        <v>148</v>
      </c>
      <c r="J6082" s="12" t="s">
        <v>31</v>
      </c>
      <c r="K6082" s="94">
        <f t="shared" si="919"/>
        <v>148</v>
      </c>
      <c r="L6082">
        <v>1</v>
      </c>
      <c r="M6082" s="94">
        <v>0</v>
      </c>
      <c r="N6082" t="s">
        <v>32</v>
      </c>
      <c r="O6082" t="s">
        <v>33</v>
      </c>
      <c r="P6082" t="s">
        <v>34</v>
      </c>
      <c r="Q6082" t="s">
        <v>34</v>
      </c>
      <c r="R6082" t="s">
        <v>34</v>
      </c>
      <c r="S6082" t="s">
        <v>34</v>
      </c>
      <c r="T6082" s="117">
        <v>0</v>
      </c>
    </row>
    <row r="6083" spans="1:21" x14ac:dyDescent="0.35">
      <c r="A6083" t="s">
        <v>20</v>
      </c>
      <c r="B6083" t="s">
        <v>21</v>
      </c>
      <c r="C6083" s="1">
        <v>46029</v>
      </c>
      <c r="D6083">
        <f>DAY(C6083)</f>
        <v>7</v>
      </c>
      <c r="E6083">
        <f>MONTH(C6083)</f>
        <v>1</v>
      </c>
      <c r="F6083">
        <f>YEAR(C6083)</f>
        <v>2026</v>
      </c>
      <c r="G6083" t="s">
        <v>46</v>
      </c>
      <c r="H6083" s="200">
        <v>13828</v>
      </c>
      <c r="I6083" s="76">
        <v>8271.9</v>
      </c>
      <c r="J6083" s="12" t="s">
        <v>31</v>
      </c>
      <c r="K6083" s="94">
        <f t="shared" si="919"/>
        <v>8271.9</v>
      </c>
      <c r="L6083">
        <v>1</v>
      </c>
      <c r="M6083" s="94">
        <v>0</v>
      </c>
      <c r="N6083" t="s">
        <v>42</v>
      </c>
      <c r="O6083" t="s">
        <v>33</v>
      </c>
      <c r="P6083" t="s">
        <v>34</v>
      </c>
      <c r="Q6083" t="s">
        <v>34</v>
      </c>
      <c r="R6083" t="s">
        <v>34</v>
      </c>
      <c r="S6083" t="s">
        <v>34</v>
      </c>
      <c r="T6083" s="117">
        <v>0</v>
      </c>
    </row>
    <row r="6084" spans="1:21" x14ac:dyDescent="0.35">
      <c r="A6084" t="s">
        <v>20</v>
      </c>
      <c r="B6084" t="s">
        <v>23</v>
      </c>
      <c r="C6084" s="1">
        <v>46029</v>
      </c>
      <c r="D6084">
        <f>DAY(C6084)</f>
        <v>7</v>
      </c>
      <c r="E6084">
        <f>MONTH(C6084)</f>
        <v>1</v>
      </c>
      <c r="F6084">
        <f>YEAR(C6084)</f>
        <v>2026</v>
      </c>
      <c r="G6084" t="s">
        <v>265</v>
      </c>
      <c r="H6084" s="200">
        <v>13875</v>
      </c>
      <c r="I6084" s="76">
        <v>20609.11</v>
      </c>
      <c r="J6084" s="12" t="s">
        <v>31</v>
      </c>
      <c r="K6084" s="94">
        <f t="shared" si="919"/>
        <v>20609.11</v>
      </c>
      <c r="L6084">
        <v>1</v>
      </c>
      <c r="M6084" s="94">
        <v>0</v>
      </c>
      <c r="N6084" t="s">
        <v>32</v>
      </c>
      <c r="O6084" t="s">
        <v>33</v>
      </c>
      <c r="P6084" t="s">
        <v>34</v>
      </c>
      <c r="Q6084" t="s">
        <v>34</v>
      </c>
      <c r="R6084" t="s">
        <v>34</v>
      </c>
      <c r="S6084" t="s">
        <v>34</v>
      </c>
      <c r="T6084" s="117">
        <v>0</v>
      </c>
    </row>
    <row r="6085" spans="1:21" x14ac:dyDescent="0.35">
      <c r="A6085" t="s">
        <v>19</v>
      </c>
      <c r="B6085" t="s">
        <v>23</v>
      </c>
      <c r="C6085" s="1">
        <v>46030</v>
      </c>
      <c r="D6085">
        <f>DAY(C6085)</f>
        <v>8</v>
      </c>
      <c r="E6085">
        <f>MONTH(C6085)</f>
        <v>1</v>
      </c>
      <c r="F6085">
        <f>YEAR(C6085)</f>
        <v>2026</v>
      </c>
      <c r="G6085" t="s">
        <v>74</v>
      </c>
      <c r="H6085" s="121">
        <v>14401</v>
      </c>
      <c r="I6085" s="76">
        <v>27503.35</v>
      </c>
      <c r="J6085" s="12" t="s">
        <v>31</v>
      </c>
      <c r="K6085" s="94">
        <f t="shared" si="919"/>
        <v>27503.35</v>
      </c>
      <c r="L6085">
        <v>1</v>
      </c>
      <c r="M6085" s="94">
        <v>0</v>
      </c>
      <c r="N6085" t="s">
        <v>32</v>
      </c>
      <c r="O6085" t="s">
        <v>33</v>
      </c>
      <c r="P6085" t="s">
        <v>34</v>
      </c>
      <c r="Q6085" t="s">
        <v>34</v>
      </c>
      <c r="R6085" t="s">
        <v>34</v>
      </c>
      <c r="S6085" t="s">
        <v>34</v>
      </c>
      <c r="T6085" s="117">
        <v>0</v>
      </c>
    </row>
    <row r="6086" spans="1:21" x14ac:dyDescent="0.35">
      <c r="A6086" t="s">
        <v>19</v>
      </c>
      <c r="B6086" t="s">
        <v>21</v>
      </c>
      <c r="C6086" s="1">
        <v>46030</v>
      </c>
      <c r="D6086">
        <f t="shared" ref="D6086:D6090" si="932">DAY(C6086)</f>
        <v>8</v>
      </c>
      <c r="E6086">
        <f t="shared" ref="E6086:E6090" si="933">MONTH(C6086)</f>
        <v>1</v>
      </c>
      <c r="F6086">
        <f t="shared" ref="F6086:F6090" si="934">YEAR(C6086)</f>
        <v>2026</v>
      </c>
      <c r="G6086" t="s">
        <v>76</v>
      </c>
      <c r="H6086" s="121">
        <v>14445</v>
      </c>
      <c r="I6086" s="76">
        <v>31754.42</v>
      </c>
      <c r="J6086" s="12" t="s">
        <v>31</v>
      </c>
      <c r="K6086" s="94">
        <f t="shared" si="919"/>
        <v>31754.42</v>
      </c>
      <c r="L6086">
        <v>1</v>
      </c>
      <c r="M6086" s="94">
        <v>0</v>
      </c>
      <c r="N6086" t="s">
        <v>32</v>
      </c>
      <c r="O6086" t="s">
        <v>33</v>
      </c>
      <c r="P6086" t="s">
        <v>34</v>
      </c>
      <c r="Q6086" t="s">
        <v>34</v>
      </c>
      <c r="R6086" t="s">
        <v>34</v>
      </c>
      <c r="S6086" t="s">
        <v>34</v>
      </c>
      <c r="T6086" s="117">
        <v>0</v>
      </c>
    </row>
    <row r="6087" spans="1:21" x14ac:dyDescent="0.35">
      <c r="A6087" t="s">
        <v>19</v>
      </c>
      <c r="B6087" t="s">
        <v>21</v>
      </c>
      <c r="C6087" s="1">
        <v>46030</v>
      </c>
      <c r="D6087">
        <f t="shared" si="932"/>
        <v>8</v>
      </c>
      <c r="E6087">
        <f t="shared" si="933"/>
        <v>1</v>
      </c>
      <c r="F6087">
        <f t="shared" si="934"/>
        <v>2026</v>
      </c>
      <c r="G6087" t="s">
        <v>76</v>
      </c>
      <c r="H6087" s="121">
        <v>13771</v>
      </c>
      <c r="I6087" s="76">
        <v>269.04000000000002</v>
      </c>
      <c r="J6087" s="12" t="s">
        <v>31</v>
      </c>
      <c r="K6087" s="94">
        <f t="shared" si="919"/>
        <v>269.04000000000002</v>
      </c>
      <c r="L6087">
        <v>1</v>
      </c>
      <c r="M6087" s="94">
        <v>0</v>
      </c>
      <c r="N6087" t="s">
        <v>32</v>
      </c>
      <c r="O6087" t="s">
        <v>33</v>
      </c>
      <c r="P6087" t="s">
        <v>34</v>
      </c>
      <c r="Q6087" t="s">
        <v>34</v>
      </c>
      <c r="R6087" t="s">
        <v>34</v>
      </c>
      <c r="S6087" t="s">
        <v>34</v>
      </c>
      <c r="T6087" s="117">
        <v>0</v>
      </c>
    </row>
    <row r="6088" spans="1:21" x14ac:dyDescent="0.35">
      <c r="A6088" t="s">
        <v>19</v>
      </c>
      <c r="B6088" t="s">
        <v>24</v>
      </c>
      <c r="C6088" s="1">
        <v>46030</v>
      </c>
      <c r="D6088">
        <f t="shared" si="932"/>
        <v>8</v>
      </c>
      <c r="E6088">
        <f t="shared" si="933"/>
        <v>1</v>
      </c>
      <c r="F6088">
        <f t="shared" si="934"/>
        <v>2026</v>
      </c>
      <c r="G6088" t="s">
        <v>76</v>
      </c>
      <c r="H6088" s="121">
        <v>13899</v>
      </c>
      <c r="I6088" s="76">
        <v>55.2</v>
      </c>
      <c r="J6088" s="12" t="s">
        <v>31</v>
      </c>
      <c r="K6088" s="94">
        <f t="shared" si="919"/>
        <v>55.2</v>
      </c>
      <c r="L6088">
        <v>1</v>
      </c>
      <c r="M6088" s="94">
        <v>0</v>
      </c>
      <c r="N6088" t="s">
        <v>32</v>
      </c>
      <c r="O6088" t="s">
        <v>33</v>
      </c>
      <c r="P6088" t="s">
        <v>34</v>
      </c>
      <c r="Q6088" t="s">
        <v>34</v>
      </c>
      <c r="R6088" t="s">
        <v>34</v>
      </c>
      <c r="S6088" t="s">
        <v>34</v>
      </c>
      <c r="T6088" s="117">
        <v>0</v>
      </c>
    </row>
    <row r="6089" spans="1:21" x14ac:dyDescent="0.35">
      <c r="A6089" t="s">
        <v>19</v>
      </c>
      <c r="B6089" t="s">
        <v>21</v>
      </c>
      <c r="C6089" s="1">
        <v>46030</v>
      </c>
      <c r="D6089">
        <f t="shared" si="932"/>
        <v>8</v>
      </c>
      <c r="E6089">
        <f t="shared" si="933"/>
        <v>1</v>
      </c>
      <c r="F6089">
        <f t="shared" si="934"/>
        <v>2026</v>
      </c>
      <c r="G6089" t="s">
        <v>76</v>
      </c>
      <c r="H6089" s="121">
        <v>13775</v>
      </c>
      <c r="I6089" s="76">
        <v>313.98</v>
      </c>
      <c r="J6089" s="12" t="s">
        <v>31</v>
      </c>
      <c r="K6089" s="94">
        <f t="shared" si="919"/>
        <v>313.98</v>
      </c>
      <c r="L6089">
        <v>1</v>
      </c>
      <c r="M6089" s="94">
        <v>0</v>
      </c>
      <c r="N6089" t="s">
        <v>32</v>
      </c>
      <c r="O6089" t="s">
        <v>33</v>
      </c>
      <c r="P6089" t="s">
        <v>34</v>
      </c>
      <c r="Q6089" t="s">
        <v>34</v>
      </c>
      <c r="R6089" t="s">
        <v>34</v>
      </c>
      <c r="S6089" t="s">
        <v>34</v>
      </c>
      <c r="T6089" s="117">
        <v>0</v>
      </c>
    </row>
    <row r="6090" spans="1:21" x14ac:dyDescent="0.35">
      <c r="A6090" t="s">
        <v>19</v>
      </c>
      <c r="B6090" t="s">
        <v>25</v>
      </c>
      <c r="C6090" s="1">
        <v>46030</v>
      </c>
      <c r="D6090">
        <f t="shared" si="932"/>
        <v>8</v>
      </c>
      <c r="E6090">
        <f t="shared" si="933"/>
        <v>1</v>
      </c>
      <c r="F6090">
        <f t="shared" si="934"/>
        <v>2026</v>
      </c>
      <c r="G6090" t="s">
        <v>76</v>
      </c>
      <c r="H6090" s="121">
        <v>13889</v>
      </c>
      <c r="I6090" s="76">
        <v>285.60000000000002</v>
      </c>
      <c r="J6090" s="12" t="s">
        <v>31</v>
      </c>
      <c r="K6090" s="94">
        <f t="shared" si="919"/>
        <v>285.60000000000002</v>
      </c>
      <c r="L6090">
        <v>1</v>
      </c>
      <c r="M6090" s="94">
        <v>0</v>
      </c>
      <c r="N6090" t="s">
        <v>32</v>
      </c>
      <c r="O6090" t="s">
        <v>33</v>
      </c>
      <c r="P6090" t="s">
        <v>34</v>
      </c>
      <c r="Q6090" t="s">
        <v>34</v>
      </c>
      <c r="R6090" t="s">
        <v>34</v>
      </c>
      <c r="S6090" t="s">
        <v>34</v>
      </c>
      <c r="T6090" s="117">
        <v>0</v>
      </c>
    </row>
    <row r="6091" spans="1:21" x14ac:dyDescent="0.35">
      <c r="A6091" t="s">
        <v>19</v>
      </c>
      <c r="B6091" t="s">
        <v>21</v>
      </c>
      <c r="C6091" s="1">
        <v>46030</v>
      </c>
      <c r="D6091">
        <f t="shared" ref="D6091:D6095" si="935">DAY(C6091)</f>
        <v>8</v>
      </c>
      <c r="E6091">
        <f t="shared" ref="E6091:E6095" si="936">MONTH(C6091)</f>
        <v>1</v>
      </c>
      <c r="F6091">
        <f t="shared" ref="F6091:F6095" si="937">YEAR(C6091)</f>
        <v>2026</v>
      </c>
      <c r="G6091" t="s">
        <v>1517</v>
      </c>
      <c r="H6091" s="121">
        <v>13901</v>
      </c>
      <c r="I6091" s="76">
        <v>5286.6</v>
      </c>
      <c r="J6091" s="12" t="s">
        <v>31</v>
      </c>
      <c r="K6091" s="94">
        <f t="shared" si="919"/>
        <v>5286.6</v>
      </c>
      <c r="L6091">
        <v>1</v>
      </c>
      <c r="M6091" s="94">
        <v>0</v>
      </c>
      <c r="N6091" t="s">
        <v>32</v>
      </c>
      <c r="O6091" t="s">
        <v>33</v>
      </c>
      <c r="P6091" t="s">
        <v>34</v>
      </c>
      <c r="Q6091" t="s">
        <v>34</v>
      </c>
      <c r="R6091" t="s">
        <v>34</v>
      </c>
      <c r="S6091" t="s">
        <v>34</v>
      </c>
      <c r="T6091" s="117">
        <v>0</v>
      </c>
    </row>
    <row r="6092" spans="1:21" x14ac:dyDescent="0.35">
      <c r="A6092" t="s">
        <v>19</v>
      </c>
      <c r="B6092" t="s">
        <v>21</v>
      </c>
      <c r="C6092" s="1">
        <v>46030</v>
      </c>
      <c r="D6092">
        <f t="shared" si="935"/>
        <v>8</v>
      </c>
      <c r="E6092">
        <f t="shared" si="936"/>
        <v>1</v>
      </c>
      <c r="F6092">
        <f t="shared" si="937"/>
        <v>2026</v>
      </c>
      <c r="G6092" t="s">
        <v>1517</v>
      </c>
      <c r="H6092" s="121">
        <v>13900</v>
      </c>
      <c r="I6092" s="76">
        <v>35.6</v>
      </c>
      <c r="J6092" s="12" t="s">
        <v>31</v>
      </c>
      <c r="K6092" s="94">
        <f t="shared" si="919"/>
        <v>35.6</v>
      </c>
      <c r="L6092">
        <v>1</v>
      </c>
      <c r="M6092" s="94">
        <v>0</v>
      </c>
      <c r="N6092" t="s">
        <v>32</v>
      </c>
      <c r="O6092" t="s">
        <v>33</v>
      </c>
      <c r="P6092" t="s">
        <v>34</v>
      </c>
      <c r="Q6092" t="s">
        <v>34</v>
      </c>
      <c r="R6092" t="s">
        <v>34</v>
      </c>
      <c r="S6092" t="s">
        <v>34</v>
      </c>
      <c r="T6092" s="117">
        <v>0</v>
      </c>
    </row>
    <row r="6093" spans="1:21" x14ac:dyDescent="0.35">
      <c r="A6093" t="s">
        <v>19</v>
      </c>
      <c r="B6093" t="s">
        <v>21</v>
      </c>
      <c r="C6093" s="1">
        <v>46030</v>
      </c>
      <c r="D6093">
        <f t="shared" si="935"/>
        <v>8</v>
      </c>
      <c r="E6093">
        <f t="shared" si="936"/>
        <v>1</v>
      </c>
      <c r="F6093">
        <f t="shared" si="937"/>
        <v>2026</v>
      </c>
      <c r="G6093" t="s">
        <v>1517</v>
      </c>
      <c r="H6093" s="121">
        <v>13943</v>
      </c>
      <c r="I6093" s="76">
        <v>102.8</v>
      </c>
      <c r="J6093" s="12" t="s">
        <v>31</v>
      </c>
      <c r="K6093" s="94">
        <f t="shared" si="919"/>
        <v>102.8</v>
      </c>
      <c r="L6093">
        <v>1</v>
      </c>
      <c r="M6093" s="94">
        <v>0</v>
      </c>
      <c r="N6093" t="s">
        <v>32</v>
      </c>
      <c r="O6093" t="s">
        <v>33</v>
      </c>
      <c r="P6093" t="s">
        <v>34</v>
      </c>
      <c r="Q6093" t="s">
        <v>34</v>
      </c>
      <c r="R6093" t="s">
        <v>34</v>
      </c>
      <c r="S6093" t="s">
        <v>34</v>
      </c>
      <c r="T6093" s="117">
        <v>0</v>
      </c>
    </row>
    <row r="6094" spans="1:21" x14ac:dyDescent="0.35">
      <c r="A6094" t="s">
        <v>19</v>
      </c>
      <c r="B6094" t="s">
        <v>21</v>
      </c>
      <c r="C6094" s="1">
        <v>46030</v>
      </c>
      <c r="D6094">
        <f t="shared" si="935"/>
        <v>8</v>
      </c>
      <c r="E6094">
        <f t="shared" si="936"/>
        <v>1</v>
      </c>
      <c r="F6094">
        <f t="shared" si="937"/>
        <v>2026</v>
      </c>
      <c r="G6094" t="s">
        <v>1517</v>
      </c>
      <c r="H6094" s="121">
        <v>13717</v>
      </c>
      <c r="I6094" s="76">
        <v>4.4000000000000004</v>
      </c>
      <c r="J6094" s="12" t="s">
        <v>31</v>
      </c>
      <c r="K6094" s="94">
        <f t="shared" si="919"/>
        <v>4.4000000000000004</v>
      </c>
      <c r="L6094">
        <v>1</v>
      </c>
      <c r="M6094" s="94">
        <v>0</v>
      </c>
      <c r="N6094" t="s">
        <v>32</v>
      </c>
      <c r="O6094" t="s">
        <v>33</v>
      </c>
      <c r="P6094" t="s">
        <v>34</v>
      </c>
      <c r="Q6094" t="s">
        <v>34</v>
      </c>
      <c r="R6094" t="s">
        <v>34</v>
      </c>
      <c r="S6094" t="s">
        <v>34</v>
      </c>
      <c r="T6094" s="117">
        <v>0</v>
      </c>
    </row>
    <row r="6095" spans="1:21" x14ac:dyDescent="0.35">
      <c r="A6095" t="s">
        <v>19</v>
      </c>
      <c r="B6095" t="s">
        <v>23</v>
      </c>
      <c r="C6095" s="1">
        <v>46030</v>
      </c>
      <c r="D6095">
        <f t="shared" si="935"/>
        <v>8</v>
      </c>
      <c r="E6095">
        <f t="shared" si="936"/>
        <v>1</v>
      </c>
      <c r="F6095">
        <f t="shared" si="937"/>
        <v>2026</v>
      </c>
      <c r="G6095" t="s">
        <v>1517</v>
      </c>
      <c r="H6095" s="121">
        <v>14116</v>
      </c>
      <c r="I6095" s="76">
        <v>10690.5</v>
      </c>
      <c r="J6095" s="12" t="s">
        <v>31</v>
      </c>
      <c r="K6095" s="94">
        <f t="shared" si="919"/>
        <v>10690.5</v>
      </c>
      <c r="L6095">
        <v>1</v>
      </c>
      <c r="M6095" s="94">
        <v>0</v>
      </c>
      <c r="N6095" t="s">
        <v>32</v>
      </c>
      <c r="O6095" t="s">
        <v>33</v>
      </c>
      <c r="P6095" t="s">
        <v>34</v>
      </c>
      <c r="Q6095" t="s">
        <v>34</v>
      </c>
      <c r="R6095" t="s">
        <v>34</v>
      </c>
      <c r="S6095" t="s">
        <v>34</v>
      </c>
      <c r="T6095" s="117">
        <v>0</v>
      </c>
    </row>
    <row r="6096" spans="1:21" x14ac:dyDescent="0.35">
      <c r="A6096" t="s">
        <v>19</v>
      </c>
      <c r="B6096" t="s">
        <v>26</v>
      </c>
      <c r="C6096" s="1">
        <v>46030</v>
      </c>
      <c r="D6096">
        <f>DAY(C6096)</f>
        <v>8</v>
      </c>
      <c r="E6096">
        <f>MONTH(C6096)</f>
        <v>1</v>
      </c>
      <c r="F6096">
        <f>YEAR(C6096)</f>
        <v>2026</v>
      </c>
      <c r="G6096" t="s">
        <v>73</v>
      </c>
      <c r="H6096" s="234">
        <v>0</v>
      </c>
      <c r="I6096" s="15">
        <v>456654.70446299994</v>
      </c>
      <c r="J6096" s="12" t="s">
        <v>31</v>
      </c>
      <c r="K6096" s="94">
        <f t="shared" si="919"/>
        <v>456654.70446299994</v>
      </c>
      <c r="L6096">
        <v>1</v>
      </c>
      <c r="M6096" s="94">
        <v>0</v>
      </c>
      <c r="N6096" t="s">
        <v>42</v>
      </c>
      <c r="O6096" t="s">
        <v>33</v>
      </c>
      <c r="P6096" t="s">
        <v>34</v>
      </c>
      <c r="Q6096" t="s">
        <v>34</v>
      </c>
      <c r="R6096" t="s">
        <v>34</v>
      </c>
      <c r="S6096" t="s">
        <v>34</v>
      </c>
      <c r="T6096" s="117">
        <v>0</v>
      </c>
      <c r="U6096" s="209" t="s">
        <v>94</v>
      </c>
    </row>
    <row r="6097" spans="1:20" x14ac:dyDescent="0.35">
      <c r="A6097" t="s">
        <v>19</v>
      </c>
      <c r="C6097" s="1">
        <v>46030</v>
      </c>
      <c r="D6097">
        <f>DAY(C6097)</f>
        <v>8</v>
      </c>
      <c r="E6097">
        <f>MONTH(C6097)</f>
        <v>1</v>
      </c>
      <c r="F6097">
        <f>YEAR(C6097)</f>
        <v>2026</v>
      </c>
      <c r="G6097" t="s">
        <v>1602</v>
      </c>
      <c r="H6097" s="121">
        <v>14521</v>
      </c>
      <c r="I6097" s="15">
        <v>2400</v>
      </c>
      <c r="J6097" s="12" t="s">
        <v>31</v>
      </c>
      <c r="K6097" s="94">
        <f t="shared" si="919"/>
        <v>2400</v>
      </c>
      <c r="L6097">
        <v>1</v>
      </c>
      <c r="M6097" s="94">
        <v>0</v>
      </c>
      <c r="N6097" s="216"/>
      <c r="O6097" t="s">
        <v>33</v>
      </c>
      <c r="P6097" t="s">
        <v>34</v>
      </c>
      <c r="Q6097" t="s">
        <v>34</v>
      </c>
      <c r="R6097" t="s">
        <v>34</v>
      </c>
      <c r="S6097" t="s">
        <v>34</v>
      </c>
      <c r="T6097" s="117">
        <v>0</v>
      </c>
    </row>
    <row r="6098" spans="1:20" x14ac:dyDescent="0.35">
      <c r="A6098" t="s">
        <v>19</v>
      </c>
      <c r="B6098" t="s">
        <v>19</v>
      </c>
      <c r="C6098" s="1">
        <v>46030</v>
      </c>
      <c r="D6098">
        <f t="shared" ref="D6098:D6100" si="938">DAY(C6098)</f>
        <v>8</v>
      </c>
      <c r="E6098">
        <f t="shared" ref="E6098:E6100" si="939">MONTH(C6098)</f>
        <v>1</v>
      </c>
      <c r="F6098">
        <f t="shared" ref="F6098:F6100" si="940">YEAR(C6098)</f>
        <v>2026</v>
      </c>
      <c r="G6098" t="s">
        <v>56</v>
      </c>
      <c r="H6098" s="180" t="s">
        <v>1603</v>
      </c>
      <c r="I6098" s="224">
        <v>186671.13</v>
      </c>
      <c r="J6098" s="12" t="s">
        <v>31</v>
      </c>
      <c r="K6098" s="94">
        <f t="shared" ref="K6098:K6110" si="941">IF(J6098="USD",I6098,I6098*L6098)</f>
        <v>186671.13</v>
      </c>
      <c r="L6098">
        <v>1</v>
      </c>
      <c r="M6098" s="94">
        <v>0</v>
      </c>
      <c r="N6098" t="s">
        <v>32</v>
      </c>
      <c r="O6098" t="s">
        <v>33</v>
      </c>
      <c r="P6098" t="s">
        <v>34</v>
      </c>
      <c r="Q6098" t="s">
        <v>34</v>
      </c>
      <c r="R6098" t="s">
        <v>34</v>
      </c>
      <c r="S6098" t="s">
        <v>34</v>
      </c>
      <c r="T6098" s="117">
        <v>0</v>
      </c>
    </row>
    <row r="6099" spans="1:20" x14ac:dyDescent="0.35">
      <c r="A6099" t="s">
        <v>19</v>
      </c>
      <c r="B6099" t="s">
        <v>19</v>
      </c>
      <c r="C6099" s="1">
        <v>46030</v>
      </c>
      <c r="D6099">
        <f t="shared" si="938"/>
        <v>8</v>
      </c>
      <c r="E6099">
        <f t="shared" si="939"/>
        <v>1</v>
      </c>
      <c r="F6099">
        <f t="shared" si="940"/>
        <v>2026</v>
      </c>
      <c r="G6099" t="s">
        <v>56</v>
      </c>
      <c r="H6099" s="180" t="s">
        <v>1604</v>
      </c>
      <c r="I6099" s="224">
        <v>170848.67</v>
      </c>
      <c r="J6099" s="12" t="s">
        <v>31</v>
      </c>
      <c r="K6099" s="94">
        <f t="shared" si="941"/>
        <v>170848.67</v>
      </c>
      <c r="L6099">
        <v>1</v>
      </c>
      <c r="M6099" s="94">
        <v>0</v>
      </c>
      <c r="N6099" t="s">
        <v>32</v>
      </c>
      <c r="O6099" t="s">
        <v>33</v>
      </c>
      <c r="P6099" t="s">
        <v>34</v>
      </c>
      <c r="Q6099" t="s">
        <v>34</v>
      </c>
      <c r="R6099" t="s">
        <v>34</v>
      </c>
      <c r="S6099" t="s">
        <v>34</v>
      </c>
      <c r="T6099" s="117">
        <v>0</v>
      </c>
    </row>
    <row r="6100" spans="1:20" x14ac:dyDescent="0.35">
      <c r="A6100" t="s">
        <v>19</v>
      </c>
      <c r="B6100" t="s">
        <v>19</v>
      </c>
      <c r="C6100" s="1">
        <v>46030</v>
      </c>
      <c r="D6100">
        <f t="shared" si="938"/>
        <v>8</v>
      </c>
      <c r="E6100">
        <f t="shared" si="939"/>
        <v>1</v>
      </c>
      <c r="F6100">
        <f t="shared" si="940"/>
        <v>2026</v>
      </c>
      <c r="G6100" t="s">
        <v>56</v>
      </c>
      <c r="H6100" s="180" t="s">
        <v>1605</v>
      </c>
      <c r="I6100" s="224">
        <v>148062.23000000001</v>
      </c>
      <c r="J6100" s="12" t="s">
        <v>31</v>
      </c>
      <c r="K6100" s="94">
        <f t="shared" si="941"/>
        <v>148062.23000000001</v>
      </c>
      <c r="L6100">
        <v>1</v>
      </c>
      <c r="M6100" s="94">
        <v>0</v>
      </c>
      <c r="N6100" t="s">
        <v>32</v>
      </c>
      <c r="O6100" t="s">
        <v>33</v>
      </c>
      <c r="P6100" t="s">
        <v>34</v>
      </c>
      <c r="Q6100" t="s">
        <v>34</v>
      </c>
      <c r="R6100" t="s">
        <v>34</v>
      </c>
      <c r="S6100" t="s">
        <v>34</v>
      </c>
      <c r="T6100" s="117">
        <v>0</v>
      </c>
    </row>
    <row r="6101" spans="1:20" x14ac:dyDescent="0.35">
      <c r="A6101" t="s">
        <v>19</v>
      </c>
      <c r="B6101" t="s">
        <v>19</v>
      </c>
      <c r="C6101" s="1">
        <v>46030</v>
      </c>
      <c r="D6101">
        <f t="shared" ref="D6101:D6103" si="942">DAY(C6101)</f>
        <v>8</v>
      </c>
      <c r="E6101">
        <f t="shared" ref="E6101:E6103" si="943">MONTH(C6101)</f>
        <v>1</v>
      </c>
      <c r="F6101">
        <f t="shared" ref="F6101:F6103" si="944">YEAR(C6101)</f>
        <v>2026</v>
      </c>
      <c r="G6101" t="s">
        <v>54</v>
      </c>
      <c r="H6101" s="180" t="s">
        <v>1606</v>
      </c>
      <c r="I6101" s="224">
        <v>101657.95</v>
      </c>
      <c r="J6101" s="12" t="s">
        <v>31</v>
      </c>
      <c r="K6101" s="94">
        <f t="shared" si="941"/>
        <v>101657.95</v>
      </c>
      <c r="L6101">
        <v>1</v>
      </c>
      <c r="M6101" s="94">
        <v>0</v>
      </c>
      <c r="N6101" t="s">
        <v>32</v>
      </c>
      <c r="O6101" t="s">
        <v>33</v>
      </c>
      <c r="P6101" t="s">
        <v>34</v>
      </c>
      <c r="Q6101" t="s">
        <v>34</v>
      </c>
      <c r="R6101" t="s">
        <v>34</v>
      </c>
      <c r="S6101" t="s">
        <v>34</v>
      </c>
      <c r="T6101" s="117">
        <v>0</v>
      </c>
    </row>
    <row r="6102" spans="1:20" x14ac:dyDescent="0.35">
      <c r="A6102" t="s">
        <v>19</v>
      </c>
      <c r="B6102" t="s">
        <v>19</v>
      </c>
      <c r="C6102" s="1">
        <v>46030</v>
      </c>
      <c r="D6102">
        <f t="shared" si="942"/>
        <v>8</v>
      </c>
      <c r="E6102">
        <f t="shared" si="943"/>
        <v>1</v>
      </c>
      <c r="F6102">
        <f t="shared" si="944"/>
        <v>2026</v>
      </c>
      <c r="G6102" t="s">
        <v>213</v>
      </c>
      <c r="H6102" s="180" t="s">
        <v>1607</v>
      </c>
      <c r="I6102" s="224">
        <v>125710.1</v>
      </c>
      <c r="J6102" s="12" t="s">
        <v>31</v>
      </c>
      <c r="K6102" s="94">
        <f t="shared" si="941"/>
        <v>125710.1</v>
      </c>
      <c r="L6102">
        <v>1</v>
      </c>
      <c r="M6102" s="94">
        <v>0</v>
      </c>
      <c r="N6102" t="s">
        <v>32</v>
      </c>
      <c r="O6102" t="s">
        <v>33</v>
      </c>
      <c r="P6102" t="s">
        <v>34</v>
      </c>
      <c r="Q6102" t="s">
        <v>34</v>
      </c>
      <c r="R6102" t="s">
        <v>34</v>
      </c>
      <c r="S6102" t="s">
        <v>34</v>
      </c>
      <c r="T6102" s="117">
        <v>0</v>
      </c>
    </row>
    <row r="6103" spans="1:20" x14ac:dyDescent="0.35">
      <c r="A6103" t="s">
        <v>19</v>
      </c>
      <c r="B6103" t="s">
        <v>19</v>
      </c>
      <c r="C6103" s="1">
        <v>46030</v>
      </c>
      <c r="D6103">
        <f t="shared" si="942"/>
        <v>8</v>
      </c>
      <c r="E6103">
        <f t="shared" si="943"/>
        <v>1</v>
      </c>
      <c r="F6103">
        <f t="shared" si="944"/>
        <v>2026</v>
      </c>
      <c r="G6103" t="s">
        <v>90</v>
      </c>
      <c r="H6103" s="180" t="s">
        <v>1608</v>
      </c>
      <c r="I6103" s="224">
        <v>11577.2</v>
      </c>
      <c r="J6103" s="12" t="s">
        <v>31</v>
      </c>
      <c r="K6103" s="94">
        <f t="shared" si="941"/>
        <v>11577.2</v>
      </c>
      <c r="L6103">
        <v>1</v>
      </c>
      <c r="M6103" s="94">
        <v>0</v>
      </c>
      <c r="N6103" t="s">
        <v>32</v>
      </c>
      <c r="O6103" t="s">
        <v>33</v>
      </c>
      <c r="P6103" t="s">
        <v>34</v>
      </c>
      <c r="Q6103" t="s">
        <v>34</v>
      </c>
      <c r="R6103" t="s">
        <v>34</v>
      </c>
      <c r="S6103" t="s">
        <v>34</v>
      </c>
      <c r="T6103" s="117">
        <v>0</v>
      </c>
    </row>
    <row r="6104" spans="1:20" x14ac:dyDescent="0.35">
      <c r="A6104" t="s">
        <v>19</v>
      </c>
      <c r="B6104" t="s">
        <v>19</v>
      </c>
      <c r="C6104" s="1">
        <v>46030</v>
      </c>
      <c r="D6104">
        <f>DAY(C6104)</f>
        <v>8</v>
      </c>
      <c r="E6104">
        <f>MONTH(C6104)</f>
        <v>1</v>
      </c>
      <c r="F6104">
        <f>YEAR(C6104)</f>
        <v>2026</v>
      </c>
      <c r="G6104" t="s">
        <v>91</v>
      </c>
      <c r="H6104" s="180" t="s">
        <v>1609</v>
      </c>
      <c r="I6104" s="224">
        <v>8370.0499999999993</v>
      </c>
      <c r="J6104" s="12" t="s">
        <v>31</v>
      </c>
      <c r="K6104" s="94">
        <f t="shared" si="941"/>
        <v>8370.0499999999993</v>
      </c>
      <c r="L6104">
        <v>1</v>
      </c>
      <c r="M6104" s="94">
        <v>0</v>
      </c>
      <c r="N6104" t="s">
        <v>32</v>
      </c>
      <c r="O6104" t="s">
        <v>33</v>
      </c>
      <c r="P6104" t="s">
        <v>34</v>
      </c>
      <c r="Q6104" t="s">
        <v>34</v>
      </c>
      <c r="R6104" t="s">
        <v>34</v>
      </c>
      <c r="S6104" t="s">
        <v>34</v>
      </c>
      <c r="T6104" s="117">
        <v>0</v>
      </c>
    </row>
    <row r="6105" spans="1:20" x14ac:dyDescent="0.35">
      <c r="A6105" t="s">
        <v>19</v>
      </c>
      <c r="B6105" t="s">
        <v>19</v>
      </c>
      <c r="C6105" s="1">
        <v>46030</v>
      </c>
      <c r="D6105">
        <f>DAY(C6105)</f>
        <v>8</v>
      </c>
      <c r="E6105">
        <f>MONTH(C6105)</f>
        <v>1</v>
      </c>
      <c r="F6105">
        <f>YEAR(C6105)</f>
        <v>2026</v>
      </c>
      <c r="G6105" t="s">
        <v>91</v>
      </c>
      <c r="H6105" s="180" t="s">
        <v>1610</v>
      </c>
      <c r="I6105" s="224">
        <v>23203.42</v>
      </c>
      <c r="J6105" s="12" t="s">
        <v>31</v>
      </c>
      <c r="K6105" s="94">
        <f t="shared" si="941"/>
        <v>23203.42</v>
      </c>
      <c r="L6105">
        <v>1</v>
      </c>
      <c r="M6105" s="94">
        <v>0</v>
      </c>
      <c r="N6105" t="s">
        <v>32</v>
      </c>
      <c r="O6105" t="s">
        <v>33</v>
      </c>
      <c r="P6105" t="s">
        <v>34</v>
      </c>
      <c r="Q6105" t="s">
        <v>34</v>
      </c>
      <c r="R6105" t="s">
        <v>34</v>
      </c>
      <c r="S6105" t="s">
        <v>34</v>
      </c>
      <c r="T6105" s="117">
        <v>0</v>
      </c>
    </row>
    <row r="6106" spans="1:20" x14ac:dyDescent="0.35">
      <c r="A6106" t="s">
        <v>19</v>
      </c>
      <c r="B6106" t="s">
        <v>19</v>
      </c>
      <c r="C6106" s="1">
        <v>46030</v>
      </c>
      <c r="D6106">
        <f>DAY(C6106)</f>
        <v>8</v>
      </c>
      <c r="E6106">
        <f>MONTH(C6106)</f>
        <v>1</v>
      </c>
      <c r="F6106">
        <f>YEAR(C6106)</f>
        <v>2026</v>
      </c>
      <c r="G6106" t="s">
        <v>125</v>
      </c>
      <c r="H6106" s="180" t="s">
        <v>1611</v>
      </c>
      <c r="I6106" s="224">
        <v>90799.81</v>
      </c>
      <c r="J6106" s="12" t="s">
        <v>31</v>
      </c>
      <c r="K6106" s="94">
        <f t="shared" si="941"/>
        <v>90799.81</v>
      </c>
      <c r="L6106">
        <v>1</v>
      </c>
      <c r="M6106" s="94">
        <v>0</v>
      </c>
      <c r="N6106" t="s">
        <v>32</v>
      </c>
      <c r="O6106" t="s">
        <v>33</v>
      </c>
      <c r="P6106" t="s">
        <v>34</v>
      </c>
      <c r="Q6106" t="s">
        <v>34</v>
      </c>
      <c r="R6106" t="s">
        <v>34</v>
      </c>
      <c r="S6106" t="s">
        <v>34</v>
      </c>
      <c r="T6106" s="117">
        <v>0</v>
      </c>
    </row>
    <row r="6107" spans="1:20" x14ac:dyDescent="0.35">
      <c r="A6107" t="s">
        <v>19</v>
      </c>
      <c r="B6107" t="s">
        <v>19</v>
      </c>
      <c r="C6107" s="1">
        <v>46030</v>
      </c>
      <c r="D6107">
        <f t="shared" ref="D6107:D6108" si="945">DAY(C6107)</f>
        <v>8</v>
      </c>
      <c r="E6107">
        <f t="shared" ref="E6107:E6108" si="946">MONTH(C6107)</f>
        <v>1</v>
      </c>
      <c r="F6107">
        <f t="shared" ref="F6107:F6108" si="947">YEAR(C6107)</f>
        <v>2026</v>
      </c>
      <c r="G6107" t="s">
        <v>126</v>
      </c>
      <c r="H6107" s="180" t="s">
        <v>1612</v>
      </c>
      <c r="I6107" s="224">
        <v>8831.0400000000009</v>
      </c>
      <c r="J6107" s="12" t="s">
        <v>31</v>
      </c>
      <c r="K6107" s="94">
        <f t="shared" si="941"/>
        <v>8831.0400000000009</v>
      </c>
      <c r="L6107">
        <v>1</v>
      </c>
      <c r="M6107" s="94">
        <v>0</v>
      </c>
      <c r="N6107" t="s">
        <v>32</v>
      </c>
      <c r="O6107" t="s">
        <v>33</v>
      </c>
      <c r="P6107" t="s">
        <v>34</v>
      </c>
      <c r="Q6107" t="s">
        <v>34</v>
      </c>
      <c r="R6107" t="s">
        <v>34</v>
      </c>
      <c r="S6107" t="s">
        <v>34</v>
      </c>
      <c r="T6107" s="117">
        <v>0</v>
      </c>
    </row>
    <row r="6108" spans="1:20" x14ac:dyDescent="0.35">
      <c r="A6108" t="s">
        <v>19</v>
      </c>
      <c r="B6108" t="s">
        <v>19</v>
      </c>
      <c r="C6108" s="1">
        <v>46030</v>
      </c>
      <c r="D6108">
        <f t="shared" si="945"/>
        <v>8</v>
      </c>
      <c r="E6108">
        <f t="shared" si="946"/>
        <v>1</v>
      </c>
      <c r="F6108">
        <f t="shared" si="947"/>
        <v>2026</v>
      </c>
      <c r="G6108" t="s">
        <v>263</v>
      </c>
      <c r="H6108" s="180" t="s">
        <v>1503</v>
      </c>
      <c r="I6108" s="224">
        <v>2241.36</v>
      </c>
      <c r="J6108" s="12" t="s">
        <v>31</v>
      </c>
      <c r="K6108" s="94">
        <f t="shared" si="941"/>
        <v>2241.36</v>
      </c>
      <c r="L6108">
        <v>1</v>
      </c>
      <c r="M6108" s="94">
        <v>0</v>
      </c>
      <c r="N6108" t="s">
        <v>32</v>
      </c>
      <c r="O6108" t="s">
        <v>33</v>
      </c>
      <c r="P6108" t="s">
        <v>34</v>
      </c>
      <c r="Q6108" t="s">
        <v>34</v>
      </c>
      <c r="R6108" t="s">
        <v>34</v>
      </c>
      <c r="S6108" t="s">
        <v>34</v>
      </c>
      <c r="T6108" s="117">
        <v>0</v>
      </c>
    </row>
    <row r="6109" spans="1:20" x14ac:dyDescent="0.35">
      <c r="A6109" t="s">
        <v>19</v>
      </c>
      <c r="B6109" t="s">
        <v>19</v>
      </c>
      <c r="C6109" s="1">
        <v>46030</v>
      </c>
      <c r="D6109">
        <f>DAY(C6109)</f>
        <v>8</v>
      </c>
      <c r="E6109">
        <f>MONTH(C6109)</f>
        <v>1</v>
      </c>
      <c r="F6109">
        <f>YEAR(C6109)</f>
        <v>2026</v>
      </c>
      <c r="G6109" t="s">
        <v>263</v>
      </c>
      <c r="H6109" s="180" t="s">
        <v>1613</v>
      </c>
      <c r="I6109" s="224">
        <v>3306.78</v>
      </c>
      <c r="J6109" s="12" t="s">
        <v>31</v>
      </c>
      <c r="K6109" s="94">
        <f t="shared" si="941"/>
        <v>3306.78</v>
      </c>
      <c r="L6109">
        <v>1</v>
      </c>
      <c r="M6109" s="94">
        <v>0</v>
      </c>
      <c r="N6109" t="s">
        <v>32</v>
      </c>
      <c r="O6109" t="s">
        <v>33</v>
      </c>
      <c r="P6109" t="s">
        <v>34</v>
      </c>
      <c r="Q6109" t="s">
        <v>34</v>
      </c>
      <c r="R6109" t="s">
        <v>34</v>
      </c>
      <c r="S6109" t="s">
        <v>34</v>
      </c>
      <c r="T6109" s="117">
        <v>0</v>
      </c>
    </row>
    <row r="6110" spans="1:20" x14ac:dyDescent="0.35">
      <c r="A6110" t="s">
        <v>19</v>
      </c>
      <c r="B6110" t="s">
        <v>19</v>
      </c>
      <c r="C6110" s="1">
        <v>46030</v>
      </c>
      <c r="D6110">
        <f>DAY(C6110)</f>
        <v>8</v>
      </c>
      <c r="E6110">
        <f>MONTH(C6110)</f>
        <v>1</v>
      </c>
      <c r="F6110">
        <f>YEAR(C6110)</f>
        <v>2026</v>
      </c>
      <c r="G6110" t="s">
        <v>1117</v>
      </c>
      <c r="H6110" s="180" t="s">
        <v>1614</v>
      </c>
      <c r="I6110" s="224">
        <v>35106.720000000001</v>
      </c>
      <c r="J6110" s="12" t="s">
        <v>31</v>
      </c>
      <c r="K6110" s="94">
        <f t="shared" si="941"/>
        <v>35106.720000000001</v>
      </c>
      <c r="L6110">
        <v>1</v>
      </c>
      <c r="M6110" s="94">
        <v>0</v>
      </c>
      <c r="N6110" t="s">
        <v>32</v>
      </c>
      <c r="O6110" t="s">
        <v>33</v>
      </c>
      <c r="P6110" t="s">
        <v>34</v>
      </c>
      <c r="Q6110" t="s">
        <v>34</v>
      </c>
      <c r="R6110" t="s">
        <v>34</v>
      </c>
      <c r="S6110" t="s">
        <v>34</v>
      </c>
      <c r="T6110" s="117">
        <v>0</v>
      </c>
    </row>
    <row r="6111" spans="1:20" x14ac:dyDescent="0.35">
      <c r="A6111" t="s">
        <v>19</v>
      </c>
      <c r="B6111" t="s">
        <v>19</v>
      </c>
      <c r="C6111" s="1">
        <v>46030</v>
      </c>
      <c r="D6111">
        <f>DAY(C6111)</f>
        <v>8</v>
      </c>
      <c r="E6111">
        <f>MONTH(C6111)</f>
        <v>1</v>
      </c>
      <c r="F6111">
        <f>YEAR(C6111)</f>
        <v>2026</v>
      </c>
      <c r="G6111" t="s">
        <v>88</v>
      </c>
      <c r="H6111" s="180" t="s">
        <v>1615</v>
      </c>
      <c r="I6111" s="224">
        <v>22342.49</v>
      </c>
      <c r="J6111" s="12" t="s">
        <v>31</v>
      </c>
      <c r="K6111" s="94">
        <f t="shared" ref="K6111:K6119" si="948">IF(J6111="USD",I6111,I6111*L6111)</f>
        <v>22342.49</v>
      </c>
      <c r="L6111">
        <v>1</v>
      </c>
      <c r="M6111" s="94">
        <v>0</v>
      </c>
      <c r="N6111" t="s">
        <v>32</v>
      </c>
      <c r="O6111" t="s">
        <v>33</v>
      </c>
      <c r="P6111" t="s">
        <v>34</v>
      </c>
      <c r="Q6111" t="s">
        <v>34</v>
      </c>
      <c r="R6111" t="s">
        <v>34</v>
      </c>
      <c r="S6111" t="s">
        <v>34</v>
      </c>
      <c r="T6111" s="117">
        <v>0</v>
      </c>
    </row>
    <row r="6112" spans="1:20" x14ac:dyDescent="0.35">
      <c r="A6112" t="s">
        <v>19</v>
      </c>
      <c r="B6112" t="s">
        <v>19</v>
      </c>
      <c r="C6112" s="1">
        <v>46030</v>
      </c>
      <c r="D6112">
        <f>DAY(C6112)</f>
        <v>8</v>
      </c>
      <c r="E6112">
        <f>MONTH(C6112)</f>
        <v>1</v>
      </c>
      <c r="F6112">
        <f>YEAR(C6112)</f>
        <v>2026</v>
      </c>
      <c r="G6112" t="s">
        <v>523</v>
      </c>
      <c r="H6112" s="180" t="s">
        <v>1616</v>
      </c>
      <c r="I6112" s="224">
        <v>39646.43</v>
      </c>
      <c r="J6112" s="12" t="s">
        <v>31</v>
      </c>
      <c r="K6112" s="94">
        <f t="shared" si="948"/>
        <v>39646.43</v>
      </c>
      <c r="L6112">
        <v>1</v>
      </c>
      <c r="M6112" s="94">
        <v>0</v>
      </c>
      <c r="N6112" t="s">
        <v>32</v>
      </c>
      <c r="O6112" t="s">
        <v>33</v>
      </c>
      <c r="P6112" t="s">
        <v>34</v>
      </c>
      <c r="Q6112" t="s">
        <v>34</v>
      </c>
      <c r="R6112" t="s">
        <v>34</v>
      </c>
      <c r="S6112" t="s">
        <v>34</v>
      </c>
      <c r="T6112" s="117">
        <v>0</v>
      </c>
    </row>
    <row r="6113" spans="1:21" x14ac:dyDescent="0.35">
      <c r="A6113" t="s">
        <v>19</v>
      </c>
      <c r="B6113" t="s">
        <v>19</v>
      </c>
      <c r="C6113" s="1">
        <v>46030</v>
      </c>
      <c r="D6113">
        <f t="shared" ref="D6113:D6115" si="949">DAY(C6113)</f>
        <v>8</v>
      </c>
      <c r="E6113">
        <f t="shared" ref="E6113:E6115" si="950">MONTH(C6113)</f>
        <v>1</v>
      </c>
      <c r="F6113">
        <f t="shared" ref="F6113:F6115" si="951">YEAR(C6113)</f>
        <v>2026</v>
      </c>
      <c r="G6113" t="s">
        <v>1327</v>
      </c>
      <c r="H6113" s="180" t="s">
        <v>1617</v>
      </c>
      <c r="I6113" s="224">
        <v>22004.400000000001</v>
      </c>
      <c r="J6113" s="12" t="s">
        <v>31</v>
      </c>
      <c r="K6113" s="94">
        <f t="shared" si="948"/>
        <v>22004.400000000001</v>
      </c>
      <c r="L6113">
        <v>1</v>
      </c>
      <c r="M6113" s="94">
        <v>0</v>
      </c>
      <c r="N6113" t="s">
        <v>32</v>
      </c>
      <c r="O6113" t="s">
        <v>33</v>
      </c>
      <c r="P6113" t="s">
        <v>34</v>
      </c>
      <c r="Q6113" t="s">
        <v>34</v>
      </c>
      <c r="R6113" t="s">
        <v>34</v>
      </c>
      <c r="S6113" t="s">
        <v>34</v>
      </c>
      <c r="T6113" s="117">
        <v>0</v>
      </c>
    </row>
    <row r="6114" spans="1:21" x14ac:dyDescent="0.35">
      <c r="A6114" t="s">
        <v>19</v>
      </c>
      <c r="B6114" t="s">
        <v>19</v>
      </c>
      <c r="C6114" s="1">
        <v>46030</v>
      </c>
      <c r="D6114">
        <f t="shared" si="949"/>
        <v>8</v>
      </c>
      <c r="E6114">
        <f t="shared" si="950"/>
        <v>1</v>
      </c>
      <c r="F6114">
        <f t="shared" si="951"/>
        <v>2026</v>
      </c>
      <c r="G6114" t="s">
        <v>1327</v>
      </c>
      <c r="H6114" s="180" t="s">
        <v>1618</v>
      </c>
      <c r="I6114" s="224">
        <v>149.6</v>
      </c>
      <c r="J6114" s="12" t="s">
        <v>31</v>
      </c>
      <c r="K6114" s="94">
        <f t="shared" si="948"/>
        <v>149.6</v>
      </c>
      <c r="L6114">
        <v>1</v>
      </c>
      <c r="M6114" s="94">
        <v>0</v>
      </c>
      <c r="N6114" t="s">
        <v>32</v>
      </c>
      <c r="O6114" t="s">
        <v>33</v>
      </c>
      <c r="P6114" t="s">
        <v>34</v>
      </c>
      <c r="Q6114" t="s">
        <v>34</v>
      </c>
      <c r="R6114" t="s">
        <v>34</v>
      </c>
      <c r="S6114" t="s">
        <v>34</v>
      </c>
      <c r="T6114" s="117">
        <v>0</v>
      </c>
    </row>
    <row r="6115" spans="1:21" x14ac:dyDescent="0.35">
      <c r="A6115" t="s">
        <v>19</v>
      </c>
      <c r="B6115" t="s">
        <v>19</v>
      </c>
      <c r="C6115" s="1">
        <v>46030</v>
      </c>
      <c r="D6115">
        <f t="shared" si="949"/>
        <v>8</v>
      </c>
      <c r="E6115">
        <f t="shared" si="950"/>
        <v>1</v>
      </c>
      <c r="F6115">
        <f t="shared" si="951"/>
        <v>2026</v>
      </c>
      <c r="G6115" t="s">
        <v>1327</v>
      </c>
      <c r="H6115" s="180" t="s">
        <v>1619</v>
      </c>
      <c r="I6115" s="224">
        <v>156.9</v>
      </c>
      <c r="J6115" s="12" t="s">
        <v>31</v>
      </c>
      <c r="K6115" s="94">
        <f t="shared" si="948"/>
        <v>156.9</v>
      </c>
      <c r="L6115">
        <v>1</v>
      </c>
      <c r="M6115" s="94">
        <v>0</v>
      </c>
      <c r="N6115" t="s">
        <v>32</v>
      </c>
      <c r="O6115" t="s">
        <v>33</v>
      </c>
      <c r="P6115" t="s">
        <v>34</v>
      </c>
      <c r="Q6115" t="s">
        <v>34</v>
      </c>
      <c r="R6115" t="s">
        <v>34</v>
      </c>
      <c r="S6115" t="s">
        <v>34</v>
      </c>
      <c r="T6115" s="117">
        <v>0</v>
      </c>
    </row>
    <row r="6116" spans="1:21" x14ac:dyDescent="0.35">
      <c r="A6116" t="s">
        <v>19</v>
      </c>
      <c r="B6116" t="s">
        <v>19</v>
      </c>
      <c r="C6116" s="1">
        <v>46030</v>
      </c>
      <c r="D6116">
        <f t="shared" ref="D6116:D6121" si="952">DAY(C6116)</f>
        <v>8</v>
      </c>
      <c r="E6116">
        <f t="shared" ref="E6116:E6121" si="953">MONTH(C6116)</f>
        <v>1</v>
      </c>
      <c r="F6116">
        <f t="shared" ref="F6116:F6121" si="954">YEAR(C6116)</f>
        <v>2026</v>
      </c>
      <c r="G6116" t="s">
        <v>1562</v>
      </c>
      <c r="H6116" s="180" t="s">
        <v>1620</v>
      </c>
      <c r="I6116" s="224">
        <v>57.8</v>
      </c>
      <c r="J6116" s="12" t="s">
        <v>31</v>
      </c>
      <c r="K6116" s="94">
        <f t="shared" si="948"/>
        <v>57.8</v>
      </c>
      <c r="L6116">
        <v>1</v>
      </c>
      <c r="M6116" s="94">
        <v>0</v>
      </c>
      <c r="N6116" t="s">
        <v>32</v>
      </c>
      <c r="O6116" t="s">
        <v>33</v>
      </c>
      <c r="P6116" t="s">
        <v>34</v>
      </c>
      <c r="Q6116" t="s">
        <v>34</v>
      </c>
      <c r="R6116" t="s">
        <v>34</v>
      </c>
      <c r="S6116" t="s">
        <v>34</v>
      </c>
      <c r="T6116" s="117">
        <v>0</v>
      </c>
    </row>
    <row r="6117" spans="1:21" x14ac:dyDescent="0.35">
      <c r="A6117" t="s">
        <v>19</v>
      </c>
      <c r="B6117" t="s">
        <v>19</v>
      </c>
      <c r="C6117" s="1">
        <v>46030</v>
      </c>
      <c r="D6117">
        <f t="shared" si="952"/>
        <v>8</v>
      </c>
      <c r="E6117">
        <f t="shared" si="953"/>
        <v>1</v>
      </c>
      <c r="F6117">
        <f t="shared" si="954"/>
        <v>2026</v>
      </c>
      <c r="G6117" t="s">
        <v>1515</v>
      </c>
      <c r="H6117" s="180" t="s">
        <v>1621</v>
      </c>
      <c r="I6117" s="224">
        <v>18813.45</v>
      </c>
      <c r="J6117" s="12" t="s">
        <v>31</v>
      </c>
      <c r="K6117" s="94">
        <f t="shared" si="948"/>
        <v>18813.45</v>
      </c>
      <c r="L6117">
        <v>1</v>
      </c>
      <c r="M6117" s="94">
        <v>0</v>
      </c>
      <c r="N6117" t="s">
        <v>32</v>
      </c>
      <c r="O6117" t="s">
        <v>33</v>
      </c>
      <c r="P6117" t="s">
        <v>34</v>
      </c>
      <c r="Q6117" t="s">
        <v>34</v>
      </c>
      <c r="R6117" t="s">
        <v>34</v>
      </c>
      <c r="S6117" t="s">
        <v>34</v>
      </c>
      <c r="T6117" s="117">
        <v>0</v>
      </c>
    </row>
    <row r="6118" spans="1:21" x14ac:dyDescent="0.35">
      <c r="A6118" t="s">
        <v>19</v>
      </c>
      <c r="B6118" t="s">
        <v>19</v>
      </c>
      <c r="C6118" s="1">
        <v>46030</v>
      </c>
      <c r="D6118">
        <f t="shared" si="952"/>
        <v>8</v>
      </c>
      <c r="E6118">
        <f t="shared" si="953"/>
        <v>1</v>
      </c>
      <c r="F6118">
        <f t="shared" si="954"/>
        <v>2026</v>
      </c>
      <c r="G6118" t="s">
        <v>1528</v>
      </c>
      <c r="H6118" s="180" t="s">
        <v>1622</v>
      </c>
      <c r="I6118" s="224">
        <v>156045.32</v>
      </c>
      <c r="J6118" s="12" t="s">
        <v>31</v>
      </c>
      <c r="K6118" s="94">
        <f t="shared" si="948"/>
        <v>156045.32</v>
      </c>
      <c r="L6118">
        <v>1</v>
      </c>
      <c r="M6118" s="94">
        <v>0</v>
      </c>
      <c r="N6118" t="s">
        <v>32</v>
      </c>
      <c r="O6118" t="s">
        <v>33</v>
      </c>
      <c r="P6118" t="s">
        <v>34</v>
      </c>
      <c r="Q6118" t="s">
        <v>34</v>
      </c>
      <c r="R6118" t="s">
        <v>34</v>
      </c>
      <c r="S6118" t="s">
        <v>34</v>
      </c>
      <c r="T6118" s="117">
        <v>0</v>
      </c>
    </row>
    <row r="6119" spans="1:21" x14ac:dyDescent="0.35">
      <c r="A6119" t="s">
        <v>19</v>
      </c>
      <c r="B6119" t="s">
        <v>19</v>
      </c>
      <c r="C6119" s="1">
        <v>46030</v>
      </c>
      <c r="D6119">
        <f t="shared" si="952"/>
        <v>8</v>
      </c>
      <c r="E6119">
        <f t="shared" si="953"/>
        <v>1</v>
      </c>
      <c r="F6119">
        <f t="shared" si="954"/>
        <v>2026</v>
      </c>
      <c r="G6119" t="s">
        <v>424</v>
      </c>
      <c r="H6119" s="180" t="s">
        <v>1623</v>
      </c>
      <c r="I6119" s="224">
        <v>76.7</v>
      </c>
      <c r="J6119" s="12" t="s">
        <v>31</v>
      </c>
      <c r="K6119" s="94">
        <f t="shared" si="948"/>
        <v>76.7</v>
      </c>
      <c r="L6119">
        <v>1</v>
      </c>
      <c r="M6119" s="94">
        <v>0</v>
      </c>
      <c r="N6119" t="s">
        <v>32</v>
      </c>
      <c r="O6119" t="s">
        <v>33</v>
      </c>
      <c r="P6119" t="s">
        <v>34</v>
      </c>
      <c r="Q6119" t="s">
        <v>34</v>
      </c>
      <c r="R6119" t="s">
        <v>34</v>
      </c>
      <c r="S6119" t="s">
        <v>34</v>
      </c>
      <c r="T6119" s="117">
        <v>0</v>
      </c>
    </row>
    <row r="6120" spans="1:21" x14ac:dyDescent="0.35">
      <c r="A6120" t="s">
        <v>20</v>
      </c>
      <c r="B6120" t="s">
        <v>24</v>
      </c>
      <c r="C6120" s="1">
        <v>46001</v>
      </c>
      <c r="D6120">
        <f t="shared" si="952"/>
        <v>10</v>
      </c>
      <c r="E6120">
        <f t="shared" si="953"/>
        <v>12</v>
      </c>
      <c r="F6120">
        <f t="shared" si="954"/>
        <v>2025</v>
      </c>
      <c r="G6120" t="s">
        <v>1109</v>
      </c>
      <c r="H6120" s="121">
        <v>13282</v>
      </c>
      <c r="I6120" s="220">
        <v>26269.21</v>
      </c>
      <c r="J6120" s="12" t="s">
        <v>31</v>
      </c>
      <c r="K6120" s="94">
        <f t="shared" ref="K6120" si="955">IF(J6120="USD",I6120,I6120*L6120)</f>
        <v>26269.21</v>
      </c>
      <c r="L6120">
        <v>1</v>
      </c>
      <c r="M6120" s="94">
        <v>0</v>
      </c>
      <c r="N6120" t="s">
        <v>32</v>
      </c>
      <c r="O6120" t="s">
        <v>33</v>
      </c>
      <c r="P6120" t="s">
        <v>34</v>
      </c>
      <c r="Q6120" t="s">
        <v>34</v>
      </c>
      <c r="R6120" t="s">
        <v>34</v>
      </c>
      <c r="S6120" t="s">
        <v>34</v>
      </c>
      <c r="T6120" s="117">
        <v>0</v>
      </c>
      <c r="U6120" s="209" t="s">
        <v>1453</v>
      </c>
    </row>
    <row r="6121" spans="1:21" x14ac:dyDescent="0.35">
      <c r="A6121" t="s">
        <v>20</v>
      </c>
      <c r="B6121" t="s">
        <v>24</v>
      </c>
      <c r="C6121" s="1">
        <v>46014</v>
      </c>
      <c r="D6121">
        <f t="shared" si="952"/>
        <v>23</v>
      </c>
      <c r="E6121">
        <f t="shared" si="953"/>
        <v>12</v>
      </c>
      <c r="F6121">
        <f t="shared" si="954"/>
        <v>2025</v>
      </c>
      <c r="G6121" t="s">
        <v>81</v>
      </c>
      <c r="H6121" s="121">
        <v>13350</v>
      </c>
      <c r="I6121" s="220">
        <v>21420</v>
      </c>
      <c r="J6121" s="12" t="s">
        <v>31</v>
      </c>
      <c r="K6121" s="94">
        <f t="shared" ref="K6121" si="956">IF(J6121="USD",I6121,I6121*L6121)</f>
        <v>21420</v>
      </c>
      <c r="L6121">
        <v>1</v>
      </c>
      <c r="M6121" s="94">
        <v>0</v>
      </c>
      <c r="N6121" t="s">
        <v>32</v>
      </c>
      <c r="O6121" t="s">
        <v>33</v>
      </c>
      <c r="P6121" t="s">
        <v>34</v>
      </c>
      <c r="Q6121" t="s">
        <v>34</v>
      </c>
      <c r="R6121" t="s">
        <v>34</v>
      </c>
      <c r="S6121" t="s">
        <v>34</v>
      </c>
      <c r="T6121" s="117">
        <v>0</v>
      </c>
      <c r="U6121" s="209" t="s">
        <v>1453</v>
      </c>
    </row>
    <row r="6122" spans="1:21" x14ac:dyDescent="0.35">
      <c r="A6122" t="s">
        <v>19</v>
      </c>
      <c r="B6122" t="s">
        <v>21</v>
      </c>
      <c r="C6122" s="1">
        <v>46036</v>
      </c>
      <c r="D6122">
        <f t="shared" ref="D6122:D6127" si="957">DAY(C6122)</f>
        <v>14</v>
      </c>
      <c r="E6122">
        <f t="shared" ref="E6122:E6127" si="958">MONTH(C6122)</f>
        <v>1</v>
      </c>
      <c r="F6122">
        <f t="shared" ref="F6122:F6127" si="959">YEAR(C6122)</f>
        <v>2026</v>
      </c>
      <c r="G6122" t="s">
        <v>333</v>
      </c>
      <c r="H6122" s="229">
        <v>14585</v>
      </c>
      <c r="I6122" s="220">
        <v>739.2</v>
      </c>
      <c r="J6122" s="12" t="s">
        <v>31</v>
      </c>
      <c r="K6122" s="94">
        <f t="shared" ref="K6122:K6132" si="960">IF(J6122="USD",I6122,I6122*L6122)</f>
        <v>739.2</v>
      </c>
      <c r="L6122">
        <v>1</v>
      </c>
      <c r="M6122" s="94">
        <v>0</v>
      </c>
      <c r="N6122" t="s">
        <v>42</v>
      </c>
      <c r="O6122" t="s">
        <v>33</v>
      </c>
      <c r="P6122" t="s">
        <v>34</v>
      </c>
      <c r="Q6122" t="s">
        <v>34</v>
      </c>
      <c r="R6122" t="s">
        <v>34</v>
      </c>
      <c r="S6122" t="s">
        <v>34</v>
      </c>
      <c r="T6122" s="117">
        <v>0</v>
      </c>
    </row>
    <row r="6123" spans="1:21" x14ac:dyDescent="0.35">
      <c r="A6123" t="s">
        <v>19</v>
      </c>
      <c r="B6123" t="s">
        <v>25</v>
      </c>
      <c r="C6123" s="1">
        <v>46036</v>
      </c>
      <c r="D6123">
        <f t="shared" si="957"/>
        <v>14</v>
      </c>
      <c r="E6123">
        <f t="shared" si="958"/>
        <v>1</v>
      </c>
      <c r="F6123">
        <f t="shared" si="959"/>
        <v>2026</v>
      </c>
      <c r="G6123" t="s">
        <v>36</v>
      </c>
      <c r="H6123" s="229">
        <v>14189</v>
      </c>
      <c r="I6123" s="220">
        <v>44211.5</v>
      </c>
      <c r="J6123" s="12" t="s">
        <v>31</v>
      </c>
      <c r="K6123" s="94">
        <f t="shared" si="960"/>
        <v>44211.5</v>
      </c>
      <c r="L6123">
        <v>1</v>
      </c>
      <c r="M6123" s="94">
        <v>0</v>
      </c>
      <c r="N6123" t="s">
        <v>42</v>
      </c>
      <c r="O6123" t="s">
        <v>33</v>
      </c>
      <c r="P6123" t="s">
        <v>34</v>
      </c>
      <c r="Q6123" t="s">
        <v>34</v>
      </c>
      <c r="R6123" t="s">
        <v>34</v>
      </c>
      <c r="S6123" t="s">
        <v>34</v>
      </c>
      <c r="T6123" s="117">
        <v>0</v>
      </c>
    </row>
    <row r="6124" spans="1:21" x14ac:dyDescent="0.35">
      <c r="A6124" t="s">
        <v>19</v>
      </c>
      <c r="B6124" t="s">
        <v>25</v>
      </c>
      <c r="C6124" s="1">
        <v>46036</v>
      </c>
      <c r="D6124">
        <f t="shared" si="957"/>
        <v>14</v>
      </c>
      <c r="E6124">
        <f t="shared" si="958"/>
        <v>1</v>
      </c>
      <c r="F6124">
        <f t="shared" si="959"/>
        <v>2026</v>
      </c>
      <c r="G6124" t="s">
        <v>285</v>
      </c>
      <c r="H6124" s="229">
        <v>14592</v>
      </c>
      <c r="I6124" s="220">
        <v>73.66</v>
      </c>
      <c r="J6124" s="12" t="s">
        <v>31</v>
      </c>
      <c r="K6124" s="94">
        <f t="shared" si="960"/>
        <v>73.66</v>
      </c>
      <c r="L6124">
        <v>1</v>
      </c>
      <c r="M6124" s="94">
        <v>0</v>
      </c>
      <c r="N6124" t="s">
        <v>42</v>
      </c>
      <c r="O6124" t="s">
        <v>33</v>
      </c>
      <c r="P6124" t="s">
        <v>34</v>
      </c>
      <c r="Q6124" t="s">
        <v>34</v>
      </c>
      <c r="R6124" t="s">
        <v>34</v>
      </c>
      <c r="S6124" t="s">
        <v>34</v>
      </c>
      <c r="T6124" s="117">
        <v>0</v>
      </c>
    </row>
    <row r="6125" spans="1:21" x14ac:dyDescent="0.35">
      <c r="A6125" t="s">
        <v>19</v>
      </c>
      <c r="B6125" t="s">
        <v>25</v>
      </c>
      <c r="C6125" s="1">
        <v>46036</v>
      </c>
      <c r="D6125">
        <f t="shared" si="957"/>
        <v>14</v>
      </c>
      <c r="E6125">
        <f t="shared" si="958"/>
        <v>1</v>
      </c>
      <c r="F6125">
        <f t="shared" si="959"/>
        <v>2026</v>
      </c>
      <c r="G6125" t="s">
        <v>285</v>
      </c>
      <c r="H6125" s="229">
        <v>14594</v>
      </c>
      <c r="I6125" s="220">
        <v>9305.9599999999991</v>
      </c>
      <c r="J6125" s="12" t="s">
        <v>31</v>
      </c>
      <c r="K6125" s="94">
        <f t="shared" si="960"/>
        <v>9305.9599999999991</v>
      </c>
      <c r="L6125">
        <v>1</v>
      </c>
      <c r="M6125" s="94">
        <v>0</v>
      </c>
      <c r="N6125" t="s">
        <v>42</v>
      </c>
      <c r="O6125" t="s">
        <v>33</v>
      </c>
      <c r="P6125" t="s">
        <v>34</v>
      </c>
      <c r="Q6125" t="s">
        <v>34</v>
      </c>
      <c r="R6125" t="s">
        <v>34</v>
      </c>
      <c r="S6125" t="s">
        <v>34</v>
      </c>
      <c r="T6125" s="117">
        <v>0</v>
      </c>
    </row>
    <row r="6126" spans="1:21" x14ac:dyDescent="0.35">
      <c r="A6126" t="s">
        <v>19</v>
      </c>
      <c r="B6126" t="s">
        <v>27</v>
      </c>
      <c r="C6126" s="1">
        <v>46036</v>
      </c>
      <c r="D6126">
        <f t="shared" si="957"/>
        <v>14</v>
      </c>
      <c r="E6126">
        <f t="shared" si="958"/>
        <v>1</v>
      </c>
      <c r="F6126">
        <f t="shared" si="959"/>
        <v>2026</v>
      </c>
      <c r="G6126" t="s">
        <v>100</v>
      </c>
      <c r="H6126" s="229">
        <v>14039</v>
      </c>
      <c r="I6126" s="220">
        <v>162166.87</v>
      </c>
      <c r="J6126" s="12" t="s">
        <v>31</v>
      </c>
      <c r="K6126" s="94">
        <f t="shared" si="960"/>
        <v>162166.87</v>
      </c>
      <c r="L6126">
        <v>1</v>
      </c>
      <c r="M6126" s="94">
        <v>0</v>
      </c>
      <c r="N6126" t="s">
        <v>32</v>
      </c>
      <c r="O6126" t="s">
        <v>33</v>
      </c>
      <c r="P6126" t="s">
        <v>34</v>
      </c>
      <c r="Q6126" t="s">
        <v>34</v>
      </c>
      <c r="R6126" t="s">
        <v>34</v>
      </c>
      <c r="S6126" t="s">
        <v>34</v>
      </c>
      <c r="T6126" s="117">
        <v>0</v>
      </c>
    </row>
    <row r="6127" spans="1:21" x14ac:dyDescent="0.35">
      <c r="A6127" t="s">
        <v>19</v>
      </c>
      <c r="B6127" t="s">
        <v>27</v>
      </c>
      <c r="C6127" s="1">
        <v>46036</v>
      </c>
      <c r="D6127">
        <f t="shared" si="957"/>
        <v>14</v>
      </c>
      <c r="E6127">
        <f t="shared" si="958"/>
        <v>1</v>
      </c>
      <c r="F6127">
        <f t="shared" si="959"/>
        <v>2026</v>
      </c>
      <c r="G6127" t="s">
        <v>100</v>
      </c>
      <c r="H6127" s="229">
        <v>14088</v>
      </c>
      <c r="I6127" s="220">
        <v>257833.13</v>
      </c>
      <c r="J6127" s="12" t="s">
        <v>31</v>
      </c>
      <c r="K6127" s="94">
        <f t="shared" si="960"/>
        <v>257833.13</v>
      </c>
      <c r="L6127">
        <v>1</v>
      </c>
      <c r="M6127" s="94">
        <v>0</v>
      </c>
      <c r="N6127" t="s">
        <v>32</v>
      </c>
      <c r="O6127" t="s">
        <v>33</v>
      </c>
      <c r="P6127" t="s">
        <v>34</v>
      </c>
      <c r="Q6127" t="s">
        <v>34</v>
      </c>
      <c r="R6127" t="s">
        <v>34</v>
      </c>
      <c r="S6127" t="s">
        <v>34</v>
      </c>
      <c r="T6127" s="117">
        <v>0</v>
      </c>
    </row>
    <row r="6128" spans="1:21" x14ac:dyDescent="0.35">
      <c r="A6128" t="s">
        <v>19</v>
      </c>
      <c r="B6128" t="s">
        <v>23</v>
      </c>
      <c r="C6128" s="1">
        <v>46036</v>
      </c>
      <c r="D6128">
        <f>DAY(C6128)</f>
        <v>14</v>
      </c>
      <c r="E6128">
        <f>MONTH(C6128)</f>
        <v>1</v>
      </c>
      <c r="F6128">
        <f>YEAR(C6128)</f>
        <v>2026</v>
      </c>
      <c r="G6128" t="s">
        <v>1586</v>
      </c>
      <c r="H6128" s="200">
        <v>14042</v>
      </c>
      <c r="I6128" s="220">
        <v>9399.1</v>
      </c>
      <c r="J6128" s="12" t="s">
        <v>31</v>
      </c>
      <c r="K6128" s="94">
        <f t="shared" si="960"/>
        <v>9399.1</v>
      </c>
      <c r="L6128">
        <v>1</v>
      </c>
      <c r="M6128" s="94">
        <v>0</v>
      </c>
      <c r="N6128" t="s">
        <v>32</v>
      </c>
      <c r="O6128" t="s">
        <v>33</v>
      </c>
      <c r="P6128" t="s">
        <v>34</v>
      </c>
      <c r="Q6128" t="s">
        <v>34</v>
      </c>
      <c r="R6128" t="s">
        <v>34</v>
      </c>
      <c r="S6128" t="s">
        <v>34</v>
      </c>
      <c r="T6128" s="117">
        <v>0</v>
      </c>
    </row>
    <row r="6129" spans="1:20" x14ac:dyDescent="0.35">
      <c r="A6129" t="s">
        <v>19</v>
      </c>
      <c r="B6129" t="s">
        <v>25</v>
      </c>
      <c r="C6129" s="1">
        <v>46036</v>
      </c>
      <c r="D6129">
        <f>DAY(C6129)</f>
        <v>14</v>
      </c>
      <c r="E6129">
        <f>MONTH(C6129)</f>
        <v>1</v>
      </c>
      <c r="F6129">
        <f>YEAR(C6129)</f>
        <v>2026</v>
      </c>
      <c r="G6129" t="s">
        <v>980</v>
      </c>
      <c r="H6129" s="200">
        <v>14294</v>
      </c>
      <c r="I6129" s="220">
        <v>60740.4</v>
      </c>
      <c r="J6129" s="12" t="s">
        <v>51</v>
      </c>
      <c r="K6129" s="94">
        <f t="shared" si="960"/>
        <v>70920.491039999994</v>
      </c>
      <c r="L6129">
        <v>1.1676</v>
      </c>
      <c r="M6129" s="94">
        <v>0</v>
      </c>
      <c r="N6129" t="s">
        <v>32</v>
      </c>
      <c r="O6129" t="s">
        <v>33</v>
      </c>
      <c r="P6129" t="s">
        <v>34</v>
      </c>
      <c r="Q6129" t="s">
        <v>34</v>
      </c>
      <c r="R6129" t="s">
        <v>34</v>
      </c>
      <c r="S6129" t="s">
        <v>34</v>
      </c>
      <c r="T6129" s="117">
        <v>0</v>
      </c>
    </row>
    <row r="6130" spans="1:20" x14ac:dyDescent="0.35">
      <c r="A6130" t="s">
        <v>19</v>
      </c>
      <c r="B6130" t="s">
        <v>23</v>
      </c>
      <c r="C6130" s="1">
        <v>46036</v>
      </c>
      <c r="D6130">
        <f>DAY(C6130)</f>
        <v>14</v>
      </c>
      <c r="E6130">
        <f>MONTH(C6130)</f>
        <v>1</v>
      </c>
      <c r="F6130">
        <f>YEAR(C6130)</f>
        <v>2026</v>
      </c>
      <c r="G6130" t="s">
        <v>979</v>
      </c>
      <c r="H6130" s="200">
        <v>14183</v>
      </c>
      <c r="I6130" s="220">
        <v>6496</v>
      </c>
      <c r="J6130" s="12" t="s">
        <v>31</v>
      </c>
      <c r="K6130" s="94">
        <f t="shared" si="960"/>
        <v>6496</v>
      </c>
      <c r="L6130">
        <v>1</v>
      </c>
      <c r="M6130" s="94">
        <v>0</v>
      </c>
      <c r="N6130" t="s">
        <v>42</v>
      </c>
      <c r="O6130" t="s">
        <v>33</v>
      </c>
      <c r="P6130" t="s">
        <v>34</v>
      </c>
      <c r="Q6130" t="s">
        <v>34</v>
      </c>
      <c r="R6130" t="s">
        <v>34</v>
      </c>
      <c r="S6130" t="s">
        <v>34</v>
      </c>
      <c r="T6130" s="117">
        <v>0</v>
      </c>
    </row>
    <row r="6131" spans="1:20" x14ac:dyDescent="0.35">
      <c r="A6131" t="s">
        <v>19</v>
      </c>
      <c r="B6131" t="s">
        <v>21</v>
      </c>
      <c r="C6131" s="1">
        <v>46036</v>
      </c>
      <c r="D6131">
        <f t="shared" ref="D6131:D6132" si="961">DAY(C6131)</f>
        <v>14</v>
      </c>
      <c r="E6131">
        <f t="shared" ref="E6131:E6132" si="962">MONTH(C6131)</f>
        <v>1</v>
      </c>
      <c r="F6131">
        <f t="shared" ref="F6131:F6132" si="963">YEAR(C6131)</f>
        <v>2026</v>
      </c>
      <c r="G6131" t="s">
        <v>80</v>
      </c>
      <c r="H6131" s="223">
        <v>13339</v>
      </c>
      <c r="I6131" s="220">
        <v>3147.98</v>
      </c>
      <c r="J6131" s="12" t="s">
        <v>31</v>
      </c>
      <c r="K6131" s="94">
        <f t="shared" si="960"/>
        <v>3147.98</v>
      </c>
      <c r="L6131">
        <v>1</v>
      </c>
      <c r="M6131" s="94">
        <v>0</v>
      </c>
      <c r="N6131" t="s">
        <v>32</v>
      </c>
      <c r="O6131" t="s">
        <v>33</v>
      </c>
      <c r="P6131" t="s">
        <v>34</v>
      </c>
      <c r="Q6131" t="s">
        <v>34</v>
      </c>
      <c r="R6131" t="s">
        <v>34</v>
      </c>
      <c r="S6131" t="s">
        <v>34</v>
      </c>
      <c r="T6131" s="117">
        <v>0</v>
      </c>
    </row>
    <row r="6132" spans="1:20" x14ac:dyDescent="0.35">
      <c r="A6132" t="s">
        <v>19</v>
      </c>
      <c r="B6132" t="s">
        <v>25</v>
      </c>
      <c r="C6132" s="1">
        <v>46036</v>
      </c>
      <c r="D6132">
        <f t="shared" si="961"/>
        <v>14</v>
      </c>
      <c r="E6132">
        <f t="shared" si="962"/>
        <v>1</v>
      </c>
      <c r="F6132">
        <f t="shared" si="963"/>
        <v>2026</v>
      </c>
      <c r="G6132" t="s">
        <v>80</v>
      </c>
      <c r="H6132" s="200">
        <v>13339</v>
      </c>
      <c r="I6132" s="220">
        <v>50127.884799999993</v>
      </c>
      <c r="J6132" s="12" t="s">
        <v>31</v>
      </c>
      <c r="K6132" s="94">
        <f t="shared" si="960"/>
        <v>50127.884799999993</v>
      </c>
      <c r="L6132">
        <v>1</v>
      </c>
      <c r="M6132" s="94">
        <v>0</v>
      </c>
      <c r="N6132" t="s">
        <v>32</v>
      </c>
      <c r="O6132" t="s">
        <v>33</v>
      </c>
      <c r="P6132" t="s">
        <v>34</v>
      </c>
      <c r="Q6132" t="s">
        <v>34</v>
      </c>
      <c r="R6132" t="s">
        <v>34</v>
      </c>
      <c r="S6132" t="s">
        <v>34</v>
      </c>
      <c r="T6132" s="117">
        <v>0</v>
      </c>
    </row>
    <row r="6133" spans="1:20" x14ac:dyDescent="0.35">
      <c r="A6133" t="s">
        <v>19</v>
      </c>
      <c r="B6133" t="s">
        <v>25</v>
      </c>
      <c r="C6133" s="1">
        <v>46036</v>
      </c>
      <c r="D6133">
        <f>DAY(C6133)</f>
        <v>14</v>
      </c>
      <c r="E6133">
        <f>MONTH(C6133)</f>
        <v>1</v>
      </c>
      <c r="F6133">
        <f>YEAR(C6133)</f>
        <v>2026</v>
      </c>
      <c r="G6133" t="s">
        <v>38</v>
      </c>
      <c r="H6133" s="200">
        <v>13640</v>
      </c>
      <c r="I6133" s="220">
        <v>323196.40999999997</v>
      </c>
      <c r="J6133" s="12" t="s">
        <v>31</v>
      </c>
      <c r="K6133" s="94">
        <f t="shared" ref="K6133:K6143" si="964">IF(J6133="USD",I6133,I6133*L6133)</f>
        <v>323196.40999999997</v>
      </c>
      <c r="L6133">
        <v>1</v>
      </c>
      <c r="M6133" s="94">
        <v>0</v>
      </c>
      <c r="N6133" t="s">
        <v>32</v>
      </c>
      <c r="O6133" t="s">
        <v>33</v>
      </c>
      <c r="P6133" t="s">
        <v>34</v>
      </c>
      <c r="Q6133" t="s">
        <v>34</v>
      </c>
      <c r="R6133" t="s">
        <v>34</v>
      </c>
      <c r="S6133" t="s">
        <v>34</v>
      </c>
      <c r="T6133" s="117">
        <v>0</v>
      </c>
    </row>
    <row r="6134" spans="1:20" x14ac:dyDescent="0.35">
      <c r="A6134" t="s">
        <v>19</v>
      </c>
      <c r="B6134" t="s">
        <v>25</v>
      </c>
      <c r="C6134" s="1">
        <v>46036</v>
      </c>
      <c r="D6134">
        <f t="shared" ref="D6134:D6135" si="965">DAY(C6134)</f>
        <v>14</v>
      </c>
      <c r="E6134">
        <f t="shared" ref="E6134:E6135" si="966">MONTH(C6134)</f>
        <v>1</v>
      </c>
      <c r="F6134">
        <f t="shared" ref="F6134:F6135" si="967">YEAR(C6134)</f>
        <v>2026</v>
      </c>
      <c r="G6134" t="s">
        <v>113</v>
      </c>
      <c r="H6134" s="223">
        <v>13547</v>
      </c>
      <c r="I6134" s="220">
        <v>189273.60000000001</v>
      </c>
      <c r="J6134" s="12" t="s">
        <v>51</v>
      </c>
      <c r="K6134" s="94">
        <f t="shared" si="964"/>
        <v>220995.85535999999</v>
      </c>
      <c r="L6134">
        <v>1.1676</v>
      </c>
      <c r="M6134" s="94">
        <v>0</v>
      </c>
      <c r="N6134" t="s">
        <v>42</v>
      </c>
      <c r="O6134" t="s">
        <v>33</v>
      </c>
      <c r="P6134" t="s">
        <v>34</v>
      </c>
      <c r="Q6134" t="s">
        <v>34</v>
      </c>
      <c r="R6134" t="s">
        <v>34</v>
      </c>
      <c r="S6134" t="s">
        <v>34</v>
      </c>
      <c r="T6134" s="117">
        <v>0</v>
      </c>
    </row>
    <row r="6135" spans="1:20" x14ac:dyDescent="0.35">
      <c r="A6135" t="s">
        <v>19</v>
      </c>
      <c r="B6135" t="s">
        <v>25</v>
      </c>
      <c r="C6135" s="1">
        <v>46036</v>
      </c>
      <c r="D6135">
        <f t="shared" si="965"/>
        <v>14</v>
      </c>
      <c r="E6135">
        <f t="shared" si="966"/>
        <v>1</v>
      </c>
      <c r="F6135">
        <f t="shared" si="967"/>
        <v>2026</v>
      </c>
      <c r="G6135" t="s">
        <v>113</v>
      </c>
      <c r="H6135" s="200">
        <v>14543</v>
      </c>
      <c r="I6135" s="220">
        <v>36836.800000000003</v>
      </c>
      <c r="J6135" s="12" t="s">
        <v>51</v>
      </c>
      <c r="K6135" s="94">
        <f t="shared" si="964"/>
        <v>43010.647680000002</v>
      </c>
      <c r="L6135">
        <v>1.1676</v>
      </c>
      <c r="M6135" s="94">
        <v>0</v>
      </c>
      <c r="N6135" t="s">
        <v>42</v>
      </c>
      <c r="O6135" t="s">
        <v>33</v>
      </c>
      <c r="P6135" t="s">
        <v>34</v>
      </c>
      <c r="Q6135" t="s">
        <v>34</v>
      </c>
      <c r="R6135" t="s">
        <v>34</v>
      </c>
      <c r="S6135" t="s">
        <v>34</v>
      </c>
      <c r="T6135" s="117">
        <v>0</v>
      </c>
    </row>
    <row r="6136" spans="1:20" x14ac:dyDescent="0.35">
      <c r="A6136" t="s">
        <v>19</v>
      </c>
      <c r="B6136" t="s">
        <v>1489</v>
      </c>
      <c r="C6136" s="1">
        <v>46036</v>
      </c>
      <c r="D6136">
        <f t="shared" ref="D6136:D6137" si="968">DAY(C6136)</f>
        <v>14</v>
      </c>
      <c r="E6136">
        <f t="shared" ref="E6136:E6137" si="969">MONTH(C6136)</f>
        <v>1</v>
      </c>
      <c r="F6136">
        <f t="shared" ref="F6136:F6137" si="970">YEAR(C6136)</f>
        <v>2026</v>
      </c>
      <c r="G6136" t="s">
        <v>35</v>
      </c>
      <c r="H6136" s="230">
        <v>13344</v>
      </c>
      <c r="I6136" s="220">
        <v>12826.75</v>
      </c>
      <c r="J6136" s="12" t="s">
        <v>31</v>
      </c>
      <c r="K6136" s="94">
        <f t="shared" si="964"/>
        <v>12826.75</v>
      </c>
      <c r="L6136">
        <v>1</v>
      </c>
      <c r="M6136" s="94">
        <v>0</v>
      </c>
      <c r="N6136" t="s">
        <v>32</v>
      </c>
      <c r="O6136" t="s">
        <v>33</v>
      </c>
      <c r="P6136" t="s">
        <v>34</v>
      </c>
      <c r="Q6136" t="s">
        <v>34</v>
      </c>
      <c r="R6136" t="s">
        <v>34</v>
      </c>
      <c r="S6136" t="s">
        <v>34</v>
      </c>
      <c r="T6136" s="117">
        <v>0</v>
      </c>
    </row>
    <row r="6137" spans="1:20" x14ac:dyDescent="0.35">
      <c r="A6137" t="s">
        <v>19</v>
      </c>
      <c r="B6137" t="s">
        <v>1489</v>
      </c>
      <c r="C6137" s="1">
        <v>46036</v>
      </c>
      <c r="D6137">
        <f t="shared" si="968"/>
        <v>14</v>
      </c>
      <c r="E6137">
        <f t="shared" si="969"/>
        <v>1</v>
      </c>
      <c r="F6137">
        <f t="shared" si="970"/>
        <v>2026</v>
      </c>
      <c r="G6137" t="s">
        <v>35</v>
      </c>
      <c r="H6137" s="231">
        <v>14041</v>
      </c>
      <c r="I6137" s="220">
        <v>2142.3000000000002</v>
      </c>
      <c r="J6137" s="12" t="s">
        <v>31</v>
      </c>
      <c r="K6137" s="94">
        <f t="shared" si="964"/>
        <v>2142.3000000000002</v>
      </c>
      <c r="L6137">
        <v>1</v>
      </c>
      <c r="M6137" s="94">
        <v>0</v>
      </c>
      <c r="N6137" t="s">
        <v>32</v>
      </c>
      <c r="O6137" t="s">
        <v>33</v>
      </c>
      <c r="P6137" t="s">
        <v>34</v>
      </c>
      <c r="Q6137" t="s">
        <v>34</v>
      </c>
      <c r="R6137" t="s">
        <v>34</v>
      </c>
      <c r="S6137" t="s">
        <v>34</v>
      </c>
      <c r="T6137" s="117">
        <v>0</v>
      </c>
    </row>
    <row r="6138" spans="1:20" x14ac:dyDescent="0.35">
      <c r="A6138" t="s">
        <v>19</v>
      </c>
      <c r="B6138" t="s">
        <v>25</v>
      </c>
      <c r="C6138" s="1">
        <v>46036</v>
      </c>
      <c r="D6138">
        <f>DAY(C6138)</f>
        <v>14</v>
      </c>
      <c r="E6138">
        <f>MONTH(C6138)</f>
        <v>1</v>
      </c>
      <c r="F6138">
        <f>YEAR(C6138)</f>
        <v>2026</v>
      </c>
      <c r="G6138" t="s">
        <v>93</v>
      </c>
      <c r="H6138" s="200">
        <v>14270</v>
      </c>
      <c r="I6138" s="220">
        <v>37361.480000000003</v>
      </c>
      <c r="J6138" s="12" t="s">
        <v>31</v>
      </c>
      <c r="K6138" s="94">
        <f t="shared" si="964"/>
        <v>37361.480000000003</v>
      </c>
      <c r="L6138">
        <v>1</v>
      </c>
      <c r="M6138" s="94">
        <v>0</v>
      </c>
      <c r="N6138" t="s">
        <v>32</v>
      </c>
      <c r="O6138" t="s">
        <v>33</v>
      </c>
      <c r="P6138" t="s">
        <v>34</v>
      </c>
      <c r="Q6138" t="s">
        <v>34</v>
      </c>
      <c r="R6138" t="s">
        <v>34</v>
      </c>
      <c r="S6138" t="s">
        <v>34</v>
      </c>
      <c r="T6138" s="117">
        <v>0</v>
      </c>
    </row>
    <row r="6139" spans="1:20" x14ac:dyDescent="0.35">
      <c r="A6139" t="s">
        <v>20</v>
      </c>
      <c r="B6139" t="s">
        <v>23</v>
      </c>
      <c r="C6139" s="1">
        <v>46036</v>
      </c>
      <c r="D6139">
        <f t="shared" ref="D6139:D6140" si="971">DAY(C6139)</f>
        <v>14</v>
      </c>
      <c r="E6139">
        <f t="shared" ref="E6139:E6140" si="972">MONTH(C6139)</f>
        <v>1</v>
      </c>
      <c r="F6139">
        <f t="shared" ref="F6139:F6140" si="973">YEAR(C6139)</f>
        <v>2026</v>
      </c>
      <c r="G6139" t="s">
        <v>81</v>
      </c>
      <c r="H6139" s="223">
        <v>14586</v>
      </c>
      <c r="I6139" s="220">
        <v>71.599999999999994</v>
      </c>
      <c r="J6139" s="12" t="s">
        <v>31</v>
      </c>
      <c r="K6139" s="94">
        <f t="shared" si="964"/>
        <v>71.599999999999994</v>
      </c>
      <c r="L6139">
        <v>1</v>
      </c>
      <c r="M6139" s="94">
        <v>0</v>
      </c>
      <c r="N6139" t="s">
        <v>42</v>
      </c>
      <c r="O6139" t="s">
        <v>33</v>
      </c>
      <c r="P6139" t="s">
        <v>34</v>
      </c>
      <c r="Q6139" t="s">
        <v>34</v>
      </c>
      <c r="R6139" t="s">
        <v>34</v>
      </c>
      <c r="S6139" t="s">
        <v>34</v>
      </c>
      <c r="T6139" s="117">
        <v>0</v>
      </c>
    </row>
    <row r="6140" spans="1:20" x14ac:dyDescent="0.35">
      <c r="A6140" t="s">
        <v>20</v>
      </c>
      <c r="B6140" t="s">
        <v>23</v>
      </c>
      <c r="C6140" s="1">
        <v>46036</v>
      </c>
      <c r="D6140">
        <f t="shared" si="971"/>
        <v>14</v>
      </c>
      <c r="E6140">
        <f t="shared" si="972"/>
        <v>1</v>
      </c>
      <c r="F6140">
        <f t="shared" si="973"/>
        <v>2026</v>
      </c>
      <c r="G6140" t="s">
        <v>81</v>
      </c>
      <c r="H6140" s="200">
        <v>14587</v>
      </c>
      <c r="I6140" s="220">
        <v>1074</v>
      </c>
      <c r="J6140" s="12" t="s">
        <v>31</v>
      </c>
      <c r="K6140" s="94">
        <f t="shared" si="964"/>
        <v>1074</v>
      </c>
      <c r="L6140">
        <v>1</v>
      </c>
      <c r="M6140" s="94">
        <v>0</v>
      </c>
      <c r="N6140" t="s">
        <v>42</v>
      </c>
      <c r="O6140" t="s">
        <v>33</v>
      </c>
      <c r="P6140" t="s">
        <v>34</v>
      </c>
      <c r="Q6140" t="s">
        <v>34</v>
      </c>
      <c r="R6140" t="s">
        <v>34</v>
      </c>
      <c r="S6140" t="s">
        <v>34</v>
      </c>
      <c r="T6140" s="117">
        <v>0</v>
      </c>
    </row>
    <row r="6141" spans="1:20" x14ac:dyDescent="0.35">
      <c r="A6141" t="s">
        <v>20</v>
      </c>
      <c r="B6141" t="s">
        <v>23</v>
      </c>
      <c r="C6141" s="1">
        <v>46036</v>
      </c>
      <c r="D6141">
        <f t="shared" ref="D6141:D6142" si="974">DAY(C6141)</f>
        <v>14</v>
      </c>
      <c r="E6141">
        <f t="shared" ref="E6141:E6142" si="975">MONTH(C6141)</f>
        <v>1</v>
      </c>
      <c r="F6141">
        <f t="shared" ref="F6141:F6142" si="976">YEAR(C6141)</f>
        <v>2026</v>
      </c>
      <c r="G6141" t="s">
        <v>108</v>
      </c>
      <c r="H6141" s="223">
        <v>14588</v>
      </c>
      <c r="I6141" s="220">
        <v>22.8</v>
      </c>
      <c r="J6141" s="12" t="s">
        <v>31</v>
      </c>
      <c r="K6141" s="94">
        <f t="shared" si="964"/>
        <v>22.8</v>
      </c>
      <c r="L6141">
        <v>1</v>
      </c>
      <c r="M6141" s="94">
        <v>0</v>
      </c>
      <c r="N6141" t="s">
        <v>42</v>
      </c>
      <c r="O6141" t="s">
        <v>33</v>
      </c>
      <c r="P6141" t="s">
        <v>34</v>
      </c>
      <c r="Q6141" t="s">
        <v>34</v>
      </c>
      <c r="R6141" t="s">
        <v>34</v>
      </c>
      <c r="S6141" t="s">
        <v>34</v>
      </c>
      <c r="T6141" s="117">
        <v>0</v>
      </c>
    </row>
    <row r="6142" spans="1:20" x14ac:dyDescent="0.35">
      <c r="A6142" t="s">
        <v>20</v>
      </c>
      <c r="B6142" t="s">
        <v>23</v>
      </c>
      <c r="C6142" s="1">
        <v>46036</v>
      </c>
      <c r="D6142">
        <f t="shared" si="974"/>
        <v>14</v>
      </c>
      <c r="E6142">
        <f t="shared" si="975"/>
        <v>1</v>
      </c>
      <c r="F6142">
        <f t="shared" si="976"/>
        <v>2026</v>
      </c>
      <c r="G6142" t="s">
        <v>108</v>
      </c>
      <c r="H6142" s="200">
        <v>14589</v>
      </c>
      <c r="I6142" s="220">
        <v>4674</v>
      </c>
      <c r="J6142" s="12" t="s">
        <v>31</v>
      </c>
      <c r="K6142" s="94">
        <f t="shared" si="964"/>
        <v>4674</v>
      </c>
      <c r="L6142">
        <v>1</v>
      </c>
      <c r="M6142" s="94">
        <v>0</v>
      </c>
      <c r="N6142" t="s">
        <v>42</v>
      </c>
      <c r="O6142" t="s">
        <v>33</v>
      </c>
      <c r="P6142" t="s">
        <v>34</v>
      </c>
      <c r="Q6142" t="s">
        <v>34</v>
      </c>
      <c r="R6142" t="s">
        <v>34</v>
      </c>
      <c r="S6142" t="s">
        <v>34</v>
      </c>
      <c r="T6142" s="117">
        <v>0</v>
      </c>
    </row>
    <row r="6143" spans="1:20" x14ac:dyDescent="0.35">
      <c r="A6143" t="s">
        <v>20</v>
      </c>
      <c r="B6143" t="s">
        <v>25</v>
      </c>
      <c r="C6143" s="1">
        <v>46036</v>
      </c>
      <c r="D6143">
        <f>DAY(C6143)</f>
        <v>14</v>
      </c>
      <c r="E6143">
        <f>MONTH(C6143)</f>
        <v>1</v>
      </c>
      <c r="F6143">
        <f>YEAR(C6143)</f>
        <v>2026</v>
      </c>
      <c r="G6143" t="s">
        <v>95</v>
      </c>
      <c r="H6143" s="232">
        <v>14591</v>
      </c>
      <c r="I6143" s="220">
        <v>2538</v>
      </c>
      <c r="J6143" s="12" t="s">
        <v>31</v>
      </c>
      <c r="K6143" s="94">
        <f t="shared" si="964"/>
        <v>2538</v>
      </c>
      <c r="L6143">
        <v>1</v>
      </c>
      <c r="M6143" s="94">
        <v>0</v>
      </c>
      <c r="N6143" t="s">
        <v>42</v>
      </c>
      <c r="O6143" t="s">
        <v>33</v>
      </c>
      <c r="P6143" t="s">
        <v>34</v>
      </c>
      <c r="Q6143" t="s">
        <v>34</v>
      </c>
      <c r="R6143" t="s">
        <v>34</v>
      </c>
      <c r="S6143" t="s">
        <v>34</v>
      </c>
      <c r="T6143" s="117">
        <v>0</v>
      </c>
    </row>
    <row r="6144" spans="1:20" x14ac:dyDescent="0.35">
      <c r="A6144" t="s">
        <v>20</v>
      </c>
      <c r="B6144" t="s">
        <v>24</v>
      </c>
      <c r="C6144" s="1">
        <v>46036</v>
      </c>
      <c r="D6144">
        <f t="shared" ref="D6144:D6145" si="977">DAY(C6144)</f>
        <v>14</v>
      </c>
      <c r="E6144">
        <f t="shared" ref="E6144:E6145" si="978">MONTH(C6144)</f>
        <v>1</v>
      </c>
      <c r="F6144">
        <f t="shared" ref="F6144:F6145" si="979">YEAR(C6144)</f>
        <v>2026</v>
      </c>
      <c r="G6144" t="s">
        <v>82</v>
      </c>
      <c r="H6144" s="223">
        <v>13467</v>
      </c>
      <c r="I6144" s="220">
        <v>3962.45</v>
      </c>
      <c r="J6144" s="12" t="s">
        <v>31</v>
      </c>
      <c r="K6144" s="94">
        <f t="shared" ref="K6144:K6155" si="980">IF(J6144="USD",I6144,I6144*L6144)</f>
        <v>3962.45</v>
      </c>
      <c r="L6144">
        <v>1</v>
      </c>
      <c r="M6144" s="94">
        <v>0</v>
      </c>
      <c r="N6144" t="s">
        <v>32</v>
      </c>
      <c r="O6144" t="s">
        <v>33</v>
      </c>
      <c r="P6144" t="s">
        <v>34</v>
      </c>
      <c r="Q6144" t="s">
        <v>34</v>
      </c>
      <c r="R6144" t="s">
        <v>34</v>
      </c>
      <c r="S6144" t="s">
        <v>34</v>
      </c>
      <c r="T6144" s="117">
        <v>0</v>
      </c>
    </row>
    <row r="6145" spans="1:20" x14ac:dyDescent="0.35">
      <c r="A6145" t="s">
        <v>20</v>
      </c>
      <c r="B6145" t="s">
        <v>23</v>
      </c>
      <c r="C6145" s="1">
        <v>46036</v>
      </c>
      <c r="D6145">
        <f t="shared" si="977"/>
        <v>14</v>
      </c>
      <c r="E6145">
        <f t="shared" si="978"/>
        <v>1</v>
      </c>
      <c r="F6145">
        <f t="shared" si="979"/>
        <v>2026</v>
      </c>
      <c r="G6145" t="s">
        <v>82</v>
      </c>
      <c r="H6145" s="223">
        <v>13467</v>
      </c>
      <c r="I6145" s="220">
        <v>14020.62</v>
      </c>
      <c r="J6145" s="12" t="s">
        <v>31</v>
      </c>
      <c r="K6145" s="94">
        <f t="shared" si="980"/>
        <v>14020.62</v>
      </c>
      <c r="L6145">
        <v>1</v>
      </c>
      <c r="M6145" s="94">
        <v>0</v>
      </c>
      <c r="N6145" t="s">
        <v>32</v>
      </c>
      <c r="O6145" t="s">
        <v>33</v>
      </c>
      <c r="P6145" t="s">
        <v>34</v>
      </c>
      <c r="Q6145" t="s">
        <v>34</v>
      </c>
      <c r="R6145" t="s">
        <v>34</v>
      </c>
      <c r="S6145" t="s">
        <v>34</v>
      </c>
      <c r="T6145" s="117">
        <v>0</v>
      </c>
    </row>
    <row r="6146" spans="1:20" x14ac:dyDescent="0.35">
      <c r="A6146" t="s">
        <v>20</v>
      </c>
      <c r="B6146" t="s">
        <v>24</v>
      </c>
      <c r="C6146" s="1">
        <v>46036</v>
      </c>
      <c r="D6146">
        <f>DAY(C6146)</f>
        <v>14</v>
      </c>
      <c r="E6146">
        <f>MONTH(C6146)</f>
        <v>1</v>
      </c>
      <c r="F6146">
        <f>YEAR(C6146)</f>
        <v>2026</v>
      </c>
      <c r="G6146" t="s">
        <v>1327</v>
      </c>
      <c r="H6146" s="223">
        <v>13357</v>
      </c>
      <c r="I6146" s="220">
        <v>59325.55</v>
      </c>
      <c r="J6146" s="12" t="s">
        <v>31</v>
      </c>
      <c r="K6146" s="94">
        <f t="shared" si="980"/>
        <v>59325.55</v>
      </c>
      <c r="L6146">
        <v>1</v>
      </c>
      <c r="M6146" s="94">
        <v>0</v>
      </c>
      <c r="N6146" t="s">
        <v>32</v>
      </c>
      <c r="O6146" t="s">
        <v>33</v>
      </c>
      <c r="P6146" t="s">
        <v>34</v>
      </c>
      <c r="Q6146" t="s">
        <v>34</v>
      </c>
      <c r="R6146" t="s">
        <v>34</v>
      </c>
      <c r="S6146" t="s">
        <v>34</v>
      </c>
      <c r="T6146" s="117">
        <v>0</v>
      </c>
    </row>
    <row r="6147" spans="1:20" x14ac:dyDescent="0.35">
      <c r="A6147" t="s">
        <v>20</v>
      </c>
      <c r="B6147" t="s">
        <v>25</v>
      </c>
      <c r="C6147" s="1">
        <v>46036</v>
      </c>
      <c r="D6147">
        <f>DAY(C6147)</f>
        <v>14</v>
      </c>
      <c r="E6147">
        <f>MONTH(C6147)</f>
        <v>1</v>
      </c>
      <c r="F6147">
        <f>YEAR(C6147)</f>
        <v>2026</v>
      </c>
      <c r="G6147" t="s">
        <v>97</v>
      </c>
      <c r="H6147" s="223">
        <v>14341</v>
      </c>
      <c r="I6147" s="220">
        <v>34545.696400000001</v>
      </c>
      <c r="J6147" s="12" t="s">
        <v>31</v>
      </c>
      <c r="K6147" s="94">
        <f t="shared" si="980"/>
        <v>34545.696400000001</v>
      </c>
      <c r="L6147">
        <v>1</v>
      </c>
      <c r="M6147" s="94">
        <v>0</v>
      </c>
      <c r="N6147" t="s">
        <v>32</v>
      </c>
      <c r="O6147" t="s">
        <v>33</v>
      </c>
      <c r="P6147" t="s">
        <v>34</v>
      </c>
      <c r="Q6147" t="s">
        <v>34</v>
      </c>
      <c r="R6147" t="s">
        <v>34</v>
      </c>
      <c r="S6147" t="s">
        <v>34</v>
      </c>
      <c r="T6147" s="117">
        <v>0</v>
      </c>
    </row>
    <row r="6148" spans="1:20" x14ac:dyDescent="0.35">
      <c r="A6148" t="s">
        <v>20</v>
      </c>
      <c r="B6148" t="s">
        <v>21</v>
      </c>
      <c r="C6148" s="1">
        <v>46036</v>
      </c>
      <c r="D6148">
        <f t="shared" ref="D6148:D6151" si="981">DAY(C6148)</f>
        <v>14</v>
      </c>
      <c r="E6148">
        <f t="shared" ref="E6148:E6151" si="982">MONTH(C6148)</f>
        <v>1</v>
      </c>
      <c r="F6148">
        <f t="shared" ref="F6148:F6151" si="983">YEAR(C6148)</f>
        <v>2026</v>
      </c>
      <c r="G6148" t="s">
        <v>1110</v>
      </c>
      <c r="H6148" s="223">
        <v>14595</v>
      </c>
      <c r="I6148" s="220">
        <v>32.4</v>
      </c>
      <c r="J6148" s="12" t="s">
        <v>31</v>
      </c>
      <c r="K6148" s="94">
        <f t="shared" si="980"/>
        <v>32.4</v>
      </c>
      <c r="L6148">
        <v>1</v>
      </c>
      <c r="M6148" s="94">
        <v>0</v>
      </c>
      <c r="N6148" t="s">
        <v>42</v>
      </c>
      <c r="O6148" t="s">
        <v>33</v>
      </c>
      <c r="P6148" t="s">
        <v>34</v>
      </c>
      <c r="Q6148" t="s">
        <v>34</v>
      </c>
      <c r="R6148" t="s">
        <v>34</v>
      </c>
      <c r="S6148" t="s">
        <v>34</v>
      </c>
      <c r="T6148" s="117">
        <v>0</v>
      </c>
    </row>
    <row r="6149" spans="1:20" x14ac:dyDescent="0.35">
      <c r="A6149" t="s">
        <v>20</v>
      </c>
      <c r="B6149" t="s">
        <v>21</v>
      </c>
      <c r="C6149" s="1">
        <v>46036</v>
      </c>
      <c r="D6149">
        <f t="shared" si="981"/>
        <v>14</v>
      </c>
      <c r="E6149">
        <f t="shared" si="982"/>
        <v>1</v>
      </c>
      <c r="F6149">
        <f t="shared" si="983"/>
        <v>2026</v>
      </c>
      <c r="G6149" t="s">
        <v>1110</v>
      </c>
      <c r="H6149" s="223">
        <v>14596</v>
      </c>
      <c r="I6149" s="220">
        <v>2324.6999999999998</v>
      </c>
      <c r="J6149" s="12" t="s">
        <v>31</v>
      </c>
      <c r="K6149" s="94">
        <f t="shared" si="980"/>
        <v>2324.6999999999998</v>
      </c>
      <c r="L6149">
        <v>1</v>
      </c>
      <c r="M6149" s="94">
        <v>0</v>
      </c>
      <c r="N6149" t="s">
        <v>42</v>
      </c>
      <c r="O6149" t="s">
        <v>33</v>
      </c>
      <c r="P6149" t="s">
        <v>34</v>
      </c>
      <c r="Q6149" t="s">
        <v>34</v>
      </c>
      <c r="R6149" t="s">
        <v>34</v>
      </c>
      <c r="S6149" t="s">
        <v>34</v>
      </c>
      <c r="T6149" s="117">
        <v>0</v>
      </c>
    </row>
    <row r="6150" spans="1:20" x14ac:dyDescent="0.35">
      <c r="A6150" t="s">
        <v>20</v>
      </c>
      <c r="B6150" t="s">
        <v>21</v>
      </c>
      <c r="C6150" s="1">
        <v>46036</v>
      </c>
      <c r="D6150">
        <f t="shared" si="981"/>
        <v>14</v>
      </c>
      <c r="E6150">
        <f t="shared" si="982"/>
        <v>1</v>
      </c>
      <c r="F6150">
        <f t="shared" si="983"/>
        <v>2026</v>
      </c>
      <c r="G6150" t="s">
        <v>1110</v>
      </c>
      <c r="H6150" s="223">
        <v>14598</v>
      </c>
      <c r="I6150" s="220">
        <v>61.2</v>
      </c>
      <c r="J6150" s="12" t="s">
        <v>31</v>
      </c>
      <c r="K6150" s="94">
        <f t="shared" si="980"/>
        <v>61.2</v>
      </c>
      <c r="L6150">
        <v>1</v>
      </c>
      <c r="M6150" s="94">
        <v>0</v>
      </c>
      <c r="N6150" t="s">
        <v>42</v>
      </c>
      <c r="O6150" t="s">
        <v>33</v>
      </c>
      <c r="P6150" t="s">
        <v>34</v>
      </c>
      <c r="Q6150" t="s">
        <v>34</v>
      </c>
      <c r="R6150" t="s">
        <v>34</v>
      </c>
      <c r="S6150" t="s">
        <v>34</v>
      </c>
      <c r="T6150" s="117">
        <v>0</v>
      </c>
    </row>
    <row r="6151" spans="1:20" x14ac:dyDescent="0.35">
      <c r="A6151" t="s">
        <v>20</v>
      </c>
      <c r="B6151" t="s">
        <v>21</v>
      </c>
      <c r="C6151" s="1">
        <v>46036</v>
      </c>
      <c r="D6151">
        <f t="shared" si="981"/>
        <v>14</v>
      </c>
      <c r="E6151">
        <f t="shared" si="982"/>
        <v>1</v>
      </c>
      <c r="F6151">
        <f t="shared" si="983"/>
        <v>2026</v>
      </c>
      <c r="G6151" t="s">
        <v>1110</v>
      </c>
      <c r="H6151" s="223">
        <v>14599</v>
      </c>
      <c r="I6151" s="220">
        <v>9761.4</v>
      </c>
      <c r="J6151" s="12" t="s">
        <v>31</v>
      </c>
      <c r="K6151" s="94">
        <f t="shared" si="980"/>
        <v>9761.4</v>
      </c>
      <c r="L6151">
        <v>1</v>
      </c>
      <c r="M6151" s="94">
        <v>0</v>
      </c>
      <c r="N6151" t="s">
        <v>42</v>
      </c>
      <c r="O6151" t="s">
        <v>33</v>
      </c>
      <c r="P6151" t="s">
        <v>34</v>
      </c>
      <c r="Q6151" t="s">
        <v>34</v>
      </c>
      <c r="R6151" t="s">
        <v>34</v>
      </c>
      <c r="S6151" t="s">
        <v>34</v>
      </c>
      <c r="T6151" s="117">
        <v>0</v>
      </c>
    </row>
    <row r="6152" spans="1:20" x14ac:dyDescent="0.35">
      <c r="A6152" t="s">
        <v>20</v>
      </c>
      <c r="B6152" t="s">
        <v>24</v>
      </c>
      <c r="C6152" s="1">
        <v>46036</v>
      </c>
      <c r="D6152">
        <f t="shared" ref="D6152:D6154" si="984">DAY(C6152)</f>
        <v>14</v>
      </c>
      <c r="E6152">
        <f t="shared" ref="E6152:E6154" si="985">MONTH(C6152)</f>
        <v>1</v>
      </c>
      <c r="F6152">
        <f t="shared" ref="F6152:F6154" si="986">YEAR(C6152)</f>
        <v>2026</v>
      </c>
      <c r="G6152" t="s">
        <v>435</v>
      </c>
      <c r="H6152" s="223">
        <v>13665</v>
      </c>
      <c r="I6152" s="220">
        <v>24769.360000000001</v>
      </c>
      <c r="J6152" s="12" t="s">
        <v>31</v>
      </c>
      <c r="K6152" s="94">
        <f t="shared" si="980"/>
        <v>24769.360000000001</v>
      </c>
      <c r="L6152">
        <v>1</v>
      </c>
      <c r="M6152" s="94">
        <v>0</v>
      </c>
      <c r="N6152" t="s">
        <v>32</v>
      </c>
      <c r="O6152" t="s">
        <v>33</v>
      </c>
      <c r="P6152" t="s">
        <v>34</v>
      </c>
      <c r="Q6152" t="s">
        <v>34</v>
      </c>
      <c r="R6152" t="s">
        <v>34</v>
      </c>
      <c r="S6152" t="s">
        <v>34</v>
      </c>
      <c r="T6152" s="117">
        <v>0</v>
      </c>
    </row>
    <row r="6153" spans="1:20" x14ac:dyDescent="0.35">
      <c r="A6153" t="s">
        <v>20</v>
      </c>
      <c r="B6153" t="s">
        <v>25</v>
      </c>
      <c r="C6153" s="1">
        <v>46036</v>
      </c>
      <c r="D6153">
        <f t="shared" si="984"/>
        <v>14</v>
      </c>
      <c r="E6153">
        <f t="shared" si="985"/>
        <v>1</v>
      </c>
      <c r="F6153">
        <f t="shared" si="986"/>
        <v>2026</v>
      </c>
      <c r="G6153" t="s">
        <v>435</v>
      </c>
      <c r="H6153" s="223">
        <v>13479</v>
      </c>
      <c r="I6153" s="220">
        <v>4478.43</v>
      </c>
      <c r="J6153" s="12" t="s">
        <v>31</v>
      </c>
      <c r="K6153" s="94">
        <f t="shared" si="980"/>
        <v>4478.43</v>
      </c>
      <c r="L6153">
        <v>1</v>
      </c>
      <c r="M6153" s="94">
        <v>0</v>
      </c>
      <c r="N6153" t="s">
        <v>32</v>
      </c>
      <c r="O6153" t="s">
        <v>33</v>
      </c>
      <c r="P6153" t="s">
        <v>34</v>
      </c>
      <c r="Q6153" t="s">
        <v>34</v>
      </c>
      <c r="R6153" t="s">
        <v>34</v>
      </c>
      <c r="S6153" t="s">
        <v>34</v>
      </c>
      <c r="T6153" s="117">
        <v>0</v>
      </c>
    </row>
    <row r="6154" spans="1:20" x14ac:dyDescent="0.35">
      <c r="A6154" t="s">
        <v>20</v>
      </c>
      <c r="B6154" t="s">
        <v>21</v>
      </c>
      <c r="C6154" s="1">
        <v>46036</v>
      </c>
      <c r="D6154">
        <f t="shared" si="984"/>
        <v>14</v>
      </c>
      <c r="E6154">
        <f t="shared" si="985"/>
        <v>1</v>
      </c>
      <c r="F6154">
        <f t="shared" si="986"/>
        <v>2026</v>
      </c>
      <c r="G6154" t="s">
        <v>435</v>
      </c>
      <c r="H6154" s="223">
        <v>13479</v>
      </c>
      <c r="I6154" s="220">
        <v>2886.7000000000003</v>
      </c>
      <c r="J6154" s="12" t="s">
        <v>31</v>
      </c>
      <c r="K6154" s="94">
        <f t="shared" si="980"/>
        <v>2886.7000000000003</v>
      </c>
      <c r="L6154">
        <v>1</v>
      </c>
      <c r="M6154" s="94">
        <v>0</v>
      </c>
      <c r="N6154" t="s">
        <v>32</v>
      </c>
      <c r="O6154" t="s">
        <v>33</v>
      </c>
      <c r="P6154" t="s">
        <v>34</v>
      </c>
      <c r="Q6154" t="s">
        <v>34</v>
      </c>
      <c r="R6154" t="s">
        <v>34</v>
      </c>
      <c r="S6154" t="s">
        <v>34</v>
      </c>
      <c r="T6154" s="117">
        <v>0</v>
      </c>
    </row>
    <row r="6155" spans="1:20" x14ac:dyDescent="0.35">
      <c r="A6155" t="s">
        <v>20</v>
      </c>
      <c r="B6155" t="s">
        <v>25</v>
      </c>
      <c r="C6155" s="1">
        <v>46036</v>
      </c>
      <c r="D6155">
        <f t="shared" ref="D6155:D6162" si="987">DAY(C6155)</f>
        <v>14</v>
      </c>
      <c r="E6155">
        <f t="shared" ref="E6155:E6162" si="988">MONTH(C6155)</f>
        <v>1</v>
      </c>
      <c r="F6155">
        <f t="shared" ref="F6155:F6162" si="989">YEAR(C6155)</f>
        <v>2026</v>
      </c>
      <c r="G6155" t="s">
        <v>43</v>
      </c>
      <c r="H6155" s="223">
        <v>14528</v>
      </c>
      <c r="I6155" s="220">
        <v>3496.65</v>
      </c>
      <c r="J6155" s="12" t="s">
        <v>31</v>
      </c>
      <c r="K6155" s="94">
        <f t="shared" si="980"/>
        <v>3496.65</v>
      </c>
      <c r="L6155">
        <v>1</v>
      </c>
      <c r="M6155" s="94">
        <v>0</v>
      </c>
      <c r="N6155" t="s">
        <v>32</v>
      </c>
      <c r="O6155" t="s">
        <v>33</v>
      </c>
      <c r="P6155" t="s">
        <v>34</v>
      </c>
      <c r="Q6155" t="s">
        <v>34</v>
      </c>
      <c r="R6155" t="s">
        <v>34</v>
      </c>
      <c r="S6155" t="s">
        <v>34</v>
      </c>
      <c r="T6155" s="117">
        <v>0</v>
      </c>
    </row>
    <row r="6156" spans="1:20" x14ac:dyDescent="0.35">
      <c r="A6156" t="s">
        <v>20</v>
      </c>
      <c r="B6156" t="s">
        <v>25</v>
      </c>
      <c r="C6156" s="1">
        <v>46036</v>
      </c>
      <c r="D6156">
        <f t="shared" si="987"/>
        <v>14</v>
      </c>
      <c r="E6156">
        <f t="shared" si="988"/>
        <v>1</v>
      </c>
      <c r="F6156">
        <f t="shared" si="989"/>
        <v>2026</v>
      </c>
      <c r="G6156" t="s">
        <v>99</v>
      </c>
      <c r="H6156" s="223">
        <v>13573</v>
      </c>
      <c r="I6156" s="220">
        <v>18210.150000000001</v>
      </c>
      <c r="J6156" s="12" t="s">
        <v>31</v>
      </c>
      <c r="K6156" s="94">
        <f t="shared" ref="K6156:K6164" si="990">IF(J6156="USD",I6156,I6156*L6156)</f>
        <v>18210.150000000001</v>
      </c>
      <c r="L6156">
        <v>1</v>
      </c>
      <c r="M6156" s="94">
        <v>0</v>
      </c>
      <c r="N6156" t="s">
        <v>32</v>
      </c>
      <c r="O6156" t="s">
        <v>33</v>
      </c>
      <c r="P6156" t="s">
        <v>34</v>
      </c>
      <c r="Q6156" t="s">
        <v>34</v>
      </c>
      <c r="R6156" t="s">
        <v>34</v>
      </c>
      <c r="S6156" t="s">
        <v>34</v>
      </c>
      <c r="T6156" s="117">
        <v>0</v>
      </c>
    </row>
    <row r="6157" spans="1:20" x14ac:dyDescent="0.35">
      <c r="A6157" t="s">
        <v>20</v>
      </c>
      <c r="B6157" t="s">
        <v>25</v>
      </c>
      <c r="C6157" s="1">
        <v>46036</v>
      </c>
      <c r="D6157">
        <f t="shared" si="987"/>
        <v>14</v>
      </c>
      <c r="E6157">
        <f t="shared" si="988"/>
        <v>1</v>
      </c>
      <c r="F6157">
        <f t="shared" si="989"/>
        <v>2026</v>
      </c>
      <c r="G6157" t="s">
        <v>1311</v>
      </c>
      <c r="H6157" s="223">
        <v>13560</v>
      </c>
      <c r="I6157" s="220">
        <v>21797.57</v>
      </c>
      <c r="J6157" s="12" t="s">
        <v>51</v>
      </c>
      <c r="K6157" s="94">
        <f t="shared" si="990"/>
        <v>25507.66</v>
      </c>
      <c r="L6157">
        <v>1.1702065872480281</v>
      </c>
      <c r="M6157" s="94">
        <v>0</v>
      </c>
      <c r="N6157" t="s">
        <v>32</v>
      </c>
      <c r="O6157" t="s">
        <v>33</v>
      </c>
      <c r="P6157" t="s">
        <v>34</v>
      </c>
      <c r="Q6157" t="s">
        <v>34</v>
      </c>
      <c r="R6157" t="s">
        <v>34</v>
      </c>
      <c r="S6157" t="s">
        <v>34</v>
      </c>
      <c r="T6157" s="117">
        <v>0</v>
      </c>
    </row>
    <row r="6158" spans="1:20" x14ac:dyDescent="0.35">
      <c r="A6158" t="s">
        <v>20</v>
      </c>
      <c r="B6158" t="s">
        <v>25</v>
      </c>
      <c r="C6158" s="1">
        <v>46036</v>
      </c>
      <c r="D6158">
        <f t="shared" si="987"/>
        <v>14</v>
      </c>
      <c r="E6158">
        <f t="shared" si="988"/>
        <v>1</v>
      </c>
      <c r="F6158">
        <f t="shared" si="989"/>
        <v>2026</v>
      </c>
      <c r="G6158" t="s">
        <v>1311</v>
      </c>
      <c r="H6158" s="223">
        <v>14499</v>
      </c>
      <c r="I6158" s="220">
        <v>46832.3</v>
      </c>
      <c r="J6158" s="12" t="s">
        <v>31</v>
      </c>
      <c r="K6158" s="94">
        <f t="shared" si="990"/>
        <v>46832.3</v>
      </c>
      <c r="L6158">
        <v>1</v>
      </c>
      <c r="M6158" s="94">
        <v>0</v>
      </c>
      <c r="N6158" t="s">
        <v>32</v>
      </c>
      <c r="O6158" t="s">
        <v>33</v>
      </c>
      <c r="P6158" t="s">
        <v>34</v>
      </c>
      <c r="Q6158" t="s">
        <v>34</v>
      </c>
      <c r="R6158" t="s">
        <v>34</v>
      </c>
      <c r="S6158" t="s">
        <v>34</v>
      </c>
      <c r="T6158" s="117">
        <v>0</v>
      </c>
    </row>
    <row r="6159" spans="1:20" x14ac:dyDescent="0.35">
      <c r="A6159" t="s">
        <v>20</v>
      </c>
      <c r="B6159" t="s">
        <v>21</v>
      </c>
      <c r="C6159" s="1">
        <v>46036</v>
      </c>
      <c r="D6159">
        <f t="shared" si="987"/>
        <v>14</v>
      </c>
      <c r="E6159">
        <f t="shared" si="988"/>
        <v>1</v>
      </c>
      <c r="F6159">
        <f t="shared" si="989"/>
        <v>2026</v>
      </c>
      <c r="G6159" t="s">
        <v>52</v>
      </c>
      <c r="H6159" s="223">
        <v>13430</v>
      </c>
      <c r="I6159" s="220">
        <v>51388.58</v>
      </c>
      <c r="J6159" s="12" t="s">
        <v>31</v>
      </c>
      <c r="K6159" s="94">
        <f t="shared" si="990"/>
        <v>51388.58</v>
      </c>
      <c r="L6159">
        <v>1</v>
      </c>
      <c r="M6159" s="94">
        <v>0</v>
      </c>
      <c r="N6159" t="s">
        <v>32</v>
      </c>
      <c r="O6159" t="s">
        <v>33</v>
      </c>
      <c r="P6159" t="s">
        <v>34</v>
      </c>
      <c r="Q6159" t="s">
        <v>34</v>
      </c>
      <c r="R6159" t="s">
        <v>34</v>
      </c>
      <c r="S6159" t="s">
        <v>34</v>
      </c>
      <c r="T6159" s="117">
        <v>0</v>
      </c>
    </row>
    <row r="6160" spans="1:20" x14ac:dyDescent="0.35">
      <c r="A6160" t="s">
        <v>20</v>
      </c>
      <c r="B6160" t="s">
        <v>21</v>
      </c>
      <c r="C6160" s="1">
        <v>46036</v>
      </c>
      <c r="D6160">
        <f t="shared" si="987"/>
        <v>14</v>
      </c>
      <c r="E6160">
        <f t="shared" si="988"/>
        <v>1</v>
      </c>
      <c r="F6160">
        <f t="shared" si="989"/>
        <v>2026</v>
      </c>
      <c r="G6160" t="s">
        <v>300</v>
      </c>
      <c r="H6160" s="223">
        <v>13920</v>
      </c>
      <c r="I6160" s="220">
        <v>3455.29</v>
      </c>
      <c r="J6160" s="12" t="s">
        <v>31</v>
      </c>
      <c r="K6160" s="94">
        <f t="shared" si="990"/>
        <v>3455.29</v>
      </c>
      <c r="L6160">
        <v>1</v>
      </c>
      <c r="M6160" s="94">
        <v>0</v>
      </c>
      <c r="N6160" t="s">
        <v>32</v>
      </c>
      <c r="O6160" t="s">
        <v>33</v>
      </c>
      <c r="P6160" t="s">
        <v>34</v>
      </c>
      <c r="Q6160" t="s">
        <v>34</v>
      </c>
      <c r="R6160" t="s">
        <v>34</v>
      </c>
      <c r="S6160" t="s">
        <v>34</v>
      </c>
      <c r="T6160" s="117">
        <v>0</v>
      </c>
    </row>
    <row r="6161" spans="1:20" x14ac:dyDescent="0.35">
      <c r="A6161" t="s">
        <v>20</v>
      </c>
      <c r="B6161" t="s">
        <v>24</v>
      </c>
      <c r="C6161" s="1">
        <v>46036</v>
      </c>
      <c r="D6161">
        <f t="shared" si="987"/>
        <v>14</v>
      </c>
      <c r="E6161">
        <f t="shared" si="988"/>
        <v>1</v>
      </c>
      <c r="F6161">
        <f t="shared" si="989"/>
        <v>2026</v>
      </c>
      <c r="G6161" t="s">
        <v>1562</v>
      </c>
      <c r="H6161" s="223">
        <v>13464</v>
      </c>
      <c r="I6161" s="220">
        <v>968.24</v>
      </c>
      <c r="J6161" s="12" t="s">
        <v>31</v>
      </c>
      <c r="K6161" s="94">
        <f t="shared" si="990"/>
        <v>968.24</v>
      </c>
      <c r="L6161">
        <v>1</v>
      </c>
      <c r="M6161" s="94">
        <v>0</v>
      </c>
      <c r="N6161" t="s">
        <v>32</v>
      </c>
      <c r="O6161" t="s">
        <v>33</v>
      </c>
      <c r="P6161" t="s">
        <v>34</v>
      </c>
      <c r="Q6161" t="s">
        <v>34</v>
      </c>
      <c r="R6161" t="s">
        <v>34</v>
      </c>
      <c r="S6161" t="s">
        <v>34</v>
      </c>
      <c r="T6161" s="117">
        <v>0</v>
      </c>
    </row>
    <row r="6162" spans="1:20" x14ac:dyDescent="0.35">
      <c r="A6162" t="s">
        <v>20</v>
      </c>
      <c r="B6162" t="s">
        <v>25</v>
      </c>
      <c r="C6162" s="1">
        <v>46036</v>
      </c>
      <c r="D6162">
        <f t="shared" si="987"/>
        <v>14</v>
      </c>
      <c r="E6162">
        <f t="shared" si="988"/>
        <v>1</v>
      </c>
      <c r="F6162">
        <f t="shared" si="989"/>
        <v>2026</v>
      </c>
      <c r="G6162" t="s">
        <v>90</v>
      </c>
      <c r="H6162" s="223">
        <v>13675</v>
      </c>
      <c r="I6162" s="220">
        <v>104.8</v>
      </c>
      <c r="J6162" s="12" t="s">
        <v>31</v>
      </c>
      <c r="K6162" s="94">
        <f t="shared" si="990"/>
        <v>104.8</v>
      </c>
      <c r="L6162">
        <v>1</v>
      </c>
      <c r="M6162" s="94">
        <v>0</v>
      </c>
      <c r="N6162" t="s">
        <v>32</v>
      </c>
      <c r="O6162" t="s">
        <v>33</v>
      </c>
      <c r="P6162" t="s">
        <v>34</v>
      </c>
      <c r="Q6162" t="s">
        <v>34</v>
      </c>
      <c r="R6162" t="s">
        <v>34</v>
      </c>
      <c r="S6162" t="s">
        <v>34</v>
      </c>
      <c r="T6162" s="117">
        <v>0</v>
      </c>
    </row>
    <row r="6163" spans="1:20" x14ac:dyDescent="0.35">
      <c r="A6163" t="s">
        <v>20</v>
      </c>
      <c r="B6163" t="s">
        <v>23</v>
      </c>
      <c r="C6163" s="1">
        <v>46036</v>
      </c>
      <c r="D6163">
        <f t="shared" ref="D6163:D6164" si="991">DAY(C6163)</f>
        <v>14</v>
      </c>
      <c r="E6163">
        <f t="shared" ref="E6163:E6164" si="992">MONTH(C6163)</f>
        <v>1</v>
      </c>
      <c r="F6163">
        <f t="shared" ref="F6163:F6164" si="993">YEAR(C6163)</f>
        <v>2026</v>
      </c>
      <c r="G6163" t="s">
        <v>1238</v>
      </c>
      <c r="H6163" s="223">
        <v>14600</v>
      </c>
      <c r="I6163" s="220">
        <v>40</v>
      </c>
      <c r="J6163" s="12" t="s">
        <v>31</v>
      </c>
      <c r="K6163" s="94">
        <f t="shared" si="990"/>
        <v>40</v>
      </c>
      <c r="L6163">
        <v>1</v>
      </c>
      <c r="M6163" s="94">
        <v>0</v>
      </c>
      <c r="N6163" t="s">
        <v>42</v>
      </c>
      <c r="O6163" t="s">
        <v>33</v>
      </c>
      <c r="P6163" t="s">
        <v>34</v>
      </c>
      <c r="Q6163" t="s">
        <v>34</v>
      </c>
      <c r="R6163" t="s">
        <v>34</v>
      </c>
      <c r="S6163" t="s">
        <v>34</v>
      </c>
      <c r="T6163" s="117">
        <v>0</v>
      </c>
    </row>
    <row r="6164" spans="1:20" x14ac:dyDescent="0.35">
      <c r="A6164" t="s">
        <v>20</v>
      </c>
      <c r="B6164" t="s">
        <v>23</v>
      </c>
      <c r="C6164" s="1">
        <v>46036</v>
      </c>
      <c r="D6164">
        <f t="shared" si="991"/>
        <v>14</v>
      </c>
      <c r="E6164">
        <f t="shared" si="992"/>
        <v>1</v>
      </c>
      <c r="F6164">
        <f t="shared" si="993"/>
        <v>2026</v>
      </c>
      <c r="G6164" t="s">
        <v>1238</v>
      </c>
      <c r="H6164" s="223">
        <v>14601</v>
      </c>
      <c r="I6164" s="220">
        <v>1950</v>
      </c>
      <c r="J6164" s="12" t="s">
        <v>31</v>
      </c>
      <c r="K6164" s="94">
        <f t="shared" si="990"/>
        <v>1950</v>
      </c>
      <c r="L6164">
        <v>1</v>
      </c>
      <c r="M6164" s="94">
        <v>0</v>
      </c>
      <c r="N6164" t="s">
        <v>42</v>
      </c>
      <c r="O6164" t="s">
        <v>33</v>
      </c>
      <c r="P6164" t="s">
        <v>34</v>
      </c>
      <c r="Q6164" t="s">
        <v>34</v>
      </c>
      <c r="R6164" t="s">
        <v>34</v>
      </c>
      <c r="S6164" t="s">
        <v>34</v>
      </c>
      <c r="T6164" s="117">
        <v>0</v>
      </c>
    </row>
    <row r="6165" spans="1:20" x14ac:dyDescent="0.35">
      <c r="A6165" t="s">
        <v>20</v>
      </c>
      <c r="B6165" t="s">
        <v>21</v>
      </c>
      <c r="C6165" s="1">
        <v>46036</v>
      </c>
      <c r="D6165">
        <f t="shared" ref="D6165:D6168" si="994">DAY(C6165)</f>
        <v>14</v>
      </c>
      <c r="E6165">
        <f t="shared" ref="E6165:E6168" si="995">MONTH(C6165)</f>
        <v>1</v>
      </c>
      <c r="F6165">
        <f t="shared" ref="F6165:F6168" si="996">YEAR(C6165)</f>
        <v>2026</v>
      </c>
      <c r="G6165" t="s">
        <v>46</v>
      </c>
      <c r="H6165" s="223">
        <v>14415</v>
      </c>
      <c r="I6165" s="220">
        <v>51.6</v>
      </c>
      <c r="J6165" s="12" t="s">
        <v>31</v>
      </c>
      <c r="K6165" s="94">
        <f t="shared" ref="K6165:K6168" si="997">IF(J6165="USD",I6165,I6165*L6165)</f>
        <v>51.6</v>
      </c>
      <c r="L6165">
        <v>1</v>
      </c>
      <c r="M6165" s="94">
        <v>0</v>
      </c>
      <c r="N6165" t="s">
        <v>42</v>
      </c>
      <c r="O6165" t="s">
        <v>33</v>
      </c>
      <c r="P6165" t="s">
        <v>34</v>
      </c>
      <c r="Q6165" t="s">
        <v>34</v>
      </c>
      <c r="R6165" t="s">
        <v>34</v>
      </c>
      <c r="S6165" t="s">
        <v>34</v>
      </c>
      <c r="T6165" s="117">
        <v>0</v>
      </c>
    </row>
    <row r="6166" spans="1:20" x14ac:dyDescent="0.35">
      <c r="A6166" t="s">
        <v>20</v>
      </c>
      <c r="B6166" t="s">
        <v>21</v>
      </c>
      <c r="C6166" s="1">
        <v>46036</v>
      </c>
      <c r="D6166">
        <f t="shared" si="994"/>
        <v>14</v>
      </c>
      <c r="E6166">
        <f t="shared" si="995"/>
        <v>1</v>
      </c>
      <c r="F6166">
        <f t="shared" si="996"/>
        <v>2026</v>
      </c>
      <c r="G6166" t="s">
        <v>46</v>
      </c>
      <c r="H6166" s="223">
        <v>14416</v>
      </c>
      <c r="I6166" s="220">
        <v>569.66</v>
      </c>
      <c r="J6166" s="12" t="s">
        <v>31</v>
      </c>
      <c r="K6166" s="94">
        <f t="shared" si="997"/>
        <v>569.66</v>
      </c>
      <c r="L6166">
        <v>1</v>
      </c>
      <c r="M6166" s="94">
        <v>0</v>
      </c>
      <c r="N6166" t="s">
        <v>42</v>
      </c>
      <c r="O6166" t="s">
        <v>33</v>
      </c>
      <c r="P6166" t="s">
        <v>34</v>
      </c>
      <c r="Q6166" t="s">
        <v>34</v>
      </c>
      <c r="R6166" t="s">
        <v>34</v>
      </c>
      <c r="S6166" t="s">
        <v>34</v>
      </c>
      <c r="T6166" s="117">
        <v>0</v>
      </c>
    </row>
    <row r="6167" spans="1:20" x14ac:dyDescent="0.35">
      <c r="A6167" t="s">
        <v>20</v>
      </c>
      <c r="B6167" t="s">
        <v>25</v>
      </c>
      <c r="C6167" s="1">
        <v>46036</v>
      </c>
      <c r="D6167">
        <f t="shared" si="994"/>
        <v>14</v>
      </c>
      <c r="E6167">
        <f t="shared" si="995"/>
        <v>1</v>
      </c>
      <c r="F6167">
        <f t="shared" si="996"/>
        <v>2026</v>
      </c>
      <c r="G6167" t="s">
        <v>46</v>
      </c>
      <c r="H6167" s="223">
        <v>14480</v>
      </c>
      <c r="I6167" s="220">
        <v>140</v>
      </c>
      <c r="J6167" s="12" t="s">
        <v>31</v>
      </c>
      <c r="K6167" s="94">
        <f t="shared" si="997"/>
        <v>140</v>
      </c>
      <c r="L6167">
        <v>1</v>
      </c>
      <c r="M6167" s="94">
        <v>0</v>
      </c>
      <c r="N6167" t="s">
        <v>42</v>
      </c>
      <c r="O6167" t="s">
        <v>33</v>
      </c>
      <c r="P6167" t="s">
        <v>34</v>
      </c>
      <c r="Q6167" t="s">
        <v>34</v>
      </c>
      <c r="R6167" t="s">
        <v>34</v>
      </c>
      <c r="S6167" t="s">
        <v>34</v>
      </c>
      <c r="T6167" s="117">
        <v>0</v>
      </c>
    </row>
    <row r="6168" spans="1:20" x14ac:dyDescent="0.35">
      <c r="A6168" t="s">
        <v>20</v>
      </c>
      <c r="B6168" t="s">
        <v>25</v>
      </c>
      <c r="C6168" s="1">
        <v>46036</v>
      </c>
      <c r="D6168">
        <f t="shared" si="994"/>
        <v>14</v>
      </c>
      <c r="E6168">
        <f t="shared" si="995"/>
        <v>1</v>
      </c>
      <c r="F6168">
        <f t="shared" si="996"/>
        <v>2026</v>
      </c>
      <c r="G6168" t="s">
        <v>46</v>
      </c>
      <c r="H6168" s="223">
        <v>14481</v>
      </c>
      <c r="I6168" s="220">
        <v>1644.5</v>
      </c>
      <c r="J6168" s="12" t="s">
        <v>31</v>
      </c>
      <c r="K6168" s="94">
        <f t="shared" si="997"/>
        <v>1644.5</v>
      </c>
      <c r="L6168">
        <v>1</v>
      </c>
      <c r="M6168" s="94">
        <v>0</v>
      </c>
      <c r="N6168" t="s">
        <v>42</v>
      </c>
      <c r="O6168" t="s">
        <v>33</v>
      </c>
      <c r="P6168" t="s">
        <v>34</v>
      </c>
      <c r="Q6168" t="s">
        <v>34</v>
      </c>
      <c r="R6168" t="s">
        <v>34</v>
      </c>
      <c r="S6168" t="s">
        <v>34</v>
      </c>
      <c r="T6168" s="117">
        <v>0</v>
      </c>
    </row>
    <row r="6169" spans="1:20" x14ac:dyDescent="0.35">
      <c r="A6169" t="s">
        <v>19</v>
      </c>
      <c r="B6169" t="s">
        <v>19</v>
      </c>
      <c r="C6169" s="1">
        <v>46036</v>
      </c>
      <c r="D6169">
        <f>DAY(C6169)</f>
        <v>14</v>
      </c>
      <c r="E6169">
        <f>MONTH(C6169)</f>
        <v>1</v>
      </c>
      <c r="F6169">
        <f>YEAR(C6169)</f>
        <v>2026</v>
      </c>
      <c r="G6169" t="s">
        <v>54</v>
      </c>
      <c r="H6169" s="121" t="s">
        <v>1625</v>
      </c>
      <c r="I6169" s="220">
        <v>39541.230000000003</v>
      </c>
      <c r="J6169" s="12" t="s">
        <v>31</v>
      </c>
      <c r="K6169" s="94">
        <f t="shared" ref="K6169:K6178" si="998">IF(J6169="USD",I6169,I6169*L6169)</f>
        <v>39541.230000000003</v>
      </c>
      <c r="L6169">
        <v>1</v>
      </c>
      <c r="M6169" s="94">
        <v>0</v>
      </c>
      <c r="N6169" t="s">
        <v>32</v>
      </c>
      <c r="O6169" t="s">
        <v>33</v>
      </c>
      <c r="P6169" t="s">
        <v>34</v>
      </c>
      <c r="Q6169" t="s">
        <v>34</v>
      </c>
      <c r="R6169" t="s">
        <v>34</v>
      </c>
      <c r="S6169" t="s">
        <v>34</v>
      </c>
      <c r="T6169" s="117">
        <v>0</v>
      </c>
    </row>
    <row r="6170" spans="1:20" x14ac:dyDescent="0.35">
      <c r="A6170" t="s">
        <v>19</v>
      </c>
      <c r="B6170" t="s">
        <v>19</v>
      </c>
      <c r="C6170" s="1">
        <v>46036</v>
      </c>
      <c r="D6170">
        <f t="shared" ref="D6170:D6173" si="999">DAY(C6170)</f>
        <v>14</v>
      </c>
      <c r="E6170">
        <f t="shared" ref="E6170:E6173" si="1000">MONTH(C6170)</f>
        <v>1</v>
      </c>
      <c r="F6170">
        <f t="shared" ref="F6170:F6173" si="1001">YEAR(C6170)</f>
        <v>2026</v>
      </c>
      <c r="G6170" t="s">
        <v>601</v>
      </c>
      <c r="H6170" s="121" t="s">
        <v>1626</v>
      </c>
      <c r="I6170" s="220">
        <v>28624.51</v>
      </c>
      <c r="J6170" s="12" t="s">
        <v>31</v>
      </c>
      <c r="K6170" s="94">
        <f t="shared" si="998"/>
        <v>28624.51</v>
      </c>
      <c r="L6170">
        <v>1</v>
      </c>
      <c r="M6170" s="94">
        <v>0</v>
      </c>
      <c r="N6170" t="s">
        <v>32</v>
      </c>
      <c r="O6170" t="s">
        <v>33</v>
      </c>
      <c r="P6170" t="s">
        <v>34</v>
      </c>
      <c r="Q6170" t="s">
        <v>34</v>
      </c>
      <c r="R6170" t="s">
        <v>34</v>
      </c>
      <c r="S6170" t="s">
        <v>34</v>
      </c>
      <c r="T6170" s="117">
        <v>0</v>
      </c>
    </row>
    <row r="6171" spans="1:20" x14ac:dyDescent="0.35">
      <c r="A6171" t="s">
        <v>19</v>
      </c>
      <c r="B6171" t="s">
        <v>19</v>
      </c>
      <c r="C6171" s="1">
        <v>46036</v>
      </c>
      <c r="D6171">
        <f t="shared" si="999"/>
        <v>14</v>
      </c>
      <c r="E6171">
        <f t="shared" si="1000"/>
        <v>1</v>
      </c>
      <c r="F6171">
        <f t="shared" si="1001"/>
        <v>2026</v>
      </c>
      <c r="G6171" t="s">
        <v>56</v>
      </c>
      <c r="H6171" s="121" t="s">
        <v>1627</v>
      </c>
      <c r="I6171" s="220">
        <v>163940.70000000001</v>
      </c>
      <c r="J6171" s="12" t="s">
        <v>31</v>
      </c>
      <c r="K6171" s="94">
        <f t="shared" si="998"/>
        <v>163940.70000000001</v>
      </c>
      <c r="L6171">
        <v>1</v>
      </c>
      <c r="M6171" s="94">
        <v>0</v>
      </c>
      <c r="N6171" t="s">
        <v>32</v>
      </c>
      <c r="O6171" t="s">
        <v>33</v>
      </c>
      <c r="P6171" t="s">
        <v>34</v>
      </c>
      <c r="Q6171" t="s">
        <v>34</v>
      </c>
      <c r="R6171" t="s">
        <v>34</v>
      </c>
      <c r="S6171" t="s">
        <v>34</v>
      </c>
      <c r="T6171" s="117">
        <v>0</v>
      </c>
    </row>
    <row r="6172" spans="1:20" x14ac:dyDescent="0.35">
      <c r="A6172" t="s">
        <v>19</v>
      </c>
      <c r="B6172" t="s">
        <v>19</v>
      </c>
      <c r="C6172" s="1">
        <v>46036</v>
      </c>
      <c r="D6172">
        <f t="shared" si="999"/>
        <v>14</v>
      </c>
      <c r="E6172">
        <f t="shared" si="1000"/>
        <v>1</v>
      </c>
      <c r="F6172">
        <f t="shared" si="1001"/>
        <v>2026</v>
      </c>
      <c r="G6172" t="s">
        <v>43</v>
      </c>
      <c r="H6172" s="121" t="s">
        <v>1628</v>
      </c>
      <c r="I6172" s="220">
        <v>5216.57</v>
      </c>
      <c r="J6172" s="12" t="s">
        <v>31</v>
      </c>
      <c r="K6172" s="94">
        <f t="shared" si="998"/>
        <v>5216.57</v>
      </c>
      <c r="L6172">
        <v>1</v>
      </c>
      <c r="M6172" s="94">
        <v>0</v>
      </c>
      <c r="N6172" t="s">
        <v>32</v>
      </c>
      <c r="O6172" t="s">
        <v>33</v>
      </c>
      <c r="P6172" t="s">
        <v>34</v>
      </c>
      <c r="Q6172" t="s">
        <v>34</v>
      </c>
      <c r="R6172" t="s">
        <v>34</v>
      </c>
      <c r="S6172" t="s">
        <v>34</v>
      </c>
      <c r="T6172" s="117">
        <v>0</v>
      </c>
    </row>
    <row r="6173" spans="1:20" x14ac:dyDescent="0.35">
      <c r="A6173" t="s">
        <v>19</v>
      </c>
      <c r="B6173" t="s">
        <v>19</v>
      </c>
      <c r="C6173" s="1">
        <v>46036</v>
      </c>
      <c r="D6173">
        <f t="shared" si="999"/>
        <v>14</v>
      </c>
      <c r="E6173">
        <f t="shared" si="1000"/>
        <v>1</v>
      </c>
      <c r="F6173">
        <f t="shared" si="1001"/>
        <v>2026</v>
      </c>
      <c r="G6173" t="s">
        <v>750</v>
      </c>
      <c r="H6173" s="121" t="s">
        <v>1629</v>
      </c>
      <c r="I6173" s="220">
        <v>14471.22</v>
      </c>
      <c r="J6173" s="12" t="s">
        <v>31</v>
      </c>
      <c r="K6173" s="94">
        <f t="shared" si="998"/>
        <v>14471.22</v>
      </c>
      <c r="L6173">
        <v>1</v>
      </c>
      <c r="M6173" s="94">
        <v>0</v>
      </c>
      <c r="N6173" t="s">
        <v>32</v>
      </c>
      <c r="O6173" t="s">
        <v>33</v>
      </c>
      <c r="P6173" t="s">
        <v>34</v>
      </c>
      <c r="Q6173" t="s">
        <v>34</v>
      </c>
      <c r="R6173" t="s">
        <v>34</v>
      </c>
      <c r="S6173" t="s">
        <v>34</v>
      </c>
      <c r="T6173" s="117">
        <v>0</v>
      </c>
    </row>
    <row r="6174" spans="1:20" x14ac:dyDescent="0.35">
      <c r="A6174" t="s">
        <v>19</v>
      </c>
      <c r="B6174" t="s">
        <v>19</v>
      </c>
      <c r="C6174" s="1">
        <v>46036</v>
      </c>
      <c r="D6174">
        <f t="shared" ref="D6174:D6180" si="1002">DAY(C6174)</f>
        <v>14</v>
      </c>
      <c r="E6174">
        <f t="shared" ref="E6174:E6180" si="1003">MONTH(C6174)</f>
        <v>1</v>
      </c>
      <c r="F6174">
        <f t="shared" ref="F6174:F6180" si="1004">YEAR(C6174)</f>
        <v>2026</v>
      </c>
      <c r="G6174" t="s">
        <v>1061</v>
      </c>
      <c r="H6174" s="121" t="s">
        <v>1630</v>
      </c>
      <c r="I6174" s="220">
        <v>75427.14</v>
      </c>
      <c r="J6174" s="12" t="s">
        <v>31</v>
      </c>
      <c r="K6174" s="94">
        <f t="shared" si="998"/>
        <v>75427.14</v>
      </c>
      <c r="L6174">
        <v>1</v>
      </c>
      <c r="M6174" s="94">
        <v>0</v>
      </c>
      <c r="N6174" t="s">
        <v>32</v>
      </c>
      <c r="O6174" t="s">
        <v>33</v>
      </c>
      <c r="P6174" t="s">
        <v>34</v>
      </c>
      <c r="Q6174" t="s">
        <v>34</v>
      </c>
      <c r="R6174" t="s">
        <v>34</v>
      </c>
      <c r="S6174" t="s">
        <v>34</v>
      </c>
      <c r="T6174" s="117">
        <v>0</v>
      </c>
    </row>
    <row r="6175" spans="1:20" x14ac:dyDescent="0.35">
      <c r="A6175" t="s">
        <v>19</v>
      </c>
      <c r="B6175" t="s">
        <v>19</v>
      </c>
      <c r="C6175" s="1">
        <v>46036</v>
      </c>
      <c r="D6175">
        <f t="shared" si="1002"/>
        <v>14</v>
      </c>
      <c r="E6175">
        <f t="shared" si="1003"/>
        <v>1</v>
      </c>
      <c r="F6175">
        <f t="shared" si="1004"/>
        <v>2026</v>
      </c>
      <c r="G6175" t="s">
        <v>1624</v>
      </c>
      <c r="H6175" s="121" t="s">
        <v>1631</v>
      </c>
      <c r="I6175" s="220">
        <v>84193.63</v>
      </c>
      <c r="J6175" s="12" t="s">
        <v>31</v>
      </c>
      <c r="K6175" s="94">
        <f t="shared" si="998"/>
        <v>84193.63</v>
      </c>
      <c r="L6175">
        <v>1</v>
      </c>
      <c r="M6175" s="94">
        <v>0</v>
      </c>
      <c r="N6175" t="s">
        <v>32</v>
      </c>
      <c r="O6175" t="s">
        <v>33</v>
      </c>
      <c r="P6175" t="s">
        <v>34</v>
      </c>
      <c r="Q6175" t="s">
        <v>34</v>
      </c>
      <c r="R6175" t="s">
        <v>34</v>
      </c>
      <c r="S6175" t="s">
        <v>34</v>
      </c>
      <c r="T6175" s="117">
        <v>0</v>
      </c>
    </row>
    <row r="6176" spans="1:20" x14ac:dyDescent="0.35">
      <c r="A6176" t="s">
        <v>19</v>
      </c>
      <c r="B6176" t="s">
        <v>19</v>
      </c>
      <c r="C6176" s="1">
        <v>46036</v>
      </c>
      <c r="D6176">
        <f t="shared" si="1002"/>
        <v>14</v>
      </c>
      <c r="E6176">
        <f t="shared" si="1003"/>
        <v>1</v>
      </c>
      <c r="F6176">
        <f t="shared" si="1004"/>
        <v>2026</v>
      </c>
      <c r="G6176" t="s">
        <v>46</v>
      </c>
      <c r="H6176" s="121" t="s">
        <v>1448</v>
      </c>
      <c r="I6176" s="220">
        <v>7212.1</v>
      </c>
      <c r="J6176" s="12" t="s">
        <v>31</v>
      </c>
      <c r="K6176" s="94">
        <f t="shared" si="998"/>
        <v>7212.1</v>
      </c>
      <c r="L6176">
        <v>1</v>
      </c>
      <c r="M6176" s="94">
        <v>0</v>
      </c>
      <c r="N6176" t="s">
        <v>32</v>
      </c>
      <c r="O6176" t="s">
        <v>33</v>
      </c>
      <c r="P6176" t="s">
        <v>34</v>
      </c>
      <c r="Q6176" t="s">
        <v>34</v>
      </c>
      <c r="R6176" t="s">
        <v>34</v>
      </c>
      <c r="S6176" t="s">
        <v>34</v>
      </c>
      <c r="T6176" s="117">
        <v>0</v>
      </c>
    </row>
    <row r="6177" spans="1:21" x14ac:dyDescent="0.35">
      <c r="A6177" t="s">
        <v>19</v>
      </c>
      <c r="B6177" t="s">
        <v>19</v>
      </c>
      <c r="C6177" s="1">
        <v>46036</v>
      </c>
      <c r="D6177">
        <f t="shared" si="1002"/>
        <v>14</v>
      </c>
      <c r="E6177">
        <f t="shared" si="1003"/>
        <v>1</v>
      </c>
      <c r="F6177">
        <f t="shared" si="1004"/>
        <v>2026</v>
      </c>
      <c r="G6177" t="s">
        <v>523</v>
      </c>
      <c r="H6177" s="121" t="s">
        <v>1631</v>
      </c>
      <c r="I6177" s="15">
        <v>343021.44</v>
      </c>
      <c r="J6177" s="12" t="s">
        <v>31</v>
      </c>
      <c r="K6177" s="94">
        <f t="shared" si="998"/>
        <v>343021.44</v>
      </c>
      <c r="L6177">
        <v>1</v>
      </c>
      <c r="M6177" s="94">
        <v>0</v>
      </c>
      <c r="N6177" t="s">
        <v>32</v>
      </c>
      <c r="O6177" t="s">
        <v>33</v>
      </c>
      <c r="P6177" t="s">
        <v>34</v>
      </c>
      <c r="Q6177" t="s">
        <v>34</v>
      </c>
      <c r="R6177" t="s">
        <v>34</v>
      </c>
      <c r="S6177" t="s">
        <v>34</v>
      </c>
      <c r="T6177" s="117">
        <v>0</v>
      </c>
    </row>
    <row r="6178" spans="1:21" x14ac:dyDescent="0.35">
      <c r="A6178" t="s">
        <v>19</v>
      </c>
      <c r="B6178" t="s">
        <v>19</v>
      </c>
      <c r="C6178" s="1">
        <v>46036</v>
      </c>
      <c r="D6178">
        <f t="shared" si="1002"/>
        <v>14</v>
      </c>
      <c r="E6178">
        <f t="shared" si="1003"/>
        <v>1</v>
      </c>
      <c r="F6178">
        <f t="shared" si="1004"/>
        <v>2026</v>
      </c>
      <c r="G6178" t="s">
        <v>523</v>
      </c>
      <c r="H6178" s="121" t="s">
        <v>1438</v>
      </c>
      <c r="I6178" s="15">
        <v>7978.11</v>
      </c>
      <c r="J6178" s="12" t="s">
        <v>31</v>
      </c>
      <c r="K6178" s="94">
        <f t="shared" si="998"/>
        <v>7978.11</v>
      </c>
      <c r="L6178">
        <v>1</v>
      </c>
      <c r="M6178" s="94">
        <v>0</v>
      </c>
      <c r="N6178" t="s">
        <v>32</v>
      </c>
      <c r="O6178" t="s">
        <v>33</v>
      </c>
      <c r="P6178" t="s">
        <v>34</v>
      </c>
      <c r="Q6178" t="s">
        <v>34</v>
      </c>
      <c r="R6178" t="s">
        <v>34</v>
      </c>
      <c r="S6178" t="s">
        <v>34</v>
      </c>
      <c r="T6178" s="117">
        <v>0</v>
      </c>
    </row>
    <row r="6179" spans="1:21" x14ac:dyDescent="0.35">
      <c r="A6179" t="s">
        <v>19</v>
      </c>
      <c r="B6179" t="s">
        <v>27</v>
      </c>
      <c r="C6179" s="1">
        <v>46037</v>
      </c>
      <c r="D6179">
        <f t="shared" si="1002"/>
        <v>15</v>
      </c>
      <c r="E6179">
        <f t="shared" si="1003"/>
        <v>1</v>
      </c>
      <c r="F6179">
        <f t="shared" si="1004"/>
        <v>2026</v>
      </c>
      <c r="G6179" t="s">
        <v>100</v>
      </c>
      <c r="H6179" s="121">
        <v>13970</v>
      </c>
      <c r="I6179" s="96">
        <v>2589.12</v>
      </c>
      <c r="J6179" s="12" t="s">
        <v>31</v>
      </c>
      <c r="K6179" s="94">
        <f t="shared" ref="K6179" si="1005">IF(J6179="USD",I6179,I6179*L6179)</f>
        <v>2589.12</v>
      </c>
      <c r="L6179">
        <v>1</v>
      </c>
      <c r="M6179" s="94">
        <v>0</v>
      </c>
      <c r="N6179" t="s">
        <v>32</v>
      </c>
      <c r="O6179" t="s">
        <v>33</v>
      </c>
      <c r="P6179" t="s">
        <v>34</v>
      </c>
      <c r="Q6179" t="s">
        <v>34</v>
      </c>
      <c r="R6179" t="s">
        <v>34</v>
      </c>
      <c r="S6179" t="s">
        <v>34</v>
      </c>
      <c r="T6179" s="117">
        <v>0</v>
      </c>
      <c r="U6179" s="209" t="s">
        <v>501</v>
      </c>
    </row>
    <row r="6180" spans="1:21" x14ac:dyDescent="0.35">
      <c r="A6180" t="s">
        <v>19</v>
      </c>
      <c r="B6180" t="s">
        <v>26</v>
      </c>
      <c r="C6180" s="1">
        <v>46038</v>
      </c>
      <c r="D6180">
        <f t="shared" si="1002"/>
        <v>16</v>
      </c>
      <c r="E6180">
        <f t="shared" si="1003"/>
        <v>1</v>
      </c>
      <c r="F6180">
        <f t="shared" si="1004"/>
        <v>2026</v>
      </c>
      <c r="G6180" t="s">
        <v>73</v>
      </c>
      <c r="H6180" s="121">
        <v>0</v>
      </c>
      <c r="I6180" s="15">
        <v>675050.35</v>
      </c>
      <c r="J6180" s="12" t="s">
        <v>31</v>
      </c>
      <c r="K6180" s="94">
        <f t="shared" ref="K6180:K6214" si="1006">IF(J6180="USD",I6180,I6180*L6180)</f>
        <v>675050.35</v>
      </c>
      <c r="L6180">
        <v>1</v>
      </c>
      <c r="M6180" s="94">
        <v>0</v>
      </c>
      <c r="N6180" t="s">
        <v>42</v>
      </c>
      <c r="O6180" t="s">
        <v>33</v>
      </c>
      <c r="P6180" t="s">
        <v>34</v>
      </c>
      <c r="Q6180" t="s">
        <v>34</v>
      </c>
      <c r="R6180" t="s">
        <v>34</v>
      </c>
      <c r="S6180" t="s">
        <v>34</v>
      </c>
      <c r="T6180" s="117">
        <v>0</v>
      </c>
      <c r="U6180" s="209" t="s">
        <v>94</v>
      </c>
    </row>
    <row r="6181" spans="1:21" x14ac:dyDescent="0.35">
      <c r="A6181" t="s">
        <v>19</v>
      </c>
      <c r="B6181" t="s">
        <v>21</v>
      </c>
      <c r="C6181" s="1">
        <v>46043</v>
      </c>
      <c r="D6181">
        <f t="shared" ref="D6181:D6183" si="1007">DAY(C6181)</f>
        <v>21</v>
      </c>
      <c r="E6181">
        <f t="shared" ref="E6181:E6183" si="1008">MONTH(C6181)</f>
        <v>1</v>
      </c>
      <c r="F6181">
        <f t="shared" ref="F6181:F6183" si="1009">YEAR(C6181)</f>
        <v>2026</v>
      </c>
      <c r="G6181" t="s">
        <v>40</v>
      </c>
      <c r="H6181" s="121">
        <v>13940</v>
      </c>
      <c r="I6181" s="15">
        <v>52.4</v>
      </c>
      <c r="J6181" s="12" t="s">
        <v>31</v>
      </c>
      <c r="K6181" s="94">
        <f t="shared" si="1006"/>
        <v>52.4</v>
      </c>
      <c r="L6181">
        <v>1</v>
      </c>
      <c r="M6181" s="94">
        <v>0</v>
      </c>
      <c r="N6181" t="s">
        <v>32</v>
      </c>
      <c r="O6181" t="s">
        <v>33</v>
      </c>
      <c r="P6181" t="s">
        <v>34</v>
      </c>
      <c r="Q6181" t="s">
        <v>34</v>
      </c>
      <c r="R6181" t="s">
        <v>34</v>
      </c>
      <c r="S6181" t="s">
        <v>34</v>
      </c>
      <c r="T6181" s="117">
        <v>0</v>
      </c>
    </row>
    <row r="6182" spans="1:21" x14ac:dyDescent="0.35">
      <c r="A6182" t="s">
        <v>19</v>
      </c>
      <c r="B6182" t="s">
        <v>23</v>
      </c>
      <c r="C6182" s="1">
        <v>46043</v>
      </c>
      <c r="D6182">
        <f t="shared" si="1007"/>
        <v>21</v>
      </c>
      <c r="E6182">
        <f t="shared" si="1008"/>
        <v>1</v>
      </c>
      <c r="F6182">
        <f t="shared" si="1009"/>
        <v>2026</v>
      </c>
      <c r="G6182" t="s">
        <v>40</v>
      </c>
      <c r="H6182" s="121">
        <v>13942</v>
      </c>
      <c r="I6182" s="15">
        <v>10873.05</v>
      </c>
      <c r="J6182" s="12" t="s">
        <v>31</v>
      </c>
      <c r="K6182" s="94">
        <f t="shared" si="1006"/>
        <v>10873.05</v>
      </c>
      <c r="L6182">
        <v>1</v>
      </c>
      <c r="M6182" s="94">
        <v>0</v>
      </c>
      <c r="N6182" t="s">
        <v>42</v>
      </c>
      <c r="O6182" t="s">
        <v>33</v>
      </c>
      <c r="P6182" t="s">
        <v>34</v>
      </c>
      <c r="Q6182" t="s">
        <v>34</v>
      </c>
      <c r="R6182" t="s">
        <v>34</v>
      </c>
      <c r="S6182" t="s">
        <v>34</v>
      </c>
      <c r="T6182" s="117">
        <v>0</v>
      </c>
    </row>
    <row r="6183" spans="1:21" x14ac:dyDescent="0.35">
      <c r="A6183" t="s">
        <v>19</v>
      </c>
      <c r="B6183" t="s">
        <v>21</v>
      </c>
      <c r="C6183" s="1">
        <v>46043</v>
      </c>
      <c r="D6183">
        <f t="shared" si="1007"/>
        <v>21</v>
      </c>
      <c r="E6183">
        <f t="shared" si="1008"/>
        <v>1</v>
      </c>
      <c r="F6183">
        <f t="shared" si="1009"/>
        <v>2026</v>
      </c>
      <c r="G6183" t="s">
        <v>40</v>
      </c>
      <c r="H6183" s="121">
        <v>13942</v>
      </c>
      <c r="I6183" s="15">
        <v>36676.65</v>
      </c>
      <c r="J6183" s="12" t="s">
        <v>31</v>
      </c>
      <c r="K6183" s="94">
        <f t="shared" si="1006"/>
        <v>36676.65</v>
      </c>
      <c r="L6183">
        <v>1</v>
      </c>
      <c r="M6183" s="94">
        <v>0</v>
      </c>
      <c r="N6183" t="s">
        <v>42</v>
      </c>
      <c r="O6183" t="s">
        <v>33</v>
      </c>
      <c r="P6183" t="s">
        <v>34</v>
      </c>
      <c r="Q6183" t="s">
        <v>34</v>
      </c>
      <c r="R6183" t="s">
        <v>34</v>
      </c>
      <c r="S6183" t="s">
        <v>34</v>
      </c>
      <c r="T6183" s="117">
        <v>0</v>
      </c>
    </row>
    <row r="6184" spans="1:21" x14ac:dyDescent="0.35">
      <c r="A6184" t="s">
        <v>19</v>
      </c>
      <c r="B6184" t="s">
        <v>25</v>
      </c>
      <c r="C6184" s="1">
        <v>46043</v>
      </c>
      <c r="D6184">
        <f t="shared" ref="D6184:D6187" si="1010">DAY(C6184)</f>
        <v>21</v>
      </c>
      <c r="E6184">
        <f t="shared" ref="E6184:E6187" si="1011">MONTH(C6184)</f>
        <v>1</v>
      </c>
      <c r="F6184">
        <f t="shared" ref="F6184:F6187" si="1012">YEAR(C6184)</f>
        <v>2026</v>
      </c>
      <c r="G6184" t="s">
        <v>28</v>
      </c>
      <c r="H6184" s="121">
        <v>13939</v>
      </c>
      <c r="I6184" s="15">
        <v>12759.63</v>
      </c>
      <c r="J6184" s="12" t="s">
        <v>31</v>
      </c>
      <c r="K6184" s="94">
        <f t="shared" si="1006"/>
        <v>12759.63</v>
      </c>
      <c r="L6184">
        <v>1</v>
      </c>
      <c r="M6184" s="94">
        <v>0</v>
      </c>
      <c r="N6184" t="s">
        <v>42</v>
      </c>
      <c r="O6184" t="s">
        <v>33</v>
      </c>
      <c r="P6184" t="s">
        <v>34</v>
      </c>
      <c r="Q6184" t="s">
        <v>34</v>
      </c>
      <c r="R6184" t="s">
        <v>34</v>
      </c>
      <c r="S6184" t="s">
        <v>34</v>
      </c>
      <c r="T6184" s="117">
        <v>0</v>
      </c>
    </row>
    <row r="6185" spans="1:21" x14ac:dyDescent="0.35">
      <c r="A6185" t="s">
        <v>19</v>
      </c>
      <c r="B6185" t="s">
        <v>21</v>
      </c>
      <c r="C6185" s="1">
        <v>46043</v>
      </c>
      <c r="D6185">
        <f t="shared" si="1010"/>
        <v>21</v>
      </c>
      <c r="E6185">
        <f t="shared" si="1011"/>
        <v>1</v>
      </c>
      <c r="F6185">
        <f t="shared" si="1012"/>
        <v>2026</v>
      </c>
      <c r="G6185" t="s">
        <v>28</v>
      </c>
      <c r="H6185" s="121">
        <v>13939</v>
      </c>
      <c r="I6185" s="15">
        <v>18952.599999999999</v>
      </c>
      <c r="J6185" s="12" t="s">
        <v>31</v>
      </c>
      <c r="K6185" s="94">
        <f t="shared" si="1006"/>
        <v>18952.599999999999</v>
      </c>
      <c r="L6185">
        <v>1</v>
      </c>
      <c r="M6185" s="94">
        <v>0</v>
      </c>
      <c r="N6185" t="s">
        <v>42</v>
      </c>
      <c r="O6185" t="s">
        <v>33</v>
      </c>
      <c r="P6185" t="s">
        <v>34</v>
      </c>
      <c r="Q6185" t="s">
        <v>34</v>
      </c>
      <c r="R6185" t="s">
        <v>34</v>
      </c>
      <c r="S6185" t="s">
        <v>34</v>
      </c>
      <c r="T6185" s="117">
        <v>0</v>
      </c>
    </row>
    <row r="6186" spans="1:21" x14ac:dyDescent="0.35">
      <c r="A6186" t="s">
        <v>19</v>
      </c>
      <c r="B6186" t="s">
        <v>21</v>
      </c>
      <c r="C6186" s="1">
        <v>46043</v>
      </c>
      <c r="D6186">
        <f t="shared" si="1010"/>
        <v>21</v>
      </c>
      <c r="E6186">
        <f t="shared" si="1011"/>
        <v>1</v>
      </c>
      <c r="F6186">
        <f t="shared" si="1012"/>
        <v>2026</v>
      </c>
      <c r="G6186" t="s">
        <v>28</v>
      </c>
      <c r="H6186" s="121">
        <v>13933</v>
      </c>
      <c r="I6186" s="15">
        <v>77.2</v>
      </c>
      <c r="J6186" s="12" t="s">
        <v>31</v>
      </c>
      <c r="K6186" s="94">
        <f t="shared" si="1006"/>
        <v>77.2</v>
      </c>
      <c r="L6186">
        <v>1</v>
      </c>
      <c r="M6186" s="94">
        <v>0</v>
      </c>
      <c r="N6186" t="s">
        <v>32</v>
      </c>
      <c r="O6186" t="s">
        <v>33</v>
      </c>
      <c r="P6186" t="s">
        <v>34</v>
      </c>
      <c r="Q6186" t="s">
        <v>34</v>
      </c>
      <c r="R6186" t="s">
        <v>34</v>
      </c>
      <c r="S6186" t="s">
        <v>34</v>
      </c>
      <c r="T6186" s="117">
        <v>0</v>
      </c>
    </row>
    <row r="6187" spans="1:21" x14ac:dyDescent="0.35">
      <c r="A6187" t="s">
        <v>19</v>
      </c>
      <c r="B6187" t="s">
        <v>21</v>
      </c>
      <c r="C6187" s="1">
        <v>46043</v>
      </c>
      <c r="D6187">
        <f t="shared" si="1010"/>
        <v>21</v>
      </c>
      <c r="E6187">
        <f t="shared" si="1011"/>
        <v>1</v>
      </c>
      <c r="F6187">
        <f t="shared" si="1012"/>
        <v>2026</v>
      </c>
      <c r="G6187" t="s">
        <v>28</v>
      </c>
      <c r="H6187" s="121">
        <v>13987</v>
      </c>
      <c r="I6187" s="15">
        <v>12905.85</v>
      </c>
      <c r="J6187" s="12" t="s">
        <v>31</v>
      </c>
      <c r="K6187" s="94">
        <f t="shared" si="1006"/>
        <v>12905.85</v>
      </c>
      <c r="L6187">
        <v>1</v>
      </c>
      <c r="M6187" s="94">
        <v>0</v>
      </c>
      <c r="N6187" t="s">
        <v>32</v>
      </c>
      <c r="O6187" t="s">
        <v>33</v>
      </c>
      <c r="P6187" t="s">
        <v>34</v>
      </c>
      <c r="Q6187" t="s">
        <v>34</v>
      </c>
      <c r="R6187" t="s">
        <v>34</v>
      </c>
      <c r="S6187" t="s">
        <v>34</v>
      </c>
      <c r="T6187" s="117">
        <v>0</v>
      </c>
    </row>
    <row r="6188" spans="1:21" x14ac:dyDescent="0.35">
      <c r="A6188" t="s">
        <v>19</v>
      </c>
      <c r="B6188" t="s">
        <v>27</v>
      </c>
      <c r="C6188" s="1">
        <v>46043</v>
      </c>
      <c r="D6188">
        <f t="shared" ref="D6188:D6189" si="1013">DAY(C6188)</f>
        <v>21</v>
      </c>
      <c r="E6188">
        <f t="shared" ref="E6188:E6189" si="1014">MONTH(C6188)</f>
        <v>1</v>
      </c>
      <c r="F6188">
        <f t="shared" ref="F6188:F6189" si="1015">YEAR(C6188)</f>
        <v>2026</v>
      </c>
      <c r="G6188" t="s">
        <v>100</v>
      </c>
      <c r="H6188" s="121">
        <v>14088</v>
      </c>
      <c r="I6188" s="15">
        <v>500832.49</v>
      </c>
      <c r="J6188" s="12" t="s">
        <v>31</v>
      </c>
      <c r="K6188" s="94">
        <f t="shared" si="1006"/>
        <v>500832.49</v>
      </c>
      <c r="L6188">
        <v>1</v>
      </c>
      <c r="M6188" s="94">
        <v>0</v>
      </c>
      <c r="N6188" t="s">
        <v>32</v>
      </c>
      <c r="O6188" t="s">
        <v>33</v>
      </c>
      <c r="P6188" t="s">
        <v>34</v>
      </c>
      <c r="Q6188" t="s">
        <v>34</v>
      </c>
      <c r="R6188" t="s">
        <v>34</v>
      </c>
      <c r="S6188" t="s">
        <v>34</v>
      </c>
      <c r="T6188" s="117">
        <v>0</v>
      </c>
    </row>
    <row r="6189" spans="1:21" x14ac:dyDescent="0.35">
      <c r="A6189" t="s">
        <v>19</v>
      </c>
      <c r="B6189" t="s">
        <v>27</v>
      </c>
      <c r="C6189" s="1">
        <v>46043</v>
      </c>
      <c r="D6189">
        <f t="shared" si="1013"/>
        <v>21</v>
      </c>
      <c r="E6189">
        <f t="shared" si="1014"/>
        <v>1</v>
      </c>
      <c r="F6189">
        <f t="shared" si="1015"/>
        <v>2026</v>
      </c>
      <c r="G6189" t="s">
        <v>100</v>
      </c>
      <c r="H6189" s="121">
        <v>14178</v>
      </c>
      <c r="I6189" s="15">
        <v>6606.64</v>
      </c>
      <c r="J6189" s="12" t="s">
        <v>31</v>
      </c>
      <c r="K6189" s="94">
        <f t="shared" si="1006"/>
        <v>6606.64</v>
      </c>
      <c r="L6189">
        <v>1</v>
      </c>
      <c r="M6189" s="94">
        <v>0</v>
      </c>
      <c r="N6189" t="s">
        <v>32</v>
      </c>
      <c r="O6189" t="s">
        <v>33</v>
      </c>
      <c r="P6189" t="s">
        <v>34</v>
      </c>
      <c r="Q6189" t="s">
        <v>34</v>
      </c>
      <c r="R6189" t="s">
        <v>34</v>
      </c>
      <c r="S6189" t="s">
        <v>34</v>
      </c>
      <c r="T6189" s="117">
        <v>0</v>
      </c>
    </row>
    <row r="6190" spans="1:21" x14ac:dyDescent="0.35">
      <c r="A6190" t="s">
        <v>19</v>
      </c>
      <c r="B6190" t="s">
        <v>21</v>
      </c>
      <c r="C6190" s="1">
        <v>46043</v>
      </c>
      <c r="D6190">
        <f t="shared" ref="D6190:D6198" si="1016">DAY(C6190)</f>
        <v>21</v>
      </c>
      <c r="E6190">
        <f t="shared" ref="E6190:E6198" si="1017">MONTH(C6190)</f>
        <v>1</v>
      </c>
      <c r="F6190">
        <f t="shared" ref="F6190:F6198" si="1018">YEAR(C6190)</f>
        <v>2026</v>
      </c>
      <c r="G6190" t="s">
        <v>36</v>
      </c>
      <c r="H6190" s="121">
        <v>13864</v>
      </c>
      <c r="I6190" s="15">
        <v>72.400000000000006</v>
      </c>
      <c r="J6190" s="12" t="s">
        <v>31</v>
      </c>
      <c r="K6190" s="94">
        <f t="shared" si="1006"/>
        <v>72.400000000000006</v>
      </c>
      <c r="L6190">
        <v>1</v>
      </c>
      <c r="M6190" s="94">
        <v>0</v>
      </c>
      <c r="N6190" t="s">
        <v>32</v>
      </c>
      <c r="O6190" t="s">
        <v>33</v>
      </c>
      <c r="P6190" t="s">
        <v>34</v>
      </c>
      <c r="Q6190" t="s">
        <v>34</v>
      </c>
      <c r="R6190" t="s">
        <v>34</v>
      </c>
      <c r="S6190" t="s">
        <v>34</v>
      </c>
      <c r="T6190" s="117">
        <v>0</v>
      </c>
    </row>
    <row r="6191" spans="1:21" x14ac:dyDescent="0.35">
      <c r="A6191" t="s">
        <v>19</v>
      </c>
      <c r="B6191" t="s">
        <v>21</v>
      </c>
      <c r="C6191" s="1">
        <v>46043</v>
      </c>
      <c r="D6191">
        <f t="shared" si="1016"/>
        <v>21</v>
      </c>
      <c r="E6191">
        <f t="shared" si="1017"/>
        <v>1</v>
      </c>
      <c r="F6191">
        <f t="shared" si="1018"/>
        <v>2026</v>
      </c>
      <c r="G6191" t="s">
        <v>36</v>
      </c>
      <c r="H6191" s="121">
        <v>13867</v>
      </c>
      <c r="I6191" s="15">
        <v>69511.899999999994</v>
      </c>
      <c r="J6191" s="12" t="s">
        <v>31</v>
      </c>
      <c r="K6191" s="94">
        <f t="shared" si="1006"/>
        <v>69511.899999999994</v>
      </c>
      <c r="L6191">
        <v>1</v>
      </c>
      <c r="M6191" s="94">
        <v>0</v>
      </c>
      <c r="N6191" t="s">
        <v>42</v>
      </c>
      <c r="O6191" t="s">
        <v>33</v>
      </c>
      <c r="P6191" t="s">
        <v>34</v>
      </c>
      <c r="Q6191" t="s">
        <v>34</v>
      </c>
      <c r="R6191" t="s">
        <v>34</v>
      </c>
      <c r="S6191" t="s">
        <v>34</v>
      </c>
      <c r="T6191" s="117">
        <v>0</v>
      </c>
    </row>
    <row r="6192" spans="1:21" x14ac:dyDescent="0.35">
      <c r="A6192" t="s">
        <v>19</v>
      </c>
      <c r="B6192" t="s">
        <v>21</v>
      </c>
      <c r="C6192" s="1">
        <v>46043</v>
      </c>
      <c r="D6192">
        <f t="shared" si="1016"/>
        <v>21</v>
      </c>
      <c r="E6192">
        <f t="shared" si="1017"/>
        <v>1</v>
      </c>
      <c r="F6192">
        <f t="shared" si="1018"/>
        <v>2026</v>
      </c>
      <c r="G6192" t="s">
        <v>36</v>
      </c>
      <c r="H6192" s="121">
        <v>14106</v>
      </c>
      <c r="I6192" s="15">
        <v>114</v>
      </c>
      <c r="J6192" s="12" t="s">
        <v>31</v>
      </c>
      <c r="K6192" s="94">
        <f t="shared" si="1006"/>
        <v>114</v>
      </c>
      <c r="L6192">
        <v>1</v>
      </c>
      <c r="M6192" s="94">
        <v>0</v>
      </c>
      <c r="N6192" t="s">
        <v>32</v>
      </c>
      <c r="O6192" t="s">
        <v>33</v>
      </c>
      <c r="P6192" t="s">
        <v>34</v>
      </c>
      <c r="Q6192" t="s">
        <v>34</v>
      </c>
      <c r="R6192" t="s">
        <v>34</v>
      </c>
      <c r="S6192" t="s">
        <v>34</v>
      </c>
      <c r="T6192" s="117">
        <v>0</v>
      </c>
    </row>
    <row r="6193" spans="1:20" x14ac:dyDescent="0.35">
      <c r="A6193" t="s">
        <v>19</v>
      </c>
      <c r="B6193" t="s">
        <v>25</v>
      </c>
      <c r="C6193" s="1">
        <v>46043</v>
      </c>
      <c r="D6193">
        <f t="shared" si="1016"/>
        <v>21</v>
      </c>
      <c r="E6193">
        <f t="shared" si="1017"/>
        <v>1</v>
      </c>
      <c r="F6193">
        <f t="shared" si="1018"/>
        <v>2026</v>
      </c>
      <c r="G6193" t="s">
        <v>36</v>
      </c>
      <c r="H6193" s="121">
        <v>14188</v>
      </c>
      <c r="I6193" s="15">
        <v>89.7</v>
      </c>
      <c r="J6193" s="12" t="s">
        <v>31</v>
      </c>
      <c r="K6193" s="94">
        <f t="shared" si="1006"/>
        <v>89.7</v>
      </c>
      <c r="L6193">
        <v>1</v>
      </c>
      <c r="M6193" s="94">
        <v>0</v>
      </c>
      <c r="N6193" t="s">
        <v>32</v>
      </c>
      <c r="O6193" t="s">
        <v>33</v>
      </c>
      <c r="P6193" t="s">
        <v>34</v>
      </c>
      <c r="Q6193" t="s">
        <v>34</v>
      </c>
      <c r="R6193" t="s">
        <v>34</v>
      </c>
      <c r="S6193" t="s">
        <v>34</v>
      </c>
      <c r="T6193" s="117">
        <v>0</v>
      </c>
    </row>
    <row r="6194" spans="1:20" x14ac:dyDescent="0.35">
      <c r="A6194" t="s">
        <v>19</v>
      </c>
      <c r="B6194" t="s">
        <v>21</v>
      </c>
      <c r="C6194" s="1">
        <v>46043</v>
      </c>
      <c r="D6194">
        <f t="shared" si="1016"/>
        <v>21</v>
      </c>
      <c r="E6194">
        <f t="shared" si="1017"/>
        <v>1</v>
      </c>
      <c r="F6194">
        <f t="shared" si="1018"/>
        <v>2026</v>
      </c>
      <c r="G6194" t="s">
        <v>36</v>
      </c>
      <c r="H6194" s="121">
        <v>14403</v>
      </c>
      <c r="I6194" s="15">
        <v>12984.98</v>
      </c>
      <c r="J6194" s="12" t="s">
        <v>31</v>
      </c>
      <c r="K6194" s="94">
        <f t="shared" si="1006"/>
        <v>12984.98</v>
      </c>
      <c r="L6194">
        <v>1</v>
      </c>
      <c r="M6194" s="94">
        <v>0</v>
      </c>
      <c r="N6194" t="s">
        <v>42</v>
      </c>
      <c r="O6194" t="s">
        <v>33</v>
      </c>
      <c r="P6194" t="s">
        <v>34</v>
      </c>
      <c r="Q6194" t="s">
        <v>34</v>
      </c>
      <c r="R6194" t="s">
        <v>34</v>
      </c>
      <c r="S6194" t="s">
        <v>34</v>
      </c>
      <c r="T6194" s="117">
        <v>0</v>
      </c>
    </row>
    <row r="6195" spans="1:20" x14ac:dyDescent="0.35">
      <c r="A6195" t="s">
        <v>19</v>
      </c>
      <c r="B6195" t="s">
        <v>25</v>
      </c>
      <c r="C6195" s="1">
        <v>46043</v>
      </c>
      <c r="D6195">
        <f t="shared" si="1016"/>
        <v>21</v>
      </c>
      <c r="E6195">
        <f t="shared" si="1017"/>
        <v>1</v>
      </c>
      <c r="F6195">
        <f t="shared" si="1018"/>
        <v>2026</v>
      </c>
      <c r="G6195" t="s">
        <v>36</v>
      </c>
      <c r="H6195" s="121">
        <v>14403</v>
      </c>
      <c r="I6195" s="15">
        <v>23769.82</v>
      </c>
      <c r="J6195" s="12" t="s">
        <v>31</v>
      </c>
      <c r="K6195" s="94">
        <f t="shared" si="1006"/>
        <v>23769.82</v>
      </c>
      <c r="L6195">
        <v>1</v>
      </c>
      <c r="M6195" s="94">
        <v>0</v>
      </c>
      <c r="N6195" t="s">
        <v>42</v>
      </c>
      <c r="O6195" t="s">
        <v>33</v>
      </c>
      <c r="P6195" t="s">
        <v>34</v>
      </c>
      <c r="Q6195" t="s">
        <v>34</v>
      </c>
      <c r="R6195" t="s">
        <v>34</v>
      </c>
      <c r="S6195" t="s">
        <v>34</v>
      </c>
      <c r="T6195" s="117">
        <v>0</v>
      </c>
    </row>
    <row r="6196" spans="1:20" x14ac:dyDescent="0.35">
      <c r="A6196" t="s">
        <v>19</v>
      </c>
      <c r="B6196" t="s">
        <v>24</v>
      </c>
      <c r="C6196" s="1">
        <v>46043</v>
      </c>
      <c r="D6196">
        <f t="shared" si="1016"/>
        <v>21</v>
      </c>
      <c r="E6196">
        <f t="shared" si="1017"/>
        <v>1</v>
      </c>
      <c r="F6196">
        <f t="shared" si="1018"/>
        <v>2026</v>
      </c>
      <c r="G6196" t="s">
        <v>36</v>
      </c>
      <c r="H6196" s="121">
        <v>14403</v>
      </c>
      <c r="I6196" s="15">
        <v>11999.7</v>
      </c>
      <c r="J6196" s="12" t="s">
        <v>31</v>
      </c>
      <c r="K6196" s="94">
        <f t="shared" si="1006"/>
        <v>11999.7</v>
      </c>
      <c r="L6196">
        <v>1</v>
      </c>
      <c r="M6196" s="94">
        <v>0</v>
      </c>
      <c r="N6196" t="s">
        <v>42</v>
      </c>
      <c r="O6196" t="s">
        <v>33</v>
      </c>
      <c r="P6196" t="s">
        <v>34</v>
      </c>
      <c r="Q6196" t="s">
        <v>34</v>
      </c>
      <c r="R6196" t="s">
        <v>34</v>
      </c>
      <c r="S6196" t="s">
        <v>34</v>
      </c>
      <c r="T6196" s="117">
        <v>0</v>
      </c>
    </row>
    <row r="6197" spans="1:20" x14ac:dyDescent="0.35">
      <c r="A6197" t="s">
        <v>19</v>
      </c>
      <c r="B6197" t="s">
        <v>24</v>
      </c>
      <c r="C6197" s="1">
        <v>46043</v>
      </c>
      <c r="D6197">
        <f t="shared" si="1016"/>
        <v>21</v>
      </c>
      <c r="E6197">
        <f t="shared" si="1017"/>
        <v>1</v>
      </c>
      <c r="F6197">
        <f t="shared" si="1018"/>
        <v>2026</v>
      </c>
      <c r="G6197" t="s">
        <v>36</v>
      </c>
      <c r="H6197" s="121">
        <v>14475</v>
      </c>
      <c r="I6197" s="15">
        <v>75.8</v>
      </c>
      <c r="J6197" s="12" t="s">
        <v>31</v>
      </c>
      <c r="K6197" s="94">
        <f t="shared" si="1006"/>
        <v>75.8</v>
      </c>
      <c r="L6197">
        <v>1</v>
      </c>
      <c r="M6197" s="94">
        <v>0</v>
      </c>
      <c r="N6197" t="s">
        <v>32</v>
      </c>
      <c r="O6197" t="s">
        <v>33</v>
      </c>
      <c r="P6197" t="s">
        <v>34</v>
      </c>
      <c r="Q6197" t="s">
        <v>34</v>
      </c>
      <c r="R6197" t="s">
        <v>34</v>
      </c>
      <c r="S6197" t="s">
        <v>34</v>
      </c>
      <c r="T6197" s="117">
        <v>0</v>
      </c>
    </row>
    <row r="6198" spans="1:20" x14ac:dyDescent="0.35">
      <c r="A6198" t="s">
        <v>19</v>
      </c>
      <c r="B6198" t="s">
        <v>24</v>
      </c>
      <c r="C6198" s="1">
        <v>46043</v>
      </c>
      <c r="D6198">
        <f t="shared" si="1016"/>
        <v>21</v>
      </c>
      <c r="E6198">
        <f t="shared" si="1017"/>
        <v>1</v>
      </c>
      <c r="F6198">
        <f t="shared" si="1018"/>
        <v>2026</v>
      </c>
      <c r="G6198" t="s">
        <v>36</v>
      </c>
      <c r="H6198" s="121">
        <v>14495</v>
      </c>
      <c r="I6198" s="15">
        <v>21284.25</v>
      </c>
      <c r="J6198" s="12" t="s">
        <v>31</v>
      </c>
      <c r="K6198" s="94">
        <f t="shared" si="1006"/>
        <v>21284.25</v>
      </c>
      <c r="L6198">
        <v>1</v>
      </c>
      <c r="M6198" s="94">
        <v>0</v>
      </c>
      <c r="N6198" t="s">
        <v>32</v>
      </c>
      <c r="O6198" t="s">
        <v>33</v>
      </c>
      <c r="P6198" t="s">
        <v>34</v>
      </c>
      <c r="Q6198" t="s">
        <v>34</v>
      </c>
      <c r="R6198" t="s">
        <v>34</v>
      </c>
      <c r="S6198" t="s">
        <v>34</v>
      </c>
      <c r="T6198" s="117">
        <v>0</v>
      </c>
    </row>
    <row r="6199" spans="1:20" x14ac:dyDescent="0.35">
      <c r="A6199" t="s">
        <v>19</v>
      </c>
      <c r="B6199" t="s">
        <v>25</v>
      </c>
      <c r="C6199" s="1">
        <v>46043</v>
      </c>
      <c r="D6199">
        <f t="shared" ref="D6199:D6200" si="1019">DAY(C6199)</f>
        <v>21</v>
      </c>
      <c r="E6199">
        <f t="shared" ref="E6199:E6200" si="1020">MONTH(C6199)</f>
        <v>1</v>
      </c>
      <c r="F6199">
        <f t="shared" ref="F6199:F6200" si="1021">YEAR(C6199)</f>
        <v>2026</v>
      </c>
      <c r="G6199" t="s">
        <v>29</v>
      </c>
      <c r="H6199" s="121">
        <v>13981</v>
      </c>
      <c r="I6199" s="15">
        <v>353.1</v>
      </c>
      <c r="J6199" s="12" t="s">
        <v>31</v>
      </c>
      <c r="K6199" s="94">
        <f t="shared" si="1006"/>
        <v>353.1</v>
      </c>
      <c r="L6199">
        <v>1</v>
      </c>
      <c r="M6199" s="94">
        <v>0</v>
      </c>
      <c r="N6199" t="s">
        <v>32</v>
      </c>
      <c r="O6199" t="s">
        <v>33</v>
      </c>
      <c r="P6199" t="s">
        <v>34</v>
      </c>
      <c r="Q6199" t="s">
        <v>34</v>
      </c>
      <c r="R6199" t="s">
        <v>34</v>
      </c>
      <c r="S6199" t="s">
        <v>34</v>
      </c>
      <c r="T6199" s="117">
        <v>0</v>
      </c>
    </row>
    <row r="6200" spans="1:20" x14ac:dyDescent="0.35">
      <c r="A6200" t="s">
        <v>19</v>
      </c>
      <c r="B6200" t="s">
        <v>25</v>
      </c>
      <c r="C6200" s="1">
        <v>46043</v>
      </c>
      <c r="D6200">
        <f t="shared" si="1019"/>
        <v>21</v>
      </c>
      <c r="E6200">
        <f t="shared" si="1020"/>
        <v>1</v>
      </c>
      <c r="F6200">
        <f t="shared" si="1021"/>
        <v>2026</v>
      </c>
      <c r="G6200" t="s">
        <v>29</v>
      </c>
      <c r="H6200" s="121">
        <v>13982</v>
      </c>
      <c r="I6200" s="15">
        <v>30679.870000000003</v>
      </c>
      <c r="J6200" s="12" t="s">
        <v>31</v>
      </c>
      <c r="K6200" s="94">
        <f t="shared" si="1006"/>
        <v>30679.870000000003</v>
      </c>
      <c r="L6200">
        <v>1</v>
      </c>
      <c r="M6200" s="94">
        <v>0</v>
      </c>
      <c r="N6200" t="s">
        <v>32</v>
      </c>
      <c r="O6200" t="s">
        <v>33</v>
      </c>
      <c r="P6200" t="s">
        <v>34</v>
      </c>
      <c r="Q6200" t="s">
        <v>34</v>
      </c>
      <c r="R6200" t="s">
        <v>34</v>
      </c>
      <c r="S6200" t="s">
        <v>34</v>
      </c>
      <c r="T6200" s="117">
        <v>0</v>
      </c>
    </row>
    <row r="6201" spans="1:20" x14ac:dyDescent="0.35">
      <c r="A6201" t="s">
        <v>19</v>
      </c>
      <c r="B6201" t="s">
        <v>21</v>
      </c>
      <c r="C6201" s="1">
        <v>46043</v>
      </c>
      <c r="D6201">
        <f>DAY(C6201)</f>
        <v>21</v>
      </c>
      <c r="E6201">
        <f>MONTH(C6201)</f>
        <v>1</v>
      </c>
      <c r="F6201">
        <f>YEAR(C6201)</f>
        <v>2026</v>
      </c>
      <c r="G6201" t="s">
        <v>1632</v>
      </c>
      <c r="H6201" s="121">
        <v>13863</v>
      </c>
      <c r="I6201" s="15">
        <v>3575.2</v>
      </c>
      <c r="J6201" s="12" t="s">
        <v>31</v>
      </c>
      <c r="K6201" s="94">
        <f t="shared" si="1006"/>
        <v>3575.2</v>
      </c>
      <c r="L6201">
        <v>1</v>
      </c>
      <c r="M6201" s="94">
        <v>0</v>
      </c>
      <c r="N6201" t="s">
        <v>32</v>
      </c>
      <c r="O6201" t="s">
        <v>33</v>
      </c>
      <c r="P6201" t="s">
        <v>34</v>
      </c>
      <c r="Q6201" t="s">
        <v>34</v>
      </c>
      <c r="R6201" t="s">
        <v>34</v>
      </c>
      <c r="S6201" t="s">
        <v>34</v>
      </c>
      <c r="T6201" s="117">
        <v>0</v>
      </c>
    </row>
    <row r="6202" spans="1:20" x14ac:dyDescent="0.35">
      <c r="A6202" t="s">
        <v>19</v>
      </c>
      <c r="B6202" t="s">
        <v>25</v>
      </c>
      <c r="C6202" s="1">
        <v>46043</v>
      </c>
      <c r="D6202">
        <f>DAY(C6202)</f>
        <v>21</v>
      </c>
      <c r="E6202">
        <f>MONTH(C6202)</f>
        <v>1</v>
      </c>
      <c r="F6202">
        <f>YEAR(C6202)</f>
        <v>2026</v>
      </c>
      <c r="G6202" t="s">
        <v>113</v>
      </c>
      <c r="H6202" s="121">
        <v>13548</v>
      </c>
      <c r="I6202" s="15">
        <v>3378</v>
      </c>
      <c r="J6202" s="12" t="s">
        <v>51</v>
      </c>
      <c r="K6202" s="94">
        <f t="shared" si="1006"/>
        <v>3980.96</v>
      </c>
      <c r="L6202">
        <v>1.1784961515689758</v>
      </c>
      <c r="M6202" s="94">
        <v>0</v>
      </c>
      <c r="N6202" t="s">
        <v>32</v>
      </c>
      <c r="O6202" t="s">
        <v>33</v>
      </c>
      <c r="P6202" t="s">
        <v>34</v>
      </c>
      <c r="Q6202" t="s">
        <v>34</v>
      </c>
      <c r="R6202" t="s">
        <v>34</v>
      </c>
      <c r="S6202" t="s">
        <v>34</v>
      </c>
      <c r="T6202" s="117">
        <v>0</v>
      </c>
    </row>
    <row r="6203" spans="1:20" x14ac:dyDescent="0.35">
      <c r="A6203" t="s">
        <v>19</v>
      </c>
      <c r="B6203" t="s">
        <v>21</v>
      </c>
      <c r="C6203" s="1">
        <v>46043</v>
      </c>
      <c r="D6203">
        <f t="shared" ref="D6203:D6204" si="1022">DAY(C6203)</f>
        <v>21</v>
      </c>
      <c r="E6203">
        <f t="shared" ref="E6203:E6204" si="1023">MONTH(C6203)</f>
        <v>1</v>
      </c>
      <c r="F6203">
        <f t="shared" ref="F6203:F6204" si="1024">YEAR(C6203)</f>
        <v>2026</v>
      </c>
      <c r="G6203" t="s">
        <v>1505</v>
      </c>
      <c r="H6203" s="121">
        <v>14630</v>
      </c>
      <c r="I6203" s="15">
        <v>25.8</v>
      </c>
      <c r="J6203" s="12" t="s">
        <v>31</v>
      </c>
      <c r="K6203" s="94">
        <f t="shared" si="1006"/>
        <v>25.8</v>
      </c>
      <c r="L6203">
        <v>1</v>
      </c>
      <c r="M6203" s="94">
        <v>0</v>
      </c>
      <c r="N6203" t="s">
        <v>42</v>
      </c>
      <c r="O6203" t="s">
        <v>33</v>
      </c>
      <c r="P6203" t="s">
        <v>34</v>
      </c>
      <c r="Q6203" t="s">
        <v>34</v>
      </c>
      <c r="R6203" t="s">
        <v>34</v>
      </c>
      <c r="S6203" t="s">
        <v>34</v>
      </c>
      <c r="T6203" s="117">
        <v>0</v>
      </c>
    </row>
    <row r="6204" spans="1:20" x14ac:dyDescent="0.35">
      <c r="A6204" t="s">
        <v>19</v>
      </c>
      <c r="B6204" t="s">
        <v>21</v>
      </c>
      <c r="C6204" s="1">
        <v>46043</v>
      </c>
      <c r="D6204">
        <f t="shared" si="1022"/>
        <v>21</v>
      </c>
      <c r="E6204">
        <f t="shared" si="1023"/>
        <v>1</v>
      </c>
      <c r="F6204">
        <f t="shared" si="1024"/>
        <v>2026</v>
      </c>
      <c r="G6204" t="s">
        <v>1505</v>
      </c>
      <c r="H6204" s="121">
        <v>14631</v>
      </c>
      <c r="I6204" s="15">
        <v>774</v>
      </c>
      <c r="J6204" s="12" t="s">
        <v>31</v>
      </c>
      <c r="K6204" s="94">
        <f t="shared" si="1006"/>
        <v>774</v>
      </c>
      <c r="L6204">
        <v>1</v>
      </c>
      <c r="M6204" s="94">
        <v>0</v>
      </c>
      <c r="N6204" t="s">
        <v>42</v>
      </c>
      <c r="O6204" t="s">
        <v>33</v>
      </c>
      <c r="P6204" t="s">
        <v>34</v>
      </c>
      <c r="Q6204" t="s">
        <v>34</v>
      </c>
      <c r="R6204" t="s">
        <v>34</v>
      </c>
      <c r="S6204" t="s">
        <v>34</v>
      </c>
      <c r="T6204" s="117">
        <v>0</v>
      </c>
    </row>
    <row r="6205" spans="1:20" x14ac:dyDescent="0.35">
      <c r="A6205" t="s">
        <v>20</v>
      </c>
      <c r="B6205" t="s">
        <v>25</v>
      </c>
      <c r="C6205" s="1">
        <v>46043</v>
      </c>
      <c r="D6205">
        <f>DAY(C6205)</f>
        <v>21</v>
      </c>
      <c r="E6205">
        <f>MONTH(C6205)</f>
        <v>1</v>
      </c>
      <c r="F6205">
        <f>YEAR(C6205)</f>
        <v>2026</v>
      </c>
      <c r="G6205" t="s">
        <v>1601</v>
      </c>
      <c r="H6205" s="121">
        <v>13795</v>
      </c>
      <c r="I6205" s="15">
        <v>163</v>
      </c>
      <c r="J6205" s="12" t="s">
        <v>31</v>
      </c>
      <c r="K6205" s="94">
        <f t="shared" si="1006"/>
        <v>163</v>
      </c>
      <c r="L6205">
        <v>1</v>
      </c>
      <c r="M6205" s="94">
        <v>0</v>
      </c>
      <c r="N6205" t="s">
        <v>32</v>
      </c>
      <c r="O6205" t="s">
        <v>33</v>
      </c>
      <c r="P6205" t="s">
        <v>34</v>
      </c>
      <c r="Q6205" t="s">
        <v>34</v>
      </c>
      <c r="R6205" t="s">
        <v>34</v>
      </c>
      <c r="S6205" t="s">
        <v>34</v>
      </c>
      <c r="T6205" s="117">
        <v>0</v>
      </c>
    </row>
    <row r="6206" spans="1:20" x14ac:dyDescent="0.35">
      <c r="A6206" t="s">
        <v>20</v>
      </c>
      <c r="B6206" t="s">
        <v>24</v>
      </c>
      <c r="C6206" s="1">
        <v>46043</v>
      </c>
      <c r="D6206">
        <f t="shared" ref="D6206:D6209" si="1025">DAY(C6206)</f>
        <v>21</v>
      </c>
      <c r="E6206">
        <f t="shared" ref="E6206:E6209" si="1026">MONTH(C6206)</f>
        <v>1</v>
      </c>
      <c r="F6206">
        <f t="shared" ref="F6206:F6209" si="1027">YEAR(C6206)</f>
        <v>2026</v>
      </c>
      <c r="G6206" t="s">
        <v>118</v>
      </c>
      <c r="H6206" s="121">
        <v>13632</v>
      </c>
      <c r="I6206" s="15">
        <v>960.12</v>
      </c>
      <c r="J6206" s="12" t="s">
        <v>31</v>
      </c>
      <c r="K6206" s="94">
        <f t="shared" si="1006"/>
        <v>960.12</v>
      </c>
      <c r="L6206">
        <v>1</v>
      </c>
      <c r="M6206" s="94">
        <v>0</v>
      </c>
      <c r="N6206" t="s">
        <v>42</v>
      </c>
      <c r="O6206" t="s">
        <v>33</v>
      </c>
      <c r="P6206" t="s">
        <v>34</v>
      </c>
      <c r="Q6206" t="s">
        <v>34</v>
      </c>
      <c r="R6206" t="s">
        <v>34</v>
      </c>
      <c r="S6206" t="s">
        <v>34</v>
      </c>
      <c r="T6206" s="117">
        <v>0</v>
      </c>
    </row>
    <row r="6207" spans="1:20" x14ac:dyDescent="0.35">
      <c r="A6207" t="s">
        <v>20</v>
      </c>
      <c r="B6207" t="s">
        <v>23</v>
      </c>
      <c r="C6207" s="1">
        <v>46043</v>
      </c>
      <c r="D6207">
        <f t="shared" si="1025"/>
        <v>21</v>
      </c>
      <c r="E6207">
        <f t="shared" si="1026"/>
        <v>1</v>
      </c>
      <c r="F6207">
        <f t="shared" si="1027"/>
        <v>2026</v>
      </c>
      <c r="G6207" t="s">
        <v>118</v>
      </c>
      <c r="H6207" s="121">
        <v>13489</v>
      </c>
      <c r="I6207" s="15">
        <v>3325.75</v>
      </c>
      <c r="J6207" s="12" t="s">
        <v>31</v>
      </c>
      <c r="K6207" s="94">
        <f t="shared" si="1006"/>
        <v>3325.75</v>
      </c>
      <c r="L6207">
        <v>1</v>
      </c>
      <c r="M6207" s="94">
        <v>0</v>
      </c>
      <c r="N6207" t="s">
        <v>32</v>
      </c>
      <c r="O6207" t="s">
        <v>33</v>
      </c>
      <c r="P6207" t="s">
        <v>34</v>
      </c>
      <c r="Q6207" t="s">
        <v>34</v>
      </c>
      <c r="R6207" t="s">
        <v>34</v>
      </c>
      <c r="S6207" t="s">
        <v>34</v>
      </c>
      <c r="T6207" s="117">
        <v>0</v>
      </c>
    </row>
    <row r="6208" spans="1:20" x14ac:dyDescent="0.35">
      <c r="A6208" t="s">
        <v>20</v>
      </c>
      <c r="B6208" t="s">
        <v>25</v>
      </c>
      <c r="C6208" s="1">
        <v>46043</v>
      </c>
      <c r="D6208">
        <f t="shared" si="1025"/>
        <v>21</v>
      </c>
      <c r="E6208">
        <f t="shared" si="1026"/>
        <v>1</v>
      </c>
      <c r="F6208">
        <f t="shared" si="1027"/>
        <v>2026</v>
      </c>
      <c r="G6208" t="s">
        <v>118</v>
      </c>
      <c r="H6208" s="121">
        <v>13489</v>
      </c>
      <c r="I6208" s="15">
        <v>10769.85</v>
      </c>
      <c r="J6208" s="12" t="s">
        <v>31</v>
      </c>
      <c r="K6208" s="94">
        <f t="shared" si="1006"/>
        <v>10769.85</v>
      </c>
      <c r="L6208">
        <v>1</v>
      </c>
      <c r="M6208" s="94">
        <v>0</v>
      </c>
      <c r="N6208" t="s">
        <v>32</v>
      </c>
      <c r="O6208" t="s">
        <v>33</v>
      </c>
      <c r="P6208" t="s">
        <v>34</v>
      </c>
      <c r="Q6208" t="s">
        <v>34</v>
      </c>
      <c r="R6208" t="s">
        <v>34</v>
      </c>
      <c r="S6208" t="s">
        <v>34</v>
      </c>
      <c r="T6208" s="117">
        <v>0</v>
      </c>
    </row>
    <row r="6209" spans="1:20" x14ac:dyDescent="0.35">
      <c r="A6209" t="s">
        <v>20</v>
      </c>
      <c r="B6209" t="s">
        <v>21</v>
      </c>
      <c r="C6209" s="1">
        <v>46043</v>
      </c>
      <c r="D6209">
        <f t="shared" si="1025"/>
        <v>21</v>
      </c>
      <c r="E6209">
        <f t="shared" si="1026"/>
        <v>1</v>
      </c>
      <c r="F6209">
        <f t="shared" si="1027"/>
        <v>2026</v>
      </c>
      <c r="G6209" t="s">
        <v>118</v>
      </c>
      <c r="H6209" s="121">
        <v>13632</v>
      </c>
      <c r="I6209" s="15">
        <v>18002.28</v>
      </c>
      <c r="J6209" s="12" t="s">
        <v>31</v>
      </c>
      <c r="K6209" s="94">
        <f t="shared" si="1006"/>
        <v>18002.28</v>
      </c>
      <c r="L6209">
        <v>1</v>
      </c>
      <c r="M6209" s="94">
        <v>0</v>
      </c>
      <c r="N6209" t="s">
        <v>42</v>
      </c>
      <c r="O6209" t="s">
        <v>33</v>
      </c>
      <c r="P6209" t="s">
        <v>34</v>
      </c>
      <c r="Q6209" t="s">
        <v>34</v>
      </c>
      <c r="R6209" t="s">
        <v>34</v>
      </c>
      <c r="S6209" t="s">
        <v>34</v>
      </c>
      <c r="T6209" s="117">
        <v>0</v>
      </c>
    </row>
    <row r="6210" spans="1:20" x14ac:dyDescent="0.35">
      <c r="A6210" t="s">
        <v>20</v>
      </c>
      <c r="B6210" t="s">
        <v>21</v>
      </c>
      <c r="C6210" s="1">
        <v>46043</v>
      </c>
      <c r="D6210">
        <f>DAY(C6210)</f>
        <v>21</v>
      </c>
      <c r="E6210">
        <f>MONTH(C6210)</f>
        <v>1</v>
      </c>
      <c r="F6210">
        <f>YEAR(C6210)</f>
        <v>2026</v>
      </c>
      <c r="G6210" t="s">
        <v>1562</v>
      </c>
      <c r="H6210" s="121">
        <v>13857</v>
      </c>
      <c r="I6210" s="15">
        <v>5220.1499999999996</v>
      </c>
      <c r="J6210" s="12" t="s">
        <v>31</v>
      </c>
      <c r="K6210" s="94">
        <f t="shared" si="1006"/>
        <v>5220.1499999999996</v>
      </c>
      <c r="L6210">
        <v>1</v>
      </c>
      <c r="M6210" s="94">
        <v>0</v>
      </c>
      <c r="N6210" t="s">
        <v>32</v>
      </c>
      <c r="O6210" t="s">
        <v>33</v>
      </c>
      <c r="P6210" t="s">
        <v>34</v>
      </c>
      <c r="Q6210" t="s">
        <v>34</v>
      </c>
      <c r="R6210" t="s">
        <v>34</v>
      </c>
      <c r="S6210" t="s">
        <v>34</v>
      </c>
      <c r="T6210" s="117">
        <v>0</v>
      </c>
    </row>
    <row r="6211" spans="1:20" x14ac:dyDescent="0.35">
      <c r="A6211" t="s">
        <v>20</v>
      </c>
      <c r="B6211" t="s">
        <v>25</v>
      </c>
      <c r="C6211" s="1">
        <v>46043</v>
      </c>
      <c r="D6211">
        <f t="shared" ref="D6211:D6212" si="1028">DAY(C6211)</f>
        <v>21</v>
      </c>
      <c r="E6211">
        <f t="shared" ref="E6211:E6212" si="1029">MONTH(C6211)</f>
        <v>1</v>
      </c>
      <c r="F6211">
        <f t="shared" ref="F6211:F6212" si="1030">YEAR(C6211)</f>
        <v>2026</v>
      </c>
      <c r="G6211" t="s">
        <v>1327</v>
      </c>
      <c r="H6211" s="121">
        <v>13784</v>
      </c>
      <c r="I6211" s="15">
        <v>16230.5</v>
      </c>
      <c r="J6211" s="12" t="s">
        <v>31</v>
      </c>
      <c r="K6211" s="94">
        <f t="shared" si="1006"/>
        <v>16230.5</v>
      </c>
      <c r="L6211">
        <v>1</v>
      </c>
      <c r="M6211" s="94">
        <v>0</v>
      </c>
      <c r="N6211" t="s">
        <v>32</v>
      </c>
      <c r="O6211" t="s">
        <v>33</v>
      </c>
      <c r="P6211" t="s">
        <v>34</v>
      </c>
      <c r="Q6211" t="s">
        <v>34</v>
      </c>
      <c r="R6211" t="s">
        <v>34</v>
      </c>
      <c r="S6211" t="s">
        <v>34</v>
      </c>
      <c r="T6211" s="117">
        <v>0</v>
      </c>
    </row>
    <row r="6212" spans="1:20" x14ac:dyDescent="0.35">
      <c r="A6212" t="s">
        <v>20</v>
      </c>
      <c r="B6212" t="s">
        <v>25</v>
      </c>
      <c r="C6212" s="1">
        <v>46043</v>
      </c>
      <c r="D6212">
        <f t="shared" si="1028"/>
        <v>21</v>
      </c>
      <c r="E6212">
        <f t="shared" si="1029"/>
        <v>1</v>
      </c>
      <c r="F6212">
        <f t="shared" si="1030"/>
        <v>2026</v>
      </c>
      <c r="G6212" t="s">
        <v>1327</v>
      </c>
      <c r="H6212" s="121">
        <v>14406</v>
      </c>
      <c r="I6212" s="15">
        <v>157.19999999999999</v>
      </c>
      <c r="J6212" s="12" t="s">
        <v>31</v>
      </c>
      <c r="K6212" s="94">
        <f t="shared" si="1006"/>
        <v>157.19999999999999</v>
      </c>
      <c r="L6212">
        <v>1</v>
      </c>
      <c r="M6212" s="94">
        <v>0</v>
      </c>
      <c r="N6212" t="s">
        <v>32</v>
      </c>
      <c r="O6212" t="s">
        <v>33</v>
      </c>
      <c r="P6212" t="s">
        <v>34</v>
      </c>
      <c r="Q6212" t="s">
        <v>34</v>
      </c>
      <c r="R6212" t="s">
        <v>34</v>
      </c>
      <c r="S6212" t="s">
        <v>34</v>
      </c>
      <c r="T6212" s="117">
        <v>0</v>
      </c>
    </row>
    <row r="6213" spans="1:20" x14ac:dyDescent="0.35">
      <c r="A6213" t="s">
        <v>20</v>
      </c>
      <c r="B6213" t="s">
        <v>24</v>
      </c>
      <c r="C6213" s="1">
        <v>46043</v>
      </c>
      <c r="D6213">
        <f>DAY(C6213)</f>
        <v>21</v>
      </c>
      <c r="E6213">
        <f>MONTH(C6213)</f>
        <v>1</v>
      </c>
      <c r="F6213">
        <f>YEAR(C6213)</f>
        <v>2026</v>
      </c>
      <c r="G6213" t="s">
        <v>1109</v>
      </c>
      <c r="H6213" s="121">
        <v>14197</v>
      </c>
      <c r="I6213" s="15">
        <v>477.6</v>
      </c>
      <c r="J6213" s="12" t="s">
        <v>31</v>
      </c>
      <c r="K6213" s="94">
        <f t="shared" si="1006"/>
        <v>477.6</v>
      </c>
      <c r="L6213">
        <v>1</v>
      </c>
      <c r="M6213" s="94">
        <v>0</v>
      </c>
      <c r="N6213" t="s">
        <v>32</v>
      </c>
      <c r="O6213" t="s">
        <v>33</v>
      </c>
      <c r="P6213" t="s">
        <v>34</v>
      </c>
      <c r="Q6213" t="s">
        <v>34</v>
      </c>
      <c r="R6213" t="s">
        <v>34</v>
      </c>
      <c r="S6213" t="s">
        <v>34</v>
      </c>
      <c r="T6213" s="117">
        <v>0</v>
      </c>
    </row>
    <row r="6214" spans="1:20" x14ac:dyDescent="0.35">
      <c r="A6214" t="s">
        <v>20</v>
      </c>
      <c r="B6214" t="s">
        <v>21</v>
      </c>
      <c r="C6214" s="1">
        <v>46043</v>
      </c>
      <c r="D6214">
        <f>DAY(C6214)</f>
        <v>21</v>
      </c>
      <c r="E6214">
        <f>MONTH(C6214)</f>
        <v>1</v>
      </c>
      <c r="F6214">
        <f>YEAR(C6214)</f>
        <v>2026</v>
      </c>
      <c r="G6214" t="s">
        <v>1633</v>
      </c>
      <c r="H6214" s="121">
        <v>14164</v>
      </c>
      <c r="I6214" s="15">
        <v>133</v>
      </c>
      <c r="J6214" s="12" t="s">
        <v>31</v>
      </c>
      <c r="K6214" s="94">
        <f t="shared" si="1006"/>
        <v>133</v>
      </c>
      <c r="L6214">
        <v>1</v>
      </c>
      <c r="M6214" s="94">
        <v>0</v>
      </c>
      <c r="N6214" t="s">
        <v>32</v>
      </c>
      <c r="O6214" t="s">
        <v>33</v>
      </c>
      <c r="P6214" t="s">
        <v>34</v>
      </c>
      <c r="Q6214" t="s">
        <v>34</v>
      </c>
      <c r="R6214" t="s">
        <v>34</v>
      </c>
      <c r="S6214" t="s">
        <v>34</v>
      </c>
      <c r="T6214" s="117">
        <v>0</v>
      </c>
    </row>
  </sheetData>
  <phoneticPr fontId="5" type="noConversion"/>
  <pageMargins left="0.7" right="0.7" top="0.75" bottom="0.75" header="0.3" footer="0.3"/>
  <pageSetup orientation="portrait" r:id="rId1"/>
  <ignoredErrors>
    <ignoredError sqref="K1168 K1215 K1554 K1402 K2203 K2207 K2210 K2245:K2248 K2272 K2443 K2625 K4278 K4402 K4958" formula="1"/>
    <ignoredError sqref="R363:R733" numberStoredAsText="1"/>
  </ignoredErrors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100-000000000000}">
          <x14:formula1>
            <xm:f>Datos!$C$1:$C$8</xm:f>
          </x14:formula1>
          <xm:sqref>B225:B323</xm:sqref>
        </x14:dataValidation>
        <x14:dataValidation type="list" allowBlank="1" showInputMessage="1" showErrorMessage="1" xr:uid="{00000000-0002-0000-0100-000001000000}">
          <x14:formula1>
            <xm:f>Datos!$A$1:$A$2</xm:f>
          </x14:formula1>
          <xm:sqref>B505 B800:B808 B751:B760 A225:A895 A928:A929 A1135 A1184 A1240:A1247 A1372 A1466:A1467 A1751:A1756 A1806:A1811 A1863:A1865 A1912:A1913 A1965:A1966 A1993 A2046 A2150:A2154 A2195 A2220:A2222 A2330:A2331 A2339 A2389 A2594:A2604 A2654:A2660 A2765:A2769 A2814:A2817 A2901 A2935:A2940 A3049:A3067 A3144:A3145 A3189:A3190 A3236 A3349:A3352 A3403:A3407 A3451:A3454 A3493 A3533 A3618:A3624 A3751:A3755 A3879:A3887 A3958:A3961 A4167 A4229 A4302 A4363:A4364 A4517:A4521 A4584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J1306"/>
  <sheetViews>
    <sheetView tabSelected="1" zoomScale="120" zoomScaleNormal="120" workbookViewId="0">
      <pane ySplit="1" topLeftCell="A1173" activePane="bottomLeft" state="frozen"/>
      <selection pane="bottomLeft" activeCell="E1222" sqref="E1222"/>
    </sheetView>
  </sheetViews>
  <sheetFormatPr baseColWidth="10" defaultRowHeight="14.5" x14ac:dyDescent="0.35"/>
  <cols>
    <col min="1" max="1" width="21.26953125" bestFit="1" customWidth="1"/>
    <col min="2" max="2" width="21.453125" bestFit="1" customWidth="1"/>
    <col min="3" max="3" width="16" customWidth="1"/>
    <col min="4" max="4" width="24.26953125" customWidth="1"/>
    <col min="5" max="5" width="13.54296875" customWidth="1"/>
    <col min="6" max="6" width="22.54296875" style="15" customWidth="1"/>
    <col min="7" max="7" width="16.26953125" style="163" customWidth="1"/>
    <col min="8" max="8" width="11.54296875" customWidth="1"/>
    <col min="13" max="13" width="11.453125" bestFit="1" customWidth="1"/>
  </cols>
  <sheetData>
    <row r="1" spans="1:7" s="11" customFormat="1" x14ac:dyDescent="0.35">
      <c r="A1" s="8" t="s">
        <v>1</v>
      </c>
      <c r="B1" s="8" t="s">
        <v>161</v>
      </c>
      <c r="C1" s="8" t="s">
        <v>134</v>
      </c>
      <c r="D1" s="8" t="s">
        <v>135</v>
      </c>
      <c r="E1" s="8" t="s">
        <v>136</v>
      </c>
      <c r="F1" s="25" t="s">
        <v>137</v>
      </c>
      <c r="G1" s="162" t="s">
        <v>350</v>
      </c>
    </row>
    <row r="2" spans="1:7" x14ac:dyDescent="0.35">
      <c r="A2" t="s">
        <v>19</v>
      </c>
      <c r="B2" t="s">
        <v>19</v>
      </c>
      <c r="C2" s="1">
        <v>45301</v>
      </c>
      <c r="D2" s="6" t="s">
        <v>156</v>
      </c>
      <c r="E2" t="s">
        <v>155</v>
      </c>
      <c r="F2" s="95">
        <v>200000</v>
      </c>
      <c r="G2" s="15"/>
    </row>
    <row r="3" spans="1:7" x14ac:dyDescent="0.35">
      <c r="A3" t="s">
        <v>19</v>
      </c>
      <c r="B3" t="s">
        <v>19</v>
      </c>
      <c r="C3" s="1">
        <v>45301</v>
      </c>
      <c r="D3" s="6" t="s">
        <v>156</v>
      </c>
      <c r="E3" t="s">
        <v>155</v>
      </c>
      <c r="F3" s="95">
        <v>50000</v>
      </c>
      <c r="G3" s="15"/>
    </row>
    <row r="4" spans="1:7" x14ac:dyDescent="0.35">
      <c r="A4" t="s">
        <v>19</v>
      </c>
      <c r="B4" t="s">
        <v>19</v>
      </c>
      <c r="C4" s="1">
        <v>45302</v>
      </c>
      <c r="D4" s="6" t="s">
        <v>157</v>
      </c>
      <c r="E4" t="s">
        <v>154</v>
      </c>
      <c r="F4" s="95">
        <v>120000</v>
      </c>
      <c r="G4" s="15"/>
    </row>
    <row r="5" spans="1:7" x14ac:dyDescent="0.35">
      <c r="A5" t="s">
        <v>19</v>
      </c>
      <c r="B5" t="s">
        <v>19</v>
      </c>
      <c r="C5" s="1">
        <v>45308</v>
      </c>
      <c r="D5" s="6" t="s">
        <v>156</v>
      </c>
      <c r="E5" t="s">
        <v>154</v>
      </c>
      <c r="F5" s="95">
        <v>240000</v>
      </c>
      <c r="G5" s="15"/>
    </row>
    <row r="6" spans="1:7" x14ac:dyDescent="0.35">
      <c r="A6" t="s">
        <v>19</v>
      </c>
      <c r="B6" t="s">
        <v>19</v>
      </c>
      <c r="C6" s="1">
        <v>45308</v>
      </c>
      <c r="D6" s="6" t="s">
        <v>156</v>
      </c>
      <c r="E6" t="s">
        <v>155</v>
      </c>
      <c r="F6" s="95">
        <v>180000</v>
      </c>
      <c r="G6" s="15"/>
    </row>
    <row r="7" spans="1:7" x14ac:dyDescent="0.35">
      <c r="A7" t="s">
        <v>19</v>
      </c>
      <c r="B7" t="s">
        <v>19</v>
      </c>
      <c r="C7" s="1">
        <v>45308</v>
      </c>
      <c r="D7" s="6" t="s">
        <v>156</v>
      </c>
      <c r="E7" t="s">
        <v>155</v>
      </c>
      <c r="F7" s="95">
        <v>200000</v>
      </c>
      <c r="G7" s="15"/>
    </row>
    <row r="8" spans="1:7" x14ac:dyDescent="0.35">
      <c r="A8" t="s">
        <v>71</v>
      </c>
      <c r="B8" t="s">
        <v>158</v>
      </c>
      <c r="C8" s="1">
        <v>45308</v>
      </c>
      <c r="D8" s="6" t="s">
        <v>156</v>
      </c>
      <c r="E8" t="s">
        <v>155</v>
      </c>
      <c r="F8" s="95">
        <v>100000</v>
      </c>
      <c r="G8" s="15"/>
    </row>
    <row r="9" spans="1:7" x14ac:dyDescent="0.35">
      <c r="A9" t="s">
        <v>71</v>
      </c>
      <c r="B9" t="s">
        <v>158</v>
      </c>
      <c r="C9" s="1">
        <v>45308</v>
      </c>
      <c r="D9" s="6" t="s">
        <v>156</v>
      </c>
      <c r="E9" t="s">
        <v>155</v>
      </c>
      <c r="F9" s="95">
        <v>80000</v>
      </c>
      <c r="G9" s="15"/>
    </row>
    <row r="10" spans="1:7" x14ac:dyDescent="0.35">
      <c r="A10" t="s">
        <v>71</v>
      </c>
      <c r="B10" t="s">
        <v>158</v>
      </c>
      <c r="C10" s="1">
        <v>45308</v>
      </c>
      <c r="D10" s="6" t="s">
        <v>156</v>
      </c>
      <c r="E10" t="s">
        <v>154</v>
      </c>
      <c r="F10" s="29">
        <v>320000</v>
      </c>
      <c r="G10" s="15"/>
    </row>
    <row r="11" spans="1:7" x14ac:dyDescent="0.35">
      <c r="A11" t="s">
        <v>20</v>
      </c>
      <c r="B11" s="24" t="s">
        <v>158</v>
      </c>
      <c r="C11" s="1">
        <v>45308</v>
      </c>
      <c r="D11" s="6" t="s">
        <v>156</v>
      </c>
      <c r="E11" t="s">
        <v>154</v>
      </c>
      <c r="F11" s="104">
        <v>120000</v>
      </c>
      <c r="G11" s="15"/>
    </row>
    <row r="12" spans="1:7" x14ac:dyDescent="0.35">
      <c r="A12" t="s">
        <v>20</v>
      </c>
      <c r="B12" s="24" t="s">
        <v>170</v>
      </c>
      <c r="C12" s="1">
        <v>45308</v>
      </c>
      <c r="D12" s="6" t="s">
        <v>156</v>
      </c>
      <c r="E12" t="s">
        <v>154</v>
      </c>
      <c r="F12" s="104">
        <v>160000</v>
      </c>
      <c r="G12" s="15"/>
    </row>
    <row r="13" spans="1:7" x14ac:dyDescent="0.35">
      <c r="A13" t="s">
        <v>20</v>
      </c>
      <c r="B13" t="s">
        <v>26</v>
      </c>
      <c r="C13" s="1">
        <v>45309</v>
      </c>
      <c r="D13" s="6" t="s">
        <v>156</v>
      </c>
      <c r="E13" t="s">
        <v>154</v>
      </c>
      <c r="F13" s="96">
        <v>416000</v>
      </c>
      <c r="G13" s="15"/>
    </row>
    <row r="14" spans="1:7" x14ac:dyDescent="0.35">
      <c r="A14" t="s">
        <v>71</v>
      </c>
      <c r="B14" t="s">
        <v>158</v>
      </c>
      <c r="C14" s="1">
        <v>45314</v>
      </c>
      <c r="D14" s="6" t="s">
        <v>156</v>
      </c>
      <c r="E14" t="s">
        <v>155</v>
      </c>
      <c r="F14" s="29">
        <v>50000</v>
      </c>
      <c r="G14" s="15"/>
    </row>
    <row r="15" spans="1:7" x14ac:dyDescent="0.35">
      <c r="A15" t="s">
        <v>71</v>
      </c>
      <c r="B15" t="s">
        <v>158</v>
      </c>
      <c r="C15" s="1">
        <v>45314</v>
      </c>
      <c r="D15" s="6" t="s">
        <v>156</v>
      </c>
      <c r="E15" t="s">
        <v>155</v>
      </c>
      <c r="F15" s="29">
        <v>100000</v>
      </c>
      <c r="G15" s="15"/>
    </row>
    <row r="16" spans="1:7" x14ac:dyDescent="0.35">
      <c r="A16" t="s">
        <v>71</v>
      </c>
      <c r="B16" t="s">
        <v>158</v>
      </c>
      <c r="C16" s="1">
        <v>45314</v>
      </c>
      <c r="D16" s="6" t="s">
        <v>156</v>
      </c>
      <c r="E16" t="s">
        <v>155</v>
      </c>
      <c r="F16" s="95">
        <v>100000</v>
      </c>
      <c r="G16" s="15"/>
    </row>
    <row r="17" spans="1:7" x14ac:dyDescent="0.35">
      <c r="A17" t="s">
        <v>71</v>
      </c>
      <c r="B17" t="s">
        <v>158</v>
      </c>
      <c r="C17" s="1">
        <v>45314</v>
      </c>
      <c r="D17" s="6" t="s">
        <v>156</v>
      </c>
      <c r="E17" t="s">
        <v>155</v>
      </c>
      <c r="F17" s="95">
        <v>100000</v>
      </c>
      <c r="G17" s="15"/>
    </row>
    <row r="18" spans="1:7" x14ac:dyDescent="0.35">
      <c r="A18" t="s">
        <v>71</v>
      </c>
      <c r="B18" s="24" t="s">
        <v>158</v>
      </c>
      <c r="C18" s="1">
        <v>45314</v>
      </c>
      <c r="D18" s="6" t="s">
        <v>156</v>
      </c>
      <c r="E18" t="s">
        <v>154</v>
      </c>
      <c r="F18" s="105">
        <v>40000</v>
      </c>
      <c r="G18" s="15"/>
    </row>
    <row r="19" spans="1:7" x14ac:dyDescent="0.35">
      <c r="A19" t="s">
        <v>71</v>
      </c>
      <c r="B19" s="24" t="s">
        <v>162</v>
      </c>
      <c r="C19" s="1">
        <v>45314</v>
      </c>
      <c r="D19" s="6" t="s">
        <v>156</v>
      </c>
      <c r="E19" t="s">
        <v>154</v>
      </c>
      <c r="F19" s="105">
        <v>50000</v>
      </c>
      <c r="G19" s="15"/>
    </row>
    <row r="20" spans="1:7" x14ac:dyDescent="0.35">
      <c r="A20" t="s">
        <v>71</v>
      </c>
      <c r="B20" s="24" t="s">
        <v>171</v>
      </c>
      <c r="C20" s="1">
        <v>45314</v>
      </c>
      <c r="D20" s="6" t="s">
        <v>156</v>
      </c>
      <c r="E20" t="s">
        <v>154</v>
      </c>
      <c r="F20" s="105">
        <v>30000</v>
      </c>
      <c r="G20" s="15"/>
    </row>
    <row r="21" spans="1:7" x14ac:dyDescent="0.35">
      <c r="A21" t="s">
        <v>71</v>
      </c>
      <c r="B21" t="s">
        <v>172</v>
      </c>
      <c r="C21" s="1">
        <v>45314</v>
      </c>
      <c r="D21" s="6" t="s">
        <v>156</v>
      </c>
      <c r="E21" t="s">
        <v>154</v>
      </c>
      <c r="F21" s="29">
        <v>83000</v>
      </c>
      <c r="G21" s="15"/>
    </row>
    <row r="22" spans="1:7" x14ac:dyDescent="0.35">
      <c r="A22" t="s">
        <v>20</v>
      </c>
      <c r="B22" t="s">
        <v>173</v>
      </c>
      <c r="C22" s="1">
        <v>45314</v>
      </c>
      <c r="D22" s="6" t="s">
        <v>156</v>
      </c>
      <c r="E22" t="s">
        <v>154</v>
      </c>
      <c r="F22" s="96">
        <v>790000</v>
      </c>
    </row>
    <row r="23" spans="1:7" x14ac:dyDescent="0.35">
      <c r="A23" t="s">
        <v>19</v>
      </c>
      <c r="B23" t="s">
        <v>19</v>
      </c>
      <c r="C23" s="1">
        <v>45315</v>
      </c>
      <c r="D23" s="6" t="s">
        <v>156</v>
      </c>
      <c r="E23" t="s">
        <v>154</v>
      </c>
      <c r="F23" s="95">
        <v>242000</v>
      </c>
      <c r="G23" s="15"/>
    </row>
    <row r="24" spans="1:7" x14ac:dyDescent="0.35">
      <c r="A24" t="s">
        <v>19</v>
      </c>
      <c r="B24" t="s">
        <v>19</v>
      </c>
      <c r="C24" s="1">
        <v>45315</v>
      </c>
      <c r="D24" s="6" t="s">
        <v>156</v>
      </c>
      <c r="E24" t="s">
        <v>155</v>
      </c>
      <c r="F24" s="95">
        <v>180000</v>
      </c>
      <c r="G24" s="15"/>
    </row>
    <row r="25" spans="1:7" x14ac:dyDescent="0.35">
      <c r="A25" t="s">
        <v>19</v>
      </c>
      <c r="B25" t="s">
        <v>19</v>
      </c>
      <c r="C25" s="1">
        <v>45315</v>
      </c>
      <c r="D25" s="6" t="s">
        <v>156</v>
      </c>
      <c r="E25" t="s">
        <v>155</v>
      </c>
      <c r="F25" s="95">
        <v>50000</v>
      </c>
      <c r="G25" s="15"/>
    </row>
    <row r="26" spans="1:7" x14ac:dyDescent="0.35">
      <c r="A26" t="s">
        <v>19</v>
      </c>
      <c r="B26" t="s">
        <v>19</v>
      </c>
      <c r="C26" s="1">
        <v>45315</v>
      </c>
      <c r="D26" s="6" t="s">
        <v>156</v>
      </c>
      <c r="E26" t="s">
        <v>155</v>
      </c>
      <c r="F26" s="95">
        <v>50000</v>
      </c>
      <c r="G26" s="15"/>
    </row>
    <row r="27" spans="1:7" x14ac:dyDescent="0.35">
      <c r="A27" t="s">
        <v>20</v>
      </c>
      <c r="B27" t="s">
        <v>26</v>
      </c>
      <c r="C27" s="1">
        <v>45317</v>
      </c>
      <c r="D27" s="6" t="s">
        <v>156</v>
      </c>
      <c r="E27" t="s">
        <v>154</v>
      </c>
      <c r="F27" s="96">
        <v>276000</v>
      </c>
      <c r="G27" s="15"/>
    </row>
    <row r="28" spans="1:7" x14ac:dyDescent="0.35">
      <c r="A28" t="s">
        <v>19</v>
      </c>
      <c r="B28" t="s">
        <v>19</v>
      </c>
      <c r="C28" s="1">
        <v>45321</v>
      </c>
      <c r="D28" s="6" t="s">
        <v>156</v>
      </c>
      <c r="E28" t="s">
        <v>154</v>
      </c>
      <c r="F28" s="95">
        <v>665000</v>
      </c>
      <c r="G28" s="15"/>
    </row>
    <row r="29" spans="1:7" x14ac:dyDescent="0.35">
      <c r="A29" t="s">
        <v>20</v>
      </c>
      <c r="B29" t="s">
        <v>171</v>
      </c>
      <c r="C29" s="1">
        <v>45321</v>
      </c>
      <c r="D29" s="6" t="s">
        <v>156</v>
      </c>
      <c r="E29" t="s">
        <v>154</v>
      </c>
      <c r="F29" s="96">
        <v>290000</v>
      </c>
      <c r="G29" s="15"/>
    </row>
    <row r="30" spans="1:7" x14ac:dyDescent="0.35">
      <c r="A30" t="s">
        <v>20</v>
      </c>
      <c r="B30" t="s">
        <v>26</v>
      </c>
      <c r="C30" s="1">
        <v>45323</v>
      </c>
      <c r="D30" s="6" t="s">
        <v>156</v>
      </c>
      <c r="E30" t="s">
        <v>154</v>
      </c>
      <c r="F30" s="96">
        <v>151000</v>
      </c>
      <c r="G30" s="15"/>
    </row>
    <row r="31" spans="1:7" x14ac:dyDescent="0.35">
      <c r="A31" t="s">
        <v>20</v>
      </c>
      <c r="B31" t="s">
        <v>26</v>
      </c>
      <c r="C31" s="1">
        <v>45323</v>
      </c>
      <c r="D31" s="6" t="s">
        <v>156</v>
      </c>
      <c r="E31" t="s">
        <v>154</v>
      </c>
      <c r="F31" s="96">
        <v>37000</v>
      </c>
      <c r="G31" s="15"/>
    </row>
    <row r="32" spans="1:7" x14ac:dyDescent="0.35">
      <c r="A32" t="s">
        <v>19</v>
      </c>
      <c r="B32" t="s">
        <v>19</v>
      </c>
      <c r="C32" s="1">
        <v>45329</v>
      </c>
      <c r="D32" s="6" t="s">
        <v>156</v>
      </c>
      <c r="E32" t="s">
        <v>155</v>
      </c>
      <c r="F32" s="95">
        <v>100000</v>
      </c>
      <c r="G32" s="15"/>
    </row>
    <row r="33" spans="1:7" x14ac:dyDescent="0.35">
      <c r="A33" t="s">
        <v>19</v>
      </c>
      <c r="B33" t="s">
        <v>19</v>
      </c>
      <c r="C33" s="1">
        <v>45329</v>
      </c>
      <c r="D33" s="6" t="s">
        <v>156</v>
      </c>
      <c r="E33" t="s">
        <v>155</v>
      </c>
      <c r="F33" s="95">
        <v>150000</v>
      </c>
      <c r="G33" s="15"/>
    </row>
    <row r="34" spans="1:7" x14ac:dyDescent="0.35">
      <c r="A34" t="s">
        <v>19</v>
      </c>
      <c r="B34" t="s">
        <v>19</v>
      </c>
      <c r="C34" s="1">
        <v>45329</v>
      </c>
      <c r="D34" s="6" t="s">
        <v>156</v>
      </c>
      <c r="E34" t="s">
        <v>154</v>
      </c>
      <c r="F34" s="95">
        <v>385000</v>
      </c>
      <c r="G34" s="15"/>
    </row>
    <row r="35" spans="1:7" x14ac:dyDescent="0.35">
      <c r="A35" t="s">
        <v>20</v>
      </c>
      <c r="B35" t="s">
        <v>26</v>
      </c>
      <c r="C35" s="1">
        <v>45330</v>
      </c>
      <c r="D35" s="6" t="s">
        <v>156</v>
      </c>
      <c r="E35" t="s">
        <v>154</v>
      </c>
      <c r="F35" s="96">
        <v>200000</v>
      </c>
      <c r="G35" s="15"/>
    </row>
    <row r="36" spans="1:7" x14ac:dyDescent="0.35">
      <c r="A36" t="s">
        <v>19</v>
      </c>
      <c r="B36" t="s">
        <v>19</v>
      </c>
      <c r="C36" s="1">
        <v>45336</v>
      </c>
      <c r="D36" s="6" t="s">
        <v>156</v>
      </c>
      <c r="E36" t="s">
        <v>154</v>
      </c>
      <c r="F36" s="95">
        <v>247000</v>
      </c>
      <c r="G36" s="15"/>
    </row>
    <row r="37" spans="1:7" x14ac:dyDescent="0.35">
      <c r="A37" t="s">
        <v>19</v>
      </c>
      <c r="B37" t="s">
        <v>19</v>
      </c>
      <c r="C37" s="1">
        <v>45336</v>
      </c>
      <c r="D37" s="6" t="s">
        <v>156</v>
      </c>
      <c r="E37" t="s">
        <v>155</v>
      </c>
      <c r="F37" s="95">
        <v>80000</v>
      </c>
      <c r="G37" s="15"/>
    </row>
    <row r="38" spans="1:7" x14ac:dyDescent="0.35">
      <c r="A38" t="s">
        <v>19</v>
      </c>
      <c r="B38" t="s">
        <v>19</v>
      </c>
      <c r="C38" s="1">
        <v>45336</v>
      </c>
      <c r="D38" s="6" t="s">
        <v>156</v>
      </c>
      <c r="E38" t="s">
        <v>155</v>
      </c>
      <c r="F38" s="95">
        <v>80000</v>
      </c>
      <c r="G38" s="15"/>
    </row>
    <row r="39" spans="1:7" x14ac:dyDescent="0.35">
      <c r="A39" t="s">
        <v>19</v>
      </c>
      <c r="B39" t="s">
        <v>19</v>
      </c>
      <c r="C39" s="1">
        <v>45336</v>
      </c>
      <c r="D39" s="6" t="s">
        <v>156</v>
      </c>
      <c r="E39" t="s">
        <v>155</v>
      </c>
      <c r="F39" s="95">
        <v>150000</v>
      </c>
      <c r="G39" s="15"/>
    </row>
    <row r="40" spans="1:7" x14ac:dyDescent="0.35">
      <c r="A40" t="s">
        <v>20</v>
      </c>
      <c r="B40" t="s">
        <v>158</v>
      </c>
      <c r="C40" s="1">
        <v>45336</v>
      </c>
      <c r="D40" s="6" t="s">
        <v>156</v>
      </c>
      <c r="E40" t="s">
        <v>155</v>
      </c>
      <c r="F40" s="95">
        <v>100000</v>
      </c>
      <c r="G40" s="15"/>
    </row>
    <row r="41" spans="1:7" x14ac:dyDescent="0.35">
      <c r="A41" t="s">
        <v>20</v>
      </c>
      <c r="B41" t="s">
        <v>26</v>
      </c>
      <c r="C41" s="1">
        <v>45337</v>
      </c>
      <c r="D41" s="6" t="s">
        <v>156</v>
      </c>
      <c r="E41" t="s">
        <v>154</v>
      </c>
      <c r="F41" s="96">
        <v>200000</v>
      </c>
      <c r="G41" s="15"/>
    </row>
    <row r="42" spans="1:7" x14ac:dyDescent="0.35">
      <c r="A42" t="s">
        <v>19</v>
      </c>
      <c r="B42" t="s">
        <v>19</v>
      </c>
      <c r="C42" s="1">
        <v>45343</v>
      </c>
      <c r="D42" s="6" t="s">
        <v>157</v>
      </c>
      <c r="E42" t="s">
        <v>154</v>
      </c>
      <c r="F42" s="95">
        <v>100000</v>
      </c>
      <c r="G42" s="15"/>
    </row>
    <row r="43" spans="1:7" x14ac:dyDescent="0.35">
      <c r="A43" t="s">
        <v>19</v>
      </c>
      <c r="B43" t="s">
        <v>19</v>
      </c>
      <c r="C43" s="1">
        <v>45343</v>
      </c>
      <c r="D43" s="6" t="s">
        <v>156</v>
      </c>
      <c r="E43" t="s">
        <v>154</v>
      </c>
      <c r="F43" s="95">
        <v>225000</v>
      </c>
      <c r="G43" s="15"/>
    </row>
    <row r="44" spans="1:7" x14ac:dyDescent="0.35">
      <c r="A44" t="s">
        <v>19</v>
      </c>
      <c r="B44" t="s">
        <v>19</v>
      </c>
      <c r="C44" s="1">
        <v>45343</v>
      </c>
      <c r="D44" s="6" t="s">
        <v>156</v>
      </c>
      <c r="E44" t="s">
        <v>155</v>
      </c>
      <c r="F44" s="95">
        <v>100000</v>
      </c>
      <c r="G44" s="15"/>
    </row>
    <row r="45" spans="1:7" x14ac:dyDescent="0.35">
      <c r="A45" t="s">
        <v>19</v>
      </c>
      <c r="B45" t="s">
        <v>19</v>
      </c>
      <c r="C45" s="1">
        <v>45343</v>
      </c>
      <c r="D45" s="6" t="s">
        <v>156</v>
      </c>
      <c r="E45" t="s">
        <v>155</v>
      </c>
      <c r="F45" s="95">
        <v>100000</v>
      </c>
      <c r="G45" s="15"/>
    </row>
    <row r="46" spans="1:7" x14ac:dyDescent="0.35">
      <c r="A46" t="s">
        <v>20</v>
      </c>
      <c r="B46" t="s">
        <v>158</v>
      </c>
      <c r="C46" s="1">
        <v>45343</v>
      </c>
      <c r="D46" s="6" t="s">
        <v>156</v>
      </c>
      <c r="E46" t="s">
        <v>155</v>
      </c>
      <c r="F46" s="95">
        <v>100000</v>
      </c>
      <c r="G46" s="15"/>
    </row>
    <row r="47" spans="1:7" x14ac:dyDescent="0.35">
      <c r="A47" t="s">
        <v>20</v>
      </c>
      <c r="B47" t="s">
        <v>158</v>
      </c>
      <c r="C47" s="1">
        <v>45343</v>
      </c>
      <c r="D47" s="6" t="s">
        <v>156</v>
      </c>
      <c r="E47" t="s">
        <v>155</v>
      </c>
      <c r="F47" s="95">
        <v>100000</v>
      </c>
      <c r="G47" s="15"/>
    </row>
    <row r="48" spans="1:7" x14ac:dyDescent="0.35">
      <c r="A48" t="s">
        <v>20</v>
      </c>
      <c r="B48" t="s">
        <v>162</v>
      </c>
      <c r="C48" s="1">
        <v>45343</v>
      </c>
      <c r="D48" s="6" t="s">
        <v>156</v>
      </c>
      <c r="E48" t="s">
        <v>154</v>
      </c>
      <c r="F48" s="95">
        <v>300000</v>
      </c>
      <c r="G48" s="15"/>
    </row>
    <row r="49" spans="1:7" x14ac:dyDescent="0.35">
      <c r="A49" t="s">
        <v>20</v>
      </c>
      <c r="B49" t="s">
        <v>26</v>
      </c>
      <c r="C49" s="1">
        <v>45344</v>
      </c>
      <c r="D49" s="6" t="s">
        <v>156</v>
      </c>
      <c r="E49" t="s">
        <v>154</v>
      </c>
      <c r="F49" s="95">
        <v>73000</v>
      </c>
      <c r="G49" s="15"/>
    </row>
    <row r="50" spans="1:7" x14ac:dyDescent="0.35">
      <c r="A50" t="s">
        <v>19</v>
      </c>
      <c r="B50" t="s">
        <v>19</v>
      </c>
      <c r="C50" s="1">
        <v>45350</v>
      </c>
      <c r="D50" s="6" t="s">
        <v>156</v>
      </c>
      <c r="E50" t="s">
        <v>154</v>
      </c>
      <c r="F50" s="95">
        <v>360000</v>
      </c>
      <c r="G50" s="15"/>
    </row>
    <row r="51" spans="1:7" x14ac:dyDescent="0.35">
      <c r="A51" t="s">
        <v>20</v>
      </c>
      <c r="B51" t="s">
        <v>158</v>
      </c>
      <c r="C51" s="1">
        <v>45350</v>
      </c>
      <c r="D51" s="6" t="s">
        <v>156</v>
      </c>
      <c r="E51" t="s">
        <v>155</v>
      </c>
      <c r="F51" s="95">
        <v>100000</v>
      </c>
      <c r="G51" s="15"/>
    </row>
    <row r="52" spans="1:7" x14ac:dyDescent="0.35">
      <c r="A52" t="s">
        <v>20</v>
      </c>
      <c r="B52" s="24" t="s">
        <v>171</v>
      </c>
      <c r="C52" s="1">
        <v>45350</v>
      </c>
      <c r="D52" s="6" t="s">
        <v>156</v>
      </c>
      <c r="E52" t="s">
        <v>154</v>
      </c>
      <c r="F52" s="106">
        <v>220000</v>
      </c>
      <c r="G52" s="15"/>
    </row>
    <row r="53" spans="1:7" x14ac:dyDescent="0.35">
      <c r="A53" t="s">
        <v>20</v>
      </c>
      <c r="B53" s="24" t="s">
        <v>162</v>
      </c>
      <c r="C53" s="1">
        <v>45350</v>
      </c>
      <c r="D53" s="6" t="s">
        <v>156</v>
      </c>
      <c r="E53" t="s">
        <v>154</v>
      </c>
      <c r="F53" s="106">
        <v>40000</v>
      </c>
      <c r="G53" s="15"/>
    </row>
    <row r="54" spans="1:7" x14ac:dyDescent="0.35">
      <c r="A54" t="s">
        <v>19</v>
      </c>
      <c r="B54" t="s">
        <v>19</v>
      </c>
      <c r="C54" s="1">
        <v>45350</v>
      </c>
      <c r="D54" s="6" t="s">
        <v>156</v>
      </c>
      <c r="E54" t="s">
        <v>155</v>
      </c>
      <c r="F54" s="95">
        <v>100000</v>
      </c>
      <c r="G54" s="15"/>
    </row>
    <row r="55" spans="1:7" x14ac:dyDescent="0.35">
      <c r="A55" t="s">
        <v>20</v>
      </c>
      <c r="B55" t="s">
        <v>26</v>
      </c>
      <c r="C55" s="1">
        <v>45352</v>
      </c>
      <c r="D55" s="6" t="s">
        <v>156</v>
      </c>
      <c r="E55" t="s">
        <v>154</v>
      </c>
      <c r="F55" s="95">
        <v>204000</v>
      </c>
      <c r="G55" s="15"/>
    </row>
    <row r="56" spans="1:7" x14ac:dyDescent="0.35">
      <c r="A56" t="s">
        <v>19</v>
      </c>
      <c r="B56" t="s">
        <v>19</v>
      </c>
      <c r="C56" s="1">
        <v>45357</v>
      </c>
      <c r="D56" s="6" t="s">
        <v>157</v>
      </c>
      <c r="E56" t="s">
        <v>154</v>
      </c>
      <c r="F56" s="95">
        <v>103000</v>
      </c>
      <c r="G56" s="15"/>
    </row>
    <row r="57" spans="1:7" x14ac:dyDescent="0.35">
      <c r="A57" t="s">
        <v>19</v>
      </c>
      <c r="B57" t="s">
        <v>19</v>
      </c>
      <c r="C57" s="1">
        <v>45357</v>
      </c>
      <c r="D57" s="6" t="s">
        <v>156</v>
      </c>
      <c r="E57" t="s">
        <v>155</v>
      </c>
      <c r="F57" s="95">
        <v>80000</v>
      </c>
      <c r="G57" s="15"/>
    </row>
    <row r="58" spans="1:7" x14ac:dyDescent="0.35">
      <c r="A58" t="s">
        <v>19</v>
      </c>
      <c r="B58" t="s">
        <v>19</v>
      </c>
      <c r="C58" s="1">
        <v>45357</v>
      </c>
      <c r="D58" s="6" t="s">
        <v>156</v>
      </c>
      <c r="E58" t="s">
        <v>155</v>
      </c>
      <c r="F58" s="95">
        <v>150000</v>
      </c>
      <c r="G58" s="15"/>
    </row>
    <row r="59" spans="1:7" x14ac:dyDescent="0.35">
      <c r="A59" t="s">
        <v>19</v>
      </c>
      <c r="B59" t="s">
        <v>19</v>
      </c>
      <c r="C59" s="1">
        <v>45357</v>
      </c>
      <c r="D59" s="6" t="s">
        <v>156</v>
      </c>
      <c r="E59" t="s">
        <v>155</v>
      </c>
      <c r="F59" s="95">
        <v>100000</v>
      </c>
      <c r="G59" s="15"/>
    </row>
    <row r="60" spans="1:7" x14ac:dyDescent="0.35">
      <c r="A60" t="s">
        <v>20</v>
      </c>
      <c r="B60" t="s">
        <v>158</v>
      </c>
      <c r="C60" s="1">
        <v>45357</v>
      </c>
      <c r="D60" s="6" t="s">
        <v>156</v>
      </c>
      <c r="E60" t="s">
        <v>155</v>
      </c>
      <c r="F60" s="95">
        <v>120000</v>
      </c>
      <c r="G60" s="15"/>
    </row>
    <row r="61" spans="1:7" x14ac:dyDescent="0.35">
      <c r="A61" t="s">
        <v>20</v>
      </c>
      <c r="B61" t="s">
        <v>158</v>
      </c>
      <c r="C61" s="1">
        <v>45357</v>
      </c>
      <c r="D61" s="6" t="s">
        <v>156</v>
      </c>
      <c r="E61" t="s">
        <v>155</v>
      </c>
      <c r="F61" s="95">
        <v>80000</v>
      </c>
      <c r="G61" s="15"/>
    </row>
    <row r="62" spans="1:7" x14ac:dyDescent="0.35">
      <c r="A62" t="s">
        <v>20</v>
      </c>
      <c r="B62" t="s">
        <v>26</v>
      </c>
      <c r="C62" s="1">
        <v>45358</v>
      </c>
      <c r="D62" s="6" t="s">
        <v>156</v>
      </c>
      <c r="E62" t="s">
        <v>154</v>
      </c>
      <c r="F62" s="95">
        <v>188000</v>
      </c>
      <c r="G62" s="15"/>
    </row>
    <row r="63" spans="1:7" x14ac:dyDescent="0.35">
      <c r="A63" t="s">
        <v>20</v>
      </c>
      <c r="B63" t="s">
        <v>162</v>
      </c>
      <c r="C63" s="1">
        <v>45364</v>
      </c>
      <c r="D63" t="s">
        <v>156</v>
      </c>
      <c r="E63" t="s">
        <v>154</v>
      </c>
      <c r="F63" s="95">
        <v>100000</v>
      </c>
      <c r="G63" s="15"/>
    </row>
    <row r="64" spans="1:7" x14ac:dyDescent="0.35">
      <c r="A64" t="s">
        <v>20</v>
      </c>
      <c r="B64" t="s">
        <v>158</v>
      </c>
      <c r="C64" s="1">
        <v>45364</v>
      </c>
      <c r="D64" t="s">
        <v>156</v>
      </c>
      <c r="E64" t="s">
        <v>155</v>
      </c>
      <c r="F64" s="95">
        <v>100000</v>
      </c>
      <c r="G64" s="15"/>
    </row>
    <row r="65" spans="1:7" x14ac:dyDescent="0.35">
      <c r="A65" t="s">
        <v>20</v>
      </c>
      <c r="B65" t="s">
        <v>158</v>
      </c>
      <c r="C65" s="1">
        <v>45364</v>
      </c>
      <c r="D65" t="s">
        <v>156</v>
      </c>
      <c r="E65" t="s">
        <v>155</v>
      </c>
      <c r="F65" s="95">
        <v>100000</v>
      </c>
      <c r="G65" s="15"/>
    </row>
    <row r="66" spans="1:7" x14ac:dyDescent="0.35">
      <c r="A66" t="s">
        <v>20</v>
      </c>
      <c r="B66" t="s">
        <v>158</v>
      </c>
      <c r="C66" s="1">
        <v>45364</v>
      </c>
      <c r="D66" t="s">
        <v>156</v>
      </c>
      <c r="E66" t="s">
        <v>155</v>
      </c>
      <c r="F66" s="95">
        <v>80000</v>
      </c>
      <c r="G66" s="15"/>
    </row>
    <row r="67" spans="1:7" x14ac:dyDescent="0.35">
      <c r="A67" t="s">
        <v>19</v>
      </c>
      <c r="B67" t="s">
        <v>19</v>
      </c>
      <c r="C67" s="1">
        <v>45364</v>
      </c>
      <c r="D67" t="s">
        <v>156</v>
      </c>
      <c r="E67" t="s">
        <v>154</v>
      </c>
      <c r="F67" s="95">
        <v>260000</v>
      </c>
      <c r="G67" s="15"/>
    </row>
    <row r="68" spans="1:7" x14ac:dyDescent="0.35">
      <c r="A68" t="s">
        <v>19</v>
      </c>
      <c r="B68" t="s">
        <v>19</v>
      </c>
      <c r="C68" s="1">
        <v>45364</v>
      </c>
      <c r="D68" t="s">
        <v>156</v>
      </c>
      <c r="E68" t="s">
        <v>155</v>
      </c>
      <c r="F68" s="95">
        <v>100000</v>
      </c>
      <c r="G68" s="15"/>
    </row>
    <row r="69" spans="1:7" x14ac:dyDescent="0.35">
      <c r="A69" t="s">
        <v>19</v>
      </c>
      <c r="B69" t="s">
        <v>19</v>
      </c>
      <c r="C69" s="1">
        <v>45364</v>
      </c>
      <c r="D69" t="s">
        <v>156</v>
      </c>
      <c r="E69" t="s">
        <v>155</v>
      </c>
      <c r="F69" s="95">
        <v>100000</v>
      </c>
      <c r="G69" s="15"/>
    </row>
    <row r="70" spans="1:7" x14ac:dyDescent="0.35">
      <c r="A70" t="s">
        <v>19</v>
      </c>
      <c r="B70" t="s">
        <v>19</v>
      </c>
      <c r="C70" s="1">
        <v>45364</v>
      </c>
      <c r="D70" t="s">
        <v>156</v>
      </c>
      <c r="E70" t="s">
        <v>155</v>
      </c>
      <c r="F70" s="95">
        <v>100000</v>
      </c>
      <c r="G70" s="15"/>
    </row>
    <row r="71" spans="1:7" x14ac:dyDescent="0.35">
      <c r="A71" t="s">
        <v>19</v>
      </c>
      <c r="B71" t="s">
        <v>19</v>
      </c>
      <c r="C71" s="1">
        <v>45364</v>
      </c>
      <c r="D71" t="s">
        <v>156</v>
      </c>
      <c r="E71" t="s">
        <v>155</v>
      </c>
      <c r="F71" s="95">
        <v>100000</v>
      </c>
      <c r="G71" s="15"/>
    </row>
    <row r="72" spans="1:7" x14ac:dyDescent="0.35">
      <c r="A72" t="s">
        <v>20</v>
      </c>
      <c r="B72" t="s">
        <v>26</v>
      </c>
      <c r="C72" s="1">
        <v>45365</v>
      </c>
      <c r="D72" t="s">
        <v>156</v>
      </c>
      <c r="E72" t="s">
        <v>154</v>
      </c>
      <c r="F72" s="95">
        <v>143000</v>
      </c>
      <c r="G72" s="15"/>
    </row>
    <row r="73" spans="1:7" x14ac:dyDescent="0.35">
      <c r="A73" t="s">
        <v>19</v>
      </c>
      <c r="B73" t="s">
        <v>19</v>
      </c>
      <c r="C73" s="1">
        <v>45371</v>
      </c>
      <c r="D73" t="s">
        <v>156</v>
      </c>
      <c r="E73" t="s">
        <v>154</v>
      </c>
      <c r="F73" s="95">
        <v>100000</v>
      </c>
      <c r="G73" s="15"/>
    </row>
    <row r="74" spans="1:7" x14ac:dyDescent="0.35">
      <c r="A74" t="s">
        <v>19</v>
      </c>
      <c r="B74" t="s">
        <v>19</v>
      </c>
      <c r="C74" s="1">
        <v>45371</v>
      </c>
      <c r="D74" t="s">
        <v>157</v>
      </c>
      <c r="E74" t="s">
        <v>154</v>
      </c>
      <c r="F74" s="95">
        <v>65000</v>
      </c>
      <c r="G74" s="15"/>
    </row>
    <row r="75" spans="1:7" x14ac:dyDescent="0.35">
      <c r="A75" t="s">
        <v>20</v>
      </c>
      <c r="B75" s="24" t="s">
        <v>162</v>
      </c>
      <c r="C75" s="1">
        <v>45371</v>
      </c>
      <c r="D75" t="s">
        <v>156</v>
      </c>
      <c r="E75" t="s">
        <v>154</v>
      </c>
      <c r="F75" s="105">
        <v>160000</v>
      </c>
      <c r="G75" s="15"/>
    </row>
    <row r="76" spans="1:7" x14ac:dyDescent="0.35">
      <c r="A76" t="s">
        <v>20</v>
      </c>
      <c r="B76" s="24" t="s">
        <v>171</v>
      </c>
      <c r="C76" s="1">
        <v>45371</v>
      </c>
      <c r="D76" t="s">
        <v>156</v>
      </c>
      <c r="E76" t="s">
        <v>154</v>
      </c>
      <c r="F76" s="105">
        <v>55000</v>
      </c>
      <c r="G76" s="15"/>
    </row>
    <row r="77" spans="1:7" x14ac:dyDescent="0.35">
      <c r="A77" t="s">
        <v>20</v>
      </c>
      <c r="B77" s="24" t="s">
        <v>170</v>
      </c>
      <c r="C77" s="1">
        <v>45371</v>
      </c>
      <c r="D77" t="s">
        <v>156</v>
      </c>
      <c r="E77" t="s">
        <v>154</v>
      </c>
      <c r="F77" s="105">
        <v>175000</v>
      </c>
      <c r="G77" s="15"/>
    </row>
    <row r="78" spans="1:7" x14ac:dyDescent="0.35">
      <c r="A78" t="s">
        <v>19</v>
      </c>
      <c r="B78" t="s">
        <v>19</v>
      </c>
      <c r="C78" s="1">
        <v>45371</v>
      </c>
      <c r="D78" t="s">
        <v>156</v>
      </c>
      <c r="E78" t="s">
        <v>155</v>
      </c>
      <c r="F78" s="29">
        <v>100000</v>
      </c>
      <c r="G78" s="15"/>
    </row>
    <row r="79" spans="1:7" x14ac:dyDescent="0.35">
      <c r="A79" t="s">
        <v>19</v>
      </c>
      <c r="B79" t="s">
        <v>19</v>
      </c>
      <c r="C79" s="1">
        <v>45371</v>
      </c>
      <c r="D79" t="s">
        <v>156</v>
      </c>
      <c r="E79" t="s">
        <v>155</v>
      </c>
      <c r="F79" s="29">
        <v>100000</v>
      </c>
      <c r="G79" s="15"/>
    </row>
    <row r="80" spans="1:7" x14ac:dyDescent="0.35">
      <c r="A80" t="s">
        <v>19</v>
      </c>
      <c r="B80" t="s">
        <v>19</v>
      </c>
      <c r="C80" s="1">
        <v>45371</v>
      </c>
      <c r="D80" t="s">
        <v>156</v>
      </c>
      <c r="E80" t="s">
        <v>155</v>
      </c>
      <c r="F80" s="29">
        <v>100000</v>
      </c>
      <c r="G80" s="15"/>
    </row>
    <row r="81" spans="1:7" x14ac:dyDescent="0.35">
      <c r="A81" t="s">
        <v>19</v>
      </c>
      <c r="B81" t="s">
        <v>19</v>
      </c>
      <c r="C81" s="1">
        <v>45371</v>
      </c>
      <c r="D81" t="s">
        <v>156</v>
      </c>
      <c r="E81" t="s">
        <v>155</v>
      </c>
      <c r="F81" s="29">
        <v>100000</v>
      </c>
      <c r="G81" s="15"/>
    </row>
    <row r="82" spans="1:7" x14ac:dyDescent="0.35">
      <c r="A82" t="s">
        <v>19</v>
      </c>
      <c r="B82" t="s">
        <v>19</v>
      </c>
      <c r="C82" s="1">
        <v>45371</v>
      </c>
      <c r="D82" t="s">
        <v>156</v>
      </c>
      <c r="E82" t="s">
        <v>155</v>
      </c>
      <c r="F82" s="29">
        <v>100000</v>
      </c>
      <c r="G82" s="15"/>
    </row>
    <row r="83" spans="1:7" x14ac:dyDescent="0.35">
      <c r="A83" t="s">
        <v>20</v>
      </c>
      <c r="B83" t="s">
        <v>162</v>
      </c>
      <c r="C83" s="1">
        <v>45372</v>
      </c>
      <c r="D83" t="s">
        <v>156</v>
      </c>
      <c r="E83" t="s">
        <v>154</v>
      </c>
      <c r="F83" s="29">
        <v>28000</v>
      </c>
      <c r="G83" s="15"/>
    </row>
    <row r="84" spans="1:7" x14ac:dyDescent="0.35">
      <c r="A84" t="s">
        <v>20</v>
      </c>
      <c r="B84" t="s">
        <v>26</v>
      </c>
      <c r="C84" s="1">
        <v>45372</v>
      </c>
      <c r="D84" t="s">
        <v>156</v>
      </c>
      <c r="E84" t="s">
        <v>154</v>
      </c>
      <c r="F84" s="29">
        <v>89000</v>
      </c>
      <c r="G84" s="15"/>
    </row>
    <row r="85" spans="1:7" x14ac:dyDescent="0.35">
      <c r="A85" t="s">
        <v>20</v>
      </c>
      <c r="B85" t="s">
        <v>171</v>
      </c>
      <c r="C85" s="1">
        <v>45385</v>
      </c>
      <c r="D85" t="s">
        <v>156</v>
      </c>
      <c r="E85" t="s">
        <v>154</v>
      </c>
      <c r="F85" s="29">
        <v>120000</v>
      </c>
      <c r="G85" s="15"/>
    </row>
    <row r="86" spans="1:7" x14ac:dyDescent="0.35">
      <c r="A86" t="s">
        <v>19</v>
      </c>
      <c r="B86" t="s">
        <v>19</v>
      </c>
      <c r="C86" s="1">
        <v>45385</v>
      </c>
      <c r="D86" t="s">
        <v>156</v>
      </c>
      <c r="E86" t="s">
        <v>154</v>
      </c>
      <c r="F86" s="29">
        <v>310000</v>
      </c>
      <c r="G86" s="15"/>
    </row>
    <row r="87" spans="1:7" x14ac:dyDescent="0.35">
      <c r="A87" t="s">
        <v>19</v>
      </c>
      <c r="B87" t="s">
        <v>19</v>
      </c>
      <c r="C87" s="1">
        <v>45385</v>
      </c>
      <c r="D87" t="s">
        <v>156</v>
      </c>
      <c r="E87" t="s">
        <v>155</v>
      </c>
      <c r="F87" s="29">
        <v>100000</v>
      </c>
      <c r="G87" s="15"/>
    </row>
    <row r="88" spans="1:7" x14ac:dyDescent="0.35">
      <c r="A88" t="s">
        <v>19</v>
      </c>
      <c r="B88" t="s">
        <v>19</v>
      </c>
      <c r="C88" s="1">
        <v>45385</v>
      </c>
      <c r="D88" t="s">
        <v>156</v>
      </c>
      <c r="E88" t="s">
        <v>155</v>
      </c>
      <c r="F88" s="29">
        <v>100000</v>
      </c>
      <c r="G88" s="15"/>
    </row>
    <row r="89" spans="1:7" x14ac:dyDescent="0.35">
      <c r="A89" t="s">
        <v>19</v>
      </c>
      <c r="B89" t="s">
        <v>19</v>
      </c>
      <c r="C89" s="1">
        <v>45385</v>
      </c>
      <c r="D89" t="s">
        <v>156</v>
      </c>
      <c r="E89" t="s">
        <v>155</v>
      </c>
      <c r="F89" s="29">
        <v>100000</v>
      </c>
      <c r="G89" s="15"/>
    </row>
    <row r="90" spans="1:7" x14ac:dyDescent="0.35">
      <c r="A90" t="s">
        <v>20</v>
      </c>
      <c r="B90" t="s">
        <v>190</v>
      </c>
      <c r="C90" s="1">
        <v>45386</v>
      </c>
      <c r="D90" t="s">
        <v>156</v>
      </c>
      <c r="E90" t="s">
        <v>155</v>
      </c>
      <c r="F90" s="29">
        <v>412500</v>
      </c>
      <c r="G90" s="15"/>
    </row>
    <row r="91" spans="1:7" x14ac:dyDescent="0.35">
      <c r="A91" t="s">
        <v>20</v>
      </c>
      <c r="B91" t="s">
        <v>191</v>
      </c>
      <c r="C91" s="1">
        <v>45386</v>
      </c>
      <c r="D91" t="s">
        <v>156</v>
      </c>
      <c r="E91" t="s">
        <v>155</v>
      </c>
      <c r="F91" s="29">
        <v>250000</v>
      </c>
      <c r="G91" s="15"/>
    </row>
    <row r="92" spans="1:7" x14ac:dyDescent="0.35">
      <c r="A92" t="s">
        <v>20</v>
      </c>
      <c r="B92" t="s">
        <v>26</v>
      </c>
      <c r="C92" s="1">
        <v>45387</v>
      </c>
      <c r="D92" t="s">
        <v>156</v>
      </c>
      <c r="E92" t="s">
        <v>154</v>
      </c>
      <c r="F92" s="29">
        <v>216000</v>
      </c>
      <c r="G92" s="15"/>
    </row>
    <row r="93" spans="1:7" x14ac:dyDescent="0.35">
      <c r="A93" t="s">
        <v>20</v>
      </c>
      <c r="B93" t="s">
        <v>158</v>
      </c>
      <c r="C93" s="1">
        <v>45392</v>
      </c>
      <c r="D93" t="s">
        <v>156</v>
      </c>
      <c r="E93" t="s">
        <v>155</v>
      </c>
      <c r="F93" s="29">
        <v>100000</v>
      </c>
      <c r="G93" s="15"/>
    </row>
    <row r="94" spans="1:7" x14ac:dyDescent="0.35">
      <c r="A94" t="s">
        <v>20</v>
      </c>
      <c r="B94" t="s">
        <v>158</v>
      </c>
      <c r="C94" s="1">
        <v>45392</v>
      </c>
      <c r="D94" t="s">
        <v>156</v>
      </c>
      <c r="E94" t="s">
        <v>155</v>
      </c>
      <c r="F94" s="29">
        <v>100000</v>
      </c>
      <c r="G94" s="15"/>
    </row>
    <row r="95" spans="1:7" x14ac:dyDescent="0.35">
      <c r="A95" t="s">
        <v>20</v>
      </c>
      <c r="B95" t="s">
        <v>170</v>
      </c>
      <c r="C95" s="1">
        <v>45392</v>
      </c>
      <c r="D95" t="s">
        <v>156</v>
      </c>
      <c r="E95" t="s">
        <v>154</v>
      </c>
      <c r="F95" s="29">
        <v>170000</v>
      </c>
      <c r="G95" s="15"/>
    </row>
    <row r="96" spans="1:7" x14ac:dyDescent="0.35">
      <c r="A96" t="s">
        <v>20</v>
      </c>
      <c r="B96" t="s">
        <v>171</v>
      </c>
      <c r="C96" s="1">
        <v>45392</v>
      </c>
      <c r="D96" t="s">
        <v>156</v>
      </c>
      <c r="E96" t="s">
        <v>154</v>
      </c>
      <c r="F96" s="29">
        <v>3500</v>
      </c>
      <c r="G96" s="15"/>
    </row>
    <row r="97" spans="1:7" x14ac:dyDescent="0.35">
      <c r="A97" t="s">
        <v>20</v>
      </c>
      <c r="B97" t="s">
        <v>158</v>
      </c>
      <c r="C97" s="1">
        <v>45392</v>
      </c>
      <c r="D97" t="s">
        <v>156</v>
      </c>
      <c r="E97" t="s">
        <v>154</v>
      </c>
      <c r="F97" s="29">
        <v>246500</v>
      </c>
      <c r="G97" s="15"/>
    </row>
    <row r="98" spans="1:7" x14ac:dyDescent="0.35">
      <c r="A98" t="s">
        <v>19</v>
      </c>
      <c r="B98" t="s">
        <v>19</v>
      </c>
      <c r="C98" s="1">
        <v>45392</v>
      </c>
      <c r="D98" t="s">
        <v>156</v>
      </c>
      <c r="E98" t="s">
        <v>154</v>
      </c>
      <c r="F98" s="29">
        <v>115000</v>
      </c>
      <c r="G98" s="15"/>
    </row>
    <row r="99" spans="1:7" x14ac:dyDescent="0.35">
      <c r="A99" t="s">
        <v>19</v>
      </c>
      <c r="B99" t="s">
        <v>19</v>
      </c>
      <c r="C99" s="1">
        <v>45392</v>
      </c>
      <c r="D99" t="s">
        <v>157</v>
      </c>
      <c r="E99" t="s">
        <v>154</v>
      </c>
      <c r="F99" s="29">
        <v>100000</v>
      </c>
      <c r="G99" s="15"/>
    </row>
    <row r="100" spans="1:7" x14ac:dyDescent="0.35">
      <c r="A100" t="s">
        <v>19</v>
      </c>
      <c r="B100" t="s">
        <v>19</v>
      </c>
      <c r="C100" s="1">
        <v>45392</v>
      </c>
      <c r="D100" t="s">
        <v>156</v>
      </c>
      <c r="E100" t="s">
        <v>155</v>
      </c>
      <c r="F100" s="29">
        <v>80000</v>
      </c>
      <c r="G100" s="15"/>
    </row>
    <row r="101" spans="1:7" x14ac:dyDescent="0.35">
      <c r="A101" t="s">
        <v>19</v>
      </c>
      <c r="B101" t="s">
        <v>19</v>
      </c>
      <c r="C101" s="1">
        <v>45392</v>
      </c>
      <c r="D101" t="s">
        <v>156</v>
      </c>
      <c r="E101" t="s">
        <v>155</v>
      </c>
      <c r="F101" s="29">
        <v>100000</v>
      </c>
      <c r="G101" s="15"/>
    </row>
    <row r="102" spans="1:7" x14ac:dyDescent="0.35">
      <c r="A102" t="s">
        <v>19</v>
      </c>
      <c r="B102" t="s">
        <v>19</v>
      </c>
      <c r="C102" s="1">
        <v>45392</v>
      </c>
      <c r="D102" t="s">
        <v>156</v>
      </c>
      <c r="E102" t="s">
        <v>155</v>
      </c>
      <c r="F102" s="29">
        <v>100000</v>
      </c>
      <c r="G102" s="15"/>
    </row>
    <row r="103" spans="1:7" x14ac:dyDescent="0.35">
      <c r="A103" t="s">
        <v>19</v>
      </c>
      <c r="B103" t="s">
        <v>19</v>
      </c>
      <c r="C103" s="1">
        <v>45392</v>
      </c>
      <c r="D103" t="s">
        <v>156</v>
      </c>
      <c r="E103" t="s">
        <v>154</v>
      </c>
      <c r="F103" s="29">
        <v>100000</v>
      </c>
      <c r="G103" s="15"/>
    </row>
    <row r="104" spans="1:7" x14ac:dyDescent="0.35">
      <c r="A104" t="s">
        <v>20</v>
      </c>
      <c r="B104" t="s">
        <v>158</v>
      </c>
      <c r="C104" s="1">
        <v>45393</v>
      </c>
      <c r="D104" t="s">
        <v>156</v>
      </c>
      <c r="E104" t="s">
        <v>154</v>
      </c>
      <c r="F104" s="29">
        <v>265000</v>
      </c>
      <c r="G104" s="15"/>
    </row>
    <row r="105" spans="1:7" x14ac:dyDescent="0.35">
      <c r="A105" t="s">
        <v>194</v>
      </c>
      <c r="B105" t="s">
        <v>170</v>
      </c>
      <c r="C105" s="1">
        <v>45393</v>
      </c>
      <c r="D105" t="s">
        <v>156</v>
      </c>
      <c r="E105" t="s">
        <v>154</v>
      </c>
      <c r="F105" s="29">
        <v>120000</v>
      </c>
      <c r="G105" s="15"/>
    </row>
    <row r="106" spans="1:7" x14ac:dyDescent="0.35">
      <c r="A106" t="s">
        <v>20</v>
      </c>
      <c r="B106" t="s">
        <v>26</v>
      </c>
      <c r="C106" s="1">
        <v>45394</v>
      </c>
      <c r="D106" t="s">
        <v>156</v>
      </c>
      <c r="E106" t="s">
        <v>154</v>
      </c>
      <c r="F106" s="29">
        <v>129000</v>
      </c>
      <c r="G106" s="15"/>
    </row>
    <row r="107" spans="1:7" x14ac:dyDescent="0.35">
      <c r="A107" t="s">
        <v>20</v>
      </c>
      <c r="B107" t="s">
        <v>158</v>
      </c>
      <c r="C107" s="1">
        <v>45397</v>
      </c>
      <c r="D107" t="s">
        <v>156</v>
      </c>
      <c r="E107" t="s">
        <v>154</v>
      </c>
      <c r="F107" s="29">
        <v>100000</v>
      </c>
      <c r="G107" s="15"/>
    </row>
    <row r="108" spans="1:7" x14ac:dyDescent="0.35">
      <c r="A108" t="s">
        <v>20</v>
      </c>
      <c r="B108" t="s">
        <v>171</v>
      </c>
      <c r="C108" s="1">
        <v>45397</v>
      </c>
      <c r="D108" t="s">
        <v>156</v>
      </c>
      <c r="E108" t="s">
        <v>154</v>
      </c>
      <c r="F108" s="29">
        <v>100000</v>
      </c>
      <c r="G108" s="15"/>
    </row>
    <row r="109" spans="1:7" x14ac:dyDescent="0.35">
      <c r="A109" t="s">
        <v>19</v>
      </c>
      <c r="B109" t="s">
        <v>19</v>
      </c>
      <c r="C109" s="1">
        <v>45397</v>
      </c>
      <c r="D109" t="s">
        <v>156</v>
      </c>
      <c r="E109" t="s">
        <v>154</v>
      </c>
      <c r="F109" s="29">
        <v>200000</v>
      </c>
      <c r="G109" s="15"/>
    </row>
    <row r="110" spans="1:7" x14ac:dyDescent="0.35">
      <c r="A110" t="s">
        <v>20</v>
      </c>
      <c r="B110" t="s">
        <v>158</v>
      </c>
      <c r="C110" s="1">
        <v>45399</v>
      </c>
      <c r="D110" t="s">
        <v>156</v>
      </c>
      <c r="E110" t="s">
        <v>155</v>
      </c>
      <c r="F110" s="29">
        <v>100000</v>
      </c>
      <c r="G110" s="15"/>
    </row>
    <row r="111" spans="1:7" x14ac:dyDescent="0.35">
      <c r="A111" t="s">
        <v>20</v>
      </c>
      <c r="B111" t="s">
        <v>158</v>
      </c>
      <c r="C111" s="1">
        <v>45399</v>
      </c>
      <c r="D111" t="s">
        <v>156</v>
      </c>
      <c r="E111" t="s">
        <v>155</v>
      </c>
      <c r="F111" s="29">
        <v>100000</v>
      </c>
      <c r="G111" s="15"/>
    </row>
    <row r="112" spans="1:7" x14ac:dyDescent="0.35">
      <c r="A112" t="s">
        <v>20</v>
      </c>
      <c r="B112" s="24" t="s">
        <v>158</v>
      </c>
      <c r="C112" s="1">
        <v>45399</v>
      </c>
      <c r="D112" t="s">
        <v>156</v>
      </c>
      <c r="E112" t="s">
        <v>154</v>
      </c>
      <c r="F112" s="105">
        <v>118000</v>
      </c>
      <c r="G112" s="15"/>
    </row>
    <row r="113" spans="1:7" x14ac:dyDescent="0.35">
      <c r="A113" t="s">
        <v>20</v>
      </c>
      <c r="B113" s="24" t="s">
        <v>162</v>
      </c>
      <c r="C113" s="1">
        <v>45399</v>
      </c>
      <c r="D113" t="s">
        <v>156</v>
      </c>
      <c r="E113" t="s">
        <v>154</v>
      </c>
      <c r="F113" s="105">
        <v>267000</v>
      </c>
      <c r="G113" s="15"/>
    </row>
    <row r="114" spans="1:7" x14ac:dyDescent="0.35">
      <c r="A114" t="s">
        <v>20</v>
      </c>
      <c r="B114" s="24" t="s">
        <v>212</v>
      </c>
      <c r="C114" s="1">
        <v>45399</v>
      </c>
      <c r="D114" t="s">
        <v>156</v>
      </c>
      <c r="E114" t="s">
        <v>154</v>
      </c>
      <c r="F114" s="105">
        <v>160000</v>
      </c>
      <c r="G114" s="15"/>
    </row>
    <row r="115" spans="1:7" x14ac:dyDescent="0.35">
      <c r="A115" t="s">
        <v>20</v>
      </c>
      <c r="B115" s="24" t="s">
        <v>171</v>
      </c>
      <c r="C115" s="1">
        <v>45399</v>
      </c>
      <c r="D115" t="s">
        <v>156</v>
      </c>
      <c r="E115" t="s">
        <v>154</v>
      </c>
      <c r="F115" s="105">
        <v>42000</v>
      </c>
      <c r="G115" s="15"/>
    </row>
    <row r="116" spans="1:7" x14ac:dyDescent="0.35">
      <c r="A116" t="s">
        <v>19</v>
      </c>
      <c r="B116" t="s">
        <v>19</v>
      </c>
      <c r="C116" s="1">
        <v>45399</v>
      </c>
      <c r="D116" t="s">
        <v>156</v>
      </c>
      <c r="E116" t="s">
        <v>155</v>
      </c>
      <c r="F116" s="76">
        <v>100000</v>
      </c>
      <c r="G116" s="15"/>
    </row>
    <row r="117" spans="1:7" x14ac:dyDescent="0.35">
      <c r="A117" t="s">
        <v>19</v>
      </c>
      <c r="B117" t="s">
        <v>19</v>
      </c>
      <c r="C117" s="1">
        <v>45399</v>
      </c>
      <c r="D117" t="s">
        <v>156</v>
      </c>
      <c r="E117" t="s">
        <v>155</v>
      </c>
      <c r="F117" s="29">
        <v>80000</v>
      </c>
      <c r="G117" s="15"/>
    </row>
    <row r="118" spans="1:7" x14ac:dyDescent="0.35">
      <c r="A118" t="s">
        <v>19</v>
      </c>
      <c r="B118" t="s">
        <v>19</v>
      </c>
      <c r="C118" s="1">
        <v>45399</v>
      </c>
      <c r="D118" t="s">
        <v>156</v>
      </c>
      <c r="E118" t="s">
        <v>155</v>
      </c>
      <c r="F118" s="29">
        <v>100000</v>
      </c>
      <c r="G118" s="15"/>
    </row>
    <row r="119" spans="1:7" x14ac:dyDescent="0.35">
      <c r="A119" t="s">
        <v>19</v>
      </c>
      <c r="B119" t="s">
        <v>19</v>
      </c>
      <c r="C119" s="1">
        <v>45399</v>
      </c>
      <c r="D119" t="s">
        <v>156</v>
      </c>
      <c r="E119" t="s">
        <v>154</v>
      </c>
      <c r="F119" s="29">
        <v>310000</v>
      </c>
      <c r="G119" s="15"/>
    </row>
    <row r="120" spans="1:7" x14ac:dyDescent="0.35">
      <c r="A120" t="s">
        <v>194</v>
      </c>
      <c r="B120" t="s">
        <v>212</v>
      </c>
      <c r="C120" s="1">
        <v>45399</v>
      </c>
      <c r="D120" t="s">
        <v>156</v>
      </c>
      <c r="E120" t="s">
        <v>154</v>
      </c>
      <c r="F120" s="29">
        <v>127000</v>
      </c>
      <c r="G120" s="15"/>
    </row>
    <row r="121" spans="1:7" x14ac:dyDescent="0.35">
      <c r="A121" t="s">
        <v>20</v>
      </c>
      <c r="B121" t="s">
        <v>26</v>
      </c>
      <c r="C121" s="1">
        <v>45400</v>
      </c>
      <c r="D121" t="s">
        <v>156</v>
      </c>
      <c r="E121" t="s">
        <v>154</v>
      </c>
      <c r="F121" s="29">
        <v>533000</v>
      </c>
      <c r="G121" s="15"/>
    </row>
    <row r="122" spans="1:7" x14ac:dyDescent="0.35">
      <c r="A122" t="s">
        <v>20</v>
      </c>
      <c r="B122" s="24" t="s">
        <v>158</v>
      </c>
      <c r="C122" s="1">
        <v>45406</v>
      </c>
      <c r="D122" t="s">
        <v>156</v>
      </c>
      <c r="E122" t="s">
        <v>154</v>
      </c>
      <c r="F122" s="105">
        <v>70000</v>
      </c>
      <c r="G122" s="15"/>
    </row>
    <row r="123" spans="1:7" x14ac:dyDescent="0.35">
      <c r="A123" t="s">
        <v>20</v>
      </c>
      <c r="B123" s="24" t="s">
        <v>173</v>
      </c>
      <c r="C123" s="1">
        <v>45406</v>
      </c>
      <c r="D123" t="s">
        <v>156</v>
      </c>
      <c r="E123" t="s">
        <v>154</v>
      </c>
      <c r="F123" s="105">
        <v>300000</v>
      </c>
    </row>
    <row r="124" spans="1:7" x14ac:dyDescent="0.35">
      <c r="A124" t="s">
        <v>20</v>
      </c>
      <c r="B124" s="24" t="s">
        <v>171</v>
      </c>
      <c r="C124" s="1">
        <v>45406</v>
      </c>
      <c r="D124" t="s">
        <v>156</v>
      </c>
      <c r="E124" t="s">
        <v>154</v>
      </c>
      <c r="F124" s="105">
        <v>20000</v>
      </c>
      <c r="G124" s="15"/>
    </row>
    <row r="125" spans="1:7" x14ac:dyDescent="0.35">
      <c r="A125" t="s">
        <v>20</v>
      </c>
      <c r="B125" t="s">
        <v>158</v>
      </c>
      <c r="C125" s="1">
        <v>45406</v>
      </c>
      <c r="D125" t="s">
        <v>156</v>
      </c>
      <c r="E125" t="s">
        <v>155</v>
      </c>
      <c r="F125" s="29">
        <v>100000</v>
      </c>
      <c r="G125" s="15"/>
    </row>
    <row r="126" spans="1:7" x14ac:dyDescent="0.35">
      <c r="A126" t="s">
        <v>20</v>
      </c>
      <c r="B126" t="s">
        <v>158</v>
      </c>
      <c r="C126" s="1">
        <v>45406</v>
      </c>
      <c r="D126" t="s">
        <v>156</v>
      </c>
      <c r="E126" t="s">
        <v>155</v>
      </c>
      <c r="F126" s="29">
        <v>80000</v>
      </c>
      <c r="G126" s="15"/>
    </row>
    <row r="127" spans="1:7" x14ac:dyDescent="0.35">
      <c r="A127" t="s">
        <v>19</v>
      </c>
      <c r="B127" t="s">
        <v>19</v>
      </c>
      <c r="C127" s="1">
        <v>45406</v>
      </c>
      <c r="D127" t="s">
        <v>156</v>
      </c>
      <c r="E127" t="s">
        <v>155</v>
      </c>
      <c r="F127" s="29">
        <v>100000</v>
      </c>
      <c r="G127" s="15"/>
    </row>
    <row r="128" spans="1:7" x14ac:dyDescent="0.35">
      <c r="A128" t="s">
        <v>19</v>
      </c>
      <c r="B128" t="s">
        <v>19</v>
      </c>
      <c r="C128" s="1">
        <v>45406</v>
      </c>
      <c r="D128" t="s">
        <v>156</v>
      </c>
      <c r="E128" t="s">
        <v>155</v>
      </c>
      <c r="F128" s="29">
        <v>100000</v>
      </c>
      <c r="G128" s="15"/>
    </row>
    <row r="129" spans="1:7" x14ac:dyDescent="0.35">
      <c r="A129" t="s">
        <v>19</v>
      </c>
      <c r="B129" t="s">
        <v>19</v>
      </c>
      <c r="C129" s="1">
        <v>45406</v>
      </c>
      <c r="D129" t="s">
        <v>156</v>
      </c>
      <c r="E129" t="s">
        <v>155</v>
      </c>
      <c r="F129" s="29">
        <v>100000</v>
      </c>
      <c r="G129" s="15"/>
    </row>
    <row r="130" spans="1:7" x14ac:dyDescent="0.35">
      <c r="A130" t="s">
        <v>19</v>
      </c>
      <c r="B130" t="s">
        <v>19</v>
      </c>
      <c r="C130" s="1">
        <v>45406</v>
      </c>
      <c r="D130" t="s">
        <v>156</v>
      </c>
      <c r="E130" t="s">
        <v>154</v>
      </c>
      <c r="F130" s="29">
        <v>280000</v>
      </c>
      <c r="G130" s="15"/>
    </row>
    <row r="131" spans="1:7" x14ac:dyDescent="0.35">
      <c r="A131" t="s">
        <v>20</v>
      </c>
      <c r="B131" t="s">
        <v>26</v>
      </c>
      <c r="C131" s="1">
        <v>45407</v>
      </c>
      <c r="D131" t="s">
        <v>156</v>
      </c>
      <c r="E131" t="s">
        <v>154</v>
      </c>
      <c r="F131" s="29">
        <v>537000</v>
      </c>
      <c r="G131" s="15"/>
    </row>
    <row r="132" spans="1:7" x14ac:dyDescent="0.35">
      <c r="A132" t="s">
        <v>20</v>
      </c>
      <c r="B132" t="s">
        <v>236</v>
      </c>
      <c r="C132" s="1">
        <v>45411</v>
      </c>
      <c r="D132" t="s">
        <v>156</v>
      </c>
      <c r="E132" t="s">
        <v>154</v>
      </c>
      <c r="F132" s="29">
        <v>90000</v>
      </c>
      <c r="G132" s="15"/>
    </row>
    <row r="133" spans="1:7" x14ac:dyDescent="0.35">
      <c r="A133" t="s">
        <v>20</v>
      </c>
      <c r="B133" t="s">
        <v>158</v>
      </c>
      <c r="C133" s="1">
        <v>45414</v>
      </c>
      <c r="D133" t="s">
        <v>156</v>
      </c>
      <c r="E133" t="s">
        <v>155</v>
      </c>
      <c r="F133" s="29">
        <v>100000</v>
      </c>
      <c r="G133" s="15"/>
    </row>
    <row r="134" spans="1:7" x14ac:dyDescent="0.35">
      <c r="A134" t="s">
        <v>20</v>
      </c>
      <c r="B134" s="24" t="s">
        <v>158</v>
      </c>
      <c r="C134" s="1">
        <v>45414</v>
      </c>
      <c r="D134" t="s">
        <v>156</v>
      </c>
      <c r="E134" t="s">
        <v>154</v>
      </c>
      <c r="F134" s="105">
        <v>38000</v>
      </c>
      <c r="G134" s="15"/>
    </row>
    <row r="135" spans="1:7" x14ac:dyDescent="0.35">
      <c r="A135" t="s">
        <v>20</v>
      </c>
      <c r="B135" s="24" t="s">
        <v>162</v>
      </c>
      <c r="C135" s="1">
        <v>45414</v>
      </c>
      <c r="D135" t="s">
        <v>156</v>
      </c>
      <c r="E135" t="s">
        <v>154</v>
      </c>
      <c r="F135" s="105">
        <v>17000</v>
      </c>
      <c r="G135" s="15"/>
    </row>
    <row r="136" spans="1:7" x14ac:dyDescent="0.35">
      <c r="A136" t="s">
        <v>20</v>
      </c>
      <c r="B136" s="24" t="s">
        <v>171</v>
      </c>
      <c r="C136" s="1">
        <v>45414</v>
      </c>
      <c r="D136" t="s">
        <v>156</v>
      </c>
      <c r="E136" t="s">
        <v>154</v>
      </c>
      <c r="F136" s="105">
        <v>153000</v>
      </c>
      <c r="G136" s="15"/>
    </row>
    <row r="137" spans="1:7" x14ac:dyDescent="0.35">
      <c r="A137" t="s">
        <v>19</v>
      </c>
      <c r="B137" t="s">
        <v>19</v>
      </c>
      <c r="C137" s="1">
        <v>45414</v>
      </c>
      <c r="D137" t="s">
        <v>156</v>
      </c>
      <c r="E137" t="s">
        <v>155</v>
      </c>
      <c r="F137" s="29">
        <v>100000</v>
      </c>
      <c r="G137" s="15"/>
    </row>
    <row r="138" spans="1:7" x14ac:dyDescent="0.35">
      <c r="A138" t="s">
        <v>19</v>
      </c>
      <c r="B138" t="s">
        <v>19</v>
      </c>
      <c r="C138" s="1">
        <v>45414</v>
      </c>
      <c r="D138" t="s">
        <v>156</v>
      </c>
      <c r="E138" t="s">
        <v>155</v>
      </c>
      <c r="F138" s="29">
        <v>100000</v>
      </c>
      <c r="G138" s="15"/>
    </row>
    <row r="139" spans="1:7" x14ac:dyDescent="0.35">
      <c r="A139" t="s">
        <v>19</v>
      </c>
      <c r="B139" t="s">
        <v>19</v>
      </c>
      <c r="C139" s="1">
        <v>45414</v>
      </c>
      <c r="D139" t="s">
        <v>156</v>
      </c>
      <c r="E139" t="s">
        <v>154</v>
      </c>
      <c r="F139" s="29">
        <v>1050000</v>
      </c>
      <c r="G139" s="15"/>
    </row>
    <row r="140" spans="1:7" x14ac:dyDescent="0.35">
      <c r="A140" t="s">
        <v>20</v>
      </c>
      <c r="B140" t="s">
        <v>26</v>
      </c>
      <c r="C140" s="1">
        <v>45415</v>
      </c>
      <c r="D140" t="s">
        <v>156</v>
      </c>
      <c r="E140" t="s">
        <v>154</v>
      </c>
      <c r="F140" s="29">
        <v>74000</v>
      </c>
      <c r="G140" s="15"/>
    </row>
    <row r="141" spans="1:7" x14ac:dyDescent="0.35">
      <c r="A141" t="s">
        <v>20</v>
      </c>
      <c r="B141" s="24" t="s">
        <v>158</v>
      </c>
      <c r="C141" s="1">
        <v>45420</v>
      </c>
      <c r="D141" t="s">
        <v>156</v>
      </c>
      <c r="E141" t="s">
        <v>154</v>
      </c>
      <c r="F141" s="105">
        <v>405000</v>
      </c>
      <c r="G141" s="15"/>
    </row>
    <row r="142" spans="1:7" x14ac:dyDescent="0.35">
      <c r="A142" t="s">
        <v>20</v>
      </c>
      <c r="B142" s="24" t="s">
        <v>162</v>
      </c>
      <c r="C142" s="1">
        <v>45420</v>
      </c>
      <c r="D142" t="s">
        <v>156</v>
      </c>
      <c r="E142" t="s">
        <v>154</v>
      </c>
      <c r="F142" s="105">
        <v>145000</v>
      </c>
      <c r="G142" s="15"/>
    </row>
    <row r="143" spans="1:7" x14ac:dyDescent="0.35">
      <c r="A143" t="s">
        <v>19</v>
      </c>
      <c r="B143" t="s">
        <v>19</v>
      </c>
      <c r="C143" s="1">
        <v>45420</v>
      </c>
      <c r="D143" t="s">
        <v>156</v>
      </c>
      <c r="E143" t="s">
        <v>154</v>
      </c>
      <c r="F143" s="29">
        <v>270000</v>
      </c>
      <c r="G143" s="15"/>
    </row>
    <row r="144" spans="1:7" x14ac:dyDescent="0.35">
      <c r="A144" t="s">
        <v>20</v>
      </c>
      <c r="B144" t="s">
        <v>158</v>
      </c>
      <c r="C144" s="1">
        <v>45420</v>
      </c>
      <c r="D144" t="s">
        <v>156</v>
      </c>
      <c r="E144" t="s">
        <v>155</v>
      </c>
      <c r="F144" s="29">
        <v>100000</v>
      </c>
      <c r="G144" s="15"/>
    </row>
    <row r="145" spans="1:7" x14ac:dyDescent="0.35">
      <c r="A145" t="s">
        <v>20</v>
      </c>
      <c r="B145" t="s">
        <v>158</v>
      </c>
      <c r="C145" s="1">
        <v>45420</v>
      </c>
      <c r="D145" t="s">
        <v>156</v>
      </c>
      <c r="E145" t="s">
        <v>155</v>
      </c>
      <c r="F145" s="29">
        <v>80000</v>
      </c>
      <c r="G145" s="15"/>
    </row>
    <row r="146" spans="1:7" x14ac:dyDescent="0.35">
      <c r="A146" t="s">
        <v>19</v>
      </c>
      <c r="B146" t="s">
        <v>19</v>
      </c>
      <c r="C146" s="1">
        <v>45420</v>
      </c>
      <c r="D146" t="s">
        <v>156</v>
      </c>
      <c r="E146" t="s">
        <v>155</v>
      </c>
      <c r="F146" s="29">
        <v>100000</v>
      </c>
      <c r="G146" s="15"/>
    </row>
    <row r="147" spans="1:7" x14ac:dyDescent="0.35">
      <c r="A147" t="s">
        <v>19</v>
      </c>
      <c r="B147" t="s">
        <v>19</v>
      </c>
      <c r="C147" s="1">
        <v>45420</v>
      </c>
      <c r="D147" t="s">
        <v>156</v>
      </c>
      <c r="E147" t="s">
        <v>155</v>
      </c>
      <c r="F147" s="29">
        <v>100000</v>
      </c>
      <c r="G147" s="15"/>
    </row>
    <row r="148" spans="1:7" x14ac:dyDescent="0.35">
      <c r="A148" t="s">
        <v>19</v>
      </c>
      <c r="B148" t="s">
        <v>19</v>
      </c>
      <c r="C148" s="1">
        <v>45420</v>
      </c>
      <c r="D148" t="s">
        <v>156</v>
      </c>
      <c r="E148" t="s">
        <v>155</v>
      </c>
      <c r="F148" s="29">
        <v>100000</v>
      </c>
      <c r="G148" s="15"/>
    </row>
    <row r="149" spans="1:7" x14ac:dyDescent="0.35">
      <c r="A149" t="s">
        <v>20</v>
      </c>
      <c r="B149" t="s">
        <v>26</v>
      </c>
      <c r="C149" s="1">
        <v>45421</v>
      </c>
      <c r="D149" t="s">
        <v>156</v>
      </c>
      <c r="E149" t="s">
        <v>154</v>
      </c>
      <c r="F149" s="29">
        <v>206000</v>
      </c>
      <c r="G149" s="15"/>
    </row>
    <row r="150" spans="1:7" x14ac:dyDescent="0.35">
      <c r="A150" t="s">
        <v>19</v>
      </c>
      <c r="B150" t="s">
        <v>19</v>
      </c>
      <c r="C150" s="1">
        <v>45427</v>
      </c>
      <c r="D150" t="s">
        <v>156</v>
      </c>
      <c r="E150" t="s">
        <v>155</v>
      </c>
      <c r="F150" s="29">
        <v>80000</v>
      </c>
      <c r="G150" s="15"/>
    </row>
    <row r="151" spans="1:7" x14ac:dyDescent="0.35">
      <c r="A151" t="s">
        <v>19</v>
      </c>
      <c r="B151" t="s">
        <v>19</v>
      </c>
      <c r="C151" s="1">
        <v>45427</v>
      </c>
      <c r="D151" t="s">
        <v>156</v>
      </c>
      <c r="E151" t="s">
        <v>155</v>
      </c>
      <c r="F151" s="29">
        <v>150000</v>
      </c>
      <c r="G151" s="15"/>
    </row>
    <row r="152" spans="1:7" x14ac:dyDescent="0.35">
      <c r="A152" t="s">
        <v>19</v>
      </c>
      <c r="B152" t="s">
        <v>19</v>
      </c>
      <c r="C152" s="1">
        <v>45427</v>
      </c>
      <c r="D152" t="s">
        <v>156</v>
      </c>
      <c r="E152" t="s">
        <v>155</v>
      </c>
      <c r="F152" s="29">
        <v>100000</v>
      </c>
      <c r="G152" s="15"/>
    </row>
    <row r="153" spans="1:7" x14ac:dyDescent="0.35">
      <c r="A153" t="s">
        <v>19</v>
      </c>
      <c r="B153" t="s">
        <v>19</v>
      </c>
      <c r="C153" s="1">
        <v>45427</v>
      </c>
      <c r="D153" t="s">
        <v>156</v>
      </c>
      <c r="E153" t="s">
        <v>154</v>
      </c>
      <c r="F153" s="29">
        <v>230000</v>
      </c>
      <c r="G153" s="15"/>
    </row>
    <row r="154" spans="1:7" x14ac:dyDescent="0.35">
      <c r="A154" t="s">
        <v>20</v>
      </c>
      <c r="B154" t="s">
        <v>158</v>
      </c>
      <c r="C154" s="1">
        <v>45427</v>
      </c>
      <c r="D154" t="s">
        <v>156</v>
      </c>
      <c r="E154" t="s">
        <v>155</v>
      </c>
      <c r="F154" s="29">
        <v>100000</v>
      </c>
      <c r="G154" s="15"/>
    </row>
    <row r="155" spans="1:7" x14ac:dyDescent="0.35">
      <c r="A155" t="s">
        <v>20</v>
      </c>
      <c r="B155" t="s">
        <v>158</v>
      </c>
      <c r="C155" s="1">
        <v>45427</v>
      </c>
      <c r="D155" t="s">
        <v>156</v>
      </c>
      <c r="E155" t="s">
        <v>270</v>
      </c>
      <c r="F155" s="29">
        <v>299584.59999999998</v>
      </c>
      <c r="G155" s="15"/>
    </row>
    <row r="156" spans="1:7" x14ac:dyDescent="0.35">
      <c r="A156" t="s">
        <v>20</v>
      </c>
      <c r="B156" s="24" t="s">
        <v>158</v>
      </c>
      <c r="C156" s="1">
        <v>45427</v>
      </c>
      <c r="D156" t="s">
        <v>156</v>
      </c>
      <c r="E156" t="s">
        <v>154</v>
      </c>
      <c r="F156" s="105">
        <v>130000</v>
      </c>
      <c r="G156" s="15"/>
    </row>
    <row r="157" spans="1:7" x14ac:dyDescent="0.35">
      <c r="A157" t="s">
        <v>20</v>
      </c>
      <c r="B157" s="24" t="s">
        <v>162</v>
      </c>
      <c r="C157" s="1">
        <v>45427</v>
      </c>
      <c r="D157" t="s">
        <v>156</v>
      </c>
      <c r="E157" t="s">
        <v>154</v>
      </c>
      <c r="F157" s="105">
        <v>20000</v>
      </c>
      <c r="G157" s="15"/>
    </row>
    <row r="158" spans="1:7" x14ac:dyDescent="0.35">
      <c r="A158" t="s">
        <v>20</v>
      </c>
      <c r="B158" s="24" t="s">
        <v>171</v>
      </c>
      <c r="C158" s="1">
        <v>45427</v>
      </c>
      <c r="D158" t="s">
        <v>156</v>
      </c>
      <c r="E158" t="s">
        <v>154</v>
      </c>
      <c r="F158" s="105">
        <v>20000</v>
      </c>
      <c r="G158" s="15"/>
    </row>
    <row r="159" spans="1:7" x14ac:dyDescent="0.35">
      <c r="A159" t="s">
        <v>20</v>
      </c>
      <c r="B159" t="s">
        <v>26</v>
      </c>
      <c r="C159" s="1">
        <v>45428</v>
      </c>
      <c r="D159" t="s">
        <v>156</v>
      </c>
      <c r="E159" t="s">
        <v>154</v>
      </c>
      <c r="F159" s="29">
        <v>203000</v>
      </c>
      <c r="G159" s="15"/>
    </row>
    <row r="160" spans="1:7" x14ac:dyDescent="0.35">
      <c r="A160" t="s">
        <v>20</v>
      </c>
      <c r="B160" t="s">
        <v>158</v>
      </c>
      <c r="C160" s="1">
        <v>45434</v>
      </c>
      <c r="D160" t="s">
        <v>156</v>
      </c>
      <c r="E160" t="s">
        <v>155</v>
      </c>
      <c r="F160" s="29">
        <v>100000</v>
      </c>
      <c r="G160" s="15"/>
    </row>
    <row r="161" spans="1:7" x14ac:dyDescent="0.35">
      <c r="A161" t="s">
        <v>20</v>
      </c>
      <c r="B161" t="s">
        <v>158</v>
      </c>
      <c r="C161" s="1">
        <v>45434</v>
      </c>
      <c r="D161" t="s">
        <v>156</v>
      </c>
      <c r="E161" t="s">
        <v>270</v>
      </c>
      <c r="F161" s="29">
        <v>400000</v>
      </c>
      <c r="G161" s="15"/>
    </row>
    <row r="162" spans="1:7" ht="15" customHeight="1" x14ac:dyDescent="0.35">
      <c r="A162" t="s">
        <v>20</v>
      </c>
      <c r="B162" t="s">
        <v>26</v>
      </c>
      <c r="C162" s="1">
        <v>45435</v>
      </c>
      <c r="D162" t="s">
        <v>156</v>
      </c>
      <c r="E162" t="s">
        <v>154</v>
      </c>
      <c r="F162" s="29">
        <v>138000</v>
      </c>
      <c r="G162" s="15"/>
    </row>
    <row r="163" spans="1:7" ht="15" customHeight="1" x14ac:dyDescent="0.35">
      <c r="A163" t="s">
        <v>20</v>
      </c>
      <c r="B163" t="s">
        <v>284</v>
      </c>
      <c r="C163" s="1">
        <v>45435</v>
      </c>
      <c r="D163" t="s">
        <v>156</v>
      </c>
      <c r="E163" t="s">
        <v>154</v>
      </c>
      <c r="F163" s="103">
        <v>127329.03</v>
      </c>
      <c r="G163" s="15"/>
    </row>
    <row r="164" spans="1:7" x14ac:dyDescent="0.35">
      <c r="A164" t="s">
        <v>194</v>
      </c>
      <c r="B164" t="s">
        <v>170</v>
      </c>
      <c r="C164" s="1">
        <v>45436</v>
      </c>
      <c r="D164" t="s">
        <v>156</v>
      </c>
      <c r="E164" t="s">
        <v>154</v>
      </c>
      <c r="F164" s="29">
        <v>78000</v>
      </c>
      <c r="G164" s="15"/>
    </row>
    <row r="165" spans="1:7" x14ac:dyDescent="0.35">
      <c r="A165" t="s">
        <v>20</v>
      </c>
      <c r="B165" t="s">
        <v>170</v>
      </c>
      <c r="C165" s="1">
        <v>45436</v>
      </c>
      <c r="D165" t="s">
        <v>156</v>
      </c>
      <c r="E165" t="s">
        <v>154</v>
      </c>
      <c r="F165" s="29">
        <v>37000</v>
      </c>
      <c r="G165" s="15"/>
    </row>
    <row r="166" spans="1:7" x14ac:dyDescent="0.35">
      <c r="A166" t="s">
        <v>19</v>
      </c>
      <c r="B166" t="s">
        <v>170</v>
      </c>
      <c r="C166" s="1">
        <v>45436</v>
      </c>
      <c r="D166" t="s">
        <v>156</v>
      </c>
      <c r="E166" t="s">
        <v>154</v>
      </c>
      <c r="F166" s="29">
        <v>90000</v>
      </c>
      <c r="G166" s="15"/>
    </row>
    <row r="167" spans="1:7" x14ac:dyDescent="0.35">
      <c r="A167" t="s">
        <v>20</v>
      </c>
      <c r="B167" t="s">
        <v>158</v>
      </c>
      <c r="C167" s="1">
        <v>45441</v>
      </c>
      <c r="D167" t="s">
        <v>156</v>
      </c>
      <c r="E167" t="s">
        <v>155</v>
      </c>
      <c r="F167" s="29">
        <v>100000</v>
      </c>
      <c r="G167" s="15"/>
    </row>
    <row r="168" spans="1:7" x14ac:dyDescent="0.35">
      <c r="A168" t="s">
        <v>20</v>
      </c>
      <c r="B168" t="s">
        <v>158</v>
      </c>
      <c r="C168" s="1">
        <v>45441</v>
      </c>
      <c r="D168" t="s">
        <v>156</v>
      </c>
      <c r="E168" t="s">
        <v>155</v>
      </c>
      <c r="F168" s="29">
        <v>100000</v>
      </c>
      <c r="G168" s="15"/>
    </row>
    <row r="169" spans="1:7" x14ac:dyDescent="0.35">
      <c r="A169" t="s">
        <v>20</v>
      </c>
      <c r="B169" t="s">
        <v>158</v>
      </c>
      <c r="C169" s="1">
        <v>45441</v>
      </c>
      <c r="D169" t="s">
        <v>156</v>
      </c>
      <c r="E169" t="s">
        <v>154</v>
      </c>
      <c r="F169" s="29">
        <v>270000</v>
      </c>
      <c r="G169" s="15"/>
    </row>
    <row r="170" spans="1:7" x14ac:dyDescent="0.35">
      <c r="A170" t="s">
        <v>19</v>
      </c>
      <c r="B170" t="s">
        <v>19</v>
      </c>
      <c r="C170" s="1">
        <v>45441</v>
      </c>
      <c r="D170" t="s">
        <v>156</v>
      </c>
      <c r="E170" t="s">
        <v>155</v>
      </c>
      <c r="F170" s="29">
        <v>100000</v>
      </c>
      <c r="G170" s="15"/>
    </row>
    <row r="171" spans="1:7" x14ac:dyDescent="0.35">
      <c r="A171" t="s">
        <v>19</v>
      </c>
      <c r="B171" t="s">
        <v>19</v>
      </c>
      <c r="C171" s="1">
        <v>45441</v>
      </c>
      <c r="D171" t="s">
        <v>156</v>
      </c>
      <c r="E171" t="s">
        <v>155</v>
      </c>
      <c r="F171" s="29">
        <v>100000</v>
      </c>
      <c r="G171" s="15"/>
    </row>
    <row r="172" spans="1:7" x14ac:dyDescent="0.35">
      <c r="A172" t="s">
        <v>19</v>
      </c>
      <c r="B172" t="s">
        <v>19</v>
      </c>
      <c r="C172" s="1">
        <v>45441</v>
      </c>
      <c r="D172" t="s">
        <v>156</v>
      </c>
      <c r="E172" t="s">
        <v>155</v>
      </c>
      <c r="F172" s="29">
        <v>80000</v>
      </c>
      <c r="G172" s="15"/>
    </row>
    <row r="173" spans="1:7" x14ac:dyDescent="0.35">
      <c r="A173" t="s">
        <v>19</v>
      </c>
      <c r="B173" t="s">
        <v>19</v>
      </c>
      <c r="C173" s="1">
        <v>45441</v>
      </c>
      <c r="D173" t="s">
        <v>156</v>
      </c>
      <c r="E173" t="s">
        <v>154</v>
      </c>
      <c r="F173" s="29">
        <v>340000</v>
      </c>
      <c r="G173" s="15"/>
    </row>
    <row r="174" spans="1:7" x14ac:dyDescent="0.35">
      <c r="A174" t="s">
        <v>20</v>
      </c>
      <c r="B174" t="s">
        <v>26</v>
      </c>
      <c r="C174" s="1">
        <v>45442</v>
      </c>
      <c r="D174" t="s">
        <v>156</v>
      </c>
      <c r="E174" t="s">
        <v>154</v>
      </c>
      <c r="F174" s="29">
        <v>204000</v>
      </c>
      <c r="G174" s="15"/>
    </row>
    <row r="175" spans="1:7" x14ac:dyDescent="0.35">
      <c r="A175" s="17" t="s">
        <v>20</v>
      </c>
      <c r="B175" s="17" t="s">
        <v>158</v>
      </c>
      <c r="C175" s="18">
        <v>45448</v>
      </c>
      <c r="D175" s="17" t="s">
        <v>156</v>
      </c>
      <c r="E175" s="17" t="s">
        <v>155</v>
      </c>
      <c r="F175" s="107">
        <v>100000</v>
      </c>
      <c r="G175" s="15"/>
    </row>
    <row r="176" spans="1:7" x14ac:dyDescent="0.35">
      <c r="A176" s="19" t="s">
        <v>20</v>
      </c>
      <c r="B176" s="19" t="s">
        <v>158</v>
      </c>
      <c r="C176" s="20">
        <v>45448</v>
      </c>
      <c r="D176" s="19" t="s">
        <v>156</v>
      </c>
      <c r="E176" s="19" t="s">
        <v>155</v>
      </c>
      <c r="F176" s="108">
        <v>80000</v>
      </c>
      <c r="G176" s="15"/>
    </row>
    <row r="177" spans="1:7" x14ac:dyDescent="0.35">
      <c r="A177" s="17" t="s">
        <v>20</v>
      </c>
      <c r="B177" s="17" t="s">
        <v>27</v>
      </c>
      <c r="C177" s="18">
        <v>45448</v>
      </c>
      <c r="D177" s="17" t="s">
        <v>156</v>
      </c>
      <c r="E177" s="17" t="s">
        <v>155</v>
      </c>
      <c r="F177" s="107">
        <v>400000</v>
      </c>
    </row>
    <row r="178" spans="1:7" x14ac:dyDescent="0.35">
      <c r="A178" s="19" t="s">
        <v>20</v>
      </c>
      <c r="B178" s="21" t="s">
        <v>162</v>
      </c>
      <c r="C178" s="20">
        <v>45448</v>
      </c>
      <c r="D178" s="19" t="s">
        <v>156</v>
      </c>
      <c r="E178" s="19" t="s">
        <v>154</v>
      </c>
      <c r="F178" s="109">
        <v>100000</v>
      </c>
      <c r="G178" s="15"/>
    </row>
    <row r="179" spans="1:7" x14ac:dyDescent="0.35">
      <c r="A179" s="17" t="s">
        <v>20</v>
      </c>
      <c r="B179" s="21" t="s">
        <v>171</v>
      </c>
      <c r="C179" s="18">
        <v>45448</v>
      </c>
      <c r="D179" s="17" t="s">
        <v>156</v>
      </c>
      <c r="E179" s="17" t="s">
        <v>154</v>
      </c>
      <c r="F179" s="109">
        <v>60000</v>
      </c>
      <c r="G179" s="15"/>
    </row>
    <row r="180" spans="1:7" x14ac:dyDescent="0.35">
      <c r="A180" s="19" t="s">
        <v>19</v>
      </c>
      <c r="B180" s="19" t="s">
        <v>19</v>
      </c>
      <c r="C180" s="20">
        <v>45448</v>
      </c>
      <c r="D180" s="19" t="s">
        <v>156</v>
      </c>
      <c r="E180" s="19" t="s">
        <v>155</v>
      </c>
      <c r="F180" s="108">
        <v>100000</v>
      </c>
      <c r="G180" s="15"/>
    </row>
    <row r="181" spans="1:7" x14ac:dyDescent="0.35">
      <c r="A181" s="17" t="s">
        <v>19</v>
      </c>
      <c r="B181" s="17" t="s">
        <v>19</v>
      </c>
      <c r="C181" s="18">
        <v>45448</v>
      </c>
      <c r="D181" s="17" t="s">
        <v>156</v>
      </c>
      <c r="E181" s="17" t="s">
        <v>155</v>
      </c>
      <c r="F181" s="107">
        <v>80000</v>
      </c>
      <c r="G181" s="15"/>
    </row>
    <row r="182" spans="1:7" x14ac:dyDescent="0.35">
      <c r="A182" s="19" t="s">
        <v>19</v>
      </c>
      <c r="B182" s="19" t="s">
        <v>19</v>
      </c>
      <c r="C182" s="20">
        <v>45448</v>
      </c>
      <c r="D182" s="19" t="s">
        <v>156</v>
      </c>
      <c r="E182" s="19" t="s">
        <v>155</v>
      </c>
      <c r="F182" s="108">
        <v>80000</v>
      </c>
      <c r="G182" s="15"/>
    </row>
    <row r="183" spans="1:7" x14ac:dyDescent="0.35">
      <c r="A183" s="17" t="s">
        <v>19</v>
      </c>
      <c r="B183" s="17" t="s">
        <v>19</v>
      </c>
      <c r="C183" s="18">
        <v>45448</v>
      </c>
      <c r="D183" s="17" t="s">
        <v>156</v>
      </c>
      <c r="E183" s="17" t="s">
        <v>155</v>
      </c>
      <c r="F183" s="107">
        <v>80000</v>
      </c>
      <c r="G183" s="15"/>
    </row>
    <row r="184" spans="1:7" x14ac:dyDescent="0.35">
      <c r="A184" s="22" t="s">
        <v>19</v>
      </c>
      <c r="B184" s="22" t="s">
        <v>19</v>
      </c>
      <c r="C184" s="23">
        <v>45448</v>
      </c>
      <c r="D184" s="22" t="s">
        <v>156</v>
      </c>
      <c r="E184" s="22" t="s">
        <v>154</v>
      </c>
      <c r="F184" s="110">
        <v>750000</v>
      </c>
      <c r="G184" s="15"/>
    </row>
    <row r="185" spans="1:7" x14ac:dyDescent="0.35">
      <c r="A185" t="s">
        <v>20</v>
      </c>
      <c r="B185" t="s">
        <v>26</v>
      </c>
      <c r="C185" s="1">
        <v>45449</v>
      </c>
      <c r="D185" t="s">
        <v>156</v>
      </c>
      <c r="E185" t="s">
        <v>154</v>
      </c>
      <c r="F185" s="107">
        <v>159000</v>
      </c>
      <c r="G185" s="15"/>
    </row>
    <row r="186" spans="1:7" x14ac:dyDescent="0.35">
      <c r="A186" t="s">
        <v>20</v>
      </c>
      <c r="B186" t="s">
        <v>158</v>
      </c>
      <c r="C186" s="1">
        <v>45455</v>
      </c>
      <c r="D186" t="s">
        <v>156</v>
      </c>
      <c r="E186" t="s">
        <v>155</v>
      </c>
      <c r="F186" s="110">
        <v>100000</v>
      </c>
      <c r="G186" s="15"/>
    </row>
    <row r="187" spans="1:7" x14ac:dyDescent="0.35">
      <c r="A187" t="s">
        <v>20</v>
      </c>
      <c r="B187" t="s">
        <v>158</v>
      </c>
      <c r="C187" s="1">
        <v>45455</v>
      </c>
      <c r="D187" t="s">
        <v>156</v>
      </c>
      <c r="E187" t="s">
        <v>155</v>
      </c>
      <c r="F187" s="107">
        <v>80000</v>
      </c>
      <c r="G187" s="15"/>
    </row>
    <row r="188" spans="1:7" x14ac:dyDescent="0.35">
      <c r="A188" t="s">
        <v>20</v>
      </c>
      <c r="B188" s="21" t="s">
        <v>162</v>
      </c>
      <c r="C188" s="1">
        <v>45455</v>
      </c>
      <c r="D188" t="s">
        <v>156</v>
      </c>
      <c r="E188" t="s">
        <v>154</v>
      </c>
      <c r="F188" s="109">
        <v>70000</v>
      </c>
      <c r="G188" s="15"/>
    </row>
    <row r="189" spans="1:7" x14ac:dyDescent="0.35">
      <c r="A189" t="s">
        <v>20</v>
      </c>
      <c r="B189" s="21" t="s">
        <v>171</v>
      </c>
      <c r="C189" s="1">
        <v>45455</v>
      </c>
      <c r="D189" t="s">
        <v>156</v>
      </c>
      <c r="E189" t="s">
        <v>154</v>
      </c>
      <c r="F189" s="109">
        <v>30000</v>
      </c>
      <c r="G189" s="15"/>
    </row>
    <row r="190" spans="1:7" x14ac:dyDescent="0.35">
      <c r="A190" t="s">
        <v>19</v>
      </c>
      <c r="B190" t="s">
        <v>19</v>
      </c>
      <c r="C190" s="1">
        <v>45455</v>
      </c>
      <c r="D190" t="s">
        <v>156</v>
      </c>
      <c r="E190" t="s">
        <v>155</v>
      </c>
      <c r="F190" s="108">
        <v>100000</v>
      </c>
      <c r="G190" s="15"/>
    </row>
    <row r="191" spans="1:7" x14ac:dyDescent="0.35">
      <c r="A191" t="s">
        <v>19</v>
      </c>
      <c r="B191" t="s">
        <v>19</v>
      </c>
      <c r="C191" s="1">
        <v>45455</v>
      </c>
      <c r="D191" t="s">
        <v>156</v>
      </c>
      <c r="E191" t="s">
        <v>155</v>
      </c>
      <c r="F191" s="107">
        <v>80000</v>
      </c>
      <c r="G191" s="15"/>
    </row>
    <row r="192" spans="1:7" x14ac:dyDescent="0.35">
      <c r="A192" t="s">
        <v>19</v>
      </c>
      <c r="B192" t="s">
        <v>19</v>
      </c>
      <c r="C192" s="1">
        <v>45455</v>
      </c>
      <c r="D192" t="s">
        <v>156</v>
      </c>
      <c r="E192" t="s">
        <v>155</v>
      </c>
      <c r="F192" s="108">
        <v>80000</v>
      </c>
      <c r="G192" s="15"/>
    </row>
    <row r="193" spans="1:7" x14ac:dyDescent="0.35">
      <c r="A193" t="s">
        <v>19</v>
      </c>
      <c r="B193" t="s">
        <v>19</v>
      </c>
      <c r="C193" s="1">
        <v>45455</v>
      </c>
      <c r="D193" t="s">
        <v>156</v>
      </c>
      <c r="E193" t="s">
        <v>155</v>
      </c>
      <c r="F193" s="107">
        <v>80000</v>
      </c>
      <c r="G193" s="15"/>
    </row>
    <row r="194" spans="1:7" x14ac:dyDescent="0.35">
      <c r="A194" t="s">
        <v>19</v>
      </c>
      <c r="B194" t="s">
        <v>19</v>
      </c>
      <c r="C194" s="1">
        <v>45455</v>
      </c>
      <c r="D194" t="s">
        <v>156</v>
      </c>
      <c r="E194" t="s">
        <v>154</v>
      </c>
      <c r="F194" s="110">
        <v>420000</v>
      </c>
      <c r="G194" s="15"/>
    </row>
    <row r="195" spans="1:7" x14ac:dyDescent="0.35">
      <c r="A195" t="s">
        <v>20</v>
      </c>
      <c r="B195" t="s">
        <v>26</v>
      </c>
      <c r="C195" s="1">
        <v>45456</v>
      </c>
      <c r="D195" t="s">
        <v>156</v>
      </c>
      <c r="E195" t="s">
        <v>154</v>
      </c>
      <c r="F195" s="107">
        <v>196000</v>
      </c>
      <c r="G195" s="15"/>
    </row>
    <row r="196" spans="1:7" x14ac:dyDescent="0.35">
      <c r="A196" t="s">
        <v>20</v>
      </c>
      <c r="B196" t="s">
        <v>158</v>
      </c>
      <c r="C196" s="1">
        <v>45461</v>
      </c>
      <c r="D196" t="s">
        <v>156</v>
      </c>
      <c r="E196" t="s">
        <v>155</v>
      </c>
      <c r="F196" s="108">
        <v>100000</v>
      </c>
      <c r="G196" s="15"/>
    </row>
    <row r="197" spans="1:7" x14ac:dyDescent="0.35">
      <c r="A197" t="s">
        <v>20</v>
      </c>
      <c r="B197" t="s">
        <v>158</v>
      </c>
      <c r="C197" s="1">
        <v>45461</v>
      </c>
      <c r="D197" t="s">
        <v>156</v>
      </c>
      <c r="E197" t="s">
        <v>155</v>
      </c>
      <c r="F197" s="107">
        <v>100000</v>
      </c>
      <c r="G197" s="15"/>
    </row>
    <row r="198" spans="1:7" x14ac:dyDescent="0.35">
      <c r="A198" t="s">
        <v>20</v>
      </c>
      <c r="B198" t="s">
        <v>162</v>
      </c>
      <c r="C198" s="1">
        <v>45461</v>
      </c>
      <c r="D198" t="s">
        <v>156</v>
      </c>
      <c r="E198" t="s">
        <v>154</v>
      </c>
      <c r="F198" s="107">
        <v>235000</v>
      </c>
      <c r="G198" s="15"/>
    </row>
    <row r="199" spans="1:7" x14ac:dyDescent="0.35">
      <c r="A199" t="s">
        <v>19</v>
      </c>
      <c r="B199" t="s">
        <v>19</v>
      </c>
      <c r="C199" s="1">
        <v>45461</v>
      </c>
      <c r="D199" t="s">
        <v>156</v>
      </c>
      <c r="E199" t="s">
        <v>155</v>
      </c>
      <c r="F199" s="107">
        <v>100000</v>
      </c>
      <c r="G199" s="15"/>
    </row>
    <row r="200" spans="1:7" x14ac:dyDescent="0.35">
      <c r="A200" t="s">
        <v>19</v>
      </c>
      <c r="B200" t="s">
        <v>19</v>
      </c>
      <c r="C200" s="1">
        <v>45461</v>
      </c>
      <c r="D200" t="s">
        <v>156</v>
      </c>
      <c r="E200" t="s">
        <v>155</v>
      </c>
      <c r="F200" s="107">
        <v>100000</v>
      </c>
      <c r="G200" s="15"/>
    </row>
    <row r="201" spans="1:7" x14ac:dyDescent="0.35">
      <c r="A201" t="s">
        <v>19</v>
      </c>
      <c r="B201" t="s">
        <v>19</v>
      </c>
      <c r="C201" s="1">
        <v>45461</v>
      </c>
      <c r="D201" t="s">
        <v>156</v>
      </c>
      <c r="E201" t="s">
        <v>155</v>
      </c>
      <c r="F201" s="107">
        <v>100000</v>
      </c>
      <c r="G201" s="15"/>
    </row>
    <row r="202" spans="1:7" x14ac:dyDescent="0.35">
      <c r="A202" t="s">
        <v>20</v>
      </c>
      <c r="B202" t="s">
        <v>27</v>
      </c>
      <c r="C202" s="1">
        <v>45463</v>
      </c>
      <c r="D202" t="s">
        <v>156</v>
      </c>
      <c r="E202" t="s">
        <v>155</v>
      </c>
      <c r="F202" s="107">
        <v>150000</v>
      </c>
    </row>
    <row r="203" spans="1:7" x14ac:dyDescent="0.35">
      <c r="A203" t="s">
        <v>19</v>
      </c>
      <c r="B203" t="s">
        <v>19</v>
      </c>
      <c r="C203" s="1">
        <v>45463</v>
      </c>
      <c r="D203" t="s">
        <v>156</v>
      </c>
      <c r="E203" t="s">
        <v>154</v>
      </c>
      <c r="F203" s="107">
        <v>1090000</v>
      </c>
      <c r="G203" s="15"/>
    </row>
    <row r="204" spans="1:7" x14ac:dyDescent="0.35">
      <c r="A204" t="s">
        <v>20</v>
      </c>
      <c r="B204" t="s">
        <v>284</v>
      </c>
      <c r="C204" s="1">
        <v>45463</v>
      </c>
      <c r="D204" t="s">
        <v>156</v>
      </c>
      <c r="E204" t="s">
        <v>154</v>
      </c>
      <c r="F204" s="107">
        <v>190000</v>
      </c>
      <c r="G204" s="15"/>
    </row>
    <row r="205" spans="1:7" x14ac:dyDescent="0.35">
      <c r="A205" t="s">
        <v>20</v>
      </c>
      <c r="B205" t="s">
        <v>26</v>
      </c>
      <c r="C205" s="1">
        <v>45464</v>
      </c>
      <c r="D205" t="s">
        <v>156</v>
      </c>
      <c r="E205" t="s">
        <v>154</v>
      </c>
      <c r="F205" s="107">
        <v>250000</v>
      </c>
      <c r="G205" s="15"/>
    </row>
    <row r="206" spans="1:7" x14ac:dyDescent="0.35">
      <c r="A206" t="s">
        <v>20</v>
      </c>
      <c r="B206" t="s">
        <v>158</v>
      </c>
      <c r="C206" s="1">
        <v>45469</v>
      </c>
      <c r="D206" t="s">
        <v>156</v>
      </c>
      <c r="E206" t="s">
        <v>155</v>
      </c>
      <c r="F206" s="107">
        <v>100000</v>
      </c>
      <c r="G206" s="15"/>
    </row>
    <row r="207" spans="1:7" x14ac:dyDescent="0.35">
      <c r="A207" t="s">
        <v>20</v>
      </c>
      <c r="B207" t="s">
        <v>158</v>
      </c>
      <c r="C207" s="1">
        <v>45469</v>
      </c>
      <c r="D207" t="s">
        <v>156</v>
      </c>
      <c r="E207" t="s">
        <v>155</v>
      </c>
      <c r="F207" s="107">
        <v>80000</v>
      </c>
      <c r="G207" s="15"/>
    </row>
    <row r="208" spans="1:7" x14ac:dyDescent="0.35">
      <c r="A208" t="s">
        <v>20</v>
      </c>
      <c r="B208" t="s">
        <v>27</v>
      </c>
      <c r="C208" s="1">
        <v>45469</v>
      </c>
      <c r="D208" t="s">
        <v>156</v>
      </c>
      <c r="E208" t="s">
        <v>155</v>
      </c>
      <c r="F208" s="107">
        <v>80000</v>
      </c>
    </row>
    <row r="209" spans="1:7" x14ac:dyDescent="0.35">
      <c r="A209" t="s">
        <v>20</v>
      </c>
      <c r="B209" t="s">
        <v>171</v>
      </c>
      <c r="C209" s="1">
        <v>45469</v>
      </c>
      <c r="D209" t="s">
        <v>156</v>
      </c>
      <c r="E209" t="s">
        <v>154</v>
      </c>
      <c r="F209" s="107">
        <v>228000</v>
      </c>
      <c r="G209" s="15"/>
    </row>
    <row r="210" spans="1:7" x14ac:dyDescent="0.35">
      <c r="A210" t="s">
        <v>19</v>
      </c>
      <c r="B210" t="s">
        <v>19</v>
      </c>
      <c r="C210" s="1">
        <v>45469</v>
      </c>
      <c r="D210" t="s">
        <v>156</v>
      </c>
      <c r="E210" t="s">
        <v>155</v>
      </c>
      <c r="F210" s="107">
        <v>100000</v>
      </c>
      <c r="G210" s="15"/>
    </row>
    <row r="211" spans="1:7" x14ac:dyDescent="0.35">
      <c r="A211" t="s">
        <v>19</v>
      </c>
      <c r="B211" t="s">
        <v>19</v>
      </c>
      <c r="C211" s="1">
        <v>45469</v>
      </c>
      <c r="D211" t="s">
        <v>156</v>
      </c>
      <c r="E211" t="s">
        <v>155</v>
      </c>
      <c r="F211" s="107">
        <v>80000</v>
      </c>
      <c r="G211" s="15"/>
    </row>
    <row r="212" spans="1:7" x14ac:dyDescent="0.35">
      <c r="A212" t="s">
        <v>19</v>
      </c>
      <c r="B212" t="s">
        <v>19</v>
      </c>
      <c r="C212" s="1">
        <v>45469</v>
      </c>
      <c r="D212" t="s">
        <v>156</v>
      </c>
      <c r="E212" t="s">
        <v>155</v>
      </c>
      <c r="F212" s="107">
        <v>80000</v>
      </c>
      <c r="G212" s="15"/>
    </row>
    <row r="213" spans="1:7" x14ac:dyDescent="0.35">
      <c r="A213" t="s">
        <v>19</v>
      </c>
      <c r="B213" t="s">
        <v>19</v>
      </c>
      <c r="C213" s="1">
        <v>45469</v>
      </c>
      <c r="D213" t="s">
        <v>156</v>
      </c>
      <c r="E213" t="s">
        <v>154</v>
      </c>
      <c r="F213" s="107">
        <v>780000</v>
      </c>
      <c r="G213" s="15"/>
    </row>
    <row r="214" spans="1:7" x14ac:dyDescent="0.35">
      <c r="A214" t="s">
        <v>20</v>
      </c>
      <c r="B214" t="s">
        <v>26</v>
      </c>
      <c r="C214" s="1">
        <v>45470</v>
      </c>
      <c r="D214" t="s">
        <v>156</v>
      </c>
      <c r="E214" t="s">
        <v>154</v>
      </c>
      <c r="F214" s="107">
        <v>313000</v>
      </c>
      <c r="G214" s="15"/>
    </row>
    <row r="215" spans="1:7" x14ac:dyDescent="0.35">
      <c r="A215" t="s">
        <v>20</v>
      </c>
      <c r="B215" t="s">
        <v>191</v>
      </c>
      <c r="C215" s="1">
        <v>45476</v>
      </c>
      <c r="D215" t="s">
        <v>156</v>
      </c>
      <c r="E215" t="s">
        <v>155</v>
      </c>
      <c r="F215" s="107">
        <v>250000</v>
      </c>
      <c r="G215" s="107">
        <v>4010.73</v>
      </c>
    </row>
    <row r="216" spans="1:7" x14ac:dyDescent="0.35">
      <c r="A216" t="s">
        <v>20</v>
      </c>
      <c r="B216" t="s">
        <v>190</v>
      </c>
      <c r="C216" s="1">
        <v>45476</v>
      </c>
      <c r="D216" t="s">
        <v>156</v>
      </c>
      <c r="E216" t="s">
        <v>155</v>
      </c>
      <c r="F216" s="107">
        <v>412500</v>
      </c>
      <c r="G216" s="107">
        <v>4010.73</v>
      </c>
    </row>
    <row r="217" spans="1:7" x14ac:dyDescent="0.35">
      <c r="A217" t="s">
        <v>20</v>
      </c>
      <c r="B217" t="s">
        <v>27</v>
      </c>
      <c r="C217" s="1">
        <v>45476</v>
      </c>
      <c r="D217" t="s">
        <v>156</v>
      </c>
      <c r="E217" t="s">
        <v>155</v>
      </c>
      <c r="F217" s="107">
        <v>240000</v>
      </c>
      <c r="G217" s="164">
        <v>4087.02</v>
      </c>
    </row>
    <row r="218" spans="1:7" x14ac:dyDescent="0.35">
      <c r="A218" t="s">
        <v>20</v>
      </c>
      <c r="B218" t="s">
        <v>27</v>
      </c>
      <c r="C218" s="1">
        <v>45476</v>
      </c>
      <c r="D218" t="s">
        <v>156</v>
      </c>
      <c r="E218" t="s">
        <v>154</v>
      </c>
      <c r="F218" s="107">
        <v>100000</v>
      </c>
      <c r="G218" s="164">
        <v>4092</v>
      </c>
    </row>
    <row r="219" spans="1:7" x14ac:dyDescent="0.35">
      <c r="A219" t="s">
        <v>19</v>
      </c>
      <c r="B219" t="s">
        <v>19</v>
      </c>
      <c r="C219" s="1">
        <v>45476</v>
      </c>
      <c r="D219" t="s">
        <v>156</v>
      </c>
      <c r="E219" t="s">
        <v>155</v>
      </c>
      <c r="F219" s="107">
        <v>80000</v>
      </c>
      <c r="G219" s="107">
        <v>3843.59</v>
      </c>
    </row>
    <row r="220" spans="1:7" x14ac:dyDescent="0.35">
      <c r="A220" t="s">
        <v>19</v>
      </c>
      <c r="B220" t="s">
        <v>19</v>
      </c>
      <c r="C220" s="1">
        <v>45476</v>
      </c>
      <c r="D220" t="s">
        <v>156</v>
      </c>
      <c r="E220" t="s">
        <v>154</v>
      </c>
      <c r="F220" s="107">
        <v>731000</v>
      </c>
      <c r="G220" s="107">
        <v>4095</v>
      </c>
    </row>
    <row r="221" spans="1:7" x14ac:dyDescent="0.35">
      <c r="A221" t="s">
        <v>20</v>
      </c>
      <c r="B221" t="s">
        <v>27</v>
      </c>
      <c r="C221" s="1">
        <v>45478</v>
      </c>
      <c r="D221" t="s">
        <v>156</v>
      </c>
      <c r="E221" t="s">
        <v>154</v>
      </c>
      <c r="F221" s="107">
        <v>100000</v>
      </c>
      <c r="G221" s="164">
        <v>4080</v>
      </c>
    </row>
    <row r="222" spans="1:7" x14ac:dyDescent="0.35">
      <c r="A222" t="s">
        <v>20</v>
      </c>
      <c r="B222" t="s">
        <v>27</v>
      </c>
      <c r="C222" s="1">
        <v>45481</v>
      </c>
      <c r="D222" t="s">
        <v>156</v>
      </c>
      <c r="E222" t="s">
        <v>154</v>
      </c>
      <c r="F222" s="107">
        <v>100000</v>
      </c>
      <c r="G222" s="164">
        <v>4065</v>
      </c>
    </row>
    <row r="223" spans="1:7" x14ac:dyDescent="0.35">
      <c r="A223" t="s">
        <v>20</v>
      </c>
      <c r="B223" t="s">
        <v>27</v>
      </c>
      <c r="C223" s="1">
        <v>45482</v>
      </c>
      <c r="D223" t="s">
        <v>156</v>
      </c>
      <c r="E223" t="s">
        <v>154</v>
      </c>
      <c r="F223" s="107">
        <v>100000</v>
      </c>
      <c r="G223" s="164">
        <v>4029</v>
      </c>
    </row>
    <row r="224" spans="1:7" x14ac:dyDescent="0.35">
      <c r="A224" t="s">
        <v>20</v>
      </c>
      <c r="B224" s="24" t="s">
        <v>162</v>
      </c>
      <c r="C224" s="1">
        <v>45483</v>
      </c>
      <c r="D224" t="s">
        <v>156</v>
      </c>
      <c r="E224" t="s">
        <v>154</v>
      </c>
      <c r="F224" s="109">
        <v>90000</v>
      </c>
      <c r="G224" s="107">
        <v>3990</v>
      </c>
    </row>
    <row r="225" spans="1:7" x14ac:dyDescent="0.35">
      <c r="A225" t="s">
        <v>20</v>
      </c>
      <c r="B225" s="24" t="s">
        <v>171</v>
      </c>
      <c r="C225" s="1">
        <v>45483</v>
      </c>
      <c r="D225" t="s">
        <v>156</v>
      </c>
      <c r="E225" t="s">
        <v>154</v>
      </c>
      <c r="F225" s="109">
        <v>20000</v>
      </c>
      <c r="G225" s="107">
        <v>3990</v>
      </c>
    </row>
    <row r="226" spans="1:7" x14ac:dyDescent="0.35">
      <c r="A226" t="s">
        <v>20</v>
      </c>
      <c r="B226" t="s">
        <v>158</v>
      </c>
      <c r="C226" s="1">
        <v>45483</v>
      </c>
      <c r="D226" t="s">
        <v>156</v>
      </c>
      <c r="E226" t="s">
        <v>155</v>
      </c>
      <c r="F226" s="107">
        <v>80000</v>
      </c>
      <c r="G226" s="107">
        <v>3852.42</v>
      </c>
    </row>
    <row r="227" spans="1:7" x14ac:dyDescent="0.35">
      <c r="A227" t="s">
        <v>20</v>
      </c>
      <c r="B227" t="s">
        <v>158</v>
      </c>
      <c r="C227" s="1">
        <v>45483</v>
      </c>
      <c r="D227" t="s">
        <v>156</v>
      </c>
      <c r="E227" t="s">
        <v>155</v>
      </c>
      <c r="F227" s="107">
        <v>80000</v>
      </c>
      <c r="G227" s="107">
        <v>3847.86</v>
      </c>
    </row>
    <row r="228" spans="1:7" x14ac:dyDescent="0.35">
      <c r="A228" t="s">
        <v>19</v>
      </c>
      <c r="B228" t="s">
        <v>19</v>
      </c>
      <c r="C228" s="1">
        <v>45483</v>
      </c>
      <c r="D228" t="s">
        <v>156</v>
      </c>
      <c r="E228" t="s">
        <v>154</v>
      </c>
      <c r="F228" s="107">
        <v>870000</v>
      </c>
      <c r="G228" s="107">
        <v>3990</v>
      </c>
    </row>
    <row r="229" spans="1:7" x14ac:dyDescent="0.35">
      <c r="A229" t="s">
        <v>19</v>
      </c>
      <c r="B229" t="s">
        <v>19</v>
      </c>
      <c r="C229" s="1">
        <v>45483</v>
      </c>
      <c r="D229" t="s">
        <v>156</v>
      </c>
      <c r="E229" t="s">
        <v>155</v>
      </c>
      <c r="F229" s="107">
        <v>80000</v>
      </c>
      <c r="G229" s="107">
        <v>3852.42</v>
      </c>
    </row>
    <row r="230" spans="1:7" x14ac:dyDescent="0.35">
      <c r="A230" t="s">
        <v>19</v>
      </c>
      <c r="B230" t="s">
        <v>19</v>
      </c>
      <c r="C230" s="1">
        <v>45483</v>
      </c>
      <c r="D230" t="s">
        <v>156</v>
      </c>
      <c r="E230" t="s">
        <v>155</v>
      </c>
      <c r="F230" s="107">
        <v>100000</v>
      </c>
      <c r="G230" s="107">
        <v>3809.34</v>
      </c>
    </row>
    <row r="231" spans="1:7" x14ac:dyDescent="0.35">
      <c r="A231" t="s">
        <v>19</v>
      </c>
      <c r="B231" t="s">
        <v>19</v>
      </c>
      <c r="C231" s="1">
        <v>45483</v>
      </c>
      <c r="D231" t="s">
        <v>156</v>
      </c>
      <c r="E231" t="s">
        <v>155</v>
      </c>
      <c r="F231" s="107">
        <v>100000</v>
      </c>
      <c r="G231" s="107">
        <v>3864.76</v>
      </c>
    </row>
    <row r="232" spans="1:7" x14ac:dyDescent="0.35">
      <c r="A232" t="s">
        <v>20</v>
      </c>
      <c r="B232" s="24" t="s">
        <v>26</v>
      </c>
      <c r="C232" s="1">
        <v>45484</v>
      </c>
      <c r="D232" t="s">
        <v>156</v>
      </c>
      <c r="E232" t="s">
        <v>154</v>
      </c>
      <c r="F232" s="109">
        <v>490500</v>
      </c>
      <c r="G232" s="107">
        <v>3971</v>
      </c>
    </row>
    <row r="233" spans="1:7" x14ac:dyDescent="0.35">
      <c r="A233" t="s">
        <v>20</v>
      </c>
      <c r="B233" s="24" t="s">
        <v>173</v>
      </c>
      <c r="C233" s="1">
        <v>45484</v>
      </c>
      <c r="D233" t="s">
        <v>156</v>
      </c>
      <c r="E233" t="s">
        <v>154</v>
      </c>
      <c r="F233" s="109">
        <v>78300</v>
      </c>
      <c r="G233" s="164">
        <v>3971</v>
      </c>
    </row>
    <row r="234" spans="1:7" x14ac:dyDescent="0.35">
      <c r="A234" t="s">
        <v>20</v>
      </c>
      <c r="B234" s="24" t="s">
        <v>173</v>
      </c>
      <c r="C234" s="1">
        <v>45484</v>
      </c>
      <c r="D234" t="s">
        <v>156</v>
      </c>
      <c r="E234" t="s">
        <v>154</v>
      </c>
      <c r="F234" s="109">
        <v>270200</v>
      </c>
      <c r="G234" s="164">
        <v>3971</v>
      </c>
    </row>
    <row r="235" spans="1:7" x14ac:dyDescent="0.35">
      <c r="A235" t="s">
        <v>20</v>
      </c>
      <c r="B235" t="s">
        <v>158</v>
      </c>
      <c r="C235" s="1">
        <v>45490</v>
      </c>
      <c r="D235" t="s">
        <v>156</v>
      </c>
      <c r="E235" t="s">
        <v>155</v>
      </c>
      <c r="F235" s="107">
        <v>80000</v>
      </c>
      <c r="G235" s="107">
        <v>3856.76</v>
      </c>
    </row>
    <row r="236" spans="1:7" x14ac:dyDescent="0.35">
      <c r="A236" t="s">
        <v>20</v>
      </c>
      <c r="B236" t="s">
        <v>158</v>
      </c>
      <c r="C236" s="1">
        <v>45490</v>
      </c>
      <c r="D236" t="s">
        <v>156</v>
      </c>
      <c r="E236" t="s">
        <v>155</v>
      </c>
      <c r="F236" s="107">
        <v>80000</v>
      </c>
      <c r="G236" s="107">
        <v>3852.1</v>
      </c>
    </row>
    <row r="237" spans="1:7" x14ac:dyDescent="0.35">
      <c r="A237" t="s">
        <v>20</v>
      </c>
      <c r="B237" t="s">
        <v>162</v>
      </c>
      <c r="C237" s="1">
        <v>45490</v>
      </c>
      <c r="D237" t="s">
        <v>156</v>
      </c>
      <c r="E237" t="s">
        <v>154</v>
      </c>
      <c r="F237" s="107">
        <v>58000</v>
      </c>
      <c r="G237" s="107">
        <v>4027</v>
      </c>
    </row>
    <row r="238" spans="1:7" x14ac:dyDescent="0.35">
      <c r="A238" t="s">
        <v>19</v>
      </c>
      <c r="B238" t="s">
        <v>19</v>
      </c>
      <c r="C238" s="1">
        <v>45490</v>
      </c>
      <c r="D238" t="s">
        <v>156</v>
      </c>
      <c r="E238" t="s">
        <v>154</v>
      </c>
      <c r="F238" s="107">
        <v>690000</v>
      </c>
      <c r="G238" s="107">
        <v>4027</v>
      </c>
    </row>
    <row r="239" spans="1:7" x14ac:dyDescent="0.35">
      <c r="A239" t="s">
        <v>19</v>
      </c>
      <c r="B239" t="s">
        <v>19</v>
      </c>
      <c r="C239" s="1">
        <v>45490</v>
      </c>
      <c r="D239" t="s">
        <v>156</v>
      </c>
      <c r="E239" t="s">
        <v>155</v>
      </c>
      <c r="F239" s="107">
        <v>80000</v>
      </c>
      <c r="G239" s="107">
        <v>3856.76</v>
      </c>
    </row>
    <row r="240" spans="1:7" x14ac:dyDescent="0.35">
      <c r="A240" t="s">
        <v>19</v>
      </c>
      <c r="B240" t="s">
        <v>19</v>
      </c>
      <c r="C240" s="1">
        <v>45490</v>
      </c>
      <c r="D240" t="s">
        <v>156</v>
      </c>
      <c r="E240" t="s">
        <v>155</v>
      </c>
      <c r="F240" s="107">
        <v>100000</v>
      </c>
      <c r="G240" s="107">
        <v>3813.48</v>
      </c>
    </row>
    <row r="241" spans="1:7" x14ac:dyDescent="0.35">
      <c r="A241" t="s">
        <v>19</v>
      </c>
      <c r="B241" t="s">
        <v>19</v>
      </c>
      <c r="C241" s="1">
        <v>45490</v>
      </c>
      <c r="D241" t="s">
        <v>156</v>
      </c>
      <c r="E241" t="s">
        <v>155</v>
      </c>
      <c r="F241" s="107">
        <v>100000</v>
      </c>
      <c r="G241" s="107">
        <v>3868.91</v>
      </c>
    </row>
    <row r="242" spans="1:7" x14ac:dyDescent="0.35">
      <c r="A242" t="s">
        <v>20</v>
      </c>
      <c r="B242" t="s">
        <v>26</v>
      </c>
      <c r="C242" s="1">
        <v>45491</v>
      </c>
      <c r="D242" t="s">
        <v>156</v>
      </c>
      <c r="E242" t="s">
        <v>154</v>
      </c>
      <c r="F242" s="107">
        <v>256000</v>
      </c>
      <c r="G242" s="107">
        <v>4043</v>
      </c>
    </row>
    <row r="243" spans="1:7" x14ac:dyDescent="0.35">
      <c r="A243" t="s">
        <v>20</v>
      </c>
      <c r="B243" t="s">
        <v>158</v>
      </c>
      <c r="C243" s="1">
        <v>45497</v>
      </c>
      <c r="D243" t="s">
        <v>156</v>
      </c>
      <c r="E243" t="s">
        <v>155</v>
      </c>
      <c r="F243" s="107">
        <v>80000</v>
      </c>
      <c r="G243" s="107">
        <v>3914.84</v>
      </c>
    </row>
    <row r="244" spans="1:7" x14ac:dyDescent="0.35">
      <c r="A244" t="s">
        <v>20</v>
      </c>
      <c r="B244" t="s">
        <v>158</v>
      </c>
      <c r="C244" s="1">
        <v>45497</v>
      </c>
      <c r="D244" t="s">
        <v>156</v>
      </c>
      <c r="E244" t="s">
        <v>155</v>
      </c>
      <c r="F244" s="107">
        <v>80000</v>
      </c>
      <c r="G244" s="107">
        <v>3856.02</v>
      </c>
    </row>
    <row r="245" spans="1:7" x14ac:dyDescent="0.35">
      <c r="A245" t="s">
        <v>20</v>
      </c>
      <c r="B245" t="s">
        <v>158</v>
      </c>
      <c r="C245" s="1">
        <v>45497</v>
      </c>
      <c r="D245" t="s">
        <v>156</v>
      </c>
      <c r="E245" t="s">
        <v>270</v>
      </c>
      <c r="F245" s="107">
        <v>324027.15000000002</v>
      </c>
      <c r="G245" s="107">
        <v>3943.75</v>
      </c>
    </row>
    <row r="246" spans="1:7" x14ac:dyDescent="0.35">
      <c r="A246" t="s">
        <v>20</v>
      </c>
      <c r="B246" t="s">
        <v>27</v>
      </c>
      <c r="C246" s="1">
        <v>45497</v>
      </c>
      <c r="D246" t="s">
        <v>156</v>
      </c>
      <c r="E246" t="s">
        <v>155</v>
      </c>
      <c r="F246" s="107">
        <v>100000</v>
      </c>
      <c r="G246" s="164">
        <v>4061.45</v>
      </c>
    </row>
    <row r="247" spans="1:7" x14ac:dyDescent="0.35">
      <c r="A247" t="s">
        <v>20</v>
      </c>
      <c r="B247" t="s">
        <v>27</v>
      </c>
      <c r="C247" s="1">
        <v>45497</v>
      </c>
      <c r="D247" t="s">
        <v>156</v>
      </c>
      <c r="E247" t="s">
        <v>155</v>
      </c>
      <c r="F247" s="107">
        <v>150000</v>
      </c>
      <c r="G247" s="164">
        <v>4061.45</v>
      </c>
    </row>
    <row r="248" spans="1:7" x14ac:dyDescent="0.35">
      <c r="A248" t="s">
        <v>20</v>
      </c>
      <c r="B248" t="s">
        <v>27</v>
      </c>
      <c r="C248" s="1">
        <v>45497</v>
      </c>
      <c r="D248" t="s">
        <v>156</v>
      </c>
      <c r="E248" t="s">
        <v>155</v>
      </c>
      <c r="F248" s="107">
        <v>200000</v>
      </c>
      <c r="G248" s="164">
        <v>3989.31</v>
      </c>
    </row>
    <row r="249" spans="1:7" x14ac:dyDescent="0.35">
      <c r="A249" t="s">
        <v>20</v>
      </c>
      <c r="B249" t="s">
        <v>27</v>
      </c>
      <c r="C249" s="1">
        <v>45497</v>
      </c>
      <c r="D249" t="s">
        <v>156</v>
      </c>
      <c r="E249" t="s">
        <v>155</v>
      </c>
      <c r="F249" s="107">
        <v>120000</v>
      </c>
      <c r="G249" s="164">
        <v>3989.31</v>
      </c>
    </row>
    <row r="250" spans="1:7" x14ac:dyDescent="0.35">
      <c r="A250" t="s">
        <v>20</v>
      </c>
      <c r="B250" t="s">
        <v>27</v>
      </c>
      <c r="C250" s="1">
        <v>45497</v>
      </c>
      <c r="D250" t="s">
        <v>414</v>
      </c>
      <c r="E250" t="s">
        <v>155</v>
      </c>
      <c r="F250" s="107">
        <v>70000</v>
      </c>
      <c r="G250" s="164">
        <v>3962.44</v>
      </c>
    </row>
    <row r="251" spans="1:7" x14ac:dyDescent="0.35">
      <c r="A251" t="s">
        <v>20</v>
      </c>
      <c r="B251" t="s">
        <v>171</v>
      </c>
      <c r="C251" s="1">
        <v>45497</v>
      </c>
      <c r="D251" t="s">
        <v>156</v>
      </c>
      <c r="E251" t="s">
        <v>154</v>
      </c>
      <c r="F251" s="107">
        <v>20000</v>
      </c>
      <c r="G251" s="107">
        <v>4059</v>
      </c>
    </row>
    <row r="252" spans="1:7" x14ac:dyDescent="0.35">
      <c r="A252" t="s">
        <v>20</v>
      </c>
      <c r="B252" t="s">
        <v>284</v>
      </c>
      <c r="C252" s="1">
        <v>45497</v>
      </c>
      <c r="D252" t="s">
        <v>156</v>
      </c>
      <c r="E252" t="s">
        <v>154</v>
      </c>
      <c r="F252" s="107">
        <v>235000</v>
      </c>
      <c r="G252" s="107">
        <v>4059</v>
      </c>
    </row>
    <row r="253" spans="1:7" x14ac:dyDescent="0.35">
      <c r="A253" t="s">
        <v>19</v>
      </c>
      <c r="B253" t="s">
        <v>19</v>
      </c>
      <c r="C253" s="1">
        <v>45497</v>
      </c>
      <c r="D253" t="s">
        <v>156</v>
      </c>
      <c r="E253" t="s">
        <v>154</v>
      </c>
      <c r="F253" s="107">
        <v>970000</v>
      </c>
      <c r="G253" s="107">
        <v>4059</v>
      </c>
    </row>
    <row r="254" spans="1:7" x14ac:dyDescent="0.35">
      <c r="A254" t="s">
        <v>19</v>
      </c>
      <c r="B254" t="s">
        <v>19</v>
      </c>
      <c r="C254" s="1">
        <v>45497</v>
      </c>
      <c r="D254" t="s">
        <v>156</v>
      </c>
      <c r="E254" t="s">
        <v>155</v>
      </c>
      <c r="F254" s="107">
        <v>80000</v>
      </c>
      <c r="G254" s="107">
        <v>3914.84</v>
      </c>
    </row>
    <row r="255" spans="1:7" x14ac:dyDescent="0.35">
      <c r="A255" t="s">
        <v>19</v>
      </c>
      <c r="B255" t="s">
        <v>19</v>
      </c>
      <c r="C255" s="1">
        <v>45497</v>
      </c>
      <c r="D255" t="s">
        <v>156</v>
      </c>
      <c r="E255" t="s">
        <v>155</v>
      </c>
      <c r="F255" s="107">
        <v>100000</v>
      </c>
      <c r="G255" s="107">
        <v>3817.55</v>
      </c>
    </row>
    <row r="256" spans="1:7" x14ac:dyDescent="0.35">
      <c r="A256" t="s">
        <v>19</v>
      </c>
      <c r="B256" t="s">
        <v>19</v>
      </c>
      <c r="C256" s="1">
        <v>45497</v>
      </c>
      <c r="D256" t="s">
        <v>156</v>
      </c>
      <c r="E256" t="s">
        <v>155</v>
      </c>
      <c r="F256" s="107">
        <v>100000</v>
      </c>
      <c r="G256" s="107">
        <v>3873.09</v>
      </c>
    </row>
    <row r="257" spans="1:7" x14ac:dyDescent="0.35">
      <c r="A257" t="s">
        <v>20</v>
      </c>
      <c r="B257" t="s">
        <v>26</v>
      </c>
      <c r="C257" s="1">
        <v>45498</v>
      </c>
      <c r="D257" t="s">
        <v>156</v>
      </c>
      <c r="E257" t="s">
        <v>154</v>
      </c>
      <c r="F257" s="107">
        <v>293000</v>
      </c>
      <c r="G257" s="107">
        <v>4046</v>
      </c>
    </row>
    <row r="258" spans="1:7" x14ac:dyDescent="0.35">
      <c r="A258" t="s">
        <v>20</v>
      </c>
      <c r="B258" s="24" t="s">
        <v>162</v>
      </c>
      <c r="C258" s="1">
        <v>45502</v>
      </c>
      <c r="D258" t="s">
        <v>156</v>
      </c>
      <c r="E258" t="s">
        <v>154</v>
      </c>
      <c r="F258" s="109">
        <v>80000</v>
      </c>
      <c r="G258" s="107">
        <v>4060</v>
      </c>
    </row>
    <row r="259" spans="1:7" x14ac:dyDescent="0.35">
      <c r="A259" t="s">
        <v>20</v>
      </c>
      <c r="B259" s="24" t="s">
        <v>171</v>
      </c>
      <c r="C259" s="1">
        <v>45502</v>
      </c>
      <c r="D259" t="s">
        <v>156</v>
      </c>
      <c r="E259" t="s">
        <v>154</v>
      </c>
      <c r="F259" s="109">
        <v>246000</v>
      </c>
      <c r="G259" s="107">
        <v>4060</v>
      </c>
    </row>
    <row r="260" spans="1:7" x14ac:dyDescent="0.35">
      <c r="A260" t="s">
        <v>19</v>
      </c>
      <c r="B260" t="s">
        <v>19</v>
      </c>
      <c r="C260" s="1">
        <v>45502</v>
      </c>
      <c r="D260" t="s">
        <v>156</v>
      </c>
      <c r="E260" t="s">
        <v>155</v>
      </c>
      <c r="F260" s="107">
        <v>80000</v>
      </c>
      <c r="G260" s="107">
        <v>3859.06</v>
      </c>
    </row>
    <row r="261" spans="1:7" x14ac:dyDescent="0.35">
      <c r="A261" t="s">
        <v>19</v>
      </c>
      <c r="B261" t="s">
        <v>19</v>
      </c>
      <c r="C261" s="1">
        <v>45502</v>
      </c>
      <c r="D261" t="s">
        <v>156</v>
      </c>
      <c r="E261" t="s">
        <v>154</v>
      </c>
      <c r="F261" s="107">
        <v>50000</v>
      </c>
      <c r="G261" s="107">
        <v>4060</v>
      </c>
    </row>
    <row r="262" spans="1:7" x14ac:dyDescent="0.35">
      <c r="A262" t="s">
        <v>19</v>
      </c>
      <c r="B262" t="s">
        <v>19</v>
      </c>
      <c r="C262" s="1">
        <v>45505</v>
      </c>
      <c r="D262" t="s">
        <v>156</v>
      </c>
      <c r="E262" t="s">
        <v>154</v>
      </c>
      <c r="F262" s="107">
        <v>961000</v>
      </c>
      <c r="G262" s="107">
        <v>4035</v>
      </c>
    </row>
    <row r="263" spans="1:7" x14ac:dyDescent="0.35">
      <c r="A263" t="s">
        <v>20</v>
      </c>
      <c r="B263" s="24" t="s">
        <v>27</v>
      </c>
      <c r="C263" s="1">
        <v>45505</v>
      </c>
      <c r="D263" t="s">
        <v>156</v>
      </c>
      <c r="E263" t="s">
        <v>154</v>
      </c>
      <c r="F263" s="109">
        <v>101000</v>
      </c>
      <c r="G263" s="164">
        <v>4035</v>
      </c>
    </row>
    <row r="264" spans="1:7" x14ac:dyDescent="0.35">
      <c r="A264" t="s">
        <v>20</v>
      </c>
      <c r="B264" s="24" t="s">
        <v>162</v>
      </c>
      <c r="C264" s="1">
        <v>45505</v>
      </c>
      <c r="D264" t="s">
        <v>156</v>
      </c>
      <c r="E264" t="s">
        <v>154</v>
      </c>
      <c r="F264" s="109">
        <v>82000</v>
      </c>
      <c r="G264" s="107">
        <v>4035</v>
      </c>
    </row>
    <row r="265" spans="1:7" x14ac:dyDescent="0.35">
      <c r="A265" t="s">
        <v>20</v>
      </c>
      <c r="B265" t="s">
        <v>26</v>
      </c>
      <c r="C265" s="1">
        <v>45506</v>
      </c>
      <c r="D265" t="s">
        <v>156</v>
      </c>
      <c r="E265" t="s">
        <v>154</v>
      </c>
      <c r="F265" s="107">
        <v>130000</v>
      </c>
      <c r="G265" s="107">
        <v>4109</v>
      </c>
    </row>
    <row r="266" spans="1:7" x14ac:dyDescent="0.35">
      <c r="A266" t="s">
        <v>19</v>
      </c>
      <c r="B266" t="s">
        <v>284</v>
      </c>
      <c r="C266" s="1">
        <v>45510</v>
      </c>
      <c r="D266" t="s">
        <v>156</v>
      </c>
      <c r="E266" t="s">
        <v>154</v>
      </c>
      <c r="F266" s="107">
        <v>20000</v>
      </c>
      <c r="G266" s="107">
        <v>4141</v>
      </c>
    </row>
    <row r="267" spans="1:7" x14ac:dyDescent="0.35">
      <c r="A267" t="s">
        <v>19</v>
      </c>
      <c r="B267" t="s">
        <v>500</v>
      </c>
      <c r="C267" s="1">
        <v>45512</v>
      </c>
      <c r="D267" t="s">
        <v>156</v>
      </c>
      <c r="E267" t="s">
        <v>154</v>
      </c>
      <c r="F267" s="107">
        <v>1700000</v>
      </c>
      <c r="G267" s="107">
        <v>4121</v>
      </c>
    </row>
    <row r="268" spans="1:7" x14ac:dyDescent="0.35">
      <c r="A268" t="s">
        <v>20</v>
      </c>
      <c r="B268" t="s">
        <v>158</v>
      </c>
      <c r="C268" s="1">
        <v>45512</v>
      </c>
      <c r="D268" t="s">
        <v>156</v>
      </c>
      <c r="E268" t="s">
        <v>155</v>
      </c>
      <c r="F268" s="107">
        <v>80000</v>
      </c>
      <c r="G268" s="107">
        <v>3864.35</v>
      </c>
    </row>
    <row r="269" spans="1:7" x14ac:dyDescent="0.35">
      <c r="A269" t="s">
        <v>20</v>
      </c>
      <c r="B269" t="s">
        <v>158</v>
      </c>
      <c r="C269" s="1">
        <v>45512</v>
      </c>
      <c r="D269" t="s">
        <v>414</v>
      </c>
      <c r="E269" t="s">
        <v>155</v>
      </c>
      <c r="F269" s="107">
        <v>80000</v>
      </c>
      <c r="G269" s="107">
        <v>4103.29</v>
      </c>
    </row>
    <row r="270" spans="1:7" x14ac:dyDescent="0.35">
      <c r="A270" t="s">
        <v>20</v>
      </c>
      <c r="B270" t="s">
        <v>158</v>
      </c>
      <c r="C270" s="1">
        <v>45512</v>
      </c>
      <c r="D270" t="s">
        <v>156</v>
      </c>
      <c r="E270" t="s">
        <v>154</v>
      </c>
      <c r="F270" s="107">
        <v>230000</v>
      </c>
      <c r="G270" s="107">
        <v>4110</v>
      </c>
    </row>
    <row r="271" spans="1:7" x14ac:dyDescent="0.35">
      <c r="A271" t="s">
        <v>19</v>
      </c>
      <c r="B271" t="s">
        <v>19</v>
      </c>
      <c r="C271" s="1">
        <v>45512</v>
      </c>
      <c r="D271" t="s">
        <v>156</v>
      </c>
      <c r="E271" t="s">
        <v>155</v>
      </c>
      <c r="F271" s="107">
        <v>80000</v>
      </c>
      <c r="G271" s="107">
        <v>3882.08</v>
      </c>
    </row>
    <row r="272" spans="1:7" x14ac:dyDescent="0.35">
      <c r="A272" t="s">
        <v>19</v>
      </c>
      <c r="B272" t="s">
        <v>19</v>
      </c>
      <c r="C272" s="1">
        <v>45512</v>
      </c>
      <c r="D272" t="s">
        <v>156</v>
      </c>
      <c r="E272" t="s">
        <v>155</v>
      </c>
      <c r="F272" s="107">
        <v>80000</v>
      </c>
      <c r="G272" s="107">
        <v>3864.35</v>
      </c>
    </row>
    <row r="273" spans="1:7" x14ac:dyDescent="0.35">
      <c r="A273" t="s">
        <v>19</v>
      </c>
      <c r="B273" t="s">
        <v>19</v>
      </c>
      <c r="C273" s="1">
        <v>45512</v>
      </c>
      <c r="D273" t="s">
        <v>414</v>
      </c>
      <c r="E273" t="s">
        <v>155</v>
      </c>
      <c r="F273" s="107">
        <v>100000</v>
      </c>
      <c r="G273" s="107">
        <v>4103.29</v>
      </c>
    </row>
    <row r="274" spans="1:7" x14ac:dyDescent="0.35">
      <c r="A274" t="s">
        <v>19</v>
      </c>
      <c r="B274" t="s">
        <v>19</v>
      </c>
      <c r="C274" s="1">
        <v>45512</v>
      </c>
      <c r="D274" t="s">
        <v>156</v>
      </c>
      <c r="E274" t="s">
        <v>154</v>
      </c>
      <c r="F274" s="107">
        <v>932000</v>
      </c>
      <c r="G274" s="107">
        <v>4110</v>
      </c>
    </row>
    <row r="275" spans="1:7" x14ac:dyDescent="0.35">
      <c r="A275" t="s">
        <v>20</v>
      </c>
      <c r="B275" t="s">
        <v>26</v>
      </c>
      <c r="C275" s="1">
        <v>45513</v>
      </c>
      <c r="D275" t="s">
        <v>156</v>
      </c>
      <c r="E275" t="s">
        <v>154</v>
      </c>
      <c r="F275" s="107">
        <v>173000</v>
      </c>
      <c r="G275" s="107">
        <v>4055</v>
      </c>
    </row>
    <row r="276" spans="1:7" x14ac:dyDescent="0.35">
      <c r="A276" t="s">
        <v>19</v>
      </c>
      <c r="B276" t="s">
        <v>19</v>
      </c>
      <c r="C276" s="1">
        <v>45518</v>
      </c>
      <c r="D276" t="s">
        <v>156</v>
      </c>
      <c r="E276" t="s">
        <v>154</v>
      </c>
      <c r="F276" s="107">
        <v>530000</v>
      </c>
      <c r="G276" s="107"/>
    </row>
    <row r="277" spans="1:7" x14ac:dyDescent="0.35">
      <c r="A277" t="s">
        <v>19</v>
      </c>
      <c r="B277" t="s">
        <v>19</v>
      </c>
      <c r="C277" s="1">
        <v>45518</v>
      </c>
      <c r="D277" t="s">
        <v>156</v>
      </c>
      <c r="E277" t="s">
        <v>155</v>
      </c>
      <c r="F277" s="107">
        <v>80000</v>
      </c>
      <c r="G277" s="107"/>
    </row>
    <row r="278" spans="1:7" x14ac:dyDescent="0.35">
      <c r="A278" t="s">
        <v>19</v>
      </c>
      <c r="B278" t="s">
        <v>19</v>
      </c>
      <c r="C278" s="1">
        <v>45518</v>
      </c>
      <c r="D278" t="s">
        <v>156</v>
      </c>
      <c r="E278" t="s">
        <v>155</v>
      </c>
      <c r="F278" s="107">
        <v>80000</v>
      </c>
      <c r="G278" s="107"/>
    </row>
    <row r="279" spans="1:7" x14ac:dyDescent="0.35">
      <c r="A279" t="s">
        <v>19</v>
      </c>
      <c r="B279" t="s">
        <v>19</v>
      </c>
      <c r="C279" s="1">
        <v>45518</v>
      </c>
      <c r="D279" t="s">
        <v>414</v>
      </c>
      <c r="E279" t="s">
        <v>155</v>
      </c>
      <c r="F279" s="107">
        <v>100000</v>
      </c>
      <c r="G279" s="107"/>
    </row>
    <row r="280" spans="1:7" x14ac:dyDescent="0.35">
      <c r="A280" t="s">
        <v>20</v>
      </c>
      <c r="B280" t="s">
        <v>158</v>
      </c>
      <c r="C280" s="1">
        <v>45518</v>
      </c>
      <c r="D280" t="s">
        <v>156</v>
      </c>
      <c r="E280" t="s">
        <v>155</v>
      </c>
      <c r="F280" s="107">
        <v>80000</v>
      </c>
      <c r="G280" s="107">
        <v>3867.65</v>
      </c>
    </row>
    <row r="281" spans="1:7" x14ac:dyDescent="0.35">
      <c r="A281" t="s">
        <v>20</v>
      </c>
      <c r="B281" t="s">
        <v>158</v>
      </c>
      <c r="C281" s="1">
        <v>45518</v>
      </c>
      <c r="D281" t="s">
        <v>414</v>
      </c>
      <c r="E281" t="s">
        <v>155</v>
      </c>
      <c r="F281" s="107">
        <v>80000</v>
      </c>
      <c r="G281" s="107">
        <v>4107.07</v>
      </c>
    </row>
    <row r="282" spans="1:7" x14ac:dyDescent="0.35">
      <c r="A282" t="s">
        <v>20</v>
      </c>
      <c r="B282" s="24" t="s">
        <v>158</v>
      </c>
      <c r="C282" s="1">
        <v>45518</v>
      </c>
      <c r="D282" t="s">
        <v>156</v>
      </c>
      <c r="E282" t="s">
        <v>154</v>
      </c>
      <c r="F282" s="109">
        <v>316000</v>
      </c>
      <c r="G282" s="107">
        <v>4030</v>
      </c>
    </row>
    <row r="283" spans="1:7" x14ac:dyDescent="0.35">
      <c r="A283" t="s">
        <v>20</v>
      </c>
      <c r="B283" s="24" t="s">
        <v>162</v>
      </c>
      <c r="C283" s="1">
        <v>45518</v>
      </c>
      <c r="D283" t="s">
        <v>156</v>
      </c>
      <c r="E283" t="s">
        <v>154</v>
      </c>
      <c r="F283" s="109">
        <v>4000</v>
      </c>
      <c r="G283" s="107">
        <v>4030</v>
      </c>
    </row>
    <row r="284" spans="1:7" x14ac:dyDescent="0.35">
      <c r="A284" t="s">
        <v>20</v>
      </c>
      <c r="B284" s="24" t="s">
        <v>171</v>
      </c>
      <c r="C284" s="1">
        <v>45518</v>
      </c>
      <c r="D284" t="s">
        <v>156</v>
      </c>
      <c r="E284" t="s">
        <v>154</v>
      </c>
      <c r="F284" s="109">
        <v>30000</v>
      </c>
      <c r="G284" s="107">
        <v>4030</v>
      </c>
    </row>
    <row r="285" spans="1:7" x14ac:dyDescent="0.35">
      <c r="A285" t="s">
        <v>20</v>
      </c>
      <c r="B285" t="s">
        <v>26</v>
      </c>
      <c r="C285" s="1">
        <v>45519</v>
      </c>
      <c r="D285" t="s">
        <v>156</v>
      </c>
      <c r="E285" t="s">
        <v>154</v>
      </c>
      <c r="F285" s="107">
        <v>295000</v>
      </c>
      <c r="G285" s="107">
        <v>4029</v>
      </c>
    </row>
    <row r="286" spans="1:7" x14ac:dyDescent="0.35">
      <c r="A286" t="s">
        <v>20</v>
      </c>
      <c r="B286" t="s">
        <v>158</v>
      </c>
      <c r="C286" s="1">
        <v>45525</v>
      </c>
      <c r="D286" t="s">
        <v>414</v>
      </c>
      <c r="E286" t="s">
        <v>155</v>
      </c>
      <c r="F286" s="107">
        <v>100000</v>
      </c>
      <c r="G286" s="107">
        <v>4111.33</v>
      </c>
    </row>
    <row r="287" spans="1:7" x14ac:dyDescent="0.35">
      <c r="A287" t="s">
        <v>20</v>
      </c>
      <c r="B287" t="s">
        <v>27</v>
      </c>
      <c r="C287" s="1">
        <v>45525</v>
      </c>
      <c r="D287" t="s">
        <v>414</v>
      </c>
      <c r="E287" t="s">
        <v>155</v>
      </c>
      <c r="F287" s="107">
        <v>150000</v>
      </c>
      <c r="G287" s="164">
        <v>3979.72</v>
      </c>
    </row>
    <row r="288" spans="1:7" x14ac:dyDescent="0.35">
      <c r="A288" t="s">
        <v>20</v>
      </c>
      <c r="B288" t="s">
        <v>27</v>
      </c>
      <c r="C288" s="1">
        <v>45525</v>
      </c>
      <c r="D288" t="s">
        <v>156</v>
      </c>
      <c r="E288" t="s">
        <v>155</v>
      </c>
      <c r="F288" s="107">
        <v>200000</v>
      </c>
      <c r="G288" s="164">
        <v>4080.08</v>
      </c>
    </row>
    <row r="289" spans="1:7" x14ac:dyDescent="0.35">
      <c r="A289" t="s">
        <v>20</v>
      </c>
      <c r="B289" t="s">
        <v>27</v>
      </c>
      <c r="C289" s="1">
        <v>45525</v>
      </c>
      <c r="D289" t="s">
        <v>156</v>
      </c>
      <c r="E289" t="s">
        <v>155</v>
      </c>
      <c r="F289" s="107">
        <v>250000</v>
      </c>
      <c r="G289" s="164">
        <v>4007.3</v>
      </c>
    </row>
    <row r="290" spans="1:7" x14ac:dyDescent="0.35">
      <c r="A290" t="s">
        <v>20</v>
      </c>
      <c r="B290" t="s">
        <v>27</v>
      </c>
      <c r="C290" s="1">
        <v>45525</v>
      </c>
      <c r="D290" t="s">
        <v>156</v>
      </c>
      <c r="E290" t="s">
        <v>155</v>
      </c>
      <c r="F290" s="107">
        <v>150000</v>
      </c>
      <c r="G290" s="164">
        <v>3947.52</v>
      </c>
    </row>
    <row r="291" spans="1:7" x14ac:dyDescent="0.35">
      <c r="A291" t="s">
        <v>20</v>
      </c>
      <c r="B291" t="s">
        <v>158</v>
      </c>
      <c r="C291" s="1">
        <v>45525</v>
      </c>
      <c r="D291" t="s">
        <v>156</v>
      </c>
      <c r="E291" t="s">
        <v>155</v>
      </c>
      <c r="F291" s="107">
        <v>80000</v>
      </c>
      <c r="G291" s="107">
        <v>3871.5</v>
      </c>
    </row>
    <row r="292" spans="1:7" x14ac:dyDescent="0.35">
      <c r="A292" t="s">
        <v>20</v>
      </c>
      <c r="B292" t="s">
        <v>162</v>
      </c>
      <c r="C292" s="1">
        <v>45525</v>
      </c>
      <c r="D292" t="s">
        <v>156</v>
      </c>
      <c r="E292" t="s">
        <v>154</v>
      </c>
      <c r="F292" s="107">
        <v>155000</v>
      </c>
      <c r="G292" s="107">
        <v>4009</v>
      </c>
    </row>
    <row r="293" spans="1:7" x14ac:dyDescent="0.35">
      <c r="A293" t="s">
        <v>19</v>
      </c>
      <c r="B293" t="s">
        <v>19</v>
      </c>
      <c r="C293" s="1">
        <v>45525</v>
      </c>
      <c r="D293" t="s">
        <v>156</v>
      </c>
      <c r="E293" t="s">
        <v>154</v>
      </c>
      <c r="F293" s="107">
        <v>481000</v>
      </c>
      <c r="G293" s="107">
        <v>4009</v>
      </c>
    </row>
    <row r="294" spans="1:7" x14ac:dyDescent="0.35">
      <c r="A294" t="s">
        <v>194</v>
      </c>
      <c r="B294" t="s">
        <v>284</v>
      </c>
      <c r="C294" s="1">
        <v>45525</v>
      </c>
      <c r="D294" t="s">
        <v>156</v>
      </c>
      <c r="E294" t="s">
        <v>154</v>
      </c>
      <c r="F294" s="107">
        <v>130000</v>
      </c>
      <c r="G294" s="107">
        <v>4009</v>
      </c>
    </row>
    <row r="295" spans="1:7" x14ac:dyDescent="0.35">
      <c r="A295" t="s">
        <v>20</v>
      </c>
      <c r="B295" t="s">
        <v>26</v>
      </c>
      <c r="C295" s="1">
        <v>45526</v>
      </c>
      <c r="D295" t="s">
        <v>156</v>
      </c>
      <c r="E295" t="s">
        <v>154</v>
      </c>
      <c r="F295" s="107">
        <v>166000</v>
      </c>
      <c r="G295" s="107">
        <v>4070</v>
      </c>
    </row>
    <row r="296" spans="1:7" x14ac:dyDescent="0.35">
      <c r="A296" t="s">
        <v>20</v>
      </c>
      <c r="B296" t="s">
        <v>284</v>
      </c>
      <c r="C296" s="1">
        <v>45527</v>
      </c>
      <c r="D296" t="s">
        <v>156</v>
      </c>
      <c r="E296" t="s">
        <v>154</v>
      </c>
      <c r="F296" s="107">
        <v>331000</v>
      </c>
      <c r="G296" s="107">
        <v>4047</v>
      </c>
    </row>
    <row r="297" spans="1:7" x14ac:dyDescent="0.35">
      <c r="A297" t="s">
        <v>19</v>
      </c>
      <c r="B297" t="s">
        <v>19</v>
      </c>
      <c r="C297" s="1">
        <v>45525</v>
      </c>
      <c r="D297" t="s">
        <v>156</v>
      </c>
      <c r="E297" t="s">
        <v>155</v>
      </c>
      <c r="F297" s="107">
        <v>100000</v>
      </c>
      <c r="G297" s="107"/>
    </row>
    <row r="298" spans="1:7" x14ac:dyDescent="0.35">
      <c r="A298" t="s">
        <v>19</v>
      </c>
      <c r="B298" t="s">
        <v>19</v>
      </c>
      <c r="C298" s="1">
        <v>45525</v>
      </c>
      <c r="D298" t="s">
        <v>156</v>
      </c>
      <c r="E298" t="s">
        <v>155</v>
      </c>
      <c r="F298" s="107">
        <v>100000</v>
      </c>
      <c r="G298" s="107"/>
    </row>
    <row r="299" spans="1:7" x14ac:dyDescent="0.35">
      <c r="A299" t="s">
        <v>19</v>
      </c>
      <c r="B299" t="s">
        <v>19</v>
      </c>
      <c r="C299" s="1">
        <v>45525</v>
      </c>
      <c r="D299" t="s">
        <v>156</v>
      </c>
      <c r="E299" t="s">
        <v>155</v>
      </c>
      <c r="F299" s="107">
        <v>100000</v>
      </c>
      <c r="G299" s="107"/>
    </row>
    <row r="300" spans="1:7" x14ac:dyDescent="0.35">
      <c r="A300" t="s">
        <v>19</v>
      </c>
      <c r="B300" t="s">
        <v>19</v>
      </c>
      <c r="C300" s="1">
        <v>45525</v>
      </c>
      <c r="D300" t="s">
        <v>414</v>
      </c>
      <c r="E300" t="s">
        <v>155</v>
      </c>
      <c r="F300" s="107">
        <v>100000</v>
      </c>
      <c r="G300" s="107"/>
    </row>
    <row r="301" spans="1:7" x14ac:dyDescent="0.35">
      <c r="A301" t="s">
        <v>19</v>
      </c>
      <c r="B301" t="s">
        <v>284</v>
      </c>
      <c r="C301" s="1">
        <v>45530</v>
      </c>
      <c r="D301" t="s">
        <v>156</v>
      </c>
      <c r="E301" t="s">
        <v>154</v>
      </c>
      <c r="F301" s="107">
        <v>130000</v>
      </c>
      <c r="G301" s="107">
        <v>4025</v>
      </c>
    </row>
    <row r="302" spans="1:7" x14ac:dyDescent="0.35">
      <c r="A302" t="s">
        <v>20</v>
      </c>
      <c r="B302" t="s">
        <v>27</v>
      </c>
      <c r="C302" s="1">
        <v>45532</v>
      </c>
      <c r="D302" t="s">
        <v>414</v>
      </c>
      <c r="E302" t="s">
        <v>155</v>
      </c>
      <c r="F302" s="107">
        <v>100000</v>
      </c>
      <c r="G302" s="164">
        <v>3983.96</v>
      </c>
    </row>
    <row r="303" spans="1:7" x14ac:dyDescent="0.35">
      <c r="A303" t="s">
        <v>20</v>
      </c>
      <c r="B303" t="s">
        <v>27</v>
      </c>
      <c r="C303" s="1">
        <v>45532</v>
      </c>
      <c r="D303" t="s">
        <v>156</v>
      </c>
      <c r="E303" t="s">
        <v>155</v>
      </c>
      <c r="F303" s="107">
        <v>300000</v>
      </c>
      <c r="G303" s="164">
        <v>4011.61</v>
      </c>
    </row>
    <row r="304" spans="1:7" x14ac:dyDescent="0.35">
      <c r="A304" t="s">
        <v>20</v>
      </c>
      <c r="B304" t="s">
        <v>27</v>
      </c>
      <c r="C304" s="1">
        <v>45532</v>
      </c>
      <c r="D304" t="s">
        <v>156</v>
      </c>
      <c r="E304" t="s">
        <v>155</v>
      </c>
      <c r="F304" s="107">
        <v>150000</v>
      </c>
      <c r="G304" s="164">
        <v>4048.22</v>
      </c>
    </row>
    <row r="305" spans="1:7" x14ac:dyDescent="0.35">
      <c r="A305" t="s">
        <v>20</v>
      </c>
      <c r="B305" t="s">
        <v>27</v>
      </c>
      <c r="C305" s="1">
        <v>45532</v>
      </c>
      <c r="D305" t="s">
        <v>156</v>
      </c>
      <c r="E305" t="s">
        <v>155</v>
      </c>
      <c r="F305" s="107">
        <v>70000</v>
      </c>
      <c r="G305" s="164">
        <v>3951.64</v>
      </c>
    </row>
    <row r="306" spans="1:7" x14ac:dyDescent="0.35">
      <c r="A306" t="s">
        <v>20</v>
      </c>
      <c r="B306" s="24" t="s">
        <v>158</v>
      </c>
      <c r="C306" s="1">
        <v>45532</v>
      </c>
      <c r="D306" t="s">
        <v>156</v>
      </c>
      <c r="E306" t="s">
        <v>154</v>
      </c>
      <c r="F306" s="109">
        <v>420000</v>
      </c>
      <c r="G306" s="107">
        <v>4055</v>
      </c>
    </row>
    <row r="307" spans="1:7" x14ac:dyDescent="0.35">
      <c r="A307" t="s">
        <v>20</v>
      </c>
      <c r="B307" s="24" t="s">
        <v>162</v>
      </c>
      <c r="C307" s="1">
        <v>45532</v>
      </c>
      <c r="D307" t="s">
        <v>156</v>
      </c>
      <c r="E307" t="s">
        <v>154</v>
      </c>
      <c r="F307" s="109">
        <v>162000</v>
      </c>
      <c r="G307" s="107">
        <v>4055</v>
      </c>
    </row>
    <row r="308" spans="1:7" x14ac:dyDescent="0.35">
      <c r="A308" t="s">
        <v>20</v>
      </c>
      <c r="B308" s="24" t="s">
        <v>171</v>
      </c>
      <c r="C308" s="1">
        <v>45532</v>
      </c>
      <c r="D308" t="s">
        <v>156</v>
      </c>
      <c r="E308" t="s">
        <v>154</v>
      </c>
      <c r="F308" s="109">
        <v>228000</v>
      </c>
      <c r="G308" s="107">
        <v>4055</v>
      </c>
    </row>
    <row r="309" spans="1:7" x14ac:dyDescent="0.35">
      <c r="A309" t="s">
        <v>19</v>
      </c>
      <c r="B309" t="s">
        <v>19</v>
      </c>
      <c r="C309" s="1">
        <v>45532</v>
      </c>
      <c r="D309" t="s">
        <v>156</v>
      </c>
      <c r="E309" t="s">
        <v>155</v>
      </c>
      <c r="F309" s="107">
        <v>80000</v>
      </c>
      <c r="G309" s="107">
        <v>3893.95</v>
      </c>
    </row>
    <row r="310" spans="1:7" x14ac:dyDescent="0.35">
      <c r="A310" t="s">
        <v>19</v>
      </c>
      <c r="B310" t="s">
        <v>19</v>
      </c>
      <c r="C310" s="1">
        <v>45532</v>
      </c>
      <c r="D310" t="s">
        <v>156</v>
      </c>
      <c r="E310" t="s">
        <v>155</v>
      </c>
      <c r="F310" s="107">
        <v>100000</v>
      </c>
      <c r="G310" s="107">
        <v>4115.4399999999996</v>
      </c>
    </row>
    <row r="311" spans="1:7" x14ac:dyDescent="0.35">
      <c r="A311" t="s">
        <v>19</v>
      </c>
      <c r="B311" t="s">
        <v>19</v>
      </c>
      <c r="C311" s="1">
        <v>45532</v>
      </c>
      <c r="D311" t="s">
        <v>156</v>
      </c>
      <c r="E311" t="s">
        <v>155</v>
      </c>
      <c r="F311" s="107">
        <v>100000</v>
      </c>
      <c r="G311" s="107">
        <v>3964.93</v>
      </c>
    </row>
    <row r="312" spans="1:7" x14ac:dyDescent="0.35">
      <c r="A312" t="s">
        <v>19</v>
      </c>
      <c r="B312" t="s">
        <v>19</v>
      </c>
      <c r="C312" s="1">
        <v>45532</v>
      </c>
      <c r="D312" t="s">
        <v>414</v>
      </c>
      <c r="E312" t="s">
        <v>155</v>
      </c>
      <c r="F312" s="107">
        <v>100000</v>
      </c>
      <c r="G312" s="107">
        <v>4118.6000000000004</v>
      </c>
    </row>
    <row r="313" spans="1:7" x14ac:dyDescent="0.35">
      <c r="A313" t="s">
        <v>20</v>
      </c>
      <c r="B313" t="s">
        <v>26</v>
      </c>
      <c r="C313" s="1">
        <v>45533</v>
      </c>
      <c r="D313" t="s">
        <v>156</v>
      </c>
      <c r="E313" t="s">
        <v>154</v>
      </c>
      <c r="F313" s="107">
        <v>112000</v>
      </c>
      <c r="G313" s="107">
        <v>4137</v>
      </c>
    </row>
    <row r="314" spans="1:7" x14ac:dyDescent="0.35">
      <c r="A314" t="s">
        <v>20</v>
      </c>
      <c r="B314" t="s">
        <v>158</v>
      </c>
      <c r="C314" s="1">
        <v>45539</v>
      </c>
      <c r="D314" t="s">
        <v>414</v>
      </c>
      <c r="E314" t="s">
        <v>155</v>
      </c>
      <c r="F314" s="107">
        <v>80000</v>
      </c>
      <c r="G314" s="107">
        <v>4011.84</v>
      </c>
    </row>
    <row r="315" spans="1:7" x14ac:dyDescent="0.35">
      <c r="A315" t="s">
        <v>20</v>
      </c>
      <c r="B315" t="s">
        <v>158</v>
      </c>
      <c r="C315" s="1">
        <v>45539</v>
      </c>
      <c r="D315" t="s">
        <v>156</v>
      </c>
      <c r="E315" t="s">
        <v>155</v>
      </c>
      <c r="F315" s="107">
        <v>100000</v>
      </c>
      <c r="G315" s="107">
        <v>4060.67</v>
      </c>
    </row>
    <row r="316" spans="1:7" x14ac:dyDescent="0.35">
      <c r="A316" t="s">
        <v>20</v>
      </c>
      <c r="B316" s="24" t="s">
        <v>158</v>
      </c>
      <c r="C316" s="1">
        <v>45539</v>
      </c>
      <c r="D316" t="s">
        <v>156</v>
      </c>
      <c r="E316" t="s">
        <v>154</v>
      </c>
      <c r="F316" s="109">
        <v>210000</v>
      </c>
      <c r="G316" s="111">
        <v>4186</v>
      </c>
    </row>
    <row r="317" spans="1:7" x14ac:dyDescent="0.35">
      <c r="A317" t="s">
        <v>20</v>
      </c>
      <c r="B317" s="24" t="s">
        <v>162</v>
      </c>
      <c r="C317" s="1">
        <v>45539</v>
      </c>
      <c r="D317" t="s">
        <v>156</v>
      </c>
      <c r="E317" t="s">
        <v>154</v>
      </c>
      <c r="F317" s="109">
        <v>60000</v>
      </c>
      <c r="G317" s="111">
        <v>4186</v>
      </c>
    </row>
    <row r="318" spans="1:7" x14ac:dyDescent="0.35">
      <c r="A318" t="s">
        <v>19</v>
      </c>
      <c r="B318" t="s">
        <v>19</v>
      </c>
      <c r="C318" s="1">
        <v>45539</v>
      </c>
      <c r="D318" t="s">
        <v>156</v>
      </c>
      <c r="E318" t="s">
        <v>155</v>
      </c>
      <c r="F318" s="107">
        <v>150000</v>
      </c>
      <c r="G318" s="111">
        <v>4123.3599999999997</v>
      </c>
    </row>
    <row r="319" spans="1:7" x14ac:dyDescent="0.35">
      <c r="A319" t="s">
        <v>19</v>
      </c>
      <c r="B319" t="s">
        <v>19</v>
      </c>
      <c r="C319" s="1">
        <v>45539</v>
      </c>
      <c r="D319" t="s">
        <v>156</v>
      </c>
      <c r="E319" t="s">
        <v>155</v>
      </c>
      <c r="F319" s="107">
        <v>100000</v>
      </c>
      <c r="G319" s="111">
        <v>4060.67</v>
      </c>
    </row>
    <row r="320" spans="1:7" x14ac:dyDescent="0.35">
      <c r="A320" t="s">
        <v>19</v>
      </c>
      <c r="B320" t="s">
        <v>19</v>
      </c>
      <c r="C320" s="1">
        <v>45539</v>
      </c>
      <c r="D320" t="s">
        <v>156</v>
      </c>
      <c r="E320" t="s">
        <v>155</v>
      </c>
      <c r="F320" s="107">
        <v>100000</v>
      </c>
      <c r="G320" s="111">
        <v>3939.18</v>
      </c>
    </row>
    <row r="321" spans="1:7" x14ac:dyDescent="0.35">
      <c r="A321" t="s">
        <v>19</v>
      </c>
      <c r="B321" t="s">
        <v>19</v>
      </c>
      <c r="C321" s="1">
        <v>45539</v>
      </c>
      <c r="D321" t="s">
        <v>414</v>
      </c>
      <c r="E321" t="s">
        <v>155</v>
      </c>
      <c r="F321" s="107">
        <v>80000</v>
      </c>
      <c r="G321" s="111">
        <v>4011.84</v>
      </c>
    </row>
    <row r="322" spans="1:7" x14ac:dyDescent="0.35">
      <c r="A322" t="s">
        <v>19</v>
      </c>
      <c r="B322" t="s">
        <v>19</v>
      </c>
      <c r="C322" s="1">
        <v>45539</v>
      </c>
      <c r="D322" t="s">
        <v>156</v>
      </c>
      <c r="E322" t="s">
        <v>154</v>
      </c>
      <c r="F322" s="107">
        <v>400000</v>
      </c>
      <c r="G322" s="111">
        <v>4186</v>
      </c>
    </row>
    <row r="323" spans="1:7" x14ac:dyDescent="0.35">
      <c r="A323" t="s">
        <v>20</v>
      </c>
      <c r="B323" s="24" t="s">
        <v>26</v>
      </c>
      <c r="C323" s="1">
        <v>45540</v>
      </c>
      <c r="D323" t="s">
        <v>156</v>
      </c>
      <c r="E323" t="s">
        <v>154</v>
      </c>
      <c r="F323" s="109">
        <v>182000</v>
      </c>
      <c r="G323" s="111">
        <v>4184</v>
      </c>
    </row>
    <row r="324" spans="1:7" x14ac:dyDescent="0.35">
      <c r="A324" t="s">
        <v>20</v>
      </c>
      <c r="B324" s="24" t="s">
        <v>162</v>
      </c>
      <c r="C324" s="1">
        <v>45540</v>
      </c>
      <c r="D324" t="s">
        <v>156</v>
      </c>
      <c r="E324" t="s">
        <v>154</v>
      </c>
      <c r="F324" s="109">
        <v>35000</v>
      </c>
      <c r="G324" s="111">
        <v>4184</v>
      </c>
    </row>
    <row r="325" spans="1:7" x14ac:dyDescent="0.35">
      <c r="A325" t="s">
        <v>20</v>
      </c>
      <c r="B325" t="s">
        <v>158</v>
      </c>
      <c r="C325" s="1">
        <v>45546</v>
      </c>
      <c r="D325" t="s">
        <v>414</v>
      </c>
      <c r="E325" t="s">
        <v>155</v>
      </c>
      <c r="F325" s="107">
        <v>80000</v>
      </c>
      <c r="G325" s="111">
        <v>4015.83</v>
      </c>
    </row>
    <row r="326" spans="1:7" x14ac:dyDescent="0.35">
      <c r="A326" t="s">
        <v>20</v>
      </c>
      <c r="B326" t="s">
        <v>158</v>
      </c>
      <c r="C326" s="1">
        <v>45546</v>
      </c>
      <c r="D326" t="s">
        <v>156</v>
      </c>
      <c r="E326" t="s">
        <v>155</v>
      </c>
      <c r="F326" s="107">
        <v>100000</v>
      </c>
      <c r="G326" s="111">
        <v>4065.05</v>
      </c>
    </row>
    <row r="327" spans="1:7" x14ac:dyDescent="0.35">
      <c r="A327" t="s">
        <v>20</v>
      </c>
      <c r="B327" s="24" t="s">
        <v>158</v>
      </c>
      <c r="C327" s="1">
        <v>45546</v>
      </c>
      <c r="D327" t="s">
        <v>156</v>
      </c>
      <c r="E327" t="s">
        <v>154</v>
      </c>
      <c r="F327" s="109">
        <v>56000</v>
      </c>
      <c r="G327" s="107">
        <v>4295</v>
      </c>
    </row>
    <row r="328" spans="1:7" x14ac:dyDescent="0.35">
      <c r="A328" t="s">
        <v>20</v>
      </c>
      <c r="B328" s="24" t="s">
        <v>162</v>
      </c>
      <c r="C328" s="1">
        <v>45546</v>
      </c>
      <c r="D328" t="s">
        <v>156</v>
      </c>
      <c r="E328" t="s">
        <v>154</v>
      </c>
      <c r="F328" s="109">
        <v>57000</v>
      </c>
      <c r="G328" s="107">
        <v>4295</v>
      </c>
    </row>
    <row r="329" spans="1:7" x14ac:dyDescent="0.35">
      <c r="A329" t="s">
        <v>20</v>
      </c>
      <c r="B329" s="24" t="s">
        <v>171</v>
      </c>
      <c r="C329" s="1">
        <v>45546</v>
      </c>
      <c r="D329" t="s">
        <v>156</v>
      </c>
      <c r="E329" t="s">
        <v>154</v>
      </c>
      <c r="F329" s="109">
        <v>7000</v>
      </c>
      <c r="G329" s="107">
        <v>4295</v>
      </c>
    </row>
    <row r="330" spans="1:7" x14ac:dyDescent="0.35">
      <c r="A330" t="s">
        <v>19</v>
      </c>
      <c r="B330" t="s">
        <v>19</v>
      </c>
      <c r="C330" s="1">
        <v>45546</v>
      </c>
      <c r="D330" t="s">
        <v>156</v>
      </c>
      <c r="E330" t="s">
        <v>155</v>
      </c>
      <c r="F330" s="107">
        <v>100000</v>
      </c>
      <c r="G330" s="111">
        <v>4065.05</v>
      </c>
    </row>
    <row r="331" spans="1:7" x14ac:dyDescent="0.35">
      <c r="A331" t="s">
        <v>19</v>
      </c>
      <c r="B331" t="s">
        <v>19</v>
      </c>
      <c r="C331" s="1">
        <v>45546</v>
      </c>
      <c r="D331" t="s">
        <v>156</v>
      </c>
      <c r="E331" t="s">
        <v>155</v>
      </c>
      <c r="F331" s="107">
        <v>100000</v>
      </c>
      <c r="G331" s="111">
        <v>3973.5</v>
      </c>
    </row>
    <row r="332" spans="1:7" x14ac:dyDescent="0.35">
      <c r="A332" t="s">
        <v>19</v>
      </c>
      <c r="B332" t="s">
        <v>19</v>
      </c>
      <c r="C332" s="1">
        <v>45546</v>
      </c>
      <c r="D332" t="s">
        <v>156</v>
      </c>
      <c r="E332" t="s">
        <v>155</v>
      </c>
      <c r="F332" s="107">
        <v>150000</v>
      </c>
      <c r="G332" s="111">
        <v>4128.07</v>
      </c>
    </row>
    <row r="333" spans="1:7" x14ac:dyDescent="0.35">
      <c r="A333" t="s">
        <v>19</v>
      </c>
      <c r="B333" t="s">
        <v>19</v>
      </c>
      <c r="C333" s="1">
        <v>45546</v>
      </c>
      <c r="D333" t="s">
        <v>414</v>
      </c>
      <c r="E333" t="s">
        <v>155</v>
      </c>
      <c r="F333" s="107">
        <v>80000</v>
      </c>
      <c r="G333" s="111">
        <v>4015.83</v>
      </c>
    </row>
    <row r="334" spans="1:7" x14ac:dyDescent="0.35">
      <c r="A334" t="s">
        <v>20</v>
      </c>
      <c r="B334" t="s">
        <v>284</v>
      </c>
      <c r="C334" s="1">
        <v>45546</v>
      </c>
      <c r="D334" t="s">
        <v>156</v>
      </c>
      <c r="E334" t="s">
        <v>154</v>
      </c>
      <c r="F334" s="107">
        <v>20000</v>
      </c>
      <c r="G334" s="111">
        <v>4295</v>
      </c>
    </row>
    <row r="335" spans="1:7" x14ac:dyDescent="0.35">
      <c r="A335" t="s">
        <v>20</v>
      </c>
      <c r="B335" t="s">
        <v>26</v>
      </c>
      <c r="C335" s="1">
        <v>45547</v>
      </c>
      <c r="D335" t="s">
        <v>156</v>
      </c>
      <c r="E335" t="s">
        <v>154</v>
      </c>
      <c r="F335" s="107">
        <v>90000</v>
      </c>
      <c r="G335" s="111">
        <v>4249</v>
      </c>
    </row>
    <row r="336" spans="1:7" x14ac:dyDescent="0.35">
      <c r="A336" t="s">
        <v>19</v>
      </c>
      <c r="B336" t="s">
        <v>19</v>
      </c>
      <c r="C336" s="1">
        <v>45548</v>
      </c>
      <c r="D336" t="s">
        <v>156</v>
      </c>
      <c r="E336" t="s">
        <v>154</v>
      </c>
      <c r="F336" s="107">
        <v>455000</v>
      </c>
      <c r="G336" s="111">
        <v>4183</v>
      </c>
    </row>
    <row r="337" spans="1:7" x14ac:dyDescent="0.35">
      <c r="A337" t="s">
        <v>20</v>
      </c>
      <c r="B337" t="s">
        <v>158</v>
      </c>
      <c r="C337" s="1">
        <v>45553</v>
      </c>
      <c r="D337" t="s">
        <v>414</v>
      </c>
      <c r="E337" t="s">
        <v>155</v>
      </c>
      <c r="F337" s="107">
        <v>80000</v>
      </c>
      <c r="G337" s="111">
        <v>4020.02</v>
      </c>
    </row>
    <row r="338" spans="1:7" x14ac:dyDescent="0.35">
      <c r="A338" t="s">
        <v>20</v>
      </c>
      <c r="B338" t="s">
        <v>158</v>
      </c>
      <c r="C338" s="1">
        <v>45553</v>
      </c>
      <c r="D338" t="s">
        <v>156</v>
      </c>
      <c r="E338" t="s">
        <v>155</v>
      </c>
      <c r="F338" s="107">
        <v>100000</v>
      </c>
      <c r="G338" s="111">
        <v>4069.31</v>
      </c>
    </row>
    <row r="339" spans="1:7" x14ac:dyDescent="0.35">
      <c r="A339" t="s">
        <v>19</v>
      </c>
      <c r="B339" t="s">
        <v>19</v>
      </c>
      <c r="C339" s="1">
        <v>45553</v>
      </c>
      <c r="D339" t="s">
        <v>156</v>
      </c>
      <c r="E339" t="s">
        <v>155</v>
      </c>
      <c r="F339" s="107">
        <v>100000</v>
      </c>
      <c r="G339" s="107">
        <v>4069.31</v>
      </c>
    </row>
    <row r="340" spans="1:7" x14ac:dyDescent="0.35">
      <c r="A340" t="s">
        <v>19</v>
      </c>
      <c r="B340" t="s">
        <v>19</v>
      </c>
      <c r="C340" s="1">
        <v>45553</v>
      </c>
      <c r="D340" t="s">
        <v>156</v>
      </c>
      <c r="E340" t="s">
        <v>155</v>
      </c>
      <c r="F340" s="107">
        <v>100000</v>
      </c>
      <c r="G340" s="107">
        <v>4062.45</v>
      </c>
    </row>
    <row r="341" spans="1:7" x14ac:dyDescent="0.35">
      <c r="A341" t="s">
        <v>19</v>
      </c>
      <c r="B341" t="s">
        <v>19</v>
      </c>
      <c r="C341" s="1">
        <v>45553</v>
      </c>
      <c r="D341" t="s">
        <v>414</v>
      </c>
      <c r="E341" t="s">
        <v>155</v>
      </c>
      <c r="F341" s="107">
        <v>80000</v>
      </c>
      <c r="G341" s="107">
        <v>4020.02</v>
      </c>
    </row>
    <row r="342" spans="1:7" x14ac:dyDescent="0.35">
      <c r="A342" t="s">
        <v>19</v>
      </c>
      <c r="B342" t="s">
        <v>19</v>
      </c>
      <c r="C342" s="1">
        <v>45553</v>
      </c>
      <c r="D342" t="s">
        <v>156</v>
      </c>
      <c r="E342" t="s">
        <v>154</v>
      </c>
      <c r="F342" s="107">
        <v>700000</v>
      </c>
      <c r="G342" s="107">
        <v>4185</v>
      </c>
    </row>
    <row r="343" spans="1:7" x14ac:dyDescent="0.35">
      <c r="A343" t="s">
        <v>20</v>
      </c>
      <c r="B343" t="s">
        <v>284</v>
      </c>
      <c r="C343" s="1">
        <v>45553</v>
      </c>
      <c r="D343" t="s">
        <v>156</v>
      </c>
      <c r="E343" t="s">
        <v>154</v>
      </c>
      <c r="F343" s="107">
        <v>186000</v>
      </c>
      <c r="G343" s="107">
        <v>4198</v>
      </c>
    </row>
    <row r="344" spans="1:7" x14ac:dyDescent="0.35">
      <c r="A344" t="s">
        <v>20</v>
      </c>
      <c r="B344" t="s">
        <v>26</v>
      </c>
      <c r="C344" s="1">
        <v>45554</v>
      </c>
      <c r="D344" t="s">
        <v>156</v>
      </c>
      <c r="E344" t="s">
        <v>154</v>
      </c>
      <c r="F344" s="107">
        <v>110000</v>
      </c>
      <c r="G344" s="107">
        <v>4165</v>
      </c>
    </row>
    <row r="345" spans="1:7" x14ac:dyDescent="0.35">
      <c r="A345" t="s">
        <v>19</v>
      </c>
      <c r="B345" t="s">
        <v>19</v>
      </c>
      <c r="C345" s="1">
        <v>45560</v>
      </c>
      <c r="D345" t="s">
        <v>156</v>
      </c>
      <c r="E345" t="s">
        <v>155</v>
      </c>
      <c r="F345" s="107">
        <v>100000</v>
      </c>
      <c r="G345" s="107">
        <v>4073.49</v>
      </c>
    </row>
    <row r="346" spans="1:7" x14ac:dyDescent="0.35">
      <c r="A346" t="s">
        <v>19</v>
      </c>
      <c r="B346" t="s">
        <v>19</v>
      </c>
      <c r="C346" s="1">
        <v>45560</v>
      </c>
      <c r="D346" t="s">
        <v>156</v>
      </c>
      <c r="E346" t="s">
        <v>155</v>
      </c>
      <c r="F346" s="107">
        <v>100000</v>
      </c>
      <c r="G346" s="107">
        <v>4066.7</v>
      </c>
    </row>
    <row r="347" spans="1:7" x14ac:dyDescent="0.35">
      <c r="A347" t="s">
        <v>19</v>
      </c>
      <c r="B347" t="s">
        <v>19</v>
      </c>
      <c r="C347" s="1">
        <v>45560</v>
      </c>
      <c r="D347" t="s">
        <v>414</v>
      </c>
      <c r="E347" t="s">
        <v>155</v>
      </c>
      <c r="F347" s="107">
        <v>80000</v>
      </c>
      <c r="G347" s="107">
        <v>4024.18</v>
      </c>
    </row>
    <row r="348" spans="1:7" x14ac:dyDescent="0.35">
      <c r="A348" t="s">
        <v>20</v>
      </c>
      <c r="B348" t="s">
        <v>158</v>
      </c>
      <c r="C348" s="1">
        <v>45560</v>
      </c>
      <c r="D348" t="s">
        <v>414</v>
      </c>
      <c r="E348" t="s">
        <v>155</v>
      </c>
      <c r="F348" s="107">
        <v>80000</v>
      </c>
      <c r="G348" s="107">
        <v>4024.18</v>
      </c>
    </row>
    <row r="349" spans="1:7" x14ac:dyDescent="0.35">
      <c r="A349" t="s">
        <v>19</v>
      </c>
      <c r="B349" t="s">
        <v>19</v>
      </c>
      <c r="C349" s="1">
        <v>45561</v>
      </c>
      <c r="D349" t="s">
        <v>156</v>
      </c>
      <c r="E349" t="s">
        <v>154</v>
      </c>
      <c r="F349" s="107">
        <v>820000</v>
      </c>
      <c r="G349" s="107">
        <v>4189</v>
      </c>
    </row>
    <row r="350" spans="1:7" x14ac:dyDescent="0.35">
      <c r="A350" t="s">
        <v>20</v>
      </c>
      <c r="B350" t="s">
        <v>158</v>
      </c>
      <c r="C350" s="1">
        <v>45561</v>
      </c>
      <c r="D350" t="s">
        <v>156</v>
      </c>
      <c r="E350" t="s">
        <v>155</v>
      </c>
      <c r="F350" s="107">
        <v>100000</v>
      </c>
      <c r="G350" s="107">
        <v>4073.49</v>
      </c>
    </row>
    <row r="351" spans="1:7" x14ac:dyDescent="0.35">
      <c r="A351" t="s">
        <v>20</v>
      </c>
      <c r="B351" s="24" t="s">
        <v>158</v>
      </c>
      <c r="C351" s="1">
        <v>45561</v>
      </c>
      <c r="D351" t="s">
        <v>156</v>
      </c>
      <c r="E351" t="s">
        <v>154</v>
      </c>
      <c r="F351" s="109">
        <v>22000</v>
      </c>
      <c r="G351" s="107">
        <v>4174</v>
      </c>
    </row>
    <row r="352" spans="1:7" x14ac:dyDescent="0.35">
      <c r="A352" t="s">
        <v>20</v>
      </c>
      <c r="B352" s="24" t="s">
        <v>162</v>
      </c>
      <c r="C352" s="1">
        <v>45561</v>
      </c>
      <c r="D352" t="s">
        <v>156</v>
      </c>
      <c r="E352" t="s">
        <v>154</v>
      </c>
      <c r="F352" s="109">
        <v>138000</v>
      </c>
      <c r="G352" s="107">
        <v>4174</v>
      </c>
    </row>
    <row r="353" spans="1:7" x14ac:dyDescent="0.35">
      <c r="A353" t="s">
        <v>20</v>
      </c>
      <c r="B353" s="24" t="s">
        <v>171</v>
      </c>
      <c r="C353" s="1">
        <v>45561</v>
      </c>
      <c r="D353" t="s">
        <v>156</v>
      </c>
      <c r="E353" t="s">
        <v>154</v>
      </c>
      <c r="F353" s="109">
        <v>260000</v>
      </c>
      <c r="G353" s="107">
        <v>4174</v>
      </c>
    </row>
    <row r="354" spans="1:7" x14ac:dyDescent="0.35">
      <c r="A354" t="s">
        <v>19</v>
      </c>
      <c r="B354" t="s">
        <v>19</v>
      </c>
      <c r="C354" s="1">
        <v>45567</v>
      </c>
      <c r="D354" t="s">
        <v>156</v>
      </c>
      <c r="E354" t="s">
        <v>155</v>
      </c>
      <c r="F354" s="111">
        <v>100000</v>
      </c>
      <c r="G354" s="107">
        <v>4070.95</v>
      </c>
    </row>
    <row r="355" spans="1:7" x14ac:dyDescent="0.35">
      <c r="A355" t="s">
        <v>20</v>
      </c>
      <c r="B355" t="s">
        <v>158</v>
      </c>
      <c r="C355" s="1">
        <v>45567</v>
      </c>
      <c r="D355" t="s">
        <v>156</v>
      </c>
      <c r="E355" t="s">
        <v>155</v>
      </c>
      <c r="F355" s="107">
        <v>80000</v>
      </c>
      <c r="G355" s="107">
        <v>4070.95</v>
      </c>
    </row>
    <row r="356" spans="1:7" x14ac:dyDescent="0.35">
      <c r="A356" t="s">
        <v>20</v>
      </c>
      <c r="B356" s="24" t="s">
        <v>162</v>
      </c>
      <c r="C356" s="1">
        <v>45567</v>
      </c>
      <c r="D356" t="s">
        <v>156</v>
      </c>
      <c r="E356" t="s">
        <v>154</v>
      </c>
      <c r="F356" s="109">
        <v>201000</v>
      </c>
      <c r="G356" s="107">
        <v>4208</v>
      </c>
    </row>
    <row r="357" spans="1:7" x14ac:dyDescent="0.35">
      <c r="A357" t="s">
        <v>20</v>
      </c>
      <c r="B357" s="24" t="s">
        <v>171</v>
      </c>
      <c r="C357" s="1">
        <v>45567</v>
      </c>
      <c r="D357" t="s">
        <v>156</v>
      </c>
      <c r="E357" t="s">
        <v>154</v>
      </c>
      <c r="F357" s="109">
        <v>39000</v>
      </c>
      <c r="G357" s="107">
        <v>4208</v>
      </c>
    </row>
    <row r="358" spans="1:7" x14ac:dyDescent="0.35">
      <c r="A358" t="s">
        <v>20</v>
      </c>
      <c r="B358" t="s">
        <v>27</v>
      </c>
      <c r="C358" s="1">
        <v>45567</v>
      </c>
      <c r="D358" t="s">
        <v>156</v>
      </c>
      <c r="E358" t="s">
        <v>154</v>
      </c>
      <c r="F358" s="107">
        <v>210000</v>
      </c>
      <c r="G358" s="164">
        <v>4187</v>
      </c>
    </row>
    <row r="359" spans="1:7" x14ac:dyDescent="0.35">
      <c r="A359" t="s">
        <v>20</v>
      </c>
      <c r="B359" t="s">
        <v>191</v>
      </c>
      <c r="C359" s="1">
        <v>45568</v>
      </c>
      <c r="D359" t="s">
        <v>156</v>
      </c>
      <c r="E359" t="s">
        <v>155</v>
      </c>
      <c r="F359" s="107">
        <v>250000</v>
      </c>
      <c r="G359" s="107">
        <v>3905.03</v>
      </c>
    </row>
    <row r="360" spans="1:7" x14ac:dyDescent="0.35">
      <c r="A360" t="s">
        <v>20</v>
      </c>
      <c r="B360" t="s">
        <v>190</v>
      </c>
      <c r="C360" s="1">
        <v>45568</v>
      </c>
      <c r="D360" t="s">
        <v>156</v>
      </c>
      <c r="E360" t="s">
        <v>155</v>
      </c>
      <c r="F360" s="107">
        <v>412500</v>
      </c>
      <c r="G360" s="107">
        <v>3905.03</v>
      </c>
    </row>
    <row r="361" spans="1:7" x14ac:dyDescent="0.35">
      <c r="A361" t="s">
        <v>19</v>
      </c>
      <c r="B361" t="s">
        <v>19</v>
      </c>
      <c r="C361" s="1">
        <v>45568</v>
      </c>
      <c r="D361" t="s">
        <v>156</v>
      </c>
      <c r="E361" t="s">
        <v>154</v>
      </c>
      <c r="F361" s="111">
        <v>500000</v>
      </c>
      <c r="G361" s="107">
        <v>4191</v>
      </c>
    </row>
    <row r="362" spans="1:7" x14ac:dyDescent="0.35">
      <c r="A362" t="s">
        <v>20</v>
      </c>
      <c r="B362" t="s">
        <v>26</v>
      </c>
      <c r="C362" s="1">
        <v>45569</v>
      </c>
      <c r="D362" t="s">
        <v>156</v>
      </c>
      <c r="E362" t="s">
        <v>154</v>
      </c>
      <c r="F362" s="107">
        <v>279000</v>
      </c>
      <c r="G362" s="107">
        <v>4182</v>
      </c>
    </row>
    <row r="363" spans="1:7" x14ac:dyDescent="0.35">
      <c r="A363" t="s">
        <v>19</v>
      </c>
      <c r="B363" t="s">
        <v>19</v>
      </c>
      <c r="C363" s="1">
        <v>45569</v>
      </c>
      <c r="D363" t="s">
        <v>156</v>
      </c>
      <c r="E363" t="s">
        <v>154</v>
      </c>
      <c r="F363" s="111">
        <v>200000</v>
      </c>
      <c r="G363" s="107">
        <v>4182</v>
      </c>
    </row>
    <row r="364" spans="1:7" x14ac:dyDescent="0.35">
      <c r="A364" t="s">
        <v>19</v>
      </c>
      <c r="B364" t="s">
        <v>19</v>
      </c>
      <c r="C364" s="1">
        <v>45569</v>
      </c>
      <c r="D364" t="s">
        <v>156</v>
      </c>
      <c r="E364" t="s">
        <v>154</v>
      </c>
      <c r="F364" s="111">
        <v>200000</v>
      </c>
      <c r="G364" s="107">
        <v>4176</v>
      </c>
    </row>
    <row r="365" spans="1:7" x14ac:dyDescent="0.35">
      <c r="A365" t="s">
        <v>19</v>
      </c>
      <c r="B365" t="s">
        <v>19</v>
      </c>
      <c r="C365" s="1">
        <v>45569</v>
      </c>
      <c r="D365" t="s">
        <v>156</v>
      </c>
      <c r="E365" t="s">
        <v>154</v>
      </c>
      <c r="F365" s="111">
        <v>210000</v>
      </c>
      <c r="G365" s="107">
        <v>4170</v>
      </c>
    </row>
    <row r="366" spans="1:7" x14ac:dyDescent="0.35">
      <c r="A366" t="s">
        <v>20</v>
      </c>
      <c r="B366" t="s">
        <v>27</v>
      </c>
      <c r="C366" s="1">
        <v>45574</v>
      </c>
      <c r="D366" t="s">
        <v>156</v>
      </c>
      <c r="E366" t="s">
        <v>270</v>
      </c>
      <c r="F366" s="107">
        <v>329760.21999999997</v>
      </c>
      <c r="G366" s="164">
        <v>3989.85</v>
      </c>
    </row>
    <row r="367" spans="1:7" x14ac:dyDescent="0.35">
      <c r="A367" t="s">
        <v>20</v>
      </c>
      <c r="B367" t="s">
        <v>158</v>
      </c>
      <c r="C367" s="1">
        <v>45574</v>
      </c>
      <c r="D367" t="s">
        <v>156</v>
      </c>
      <c r="E367" t="s">
        <v>155</v>
      </c>
      <c r="F367" s="107">
        <v>80000</v>
      </c>
      <c r="G367" s="107">
        <v>4075.25</v>
      </c>
    </row>
    <row r="368" spans="1:7" x14ac:dyDescent="0.35">
      <c r="A368" t="s">
        <v>20</v>
      </c>
      <c r="B368" s="24" t="s">
        <v>158</v>
      </c>
      <c r="C368" s="1">
        <v>45574</v>
      </c>
      <c r="D368" t="s">
        <v>156</v>
      </c>
      <c r="E368" t="s">
        <v>154</v>
      </c>
      <c r="F368" s="109">
        <v>288400</v>
      </c>
      <c r="G368" s="111">
        <v>4227</v>
      </c>
    </row>
    <row r="369" spans="1:7" x14ac:dyDescent="0.35">
      <c r="A369" t="s">
        <v>20</v>
      </c>
      <c r="B369" s="24" t="s">
        <v>171</v>
      </c>
      <c r="C369" s="1">
        <v>45574</v>
      </c>
      <c r="D369" t="s">
        <v>156</v>
      </c>
      <c r="E369" t="s">
        <v>154</v>
      </c>
      <c r="F369" s="109">
        <v>1600</v>
      </c>
      <c r="G369" s="111">
        <v>4227</v>
      </c>
    </row>
    <row r="370" spans="1:7" x14ac:dyDescent="0.35">
      <c r="A370" t="s">
        <v>20</v>
      </c>
      <c r="B370" s="24" t="s">
        <v>441</v>
      </c>
      <c r="C370" s="1">
        <v>45574</v>
      </c>
      <c r="D370" t="s">
        <v>156</v>
      </c>
      <c r="E370" t="s">
        <v>154</v>
      </c>
      <c r="F370" s="109">
        <v>10000</v>
      </c>
      <c r="G370" s="111">
        <v>4227</v>
      </c>
    </row>
    <row r="371" spans="1:7" x14ac:dyDescent="0.35">
      <c r="A371" t="s">
        <v>19</v>
      </c>
      <c r="B371" t="s">
        <v>19</v>
      </c>
      <c r="C371" s="1">
        <v>45574</v>
      </c>
      <c r="D371" t="s">
        <v>156</v>
      </c>
      <c r="E371" t="s">
        <v>155</v>
      </c>
      <c r="F371" s="111">
        <v>100000</v>
      </c>
      <c r="G371" s="107">
        <v>4075.25</v>
      </c>
    </row>
    <row r="372" spans="1:7" x14ac:dyDescent="0.35">
      <c r="A372" t="s">
        <v>19</v>
      </c>
      <c r="B372" t="s">
        <v>19</v>
      </c>
      <c r="C372" s="1">
        <v>45574</v>
      </c>
      <c r="D372" t="s">
        <v>156</v>
      </c>
      <c r="E372" t="s">
        <v>155</v>
      </c>
      <c r="F372" s="111">
        <v>80000</v>
      </c>
      <c r="G372" s="107">
        <v>4181.38</v>
      </c>
    </row>
    <row r="373" spans="1:7" x14ac:dyDescent="0.35">
      <c r="A373" t="s">
        <v>19</v>
      </c>
      <c r="B373" t="s">
        <v>19</v>
      </c>
      <c r="C373" s="1">
        <v>45575</v>
      </c>
      <c r="D373" t="s">
        <v>156</v>
      </c>
      <c r="E373" t="s">
        <v>154</v>
      </c>
      <c r="F373" s="111">
        <v>200000</v>
      </c>
      <c r="G373" s="107">
        <v>4221</v>
      </c>
    </row>
    <row r="374" spans="1:7" x14ac:dyDescent="0.35">
      <c r="A374" t="s">
        <v>19</v>
      </c>
      <c r="B374" t="s">
        <v>19</v>
      </c>
      <c r="C374" s="1">
        <v>45575</v>
      </c>
      <c r="D374" t="s">
        <v>156</v>
      </c>
      <c r="E374" t="s">
        <v>154</v>
      </c>
      <c r="F374" s="111">
        <v>200000</v>
      </c>
      <c r="G374" s="107">
        <v>4211</v>
      </c>
    </row>
    <row r="375" spans="1:7" x14ac:dyDescent="0.35">
      <c r="A375" t="s">
        <v>19</v>
      </c>
      <c r="B375" t="s">
        <v>19</v>
      </c>
      <c r="C375" s="1">
        <v>45576</v>
      </c>
      <c r="D375" t="s">
        <v>156</v>
      </c>
      <c r="E375" t="s">
        <v>154</v>
      </c>
      <c r="F375" s="111">
        <v>520000</v>
      </c>
      <c r="G375" s="107">
        <v>4188</v>
      </c>
    </row>
    <row r="376" spans="1:7" x14ac:dyDescent="0.35">
      <c r="A376" t="s">
        <v>20</v>
      </c>
      <c r="B376" t="s">
        <v>173</v>
      </c>
      <c r="C376" s="1">
        <v>45576</v>
      </c>
      <c r="D376" t="s">
        <v>156</v>
      </c>
      <c r="E376" t="s">
        <v>154</v>
      </c>
      <c r="F376" s="107">
        <v>393000</v>
      </c>
      <c r="G376" s="164">
        <v>4191</v>
      </c>
    </row>
    <row r="377" spans="1:7" x14ac:dyDescent="0.35">
      <c r="A377" t="s">
        <v>20</v>
      </c>
      <c r="B377" t="s">
        <v>26</v>
      </c>
      <c r="C377" s="1">
        <v>45576</v>
      </c>
      <c r="D377" t="s">
        <v>156</v>
      </c>
      <c r="E377" t="s">
        <v>154</v>
      </c>
      <c r="F377" s="107">
        <v>160000</v>
      </c>
      <c r="G377" s="107">
        <v>4193</v>
      </c>
    </row>
    <row r="378" spans="1:7" x14ac:dyDescent="0.35">
      <c r="A378" t="s">
        <v>194</v>
      </c>
      <c r="B378" t="s">
        <v>217</v>
      </c>
      <c r="C378" s="1">
        <v>45580</v>
      </c>
      <c r="D378" t="s">
        <v>156</v>
      </c>
      <c r="E378" t="s">
        <v>154</v>
      </c>
      <c r="F378" s="107">
        <v>1220000</v>
      </c>
      <c r="G378" s="107">
        <v>4248</v>
      </c>
    </row>
    <row r="379" spans="1:7" x14ac:dyDescent="0.35">
      <c r="A379" t="s">
        <v>20</v>
      </c>
      <c r="B379" t="s">
        <v>158</v>
      </c>
      <c r="C379" s="1">
        <v>45581</v>
      </c>
      <c r="D379" t="s">
        <v>156</v>
      </c>
      <c r="E379" t="s">
        <v>155</v>
      </c>
      <c r="F379" s="107">
        <v>80000</v>
      </c>
      <c r="G379" s="107">
        <v>4079.6</v>
      </c>
    </row>
    <row r="380" spans="1:7" x14ac:dyDescent="0.35">
      <c r="A380" t="s">
        <v>20</v>
      </c>
      <c r="B380" s="24" t="s">
        <v>158</v>
      </c>
      <c r="C380" s="1">
        <v>45581</v>
      </c>
      <c r="D380" t="s">
        <v>156</v>
      </c>
      <c r="E380" t="s">
        <v>154</v>
      </c>
      <c r="F380" s="109">
        <v>280000</v>
      </c>
      <c r="G380" s="111">
        <v>4267.5</v>
      </c>
    </row>
    <row r="381" spans="1:7" x14ac:dyDescent="0.35">
      <c r="A381" t="s">
        <v>20</v>
      </c>
      <c r="B381" s="24" t="s">
        <v>162</v>
      </c>
      <c r="C381" s="1">
        <v>45581</v>
      </c>
      <c r="D381" t="s">
        <v>156</v>
      </c>
      <c r="E381" t="s">
        <v>154</v>
      </c>
      <c r="F381" s="109">
        <v>140000</v>
      </c>
      <c r="G381" s="111">
        <v>4267.5</v>
      </c>
    </row>
    <row r="382" spans="1:7" x14ac:dyDescent="0.35">
      <c r="A382" t="s">
        <v>20</v>
      </c>
      <c r="B382" s="24" t="s">
        <v>171</v>
      </c>
      <c r="C382" s="1">
        <v>45581</v>
      </c>
      <c r="D382" t="s">
        <v>156</v>
      </c>
      <c r="E382" t="s">
        <v>154</v>
      </c>
      <c r="F382" s="109">
        <v>10000</v>
      </c>
      <c r="G382" s="111">
        <v>4267.5</v>
      </c>
    </row>
    <row r="383" spans="1:7" x14ac:dyDescent="0.35">
      <c r="A383" t="s">
        <v>19</v>
      </c>
      <c r="B383" t="s">
        <v>19</v>
      </c>
      <c r="C383" s="1">
        <v>45581</v>
      </c>
      <c r="D383" t="s">
        <v>156</v>
      </c>
      <c r="E383" t="s">
        <v>155</v>
      </c>
      <c r="F383" s="107">
        <v>100000</v>
      </c>
      <c r="G383" s="107">
        <v>4079.6</v>
      </c>
    </row>
    <row r="384" spans="1:7" x14ac:dyDescent="0.35">
      <c r="A384" t="s">
        <v>19</v>
      </c>
      <c r="B384" t="s">
        <v>19</v>
      </c>
      <c r="C384" s="1">
        <v>45581</v>
      </c>
      <c r="D384" t="s">
        <v>156</v>
      </c>
      <c r="E384" t="s">
        <v>155</v>
      </c>
      <c r="F384" s="107">
        <v>80000</v>
      </c>
      <c r="G384" s="107">
        <v>4185.37</v>
      </c>
    </row>
    <row r="385" spans="1:7" x14ac:dyDescent="0.35">
      <c r="A385" t="s">
        <v>19</v>
      </c>
      <c r="B385" t="s">
        <v>19</v>
      </c>
      <c r="C385" s="1">
        <v>45581</v>
      </c>
      <c r="D385" t="s">
        <v>156</v>
      </c>
      <c r="E385" t="s">
        <v>154</v>
      </c>
      <c r="F385" s="107">
        <v>241000</v>
      </c>
      <c r="G385" s="107">
        <v>4262</v>
      </c>
    </row>
    <row r="386" spans="1:7" x14ac:dyDescent="0.35">
      <c r="A386" t="s">
        <v>20</v>
      </c>
      <c r="B386" s="24" t="s">
        <v>26</v>
      </c>
      <c r="C386" s="1">
        <v>45582</v>
      </c>
      <c r="D386" t="s">
        <v>156</v>
      </c>
      <c r="E386" t="s">
        <v>154</v>
      </c>
      <c r="F386" s="109">
        <v>150000</v>
      </c>
      <c r="G386" s="107">
        <v>4260</v>
      </c>
    </row>
    <row r="387" spans="1:7" x14ac:dyDescent="0.35">
      <c r="A387" t="s">
        <v>20</v>
      </c>
      <c r="B387" s="24" t="s">
        <v>27</v>
      </c>
      <c r="C387" s="1">
        <v>45582</v>
      </c>
      <c r="D387" t="s">
        <v>156</v>
      </c>
      <c r="E387" t="s">
        <v>154</v>
      </c>
      <c r="F387" s="109">
        <v>171000</v>
      </c>
      <c r="G387" s="164">
        <v>4260</v>
      </c>
    </row>
    <row r="388" spans="1:7" x14ac:dyDescent="0.35">
      <c r="A388" t="s">
        <v>19</v>
      </c>
      <c r="B388" t="s">
        <v>19</v>
      </c>
      <c r="C388" s="1">
        <v>45582</v>
      </c>
      <c r="D388" t="s">
        <v>156</v>
      </c>
      <c r="E388" t="s">
        <v>154</v>
      </c>
      <c r="F388" s="107">
        <v>560000</v>
      </c>
      <c r="G388" s="107">
        <v>4257</v>
      </c>
    </row>
    <row r="389" spans="1:7" x14ac:dyDescent="0.35">
      <c r="A389" t="s">
        <v>20</v>
      </c>
      <c r="B389" t="s">
        <v>27</v>
      </c>
      <c r="C389" s="1">
        <v>45583</v>
      </c>
      <c r="D389" t="s">
        <v>156</v>
      </c>
      <c r="E389" t="s">
        <v>154</v>
      </c>
      <c r="F389" s="107">
        <v>300000</v>
      </c>
      <c r="G389" s="164">
        <v>4230</v>
      </c>
    </row>
    <row r="390" spans="1:7" x14ac:dyDescent="0.35">
      <c r="A390" t="s">
        <v>19</v>
      </c>
      <c r="B390" t="s">
        <v>19</v>
      </c>
      <c r="C390" s="1">
        <v>45583</v>
      </c>
      <c r="D390" t="s">
        <v>156</v>
      </c>
      <c r="E390" t="s">
        <v>154</v>
      </c>
      <c r="F390" s="107">
        <v>260000</v>
      </c>
      <c r="G390" s="107">
        <v>4235</v>
      </c>
    </row>
    <row r="391" spans="1:7" x14ac:dyDescent="0.35">
      <c r="A391" t="s">
        <v>20</v>
      </c>
      <c r="B391" t="s">
        <v>26</v>
      </c>
      <c r="C391" s="1">
        <v>45588</v>
      </c>
      <c r="D391" t="s">
        <v>156</v>
      </c>
      <c r="E391" t="s">
        <v>155</v>
      </c>
      <c r="F391" s="107">
        <v>100000</v>
      </c>
      <c r="G391" s="107">
        <v>4117.95</v>
      </c>
    </row>
    <row r="392" spans="1:7" x14ac:dyDescent="0.35">
      <c r="A392" t="s">
        <v>20</v>
      </c>
      <c r="B392" t="s">
        <v>26</v>
      </c>
      <c r="C392" s="1">
        <v>45588</v>
      </c>
      <c r="D392" t="s">
        <v>156</v>
      </c>
      <c r="E392" t="s">
        <v>155</v>
      </c>
      <c r="F392" s="107">
        <v>100000</v>
      </c>
      <c r="G392" s="107">
        <v>4044.86</v>
      </c>
    </row>
    <row r="393" spans="1:7" x14ac:dyDescent="0.35">
      <c r="A393" t="s">
        <v>20</v>
      </c>
      <c r="B393" t="s">
        <v>26</v>
      </c>
      <c r="C393" s="1">
        <v>45588</v>
      </c>
      <c r="D393" t="s">
        <v>414</v>
      </c>
      <c r="E393" t="s">
        <v>155</v>
      </c>
      <c r="F393" s="107">
        <v>150000</v>
      </c>
      <c r="G393" s="107">
        <v>4017.78</v>
      </c>
    </row>
    <row r="394" spans="1:7" x14ac:dyDescent="0.35">
      <c r="A394" t="s">
        <v>20</v>
      </c>
      <c r="B394" t="s">
        <v>158</v>
      </c>
      <c r="C394" s="1">
        <v>45588</v>
      </c>
      <c r="D394" t="s">
        <v>156</v>
      </c>
      <c r="E394" t="s">
        <v>155</v>
      </c>
      <c r="F394" s="107">
        <v>80000</v>
      </c>
      <c r="G394" s="107">
        <v>4083.95</v>
      </c>
    </row>
    <row r="395" spans="1:7" x14ac:dyDescent="0.35">
      <c r="A395" t="s">
        <v>20</v>
      </c>
      <c r="B395" t="s">
        <v>27</v>
      </c>
      <c r="C395" s="1">
        <v>45588</v>
      </c>
      <c r="D395" t="s">
        <v>156</v>
      </c>
      <c r="E395" t="s">
        <v>155</v>
      </c>
      <c r="F395" s="107">
        <v>150000</v>
      </c>
      <c r="G395" s="164">
        <v>4192.6400000000003</v>
      </c>
    </row>
    <row r="396" spans="1:7" x14ac:dyDescent="0.35">
      <c r="A396" t="s">
        <v>20</v>
      </c>
      <c r="B396" t="s">
        <v>27</v>
      </c>
      <c r="C396" s="1">
        <v>45588</v>
      </c>
      <c r="D396" t="s">
        <v>156</v>
      </c>
      <c r="E396" t="s">
        <v>155</v>
      </c>
      <c r="F396" s="107">
        <v>100000</v>
      </c>
      <c r="G396" s="164">
        <v>4171.6499999999996</v>
      </c>
    </row>
    <row r="397" spans="1:7" x14ac:dyDescent="0.35">
      <c r="A397" t="s">
        <v>20</v>
      </c>
      <c r="B397" t="s">
        <v>217</v>
      </c>
      <c r="C397" s="1">
        <v>45588</v>
      </c>
      <c r="D397" t="s">
        <v>156</v>
      </c>
      <c r="E397" t="s">
        <v>154</v>
      </c>
      <c r="F397" s="111">
        <v>65000</v>
      </c>
      <c r="G397" s="107">
        <v>4290</v>
      </c>
    </row>
    <row r="398" spans="1:7" x14ac:dyDescent="0.35">
      <c r="A398" t="s">
        <v>20</v>
      </c>
      <c r="B398" s="24" t="s">
        <v>26</v>
      </c>
      <c r="C398" s="1">
        <v>45588</v>
      </c>
      <c r="D398" t="s">
        <v>156</v>
      </c>
      <c r="E398" t="s">
        <v>154</v>
      </c>
      <c r="F398" s="109">
        <v>70000</v>
      </c>
      <c r="G398" s="107">
        <v>4290</v>
      </c>
    </row>
    <row r="399" spans="1:7" x14ac:dyDescent="0.35">
      <c r="A399" t="s">
        <v>20</v>
      </c>
      <c r="B399" s="24" t="s">
        <v>162</v>
      </c>
      <c r="C399" s="1">
        <v>45588</v>
      </c>
      <c r="D399" t="s">
        <v>156</v>
      </c>
      <c r="E399" t="s">
        <v>154</v>
      </c>
      <c r="F399" s="109">
        <v>65000</v>
      </c>
      <c r="G399" s="107">
        <v>4290</v>
      </c>
    </row>
    <row r="400" spans="1:7" x14ac:dyDescent="0.35">
      <c r="A400" t="s">
        <v>19</v>
      </c>
      <c r="B400" t="s">
        <v>19</v>
      </c>
      <c r="C400" s="1">
        <v>45588</v>
      </c>
      <c r="D400" t="s">
        <v>156</v>
      </c>
      <c r="E400" t="s">
        <v>155</v>
      </c>
      <c r="F400" s="107">
        <v>100000</v>
      </c>
      <c r="G400" s="111">
        <v>4083.95</v>
      </c>
    </row>
    <row r="401" spans="1:7" x14ac:dyDescent="0.35">
      <c r="A401" t="s">
        <v>19</v>
      </c>
      <c r="B401" t="s">
        <v>19</v>
      </c>
      <c r="C401" s="1">
        <v>45588</v>
      </c>
      <c r="D401" t="s">
        <v>156</v>
      </c>
      <c r="E401" t="s">
        <v>155</v>
      </c>
      <c r="F401" s="107">
        <v>100000</v>
      </c>
      <c r="G401" s="111">
        <v>4169.1000000000004</v>
      </c>
    </row>
    <row r="402" spans="1:7" x14ac:dyDescent="0.35">
      <c r="A402" t="s">
        <v>19</v>
      </c>
      <c r="B402" t="s">
        <v>19</v>
      </c>
      <c r="C402" s="1">
        <v>45588</v>
      </c>
      <c r="D402" t="s">
        <v>156</v>
      </c>
      <c r="E402" t="s">
        <v>154</v>
      </c>
      <c r="F402" s="107">
        <v>300000</v>
      </c>
      <c r="G402" s="107">
        <v>4290</v>
      </c>
    </row>
    <row r="403" spans="1:7" x14ac:dyDescent="0.35">
      <c r="A403" t="s">
        <v>20</v>
      </c>
      <c r="B403" t="s">
        <v>26</v>
      </c>
      <c r="C403" s="1">
        <v>45589</v>
      </c>
      <c r="D403" t="s">
        <v>156</v>
      </c>
      <c r="E403" t="s">
        <v>154</v>
      </c>
      <c r="F403" s="107">
        <v>138000</v>
      </c>
      <c r="G403" s="107">
        <v>4318</v>
      </c>
    </row>
    <row r="404" spans="1:7" x14ac:dyDescent="0.35">
      <c r="A404" t="s">
        <v>19</v>
      </c>
      <c r="B404" t="s">
        <v>19</v>
      </c>
      <c r="C404" s="1">
        <v>45590</v>
      </c>
      <c r="D404" t="s">
        <v>156</v>
      </c>
      <c r="E404" t="s">
        <v>154</v>
      </c>
      <c r="F404" s="107">
        <v>350000</v>
      </c>
      <c r="G404" s="107">
        <v>4285</v>
      </c>
    </row>
    <row r="405" spans="1:7" x14ac:dyDescent="0.35">
      <c r="A405" t="s">
        <v>19</v>
      </c>
      <c r="B405" t="s">
        <v>19</v>
      </c>
      <c r="C405" s="1">
        <v>45594</v>
      </c>
      <c r="D405" t="s">
        <v>156</v>
      </c>
      <c r="E405" t="s">
        <v>154</v>
      </c>
      <c r="F405" s="107">
        <v>307000</v>
      </c>
      <c r="G405" s="107">
        <v>4376</v>
      </c>
    </row>
    <row r="406" spans="1:7" x14ac:dyDescent="0.35">
      <c r="A406" t="s">
        <v>20</v>
      </c>
      <c r="C406" s="1">
        <v>45597</v>
      </c>
      <c r="D406" t="s">
        <v>156</v>
      </c>
      <c r="E406" t="s">
        <v>154</v>
      </c>
      <c r="F406" s="107">
        <v>887000</v>
      </c>
      <c r="G406" s="107">
        <v>4413</v>
      </c>
    </row>
    <row r="407" spans="1:7" x14ac:dyDescent="0.35">
      <c r="A407" t="s">
        <v>20</v>
      </c>
      <c r="B407" t="s">
        <v>27</v>
      </c>
      <c r="C407" s="1">
        <v>45602</v>
      </c>
      <c r="D407" t="s">
        <v>156</v>
      </c>
      <c r="E407" t="s">
        <v>155</v>
      </c>
      <c r="F407" s="107">
        <v>100000</v>
      </c>
      <c r="G407" s="164">
        <v>4177.28</v>
      </c>
    </row>
    <row r="408" spans="1:7" x14ac:dyDescent="0.35">
      <c r="A408" t="s">
        <v>20</v>
      </c>
      <c r="B408" t="s">
        <v>27</v>
      </c>
      <c r="C408" s="1">
        <v>45602</v>
      </c>
      <c r="D408" t="s">
        <v>156</v>
      </c>
      <c r="E408" t="s">
        <v>155</v>
      </c>
      <c r="F408" s="107">
        <v>150000</v>
      </c>
      <c r="G408" s="164">
        <v>4176.01</v>
      </c>
    </row>
    <row r="409" spans="1:7" x14ac:dyDescent="0.35">
      <c r="A409" t="s">
        <v>20</v>
      </c>
      <c r="B409" t="s">
        <v>27</v>
      </c>
      <c r="C409" s="1">
        <v>45602</v>
      </c>
      <c r="D409" t="s">
        <v>156</v>
      </c>
      <c r="E409" t="s">
        <v>155</v>
      </c>
      <c r="F409" s="107">
        <v>300000</v>
      </c>
      <c r="G409" s="164">
        <v>4207.8999999999996</v>
      </c>
    </row>
    <row r="410" spans="1:7" x14ac:dyDescent="0.35">
      <c r="A410" t="s">
        <v>20</v>
      </c>
      <c r="B410" t="s">
        <v>27</v>
      </c>
      <c r="C410" s="1">
        <v>45602</v>
      </c>
      <c r="D410" t="s">
        <v>156</v>
      </c>
      <c r="E410" t="s">
        <v>155</v>
      </c>
      <c r="F410" s="107">
        <v>50000</v>
      </c>
      <c r="G410" s="164">
        <v>4223.43</v>
      </c>
    </row>
    <row r="411" spans="1:7" x14ac:dyDescent="0.35">
      <c r="A411" t="s">
        <v>20</v>
      </c>
      <c r="B411" t="s">
        <v>158</v>
      </c>
      <c r="C411" s="1">
        <v>45602</v>
      </c>
      <c r="D411" t="s">
        <v>156</v>
      </c>
      <c r="E411" t="s">
        <v>155</v>
      </c>
      <c r="F411" s="107">
        <v>100000</v>
      </c>
      <c r="G411" s="107">
        <v>4223.43</v>
      </c>
    </row>
    <row r="412" spans="1:7" x14ac:dyDescent="0.35">
      <c r="A412" t="s">
        <v>20</v>
      </c>
      <c r="B412" t="s">
        <v>162</v>
      </c>
      <c r="C412" s="1">
        <v>45602</v>
      </c>
      <c r="D412" t="s">
        <v>156</v>
      </c>
      <c r="E412" t="s">
        <v>154</v>
      </c>
      <c r="F412" s="107">
        <v>140000</v>
      </c>
      <c r="G412" s="107">
        <v>4472</v>
      </c>
    </row>
    <row r="413" spans="1:7" x14ac:dyDescent="0.35">
      <c r="A413" t="s">
        <v>19</v>
      </c>
      <c r="B413" t="s">
        <v>19</v>
      </c>
      <c r="C413" s="1">
        <v>45602</v>
      </c>
      <c r="D413" t="s">
        <v>156</v>
      </c>
      <c r="E413" t="s">
        <v>154</v>
      </c>
      <c r="F413" s="107">
        <v>200000</v>
      </c>
      <c r="G413" s="107">
        <v>4472</v>
      </c>
    </row>
    <row r="414" spans="1:7" x14ac:dyDescent="0.35">
      <c r="A414" t="s">
        <v>19</v>
      </c>
      <c r="B414" t="s">
        <v>19</v>
      </c>
      <c r="C414" s="1">
        <v>45602</v>
      </c>
      <c r="D414" t="s">
        <v>156</v>
      </c>
      <c r="E414" t="s">
        <v>155</v>
      </c>
      <c r="F414" s="107">
        <v>100000</v>
      </c>
      <c r="G414" s="107">
        <v>4176.01</v>
      </c>
    </row>
    <row r="415" spans="1:7" x14ac:dyDescent="0.35">
      <c r="A415" t="s">
        <v>19</v>
      </c>
      <c r="B415" t="s">
        <v>19</v>
      </c>
      <c r="C415" s="1">
        <v>45602</v>
      </c>
      <c r="D415" t="s">
        <v>156</v>
      </c>
      <c r="E415" t="s">
        <v>155</v>
      </c>
      <c r="F415" s="107">
        <v>300000</v>
      </c>
      <c r="G415" s="107">
        <v>4398.5600000000004</v>
      </c>
    </row>
    <row r="416" spans="1:7" x14ac:dyDescent="0.35">
      <c r="A416" t="s">
        <v>19</v>
      </c>
      <c r="B416" t="s">
        <v>19</v>
      </c>
      <c r="C416" s="1">
        <v>45602</v>
      </c>
      <c r="D416" t="s">
        <v>156</v>
      </c>
      <c r="E416" t="s">
        <v>154</v>
      </c>
      <c r="F416" s="107">
        <v>450000</v>
      </c>
      <c r="G416" s="107">
        <v>4430</v>
      </c>
    </row>
    <row r="417" spans="1:7" x14ac:dyDescent="0.35">
      <c r="A417" t="s">
        <v>20</v>
      </c>
      <c r="B417" t="s">
        <v>26</v>
      </c>
      <c r="C417" s="1">
        <v>45603</v>
      </c>
      <c r="D417" t="s">
        <v>156</v>
      </c>
      <c r="E417" t="s">
        <v>154</v>
      </c>
      <c r="F417" s="107">
        <v>198000</v>
      </c>
      <c r="G417" s="107">
        <v>4327</v>
      </c>
    </row>
    <row r="418" spans="1:7" x14ac:dyDescent="0.35">
      <c r="A418" t="s">
        <v>20</v>
      </c>
      <c r="B418" t="s">
        <v>158</v>
      </c>
      <c r="C418" s="1">
        <v>45609</v>
      </c>
      <c r="D418" t="s">
        <v>156</v>
      </c>
      <c r="E418" t="s">
        <v>155</v>
      </c>
      <c r="F418" s="107">
        <v>150000</v>
      </c>
      <c r="G418" s="107">
        <v>4373.83</v>
      </c>
    </row>
    <row r="419" spans="1:7" x14ac:dyDescent="0.35">
      <c r="A419" t="s">
        <v>20</v>
      </c>
      <c r="B419" s="24" t="s">
        <v>162</v>
      </c>
      <c r="C419" s="1">
        <v>45609</v>
      </c>
      <c r="D419" t="s">
        <v>156</v>
      </c>
      <c r="E419" t="s">
        <v>154</v>
      </c>
      <c r="F419" s="109">
        <v>29000</v>
      </c>
      <c r="G419" s="107">
        <v>4420</v>
      </c>
    </row>
    <row r="420" spans="1:7" x14ac:dyDescent="0.35">
      <c r="A420" t="s">
        <v>20</v>
      </c>
      <c r="B420" s="24" t="s">
        <v>171</v>
      </c>
      <c r="C420" s="1">
        <v>45609</v>
      </c>
      <c r="D420" t="s">
        <v>156</v>
      </c>
      <c r="E420" t="s">
        <v>154</v>
      </c>
      <c r="F420" s="109">
        <v>6000</v>
      </c>
      <c r="G420" s="107">
        <v>4420</v>
      </c>
    </row>
    <row r="421" spans="1:7" x14ac:dyDescent="0.35">
      <c r="A421" t="s">
        <v>19</v>
      </c>
      <c r="B421" t="s">
        <v>19</v>
      </c>
      <c r="C421" s="1">
        <v>45609</v>
      </c>
      <c r="D421" t="s">
        <v>156</v>
      </c>
      <c r="E421" t="s">
        <v>154</v>
      </c>
      <c r="F421" s="107">
        <v>300000</v>
      </c>
      <c r="G421" s="107">
        <v>4420</v>
      </c>
    </row>
    <row r="422" spans="1:7" x14ac:dyDescent="0.35">
      <c r="A422" t="s">
        <v>19</v>
      </c>
      <c r="B422" t="s">
        <v>19</v>
      </c>
      <c r="C422" s="1">
        <v>45609</v>
      </c>
      <c r="D422" t="s">
        <v>156</v>
      </c>
      <c r="E422" t="s">
        <v>155</v>
      </c>
      <c r="F422" s="107">
        <v>250000</v>
      </c>
      <c r="G422" s="111">
        <v>4432.4399999999996</v>
      </c>
    </row>
    <row r="423" spans="1:7" x14ac:dyDescent="0.35">
      <c r="A423" t="s">
        <v>19</v>
      </c>
      <c r="B423" t="s">
        <v>217</v>
      </c>
      <c r="C423" s="1">
        <v>45610</v>
      </c>
      <c r="D423" t="s">
        <v>156</v>
      </c>
      <c r="E423" t="s">
        <v>154</v>
      </c>
      <c r="F423" s="107">
        <v>40000</v>
      </c>
      <c r="G423" s="111">
        <v>4489</v>
      </c>
    </row>
    <row r="424" spans="1:7" x14ac:dyDescent="0.35">
      <c r="A424" t="s">
        <v>194</v>
      </c>
      <c r="B424" t="s">
        <v>217</v>
      </c>
      <c r="C424" s="1">
        <v>45610</v>
      </c>
      <c r="D424" t="s">
        <v>156</v>
      </c>
      <c r="E424" t="s">
        <v>154</v>
      </c>
      <c r="F424" s="107">
        <v>50000</v>
      </c>
      <c r="G424" s="111">
        <v>4489</v>
      </c>
    </row>
    <row r="425" spans="1:7" x14ac:dyDescent="0.35">
      <c r="A425" t="s">
        <v>20</v>
      </c>
      <c r="B425" t="s">
        <v>217</v>
      </c>
      <c r="C425" s="1">
        <v>45610</v>
      </c>
      <c r="D425" t="s">
        <v>156</v>
      </c>
      <c r="E425" t="s">
        <v>154</v>
      </c>
      <c r="F425" s="107">
        <v>130000</v>
      </c>
      <c r="G425" s="111">
        <v>4489</v>
      </c>
    </row>
    <row r="426" spans="1:7" x14ac:dyDescent="0.35">
      <c r="A426" t="s">
        <v>20</v>
      </c>
      <c r="B426" t="s">
        <v>26</v>
      </c>
      <c r="C426" s="1">
        <v>45611</v>
      </c>
      <c r="D426" t="s">
        <v>156</v>
      </c>
      <c r="E426" t="s">
        <v>154</v>
      </c>
      <c r="F426" s="107">
        <v>165000</v>
      </c>
      <c r="G426" s="111">
        <v>4475</v>
      </c>
    </row>
    <row r="427" spans="1:7" x14ac:dyDescent="0.35">
      <c r="A427" t="s">
        <v>194</v>
      </c>
      <c r="B427" t="s">
        <v>217</v>
      </c>
      <c r="C427" s="1">
        <v>45615</v>
      </c>
      <c r="D427" t="s">
        <v>156</v>
      </c>
      <c r="E427" t="s">
        <v>154</v>
      </c>
      <c r="F427" s="107">
        <v>50000</v>
      </c>
      <c r="G427" s="111">
        <v>4398</v>
      </c>
    </row>
    <row r="428" spans="1:7" x14ac:dyDescent="0.35">
      <c r="A428" t="s">
        <v>19</v>
      </c>
      <c r="B428" t="s">
        <v>217</v>
      </c>
      <c r="C428" s="1">
        <v>45615</v>
      </c>
      <c r="D428" t="s">
        <v>156</v>
      </c>
      <c r="E428" t="s">
        <v>154</v>
      </c>
      <c r="F428" s="107">
        <v>40000</v>
      </c>
      <c r="G428" s="111">
        <v>4398</v>
      </c>
    </row>
    <row r="429" spans="1:7" x14ac:dyDescent="0.35">
      <c r="A429" t="s">
        <v>20</v>
      </c>
      <c r="B429" t="s">
        <v>217</v>
      </c>
      <c r="C429" s="1">
        <v>45615</v>
      </c>
      <c r="D429" t="s">
        <v>156</v>
      </c>
      <c r="E429" t="s">
        <v>154</v>
      </c>
      <c r="F429" s="107">
        <v>70000</v>
      </c>
      <c r="G429" s="111">
        <v>4398</v>
      </c>
    </row>
    <row r="430" spans="1:7" x14ac:dyDescent="0.35">
      <c r="A430" t="s">
        <v>20</v>
      </c>
      <c r="B430" t="s">
        <v>27</v>
      </c>
      <c r="C430" s="1">
        <v>45616</v>
      </c>
      <c r="D430" t="s">
        <v>156</v>
      </c>
      <c r="E430" t="s">
        <v>155</v>
      </c>
      <c r="F430" s="107">
        <v>150000</v>
      </c>
      <c r="G430" s="164">
        <v>4327.67</v>
      </c>
    </row>
    <row r="431" spans="1:7" x14ac:dyDescent="0.35">
      <c r="A431" t="s">
        <v>20</v>
      </c>
      <c r="B431" s="24" t="s">
        <v>162</v>
      </c>
      <c r="C431" s="1">
        <v>45616</v>
      </c>
      <c r="D431" t="s">
        <v>156</v>
      </c>
      <c r="E431" t="s">
        <v>154</v>
      </c>
      <c r="F431" s="112">
        <v>113000</v>
      </c>
      <c r="G431" s="113">
        <v>4423</v>
      </c>
    </row>
    <row r="432" spans="1:7" x14ac:dyDescent="0.35">
      <c r="A432" t="s">
        <v>20</v>
      </c>
      <c r="B432" s="24" t="s">
        <v>171</v>
      </c>
      <c r="C432" s="1">
        <v>45616</v>
      </c>
      <c r="D432" t="s">
        <v>156</v>
      </c>
      <c r="E432" t="s">
        <v>154</v>
      </c>
      <c r="F432" s="112">
        <v>2000</v>
      </c>
      <c r="G432" s="113">
        <v>4423</v>
      </c>
    </row>
    <row r="433" spans="1:7" x14ac:dyDescent="0.35">
      <c r="A433" t="s">
        <v>20</v>
      </c>
      <c r="B433" s="24" t="s">
        <v>659</v>
      </c>
      <c r="C433" s="1">
        <v>45616</v>
      </c>
      <c r="D433" t="s">
        <v>156</v>
      </c>
      <c r="E433" t="s">
        <v>154</v>
      </c>
      <c r="F433" s="112">
        <v>25000</v>
      </c>
      <c r="G433" s="113">
        <v>4423</v>
      </c>
    </row>
    <row r="434" spans="1:7" x14ac:dyDescent="0.35">
      <c r="A434" t="s">
        <v>19</v>
      </c>
      <c r="B434" t="s">
        <v>19</v>
      </c>
      <c r="C434" s="1">
        <v>45616</v>
      </c>
      <c r="D434" t="s">
        <v>156</v>
      </c>
      <c r="E434" t="s">
        <v>155</v>
      </c>
      <c r="F434" s="107">
        <v>190000</v>
      </c>
      <c r="G434" s="107">
        <v>4368.29</v>
      </c>
    </row>
    <row r="435" spans="1:7" x14ac:dyDescent="0.35">
      <c r="A435" t="s">
        <v>19</v>
      </c>
      <c r="B435" t="s">
        <v>19</v>
      </c>
      <c r="C435" s="1">
        <v>45616</v>
      </c>
      <c r="D435" t="s">
        <v>156</v>
      </c>
      <c r="E435" t="s">
        <v>154</v>
      </c>
      <c r="F435" s="107">
        <v>400000</v>
      </c>
      <c r="G435" s="107">
        <v>4400</v>
      </c>
    </row>
    <row r="436" spans="1:7" x14ac:dyDescent="0.35">
      <c r="A436" t="s">
        <v>19</v>
      </c>
      <c r="B436" t="s">
        <v>19</v>
      </c>
      <c r="C436" s="1">
        <v>45617</v>
      </c>
      <c r="D436" t="s">
        <v>156</v>
      </c>
      <c r="E436" t="s">
        <v>154</v>
      </c>
      <c r="F436" s="107">
        <v>250000</v>
      </c>
      <c r="G436" s="107">
        <v>4395</v>
      </c>
    </row>
    <row r="437" spans="1:7" x14ac:dyDescent="0.35">
      <c r="A437" t="s">
        <v>20</v>
      </c>
      <c r="B437" t="s">
        <v>26</v>
      </c>
      <c r="C437" s="1">
        <v>45617</v>
      </c>
      <c r="D437" t="s">
        <v>156</v>
      </c>
      <c r="E437" t="s">
        <v>154</v>
      </c>
      <c r="F437" s="114">
        <v>158000</v>
      </c>
      <c r="G437" s="114">
        <v>4386</v>
      </c>
    </row>
    <row r="438" spans="1:7" x14ac:dyDescent="0.35">
      <c r="A438" t="s">
        <v>20</v>
      </c>
      <c r="B438" t="s">
        <v>217</v>
      </c>
      <c r="C438" s="1">
        <v>45621</v>
      </c>
      <c r="D438" t="s">
        <v>156</v>
      </c>
      <c r="E438" t="s">
        <v>154</v>
      </c>
      <c r="F438" s="114">
        <v>60000</v>
      </c>
      <c r="G438" s="114">
        <v>4385</v>
      </c>
    </row>
    <row r="439" spans="1:7" x14ac:dyDescent="0.35">
      <c r="A439" t="s">
        <v>19</v>
      </c>
      <c r="B439" t="s">
        <v>19</v>
      </c>
      <c r="C439" s="1">
        <v>45621</v>
      </c>
      <c r="D439" t="s">
        <v>156</v>
      </c>
      <c r="E439" t="s">
        <v>154</v>
      </c>
      <c r="F439" s="114">
        <v>282000</v>
      </c>
      <c r="G439" s="114">
        <v>4385</v>
      </c>
    </row>
    <row r="440" spans="1:7" x14ac:dyDescent="0.35">
      <c r="A440" t="s">
        <v>19</v>
      </c>
      <c r="B440" t="s">
        <v>19</v>
      </c>
      <c r="C440" s="1">
        <v>45622</v>
      </c>
      <c r="D440" t="s">
        <v>156</v>
      </c>
      <c r="E440" t="s">
        <v>154</v>
      </c>
      <c r="F440" s="114">
        <v>160000</v>
      </c>
      <c r="G440" s="114">
        <v>4390</v>
      </c>
    </row>
    <row r="441" spans="1:7" x14ac:dyDescent="0.35">
      <c r="A441" t="s">
        <v>20</v>
      </c>
      <c r="B441" t="s">
        <v>158</v>
      </c>
      <c r="C441" s="1">
        <v>45623</v>
      </c>
      <c r="D441" t="s">
        <v>156</v>
      </c>
      <c r="E441" t="s">
        <v>155</v>
      </c>
      <c r="F441" s="114">
        <v>150000</v>
      </c>
      <c r="G441" s="114">
        <v>4372.76</v>
      </c>
    </row>
    <row r="442" spans="1:7" x14ac:dyDescent="0.35">
      <c r="A442" t="s">
        <v>20</v>
      </c>
      <c r="B442" t="s">
        <v>27</v>
      </c>
      <c r="C442" s="1">
        <v>45623</v>
      </c>
      <c r="D442" t="s">
        <v>156</v>
      </c>
      <c r="E442" t="s">
        <v>155</v>
      </c>
      <c r="F442" s="114">
        <v>100000</v>
      </c>
      <c r="G442" s="165">
        <v>4383.9399999999996</v>
      </c>
    </row>
    <row r="443" spans="1:7" x14ac:dyDescent="0.35">
      <c r="A443" t="s">
        <v>20</v>
      </c>
      <c r="B443" s="24" t="s">
        <v>162</v>
      </c>
      <c r="C443" s="1">
        <v>45623</v>
      </c>
      <c r="D443" t="s">
        <v>156</v>
      </c>
      <c r="E443" t="s">
        <v>154</v>
      </c>
      <c r="F443" s="115">
        <v>79000</v>
      </c>
      <c r="G443" s="114">
        <v>4416</v>
      </c>
    </row>
    <row r="444" spans="1:7" x14ac:dyDescent="0.35">
      <c r="A444" t="s">
        <v>20</v>
      </c>
      <c r="B444" s="24" t="s">
        <v>171</v>
      </c>
      <c r="C444" s="1">
        <v>45623</v>
      </c>
      <c r="D444" t="s">
        <v>156</v>
      </c>
      <c r="E444" t="s">
        <v>154</v>
      </c>
      <c r="F444" s="115">
        <v>222000</v>
      </c>
      <c r="G444" s="114">
        <v>4416</v>
      </c>
    </row>
    <row r="445" spans="1:7" x14ac:dyDescent="0.35">
      <c r="A445" t="s">
        <v>20</v>
      </c>
      <c r="B445" s="24" t="s">
        <v>26</v>
      </c>
      <c r="C445" s="1">
        <v>45623</v>
      </c>
      <c r="D445" t="s">
        <v>156</v>
      </c>
      <c r="E445" t="s">
        <v>154</v>
      </c>
      <c r="F445" s="115">
        <v>151000</v>
      </c>
      <c r="G445" s="114">
        <v>4416</v>
      </c>
    </row>
    <row r="446" spans="1:7" x14ac:dyDescent="0.35">
      <c r="A446" t="s">
        <v>19</v>
      </c>
      <c r="B446" t="s">
        <v>19</v>
      </c>
      <c r="C446" s="1">
        <v>45623</v>
      </c>
      <c r="D446" t="s">
        <v>156</v>
      </c>
      <c r="E446" t="s">
        <v>154</v>
      </c>
      <c r="F446" s="114">
        <v>40000</v>
      </c>
      <c r="G446" s="114">
        <v>4408</v>
      </c>
    </row>
    <row r="447" spans="1:7" x14ac:dyDescent="0.35">
      <c r="A447" t="s">
        <v>19</v>
      </c>
      <c r="B447" t="s">
        <v>19</v>
      </c>
      <c r="C447" s="1">
        <v>45623</v>
      </c>
      <c r="D447" t="s">
        <v>156</v>
      </c>
      <c r="E447" t="s">
        <v>154</v>
      </c>
      <c r="F447" s="114">
        <v>250000</v>
      </c>
      <c r="G447" s="114">
        <v>4385</v>
      </c>
    </row>
    <row r="448" spans="1:7" x14ac:dyDescent="0.35">
      <c r="A448" t="s">
        <v>19</v>
      </c>
      <c r="B448" t="s">
        <v>19</v>
      </c>
      <c r="C448" s="1">
        <v>45623</v>
      </c>
      <c r="D448" t="s">
        <v>156</v>
      </c>
      <c r="E448" t="s">
        <v>155</v>
      </c>
      <c r="F448" s="114">
        <v>150000</v>
      </c>
      <c r="G448" s="114">
        <v>4372.76</v>
      </c>
    </row>
    <row r="449" spans="1:7" x14ac:dyDescent="0.35">
      <c r="A449" t="s">
        <v>20</v>
      </c>
      <c r="B449" t="s">
        <v>162</v>
      </c>
      <c r="C449" s="1">
        <v>45629</v>
      </c>
      <c r="D449" t="s">
        <v>156</v>
      </c>
      <c r="E449" t="s">
        <v>154</v>
      </c>
      <c r="F449" s="114">
        <v>78000</v>
      </c>
      <c r="G449" s="114">
        <v>4452</v>
      </c>
    </row>
    <row r="450" spans="1:7" x14ac:dyDescent="0.35">
      <c r="A450" t="s">
        <v>20</v>
      </c>
      <c r="B450" t="s">
        <v>27</v>
      </c>
      <c r="C450" s="1">
        <v>45630</v>
      </c>
      <c r="D450" t="s">
        <v>156</v>
      </c>
      <c r="E450" t="s">
        <v>155</v>
      </c>
      <c r="F450" s="114">
        <v>25000</v>
      </c>
      <c r="G450" s="165">
        <v>4383.87</v>
      </c>
    </row>
    <row r="451" spans="1:7" x14ac:dyDescent="0.35">
      <c r="A451" t="s">
        <v>20</v>
      </c>
      <c r="B451" s="24" t="s">
        <v>158</v>
      </c>
      <c r="C451" s="1">
        <v>45630</v>
      </c>
      <c r="D451" t="s">
        <v>156</v>
      </c>
      <c r="E451" t="s">
        <v>154</v>
      </c>
      <c r="F451" s="112">
        <v>346000</v>
      </c>
      <c r="G451" s="114">
        <v>4439</v>
      </c>
    </row>
    <row r="452" spans="1:7" x14ac:dyDescent="0.35">
      <c r="A452" t="s">
        <v>20</v>
      </c>
      <c r="B452" s="24" t="s">
        <v>162</v>
      </c>
      <c r="C452" s="1">
        <v>45630</v>
      </c>
      <c r="D452" t="s">
        <v>156</v>
      </c>
      <c r="E452" t="s">
        <v>154</v>
      </c>
      <c r="F452" s="112">
        <v>206000</v>
      </c>
      <c r="G452" s="114">
        <v>4439</v>
      </c>
    </row>
    <row r="453" spans="1:7" x14ac:dyDescent="0.35">
      <c r="A453" t="s">
        <v>20</v>
      </c>
      <c r="B453" s="24" t="s">
        <v>171</v>
      </c>
      <c r="C453" s="1">
        <v>45630</v>
      </c>
      <c r="D453" t="s">
        <v>156</v>
      </c>
      <c r="E453" t="s">
        <v>154</v>
      </c>
      <c r="F453" s="112">
        <v>38000</v>
      </c>
      <c r="G453" s="114">
        <v>4439</v>
      </c>
    </row>
    <row r="454" spans="1:7" x14ac:dyDescent="0.35">
      <c r="A454" t="s">
        <v>19</v>
      </c>
      <c r="B454" t="s">
        <v>19</v>
      </c>
      <c r="C454" s="1">
        <v>45630</v>
      </c>
      <c r="D454" t="s">
        <v>156</v>
      </c>
      <c r="E454" t="s">
        <v>155</v>
      </c>
      <c r="F454" s="114">
        <v>6000</v>
      </c>
      <c r="G454" s="114">
        <v>4434.78</v>
      </c>
    </row>
    <row r="455" spans="1:7" x14ac:dyDescent="0.35">
      <c r="A455" t="s">
        <v>19</v>
      </c>
      <c r="B455" t="s">
        <v>19</v>
      </c>
      <c r="C455" s="1">
        <v>45630</v>
      </c>
      <c r="D455" t="s">
        <v>156</v>
      </c>
      <c r="E455" t="s">
        <v>155</v>
      </c>
      <c r="F455" s="114">
        <v>150000</v>
      </c>
      <c r="G455" s="114">
        <v>4439.75</v>
      </c>
    </row>
    <row r="456" spans="1:7" x14ac:dyDescent="0.35">
      <c r="A456" t="s">
        <v>19</v>
      </c>
      <c r="B456" t="s">
        <v>19</v>
      </c>
      <c r="C456" s="1">
        <v>45630</v>
      </c>
      <c r="D456" t="s">
        <v>156</v>
      </c>
      <c r="E456" t="s">
        <v>155</v>
      </c>
      <c r="F456" s="114">
        <v>150000</v>
      </c>
      <c r="G456" s="114">
        <v>4377.24</v>
      </c>
    </row>
    <row r="457" spans="1:7" x14ac:dyDescent="0.35">
      <c r="A457" t="s">
        <v>19</v>
      </c>
      <c r="B457" t="s">
        <v>19</v>
      </c>
      <c r="C457" s="1">
        <v>45631</v>
      </c>
      <c r="D457" t="s">
        <v>156</v>
      </c>
      <c r="E457" t="s">
        <v>154</v>
      </c>
      <c r="F457" s="114">
        <v>370000</v>
      </c>
      <c r="G457" s="113">
        <v>4398</v>
      </c>
    </row>
    <row r="458" spans="1:7" x14ac:dyDescent="0.35">
      <c r="A458" t="s">
        <v>20</v>
      </c>
      <c r="B458" t="s">
        <v>26</v>
      </c>
      <c r="C458" s="1">
        <v>45631</v>
      </c>
      <c r="D458" t="s">
        <v>156</v>
      </c>
      <c r="E458" t="s">
        <v>154</v>
      </c>
      <c r="F458" s="114">
        <v>371000</v>
      </c>
      <c r="G458" s="114">
        <v>4403</v>
      </c>
    </row>
    <row r="459" spans="1:7" x14ac:dyDescent="0.35">
      <c r="A459" t="s">
        <v>20</v>
      </c>
      <c r="B459" t="s">
        <v>27</v>
      </c>
      <c r="C459" s="1">
        <v>45632</v>
      </c>
      <c r="D459" t="s">
        <v>156</v>
      </c>
      <c r="E459" t="s">
        <v>154</v>
      </c>
      <c r="F459" s="114">
        <v>250000</v>
      </c>
      <c r="G459" s="165">
        <v>4392</v>
      </c>
    </row>
    <row r="460" spans="1:7" x14ac:dyDescent="0.35">
      <c r="A460" t="s">
        <v>20</v>
      </c>
      <c r="B460" t="s">
        <v>27</v>
      </c>
      <c r="C460" s="1">
        <v>45635</v>
      </c>
      <c r="D460" t="s">
        <v>156</v>
      </c>
      <c r="E460" t="s">
        <v>154</v>
      </c>
      <c r="F460" s="114">
        <v>250000</v>
      </c>
      <c r="G460" s="165">
        <v>4388</v>
      </c>
    </row>
    <row r="461" spans="1:7" x14ac:dyDescent="0.35">
      <c r="A461" t="s">
        <v>20</v>
      </c>
      <c r="B461" t="s">
        <v>27</v>
      </c>
      <c r="C461" s="1">
        <v>45636</v>
      </c>
      <c r="D461" t="s">
        <v>156</v>
      </c>
      <c r="E461" t="s">
        <v>154</v>
      </c>
      <c r="F461" s="114">
        <v>200000</v>
      </c>
      <c r="G461" s="165">
        <v>4380</v>
      </c>
    </row>
    <row r="462" spans="1:7" x14ac:dyDescent="0.35">
      <c r="A462" t="s">
        <v>20</v>
      </c>
      <c r="B462" t="s">
        <v>158</v>
      </c>
      <c r="C462" s="1">
        <v>45637</v>
      </c>
      <c r="D462" t="s">
        <v>156</v>
      </c>
      <c r="E462" t="s">
        <v>155</v>
      </c>
      <c r="F462" s="114">
        <v>150000</v>
      </c>
      <c r="G462" s="114">
        <v>4390.28</v>
      </c>
    </row>
    <row r="463" spans="1:7" x14ac:dyDescent="0.35">
      <c r="A463" t="s">
        <v>20</v>
      </c>
      <c r="B463" s="24" t="s">
        <v>158</v>
      </c>
      <c r="C463" s="1">
        <v>45637</v>
      </c>
      <c r="D463" t="s">
        <v>156</v>
      </c>
      <c r="E463" t="s">
        <v>154</v>
      </c>
      <c r="F463" s="112">
        <v>77000</v>
      </c>
      <c r="G463" s="114">
        <v>4376</v>
      </c>
    </row>
    <row r="464" spans="1:7" x14ac:dyDescent="0.35">
      <c r="A464" t="s">
        <v>20</v>
      </c>
      <c r="B464" s="24" t="s">
        <v>659</v>
      </c>
      <c r="C464" s="1">
        <v>45637</v>
      </c>
      <c r="D464" t="s">
        <v>156</v>
      </c>
      <c r="E464" t="s">
        <v>154</v>
      </c>
      <c r="F464" s="112">
        <v>23000</v>
      </c>
      <c r="G464" s="114">
        <v>4376</v>
      </c>
    </row>
    <row r="465" spans="1:7" x14ac:dyDescent="0.35">
      <c r="A465" t="s">
        <v>20</v>
      </c>
      <c r="B465" s="24" t="s">
        <v>217</v>
      </c>
      <c r="C465" s="1">
        <v>45637</v>
      </c>
      <c r="D465" t="s">
        <v>156</v>
      </c>
      <c r="E465" t="s">
        <v>154</v>
      </c>
      <c r="F465" s="112">
        <v>37000</v>
      </c>
      <c r="G465" s="114">
        <v>4376</v>
      </c>
    </row>
    <row r="466" spans="1:7" x14ac:dyDescent="0.35">
      <c r="A466" t="s">
        <v>20</v>
      </c>
      <c r="B466" t="s">
        <v>27</v>
      </c>
      <c r="C466" s="1">
        <v>45637</v>
      </c>
      <c r="D466" t="s">
        <v>156</v>
      </c>
      <c r="E466" t="s">
        <v>154</v>
      </c>
      <c r="F466" s="114">
        <v>100000</v>
      </c>
      <c r="G466" s="165">
        <v>4364</v>
      </c>
    </row>
    <row r="467" spans="1:7" x14ac:dyDescent="0.35">
      <c r="A467" t="s">
        <v>20</v>
      </c>
      <c r="B467" t="s">
        <v>217</v>
      </c>
      <c r="C467" s="1">
        <v>45637</v>
      </c>
      <c r="D467" t="s">
        <v>156</v>
      </c>
      <c r="E467" t="s">
        <v>154</v>
      </c>
      <c r="F467" s="114">
        <v>1000000</v>
      </c>
      <c r="G467" s="114">
        <v>4367</v>
      </c>
    </row>
    <row r="468" spans="1:7" x14ac:dyDescent="0.35">
      <c r="A468" t="s">
        <v>19</v>
      </c>
      <c r="B468" t="s">
        <v>19</v>
      </c>
      <c r="C468" s="1">
        <v>45637</v>
      </c>
      <c r="D468" t="s">
        <v>156</v>
      </c>
      <c r="E468" t="s">
        <v>155</v>
      </c>
      <c r="F468" s="114">
        <v>150000</v>
      </c>
      <c r="G468" s="113">
        <v>4381.72</v>
      </c>
    </row>
    <row r="469" spans="1:7" x14ac:dyDescent="0.35">
      <c r="A469" t="s">
        <v>19</v>
      </c>
      <c r="B469" t="s">
        <v>19</v>
      </c>
      <c r="C469" s="1">
        <v>45637</v>
      </c>
      <c r="D469" t="s">
        <v>156</v>
      </c>
      <c r="E469" t="s">
        <v>155</v>
      </c>
      <c r="F469" s="114">
        <v>150000</v>
      </c>
      <c r="G469" s="113">
        <v>4443.91</v>
      </c>
    </row>
    <row r="470" spans="1:7" x14ac:dyDescent="0.35">
      <c r="A470" t="s">
        <v>19</v>
      </c>
      <c r="B470" t="s">
        <v>19</v>
      </c>
      <c r="C470" s="1">
        <v>45637</v>
      </c>
      <c r="D470" t="s">
        <v>156</v>
      </c>
      <c r="E470" t="s">
        <v>155</v>
      </c>
      <c r="F470" s="114">
        <v>100000</v>
      </c>
      <c r="G470" s="113">
        <v>4199.47</v>
      </c>
    </row>
    <row r="471" spans="1:7" x14ac:dyDescent="0.35">
      <c r="A471" t="s">
        <v>19</v>
      </c>
      <c r="B471" t="s">
        <v>19</v>
      </c>
      <c r="C471" s="1">
        <v>45637</v>
      </c>
      <c r="D471" t="s">
        <v>156</v>
      </c>
      <c r="E471" t="s">
        <v>155</v>
      </c>
      <c r="F471" s="114">
        <v>100000</v>
      </c>
      <c r="G471" s="113">
        <v>4229.74</v>
      </c>
    </row>
    <row r="472" spans="1:7" x14ac:dyDescent="0.35">
      <c r="A472" t="s">
        <v>19</v>
      </c>
      <c r="B472" t="s">
        <v>19</v>
      </c>
      <c r="C472" s="1">
        <v>45637</v>
      </c>
      <c r="D472" t="s">
        <v>156</v>
      </c>
      <c r="E472" t="s">
        <v>154</v>
      </c>
      <c r="F472" s="114">
        <v>219000</v>
      </c>
      <c r="G472" s="113">
        <v>4376</v>
      </c>
    </row>
    <row r="473" spans="1:7" x14ac:dyDescent="0.35">
      <c r="A473" t="s">
        <v>20</v>
      </c>
      <c r="B473" t="s">
        <v>217</v>
      </c>
      <c r="C473" s="1">
        <v>45638</v>
      </c>
      <c r="D473" t="s">
        <v>156</v>
      </c>
      <c r="E473" t="s">
        <v>154</v>
      </c>
      <c r="F473" s="114">
        <v>1000000</v>
      </c>
      <c r="G473" s="113">
        <v>4345</v>
      </c>
    </row>
    <row r="474" spans="1:7" x14ac:dyDescent="0.35">
      <c r="A474" t="s">
        <v>20</v>
      </c>
      <c r="B474" s="24" t="s">
        <v>191</v>
      </c>
      <c r="C474" s="1">
        <v>45638</v>
      </c>
      <c r="D474" t="s">
        <v>156</v>
      </c>
      <c r="E474" t="s">
        <v>155</v>
      </c>
      <c r="F474" s="112">
        <v>250000</v>
      </c>
      <c r="G474" s="113">
        <v>4389.6400000000003</v>
      </c>
    </row>
    <row r="475" spans="1:7" x14ac:dyDescent="0.35">
      <c r="A475" t="s">
        <v>20</v>
      </c>
      <c r="B475" s="24" t="s">
        <v>190</v>
      </c>
      <c r="C475" s="1">
        <v>45638</v>
      </c>
      <c r="D475" t="s">
        <v>156</v>
      </c>
      <c r="E475" t="s">
        <v>154</v>
      </c>
      <c r="F475" s="112">
        <v>412500</v>
      </c>
      <c r="G475" s="113">
        <v>4389.6400000000003</v>
      </c>
    </row>
    <row r="476" spans="1:7" x14ac:dyDescent="0.35">
      <c r="A476" t="s">
        <v>20</v>
      </c>
      <c r="B476" t="s">
        <v>26</v>
      </c>
      <c r="C476" s="1">
        <v>45638</v>
      </c>
      <c r="D476" t="s">
        <v>156</v>
      </c>
      <c r="E476" t="s">
        <v>154</v>
      </c>
      <c r="F476" s="114">
        <v>234000</v>
      </c>
      <c r="G476" s="114">
        <v>4333</v>
      </c>
    </row>
    <row r="477" spans="1:7" x14ac:dyDescent="0.35">
      <c r="A477" t="s">
        <v>20</v>
      </c>
      <c r="B477" t="s">
        <v>27</v>
      </c>
      <c r="C477" s="1">
        <v>45638</v>
      </c>
      <c r="D477" t="s">
        <v>156</v>
      </c>
      <c r="E477" t="s">
        <v>154</v>
      </c>
      <c r="F477" s="114">
        <v>160000</v>
      </c>
      <c r="G477" s="165">
        <v>4339</v>
      </c>
    </row>
    <row r="478" spans="1:7" x14ac:dyDescent="0.35">
      <c r="A478" t="s">
        <v>20</v>
      </c>
      <c r="B478" t="s">
        <v>217</v>
      </c>
      <c r="C478" s="1">
        <v>45639</v>
      </c>
      <c r="D478" t="s">
        <v>156</v>
      </c>
      <c r="E478" t="s">
        <v>154</v>
      </c>
      <c r="F478" s="114">
        <v>2000000</v>
      </c>
      <c r="G478" s="114">
        <v>4359</v>
      </c>
    </row>
    <row r="479" spans="1:7" x14ac:dyDescent="0.35">
      <c r="A479" t="s">
        <v>20</v>
      </c>
      <c r="B479" t="s">
        <v>158</v>
      </c>
      <c r="C479" s="1">
        <v>45644</v>
      </c>
      <c r="D479" t="s">
        <v>156</v>
      </c>
      <c r="E479" t="s">
        <v>155</v>
      </c>
      <c r="F479" s="113">
        <v>200000</v>
      </c>
      <c r="G479" s="113">
        <v>4398.87</v>
      </c>
    </row>
    <row r="480" spans="1:7" x14ac:dyDescent="0.35">
      <c r="A480" t="s">
        <v>20</v>
      </c>
      <c r="B480" t="s">
        <v>27</v>
      </c>
      <c r="C480" s="1">
        <v>45644</v>
      </c>
      <c r="D480" t="s">
        <v>156</v>
      </c>
      <c r="E480" t="s">
        <v>155</v>
      </c>
      <c r="F480" s="114">
        <v>100000</v>
      </c>
      <c r="G480" s="165">
        <v>4392.76</v>
      </c>
    </row>
    <row r="481" spans="1:7" x14ac:dyDescent="0.35">
      <c r="A481" t="s">
        <v>20</v>
      </c>
      <c r="B481" t="s">
        <v>27</v>
      </c>
      <c r="C481" s="1">
        <v>45644</v>
      </c>
      <c r="D481" t="s">
        <v>156</v>
      </c>
      <c r="E481" t="s">
        <v>155</v>
      </c>
      <c r="F481" s="114">
        <v>118000</v>
      </c>
      <c r="G481" s="165">
        <v>4381.7299999999996</v>
      </c>
    </row>
    <row r="482" spans="1:7" x14ac:dyDescent="0.35">
      <c r="A482" t="s">
        <v>20</v>
      </c>
      <c r="B482" t="s">
        <v>27</v>
      </c>
      <c r="C482" s="1">
        <v>45644</v>
      </c>
      <c r="D482" t="s">
        <v>156</v>
      </c>
      <c r="E482" t="s">
        <v>155</v>
      </c>
      <c r="F482" s="114">
        <v>100000</v>
      </c>
      <c r="G482" s="165">
        <v>4408.6099999999997</v>
      </c>
    </row>
    <row r="483" spans="1:7" x14ac:dyDescent="0.35">
      <c r="A483" t="s">
        <v>20</v>
      </c>
      <c r="B483" t="s">
        <v>27</v>
      </c>
      <c r="C483" s="1">
        <v>45644</v>
      </c>
      <c r="D483" t="s">
        <v>156</v>
      </c>
      <c r="E483" t="s">
        <v>155</v>
      </c>
      <c r="F483" s="114">
        <v>100000</v>
      </c>
      <c r="G483" s="165">
        <v>4389.99</v>
      </c>
    </row>
    <row r="484" spans="1:7" x14ac:dyDescent="0.35">
      <c r="A484" t="s">
        <v>20</v>
      </c>
      <c r="B484" t="s">
        <v>27</v>
      </c>
      <c r="C484" s="1">
        <v>45644</v>
      </c>
      <c r="D484" t="s">
        <v>156</v>
      </c>
      <c r="E484" t="s">
        <v>155</v>
      </c>
      <c r="F484" s="114">
        <v>36000</v>
      </c>
      <c r="G484" s="165">
        <v>4400</v>
      </c>
    </row>
    <row r="485" spans="1:7" x14ac:dyDescent="0.35">
      <c r="A485" t="s">
        <v>20</v>
      </c>
      <c r="B485" s="24" t="s">
        <v>158</v>
      </c>
      <c r="C485" s="1">
        <v>45644</v>
      </c>
      <c r="D485" t="s">
        <v>156</v>
      </c>
      <c r="E485" t="s">
        <v>154</v>
      </c>
      <c r="F485" s="112">
        <v>230000</v>
      </c>
      <c r="G485" s="114">
        <v>4359</v>
      </c>
    </row>
    <row r="486" spans="1:7" x14ac:dyDescent="0.35">
      <c r="A486" t="s">
        <v>20</v>
      </c>
      <c r="B486" s="24" t="s">
        <v>162</v>
      </c>
      <c r="C486" s="1">
        <v>45644</v>
      </c>
      <c r="D486" t="s">
        <v>156</v>
      </c>
      <c r="E486" t="s">
        <v>154</v>
      </c>
      <c r="F486" s="112">
        <v>275000</v>
      </c>
      <c r="G486" s="114">
        <v>4359</v>
      </c>
    </row>
    <row r="487" spans="1:7" x14ac:dyDescent="0.35">
      <c r="A487" t="s">
        <v>20</v>
      </c>
      <c r="B487" s="24" t="s">
        <v>217</v>
      </c>
      <c r="C487" s="1">
        <v>45644</v>
      </c>
      <c r="D487" t="s">
        <v>156</v>
      </c>
      <c r="E487" t="s">
        <v>154</v>
      </c>
      <c r="F487" s="112">
        <v>70000</v>
      </c>
      <c r="G487" s="114">
        <v>4359</v>
      </c>
    </row>
    <row r="488" spans="1:7" x14ac:dyDescent="0.35">
      <c r="A488" t="s">
        <v>19</v>
      </c>
      <c r="B488" t="s">
        <v>19</v>
      </c>
      <c r="C488" s="1">
        <v>45644</v>
      </c>
      <c r="D488" t="s">
        <v>156</v>
      </c>
      <c r="E488" t="s">
        <v>155</v>
      </c>
      <c r="F488" s="114">
        <v>100000</v>
      </c>
      <c r="G488" s="114">
        <v>4213.42</v>
      </c>
    </row>
    <row r="489" spans="1:7" x14ac:dyDescent="0.35">
      <c r="A489" t="s">
        <v>19</v>
      </c>
      <c r="B489" t="s">
        <v>19</v>
      </c>
      <c r="C489" s="1">
        <v>45644</v>
      </c>
      <c r="D489" t="s">
        <v>156</v>
      </c>
      <c r="E489" t="s">
        <v>155</v>
      </c>
      <c r="F489" s="114">
        <v>120000</v>
      </c>
      <c r="G489" s="114">
        <v>4407.76</v>
      </c>
    </row>
    <row r="490" spans="1:7" x14ac:dyDescent="0.35">
      <c r="A490" t="s">
        <v>19</v>
      </c>
      <c r="B490" t="s">
        <v>19</v>
      </c>
      <c r="C490" s="1">
        <v>45644</v>
      </c>
      <c r="D490" t="s">
        <v>156</v>
      </c>
      <c r="E490" t="s">
        <v>154</v>
      </c>
      <c r="F490" s="114">
        <v>200000</v>
      </c>
      <c r="G490" s="114">
        <v>4348</v>
      </c>
    </row>
    <row r="491" spans="1:7" x14ac:dyDescent="0.35">
      <c r="A491" t="s">
        <v>19</v>
      </c>
      <c r="B491" t="s">
        <v>19</v>
      </c>
      <c r="C491" s="1">
        <v>45644</v>
      </c>
      <c r="D491" t="s">
        <v>156</v>
      </c>
      <c r="E491" t="s">
        <v>154</v>
      </c>
      <c r="F491" s="114">
        <v>250000</v>
      </c>
      <c r="G491" s="114">
        <v>4359</v>
      </c>
    </row>
    <row r="492" spans="1:7" x14ac:dyDescent="0.35">
      <c r="A492" t="s">
        <v>20</v>
      </c>
      <c r="B492" s="24" t="s">
        <v>158</v>
      </c>
      <c r="C492" s="1">
        <v>45645</v>
      </c>
      <c r="D492" t="s">
        <v>156</v>
      </c>
      <c r="E492" t="s">
        <v>154</v>
      </c>
      <c r="F492" s="112">
        <v>85000</v>
      </c>
      <c r="G492" s="114">
        <v>4409</v>
      </c>
    </row>
    <row r="493" spans="1:7" x14ac:dyDescent="0.35">
      <c r="A493" t="s">
        <v>20</v>
      </c>
      <c r="B493" s="24" t="s">
        <v>162</v>
      </c>
      <c r="C493" s="1">
        <v>45645</v>
      </c>
      <c r="D493" t="s">
        <v>156</v>
      </c>
      <c r="E493" t="s">
        <v>154</v>
      </c>
      <c r="F493" s="112">
        <v>40000</v>
      </c>
      <c r="G493" s="114">
        <v>4409</v>
      </c>
    </row>
    <row r="494" spans="1:7" x14ac:dyDescent="0.35">
      <c r="A494" t="s">
        <v>20</v>
      </c>
      <c r="B494" s="24" t="s">
        <v>171</v>
      </c>
      <c r="C494" s="1">
        <v>45645</v>
      </c>
      <c r="D494" t="s">
        <v>156</v>
      </c>
      <c r="E494" t="s">
        <v>154</v>
      </c>
      <c r="F494" s="112">
        <v>395000</v>
      </c>
      <c r="G494" s="114">
        <v>4409</v>
      </c>
    </row>
    <row r="495" spans="1:7" x14ac:dyDescent="0.35">
      <c r="A495" t="s">
        <v>20</v>
      </c>
      <c r="B495" t="s">
        <v>26</v>
      </c>
      <c r="C495" s="1">
        <v>45645</v>
      </c>
      <c r="D495" t="s">
        <v>156</v>
      </c>
      <c r="E495" t="s">
        <v>154</v>
      </c>
      <c r="F495" s="114">
        <v>397000</v>
      </c>
      <c r="G495" s="114">
        <v>4405</v>
      </c>
    </row>
    <row r="496" spans="1:7" x14ac:dyDescent="0.35">
      <c r="A496" t="s">
        <v>20</v>
      </c>
      <c r="B496" s="24" t="s">
        <v>158</v>
      </c>
      <c r="C496" s="1">
        <v>45665</v>
      </c>
      <c r="D496" t="s">
        <v>156</v>
      </c>
      <c r="E496" t="s">
        <v>154</v>
      </c>
      <c r="F496" s="120">
        <v>561000</v>
      </c>
      <c r="G496" s="15">
        <v>4374.5</v>
      </c>
    </row>
    <row r="497" spans="1:7" x14ac:dyDescent="0.35">
      <c r="A497" t="s">
        <v>20</v>
      </c>
      <c r="B497" s="24" t="s">
        <v>162</v>
      </c>
      <c r="C497" s="1">
        <v>45665</v>
      </c>
      <c r="D497" t="s">
        <v>156</v>
      </c>
      <c r="E497" t="s">
        <v>154</v>
      </c>
      <c r="F497" s="120">
        <v>130000</v>
      </c>
      <c r="G497" s="15">
        <v>4374.5</v>
      </c>
    </row>
    <row r="498" spans="1:7" x14ac:dyDescent="0.35">
      <c r="A498" t="s">
        <v>20</v>
      </c>
      <c r="B498" s="24" t="s">
        <v>171</v>
      </c>
      <c r="C498" s="1">
        <v>45665</v>
      </c>
      <c r="D498" t="s">
        <v>156</v>
      </c>
      <c r="E498" t="s">
        <v>154</v>
      </c>
      <c r="F498" s="120">
        <v>59000</v>
      </c>
      <c r="G498" s="15">
        <v>4374.5</v>
      </c>
    </row>
    <row r="499" spans="1:7" x14ac:dyDescent="0.35">
      <c r="A499" t="s">
        <v>19</v>
      </c>
      <c r="B499" t="s">
        <v>19</v>
      </c>
      <c r="C499" s="1">
        <v>45665</v>
      </c>
      <c r="D499" t="s">
        <v>156</v>
      </c>
      <c r="E499" t="s">
        <v>154</v>
      </c>
      <c r="F499" s="114">
        <v>494000</v>
      </c>
      <c r="G499" s="15">
        <v>4374.5</v>
      </c>
    </row>
    <row r="500" spans="1:7" x14ac:dyDescent="0.35">
      <c r="A500" t="s">
        <v>19</v>
      </c>
      <c r="B500" t="s">
        <v>19</v>
      </c>
      <c r="C500" s="1">
        <v>45665</v>
      </c>
      <c r="D500" t="s">
        <v>156</v>
      </c>
      <c r="E500" t="s">
        <v>155</v>
      </c>
      <c r="F500" s="114">
        <v>200000</v>
      </c>
      <c r="G500" s="15">
        <v>4399.53</v>
      </c>
    </row>
    <row r="501" spans="1:7" x14ac:dyDescent="0.35">
      <c r="A501" t="s">
        <v>19</v>
      </c>
      <c r="B501" t="s">
        <v>19</v>
      </c>
      <c r="C501" s="1">
        <v>45665</v>
      </c>
      <c r="D501" t="s">
        <v>156</v>
      </c>
      <c r="E501" t="s">
        <v>155</v>
      </c>
      <c r="F501" s="15">
        <v>70000</v>
      </c>
      <c r="G501" s="15">
        <v>4403.74</v>
      </c>
    </row>
    <row r="502" spans="1:7" x14ac:dyDescent="0.35">
      <c r="A502" t="s">
        <v>20</v>
      </c>
      <c r="B502" t="s">
        <v>26</v>
      </c>
      <c r="C502" s="1">
        <v>45667</v>
      </c>
      <c r="D502" t="s">
        <v>156</v>
      </c>
      <c r="E502" t="s">
        <v>154</v>
      </c>
      <c r="F502" s="114">
        <v>609000</v>
      </c>
      <c r="G502" s="114">
        <v>4356</v>
      </c>
    </row>
    <row r="503" spans="1:7" x14ac:dyDescent="0.35">
      <c r="A503" t="s">
        <v>20</v>
      </c>
      <c r="B503" t="s">
        <v>27</v>
      </c>
      <c r="C503" s="1">
        <v>45671</v>
      </c>
      <c r="D503" t="s">
        <v>156</v>
      </c>
      <c r="E503" t="s">
        <v>154</v>
      </c>
      <c r="F503" s="15">
        <v>459000</v>
      </c>
      <c r="G503" s="163">
        <v>4306</v>
      </c>
    </row>
    <row r="504" spans="1:7" x14ac:dyDescent="0.35">
      <c r="A504" t="s">
        <v>20</v>
      </c>
      <c r="B504" t="s">
        <v>158</v>
      </c>
      <c r="C504" s="1">
        <v>45672</v>
      </c>
      <c r="D504" t="s">
        <v>156</v>
      </c>
      <c r="E504" t="s">
        <v>155</v>
      </c>
      <c r="F504" s="15">
        <v>150000</v>
      </c>
      <c r="G504" s="15">
        <v>4423.9799999999996</v>
      </c>
    </row>
    <row r="505" spans="1:7" x14ac:dyDescent="0.35">
      <c r="A505" t="s">
        <v>20</v>
      </c>
      <c r="B505" t="s">
        <v>27</v>
      </c>
      <c r="C505" s="1">
        <v>45672</v>
      </c>
      <c r="D505" t="s">
        <v>156</v>
      </c>
      <c r="E505" t="s">
        <v>155</v>
      </c>
      <c r="F505" s="15">
        <v>127000</v>
      </c>
      <c r="G505" s="163">
        <v>4399.17</v>
      </c>
    </row>
    <row r="506" spans="1:7" x14ac:dyDescent="0.35">
      <c r="A506" t="s">
        <v>20</v>
      </c>
      <c r="B506" t="s">
        <v>173</v>
      </c>
      <c r="C506" s="1">
        <v>45672</v>
      </c>
      <c r="D506" t="s">
        <v>156</v>
      </c>
      <c r="E506" t="s">
        <v>155</v>
      </c>
      <c r="F506" s="15">
        <v>200000</v>
      </c>
      <c r="G506" s="163">
        <v>4403.2</v>
      </c>
    </row>
    <row r="507" spans="1:7" x14ac:dyDescent="0.35">
      <c r="A507" t="s">
        <v>20</v>
      </c>
      <c r="B507" t="s">
        <v>173</v>
      </c>
      <c r="C507" s="1">
        <v>45672</v>
      </c>
      <c r="D507" t="s">
        <v>156</v>
      </c>
      <c r="E507" t="s">
        <v>155</v>
      </c>
      <c r="F507" s="15">
        <v>200000</v>
      </c>
      <c r="G507" s="163">
        <v>4361.5</v>
      </c>
    </row>
    <row r="508" spans="1:7" x14ac:dyDescent="0.35">
      <c r="A508" t="s">
        <v>20</v>
      </c>
      <c r="B508" t="s">
        <v>162</v>
      </c>
      <c r="C508" s="1">
        <v>45672</v>
      </c>
      <c r="D508" t="s">
        <v>156</v>
      </c>
      <c r="E508" t="s">
        <v>155</v>
      </c>
      <c r="F508" s="15">
        <v>50000</v>
      </c>
      <c r="G508" s="15">
        <v>4358.3999999999996</v>
      </c>
    </row>
    <row r="509" spans="1:7" x14ac:dyDescent="0.35">
      <c r="A509" t="s">
        <v>20</v>
      </c>
      <c r="B509" t="s">
        <v>158</v>
      </c>
      <c r="C509" s="1">
        <v>45672</v>
      </c>
      <c r="D509" t="s">
        <v>156</v>
      </c>
      <c r="E509" t="s">
        <v>155</v>
      </c>
      <c r="F509" s="15">
        <v>80000</v>
      </c>
      <c r="G509" s="15">
        <v>4358.3999999999996</v>
      </c>
    </row>
    <row r="510" spans="1:7" x14ac:dyDescent="0.35">
      <c r="A510" t="s">
        <v>20</v>
      </c>
      <c r="B510" s="24" t="s">
        <v>158</v>
      </c>
      <c r="C510" s="1">
        <v>45672</v>
      </c>
      <c r="D510" t="s">
        <v>156</v>
      </c>
      <c r="E510" t="s">
        <v>154</v>
      </c>
      <c r="F510" s="120">
        <v>543000</v>
      </c>
      <c r="G510" s="15">
        <v>4283</v>
      </c>
    </row>
    <row r="511" spans="1:7" x14ac:dyDescent="0.35">
      <c r="A511" t="s">
        <v>20</v>
      </c>
      <c r="B511" s="24" t="s">
        <v>162</v>
      </c>
      <c r="C511" s="1">
        <v>45672</v>
      </c>
      <c r="D511" t="s">
        <v>156</v>
      </c>
      <c r="E511" t="s">
        <v>154</v>
      </c>
      <c r="F511" s="120">
        <v>24000</v>
      </c>
      <c r="G511" s="15">
        <v>4283</v>
      </c>
    </row>
    <row r="512" spans="1:7" x14ac:dyDescent="0.35">
      <c r="A512" t="s">
        <v>20</v>
      </c>
      <c r="B512" s="24" t="s">
        <v>171</v>
      </c>
      <c r="C512" s="1">
        <v>45672</v>
      </c>
      <c r="D512" t="s">
        <v>156</v>
      </c>
      <c r="E512" t="s">
        <v>154</v>
      </c>
      <c r="F512" s="120">
        <v>9000</v>
      </c>
      <c r="G512" s="15">
        <v>4283</v>
      </c>
    </row>
    <row r="513" spans="1:7" x14ac:dyDescent="0.35">
      <c r="A513" t="s">
        <v>20</v>
      </c>
      <c r="B513" s="24" t="s">
        <v>173</v>
      </c>
      <c r="C513" s="1">
        <v>45672</v>
      </c>
      <c r="D513" t="s">
        <v>156</v>
      </c>
      <c r="E513" t="s">
        <v>154</v>
      </c>
      <c r="F513" s="120">
        <v>334000</v>
      </c>
      <c r="G513" s="163">
        <v>4283</v>
      </c>
    </row>
    <row r="514" spans="1:7" x14ac:dyDescent="0.35">
      <c r="A514" t="s">
        <v>19</v>
      </c>
      <c r="B514" t="s">
        <v>19</v>
      </c>
      <c r="C514" s="1">
        <v>45672</v>
      </c>
      <c r="D514" t="s">
        <v>156</v>
      </c>
      <c r="E514" t="s">
        <v>155</v>
      </c>
      <c r="F514" s="15">
        <v>80000</v>
      </c>
      <c r="G514" s="15">
        <v>4458.32</v>
      </c>
    </row>
    <row r="515" spans="1:7" x14ac:dyDescent="0.35">
      <c r="A515" t="s">
        <v>19</v>
      </c>
      <c r="B515" t="s">
        <v>19</v>
      </c>
      <c r="C515" s="1">
        <v>45672</v>
      </c>
      <c r="D515" t="s">
        <v>156</v>
      </c>
      <c r="E515" t="s">
        <v>155</v>
      </c>
      <c r="F515" s="15">
        <v>250000</v>
      </c>
      <c r="G515" s="15">
        <v>4434.29</v>
      </c>
    </row>
    <row r="516" spans="1:7" x14ac:dyDescent="0.35">
      <c r="A516" t="s">
        <v>19</v>
      </c>
      <c r="B516" t="s">
        <v>19</v>
      </c>
      <c r="C516" s="1">
        <v>45672</v>
      </c>
      <c r="D516" t="s">
        <v>156</v>
      </c>
      <c r="E516" t="s">
        <v>155</v>
      </c>
      <c r="F516" s="15">
        <v>250000</v>
      </c>
      <c r="G516" s="15">
        <v>4467.8500000000004</v>
      </c>
    </row>
    <row r="517" spans="1:7" x14ac:dyDescent="0.35">
      <c r="A517" t="s">
        <v>19</v>
      </c>
      <c r="B517" t="s">
        <v>19</v>
      </c>
      <c r="C517" s="1">
        <v>45672</v>
      </c>
      <c r="D517" t="s">
        <v>156</v>
      </c>
      <c r="E517" t="s">
        <v>155</v>
      </c>
      <c r="F517" s="15">
        <v>56600</v>
      </c>
      <c r="G517" s="15">
        <v>4494.1000000000004</v>
      </c>
    </row>
    <row r="518" spans="1:7" x14ac:dyDescent="0.35">
      <c r="A518" t="s">
        <v>19</v>
      </c>
      <c r="B518" t="s">
        <v>19</v>
      </c>
      <c r="C518" s="1">
        <v>45672</v>
      </c>
      <c r="D518" t="s">
        <v>156</v>
      </c>
      <c r="E518" t="s">
        <v>154</v>
      </c>
      <c r="F518" s="15">
        <v>490000</v>
      </c>
      <c r="G518" s="15">
        <v>4283</v>
      </c>
    </row>
    <row r="519" spans="1:7" x14ac:dyDescent="0.35">
      <c r="A519" t="s">
        <v>20</v>
      </c>
      <c r="B519" t="s">
        <v>26</v>
      </c>
      <c r="C519" s="1">
        <v>45674</v>
      </c>
      <c r="D519" t="s">
        <v>156</v>
      </c>
      <c r="E519" t="s">
        <v>154</v>
      </c>
      <c r="F519" s="15">
        <v>550000</v>
      </c>
      <c r="G519" s="15">
        <v>4346</v>
      </c>
    </row>
    <row r="520" spans="1:7" x14ac:dyDescent="0.35">
      <c r="A520" t="s">
        <v>20</v>
      </c>
      <c r="B520" t="s">
        <v>158</v>
      </c>
      <c r="C520" s="1">
        <v>45679</v>
      </c>
      <c r="D520" t="s">
        <v>156</v>
      </c>
      <c r="E520" t="s">
        <v>155</v>
      </c>
      <c r="F520" s="15">
        <v>100000</v>
      </c>
      <c r="G520" s="15">
        <v>4407.03</v>
      </c>
    </row>
    <row r="521" spans="1:7" x14ac:dyDescent="0.35">
      <c r="A521" t="s">
        <v>20</v>
      </c>
      <c r="B521" t="s">
        <v>158</v>
      </c>
      <c r="C521" s="1">
        <v>45679</v>
      </c>
      <c r="D521" t="s">
        <v>156</v>
      </c>
      <c r="E521" t="s">
        <v>155</v>
      </c>
      <c r="F521" s="15">
        <v>80000</v>
      </c>
      <c r="G521" s="15">
        <v>4398.78</v>
      </c>
    </row>
    <row r="522" spans="1:7" x14ac:dyDescent="0.35">
      <c r="A522" t="s">
        <v>20</v>
      </c>
      <c r="B522" t="s">
        <v>158</v>
      </c>
      <c r="C522" s="1">
        <v>45679</v>
      </c>
      <c r="D522" t="s">
        <v>156</v>
      </c>
      <c r="E522" t="s">
        <v>155</v>
      </c>
      <c r="F522" s="15">
        <v>100000</v>
      </c>
      <c r="G522" s="15">
        <v>4420.51</v>
      </c>
    </row>
    <row r="523" spans="1:7" x14ac:dyDescent="0.35">
      <c r="A523" t="s">
        <v>20</v>
      </c>
      <c r="B523" t="s">
        <v>27</v>
      </c>
      <c r="C523" s="1">
        <v>45679</v>
      </c>
      <c r="D523" t="s">
        <v>156</v>
      </c>
      <c r="E523" t="s">
        <v>155</v>
      </c>
      <c r="F523" s="15">
        <v>150000</v>
      </c>
      <c r="G523" s="163">
        <v>4408.4799999999996</v>
      </c>
    </row>
    <row r="524" spans="1:7" x14ac:dyDescent="0.35">
      <c r="A524" t="s">
        <v>20</v>
      </c>
      <c r="B524" t="s">
        <v>27</v>
      </c>
      <c r="C524" s="1">
        <v>45679</v>
      </c>
      <c r="D524" t="s">
        <v>156</v>
      </c>
      <c r="E524" t="s">
        <v>155</v>
      </c>
      <c r="F524" s="15">
        <v>150000</v>
      </c>
      <c r="G524" s="163">
        <v>4399.4399999999996</v>
      </c>
    </row>
    <row r="525" spans="1:7" x14ac:dyDescent="0.35">
      <c r="A525" t="s">
        <v>20</v>
      </c>
      <c r="B525" t="s">
        <v>27</v>
      </c>
      <c r="C525" s="1">
        <v>45679</v>
      </c>
      <c r="D525" t="s">
        <v>156</v>
      </c>
      <c r="E525" t="s">
        <v>155</v>
      </c>
      <c r="F525" s="15">
        <v>80000</v>
      </c>
      <c r="G525" s="163">
        <v>4389.3999999999996</v>
      </c>
    </row>
    <row r="526" spans="1:7" x14ac:dyDescent="0.35">
      <c r="A526" t="s">
        <v>20</v>
      </c>
      <c r="B526" t="s">
        <v>27</v>
      </c>
      <c r="C526" s="1">
        <v>45679</v>
      </c>
      <c r="D526" t="s">
        <v>156</v>
      </c>
      <c r="E526" t="s">
        <v>155</v>
      </c>
      <c r="F526" s="15">
        <v>100000</v>
      </c>
      <c r="G526" s="163">
        <v>4331.54</v>
      </c>
    </row>
    <row r="527" spans="1:7" x14ac:dyDescent="0.35">
      <c r="A527" t="s">
        <v>20</v>
      </c>
      <c r="B527" t="s">
        <v>27</v>
      </c>
      <c r="C527" s="1">
        <v>45679</v>
      </c>
      <c r="D527" t="s">
        <v>156</v>
      </c>
      <c r="E527" t="s">
        <v>155</v>
      </c>
      <c r="F527" s="15">
        <v>80000</v>
      </c>
      <c r="G527" s="163">
        <v>4389.3999999999996</v>
      </c>
    </row>
    <row r="528" spans="1:7" x14ac:dyDescent="0.35">
      <c r="A528" t="s">
        <v>20</v>
      </c>
      <c r="B528" t="s">
        <v>27</v>
      </c>
      <c r="C528" s="1">
        <v>45679</v>
      </c>
      <c r="D528" t="s">
        <v>156</v>
      </c>
      <c r="E528" t="s">
        <v>155</v>
      </c>
      <c r="F528" s="15">
        <v>70000</v>
      </c>
      <c r="G528" s="163">
        <v>4359.3100000000004</v>
      </c>
    </row>
    <row r="529" spans="1:7" x14ac:dyDescent="0.35">
      <c r="A529" t="s">
        <v>20</v>
      </c>
      <c r="B529" t="s">
        <v>162</v>
      </c>
      <c r="C529" s="1">
        <v>45679</v>
      </c>
      <c r="D529" t="s">
        <v>156</v>
      </c>
      <c r="E529" t="s">
        <v>155</v>
      </c>
      <c r="F529" s="15">
        <v>50000</v>
      </c>
      <c r="G529" s="15">
        <v>4351.29</v>
      </c>
    </row>
    <row r="530" spans="1:7" x14ac:dyDescent="0.35">
      <c r="A530" t="s">
        <v>20</v>
      </c>
      <c r="B530" t="s">
        <v>162</v>
      </c>
      <c r="C530" s="1">
        <v>45679</v>
      </c>
      <c r="D530" t="s">
        <v>156</v>
      </c>
      <c r="E530" t="s">
        <v>154</v>
      </c>
      <c r="F530" s="15">
        <v>165000</v>
      </c>
      <c r="G530" s="15">
        <v>4289</v>
      </c>
    </row>
    <row r="531" spans="1:7" x14ac:dyDescent="0.35">
      <c r="A531" t="s">
        <v>20</v>
      </c>
      <c r="B531" t="s">
        <v>217</v>
      </c>
      <c r="C531" s="1">
        <v>45679</v>
      </c>
      <c r="D531" t="s">
        <v>156</v>
      </c>
      <c r="E531" t="s">
        <v>154</v>
      </c>
      <c r="F531" s="15">
        <v>70000</v>
      </c>
      <c r="G531" s="15">
        <v>4289</v>
      </c>
    </row>
    <row r="532" spans="1:7" x14ac:dyDescent="0.35">
      <c r="A532" t="s">
        <v>19</v>
      </c>
      <c r="B532" t="s">
        <v>19</v>
      </c>
      <c r="C532" s="1">
        <v>45679</v>
      </c>
      <c r="D532" t="s">
        <v>156</v>
      </c>
      <c r="E532" t="s">
        <v>154</v>
      </c>
      <c r="F532" s="15">
        <v>340000</v>
      </c>
      <c r="G532" s="15">
        <v>4289</v>
      </c>
    </row>
    <row r="533" spans="1:7" x14ac:dyDescent="0.35">
      <c r="A533" t="s">
        <v>19</v>
      </c>
      <c r="B533" t="s">
        <v>19</v>
      </c>
      <c r="C533" s="1">
        <v>45679</v>
      </c>
      <c r="D533" t="s">
        <v>156</v>
      </c>
      <c r="E533" t="s">
        <v>155</v>
      </c>
      <c r="F533" s="15">
        <v>130000</v>
      </c>
      <c r="G533" s="15">
        <v>4511.25</v>
      </c>
    </row>
    <row r="534" spans="1:7" x14ac:dyDescent="0.35">
      <c r="A534" t="s">
        <v>19</v>
      </c>
      <c r="B534" t="s">
        <v>19</v>
      </c>
      <c r="C534" s="1">
        <v>45679</v>
      </c>
      <c r="D534" t="s">
        <v>156</v>
      </c>
      <c r="E534" t="s">
        <v>155</v>
      </c>
      <c r="F534" s="15">
        <v>250000</v>
      </c>
      <c r="G534" s="15">
        <v>4420.51</v>
      </c>
    </row>
    <row r="535" spans="1:7" x14ac:dyDescent="0.35">
      <c r="A535" t="s">
        <v>19</v>
      </c>
      <c r="B535" t="s">
        <v>19</v>
      </c>
      <c r="C535" s="1">
        <v>45679</v>
      </c>
      <c r="D535" t="s">
        <v>156</v>
      </c>
      <c r="E535" t="s">
        <v>155</v>
      </c>
      <c r="F535" s="15">
        <v>200000</v>
      </c>
      <c r="G535" s="15">
        <v>4403.12</v>
      </c>
    </row>
    <row r="536" spans="1:7" x14ac:dyDescent="0.35">
      <c r="A536" t="s">
        <v>20</v>
      </c>
      <c r="B536" t="s">
        <v>27</v>
      </c>
      <c r="C536" s="1">
        <v>45680</v>
      </c>
      <c r="D536" t="s">
        <v>156</v>
      </c>
      <c r="E536" t="s">
        <v>154</v>
      </c>
      <c r="F536" s="15">
        <v>300000</v>
      </c>
      <c r="G536" s="163">
        <v>4269</v>
      </c>
    </row>
    <row r="537" spans="1:7" x14ac:dyDescent="0.35">
      <c r="A537" t="s">
        <v>20</v>
      </c>
      <c r="B537" t="s">
        <v>26</v>
      </c>
      <c r="C537" s="1">
        <v>45680</v>
      </c>
      <c r="D537" t="s">
        <v>156</v>
      </c>
      <c r="E537" t="s">
        <v>154</v>
      </c>
      <c r="F537" s="15">
        <v>199000</v>
      </c>
      <c r="G537" s="15">
        <v>4247</v>
      </c>
    </row>
    <row r="538" spans="1:7" x14ac:dyDescent="0.35">
      <c r="A538" t="s">
        <v>20</v>
      </c>
      <c r="B538" t="s">
        <v>217</v>
      </c>
      <c r="C538" s="1">
        <v>45684</v>
      </c>
      <c r="D538" t="s">
        <v>156</v>
      </c>
      <c r="E538" t="s">
        <v>154</v>
      </c>
      <c r="F538" s="15">
        <v>70000</v>
      </c>
      <c r="G538" s="15">
        <v>4216</v>
      </c>
    </row>
    <row r="539" spans="1:7" x14ac:dyDescent="0.35">
      <c r="A539" t="s">
        <v>19</v>
      </c>
      <c r="B539" t="s">
        <v>19</v>
      </c>
      <c r="C539" s="1">
        <v>45684</v>
      </c>
      <c r="D539" t="s">
        <v>156</v>
      </c>
      <c r="E539" t="s">
        <v>154</v>
      </c>
      <c r="F539" s="15">
        <v>200000</v>
      </c>
      <c r="G539" s="15">
        <v>4227</v>
      </c>
    </row>
    <row r="540" spans="1:7" x14ac:dyDescent="0.35">
      <c r="A540" t="s">
        <v>19</v>
      </c>
      <c r="B540" t="s">
        <v>19</v>
      </c>
      <c r="C540" s="1">
        <v>45684</v>
      </c>
      <c r="D540" t="s">
        <v>156</v>
      </c>
      <c r="E540" t="s">
        <v>154</v>
      </c>
      <c r="F540" s="15">
        <v>120000</v>
      </c>
      <c r="G540" s="15">
        <v>4233</v>
      </c>
    </row>
    <row r="541" spans="1:7" x14ac:dyDescent="0.35">
      <c r="A541" t="s">
        <v>19</v>
      </c>
      <c r="B541" t="s">
        <v>19</v>
      </c>
      <c r="C541" s="1">
        <v>45685</v>
      </c>
      <c r="D541" t="s">
        <v>156</v>
      </c>
      <c r="E541" t="s">
        <v>155</v>
      </c>
      <c r="F541" s="15">
        <v>200000</v>
      </c>
      <c r="G541" s="15">
        <v>4366.6000000000004</v>
      </c>
    </row>
    <row r="542" spans="1:7" x14ac:dyDescent="0.35">
      <c r="A542" t="s">
        <v>19</v>
      </c>
      <c r="B542" t="s">
        <v>19</v>
      </c>
      <c r="C542" s="1">
        <v>45685</v>
      </c>
      <c r="D542" t="s">
        <v>156</v>
      </c>
      <c r="E542" t="s">
        <v>155</v>
      </c>
      <c r="F542" s="15">
        <v>200000</v>
      </c>
      <c r="G542" s="15">
        <v>4363.3</v>
      </c>
    </row>
    <row r="543" spans="1:7" x14ac:dyDescent="0.35">
      <c r="A543" t="s">
        <v>19</v>
      </c>
      <c r="B543" t="s">
        <v>19</v>
      </c>
      <c r="C543" s="1">
        <v>45685</v>
      </c>
      <c r="D543" t="s">
        <v>156</v>
      </c>
      <c r="E543" t="s">
        <v>155</v>
      </c>
      <c r="F543" s="15">
        <v>150000</v>
      </c>
      <c r="G543" s="15">
        <v>4387.93</v>
      </c>
    </row>
    <row r="544" spans="1:7" x14ac:dyDescent="0.35">
      <c r="A544" t="s">
        <v>20</v>
      </c>
      <c r="B544" s="24" t="s">
        <v>171</v>
      </c>
      <c r="C544" s="1">
        <v>45686</v>
      </c>
      <c r="D544" t="s">
        <v>156</v>
      </c>
      <c r="E544" t="s">
        <v>154</v>
      </c>
      <c r="F544" s="120">
        <v>358000</v>
      </c>
      <c r="G544" s="15">
        <v>4211</v>
      </c>
    </row>
    <row r="545" spans="1:7" x14ac:dyDescent="0.35">
      <c r="A545" t="s">
        <v>20</v>
      </c>
      <c r="B545" s="24" t="s">
        <v>162</v>
      </c>
      <c r="C545" s="1">
        <v>45686</v>
      </c>
      <c r="D545" t="s">
        <v>156</v>
      </c>
      <c r="E545" t="s">
        <v>154</v>
      </c>
      <c r="F545" s="120">
        <v>22000</v>
      </c>
      <c r="G545" s="15">
        <v>4211</v>
      </c>
    </row>
    <row r="546" spans="1:7" x14ac:dyDescent="0.35">
      <c r="A546" t="s">
        <v>20</v>
      </c>
      <c r="B546" t="s">
        <v>158</v>
      </c>
      <c r="C546" s="1">
        <v>45686</v>
      </c>
      <c r="D546" t="s">
        <v>156</v>
      </c>
      <c r="E546" t="s">
        <v>155</v>
      </c>
      <c r="F546" s="15">
        <v>100000</v>
      </c>
      <c r="G546" s="15">
        <v>4392.91</v>
      </c>
    </row>
    <row r="547" spans="1:7" x14ac:dyDescent="0.35">
      <c r="A547" t="s">
        <v>20</v>
      </c>
      <c r="B547" t="s">
        <v>26</v>
      </c>
      <c r="C547" s="1">
        <v>45687</v>
      </c>
      <c r="D547" t="s">
        <v>156</v>
      </c>
      <c r="E547" t="s">
        <v>154</v>
      </c>
      <c r="F547" s="15">
        <v>229000</v>
      </c>
      <c r="G547" s="15">
        <v>4167</v>
      </c>
    </row>
    <row r="548" spans="1:7" x14ac:dyDescent="0.35">
      <c r="A548" t="s">
        <v>20</v>
      </c>
      <c r="B548" t="s">
        <v>158</v>
      </c>
      <c r="C548" s="1">
        <v>45693</v>
      </c>
      <c r="D548" t="s">
        <v>156</v>
      </c>
      <c r="E548" t="s">
        <v>155</v>
      </c>
      <c r="F548" s="15">
        <v>100000</v>
      </c>
      <c r="G548" s="15">
        <v>4414.9399999999996</v>
      </c>
    </row>
    <row r="549" spans="1:7" x14ac:dyDescent="0.35">
      <c r="A549" t="s">
        <v>20</v>
      </c>
      <c r="B549" t="s">
        <v>158</v>
      </c>
      <c r="C549" s="1">
        <v>45693</v>
      </c>
      <c r="D549" t="s">
        <v>156</v>
      </c>
      <c r="E549" t="s">
        <v>155</v>
      </c>
      <c r="F549" s="15">
        <v>150000</v>
      </c>
      <c r="G549" s="15">
        <v>4428.3599999999997</v>
      </c>
    </row>
    <row r="550" spans="1:7" x14ac:dyDescent="0.35">
      <c r="A550" t="s">
        <v>20</v>
      </c>
      <c r="B550" t="s">
        <v>27</v>
      </c>
      <c r="C550" s="1">
        <v>45693</v>
      </c>
      <c r="D550" t="s">
        <v>156</v>
      </c>
      <c r="E550" t="s">
        <v>155</v>
      </c>
      <c r="F550" s="15">
        <v>70000</v>
      </c>
      <c r="G550" s="163">
        <v>4368.63</v>
      </c>
    </row>
    <row r="551" spans="1:7" x14ac:dyDescent="0.35">
      <c r="A551" t="s">
        <v>20</v>
      </c>
      <c r="B551" t="s">
        <v>27</v>
      </c>
      <c r="C551" s="1">
        <v>45693</v>
      </c>
      <c r="D551" t="s">
        <v>156</v>
      </c>
      <c r="E551" t="s">
        <v>155</v>
      </c>
      <c r="F551" s="15">
        <v>70000</v>
      </c>
      <c r="G551" s="163">
        <v>4421.22</v>
      </c>
    </row>
    <row r="552" spans="1:7" x14ac:dyDescent="0.35">
      <c r="A552" t="s">
        <v>20</v>
      </c>
      <c r="B552" t="s">
        <v>27</v>
      </c>
      <c r="C552" s="1">
        <v>45693</v>
      </c>
      <c r="D552" t="s">
        <v>156</v>
      </c>
      <c r="E552" t="s">
        <v>155</v>
      </c>
      <c r="F552" s="15">
        <v>70000</v>
      </c>
      <c r="G552" s="163">
        <v>4340.46</v>
      </c>
    </row>
    <row r="553" spans="1:7" x14ac:dyDescent="0.35">
      <c r="A553" t="s">
        <v>20</v>
      </c>
      <c r="B553" t="s">
        <v>162</v>
      </c>
      <c r="C553" s="1">
        <v>45693</v>
      </c>
      <c r="D553" t="s">
        <v>156</v>
      </c>
      <c r="E553" t="s">
        <v>155</v>
      </c>
      <c r="F553" s="15">
        <v>50000</v>
      </c>
      <c r="G553" s="15">
        <v>4360.6000000000004</v>
      </c>
    </row>
    <row r="554" spans="1:7" x14ac:dyDescent="0.35">
      <c r="A554" t="s">
        <v>20</v>
      </c>
      <c r="B554" s="24" t="s">
        <v>158</v>
      </c>
      <c r="C554" s="1">
        <v>45693</v>
      </c>
      <c r="D554" t="s">
        <v>156</v>
      </c>
      <c r="E554" t="s">
        <v>154</v>
      </c>
      <c r="F554" s="120">
        <v>120000</v>
      </c>
      <c r="G554" s="15">
        <v>4189</v>
      </c>
    </row>
    <row r="555" spans="1:7" x14ac:dyDescent="0.35">
      <c r="A555" t="s">
        <v>20</v>
      </c>
      <c r="B555" s="24" t="s">
        <v>162</v>
      </c>
      <c r="C555" s="1">
        <v>45693</v>
      </c>
      <c r="D555" t="s">
        <v>156</v>
      </c>
      <c r="E555" t="s">
        <v>154</v>
      </c>
      <c r="F555" s="120">
        <v>50000</v>
      </c>
      <c r="G555" s="15">
        <v>4189</v>
      </c>
    </row>
    <row r="556" spans="1:7" x14ac:dyDescent="0.35">
      <c r="A556" t="s">
        <v>20</v>
      </c>
      <c r="B556" s="24" t="s">
        <v>171</v>
      </c>
      <c r="C556" s="1">
        <v>45693</v>
      </c>
      <c r="D556" t="s">
        <v>156</v>
      </c>
      <c r="E556" t="s">
        <v>154</v>
      </c>
      <c r="F556" s="120">
        <v>30000</v>
      </c>
      <c r="G556" s="15">
        <v>4189</v>
      </c>
    </row>
    <row r="557" spans="1:7" x14ac:dyDescent="0.35">
      <c r="A557" t="s">
        <v>19</v>
      </c>
      <c r="B557" t="s">
        <v>19</v>
      </c>
      <c r="C557" s="1">
        <v>45693</v>
      </c>
      <c r="D557" t="s">
        <v>156</v>
      </c>
      <c r="E557" t="s">
        <v>155</v>
      </c>
      <c r="F557" s="96">
        <v>12000</v>
      </c>
      <c r="G557" s="15">
        <v>4470.26</v>
      </c>
    </row>
    <row r="558" spans="1:7" x14ac:dyDescent="0.35">
      <c r="A558" t="s">
        <v>19</v>
      </c>
      <c r="B558" t="s">
        <v>19</v>
      </c>
      <c r="C558" s="1">
        <v>45693</v>
      </c>
      <c r="D558" t="s">
        <v>156</v>
      </c>
      <c r="E558" t="s">
        <v>155</v>
      </c>
      <c r="F558" s="96">
        <v>200000</v>
      </c>
      <c r="G558" s="15">
        <v>4421.22</v>
      </c>
    </row>
    <row r="559" spans="1:7" x14ac:dyDescent="0.35">
      <c r="A559" t="s">
        <v>19</v>
      </c>
      <c r="B559" t="s">
        <v>19</v>
      </c>
      <c r="C559" s="1">
        <v>45693</v>
      </c>
      <c r="D559" t="s">
        <v>156</v>
      </c>
      <c r="E559" t="s">
        <v>155</v>
      </c>
      <c r="F559" s="96">
        <v>150000</v>
      </c>
      <c r="G559" s="15">
        <v>4371.79</v>
      </c>
    </row>
    <row r="560" spans="1:7" x14ac:dyDescent="0.35">
      <c r="A560" t="s">
        <v>19</v>
      </c>
      <c r="B560" t="s">
        <v>19</v>
      </c>
      <c r="C560" s="1">
        <v>45693</v>
      </c>
      <c r="D560" t="s">
        <v>156</v>
      </c>
      <c r="E560" t="s">
        <v>155</v>
      </c>
      <c r="F560" s="96">
        <v>150000</v>
      </c>
      <c r="G560" s="15">
        <v>4337.78</v>
      </c>
    </row>
    <row r="561" spans="1:7" x14ac:dyDescent="0.35">
      <c r="A561" t="s">
        <v>19</v>
      </c>
      <c r="B561" t="s">
        <v>19</v>
      </c>
      <c r="C561" s="1">
        <v>45693</v>
      </c>
      <c r="D561" t="s">
        <v>156</v>
      </c>
      <c r="E561" t="s">
        <v>155</v>
      </c>
      <c r="F561" s="96">
        <v>100000</v>
      </c>
      <c r="G561" s="15">
        <v>4225.6499999999996</v>
      </c>
    </row>
    <row r="562" spans="1:7" x14ac:dyDescent="0.35">
      <c r="A562" t="s">
        <v>19</v>
      </c>
      <c r="B562" t="s">
        <v>19</v>
      </c>
      <c r="C562" s="1">
        <v>45693</v>
      </c>
      <c r="D562" t="s">
        <v>156</v>
      </c>
      <c r="E562" t="s">
        <v>154</v>
      </c>
      <c r="F562" s="96">
        <v>330000</v>
      </c>
      <c r="G562" s="15">
        <v>4189</v>
      </c>
    </row>
    <row r="563" spans="1:7" x14ac:dyDescent="0.35">
      <c r="A563" t="s">
        <v>20</v>
      </c>
      <c r="B563" t="s">
        <v>27</v>
      </c>
      <c r="C563" s="1">
        <v>45694</v>
      </c>
      <c r="D563" t="s">
        <v>156</v>
      </c>
      <c r="E563" t="s">
        <v>154</v>
      </c>
      <c r="F563" s="15">
        <v>123000</v>
      </c>
      <c r="G563" s="163">
        <v>4163</v>
      </c>
    </row>
    <row r="564" spans="1:7" x14ac:dyDescent="0.35">
      <c r="A564" t="s">
        <v>20</v>
      </c>
      <c r="B564" t="s">
        <v>26</v>
      </c>
      <c r="C564" s="1">
        <v>45694</v>
      </c>
      <c r="D564" t="s">
        <v>156</v>
      </c>
      <c r="E564" t="s">
        <v>154</v>
      </c>
      <c r="F564" s="15">
        <v>183000</v>
      </c>
      <c r="G564" s="15">
        <v>4150</v>
      </c>
    </row>
    <row r="565" spans="1:7" x14ac:dyDescent="0.35">
      <c r="A565" t="s">
        <v>20</v>
      </c>
      <c r="B565" t="s">
        <v>158</v>
      </c>
      <c r="C565" s="1">
        <v>45700</v>
      </c>
      <c r="D565" t="s">
        <v>156</v>
      </c>
      <c r="E565" t="s">
        <v>155</v>
      </c>
      <c r="F565" s="15">
        <v>80000</v>
      </c>
      <c r="G565" s="133">
        <v>4410.8900000000003</v>
      </c>
    </row>
    <row r="566" spans="1:7" x14ac:dyDescent="0.35">
      <c r="A566" t="s">
        <v>20</v>
      </c>
      <c r="B566" t="s">
        <v>158</v>
      </c>
      <c r="C566" s="1">
        <v>45700</v>
      </c>
      <c r="D566" t="s">
        <v>156</v>
      </c>
      <c r="E566" t="s">
        <v>155</v>
      </c>
      <c r="F566" s="15">
        <v>80000</v>
      </c>
      <c r="G566" s="133">
        <v>4401.92</v>
      </c>
    </row>
    <row r="567" spans="1:7" x14ac:dyDescent="0.35">
      <c r="A567" t="s">
        <v>20</v>
      </c>
      <c r="B567" s="123" t="s">
        <v>158</v>
      </c>
      <c r="C567" s="1">
        <v>45700</v>
      </c>
      <c r="D567" t="s">
        <v>156</v>
      </c>
      <c r="E567" t="s">
        <v>154</v>
      </c>
      <c r="F567" s="134">
        <v>133000</v>
      </c>
      <c r="G567" s="15">
        <v>4168</v>
      </c>
    </row>
    <row r="568" spans="1:7" x14ac:dyDescent="0.35">
      <c r="A568" t="s">
        <v>20</v>
      </c>
      <c r="B568" s="123" t="s">
        <v>162</v>
      </c>
      <c r="C568" s="1">
        <v>45700</v>
      </c>
      <c r="D568" t="s">
        <v>156</v>
      </c>
      <c r="E568" t="s">
        <v>154</v>
      </c>
      <c r="F568" s="134">
        <v>132000</v>
      </c>
      <c r="G568" s="15">
        <v>4168</v>
      </c>
    </row>
    <row r="569" spans="1:7" x14ac:dyDescent="0.35">
      <c r="A569" t="s">
        <v>20</v>
      </c>
      <c r="B569" s="123" t="s">
        <v>171</v>
      </c>
      <c r="C569" s="1">
        <v>45700</v>
      </c>
      <c r="D569" t="s">
        <v>156</v>
      </c>
      <c r="E569" t="s">
        <v>154</v>
      </c>
      <c r="F569" s="134">
        <v>9000</v>
      </c>
      <c r="G569" s="15">
        <v>4168</v>
      </c>
    </row>
    <row r="570" spans="1:7" x14ac:dyDescent="0.35">
      <c r="A570" t="s">
        <v>19</v>
      </c>
      <c r="B570" t="s">
        <v>19</v>
      </c>
      <c r="C570" s="1">
        <v>45700</v>
      </c>
      <c r="D570" t="s">
        <v>156</v>
      </c>
      <c r="E570" t="s">
        <v>155</v>
      </c>
      <c r="F570" s="15">
        <v>300000</v>
      </c>
      <c r="G570" s="15">
        <v>4439.9399999999996</v>
      </c>
    </row>
    <row r="571" spans="1:7" x14ac:dyDescent="0.35">
      <c r="A571" t="s">
        <v>19</v>
      </c>
      <c r="B571" t="s">
        <v>19</v>
      </c>
      <c r="C571" s="1">
        <v>45700</v>
      </c>
      <c r="D571" t="s">
        <v>156</v>
      </c>
      <c r="E571" t="s">
        <v>155</v>
      </c>
      <c r="F571" s="15">
        <v>150000</v>
      </c>
      <c r="G571" s="133">
        <v>4375.29</v>
      </c>
    </row>
    <row r="572" spans="1:7" x14ac:dyDescent="0.35">
      <c r="A572" t="s">
        <v>19</v>
      </c>
      <c r="B572" t="s">
        <v>19</v>
      </c>
      <c r="C572" s="1">
        <v>45700</v>
      </c>
      <c r="D572" t="s">
        <v>156</v>
      </c>
      <c r="E572" t="s">
        <v>155</v>
      </c>
      <c r="F572" s="15">
        <v>100000</v>
      </c>
      <c r="G572" s="15">
        <v>4400.91</v>
      </c>
    </row>
    <row r="573" spans="1:7" x14ac:dyDescent="0.35">
      <c r="A573" t="s">
        <v>19</v>
      </c>
      <c r="B573" t="s">
        <v>19</v>
      </c>
      <c r="C573" s="1">
        <v>45700</v>
      </c>
      <c r="D573" t="s">
        <v>156</v>
      </c>
      <c r="E573" t="s">
        <v>155</v>
      </c>
      <c r="F573" s="15">
        <v>48800</v>
      </c>
      <c r="G573" s="133">
        <v>4509.78</v>
      </c>
    </row>
    <row r="574" spans="1:7" x14ac:dyDescent="0.35">
      <c r="A574" t="s">
        <v>19</v>
      </c>
      <c r="B574" t="s">
        <v>19</v>
      </c>
      <c r="C574" s="1">
        <v>45700</v>
      </c>
      <c r="D574" t="s">
        <v>156</v>
      </c>
      <c r="E574" t="s">
        <v>154</v>
      </c>
      <c r="F574" s="15">
        <v>219000</v>
      </c>
      <c r="G574" s="15">
        <v>4168</v>
      </c>
    </row>
    <row r="575" spans="1:7" x14ac:dyDescent="0.35">
      <c r="A575" t="s">
        <v>20</v>
      </c>
      <c r="B575" t="s">
        <v>26</v>
      </c>
      <c r="C575" s="1">
        <v>45701</v>
      </c>
      <c r="D575" t="s">
        <v>156</v>
      </c>
      <c r="E575" t="s">
        <v>154</v>
      </c>
      <c r="F575" s="15">
        <v>232000</v>
      </c>
      <c r="G575" s="15">
        <v>4146</v>
      </c>
    </row>
    <row r="576" spans="1:7" x14ac:dyDescent="0.35">
      <c r="A576" t="s">
        <v>20</v>
      </c>
      <c r="B576" t="s">
        <v>158</v>
      </c>
      <c r="C576" s="1">
        <v>45707</v>
      </c>
      <c r="D576" t="s">
        <v>156</v>
      </c>
      <c r="E576" t="s">
        <v>155</v>
      </c>
      <c r="F576" s="15">
        <v>100000</v>
      </c>
      <c r="G576" s="15">
        <v>4404.74</v>
      </c>
    </row>
    <row r="577" spans="1:10" x14ac:dyDescent="0.35">
      <c r="A577" t="s">
        <v>20</v>
      </c>
      <c r="B577" t="s">
        <v>27</v>
      </c>
      <c r="C577" s="1">
        <v>45707</v>
      </c>
      <c r="D577" t="s">
        <v>156</v>
      </c>
      <c r="E577" t="s">
        <v>155</v>
      </c>
      <c r="F577" s="15">
        <v>100000</v>
      </c>
      <c r="G577" s="163">
        <v>4303.42</v>
      </c>
    </row>
    <row r="578" spans="1:10" x14ac:dyDescent="0.35">
      <c r="A578" t="s">
        <v>20</v>
      </c>
      <c r="B578" t="s">
        <v>27</v>
      </c>
      <c r="C578" s="1">
        <v>45707</v>
      </c>
      <c r="D578" t="s">
        <v>156</v>
      </c>
      <c r="E578" t="s">
        <v>155</v>
      </c>
      <c r="F578" s="15">
        <v>50000</v>
      </c>
      <c r="G578" s="163">
        <v>4282.62</v>
      </c>
    </row>
    <row r="579" spans="1:10" x14ac:dyDescent="0.35">
      <c r="A579" t="s">
        <v>20</v>
      </c>
      <c r="B579" t="s">
        <v>27</v>
      </c>
      <c r="C579" s="1">
        <v>45707</v>
      </c>
      <c r="D579" t="s">
        <v>156</v>
      </c>
      <c r="E579" t="s">
        <v>155</v>
      </c>
      <c r="F579" s="15">
        <v>50000</v>
      </c>
      <c r="G579" s="163">
        <v>4276.59</v>
      </c>
    </row>
    <row r="580" spans="1:10" x14ac:dyDescent="0.35">
      <c r="A580" t="s">
        <v>20</v>
      </c>
      <c r="B580" t="s">
        <v>27</v>
      </c>
      <c r="C580" s="1">
        <v>45707</v>
      </c>
      <c r="D580" t="s">
        <v>156</v>
      </c>
      <c r="E580" t="s">
        <v>155</v>
      </c>
      <c r="F580" s="15">
        <v>100000</v>
      </c>
      <c r="G580" s="163">
        <v>4122.3200000000006</v>
      </c>
    </row>
    <row r="581" spans="1:10" x14ac:dyDescent="0.35">
      <c r="A581" t="s">
        <v>20</v>
      </c>
      <c r="B581" t="s">
        <v>27</v>
      </c>
      <c r="C581" s="1">
        <v>45707</v>
      </c>
      <c r="D581" t="s">
        <v>156</v>
      </c>
      <c r="E581" t="s">
        <v>154</v>
      </c>
      <c r="F581" s="15">
        <v>212000</v>
      </c>
      <c r="G581" s="163">
        <v>4104</v>
      </c>
    </row>
    <row r="582" spans="1:10" x14ac:dyDescent="0.35">
      <c r="A582" t="s">
        <v>19</v>
      </c>
      <c r="B582" t="s">
        <v>19</v>
      </c>
      <c r="C582" s="1">
        <v>45707</v>
      </c>
      <c r="D582" t="s">
        <v>156</v>
      </c>
      <c r="E582" t="s">
        <v>155</v>
      </c>
      <c r="F582" s="15">
        <v>400000</v>
      </c>
      <c r="G582" s="15">
        <v>4443.1499999999996</v>
      </c>
      <c r="H582" s="15"/>
    </row>
    <row r="583" spans="1:10" x14ac:dyDescent="0.35">
      <c r="A583" t="s">
        <v>19</v>
      </c>
      <c r="B583" t="s">
        <v>19</v>
      </c>
      <c r="C583" s="1">
        <v>45707</v>
      </c>
      <c r="D583" t="s">
        <v>156</v>
      </c>
      <c r="E583" t="s">
        <v>155</v>
      </c>
      <c r="F583" s="15">
        <v>250000</v>
      </c>
      <c r="G583" s="15">
        <v>4431.8999999999996</v>
      </c>
      <c r="H583" s="15"/>
    </row>
    <row r="584" spans="1:10" x14ac:dyDescent="0.35">
      <c r="A584" t="s">
        <v>19</v>
      </c>
      <c r="B584" t="s">
        <v>19</v>
      </c>
      <c r="C584" s="1">
        <v>45707</v>
      </c>
      <c r="D584" t="s">
        <v>156</v>
      </c>
      <c r="E584" t="s">
        <v>155</v>
      </c>
      <c r="F584" s="15">
        <v>150000</v>
      </c>
      <c r="G584" s="15">
        <v>4346.71</v>
      </c>
      <c r="H584" s="15"/>
    </row>
    <row r="585" spans="1:10" x14ac:dyDescent="0.35">
      <c r="A585" t="s">
        <v>19</v>
      </c>
      <c r="B585" t="s">
        <v>19</v>
      </c>
      <c r="C585" s="1">
        <v>45707</v>
      </c>
      <c r="D585" t="s">
        <v>156</v>
      </c>
      <c r="E585" t="s">
        <v>155</v>
      </c>
      <c r="F585" s="15">
        <v>250000</v>
      </c>
      <c r="G585" s="15">
        <v>4167.9399999999996</v>
      </c>
      <c r="H585" s="15"/>
    </row>
    <row r="586" spans="1:10" x14ac:dyDescent="0.35">
      <c r="A586" t="s">
        <v>20</v>
      </c>
      <c r="B586" t="s">
        <v>217</v>
      </c>
      <c r="C586" s="1">
        <v>45707</v>
      </c>
      <c r="D586" t="s">
        <v>156</v>
      </c>
      <c r="E586" t="s">
        <v>154</v>
      </c>
      <c r="F586" s="15">
        <v>91000</v>
      </c>
      <c r="G586" s="15">
        <v>4104</v>
      </c>
    </row>
    <row r="587" spans="1:10" x14ac:dyDescent="0.35">
      <c r="A587" t="s">
        <v>19</v>
      </c>
      <c r="B587" t="s">
        <v>217</v>
      </c>
      <c r="C587" s="1">
        <v>45707</v>
      </c>
      <c r="D587" t="s">
        <v>156</v>
      </c>
      <c r="E587" t="s">
        <v>154</v>
      </c>
      <c r="F587" s="137">
        <v>100000</v>
      </c>
      <c r="G587" s="15">
        <v>4104</v>
      </c>
      <c r="H587" s="135"/>
      <c r="I587" s="135"/>
      <c r="J587" s="135"/>
    </row>
    <row r="588" spans="1:10" x14ac:dyDescent="0.35">
      <c r="A588" t="s">
        <v>194</v>
      </c>
      <c r="B588" t="s">
        <v>217</v>
      </c>
      <c r="C588" s="1">
        <v>45707</v>
      </c>
      <c r="D588" t="s">
        <v>156</v>
      </c>
      <c r="E588" t="s">
        <v>154</v>
      </c>
      <c r="F588" s="137">
        <v>92000</v>
      </c>
      <c r="G588" s="15">
        <v>4104</v>
      </c>
      <c r="H588" s="135"/>
      <c r="I588" s="136"/>
      <c r="J588" s="136"/>
    </row>
    <row r="589" spans="1:10" x14ac:dyDescent="0.35">
      <c r="A589" t="s">
        <v>20</v>
      </c>
      <c r="B589" t="s">
        <v>26</v>
      </c>
      <c r="C589" s="1">
        <v>45708</v>
      </c>
      <c r="D589" t="s">
        <v>156</v>
      </c>
      <c r="E589" t="s">
        <v>154</v>
      </c>
      <c r="F589" s="137">
        <v>195000</v>
      </c>
      <c r="G589" s="137">
        <v>4076</v>
      </c>
      <c r="H589" s="135"/>
      <c r="I589" s="136"/>
      <c r="J589" s="136"/>
    </row>
    <row r="590" spans="1:10" x14ac:dyDescent="0.35">
      <c r="A590" t="s">
        <v>20</v>
      </c>
      <c r="B590" t="s">
        <v>158</v>
      </c>
      <c r="C590" s="1">
        <v>45714</v>
      </c>
      <c r="D590" t="s">
        <v>156</v>
      </c>
      <c r="E590" t="s">
        <v>155</v>
      </c>
      <c r="F590" s="137">
        <v>120000</v>
      </c>
      <c r="G590" s="137">
        <v>4098.6099999999997</v>
      </c>
      <c r="H590" s="135"/>
      <c r="I590" s="136"/>
      <c r="J590" s="136"/>
    </row>
    <row r="591" spans="1:10" x14ac:dyDescent="0.35">
      <c r="A591" t="s">
        <v>20</v>
      </c>
      <c r="B591" t="s">
        <v>158</v>
      </c>
      <c r="C591" s="1">
        <v>45714</v>
      </c>
      <c r="D591" t="s">
        <v>156</v>
      </c>
      <c r="E591" t="s">
        <v>155</v>
      </c>
      <c r="F591" s="15">
        <v>100000</v>
      </c>
      <c r="G591" s="15">
        <v>4080.66</v>
      </c>
    </row>
    <row r="592" spans="1:10" x14ac:dyDescent="0.35">
      <c r="A592" t="s">
        <v>20</v>
      </c>
      <c r="B592" s="24" t="s">
        <v>158</v>
      </c>
      <c r="C592" s="1">
        <v>45714</v>
      </c>
      <c r="D592" t="s">
        <v>156</v>
      </c>
      <c r="E592" t="s">
        <v>154</v>
      </c>
      <c r="F592" s="120">
        <v>101000</v>
      </c>
      <c r="G592" s="15">
        <v>4133</v>
      </c>
    </row>
    <row r="593" spans="1:7" x14ac:dyDescent="0.35">
      <c r="A593" t="s">
        <v>20</v>
      </c>
      <c r="B593" s="24" t="s">
        <v>171</v>
      </c>
      <c r="C593" s="1">
        <v>45714</v>
      </c>
      <c r="D593" t="s">
        <v>156</v>
      </c>
      <c r="E593" t="s">
        <v>154</v>
      </c>
      <c r="F593" s="120">
        <v>223000</v>
      </c>
      <c r="G593" s="15">
        <v>4133</v>
      </c>
    </row>
    <row r="594" spans="1:7" x14ac:dyDescent="0.35">
      <c r="A594" t="s">
        <v>19</v>
      </c>
      <c r="B594" t="s">
        <v>19</v>
      </c>
      <c r="C594" s="1">
        <v>45714</v>
      </c>
      <c r="D594" t="s">
        <v>156</v>
      </c>
      <c r="E594" t="s">
        <v>155</v>
      </c>
      <c r="F594" s="15">
        <v>150000</v>
      </c>
      <c r="G594" s="15">
        <v>4423.21</v>
      </c>
    </row>
    <row r="595" spans="1:7" x14ac:dyDescent="0.35">
      <c r="A595" t="s">
        <v>19</v>
      </c>
      <c r="B595" t="s">
        <v>19</v>
      </c>
      <c r="C595" s="1">
        <v>45714</v>
      </c>
      <c r="D595" t="s">
        <v>156</v>
      </c>
      <c r="E595" t="s">
        <v>155</v>
      </c>
      <c r="F595" s="15">
        <v>100000</v>
      </c>
      <c r="G595" s="15">
        <v>4434.25</v>
      </c>
    </row>
    <row r="596" spans="1:7" x14ac:dyDescent="0.35">
      <c r="A596" t="s">
        <v>19</v>
      </c>
      <c r="B596" t="s">
        <v>19</v>
      </c>
      <c r="C596" s="1">
        <v>45714</v>
      </c>
      <c r="D596" t="s">
        <v>156</v>
      </c>
      <c r="E596" t="s">
        <v>155</v>
      </c>
      <c r="F596" s="15">
        <v>200000</v>
      </c>
      <c r="G596" s="15">
        <v>4382.1000000000004</v>
      </c>
    </row>
    <row r="597" spans="1:7" x14ac:dyDescent="0.35">
      <c r="A597" t="s">
        <v>19</v>
      </c>
      <c r="B597" t="s">
        <v>19</v>
      </c>
      <c r="C597" s="1">
        <v>45714</v>
      </c>
      <c r="D597" t="s">
        <v>156</v>
      </c>
      <c r="E597" t="s">
        <v>154</v>
      </c>
      <c r="F597" s="15">
        <v>30000</v>
      </c>
      <c r="G597" s="15">
        <v>4133</v>
      </c>
    </row>
    <row r="598" spans="1:7" x14ac:dyDescent="0.35">
      <c r="A598" t="s">
        <v>20</v>
      </c>
      <c r="B598" t="s">
        <v>26</v>
      </c>
      <c r="C598" s="1">
        <v>45715</v>
      </c>
      <c r="D598" t="s">
        <v>156</v>
      </c>
      <c r="E598" t="s">
        <v>154</v>
      </c>
      <c r="F598" s="15">
        <v>169000</v>
      </c>
      <c r="G598" s="15">
        <v>4120</v>
      </c>
    </row>
    <row r="599" spans="1:7" x14ac:dyDescent="0.35">
      <c r="A599" t="s">
        <v>20</v>
      </c>
      <c r="B599" t="s">
        <v>158</v>
      </c>
      <c r="C599" s="1">
        <v>45721</v>
      </c>
      <c r="D599" t="s">
        <v>156</v>
      </c>
      <c r="E599" t="s">
        <v>155</v>
      </c>
      <c r="F599" s="15">
        <v>50000</v>
      </c>
      <c r="G599" s="15">
        <v>4333.2299999999996</v>
      </c>
    </row>
    <row r="600" spans="1:7" x14ac:dyDescent="0.35">
      <c r="A600" t="s">
        <v>20</v>
      </c>
      <c r="B600" t="s">
        <v>162</v>
      </c>
      <c r="C600" s="1">
        <v>45721</v>
      </c>
      <c r="D600" t="s">
        <v>156</v>
      </c>
      <c r="E600" t="s">
        <v>155</v>
      </c>
      <c r="F600" s="15">
        <v>50000</v>
      </c>
      <c r="G600" s="15">
        <v>4333.2299999999996</v>
      </c>
    </row>
    <row r="601" spans="1:7" x14ac:dyDescent="0.35">
      <c r="A601" t="s">
        <v>20</v>
      </c>
      <c r="B601" t="s">
        <v>162</v>
      </c>
      <c r="C601" s="1">
        <v>45721</v>
      </c>
      <c r="D601" t="s">
        <v>156</v>
      </c>
      <c r="E601" t="s">
        <v>155</v>
      </c>
      <c r="F601" s="15">
        <v>50000</v>
      </c>
      <c r="G601" s="15">
        <v>4311.46</v>
      </c>
    </row>
    <row r="602" spans="1:7" x14ac:dyDescent="0.35">
      <c r="A602" t="s">
        <v>20</v>
      </c>
      <c r="B602" t="s">
        <v>158</v>
      </c>
      <c r="C602" s="1">
        <v>45721</v>
      </c>
      <c r="D602" t="s">
        <v>156</v>
      </c>
      <c r="E602" t="s">
        <v>155</v>
      </c>
      <c r="F602" s="15">
        <v>100000</v>
      </c>
      <c r="G602" s="15">
        <v>4430.49</v>
      </c>
    </row>
    <row r="603" spans="1:7" x14ac:dyDescent="0.35">
      <c r="A603" t="s">
        <v>20</v>
      </c>
      <c r="B603" s="24" t="s">
        <v>158</v>
      </c>
      <c r="C603" s="1">
        <v>45721</v>
      </c>
      <c r="D603" t="s">
        <v>156</v>
      </c>
      <c r="E603" t="s">
        <v>154</v>
      </c>
      <c r="F603" s="120">
        <v>211000</v>
      </c>
      <c r="G603" s="15">
        <v>4124</v>
      </c>
    </row>
    <row r="604" spans="1:7" x14ac:dyDescent="0.35">
      <c r="A604" t="s">
        <v>20</v>
      </c>
      <c r="B604" s="24" t="s">
        <v>171</v>
      </c>
      <c r="C604" s="1">
        <v>45721</v>
      </c>
      <c r="D604" t="s">
        <v>156</v>
      </c>
      <c r="E604" t="s">
        <v>154</v>
      </c>
      <c r="F604" s="120">
        <v>16000</v>
      </c>
      <c r="G604" s="15">
        <v>4124</v>
      </c>
    </row>
    <row r="605" spans="1:7" x14ac:dyDescent="0.35">
      <c r="A605" t="s">
        <v>19</v>
      </c>
      <c r="B605" t="s">
        <v>19</v>
      </c>
      <c r="C605" s="1">
        <v>45721</v>
      </c>
      <c r="D605" t="s">
        <v>156</v>
      </c>
      <c r="E605" t="s">
        <v>155</v>
      </c>
      <c r="F605" s="15">
        <v>200000</v>
      </c>
      <c r="G605" s="15">
        <v>4389.04</v>
      </c>
    </row>
    <row r="606" spans="1:7" x14ac:dyDescent="0.35">
      <c r="A606" t="s">
        <v>19</v>
      </c>
      <c r="B606" t="s">
        <v>19</v>
      </c>
      <c r="C606" s="1">
        <v>45721</v>
      </c>
      <c r="D606" t="s">
        <v>156</v>
      </c>
      <c r="E606" t="s">
        <v>155</v>
      </c>
      <c r="F606" s="15">
        <v>100000</v>
      </c>
      <c r="G606" s="15">
        <v>4386.6499999999996</v>
      </c>
    </row>
    <row r="607" spans="1:7" x14ac:dyDescent="0.35">
      <c r="A607" t="s">
        <v>19</v>
      </c>
      <c r="B607" t="s">
        <v>19</v>
      </c>
      <c r="C607" s="1">
        <v>45721</v>
      </c>
      <c r="D607" t="s">
        <v>156</v>
      </c>
      <c r="E607" t="s">
        <v>155</v>
      </c>
      <c r="F607" s="15">
        <v>100000</v>
      </c>
      <c r="G607" s="15">
        <v>4355.43</v>
      </c>
    </row>
    <row r="608" spans="1:7" x14ac:dyDescent="0.35">
      <c r="A608" t="s">
        <v>19</v>
      </c>
      <c r="B608" t="s">
        <v>19</v>
      </c>
      <c r="C608" s="1">
        <v>45721</v>
      </c>
      <c r="D608" t="s">
        <v>156</v>
      </c>
      <c r="E608" t="s">
        <v>155</v>
      </c>
      <c r="F608" s="15">
        <v>100000</v>
      </c>
      <c r="G608" s="15">
        <v>4243.1000000000004</v>
      </c>
    </row>
    <row r="609" spans="1:8" x14ac:dyDescent="0.35">
      <c r="A609" t="s">
        <v>19</v>
      </c>
      <c r="B609" t="s">
        <v>19</v>
      </c>
      <c r="C609" s="1">
        <v>45721</v>
      </c>
      <c r="D609" t="s">
        <v>156</v>
      </c>
      <c r="E609" t="s">
        <v>155</v>
      </c>
      <c r="F609" s="15">
        <v>200000</v>
      </c>
      <c r="G609" s="15">
        <v>4106.5600000000004</v>
      </c>
    </row>
    <row r="610" spans="1:8" x14ac:dyDescent="0.35">
      <c r="A610" t="s">
        <v>19</v>
      </c>
      <c r="B610" t="s">
        <v>19</v>
      </c>
      <c r="C610" s="1">
        <v>45721</v>
      </c>
      <c r="D610" t="s">
        <v>156</v>
      </c>
      <c r="E610" t="s">
        <v>154</v>
      </c>
      <c r="F610" s="15">
        <v>215000</v>
      </c>
      <c r="G610" s="15">
        <v>4124</v>
      </c>
    </row>
    <row r="611" spans="1:8" x14ac:dyDescent="0.35">
      <c r="A611" t="s">
        <v>20</v>
      </c>
      <c r="B611" t="s">
        <v>26</v>
      </c>
      <c r="C611" s="1">
        <v>45723</v>
      </c>
      <c r="D611" t="s">
        <v>156</v>
      </c>
      <c r="E611" t="s">
        <v>154</v>
      </c>
      <c r="F611" s="15">
        <v>190000</v>
      </c>
      <c r="G611" s="15">
        <v>4113</v>
      </c>
    </row>
    <row r="612" spans="1:8" x14ac:dyDescent="0.35">
      <c r="A612" t="s">
        <v>20</v>
      </c>
      <c r="B612" t="s">
        <v>158</v>
      </c>
      <c r="C612" s="1">
        <v>45728</v>
      </c>
      <c r="D612" t="s">
        <v>156</v>
      </c>
      <c r="E612" t="s">
        <v>155</v>
      </c>
      <c r="F612" s="15">
        <v>80000</v>
      </c>
      <c r="G612" s="15">
        <v>4418.79</v>
      </c>
      <c r="H612" s="15"/>
    </row>
    <row r="613" spans="1:8" x14ac:dyDescent="0.35">
      <c r="A613" t="s">
        <v>20</v>
      </c>
      <c r="B613" t="s">
        <v>158</v>
      </c>
      <c r="C613" s="1">
        <v>45728</v>
      </c>
      <c r="D613" t="s">
        <v>156</v>
      </c>
      <c r="E613" t="s">
        <v>155</v>
      </c>
      <c r="F613" s="15">
        <v>50000</v>
      </c>
      <c r="G613" s="15">
        <v>4316.05</v>
      </c>
    </row>
    <row r="614" spans="1:8" x14ac:dyDescent="0.35">
      <c r="A614" t="s">
        <v>20</v>
      </c>
      <c r="B614" t="s">
        <v>158</v>
      </c>
      <c r="C614" s="1">
        <v>45728</v>
      </c>
      <c r="D614" t="s">
        <v>156</v>
      </c>
      <c r="E614" t="s">
        <v>155</v>
      </c>
      <c r="F614" s="15">
        <v>100000</v>
      </c>
      <c r="G614" s="15">
        <v>4211.8</v>
      </c>
    </row>
    <row r="615" spans="1:8" x14ac:dyDescent="0.35">
      <c r="A615" t="s">
        <v>20</v>
      </c>
      <c r="B615" t="s">
        <v>27</v>
      </c>
      <c r="C615" s="1">
        <v>45728</v>
      </c>
      <c r="D615" t="s">
        <v>156</v>
      </c>
      <c r="E615" t="s">
        <v>155</v>
      </c>
      <c r="F615" s="15">
        <v>100000</v>
      </c>
      <c r="G615" s="163">
        <v>4171.47</v>
      </c>
    </row>
    <row r="616" spans="1:8" x14ac:dyDescent="0.35">
      <c r="A616" t="s">
        <v>20</v>
      </c>
      <c r="B616" t="s">
        <v>158</v>
      </c>
      <c r="C616" s="1">
        <v>45728</v>
      </c>
      <c r="D616" t="s">
        <v>156</v>
      </c>
      <c r="E616" t="s">
        <v>155</v>
      </c>
      <c r="F616" s="15">
        <v>100000</v>
      </c>
      <c r="G616" s="15">
        <v>4196.07</v>
      </c>
      <c r="H616" s="141"/>
    </row>
    <row r="617" spans="1:8" x14ac:dyDescent="0.35">
      <c r="A617" t="s">
        <v>20</v>
      </c>
      <c r="B617" s="24" t="s">
        <v>158</v>
      </c>
      <c r="C617" s="1">
        <v>45728</v>
      </c>
      <c r="D617" t="s">
        <v>156</v>
      </c>
      <c r="E617" t="s">
        <v>154</v>
      </c>
      <c r="F617" s="120">
        <v>357000</v>
      </c>
      <c r="G617" s="15">
        <v>4131</v>
      </c>
    </row>
    <row r="618" spans="1:8" x14ac:dyDescent="0.35">
      <c r="A618" t="s">
        <v>20</v>
      </c>
      <c r="B618" s="24" t="s">
        <v>162</v>
      </c>
      <c r="C618" s="1">
        <v>45728</v>
      </c>
      <c r="D618" t="s">
        <v>156</v>
      </c>
      <c r="E618" t="s">
        <v>154</v>
      </c>
      <c r="F618" s="120">
        <v>13000</v>
      </c>
      <c r="G618" s="15">
        <v>4131</v>
      </c>
    </row>
    <row r="619" spans="1:8" x14ac:dyDescent="0.35">
      <c r="A619" t="s">
        <v>20</v>
      </c>
      <c r="B619" s="24" t="s">
        <v>171</v>
      </c>
      <c r="C619" s="1">
        <v>45728</v>
      </c>
      <c r="D619" t="s">
        <v>156</v>
      </c>
      <c r="E619" t="s">
        <v>154</v>
      </c>
      <c r="F619" s="120">
        <v>204000</v>
      </c>
      <c r="G619" s="15">
        <v>4131</v>
      </c>
    </row>
    <row r="620" spans="1:8" x14ac:dyDescent="0.35">
      <c r="A620" t="s">
        <v>19</v>
      </c>
      <c r="B620" t="s">
        <v>19</v>
      </c>
      <c r="C620" s="1">
        <v>45728</v>
      </c>
      <c r="D620" t="s">
        <v>156</v>
      </c>
      <c r="E620" t="s">
        <v>154</v>
      </c>
      <c r="F620" s="15">
        <v>265000</v>
      </c>
      <c r="G620" s="15">
        <v>4131</v>
      </c>
    </row>
    <row r="621" spans="1:8" x14ac:dyDescent="0.35">
      <c r="A621" t="s">
        <v>19</v>
      </c>
      <c r="B621" t="s">
        <v>19</v>
      </c>
      <c r="C621" s="1">
        <v>45728</v>
      </c>
      <c r="D621" t="s">
        <v>156</v>
      </c>
      <c r="E621" t="s">
        <v>155</v>
      </c>
      <c r="F621" s="15">
        <v>57600</v>
      </c>
      <c r="G621" s="15">
        <v>4526.28</v>
      </c>
    </row>
    <row r="622" spans="1:8" x14ac:dyDescent="0.35">
      <c r="A622" t="s">
        <v>19</v>
      </c>
      <c r="B622" t="s">
        <v>19</v>
      </c>
      <c r="C622" s="1">
        <v>45728</v>
      </c>
      <c r="D622" t="s">
        <v>156</v>
      </c>
      <c r="E622" t="s">
        <v>155</v>
      </c>
      <c r="F622" s="15">
        <v>100000</v>
      </c>
      <c r="G622" s="15">
        <v>4359.75</v>
      </c>
    </row>
    <row r="623" spans="1:8" x14ac:dyDescent="0.35">
      <c r="A623" t="s">
        <v>19</v>
      </c>
      <c r="B623" t="s">
        <v>19</v>
      </c>
      <c r="C623" s="1">
        <v>45728</v>
      </c>
      <c r="D623" t="s">
        <v>156</v>
      </c>
      <c r="E623" t="s">
        <v>155</v>
      </c>
      <c r="F623" s="15">
        <v>100000</v>
      </c>
      <c r="G623" s="15">
        <v>4214.83</v>
      </c>
    </row>
    <row r="624" spans="1:8" x14ac:dyDescent="0.35">
      <c r="A624" t="s">
        <v>19</v>
      </c>
      <c r="B624" t="s">
        <v>19</v>
      </c>
      <c r="C624" s="1">
        <v>45728</v>
      </c>
      <c r="D624" t="s">
        <v>156</v>
      </c>
      <c r="E624" t="s">
        <v>155</v>
      </c>
      <c r="F624" s="15">
        <v>250000</v>
      </c>
      <c r="G624" s="15">
        <v>4180.75</v>
      </c>
    </row>
    <row r="625" spans="1:7" x14ac:dyDescent="0.35">
      <c r="A625" t="s">
        <v>904</v>
      </c>
      <c r="B625" t="s">
        <v>905</v>
      </c>
      <c r="C625" s="1">
        <v>45728</v>
      </c>
      <c r="D625" t="s">
        <v>156</v>
      </c>
      <c r="E625" t="s">
        <v>155</v>
      </c>
      <c r="F625" s="15">
        <v>5539.45</v>
      </c>
      <c r="G625" s="15">
        <v>4127</v>
      </c>
    </row>
    <row r="626" spans="1:7" x14ac:dyDescent="0.35">
      <c r="A626" t="s">
        <v>20</v>
      </c>
      <c r="B626" t="s">
        <v>26</v>
      </c>
      <c r="C626" s="1">
        <v>45729</v>
      </c>
      <c r="D626" t="s">
        <v>156</v>
      </c>
      <c r="E626" t="s">
        <v>154</v>
      </c>
      <c r="F626" s="15">
        <v>161000</v>
      </c>
      <c r="G626" s="15">
        <v>4117</v>
      </c>
    </row>
    <row r="627" spans="1:7" x14ac:dyDescent="0.35">
      <c r="A627" t="s">
        <v>20</v>
      </c>
      <c r="B627" t="s">
        <v>217</v>
      </c>
      <c r="C627" s="1">
        <v>45733</v>
      </c>
      <c r="D627" t="s">
        <v>156</v>
      </c>
      <c r="E627" t="s">
        <v>154</v>
      </c>
      <c r="F627" s="15">
        <v>80000</v>
      </c>
      <c r="G627" s="15">
        <v>4095</v>
      </c>
    </row>
    <row r="628" spans="1:7" x14ac:dyDescent="0.35">
      <c r="A628" t="s">
        <v>20</v>
      </c>
      <c r="B628" t="s">
        <v>158</v>
      </c>
      <c r="C628" s="1">
        <v>45735</v>
      </c>
      <c r="D628" t="s">
        <v>156</v>
      </c>
      <c r="E628" t="s">
        <v>155</v>
      </c>
      <c r="F628" s="15">
        <v>100000</v>
      </c>
      <c r="G628" s="15">
        <v>4200.3</v>
      </c>
    </row>
    <row r="629" spans="1:7" x14ac:dyDescent="0.35">
      <c r="A629" t="s">
        <v>20</v>
      </c>
      <c r="B629" s="24" t="s">
        <v>158</v>
      </c>
      <c r="C629" s="1">
        <v>45735</v>
      </c>
      <c r="D629" t="s">
        <v>156</v>
      </c>
      <c r="E629" t="s">
        <v>154</v>
      </c>
      <c r="F629" s="120">
        <v>440000</v>
      </c>
      <c r="G629" s="15">
        <v>4137.8999999999996</v>
      </c>
    </row>
    <row r="630" spans="1:7" x14ac:dyDescent="0.35">
      <c r="A630" t="s">
        <v>20</v>
      </c>
      <c r="B630" s="24" t="s">
        <v>171</v>
      </c>
      <c r="C630" s="1">
        <v>45735</v>
      </c>
      <c r="D630" t="s">
        <v>156</v>
      </c>
      <c r="E630" t="s">
        <v>154</v>
      </c>
      <c r="F630" s="120">
        <v>8000</v>
      </c>
      <c r="G630" s="15">
        <v>4137.8999999999996</v>
      </c>
    </row>
    <row r="631" spans="1:7" x14ac:dyDescent="0.35">
      <c r="A631" t="s">
        <v>20</v>
      </c>
      <c r="B631" s="24" t="s">
        <v>217</v>
      </c>
      <c r="C631" s="1">
        <v>45735</v>
      </c>
      <c r="D631" t="s">
        <v>156</v>
      </c>
      <c r="E631" t="s">
        <v>154</v>
      </c>
      <c r="F631" s="120">
        <v>65000</v>
      </c>
      <c r="G631" s="15">
        <v>4137.8999999999996</v>
      </c>
    </row>
    <row r="632" spans="1:7" x14ac:dyDescent="0.35">
      <c r="A632" t="s">
        <v>19</v>
      </c>
      <c r="B632" t="s">
        <v>19</v>
      </c>
      <c r="C632" s="1">
        <v>45735</v>
      </c>
      <c r="D632" t="s">
        <v>156</v>
      </c>
      <c r="E632" t="s">
        <v>155</v>
      </c>
      <c r="F632" s="15">
        <v>80000</v>
      </c>
      <c r="G632" s="15">
        <v>4342.29</v>
      </c>
    </row>
    <row r="633" spans="1:7" x14ac:dyDescent="0.35">
      <c r="A633" t="s">
        <v>19</v>
      </c>
      <c r="B633" t="s">
        <v>19</v>
      </c>
      <c r="C633" s="1">
        <v>45735</v>
      </c>
      <c r="D633" t="s">
        <v>156</v>
      </c>
      <c r="E633" t="s">
        <v>155</v>
      </c>
      <c r="F633" s="15">
        <v>70000</v>
      </c>
      <c r="G633" s="15">
        <v>4321.22</v>
      </c>
    </row>
    <row r="634" spans="1:7" x14ac:dyDescent="0.35">
      <c r="A634" t="s">
        <v>19</v>
      </c>
      <c r="B634" t="s">
        <v>19</v>
      </c>
      <c r="C634" s="1">
        <v>45735</v>
      </c>
      <c r="D634" t="s">
        <v>156</v>
      </c>
      <c r="E634" t="s">
        <v>155</v>
      </c>
      <c r="F634" s="15">
        <v>150000</v>
      </c>
      <c r="G634" s="15">
        <v>4181.6400000000003</v>
      </c>
    </row>
    <row r="635" spans="1:7" x14ac:dyDescent="0.35">
      <c r="A635" t="s">
        <v>19</v>
      </c>
      <c r="B635" t="s">
        <v>19</v>
      </c>
      <c r="C635" s="1">
        <v>45735</v>
      </c>
      <c r="D635" t="s">
        <v>156</v>
      </c>
      <c r="E635" t="s">
        <v>155</v>
      </c>
      <c r="F635" s="15">
        <v>50000</v>
      </c>
      <c r="G635" s="15">
        <v>4144.91</v>
      </c>
    </row>
    <row r="636" spans="1:7" x14ac:dyDescent="0.35">
      <c r="A636" t="s">
        <v>19</v>
      </c>
      <c r="B636" t="s">
        <v>19</v>
      </c>
      <c r="C636" s="1">
        <v>45735</v>
      </c>
      <c r="D636" t="s">
        <v>156</v>
      </c>
      <c r="E636" t="s">
        <v>155</v>
      </c>
      <c r="F636" s="15">
        <v>300000</v>
      </c>
      <c r="G636" s="15">
        <v>4181</v>
      </c>
    </row>
    <row r="637" spans="1:7" x14ac:dyDescent="0.35">
      <c r="A637" t="s">
        <v>19</v>
      </c>
      <c r="B637" t="s">
        <v>19</v>
      </c>
      <c r="C637" s="1">
        <v>45735</v>
      </c>
      <c r="D637" t="s">
        <v>156</v>
      </c>
      <c r="E637" t="s">
        <v>154</v>
      </c>
      <c r="F637" s="15">
        <v>190000</v>
      </c>
      <c r="G637" s="15">
        <v>4137.8999999999996</v>
      </c>
    </row>
    <row r="638" spans="1:7" x14ac:dyDescent="0.35">
      <c r="A638" t="s">
        <v>19</v>
      </c>
      <c r="B638" t="s">
        <v>26</v>
      </c>
      <c r="C638" s="1">
        <v>45737</v>
      </c>
      <c r="D638" t="s">
        <v>156</v>
      </c>
      <c r="E638" t="s">
        <v>154</v>
      </c>
      <c r="F638" s="15">
        <v>169000</v>
      </c>
      <c r="G638" s="15">
        <v>4182</v>
      </c>
    </row>
    <row r="639" spans="1:7" x14ac:dyDescent="0.35">
      <c r="A639" t="s">
        <v>20</v>
      </c>
      <c r="B639" t="s">
        <v>158</v>
      </c>
      <c r="C639" s="1">
        <v>45742</v>
      </c>
      <c r="D639" t="s">
        <v>156</v>
      </c>
      <c r="E639" t="s">
        <v>155</v>
      </c>
      <c r="F639" s="96">
        <v>200000</v>
      </c>
      <c r="G639" s="15">
        <v>4125.29</v>
      </c>
    </row>
    <row r="640" spans="1:7" x14ac:dyDescent="0.35">
      <c r="A640" t="s">
        <v>20</v>
      </c>
      <c r="B640" t="s">
        <v>158</v>
      </c>
      <c r="C640" s="1">
        <v>45742</v>
      </c>
      <c r="D640" t="s">
        <v>156</v>
      </c>
      <c r="E640" t="s">
        <v>155</v>
      </c>
      <c r="F640" s="96">
        <v>100000</v>
      </c>
      <c r="G640" s="15">
        <v>4133.84</v>
      </c>
    </row>
    <row r="641" spans="1:7" x14ac:dyDescent="0.35">
      <c r="A641" t="s">
        <v>20</v>
      </c>
      <c r="B641" s="24" t="s">
        <v>158</v>
      </c>
      <c r="C641" s="1">
        <v>45742</v>
      </c>
      <c r="D641" t="s">
        <v>156</v>
      </c>
      <c r="E641" t="s">
        <v>154</v>
      </c>
      <c r="F641" s="104">
        <v>639000</v>
      </c>
      <c r="G641" s="15">
        <v>4126</v>
      </c>
    </row>
    <row r="642" spans="1:7" x14ac:dyDescent="0.35">
      <c r="A642" t="s">
        <v>20</v>
      </c>
      <c r="B642" s="24" t="s">
        <v>171</v>
      </c>
      <c r="C642" s="1">
        <v>45742</v>
      </c>
      <c r="D642" t="s">
        <v>156</v>
      </c>
      <c r="E642" t="s">
        <v>154</v>
      </c>
      <c r="F642" s="120">
        <v>119000</v>
      </c>
      <c r="G642" s="15">
        <v>4126</v>
      </c>
    </row>
    <row r="643" spans="1:7" x14ac:dyDescent="0.35">
      <c r="A643" t="s">
        <v>19</v>
      </c>
      <c r="B643" t="s">
        <v>19</v>
      </c>
      <c r="C643" s="1">
        <v>45742</v>
      </c>
      <c r="D643" t="s">
        <v>156</v>
      </c>
      <c r="E643" t="s">
        <v>155</v>
      </c>
      <c r="F643" s="15">
        <v>70000</v>
      </c>
      <c r="G643" s="15">
        <v>4325.7</v>
      </c>
    </row>
    <row r="644" spans="1:7" x14ac:dyDescent="0.35">
      <c r="A644" t="s">
        <v>19</v>
      </c>
      <c r="B644" t="s">
        <v>19</v>
      </c>
      <c r="C644" s="1">
        <v>45742</v>
      </c>
      <c r="D644" t="s">
        <v>156</v>
      </c>
      <c r="E644" t="s">
        <v>155</v>
      </c>
      <c r="F644" s="15">
        <v>80000</v>
      </c>
      <c r="G644" s="15">
        <v>4325.13</v>
      </c>
    </row>
    <row r="645" spans="1:7" x14ac:dyDescent="0.35">
      <c r="A645" t="s">
        <v>19</v>
      </c>
      <c r="B645" t="s">
        <v>19</v>
      </c>
      <c r="C645" s="1">
        <v>45742</v>
      </c>
      <c r="D645" t="s">
        <v>156</v>
      </c>
      <c r="E645" t="s">
        <v>155</v>
      </c>
      <c r="F645" s="15">
        <v>100000</v>
      </c>
      <c r="G645" s="15">
        <v>4185.83</v>
      </c>
    </row>
    <row r="646" spans="1:7" x14ac:dyDescent="0.35">
      <c r="A646" t="s">
        <v>19</v>
      </c>
      <c r="B646" t="s">
        <v>19</v>
      </c>
      <c r="C646" s="1">
        <v>45742</v>
      </c>
      <c r="D646" t="s">
        <v>156</v>
      </c>
      <c r="E646" t="s">
        <v>155</v>
      </c>
      <c r="F646" s="15">
        <v>200000</v>
      </c>
      <c r="G646" s="15">
        <v>4156.67</v>
      </c>
    </row>
    <row r="647" spans="1:7" x14ac:dyDescent="0.35">
      <c r="A647" t="s">
        <v>19</v>
      </c>
      <c r="B647" t="s">
        <v>19</v>
      </c>
      <c r="C647" s="1">
        <v>45742</v>
      </c>
      <c r="D647" t="s">
        <v>156</v>
      </c>
      <c r="E647" t="s">
        <v>154</v>
      </c>
      <c r="F647" s="15">
        <v>320000</v>
      </c>
      <c r="G647" s="15">
        <v>4112</v>
      </c>
    </row>
    <row r="648" spans="1:7" x14ac:dyDescent="0.35">
      <c r="A648" t="s">
        <v>20</v>
      </c>
      <c r="B648" t="s">
        <v>26</v>
      </c>
      <c r="C648" s="1">
        <v>45743</v>
      </c>
      <c r="D648" t="s">
        <v>156</v>
      </c>
      <c r="E648" t="s">
        <v>154</v>
      </c>
      <c r="F648" s="15">
        <v>139000</v>
      </c>
      <c r="G648" s="15">
        <v>4148</v>
      </c>
    </row>
    <row r="649" spans="1:7" x14ac:dyDescent="0.35">
      <c r="A649" t="s">
        <v>20</v>
      </c>
      <c r="B649" s="24" t="s">
        <v>158</v>
      </c>
      <c r="C649" s="1">
        <v>45749</v>
      </c>
      <c r="D649" t="s">
        <v>156</v>
      </c>
      <c r="E649" t="s">
        <v>154</v>
      </c>
      <c r="F649" s="120">
        <v>346000</v>
      </c>
      <c r="G649" s="15">
        <v>4126</v>
      </c>
    </row>
    <row r="650" spans="1:7" x14ac:dyDescent="0.35">
      <c r="A650" t="s">
        <v>20</v>
      </c>
      <c r="B650" s="24" t="s">
        <v>171</v>
      </c>
      <c r="C650" s="1">
        <v>45749</v>
      </c>
      <c r="D650" t="s">
        <v>156</v>
      </c>
      <c r="E650" t="s">
        <v>154</v>
      </c>
      <c r="F650" s="120">
        <v>96000</v>
      </c>
      <c r="G650" s="15">
        <v>4126</v>
      </c>
    </row>
    <row r="651" spans="1:7" x14ac:dyDescent="0.35">
      <c r="A651" t="s">
        <v>19</v>
      </c>
      <c r="B651" t="s">
        <v>19</v>
      </c>
      <c r="C651" s="1">
        <v>45749</v>
      </c>
      <c r="D651" t="s">
        <v>156</v>
      </c>
      <c r="E651" t="s">
        <v>155</v>
      </c>
      <c r="F651" s="15">
        <v>100000</v>
      </c>
      <c r="G651" s="15">
        <v>4172.5200000000004</v>
      </c>
    </row>
    <row r="652" spans="1:7" x14ac:dyDescent="0.35">
      <c r="A652" t="s">
        <v>19</v>
      </c>
      <c r="B652" t="s">
        <v>19</v>
      </c>
      <c r="C652" s="1">
        <v>45749</v>
      </c>
      <c r="D652" t="s">
        <v>156</v>
      </c>
      <c r="E652" t="s">
        <v>155</v>
      </c>
      <c r="F652" s="15">
        <v>100000</v>
      </c>
      <c r="G652" s="15">
        <v>4156.2700000000004</v>
      </c>
    </row>
    <row r="653" spans="1:7" x14ac:dyDescent="0.35">
      <c r="A653" t="s">
        <v>19</v>
      </c>
      <c r="B653" t="s">
        <v>19</v>
      </c>
      <c r="C653" s="1">
        <v>45749</v>
      </c>
      <c r="D653" t="s">
        <v>156</v>
      </c>
      <c r="E653" t="s">
        <v>155</v>
      </c>
      <c r="F653" s="15">
        <v>200000</v>
      </c>
      <c r="G653" s="15">
        <v>4123.3900000000003</v>
      </c>
    </row>
    <row r="654" spans="1:7" x14ac:dyDescent="0.35">
      <c r="A654" t="s">
        <v>19</v>
      </c>
      <c r="B654" t="s">
        <v>19</v>
      </c>
      <c r="C654" s="1">
        <v>45749</v>
      </c>
      <c r="D654" t="s">
        <v>156</v>
      </c>
      <c r="E654" t="s">
        <v>155</v>
      </c>
      <c r="F654" s="15">
        <v>100000</v>
      </c>
      <c r="G654" s="15">
        <v>4137.68</v>
      </c>
    </row>
    <row r="655" spans="1:7" x14ac:dyDescent="0.35">
      <c r="A655" t="s">
        <v>19</v>
      </c>
      <c r="B655" t="s">
        <v>19</v>
      </c>
      <c r="C655" s="1">
        <v>45749</v>
      </c>
      <c r="D655" t="s">
        <v>156</v>
      </c>
      <c r="E655" t="s">
        <v>155</v>
      </c>
      <c r="F655" s="15">
        <v>50000</v>
      </c>
      <c r="G655" s="15">
        <v>4120.7</v>
      </c>
    </row>
    <row r="656" spans="1:7" x14ac:dyDescent="0.35">
      <c r="A656" t="s">
        <v>19</v>
      </c>
      <c r="B656" t="s">
        <v>19</v>
      </c>
      <c r="C656" s="1">
        <v>45749</v>
      </c>
      <c r="D656" t="s">
        <v>156</v>
      </c>
      <c r="E656" t="s">
        <v>155</v>
      </c>
      <c r="F656" s="15">
        <v>100000</v>
      </c>
      <c r="G656" s="15">
        <v>4239.2</v>
      </c>
    </row>
    <row r="657" spans="1:7" x14ac:dyDescent="0.35">
      <c r="A657" t="s">
        <v>19</v>
      </c>
      <c r="B657" t="s">
        <v>19</v>
      </c>
      <c r="C657" s="1">
        <v>45749</v>
      </c>
      <c r="D657" t="s">
        <v>156</v>
      </c>
      <c r="E657" t="s">
        <v>154</v>
      </c>
      <c r="F657" s="15">
        <v>120000</v>
      </c>
      <c r="G657" s="15">
        <v>4126</v>
      </c>
    </row>
    <row r="658" spans="1:7" x14ac:dyDescent="0.35">
      <c r="A658" t="s">
        <v>20</v>
      </c>
      <c r="B658" t="s">
        <v>27</v>
      </c>
      <c r="C658" s="1">
        <v>45750</v>
      </c>
      <c r="D658" t="s">
        <v>156</v>
      </c>
      <c r="E658" t="s">
        <v>155</v>
      </c>
      <c r="F658" s="15">
        <v>50000</v>
      </c>
      <c r="G658" s="163">
        <v>4150.49</v>
      </c>
    </row>
    <row r="659" spans="1:7" x14ac:dyDescent="0.35">
      <c r="A659" t="s">
        <v>20</v>
      </c>
      <c r="B659" t="s">
        <v>26</v>
      </c>
      <c r="C659" s="1">
        <v>45751</v>
      </c>
      <c r="D659" t="s">
        <v>156</v>
      </c>
      <c r="E659" t="s">
        <v>154</v>
      </c>
      <c r="F659" s="15">
        <v>185000</v>
      </c>
      <c r="G659" s="15">
        <v>4289</v>
      </c>
    </row>
    <row r="660" spans="1:7" x14ac:dyDescent="0.35">
      <c r="A660" t="s">
        <v>20</v>
      </c>
      <c r="B660" t="s">
        <v>162</v>
      </c>
      <c r="C660" s="1">
        <v>45754</v>
      </c>
      <c r="D660" t="s">
        <v>156</v>
      </c>
      <c r="E660" t="s">
        <v>155</v>
      </c>
      <c r="F660" s="15">
        <v>50000</v>
      </c>
      <c r="G660" s="15">
        <v>4354.45</v>
      </c>
    </row>
    <row r="661" spans="1:7" x14ac:dyDescent="0.35">
      <c r="A661" t="s">
        <v>20</v>
      </c>
      <c r="B661" t="s">
        <v>158</v>
      </c>
      <c r="C661" s="1">
        <v>45754</v>
      </c>
      <c r="D661" t="s">
        <v>156</v>
      </c>
      <c r="E661" t="s">
        <v>155</v>
      </c>
      <c r="F661" s="15">
        <v>50000</v>
      </c>
      <c r="G661" s="15">
        <v>4354.45</v>
      </c>
    </row>
    <row r="662" spans="1:7" x14ac:dyDescent="0.35">
      <c r="A662" t="s">
        <v>20</v>
      </c>
      <c r="B662" t="s">
        <v>27</v>
      </c>
      <c r="C662" s="1">
        <v>45756</v>
      </c>
      <c r="D662" t="s">
        <v>156</v>
      </c>
      <c r="E662" t="s">
        <v>155</v>
      </c>
      <c r="F662" s="15">
        <v>100000</v>
      </c>
      <c r="G662" s="163">
        <v>4119.26</v>
      </c>
    </row>
    <row r="663" spans="1:7" x14ac:dyDescent="0.35">
      <c r="A663" t="s">
        <v>20</v>
      </c>
      <c r="B663" t="s">
        <v>190</v>
      </c>
      <c r="C663" s="1">
        <v>45756</v>
      </c>
      <c r="D663" t="s">
        <v>156</v>
      </c>
      <c r="E663" t="s">
        <v>155</v>
      </c>
      <c r="F663" s="15">
        <v>100000</v>
      </c>
      <c r="G663" s="15">
        <v>4407.83</v>
      </c>
    </row>
    <row r="664" spans="1:7" x14ac:dyDescent="0.35">
      <c r="A664" t="s">
        <v>20</v>
      </c>
      <c r="B664" t="s">
        <v>191</v>
      </c>
      <c r="C664" s="1">
        <v>45756</v>
      </c>
      <c r="D664" t="s">
        <v>156</v>
      </c>
      <c r="E664" t="s">
        <v>155</v>
      </c>
      <c r="F664" s="15">
        <v>100000</v>
      </c>
      <c r="G664" s="15">
        <v>4407.83</v>
      </c>
    </row>
    <row r="665" spans="1:7" x14ac:dyDescent="0.35">
      <c r="A665" t="s">
        <v>20</v>
      </c>
      <c r="B665" t="s">
        <v>162</v>
      </c>
      <c r="C665" s="1">
        <v>45756</v>
      </c>
      <c r="D665" t="s">
        <v>156</v>
      </c>
      <c r="E665" t="s">
        <v>155</v>
      </c>
      <c r="F665" s="15">
        <v>50000</v>
      </c>
      <c r="G665" s="15">
        <v>4334.32</v>
      </c>
    </row>
    <row r="666" spans="1:7" x14ac:dyDescent="0.35">
      <c r="A666" t="s">
        <v>20</v>
      </c>
      <c r="B666" t="s">
        <v>191</v>
      </c>
      <c r="C666" s="1">
        <v>45756</v>
      </c>
      <c r="D666" t="s">
        <v>156</v>
      </c>
      <c r="E666" t="s">
        <v>155</v>
      </c>
      <c r="F666" s="15">
        <v>50000</v>
      </c>
      <c r="G666" s="15">
        <v>4334.32</v>
      </c>
    </row>
    <row r="667" spans="1:7" x14ac:dyDescent="0.35">
      <c r="A667" t="s">
        <v>20</v>
      </c>
      <c r="B667" t="s">
        <v>190</v>
      </c>
      <c r="C667" s="1">
        <v>45756</v>
      </c>
      <c r="D667" t="s">
        <v>156</v>
      </c>
      <c r="E667" t="s">
        <v>155</v>
      </c>
      <c r="F667" s="15">
        <v>100000</v>
      </c>
      <c r="G667" s="15">
        <v>4334.32</v>
      </c>
    </row>
    <row r="668" spans="1:7" x14ac:dyDescent="0.35">
      <c r="A668" t="s">
        <v>20</v>
      </c>
      <c r="B668" t="s">
        <v>191</v>
      </c>
      <c r="C668" s="1">
        <v>45756</v>
      </c>
      <c r="D668" t="s">
        <v>156</v>
      </c>
      <c r="E668" t="s">
        <v>155</v>
      </c>
      <c r="F668" s="15">
        <v>50000</v>
      </c>
      <c r="G668" s="15">
        <v>4294.53</v>
      </c>
    </row>
    <row r="669" spans="1:7" x14ac:dyDescent="0.35">
      <c r="A669" t="s">
        <v>20</v>
      </c>
      <c r="B669" t="s">
        <v>190</v>
      </c>
      <c r="C669" s="1">
        <v>45756</v>
      </c>
      <c r="D669" t="s">
        <v>156</v>
      </c>
      <c r="E669" t="s">
        <v>155</v>
      </c>
      <c r="F669" s="15">
        <v>100000</v>
      </c>
      <c r="G669" s="15">
        <v>4294.53</v>
      </c>
    </row>
    <row r="670" spans="1:7" x14ac:dyDescent="0.35">
      <c r="A670" t="s">
        <v>20</v>
      </c>
      <c r="B670" t="s">
        <v>158</v>
      </c>
      <c r="C670" s="1">
        <v>45756</v>
      </c>
      <c r="D670" t="s">
        <v>156</v>
      </c>
      <c r="E670" t="s">
        <v>155</v>
      </c>
      <c r="F670" s="15">
        <v>200000</v>
      </c>
      <c r="G670" s="15">
        <v>4133.63</v>
      </c>
    </row>
    <row r="671" spans="1:7" x14ac:dyDescent="0.35">
      <c r="A671" t="s">
        <v>20</v>
      </c>
      <c r="B671" t="s">
        <v>158</v>
      </c>
      <c r="C671" s="1">
        <v>45756</v>
      </c>
      <c r="D671" t="s">
        <v>156</v>
      </c>
      <c r="E671" t="s">
        <v>155</v>
      </c>
      <c r="F671" s="15">
        <v>200000</v>
      </c>
      <c r="G671" s="15">
        <v>4175.18</v>
      </c>
    </row>
    <row r="672" spans="1:7" x14ac:dyDescent="0.35">
      <c r="A672" t="s">
        <v>20</v>
      </c>
      <c r="B672" s="24" t="s">
        <v>970</v>
      </c>
      <c r="C672" s="1">
        <v>45756</v>
      </c>
      <c r="D672" t="s">
        <v>156</v>
      </c>
      <c r="E672" t="s">
        <v>154</v>
      </c>
      <c r="F672" s="120">
        <v>97000</v>
      </c>
      <c r="G672" s="15">
        <v>4432</v>
      </c>
    </row>
    <row r="673" spans="1:7" x14ac:dyDescent="0.35">
      <c r="A673" t="s">
        <v>20</v>
      </c>
      <c r="B673" s="24" t="s">
        <v>171</v>
      </c>
      <c r="C673" s="1">
        <v>45756</v>
      </c>
      <c r="D673" t="s">
        <v>156</v>
      </c>
      <c r="E673" t="s">
        <v>154</v>
      </c>
      <c r="F673" s="120">
        <v>18000</v>
      </c>
      <c r="G673" s="15">
        <v>4432</v>
      </c>
    </row>
    <row r="674" spans="1:7" x14ac:dyDescent="0.35">
      <c r="A674" t="s">
        <v>20</v>
      </c>
      <c r="B674" s="24" t="s">
        <v>158</v>
      </c>
      <c r="C674" s="1">
        <v>45756</v>
      </c>
      <c r="D674" t="s">
        <v>156</v>
      </c>
      <c r="E674" t="s">
        <v>154</v>
      </c>
      <c r="F674" s="120">
        <v>290000</v>
      </c>
      <c r="G674" s="15">
        <v>4432</v>
      </c>
    </row>
    <row r="675" spans="1:7" x14ac:dyDescent="0.35">
      <c r="A675" t="s">
        <v>19</v>
      </c>
      <c r="B675" t="s">
        <v>19</v>
      </c>
      <c r="C675" s="1">
        <v>45756</v>
      </c>
      <c r="D675" t="s">
        <v>156</v>
      </c>
      <c r="E675" t="s">
        <v>155</v>
      </c>
      <c r="F675" s="15">
        <v>100000</v>
      </c>
      <c r="G675" s="15">
        <v>4194.7</v>
      </c>
    </row>
    <row r="676" spans="1:7" x14ac:dyDescent="0.35">
      <c r="A676" t="s">
        <v>19</v>
      </c>
      <c r="B676" t="s">
        <v>19</v>
      </c>
      <c r="C676" s="1">
        <v>45756</v>
      </c>
      <c r="D676" t="s">
        <v>156</v>
      </c>
      <c r="E676" t="s">
        <v>155</v>
      </c>
      <c r="F676" s="15">
        <v>100000</v>
      </c>
      <c r="G676" s="15">
        <v>4160.38</v>
      </c>
    </row>
    <row r="677" spans="1:7" x14ac:dyDescent="0.35">
      <c r="A677" t="s">
        <v>19</v>
      </c>
      <c r="B677" t="s">
        <v>19</v>
      </c>
      <c r="C677" s="1">
        <v>45756</v>
      </c>
      <c r="D677" t="s">
        <v>156</v>
      </c>
      <c r="E677" t="s">
        <v>155</v>
      </c>
      <c r="F677" s="15">
        <v>150000</v>
      </c>
      <c r="G677" s="15">
        <v>4160.99</v>
      </c>
    </row>
    <row r="678" spans="1:7" x14ac:dyDescent="0.35">
      <c r="A678" t="s">
        <v>19</v>
      </c>
      <c r="B678" t="s">
        <v>19</v>
      </c>
      <c r="C678" s="1">
        <v>45756</v>
      </c>
      <c r="D678" t="s">
        <v>156</v>
      </c>
      <c r="E678" t="s">
        <v>155</v>
      </c>
      <c r="F678" s="15">
        <v>50000</v>
      </c>
      <c r="G678" s="15">
        <v>4157</v>
      </c>
    </row>
    <row r="679" spans="1:7" x14ac:dyDescent="0.35">
      <c r="A679" t="s">
        <v>19</v>
      </c>
      <c r="B679" t="s">
        <v>19</v>
      </c>
      <c r="C679" s="1">
        <v>45756</v>
      </c>
      <c r="D679" t="s">
        <v>156</v>
      </c>
      <c r="E679" t="s">
        <v>155</v>
      </c>
      <c r="F679" s="15">
        <v>150000</v>
      </c>
      <c r="G679" s="15">
        <v>4115.42</v>
      </c>
    </row>
    <row r="680" spans="1:7" x14ac:dyDescent="0.35">
      <c r="A680" t="s">
        <v>19</v>
      </c>
      <c r="B680" t="s">
        <v>19</v>
      </c>
      <c r="C680" s="1">
        <v>45756</v>
      </c>
      <c r="D680" t="s">
        <v>156</v>
      </c>
      <c r="E680" t="s">
        <v>154</v>
      </c>
      <c r="F680" s="15">
        <v>570000</v>
      </c>
      <c r="G680" s="15">
        <v>4460</v>
      </c>
    </row>
    <row r="681" spans="1:7" x14ac:dyDescent="0.35">
      <c r="A681" t="s">
        <v>20</v>
      </c>
      <c r="B681" t="s">
        <v>26</v>
      </c>
      <c r="C681" s="1">
        <v>45757</v>
      </c>
      <c r="D681" t="s">
        <v>156</v>
      </c>
      <c r="E681" t="s">
        <v>154</v>
      </c>
      <c r="F681" s="15">
        <v>156000</v>
      </c>
      <c r="G681" s="15">
        <v>4343</v>
      </c>
    </row>
    <row r="682" spans="1:7" x14ac:dyDescent="0.35">
      <c r="A682" t="s">
        <v>19</v>
      </c>
      <c r="B682" t="s">
        <v>19</v>
      </c>
      <c r="C682" s="1">
        <v>45763</v>
      </c>
      <c r="D682" t="s">
        <v>156</v>
      </c>
      <c r="E682" t="s">
        <v>155</v>
      </c>
      <c r="F682" s="15">
        <v>100000</v>
      </c>
      <c r="G682" s="15">
        <v>4198.2700000000004</v>
      </c>
    </row>
    <row r="683" spans="1:7" x14ac:dyDescent="0.35">
      <c r="A683" t="s">
        <v>19</v>
      </c>
      <c r="B683" t="s">
        <v>19</v>
      </c>
      <c r="C683" s="1">
        <v>45763</v>
      </c>
      <c r="D683" t="s">
        <v>156</v>
      </c>
      <c r="E683" t="s">
        <v>155</v>
      </c>
      <c r="F683" s="15">
        <v>100000</v>
      </c>
      <c r="G683" s="15">
        <v>4164.41</v>
      </c>
    </row>
    <row r="684" spans="1:7" x14ac:dyDescent="0.35">
      <c r="A684" t="s">
        <v>19</v>
      </c>
      <c r="B684" t="s">
        <v>19</v>
      </c>
      <c r="C684" s="1">
        <v>45763</v>
      </c>
      <c r="D684" t="s">
        <v>156</v>
      </c>
      <c r="E684" t="s">
        <v>155</v>
      </c>
      <c r="F684" s="15">
        <v>150000</v>
      </c>
      <c r="G684" s="15">
        <v>4104.9799999999996</v>
      </c>
    </row>
    <row r="685" spans="1:7" x14ac:dyDescent="0.35">
      <c r="A685" t="s">
        <v>19</v>
      </c>
      <c r="B685" t="s">
        <v>19</v>
      </c>
      <c r="C685" s="1">
        <v>45763</v>
      </c>
      <c r="D685" t="s">
        <v>156</v>
      </c>
      <c r="E685" t="s">
        <v>155</v>
      </c>
      <c r="F685" s="15">
        <v>100000</v>
      </c>
      <c r="G685" s="15">
        <v>4171.09</v>
      </c>
    </row>
    <row r="686" spans="1:7" x14ac:dyDescent="0.35">
      <c r="A686" t="s">
        <v>19</v>
      </c>
      <c r="B686" t="s">
        <v>19</v>
      </c>
      <c r="C686" s="1">
        <v>45763</v>
      </c>
      <c r="D686" t="s">
        <v>156</v>
      </c>
      <c r="E686" t="s">
        <v>154</v>
      </c>
      <c r="F686" s="15">
        <v>270000</v>
      </c>
      <c r="G686" s="15">
        <v>4332</v>
      </c>
    </row>
    <row r="687" spans="1:7" x14ac:dyDescent="0.35">
      <c r="A687" t="s">
        <v>20</v>
      </c>
      <c r="B687" t="s">
        <v>158</v>
      </c>
      <c r="C687" s="1">
        <v>45763</v>
      </c>
      <c r="D687" t="s">
        <v>156</v>
      </c>
      <c r="E687" t="s">
        <v>155</v>
      </c>
      <c r="F687" s="15">
        <v>80000</v>
      </c>
      <c r="G687" s="15">
        <v>4338.8499999999995</v>
      </c>
    </row>
    <row r="688" spans="1:7" x14ac:dyDescent="0.35">
      <c r="A688" t="s">
        <v>20</v>
      </c>
      <c r="B688" t="s">
        <v>158</v>
      </c>
      <c r="C688" s="1">
        <v>45763</v>
      </c>
      <c r="D688" t="s">
        <v>156</v>
      </c>
      <c r="E688" t="s">
        <v>155</v>
      </c>
      <c r="F688" s="15">
        <v>100000</v>
      </c>
      <c r="G688" s="15">
        <v>4216.9399999999996</v>
      </c>
    </row>
    <row r="689" spans="1:7" x14ac:dyDescent="0.35">
      <c r="A689" t="s">
        <v>20</v>
      </c>
      <c r="B689" t="s">
        <v>27</v>
      </c>
      <c r="C689" s="1">
        <v>45763</v>
      </c>
      <c r="D689" t="s">
        <v>156</v>
      </c>
      <c r="E689" t="s">
        <v>155</v>
      </c>
      <c r="F689" s="15">
        <v>80000</v>
      </c>
      <c r="G689" s="163">
        <v>4139.55</v>
      </c>
    </row>
    <row r="690" spans="1:7" x14ac:dyDescent="0.35">
      <c r="A690" t="s">
        <v>20</v>
      </c>
      <c r="B690" s="24" t="s">
        <v>158</v>
      </c>
      <c r="C690" s="1">
        <v>45763</v>
      </c>
      <c r="D690" t="s">
        <v>156</v>
      </c>
      <c r="E690" t="s">
        <v>154</v>
      </c>
      <c r="F690" s="120">
        <v>395000</v>
      </c>
      <c r="G690" s="15">
        <v>4332</v>
      </c>
    </row>
    <row r="691" spans="1:7" x14ac:dyDescent="0.35">
      <c r="A691" t="s">
        <v>20</v>
      </c>
      <c r="B691" s="24" t="s">
        <v>27</v>
      </c>
      <c r="C691" s="1">
        <v>45763</v>
      </c>
      <c r="D691" t="s">
        <v>156</v>
      </c>
      <c r="E691" t="s">
        <v>154</v>
      </c>
      <c r="F691" s="120">
        <v>45000</v>
      </c>
      <c r="G691" s="163">
        <v>4332</v>
      </c>
    </row>
    <row r="692" spans="1:7" x14ac:dyDescent="0.35">
      <c r="A692" t="s">
        <v>20</v>
      </c>
      <c r="B692" s="24" t="s">
        <v>26</v>
      </c>
      <c r="C692" s="1">
        <v>45763</v>
      </c>
      <c r="D692" t="s">
        <v>156</v>
      </c>
      <c r="E692" t="s">
        <v>154</v>
      </c>
      <c r="F692" s="120">
        <v>207000</v>
      </c>
      <c r="G692" s="15">
        <v>4332</v>
      </c>
    </row>
    <row r="693" spans="1:7" x14ac:dyDescent="0.35">
      <c r="A693" t="s">
        <v>20</v>
      </c>
      <c r="B693" s="24" t="s">
        <v>171</v>
      </c>
      <c r="C693" s="1">
        <v>45763</v>
      </c>
      <c r="D693" t="s">
        <v>156</v>
      </c>
      <c r="E693" t="s">
        <v>154</v>
      </c>
      <c r="F693" s="120">
        <v>20000</v>
      </c>
      <c r="G693" s="15">
        <v>4332</v>
      </c>
    </row>
    <row r="694" spans="1:7" x14ac:dyDescent="0.35">
      <c r="A694" t="s">
        <v>20</v>
      </c>
      <c r="B694" t="s">
        <v>158</v>
      </c>
      <c r="C694" s="1">
        <v>45770</v>
      </c>
      <c r="D694" t="s">
        <v>156</v>
      </c>
      <c r="E694" t="s">
        <v>155</v>
      </c>
      <c r="F694" s="15">
        <v>100000</v>
      </c>
      <c r="G694" s="15">
        <v>4220.99</v>
      </c>
    </row>
    <row r="695" spans="1:7" x14ac:dyDescent="0.35">
      <c r="A695" t="s">
        <v>20</v>
      </c>
      <c r="B695" t="s">
        <v>158</v>
      </c>
      <c r="C695" s="1">
        <v>45770</v>
      </c>
      <c r="D695" t="s">
        <v>156</v>
      </c>
      <c r="E695" t="s">
        <v>155</v>
      </c>
      <c r="F695" s="15">
        <v>100000</v>
      </c>
      <c r="G695" s="15">
        <v>4149.59</v>
      </c>
    </row>
    <row r="696" spans="1:7" x14ac:dyDescent="0.35">
      <c r="A696" t="s">
        <v>20</v>
      </c>
      <c r="B696" s="24" t="s">
        <v>158</v>
      </c>
      <c r="C696" s="1">
        <v>45770</v>
      </c>
      <c r="D696" t="s">
        <v>156</v>
      </c>
      <c r="E696" t="s">
        <v>154</v>
      </c>
      <c r="F696" s="120">
        <v>27000</v>
      </c>
      <c r="G696" s="15">
        <v>4271</v>
      </c>
    </row>
    <row r="697" spans="1:7" x14ac:dyDescent="0.35">
      <c r="A697" t="s">
        <v>20</v>
      </c>
      <c r="B697" s="24" t="s">
        <v>162</v>
      </c>
      <c r="C697" s="1">
        <v>45770</v>
      </c>
      <c r="D697" t="s">
        <v>156</v>
      </c>
      <c r="E697" t="s">
        <v>154</v>
      </c>
      <c r="F697" s="120">
        <v>28000</v>
      </c>
      <c r="G697" s="15">
        <v>4271</v>
      </c>
    </row>
    <row r="698" spans="1:7" x14ac:dyDescent="0.35">
      <c r="A698" t="s">
        <v>20</v>
      </c>
      <c r="B698" s="24" t="s">
        <v>171</v>
      </c>
      <c r="C698" s="1">
        <v>45770</v>
      </c>
      <c r="D698" t="s">
        <v>156</v>
      </c>
      <c r="E698" t="s">
        <v>154</v>
      </c>
      <c r="F698" s="120">
        <v>20000</v>
      </c>
      <c r="G698" s="15">
        <v>4271</v>
      </c>
    </row>
    <row r="699" spans="1:7" x14ac:dyDescent="0.35">
      <c r="A699" t="s">
        <v>19</v>
      </c>
      <c r="B699" t="s">
        <v>19</v>
      </c>
      <c r="C699" s="1">
        <v>45770</v>
      </c>
      <c r="D699" t="s">
        <v>156</v>
      </c>
      <c r="E699" t="s">
        <v>155</v>
      </c>
      <c r="F699" s="15">
        <v>100000</v>
      </c>
      <c r="G699" s="15">
        <v>4236.87</v>
      </c>
    </row>
    <row r="700" spans="1:7" x14ac:dyDescent="0.35">
      <c r="A700" t="s">
        <v>19</v>
      </c>
      <c r="B700" t="s">
        <v>19</v>
      </c>
      <c r="C700" s="1">
        <v>45770</v>
      </c>
      <c r="D700" t="s">
        <v>156</v>
      </c>
      <c r="E700" t="s">
        <v>155</v>
      </c>
      <c r="F700" s="15">
        <v>100000</v>
      </c>
      <c r="G700" s="15">
        <v>4202.46</v>
      </c>
    </row>
    <row r="701" spans="1:7" x14ac:dyDescent="0.35">
      <c r="A701" t="s">
        <v>19</v>
      </c>
      <c r="B701" t="s">
        <v>19</v>
      </c>
      <c r="C701" s="1">
        <v>45770</v>
      </c>
      <c r="D701" t="s">
        <v>156</v>
      </c>
      <c r="E701" t="s">
        <v>155</v>
      </c>
      <c r="F701" s="15">
        <v>50000</v>
      </c>
      <c r="G701" s="15">
        <v>4132.99</v>
      </c>
    </row>
    <row r="702" spans="1:7" x14ac:dyDescent="0.35">
      <c r="A702" t="s">
        <v>19</v>
      </c>
      <c r="B702" t="s">
        <v>19</v>
      </c>
      <c r="C702" s="1">
        <v>45770</v>
      </c>
      <c r="D702" t="s">
        <v>156</v>
      </c>
      <c r="E702" t="s">
        <v>155</v>
      </c>
      <c r="F702" s="15">
        <v>100000</v>
      </c>
      <c r="G702" s="15">
        <v>4334.05</v>
      </c>
    </row>
    <row r="703" spans="1:7" x14ac:dyDescent="0.35">
      <c r="A703" t="s">
        <v>19</v>
      </c>
      <c r="B703" t="s">
        <v>19</v>
      </c>
      <c r="C703" s="1">
        <v>45770</v>
      </c>
      <c r="D703" t="s">
        <v>156</v>
      </c>
      <c r="E703" t="s">
        <v>154</v>
      </c>
      <c r="F703" s="15">
        <v>130000</v>
      </c>
      <c r="G703" s="15">
        <v>4271</v>
      </c>
    </row>
    <row r="704" spans="1:7" x14ac:dyDescent="0.35">
      <c r="A704" t="s">
        <v>20</v>
      </c>
      <c r="B704" t="s">
        <v>217</v>
      </c>
      <c r="C704" s="1">
        <v>45770</v>
      </c>
      <c r="D704" t="s">
        <v>156</v>
      </c>
      <c r="E704" t="s">
        <v>154</v>
      </c>
      <c r="F704" s="15">
        <v>125000</v>
      </c>
      <c r="G704" s="15">
        <v>4271</v>
      </c>
    </row>
    <row r="705" spans="1:7" x14ac:dyDescent="0.35">
      <c r="A705" t="s">
        <v>194</v>
      </c>
      <c r="B705" t="s">
        <v>217</v>
      </c>
      <c r="C705" s="1">
        <v>45770</v>
      </c>
      <c r="D705" t="s">
        <v>156</v>
      </c>
      <c r="E705" t="s">
        <v>154</v>
      </c>
      <c r="F705" s="15">
        <v>10000</v>
      </c>
      <c r="G705" s="133">
        <v>4271</v>
      </c>
    </row>
    <row r="706" spans="1:7" x14ac:dyDescent="0.35">
      <c r="A706" t="s">
        <v>20</v>
      </c>
      <c r="B706" t="s">
        <v>26</v>
      </c>
      <c r="C706" s="1">
        <v>45771</v>
      </c>
      <c r="D706" t="s">
        <v>156</v>
      </c>
      <c r="E706" t="s">
        <v>154</v>
      </c>
      <c r="F706" s="15">
        <v>213000</v>
      </c>
      <c r="G706" s="15">
        <v>4279</v>
      </c>
    </row>
    <row r="707" spans="1:7" x14ac:dyDescent="0.35">
      <c r="A707" t="s">
        <v>194</v>
      </c>
      <c r="B707" t="s">
        <v>217</v>
      </c>
      <c r="C707" s="1">
        <v>45771</v>
      </c>
      <c r="D707" t="s">
        <v>156</v>
      </c>
      <c r="E707" t="s">
        <v>154</v>
      </c>
      <c r="F707" s="133">
        <v>150000</v>
      </c>
      <c r="G707" s="133">
        <v>4285</v>
      </c>
    </row>
    <row r="708" spans="1:7" x14ac:dyDescent="0.35">
      <c r="A708" t="s">
        <v>194</v>
      </c>
      <c r="B708" t="s">
        <v>217</v>
      </c>
      <c r="C708" s="1">
        <v>45772</v>
      </c>
      <c r="D708" t="s">
        <v>156</v>
      </c>
      <c r="E708" t="s">
        <v>154</v>
      </c>
      <c r="F708" s="145">
        <v>150000</v>
      </c>
      <c r="G708" s="145">
        <v>4254</v>
      </c>
    </row>
    <row r="709" spans="1:7" x14ac:dyDescent="0.35">
      <c r="A709" t="s">
        <v>20</v>
      </c>
      <c r="B709" t="s">
        <v>171</v>
      </c>
      <c r="C709" s="1">
        <v>45776</v>
      </c>
      <c r="D709" t="s">
        <v>156</v>
      </c>
      <c r="E709" t="s">
        <v>154</v>
      </c>
      <c r="F709" s="15">
        <v>273000</v>
      </c>
      <c r="G709" s="15">
        <v>4198</v>
      </c>
    </row>
    <row r="710" spans="1:7" x14ac:dyDescent="0.35">
      <c r="A710" t="s">
        <v>20</v>
      </c>
      <c r="B710" s="24" t="s">
        <v>158</v>
      </c>
      <c r="C710" s="1">
        <v>45779</v>
      </c>
      <c r="D710" t="s">
        <v>156</v>
      </c>
      <c r="E710" t="s">
        <v>154</v>
      </c>
      <c r="F710" s="120">
        <v>436000</v>
      </c>
      <c r="G710" s="15">
        <v>4230</v>
      </c>
    </row>
    <row r="711" spans="1:7" x14ac:dyDescent="0.35">
      <c r="A711" t="s">
        <v>20</v>
      </c>
      <c r="B711" s="24" t="s">
        <v>26</v>
      </c>
      <c r="C711" s="1">
        <v>45779</v>
      </c>
      <c r="D711" t="s">
        <v>156</v>
      </c>
      <c r="E711" t="s">
        <v>154</v>
      </c>
      <c r="F711" s="120">
        <v>173000</v>
      </c>
      <c r="G711" s="15">
        <v>4230</v>
      </c>
    </row>
    <row r="712" spans="1:7" x14ac:dyDescent="0.35">
      <c r="A712" t="s">
        <v>20</v>
      </c>
      <c r="B712" s="24" t="s">
        <v>162</v>
      </c>
      <c r="C712" s="1">
        <v>45779</v>
      </c>
      <c r="D712" t="s">
        <v>156</v>
      </c>
      <c r="E712" t="s">
        <v>154</v>
      </c>
      <c r="F712" s="120">
        <v>11000</v>
      </c>
      <c r="G712" s="15">
        <v>4230</v>
      </c>
    </row>
    <row r="713" spans="1:7" x14ac:dyDescent="0.35">
      <c r="A713" t="s">
        <v>20</v>
      </c>
      <c r="B713" t="s">
        <v>27</v>
      </c>
      <c r="C713" s="1">
        <v>45779</v>
      </c>
      <c r="D713" t="s">
        <v>156</v>
      </c>
      <c r="E713" t="s">
        <v>155</v>
      </c>
      <c r="F713" s="15">
        <v>100000</v>
      </c>
      <c r="G713" s="163">
        <v>4154.58</v>
      </c>
    </row>
    <row r="714" spans="1:7" x14ac:dyDescent="0.35">
      <c r="A714" t="s">
        <v>20</v>
      </c>
      <c r="B714" t="s">
        <v>27</v>
      </c>
      <c r="C714" s="1">
        <v>45779</v>
      </c>
      <c r="D714" t="s">
        <v>156</v>
      </c>
      <c r="E714" t="s">
        <v>155</v>
      </c>
      <c r="F714" s="15">
        <v>100000</v>
      </c>
      <c r="G714" s="163">
        <v>4185.29</v>
      </c>
    </row>
    <row r="715" spans="1:7" x14ac:dyDescent="0.35">
      <c r="A715" t="s">
        <v>20</v>
      </c>
      <c r="B715" t="s">
        <v>27</v>
      </c>
      <c r="C715" s="1">
        <v>45779</v>
      </c>
      <c r="D715" t="s">
        <v>156</v>
      </c>
      <c r="E715" t="s">
        <v>155</v>
      </c>
      <c r="F715" s="15">
        <v>200000</v>
      </c>
      <c r="G715" s="163">
        <v>4167.58</v>
      </c>
    </row>
    <row r="716" spans="1:7" x14ac:dyDescent="0.35">
      <c r="A716" t="s">
        <v>19</v>
      </c>
      <c r="B716" t="s">
        <v>19</v>
      </c>
      <c r="C716" s="1">
        <v>45779</v>
      </c>
      <c r="D716" t="s">
        <v>156</v>
      </c>
      <c r="E716" t="s">
        <v>155</v>
      </c>
      <c r="F716" s="15">
        <v>150000</v>
      </c>
      <c r="G716" s="15">
        <v>4114.99</v>
      </c>
    </row>
    <row r="717" spans="1:7" x14ac:dyDescent="0.35">
      <c r="A717" t="s">
        <v>19</v>
      </c>
      <c r="B717" t="s">
        <v>19</v>
      </c>
      <c r="C717" s="1">
        <v>45779</v>
      </c>
      <c r="D717" t="s">
        <v>156</v>
      </c>
      <c r="E717" t="s">
        <v>155</v>
      </c>
      <c r="F717" s="15">
        <v>150000</v>
      </c>
      <c r="G717" s="15">
        <v>4172.43</v>
      </c>
    </row>
    <row r="718" spans="1:7" x14ac:dyDescent="0.35">
      <c r="A718" t="s">
        <v>19</v>
      </c>
      <c r="B718" t="s">
        <v>19</v>
      </c>
      <c r="C718" s="1">
        <v>45779</v>
      </c>
      <c r="D718" t="s">
        <v>156</v>
      </c>
      <c r="E718" t="s">
        <v>155</v>
      </c>
      <c r="F718" s="15">
        <v>200000</v>
      </c>
      <c r="G718" s="15">
        <v>4178.75</v>
      </c>
    </row>
    <row r="719" spans="1:7" x14ac:dyDescent="0.35">
      <c r="A719" t="s">
        <v>19</v>
      </c>
      <c r="B719" t="s">
        <v>19</v>
      </c>
      <c r="C719" s="1">
        <v>45779</v>
      </c>
      <c r="D719" t="s">
        <v>156</v>
      </c>
      <c r="E719" t="s">
        <v>154</v>
      </c>
      <c r="F719" s="15">
        <v>200000</v>
      </c>
      <c r="G719" s="15">
        <v>4230</v>
      </c>
    </row>
    <row r="720" spans="1:7" x14ac:dyDescent="0.35">
      <c r="A720" t="s">
        <v>19</v>
      </c>
      <c r="B720" t="s">
        <v>19</v>
      </c>
      <c r="C720" s="1">
        <v>45779</v>
      </c>
      <c r="D720" t="s">
        <v>156</v>
      </c>
      <c r="E720" t="s">
        <v>154</v>
      </c>
      <c r="F720" s="15">
        <v>260000</v>
      </c>
      <c r="G720" s="15">
        <v>4262</v>
      </c>
    </row>
    <row r="721" spans="1:7" x14ac:dyDescent="0.35">
      <c r="A721" t="s">
        <v>20</v>
      </c>
      <c r="B721" t="s">
        <v>27</v>
      </c>
      <c r="C721" s="1">
        <v>45782</v>
      </c>
      <c r="D721" t="s">
        <v>156</v>
      </c>
      <c r="E721" t="s">
        <v>154</v>
      </c>
      <c r="F721" s="15">
        <v>100000</v>
      </c>
      <c r="G721" s="163">
        <v>4283</v>
      </c>
    </row>
    <row r="722" spans="1:7" x14ac:dyDescent="0.35">
      <c r="A722" t="s">
        <v>20</v>
      </c>
      <c r="B722" t="s">
        <v>158</v>
      </c>
      <c r="C722" s="1">
        <v>45784</v>
      </c>
      <c r="D722" t="s">
        <v>156</v>
      </c>
      <c r="E722" t="s">
        <v>155</v>
      </c>
      <c r="F722" s="15">
        <v>200000</v>
      </c>
      <c r="G722" s="15">
        <v>4191.71</v>
      </c>
    </row>
    <row r="723" spans="1:7" x14ac:dyDescent="0.35">
      <c r="A723" t="s">
        <v>20</v>
      </c>
      <c r="B723" t="s">
        <v>27</v>
      </c>
      <c r="C723" s="1">
        <v>45784</v>
      </c>
      <c r="D723" t="s">
        <v>156</v>
      </c>
      <c r="E723" t="s">
        <v>155</v>
      </c>
      <c r="F723" s="15">
        <v>100000</v>
      </c>
      <c r="G723" s="163">
        <v>4181.4799999999996</v>
      </c>
    </row>
    <row r="724" spans="1:7" x14ac:dyDescent="0.35">
      <c r="A724" t="s">
        <v>20</v>
      </c>
      <c r="B724" t="s">
        <v>27</v>
      </c>
      <c r="C724" s="1">
        <v>45784</v>
      </c>
      <c r="D724" t="s">
        <v>156</v>
      </c>
      <c r="E724" t="s">
        <v>154</v>
      </c>
      <c r="F724" s="15">
        <v>100000</v>
      </c>
      <c r="G724" s="163">
        <v>4310</v>
      </c>
    </row>
    <row r="725" spans="1:7" x14ac:dyDescent="0.35">
      <c r="A725" t="s">
        <v>20</v>
      </c>
      <c r="B725" s="24" t="s">
        <v>171</v>
      </c>
      <c r="C725" s="1">
        <v>45784</v>
      </c>
      <c r="D725" t="s">
        <v>156</v>
      </c>
      <c r="E725" t="s">
        <v>154</v>
      </c>
      <c r="F725" s="120">
        <v>38000</v>
      </c>
      <c r="G725" s="15">
        <v>4319</v>
      </c>
    </row>
    <row r="726" spans="1:7" x14ac:dyDescent="0.35">
      <c r="A726" t="s">
        <v>20</v>
      </c>
      <c r="B726" s="24" t="s">
        <v>158</v>
      </c>
      <c r="C726" s="1">
        <v>45784</v>
      </c>
      <c r="D726" t="s">
        <v>156</v>
      </c>
      <c r="E726" t="s">
        <v>154</v>
      </c>
      <c r="F726" s="120">
        <v>544000</v>
      </c>
      <c r="G726" s="15">
        <v>4319</v>
      </c>
    </row>
    <row r="727" spans="1:7" x14ac:dyDescent="0.35">
      <c r="A727" t="s">
        <v>20</v>
      </c>
      <c r="B727" s="24" t="s">
        <v>162</v>
      </c>
      <c r="C727" s="1">
        <v>45784</v>
      </c>
      <c r="D727" t="s">
        <v>156</v>
      </c>
      <c r="E727" t="s">
        <v>154</v>
      </c>
      <c r="F727" s="120">
        <v>215000</v>
      </c>
      <c r="G727" s="15">
        <v>4319</v>
      </c>
    </row>
    <row r="728" spans="1:7" x14ac:dyDescent="0.35">
      <c r="A728" t="s">
        <v>19</v>
      </c>
      <c r="B728" t="s">
        <v>19</v>
      </c>
      <c r="C728" s="1">
        <v>45784</v>
      </c>
      <c r="D728" t="s">
        <v>156</v>
      </c>
      <c r="E728" t="s">
        <v>154</v>
      </c>
      <c r="F728" s="15">
        <v>320000</v>
      </c>
      <c r="G728" s="15">
        <v>4317</v>
      </c>
    </row>
    <row r="729" spans="1:7" x14ac:dyDescent="0.35">
      <c r="A729" t="s">
        <v>19</v>
      </c>
      <c r="B729" t="s">
        <v>19</v>
      </c>
      <c r="C729" s="1">
        <v>45784</v>
      </c>
      <c r="D729" t="s">
        <v>156</v>
      </c>
      <c r="E729" t="s">
        <v>155</v>
      </c>
      <c r="F729" s="15">
        <v>120000</v>
      </c>
      <c r="G729" s="15">
        <v>4140.3</v>
      </c>
    </row>
    <row r="730" spans="1:7" x14ac:dyDescent="0.35">
      <c r="A730" t="s">
        <v>19</v>
      </c>
      <c r="B730" t="s">
        <v>19</v>
      </c>
      <c r="C730" s="1">
        <v>45784</v>
      </c>
      <c r="D730" t="s">
        <v>156</v>
      </c>
      <c r="E730" t="s">
        <v>155</v>
      </c>
      <c r="F730" s="15">
        <v>100000</v>
      </c>
      <c r="G730" s="15">
        <v>4123.96</v>
      </c>
    </row>
    <row r="731" spans="1:7" x14ac:dyDescent="0.35">
      <c r="A731" t="s">
        <v>19</v>
      </c>
      <c r="B731" t="s">
        <v>19</v>
      </c>
      <c r="C731" s="1">
        <v>45784</v>
      </c>
      <c r="D731" t="s">
        <v>156</v>
      </c>
      <c r="E731" t="s">
        <v>155</v>
      </c>
      <c r="F731" s="15">
        <v>100000</v>
      </c>
      <c r="G731" s="15">
        <v>4181.4799999999996</v>
      </c>
    </row>
    <row r="732" spans="1:7" x14ac:dyDescent="0.35">
      <c r="A732" t="s">
        <v>19</v>
      </c>
      <c r="B732" t="s">
        <v>19</v>
      </c>
      <c r="C732" s="1">
        <v>45784</v>
      </c>
      <c r="D732" t="s">
        <v>156</v>
      </c>
      <c r="E732" t="s">
        <v>155</v>
      </c>
      <c r="F732" s="15">
        <v>250000</v>
      </c>
      <c r="G732" s="15">
        <v>4131.46</v>
      </c>
    </row>
    <row r="733" spans="1:7" x14ac:dyDescent="0.35">
      <c r="A733" t="s">
        <v>20</v>
      </c>
      <c r="B733" t="s">
        <v>27</v>
      </c>
      <c r="C733" s="1">
        <v>45785</v>
      </c>
      <c r="D733" t="s">
        <v>156</v>
      </c>
      <c r="E733" t="s">
        <v>154</v>
      </c>
      <c r="F733" s="15">
        <v>238000</v>
      </c>
      <c r="G733" s="163">
        <v>4259</v>
      </c>
    </row>
    <row r="734" spans="1:7" x14ac:dyDescent="0.35">
      <c r="A734" t="s">
        <v>20</v>
      </c>
      <c r="B734" t="s">
        <v>27</v>
      </c>
      <c r="C734" s="1">
        <v>45785</v>
      </c>
      <c r="D734" t="s">
        <v>156</v>
      </c>
      <c r="E734" t="s">
        <v>154</v>
      </c>
      <c r="F734" s="15">
        <v>50000</v>
      </c>
      <c r="G734" s="163">
        <v>4264</v>
      </c>
    </row>
    <row r="735" spans="1:7" x14ac:dyDescent="0.35">
      <c r="A735" t="s">
        <v>20</v>
      </c>
      <c r="B735" t="s">
        <v>27</v>
      </c>
      <c r="C735" s="1">
        <v>45786</v>
      </c>
      <c r="D735" t="s">
        <v>156</v>
      </c>
      <c r="E735" t="s">
        <v>154</v>
      </c>
      <c r="F735" s="15">
        <v>50000</v>
      </c>
      <c r="G735" s="163">
        <v>4246</v>
      </c>
    </row>
    <row r="736" spans="1:7" x14ac:dyDescent="0.35">
      <c r="A736" t="s">
        <v>20</v>
      </c>
      <c r="B736" s="24" t="s">
        <v>173</v>
      </c>
      <c r="C736" s="1">
        <v>45789</v>
      </c>
      <c r="D736" t="s">
        <v>156</v>
      </c>
      <c r="E736" t="s">
        <v>154</v>
      </c>
      <c r="F736" s="120">
        <v>22000</v>
      </c>
      <c r="G736" s="163">
        <v>4215</v>
      </c>
    </row>
    <row r="737" spans="1:7" x14ac:dyDescent="0.35">
      <c r="A737" t="s">
        <v>20</v>
      </c>
      <c r="B737" s="24" t="s">
        <v>27</v>
      </c>
      <c r="C737" s="1">
        <v>45789</v>
      </c>
      <c r="D737" t="s">
        <v>156</v>
      </c>
      <c r="E737" t="s">
        <v>154</v>
      </c>
      <c r="F737" s="120">
        <v>108000</v>
      </c>
      <c r="G737" s="163">
        <v>4215</v>
      </c>
    </row>
    <row r="738" spans="1:7" x14ac:dyDescent="0.35">
      <c r="A738" t="s">
        <v>20</v>
      </c>
      <c r="B738" s="24" t="s">
        <v>158</v>
      </c>
      <c r="C738" s="1">
        <v>45789</v>
      </c>
      <c r="D738" t="s">
        <v>156</v>
      </c>
      <c r="E738" t="s">
        <v>154</v>
      </c>
      <c r="F738" s="120">
        <v>25000</v>
      </c>
      <c r="G738" s="15">
        <v>4215</v>
      </c>
    </row>
    <row r="739" spans="1:7" x14ac:dyDescent="0.35">
      <c r="A739" t="s">
        <v>20</v>
      </c>
      <c r="B739" t="s">
        <v>26</v>
      </c>
      <c r="C739" s="1">
        <v>45791</v>
      </c>
      <c r="D739" t="s">
        <v>156</v>
      </c>
      <c r="E739" t="s">
        <v>155</v>
      </c>
      <c r="F739" s="15">
        <v>100000</v>
      </c>
      <c r="G739" s="15">
        <v>4427.6499999999996</v>
      </c>
    </row>
    <row r="740" spans="1:7" x14ac:dyDescent="0.35">
      <c r="A740" t="s">
        <v>20</v>
      </c>
      <c r="B740" t="s">
        <v>26</v>
      </c>
      <c r="C740" s="1">
        <v>45791</v>
      </c>
      <c r="D740" t="s">
        <v>156</v>
      </c>
      <c r="E740" t="s">
        <v>155</v>
      </c>
      <c r="F740" s="15">
        <v>100000</v>
      </c>
      <c r="G740" s="15">
        <v>4429.84</v>
      </c>
    </row>
    <row r="741" spans="1:7" x14ac:dyDescent="0.35">
      <c r="A741" t="s">
        <v>20</v>
      </c>
      <c r="B741" t="s">
        <v>26</v>
      </c>
      <c r="C741" s="1">
        <v>45791</v>
      </c>
      <c r="D741" t="s">
        <v>156</v>
      </c>
      <c r="E741" t="s">
        <v>155</v>
      </c>
      <c r="F741" s="15">
        <v>50000</v>
      </c>
      <c r="G741" s="15">
        <v>4384.95</v>
      </c>
    </row>
    <row r="742" spans="1:7" x14ac:dyDescent="0.35">
      <c r="A742" t="s">
        <v>20</v>
      </c>
      <c r="B742" t="s">
        <v>26</v>
      </c>
      <c r="C742" s="1">
        <v>45791</v>
      </c>
      <c r="D742" t="s">
        <v>156</v>
      </c>
      <c r="E742" t="s">
        <v>155</v>
      </c>
      <c r="F742" s="15">
        <v>50000</v>
      </c>
      <c r="G742" s="15">
        <v>4377.72</v>
      </c>
    </row>
    <row r="743" spans="1:7" x14ac:dyDescent="0.35">
      <c r="A743" t="s">
        <v>20</v>
      </c>
      <c r="B743" t="s">
        <v>158</v>
      </c>
      <c r="C743" s="1">
        <v>45791</v>
      </c>
      <c r="D743" t="s">
        <v>156</v>
      </c>
      <c r="E743" t="s">
        <v>155</v>
      </c>
      <c r="F743" s="15">
        <v>200000</v>
      </c>
      <c r="G743" s="15">
        <v>4195.95</v>
      </c>
    </row>
    <row r="744" spans="1:7" x14ac:dyDescent="0.35">
      <c r="A744" t="s">
        <v>20</v>
      </c>
      <c r="B744" t="s">
        <v>162</v>
      </c>
      <c r="C744" s="1">
        <v>45791</v>
      </c>
      <c r="D744" t="s">
        <v>156</v>
      </c>
      <c r="E744" t="s">
        <v>155</v>
      </c>
      <c r="F744" s="15">
        <v>50000</v>
      </c>
      <c r="G744" s="15">
        <v>4272.05</v>
      </c>
    </row>
    <row r="745" spans="1:7" x14ac:dyDescent="0.35">
      <c r="A745" t="s">
        <v>20</v>
      </c>
      <c r="B745" t="s">
        <v>27</v>
      </c>
      <c r="C745" s="1">
        <v>45791</v>
      </c>
      <c r="D745" t="s">
        <v>156</v>
      </c>
      <c r="E745" t="s">
        <v>155</v>
      </c>
      <c r="F745" s="15">
        <v>100000</v>
      </c>
      <c r="G745" s="163">
        <v>4251.16</v>
      </c>
    </row>
    <row r="746" spans="1:7" x14ac:dyDescent="0.35">
      <c r="A746" t="s">
        <v>20</v>
      </c>
      <c r="B746" t="s">
        <v>162</v>
      </c>
      <c r="C746" s="1">
        <v>45791</v>
      </c>
      <c r="D746" t="s">
        <v>156</v>
      </c>
      <c r="E746" t="s">
        <v>155</v>
      </c>
      <c r="F746" s="15">
        <v>50000</v>
      </c>
      <c r="G746" s="15">
        <v>4251.16</v>
      </c>
    </row>
    <row r="747" spans="1:7" x14ac:dyDescent="0.35">
      <c r="A747" t="s">
        <v>20</v>
      </c>
      <c r="B747" s="24" t="s">
        <v>158</v>
      </c>
      <c r="C747" s="1">
        <v>45791</v>
      </c>
      <c r="D747" t="s">
        <v>156</v>
      </c>
      <c r="E747" t="s">
        <v>154</v>
      </c>
      <c r="F747" s="120">
        <v>29000</v>
      </c>
      <c r="G747" s="15">
        <v>4204</v>
      </c>
    </row>
    <row r="748" spans="1:7" x14ac:dyDescent="0.35">
      <c r="A748" t="s">
        <v>20</v>
      </c>
      <c r="B748" s="24" t="s">
        <v>171</v>
      </c>
      <c r="C748" s="1">
        <v>45791</v>
      </c>
      <c r="D748" t="s">
        <v>156</v>
      </c>
      <c r="E748" t="s">
        <v>154</v>
      </c>
      <c r="F748" s="120">
        <v>10000</v>
      </c>
      <c r="G748" s="15">
        <v>4204</v>
      </c>
    </row>
    <row r="749" spans="1:7" x14ac:dyDescent="0.35">
      <c r="A749" t="s">
        <v>20</v>
      </c>
      <c r="B749" s="24" t="s">
        <v>27</v>
      </c>
      <c r="C749" s="1">
        <v>45791</v>
      </c>
      <c r="D749" t="s">
        <v>156</v>
      </c>
      <c r="E749" t="s">
        <v>154</v>
      </c>
      <c r="F749" s="120">
        <v>81000</v>
      </c>
      <c r="G749" s="163">
        <v>4204</v>
      </c>
    </row>
    <row r="750" spans="1:7" x14ac:dyDescent="0.35">
      <c r="A750" t="s">
        <v>20</v>
      </c>
      <c r="B750" t="s">
        <v>26</v>
      </c>
      <c r="C750" s="1">
        <v>45791</v>
      </c>
      <c r="D750" t="s">
        <v>156</v>
      </c>
      <c r="E750" t="s">
        <v>154</v>
      </c>
      <c r="F750" s="15">
        <v>102000</v>
      </c>
      <c r="G750" s="15">
        <v>4203.5</v>
      </c>
    </row>
    <row r="751" spans="1:7" x14ac:dyDescent="0.35">
      <c r="A751" t="s">
        <v>19</v>
      </c>
      <c r="B751" t="s">
        <v>19</v>
      </c>
      <c r="C751" s="1">
        <v>45791</v>
      </c>
      <c r="D751" t="s">
        <v>156</v>
      </c>
      <c r="E751" t="s">
        <v>155</v>
      </c>
      <c r="F751" s="15">
        <v>150000</v>
      </c>
      <c r="G751" s="15">
        <v>4140.42</v>
      </c>
    </row>
    <row r="752" spans="1:7" x14ac:dyDescent="0.35">
      <c r="A752" t="s">
        <v>19</v>
      </c>
      <c r="B752" t="s">
        <v>19</v>
      </c>
      <c r="C752" s="1">
        <v>45791</v>
      </c>
      <c r="D752" t="s">
        <v>156</v>
      </c>
      <c r="E752" t="s">
        <v>155</v>
      </c>
      <c r="F752" s="15">
        <v>150000</v>
      </c>
      <c r="G752" s="15">
        <v>4207.87</v>
      </c>
    </row>
    <row r="753" spans="1:7" x14ac:dyDescent="0.35">
      <c r="A753" t="s">
        <v>19</v>
      </c>
      <c r="B753" t="s">
        <v>19</v>
      </c>
      <c r="C753" s="1">
        <v>45791</v>
      </c>
      <c r="D753" t="s">
        <v>156</v>
      </c>
      <c r="E753" t="s">
        <v>155</v>
      </c>
      <c r="F753" s="15">
        <v>100000</v>
      </c>
      <c r="G753" s="15">
        <v>4185.76</v>
      </c>
    </row>
    <row r="754" spans="1:7" x14ac:dyDescent="0.35">
      <c r="A754" t="s">
        <v>19</v>
      </c>
      <c r="B754" t="s">
        <v>19</v>
      </c>
      <c r="C754" s="1">
        <v>45791</v>
      </c>
      <c r="D754" t="s">
        <v>156</v>
      </c>
      <c r="E754" t="s">
        <v>155</v>
      </c>
      <c r="F754" s="15">
        <v>100000</v>
      </c>
      <c r="G754" s="15">
        <v>4120.97</v>
      </c>
    </row>
    <row r="755" spans="1:7" x14ac:dyDescent="0.35">
      <c r="A755" t="s">
        <v>19</v>
      </c>
      <c r="B755" t="s">
        <v>19</v>
      </c>
      <c r="C755" s="1">
        <v>45791</v>
      </c>
      <c r="D755" t="s">
        <v>156</v>
      </c>
      <c r="E755" t="s">
        <v>154</v>
      </c>
      <c r="F755" s="15">
        <v>397000</v>
      </c>
      <c r="G755" s="15">
        <v>4216</v>
      </c>
    </row>
    <row r="756" spans="1:7" x14ac:dyDescent="0.35">
      <c r="A756" t="s">
        <v>20</v>
      </c>
      <c r="B756" s="24" t="s">
        <v>26</v>
      </c>
      <c r="C756" s="1">
        <v>45793</v>
      </c>
      <c r="D756" t="s">
        <v>156</v>
      </c>
      <c r="E756" t="s">
        <v>154</v>
      </c>
      <c r="F756" s="120">
        <v>220000</v>
      </c>
      <c r="G756" s="15">
        <v>4199</v>
      </c>
    </row>
    <row r="757" spans="1:7" x14ac:dyDescent="0.35">
      <c r="A757" t="s">
        <v>20</v>
      </c>
      <c r="B757" s="24" t="s">
        <v>659</v>
      </c>
      <c r="C757" s="1">
        <v>45793</v>
      </c>
      <c r="D757" t="s">
        <v>156</v>
      </c>
      <c r="E757" t="s">
        <v>154</v>
      </c>
      <c r="F757" s="120">
        <v>35000</v>
      </c>
      <c r="G757" s="15">
        <v>4199</v>
      </c>
    </row>
    <row r="758" spans="1:7" x14ac:dyDescent="0.35">
      <c r="A758" t="s">
        <v>20</v>
      </c>
      <c r="B758" t="s">
        <v>217</v>
      </c>
      <c r="C758" s="1">
        <v>45796</v>
      </c>
      <c r="D758" t="s">
        <v>156</v>
      </c>
      <c r="E758" t="s">
        <v>154</v>
      </c>
      <c r="F758" s="15">
        <v>87000</v>
      </c>
      <c r="G758" s="15">
        <v>4177</v>
      </c>
    </row>
    <row r="759" spans="1:7" x14ac:dyDescent="0.35">
      <c r="A759" t="s">
        <v>19</v>
      </c>
      <c r="B759" t="s">
        <v>217</v>
      </c>
      <c r="C759" s="1">
        <v>45796</v>
      </c>
      <c r="D759" t="s">
        <v>156</v>
      </c>
      <c r="E759" t="s">
        <v>154</v>
      </c>
      <c r="F759" s="15">
        <v>106000</v>
      </c>
      <c r="G759" s="15">
        <v>4177</v>
      </c>
    </row>
    <row r="760" spans="1:7" x14ac:dyDescent="0.35">
      <c r="A760" t="s">
        <v>194</v>
      </c>
      <c r="B760" t="s">
        <v>217</v>
      </c>
      <c r="C760" s="1">
        <v>45796</v>
      </c>
      <c r="D760" t="s">
        <v>156</v>
      </c>
      <c r="E760" t="s">
        <v>154</v>
      </c>
      <c r="F760" s="15">
        <v>83000</v>
      </c>
      <c r="G760" s="15">
        <v>4177</v>
      </c>
    </row>
    <row r="761" spans="1:7" x14ac:dyDescent="0.35">
      <c r="A761" t="s">
        <v>20</v>
      </c>
      <c r="B761" t="s">
        <v>158</v>
      </c>
      <c r="C761" s="1">
        <v>45798</v>
      </c>
      <c r="D761" t="s">
        <v>156</v>
      </c>
      <c r="E761" t="s">
        <v>155</v>
      </c>
      <c r="F761" s="15">
        <v>100000</v>
      </c>
      <c r="G761" s="15">
        <v>4245</v>
      </c>
    </row>
    <row r="762" spans="1:7" x14ac:dyDescent="0.35">
      <c r="A762" t="s">
        <v>20</v>
      </c>
      <c r="B762" t="s">
        <v>158</v>
      </c>
      <c r="C762" s="1">
        <v>45798</v>
      </c>
      <c r="D762" t="s">
        <v>156</v>
      </c>
      <c r="E762" t="s">
        <v>155</v>
      </c>
      <c r="F762" s="15">
        <v>70000</v>
      </c>
      <c r="G762" s="15">
        <v>4350.3500000000004</v>
      </c>
    </row>
    <row r="763" spans="1:7" x14ac:dyDescent="0.35">
      <c r="A763" t="s">
        <v>20</v>
      </c>
      <c r="B763" t="s">
        <v>27</v>
      </c>
      <c r="C763" s="1">
        <v>45798</v>
      </c>
      <c r="D763" t="s">
        <v>156</v>
      </c>
      <c r="E763" t="s">
        <v>155</v>
      </c>
      <c r="F763" s="15">
        <v>80000</v>
      </c>
      <c r="G763" s="163">
        <v>4293.17</v>
      </c>
    </row>
    <row r="764" spans="1:7" x14ac:dyDescent="0.35">
      <c r="A764" t="s">
        <v>20</v>
      </c>
      <c r="B764" s="24" t="s">
        <v>158</v>
      </c>
      <c r="C764" s="1">
        <v>45798</v>
      </c>
      <c r="D764" t="s">
        <v>156</v>
      </c>
      <c r="E764" t="s">
        <v>154</v>
      </c>
      <c r="F764" s="120">
        <v>114000</v>
      </c>
      <c r="G764" s="15">
        <v>4178</v>
      </c>
    </row>
    <row r="765" spans="1:7" x14ac:dyDescent="0.35">
      <c r="A765" t="s">
        <v>20</v>
      </c>
      <c r="B765" s="24" t="s">
        <v>162</v>
      </c>
      <c r="C765" s="1">
        <v>45798</v>
      </c>
      <c r="D765" t="s">
        <v>156</v>
      </c>
      <c r="E765" t="s">
        <v>154</v>
      </c>
      <c r="F765" s="120">
        <v>107000</v>
      </c>
      <c r="G765" s="15">
        <v>4178</v>
      </c>
    </row>
    <row r="766" spans="1:7" x14ac:dyDescent="0.35">
      <c r="A766" t="s">
        <v>20</v>
      </c>
      <c r="B766" s="24" t="s">
        <v>171</v>
      </c>
      <c r="C766" s="1">
        <v>45798</v>
      </c>
      <c r="D766" t="s">
        <v>156</v>
      </c>
      <c r="E766" t="s">
        <v>154</v>
      </c>
      <c r="F766" s="120">
        <v>2000</v>
      </c>
      <c r="G766" s="15">
        <v>4178</v>
      </c>
    </row>
    <row r="767" spans="1:7" x14ac:dyDescent="0.35">
      <c r="A767" t="s">
        <v>19</v>
      </c>
      <c r="B767" t="s">
        <v>19</v>
      </c>
      <c r="C767" s="1">
        <v>45798</v>
      </c>
      <c r="D767" t="s">
        <v>156</v>
      </c>
      <c r="E767" t="s">
        <v>155</v>
      </c>
      <c r="F767" s="15">
        <v>250000</v>
      </c>
      <c r="G767" s="15">
        <v>4191.91</v>
      </c>
    </row>
    <row r="768" spans="1:7" x14ac:dyDescent="0.35">
      <c r="A768" t="s">
        <v>19</v>
      </c>
      <c r="B768" t="s">
        <v>19</v>
      </c>
      <c r="C768" s="1">
        <v>45798</v>
      </c>
      <c r="D768" t="s">
        <v>156</v>
      </c>
      <c r="E768" t="s">
        <v>155</v>
      </c>
      <c r="F768" s="15">
        <v>100000</v>
      </c>
      <c r="G768" s="15">
        <v>4125.01</v>
      </c>
    </row>
    <row r="769" spans="1:7" x14ac:dyDescent="0.35">
      <c r="A769" t="s">
        <v>19</v>
      </c>
      <c r="B769" t="s">
        <v>19</v>
      </c>
      <c r="C769" s="1">
        <v>45798</v>
      </c>
      <c r="D769" t="s">
        <v>156</v>
      </c>
      <c r="E769" t="s">
        <v>155</v>
      </c>
      <c r="F769" s="15">
        <v>100000</v>
      </c>
      <c r="G769" s="15">
        <v>4178.7700000000004</v>
      </c>
    </row>
    <row r="770" spans="1:7" x14ac:dyDescent="0.35">
      <c r="A770" t="s">
        <v>19</v>
      </c>
      <c r="B770" t="s">
        <v>19</v>
      </c>
      <c r="C770" s="1">
        <v>45798</v>
      </c>
      <c r="D770" t="s">
        <v>156</v>
      </c>
      <c r="E770" t="s">
        <v>154</v>
      </c>
      <c r="F770" s="15">
        <v>438000</v>
      </c>
      <c r="G770" s="15">
        <v>4178</v>
      </c>
    </row>
    <row r="771" spans="1:7" x14ac:dyDescent="0.35">
      <c r="A771" t="s">
        <v>20</v>
      </c>
      <c r="B771" t="s">
        <v>26</v>
      </c>
      <c r="C771" s="1">
        <v>45799</v>
      </c>
      <c r="D771" t="s">
        <v>156</v>
      </c>
      <c r="E771" t="s">
        <v>154</v>
      </c>
      <c r="F771" s="15">
        <v>183000</v>
      </c>
      <c r="G771" s="15">
        <v>4183</v>
      </c>
    </row>
    <row r="772" spans="1:7" x14ac:dyDescent="0.35">
      <c r="A772" t="s">
        <v>20</v>
      </c>
      <c r="B772" t="s">
        <v>171</v>
      </c>
      <c r="C772" s="1">
        <v>45804</v>
      </c>
      <c r="D772" t="s">
        <v>156</v>
      </c>
      <c r="E772" t="s">
        <v>154</v>
      </c>
      <c r="F772" s="15">
        <v>80000</v>
      </c>
      <c r="G772" s="15">
        <v>4129</v>
      </c>
    </row>
    <row r="773" spans="1:7" x14ac:dyDescent="0.35">
      <c r="A773" t="s">
        <v>20</v>
      </c>
      <c r="B773" t="s">
        <v>162</v>
      </c>
      <c r="C773" s="1">
        <v>45805</v>
      </c>
      <c r="D773" t="s">
        <v>156</v>
      </c>
      <c r="E773" t="s">
        <v>155</v>
      </c>
      <c r="F773" s="15">
        <v>50000</v>
      </c>
      <c r="G773" s="15">
        <v>4312.58</v>
      </c>
    </row>
    <row r="774" spans="1:7" x14ac:dyDescent="0.35">
      <c r="A774" t="s">
        <v>20</v>
      </c>
      <c r="B774" t="s">
        <v>158</v>
      </c>
      <c r="C774" s="1">
        <v>45805</v>
      </c>
      <c r="D774" t="s">
        <v>156</v>
      </c>
      <c r="E774" t="s">
        <v>155</v>
      </c>
      <c r="F774" s="15">
        <v>50000</v>
      </c>
      <c r="G774" s="15">
        <v>4196.7</v>
      </c>
    </row>
    <row r="775" spans="1:7" x14ac:dyDescent="0.35">
      <c r="A775" t="s">
        <v>20</v>
      </c>
      <c r="B775" s="24" t="s">
        <v>158</v>
      </c>
      <c r="C775" s="1">
        <v>45805</v>
      </c>
      <c r="D775" t="s">
        <v>156</v>
      </c>
      <c r="E775" t="s">
        <v>154</v>
      </c>
      <c r="F775" s="120">
        <v>224000</v>
      </c>
      <c r="G775" s="15">
        <v>4117</v>
      </c>
    </row>
    <row r="776" spans="1:7" x14ac:dyDescent="0.35">
      <c r="A776" t="s">
        <v>20</v>
      </c>
      <c r="B776" s="24" t="s">
        <v>162</v>
      </c>
      <c r="C776" s="1">
        <v>45805</v>
      </c>
      <c r="D776" t="s">
        <v>156</v>
      </c>
      <c r="E776" t="s">
        <v>154</v>
      </c>
      <c r="F776" s="120">
        <v>5000</v>
      </c>
      <c r="G776" s="15">
        <v>4117</v>
      </c>
    </row>
    <row r="777" spans="1:7" x14ac:dyDescent="0.35">
      <c r="A777" t="s">
        <v>20</v>
      </c>
      <c r="B777" s="24" t="s">
        <v>171</v>
      </c>
      <c r="C777" s="1">
        <v>45805</v>
      </c>
      <c r="D777" t="s">
        <v>156</v>
      </c>
      <c r="E777" t="s">
        <v>154</v>
      </c>
      <c r="F777" s="120">
        <v>216000</v>
      </c>
      <c r="G777" s="15">
        <v>4117</v>
      </c>
    </row>
    <row r="778" spans="1:7" x14ac:dyDescent="0.35">
      <c r="A778" t="s">
        <v>19</v>
      </c>
      <c r="B778" t="s">
        <v>19</v>
      </c>
      <c r="C778" s="1">
        <v>45805</v>
      </c>
      <c r="D778" t="s">
        <v>156</v>
      </c>
      <c r="E778" t="s">
        <v>155</v>
      </c>
      <c r="F778" s="15">
        <v>130000</v>
      </c>
      <c r="G778" s="15">
        <v>4326.5200000000004</v>
      </c>
    </row>
    <row r="779" spans="1:7" x14ac:dyDescent="0.35">
      <c r="A779" t="s">
        <v>19</v>
      </c>
      <c r="B779" t="s">
        <v>19</v>
      </c>
      <c r="C779" s="1">
        <v>45805</v>
      </c>
      <c r="D779" t="s">
        <v>156</v>
      </c>
      <c r="E779" t="s">
        <v>155</v>
      </c>
      <c r="F779" s="15">
        <v>100000</v>
      </c>
      <c r="G779" s="15">
        <v>4280.33</v>
      </c>
    </row>
    <row r="780" spans="1:7" x14ac:dyDescent="0.35">
      <c r="A780" t="s">
        <v>19</v>
      </c>
      <c r="B780" t="s">
        <v>19</v>
      </c>
      <c r="C780" s="1">
        <v>45805</v>
      </c>
      <c r="D780" t="s">
        <v>156</v>
      </c>
      <c r="E780" t="s">
        <v>155</v>
      </c>
      <c r="F780" s="15">
        <v>100000</v>
      </c>
      <c r="G780" s="15">
        <v>4249.09</v>
      </c>
    </row>
    <row r="781" spans="1:7" x14ac:dyDescent="0.35">
      <c r="A781" t="s">
        <v>19</v>
      </c>
      <c r="B781" t="s">
        <v>19</v>
      </c>
      <c r="C781" s="1">
        <v>45805</v>
      </c>
      <c r="D781" t="s">
        <v>156</v>
      </c>
      <c r="E781" t="s">
        <v>154</v>
      </c>
      <c r="F781" s="15">
        <v>435000</v>
      </c>
      <c r="G781" s="15">
        <v>4117</v>
      </c>
    </row>
    <row r="782" spans="1:7" x14ac:dyDescent="0.35">
      <c r="A782" t="s">
        <v>20</v>
      </c>
      <c r="B782" t="s">
        <v>26</v>
      </c>
      <c r="C782" s="1">
        <v>45806</v>
      </c>
      <c r="D782" t="s">
        <v>156</v>
      </c>
      <c r="E782" t="s">
        <v>154</v>
      </c>
      <c r="F782" s="15">
        <v>151000</v>
      </c>
      <c r="G782" s="15">
        <v>4114</v>
      </c>
    </row>
    <row r="783" spans="1:7" x14ac:dyDescent="0.35">
      <c r="A783" t="s">
        <v>20</v>
      </c>
      <c r="B783" t="s">
        <v>158</v>
      </c>
      <c r="C783" s="1">
        <v>45812</v>
      </c>
      <c r="D783" t="s">
        <v>156</v>
      </c>
      <c r="E783" t="s">
        <v>155</v>
      </c>
      <c r="F783" s="15">
        <v>100000</v>
      </c>
      <c r="G783" s="15">
        <v>4316.8599999999997</v>
      </c>
    </row>
    <row r="784" spans="1:7" x14ac:dyDescent="0.35">
      <c r="A784" t="s">
        <v>20</v>
      </c>
      <c r="B784" t="s">
        <v>162</v>
      </c>
      <c r="C784" s="1">
        <v>45812</v>
      </c>
      <c r="D784" t="s">
        <v>156</v>
      </c>
      <c r="E784" t="s">
        <v>155</v>
      </c>
      <c r="F784" s="15">
        <v>50000</v>
      </c>
      <c r="G784" s="15">
        <v>4284.6899999999996</v>
      </c>
    </row>
    <row r="785" spans="1:7" x14ac:dyDescent="0.35">
      <c r="A785" t="s">
        <v>20</v>
      </c>
      <c r="B785" t="s">
        <v>162</v>
      </c>
      <c r="C785" s="1">
        <v>45812</v>
      </c>
      <c r="D785" t="s">
        <v>156</v>
      </c>
      <c r="E785" t="s">
        <v>155</v>
      </c>
      <c r="F785" s="15">
        <v>50000</v>
      </c>
      <c r="G785" s="15">
        <v>4263.75</v>
      </c>
    </row>
    <row r="786" spans="1:7" x14ac:dyDescent="0.35">
      <c r="A786" t="s">
        <v>20</v>
      </c>
      <c r="B786" t="s">
        <v>158</v>
      </c>
      <c r="C786" s="1">
        <v>45812</v>
      </c>
      <c r="D786" t="s">
        <v>156</v>
      </c>
      <c r="E786" t="s">
        <v>155</v>
      </c>
      <c r="F786" s="15">
        <v>100000</v>
      </c>
      <c r="G786" s="15">
        <v>4263.75</v>
      </c>
    </row>
    <row r="787" spans="1:7" x14ac:dyDescent="0.35">
      <c r="A787" t="s">
        <v>20</v>
      </c>
      <c r="B787" t="s">
        <v>158</v>
      </c>
      <c r="C787" s="1">
        <v>45812</v>
      </c>
      <c r="D787" t="s">
        <v>156</v>
      </c>
      <c r="E787" t="s">
        <v>155</v>
      </c>
      <c r="F787" s="15">
        <v>100000</v>
      </c>
      <c r="G787" s="15">
        <v>4263.75</v>
      </c>
    </row>
    <row r="788" spans="1:7" x14ac:dyDescent="0.35">
      <c r="A788" t="s">
        <v>20</v>
      </c>
      <c r="B788" s="24" t="s">
        <v>158</v>
      </c>
      <c r="C788" s="1">
        <v>45812</v>
      </c>
      <c r="D788" t="s">
        <v>156</v>
      </c>
      <c r="E788" t="s">
        <v>154</v>
      </c>
      <c r="F788" s="120">
        <v>129000</v>
      </c>
      <c r="G788" s="15">
        <v>4098</v>
      </c>
    </row>
    <row r="789" spans="1:7" x14ac:dyDescent="0.35">
      <c r="A789" t="s">
        <v>20</v>
      </c>
      <c r="B789" s="24" t="s">
        <v>171</v>
      </c>
      <c r="C789" s="1">
        <v>45812</v>
      </c>
      <c r="D789" t="s">
        <v>156</v>
      </c>
      <c r="E789" t="s">
        <v>154</v>
      </c>
      <c r="F789" s="120">
        <v>33000</v>
      </c>
      <c r="G789" s="15">
        <v>4098</v>
      </c>
    </row>
    <row r="790" spans="1:7" x14ac:dyDescent="0.35">
      <c r="A790" t="s">
        <v>19</v>
      </c>
      <c r="B790" t="s">
        <v>19</v>
      </c>
      <c r="C790" s="1">
        <v>45812</v>
      </c>
      <c r="D790" t="s">
        <v>156</v>
      </c>
      <c r="E790" t="s">
        <v>155</v>
      </c>
      <c r="F790" s="15">
        <v>150000</v>
      </c>
      <c r="G790" s="15">
        <v>4189.92</v>
      </c>
    </row>
    <row r="791" spans="1:7" x14ac:dyDescent="0.35">
      <c r="A791" t="s">
        <v>19</v>
      </c>
      <c r="B791" t="s">
        <v>19</v>
      </c>
      <c r="C791" s="1">
        <v>45812</v>
      </c>
      <c r="D791" t="s">
        <v>156</v>
      </c>
      <c r="E791" t="s">
        <v>155</v>
      </c>
      <c r="F791" s="15">
        <v>80000</v>
      </c>
      <c r="G791" s="15">
        <v>4217.5</v>
      </c>
    </row>
    <row r="792" spans="1:7" x14ac:dyDescent="0.35">
      <c r="A792" t="s">
        <v>19</v>
      </c>
      <c r="B792" t="s">
        <v>19</v>
      </c>
      <c r="C792" s="1">
        <v>45812</v>
      </c>
      <c r="D792" t="s">
        <v>156</v>
      </c>
      <c r="E792" t="s">
        <v>155</v>
      </c>
      <c r="F792" s="15">
        <v>100000</v>
      </c>
      <c r="G792" s="15">
        <v>4133.16</v>
      </c>
    </row>
    <row r="793" spans="1:7" x14ac:dyDescent="0.35">
      <c r="A793" t="s">
        <v>19</v>
      </c>
      <c r="B793" t="s">
        <v>19</v>
      </c>
      <c r="C793" s="1">
        <v>45812</v>
      </c>
      <c r="D793" t="s">
        <v>156</v>
      </c>
      <c r="E793" t="s">
        <v>155</v>
      </c>
      <c r="F793" s="15">
        <v>250000</v>
      </c>
      <c r="G793" s="15">
        <v>4148.3</v>
      </c>
    </row>
    <row r="794" spans="1:7" x14ac:dyDescent="0.35">
      <c r="A794" t="s">
        <v>19</v>
      </c>
      <c r="B794" t="s">
        <v>19</v>
      </c>
      <c r="C794" s="1">
        <v>45812</v>
      </c>
      <c r="D794" t="s">
        <v>156</v>
      </c>
      <c r="E794" t="s">
        <v>154</v>
      </c>
      <c r="F794" s="15">
        <v>620000</v>
      </c>
      <c r="G794" s="15">
        <v>4099</v>
      </c>
    </row>
    <row r="795" spans="1:7" x14ac:dyDescent="0.35">
      <c r="A795" t="s">
        <v>19</v>
      </c>
      <c r="B795" t="s">
        <v>19</v>
      </c>
      <c r="C795" s="1">
        <v>45813</v>
      </c>
      <c r="D795" t="s">
        <v>156</v>
      </c>
      <c r="E795" t="s">
        <v>154</v>
      </c>
      <c r="F795" s="15">
        <v>195000</v>
      </c>
      <c r="G795" s="15">
        <v>4092</v>
      </c>
    </row>
    <row r="796" spans="1:7" x14ac:dyDescent="0.35">
      <c r="A796" t="s">
        <v>20</v>
      </c>
      <c r="B796" t="s">
        <v>26</v>
      </c>
      <c r="C796" s="1">
        <v>45813</v>
      </c>
      <c r="D796" t="s">
        <v>156</v>
      </c>
      <c r="E796" t="s">
        <v>154</v>
      </c>
      <c r="F796" s="15">
        <v>120000</v>
      </c>
      <c r="G796" s="15">
        <v>4103</v>
      </c>
    </row>
    <row r="797" spans="1:7" x14ac:dyDescent="0.35">
      <c r="A797" t="s">
        <v>20</v>
      </c>
      <c r="B797" s="24" t="s">
        <v>191</v>
      </c>
      <c r="C797" s="1">
        <v>45818</v>
      </c>
      <c r="D797" t="s">
        <v>156</v>
      </c>
      <c r="E797" t="s">
        <v>154</v>
      </c>
      <c r="F797" s="120">
        <v>225000</v>
      </c>
      <c r="G797" s="91">
        <v>4164</v>
      </c>
    </row>
    <row r="798" spans="1:7" x14ac:dyDescent="0.35">
      <c r="A798" t="s">
        <v>20</v>
      </c>
      <c r="B798" s="24" t="s">
        <v>190</v>
      </c>
      <c r="C798" s="1">
        <v>45818</v>
      </c>
      <c r="D798" t="s">
        <v>156</v>
      </c>
      <c r="E798" t="s">
        <v>154</v>
      </c>
      <c r="F798" s="120">
        <v>372000</v>
      </c>
      <c r="G798" s="91">
        <v>4164</v>
      </c>
    </row>
    <row r="799" spans="1:7" x14ac:dyDescent="0.35">
      <c r="A799" t="s">
        <v>20</v>
      </c>
      <c r="B799" t="s">
        <v>158</v>
      </c>
      <c r="C799" s="1">
        <v>45819</v>
      </c>
      <c r="D799" t="s">
        <v>156</v>
      </c>
      <c r="E799" t="s">
        <v>155</v>
      </c>
      <c r="F799" s="15">
        <v>70000</v>
      </c>
      <c r="G799" s="15">
        <v>4363.55</v>
      </c>
    </row>
    <row r="800" spans="1:7" x14ac:dyDescent="0.35">
      <c r="A800" t="s">
        <v>20</v>
      </c>
      <c r="B800" t="s">
        <v>27</v>
      </c>
      <c r="C800" s="1">
        <v>45819</v>
      </c>
      <c r="D800" t="s">
        <v>156</v>
      </c>
      <c r="E800" t="s">
        <v>155</v>
      </c>
      <c r="F800" s="15">
        <v>50000</v>
      </c>
      <c r="G800" s="163">
        <v>4204.53</v>
      </c>
    </row>
    <row r="801" spans="1:7" x14ac:dyDescent="0.35">
      <c r="A801" t="s">
        <v>20</v>
      </c>
      <c r="B801" t="s">
        <v>162</v>
      </c>
      <c r="C801" s="1">
        <v>45819</v>
      </c>
      <c r="D801" t="s">
        <v>156</v>
      </c>
      <c r="E801" t="s">
        <v>155</v>
      </c>
      <c r="F801" s="15">
        <v>50000</v>
      </c>
      <c r="G801" s="15">
        <v>4107.17</v>
      </c>
    </row>
    <row r="802" spans="1:7" x14ac:dyDescent="0.35">
      <c r="A802" t="s">
        <v>20</v>
      </c>
      <c r="B802" s="24" t="s">
        <v>217</v>
      </c>
      <c r="C802" s="1">
        <v>45819</v>
      </c>
      <c r="D802" t="s">
        <v>156</v>
      </c>
      <c r="E802" t="s">
        <v>154</v>
      </c>
      <c r="F802" s="120">
        <v>90000</v>
      </c>
      <c r="G802" s="15">
        <v>4193</v>
      </c>
    </row>
    <row r="803" spans="1:7" x14ac:dyDescent="0.35">
      <c r="A803" t="s">
        <v>20</v>
      </c>
      <c r="B803" s="24" t="s">
        <v>158</v>
      </c>
      <c r="C803" s="1">
        <v>45819</v>
      </c>
      <c r="D803" t="s">
        <v>156</v>
      </c>
      <c r="E803" t="s">
        <v>154</v>
      </c>
      <c r="F803" s="120">
        <v>32000</v>
      </c>
      <c r="G803" s="15">
        <v>4193</v>
      </c>
    </row>
    <row r="804" spans="1:7" x14ac:dyDescent="0.35">
      <c r="A804" t="s">
        <v>20</v>
      </c>
      <c r="B804" s="24" t="s">
        <v>162</v>
      </c>
      <c r="C804" s="1">
        <v>45819</v>
      </c>
      <c r="D804" t="s">
        <v>156</v>
      </c>
      <c r="E804" t="s">
        <v>154</v>
      </c>
      <c r="F804" s="120">
        <v>180000</v>
      </c>
      <c r="G804" s="15">
        <v>4193</v>
      </c>
    </row>
    <row r="805" spans="1:7" x14ac:dyDescent="0.35">
      <c r="A805" t="s">
        <v>20</v>
      </c>
      <c r="B805" s="24" t="s">
        <v>171</v>
      </c>
      <c r="C805" s="1">
        <v>45819</v>
      </c>
      <c r="D805" t="s">
        <v>156</v>
      </c>
      <c r="E805" t="s">
        <v>154</v>
      </c>
      <c r="F805" s="120">
        <v>18000</v>
      </c>
      <c r="G805" s="15">
        <v>4193</v>
      </c>
    </row>
    <row r="806" spans="1:7" x14ac:dyDescent="0.35">
      <c r="A806" t="s">
        <v>19</v>
      </c>
      <c r="B806" t="s">
        <v>19</v>
      </c>
      <c r="C806" s="1">
        <v>45819</v>
      </c>
      <c r="D806" t="s">
        <v>156</v>
      </c>
      <c r="E806" t="s">
        <v>155</v>
      </c>
      <c r="F806" s="15">
        <v>150000</v>
      </c>
      <c r="G806" s="15">
        <v>4194.0600000000004</v>
      </c>
    </row>
    <row r="807" spans="1:7" x14ac:dyDescent="0.35">
      <c r="A807" t="s">
        <v>19</v>
      </c>
      <c r="B807" t="s">
        <v>19</v>
      </c>
      <c r="C807" s="1">
        <v>45819</v>
      </c>
      <c r="D807" t="s">
        <v>156</v>
      </c>
      <c r="E807" t="s">
        <v>155</v>
      </c>
      <c r="F807" s="15">
        <v>80000</v>
      </c>
      <c r="G807" s="15">
        <v>4221.72</v>
      </c>
    </row>
    <row r="808" spans="1:7" x14ac:dyDescent="0.35">
      <c r="A808" t="s">
        <v>19</v>
      </c>
      <c r="B808" t="s">
        <v>19</v>
      </c>
      <c r="C808" s="1">
        <v>45819</v>
      </c>
      <c r="D808" t="s">
        <v>156</v>
      </c>
      <c r="E808" t="s">
        <v>155</v>
      </c>
      <c r="F808" s="15">
        <v>80000</v>
      </c>
      <c r="G808" s="15">
        <v>4202.54</v>
      </c>
    </row>
    <row r="809" spans="1:7" x14ac:dyDescent="0.35">
      <c r="A809" t="s">
        <v>19</v>
      </c>
      <c r="B809" t="s">
        <v>19</v>
      </c>
      <c r="C809" s="1">
        <v>45819</v>
      </c>
      <c r="D809" t="s">
        <v>156</v>
      </c>
      <c r="E809" t="s">
        <v>155</v>
      </c>
      <c r="F809" s="15">
        <v>250000</v>
      </c>
      <c r="G809" s="15">
        <v>4204.3599999999997</v>
      </c>
    </row>
    <row r="810" spans="1:7" x14ac:dyDescent="0.35">
      <c r="A810" t="s">
        <v>19</v>
      </c>
      <c r="B810" t="s">
        <v>19</v>
      </c>
      <c r="C810" s="1">
        <v>45819</v>
      </c>
      <c r="D810" t="s">
        <v>156</v>
      </c>
      <c r="E810" t="s">
        <v>155</v>
      </c>
      <c r="F810" s="15">
        <v>100000</v>
      </c>
      <c r="G810" s="15">
        <v>4232.3999999999996</v>
      </c>
    </row>
    <row r="811" spans="1:7" x14ac:dyDescent="0.35">
      <c r="A811" t="s">
        <v>19</v>
      </c>
      <c r="B811" t="s">
        <v>19</v>
      </c>
      <c r="C811" s="1">
        <v>45819</v>
      </c>
      <c r="D811" t="s">
        <v>156</v>
      </c>
      <c r="E811" t="s">
        <v>154</v>
      </c>
      <c r="F811" s="15">
        <v>420000</v>
      </c>
      <c r="G811" s="15">
        <v>4193</v>
      </c>
    </row>
    <row r="812" spans="1:7" x14ac:dyDescent="0.35">
      <c r="A812" t="s">
        <v>20</v>
      </c>
      <c r="B812" t="s">
        <v>26</v>
      </c>
      <c r="C812" s="1">
        <v>45820</v>
      </c>
      <c r="D812" t="s">
        <v>156</v>
      </c>
      <c r="E812" t="s">
        <v>154</v>
      </c>
      <c r="F812" s="15">
        <v>284000</v>
      </c>
      <c r="G812" s="15">
        <v>4180</v>
      </c>
    </row>
    <row r="813" spans="1:7" x14ac:dyDescent="0.35">
      <c r="A813" t="s">
        <v>20</v>
      </c>
      <c r="B813" t="s">
        <v>158</v>
      </c>
      <c r="C813" s="1">
        <v>45826</v>
      </c>
      <c r="D813" t="s">
        <v>156</v>
      </c>
      <c r="E813" t="s">
        <v>155</v>
      </c>
      <c r="F813" s="15">
        <v>100000</v>
      </c>
      <c r="G813" s="15">
        <v>4206.76</v>
      </c>
    </row>
    <row r="814" spans="1:7" x14ac:dyDescent="0.35">
      <c r="A814" t="s">
        <v>20</v>
      </c>
      <c r="B814" t="s">
        <v>158</v>
      </c>
      <c r="C814" s="1">
        <v>45826</v>
      </c>
      <c r="D814" t="s">
        <v>156</v>
      </c>
      <c r="E814" t="s">
        <v>155</v>
      </c>
      <c r="F814" s="15">
        <v>60000</v>
      </c>
      <c r="G814" s="15">
        <v>4244.33</v>
      </c>
    </row>
    <row r="815" spans="1:7" x14ac:dyDescent="0.35">
      <c r="A815" t="s">
        <v>20</v>
      </c>
      <c r="B815" t="s">
        <v>158</v>
      </c>
      <c r="C815" s="1">
        <v>45826</v>
      </c>
      <c r="D815" t="s">
        <v>156</v>
      </c>
      <c r="E815" t="s">
        <v>155</v>
      </c>
      <c r="F815" s="15">
        <v>100000</v>
      </c>
      <c r="G815" s="15">
        <v>4244.33</v>
      </c>
    </row>
    <row r="816" spans="1:7" x14ac:dyDescent="0.35">
      <c r="A816" t="s">
        <v>20</v>
      </c>
      <c r="B816" t="s">
        <v>158</v>
      </c>
      <c r="C816" s="1">
        <v>45826</v>
      </c>
      <c r="D816" t="s">
        <v>156</v>
      </c>
      <c r="E816" t="s">
        <v>155</v>
      </c>
      <c r="F816" s="15">
        <v>50000</v>
      </c>
      <c r="G816" s="15">
        <v>4326.33</v>
      </c>
    </row>
    <row r="817" spans="1:7" x14ac:dyDescent="0.35">
      <c r="A817" t="s">
        <v>20</v>
      </c>
      <c r="B817" t="s">
        <v>158</v>
      </c>
      <c r="C817" s="1">
        <v>45826</v>
      </c>
      <c r="D817" t="s">
        <v>156</v>
      </c>
      <c r="E817" t="s">
        <v>155</v>
      </c>
      <c r="F817" s="15">
        <v>50000</v>
      </c>
      <c r="G817" s="15">
        <v>4326.33</v>
      </c>
    </row>
    <row r="818" spans="1:7" x14ac:dyDescent="0.35">
      <c r="A818" t="s">
        <v>20</v>
      </c>
      <c r="B818" s="24" t="s">
        <v>162</v>
      </c>
      <c r="C818" s="1">
        <v>45826</v>
      </c>
      <c r="D818" t="s">
        <v>156</v>
      </c>
      <c r="E818" t="s">
        <v>154</v>
      </c>
      <c r="F818" s="120">
        <v>102000</v>
      </c>
      <c r="G818" s="15">
        <v>4087</v>
      </c>
    </row>
    <row r="819" spans="1:7" x14ac:dyDescent="0.35">
      <c r="A819" t="s">
        <v>20</v>
      </c>
      <c r="B819" s="24" t="s">
        <v>171</v>
      </c>
      <c r="C819" s="1">
        <v>45826</v>
      </c>
      <c r="D819" t="s">
        <v>156</v>
      </c>
      <c r="E819" t="s">
        <v>154</v>
      </c>
      <c r="F819" s="120">
        <v>14000</v>
      </c>
      <c r="G819" s="15">
        <v>4087</v>
      </c>
    </row>
    <row r="820" spans="1:7" x14ac:dyDescent="0.35">
      <c r="A820" t="s">
        <v>20</v>
      </c>
      <c r="B820" t="s">
        <v>217</v>
      </c>
      <c r="C820" s="1">
        <v>45826</v>
      </c>
      <c r="D820" t="s">
        <v>156</v>
      </c>
      <c r="E820" t="s">
        <v>154</v>
      </c>
      <c r="F820" s="15">
        <v>55000</v>
      </c>
      <c r="G820" s="15">
        <v>4087</v>
      </c>
    </row>
    <row r="821" spans="1:7" x14ac:dyDescent="0.35">
      <c r="A821" t="s">
        <v>19</v>
      </c>
      <c r="B821" t="s">
        <v>19</v>
      </c>
      <c r="C821" s="1">
        <v>45826</v>
      </c>
      <c r="D821" t="s">
        <v>156</v>
      </c>
      <c r="E821" t="s">
        <v>155</v>
      </c>
      <c r="F821" s="15">
        <v>150000</v>
      </c>
      <c r="G821" s="15">
        <v>4198.21</v>
      </c>
    </row>
    <row r="822" spans="1:7" x14ac:dyDescent="0.35">
      <c r="A822" t="s">
        <v>19</v>
      </c>
      <c r="B822" t="s">
        <v>19</v>
      </c>
      <c r="C822" s="1">
        <v>45826</v>
      </c>
      <c r="D822" t="s">
        <v>156</v>
      </c>
      <c r="E822" t="s">
        <v>155</v>
      </c>
      <c r="F822" s="15">
        <v>80000</v>
      </c>
      <c r="G822" s="15">
        <v>4225.9399999999996</v>
      </c>
    </row>
    <row r="823" spans="1:7" x14ac:dyDescent="0.35">
      <c r="A823" t="s">
        <v>19</v>
      </c>
      <c r="B823" t="s">
        <v>19</v>
      </c>
      <c r="C823" s="1">
        <v>45826</v>
      </c>
      <c r="D823" t="s">
        <v>156</v>
      </c>
      <c r="E823" t="s">
        <v>155</v>
      </c>
      <c r="F823" s="15">
        <v>100000</v>
      </c>
      <c r="G823" s="15">
        <v>4195.1099999999997</v>
      </c>
    </row>
    <row r="824" spans="1:7" x14ac:dyDescent="0.35">
      <c r="A824" t="s">
        <v>19</v>
      </c>
      <c r="B824" t="s">
        <v>19</v>
      </c>
      <c r="C824" s="1">
        <v>45826</v>
      </c>
      <c r="D824" t="s">
        <v>156</v>
      </c>
      <c r="E824" t="s">
        <v>155</v>
      </c>
      <c r="F824" s="15">
        <v>100000</v>
      </c>
      <c r="G824" s="15">
        <v>4293.32</v>
      </c>
    </row>
    <row r="825" spans="1:7" x14ac:dyDescent="0.35">
      <c r="A825" t="s">
        <v>19</v>
      </c>
      <c r="B825" t="s">
        <v>19</v>
      </c>
      <c r="C825" s="1">
        <v>45826</v>
      </c>
      <c r="D825" t="s">
        <v>156</v>
      </c>
      <c r="E825" t="s">
        <v>155</v>
      </c>
      <c r="F825" s="15">
        <v>150000</v>
      </c>
      <c r="G825" s="15">
        <v>4211.57</v>
      </c>
    </row>
    <row r="826" spans="1:7" x14ac:dyDescent="0.35">
      <c r="A826" t="s">
        <v>19</v>
      </c>
      <c r="B826" t="s">
        <v>19</v>
      </c>
      <c r="C826" s="1">
        <v>45826</v>
      </c>
      <c r="D826" t="s">
        <v>156</v>
      </c>
      <c r="E826" t="s">
        <v>154</v>
      </c>
      <c r="F826" s="15">
        <v>480000</v>
      </c>
      <c r="G826" s="15">
        <v>4087</v>
      </c>
    </row>
    <row r="827" spans="1:7" x14ac:dyDescent="0.35">
      <c r="A827" t="s">
        <v>20</v>
      </c>
      <c r="B827" s="24" t="s">
        <v>26</v>
      </c>
      <c r="C827" s="1">
        <v>45828</v>
      </c>
      <c r="D827" t="s">
        <v>156</v>
      </c>
      <c r="E827" t="s">
        <v>154</v>
      </c>
      <c r="F827" s="120">
        <v>255000</v>
      </c>
      <c r="G827" s="15">
        <v>4059</v>
      </c>
    </row>
    <row r="828" spans="1:7" x14ac:dyDescent="0.35">
      <c r="A828" t="s">
        <v>20</v>
      </c>
      <c r="B828" s="24" t="s">
        <v>171</v>
      </c>
      <c r="C828" s="1">
        <v>45828</v>
      </c>
      <c r="D828" t="s">
        <v>156</v>
      </c>
      <c r="E828" t="s">
        <v>154</v>
      </c>
      <c r="F828" s="120">
        <v>75000</v>
      </c>
      <c r="G828" s="15">
        <v>4059</v>
      </c>
    </row>
    <row r="829" spans="1:7" x14ac:dyDescent="0.35">
      <c r="A829" t="s">
        <v>20</v>
      </c>
      <c r="B829" t="s">
        <v>173</v>
      </c>
      <c r="C829" s="1">
        <v>45832</v>
      </c>
      <c r="D829" t="s">
        <v>156</v>
      </c>
      <c r="E829" t="s">
        <v>154</v>
      </c>
      <c r="F829" s="15">
        <v>322000</v>
      </c>
      <c r="G829" s="163">
        <v>4086</v>
      </c>
    </row>
    <row r="830" spans="1:7" x14ac:dyDescent="0.35">
      <c r="A830" t="s">
        <v>20</v>
      </c>
      <c r="B830" t="s">
        <v>158</v>
      </c>
      <c r="C830" s="1">
        <v>45833</v>
      </c>
      <c r="D830" t="s">
        <v>156</v>
      </c>
      <c r="E830" t="s">
        <v>155</v>
      </c>
      <c r="F830" s="15">
        <v>100000</v>
      </c>
      <c r="G830" s="15">
        <v>4244.33</v>
      </c>
    </row>
    <row r="831" spans="1:7" x14ac:dyDescent="0.35">
      <c r="A831" t="s">
        <v>20</v>
      </c>
      <c r="B831" t="s">
        <v>158</v>
      </c>
      <c r="C831" s="1">
        <v>45833</v>
      </c>
      <c r="D831" t="s">
        <v>156</v>
      </c>
      <c r="E831" t="s">
        <v>155</v>
      </c>
      <c r="F831" s="15">
        <v>100000</v>
      </c>
      <c r="G831" s="15">
        <v>4107.04</v>
      </c>
    </row>
    <row r="832" spans="1:7" x14ac:dyDescent="0.35">
      <c r="A832" t="s">
        <v>20</v>
      </c>
      <c r="B832" t="s">
        <v>27</v>
      </c>
      <c r="C832" s="1">
        <v>45833</v>
      </c>
      <c r="D832" t="s">
        <v>156</v>
      </c>
      <c r="E832" t="s">
        <v>155</v>
      </c>
      <c r="F832" s="15">
        <v>80000</v>
      </c>
      <c r="G832" s="163">
        <v>4229.8099999999995</v>
      </c>
    </row>
    <row r="833" spans="1:7" x14ac:dyDescent="0.35">
      <c r="A833" t="s">
        <v>20</v>
      </c>
      <c r="B833" t="s">
        <v>27</v>
      </c>
      <c r="C833" s="1">
        <v>45833</v>
      </c>
      <c r="D833" t="s">
        <v>156</v>
      </c>
      <c r="E833" t="s">
        <v>155</v>
      </c>
      <c r="F833" s="15">
        <v>30000</v>
      </c>
      <c r="G833" s="163">
        <v>4083.83</v>
      </c>
    </row>
    <row r="834" spans="1:7" x14ac:dyDescent="0.35">
      <c r="A834" t="s">
        <v>20</v>
      </c>
      <c r="B834" s="24" t="s">
        <v>158</v>
      </c>
      <c r="C834" s="1">
        <v>45833</v>
      </c>
      <c r="D834" t="s">
        <v>156</v>
      </c>
      <c r="E834" t="s">
        <v>154</v>
      </c>
      <c r="F834" s="120">
        <v>222000</v>
      </c>
      <c r="G834" s="15">
        <v>4075</v>
      </c>
    </row>
    <row r="835" spans="1:7" x14ac:dyDescent="0.35">
      <c r="A835" t="s">
        <v>20</v>
      </c>
      <c r="B835" s="24" t="s">
        <v>162</v>
      </c>
      <c r="C835" s="1">
        <v>45833</v>
      </c>
      <c r="D835" t="s">
        <v>156</v>
      </c>
      <c r="E835" t="s">
        <v>154</v>
      </c>
      <c r="F835" s="120">
        <v>13000</v>
      </c>
      <c r="G835" s="15">
        <v>4075</v>
      </c>
    </row>
    <row r="836" spans="1:7" x14ac:dyDescent="0.35">
      <c r="A836" t="s">
        <v>20</v>
      </c>
      <c r="B836" s="24" t="s">
        <v>171</v>
      </c>
      <c r="C836" s="1">
        <v>45833</v>
      </c>
      <c r="D836" t="s">
        <v>156</v>
      </c>
      <c r="E836" t="s">
        <v>154</v>
      </c>
      <c r="F836" s="120">
        <v>39000</v>
      </c>
      <c r="G836" s="15">
        <v>4075</v>
      </c>
    </row>
    <row r="837" spans="1:7" x14ac:dyDescent="0.35">
      <c r="A837" t="s">
        <v>20</v>
      </c>
      <c r="B837" s="24" t="s">
        <v>27</v>
      </c>
      <c r="C837" s="1">
        <v>45833</v>
      </c>
      <c r="D837" t="s">
        <v>156</v>
      </c>
      <c r="E837" t="s">
        <v>154</v>
      </c>
      <c r="F837" s="120">
        <v>66000</v>
      </c>
      <c r="G837" s="163">
        <v>4075</v>
      </c>
    </row>
    <row r="838" spans="1:7" x14ac:dyDescent="0.35">
      <c r="A838" t="s">
        <v>19</v>
      </c>
      <c r="B838" t="s">
        <v>19</v>
      </c>
      <c r="C838" s="1">
        <v>45833</v>
      </c>
      <c r="D838" t="s">
        <v>156</v>
      </c>
      <c r="E838" t="s">
        <v>155</v>
      </c>
      <c r="F838" s="15">
        <v>100000</v>
      </c>
      <c r="G838" s="15">
        <v>4202.21</v>
      </c>
    </row>
    <row r="839" spans="1:7" x14ac:dyDescent="0.35">
      <c r="A839" t="s">
        <v>19</v>
      </c>
      <c r="B839" t="s">
        <v>19</v>
      </c>
      <c r="C839" s="1">
        <v>45833</v>
      </c>
      <c r="D839" t="s">
        <v>156</v>
      </c>
      <c r="E839" t="s">
        <v>155</v>
      </c>
      <c r="F839" s="15">
        <v>80000</v>
      </c>
      <c r="G839" s="15">
        <v>4230.17</v>
      </c>
    </row>
    <row r="840" spans="1:7" x14ac:dyDescent="0.35">
      <c r="A840" t="s">
        <v>19</v>
      </c>
      <c r="B840" t="s">
        <v>19</v>
      </c>
      <c r="C840" s="1">
        <v>45833</v>
      </c>
      <c r="D840" t="s">
        <v>156</v>
      </c>
      <c r="E840" t="s">
        <v>155</v>
      </c>
      <c r="F840" s="15">
        <v>150000</v>
      </c>
      <c r="G840" s="15">
        <v>4187.83</v>
      </c>
    </row>
    <row r="841" spans="1:7" x14ac:dyDescent="0.35">
      <c r="A841" t="s">
        <v>19</v>
      </c>
      <c r="B841" t="s">
        <v>19</v>
      </c>
      <c r="C841" s="1">
        <v>45833</v>
      </c>
      <c r="D841" t="s">
        <v>156</v>
      </c>
      <c r="E841" t="s">
        <v>155</v>
      </c>
      <c r="F841" s="15">
        <v>100000</v>
      </c>
      <c r="G841" s="15">
        <v>4344.1899999999996</v>
      </c>
    </row>
    <row r="842" spans="1:7" x14ac:dyDescent="0.35">
      <c r="A842" t="s">
        <v>19</v>
      </c>
      <c r="B842" t="s">
        <v>19</v>
      </c>
      <c r="C842" s="1">
        <v>45833</v>
      </c>
      <c r="D842" t="s">
        <v>156</v>
      </c>
      <c r="E842" t="s">
        <v>155</v>
      </c>
      <c r="F842" s="15">
        <v>150000</v>
      </c>
      <c r="G842" s="15">
        <v>4215.7700000000004</v>
      </c>
    </row>
    <row r="843" spans="1:7" x14ac:dyDescent="0.35">
      <c r="A843" t="s">
        <v>19</v>
      </c>
      <c r="B843" t="s">
        <v>19</v>
      </c>
      <c r="C843" s="1">
        <v>45833</v>
      </c>
      <c r="D843" t="s">
        <v>156</v>
      </c>
      <c r="E843" t="s">
        <v>154</v>
      </c>
      <c r="F843" s="15">
        <v>320000</v>
      </c>
      <c r="G843" s="15">
        <v>4075</v>
      </c>
    </row>
    <row r="844" spans="1:7" x14ac:dyDescent="0.35">
      <c r="A844" t="s">
        <v>20</v>
      </c>
      <c r="B844" t="s">
        <v>26</v>
      </c>
      <c r="C844" s="1">
        <v>45834</v>
      </c>
      <c r="D844" t="s">
        <v>156</v>
      </c>
      <c r="E844" t="s">
        <v>154</v>
      </c>
      <c r="F844" s="15">
        <v>304000</v>
      </c>
      <c r="G844" s="15">
        <v>4040</v>
      </c>
    </row>
    <row r="845" spans="1:7" x14ac:dyDescent="0.35">
      <c r="A845" t="s">
        <v>20</v>
      </c>
      <c r="B845" t="s">
        <v>158</v>
      </c>
      <c r="C845" s="1">
        <v>45840</v>
      </c>
      <c r="D845" t="s">
        <v>156</v>
      </c>
      <c r="E845" t="s">
        <v>155</v>
      </c>
      <c r="F845" s="15">
        <v>70000</v>
      </c>
      <c r="G845" s="15">
        <v>4376.7299999999996</v>
      </c>
    </row>
    <row r="846" spans="1:7" x14ac:dyDescent="0.35">
      <c r="A846" t="s">
        <v>20</v>
      </c>
      <c r="B846" t="s">
        <v>158</v>
      </c>
      <c r="C846" s="1">
        <v>45840</v>
      </c>
      <c r="D846" t="s">
        <v>156</v>
      </c>
      <c r="E846" t="s">
        <v>155</v>
      </c>
      <c r="F846" s="15">
        <v>100000</v>
      </c>
      <c r="G846" s="15">
        <v>4269.96</v>
      </c>
    </row>
    <row r="847" spans="1:7" x14ac:dyDescent="0.35">
      <c r="A847" t="s">
        <v>20</v>
      </c>
      <c r="B847" t="s">
        <v>158</v>
      </c>
      <c r="C847" s="1">
        <v>45840</v>
      </c>
      <c r="D847" t="s">
        <v>156</v>
      </c>
      <c r="E847" t="s">
        <v>155</v>
      </c>
      <c r="F847" s="15">
        <v>100000</v>
      </c>
      <c r="G847" s="15">
        <v>4219.93</v>
      </c>
    </row>
    <row r="848" spans="1:7" x14ac:dyDescent="0.35">
      <c r="A848" t="s">
        <v>20</v>
      </c>
      <c r="B848" t="s">
        <v>158</v>
      </c>
      <c r="C848" s="1">
        <v>45840</v>
      </c>
      <c r="D848" t="s">
        <v>156</v>
      </c>
      <c r="E848" t="s">
        <v>155</v>
      </c>
      <c r="F848" s="15">
        <v>120000</v>
      </c>
      <c r="G848" s="15">
        <v>4207.33</v>
      </c>
    </row>
    <row r="849" spans="1:7" x14ac:dyDescent="0.35">
      <c r="A849" t="s">
        <v>20</v>
      </c>
      <c r="B849" t="s">
        <v>158</v>
      </c>
      <c r="C849" s="1">
        <v>45840</v>
      </c>
      <c r="D849" t="s">
        <v>156</v>
      </c>
      <c r="E849" t="s">
        <v>155</v>
      </c>
      <c r="F849" s="15">
        <v>100000</v>
      </c>
      <c r="G849" s="15">
        <v>4194.21</v>
      </c>
    </row>
    <row r="850" spans="1:7" x14ac:dyDescent="0.35">
      <c r="A850" t="s">
        <v>20</v>
      </c>
      <c r="B850" t="s">
        <v>27</v>
      </c>
      <c r="C850" s="1">
        <v>45840</v>
      </c>
      <c r="D850" t="s">
        <v>156</v>
      </c>
      <c r="E850" t="s">
        <v>155</v>
      </c>
      <c r="F850" s="15">
        <v>80000</v>
      </c>
      <c r="G850" s="163">
        <v>4117.2300000000005</v>
      </c>
    </row>
    <row r="851" spans="1:7" x14ac:dyDescent="0.35">
      <c r="A851" t="s">
        <v>20</v>
      </c>
      <c r="B851" s="24" t="s">
        <v>158</v>
      </c>
      <c r="C851" s="1">
        <v>45840</v>
      </c>
      <c r="D851" t="s">
        <v>156</v>
      </c>
      <c r="E851" t="s">
        <v>154</v>
      </c>
      <c r="F851" s="120">
        <v>137000</v>
      </c>
      <c r="G851" s="15">
        <v>4029</v>
      </c>
    </row>
    <row r="852" spans="1:7" x14ac:dyDescent="0.35">
      <c r="A852" t="s">
        <v>20</v>
      </c>
      <c r="B852" s="24" t="s">
        <v>162</v>
      </c>
      <c r="C852" s="1">
        <v>45840</v>
      </c>
      <c r="D852" t="s">
        <v>156</v>
      </c>
      <c r="E852" t="s">
        <v>154</v>
      </c>
      <c r="F852" s="120">
        <v>116000</v>
      </c>
      <c r="G852" s="15">
        <v>4029</v>
      </c>
    </row>
    <row r="853" spans="1:7" x14ac:dyDescent="0.35">
      <c r="A853" t="s">
        <v>20</v>
      </c>
      <c r="B853" s="24" t="s">
        <v>171</v>
      </c>
      <c r="C853" s="1">
        <v>45840</v>
      </c>
      <c r="D853" t="s">
        <v>156</v>
      </c>
      <c r="E853" t="s">
        <v>154</v>
      </c>
      <c r="F853" s="120">
        <v>217000</v>
      </c>
      <c r="G853" s="15">
        <v>4029</v>
      </c>
    </row>
    <row r="854" spans="1:7" x14ac:dyDescent="0.35">
      <c r="A854" t="s">
        <v>19</v>
      </c>
      <c r="B854" t="s">
        <v>19</v>
      </c>
      <c r="C854" s="1">
        <v>45840</v>
      </c>
      <c r="D854" t="s">
        <v>156</v>
      </c>
      <c r="E854" t="s">
        <v>155</v>
      </c>
      <c r="F854" s="15">
        <v>100000</v>
      </c>
      <c r="G854" s="15">
        <v>4206.3599999999997</v>
      </c>
    </row>
    <row r="855" spans="1:7" x14ac:dyDescent="0.35">
      <c r="A855" t="s">
        <v>19</v>
      </c>
      <c r="B855" t="s">
        <v>19</v>
      </c>
      <c r="C855" s="1">
        <v>45840</v>
      </c>
      <c r="D855" t="s">
        <v>156</v>
      </c>
      <c r="E855" t="s">
        <v>155</v>
      </c>
      <c r="F855" s="15">
        <v>80000</v>
      </c>
      <c r="G855" s="15">
        <v>4234.09</v>
      </c>
    </row>
    <row r="856" spans="1:7" x14ac:dyDescent="0.35">
      <c r="A856" t="s">
        <v>19</v>
      </c>
      <c r="B856" t="s">
        <v>19</v>
      </c>
      <c r="C856" s="1">
        <v>45840</v>
      </c>
      <c r="D856" t="s">
        <v>156</v>
      </c>
      <c r="E856" t="s">
        <v>155</v>
      </c>
      <c r="F856" s="15">
        <v>200000</v>
      </c>
      <c r="G856" s="15">
        <v>4176.46</v>
      </c>
    </row>
    <row r="857" spans="1:7" x14ac:dyDescent="0.35">
      <c r="A857" t="s">
        <v>19</v>
      </c>
      <c r="B857" t="s">
        <v>19</v>
      </c>
      <c r="C857" s="1">
        <v>45840</v>
      </c>
      <c r="D857" t="s">
        <v>156</v>
      </c>
      <c r="E857" t="s">
        <v>155</v>
      </c>
      <c r="F857" s="15">
        <v>200000</v>
      </c>
      <c r="G857" s="15">
        <v>4171.07</v>
      </c>
    </row>
    <row r="858" spans="1:7" x14ac:dyDescent="0.35">
      <c r="A858" t="s">
        <v>19</v>
      </c>
      <c r="B858" t="s">
        <v>19</v>
      </c>
      <c r="C858" s="1">
        <v>45840</v>
      </c>
      <c r="D858" t="s">
        <v>156</v>
      </c>
      <c r="E858" t="s">
        <v>155</v>
      </c>
      <c r="F858" s="15">
        <v>100000</v>
      </c>
      <c r="G858" s="15">
        <v>4216.72</v>
      </c>
    </row>
    <row r="859" spans="1:7" x14ac:dyDescent="0.35">
      <c r="A859" t="s">
        <v>19</v>
      </c>
      <c r="B859" t="s">
        <v>19</v>
      </c>
      <c r="C859" s="1">
        <v>45840</v>
      </c>
      <c r="D859" t="s">
        <v>156</v>
      </c>
      <c r="E859" t="s">
        <v>154</v>
      </c>
      <c r="F859" s="15">
        <v>400000</v>
      </c>
      <c r="G859" s="15">
        <v>4029</v>
      </c>
    </row>
    <row r="860" spans="1:7" x14ac:dyDescent="0.35">
      <c r="A860" t="s">
        <v>20</v>
      </c>
      <c r="B860" t="s">
        <v>27</v>
      </c>
      <c r="C860" s="1">
        <v>45847</v>
      </c>
      <c r="D860" t="s">
        <v>156</v>
      </c>
      <c r="E860" t="s">
        <v>155</v>
      </c>
      <c r="F860" s="15">
        <v>100000</v>
      </c>
      <c r="G860" s="163">
        <v>4198.1899999999996</v>
      </c>
    </row>
    <row r="861" spans="1:7" x14ac:dyDescent="0.35">
      <c r="A861" t="s">
        <v>20</v>
      </c>
      <c r="B861" t="s">
        <v>158</v>
      </c>
      <c r="C861" s="1">
        <v>45847</v>
      </c>
      <c r="D861" t="s">
        <v>156</v>
      </c>
      <c r="E861" t="s">
        <v>155</v>
      </c>
      <c r="F861" s="15">
        <v>80000</v>
      </c>
      <c r="G861" s="15">
        <v>4253.5200000000004</v>
      </c>
    </row>
    <row r="862" spans="1:7" x14ac:dyDescent="0.35">
      <c r="A862" t="s">
        <v>20</v>
      </c>
      <c r="B862" t="s">
        <v>162</v>
      </c>
      <c r="C862" s="1">
        <v>45847</v>
      </c>
      <c r="D862" t="s">
        <v>156</v>
      </c>
      <c r="E862" t="s">
        <v>155</v>
      </c>
      <c r="F862" s="15">
        <v>50000</v>
      </c>
      <c r="G862" s="15">
        <v>4249.28</v>
      </c>
    </row>
    <row r="863" spans="1:7" x14ac:dyDescent="0.35">
      <c r="A863" t="s">
        <v>20</v>
      </c>
      <c r="B863" t="s">
        <v>27</v>
      </c>
      <c r="C863" s="1">
        <v>45847</v>
      </c>
      <c r="D863" t="s">
        <v>156</v>
      </c>
      <c r="E863" t="s">
        <v>155</v>
      </c>
      <c r="F863" s="15">
        <v>100000</v>
      </c>
      <c r="G863" s="163">
        <v>4237.97</v>
      </c>
    </row>
    <row r="864" spans="1:7" x14ac:dyDescent="0.35">
      <c r="A864" t="s">
        <v>20</v>
      </c>
      <c r="B864" t="s">
        <v>27</v>
      </c>
      <c r="C864" s="1">
        <v>45847</v>
      </c>
      <c r="D864" t="s">
        <v>156</v>
      </c>
      <c r="E864" t="s">
        <v>155</v>
      </c>
      <c r="F864" s="15">
        <v>100000</v>
      </c>
      <c r="G864" s="163">
        <v>4198.2299999999996</v>
      </c>
    </row>
    <row r="865" spans="1:7" x14ac:dyDescent="0.35">
      <c r="A865" t="s">
        <v>20</v>
      </c>
      <c r="B865" t="s">
        <v>27</v>
      </c>
      <c r="C865" s="1">
        <v>45847</v>
      </c>
      <c r="D865" t="s">
        <v>156</v>
      </c>
      <c r="E865" t="s">
        <v>155</v>
      </c>
      <c r="F865" s="15">
        <v>150000</v>
      </c>
      <c r="G865" s="163">
        <v>4220.83</v>
      </c>
    </row>
    <row r="866" spans="1:7" x14ac:dyDescent="0.35">
      <c r="A866" t="s">
        <v>20</v>
      </c>
      <c r="B866" t="s">
        <v>158</v>
      </c>
      <c r="C866" s="1">
        <v>45847</v>
      </c>
      <c r="D866" t="s">
        <v>156</v>
      </c>
      <c r="E866" t="s">
        <v>155</v>
      </c>
      <c r="F866" s="15">
        <v>100000</v>
      </c>
      <c r="G866" s="15">
        <v>4220.83</v>
      </c>
    </row>
    <row r="867" spans="1:7" x14ac:dyDescent="0.35">
      <c r="A867" t="s">
        <v>20</v>
      </c>
      <c r="B867" t="s">
        <v>27</v>
      </c>
      <c r="C867" s="1">
        <v>45847</v>
      </c>
      <c r="D867" t="s">
        <v>156</v>
      </c>
      <c r="E867" t="s">
        <v>155</v>
      </c>
      <c r="F867" s="15">
        <v>80000</v>
      </c>
      <c r="G867" s="163">
        <v>4171.8999999999996</v>
      </c>
    </row>
    <row r="868" spans="1:7" x14ac:dyDescent="0.35">
      <c r="A868" t="s">
        <v>20</v>
      </c>
      <c r="B868" t="s">
        <v>27</v>
      </c>
      <c r="C868" s="1">
        <v>45847</v>
      </c>
      <c r="D868" t="s">
        <v>156</v>
      </c>
      <c r="E868" t="s">
        <v>155</v>
      </c>
      <c r="F868" s="15">
        <v>100000</v>
      </c>
      <c r="G868" s="163">
        <v>4168.07</v>
      </c>
    </row>
    <row r="869" spans="1:7" x14ac:dyDescent="0.35">
      <c r="A869" t="s">
        <v>20</v>
      </c>
      <c r="B869" s="24" t="s">
        <v>158</v>
      </c>
      <c r="C869" s="1">
        <v>45847</v>
      </c>
      <c r="D869" t="s">
        <v>156</v>
      </c>
      <c r="E869" t="s">
        <v>154</v>
      </c>
      <c r="F869" s="120">
        <v>97000</v>
      </c>
      <c r="G869" s="15">
        <v>4040</v>
      </c>
    </row>
    <row r="870" spans="1:7" x14ac:dyDescent="0.35">
      <c r="A870" t="s">
        <v>20</v>
      </c>
      <c r="B870" s="24" t="s">
        <v>162</v>
      </c>
      <c r="C870" s="1">
        <v>45847</v>
      </c>
      <c r="D870" t="s">
        <v>156</v>
      </c>
      <c r="E870" t="s">
        <v>154</v>
      </c>
      <c r="F870" s="120">
        <v>93000</v>
      </c>
      <c r="G870" s="15">
        <v>4040</v>
      </c>
    </row>
    <row r="871" spans="1:7" x14ac:dyDescent="0.35">
      <c r="A871" t="s">
        <v>20</v>
      </c>
      <c r="B871" s="24" t="s">
        <v>171</v>
      </c>
      <c r="C871" s="1">
        <v>45847</v>
      </c>
      <c r="D871" t="s">
        <v>156</v>
      </c>
      <c r="E871" t="s">
        <v>154</v>
      </c>
      <c r="F871" s="120">
        <v>140000</v>
      </c>
      <c r="G871" s="15">
        <v>4040</v>
      </c>
    </row>
    <row r="872" spans="1:7" x14ac:dyDescent="0.35">
      <c r="A872" t="s">
        <v>20</v>
      </c>
      <c r="B872" t="s">
        <v>27</v>
      </c>
      <c r="C872" s="1">
        <v>45847</v>
      </c>
      <c r="D872" t="s">
        <v>156</v>
      </c>
      <c r="E872" t="s">
        <v>154</v>
      </c>
      <c r="F872" s="15">
        <v>475000</v>
      </c>
      <c r="G872" s="163">
        <v>4032</v>
      </c>
    </row>
    <row r="873" spans="1:7" x14ac:dyDescent="0.35">
      <c r="A873" t="s">
        <v>19</v>
      </c>
      <c r="B873" t="s">
        <v>19</v>
      </c>
      <c r="C873" s="1">
        <v>45847</v>
      </c>
      <c r="D873" t="s">
        <v>156</v>
      </c>
      <c r="E873" t="s">
        <v>155</v>
      </c>
      <c r="F873" s="15">
        <v>100000</v>
      </c>
      <c r="G873" s="15">
        <v>4153.5600000000004</v>
      </c>
    </row>
    <row r="874" spans="1:7" x14ac:dyDescent="0.35">
      <c r="A874" t="s">
        <v>19</v>
      </c>
      <c r="B874" t="s">
        <v>19</v>
      </c>
      <c r="C874" s="1">
        <v>45847</v>
      </c>
      <c r="D874" t="s">
        <v>156</v>
      </c>
      <c r="E874" t="s">
        <v>155</v>
      </c>
      <c r="F874" s="15">
        <v>150000</v>
      </c>
      <c r="G874" s="15">
        <v>4196.08</v>
      </c>
    </row>
    <row r="875" spans="1:7" x14ac:dyDescent="0.35">
      <c r="A875" t="s">
        <v>19</v>
      </c>
      <c r="B875" t="s">
        <v>19</v>
      </c>
      <c r="C875" s="1">
        <v>45847</v>
      </c>
      <c r="D875" t="s">
        <v>156</v>
      </c>
      <c r="E875" t="s">
        <v>155</v>
      </c>
      <c r="F875" s="15">
        <v>100000</v>
      </c>
      <c r="G875" s="15">
        <v>4161.6099999999997</v>
      </c>
    </row>
    <row r="876" spans="1:7" x14ac:dyDescent="0.35">
      <c r="A876" t="s">
        <v>19</v>
      </c>
      <c r="B876" t="s">
        <v>19</v>
      </c>
      <c r="C876" s="1">
        <v>45847</v>
      </c>
      <c r="D876" t="s">
        <v>156</v>
      </c>
      <c r="E876" t="s">
        <v>155</v>
      </c>
      <c r="F876" s="15">
        <v>200000</v>
      </c>
      <c r="G876" s="15">
        <v>4175.33</v>
      </c>
    </row>
    <row r="877" spans="1:7" x14ac:dyDescent="0.35">
      <c r="A877" t="s">
        <v>19</v>
      </c>
      <c r="B877" t="s">
        <v>19</v>
      </c>
      <c r="C877" s="1">
        <v>45847</v>
      </c>
      <c r="D877" t="s">
        <v>156</v>
      </c>
      <c r="E877" t="s">
        <v>155</v>
      </c>
      <c r="F877" s="15">
        <v>80000</v>
      </c>
      <c r="G877" s="15">
        <v>4338.07</v>
      </c>
    </row>
    <row r="878" spans="1:7" x14ac:dyDescent="0.35">
      <c r="A878" t="s">
        <v>19</v>
      </c>
      <c r="B878" t="s">
        <v>19</v>
      </c>
      <c r="C878" s="1">
        <v>45847</v>
      </c>
      <c r="D878" t="s">
        <v>156</v>
      </c>
      <c r="E878" t="s">
        <v>154</v>
      </c>
      <c r="F878" s="15">
        <v>380000</v>
      </c>
      <c r="G878" s="15">
        <v>4040</v>
      </c>
    </row>
    <row r="879" spans="1:7" x14ac:dyDescent="0.35">
      <c r="A879" t="s">
        <v>20</v>
      </c>
      <c r="B879" t="s">
        <v>26</v>
      </c>
      <c r="C879" s="1">
        <v>45848</v>
      </c>
      <c r="D879" t="s">
        <v>156</v>
      </c>
      <c r="E879" t="s">
        <v>154</v>
      </c>
      <c r="F879" s="15">
        <v>656000</v>
      </c>
      <c r="G879" s="15">
        <v>4000</v>
      </c>
    </row>
    <row r="880" spans="1:7" x14ac:dyDescent="0.35">
      <c r="A880" t="s">
        <v>20</v>
      </c>
      <c r="B880" t="s">
        <v>171</v>
      </c>
      <c r="C880" s="1">
        <v>45852</v>
      </c>
      <c r="D880" t="s">
        <v>156</v>
      </c>
      <c r="E880" t="s">
        <v>154</v>
      </c>
      <c r="F880" s="15">
        <v>43000</v>
      </c>
      <c r="G880" s="15">
        <v>4017</v>
      </c>
    </row>
    <row r="881" spans="1:7" x14ac:dyDescent="0.35">
      <c r="A881" t="s">
        <v>20</v>
      </c>
      <c r="B881" t="s">
        <v>173</v>
      </c>
      <c r="C881" s="1">
        <v>45853</v>
      </c>
      <c r="D881" t="s">
        <v>156</v>
      </c>
      <c r="E881" t="s">
        <v>155</v>
      </c>
      <c r="F881" s="15">
        <v>50000</v>
      </c>
      <c r="G881" s="166">
        <v>4052.6</v>
      </c>
    </row>
    <row r="882" spans="1:7" x14ac:dyDescent="0.35">
      <c r="A882" t="s">
        <v>20</v>
      </c>
      <c r="B882" t="s">
        <v>173</v>
      </c>
      <c r="C882" s="1">
        <v>45853</v>
      </c>
      <c r="D882" t="s">
        <v>156</v>
      </c>
      <c r="E882" t="s">
        <v>155</v>
      </c>
      <c r="F882" s="15">
        <v>200000</v>
      </c>
      <c r="G882" s="166">
        <v>4094</v>
      </c>
    </row>
    <row r="883" spans="1:7" x14ac:dyDescent="0.35">
      <c r="A883" t="s">
        <v>20</v>
      </c>
      <c r="B883" t="s">
        <v>173</v>
      </c>
      <c r="C883" s="1">
        <v>45853</v>
      </c>
      <c r="D883" t="s">
        <v>156</v>
      </c>
      <c r="E883" t="s">
        <v>154</v>
      </c>
      <c r="F883" s="15">
        <v>179000</v>
      </c>
      <c r="G883" s="163">
        <v>3998</v>
      </c>
    </row>
    <row r="884" spans="1:7" x14ac:dyDescent="0.35">
      <c r="A884" t="s">
        <v>19</v>
      </c>
      <c r="B884" t="s">
        <v>19</v>
      </c>
      <c r="C884" s="1">
        <v>45854</v>
      </c>
      <c r="D884" t="s">
        <v>156</v>
      </c>
      <c r="E884" t="s">
        <v>155</v>
      </c>
      <c r="F884" s="15">
        <v>100000</v>
      </c>
      <c r="G884" s="163">
        <v>4199.22</v>
      </c>
    </row>
    <row r="885" spans="1:7" x14ac:dyDescent="0.35">
      <c r="A885" t="s">
        <v>19</v>
      </c>
      <c r="B885" t="s">
        <v>19</v>
      </c>
      <c r="C885" s="1">
        <v>45854</v>
      </c>
      <c r="D885" t="s">
        <v>156</v>
      </c>
      <c r="E885" t="s">
        <v>155</v>
      </c>
      <c r="F885" s="15">
        <v>100000</v>
      </c>
      <c r="G885" s="163">
        <v>4257.79</v>
      </c>
    </row>
    <row r="886" spans="1:7" x14ac:dyDescent="0.35">
      <c r="A886" t="s">
        <v>19</v>
      </c>
      <c r="B886" t="s">
        <v>19</v>
      </c>
      <c r="C886" s="1">
        <v>45854</v>
      </c>
      <c r="D886" t="s">
        <v>156</v>
      </c>
      <c r="E886" t="s">
        <v>155</v>
      </c>
      <c r="F886" s="15">
        <v>80000</v>
      </c>
      <c r="G886" s="163">
        <v>4223.79</v>
      </c>
    </row>
    <row r="887" spans="1:7" x14ac:dyDescent="0.35">
      <c r="A887" t="s">
        <v>19</v>
      </c>
      <c r="B887" t="s">
        <v>19</v>
      </c>
      <c r="C887" s="1">
        <v>45854</v>
      </c>
      <c r="D887" t="s">
        <v>156</v>
      </c>
      <c r="E887" t="s">
        <v>155</v>
      </c>
      <c r="F887" s="15">
        <v>80000</v>
      </c>
      <c r="G887" s="163">
        <v>4342.32</v>
      </c>
    </row>
    <row r="888" spans="1:7" x14ac:dyDescent="0.35">
      <c r="A888" t="s">
        <v>19</v>
      </c>
      <c r="B888" t="s">
        <v>19</v>
      </c>
      <c r="C888" s="1">
        <v>45854</v>
      </c>
      <c r="D888" t="s">
        <v>156</v>
      </c>
      <c r="E888" t="s">
        <v>155</v>
      </c>
      <c r="F888" s="15">
        <v>100000</v>
      </c>
      <c r="G888" s="163">
        <v>4253.51</v>
      </c>
    </row>
    <row r="889" spans="1:7" x14ac:dyDescent="0.35">
      <c r="A889" t="s">
        <v>19</v>
      </c>
      <c r="B889" t="s">
        <v>19</v>
      </c>
      <c r="C889" s="1">
        <v>45854</v>
      </c>
      <c r="D889" t="s">
        <v>156</v>
      </c>
      <c r="E889" t="s">
        <v>155</v>
      </c>
      <c r="F889" s="15">
        <v>100000</v>
      </c>
      <c r="G889" s="161">
        <v>4202.16</v>
      </c>
    </row>
    <row r="890" spans="1:7" x14ac:dyDescent="0.35">
      <c r="A890" t="s">
        <v>19</v>
      </c>
      <c r="B890" t="s">
        <v>19</v>
      </c>
      <c r="C890" s="1">
        <v>45854</v>
      </c>
      <c r="D890" t="s">
        <v>156</v>
      </c>
      <c r="E890" t="s">
        <v>155</v>
      </c>
      <c r="F890" s="15">
        <v>100000</v>
      </c>
      <c r="G890" s="163">
        <v>4001.69</v>
      </c>
    </row>
    <row r="891" spans="1:7" x14ac:dyDescent="0.35">
      <c r="A891" t="s">
        <v>19</v>
      </c>
      <c r="B891" t="s">
        <v>19</v>
      </c>
      <c r="C891" s="1">
        <v>45854</v>
      </c>
      <c r="D891" t="s">
        <v>156</v>
      </c>
      <c r="E891" t="s">
        <v>154</v>
      </c>
      <c r="F891" s="15">
        <v>455000</v>
      </c>
      <c r="G891" s="15">
        <v>4036</v>
      </c>
    </row>
    <row r="892" spans="1:7" x14ac:dyDescent="0.35">
      <c r="A892" t="s">
        <v>20</v>
      </c>
      <c r="B892" t="s">
        <v>158</v>
      </c>
      <c r="C892" s="1">
        <v>45854</v>
      </c>
      <c r="D892" t="s">
        <v>156</v>
      </c>
      <c r="E892" t="s">
        <v>155</v>
      </c>
      <c r="F892" s="96">
        <v>100000</v>
      </c>
      <c r="G892" s="163">
        <v>4289.4699999999993</v>
      </c>
    </row>
    <row r="893" spans="1:7" x14ac:dyDescent="0.35">
      <c r="A893" t="s">
        <v>20</v>
      </c>
      <c r="B893" t="s">
        <v>27</v>
      </c>
      <c r="C893" s="1">
        <v>45854</v>
      </c>
      <c r="D893" t="s">
        <v>156</v>
      </c>
      <c r="E893" t="s">
        <v>155</v>
      </c>
      <c r="F893" s="96">
        <v>150000</v>
      </c>
      <c r="G893" s="15">
        <v>4117.88</v>
      </c>
    </row>
    <row r="894" spans="1:7" x14ac:dyDescent="0.35">
      <c r="A894" t="s">
        <v>20</v>
      </c>
      <c r="B894" t="s">
        <v>27</v>
      </c>
      <c r="C894" s="1">
        <v>45854</v>
      </c>
      <c r="D894" t="s">
        <v>156</v>
      </c>
      <c r="E894" t="s">
        <v>155</v>
      </c>
      <c r="F894" s="96">
        <v>50000</v>
      </c>
      <c r="G894" s="161">
        <v>4165.12</v>
      </c>
    </row>
    <row r="895" spans="1:7" x14ac:dyDescent="0.35">
      <c r="A895" t="s">
        <v>20</v>
      </c>
      <c r="B895" t="s">
        <v>162</v>
      </c>
      <c r="C895" s="1">
        <v>45854</v>
      </c>
      <c r="D895" t="s">
        <v>156</v>
      </c>
      <c r="E895" t="s">
        <v>155</v>
      </c>
      <c r="F895" s="96">
        <v>100000</v>
      </c>
      <c r="G895" s="161">
        <v>4080.01</v>
      </c>
    </row>
    <row r="896" spans="1:7" x14ac:dyDescent="0.35">
      <c r="A896" t="s">
        <v>20</v>
      </c>
      <c r="B896" t="s">
        <v>158</v>
      </c>
      <c r="C896" s="1">
        <v>45854</v>
      </c>
      <c r="D896" t="s">
        <v>156</v>
      </c>
      <c r="E896" t="s">
        <v>155</v>
      </c>
      <c r="F896" s="96">
        <v>100000</v>
      </c>
      <c r="G896" s="161">
        <v>4001.69</v>
      </c>
    </row>
    <row r="897" spans="1:7" x14ac:dyDescent="0.35">
      <c r="A897" t="s">
        <v>20</v>
      </c>
      <c r="B897" t="s">
        <v>27</v>
      </c>
      <c r="C897" s="1">
        <v>45854</v>
      </c>
      <c r="D897" t="s">
        <v>156</v>
      </c>
      <c r="E897" t="s">
        <v>155</v>
      </c>
      <c r="F897" s="96">
        <v>100000</v>
      </c>
      <c r="G897" s="161">
        <v>4008.7</v>
      </c>
    </row>
    <row r="898" spans="1:7" x14ac:dyDescent="0.35">
      <c r="A898" t="s">
        <v>20</v>
      </c>
      <c r="B898" s="24" t="s">
        <v>158</v>
      </c>
      <c r="C898" s="1">
        <v>45854</v>
      </c>
      <c r="D898" t="s">
        <v>156</v>
      </c>
      <c r="E898" t="s">
        <v>154</v>
      </c>
      <c r="F898" s="120">
        <v>652000</v>
      </c>
      <c r="G898" s="161">
        <v>4036</v>
      </c>
    </row>
    <row r="899" spans="1:7" x14ac:dyDescent="0.35">
      <c r="A899" t="s">
        <v>20</v>
      </c>
      <c r="B899" s="24" t="s">
        <v>27</v>
      </c>
      <c r="C899" s="1">
        <v>45854</v>
      </c>
      <c r="D899" t="s">
        <v>156</v>
      </c>
      <c r="E899" t="s">
        <v>154</v>
      </c>
      <c r="F899" s="120">
        <v>11000</v>
      </c>
      <c r="G899" s="161">
        <v>4036</v>
      </c>
    </row>
    <row r="900" spans="1:7" x14ac:dyDescent="0.35">
      <c r="A900" t="s">
        <v>20</v>
      </c>
      <c r="B900" s="24" t="s">
        <v>171</v>
      </c>
      <c r="C900" s="1">
        <v>45854</v>
      </c>
      <c r="D900" t="s">
        <v>156</v>
      </c>
      <c r="E900" t="s">
        <v>154</v>
      </c>
      <c r="F900" s="120">
        <v>15000</v>
      </c>
      <c r="G900" s="161">
        <v>4036</v>
      </c>
    </row>
    <row r="901" spans="1:7" x14ac:dyDescent="0.35">
      <c r="A901" t="s">
        <v>20</v>
      </c>
      <c r="B901" t="s">
        <v>217</v>
      </c>
      <c r="C901" s="1">
        <v>45854</v>
      </c>
      <c r="D901" t="s">
        <v>156</v>
      </c>
      <c r="E901" t="s">
        <v>154</v>
      </c>
      <c r="F901" s="167">
        <v>64000</v>
      </c>
      <c r="G901" s="161">
        <v>4036</v>
      </c>
    </row>
    <row r="902" spans="1:7" x14ac:dyDescent="0.35">
      <c r="A902" s="168" t="s">
        <v>20</v>
      </c>
      <c r="B902" t="s">
        <v>26</v>
      </c>
      <c r="C902" s="1">
        <v>45855</v>
      </c>
      <c r="D902" t="s">
        <v>156</v>
      </c>
      <c r="E902" t="s">
        <v>154</v>
      </c>
      <c r="F902" s="96">
        <v>226000</v>
      </c>
      <c r="G902" s="169">
        <v>4018</v>
      </c>
    </row>
    <row r="903" spans="1:7" x14ac:dyDescent="0.35">
      <c r="A903" t="s">
        <v>20</v>
      </c>
      <c r="B903" t="s">
        <v>158</v>
      </c>
      <c r="C903" s="1">
        <v>45861</v>
      </c>
      <c r="D903" t="s">
        <v>156</v>
      </c>
      <c r="E903" t="s">
        <v>155</v>
      </c>
      <c r="F903" s="15">
        <v>100000</v>
      </c>
      <c r="G903" s="161">
        <v>4195.74</v>
      </c>
    </row>
    <row r="904" spans="1:7" x14ac:dyDescent="0.35">
      <c r="A904" t="s">
        <v>20</v>
      </c>
      <c r="B904" t="s">
        <v>158</v>
      </c>
      <c r="C904" s="1">
        <v>45861</v>
      </c>
      <c r="D904" t="s">
        <v>156</v>
      </c>
      <c r="E904" t="s">
        <v>155</v>
      </c>
      <c r="F904" s="15">
        <v>100000</v>
      </c>
      <c r="G904" s="161">
        <v>4038.33</v>
      </c>
    </row>
    <row r="905" spans="1:7" x14ac:dyDescent="0.35">
      <c r="A905" t="s">
        <v>20</v>
      </c>
      <c r="B905" t="s">
        <v>158</v>
      </c>
      <c r="C905" s="1">
        <v>45861</v>
      </c>
      <c r="D905" t="s">
        <v>156</v>
      </c>
      <c r="E905" t="s">
        <v>155</v>
      </c>
      <c r="F905" s="15">
        <v>50000</v>
      </c>
      <c r="G905" s="161">
        <v>4222.1499999999996</v>
      </c>
    </row>
    <row r="906" spans="1:7" x14ac:dyDescent="0.35">
      <c r="A906" t="s">
        <v>20</v>
      </c>
      <c r="B906" s="24" t="s">
        <v>158</v>
      </c>
      <c r="C906" s="1">
        <v>45861</v>
      </c>
      <c r="D906" t="s">
        <v>156</v>
      </c>
      <c r="E906" t="s">
        <v>154</v>
      </c>
      <c r="F906" s="120">
        <v>360000</v>
      </c>
      <c r="G906" s="161">
        <v>4076</v>
      </c>
    </row>
    <row r="907" spans="1:7" x14ac:dyDescent="0.35">
      <c r="A907" t="s">
        <v>20</v>
      </c>
      <c r="B907" s="24" t="s">
        <v>162</v>
      </c>
      <c r="C907" s="1">
        <v>45861</v>
      </c>
      <c r="D907" t="s">
        <v>156</v>
      </c>
      <c r="E907" t="s">
        <v>154</v>
      </c>
      <c r="F907" s="120">
        <v>160000</v>
      </c>
      <c r="G907" s="161">
        <v>4076</v>
      </c>
    </row>
    <row r="908" spans="1:7" x14ac:dyDescent="0.35">
      <c r="A908" t="s">
        <v>20</v>
      </c>
      <c r="B908" s="24" t="s">
        <v>171</v>
      </c>
      <c r="C908" s="1">
        <v>45861</v>
      </c>
      <c r="D908" t="s">
        <v>156</v>
      </c>
      <c r="E908" t="s">
        <v>154</v>
      </c>
      <c r="F908" s="120">
        <v>20000</v>
      </c>
      <c r="G908" s="161">
        <v>4076</v>
      </c>
    </row>
    <row r="909" spans="1:7" x14ac:dyDescent="0.35">
      <c r="A909" t="s">
        <v>19</v>
      </c>
      <c r="B909" t="s">
        <v>19</v>
      </c>
      <c r="C909" s="1">
        <v>45861</v>
      </c>
      <c r="D909" t="s">
        <v>156</v>
      </c>
      <c r="E909" t="s">
        <v>155</v>
      </c>
      <c r="F909" s="15">
        <v>80000</v>
      </c>
      <c r="G909" s="161">
        <v>4346.58</v>
      </c>
    </row>
    <row r="910" spans="1:7" x14ac:dyDescent="0.35">
      <c r="A910" t="s">
        <v>19</v>
      </c>
      <c r="B910" t="s">
        <v>19</v>
      </c>
      <c r="C910" s="1">
        <v>45861</v>
      </c>
      <c r="D910" t="s">
        <v>156</v>
      </c>
      <c r="E910" t="s">
        <v>155</v>
      </c>
      <c r="F910" s="15">
        <v>150000</v>
      </c>
      <c r="G910" s="161">
        <v>4282.71</v>
      </c>
    </row>
    <row r="911" spans="1:7" x14ac:dyDescent="0.35">
      <c r="A911" t="s">
        <v>19</v>
      </c>
      <c r="B911" t="s">
        <v>19</v>
      </c>
      <c r="C911" s="1">
        <v>45861</v>
      </c>
      <c r="D911" t="s">
        <v>156</v>
      </c>
      <c r="E911" t="s">
        <v>155</v>
      </c>
      <c r="F911" s="15">
        <v>100000</v>
      </c>
      <c r="G911" s="161">
        <v>4232.45</v>
      </c>
    </row>
    <row r="912" spans="1:7" x14ac:dyDescent="0.35">
      <c r="A912" t="s">
        <v>19</v>
      </c>
      <c r="B912" t="s">
        <v>19</v>
      </c>
      <c r="C912" s="1">
        <v>45861</v>
      </c>
      <c r="D912" t="s">
        <v>156</v>
      </c>
      <c r="E912" t="s">
        <v>155</v>
      </c>
      <c r="F912" s="15">
        <v>100000</v>
      </c>
      <c r="G912" s="161">
        <v>4206.4399999999996</v>
      </c>
    </row>
    <row r="913" spans="1:7" x14ac:dyDescent="0.35">
      <c r="A913" t="s">
        <v>19</v>
      </c>
      <c r="B913" t="s">
        <v>19</v>
      </c>
      <c r="C913" s="1">
        <v>45861</v>
      </c>
      <c r="D913" t="s">
        <v>156</v>
      </c>
      <c r="E913" t="s">
        <v>155</v>
      </c>
      <c r="F913" s="15">
        <v>100000</v>
      </c>
      <c r="G913" s="161">
        <v>4208.4799999999996</v>
      </c>
    </row>
    <row r="914" spans="1:7" x14ac:dyDescent="0.35">
      <c r="A914" t="s">
        <v>19</v>
      </c>
      <c r="B914" t="s">
        <v>19</v>
      </c>
      <c r="C914" s="1">
        <v>45861</v>
      </c>
      <c r="D914" t="s">
        <v>156</v>
      </c>
      <c r="E914" t="s">
        <v>155</v>
      </c>
      <c r="F914" s="15">
        <v>50000</v>
      </c>
      <c r="G914" s="161">
        <v>4038.33</v>
      </c>
    </row>
    <row r="915" spans="1:7" x14ac:dyDescent="0.35">
      <c r="A915" t="s">
        <v>19</v>
      </c>
      <c r="B915" t="s">
        <v>19</v>
      </c>
      <c r="C915" s="1">
        <v>45861</v>
      </c>
      <c r="D915" t="s">
        <v>156</v>
      </c>
      <c r="E915" t="s">
        <v>154</v>
      </c>
      <c r="F915" s="15">
        <v>220000</v>
      </c>
      <c r="G915" s="161">
        <v>4076</v>
      </c>
    </row>
    <row r="916" spans="1:7" x14ac:dyDescent="0.35">
      <c r="A916" t="s">
        <v>20</v>
      </c>
      <c r="B916" t="s">
        <v>217</v>
      </c>
      <c r="C916" s="1">
        <v>45861</v>
      </c>
      <c r="D916" t="s">
        <v>156</v>
      </c>
      <c r="E916" t="s">
        <v>154</v>
      </c>
      <c r="F916" s="15">
        <v>64000</v>
      </c>
      <c r="G916" s="161">
        <v>4076</v>
      </c>
    </row>
    <row r="917" spans="1:7" x14ac:dyDescent="0.35">
      <c r="A917" t="s">
        <v>20</v>
      </c>
      <c r="B917" t="s">
        <v>26</v>
      </c>
      <c r="C917" s="1">
        <v>45863</v>
      </c>
      <c r="D917" t="s">
        <v>156</v>
      </c>
      <c r="E917" t="s">
        <v>154</v>
      </c>
      <c r="F917" s="15">
        <v>238000</v>
      </c>
      <c r="G917" s="161">
        <v>4082</v>
      </c>
    </row>
    <row r="918" spans="1:7" x14ac:dyDescent="0.35">
      <c r="A918" t="s">
        <v>19</v>
      </c>
      <c r="B918" t="s">
        <v>19</v>
      </c>
      <c r="C918" s="1">
        <v>45863</v>
      </c>
      <c r="D918" t="s">
        <v>156</v>
      </c>
      <c r="E918" t="s">
        <v>154</v>
      </c>
      <c r="F918" s="15">
        <v>180000</v>
      </c>
      <c r="G918" s="161">
        <v>4082</v>
      </c>
    </row>
    <row r="919" spans="1:7" x14ac:dyDescent="0.35">
      <c r="A919" t="s">
        <v>19</v>
      </c>
      <c r="B919" t="s">
        <v>19</v>
      </c>
      <c r="C919" s="1">
        <v>45867</v>
      </c>
      <c r="D919" t="s">
        <v>156</v>
      </c>
      <c r="E919" t="s">
        <v>155</v>
      </c>
      <c r="F919" s="15">
        <v>100000</v>
      </c>
      <c r="G919" s="161">
        <v>4235.97</v>
      </c>
    </row>
    <row r="920" spans="1:7" x14ac:dyDescent="0.35">
      <c r="A920" t="s">
        <v>19</v>
      </c>
      <c r="B920" t="s">
        <v>19</v>
      </c>
      <c r="C920" s="1">
        <v>45867</v>
      </c>
      <c r="D920" t="s">
        <v>156</v>
      </c>
      <c r="E920" t="s">
        <v>155</v>
      </c>
      <c r="F920" s="15">
        <v>100000</v>
      </c>
      <c r="G920" s="161">
        <v>4249.8500000000004</v>
      </c>
    </row>
    <row r="921" spans="1:7" x14ac:dyDescent="0.35">
      <c r="A921" t="s">
        <v>19</v>
      </c>
      <c r="B921" t="s">
        <v>19</v>
      </c>
      <c r="C921" s="1">
        <v>45867</v>
      </c>
      <c r="D921" t="s">
        <v>156</v>
      </c>
      <c r="E921" t="s">
        <v>155</v>
      </c>
      <c r="F921" s="15">
        <v>100000</v>
      </c>
      <c r="G921" s="161">
        <v>4232.71</v>
      </c>
    </row>
    <row r="922" spans="1:7" x14ac:dyDescent="0.35">
      <c r="A922" t="s">
        <v>19</v>
      </c>
      <c r="B922" t="s">
        <v>19</v>
      </c>
      <c r="C922" s="1">
        <v>45867</v>
      </c>
      <c r="D922" t="s">
        <v>156</v>
      </c>
      <c r="E922" t="s">
        <v>155</v>
      </c>
      <c r="F922" s="15">
        <v>100000</v>
      </c>
      <c r="G922" s="161">
        <v>4209.57</v>
      </c>
    </row>
    <row r="923" spans="1:7" x14ac:dyDescent="0.35">
      <c r="A923" t="s">
        <v>19</v>
      </c>
      <c r="B923" t="s">
        <v>19</v>
      </c>
      <c r="C923" s="1">
        <v>45867</v>
      </c>
      <c r="D923" t="s">
        <v>156</v>
      </c>
      <c r="E923" t="s">
        <v>155</v>
      </c>
      <c r="F923" s="15">
        <v>100000</v>
      </c>
      <c r="G923" s="161">
        <v>4014.55</v>
      </c>
    </row>
    <row r="924" spans="1:7" x14ac:dyDescent="0.35">
      <c r="A924" t="s">
        <v>19</v>
      </c>
      <c r="B924" t="s">
        <v>19</v>
      </c>
      <c r="C924" s="1">
        <v>45867</v>
      </c>
      <c r="D924" t="s">
        <v>156</v>
      </c>
      <c r="E924" t="s">
        <v>155</v>
      </c>
      <c r="F924" s="15">
        <v>120000</v>
      </c>
      <c r="G924" s="161">
        <v>4041.19</v>
      </c>
    </row>
    <row r="925" spans="1:7" x14ac:dyDescent="0.35">
      <c r="A925" t="s">
        <v>19</v>
      </c>
      <c r="B925" t="s">
        <v>19</v>
      </c>
      <c r="C925" s="1">
        <v>45867</v>
      </c>
      <c r="D925" t="s">
        <v>156</v>
      </c>
      <c r="E925" t="s">
        <v>154</v>
      </c>
      <c r="F925" s="15">
        <v>45000</v>
      </c>
      <c r="G925" s="161">
        <v>4167</v>
      </c>
    </row>
    <row r="926" spans="1:7" x14ac:dyDescent="0.35">
      <c r="A926" t="s">
        <v>20</v>
      </c>
      <c r="B926" t="s">
        <v>158</v>
      </c>
      <c r="C926" s="1">
        <v>45867</v>
      </c>
      <c r="D926" t="s">
        <v>156</v>
      </c>
      <c r="E926" t="s">
        <v>155</v>
      </c>
      <c r="F926" s="96">
        <v>100000</v>
      </c>
      <c r="G926" s="161">
        <v>4038.48</v>
      </c>
    </row>
    <row r="927" spans="1:7" x14ac:dyDescent="0.35">
      <c r="A927" t="s">
        <v>20</v>
      </c>
      <c r="B927" t="s">
        <v>158</v>
      </c>
      <c r="C927" s="1">
        <v>45867</v>
      </c>
      <c r="D927" t="s">
        <v>156</v>
      </c>
      <c r="E927" t="s">
        <v>155</v>
      </c>
      <c r="F927" s="96">
        <v>150000</v>
      </c>
      <c r="G927" s="161">
        <v>4014.55</v>
      </c>
    </row>
    <row r="928" spans="1:7" x14ac:dyDescent="0.35">
      <c r="A928" t="s">
        <v>20</v>
      </c>
      <c r="B928" t="s">
        <v>158</v>
      </c>
      <c r="C928" s="1">
        <v>45867</v>
      </c>
      <c r="D928" t="s">
        <v>156</v>
      </c>
      <c r="E928" t="s">
        <v>155</v>
      </c>
      <c r="F928" s="96">
        <v>100000</v>
      </c>
      <c r="G928" s="161">
        <v>4041.19</v>
      </c>
    </row>
    <row r="929" spans="1:7" x14ac:dyDescent="0.35">
      <c r="A929" t="s">
        <v>20</v>
      </c>
      <c r="B929" s="24" t="s">
        <v>26</v>
      </c>
      <c r="C929" s="1">
        <v>45870</v>
      </c>
      <c r="D929" t="s">
        <v>156</v>
      </c>
      <c r="E929" t="s">
        <v>154</v>
      </c>
      <c r="F929" s="120">
        <v>180000</v>
      </c>
      <c r="G929" s="161">
        <v>4137</v>
      </c>
    </row>
    <row r="930" spans="1:7" x14ac:dyDescent="0.35">
      <c r="A930" t="s">
        <v>20</v>
      </c>
      <c r="B930" s="24" t="s">
        <v>171</v>
      </c>
      <c r="C930" s="1">
        <v>45870</v>
      </c>
      <c r="D930" t="s">
        <v>156</v>
      </c>
      <c r="E930" t="s">
        <v>154</v>
      </c>
      <c r="F930" s="120">
        <v>296000</v>
      </c>
      <c r="G930" s="161">
        <v>4137</v>
      </c>
    </row>
    <row r="931" spans="1:7" x14ac:dyDescent="0.35">
      <c r="A931" t="s">
        <v>20</v>
      </c>
      <c r="B931" s="24" t="s">
        <v>158</v>
      </c>
      <c r="C931" s="1">
        <v>45870</v>
      </c>
      <c r="D931" t="s">
        <v>156</v>
      </c>
      <c r="E931" t="s">
        <v>154</v>
      </c>
      <c r="F931" s="120">
        <v>455000</v>
      </c>
      <c r="G931" s="161">
        <v>4137</v>
      </c>
    </row>
    <row r="932" spans="1:7" x14ac:dyDescent="0.35">
      <c r="A932" t="s">
        <v>20</v>
      </c>
      <c r="B932" s="24" t="s">
        <v>162</v>
      </c>
      <c r="C932" s="1">
        <v>45870</v>
      </c>
      <c r="D932" t="s">
        <v>156</v>
      </c>
      <c r="E932" t="s">
        <v>154</v>
      </c>
      <c r="F932" s="120">
        <v>119000</v>
      </c>
      <c r="G932" s="161">
        <v>4137</v>
      </c>
    </row>
    <row r="933" spans="1:7" x14ac:dyDescent="0.35">
      <c r="A933" t="s">
        <v>20</v>
      </c>
      <c r="B933" t="s">
        <v>171</v>
      </c>
      <c r="C933" s="1">
        <v>45874</v>
      </c>
      <c r="D933" t="s">
        <v>156</v>
      </c>
      <c r="E933" t="s">
        <v>154</v>
      </c>
      <c r="F933" s="15">
        <v>40000</v>
      </c>
      <c r="G933" s="161">
        <v>4101</v>
      </c>
    </row>
    <row r="934" spans="1:7" x14ac:dyDescent="0.35">
      <c r="A934" t="s">
        <v>20</v>
      </c>
      <c r="B934" t="s">
        <v>158</v>
      </c>
      <c r="C934" s="1">
        <v>45875</v>
      </c>
      <c r="D934" t="s">
        <v>156</v>
      </c>
      <c r="E934" t="s">
        <v>155</v>
      </c>
      <c r="F934" s="96">
        <v>80000</v>
      </c>
      <c r="G934" s="161">
        <v>4355.1000000000004</v>
      </c>
    </row>
    <row r="935" spans="1:7" x14ac:dyDescent="0.35">
      <c r="A935" t="s">
        <v>20</v>
      </c>
      <c r="B935" t="s">
        <v>27</v>
      </c>
      <c r="C935" s="1">
        <v>45875</v>
      </c>
      <c r="D935" t="s">
        <v>156</v>
      </c>
      <c r="E935" t="s">
        <v>155</v>
      </c>
      <c r="F935" s="96">
        <v>100000</v>
      </c>
      <c r="G935" s="161">
        <v>4165.95</v>
      </c>
    </row>
    <row r="936" spans="1:7" x14ac:dyDescent="0.35">
      <c r="A936" t="s">
        <v>20</v>
      </c>
      <c r="B936" t="s">
        <v>27</v>
      </c>
      <c r="C936" s="1">
        <v>45875</v>
      </c>
      <c r="D936" t="s">
        <v>156</v>
      </c>
      <c r="E936" t="s">
        <v>155</v>
      </c>
      <c r="F936" s="96">
        <v>100000</v>
      </c>
      <c r="G936" s="161">
        <v>4130.26</v>
      </c>
    </row>
    <row r="937" spans="1:7" x14ac:dyDescent="0.35">
      <c r="A937" t="s">
        <v>20</v>
      </c>
      <c r="B937" t="s">
        <v>27</v>
      </c>
      <c r="C937" s="1">
        <v>45875</v>
      </c>
      <c r="D937" t="s">
        <v>156</v>
      </c>
      <c r="E937" t="s">
        <v>155</v>
      </c>
      <c r="F937" s="96">
        <v>50000</v>
      </c>
      <c r="G937" s="161">
        <v>4061.89</v>
      </c>
    </row>
    <row r="938" spans="1:7" x14ac:dyDescent="0.35">
      <c r="A938" t="s">
        <v>20</v>
      </c>
      <c r="B938" s="24" t="s">
        <v>171</v>
      </c>
      <c r="C938" s="1">
        <v>45875</v>
      </c>
      <c r="D938" t="s">
        <v>156</v>
      </c>
      <c r="E938" t="s">
        <v>154</v>
      </c>
      <c r="F938" s="120">
        <v>11000</v>
      </c>
      <c r="G938" s="161">
        <v>4075</v>
      </c>
    </row>
    <row r="939" spans="1:7" x14ac:dyDescent="0.35">
      <c r="A939" t="s">
        <v>20</v>
      </c>
      <c r="B939" s="24" t="s">
        <v>162</v>
      </c>
      <c r="C939" s="1">
        <v>45875</v>
      </c>
      <c r="D939" t="s">
        <v>156</v>
      </c>
      <c r="E939" t="s">
        <v>154</v>
      </c>
      <c r="F939" s="120">
        <v>175060.43</v>
      </c>
      <c r="G939" s="161">
        <v>4075</v>
      </c>
    </row>
    <row r="940" spans="1:7" x14ac:dyDescent="0.35">
      <c r="A940" t="s">
        <v>20</v>
      </c>
      <c r="B940" s="24" t="s">
        <v>158</v>
      </c>
      <c r="C940" s="1">
        <v>45875</v>
      </c>
      <c r="D940" t="s">
        <v>156</v>
      </c>
      <c r="E940" t="s">
        <v>154</v>
      </c>
      <c r="F940" s="120">
        <v>498939.57</v>
      </c>
      <c r="G940" s="161">
        <v>4075</v>
      </c>
    </row>
    <row r="941" spans="1:7" x14ac:dyDescent="0.35">
      <c r="A941" t="s">
        <v>19</v>
      </c>
      <c r="B941" t="s">
        <v>19</v>
      </c>
      <c r="C941" s="1">
        <v>45875</v>
      </c>
      <c r="D941" t="s">
        <v>156</v>
      </c>
      <c r="E941" t="s">
        <v>155</v>
      </c>
      <c r="F941" s="15">
        <v>80000</v>
      </c>
      <c r="G941" s="161">
        <v>4355.1000000000004</v>
      </c>
    </row>
    <row r="942" spans="1:7" x14ac:dyDescent="0.35">
      <c r="A942" t="s">
        <v>19</v>
      </c>
      <c r="B942" t="s">
        <v>19</v>
      </c>
      <c r="C942" s="1">
        <v>45875</v>
      </c>
      <c r="D942" t="s">
        <v>156</v>
      </c>
      <c r="E942" t="s">
        <v>155</v>
      </c>
      <c r="F942" s="15">
        <v>100000</v>
      </c>
      <c r="G942" s="161">
        <v>4240.7700000000004</v>
      </c>
    </row>
    <row r="943" spans="1:7" x14ac:dyDescent="0.35">
      <c r="A943" t="s">
        <v>19</v>
      </c>
      <c r="B943" t="s">
        <v>19</v>
      </c>
      <c r="C943" s="1">
        <v>45875</v>
      </c>
      <c r="D943" t="s">
        <v>156</v>
      </c>
      <c r="E943" t="s">
        <v>155</v>
      </c>
      <c r="F943" s="15">
        <v>150000</v>
      </c>
      <c r="G943" s="161">
        <v>4216.55</v>
      </c>
    </row>
    <row r="944" spans="1:7" x14ac:dyDescent="0.35">
      <c r="A944" t="s">
        <v>19</v>
      </c>
      <c r="B944" t="s">
        <v>19</v>
      </c>
      <c r="C944" s="1">
        <v>45875</v>
      </c>
      <c r="D944" t="s">
        <v>156</v>
      </c>
      <c r="E944" t="s">
        <v>155</v>
      </c>
      <c r="F944" s="15">
        <v>80000</v>
      </c>
      <c r="G944" s="161">
        <v>4136.46</v>
      </c>
    </row>
    <row r="945" spans="1:7" x14ac:dyDescent="0.35">
      <c r="A945" t="s">
        <v>19</v>
      </c>
      <c r="B945" t="s">
        <v>19</v>
      </c>
      <c r="C945" s="1">
        <v>45875</v>
      </c>
      <c r="D945" t="s">
        <v>156</v>
      </c>
      <c r="E945" t="s">
        <v>155</v>
      </c>
      <c r="F945" s="15">
        <v>100000</v>
      </c>
      <c r="G945" s="161">
        <v>4129.09</v>
      </c>
    </row>
    <row r="946" spans="1:7" x14ac:dyDescent="0.35">
      <c r="A946" t="s">
        <v>19</v>
      </c>
      <c r="B946" t="s">
        <v>19</v>
      </c>
      <c r="C946" s="1">
        <v>45875</v>
      </c>
      <c r="D946" t="s">
        <v>156</v>
      </c>
      <c r="E946" t="s">
        <v>155</v>
      </c>
      <c r="F946" s="15">
        <v>100000</v>
      </c>
      <c r="G946" s="161">
        <v>4171.33</v>
      </c>
    </row>
    <row r="947" spans="1:7" x14ac:dyDescent="0.35">
      <c r="A947" t="s">
        <v>19</v>
      </c>
      <c r="B947" t="s">
        <v>19</v>
      </c>
      <c r="C947" s="1">
        <v>45875</v>
      </c>
      <c r="D947" t="s">
        <v>156</v>
      </c>
      <c r="E947" t="s">
        <v>155</v>
      </c>
      <c r="F947" s="15">
        <v>100000</v>
      </c>
      <c r="G947" s="161">
        <v>4061.89</v>
      </c>
    </row>
    <row r="948" spans="1:7" x14ac:dyDescent="0.35">
      <c r="A948" t="s">
        <v>19</v>
      </c>
      <c r="B948" t="s">
        <v>19</v>
      </c>
      <c r="C948" s="1">
        <v>45875</v>
      </c>
      <c r="D948" t="s">
        <v>156</v>
      </c>
      <c r="E948" t="s">
        <v>154</v>
      </c>
      <c r="F948" s="15">
        <v>275000</v>
      </c>
      <c r="G948" s="161">
        <v>4075</v>
      </c>
    </row>
    <row r="949" spans="1:7" x14ac:dyDescent="0.35">
      <c r="A949" t="s">
        <v>20</v>
      </c>
      <c r="B949" t="s">
        <v>26</v>
      </c>
      <c r="C949" s="1">
        <v>45877</v>
      </c>
      <c r="D949" t="s">
        <v>156</v>
      </c>
      <c r="E949" t="s">
        <v>154</v>
      </c>
      <c r="F949" s="15">
        <v>190000</v>
      </c>
      <c r="G949" s="161">
        <v>4028</v>
      </c>
    </row>
    <row r="950" spans="1:7" x14ac:dyDescent="0.35">
      <c r="A950" t="s">
        <v>20</v>
      </c>
      <c r="B950" t="s">
        <v>27</v>
      </c>
      <c r="C950" s="1">
        <v>45882</v>
      </c>
      <c r="D950" t="s">
        <v>156</v>
      </c>
      <c r="E950" t="s">
        <v>155</v>
      </c>
      <c r="F950" s="15">
        <v>80000</v>
      </c>
      <c r="G950" s="161">
        <v>4134.29</v>
      </c>
    </row>
    <row r="951" spans="1:7" x14ac:dyDescent="0.35">
      <c r="A951" t="s">
        <v>20</v>
      </c>
      <c r="B951" t="s">
        <v>158</v>
      </c>
      <c r="C951" s="1">
        <v>45882</v>
      </c>
      <c r="D951" t="s">
        <v>156</v>
      </c>
      <c r="E951" t="s">
        <v>155</v>
      </c>
      <c r="F951" s="15">
        <v>100000</v>
      </c>
      <c r="G951" s="161">
        <v>4270.42</v>
      </c>
    </row>
    <row r="952" spans="1:7" x14ac:dyDescent="0.35">
      <c r="A952" t="s">
        <v>20</v>
      </c>
      <c r="B952" t="s">
        <v>158</v>
      </c>
      <c r="C952" s="1">
        <v>45882</v>
      </c>
      <c r="D952" t="s">
        <v>156</v>
      </c>
      <c r="E952" t="s">
        <v>155</v>
      </c>
      <c r="F952" s="15">
        <v>150000</v>
      </c>
      <c r="G952" s="161">
        <v>4096.67</v>
      </c>
    </row>
    <row r="953" spans="1:7" x14ac:dyDescent="0.35">
      <c r="A953" t="s">
        <v>20</v>
      </c>
      <c r="B953" t="s">
        <v>27</v>
      </c>
      <c r="C953" s="1">
        <v>45882</v>
      </c>
      <c r="D953" t="s">
        <v>156</v>
      </c>
      <c r="E953" t="s">
        <v>155</v>
      </c>
      <c r="F953" s="15">
        <v>50000</v>
      </c>
      <c r="G953" s="161">
        <v>4111.32</v>
      </c>
    </row>
    <row r="954" spans="1:7" x14ac:dyDescent="0.35">
      <c r="A954" t="s">
        <v>20</v>
      </c>
      <c r="B954" t="s">
        <v>158</v>
      </c>
      <c r="C954" s="1">
        <v>45882</v>
      </c>
      <c r="D954" t="s">
        <v>156</v>
      </c>
      <c r="E954" t="s">
        <v>155</v>
      </c>
      <c r="F954" s="15">
        <v>100000</v>
      </c>
      <c r="G954" s="161">
        <v>4006.78</v>
      </c>
    </row>
    <row r="955" spans="1:7" x14ac:dyDescent="0.35">
      <c r="A955" t="s">
        <v>20</v>
      </c>
      <c r="B955" s="24" t="s">
        <v>158</v>
      </c>
      <c r="C955" s="1">
        <v>45882</v>
      </c>
      <c r="D955" t="s">
        <v>156</v>
      </c>
      <c r="E955" t="s">
        <v>154</v>
      </c>
      <c r="F955" s="120">
        <v>65000</v>
      </c>
      <c r="G955" s="161">
        <v>4015</v>
      </c>
    </row>
    <row r="956" spans="1:7" x14ac:dyDescent="0.35">
      <c r="A956" t="s">
        <v>20</v>
      </c>
      <c r="B956" s="24" t="s">
        <v>162</v>
      </c>
      <c r="C956" s="1">
        <v>45882</v>
      </c>
      <c r="D956" t="s">
        <v>156</v>
      </c>
      <c r="E956" t="s">
        <v>154</v>
      </c>
      <c r="F956" s="120">
        <v>293000</v>
      </c>
      <c r="G956" s="161">
        <v>4015</v>
      </c>
    </row>
    <row r="957" spans="1:7" x14ac:dyDescent="0.35">
      <c r="A957" t="s">
        <v>20</v>
      </c>
      <c r="B957" s="24" t="s">
        <v>171</v>
      </c>
      <c r="C957" s="1">
        <v>45882</v>
      </c>
      <c r="D957" t="s">
        <v>156</v>
      </c>
      <c r="E957" t="s">
        <v>154</v>
      </c>
      <c r="F957" s="120">
        <v>18000</v>
      </c>
      <c r="G957" s="161">
        <v>4015</v>
      </c>
    </row>
    <row r="958" spans="1:7" x14ac:dyDescent="0.35">
      <c r="A958" t="s">
        <v>20</v>
      </c>
      <c r="B958" t="s">
        <v>217</v>
      </c>
      <c r="C958" s="1">
        <v>45882</v>
      </c>
      <c r="D958" t="s">
        <v>156</v>
      </c>
      <c r="E958" t="s">
        <v>154</v>
      </c>
      <c r="F958" s="15">
        <v>44000</v>
      </c>
      <c r="G958" s="161">
        <v>4015</v>
      </c>
    </row>
    <row r="959" spans="1:7" x14ac:dyDescent="0.35">
      <c r="A959" t="s">
        <v>19</v>
      </c>
      <c r="B959" t="s">
        <v>217</v>
      </c>
      <c r="C959" s="1">
        <v>45882</v>
      </c>
      <c r="D959" t="s">
        <v>156</v>
      </c>
      <c r="E959" t="s">
        <v>154</v>
      </c>
      <c r="F959" s="15">
        <v>54000</v>
      </c>
      <c r="G959" s="161">
        <v>4015</v>
      </c>
    </row>
    <row r="960" spans="1:7" x14ac:dyDescent="0.35">
      <c r="A960" t="s">
        <v>194</v>
      </c>
      <c r="B960" t="s">
        <v>217</v>
      </c>
      <c r="C960" s="1">
        <v>45882</v>
      </c>
      <c r="D960" t="s">
        <v>156</v>
      </c>
      <c r="E960" t="s">
        <v>154</v>
      </c>
      <c r="F960" s="15">
        <v>43000</v>
      </c>
      <c r="G960" s="161">
        <v>4015</v>
      </c>
    </row>
    <row r="961" spans="1:7" x14ac:dyDescent="0.35">
      <c r="A961" t="s">
        <v>19</v>
      </c>
      <c r="B961" t="s">
        <v>19</v>
      </c>
      <c r="C961" s="1">
        <v>45882</v>
      </c>
      <c r="D961" t="s">
        <v>156</v>
      </c>
      <c r="E961" t="s">
        <v>155</v>
      </c>
      <c r="F961" s="15">
        <v>80000</v>
      </c>
      <c r="G961" s="161">
        <v>4295.42</v>
      </c>
    </row>
    <row r="962" spans="1:7" x14ac:dyDescent="0.35">
      <c r="A962" t="s">
        <v>19</v>
      </c>
      <c r="B962" t="s">
        <v>19</v>
      </c>
      <c r="C962" s="1">
        <v>45882</v>
      </c>
      <c r="D962" t="s">
        <v>156</v>
      </c>
      <c r="E962" t="s">
        <v>155</v>
      </c>
      <c r="F962" s="15">
        <v>100000</v>
      </c>
      <c r="G962" s="161">
        <v>4244.8900000000003</v>
      </c>
    </row>
    <row r="963" spans="1:7" x14ac:dyDescent="0.35">
      <c r="A963" t="s">
        <v>19</v>
      </c>
      <c r="B963" t="s">
        <v>19</v>
      </c>
      <c r="C963" s="1">
        <v>45882</v>
      </c>
      <c r="D963" t="s">
        <v>156</v>
      </c>
      <c r="E963" t="s">
        <v>155</v>
      </c>
      <c r="F963" s="15">
        <v>100000</v>
      </c>
      <c r="G963" s="161">
        <v>4218.82</v>
      </c>
    </row>
    <row r="964" spans="1:7" x14ac:dyDescent="0.35">
      <c r="A964" t="s">
        <v>19</v>
      </c>
      <c r="B964" t="s">
        <v>19</v>
      </c>
      <c r="C964" s="1">
        <v>45882</v>
      </c>
      <c r="D964" t="s">
        <v>156</v>
      </c>
      <c r="E964" t="s">
        <v>155</v>
      </c>
      <c r="F964" s="15">
        <v>150000</v>
      </c>
      <c r="G964" s="161">
        <v>4066.07</v>
      </c>
    </row>
    <row r="965" spans="1:7" x14ac:dyDescent="0.35">
      <c r="A965" t="s">
        <v>19</v>
      </c>
      <c r="B965" t="s">
        <v>19</v>
      </c>
      <c r="C965" s="1">
        <v>45882</v>
      </c>
      <c r="D965" t="s">
        <v>156</v>
      </c>
      <c r="E965" t="s">
        <v>155</v>
      </c>
      <c r="F965" s="15">
        <v>30000</v>
      </c>
      <c r="G965" s="161">
        <v>4028.68</v>
      </c>
    </row>
    <row r="966" spans="1:7" x14ac:dyDescent="0.35">
      <c r="A966" t="s">
        <v>19</v>
      </c>
      <c r="B966" t="s">
        <v>19</v>
      </c>
      <c r="C966" s="1">
        <v>45882</v>
      </c>
      <c r="D966" t="s">
        <v>156</v>
      </c>
      <c r="E966" t="s">
        <v>155</v>
      </c>
      <c r="F966" s="15">
        <v>150000</v>
      </c>
      <c r="G966" s="161">
        <v>4048.35</v>
      </c>
    </row>
    <row r="967" spans="1:7" x14ac:dyDescent="0.35">
      <c r="A967" t="s">
        <v>19</v>
      </c>
      <c r="B967" t="s">
        <v>19</v>
      </c>
      <c r="C967" s="1">
        <v>45882</v>
      </c>
      <c r="D967" t="s">
        <v>156</v>
      </c>
      <c r="E967" t="s">
        <v>154</v>
      </c>
      <c r="F967" s="15">
        <v>230000</v>
      </c>
      <c r="G967" s="161">
        <v>4015</v>
      </c>
    </row>
    <row r="968" spans="1:7" x14ac:dyDescent="0.35">
      <c r="A968" t="s">
        <v>20</v>
      </c>
      <c r="B968" t="s">
        <v>26</v>
      </c>
      <c r="C968" s="1">
        <v>45883</v>
      </c>
      <c r="D968" t="s">
        <v>156</v>
      </c>
      <c r="E968" t="s">
        <v>154</v>
      </c>
      <c r="F968" s="15">
        <v>208000</v>
      </c>
      <c r="G968" s="161">
        <v>4055</v>
      </c>
    </row>
    <row r="969" spans="1:7" x14ac:dyDescent="0.35">
      <c r="A969" t="s">
        <v>20</v>
      </c>
      <c r="B969" t="s">
        <v>27</v>
      </c>
      <c r="C969" s="1">
        <v>45884</v>
      </c>
      <c r="D969" t="s">
        <v>156</v>
      </c>
      <c r="E969" t="s">
        <v>154</v>
      </c>
      <c r="F969" s="15">
        <v>83000</v>
      </c>
      <c r="G969" s="161">
        <v>4013</v>
      </c>
    </row>
    <row r="970" spans="1:7" x14ac:dyDescent="0.35">
      <c r="A970" t="s">
        <v>20</v>
      </c>
      <c r="B970" t="s">
        <v>162</v>
      </c>
      <c r="C970" s="1">
        <v>45889</v>
      </c>
      <c r="D970" t="s">
        <v>156</v>
      </c>
      <c r="E970" t="s">
        <v>155</v>
      </c>
      <c r="F970" s="15">
        <v>100000</v>
      </c>
      <c r="G970" s="161">
        <v>4222.1499999999996</v>
      </c>
    </row>
    <row r="971" spans="1:7" x14ac:dyDescent="0.35">
      <c r="A971" t="s">
        <v>20</v>
      </c>
      <c r="B971" t="s">
        <v>158</v>
      </c>
      <c r="C971" s="1">
        <v>45889</v>
      </c>
      <c r="D971" t="s">
        <v>156</v>
      </c>
      <c r="E971" t="s">
        <v>155</v>
      </c>
      <c r="F971" s="15">
        <v>100000</v>
      </c>
      <c r="G971" s="161">
        <v>4190.83</v>
      </c>
    </row>
    <row r="972" spans="1:7" x14ac:dyDescent="0.35">
      <c r="A972" t="s">
        <v>20</v>
      </c>
      <c r="B972" s="24" t="s">
        <v>158</v>
      </c>
      <c r="C972" s="1">
        <v>45889</v>
      </c>
      <c r="D972" t="s">
        <v>156</v>
      </c>
      <c r="E972" t="s">
        <v>154</v>
      </c>
      <c r="F972" s="120">
        <v>226000</v>
      </c>
      <c r="G972" s="161">
        <v>4020</v>
      </c>
    </row>
    <row r="973" spans="1:7" x14ac:dyDescent="0.35">
      <c r="A973" t="s">
        <v>20</v>
      </c>
      <c r="B973" s="24" t="s">
        <v>190</v>
      </c>
      <c r="C973" s="1">
        <v>45889</v>
      </c>
      <c r="D973" t="s">
        <v>156</v>
      </c>
      <c r="E973" t="s">
        <v>154</v>
      </c>
      <c r="F973" s="120">
        <v>372000</v>
      </c>
      <c r="G973" s="161">
        <v>4020</v>
      </c>
    </row>
    <row r="974" spans="1:7" x14ac:dyDescent="0.35">
      <c r="A974" t="s">
        <v>20</v>
      </c>
      <c r="B974" s="24" t="s">
        <v>171</v>
      </c>
      <c r="C974" s="1">
        <v>45889</v>
      </c>
      <c r="D974" t="s">
        <v>156</v>
      </c>
      <c r="E974" t="s">
        <v>154</v>
      </c>
      <c r="F974" s="120">
        <v>24000</v>
      </c>
      <c r="G974" s="161">
        <v>4020</v>
      </c>
    </row>
    <row r="975" spans="1:7" x14ac:dyDescent="0.35">
      <c r="A975" t="s">
        <v>20</v>
      </c>
      <c r="B975" s="24" t="s">
        <v>162</v>
      </c>
      <c r="C975" s="1">
        <v>45889</v>
      </c>
      <c r="D975" t="s">
        <v>156</v>
      </c>
      <c r="E975" t="s">
        <v>154</v>
      </c>
      <c r="F975" s="120">
        <v>20000</v>
      </c>
      <c r="G975" s="161">
        <v>4020</v>
      </c>
    </row>
    <row r="976" spans="1:7" x14ac:dyDescent="0.35">
      <c r="A976" t="s">
        <v>20</v>
      </c>
      <c r="B976" t="s">
        <v>191</v>
      </c>
      <c r="C976" s="1">
        <v>45889</v>
      </c>
      <c r="D976" t="s">
        <v>156</v>
      </c>
      <c r="E976" t="s">
        <v>154</v>
      </c>
      <c r="F976" s="15">
        <v>60000</v>
      </c>
      <c r="G976" s="161">
        <v>4026</v>
      </c>
    </row>
    <row r="977" spans="1:7" x14ac:dyDescent="0.35">
      <c r="A977" t="s">
        <v>19</v>
      </c>
      <c r="B977" t="s">
        <v>19</v>
      </c>
      <c r="C977" s="1">
        <v>45889</v>
      </c>
      <c r="D977" t="s">
        <v>156</v>
      </c>
      <c r="E977" t="s">
        <v>155</v>
      </c>
      <c r="F977" s="15">
        <v>100000</v>
      </c>
      <c r="G977" s="161">
        <v>4249.0200000000004</v>
      </c>
    </row>
    <row r="978" spans="1:7" x14ac:dyDescent="0.35">
      <c r="A978" t="s">
        <v>19</v>
      </c>
      <c r="B978" t="s">
        <v>19</v>
      </c>
      <c r="C978" s="1">
        <v>45889</v>
      </c>
      <c r="D978" t="s">
        <v>156</v>
      </c>
      <c r="E978" t="s">
        <v>155</v>
      </c>
      <c r="F978" s="15">
        <v>150000</v>
      </c>
      <c r="G978" s="161">
        <v>4070.2</v>
      </c>
    </row>
    <row r="979" spans="1:7" x14ac:dyDescent="0.35">
      <c r="A979" t="s">
        <v>19</v>
      </c>
      <c r="B979" t="s">
        <v>19</v>
      </c>
      <c r="C979" s="1">
        <v>45889</v>
      </c>
      <c r="D979" t="s">
        <v>156</v>
      </c>
      <c r="E979" t="s">
        <v>155</v>
      </c>
      <c r="F979" s="15">
        <v>100000</v>
      </c>
      <c r="G979" s="161">
        <v>4122.1099999999997</v>
      </c>
    </row>
    <row r="980" spans="1:7" x14ac:dyDescent="0.35">
      <c r="A980" t="s">
        <v>19</v>
      </c>
      <c r="B980" t="s">
        <v>19</v>
      </c>
      <c r="C980" s="1">
        <v>45889</v>
      </c>
      <c r="D980" t="s">
        <v>156</v>
      </c>
      <c r="E980" t="s">
        <v>155</v>
      </c>
      <c r="F980" s="15">
        <v>100000</v>
      </c>
      <c r="G980" s="161">
        <v>4136.99</v>
      </c>
    </row>
    <row r="981" spans="1:7" x14ac:dyDescent="0.35">
      <c r="A981" t="s">
        <v>19</v>
      </c>
      <c r="B981" t="s">
        <v>19</v>
      </c>
      <c r="C981" s="1">
        <v>45889</v>
      </c>
      <c r="D981" t="s">
        <v>156</v>
      </c>
      <c r="E981" t="s">
        <v>155</v>
      </c>
      <c r="F981" s="15">
        <v>100000</v>
      </c>
      <c r="G981" s="161">
        <v>4052.07</v>
      </c>
    </row>
    <row r="982" spans="1:7" x14ac:dyDescent="0.35">
      <c r="A982" t="s">
        <v>19</v>
      </c>
      <c r="B982" t="s">
        <v>19</v>
      </c>
      <c r="C982" s="1">
        <v>45889</v>
      </c>
      <c r="D982" t="s">
        <v>156</v>
      </c>
      <c r="E982" t="s">
        <v>155</v>
      </c>
      <c r="F982" s="15">
        <v>80000</v>
      </c>
      <c r="G982" s="161">
        <v>4299.75</v>
      </c>
    </row>
    <row r="983" spans="1:7" x14ac:dyDescent="0.35">
      <c r="A983" t="s">
        <v>19</v>
      </c>
      <c r="B983" t="s">
        <v>19</v>
      </c>
      <c r="C983" s="1">
        <v>45889</v>
      </c>
      <c r="D983" t="s">
        <v>156</v>
      </c>
      <c r="E983" t="s">
        <v>154</v>
      </c>
      <c r="F983" s="15">
        <v>300000</v>
      </c>
      <c r="G983" s="161">
        <v>4020</v>
      </c>
    </row>
    <row r="984" spans="1:7" x14ac:dyDescent="0.35">
      <c r="A984" t="s">
        <v>20</v>
      </c>
      <c r="B984" t="s">
        <v>217</v>
      </c>
      <c r="C984" s="1">
        <v>45889</v>
      </c>
      <c r="D984" t="s">
        <v>156</v>
      </c>
      <c r="E984" t="s">
        <v>154</v>
      </c>
      <c r="F984" s="15">
        <v>44000</v>
      </c>
      <c r="G984" s="161">
        <v>4020</v>
      </c>
    </row>
    <row r="985" spans="1:7" x14ac:dyDescent="0.35">
      <c r="A985" t="s">
        <v>19</v>
      </c>
      <c r="B985" t="s">
        <v>217</v>
      </c>
      <c r="C985" s="1">
        <v>45889</v>
      </c>
      <c r="D985" t="s">
        <v>156</v>
      </c>
      <c r="E985" t="s">
        <v>154</v>
      </c>
      <c r="F985" s="15">
        <v>54000</v>
      </c>
      <c r="G985" s="161">
        <v>4020</v>
      </c>
    </row>
    <row r="986" spans="1:7" x14ac:dyDescent="0.35">
      <c r="A986" t="s">
        <v>194</v>
      </c>
      <c r="B986" t="s">
        <v>217</v>
      </c>
      <c r="C986" s="1">
        <v>45889</v>
      </c>
      <c r="D986" t="s">
        <v>156</v>
      </c>
      <c r="E986" t="s">
        <v>154</v>
      </c>
      <c r="F986" s="167">
        <v>43000</v>
      </c>
      <c r="G986" s="161">
        <v>4020</v>
      </c>
    </row>
    <row r="987" spans="1:7" x14ac:dyDescent="0.35">
      <c r="A987" t="s">
        <v>20</v>
      </c>
      <c r="B987" t="s">
        <v>26</v>
      </c>
      <c r="C987" s="1">
        <v>45891</v>
      </c>
      <c r="D987" t="s">
        <v>156</v>
      </c>
      <c r="E987" t="s">
        <v>154</v>
      </c>
      <c r="F987" s="15">
        <v>287000</v>
      </c>
      <c r="G987" s="161">
        <v>4006</v>
      </c>
    </row>
    <row r="988" spans="1:7" x14ac:dyDescent="0.35">
      <c r="A988" t="s">
        <v>20</v>
      </c>
      <c r="B988" t="s">
        <v>158</v>
      </c>
      <c r="C988" s="1">
        <v>45896</v>
      </c>
      <c r="D988" t="s">
        <v>156</v>
      </c>
      <c r="E988" t="s">
        <v>155</v>
      </c>
      <c r="F988" s="15">
        <v>100000</v>
      </c>
      <c r="G988" s="161">
        <v>4104.95</v>
      </c>
    </row>
    <row r="989" spans="1:7" x14ac:dyDescent="0.35">
      <c r="A989" t="s">
        <v>20</v>
      </c>
      <c r="B989" t="s">
        <v>158</v>
      </c>
      <c r="C989" s="1">
        <v>45896</v>
      </c>
      <c r="D989" t="s">
        <v>156</v>
      </c>
      <c r="E989" t="s">
        <v>155</v>
      </c>
      <c r="F989" s="15">
        <v>100000</v>
      </c>
      <c r="G989" s="161">
        <v>4047.89</v>
      </c>
    </row>
    <row r="990" spans="1:7" x14ac:dyDescent="0.35">
      <c r="A990" t="s">
        <v>20</v>
      </c>
      <c r="B990" t="s">
        <v>162</v>
      </c>
      <c r="C990" s="1">
        <v>45896</v>
      </c>
      <c r="D990" t="s">
        <v>156</v>
      </c>
      <c r="E990" t="s">
        <v>155</v>
      </c>
      <c r="F990" s="15">
        <v>100000</v>
      </c>
      <c r="G990" s="161">
        <v>4024.64</v>
      </c>
    </row>
    <row r="991" spans="1:7" x14ac:dyDescent="0.35">
      <c r="A991" t="s">
        <v>20</v>
      </c>
      <c r="B991" s="24" t="s">
        <v>158</v>
      </c>
      <c r="C991" s="1">
        <v>45896</v>
      </c>
      <c r="D991" t="s">
        <v>156</v>
      </c>
      <c r="E991" t="s">
        <v>154</v>
      </c>
      <c r="F991" s="120">
        <v>155000</v>
      </c>
      <c r="G991" s="161">
        <v>4061</v>
      </c>
    </row>
    <row r="992" spans="1:7" x14ac:dyDescent="0.35">
      <c r="A992" t="s">
        <v>20</v>
      </c>
      <c r="B992" s="24" t="s">
        <v>162</v>
      </c>
      <c r="C992" s="1">
        <v>45896</v>
      </c>
      <c r="D992" t="s">
        <v>156</v>
      </c>
      <c r="E992" t="s">
        <v>154</v>
      </c>
      <c r="F992" s="120">
        <v>34000</v>
      </c>
      <c r="G992" s="161">
        <v>4061</v>
      </c>
    </row>
    <row r="993" spans="1:7" x14ac:dyDescent="0.35">
      <c r="A993" t="s">
        <v>20</v>
      </c>
      <c r="B993" s="24" t="s">
        <v>171</v>
      </c>
      <c r="C993" s="1">
        <v>45896</v>
      </c>
      <c r="D993" t="s">
        <v>156</v>
      </c>
      <c r="E993" t="s">
        <v>154</v>
      </c>
      <c r="F993" s="120">
        <v>196000</v>
      </c>
      <c r="G993" s="161">
        <v>4061</v>
      </c>
    </row>
    <row r="994" spans="1:7" x14ac:dyDescent="0.35">
      <c r="A994" t="s">
        <v>19</v>
      </c>
      <c r="B994" t="s">
        <v>19</v>
      </c>
      <c r="C994" s="1">
        <v>45896</v>
      </c>
      <c r="D994" t="s">
        <v>156</v>
      </c>
      <c r="E994" t="s">
        <v>155</v>
      </c>
      <c r="F994" s="15">
        <v>100000</v>
      </c>
      <c r="G994" s="161">
        <v>4140.95</v>
      </c>
    </row>
    <row r="995" spans="1:7" x14ac:dyDescent="0.35">
      <c r="A995" t="s">
        <v>19</v>
      </c>
      <c r="B995" t="s">
        <v>19</v>
      </c>
      <c r="C995" s="1">
        <v>45896</v>
      </c>
      <c r="D995" t="s">
        <v>156</v>
      </c>
      <c r="E995" t="s">
        <v>155</v>
      </c>
      <c r="F995" s="15">
        <v>100000</v>
      </c>
      <c r="G995" s="161">
        <v>4126.13</v>
      </c>
    </row>
    <row r="996" spans="1:7" x14ac:dyDescent="0.35">
      <c r="A996" t="s">
        <v>19</v>
      </c>
      <c r="B996" t="s">
        <v>19</v>
      </c>
      <c r="C996" s="1">
        <v>45896</v>
      </c>
      <c r="D996" t="s">
        <v>156</v>
      </c>
      <c r="E996" t="s">
        <v>155</v>
      </c>
      <c r="F996" s="15">
        <v>150000</v>
      </c>
      <c r="G996" s="161">
        <v>4119.33</v>
      </c>
    </row>
    <row r="997" spans="1:7" x14ac:dyDescent="0.35">
      <c r="A997" t="s">
        <v>19</v>
      </c>
      <c r="B997" t="s">
        <v>19</v>
      </c>
      <c r="C997" s="1">
        <v>45896</v>
      </c>
      <c r="D997" t="s">
        <v>156</v>
      </c>
      <c r="E997" t="s">
        <v>155</v>
      </c>
      <c r="F997" s="15">
        <v>30000</v>
      </c>
      <c r="G997" s="161">
        <v>4028.81</v>
      </c>
    </row>
    <row r="998" spans="1:7" x14ac:dyDescent="0.35">
      <c r="A998" t="s">
        <v>19</v>
      </c>
      <c r="B998" t="s">
        <v>19</v>
      </c>
      <c r="C998" s="1">
        <v>45896</v>
      </c>
      <c r="D998" t="s">
        <v>156</v>
      </c>
      <c r="E998" t="s">
        <v>155</v>
      </c>
      <c r="F998" s="15">
        <v>50000</v>
      </c>
      <c r="G998" s="161">
        <v>4028.81</v>
      </c>
    </row>
    <row r="999" spans="1:7" x14ac:dyDescent="0.35">
      <c r="A999" t="s">
        <v>19</v>
      </c>
      <c r="B999" t="s">
        <v>19</v>
      </c>
      <c r="C999" s="1">
        <v>45896</v>
      </c>
      <c r="D999" t="s">
        <v>156</v>
      </c>
      <c r="E999" t="s">
        <v>155</v>
      </c>
      <c r="F999" s="15">
        <v>100000</v>
      </c>
      <c r="G999" s="161">
        <v>4028.83</v>
      </c>
    </row>
    <row r="1000" spans="1:7" x14ac:dyDescent="0.35">
      <c r="A1000" t="s">
        <v>20</v>
      </c>
      <c r="B1000" t="s">
        <v>26</v>
      </c>
      <c r="C1000" s="1">
        <v>45897</v>
      </c>
      <c r="D1000" t="s">
        <v>156</v>
      </c>
      <c r="E1000" t="s">
        <v>154</v>
      </c>
      <c r="F1000" s="15">
        <v>155000</v>
      </c>
      <c r="G1000" s="161">
        <v>4029</v>
      </c>
    </row>
    <row r="1001" spans="1:7" x14ac:dyDescent="0.35">
      <c r="A1001" t="s">
        <v>20</v>
      </c>
      <c r="B1001" t="s">
        <v>27</v>
      </c>
      <c r="C1001" s="1">
        <v>45903</v>
      </c>
      <c r="D1001" t="s">
        <v>156</v>
      </c>
      <c r="E1001" t="s">
        <v>155</v>
      </c>
      <c r="F1001" s="15">
        <v>100000</v>
      </c>
      <c r="G1001" s="178">
        <v>4108.1099999999997</v>
      </c>
    </row>
    <row r="1002" spans="1:7" x14ac:dyDescent="0.35">
      <c r="A1002" t="s">
        <v>20</v>
      </c>
      <c r="B1002" t="s">
        <v>158</v>
      </c>
      <c r="C1002" s="1">
        <v>45903</v>
      </c>
      <c r="D1002" t="s">
        <v>156</v>
      </c>
      <c r="E1002" t="s">
        <v>155</v>
      </c>
      <c r="F1002" s="15">
        <v>100000</v>
      </c>
      <c r="G1002" s="178">
        <v>4026.7</v>
      </c>
    </row>
    <row r="1003" spans="1:7" x14ac:dyDescent="0.35">
      <c r="A1003" t="s">
        <v>20</v>
      </c>
      <c r="B1003" t="s">
        <v>158</v>
      </c>
      <c r="C1003" s="1">
        <v>45903</v>
      </c>
      <c r="D1003" t="s">
        <v>156</v>
      </c>
      <c r="E1003" t="s">
        <v>155</v>
      </c>
      <c r="F1003" s="15">
        <v>50000</v>
      </c>
      <c r="G1003" s="178">
        <v>4230.3100000000004</v>
      </c>
    </row>
    <row r="1004" spans="1:7" x14ac:dyDescent="0.35">
      <c r="A1004" t="s">
        <v>20</v>
      </c>
      <c r="B1004" t="s">
        <v>158</v>
      </c>
      <c r="C1004" s="1">
        <v>45903</v>
      </c>
      <c r="D1004" t="s">
        <v>156</v>
      </c>
      <c r="E1004" t="s">
        <v>155</v>
      </c>
      <c r="F1004" s="15">
        <v>80000</v>
      </c>
      <c r="G1004" s="178">
        <v>4084.65</v>
      </c>
    </row>
    <row r="1005" spans="1:7" x14ac:dyDescent="0.35">
      <c r="A1005" t="s">
        <v>20</v>
      </c>
      <c r="B1005" s="24" t="s">
        <v>158</v>
      </c>
      <c r="C1005" s="1">
        <v>45903</v>
      </c>
      <c r="D1005" t="s">
        <v>156</v>
      </c>
      <c r="E1005" t="s">
        <v>154</v>
      </c>
      <c r="F1005" s="120">
        <v>274000</v>
      </c>
      <c r="G1005" s="161">
        <v>4003</v>
      </c>
    </row>
    <row r="1006" spans="1:7" x14ac:dyDescent="0.35">
      <c r="A1006" t="s">
        <v>20</v>
      </c>
      <c r="B1006" s="24" t="s">
        <v>162</v>
      </c>
      <c r="C1006" s="1">
        <v>45903</v>
      </c>
      <c r="D1006" t="s">
        <v>156</v>
      </c>
      <c r="E1006" t="s">
        <v>154</v>
      </c>
      <c r="F1006" s="120">
        <v>181000</v>
      </c>
      <c r="G1006" s="161">
        <v>4003</v>
      </c>
    </row>
    <row r="1007" spans="1:7" x14ac:dyDescent="0.35">
      <c r="A1007" t="s">
        <v>20</v>
      </c>
      <c r="B1007" s="24" t="s">
        <v>171</v>
      </c>
      <c r="C1007" s="1">
        <v>45903</v>
      </c>
      <c r="D1007" t="s">
        <v>156</v>
      </c>
      <c r="E1007" t="s">
        <v>154</v>
      </c>
      <c r="F1007" s="120">
        <v>113000</v>
      </c>
      <c r="G1007" s="161">
        <v>4003</v>
      </c>
    </row>
    <row r="1008" spans="1:7" x14ac:dyDescent="0.35">
      <c r="A1008" t="s">
        <v>19</v>
      </c>
      <c r="B1008" t="s">
        <v>19</v>
      </c>
      <c r="C1008" s="1">
        <v>45903</v>
      </c>
      <c r="D1008" t="s">
        <v>156</v>
      </c>
      <c r="E1008" t="s">
        <v>155</v>
      </c>
      <c r="F1008" s="15">
        <v>150000</v>
      </c>
      <c r="G1008" s="161">
        <v>4130.1499999999996</v>
      </c>
    </row>
    <row r="1009" spans="1:7" x14ac:dyDescent="0.35">
      <c r="A1009" t="s">
        <v>19</v>
      </c>
      <c r="B1009" t="s">
        <v>19</v>
      </c>
      <c r="C1009" s="1">
        <v>45903</v>
      </c>
      <c r="D1009" t="s">
        <v>156</v>
      </c>
      <c r="E1009" t="s">
        <v>155</v>
      </c>
      <c r="F1009" s="15">
        <v>200000</v>
      </c>
      <c r="G1009" s="161">
        <v>4123.37</v>
      </c>
    </row>
    <row r="1010" spans="1:7" x14ac:dyDescent="0.35">
      <c r="A1010" t="s">
        <v>19</v>
      </c>
      <c r="B1010" t="s">
        <v>19</v>
      </c>
      <c r="C1010" s="1">
        <v>45903</v>
      </c>
      <c r="D1010" t="s">
        <v>156</v>
      </c>
      <c r="E1010" t="s">
        <v>155</v>
      </c>
      <c r="F1010" s="15">
        <v>100000</v>
      </c>
      <c r="G1010" s="161">
        <v>4109.0600000000004</v>
      </c>
    </row>
    <row r="1011" spans="1:7" x14ac:dyDescent="0.35">
      <c r="A1011" t="s">
        <v>19</v>
      </c>
      <c r="B1011" t="s">
        <v>19</v>
      </c>
      <c r="C1011" s="1">
        <v>45903</v>
      </c>
      <c r="D1011" t="s">
        <v>156</v>
      </c>
      <c r="E1011" t="s">
        <v>155</v>
      </c>
      <c r="F1011" s="15">
        <v>80000</v>
      </c>
      <c r="G1011" s="161">
        <v>4123.8500000000004</v>
      </c>
    </row>
    <row r="1012" spans="1:7" x14ac:dyDescent="0.35">
      <c r="A1012" t="s">
        <v>19</v>
      </c>
      <c r="B1012" t="s">
        <v>19</v>
      </c>
      <c r="C1012" s="1">
        <v>45903</v>
      </c>
      <c r="D1012" t="s">
        <v>156</v>
      </c>
      <c r="E1012" t="s">
        <v>155</v>
      </c>
      <c r="F1012" s="15">
        <v>100000</v>
      </c>
      <c r="G1012" s="161">
        <v>4178.8900000000003</v>
      </c>
    </row>
    <row r="1013" spans="1:7" x14ac:dyDescent="0.35">
      <c r="A1013" t="s">
        <v>19</v>
      </c>
      <c r="B1013" t="s">
        <v>19</v>
      </c>
      <c r="C1013" s="1">
        <v>45903</v>
      </c>
      <c r="D1013" t="s">
        <v>156</v>
      </c>
      <c r="E1013" t="s">
        <v>155</v>
      </c>
      <c r="F1013" s="15">
        <v>150000</v>
      </c>
      <c r="G1013" s="161">
        <v>4114.33</v>
      </c>
    </row>
    <row r="1014" spans="1:7" x14ac:dyDescent="0.35">
      <c r="A1014" t="s">
        <v>20</v>
      </c>
      <c r="B1014" t="s">
        <v>26</v>
      </c>
      <c r="C1014" s="1">
        <v>45904</v>
      </c>
      <c r="D1014" t="s">
        <v>156</v>
      </c>
      <c r="E1014" t="s">
        <v>154</v>
      </c>
      <c r="F1014" s="15">
        <v>144000</v>
      </c>
      <c r="G1014" s="178">
        <v>3995</v>
      </c>
    </row>
    <row r="1015" spans="1:7" x14ac:dyDescent="0.35">
      <c r="A1015" t="s">
        <v>19</v>
      </c>
      <c r="B1015" t="s">
        <v>19</v>
      </c>
      <c r="C1015" s="1">
        <v>45910</v>
      </c>
      <c r="D1015" t="s">
        <v>156</v>
      </c>
      <c r="E1015" t="s">
        <v>155</v>
      </c>
      <c r="F1015" s="15">
        <v>100000</v>
      </c>
      <c r="G1015" s="161">
        <v>3818</v>
      </c>
    </row>
    <row r="1016" spans="1:7" x14ac:dyDescent="0.35">
      <c r="A1016" t="s">
        <v>19</v>
      </c>
      <c r="B1016" t="s">
        <v>19</v>
      </c>
      <c r="C1016" s="1">
        <v>45910</v>
      </c>
      <c r="D1016" t="s">
        <v>156</v>
      </c>
      <c r="E1016" t="s">
        <v>155</v>
      </c>
      <c r="F1016" s="15">
        <v>80000</v>
      </c>
      <c r="G1016" s="161">
        <v>3918</v>
      </c>
    </row>
    <row r="1017" spans="1:7" x14ac:dyDescent="0.35">
      <c r="A1017" t="s">
        <v>19</v>
      </c>
      <c r="B1017" t="s">
        <v>19</v>
      </c>
      <c r="C1017" s="1">
        <v>45910</v>
      </c>
      <c r="D1017" t="s">
        <v>156</v>
      </c>
      <c r="E1017" t="s">
        <v>155</v>
      </c>
      <c r="F1017" s="15">
        <v>50000</v>
      </c>
      <c r="G1017" s="161">
        <v>3918</v>
      </c>
    </row>
    <row r="1018" spans="1:7" x14ac:dyDescent="0.35">
      <c r="A1018" t="s">
        <v>19</v>
      </c>
      <c r="B1018" t="s">
        <v>19</v>
      </c>
      <c r="C1018" s="1">
        <v>45910</v>
      </c>
      <c r="D1018" t="s">
        <v>156</v>
      </c>
      <c r="E1018" t="s">
        <v>155</v>
      </c>
      <c r="F1018" s="15">
        <v>120000</v>
      </c>
      <c r="G1018" s="161">
        <v>3918</v>
      </c>
    </row>
    <row r="1019" spans="1:7" x14ac:dyDescent="0.35">
      <c r="A1019" t="s">
        <v>19</v>
      </c>
      <c r="B1019" t="s">
        <v>19</v>
      </c>
      <c r="C1019" s="1">
        <v>45910</v>
      </c>
      <c r="D1019" t="s">
        <v>156</v>
      </c>
      <c r="E1019" t="s">
        <v>155</v>
      </c>
      <c r="F1019" s="15">
        <v>150000</v>
      </c>
      <c r="G1019" s="161">
        <v>3918</v>
      </c>
    </row>
    <row r="1020" spans="1:7" x14ac:dyDescent="0.35">
      <c r="A1020" t="s">
        <v>19</v>
      </c>
      <c r="B1020" t="s">
        <v>19</v>
      </c>
      <c r="C1020" s="1">
        <v>45910</v>
      </c>
      <c r="D1020" t="s">
        <v>156</v>
      </c>
      <c r="E1020" t="s">
        <v>154</v>
      </c>
      <c r="F1020" s="15">
        <v>585000</v>
      </c>
      <c r="G1020" s="178">
        <v>3918</v>
      </c>
    </row>
    <row r="1021" spans="1:7" x14ac:dyDescent="0.35">
      <c r="A1021" t="s">
        <v>20</v>
      </c>
      <c r="B1021" t="s">
        <v>162</v>
      </c>
      <c r="C1021" s="1">
        <v>45910</v>
      </c>
      <c r="D1021" t="s">
        <v>156</v>
      </c>
      <c r="E1021" t="s">
        <v>155</v>
      </c>
      <c r="F1021" s="15">
        <v>100000</v>
      </c>
      <c r="G1021" s="161">
        <v>3918</v>
      </c>
    </row>
    <row r="1022" spans="1:7" x14ac:dyDescent="0.35">
      <c r="A1022" t="s">
        <v>20</v>
      </c>
      <c r="B1022" t="s">
        <v>158</v>
      </c>
      <c r="C1022" s="1">
        <v>45910</v>
      </c>
      <c r="D1022" t="s">
        <v>156</v>
      </c>
      <c r="E1022" t="s">
        <v>155</v>
      </c>
      <c r="F1022" s="15">
        <v>80000</v>
      </c>
      <c r="G1022" s="161">
        <v>3918</v>
      </c>
    </row>
    <row r="1023" spans="1:7" x14ac:dyDescent="0.35">
      <c r="A1023" t="s">
        <v>20</v>
      </c>
      <c r="B1023" s="24" t="s">
        <v>158</v>
      </c>
      <c r="C1023" s="1">
        <v>45910</v>
      </c>
      <c r="D1023" t="s">
        <v>156</v>
      </c>
      <c r="E1023" t="s">
        <v>154</v>
      </c>
      <c r="F1023" s="120">
        <v>100000</v>
      </c>
      <c r="G1023" s="161">
        <v>3918</v>
      </c>
    </row>
    <row r="1024" spans="1:7" x14ac:dyDescent="0.35">
      <c r="A1024" t="s">
        <v>20</v>
      </c>
      <c r="B1024" s="24" t="s">
        <v>171</v>
      </c>
      <c r="C1024" s="1">
        <v>45910</v>
      </c>
      <c r="D1024" t="s">
        <v>156</v>
      </c>
      <c r="E1024" t="s">
        <v>154</v>
      </c>
      <c r="F1024" s="120">
        <v>9000</v>
      </c>
      <c r="G1024" s="161">
        <v>3918</v>
      </c>
    </row>
    <row r="1025" spans="1:7" x14ac:dyDescent="0.35">
      <c r="A1025" t="s">
        <v>20</v>
      </c>
      <c r="B1025" s="24" t="s">
        <v>162</v>
      </c>
      <c r="C1025" s="1">
        <v>45910</v>
      </c>
      <c r="D1025" t="s">
        <v>156</v>
      </c>
      <c r="E1025" t="s">
        <v>154</v>
      </c>
      <c r="F1025" s="120">
        <v>16000</v>
      </c>
      <c r="G1025" s="161">
        <v>3918</v>
      </c>
    </row>
    <row r="1026" spans="1:7" x14ac:dyDescent="0.35">
      <c r="A1026" t="s">
        <v>20</v>
      </c>
      <c r="B1026" t="s">
        <v>217</v>
      </c>
      <c r="C1026" s="1">
        <v>45910</v>
      </c>
      <c r="D1026" t="s">
        <v>156</v>
      </c>
      <c r="E1026" t="s">
        <v>154</v>
      </c>
      <c r="F1026" s="15">
        <v>83000</v>
      </c>
      <c r="G1026" s="161">
        <v>3918</v>
      </c>
    </row>
    <row r="1027" spans="1:7" x14ac:dyDescent="0.35">
      <c r="A1027" t="s">
        <v>20</v>
      </c>
      <c r="B1027" t="s">
        <v>26</v>
      </c>
      <c r="C1027" s="1">
        <v>45911</v>
      </c>
      <c r="D1027" t="s">
        <v>156</v>
      </c>
      <c r="E1027" t="s">
        <v>154</v>
      </c>
      <c r="F1027" s="15">
        <v>252000</v>
      </c>
      <c r="G1027" s="161">
        <v>3908</v>
      </c>
    </row>
    <row r="1028" spans="1:7" x14ac:dyDescent="0.35">
      <c r="A1028" t="s">
        <v>20</v>
      </c>
      <c r="B1028" t="s">
        <v>158</v>
      </c>
      <c r="C1028" s="1">
        <v>45917</v>
      </c>
      <c r="D1028" t="s">
        <v>156</v>
      </c>
      <c r="E1028" t="s">
        <v>155</v>
      </c>
      <c r="F1028" s="15">
        <v>80000</v>
      </c>
      <c r="G1028" s="178">
        <v>4033.42</v>
      </c>
    </row>
    <row r="1029" spans="1:7" x14ac:dyDescent="0.35">
      <c r="A1029" t="s">
        <v>20</v>
      </c>
      <c r="B1029" t="s">
        <v>158</v>
      </c>
      <c r="C1029" s="1">
        <v>45917</v>
      </c>
      <c r="D1029" t="s">
        <v>156</v>
      </c>
      <c r="E1029" t="s">
        <v>155</v>
      </c>
      <c r="F1029" s="15">
        <v>80000</v>
      </c>
      <c r="G1029" s="161">
        <v>4160.49</v>
      </c>
    </row>
    <row r="1030" spans="1:7" x14ac:dyDescent="0.35">
      <c r="A1030" t="s">
        <v>20</v>
      </c>
      <c r="B1030" t="s">
        <v>158</v>
      </c>
      <c r="C1030" s="1">
        <v>45917</v>
      </c>
      <c r="D1030" t="s">
        <v>156</v>
      </c>
      <c r="E1030" t="s">
        <v>155</v>
      </c>
      <c r="F1030" s="15">
        <v>125000</v>
      </c>
      <c r="G1030" s="161">
        <v>4218.8999999999996</v>
      </c>
    </row>
    <row r="1031" spans="1:7" x14ac:dyDescent="0.35">
      <c r="A1031" t="s">
        <v>20</v>
      </c>
      <c r="B1031" s="24" t="s">
        <v>158</v>
      </c>
      <c r="C1031" s="1">
        <v>45917</v>
      </c>
      <c r="D1031" t="s">
        <v>156</v>
      </c>
      <c r="E1031" t="s">
        <v>154</v>
      </c>
      <c r="F1031" s="120">
        <v>124000</v>
      </c>
      <c r="G1031" s="161">
        <v>3876</v>
      </c>
    </row>
    <row r="1032" spans="1:7" x14ac:dyDescent="0.35">
      <c r="A1032" t="s">
        <v>20</v>
      </c>
      <c r="B1032" s="24" t="s">
        <v>162</v>
      </c>
      <c r="C1032" s="1">
        <v>45917</v>
      </c>
      <c r="D1032" t="s">
        <v>156</v>
      </c>
      <c r="E1032" t="s">
        <v>154</v>
      </c>
      <c r="F1032" s="120">
        <v>126000</v>
      </c>
      <c r="G1032" s="161">
        <v>3876</v>
      </c>
    </row>
    <row r="1033" spans="1:7" x14ac:dyDescent="0.35">
      <c r="A1033" t="s">
        <v>20</v>
      </c>
      <c r="B1033" s="24" t="s">
        <v>171</v>
      </c>
      <c r="C1033" s="1">
        <v>45917</v>
      </c>
      <c r="D1033" t="s">
        <v>156</v>
      </c>
      <c r="E1033" t="s">
        <v>154</v>
      </c>
      <c r="F1033" s="120">
        <v>10000</v>
      </c>
      <c r="G1033" s="161">
        <v>3876</v>
      </c>
    </row>
    <row r="1034" spans="1:7" x14ac:dyDescent="0.35">
      <c r="A1034" t="s">
        <v>19</v>
      </c>
      <c r="B1034" t="s">
        <v>19</v>
      </c>
      <c r="C1034" s="1">
        <v>45917</v>
      </c>
      <c r="D1034" t="s">
        <v>156</v>
      </c>
      <c r="E1034" t="s">
        <v>155</v>
      </c>
      <c r="F1034" s="15">
        <v>120000</v>
      </c>
      <c r="G1034" s="161">
        <v>4102.29</v>
      </c>
    </row>
    <row r="1035" spans="1:7" x14ac:dyDescent="0.35">
      <c r="A1035" t="s">
        <v>19</v>
      </c>
      <c r="B1035" t="s">
        <v>19</v>
      </c>
      <c r="C1035" s="1">
        <v>45917</v>
      </c>
      <c r="D1035" t="s">
        <v>156</v>
      </c>
      <c r="E1035" t="s">
        <v>155</v>
      </c>
      <c r="F1035" s="15">
        <v>150000</v>
      </c>
      <c r="G1035" s="161">
        <v>4122.0600000000004</v>
      </c>
    </row>
    <row r="1036" spans="1:7" x14ac:dyDescent="0.35">
      <c r="A1036" t="s">
        <v>19</v>
      </c>
      <c r="B1036" t="s">
        <v>19</v>
      </c>
      <c r="C1036" s="1">
        <v>45917</v>
      </c>
      <c r="D1036" t="s">
        <v>156</v>
      </c>
      <c r="E1036" t="s">
        <v>155</v>
      </c>
      <c r="F1036" s="15">
        <v>100000</v>
      </c>
      <c r="G1036" s="161">
        <v>4058.22</v>
      </c>
    </row>
    <row r="1037" spans="1:7" x14ac:dyDescent="0.35">
      <c r="A1037" t="s">
        <v>19</v>
      </c>
      <c r="B1037" t="s">
        <v>19</v>
      </c>
      <c r="C1037" s="1">
        <v>45917</v>
      </c>
      <c r="D1037" t="s">
        <v>156</v>
      </c>
      <c r="E1037" t="s">
        <v>155</v>
      </c>
      <c r="F1037" s="15">
        <v>250000</v>
      </c>
      <c r="G1037" s="161">
        <v>4186.76</v>
      </c>
    </row>
    <row r="1038" spans="1:7" x14ac:dyDescent="0.35">
      <c r="A1038" t="s">
        <v>19</v>
      </c>
      <c r="B1038" t="s">
        <v>19</v>
      </c>
      <c r="C1038" s="1">
        <v>45917</v>
      </c>
      <c r="D1038" t="s">
        <v>156</v>
      </c>
      <c r="E1038" t="s">
        <v>154</v>
      </c>
      <c r="F1038" s="15">
        <v>495000</v>
      </c>
      <c r="G1038" s="161">
        <v>3867</v>
      </c>
    </row>
    <row r="1039" spans="1:7" x14ac:dyDescent="0.35">
      <c r="A1039" t="s">
        <v>20</v>
      </c>
      <c r="B1039" t="s">
        <v>217</v>
      </c>
      <c r="C1039" s="1">
        <v>45917</v>
      </c>
      <c r="D1039" t="s">
        <v>156</v>
      </c>
      <c r="E1039" t="s">
        <v>154</v>
      </c>
      <c r="F1039" s="15">
        <v>65000</v>
      </c>
      <c r="G1039" s="178">
        <v>3876</v>
      </c>
    </row>
    <row r="1040" spans="1:7" x14ac:dyDescent="0.35">
      <c r="A1040" t="s">
        <v>20</v>
      </c>
      <c r="B1040" t="s">
        <v>26</v>
      </c>
      <c r="C1040" s="1">
        <v>45918</v>
      </c>
      <c r="D1040" t="s">
        <v>156</v>
      </c>
      <c r="E1040" t="s">
        <v>154</v>
      </c>
      <c r="F1040" s="15">
        <v>262000</v>
      </c>
      <c r="G1040" s="178">
        <v>3899</v>
      </c>
    </row>
    <row r="1041" spans="1:7" x14ac:dyDescent="0.35">
      <c r="A1041" t="s">
        <v>19</v>
      </c>
      <c r="B1041" t="s">
        <v>19</v>
      </c>
      <c r="C1041" s="1">
        <v>45924</v>
      </c>
      <c r="D1041" t="s">
        <v>156</v>
      </c>
      <c r="E1041" t="s">
        <v>155</v>
      </c>
      <c r="F1041" s="15">
        <v>100000</v>
      </c>
      <c r="G1041" s="178">
        <v>4071.15</v>
      </c>
    </row>
    <row r="1042" spans="1:7" x14ac:dyDescent="0.35">
      <c r="A1042" t="s">
        <v>19</v>
      </c>
      <c r="B1042" t="s">
        <v>19</v>
      </c>
      <c r="C1042" s="1">
        <v>45924</v>
      </c>
      <c r="D1042" t="s">
        <v>156</v>
      </c>
      <c r="E1042" t="s">
        <v>155</v>
      </c>
      <c r="F1042" s="15">
        <v>120000</v>
      </c>
      <c r="G1042" s="178">
        <v>4028.68</v>
      </c>
    </row>
    <row r="1043" spans="1:7" x14ac:dyDescent="0.35">
      <c r="A1043" t="s">
        <v>19</v>
      </c>
      <c r="B1043" t="s">
        <v>19</v>
      </c>
      <c r="C1043" s="1">
        <v>45924</v>
      </c>
      <c r="D1043" t="s">
        <v>156</v>
      </c>
      <c r="E1043" t="s">
        <v>155</v>
      </c>
      <c r="F1043" s="15">
        <v>250000</v>
      </c>
      <c r="G1043" s="178">
        <v>4190.72</v>
      </c>
    </row>
    <row r="1044" spans="1:7" x14ac:dyDescent="0.35">
      <c r="A1044" t="s">
        <v>19</v>
      </c>
      <c r="B1044" t="s">
        <v>19</v>
      </c>
      <c r="C1044" s="1">
        <v>45924</v>
      </c>
      <c r="D1044" t="s">
        <v>156</v>
      </c>
      <c r="E1044" t="s">
        <v>154</v>
      </c>
      <c r="F1044" s="15">
        <v>605000</v>
      </c>
      <c r="G1044" s="178">
        <v>3885</v>
      </c>
    </row>
    <row r="1045" spans="1:7" x14ac:dyDescent="0.35">
      <c r="A1045" t="s">
        <v>20</v>
      </c>
      <c r="B1045" t="s">
        <v>158</v>
      </c>
      <c r="C1045" s="1">
        <v>45924</v>
      </c>
      <c r="D1045" t="s">
        <v>156</v>
      </c>
      <c r="E1045" t="s">
        <v>155</v>
      </c>
      <c r="F1045" s="15">
        <v>80000</v>
      </c>
      <c r="G1045" s="178">
        <v>4164.53</v>
      </c>
    </row>
    <row r="1046" spans="1:7" x14ac:dyDescent="0.35">
      <c r="A1046" t="s">
        <v>20</v>
      </c>
      <c r="B1046" t="s">
        <v>158</v>
      </c>
      <c r="C1046" s="1">
        <v>45924</v>
      </c>
      <c r="D1046" t="s">
        <v>156</v>
      </c>
      <c r="E1046" t="s">
        <v>155</v>
      </c>
      <c r="F1046" s="15">
        <v>80000</v>
      </c>
      <c r="G1046" s="178">
        <v>4054.55</v>
      </c>
    </row>
    <row r="1047" spans="1:7" x14ac:dyDescent="0.35">
      <c r="A1047" t="s">
        <v>20</v>
      </c>
      <c r="B1047" t="s">
        <v>162</v>
      </c>
      <c r="C1047" s="1">
        <v>45924</v>
      </c>
      <c r="D1047" t="s">
        <v>156</v>
      </c>
      <c r="E1047" t="s">
        <v>155</v>
      </c>
      <c r="F1047" s="15">
        <v>100000</v>
      </c>
      <c r="G1047" s="178">
        <v>4038.62</v>
      </c>
    </row>
    <row r="1048" spans="1:7" x14ac:dyDescent="0.35">
      <c r="A1048" t="s">
        <v>20</v>
      </c>
      <c r="B1048" t="s">
        <v>27</v>
      </c>
      <c r="C1048" s="1">
        <v>45924</v>
      </c>
      <c r="D1048" t="s">
        <v>414</v>
      </c>
      <c r="E1048" t="s">
        <v>155</v>
      </c>
      <c r="F1048" s="15">
        <v>100000</v>
      </c>
      <c r="G1048" s="178">
        <v>4164.5600000000004</v>
      </c>
    </row>
    <row r="1049" spans="1:7" x14ac:dyDescent="0.35">
      <c r="A1049" t="s">
        <v>20</v>
      </c>
      <c r="B1049" s="24" t="s">
        <v>1347</v>
      </c>
      <c r="C1049" s="1">
        <v>45924</v>
      </c>
      <c r="D1049" t="s">
        <v>156</v>
      </c>
      <c r="E1049" t="s">
        <v>154</v>
      </c>
      <c r="F1049" s="120">
        <v>297000</v>
      </c>
      <c r="G1049" s="178">
        <v>3891</v>
      </c>
    </row>
    <row r="1050" spans="1:7" x14ac:dyDescent="0.35">
      <c r="A1050" t="s">
        <v>20</v>
      </c>
      <c r="B1050" s="24" t="s">
        <v>171</v>
      </c>
      <c r="C1050" s="1">
        <v>45924</v>
      </c>
      <c r="D1050" t="s">
        <v>156</v>
      </c>
      <c r="E1050" t="s">
        <v>154</v>
      </c>
      <c r="F1050" s="120">
        <v>62000</v>
      </c>
      <c r="G1050" s="161">
        <v>3891</v>
      </c>
    </row>
    <row r="1051" spans="1:7" x14ac:dyDescent="0.35">
      <c r="A1051" t="s">
        <v>20</v>
      </c>
      <c r="B1051" t="s">
        <v>26</v>
      </c>
      <c r="C1051" s="1">
        <v>45925</v>
      </c>
      <c r="D1051" t="s">
        <v>156</v>
      </c>
      <c r="E1051" t="s">
        <v>154</v>
      </c>
      <c r="F1051" s="15">
        <v>189000</v>
      </c>
      <c r="G1051" s="161">
        <v>3897</v>
      </c>
    </row>
    <row r="1052" spans="1:7" x14ac:dyDescent="0.35">
      <c r="A1052" t="s">
        <v>20</v>
      </c>
      <c r="B1052" t="s">
        <v>1374</v>
      </c>
      <c r="C1052" s="1">
        <v>45930</v>
      </c>
      <c r="D1052" t="s">
        <v>156</v>
      </c>
      <c r="E1052" t="s">
        <v>1373</v>
      </c>
      <c r="F1052" s="15">
        <v>253929.64</v>
      </c>
      <c r="G1052" s="161">
        <v>3980</v>
      </c>
    </row>
    <row r="1053" spans="1:7" x14ac:dyDescent="0.35">
      <c r="A1053" t="s">
        <v>19</v>
      </c>
      <c r="B1053" t="s">
        <v>19</v>
      </c>
      <c r="C1053" s="1">
        <v>45931</v>
      </c>
      <c r="D1053" t="s">
        <v>156</v>
      </c>
      <c r="E1053" t="s">
        <v>155</v>
      </c>
      <c r="F1053" s="15">
        <v>150000</v>
      </c>
      <c r="G1053" s="178">
        <v>4065.58</v>
      </c>
    </row>
    <row r="1054" spans="1:7" x14ac:dyDescent="0.35">
      <c r="A1054" t="s">
        <v>19</v>
      </c>
      <c r="B1054" t="s">
        <v>19</v>
      </c>
      <c r="C1054" s="1">
        <v>45931</v>
      </c>
      <c r="D1054" t="s">
        <v>156</v>
      </c>
      <c r="E1054" t="s">
        <v>155</v>
      </c>
      <c r="F1054" s="15">
        <v>100000</v>
      </c>
      <c r="G1054" s="161">
        <v>4041.04</v>
      </c>
    </row>
    <row r="1055" spans="1:7" x14ac:dyDescent="0.35">
      <c r="A1055" t="s">
        <v>19</v>
      </c>
      <c r="B1055" t="s">
        <v>19</v>
      </c>
      <c r="C1055" s="1">
        <v>45931</v>
      </c>
      <c r="D1055" t="s">
        <v>156</v>
      </c>
      <c r="E1055" t="s">
        <v>155</v>
      </c>
      <c r="F1055" s="15">
        <v>150000</v>
      </c>
      <c r="G1055" s="161">
        <v>4044.1</v>
      </c>
    </row>
    <row r="1056" spans="1:7" x14ac:dyDescent="0.35">
      <c r="A1056" t="s">
        <v>19</v>
      </c>
      <c r="B1056" t="s">
        <v>19</v>
      </c>
      <c r="C1056" s="1">
        <v>45931</v>
      </c>
      <c r="D1056" t="s">
        <v>156</v>
      </c>
      <c r="E1056" t="s">
        <v>155</v>
      </c>
      <c r="F1056" s="15">
        <v>120000</v>
      </c>
      <c r="G1056" s="161">
        <v>3852.94</v>
      </c>
    </row>
    <row r="1057" spans="1:7" x14ac:dyDescent="0.35">
      <c r="A1057" t="s">
        <v>19</v>
      </c>
      <c r="B1057" t="s">
        <v>19</v>
      </c>
      <c r="C1057" s="1">
        <v>45931</v>
      </c>
      <c r="D1057" t="s">
        <v>156</v>
      </c>
      <c r="E1057" t="s">
        <v>154</v>
      </c>
      <c r="F1057" s="15">
        <v>920000</v>
      </c>
      <c r="G1057" s="161">
        <v>3908</v>
      </c>
    </row>
    <row r="1058" spans="1:7" x14ac:dyDescent="0.35">
      <c r="A1058" t="s">
        <v>20</v>
      </c>
      <c r="B1058" t="s">
        <v>27</v>
      </c>
      <c r="C1058" s="1">
        <v>45931</v>
      </c>
      <c r="D1058" t="s">
        <v>156</v>
      </c>
      <c r="E1058" t="s">
        <v>155</v>
      </c>
      <c r="F1058" s="15">
        <v>100000</v>
      </c>
      <c r="G1058" s="161">
        <v>4093.4900000000002</v>
      </c>
    </row>
    <row r="1059" spans="1:7" x14ac:dyDescent="0.35">
      <c r="A1059" t="s">
        <v>20</v>
      </c>
      <c r="B1059" t="s">
        <v>27</v>
      </c>
      <c r="C1059" s="1">
        <v>45931</v>
      </c>
      <c r="D1059" t="s">
        <v>156</v>
      </c>
      <c r="E1059" t="s">
        <v>155</v>
      </c>
      <c r="F1059" s="15">
        <v>200000</v>
      </c>
      <c r="G1059" s="161">
        <v>4056.31</v>
      </c>
    </row>
    <row r="1060" spans="1:7" x14ac:dyDescent="0.35">
      <c r="A1060" t="s">
        <v>20</v>
      </c>
      <c r="B1060" t="s">
        <v>27</v>
      </c>
      <c r="C1060" s="1">
        <v>45931</v>
      </c>
      <c r="D1060" t="s">
        <v>156</v>
      </c>
      <c r="E1060" t="s">
        <v>155</v>
      </c>
      <c r="F1060" s="15">
        <v>100000</v>
      </c>
      <c r="G1060" s="161">
        <v>4042.33</v>
      </c>
    </row>
    <row r="1061" spans="1:7" x14ac:dyDescent="0.35">
      <c r="A1061" t="s">
        <v>20</v>
      </c>
      <c r="B1061" t="s">
        <v>162</v>
      </c>
      <c r="C1061" s="1">
        <v>45931</v>
      </c>
      <c r="D1061" t="s">
        <v>156</v>
      </c>
      <c r="E1061" t="s">
        <v>155</v>
      </c>
      <c r="F1061" s="15">
        <v>100000</v>
      </c>
      <c r="G1061" s="161">
        <v>4073.63</v>
      </c>
    </row>
    <row r="1062" spans="1:7" x14ac:dyDescent="0.35">
      <c r="A1062" t="s">
        <v>20</v>
      </c>
      <c r="B1062" t="s">
        <v>27</v>
      </c>
      <c r="C1062" s="1">
        <v>45931</v>
      </c>
      <c r="D1062" t="s">
        <v>156</v>
      </c>
      <c r="E1062" t="s">
        <v>155</v>
      </c>
      <c r="F1062" s="15">
        <v>100000</v>
      </c>
      <c r="G1062" s="161">
        <v>4041.42</v>
      </c>
    </row>
    <row r="1063" spans="1:7" x14ac:dyDescent="0.35">
      <c r="A1063" t="s">
        <v>20</v>
      </c>
      <c r="B1063" t="s">
        <v>27</v>
      </c>
      <c r="C1063" s="1">
        <v>45931</v>
      </c>
      <c r="D1063" t="s">
        <v>156</v>
      </c>
      <c r="E1063" t="s">
        <v>155</v>
      </c>
      <c r="F1063" s="15">
        <v>100000</v>
      </c>
      <c r="G1063" s="161">
        <v>4045.65</v>
      </c>
    </row>
    <row r="1064" spans="1:7" x14ac:dyDescent="0.35">
      <c r="A1064" t="s">
        <v>20</v>
      </c>
      <c r="B1064" s="24" t="s">
        <v>1347</v>
      </c>
      <c r="C1064" s="1">
        <v>45931</v>
      </c>
      <c r="D1064" t="s">
        <v>156</v>
      </c>
      <c r="E1064" t="s">
        <v>154</v>
      </c>
      <c r="F1064" s="120">
        <v>40000</v>
      </c>
      <c r="G1064" s="161">
        <v>3902</v>
      </c>
    </row>
    <row r="1065" spans="1:7" x14ac:dyDescent="0.35">
      <c r="A1065" t="s">
        <v>20</v>
      </c>
      <c r="B1065" s="24" t="s">
        <v>171</v>
      </c>
      <c r="C1065" s="1">
        <v>45931</v>
      </c>
      <c r="D1065" t="s">
        <v>156</v>
      </c>
      <c r="E1065" t="s">
        <v>154</v>
      </c>
      <c r="F1065" s="120">
        <v>68000</v>
      </c>
      <c r="G1065" s="161">
        <v>3902</v>
      </c>
    </row>
    <row r="1066" spans="1:7" x14ac:dyDescent="0.35">
      <c r="A1066" t="s">
        <v>20</v>
      </c>
      <c r="B1066" t="s">
        <v>1347</v>
      </c>
      <c r="C1066" s="1">
        <v>45933</v>
      </c>
      <c r="D1066" t="s">
        <v>156</v>
      </c>
      <c r="E1066" t="s">
        <v>155</v>
      </c>
      <c r="F1066" s="15">
        <v>200000</v>
      </c>
      <c r="G1066" s="161">
        <v>4213.6400000000003</v>
      </c>
    </row>
    <row r="1067" spans="1:7" x14ac:dyDescent="0.35">
      <c r="A1067" t="s">
        <v>20</v>
      </c>
      <c r="B1067" s="24" t="s">
        <v>171</v>
      </c>
      <c r="C1067" s="1">
        <v>45933</v>
      </c>
      <c r="D1067" t="s">
        <v>156</v>
      </c>
      <c r="E1067" t="s">
        <v>154</v>
      </c>
      <c r="F1067" s="120">
        <v>193000</v>
      </c>
      <c r="G1067" s="161">
        <v>3882</v>
      </c>
    </row>
    <row r="1068" spans="1:7" x14ac:dyDescent="0.35">
      <c r="A1068" t="s">
        <v>20</v>
      </c>
      <c r="B1068" s="24" t="s">
        <v>26</v>
      </c>
      <c r="C1068" s="1">
        <v>45933</v>
      </c>
      <c r="D1068" t="s">
        <v>156</v>
      </c>
      <c r="E1068" t="s">
        <v>154</v>
      </c>
      <c r="F1068" s="120">
        <v>180000</v>
      </c>
      <c r="G1068" s="161">
        <v>3882</v>
      </c>
    </row>
    <row r="1069" spans="1:7" x14ac:dyDescent="0.35">
      <c r="A1069" t="s">
        <v>19</v>
      </c>
      <c r="B1069" t="s">
        <v>19</v>
      </c>
      <c r="C1069" s="1">
        <v>45936</v>
      </c>
      <c r="D1069" t="s">
        <v>156</v>
      </c>
      <c r="E1069" t="s">
        <v>154</v>
      </c>
      <c r="F1069" s="15">
        <v>100000</v>
      </c>
      <c r="G1069" s="161">
        <v>3847</v>
      </c>
    </row>
    <row r="1070" spans="1:7" x14ac:dyDescent="0.35">
      <c r="A1070" t="s">
        <v>20</v>
      </c>
      <c r="B1070" s="24" t="s">
        <v>217</v>
      </c>
      <c r="C1070" s="1">
        <v>45936</v>
      </c>
      <c r="D1070" t="s">
        <v>156</v>
      </c>
      <c r="E1070" t="s">
        <v>154</v>
      </c>
      <c r="F1070" s="120">
        <v>50000</v>
      </c>
      <c r="G1070" s="161">
        <v>3847</v>
      </c>
    </row>
    <row r="1071" spans="1:7" x14ac:dyDescent="0.35">
      <c r="A1071" t="s">
        <v>19</v>
      </c>
      <c r="B1071" t="s">
        <v>19</v>
      </c>
      <c r="C1071" s="1">
        <v>45938</v>
      </c>
      <c r="D1071" t="s">
        <v>156</v>
      </c>
      <c r="E1071" t="s">
        <v>155</v>
      </c>
      <c r="F1071" s="15">
        <v>100000</v>
      </c>
      <c r="G1071" s="161">
        <v>4044.86</v>
      </c>
    </row>
    <row r="1072" spans="1:7" x14ac:dyDescent="0.35">
      <c r="A1072" t="s">
        <v>19</v>
      </c>
      <c r="B1072" t="s">
        <v>19</v>
      </c>
      <c r="C1072" s="1">
        <v>45938</v>
      </c>
      <c r="D1072" t="s">
        <v>156</v>
      </c>
      <c r="E1072" t="s">
        <v>155</v>
      </c>
      <c r="F1072" s="15">
        <v>100000</v>
      </c>
      <c r="G1072" s="161">
        <v>4172.26</v>
      </c>
    </row>
    <row r="1073" spans="1:7" x14ac:dyDescent="0.35">
      <c r="A1073" t="s">
        <v>19</v>
      </c>
      <c r="B1073" t="s">
        <v>19</v>
      </c>
      <c r="C1073" s="1">
        <v>45938</v>
      </c>
      <c r="D1073" t="s">
        <v>156</v>
      </c>
      <c r="E1073" t="s">
        <v>155</v>
      </c>
      <c r="F1073" s="15">
        <v>100000</v>
      </c>
      <c r="G1073" s="161">
        <v>4100.1000000000004</v>
      </c>
    </row>
    <row r="1074" spans="1:7" x14ac:dyDescent="0.35">
      <c r="A1074" t="s">
        <v>19</v>
      </c>
      <c r="B1074" t="s">
        <v>19</v>
      </c>
      <c r="C1074" s="1">
        <v>45938</v>
      </c>
      <c r="D1074" t="s">
        <v>156</v>
      </c>
      <c r="E1074" t="s">
        <v>155</v>
      </c>
      <c r="F1074" s="15">
        <v>100000</v>
      </c>
      <c r="G1074" s="161">
        <v>4047.7</v>
      </c>
    </row>
    <row r="1075" spans="1:7" x14ac:dyDescent="0.35">
      <c r="A1075" t="s">
        <v>19</v>
      </c>
      <c r="B1075" t="s">
        <v>19</v>
      </c>
      <c r="C1075" s="1">
        <v>45938</v>
      </c>
      <c r="D1075" t="s">
        <v>156</v>
      </c>
      <c r="E1075" t="s">
        <v>155</v>
      </c>
      <c r="F1075" s="15">
        <v>50000</v>
      </c>
      <c r="G1075" s="161">
        <v>4049.59</v>
      </c>
    </row>
    <row r="1076" spans="1:7" x14ac:dyDescent="0.35">
      <c r="A1076" t="s">
        <v>19</v>
      </c>
      <c r="B1076" t="s">
        <v>19</v>
      </c>
      <c r="C1076" s="1">
        <v>45938</v>
      </c>
      <c r="D1076" t="s">
        <v>156</v>
      </c>
      <c r="E1076" t="s">
        <v>155</v>
      </c>
      <c r="F1076" s="15">
        <v>100000</v>
      </c>
      <c r="G1076" s="161">
        <v>4114.2700000000004</v>
      </c>
    </row>
    <row r="1077" spans="1:7" x14ac:dyDescent="0.35">
      <c r="A1077" t="s">
        <v>19</v>
      </c>
      <c r="B1077" t="s">
        <v>19</v>
      </c>
      <c r="C1077" s="1">
        <v>45938</v>
      </c>
      <c r="D1077" t="s">
        <v>156</v>
      </c>
      <c r="E1077" t="s">
        <v>155</v>
      </c>
      <c r="F1077" s="15">
        <v>150000</v>
      </c>
      <c r="G1077" s="161">
        <v>4198.0600000000004</v>
      </c>
    </row>
    <row r="1078" spans="1:7" x14ac:dyDescent="0.35">
      <c r="A1078" t="s">
        <v>20</v>
      </c>
      <c r="B1078" s="24" t="s">
        <v>27</v>
      </c>
      <c r="C1078" s="1">
        <v>45938</v>
      </c>
      <c r="D1078" t="s">
        <v>156</v>
      </c>
      <c r="E1078" t="s">
        <v>154</v>
      </c>
      <c r="F1078" s="120">
        <v>100000</v>
      </c>
      <c r="G1078" s="161">
        <v>4035.77</v>
      </c>
    </row>
    <row r="1079" spans="1:7" x14ac:dyDescent="0.35">
      <c r="A1079" t="s">
        <v>20</v>
      </c>
      <c r="B1079" t="s">
        <v>27</v>
      </c>
      <c r="C1079" s="1">
        <v>45938</v>
      </c>
      <c r="D1079" t="s">
        <v>156</v>
      </c>
      <c r="E1079" t="s">
        <v>155</v>
      </c>
      <c r="F1079" s="15">
        <v>200000</v>
      </c>
      <c r="G1079" s="161">
        <v>4061.27</v>
      </c>
    </row>
    <row r="1080" spans="1:7" x14ac:dyDescent="0.35">
      <c r="A1080" t="s">
        <v>20</v>
      </c>
      <c r="B1080" t="s">
        <v>27</v>
      </c>
      <c r="C1080" s="1">
        <v>45938</v>
      </c>
      <c r="D1080" t="s">
        <v>156</v>
      </c>
      <c r="E1080" t="s">
        <v>155</v>
      </c>
      <c r="F1080" s="15">
        <v>150000</v>
      </c>
      <c r="G1080" s="161">
        <v>4077.77</v>
      </c>
    </row>
    <row r="1081" spans="1:7" x14ac:dyDescent="0.35">
      <c r="A1081" t="s">
        <v>20</v>
      </c>
      <c r="B1081" t="s">
        <v>27</v>
      </c>
      <c r="C1081" s="1">
        <v>45938</v>
      </c>
      <c r="D1081" t="s">
        <v>156</v>
      </c>
      <c r="E1081" t="s">
        <v>155</v>
      </c>
      <c r="F1081" s="15">
        <v>100000</v>
      </c>
      <c r="G1081" s="161">
        <v>4102.71</v>
      </c>
    </row>
    <row r="1082" spans="1:7" x14ac:dyDescent="0.35">
      <c r="A1082" t="s">
        <v>20</v>
      </c>
      <c r="B1082" t="s">
        <v>27</v>
      </c>
      <c r="C1082" s="1">
        <v>45938</v>
      </c>
      <c r="D1082" t="s">
        <v>156</v>
      </c>
      <c r="E1082" t="s">
        <v>155</v>
      </c>
      <c r="F1082" s="15">
        <v>100000</v>
      </c>
      <c r="G1082" s="161">
        <v>4129.6400000000003</v>
      </c>
    </row>
    <row r="1083" spans="1:7" x14ac:dyDescent="0.35">
      <c r="A1083" t="s">
        <v>20</v>
      </c>
      <c r="B1083" t="s">
        <v>27</v>
      </c>
      <c r="C1083" s="1">
        <v>45938</v>
      </c>
      <c r="D1083" t="s">
        <v>156</v>
      </c>
      <c r="E1083" t="s">
        <v>155</v>
      </c>
      <c r="F1083" s="15">
        <v>100000</v>
      </c>
      <c r="G1083" s="161">
        <v>4035.77</v>
      </c>
    </row>
    <row r="1084" spans="1:7" x14ac:dyDescent="0.35">
      <c r="A1084" t="s">
        <v>20</v>
      </c>
      <c r="B1084" t="s">
        <v>158</v>
      </c>
      <c r="C1084" s="1">
        <v>45938</v>
      </c>
      <c r="D1084" t="s">
        <v>156</v>
      </c>
      <c r="E1084" t="s">
        <v>155</v>
      </c>
      <c r="F1084" s="15">
        <v>100000</v>
      </c>
      <c r="G1084" s="161">
        <v>4129.6400000000003</v>
      </c>
    </row>
    <row r="1085" spans="1:7" x14ac:dyDescent="0.35">
      <c r="A1085" t="s">
        <v>20</v>
      </c>
      <c r="B1085" t="s">
        <v>162</v>
      </c>
      <c r="C1085" s="1">
        <v>45938</v>
      </c>
      <c r="D1085" t="s">
        <v>156</v>
      </c>
      <c r="E1085" t="s">
        <v>155</v>
      </c>
      <c r="F1085" s="15">
        <v>100000</v>
      </c>
      <c r="G1085" s="161">
        <v>4055.61</v>
      </c>
    </row>
    <row r="1086" spans="1:7" x14ac:dyDescent="0.35">
      <c r="A1086" t="s">
        <v>20</v>
      </c>
      <c r="B1086" s="24" t="s">
        <v>171</v>
      </c>
      <c r="C1086" s="1">
        <v>45938</v>
      </c>
      <c r="D1086" t="s">
        <v>156</v>
      </c>
      <c r="E1086" t="s">
        <v>154</v>
      </c>
      <c r="F1086" s="120">
        <v>66000</v>
      </c>
      <c r="G1086" s="161">
        <v>3865</v>
      </c>
    </row>
    <row r="1087" spans="1:7" x14ac:dyDescent="0.35">
      <c r="A1087" t="s">
        <v>20</v>
      </c>
      <c r="B1087" s="190" t="s">
        <v>162</v>
      </c>
      <c r="C1087" s="1">
        <v>45938</v>
      </c>
      <c r="D1087" t="s">
        <v>156</v>
      </c>
      <c r="E1087" t="s">
        <v>154</v>
      </c>
      <c r="F1087" s="120">
        <v>34000</v>
      </c>
      <c r="G1087" s="161">
        <v>3865</v>
      </c>
    </row>
    <row r="1088" spans="1:7" x14ac:dyDescent="0.35">
      <c r="A1088" t="s">
        <v>20</v>
      </c>
      <c r="B1088" t="s">
        <v>26</v>
      </c>
      <c r="C1088" s="1">
        <v>45940</v>
      </c>
      <c r="D1088" t="s">
        <v>156</v>
      </c>
      <c r="E1088" t="s">
        <v>154</v>
      </c>
      <c r="F1088" s="15">
        <v>206000</v>
      </c>
      <c r="G1088" s="161">
        <v>3893</v>
      </c>
    </row>
    <row r="1089" spans="1:7" x14ac:dyDescent="0.35">
      <c r="A1089" t="s">
        <v>19</v>
      </c>
      <c r="B1089" t="s">
        <v>19</v>
      </c>
      <c r="C1089" s="1">
        <v>45938</v>
      </c>
      <c r="D1089" t="s">
        <v>157</v>
      </c>
      <c r="E1089" t="s">
        <v>154</v>
      </c>
      <c r="F1089" s="15">
        <v>120000</v>
      </c>
      <c r="G1089" s="161">
        <v>3864.66</v>
      </c>
    </row>
    <row r="1090" spans="1:7" x14ac:dyDescent="0.35">
      <c r="A1090" t="s">
        <v>19</v>
      </c>
      <c r="B1090" t="s">
        <v>19</v>
      </c>
      <c r="C1090" s="1">
        <v>45938</v>
      </c>
      <c r="D1090" t="s">
        <v>156</v>
      </c>
      <c r="E1090" t="s">
        <v>154</v>
      </c>
      <c r="F1090" s="15">
        <v>180000</v>
      </c>
      <c r="G1090" s="161">
        <v>3865</v>
      </c>
    </row>
    <row r="1091" spans="1:7" x14ac:dyDescent="0.35">
      <c r="A1091" t="s">
        <v>20</v>
      </c>
      <c r="B1091" t="s">
        <v>27</v>
      </c>
      <c r="C1091" s="1">
        <v>45945</v>
      </c>
      <c r="D1091" t="s">
        <v>156</v>
      </c>
      <c r="E1091" t="s">
        <v>155</v>
      </c>
      <c r="F1091" s="15">
        <v>100000</v>
      </c>
      <c r="G1091" s="161">
        <v>3934.52</v>
      </c>
    </row>
    <row r="1092" spans="1:7" x14ac:dyDescent="0.35">
      <c r="A1092" t="s">
        <v>20</v>
      </c>
      <c r="B1092" t="s">
        <v>173</v>
      </c>
      <c r="C1092" s="1">
        <v>45945</v>
      </c>
      <c r="D1092" t="s">
        <v>156</v>
      </c>
      <c r="E1092" t="s">
        <v>155</v>
      </c>
      <c r="F1092" s="15">
        <v>200000</v>
      </c>
      <c r="G1092" s="161">
        <v>4149.24</v>
      </c>
    </row>
    <row r="1093" spans="1:7" x14ac:dyDescent="0.35">
      <c r="A1093" t="s">
        <v>20</v>
      </c>
      <c r="B1093" t="s">
        <v>158</v>
      </c>
      <c r="C1093" s="1">
        <v>45945</v>
      </c>
      <c r="D1093" t="s">
        <v>156</v>
      </c>
      <c r="E1093" t="s">
        <v>155</v>
      </c>
      <c r="F1093" s="15">
        <v>80000</v>
      </c>
      <c r="G1093" s="161">
        <v>4135.96</v>
      </c>
    </row>
    <row r="1094" spans="1:7" x14ac:dyDescent="0.35">
      <c r="A1094" t="s">
        <v>20</v>
      </c>
      <c r="B1094" t="s">
        <v>27</v>
      </c>
      <c r="C1094" s="1">
        <v>45945</v>
      </c>
      <c r="D1094" t="s">
        <v>156</v>
      </c>
      <c r="E1094" t="s">
        <v>155</v>
      </c>
      <c r="F1094" s="15">
        <v>100000</v>
      </c>
      <c r="G1094" s="161">
        <v>4102.34</v>
      </c>
    </row>
    <row r="1095" spans="1:7" x14ac:dyDescent="0.35">
      <c r="A1095" t="s">
        <v>20</v>
      </c>
      <c r="B1095" t="s">
        <v>173</v>
      </c>
      <c r="C1095" s="1">
        <v>45945</v>
      </c>
      <c r="D1095" t="s">
        <v>156</v>
      </c>
      <c r="E1095" t="s">
        <v>155</v>
      </c>
      <c r="F1095" s="15">
        <v>100000</v>
      </c>
      <c r="G1095" s="161">
        <v>4133.84</v>
      </c>
    </row>
    <row r="1096" spans="1:7" x14ac:dyDescent="0.35">
      <c r="A1096" t="s">
        <v>20</v>
      </c>
      <c r="B1096" t="s">
        <v>27</v>
      </c>
      <c r="C1096" s="1">
        <v>45945</v>
      </c>
      <c r="D1096" t="s">
        <v>156</v>
      </c>
      <c r="E1096" t="s">
        <v>155</v>
      </c>
      <c r="F1096" s="15">
        <v>100000</v>
      </c>
      <c r="G1096" s="161">
        <v>4061.92</v>
      </c>
    </row>
    <row r="1097" spans="1:7" x14ac:dyDescent="0.35">
      <c r="A1097" t="s">
        <v>20</v>
      </c>
      <c r="B1097" t="s">
        <v>27</v>
      </c>
      <c r="C1097" s="1">
        <v>45945</v>
      </c>
      <c r="D1097" t="s">
        <v>156</v>
      </c>
      <c r="E1097" t="s">
        <v>155</v>
      </c>
      <c r="F1097" s="15">
        <v>150000</v>
      </c>
      <c r="G1097" s="178">
        <v>4080.61</v>
      </c>
    </row>
    <row r="1098" spans="1:7" x14ac:dyDescent="0.35">
      <c r="A1098" t="s">
        <v>20</v>
      </c>
      <c r="B1098" t="s">
        <v>171</v>
      </c>
      <c r="C1098" s="1">
        <v>45945</v>
      </c>
      <c r="D1098" t="s">
        <v>156</v>
      </c>
      <c r="E1098" t="s">
        <v>154</v>
      </c>
      <c r="F1098" s="15">
        <v>263000</v>
      </c>
      <c r="G1098" s="161">
        <v>3912</v>
      </c>
    </row>
    <row r="1099" spans="1:7" x14ac:dyDescent="0.35">
      <c r="A1099" t="s">
        <v>19</v>
      </c>
      <c r="B1099" t="s">
        <v>19</v>
      </c>
      <c r="C1099" s="1">
        <v>45945</v>
      </c>
      <c r="D1099" t="s">
        <v>156</v>
      </c>
      <c r="E1099" t="s">
        <v>155</v>
      </c>
      <c r="F1099" s="15">
        <v>100000</v>
      </c>
      <c r="G1099" s="161">
        <v>4048.72</v>
      </c>
    </row>
    <row r="1100" spans="1:7" x14ac:dyDescent="0.35">
      <c r="A1100" t="s">
        <v>19</v>
      </c>
      <c r="B1100" t="s">
        <v>19</v>
      </c>
      <c r="C1100" s="1">
        <v>45945</v>
      </c>
      <c r="D1100" t="s">
        <v>156</v>
      </c>
      <c r="E1100" t="s">
        <v>155</v>
      </c>
      <c r="F1100" s="15">
        <v>100000</v>
      </c>
      <c r="G1100" s="161">
        <v>4082.01</v>
      </c>
    </row>
    <row r="1101" spans="1:7" x14ac:dyDescent="0.35">
      <c r="A1101" t="s">
        <v>19</v>
      </c>
      <c r="B1101" t="s">
        <v>19</v>
      </c>
      <c r="C1101" s="1">
        <v>45945</v>
      </c>
      <c r="D1101" t="s">
        <v>156</v>
      </c>
      <c r="E1101" t="s">
        <v>155</v>
      </c>
      <c r="F1101" s="15">
        <v>100000</v>
      </c>
      <c r="G1101" s="161">
        <v>4176.16</v>
      </c>
    </row>
    <row r="1102" spans="1:7" x14ac:dyDescent="0.35">
      <c r="A1102" t="s">
        <v>19</v>
      </c>
      <c r="B1102" t="s">
        <v>19</v>
      </c>
      <c r="C1102" s="1">
        <v>45945</v>
      </c>
      <c r="D1102" t="s">
        <v>156</v>
      </c>
      <c r="E1102" t="s">
        <v>155</v>
      </c>
      <c r="F1102" s="15">
        <v>100000</v>
      </c>
      <c r="G1102" s="161">
        <v>4118.32</v>
      </c>
    </row>
    <row r="1103" spans="1:7" x14ac:dyDescent="0.35">
      <c r="A1103" t="s">
        <v>19</v>
      </c>
      <c r="B1103" t="s">
        <v>19</v>
      </c>
      <c r="C1103" s="1">
        <v>45945</v>
      </c>
      <c r="D1103" t="s">
        <v>156</v>
      </c>
      <c r="E1103" t="s">
        <v>155</v>
      </c>
      <c r="F1103" s="15">
        <v>100000</v>
      </c>
      <c r="G1103" s="161">
        <v>4104.28</v>
      </c>
    </row>
    <row r="1104" spans="1:7" x14ac:dyDescent="0.35">
      <c r="A1104" t="s">
        <v>19</v>
      </c>
      <c r="B1104" t="s">
        <v>19</v>
      </c>
      <c r="C1104" s="1">
        <v>45945</v>
      </c>
      <c r="D1104" t="s">
        <v>156</v>
      </c>
      <c r="E1104" t="s">
        <v>155</v>
      </c>
      <c r="F1104" s="15">
        <v>50000</v>
      </c>
      <c r="G1104" s="161">
        <v>4049.73</v>
      </c>
    </row>
    <row r="1105" spans="1:7" x14ac:dyDescent="0.35">
      <c r="A1105" t="s">
        <v>19</v>
      </c>
      <c r="B1105" t="s">
        <v>19</v>
      </c>
      <c r="C1105" s="1">
        <v>45945</v>
      </c>
      <c r="D1105" t="s">
        <v>156</v>
      </c>
      <c r="E1105" t="s">
        <v>154</v>
      </c>
      <c r="F1105" s="15">
        <v>610000</v>
      </c>
      <c r="G1105" s="161">
        <v>4049.73</v>
      </c>
    </row>
    <row r="1106" spans="1:7" x14ac:dyDescent="0.35">
      <c r="A1106" t="s">
        <v>20</v>
      </c>
      <c r="B1106" t="s">
        <v>217</v>
      </c>
      <c r="C1106" s="1">
        <v>45945</v>
      </c>
      <c r="D1106" t="s">
        <v>156</v>
      </c>
      <c r="E1106" t="s">
        <v>154</v>
      </c>
      <c r="F1106" s="15">
        <v>80000</v>
      </c>
      <c r="G1106" s="161">
        <v>3912</v>
      </c>
    </row>
    <row r="1107" spans="1:7" x14ac:dyDescent="0.35">
      <c r="A1107" t="s">
        <v>20</v>
      </c>
      <c r="B1107" t="s">
        <v>26</v>
      </c>
      <c r="C1107" s="1">
        <v>45946</v>
      </c>
      <c r="D1107" t="s">
        <v>156</v>
      </c>
      <c r="E1107" t="s">
        <v>154</v>
      </c>
      <c r="F1107" s="15">
        <v>170000</v>
      </c>
      <c r="G1107" s="161">
        <v>3886</v>
      </c>
    </row>
    <row r="1108" spans="1:7" x14ac:dyDescent="0.35">
      <c r="A1108" t="s">
        <v>20</v>
      </c>
      <c r="B1108" t="s">
        <v>27</v>
      </c>
      <c r="C1108" s="1">
        <v>45950</v>
      </c>
      <c r="D1108" t="s">
        <v>156</v>
      </c>
      <c r="E1108" t="s">
        <v>154</v>
      </c>
      <c r="F1108" s="15">
        <v>102000</v>
      </c>
      <c r="G1108" s="178">
        <v>3867</v>
      </c>
    </row>
    <row r="1109" spans="1:7" x14ac:dyDescent="0.35">
      <c r="A1109" t="s">
        <v>20</v>
      </c>
      <c r="B1109" t="s">
        <v>173</v>
      </c>
      <c r="C1109" s="1">
        <v>45951</v>
      </c>
      <c r="D1109" t="s">
        <v>156</v>
      </c>
      <c r="E1109" t="s">
        <v>154</v>
      </c>
      <c r="F1109" s="15">
        <v>145000</v>
      </c>
      <c r="G1109" s="178">
        <v>3867</v>
      </c>
    </row>
    <row r="1110" spans="1:7" x14ac:dyDescent="0.35">
      <c r="A1110" t="s">
        <v>20</v>
      </c>
      <c r="B1110" t="s">
        <v>27</v>
      </c>
      <c r="C1110" s="1">
        <v>45952</v>
      </c>
      <c r="D1110" t="s">
        <v>156</v>
      </c>
      <c r="E1110" t="s">
        <v>155</v>
      </c>
      <c r="F1110" s="15">
        <v>100000</v>
      </c>
      <c r="G1110" s="161">
        <v>4111.3900000000003</v>
      </c>
    </row>
    <row r="1111" spans="1:7" x14ac:dyDescent="0.35">
      <c r="A1111" t="s">
        <v>20</v>
      </c>
      <c r="B1111" t="s">
        <v>1429</v>
      </c>
      <c r="C1111" s="1">
        <v>45952</v>
      </c>
      <c r="D1111" t="s">
        <v>156</v>
      </c>
      <c r="E1111" t="s">
        <v>155</v>
      </c>
      <c r="F1111" s="15">
        <v>80000</v>
      </c>
      <c r="G1111" s="161">
        <v>4180.71</v>
      </c>
    </row>
    <row r="1112" spans="1:7" x14ac:dyDescent="0.35">
      <c r="A1112" t="s">
        <v>20</v>
      </c>
      <c r="B1112" t="s">
        <v>1429</v>
      </c>
      <c r="C1112" s="1">
        <v>45952</v>
      </c>
      <c r="D1112" t="s">
        <v>156</v>
      </c>
      <c r="E1112" t="s">
        <v>155</v>
      </c>
      <c r="F1112" s="15">
        <v>100000</v>
      </c>
      <c r="G1112" s="161">
        <v>4230.59</v>
      </c>
    </row>
    <row r="1113" spans="1:7" x14ac:dyDescent="0.35">
      <c r="A1113" t="s">
        <v>20</v>
      </c>
      <c r="B1113" t="s">
        <v>1429</v>
      </c>
      <c r="C1113" s="1">
        <v>45952</v>
      </c>
      <c r="D1113" t="s">
        <v>156</v>
      </c>
      <c r="E1113" t="s">
        <v>155</v>
      </c>
      <c r="F1113" s="15">
        <v>100000</v>
      </c>
      <c r="G1113" s="161">
        <v>4173.2299999999996</v>
      </c>
    </row>
    <row r="1114" spans="1:7" x14ac:dyDescent="0.35">
      <c r="A1114" t="s">
        <v>20</v>
      </c>
      <c r="B1114" t="s">
        <v>27</v>
      </c>
      <c r="C1114" s="1">
        <v>45952</v>
      </c>
      <c r="D1114" t="s">
        <v>156</v>
      </c>
      <c r="E1114" t="s">
        <v>155</v>
      </c>
      <c r="F1114" s="15">
        <v>100000</v>
      </c>
      <c r="G1114" s="161">
        <v>3918.39</v>
      </c>
    </row>
    <row r="1115" spans="1:7" x14ac:dyDescent="0.35">
      <c r="A1115" t="s">
        <v>20</v>
      </c>
      <c r="B1115" t="s">
        <v>27</v>
      </c>
      <c r="C1115" s="1">
        <v>45952</v>
      </c>
      <c r="D1115" t="s">
        <v>156</v>
      </c>
      <c r="E1115" t="s">
        <v>155</v>
      </c>
      <c r="F1115" s="15">
        <v>300000</v>
      </c>
      <c r="G1115" s="161">
        <v>3923.51</v>
      </c>
    </row>
    <row r="1116" spans="1:7" x14ac:dyDescent="0.35">
      <c r="A1116" t="s">
        <v>20</v>
      </c>
      <c r="B1116" t="s">
        <v>27</v>
      </c>
      <c r="C1116" s="1">
        <v>45952</v>
      </c>
      <c r="D1116" t="s">
        <v>156</v>
      </c>
      <c r="E1116" t="s">
        <v>155</v>
      </c>
      <c r="F1116" s="15">
        <v>100000</v>
      </c>
      <c r="G1116" s="161">
        <v>3921.5</v>
      </c>
    </row>
    <row r="1117" spans="1:7" x14ac:dyDescent="0.35">
      <c r="A1117" t="s">
        <v>20</v>
      </c>
      <c r="B1117" t="s">
        <v>158</v>
      </c>
      <c r="C1117" s="1">
        <v>45952</v>
      </c>
      <c r="D1117" t="s">
        <v>156</v>
      </c>
      <c r="E1117" t="s">
        <v>155</v>
      </c>
      <c r="F1117" s="15">
        <v>80000</v>
      </c>
      <c r="G1117" s="161">
        <v>4139.87</v>
      </c>
    </row>
    <row r="1118" spans="1:7" x14ac:dyDescent="0.35">
      <c r="A1118" t="s">
        <v>20</v>
      </c>
      <c r="B1118" t="s">
        <v>27</v>
      </c>
      <c r="C1118" s="1">
        <v>45952</v>
      </c>
      <c r="D1118" t="s">
        <v>156</v>
      </c>
      <c r="E1118" t="s">
        <v>155</v>
      </c>
      <c r="F1118" s="15">
        <v>100000</v>
      </c>
      <c r="G1118" s="161">
        <v>3809.22</v>
      </c>
    </row>
    <row r="1119" spans="1:7" x14ac:dyDescent="0.35">
      <c r="A1119" t="s">
        <v>19</v>
      </c>
      <c r="B1119" t="s">
        <v>19</v>
      </c>
      <c r="C1119" s="1">
        <v>45952</v>
      </c>
      <c r="D1119" t="s">
        <v>156</v>
      </c>
      <c r="E1119" t="s">
        <v>155</v>
      </c>
      <c r="F1119" s="15">
        <v>100000</v>
      </c>
      <c r="G1119" s="161">
        <v>4086.18</v>
      </c>
    </row>
    <row r="1120" spans="1:7" x14ac:dyDescent="0.35">
      <c r="A1120" t="s">
        <v>19</v>
      </c>
      <c r="B1120" t="s">
        <v>19</v>
      </c>
      <c r="C1120" s="1">
        <v>45952</v>
      </c>
      <c r="D1120" t="s">
        <v>156</v>
      </c>
      <c r="E1120" t="s">
        <v>155</v>
      </c>
      <c r="F1120" s="15">
        <v>100000</v>
      </c>
      <c r="G1120" s="161">
        <v>4180.08</v>
      </c>
    </row>
    <row r="1121" spans="1:7" x14ac:dyDescent="0.35">
      <c r="A1121" t="s">
        <v>19</v>
      </c>
      <c r="B1121" t="s">
        <v>19</v>
      </c>
      <c r="C1121" s="1">
        <v>45952</v>
      </c>
      <c r="D1121" t="s">
        <v>156</v>
      </c>
      <c r="E1121" t="s">
        <v>155</v>
      </c>
      <c r="F1121" s="15">
        <v>100000</v>
      </c>
      <c r="G1121" s="161">
        <v>4087.37</v>
      </c>
    </row>
    <row r="1122" spans="1:7" x14ac:dyDescent="0.35">
      <c r="A1122" t="s">
        <v>19</v>
      </c>
      <c r="B1122" t="s">
        <v>19</v>
      </c>
      <c r="C1122" s="1">
        <v>45952</v>
      </c>
      <c r="D1122" t="s">
        <v>156</v>
      </c>
      <c r="E1122" t="s">
        <v>154</v>
      </c>
      <c r="F1122" s="15">
        <v>261000</v>
      </c>
      <c r="G1122" s="161">
        <v>3885</v>
      </c>
    </row>
    <row r="1123" spans="1:7" x14ac:dyDescent="0.35">
      <c r="A1123" t="s">
        <v>20</v>
      </c>
      <c r="B1123" s="190" t="s">
        <v>162</v>
      </c>
      <c r="C1123" s="1">
        <v>45952</v>
      </c>
      <c r="D1123" t="s">
        <v>156</v>
      </c>
      <c r="E1123" t="s">
        <v>154</v>
      </c>
      <c r="F1123" s="189">
        <v>167000</v>
      </c>
      <c r="G1123" s="161">
        <v>3885</v>
      </c>
    </row>
    <row r="1124" spans="1:7" x14ac:dyDescent="0.35">
      <c r="A1124" t="s">
        <v>20</v>
      </c>
      <c r="B1124" s="190" t="s">
        <v>158</v>
      </c>
      <c r="C1124" s="1">
        <v>45952</v>
      </c>
      <c r="D1124" t="s">
        <v>156</v>
      </c>
      <c r="E1124" t="s">
        <v>154</v>
      </c>
      <c r="F1124" s="189">
        <v>58000</v>
      </c>
      <c r="G1124" s="161">
        <v>3885</v>
      </c>
    </row>
    <row r="1125" spans="1:7" x14ac:dyDescent="0.35">
      <c r="A1125" t="s">
        <v>20</v>
      </c>
      <c r="B1125" s="190" t="s">
        <v>26</v>
      </c>
      <c r="C1125" s="1">
        <v>45952</v>
      </c>
      <c r="D1125" t="s">
        <v>156</v>
      </c>
      <c r="E1125" t="s">
        <v>154</v>
      </c>
      <c r="F1125" s="189">
        <v>10000</v>
      </c>
      <c r="G1125" s="161">
        <v>3885</v>
      </c>
    </row>
    <row r="1126" spans="1:7" x14ac:dyDescent="0.35">
      <c r="A1126" t="s">
        <v>20</v>
      </c>
      <c r="B1126" s="24" t="s">
        <v>1452</v>
      </c>
      <c r="C1126" s="1">
        <v>45953</v>
      </c>
      <c r="D1126" t="s">
        <v>156</v>
      </c>
      <c r="E1126" t="s">
        <v>154</v>
      </c>
      <c r="F1126" s="120">
        <v>309000</v>
      </c>
      <c r="G1126" s="161">
        <v>3903.5</v>
      </c>
    </row>
    <row r="1127" spans="1:7" x14ac:dyDescent="0.35">
      <c r="A1127" t="s">
        <v>20</v>
      </c>
      <c r="B1127" s="24" t="s">
        <v>173</v>
      </c>
      <c r="C1127" s="1">
        <v>45953</v>
      </c>
      <c r="D1127" t="s">
        <v>156</v>
      </c>
      <c r="E1127" t="s">
        <v>154</v>
      </c>
      <c r="F1127" s="120">
        <v>11000</v>
      </c>
      <c r="G1127" s="161">
        <v>3903.5</v>
      </c>
    </row>
    <row r="1128" spans="1:7" x14ac:dyDescent="0.35">
      <c r="A1128" t="s">
        <v>20</v>
      </c>
      <c r="B1128" s="24" t="s">
        <v>26</v>
      </c>
      <c r="C1128" s="1">
        <v>45953</v>
      </c>
      <c r="D1128" t="s">
        <v>156</v>
      </c>
      <c r="E1128" t="s">
        <v>154</v>
      </c>
      <c r="F1128" s="120">
        <v>200000</v>
      </c>
      <c r="G1128" s="161">
        <v>3903.5</v>
      </c>
    </row>
    <row r="1129" spans="1:7" x14ac:dyDescent="0.35">
      <c r="A1129" t="s">
        <v>20</v>
      </c>
      <c r="B1129" t="s">
        <v>162</v>
      </c>
      <c r="C1129" s="1">
        <v>45958</v>
      </c>
      <c r="D1129" t="s">
        <v>156</v>
      </c>
      <c r="E1129" t="s">
        <v>154</v>
      </c>
      <c r="F1129" s="15">
        <v>70000</v>
      </c>
      <c r="G1129" s="178">
        <v>3873</v>
      </c>
    </row>
    <row r="1130" spans="1:7" x14ac:dyDescent="0.35">
      <c r="A1130" t="s">
        <v>19</v>
      </c>
      <c r="B1130" t="s">
        <v>19</v>
      </c>
      <c r="C1130" s="1">
        <v>45959</v>
      </c>
      <c r="D1130" t="s">
        <v>156</v>
      </c>
      <c r="E1130" t="s">
        <v>155</v>
      </c>
      <c r="F1130" s="15">
        <v>100000</v>
      </c>
      <c r="G1130" s="178">
        <v>4056.16</v>
      </c>
    </row>
    <row r="1131" spans="1:7" x14ac:dyDescent="0.35">
      <c r="A1131" t="s">
        <v>19</v>
      </c>
      <c r="B1131" t="s">
        <v>19</v>
      </c>
      <c r="C1131" s="1">
        <v>45959</v>
      </c>
      <c r="D1131" t="s">
        <v>156</v>
      </c>
      <c r="E1131" t="s">
        <v>270</v>
      </c>
      <c r="F1131" s="15">
        <v>347823.33</v>
      </c>
      <c r="G1131" s="178">
        <v>4183.78</v>
      </c>
    </row>
    <row r="1132" spans="1:7" x14ac:dyDescent="0.35">
      <c r="A1132" t="s">
        <v>19</v>
      </c>
      <c r="B1132" t="s">
        <v>19</v>
      </c>
      <c r="C1132" s="1">
        <v>45959</v>
      </c>
      <c r="D1132" t="s">
        <v>156</v>
      </c>
      <c r="E1132" t="s">
        <v>155</v>
      </c>
      <c r="F1132" s="15">
        <v>150000</v>
      </c>
      <c r="G1132" s="178">
        <v>3865.65</v>
      </c>
    </row>
    <row r="1133" spans="1:7" x14ac:dyDescent="0.35">
      <c r="A1133" t="s">
        <v>20</v>
      </c>
      <c r="B1133" t="s">
        <v>27</v>
      </c>
      <c r="C1133" s="1">
        <v>45959</v>
      </c>
      <c r="D1133" t="s">
        <v>156</v>
      </c>
      <c r="E1133" t="s">
        <v>155</v>
      </c>
      <c r="F1133" s="15">
        <v>100000</v>
      </c>
      <c r="G1133" s="178">
        <v>4090.88</v>
      </c>
    </row>
    <row r="1134" spans="1:7" x14ac:dyDescent="0.35">
      <c r="A1134" t="s">
        <v>20</v>
      </c>
      <c r="B1134" t="s">
        <v>27</v>
      </c>
      <c r="C1134" s="1">
        <v>45959</v>
      </c>
      <c r="D1134" t="s">
        <v>156</v>
      </c>
      <c r="E1134" t="s">
        <v>155</v>
      </c>
      <c r="F1134" s="15">
        <v>100000</v>
      </c>
      <c r="G1134" s="161">
        <v>4057.6400000000003</v>
      </c>
    </row>
    <row r="1135" spans="1:7" x14ac:dyDescent="0.35">
      <c r="A1135" t="s">
        <v>20</v>
      </c>
      <c r="B1135" t="s">
        <v>158</v>
      </c>
      <c r="C1135" s="1">
        <v>45959</v>
      </c>
      <c r="D1135" t="s">
        <v>156</v>
      </c>
      <c r="E1135" t="s">
        <v>155</v>
      </c>
      <c r="F1135" s="15">
        <v>100000</v>
      </c>
      <c r="G1135" s="161">
        <v>4080.65</v>
      </c>
    </row>
    <row r="1136" spans="1:7" x14ac:dyDescent="0.35">
      <c r="A1136" t="s">
        <v>19</v>
      </c>
      <c r="B1136" t="s">
        <v>19</v>
      </c>
      <c r="C1136" s="1">
        <v>45959</v>
      </c>
      <c r="D1136" t="s">
        <v>156</v>
      </c>
      <c r="E1136" t="s">
        <v>154</v>
      </c>
      <c r="F1136" s="15">
        <v>160000</v>
      </c>
      <c r="G1136" s="161">
        <v>3904</v>
      </c>
    </row>
    <row r="1137" spans="1:7" x14ac:dyDescent="0.35">
      <c r="A1137" t="s">
        <v>19</v>
      </c>
      <c r="B1137" t="s">
        <v>19</v>
      </c>
      <c r="C1137" s="1">
        <v>45960</v>
      </c>
      <c r="D1137" t="s">
        <v>156</v>
      </c>
      <c r="E1137" t="s">
        <v>154</v>
      </c>
      <c r="F1137" s="15">
        <v>290000</v>
      </c>
      <c r="G1137" s="161">
        <v>3874</v>
      </c>
    </row>
    <row r="1138" spans="1:7" x14ac:dyDescent="0.35">
      <c r="A1138" t="s">
        <v>20</v>
      </c>
      <c r="B1138" s="190" t="s">
        <v>158</v>
      </c>
      <c r="C1138" s="1">
        <v>45959</v>
      </c>
      <c r="D1138" t="s">
        <v>156</v>
      </c>
      <c r="E1138" t="s">
        <v>154</v>
      </c>
      <c r="F1138" s="189">
        <v>218000</v>
      </c>
      <c r="G1138" s="161">
        <v>3894</v>
      </c>
    </row>
    <row r="1139" spans="1:7" x14ac:dyDescent="0.35">
      <c r="A1139" t="s">
        <v>20</v>
      </c>
      <c r="B1139" s="190" t="s">
        <v>162</v>
      </c>
      <c r="C1139" s="1">
        <v>45959</v>
      </c>
      <c r="D1139" t="s">
        <v>156</v>
      </c>
      <c r="E1139" t="s">
        <v>154</v>
      </c>
      <c r="F1139" s="189">
        <v>85000</v>
      </c>
      <c r="G1139" s="161">
        <v>3894</v>
      </c>
    </row>
    <row r="1140" spans="1:7" x14ac:dyDescent="0.35">
      <c r="A1140" t="s">
        <v>20</v>
      </c>
      <c r="B1140" s="190" t="s">
        <v>171</v>
      </c>
      <c r="C1140" s="1">
        <v>45959</v>
      </c>
      <c r="D1140" t="s">
        <v>156</v>
      </c>
      <c r="E1140" t="s">
        <v>154</v>
      </c>
      <c r="F1140" s="189">
        <v>15000</v>
      </c>
      <c r="G1140" s="161">
        <v>3894</v>
      </c>
    </row>
    <row r="1141" spans="1:7" x14ac:dyDescent="0.35">
      <c r="A1141" t="s">
        <v>20</v>
      </c>
      <c r="B1141" s="24" t="s">
        <v>26</v>
      </c>
      <c r="C1141" s="1">
        <v>45960</v>
      </c>
      <c r="D1141" t="s">
        <v>156</v>
      </c>
      <c r="E1141" t="s">
        <v>154</v>
      </c>
      <c r="F1141" s="120">
        <v>501000</v>
      </c>
      <c r="G1141" s="161">
        <v>3874</v>
      </c>
    </row>
    <row r="1142" spans="1:7" x14ac:dyDescent="0.35">
      <c r="A1142" t="s">
        <v>20</v>
      </c>
      <c r="B1142" s="24" t="s">
        <v>171</v>
      </c>
      <c r="C1142" s="1">
        <v>45960</v>
      </c>
      <c r="D1142" t="s">
        <v>156</v>
      </c>
      <c r="E1142" t="s">
        <v>154</v>
      </c>
      <c r="F1142" s="120">
        <v>195000</v>
      </c>
      <c r="G1142" s="161">
        <v>3874</v>
      </c>
    </row>
    <row r="1143" spans="1:7" x14ac:dyDescent="0.35">
      <c r="A1143" t="s">
        <v>1477</v>
      </c>
      <c r="B1143" t="s">
        <v>217</v>
      </c>
      <c r="C1143" s="1">
        <v>45940</v>
      </c>
      <c r="D1143" t="s">
        <v>156</v>
      </c>
      <c r="E1143" t="s">
        <v>154</v>
      </c>
      <c r="F1143" s="15">
        <v>500000</v>
      </c>
      <c r="G1143" s="161">
        <v>3895</v>
      </c>
    </row>
    <row r="1144" spans="1:7" x14ac:dyDescent="0.35">
      <c r="A1144" t="s">
        <v>20</v>
      </c>
      <c r="B1144" t="s">
        <v>27</v>
      </c>
      <c r="C1144" s="1">
        <v>45967</v>
      </c>
      <c r="D1144" t="s">
        <v>156</v>
      </c>
      <c r="E1144" t="s">
        <v>155</v>
      </c>
      <c r="F1144" s="15">
        <v>100000</v>
      </c>
      <c r="G1144" s="161">
        <v>4129.4100000000008</v>
      </c>
    </row>
    <row r="1145" spans="1:7" x14ac:dyDescent="0.35">
      <c r="A1145" t="s">
        <v>20</v>
      </c>
      <c r="B1145" t="s">
        <v>27</v>
      </c>
      <c r="C1145" s="1">
        <v>45967</v>
      </c>
      <c r="D1145" t="s">
        <v>156</v>
      </c>
      <c r="E1145" t="s">
        <v>155</v>
      </c>
      <c r="F1145" s="15">
        <v>100000</v>
      </c>
      <c r="G1145" s="161">
        <v>4066.7200000000003</v>
      </c>
    </row>
    <row r="1146" spans="1:7" x14ac:dyDescent="0.35">
      <c r="A1146" t="s">
        <v>20</v>
      </c>
      <c r="B1146" t="s">
        <v>158</v>
      </c>
      <c r="C1146" s="1">
        <v>45967</v>
      </c>
      <c r="D1146" t="s">
        <v>156</v>
      </c>
      <c r="E1146" t="s">
        <v>155</v>
      </c>
      <c r="F1146" s="15">
        <v>100000</v>
      </c>
      <c r="G1146" s="161">
        <v>4128.82</v>
      </c>
    </row>
    <row r="1147" spans="1:7" x14ac:dyDescent="0.35">
      <c r="A1147" t="s">
        <v>20</v>
      </c>
      <c r="B1147" t="s">
        <v>158</v>
      </c>
      <c r="C1147" s="1">
        <v>45967</v>
      </c>
      <c r="D1147" t="s">
        <v>156</v>
      </c>
      <c r="E1147" t="s">
        <v>155</v>
      </c>
      <c r="F1147" s="15">
        <v>50000</v>
      </c>
      <c r="G1147" s="161">
        <v>4066.77</v>
      </c>
    </row>
    <row r="1148" spans="1:7" x14ac:dyDescent="0.35">
      <c r="A1148" t="s">
        <v>20</v>
      </c>
      <c r="B1148" t="s">
        <v>162</v>
      </c>
      <c r="C1148" s="1">
        <v>45967</v>
      </c>
      <c r="D1148" t="s">
        <v>156</v>
      </c>
      <c r="E1148" t="s">
        <v>155</v>
      </c>
      <c r="F1148" s="15">
        <v>100000</v>
      </c>
      <c r="G1148" s="161">
        <v>3911.97</v>
      </c>
    </row>
    <row r="1149" spans="1:7" x14ac:dyDescent="0.35">
      <c r="A1149" t="s">
        <v>19</v>
      </c>
      <c r="B1149" t="s">
        <v>19</v>
      </c>
      <c r="C1149" s="1">
        <v>45967</v>
      </c>
      <c r="D1149" t="s">
        <v>156</v>
      </c>
      <c r="E1149" t="s">
        <v>155</v>
      </c>
      <c r="F1149" s="15">
        <v>100000</v>
      </c>
      <c r="G1149" s="178">
        <v>4094.33</v>
      </c>
    </row>
    <row r="1150" spans="1:7" x14ac:dyDescent="0.35">
      <c r="A1150" t="s">
        <v>19</v>
      </c>
      <c r="B1150" t="s">
        <v>19</v>
      </c>
      <c r="C1150" s="1">
        <v>45967</v>
      </c>
      <c r="D1150" t="s">
        <v>156</v>
      </c>
      <c r="E1150" t="s">
        <v>155</v>
      </c>
      <c r="F1150" s="15">
        <v>150000</v>
      </c>
      <c r="G1150" s="178">
        <v>4063.11</v>
      </c>
    </row>
    <row r="1151" spans="1:7" x14ac:dyDescent="0.35">
      <c r="A1151" t="s">
        <v>19</v>
      </c>
      <c r="B1151" t="s">
        <v>19</v>
      </c>
      <c r="C1151" s="1">
        <v>45967</v>
      </c>
      <c r="D1151" t="s">
        <v>156</v>
      </c>
      <c r="E1151" t="s">
        <v>155</v>
      </c>
      <c r="F1151" s="15">
        <v>50000</v>
      </c>
      <c r="G1151" s="178">
        <v>4062.7</v>
      </c>
    </row>
    <row r="1152" spans="1:7" x14ac:dyDescent="0.35">
      <c r="A1152" t="s">
        <v>19</v>
      </c>
      <c r="B1152" t="s">
        <v>19</v>
      </c>
      <c r="C1152" s="1">
        <v>45967</v>
      </c>
      <c r="D1152" t="s">
        <v>156</v>
      </c>
      <c r="E1152" t="s">
        <v>155</v>
      </c>
      <c r="F1152" s="15">
        <v>200000</v>
      </c>
      <c r="G1152" s="178">
        <v>3926.7</v>
      </c>
    </row>
    <row r="1153" spans="1:7" x14ac:dyDescent="0.35">
      <c r="A1153" t="s">
        <v>19</v>
      </c>
      <c r="B1153" t="s">
        <v>19</v>
      </c>
      <c r="C1153" s="1">
        <v>45967</v>
      </c>
      <c r="D1153" t="s">
        <v>156</v>
      </c>
      <c r="E1153" t="s">
        <v>270</v>
      </c>
      <c r="F1153" s="15">
        <v>329673.92</v>
      </c>
      <c r="G1153" s="178">
        <v>4137.1400000000003</v>
      </c>
    </row>
    <row r="1154" spans="1:7" x14ac:dyDescent="0.35">
      <c r="A1154" t="s">
        <v>19</v>
      </c>
      <c r="B1154" t="s">
        <v>19</v>
      </c>
      <c r="C1154" s="1">
        <v>45967</v>
      </c>
      <c r="D1154" t="s">
        <v>156</v>
      </c>
      <c r="E1154" t="s">
        <v>155</v>
      </c>
      <c r="F1154" s="15">
        <v>150000</v>
      </c>
      <c r="G1154" s="178">
        <v>4047.01</v>
      </c>
    </row>
    <row r="1155" spans="1:7" x14ac:dyDescent="0.35">
      <c r="A1155" t="s">
        <v>20</v>
      </c>
      <c r="B1155" s="190" t="s">
        <v>158</v>
      </c>
      <c r="C1155" s="1">
        <v>45967</v>
      </c>
      <c r="D1155" t="s">
        <v>156</v>
      </c>
      <c r="E1155" t="s">
        <v>154</v>
      </c>
      <c r="F1155" s="189">
        <v>379000</v>
      </c>
      <c r="G1155" s="161">
        <v>3821</v>
      </c>
    </row>
    <row r="1156" spans="1:7" x14ac:dyDescent="0.35">
      <c r="A1156" t="s">
        <v>20</v>
      </c>
      <c r="B1156" s="190" t="s">
        <v>162</v>
      </c>
      <c r="C1156" s="1">
        <v>45967</v>
      </c>
      <c r="D1156" t="s">
        <v>156</v>
      </c>
      <c r="E1156" t="s">
        <v>154</v>
      </c>
      <c r="F1156" s="189">
        <v>46000</v>
      </c>
      <c r="G1156" s="161">
        <v>3821</v>
      </c>
    </row>
    <row r="1157" spans="1:7" x14ac:dyDescent="0.35">
      <c r="A1157" t="s">
        <v>1477</v>
      </c>
      <c r="C1157" s="1">
        <v>45967</v>
      </c>
      <c r="D1157" t="s">
        <v>156</v>
      </c>
      <c r="E1157" t="s">
        <v>154</v>
      </c>
      <c r="F1157" s="15">
        <v>10000</v>
      </c>
      <c r="G1157" s="161">
        <v>3822</v>
      </c>
    </row>
    <row r="1158" spans="1:7" x14ac:dyDescent="0.35">
      <c r="A1158" t="s">
        <v>20</v>
      </c>
      <c r="B1158" t="s">
        <v>26</v>
      </c>
      <c r="C1158" s="1">
        <v>45968</v>
      </c>
      <c r="D1158" t="s">
        <v>156</v>
      </c>
      <c r="E1158" t="s">
        <v>154</v>
      </c>
      <c r="F1158" s="15">
        <v>265000</v>
      </c>
      <c r="G1158" s="161">
        <v>3780</v>
      </c>
    </row>
    <row r="1159" spans="1:7" x14ac:dyDescent="0.35">
      <c r="A1159" t="s">
        <v>19</v>
      </c>
      <c r="B1159" t="s">
        <v>19</v>
      </c>
      <c r="C1159" s="1">
        <v>45967</v>
      </c>
      <c r="D1159" t="s">
        <v>156</v>
      </c>
      <c r="E1159" t="s">
        <v>154</v>
      </c>
      <c r="F1159" s="15">
        <v>545000</v>
      </c>
      <c r="G1159" s="161">
        <v>3822</v>
      </c>
    </row>
    <row r="1160" spans="1:7" x14ac:dyDescent="0.35">
      <c r="A1160" t="s">
        <v>20</v>
      </c>
      <c r="B1160" t="s">
        <v>27</v>
      </c>
      <c r="C1160" s="1">
        <v>45974</v>
      </c>
      <c r="D1160" t="s">
        <v>156</v>
      </c>
      <c r="E1160" t="s">
        <v>155</v>
      </c>
      <c r="F1160" s="15">
        <v>100000</v>
      </c>
      <c r="G1160" s="161">
        <v>4068.3300000000004</v>
      </c>
    </row>
    <row r="1161" spans="1:7" x14ac:dyDescent="0.35">
      <c r="A1161" t="s">
        <v>20</v>
      </c>
      <c r="B1161" t="s">
        <v>158</v>
      </c>
      <c r="C1161" s="1">
        <v>45973</v>
      </c>
      <c r="D1161" t="s">
        <v>156</v>
      </c>
      <c r="E1161" t="s">
        <v>155</v>
      </c>
      <c r="F1161" s="15">
        <v>100000</v>
      </c>
      <c r="G1161" s="161">
        <v>3930.05</v>
      </c>
    </row>
    <row r="1162" spans="1:7" x14ac:dyDescent="0.35">
      <c r="A1162" t="s">
        <v>20</v>
      </c>
      <c r="B1162" t="s">
        <v>27</v>
      </c>
      <c r="C1162" s="1">
        <v>45973</v>
      </c>
      <c r="D1162" t="s">
        <v>156</v>
      </c>
      <c r="E1162" t="s">
        <v>155</v>
      </c>
      <c r="F1162" s="15">
        <v>100000</v>
      </c>
      <c r="G1162" s="161">
        <v>3915.53</v>
      </c>
    </row>
    <row r="1163" spans="1:7" x14ac:dyDescent="0.35">
      <c r="A1163" t="s">
        <v>20</v>
      </c>
      <c r="B1163" t="s">
        <v>162</v>
      </c>
      <c r="C1163" s="1">
        <v>45975</v>
      </c>
      <c r="D1163" t="s">
        <v>156</v>
      </c>
      <c r="E1163" t="s">
        <v>155</v>
      </c>
      <c r="F1163" s="15">
        <v>100000</v>
      </c>
      <c r="G1163" s="161">
        <v>3886.98</v>
      </c>
    </row>
    <row r="1164" spans="1:7" x14ac:dyDescent="0.35">
      <c r="A1164" t="s">
        <v>20</v>
      </c>
      <c r="B1164" t="s">
        <v>158</v>
      </c>
      <c r="C1164" s="1">
        <v>45976</v>
      </c>
      <c r="D1164" t="s">
        <v>156</v>
      </c>
      <c r="E1164" t="s">
        <v>155</v>
      </c>
      <c r="F1164" s="15">
        <v>100000</v>
      </c>
      <c r="G1164" s="161">
        <v>3886.98</v>
      </c>
    </row>
    <row r="1165" spans="1:7" x14ac:dyDescent="0.35">
      <c r="A1165" t="s">
        <v>19</v>
      </c>
      <c r="B1165" t="s">
        <v>19</v>
      </c>
      <c r="C1165" s="1">
        <v>45973</v>
      </c>
      <c r="D1165" t="s">
        <v>156</v>
      </c>
      <c r="E1165" t="s">
        <v>155</v>
      </c>
      <c r="F1165" s="95">
        <v>250000</v>
      </c>
      <c r="G1165" s="161">
        <v>4098.07</v>
      </c>
    </row>
    <row r="1166" spans="1:7" x14ac:dyDescent="0.35">
      <c r="A1166" t="s">
        <v>19</v>
      </c>
      <c r="B1166" t="s">
        <v>19</v>
      </c>
      <c r="C1166" s="1">
        <v>45973</v>
      </c>
      <c r="D1166" t="s">
        <v>156</v>
      </c>
      <c r="E1166" t="s">
        <v>155</v>
      </c>
      <c r="F1166" s="95">
        <v>150000</v>
      </c>
      <c r="G1166" s="161">
        <v>3952.33</v>
      </c>
    </row>
    <row r="1167" spans="1:7" x14ac:dyDescent="0.35">
      <c r="A1167" t="s">
        <v>19</v>
      </c>
      <c r="B1167" t="s">
        <v>19</v>
      </c>
      <c r="C1167" s="1">
        <v>45973</v>
      </c>
      <c r="D1167" t="s">
        <v>156</v>
      </c>
      <c r="E1167" t="s">
        <v>155</v>
      </c>
      <c r="F1167" s="95">
        <v>100000</v>
      </c>
      <c r="G1167" s="161">
        <v>3930.05</v>
      </c>
    </row>
    <row r="1168" spans="1:7" x14ac:dyDescent="0.35">
      <c r="A1168" t="s">
        <v>19</v>
      </c>
      <c r="B1168" t="s">
        <v>19</v>
      </c>
      <c r="C1168" s="1">
        <v>45973</v>
      </c>
      <c r="D1168" t="s">
        <v>156</v>
      </c>
      <c r="E1168" t="s">
        <v>155</v>
      </c>
      <c r="F1168" s="95">
        <v>100000</v>
      </c>
      <c r="G1168" s="161">
        <v>4050.36</v>
      </c>
    </row>
    <row r="1169" spans="1:7" x14ac:dyDescent="0.35">
      <c r="A1169" t="s">
        <v>20</v>
      </c>
      <c r="B1169" s="190" t="s">
        <v>162</v>
      </c>
      <c r="C1169" s="1">
        <v>45973</v>
      </c>
      <c r="D1169" t="s">
        <v>156</v>
      </c>
      <c r="E1169" t="s">
        <v>154</v>
      </c>
      <c r="F1169" s="189">
        <v>38000</v>
      </c>
      <c r="G1169" s="161">
        <v>3732</v>
      </c>
    </row>
    <row r="1170" spans="1:7" x14ac:dyDescent="0.35">
      <c r="A1170" t="s">
        <v>20</v>
      </c>
      <c r="B1170" s="190" t="s">
        <v>171</v>
      </c>
      <c r="C1170" s="1">
        <v>45973</v>
      </c>
      <c r="D1170" t="s">
        <v>156</v>
      </c>
      <c r="E1170" t="s">
        <v>154</v>
      </c>
      <c r="F1170" s="189">
        <v>34000</v>
      </c>
      <c r="G1170" s="161">
        <v>3732</v>
      </c>
    </row>
    <row r="1171" spans="1:7" x14ac:dyDescent="0.35">
      <c r="A1171" t="s">
        <v>20</v>
      </c>
      <c r="B1171" t="s">
        <v>26</v>
      </c>
      <c r="C1171" s="1">
        <v>45975</v>
      </c>
      <c r="D1171" t="s">
        <v>156</v>
      </c>
      <c r="E1171" t="s">
        <v>154</v>
      </c>
      <c r="F1171" s="15">
        <v>228000</v>
      </c>
      <c r="G1171" s="178">
        <v>3775</v>
      </c>
    </row>
    <row r="1172" spans="1:7" x14ac:dyDescent="0.35">
      <c r="A1172" t="s">
        <v>19</v>
      </c>
      <c r="B1172" t="s">
        <v>19</v>
      </c>
      <c r="C1172" s="1">
        <v>45973</v>
      </c>
      <c r="D1172" t="s">
        <v>156</v>
      </c>
      <c r="E1172" t="s">
        <v>154</v>
      </c>
      <c r="F1172" s="15">
        <v>600000</v>
      </c>
      <c r="G1172" s="161">
        <v>3720</v>
      </c>
    </row>
    <row r="1173" spans="1:7" x14ac:dyDescent="0.35">
      <c r="A1173" t="s">
        <v>20</v>
      </c>
      <c r="B1173" t="s">
        <v>27</v>
      </c>
      <c r="C1173" s="1">
        <v>45980</v>
      </c>
      <c r="D1173" t="s">
        <v>156</v>
      </c>
      <c r="E1173" t="s">
        <v>155</v>
      </c>
      <c r="F1173" s="15">
        <v>50000</v>
      </c>
      <c r="G1173" s="161">
        <v>4092.15</v>
      </c>
    </row>
    <row r="1174" spans="1:7" x14ac:dyDescent="0.35">
      <c r="A1174" t="s">
        <v>20</v>
      </c>
      <c r="B1174" t="s">
        <v>27</v>
      </c>
      <c r="C1174" s="1">
        <v>45980</v>
      </c>
      <c r="D1174" t="s">
        <v>156</v>
      </c>
      <c r="E1174" t="s">
        <v>155</v>
      </c>
      <c r="F1174" s="15">
        <v>50000</v>
      </c>
      <c r="G1174" s="161">
        <v>4070.48</v>
      </c>
    </row>
    <row r="1175" spans="1:7" x14ac:dyDescent="0.35">
      <c r="A1175" t="s">
        <v>20</v>
      </c>
      <c r="B1175" t="s">
        <v>158</v>
      </c>
      <c r="C1175" s="1">
        <v>45980</v>
      </c>
      <c r="D1175" t="s">
        <v>156</v>
      </c>
      <c r="E1175" t="s">
        <v>155</v>
      </c>
      <c r="F1175" s="15">
        <v>100000</v>
      </c>
      <c r="G1175" s="161">
        <v>4059.75</v>
      </c>
    </row>
    <row r="1176" spans="1:7" x14ac:dyDescent="0.35">
      <c r="A1176" t="s">
        <v>19</v>
      </c>
      <c r="B1176" t="s">
        <v>19</v>
      </c>
      <c r="C1176" s="1">
        <v>45980</v>
      </c>
      <c r="D1176" t="s">
        <v>156</v>
      </c>
      <c r="E1176" t="s">
        <v>155</v>
      </c>
      <c r="F1176" s="15">
        <v>200000</v>
      </c>
      <c r="G1176" s="161">
        <v>3934</v>
      </c>
    </row>
    <row r="1177" spans="1:7" x14ac:dyDescent="0.35">
      <c r="A1177" t="s">
        <v>19</v>
      </c>
      <c r="B1177" t="s">
        <v>19</v>
      </c>
      <c r="C1177" s="1">
        <v>45980</v>
      </c>
      <c r="D1177" t="s">
        <v>156</v>
      </c>
      <c r="E1177" t="s">
        <v>155</v>
      </c>
      <c r="F1177" s="15">
        <v>200000</v>
      </c>
      <c r="G1177" s="161">
        <v>3936.14</v>
      </c>
    </row>
    <row r="1178" spans="1:7" x14ac:dyDescent="0.35">
      <c r="A1178" t="s">
        <v>19</v>
      </c>
      <c r="B1178" t="s">
        <v>19</v>
      </c>
      <c r="C1178" s="1">
        <v>45980</v>
      </c>
      <c r="D1178" t="s">
        <v>156</v>
      </c>
      <c r="E1178" t="s">
        <v>155</v>
      </c>
      <c r="F1178" s="15">
        <v>150000</v>
      </c>
      <c r="G1178" s="161">
        <v>4054.02</v>
      </c>
    </row>
    <row r="1179" spans="1:7" x14ac:dyDescent="0.35">
      <c r="A1179" t="s">
        <v>19</v>
      </c>
      <c r="B1179" t="s">
        <v>19</v>
      </c>
      <c r="C1179" s="1">
        <v>45980</v>
      </c>
      <c r="D1179" t="s">
        <v>156</v>
      </c>
      <c r="E1179" t="s">
        <v>270</v>
      </c>
      <c r="F1179" s="15">
        <v>269787.65999999997</v>
      </c>
      <c r="G1179" s="161">
        <v>4105.2</v>
      </c>
    </row>
    <row r="1180" spans="1:7" x14ac:dyDescent="0.35">
      <c r="A1180" t="s">
        <v>19</v>
      </c>
      <c r="B1180" t="s">
        <v>19</v>
      </c>
      <c r="C1180" s="1">
        <v>45980</v>
      </c>
      <c r="D1180" t="s">
        <v>156</v>
      </c>
      <c r="E1180" t="s">
        <v>155</v>
      </c>
      <c r="F1180" s="15">
        <v>100000</v>
      </c>
      <c r="G1180" s="161">
        <v>3934.8</v>
      </c>
    </row>
    <row r="1181" spans="1:7" x14ac:dyDescent="0.35">
      <c r="A1181" t="s">
        <v>19</v>
      </c>
      <c r="B1181" t="s">
        <v>19</v>
      </c>
      <c r="C1181" s="1">
        <v>45980</v>
      </c>
      <c r="D1181" t="s">
        <v>156</v>
      </c>
      <c r="E1181" t="s">
        <v>270</v>
      </c>
      <c r="F1181" s="15">
        <v>202177.96</v>
      </c>
      <c r="G1181" s="161">
        <v>4044.02</v>
      </c>
    </row>
    <row r="1182" spans="1:7" x14ac:dyDescent="0.35">
      <c r="A1182" t="s">
        <v>20</v>
      </c>
      <c r="B1182" s="190" t="s">
        <v>162</v>
      </c>
      <c r="C1182" s="1">
        <v>45980</v>
      </c>
      <c r="D1182" t="s">
        <v>156</v>
      </c>
      <c r="E1182" t="s">
        <v>154</v>
      </c>
      <c r="F1182" s="189">
        <v>245000</v>
      </c>
      <c r="G1182" s="161">
        <v>3718</v>
      </c>
    </row>
    <row r="1183" spans="1:7" x14ac:dyDescent="0.35">
      <c r="A1183" t="s">
        <v>20</v>
      </c>
      <c r="B1183" s="190" t="s">
        <v>171</v>
      </c>
      <c r="C1183" s="1">
        <v>45980</v>
      </c>
      <c r="D1183" t="s">
        <v>156</v>
      </c>
      <c r="E1183" t="s">
        <v>154</v>
      </c>
      <c r="F1183" s="189">
        <v>28000</v>
      </c>
      <c r="G1183" s="161">
        <v>3718</v>
      </c>
    </row>
    <row r="1184" spans="1:7" x14ac:dyDescent="0.35">
      <c r="A1184" t="s">
        <v>20</v>
      </c>
      <c r="B1184" t="s">
        <v>26</v>
      </c>
      <c r="C1184" s="1">
        <v>45981</v>
      </c>
      <c r="D1184" t="s">
        <v>156</v>
      </c>
      <c r="E1184" t="s">
        <v>154</v>
      </c>
      <c r="F1184" s="15">
        <v>244000</v>
      </c>
      <c r="G1184" s="161">
        <v>3744</v>
      </c>
    </row>
    <row r="1185" spans="1:7" x14ac:dyDescent="0.35">
      <c r="A1185" t="s">
        <v>19</v>
      </c>
      <c r="B1185" t="s">
        <v>19</v>
      </c>
      <c r="C1185" s="1">
        <v>45980</v>
      </c>
      <c r="D1185" t="s">
        <v>156</v>
      </c>
      <c r="E1185" t="s">
        <v>154</v>
      </c>
      <c r="F1185" s="15">
        <v>255000</v>
      </c>
      <c r="G1185" s="161">
        <v>3718</v>
      </c>
    </row>
    <row r="1186" spans="1:7" x14ac:dyDescent="0.35">
      <c r="A1186" t="s">
        <v>19</v>
      </c>
      <c r="B1186" t="s">
        <v>217</v>
      </c>
      <c r="C1186" s="1">
        <v>45973</v>
      </c>
      <c r="D1186" t="s">
        <v>156</v>
      </c>
      <c r="E1186" t="s">
        <v>154</v>
      </c>
      <c r="F1186" s="15">
        <v>35000</v>
      </c>
      <c r="G1186" s="161">
        <v>3720</v>
      </c>
    </row>
    <row r="1187" spans="1:7" x14ac:dyDescent="0.35">
      <c r="A1187" t="s">
        <v>20</v>
      </c>
      <c r="B1187" t="s">
        <v>217</v>
      </c>
      <c r="C1187" s="1">
        <v>45973</v>
      </c>
      <c r="D1187" t="s">
        <v>156</v>
      </c>
      <c r="E1187" t="s">
        <v>154</v>
      </c>
      <c r="F1187" s="15">
        <v>40000</v>
      </c>
      <c r="G1187" s="161">
        <v>3720</v>
      </c>
    </row>
    <row r="1188" spans="1:7" x14ac:dyDescent="0.35">
      <c r="A1188" t="s">
        <v>19</v>
      </c>
      <c r="B1188" t="s">
        <v>217</v>
      </c>
      <c r="C1188" s="1">
        <v>45980</v>
      </c>
      <c r="D1188" t="s">
        <v>156</v>
      </c>
      <c r="E1188" t="s">
        <v>154</v>
      </c>
      <c r="F1188" s="15">
        <v>20000</v>
      </c>
      <c r="G1188" s="161">
        <v>3720</v>
      </c>
    </row>
    <row r="1189" spans="1:7" x14ac:dyDescent="0.35">
      <c r="A1189" t="s">
        <v>20</v>
      </c>
      <c r="B1189" t="s">
        <v>217</v>
      </c>
      <c r="C1189" s="1">
        <v>45980</v>
      </c>
      <c r="D1189" t="s">
        <v>156</v>
      </c>
      <c r="E1189" t="s">
        <v>154</v>
      </c>
      <c r="F1189" s="15">
        <v>45000</v>
      </c>
      <c r="G1189" s="161">
        <v>3718</v>
      </c>
    </row>
    <row r="1190" spans="1:7" x14ac:dyDescent="0.35">
      <c r="A1190" t="s">
        <v>20</v>
      </c>
      <c r="B1190" t="s">
        <v>158</v>
      </c>
      <c r="C1190" s="1">
        <v>45987</v>
      </c>
      <c r="D1190" t="s">
        <v>156</v>
      </c>
      <c r="E1190" t="s">
        <v>270</v>
      </c>
      <c r="F1190" s="15">
        <v>150979.07999999999</v>
      </c>
      <c r="G1190" s="161">
        <v>4105.29</v>
      </c>
    </row>
    <row r="1191" spans="1:7" x14ac:dyDescent="0.35">
      <c r="A1191" t="s">
        <v>20</v>
      </c>
      <c r="B1191" t="s">
        <v>1516</v>
      </c>
      <c r="C1191" s="1">
        <v>45987</v>
      </c>
      <c r="D1191" t="s">
        <v>156</v>
      </c>
      <c r="E1191" t="s">
        <v>155</v>
      </c>
      <c r="F1191" s="15">
        <v>100000</v>
      </c>
      <c r="G1191" s="161">
        <v>3880.02</v>
      </c>
    </row>
    <row r="1192" spans="1:7" x14ac:dyDescent="0.35">
      <c r="A1192" t="s">
        <v>20</v>
      </c>
      <c r="B1192" t="s">
        <v>158</v>
      </c>
      <c r="C1192" s="1">
        <v>45987</v>
      </c>
      <c r="D1192" t="s">
        <v>156</v>
      </c>
      <c r="E1192" t="s">
        <v>155</v>
      </c>
      <c r="F1192" s="15">
        <v>150000</v>
      </c>
      <c r="G1192" s="161">
        <v>3923.08</v>
      </c>
    </row>
    <row r="1193" spans="1:7" x14ac:dyDescent="0.35">
      <c r="A1193" t="s">
        <v>19</v>
      </c>
      <c r="B1193" t="s">
        <v>19</v>
      </c>
      <c r="C1193" s="1">
        <v>45987</v>
      </c>
      <c r="D1193" t="s">
        <v>156</v>
      </c>
      <c r="E1193" t="s">
        <v>270</v>
      </c>
      <c r="F1193" s="15">
        <v>341792.4</v>
      </c>
      <c r="G1193" s="161">
        <v>4199.87</v>
      </c>
    </row>
    <row r="1194" spans="1:7" x14ac:dyDescent="0.35">
      <c r="A1194" t="s">
        <v>19</v>
      </c>
      <c r="B1194" t="s">
        <v>19</v>
      </c>
      <c r="C1194" s="1">
        <v>45987</v>
      </c>
      <c r="D1194" t="s">
        <v>156</v>
      </c>
      <c r="E1194" t="s">
        <v>155</v>
      </c>
      <c r="F1194" s="15">
        <v>200000</v>
      </c>
      <c r="G1194" s="161">
        <v>3940.04</v>
      </c>
    </row>
    <row r="1195" spans="1:7" x14ac:dyDescent="0.35">
      <c r="A1195" t="s">
        <v>19</v>
      </c>
      <c r="B1195" t="s">
        <v>19</v>
      </c>
      <c r="C1195" s="1">
        <v>45987</v>
      </c>
      <c r="D1195" t="s">
        <v>156</v>
      </c>
      <c r="E1195" t="s">
        <v>155</v>
      </c>
      <c r="F1195" s="15">
        <v>150000</v>
      </c>
      <c r="G1195" s="161">
        <v>4058.14</v>
      </c>
    </row>
    <row r="1196" spans="1:7" x14ac:dyDescent="0.35">
      <c r="A1196" t="s">
        <v>19</v>
      </c>
      <c r="B1196" t="s">
        <v>19</v>
      </c>
      <c r="C1196" s="1">
        <v>45987</v>
      </c>
      <c r="D1196" t="s">
        <v>156</v>
      </c>
      <c r="E1196" t="s">
        <v>155</v>
      </c>
      <c r="F1196" s="15">
        <v>100000</v>
      </c>
      <c r="G1196" s="161">
        <v>3920.88</v>
      </c>
    </row>
    <row r="1197" spans="1:7" x14ac:dyDescent="0.35">
      <c r="A1197" t="s">
        <v>20</v>
      </c>
      <c r="B1197" s="190" t="s">
        <v>158</v>
      </c>
      <c r="C1197" s="1">
        <v>45987</v>
      </c>
      <c r="D1197" t="s">
        <v>156</v>
      </c>
      <c r="E1197" t="s">
        <v>154</v>
      </c>
      <c r="F1197" s="189">
        <v>328000</v>
      </c>
      <c r="G1197" s="161">
        <v>3813</v>
      </c>
    </row>
    <row r="1198" spans="1:7" x14ac:dyDescent="0.35">
      <c r="A1198" t="s">
        <v>20</v>
      </c>
      <c r="B1198" s="190" t="s">
        <v>162</v>
      </c>
      <c r="C1198" s="1">
        <v>45987</v>
      </c>
      <c r="D1198" t="s">
        <v>156</v>
      </c>
      <c r="E1198" t="s">
        <v>154</v>
      </c>
      <c r="F1198" s="189">
        <v>105000</v>
      </c>
      <c r="G1198" s="161">
        <v>3813</v>
      </c>
    </row>
    <row r="1199" spans="1:7" x14ac:dyDescent="0.35">
      <c r="A1199" t="s">
        <v>20</v>
      </c>
      <c r="B1199" s="190" t="s">
        <v>171</v>
      </c>
      <c r="C1199" s="1">
        <v>45987</v>
      </c>
      <c r="D1199" t="s">
        <v>156</v>
      </c>
      <c r="E1199" t="s">
        <v>154</v>
      </c>
      <c r="F1199" s="189">
        <v>30000</v>
      </c>
      <c r="G1199" s="161">
        <v>3813</v>
      </c>
    </row>
    <row r="1200" spans="1:7" x14ac:dyDescent="0.35">
      <c r="A1200" t="s">
        <v>20</v>
      </c>
      <c r="B1200" t="s">
        <v>26</v>
      </c>
      <c r="C1200" s="1">
        <v>45987</v>
      </c>
      <c r="D1200" t="s">
        <v>156</v>
      </c>
      <c r="E1200" t="s">
        <v>154</v>
      </c>
      <c r="F1200" s="15">
        <v>251000</v>
      </c>
      <c r="G1200" s="161">
        <v>3813</v>
      </c>
    </row>
    <row r="1201" spans="1:7" x14ac:dyDescent="0.35">
      <c r="A1201" t="s">
        <v>19</v>
      </c>
      <c r="B1201" t="s">
        <v>19</v>
      </c>
      <c r="C1201" s="1">
        <v>45987</v>
      </c>
      <c r="D1201" t="s">
        <v>156</v>
      </c>
      <c r="E1201" t="s">
        <v>154</v>
      </c>
      <c r="F1201" s="15">
        <v>450000</v>
      </c>
      <c r="G1201" s="178">
        <v>3813</v>
      </c>
    </row>
    <row r="1202" spans="1:7" x14ac:dyDescent="0.35">
      <c r="A1202" s="237" t="s">
        <v>20</v>
      </c>
      <c r="B1202" s="237" t="s">
        <v>158</v>
      </c>
      <c r="C1202" s="238">
        <v>45994</v>
      </c>
      <c r="D1202" s="237" t="s">
        <v>156</v>
      </c>
      <c r="E1202" s="237" t="s">
        <v>270</v>
      </c>
      <c r="F1202" s="239">
        <v>561180.04</v>
      </c>
      <c r="G1202" s="178">
        <v>4051.75</v>
      </c>
    </row>
    <row r="1203" spans="1:7" x14ac:dyDescent="0.35">
      <c r="A1203" s="237" t="s">
        <v>20</v>
      </c>
      <c r="B1203" s="237" t="s">
        <v>162</v>
      </c>
      <c r="C1203" s="238">
        <v>45994</v>
      </c>
      <c r="D1203" s="237" t="s">
        <v>156</v>
      </c>
      <c r="E1203" s="237" t="s">
        <v>155</v>
      </c>
      <c r="F1203" s="239">
        <v>100000</v>
      </c>
      <c r="G1203" s="178">
        <v>4068.11</v>
      </c>
    </row>
    <row r="1204" spans="1:7" x14ac:dyDescent="0.35">
      <c r="A1204" s="237" t="s">
        <v>20</v>
      </c>
      <c r="B1204" s="237" t="s">
        <v>158</v>
      </c>
      <c r="C1204" s="238">
        <v>45994</v>
      </c>
      <c r="D1204" s="237" t="s">
        <v>156</v>
      </c>
      <c r="E1204" s="237" t="s">
        <v>155</v>
      </c>
      <c r="F1204" s="239">
        <v>100000</v>
      </c>
      <c r="G1204" s="178">
        <v>4068.11</v>
      </c>
    </row>
    <row r="1205" spans="1:7" x14ac:dyDescent="0.35">
      <c r="A1205" s="237" t="s">
        <v>20</v>
      </c>
      <c r="B1205" s="237" t="s">
        <v>162</v>
      </c>
      <c r="C1205" s="238">
        <v>45994</v>
      </c>
      <c r="D1205" s="237" t="s">
        <v>156</v>
      </c>
      <c r="E1205" s="237" t="s">
        <v>155</v>
      </c>
      <c r="F1205" s="239">
        <v>100000</v>
      </c>
      <c r="G1205" s="178">
        <v>3884.03</v>
      </c>
    </row>
    <row r="1206" spans="1:7" x14ac:dyDescent="0.35">
      <c r="A1206" s="237" t="s">
        <v>20</v>
      </c>
      <c r="B1206" s="237" t="s">
        <v>27</v>
      </c>
      <c r="C1206" s="238">
        <v>45994</v>
      </c>
      <c r="D1206" s="237" t="s">
        <v>156</v>
      </c>
      <c r="E1206" s="237" t="s">
        <v>155</v>
      </c>
      <c r="F1206" s="239">
        <v>100000</v>
      </c>
      <c r="G1206" s="178">
        <v>3883.68</v>
      </c>
    </row>
    <row r="1207" spans="1:7" x14ac:dyDescent="0.35">
      <c r="A1207" s="237" t="s">
        <v>20</v>
      </c>
      <c r="B1207" s="237" t="s">
        <v>27</v>
      </c>
      <c r="C1207" s="238">
        <v>45994</v>
      </c>
      <c r="D1207" s="237" t="s">
        <v>156</v>
      </c>
      <c r="E1207" s="237" t="s">
        <v>155</v>
      </c>
      <c r="F1207" s="239">
        <v>100000</v>
      </c>
      <c r="G1207" s="178">
        <v>3924.81</v>
      </c>
    </row>
    <row r="1208" spans="1:7" x14ac:dyDescent="0.35">
      <c r="A1208" s="237" t="s">
        <v>19</v>
      </c>
      <c r="B1208" s="237" t="s">
        <v>19</v>
      </c>
      <c r="C1208" s="238">
        <v>45994</v>
      </c>
      <c r="D1208" s="237" t="s">
        <v>156</v>
      </c>
      <c r="E1208" s="237" t="s">
        <v>155</v>
      </c>
      <c r="F1208" s="239">
        <v>100000</v>
      </c>
      <c r="G1208" s="161">
        <v>4068.11</v>
      </c>
    </row>
    <row r="1209" spans="1:7" x14ac:dyDescent="0.35">
      <c r="A1209" s="237" t="s">
        <v>19</v>
      </c>
      <c r="B1209" s="237" t="s">
        <v>19</v>
      </c>
      <c r="C1209" s="238">
        <v>45994</v>
      </c>
      <c r="D1209" s="237" t="s">
        <v>156</v>
      </c>
      <c r="E1209" s="237" t="s">
        <v>155</v>
      </c>
      <c r="F1209" s="239">
        <v>200000</v>
      </c>
      <c r="G1209" s="161">
        <v>4010.67</v>
      </c>
    </row>
    <row r="1210" spans="1:7" x14ac:dyDescent="0.35">
      <c r="A1210" s="237" t="s">
        <v>19</v>
      </c>
      <c r="B1210" s="237" t="s">
        <v>19</v>
      </c>
      <c r="C1210" s="238">
        <v>45994</v>
      </c>
      <c r="D1210" s="237" t="s">
        <v>156</v>
      </c>
      <c r="E1210" s="237" t="s">
        <v>155</v>
      </c>
      <c r="F1210" s="239">
        <v>150000</v>
      </c>
      <c r="G1210" s="161">
        <v>3961.13</v>
      </c>
    </row>
    <row r="1211" spans="1:7" x14ac:dyDescent="0.35">
      <c r="A1211" t="s">
        <v>19</v>
      </c>
      <c r="B1211" t="s">
        <v>19</v>
      </c>
      <c r="C1211" s="1">
        <v>45994</v>
      </c>
      <c r="D1211" t="s">
        <v>156</v>
      </c>
      <c r="E1211" t="s">
        <v>270</v>
      </c>
      <c r="F1211" s="15">
        <v>409731.61</v>
      </c>
      <c r="G1211" s="161">
        <v>4152.66</v>
      </c>
    </row>
    <row r="1212" spans="1:7" x14ac:dyDescent="0.35">
      <c r="A1212" t="s">
        <v>20</v>
      </c>
      <c r="B1212" t="s">
        <v>171</v>
      </c>
      <c r="C1212" s="1">
        <v>45992</v>
      </c>
      <c r="D1212" t="s">
        <v>156</v>
      </c>
      <c r="E1212" t="s">
        <v>154</v>
      </c>
      <c r="F1212" s="15">
        <v>346000</v>
      </c>
      <c r="G1212" s="161">
        <v>3770</v>
      </c>
    </row>
    <row r="1213" spans="1:7" x14ac:dyDescent="0.35">
      <c r="A1213" t="s">
        <v>20</v>
      </c>
      <c r="B1213" s="190" t="s">
        <v>171</v>
      </c>
      <c r="C1213" s="1">
        <v>45994</v>
      </c>
      <c r="D1213" t="s">
        <v>156</v>
      </c>
      <c r="E1213" t="s">
        <v>154</v>
      </c>
      <c r="F1213" s="189">
        <v>545</v>
      </c>
      <c r="G1213" s="161">
        <v>3796</v>
      </c>
    </row>
    <row r="1214" spans="1:7" x14ac:dyDescent="0.35">
      <c r="A1214" t="s">
        <v>20</v>
      </c>
      <c r="B1214" s="190" t="s">
        <v>158</v>
      </c>
      <c r="C1214" s="1">
        <v>45994</v>
      </c>
      <c r="D1214" t="s">
        <v>156</v>
      </c>
      <c r="E1214" t="s">
        <v>154</v>
      </c>
      <c r="F1214" s="189">
        <v>456455</v>
      </c>
      <c r="G1214" s="161">
        <v>3796</v>
      </c>
    </row>
    <row r="1215" spans="1:7" x14ac:dyDescent="0.35">
      <c r="A1215" t="s">
        <v>20</v>
      </c>
      <c r="B1215" t="s">
        <v>26</v>
      </c>
      <c r="C1215" s="1">
        <v>45996</v>
      </c>
      <c r="D1215" t="s">
        <v>156</v>
      </c>
      <c r="E1215" t="s">
        <v>154</v>
      </c>
      <c r="F1215" s="15">
        <v>501000</v>
      </c>
      <c r="G1215" s="161">
        <v>3796</v>
      </c>
    </row>
    <row r="1216" spans="1:7" x14ac:dyDescent="0.35">
      <c r="A1216" t="s">
        <v>19</v>
      </c>
      <c r="B1216" t="s">
        <v>19</v>
      </c>
      <c r="C1216" s="1">
        <v>45994</v>
      </c>
      <c r="D1216" t="s">
        <v>156</v>
      </c>
      <c r="E1216" t="s">
        <v>154</v>
      </c>
      <c r="F1216" s="239">
        <v>250000</v>
      </c>
      <c r="G1216" s="161">
        <v>3796</v>
      </c>
    </row>
    <row r="1217" spans="1:7" x14ac:dyDescent="0.35">
      <c r="A1217" t="s">
        <v>19</v>
      </c>
      <c r="B1217" t="s">
        <v>19</v>
      </c>
      <c r="C1217" s="1">
        <v>46001</v>
      </c>
      <c r="D1217" t="s">
        <v>156</v>
      </c>
      <c r="E1217" s="237" t="s">
        <v>270</v>
      </c>
      <c r="F1217" s="240">
        <v>498461.11</v>
      </c>
      <c r="G1217" s="161">
        <v>4055.91</v>
      </c>
    </row>
    <row r="1218" spans="1:7" x14ac:dyDescent="0.35">
      <c r="A1218" t="s">
        <v>19</v>
      </c>
      <c r="B1218" t="s">
        <v>19</v>
      </c>
      <c r="C1218" s="1">
        <v>46001</v>
      </c>
      <c r="D1218" t="s">
        <v>156</v>
      </c>
      <c r="E1218" s="237" t="s">
        <v>155</v>
      </c>
      <c r="F1218" s="240">
        <v>100000</v>
      </c>
      <c r="G1218" s="161">
        <v>3946.21</v>
      </c>
    </row>
    <row r="1219" spans="1:7" x14ac:dyDescent="0.35">
      <c r="A1219" t="s">
        <v>19</v>
      </c>
      <c r="B1219" t="s">
        <v>19</v>
      </c>
      <c r="C1219" s="1">
        <v>46001</v>
      </c>
      <c r="D1219" t="s">
        <v>156</v>
      </c>
      <c r="E1219" s="237" t="s">
        <v>155</v>
      </c>
      <c r="F1219" s="239">
        <v>100000</v>
      </c>
      <c r="G1219" s="161">
        <v>3887.48</v>
      </c>
    </row>
    <row r="1220" spans="1:7" x14ac:dyDescent="0.35">
      <c r="A1220" t="s">
        <v>19</v>
      </c>
      <c r="B1220" t="s">
        <v>19</v>
      </c>
      <c r="C1220" s="1">
        <v>46001</v>
      </c>
      <c r="D1220" t="s">
        <v>156</v>
      </c>
      <c r="E1220" s="237" t="s">
        <v>155</v>
      </c>
      <c r="F1220" s="239">
        <v>100000</v>
      </c>
      <c r="G1220" s="161">
        <v>3965.04</v>
      </c>
    </row>
    <row r="1221" spans="1:7" x14ac:dyDescent="0.35">
      <c r="A1221" s="237" t="s">
        <v>20</v>
      </c>
      <c r="B1221" s="237" t="s">
        <v>158</v>
      </c>
      <c r="C1221" s="1">
        <v>46001</v>
      </c>
      <c r="D1221" t="s">
        <v>156</v>
      </c>
      <c r="E1221" s="237" t="s">
        <v>270</v>
      </c>
      <c r="F1221" s="240">
        <v>134236.97</v>
      </c>
      <c r="G1221" s="178">
        <v>4055.91</v>
      </c>
    </row>
    <row r="1222" spans="1:7" x14ac:dyDescent="0.35">
      <c r="A1222" s="237" t="s">
        <v>20</v>
      </c>
      <c r="B1222" s="237" t="s">
        <v>190</v>
      </c>
      <c r="C1222" s="1">
        <v>46003</v>
      </c>
      <c r="D1222" t="s">
        <v>156</v>
      </c>
      <c r="E1222" s="237" t="s">
        <v>155</v>
      </c>
      <c r="F1222" s="240">
        <v>200000</v>
      </c>
      <c r="G1222" s="178">
        <v>4254.8</v>
      </c>
    </row>
    <row r="1223" spans="1:7" x14ac:dyDescent="0.35">
      <c r="A1223" s="237" t="s">
        <v>20</v>
      </c>
      <c r="B1223" s="235" t="s">
        <v>162</v>
      </c>
      <c r="C1223" s="241">
        <v>46001</v>
      </c>
      <c r="D1223" s="242" t="s">
        <v>156</v>
      </c>
      <c r="E1223" s="242" t="s">
        <v>270</v>
      </c>
      <c r="F1223" s="111">
        <v>64329</v>
      </c>
      <c r="G1223" s="178">
        <v>3979.01</v>
      </c>
    </row>
    <row r="1224" spans="1:7" x14ac:dyDescent="0.35">
      <c r="A1224" s="237"/>
      <c r="B1224" s="236" t="s">
        <v>158</v>
      </c>
      <c r="C1224" s="241">
        <v>46001</v>
      </c>
      <c r="D1224" s="242" t="s">
        <v>156</v>
      </c>
      <c r="E1224" s="242" t="s">
        <v>270</v>
      </c>
      <c r="F1224" s="111">
        <v>70715.3</v>
      </c>
      <c r="G1224" s="178">
        <v>3979.01</v>
      </c>
    </row>
    <row r="1225" spans="1:7" x14ac:dyDescent="0.35">
      <c r="A1225" s="237" t="s">
        <v>20</v>
      </c>
      <c r="B1225" s="237" t="s">
        <v>158</v>
      </c>
      <c r="C1225" s="1">
        <v>46001</v>
      </c>
      <c r="D1225" t="s">
        <v>156</v>
      </c>
      <c r="E1225" s="237" t="s">
        <v>155</v>
      </c>
      <c r="F1225" s="240">
        <v>100000</v>
      </c>
      <c r="G1225" s="178">
        <v>3946.21</v>
      </c>
    </row>
    <row r="1226" spans="1:7" x14ac:dyDescent="0.35">
      <c r="A1226" s="237" t="s">
        <v>20</v>
      </c>
      <c r="B1226" s="237" t="s">
        <v>158</v>
      </c>
      <c r="C1226" s="1">
        <v>46001</v>
      </c>
      <c r="D1226" t="s">
        <v>156</v>
      </c>
      <c r="E1226" s="237" t="s">
        <v>270</v>
      </c>
      <c r="F1226" s="239">
        <v>149850.01</v>
      </c>
      <c r="G1226" s="178">
        <v>3928.44</v>
      </c>
    </row>
    <row r="1227" spans="1:7" x14ac:dyDescent="0.35">
      <c r="A1227" s="237" t="s">
        <v>20</v>
      </c>
      <c r="B1227" s="237" t="s">
        <v>158</v>
      </c>
      <c r="C1227" s="1">
        <v>46001</v>
      </c>
      <c r="D1227" t="s">
        <v>156</v>
      </c>
      <c r="E1227" s="237" t="s">
        <v>155</v>
      </c>
      <c r="F1227" s="239">
        <v>100000</v>
      </c>
      <c r="G1227" s="178">
        <v>3887.45</v>
      </c>
    </row>
    <row r="1228" spans="1:7" x14ac:dyDescent="0.35">
      <c r="A1228" s="237" t="s">
        <v>20</v>
      </c>
      <c r="B1228" s="237" t="s">
        <v>27</v>
      </c>
      <c r="C1228" s="1">
        <v>46001</v>
      </c>
      <c r="D1228" t="s">
        <v>156</v>
      </c>
      <c r="E1228" s="237" t="s">
        <v>155</v>
      </c>
      <c r="F1228" s="239">
        <v>100000</v>
      </c>
      <c r="G1228" s="178">
        <v>3887.48</v>
      </c>
    </row>
    <row r="1229" spans="1:7" x14ac:dyDescent="0.35">
      <c r="A1229" t="s">
        <v>20</v>
      </c>
      <c r="B1229" t="s">
        <v>158</v>
      </c>
      <c r="C1229" s="238">
        <v>46001</v>
      </c>
      <c r="D1229" t="s">
        <v>156</v>
      </c>
      <c r="E1229" t="s">
        <v>154</v>
      </c>
      <c r="F1229" s="15">
        <v>100000</v>
      </c>
      <c r="G1229" s="161">
        <v>3867</v>
      </c>
    </row>
    <row r="1230" spans="1:7" x14ac:dyDescent="0.35">
      <c r="A1230" t="s">
        <v>20</v>
      </c>
      <c r="B1230" s="190" t="s">
        <v>26</v>
      </c>
      <c r="C1230" s="1">
        <v>46003</v>
      </c>
      <c r="D1230" t="s">
        <v>156</v>
      </c>
      <c r="E1230" t="s">
        <v>154</v>
      </c>
      <c r="F1230" s="189">
        <v>414467.63</v>
      </c>
      <c r="G1230" s="161">
        <v>3782</v>
      </c>
    </row>
    <row r="1231" spans="1:7" x14ac:dyDescent="0.35">
      <c r="A1231" t="s">
        <v>20</v>
      </c>
      <c r="B1231" s="190" t="s">
        <v>171</v>
      </c>
      <c r="C1231" s="1">
        <v>46003</v>
      </c>
      <c r="D1231" t="s">
        <v>156</v>
      </c>
      <c r="E1231" t="s">
        <v>154</v>
      </c>
      <c r="F1231" s="189">
        <v>227532.37</v>
      </c>
      <c r="G1231" s="161">
        <v>3782</v>
      </c>
    </row>
    <row r="1232" spans="1:7" x14ac:dyDescent="0.35">
      <c r="A1232" t="s">
        <v>19</v>
      </c>
      <c r="B1232" t="s">
        <v>19</v>
      </c>
      <c r="C1232" s="1">
        <v>46001</v>
      </c>
      <c r="D1232" t="s">
        <v>156</v>
      </c>
      <c r="E1232" t="s">
        <v>154</v>
      </c>
      <c r="F1232" s="15">
        <v>470000</v>
      </c>
      <c r="G1232" s="161">
        <v>3867</v>
      </c>
    </row>
    <row r="1233" spans="1:7" x14ac:dyDescent="0.35">
      <c r="A1233" t="s">
        <v>20</v>
      </c>
      <c r="B1233" t="s">
        <v>158</v>
      </c>
      <c r="C1233" s="1">
        <v>46008</v>
      </c>
      <c r="D1233" t="s">
        <v>156</v>
      </c>
      <c r="E1233" t="s">
        <v>270</v>
      </c>
      <c r="F1233" s="15">
        <v>128696.13</v>
      </c>
      <c r="G1233" s="178">
        <v>3932.45</v>
      </c>
    </row>
    <row r="1234" spans="1:7" x14ac:dyDescent="0.35">
      <c r="A1234" t="s">
        <v>20</v>
      </c>
      <c r="B1234" t="s">
        <v>158</v>
      </c>
      <c r="C1234" s="1">
        <v>46008</v>
      </c>
      <c r="D1234" t="s">
        <v>156</v>
      </c>
      <c r="E1234" t="s">
        <v>155</v>
      </c>
      <c r="F1234" s="15">
        <v>150000</v>
      </c>
      <c r="G1234" s="161">
        <v>3891.49</v>
      </c>
    </row>
    <row r="1235" spans="1:7" x14ac:dyDescent="0.35">
      <c r="A1235" t="s">
        <v>20</v>
      </c>
      <c r="B1235" t="s">
        <v>158</v>
      </c>
      <c r="C1235" s="1">
        <v>46008</v>
      </c>
      <c r="D1235" t="s">
        <v>156</v>
      </c>
      <c r="E1235" t="s">
        <v>270</v>
      </c>
      <c r="F1235" s="15">
        <v>149850</v>
      </c>
      <c r="G1235" s="161">
        <v>3929.12</v>
      </c>
    </row>
    <row r="1236" spans="1:7" x14ac:dyDescent="0.35">
      <c r="A1236" t="s">
        <v>20</v>
      </c>
      <c r="B1236" t="s">
        <v>162</v>
      </c>
      <c r="C1236" s="1">
        <v>46008</v>
      </c>
      <c r="D1236" t="s">
        <v>156</v>
      </c>
      <c r="E1236" s="218" t="s">
        <v>270</v>
      </c>
      <c r="F1236" s="219">
        <v>81091.100000000006</v>
      </c>
      <c r="G1236" s="161">
        <v>3929.12</v>
      </c>
    </row>
    <row r="1237" spans="1:7" x14ac:dyDescent="0.35">
      <c r="A1237" t="s">
        <v>20</v>
      </c>
      <c r="B1237" t="s">
        <v>158</v>
      </c>
      <c r="C1237" s="1">
        <v>46008</v>
      </c>
      <c r="D1237" t="s">
        <v>156</v>
      </c>
      <c r="E1237" s="218" t="s">
        <v>270</v>
      </c>
      <c r="F1237" s="219">
        <v>64487.360000000001</v>
      </c>
      <c r="G1237" s="161">
        <v>3929.12</v>
      </c>
    </row>
    <row r="1238" spans="1:7" x14ac:dyDescent="0.35">
      <c r="A1238" t="s">
        <v>19</v>
      </c>
      <c r="B1238" t="s">
        <v>19</v>
      </c>
      <c r="C1238" s="1">
        <v>46008</v>
      </c>
      <c r="D1238" t="s">
        <v>156</v>
      </c>
      <c r="E1238" t="s">
        <v>270</v>
      </c>
      <c r="F1238" s="95">
        <v>409811.84</v>
      </c>
      <c r="G1238" s="161">
        <v>4059.95</v>
      </c>
    </row>
    <row r="1239" spans="1:7" x14ac:dyDescent="0.35">
      <c r="A1239" t="s">
        <v>19</v>
      </c>
      <c r="B1239" t="s">
        <v>19</v>
      </c>
      <c r="C1239" s="1">
        <v>46008</v>
      </c>
      <c r="D1239" t="s">
        <v>156</v>
      </c>
      <c r="E1239" t="s">
        <v>270</v>
      </c>
      <c r="F1239" s="95">
        <v>100000</v>
      </c>
      <c r="G1239" s="161">
        <v>4059.95</v>
      </c>
    </row>
    <row r="1240" spans="1:7" x14ac:dyDescent="0.35">
      <c r="A1240" t="s">
        <v>19</v>
      </c>
      <c r="B1240" t="s">
        <v>19</v>
      </c>
      <c r="C1240" s="1">
        <v>46008</v>
      </c>
      <c r="D1240" t="s">
        <v>156</v>
      </c>
      <c r="E1240" t="s">
        <v>155</v>
      </c>
      <c r="F1240" s="15">
        <v>100000</v>
      </c>
      <c r="G1240" s="161">
        <v>3891.3</v>
      </c>
    </row>
    <row r="1241" spans="1:7" x14ac:dyDescent="0.35">
      <c r="A1241" t="s">
        <v>19</v>
      </c>
      <c r="B1241" t="s">
        <v>19</v>
      </c>
      <c r="C1241" s="1">
        <v>46008</v>
      </c>
      <c r="D1241" t="s">
        <v>156</v>
      </c>
      <c r="E1241" t="s">
        <v>155</v>
      </c>
      <c r="F1241" s="15">
        <v>100000</v>
      </c>
      <c r="G1241" s="161">
        <v>3950.66</v>
      </c>
    </row>
    <row r="1242" spans="1:7" x14ac:dyDescent="0.35">
      <c r="A1242" t="s">
        <v>19</v>
      </c>
      <c r="B1242" t="s">
        <v>19</v>
      </c>
      <c r="C1242" s="1">
        <v>46008</v>
      </c>
      <c r="D1242" t="s">
        <v>156</v>
      </c>
      <c r="E1242" t="s">
        <v>155</v>
      </c>
      <c r="F1242" s="15">
        <v>150000</v>
      </c>
      <c r="G1242" s="161">
        <v>3969.01</v>
      </c>
    </row>
    <row r="1243" spans="1:7" x14ac:dyDescent="0.35">
      <c r="A1243" t="s">
        <v>19</v>
      </c>
      <c r="B1243" t="s">
        <v>19</v>
      </c>
      <c r="C1243" s="1">
        <v>46008</v>
      </c>
      <c r="D1243" t="s">
        <v>156</v>
      </c>
      <c r="E1243" t="s">
        <v>155</v>
      </c>
      <c r="F1243" s="15">
        <v>100000</v>
      </c>
      <c r="G1243" s="161">
        <v>3932.67</v>
      </c>
    </row>
    <row r="1244" spans="1:7" x14ac:dyDescent="0.35">
      <c r="A1244" t="s">
        <v>20</v>
      </c>
      <c r="B1244" s="190" t="s">
        <v>158</v>
      </c>
      <c r="C1244" s="1">
        <v>46008</v>
      </c>
      <c r="D1244" t="s">
        <v>156</v>
      </c>
      <c r="E1244" t="s">
        <v>154</v>
      </c>
      <c r="F1244" s="189">
        <v>20000</v>
      </c>
      <c r="G1244" s="161">
        <v>3862</v>
      </c>
    </row>
    <row r="1245" spans="1:7" x14ac:dyDescent="0.35">
      <c r="A1245" t="s">
        <v>20</v>
      </c>
      <c r="B1245" s="190" t="s">
        <v>162</v>
      </c>
      <c r="C1245" s="1">
        <v>46008</v>
      </c>
      <c r="D1245" t="s">
        <v>156</v>
      </c>
      <c r="E1245" t="s">
        <v>154</v>
      </c>
      <c r="F1245" s="189">
        <v>24000</v>
      </c>
      <c r="G1245" s="161">
        <v>3862</v>
      </c>
    </row>
    <row r="1246" spans="1:7" x14ac:dyDescent="0.35">
      <c r="A1246" t="s">
        <v>20</v>
      </c>
      <c r="B1246" s="190" t="s">
        <v>171</v>
      </c>
      <c r="C1246" s="1">
        <v>46008</v>
      </c>
      <c r="D1246" t="s">
        <v>156</v>
      </c>
      <c r="E1246" t="s">
        <v>154</v>
      </c>
      <c r="F1246" s="189">
        <v>16000</v>
      </c>
      <c r="G1246" s="161">
        <v>3862</v>
      </c>
    </row>
    <row r="1247" spans="1:7" x14ac:dyDescent="0.35">
      <c r="A1247" t="s">
        <v>20</v>
      </c>
      <c r="B1247" s="190" t="s">
        <v>441</v>
      </c>
      <c r="C1247" s="1">
        <v>46008</v>
      </c>
      <c r="D1247" t="s">
        <v>156</v>
      </c>
      <c r="E1247" t="s">
        <v>154</v>
      </c>
      <c r="F1247" s="189">
        <v>5000</v>
      </c>
      <c r="G1247" s="161">
        <v>3862</v>
      </c>
    </row>
    <row r="1248" spans="1:7" x14ac:dyDescent="0.35">
      <c r="A1248" t="s">
        <v>20</v>
      </c>
      <c r="B1248" t="s">
        <v>26</v>
      </c>
      <c r="C1248" s="1">
        <v>46009</v>
      </c>
      <c r="D1248" t="s">
        <v>156</v>
      </c>
      <c r="E1248" t="s">
        <v>154</v>
      </c>
      <c r="F1248" s="15">
        <v>421000</v>
      </c>
      <c r="G1248" s="161">
        <v>3873</v>
      </c>
    </row>
    <row r="1249" spans="1:7" x14ac:dyDescent="0.35">
      <c r="A1249" t="s">
        <v>19</v>
      </c>
      <c r="B1249" t="s">
        <v>19</v>
      </c>
      <c r="C1249" s="1">
        <v>46008</v>
      </c>
      <c r="D1249" t="s">
        <v>156</v>
      </c>
      <c r="E1249" t="s">
        <v>154</v>
      </c>
      <c r="F1249" s="15">
        <v>262000</v>
      </c>
      <c r="G1249" s="161">
        <v>3862</v>
      </c>
    </row>
    <row r="1250" spans="1:7" x14ac:dyDescent="0.35">
      <c r="A1250" t="s">
        <v>20</v>
      </c>
      <c r="B1250" t="s">
        <v>158</v>
      </c>
      <c r="C1250" s="1">
        <v>46014</v>
      </c>
      <c r="D1250" t="s">
        <v>156</v>
      </c>
      <c r="E1250" t="s">
        <v>155</v>
      </c>
      <c r="F1250" s="15">
        <v>150000</v>
      </c>
      <c r="G1250" s="161">
        <v>3938.35</v>
      </c>
    </row>
    <row r="1251" spans="1:7" x14ac:dyDescent="0.35">
      <c r="A1251" t="s">
        <v>20</v>
      </c>
      <c r="B1251" t="s">
        <v>27</v>
      </c>
      <c r="C1251" s="1">
        <v>46014</v>
      </c>
      <c r="D1251" t="s">
        <v>156</v>
      </c>
      <c r="E1251" t="s">
        <v>270</v>
      </c>
      <c r="F1251" s="15">
        <v>292866.2</v>
      </c>
      <c r="G1251" s="161">
        <v>3914.46</v>
      </c>
    </row>
    <row r="1252" spans="1:7" x14ac:dyDescent="0.35">
      <c r="A1252" t="s">
        <v>20</v>
      </c>
      <c r="B1252" t="s">
        <v>162</v>
      </c>
      <c r="C1252" s="1">
        <v>46014</v>
      </c>
      <c r="D1252" t="s">
        <v>156</v>
      </c>
      <c r="E1252" s="218" t="s">
        <v>270</v>
      </c>
      <c r="F1252" s="219">
        <v>54420.2</v>
      </c>
      <c r="G1252" s="161">
        <v>3908.56</v>
      </c>
    </row>
    <row r="1253" spans="1:7" x14ac:dyDescent="0.35">
      <c r="A1253" t="s">
        <v>20</v>
      </c>
      <c r="B1253" t="s">
        <v>158</v>
      </c>
      <c r="C1253" s="1">
        <v>46014</v>
      </c>
      <c r="D1253" t="s">
        <v>156</v>
      </c>
      <c r="E1253" s="218" t="s">
        <v>270</v>
      </c>
      <c r="F1253" s="219">
        <v>52207.199999999997</v>
      </c>
      <c r="G1253" s="161">
        <v>3908.56</v>
      </c>
    </row>
    <row r="1254" spans="1:7" x14ac:dyDescent="0.35">
      <c r="A1254" t="s">
        <v>19</v>
      </c>
      <c r="B1254" t="s">
        <v>19</v>
      </c>
      <c r="C1254" s="1">
        <v>46014</v>
      </c>
      <c r="D1254" t="s">
        <v>156</v>
      </c>
      <c r="E1254" t="s">
        <v>155</v>
      </c>
      <c r="F1254" s="15">
        <v>150000</v>
      </c>
      <c r="G1254" s="161">
        <v>3908.07</v>
      </c>
    </row>
    <row r="1255" spans="1:7" x14ac:dyDescent="0.35">
      <c r="A1255" t="s">
        <v>19</v>
      </c>
      <c r="B1255" t="s">
        <v>19</v>
      </c>
      <c r="C1255" s="1">
        <v>46014</v>
      </c>
      <c r="D1255" t="s">
        <v>156</v>
      </c>
      <c r="E1255" t="s">
        <v>155</v>
      </c>
      <c r="F1255" s="15">
        <v>150000</v>
      </c>
      <c r="G1255" s="161">
        <v>3972.36</v>
      </c>
    </row>
    <row r="1256" spans="1:7" x14ac:dyDescent="0.35">
      <c r="A1256" t="s">
        <v>20</v>
      </c>
      <c r="B1256" s="190" t="s">
        <v>162</v>
      </c>
      <c r="C1256" s="1">
        <v>46014</v>
      </c>
      <c r="D1256" t="s">
        <v>156</v>
      </c>
      <c r="E1256" t="s">
        <v>154</v>
      </c>
      <c r="F1256" s="189">
        <v>47000</v>
      </c>
      <c r="G1256" s="161">
        <v>3777</v>
      </c>
    </row>
    <row r="1257" spans="1:7" x14ac:dyDescent="0.35">
      <c r="A1257" t="s">
        <v>20</v>
      </c>
      <c r="B1257" s="190" t="s">
        <v>158</v>
      </c>
      <c r="C1257" s="1">
        <v>46014</v>
      </c>
      <c r="D1257" t="s">
        <v>156</v>
      </c>
      <c r="E1257" t="s">
        <v>154</v>
      </c>
      <c r="F1257" s="189">
        <v>78000</v>
      </c>
      <c r="G1257" s="161">
        <v>3777</v>
      </c>
    </row>
    <row r="1258" spans="1:7" x14ac:dyDescent="0.35">
      <c r="A1258" t="s">
        <v>20</v>
      </c>
      <c r="B1258" s="190" t="s">
        <v>171</v>
      </c>
      <c r="C1258" s="1">
        <v>46014</v>
      </c>
      <c r="D1258" t="s">
        <v>156</v>
      </c>
      <c r="E1258" t="s">
        <v>154</v>
      </c>
      <c r="F1258" s="189">
        <v>61000</v>
      </c>
      <c r="G1258" s="161">
        <v>3777</v>
      </c>
    </row>
    <row r="1259" spans="1:7" x14ac:dyDescent="0.35">
      <c r="A1259" t="s">
        <v>19</v>
      </c>
      <c r="B1259" t="s">
        <v>19</v>
      </c>
      <c r="C1259" s="1">
        <v>46014</v>
      </c>
      <c r="D1259" t="s">
        <v>156</v>
      </c>
      <c r="E1259" t="s">
        <v>154</v>
      </c>
      <c r="F1259" s="15">
        <v>475000</v>
      </c>
      <c r="G1259" s="161">
        <v>3777</v>
      </c>
    </row>
    <row r="1260" spans="1:7" x14ac:dyDescent="0.35">
      <c r="A1260" t="s">
        <v>20</v>
      </c>
      <c r="B1260" s="190" t="s">
        <v>171</v>
      </c>
      <c r="C1260" s="1">
        <v>46017</v>
      </c>
      <c r="D1260" t="s">
        <v>156</v>
      </c>
      <c r="E1260" t="s">
        <v>154</v>
      </c>
      <c r="F1260" s="189">
        <v>516000</v>
      </c>
      <c r="G1260" s="161">
        <v>3721</v>
      </c>
    </row>
    <row r="1261" spans="1:7" x14ac:dyDescent="0.35">
      <c r="A1261" t="s">
        <v>20</v>
      </c>
      <c r="B1261" s="190" t="s">
        <v>26</v>
      </c>
      <c r="C1261" s="1">
        <v>46017</v>
      </c>
      <c r="D1261" t="s">
        <v>156</v>
      </c>
      <c r="E1261" t="s">
        <v>154</v>
      </c>
      <c r="F1261" s="189">
        <v>517000</v>
      </c>
      <c r="G1261" s="161">
        <v>3721</v>
      </c>
    </row>
    <row r="1262" spans="1:7" x14ac:dyDescent="0.35">
      <c r="A1262" t="s">
        <v>20</v>
      </c>
      <c r="B1262" t="s">
        <v>217</v>
      </c>
      <c r="C1262" s="1">
        <v>45994</v>
      </c>
      <c r="D1262" t="s">
        <v>156</v>
      </c>
      <c r="E1262" t="s">
        <v>154</v>
      </c>
      <c r="F1262" s="176">
        <v>4000000</v>
      </c>
      <c r="G1262" s="161">
        <v>3791</v>
      </c>
    </row>
    <row r="1263" spans="1:7" x14ac:dyDescent="0.35">
      <c r="A1263" t="s">
        <v>20</v>
      </c>
      <c r="B1263" t="s">
        <v>217</v>
      </c>
      <c r="C1263" s="1">
        <v>46006</v>
      </c>
      <c r="D1263" t="s">
        <v>156</v>
      </c>
      <c r="E1263" t="s">
        <v>154</v>
      </c>
      <c r="F1263" s="167">
        <v>40000</v>
      </c>
      <c r="G1263" s="161">
        <v>3822</v>
      </c>
    </row>
    <row r="1264" spans="1:7" x14ac:dyDescent="0.35">
      <c r="A1264" t="s">
        <v>19</v>
      </c>
      <c r="B1264" t="s">
        <v>19</v>
      </c>
      <c r="C1264" s="1">
        <v>46029</v>
      </c>
      <c r="D1264" t="s">
        <v>156</v>
      </c>
      <c r="E1264" t="s">
        <v>155</v>
      </c>
      <c r="F1264" s="167">
        <v>100000</v>
      </c>
      <c r="G1264" s="161">
        <v>3957.49</v>
      </c>
    </row>
    <row r="1265" spans="1:7" x14ac:dyDescent="0.35">
      <c r="A1265" t="s">
        <v>19</v>
      </c>
      <c r="B1265" t="s">
        <v>19</v>
      </c>
      <c r="C1265" s="1">
        <v>46029</v>
      </c>
      <c r="D1265" t="s">
        <v>156</v>
      </c>
      <c r="E1265" t="s">
        <v>155</v>
      </c>
      <c r="F1265" s="167">
        <v>150000</v>
      </c>
      <c r="G1265" s="161">
        <v>3916.33</v>
      </c>
    </row>
    <row r="1266" spans="1:7" x14ac:dyDescent="0.35">
      <c r="A1266" t="s">
        <v>19</v>
      </c>
      <c r="B1266" t="s">
        <v>19</v>
      </c>
      <c r="C1266" s="1">
        <v>46029</v>
      </c>
      <c r="D1266" t="s">
        <v>156</v>
      </c>
      <c r="E1266" t="s">
        <v>155</v>
      </c>
      <c r="F1266" s="167">
        <v>100000</v>
      </c>
      <c r="G1266" s="161">
        <v>3765.3</v>
      </c>
    </row>
    <row r="1267" spans="1:7" x14ac:dyDescent="0.35">
      <c r="A1267" t="s">
        <v>19</v>
      </c>
      <c r="B1267" t="s">
        <v>19</v>
      </c>
      <c r="C1267" s="1">
        <v>46029</v>
      </c>
      <c r="D1267" t="s">
        <v>156</v>
      </c>
      <c r="E1267" t="s">
        <v>155</v>
      </c>
      <c r="F1267" s="167">
        <v>250000</v>
      </c>
      <c r="G1267" s="161">
        <v>3765.71</v>
      </c>
    </row>
    <row r="1268" spans="1:7" x14ac:dyDescent="0.35">
      <c r="A1268" t="s">
        <v>20</v>
      </c>
      <c r="C1268" s="1">
        <v>46029</v>
      </c>
      <c r="D1268" t="s">
        <v>156</v>
      </c>
      <c r="E1268" t="s">
        <v>270</v>
      </c>
      <c r="F1268" s="15">
        <v>100000</v>
      </c>
      <c r="G1268" s="161">
        <v>3950.61</v>
      </c>
    </row>
    <row r="1269" spans="1:7" x14ac:dyDescent="0.35">
      <c r="A1269" t="s">
        <v>20</v>
      </c>
      <c r="B1269" t="s">
        <v>162</v>
      </c>
      <c r="C1269" s="1">
        <v>46029</v>
      </c>
      <c r="D1269" t="s">
        <v>156</v>
      </c>
      <c r="E1269" t="s">
        <v>155</v>
      </c>
      <c r="F1269" s="15">
        <v>80000</v>
      </c>
      <c r="G1269" s="161">
        <v>3957.49</v>
      </c>
    </row>
    <row r="1270" spans="1:7" x14ac:dyDescent="0.35">
      <c r="A1270" t="s">
        <v>20</v>
      </c>
      <c r="B1270" t="s">
        <v>158</v>
      </c>
      <c r="C1270" s="1">
        <v>46029</v>
      </c>
      <c r="D1270" t="s">
        <v>156</v>
      </c>
      <c r="E1270" t="s">
        <v>155</v>
      </c>
      <c r="F1270" s="15">
        <v>100000</v>
      </c>
      <c r="G1270" s="161">
        <v>3916.33</v>
      </c>
    </row>
    <row r="1271" spans="1:7" x14ac:dyDescent="0.35">
      <c r="A1271" t="s">
        <v>20</v>
      </c>
      <c r="B1271" t="s">
        <v>27</v>
      </c>
      <c r="C1271" s="1">
        <v>46029</v>
      </c>
      <c r="D1271" t="s">
        <v>156</v>
      </c>
      <c r="E1271" t="s">
        <v>155</v>
      </c>
      <c r="F1271" s="15">
        <v>100000</v>
      </c>
      <c r="G1271" s="161">
        <v>3770.9</v>
      </c>
    </row>
    <row r="1272" spans="1:7" x14ac:dyDescent="0.35">
      <c r="A1272" t="s">
        <v>20</v>
      </c>
      <c r="B1272" t="s">
        <v>162</v>
      </c>
      <c r="C1272" s="1">
        <v>46029</v>
      </c>
      <c r="D1272" t="s">
        <v>156</v>
      </c>
      <c r="E1272" t="s">
        <v>155</v>
      </c>
      <c r="F1272" s="15">
        <v>200000</v>
      </c>
      <c r="G1272" s="161">
        <v>3814.44</v>
      </c>
    </row>
    <row r="1273" spans="1:7" x14ac:dyDescent="0.35">
      <c r="A1273" t="s">
        <v>20</v>
      </c>
      <c r="B1273" t="s">
        <v>158</v>
      </c>
      <c r="C1273" s="1">
        <v>46029</v>
      </c>
      <c r="D1273" t="s">
        <v>156</v>
      </c>
      <c r="E1273" t="s">
        <v>155</v>
      </c>
      <c r="F1273" s="15">
        <v>300000</v>
      </c>
      <c r="G1273" s="161">
        <v>3799.3</v>
      </c>
    </row>
    <row r="1274" spans="1:7" x14ac:dyDescent="0.35">
      <c r="A1274" t="s">
        <v>20</v>
      </c>
      <c r="B1274" t="s">
        <v>26</v>
      </c>
      <c r="C1274" s="1">
        <v>46030</v>
      </c>
      <c r="D1274" t="s">
        <v>156</v>
      </c>
      <c r="E1274" t="s">
        <v>154</v>
      </c>
      <c r="F1274" s="15">
        <v>457000</v>
      </c>
      <c r="G1274" s="161">
        <v>3731</v>
      </c>
    </row>
    <row r="1275" spans="1:7" x14ac:dyDescent="0.35">
      <c r="A1275" t="s">
        <v>19</v>
      </c>
      <c r="B1275" t="s">
        <v>19</v>
      </c>
      <c r="C1275" s="1">
        <v>46029</v>
      </c>
      <c r="D1275" t="s">
        <v>156</v>
      </c>
      <c r="E1275" t="s">
        <v>154</v>
      </c>
      <c r="F1275" s="15">
        <v>580000</v>
      </c>
      <c r="G1275" s="161">
        <v>3730</v>
      </c>
    </row>
    <row r="1276" spans="1:7" x14ac:dyDescent="0.35">
      <c r="A1276" t="s">
        <v>20</v>
      </c>
      <c r="B1276" t="s">
        <v>158</v>
      </c>
      <c r="C1276" s="1">
        <v>46036</v>
      </c>
      <c r="D1276" t="s">
        <v>156</v>
      </c>
      <c r="E1276" t="s">
        <v>155</v>
      </c>
      <c r="F1276" s="15">
        <v>80000</v>
      </c>
      <c r="G1276" s="161">
        <v>3954.62</v>
      </c>
    </row>
    <row r="1277" spans="1:7" x14ac:dyDescent="0.35">
      <c r="A1277" t="s">
        <v>20</v>
      </c>
      <c r="B1277" t="s">
        <v>158</v>
      </c>
      <c r="C1277" s="1">
        <v>46036</v>
      </c>
      <c r="D1277" t="s">
        <v>156</v>
      </c>
      <c r="E1277" t="s">
        <v>155</v>
      </c>
      <c r="F1277" s="15">
        <v>100000</v>
      </c>
      <c r="G1277" s="161">
        <v>3961.59</v>
      </c>
    </row>
    <row r="1278" spans="1:7" x14ac:dyDescent="0.35">
      <c r="A1278" t="s">
        <v>20</v>
      </c>
      <c r="B1278" t="s">
        <v>1516</v>
      </c>
      <c r="C1278" s="1">
        <v>46036</v>
      </c>
      <c r="D1278" t="s">
        <v>156</v>
      </c>
      <c r="E1278" t="s">
        <v>155</v>
      </c>
      <c r="F1278" s="15">
        <v>100000</v>
      </c>
      <c r="G1278" s="161">
        <v>3936.33</v>
      </c>
    </row>
    <row r="1279" spans="1:7" x14ac:dyDescent="0.35">
      <c r="A1279" t="s">
        <v>20</v>
      </c>
      <c r="B1279" t="s">
        <v>27</v>
      </c>
      <c r="C1279" s="1">
        <v>46036</v>
      </c>
      <c r="D1279" t="s">
        <v>156</v>
      </c>
      <c r="E1279" t="s">
        <v>155</v>
      </c>
      <c r="F1279" s="15">
        <v>100000</v>
      </c>
      <c r="G1279" s="161">
        <v>3936.33</v>
      </c>
    </row>
    <row r="1280" spans="1:7" x14ac:dyDescent="0.35">
      <c r="A1280" t="s">
        <v>20</v>
      </c>
      <c r="B1280" t="s">
        <v>158</v>
      </c>
      <c r="C1280" s="1">
        <v>46036</v>
      </c>
      <c r="D1280" t="s">
        <v>156</v>
      </c>
      <c r="E1280" t="s">
        <v>155</v>
      </c>
      <c r="F1280" s="15">
        <v>200000</v>
      </c>
      <c r="G1280" s="161">
        <v>3818.32</v>
      </c>
    </row>
    <row r="1281" spans="1:7" x14ac:dyDescent="0.35">
      <c r="A1281" t="s">
        <v>20</v>
      </c>
      <c r="B1281" t="s">
        <v>158</v>
      </c>
      <c r="C1281" s="1">
        <v>46036</v>
      </c>
      <c r="D1281" t="s">
        <v>156</v>
      </c>
      <c r="E1281" t="s">
        <v>155</v>
      </c>
      <c r="F1281" s="15">
        <v>200000</v>
      </c>
      <c r="G1281" s="161">
        <v>3769.42</v>
      </c>
    </row>
    <row r="1282" spans="1:7" x14ac:dyDescent="0.35">
      <c r="A1282" t="s">
        <v>20</v>
      </c>
      <c r="B1282" t="s">
        <v>27</v>
      </c>
      <c r="C1282" s="1">
        <v>46036</v>
      </c>
      <c r="D1282" t="s">
        <v>156</v>
      </c>
      <c r="E1282" t="s">
        <v>155</v>
      </c>
      <c r="F1282" s="15">
        <v>120000</v>
      </c>
      <c r="G1282" s="161">
        <v>3819.2799999999997</v>
      </c>
    </row>
    <row r="1283" spans="1:7" x14ac:dyDescent="0.35">
      <c r="A1283" t="s">
        <v>20</v>
      </c>
      <c r="B1283" t="s">
        <v>27</v>
      </c>
      <c r="C1283" s="1">
        <v>46036</v>
      </c>
      <c r="D1283" t="s">
        <v>156</v>
      </c>
      <c r="E1283" t="s">
        <v>155</v>
      </c>
      <c r="F1283" s="15">
        <v>100000</v>
      </c>
      <c r="G1283" s="161">
        <v>3949.24</v>
      </c>
    </row>
    <row r="1284" spans="1:7" x14ac:dyDescent="0.35">
      <c r="A1284" t="s">
        <v>19</v>
      </c>
      <c r="B1284" t="s">
        <v>19</v>
      </c>
      <c r="C1284" s="1">
        <v>46036</v>
      </c>
      <c r="D1284" t="s">
        <v>156</v>
      </c>
      <c r="E1284" t="s">
        <v>155</v>
      </c>
      <c r="F1284" s="15">
        <v>100000</v>
      </c>
      <c r="G1284" s="161">
        <v>3748.52</v>
      </c>
    </row>
    <row r="1285" spans="1:7" x14ac:dyDescent="0.35">
      <c r="A1285" t="s">
        <v>19</v>
      </c>
      <c r="B1285" t="s">
        <v>19</v>
      </c>
      <c r="C1285" s="1">
        <v>46036</v>
      </c>
      <c r="D1285" t="s">
        <v>156</v>
      </c>
      <c r="E1285" t="s">
        <v>155</v>
      </c>
      <c r="F1285" s="15">
        <v>100000</v>
      </c>
      <c r="G1285" s="161">
        <v>3855.35</v>
      </c>
    </row>
    <row r="1286" spans="1:7" x14ac:dyDescent="0.35">
      <c r="A1286" t="s">
        <v>19</v>
      </c>
      <c r="B1286" t="s">
        <v>19</v>
      </c>
      <c r="C1286" s="1">
        <v>46036</v>
      </c>
      <c r="D1286" t="s">
        <v>156</v>
      </c>
      <c r="E1286" t="s">
        <v>155</v>
      </c>
      <c r="F1286" s="15">
        <v>250000</v>
      </c>
      <c r="G1286" s="161">
        <v>3769.42</v>
      </c>
    </row>
    <row r="1287" spans="1:7" x14ac:dyDescent="0.35">
      <c r="A1287" t="s">
        <v>19</v>
      </c>
      <c r="B1287" t="s">
        <v>19</v>
      </c>
      <c r="C1287" s="1">
        <v>46037</v>
      </c>
      <c r="D1287" t="s">
        <v>156</v>
      </c>
      <c r="E1287" t="s">
        <v>155</v>
      </c>
      <c r="F1287" s="15">
        <v>300000</v>
      </c>
      <c r="G1287" s="161">
        <v>3808.99</v>
      </c>
    </row>
    <row r="1288" spans="1:7" x14ac:dyDescent="0.35">
      <c r="A1288" t="s">
        <v>20</v>
      </c>
      <c r="B1288" s="190" t="s">
        <v>217</v>
      </c>
      <c r="C1288" s="1">
        <v>46036</v>
      </c>
      <c r="D1288" t="s">
        <v>156</v>
      </c>
      <c r="E1288" t="s">
        <v>154</v>
      </c>
      <c r="F1288" s="189">
        <v>65000</v>
      </c>
      <c r="G1288" s="161">
        <v>3640</v>
      </c>
    </row>
    <row r="1289" spans="1:7" x14ac:dyDescent="0.35">
      <c r="A1289" t="s">
        <v>20</v>
      </c>
      <c r="B1289" s="190" t="s">
        <v>171</v>
      </c>
      <c r="C1289" s="1">
        <v>46036</v>
      </c>
      <c r="D1289" t="s">
        <v>156</v>
      </c>
      <c r="E1289" t="s">
        <v>154</v>
      </c>
      <c r="F1289" s="189">
        <v>35000</v>
      </c>
      <c r="G1289" s="161">
        <v>3640</v>
      </c>
    </row>
    <row r="1290" spans="1:7" x14ac:dyDescent="0.35">
      <c r="A1290" t="s">
        <v>20</v>
      </c>
      <c r="B1290" t="s">
        <v>26</v>
      </c>
      <c r="C1290" s="1">
        <v>46038</v>
      </c>
      <c r="D1290" t="s">
        <v>156</v>
      </c>
      <c r="E1290" t="s">
        <v>154</v>
      </c>
      <c r="F1290" s="15">
        <v>676000</v>
      </c>
      <c r="G1290" s="161">
        <v>3699</v>
      </c>
    </row>
    <row r="1291" spans="1:7" x14ac:dyDescent="0.35">
      <c r="A1291" t="s">
        <v>20</v>
      </c>
      <c r="B1291" t="s">
        <v>173</v>
      </c>
      <c r="C1291" s="1">
        <v>46043</v>
      </c>
      <c r="D1291" t="s">
        <v>156</v>
      </c>
      <c r="E1291" t="s">
        <v>155</v>
      </c>
      <c r="F1291" s="15">
        <v>100000</v>
      </c>
      <c r="G1291" s="161">
        <v>3852.94</v>
      </c>
    </row>
    <row r="1292" spans="1:7" x14ac:dyDescent="0.35">
      <c r="A1292" t="s">
        <v>20</v>
      </c>
      <c r="B1292" t="s">
        <v>158</v>
      </c>
      <c r="C1292" s="1">
        <v>46043</v>
      </c>
      <c r="D1292" t="s">
        <v>156</v>
      </c>
      <c r="E1292" t="s">
        <v>155</v>
      </c>
      <c r="F1292" s="15">
        <v>100000</v>
      </c>
      <c r="G1292" s="161">
        <v>3940.35</v>
      </c>
    </row>
    <row r="1293" spans="1:7" x14ac:dyDescent="0.35">
      <c r="A1293" t="s">
        <v>20</v>
      </c>
      <c r="B1293" t="s">
        <v>27</v>
      </c>
      <c r="C1293" s="1">
        <v>46043</v>
      </c>
      <c r="D1293" t="s">
        <v>156</v>
      </c>
      <c r="E1293" t="s">
        <v>155</v>
      </c>
      <c r="F1293" s="15">
        <v>100000</v>
      </c>
      <c r="G1293" s="161">
        <v>3940.35</v>
      </c>
    </row>
    <row r="1294" spans="1:7" x14ac:dyDescent="0.35">
      <c r="A1294" t="s">
        <v>20</v>
      </c>
      <c r="B1294" t="s">
        <v>173</v>
      </c>
      <c r="C1294" s="1">
        <v>46043</v>
      </c>
      <c r="D1294" t="s">
        <v>156</v>
      </c>
      <c r="E1294" t="s">
        <v>155</v>
      </c>
      <c r="F1294" s="15">
        <v>100000</v>
      </c>
      <c r="G1294" s="161">
        <v>3732.29</v>
      </c>
    </row>
    <row r="1295" spans="1:7" x14ac:dyDescent="0.35">
      <c r="A1295" t="s">
        <v>20</v>
      </c>
      <c r="B1295" t="s">
        <v>27</v>
      </c>
      <c r="C1295" s="1">
        <v>46043</v>
      </c>
      <c r="D1295" t="s">
        <v>156</v>
      </c>
      <c r="E1295" t="s">
        <v>155</v>
      </c>
      <c r="F1295" s="15">
        <v>100000</v>
      </c>
      <c r="G1295" s="161">
        <v>3772.12</v>
      </c>
    </row>
    <row r="1296" spans="1:7" x14ac:dyDescent="0.35">
      <c r="A1296" t="s">
        <v>20</v>
      </c>
      <c r="B1296" t="s">
        <v>173</v>
      </c>
      <c r="C1296" s="1">
        <v>46043</v>
      </c>
      <c r="D1296" t="s">
        <v>156</v>
      </c>
      <c r="E1296" t="s">
        <v>155</v>
      </c>
      <c r="F1296" s="15">
        <v>100000</v>
      </c>
      <c r="G1296" s="161">
        <v>3772.12</v>
      </c>
    </row>
    <row r="1297" spans="1:7" x14ac:dyDescent="0.35">
      <c r="A1297" t="s">
        <v>20</v>
      </c>
      <c r="B1297" t="s">
        <v>173</v>
      </c>
      <c r="C1297" s="1">
        <v>46043</v>
      </c>
      <c r="D1297" t="s">
        <v>156</v>
      </c>
      <c r="E1297" t="s">
        <v>155</v>
      </c>
      <c r="F1297" s="15">
        <v>150000</v>
      </c>
      <c r="G1297" s="161">
        <v>3770.5</v>
      </c>
    </row>
    <row r="1298" spans="1:7" x14ac:dyDescent="0.35">
      <c r="A1298" t="s">
        <v>20</v>
      </c>
      <c r="B1298" t="s">
        <v>173</v>
      </c>
      <c r="C1298" s="1">
        <v>46043</v>
      </c>
      <c r="D1298" t="s">
        <v>156</v>
      </c>
      <c r="E1298" t="s">
        <v>155</v>
      </c>
      <c r="F1298" s="15">
        <v>60000</v>
      </c>
      <c r="G1298" s="161">
        <v>3770.01</v>
      </c>
    </row>
    <row r="1299" spans="1:7" x14ac:dyDescent="0.35">
      <c r="A1299" t="s">
        <v>20</v>
      </c>
      <c r="B1299" t="s">
        <v>173</v>
      </c>
      <c r="C1299" s="1">
        <v>46043</v>
      </c>
      <c r="D1299" t="s">
        <v>156</v>
      </c>
      <c r="E1299" t="s">
        <v>155</v>
      </c>
      <c r="F1299" s="15">
        <v>60000</v>
      </c>
      <c r="G1299" s="161">
        <v>3752.73</v>
      </c>
    </row>
    <row r="1300" spans="1:7" x14ac:dyDescent="0.35">
      <c r="A1300" t="s">
        <v>20</v>
      </c>
      <c r="B1300" t="s">
        <v>27</v>
      </c>
      <c r="C1300" s="1">
        <v>46043</v>
      </c>
      <c r="D1300" t="s">
        <v>156</v>
      </c>
      <c r="E1300" t="s">
        <v>155</v>
      </c>
      <c r="F1300" s="15">
        <v>100000</v>
      </c>
      <c r="G1300" s="161">
        <v>3849.47</v>
      </c>
    </row>
    <row r="1301" spans="1:7" x14ac:dyDescent="0.35">
      <c r="A1301" t="s">
        <v>20</v>
      </c>
      <c r="B1301" t="s">
        <v>158</v>
      </c>
      <c r="C1301" s="1">
        <v>46043</v>
      </c>
      <c r="D1301" t="s">
        <v>156</v>
      </c>
      <c r="E1301" t="s">
        <v>155</v>
      </c>
      <c r="F1301" s="15">
        <v>100000</v>
      </c>
      <c r="G1301" s="161">
        <v>3849.47</v>
      </c>
    </row>
    <row r="1302" spans="1:7" x14ac:dyDescent="0.35">
      <c r="A1302" t="s">
        <v>20</v>
      </c>
      <c r="B1302" t="s">
        <v>27</v>
      </c>
      <c r="C1302" s="1">
        <v>46043</v>
      </c>
      <c r="D1302" t="s">
        <v>156</v>
      </c>
      <c r="E1302" t="s">
        <v>155</v>
      </c>
      <c r="F1302" s="15">
        <v>100000</v>
      </c>
      <c r="G1302" s="161">
        <v>3849.47</v>
      </c>
    </row>
    <row r="1303" spans="1:7" x14ac:dyDescent="0.35">
      <c r="A1303" t="s">
        <v>19</v>
      </c>
      <c r="B1303" t="s">
        <v>19</v>
      </c>
      <c r="C1303" s="1">
        <v>46043</v>
      </c>
      <c r="D1303" t="s">
        <v>156</v>
      </c>
      <c r="E1303" t="s">
        <v>155</v>
      </c>
      <c r="F1303" s="15">
        <v>100000</v>
      </c>
      <c r="G1303" s="161">
        <v>3852.94</v>
      </c>
    </row>
    <row r="1304" spans="1:7" x14ac:dyDescent="0.35">
      <c r="A1304" t="s">
        <v>19</v>
      </c>
      <c r="B1304" t="s">
        <v>19</v>
      </c>
      <c r="C1304" s="1">
        <v>46043</v>
      </c>
      <c r="D1304" t="s">
        <v>156</v>
      </c>
      <c r="E1304" t="s">
        <v>155</v>
      </c>
      <c r="F1304" s="15">
        <v>150000</v>
      </c>
      <c r="G1304" s="161">
        <v>3924.24</v>
      </c>
    </row>
    <row r="1305" spans="1:7" x14ac:dyDescent="0.35">
      <c r="A1305" t="s">
        <v>19</v>
      </c>
      <c r="B1305" t="s">
        <v>19</v>
      </c>
      <c r="C1305" s="1">
        <v>46043</v>
      </c>
      <c r="D1305" t="s">
        <v>156</v>
      </c>
      <c r="E1305" t="s">
        <v>155</v>
      </c>
      <c r="F1305" s="15">
        <v>250000</v>
      </c>
      <c r="G1305" s="161">
        <v>3773.11</v>
      </c>
    </row>
    <row r="1306" spans="1:7" x14ac:dyDescent="0.35">
      <c r="A1306" t="s">
        <v>19</v>
      </c>
      <c r="B1306" t="s">
        <v>19</v>
      </c>
      <c r="C1306" s="1">
        <v>46043</v>
      </c>
      <c r="D1306" t="s">
        <v>156</v>
      </c>
      <c r="E1306" t="s">
        <v>155</v>
      </c>
      <c r="F1306" s="15">
        <v>300000</v>
      </c>
      <c r="G1306" s="161">
        <v>3878.83</v>
      </c>
    </row>
  </sheetData>
  <conditionalFormatting sqref="G881:G882">
    <cfRule type="duplicateValues" dxfId="1" priority="31" stopIfTrue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P562"/>
  <sheetViews>
    <sheetView zoomScaleNormal="100" workbookViewId="0">
      <pane ySplit="1" topLeftCell="A534" activePane="bottomLeft" state="frozen"/>
      <selection pane="bottomLeft" activeCell="A563" sqref="A563:K563"/>
    </sheetView>
  </sheetViews>
  <sheetFormatPr baseColWidth="10" defaultRowHeight="14.5" x14ac:dyDescent="0.35"/>
  <cols>
    <col min="1" max="1" width="13.7265625" bestFit="1" customWidth="1"/>
    <col min="2" max="2" width="12" customWidth="1"/>
    <col min="3" max="3" width="23.81640625" customWidth="1"/>
    <col min="4" max="4" width="15.453125" style="15" customWidth="1"/>
    <col min="5" max="5" width="15" style="15" bestFit="1" customWidth="1"/>
    <col min="6" max="6" width="16.81640625" style="15" bestFit="1" customWidth="1"/>
    <col min="7" max="7" width="14" customWidth="1"/>
    <col min="8" max="8" width="37.1796875" customWidth="1"/>
    <col min="9" max="9" width="30" bestFit="1" customWidth="1"/>
    <col min="11" max="11" width="17.453125" customWidth="1"/>
    <col min="12" max="12" width="17.81640625" bestFit="1" customWidth="1"/>
    <col min="13" max="13" width="10.81640625" customWidth="1"/>
    <col min="14" max="14" width="17.54296875" bestFit="1" customWidth="1"/>
    <col min="16" max="16" width="10.81640625" style="15"/>
  </cols>
  <sheetData>
    <row r="1" spans="1:16" s="11" customFormat="1" ht="34.5" x14ac:dyDescent="0.35">
      <c r="A1" s="8" t="s">
        <v>1</v>
      </c>
      <c r="B1" s="8" t="s">
        <v>2</v>
      </c>
      <c r="C1" s="8" t="s">
        <v>3</v>
      </c>
      <c r="D1" s="25" t="s">
        <v>61</v>
      </c>
      <c r="E1" s="25" t="s">
        <v>153</v>
      </c>
      <c r="F1" s="26" t="s">
        <v>152</v>
      </c>
      <c r="G1" s="10" t="s">
        <v>5</v>
      </c>
      <c r="H1" s="10" t="s">
        <v>163</v>
      </c>
      <c r="I1" s="10" t="s">
        <v>1021</v>
      </c>
      <c r="J1" s="10" t="s">
        <v>42</v>
      </c>
      <c r="K1" s="10" t="s">
        <v>1024</v>
      </c>
      <c r="M1" s="73"/>
    </row>
    <row r="2" spans="1:16" x14ac:dyDescent="0.35">
      <c r="A2" t="s">
        <v>19</v>
      </c>
      <c r="B2" s="1">
        <v>45308</v>
      </c>
      <c r="C2" t="s">
        <v>133</v>
      </c>
      <c r="D2" s="27">
        <v>3500</v>
      </c>
      <c r="E2" s="27">
        <f>+Tabla3[[#This Row],[VALOR FACTURA]]-Tabla3[[#This Row],[VALOR PAGO]]</f>
        <v>700</v>
      </c>
      <c r="F2" s="27">
        <v>2800</v>
      </c>
      <c r="G2" s="71"/>
      <c r="I2" s="71"/>
      <c r="J2" s="71"/>
      <c r="K2" s="71"/>
      <c r="M2" s="15"/>
      <c r="P2"/>
    </row>
    <row r="3" spans="1:16" x14ac:dyDescent="0.35">
      <c r="A3" t="s">
        <v>71</v>
      </c>
      <c r="B3" s="1">
        <v>45301</v>
      </c>
      <c r="C3" t="s">
        <v>138</v>
      </c>
      <c r="D3" s="27">
        <v>545</v>
      </c>
      <c r="E3" s="27">
        <f>+Tabla3[[#This Row],[VALOR FACTURA]]-Tabla3[[#This Row],[VALOR PAGO]]</f>
        <v>0</v>
      </c>
      <c r="F3" s="27">
        <v>545</v>
      </c>
      <c r="G3" s="71"/>
      <c r="I3" s="71"/>
      <c r="J3" s="71"/>
      <c r="K3" s="71"/>
      <c r="M3" s="15"/>
      <c r="P3"/>
    </row>
    <row r="4" spans="1:16" x14ac:dyDescent="0.35">
      <c r="A4" t="s">
        <v>71</v>
      </c>
      <c r="B4" s="1">
        <v>45314</v>
      </c>
      <c r="C4" t="s">
        <v>139</v>
      </c>
      <c r="D4" s="27">
        <v>24142.25</v>
      </c>
      <c r="E4" s="27">
        <f>+Tabla3[[#This Row],[VALOR FACTURA]]-Tabla3[[#This Row],[VALOR PAGO]]</f>
        <v>4828.4500000000007</v>
      </c>
      <c r="F4" s="27">
        <v>19313.8</v>
      </c>
      <c r="G4" s="71"/>
      <c r="I4" s="71"/>
      <c r="J4" s="71"/>
      <c r="K4" s="71"/>
      <c r="M4" s="15"/>
      <c r="P4"/>
    </row>
    <row r="5" spans="1:16" x14ac:dyDescent="0.35">
      <c r="A5" t="s">
        <v>71</v>
      </c>
      <c r="B5" s="1">
        <v>45314</v>
      </c>
      <c r="C5" t="s">
        <v>140</v>
      </c>
      <c r="D5" s="27">
        <v>8000</v>
      </c>
      <c r="E5" s="27">
        <f>+Tabla3[[#This Row],[VALOR FACTURA]]-Tabla3[[#This Row],[VALOR PAGO]]</f>
        <v>0</v>
      </c>
      <c r="F5" s="27">
        <v>8000</v>
      </c>
      <c r="G5" s="71"/>
      <c r="I5" s="71"/>
      <c r="J5" s="71"/>
      <c r="K5" s="71"/>
      <c r="M5" s="15"/>
      <c r="P5"/>
    </row>
    <row r="6" spans="1:16" x14ac:dyDescent="0.35">
      <c r="A6" t="s">
        <v>71</v>
      </c>
      <c r="B6" s="1">
        <v>45314</v>
      </c>
      <c r="C6" t="s">
        <v>141</v>
      </c>
      <c r="D6" s="27">
        <v>2538.91</v>
      </c>
      <c r="E6" s="27">
        <f>+Tabla3[[#This Row],[VALOR FACTURA]]-Tabla3[[#This Row],[VALOR PAGO]]</f>
        <v>0</v>
      </c>
      <c r="F6" s="27">
        <v>2538.91</v>
      </c>
      <c r="G6" s="71"/>
      <c r="I6" s="71"/>
      <c r="J6" s="71"/>
      <c r="K6" s="71"/>
      <c r="M6" s="15"/>
      <c r="P6"/>
    </row>
    <row r="7" spans="1:16" x14ac:dyDescent="0.35">
      <c r="A7" t="s">
        <v>71</v>
      </c>
      <c r="B7" s="1">
        <v>45314</v>
      </c>
      <c r="C7" t="s">
        <v>72</v>
      </c>
      <c r="D7" s="27">
        <v>10421.19</v>
      </c>
      <c r="E7" s="27">
        <f>+Tabla3[[#This Row],[VALOR FACTURA]]-Tabla3[[#This Row],[VALOR PAGO]]</f>
        <v>0</v>
      </c>
      <c r="F7" s="27">
        <v>10421.19</v>
      </c>
      <c r="G7" s="71"/>
      <c r="I7" s="71"/>
      <c r="J7" s="71"/>
      <c r="K7" s="71"/>
      <c r="M7" s="15"/>
      <c r="P7"/>
    </row>
    <row r="8" spans="1:16" x14ac:dyDescent="0.35">
      <c r="A8" t="s">
        <v>71</v>
      </c>
      <c r="B8" s="1">
        <v>45314</v>
      </c>
      <c r="C8" t="s">
        <v>142</v>
      </c>
      <c r="D8" s="27">
        <v>12600</v>
      </c>
      <c r="E8" s="27">
        <f>+Tabla3[[#This Row],[VALOR FACTURA]]-Tabla3[[#This Row],[VALOR PAGO]]</f>
        <v>0</v>
      </c>
      <c r="F8" s="27">
        <v>12600</v>
      </c>
      <c r="G8" s="71"/>
      <c r="I8" s="71"/>
      <c r="J8" s="71"/>
      <c r="K8" s="71"/>
      <c r="M8" s="15"/>
      <c r="P8"/>
    </row>
    <row r="9" spans="1:16" x14ac:dyDescent="0.35">
      <c r="A9" t="s">
        <v>20</v>
      </c>
      <c r="B9" s="1">
        <v>45314</v>
      </c>
      <c r="C9" t="s">
        <v>173</v>
      </c>
      <c r="D9" s="27">
        <v>721107.6</v>
      </c>
      <c r="E9" s="27">
        <f>+Tabla3[[#This Row],[VALOR FACTURA]]-Tabla3[[#This Row],[VALOR PAGO]]</f>
        <v>144221.52000000002</v>
      </c>
      <c r="F9" s="27">
        <v>576886.07999999996</v>
      </c>
      <c r="G9" s="71"/>
      <c r="I9" s="71"/>
      <c r="J9" s="71"/>
      <c r="K9" s="71"/>
      <c r="M9" s="15"/>
      <c r="P9"/>
    </row>
    <row r="10" spans="1:16" x14ac:dyDescent="0.35">
      <c r="A10" t="s">
        <v>20</v>
      </c>
      <c r="B10" s="1">
        <v>45314</v>
      </c>
      <c r="C10" t="s">
        <v>173</v>
      </c>
      <c r="D10" s="27">
        <v>209853.36</v>
      </c>
      <c r="E10" s="27">
        <f>+Tabla3[[#This Row],[VALOR FACTURA]]-Tabla3[[#This Row],[VALOR PAGO]]</f>
        <v>41970.669999999984</v>
      </c>
      <c r="F10" s="27">
        <v>167882.69</v>
      </c>
      <c r="G10" s="71"/>
      <c r="I10" s="71"/>
      <c r="J10" s="71"/>
      <c r="K10" s="71"/>
      <c r="M10" s="15"/>
      <c r="P10"/>
    </row>
    <row r="11" spans="1:16" x14ac:dyDescent="0.35">
      <c r="A11" t="s">
        <v>195</v>
      </c>
      <c r="B11" s="1">
        <v>45314</v>
      </c>
      <c r="C11" t="s">
        <v>218</v>
      </c>
      <c r="D11" s="27">
        <v>29783.1</v>
      </c>
      <c r="E11" s="27">
        <f>+Tabla3[[#This Row],[VALOR FACTURA]]-Tabla3[[#This Row],[VALOR PAGO]]</f>
        <v>0</v>
      </c>
      <c r="F11" s="27">
        <v>29783.1</v>
      </c>
      <c r="G11" s="71"/>
      <c r="I11" s="71"/>
      <c r="J11" s="71"/>
      <c r="K11" s="71"/>
      <c r="M11" s="15"/>
      <c r="P11"/>
    </row>
    <row r="12" spans="1:16" x14ac:dyDescent="0.35">
      <c r="A12" s="1" t="s">
        <v>20</v>
      </c>
      <c r="B12" s="1">
        <v>45301</v>
      </c>
      <c r="C12" t="s">
        <v>144</v>
      </c>
      <c r="D12" s="27">
        <v>3600</v>
      </c>
      <c r="E12" s="27">
        <f>+Tabla3[[#This Row],[VALOR FACTURA]]-Tabla3[[#This Row],[VALOR PAGO]]</f>
        <v>800</v>
      </c>
      <c r="F12" s="27">
        <v>2800</v>
      </c>
      <c r="G12" s="71"/>
      <c r="I12" s="71"/>
      <c r="J12" s="71"/>
      <c r="K12" s="71"/>
      <c r="M12" s="15"/>
      <c r="P12"/>
    </row>
    <row r="13" spans="1:16" x14ac:dyDescent="0.35">
      <c r="A13" s="1" t="s">
        <v>20</v>
      </c>
      <c r="B13" s="1">
        <v>45306</v>
      </c>
      <c r="C13" t="s">
        <v>145</v>
      </c>
      <c r="D13" s="27">
        <v>1507.0146973634969</v>
      </c>
      <c r="E13" s="27">
        <f>+Tabla3[[#This Row],[VALOR FACTURA]]-Tabla3[[#This Row],[VALOR PAGO]]</f>
        <v>0</v>
      </c>
      <c r="F13" s="27">
        <v>1507.0146973634969</v>
      </c>
      <c r="G13" s="71"/>
      <c r="I13" s="71"/>
      <c r="J13" s="71"/>
      <c r="K13" s="71"/>
      <c r="M13" s="15"/>
      <c r="P13"/>
    </row>
    <row r="14" spans="1:16" x14ac:dyDescent="0.35">
      <c r="A14" s="1" t="s">
        <v>20</v>
      </c>
      <c r="B14" s="1">
        <v>45314</v>
      </c>
      <c r="C14" t="s">
        <v>146</v>
      </c>
      <c r="D14" s="27">
        <v>4180</v>
      </c>
      <c r="E14" s="27">
        <f>+Tabla3[[#This Row],[VALOR FACTURA]]-Tabla3[[#This Row],[VALOR PAGO]]</f>
        <v>0</v>
      </c>
      <c r="F14" s="27">
        <v>4180</v>
      </c>
      <c r="G14" s="71"/>
      <c r="I14" s="71"/>
      <c r="J14" s="71"/>
      <c r="K14" s="71"/>
      <c r="M14" s="15"/>
      <c r="P14"/>
    </row>
    <row r="15" spans="1:16" x14ac:dyDescent="0.35">
      <c r="A15" s="1" t="s">
        <v>20</v>
      </c>
      <c r="B15" s="1">
        <v>45316</v>
      </c>
      <c r="C15" t="s">
        <v>216</v>
      </c>
      <c r="D15" s="27">
        <v>352122.81</v>
      </c>
      <c r="E15" s="27">
        <f>+Tabla3[[#This Row],[VALOR FACTURA]]-Tabla3[[#This Row],[VALOR PAGO]]</f>
        <v>0</v>
      </c>
      <c r="F15" s="27">
        <v>352122.81</v>
      </c>
      <c r="G15" s="71"/>
      <c r="I15" s="71"/>
      <c r="J15" s="71"/>
      <c r="K15" s="71"/>
      <c r="M15" s="15"/>
      <c r="P15"/>
    </row>
    <row r="16" spans="1:16" x14ac:dyDescent="0.35">
      <c r="A16" s="1" t="s">
        <v>19</v>
      </c>
      <c r="B16" s="1">
        <v>45316</v>
      </c>
      <c r="C16" t="s">
        <v>216</v>
      </c>
      <c r="D16" s="27">
        <v>157761.10999999999</v>
      </c>
      <c r="E16" s="27">
        <f>+Tabla3[[#This Row],[VALOR FACTURA]]-Tabla3[[#This Row],[VALOR PAGO]]</f>
        <v>0</v>
      </c>
      <c r="F16" s="27">
        <v>157761.10999999999</v>
      </c>
      <c r="G16" s="71"/>
      <c r="I16" s="71"/>
      <c r="J16" s="71"/>
      <c r="K16" s="71"/>
      <c r="M16" s="15"/>
      <c r="P16"/>
    </row>
    <row r="17" spans="1:16" x14ac:dyDescent="0.35">
      <c r="A17" s="1" t="s">
        <v>194</v>
      </c>
      <c r="B17" s="1">
        <v>45316</v>
      </c>
      <c r="C17" t="s">
        <v>216</v>
      </c>
      <c r="D17" s="27">
        <v>126208.89</v>
      </c>
      <c r="E17" s="27">
        <f>+Tabla3[[#This Row],[VALOR FACTURA]]-Tabla3[[#This Row],[VALOR PAGO]]</f>
        <v>0</v>
      </c>
      <c r="F17" s="27">
        <v>126208.89</v>
      </c>
      <c r="G17" s="71"/>
      <c r="I17" s="71"/>
      <c r="J17" s="71"/>
      <c r="K17" s="71"/>
      <c r="M17" s="15"/>
      <c r="P17"/>
    </row>
    <row r="18" spans="1:16" x14ac:dyDescent="0.35">
      <c r="A18" s="1" t="s">
        <v>20</v>
      </c>
      <c r="B18" s="1">
        <v>45321</v>
      </c>
      <c r="C18" t="s">
        <v>147</v>
      </c>
      <c r="D18" s="27">
        <v>83956.35692887324</v>
      </c>
      <c r="E18" s="27">
        <f>+Tabla3[[#This Row],[VALOR FACTURA]]-Tabla3[[#This Row],[VALOR PAGO]]</f>
        <v>0</v>
      </c>
      <c r="F18" s="27">
        <v>83956.35692887324</v>
      </c>
      <c r="G18" s="71"/>
      <c r="I18" s="71"/>
      <c r="J18" s="71"/>
      <c r="K18" s="71"/>
      <c r="M18" s="15"/>
      <c r="P18"/>
    </row>
    <row r="19" spans="1:16" x14ac:dyDescent="0.35">
      <c r="A19" s="1" t="s">
        <v>20</v>
      </c>
      <c r="B19" s="1">
        <v>45321</v>
      </c>
      <c r="C19" t="s">
        <v>147</v>
      </c>
      <c r="D19" s="27">
        <v>902.12</v>
      </c>
      <c r="E19" s="27">
        <f>+Tabla3[[#This Row],[VALOR FACTURA]]-Tabla3[[#This Row],[VALOR PAGO]]</f>
        <v>0</v>
      </c>
      <c r="F19" s="27">
        <v>902.12</v>
      </c>
      <c r="G19" s="71"/>
      <c r="I19" s="71"/>
      <c r="J19" s="71"/>
      <c r="K19" s="71"/>
      <c r="M19" s="15"/>
      <c r="P19"/>
    </row>
    <row r="20" spans="1:16" x14ac:dyDescent="0.35">
      <c r="A20" s="1" t="s">
        <v>20</v>
      </c>
      <c r="B20" s="1">
        <v>45321</v>
      </c>
      <c r="C20" t="s">
        <v>143</v>
      </c>
      <c r="D20" s="27">
        <v>6943.0193598762935</v>
      </c>
      <c r="E20" s="27">
        <f>+Tabla3[[#This Row],[VALOR FACTURA]]-Tabla3[[#This Row],[VALOR PAGO]]</f>
        <v>0</v>
      </c>
      <c r="F20" s="27">
        <v>6943.0193598762935</v>
      </c>
      <c r="G20" s="71"/>
      <c r="I20" s="71"/>
      <c r="J20" s="71"/>
      <c r="K20" s="71"/>
      <c r="M20" s="15"/>
      <c r="P20"/>
    </row>
    <row r="21" spans="1:16" x14ac:dyDescent="0.35">
      <c r="A21" s="1" t="s">
        <v>20</v>
      </c>
      <c r="B21" s="1">
        <v>45321</v>
      </c>
      <c r="C21" t="s">
        <v>145</v>
      </c>
      <c r="D21" s="27">
        <v>175272.44783652682</v>
      </c>
      <c r="E21" s="27">
        <f>+Tabla3[[#This Row],[VALOR FACTURA]]-Tabla3[[#This Row],[VALOR PAGO]]</f>
        <v>0</v>
      </c>
      <c r="F21" s="27">
        <v>175272.44783652682</v>
      </c>
      <c r="G21" s="71"/>
      <c r="I21" s="71"/>
      <c r="J21" s="71"/>
      <c r="K21" s="71"/>
      <c r="M21" s="15"/>
      <c r="P21"/>
    </row>
    <row r="22" spans="1:16" x14ac:dyDescent="0.35">
      <c r="A22" s="1" t="s">
        <v>20</v>
      </c>
      <c r="B22" s="1">
        <v>45321</v>
      </c>
      <c r="C22" t="s">
        <v>145</v>
      </c>
      <c r="D22" s="27">
        <v>13230.980000000001</v>
      </c>
      <c r="E22" s="27">
        <f>+Tabla3[[#This Row],[VALOR FACTURA]]-Tabla3[[#This Row],[VALOR PAGO]]</f>
        <v>0</v>
      </c>
      <c r="F22" s="27">
        <v>13230.980000000001</v>
      </c>
      <c r="G22" s="71"/>
      <c r="I22" s="71"/>
      <c r="J22" s="71"/>
      <c r="K22" s="71"/>
      <c r="M22" s="15"/>
      <c r="P22"/>
    </row>
    <row r="23" spans="1:16" x14ac:dyDescent="0.35">
      <c r="A23" s="1" t="s">
        <v>20</v>
      </c>
      <c r="B23" s="1">
        <v>45321</v>
      </c>
      <c r="C23" t="s">
        <v>148</v>
      </c>
      <c r="D23" s="27">
        <v>951.49</v>
      </c>
      <c r="E23" s="27">
        <f>+Tabla3[[#This Row],[VALOR FACTURA]]-Tabla3[[#This Row],[VALOR PAGO]]</f>
        <v>95.149999999999977</v>
      </c>
      <c r="F23" s="27">
        <v>856.34</v>
      </c>
      <c r="G23" s="71"/>
      <c r="I23" s="71"/>
      <c r="J23" s="71"/>
      <c r="K23" s="71"/>
      <c r="M23" s="15"/>
      <c r="P23"/>
    </row>
    <row r="24" spans="1:16" x14ac:dyDescent="0.35">
      <c r="A24" s="1" t="s">
        <v>20</v>
      </c>
      <c r="B24" s="1">
        <v>45321</v>
      </c>
      <c r="C24" t="s">
        <v>141</v>
      </c>
      <c r="D24" s="27">
        <v>10698.18</v>
      </c>
      <c r="E24" s="27">
        <f>+Tabla3[[#This Row],[VALOR FACTURA]]-Tabla3[[#This Row],[VALOR PAGO]]</f>
        <v>0</v>
      </c>
      <c r="F24" s="27">
        <v>10698.18</v>
      </c>
      <c r="G24" s="71"/>
      <c r="I24" s="71"/>
      <c r="J24" s="71"/>
      <c r="K24" s="71"/>
      <c r="M24" s="15"/>
      <c r="P24"/>
    </row>
    <row r="25" spans="1:16" x14ac:dyDescent="0.35">
      <c r="A25" s="1" t="s">
        <v>20</v>
      </c>
      <c r="B25" s="1">
        <v>45329</v>
      </c>
      <c r="C25" t="s">
        <v>149</v>
      </c>
      <c r="D25" s="27">
        <v>4002</v>
      </c>
      <c r="E25" s="27">
        <f>+Tabla3[[#This Row],[VALOR FACTURA]]-Tabla3[[#This Row],[VALOR PAGO]]</f>
        <v>0</v>
      </c>
      <c r="F25" s="27">
        <v>4002</v>
      </c>
      <c r="G25" s="71"/>
      <c r="I25" s="71"/>
      <c r="J25" s="71"/>
      <c r="K25" s="71"/>
      <c r="M25" s="15"/>
      <c r="P25"/>
    </row>
    <row r="26" spans="1:16" x14ac:dyDescent="0.35">
      <c r="A26" s="1" t="s">
        <v>20</v>
      </c>
      <c r="B26" s="1">
        <v>45336</v>
      </c>
      <c r="C26" t="s">
        <v>60</v>
      </c>
      <c r="D26" s="27">
        <v>8988</v>
      </c>
      <c r="E26" s="27">
        <f>+Tabla3[[#This Row],[VALOR FACTURA]]-Tabla3[[#This Row],[VALOR PAGO]]</f>
        <v>1797.6000000000004</v>
      </c>
      <c r="F26" s="27">
        <v>7190.4</v>
      </c>
      <c r="G26" s="71"/>
      <c r="I26" s="71"/>
      <c r="J26" s="71"/>
      <c r="K26" s="71"/>
      <c r="M26" s="15"/>
      <c r="P26"/>
    </row>
    <row r="27" spans="1:16" x14ac:dyDescent="0.35">
      <c r="A27" s="1" t="s">
        <v>20</v>
      </c>
      <c r="B27" s="1">
        <v>45344</v>
      </c>
      <c r="C27" t="s">
        <v>150</v>
      </c>
      <c r="D27" s="27">
        <v>8643.4599999999991</v>
      </c>
      <c r="E27" s="27">
        <f>+Tabla3[[#This Row],[VALOR FACTURA]]-Tabla3[[#This Row],[VALOR PAGO]]</f>
        <v>0</v>
      </c>
      <c r="F27" s="27">
        <v>8643.4599999999991</v>
      </c>
      <c r="G27" s="71"/>
      <c r="I27" s="71"/>
      <c r="J27" s="71"/>
      <c r="K27" s="71"/>
      <c r="M27" s="15"/>
      <c r="P27"/>
    </row>
    <row r="28" spans="1:16" x14ac:dyDescent="0.35">
      <c r="A28" s="1" t="s">
        <v>20</v>
      </c>
      <c r="B28" s="1">
        <v>45350</v>
      </c>
      <c r="C28" t="s">
        <v>143</v>
      </c>
      <c r="D28" s="27">
        <v>4065.1653500491666</v>
      </c>
      <c r="E28" s="27">
        <f>+Tabla3[[#This Row],[VALOR FACTURA]]-Tabla3[[#This Row],[VALOR PAGO]]</f>
        <v>0</v>
      </c>
      <c r="F28" s="27">
        <v>4065.1653500491666</v>
      </c>
      <c r="G28" s="71"/>
      <c r="I28" s="71"/>
      <c r="J28" s="71"/>
      <c r="K28" s="71"/>
      <c r="M28" s="15"/>
      <c r="P28"/>
    </row>
    <row r="29" spans="1:16" x14ac:dyDescent="0.35">
      <c r="A29" s="1" t="s">
        <v>20</v>
      </c>
      <c r="B29" s="1">
        <v>45350</v>
      </c>
      <c r="C29" t="s">
        <v>145</v>
      </c>
      <c r="D29" s="27">
        <v>98144.529536867398</v>
      </c>
      <c r="E29" s="27">
        <f>+Tabla3[[#This Row],[VALOR FACTURA]]-Tabla3[[#This Row],[VALOR PAGO]]</f>
        <v>0</v>
      </c>
      <c r="F29" s="27">
        <v>98144.529536867398</v>
      </c>
      <c r="G29" s="71"/>
      <c r="I29" s="71"/>
      <c r="J29" s="71"/>
      <c r="K29" s="71"/>
      <c r="M29" s="15"/>
      <c r="P29"/>
    </row>
    <row r="30" spans="1:16" x14ac:dyDescent="0.35">
      <c r="A30" s="1" t="s">
        <v>20</v>
      </c>
      <c r="B30" s="1">
        <v>45350</v>
      </c>
      <c r="C30" t="s">
        <v>145</v>
      </c>
      <c r="D30" s="27">
        <v>11926.92</v>
      </c>
      <c r="E30" s="27">
        <f>+Tabla3[[#This Row],[VALOR FACTURA]]-Tabla3[[#This Row],[VALOR PAGO]]</f>
        <v>0</v>
      </c>
      <c r="F30" s="27">
        <v>11926.92</v>
      </c>
      <c r="G30" s="71"/>
      <c r="I30" s="71"/>
      <c r="J30" s="71"/>
      <c r="K30" s="71"/>
      <c r="M30" s="15"/>
      <c r="P30"/>
    </row>
    <row r="31" spans="1:16" x14ac:dyDescent="0.35">
      <c r="A31" s="1" t="s">
        <v>20</v>
      </c>
      <c r="B31" s="1">
        <v>45350</v>
      </c>
      <c r="C31" t="s">
        <v>141</v>
      </c>
      <c r="D31" s="27">
        <v>9569.5499999999993</v>
      </c>
      <c r="E31" s="27">
        <f>+Tabla3[[#This Row],[VALOR FACTURA]]-Tabla3[[#This Row],[VALOR PAGO]]</f>
        <v>0</v>
      </c>
      <c r="F31" s="27">
        <v>9569.5499999999993</v>
      </c>
      <c r="G31" s="71"/>
      <c r="I31" s="71"/>
      <c r="J31" s="71"/>
      <c r="K31" s="71"/>
      <c r="M31" s="15"/>
      <c r="P31"/>
    </row>
    <row r="32" spans="1:16" x14ac:dyDescent="0.35">
      <c r="A32" s="1" t="s">
        <v>20</v>
      </c>
      <c r="B32" s="1">
        <v>45350</v>
      </c>
      <c r="C32" t="s">
        <v>151</v>
      </c>
      <c r="D32" s="27">
        <v>97440</v>
      </c>
      <c r="E32" s="27">
        <f>+Tabla3[[#This Row],[VALOR FACTURA]]-Tabla3[[#This Row],[VALOR PAGO]]</f>
        <v>0</v>
      </c>
      <c r="F32" s="27">
        <v>97440</v>
      </c>
      <c r="G32" s="71"/>
      <c r="I32" s="71"/>
      <c r="J32" s="71"/>
      <c r="K32" s="71"/>
      <c r="M32" s="15"/>
      <c r="P32"/>
    </row>
    <row r="33" spans="1:16" x14ac:dyDescent="0.35">
      <c r="A33" s="1" t="s">
        <v>20</v>
      </c>
      <c r="B33" s="1">
        <v>45352</v>
      </c>
      <c r="C33" t="s">
        <v>147</v>
      </c>
      <c r="D33" s="27">
        <v>40970.217036886082</v>
      </c>
      <c r="E33" s="27">
        <f>+Tabla3[[#This Row],[VALOR FACTURA]]-Tabla3[[#This Row],[VALOR PAGO]]</f>
        <v>0</v>
      </c>
      <c r="F33" s="27">
        <v>40970.217036886082</v>
      </c>
      <c r="G33" s="71"/>
      <c r="I33" s="71"/>
      <c r="J33" s="71"/>
      <c r="K33" s="71"/>
      <c r="M33" s="15"/>
      <c r="P33"/>
    </row>
    <row r="34" spans="1:16" x14ac:dyDescent="0.35">
      <c r="A34" s="1" t="s">
        <v>20</v>
      </c>
      <c r="B34" s="1">
        <v>45352</v>
      </c>
      <c r="C34" t="s">
        <v>147</v>
      </c>
      <c r="D34" s="27">
        <v>410.52</v>
      </c>
      <c r="E34" s="27">
        <f>+Tabla3[[#This Row],[VALOR FACTURA]]-Tabla3[[#This Row],[VALOR PAGO]]</f>
        <v>0</v>
      </c>
      <c r="F34" s="27">
        <v>410.52</v>
      </c>
      <c r="G34" s="71"/>
      <c r="I34" s="71"/>
      <c r="J34" s="71"/>
      <c r="K34" s="71"/>
      <c r="M34" s="15"/>
      <c r="P34"/>
    </row>
    <row r="35" spans="1:16" x14ac:dyDescent="0.35">
      <c r="A35" s="1" t="s">
        <v>195</v>
      </c>
      <c r="B35" s="1">
        <v>45357</v>
      </c>
      <c r="C35" t="s">
        <v>218</v>
      </c>
      <c r="D35" s="27">
        <v>41696.370000000003</v>
      </c>
      <c r="E35" s="27">
        <f>+Tabla3[[#This Row],[VALOR FACTURA]]-Tabla3[[#This Row],[VALOR PAGO]]</f>
        <v>0</v>
      </c>
      <c r="F35" s="28">
        <v>41696.370000000003</v>
      </c>
      <c r="G35" s="71"/>
      <c r="I35" s="71"/>
      <c r="J35" s="71"/>
      <c r="K35" s="71"/>
      <c r="M35" s="15"/>
      <c r="P35"/>
    </row>
    <row r="36" spans="1:16" x14ac:dyDescent="0.35">
      <c r="A36" s="1" t="s">
        <v>20</v>
      </c>
      <c r="B36" s="1">
        <v>45357</v>
      </c>
      <c r="C36" t="s">
        <v>148</v>
      </c>
      <c r="D36" s="27">
        <v>2102.41</v>
      </c>
      <c r="E36" s="27">
        <f>+Tabla3[[#This Row],[VALOR FACTURA]]-Tabla3[[#This Row],[VALOR PAGO]]</f>
        <v>210.23999999999978</v>
      </c>
      <c r="F36" s="27">
        <v>1892.17</v>
      </c>
      <c r="G36" s="71"/>
      <c r="I36" s="71"/>
      <c r="J36" s="71"/>
      <c r="K36" s="71"/>
      <c r="M36" s="15"/>
      <c r="P36"/>
    </row>
    <row r="37" spans="1:16" x14ac:dyDescent="0.35">
      <c r="A37" s="1" t="s">
        <v>20</v>
      </c>
      <c r="B37" s="1">
        <v>45357</v>
      </c>
      <c r="C37" t="s">
        <v>138</v>
      </c>
      <c r="D37" s="27">
        <v>545</v>
      </c>
      <c r="E37" s="27">
        <f>+Tabla3[[#This Row],[VALOR FACTURA]]-Tabla3[[#This Row],[VALOR PAGO]]</f>
        <v>100</v>
      </c>
      <c r="F37" s="27">
        <v>445</v>
      </c>
      <c r="G37" s="71"/>
      <c r="I37" s="71"/>
      <c r="J37" s="71"/>
      <c r="K37" s="71"/>
      <c r="M37" s="15"/>
      <c r="P37"/>
    </row>
    <row r="38" spans="1:16" x14ac:dyDescent="0.35">
      <c r="A38" s="1" t="s">
        <v>20</v>
      </c>
      <c r="B38" s="1">
        <v>45357</v>
      </c>
      <c r="C38" t="s">
        <v>149</v>
      </c>
      <c r="D38" s="27">
        <v>3712</v>
      </c>
      <c r="E38" s="27">
        <f>+Tabla3[[#This Row],[VALOR FACTURA]]-Tabla3[[#This Row],[VALOR PAGO]]</f>
        <v>0</v>
      </c>
      <c r="F38" s="27">
        <v>3712</v>
      </c>
      <c r="G38" s="71"/>
      <c r="I38" s="71"/>
      <c r="J38" s="71"/>
      <c r="K38" s="71"/>
      <c r="M38" s="15"/>
      <c r="P38"/>
    </row>
    <row r="39" spans="1:16" x14ac:dyDescent="0.35">
      <c r="A39" s="1" t="s">
        <v>20</v>
      </c>
      <c r="B39" s="1">
        <v>45357</v>
      </c>
      <c r="C39" t="s">
        <v>60</v>
      </c>
      <c r="D39" s="27">
        <v>8988</v>
      </c>
      <c r="E39" s="27">
        <f>+Tabla3[[#This Row],[VALOR FACTURA]]-Tabla3[[#This Row],[VALOR PAGO]]</f>
        <v>1797.6000000000004</v>
      </c>
      <c r="F39" s="27">
        <v>7190.4</v>
      </c>
      <c r="G39" s="71"/>
      <c r="I39" s="71"/>
      <c r="J39" s="71"/>
      <c r="K39" s="71"/>
      <c r="M39" s="15"/>
      <c r="P39"/>
    </row>
    <row r="40" spans="1:16" x14ac:dyDescent="0.35">
      <c r="A40" s="1" t="s">
        <v>20</v>
      </c>
      <c r="B40" s="1">
        <v>45357</v>
      </c>
      <c r="C40" t="s">
        <v>143</v>
      </c>
      <c r="D40" s="27">
        <v>2563.1993577200328</v>
      </c>
      <c r="E40" s="27">
        <f>+Tabla3[[#This Row],[VALOR FACTURA]]-Tabla3[[#This Row],[VALOR PAGO]]</f>
        <v>0</v>
      </c>
      <c r="F40" s="27">
        <v>2563.1993577200328</v>
      </c>
      <c r="G40" s="71"/>
      <c r="I40" s="71"/>
      <c r="J40" s="71"/>
      <c r="K40" s="71"/>
      <c r="M40" s="15"/>
      <c r="P40"/>
    </row>
    <row r="41" spans="1:16" x14ac:dyDescent="0.35">
      <c r="A41" s="1" t="s">
        <v>20</v>
      </c>
      <c r="B41" s="1">
        <v>45357</v>
      </c>
      <c r="C41" t="s">
        <v>140</v>
      </c>
      <c r="D41" s="27">
        <v>8000</v>
      </c>
      <c r="E41" s="27">
        <f>+Tabla3[[#This Row],[VALOR FACTURA]]-Tabla3[[#This Row],[VALOR PAGO]]</f>
        <v>0</v>
      </c>
      <c r="F41" s="27">
        <v>8000</v>
      </c>
      <c r="G41" s="71"/>
      <c r="I41" s="71"/>
      <c r="J41" s="71"/>
      <c r="K41" s="71"/>
      <c r="M41" s="15"/>
      <c r="P41"/>
    </row>
    <row r="42" spans="1:16" x14ac:dyDescent="0.35">
      <c r="A42" s="1" t="s">
        <v>20</v>
      </c>
      <c r="B42" s="1">
        <v>45371</v>
      </c>
      <c r="C42" t="s">
        <v>147</v>
      </c>
      <c r="D42" s="27">
        <v>39369.839999999997</v>
      </c>
      <c r="E42" s="27">
        <f>+Tabla3[[#This Row],[VALOR FACTURA]]-Tabla3[[#This Row],[VALOR PAGO]]</f>
        <v>0</v>
      </c>
      <c r="F42" s="27">
        <v>39369.839999999997</v>
      </c>
      <c r="G42" s="71"/>
      <c r="I42" s="71"/>
      <c r="J42" s="71"/>
      <c r="K42" s="71"/>
      <c r="M42" s="15"/>
      <c r="P42"/>
    </row>
    <row r="43" spans="1:16" x14ac:dyDescent="0.35">
      <c r="A43" s="1" t="s">
        <v>20</v>
      </c>
      <c r="B43" s="1">
        <v>45371</v>
      </c>
      <c r="C43" t="s">
        <v>147</v>
      </c>
      <c r="D43" s="27">
        <v>1873.37</v>
      </c>
      <c r="E43" s="27">
        <f>+Tabla3[[#This Row],[VALOR FACTURA]]-Tabla3[[#This Row],[VALOR PAGO]]</f>
        <v>0</v>
      </c>
      <c r="F43" s="27">
        <v>1873.37</v>
      </c>
      <c r="G43" s="71"/>
      <c r="I43" s="71"/>
      <c r="J43" s="71"/>
      <c r="K43" s="71"/>
      <c r="M43" s="15"/>
      <c r="P43"/>
    </row>
    <row r="44" spans="1:16" x14ac:dyDescent="0.35">
      <c r="A44" s="1" t="s">
        <v>20</v>
      </c>
      <c r="B44" s="1">
        <v>45371</v>
      </c>
      <c r="C44" t="s">
        <v>150</v>
      </c>
      <c r="D44" s="27">
        <v>8643.4699999999993</v>
      </c>
      <c r="E44" s="27">
        <f>+Tabla3[[#This Row],[VALOR FACTURA]]-Tabla3[[#This Row],[VALOR PAGO]]</f>
        <v>0</v>
      </c>
      <c r="F44" s="27">
        <v>8643.4699999999993</v>
      </c>
      <c r="G44" s="71"/>
      <c r="I44" s="71"/>
      <c r="J44" s="71"/>
      <c r="K44" s="71"/>
      <c r="M44" s="15"/>
      <c r="P44"/>
    </row>
    <row r="45" spans="1:16" x14ac:dyDescent="0.35">
      <c r="A45" s="1" t="s">
        <v>20</v>
      </c>
      <c r="B45" s="1">
        <v>45371</v>
      </c>
      <c r="C45" t="s">
        <v>144</v>
      </c>
      <c r="D45" s="27">
        <v>2875</v>
      </c>
      <c r="E45" s="27">
        <f>+Tabla3[[#This Row],[VALOR FACTURA]]-Tabla3[[#This Row],[VALOR PAGO]]</f>
        <v>575</v>
      </c>
      <c r="F45" s="27">
        <v>2300</v>
      </c>
      <c r="G45" s="71"/>
      <c r="I45" s="71"/>
      <c r="J45" s="71"/>
      <c r="K45" s="71"/>
      <c r="M45" s="15"/>
      <c r="P45"/>
    </row>
    <row r="46" spans="1:16" x14ac:dyDescent="0.35">
      <c r="A46" s="1" t="s">
        <v>20</v>
      </c>
      <c r="B46" s="1">
        <v>45373</v>
      </c>
      <c r="C46" t="s">
        <v>217</v>
      </c>
      <c r="D46" s="27">
        <v>369902.36</v>
      </c>
      <c r="E46" s="27">
        <f>+Tabla3[[#This Row],[VALOR FACTURA]]-Tabla3[[#This Row],[VALOR PAGO]]</f>
        <v>0</v>
      </c>
      <c r="F46" s="28">
        <v>369902.36</v>
      </c>
      <c r="G46" s="71"/>
      <c r="I46" s="71"/>
      <c r="J46" s="71"/>
      <c r="K46" s="71"/>
      <c r="M46" s="15"/>
      <c r="P46"/>
    </row>
    <row r="47" spans="1:16" x14ac:dyDescent="0.35">
      <c r="A47" s="1" t="s">
        <v>195</v>
      </c>
      <c r="B47" s="1">
        <v>45385</v>
      </c>
      <c r="C47" t="s">
        <v>218</v>
      </c>
      <c r="D47" s="27">
        <v>41696.370000000003</v>
      </c>
      <c r="E47" s="27">
        <f>+Tabla3[[#This Row],[VALOR FACTURA]]-Tabla3[[#This Row],[VALOR PAGO]]</f>
        <v>0</v>
      </c>
      <c r="F47" s="28">
        <v>41696.370000000003</v>
      </c>
      <c r="G47" s="71"/>
      <c r="I47" s="71"/>
      <c r="J47" s="71"/>
      <c r="K47" s="71"/>
      <c r="M47" s="15"/>
      <c r="P47"/>
    </row>
    <row r="48" spans="1:16" x14ac:dyDescent="0.35">
      <c r="A48" s="1" t="s">
        <v>20</v>
      </c>
      <c r="B48" s="1">
        <v>45385</v>
      </c>
      <c r="C48" t="s">
        <v>145</v>
      </c>
      <c r="D48" s="27">
        <v>99136.52</v>
      </c>
      <c r="E48" s="27">
        <v>0</v>
      </c>
      <c r="F48" s="27">
        <v>99136.52</v>
      </c>
      <c r="G48" s="71"/>
      <c r="I48" s="71"/>
      <c r="J48" s="71"/>
      <c r="K48" s="71"/>
      <c r="M48" s="15"/>
      <c r="P48"/>
    </row>
    <row r="49" spans="1:16" x14ac:dyDescent="0.35">
      <c r="A49" s="1" t="s">
        <v>20</v>
      </c>
      <c r="B49" s="1">
        <v>45385</v>
      </c>
      <c r="C49" t="s">
        <v>145</v>
      </c>
      <c r="D49" s="27">
        <v>4881.6000000000004</v>
      </c>
      <c r="E49" s="27">
        <f>+Tabla3[[#This Row],[VALOR FACTURA]]-Tabla3[[#This Row],[VALOR PAGO]]</f>
        <v>0</v>
      </c>
      <c r="F49" s="27">
        <v>4881.6000000000004</v>
      </c>
      <c r="G49" s="71"/>
      <c r="I49" s="71"/>
      <c r="J49" s="71"/>
      <c r="K49" s="71"/>
      <c r="M49" s="15"/>
      <c r="P49"/>
    </row>
    <row r="50" spans="1:16" x14ac:dyDescent="0.35">
      <c r="A50" s="1" t="s">
        <v>20</v>
      </c>
      <c r="B50" s="1">
        <v>45385</v>
      </c>
      <c r="C50" t="s">
        <v>143</v>
      </c>
      <c r="D50" s="27">
        <v>4774.28</v>
      </c>
      <c r="E50" s="15">
        <f>+Tabla3[[#This Row],[VALOR FACTURA]]-Tabla3[[#This Row],[VALOR PAGO]]</f>
        <v>0</v>
      </c>
      <c r="F50" s="29">
        <v>4774.28</v>
      </c>
      <c r="G50" s="71"/>
      <c r="I50" s="71"/>
      <c r="J50" s="71"/>
      <c r="K50" s="71"/>
      <c r="M50" s="15"/>
      <c r="P50"/>
    </row>
    <row r="51" spans="1:16" x14ac:dyDescent="0.35">
      <c r="A51" s="1" t="s">
        <v>20</v>
      </c>
      <c r="B51" s="1">
        <v>45385</v>
      </c>
      <c r="C51" t="s">
        <v>60</v>
      </c>
      <c r="D51" s="27">
        <v>8988</v>
      </c>
      <c r="E51" s="15">
        <f>+Tabla3[[#This Row],[VALOR FACTURA]]-Tabla3[[#This Row],[VALOR PAGO]]</f>
        <v>1797.6000000000004</v>
      </c>
      <c r="F51" s="27">
        <v>7190.4</v>
      </c>
      <c r="G51" s="71"/>
      <c r="I51" s="71"/>
      <c r="J51" s="71"/>
      <c r="K51" s="71"/>
      <c r="M51" s="15"/>
      <c r="P51"/>
    </row>
    <row r="52" spans="1:16" x14ac:dyDescent="0.35">
      <c r="A52" s="1" t="s">
        <v>20</v>
      </c>
      <c r="B52" s="1">
        <v>45385</v>
      </c>
      <c r="C52" t="s">
        <v>140</v>
      </c>
      <c r="D52" s="27">
        <v>8000</v>
      </c>
      <c r="E52" s="15">
        <f>+Tabla3[[#This Row],[VALOR FACTURA]]-Tabla3[[#This Row],[VALOR PAGO]]</f>
        <v>0</v>
      </c>
      <c r="F52" s="27">
        <v>8000</v>
      </c>
      <c r="G52" s="71"/>
      <c r="I52" s="71"/>
      <c r="J52" s="71"/>
      <c r="K52" s="71"/>
      <c r="M52" s="15"/>
      <c r="P52"/>
    </row>
    <row r="53" spans="1:16" x14ac:dyDescent="0.35">
      <c r="A53" s="1" t="s">
        <v>20</v>
      </c>
      <c r="B53" s="1">
        <v>45385</v>
      </c>
      <c r="C53" t="s">
        <v>138</v>
      </c>
      <c r="D53" s="27">
        <v>545</v>
      </c>
      <c r="E53" s="15">
        <f>+Tabla3[[#This Row],[VALOR FACTURA]]-Tabla3[[#This Row],[VALOR PAGO]]</f>
        <v>109</v>
      </c>
      <c r="F53" s="29">
        <v>436</v>
      </c>
      <c r="G53" s="71"/>
      <c r="I53" s="71"/>
      <c r="J53" s="71"/>
      <c r="K53" s="71"/>
      <c r="M53" s="15"/>
      <c r="P53"/>
    </row>
    <row r="54" spans="1:16" x14ac:dyDescent="0.35">
      <c r="A54" s="1" t="s">
        <v>20</v>
      </c>
      <c r="B54" s="1">
        <v>45385</v>
      </c>
      <c r="C54" t="s">
        <v>148</v>
      </c>
      <c r="D54" s="27">
        <v>1274.48</v>
      </c>
      <c r="E54" s="15">
        <f>+Tabla3[[#This Row],[VALOR FACTURA]]-Tabla3[[#This Row],[VALOR PAGO]]</f>
        <v>127.45000000000005</v>
      </c>
      <c r="F54" s="29">
        <v>1147.03</v>
      </c>
      <c r="G54" s="71"/>
      <c r="I54" s="71"/>
      <c r="J54" s="71"/>
      <c r="K54" s="71"/>
      <c r="M54" s="15"/>
      <c r="P54"/>
    </row>
    <row r="55" spans="1:16" x14ac:dyDescent="0.35">
      <c r="A55" s="1" t="s">
        <v>20</v>
      </c>
      <c r="B55" s="1">
        <v>45386</v>
      </c>
      <c r="C55" t="s">
        <v>188</v>
      </c>
      <c r="D55" s="27">
        <v>412500</v>
      </c>
      <c r="E55" s="15">
        <f>+Tabla3[[#This Row],[VALOR FACTURA]]-Tabla3[[#This Row],[VALOR PAGO]]</f>
        <v>41250</v>
      </c>
      <c r="F55" s="29">
        <v>371250</v>
      </c>
      <c r="G55" s="71"/>
      <c r="I55" s="71"/>
      <c r="J55" s="71"/>
      <c r="K55" s="71"/>
      <c r="M55" s="15"/>
      <c r="P55"/>
    </row>
    <row r="56" spans="1:16" x14ac:dyDescent="0.35">
      <c r="A56" s="1" t="s">
        <v>20</v>
      </c>
      <c r="B56" s="1">
        <v>45386</v>
      </c>
      <c r="C56" t="s">
        <v>189</v>
      </c>
      <c r="D56" s="27">
        <v>250000</v>
      </c>
      <c r="E56" s="15">
        <f>+Tabla3[[#This Row],[VALOR FACTURA]]-Tabla3[[#This Row],[VALOR PAGO]]</f>
        <v>25000</v>
      </c>
      <c r="F56" s="29">
        <v>225000</v>
      </c>
      <c r="G56" s="71"/>
      <c r="I56" s="71"/>
      <c r="J56" s="71"/>
      <c r="K56" s="71"/>
      <c r="M56" s="15"/>
      <c r="P56"/>
    </row>
    <row r="57" spans="1:16" x14ac:dyDescent="0.35">
      <c r="A57" t="s">
        <v>20</v>
      </c>
      <c r="B57" s="1">
        <v>45392</v>
      </c>
      <c r="C57" t="s">
        <v>204</v>
      </c>
      <c r="D57" s="27">
        <v>600</v>
      </c>
      <c r="E57" s="15">
        <f>+Tabla3[[#This Row],[VALOR FACTURA]]-Tabla3[[#This Row],[VALOR PAGO]]</f>
        <v>0</v>
      </c>
      <c r="F57" s="29">
        <v>600</v>
      </c>
      <c r="G57" s="71"/>
      <c r="I57" s="71"/>
      <c r="J57" s="71"/>
      <c r="K57" s="71"/>
      <c r="M57" s="15"/>
      <c r="P57"/>
    </row>
    <row r="58" spans="1:16" x14ac:dyDescent="0.35">
      <c r="A58" t="s">
        <v>20</v>
      </c>
      <c r="B58" s="1">
        <v>45392</v>
      </c>
      <c r="C58" t="s">
        <v>149</v>
      </c>
      <c r="D58" s="27">
        <v>2900</v>
      </c>
      <c r="E58" s="15">
        <f>+Tabla3[[#This Row],[VALOR FACTURA]]-Tabla3[[#This Row],[VALOR PAGO]]</f>
        <v>0</v>
      </c>
      <c r="F58" s="28">
        <v>2900</v>
      </c>
      <c r="G58" s="71"/>
      <c r="I58" s="71"/>
      <c r="J58" s="71"/>
      <c r="K58" s="71"/>
      <c r="M58" s="15"/>
      <c r="P58"/>
    </row>
    <row r="59" spans="1:16" x14ac:dyDescent="0.35">
      <c r="A59" t="s">
        <v>20</v>
      </c>
      <c r="B59" s="1">
        <v>45397</v>
      </c>
      <c r="C59" t="s">
        <v>151</v>
      </c>
      <c r="D59" s="27">
        <v>97440</v>
      </c>
      <c r="E59" s="15">
        <f>+Tabla3[[#This Row],[VALOR FACTURA]]-Tabla3[[#This Row],[VALOR PAGO]]</f>
        <v>0</v>
      </c>
      <c r="F59" s="28">
        <v>97440</v>
      </c>
      <c r="G59" s="71"/>
      <c r="I59" s="71"/>
      <c r="J59" s="71"/>
      <c r="K59" s="71"/>
      <c r="M59" s="15"/>
      <c r="P59"/>
    </row>
    <row r="60" spans="1:16" x14ac:dyDescent="0.35">
      <c r="A60" t="s">
        <v>20</v>
      </c>
      <c r="B60" s="1">
        <v>45401</v>
      </c>
      <c r="C60" t="s">
        <v>221</v>
      </c>
      <c r="D60" s="27">
        <v>41105</v>
      </c>
      <c r="E60" s="15">
        <f>+Tabla3[[#This Row],[VALOR FACTURA]]-Tabla3[[#This Row],[VALOR PAGO]]</f>
        <v>0</v>
      </c>
      <c r="F60" s="27">
        <v>41105</v>
      </c>
      <c r="G60" s="71"/>
      <c r="I60" s="71"/>
      <c r="J60" s="71"/>
      <c r="K60" s="71"/>
      <c r="M60" s="15"/>
      <c r="P60"/>
    </row>
    <row r="61" spans="1:16" x14ac:dyDescent="0.35">
      <c r="A61" t="s">
        <v>20</v>
      </c>
      <c r="B61" s="1">
        <v>45406</v>
      </c>
      <c r="C61" t="s">
        <v>173</v>
      </c>
      <c r="D61" s="27">
        <v>80908.02</v>
      </c>
      <c r="E61" s="15">
        <f>+Tabla3[[#This Row],[VALOR FACTURA]]-Tabla3[[#This Row],[VALOR PAGO]]</f>
        <v>16181.600000000006</v>
      </c>
      <c r="F61" s="30">
        <v>64726.42</v>
      </c>
      <c r="G61" s="71"/>
      <c r="I61" s="71"/>
      <c r="J61" s="71"/>
      <c r="K61" s="71"/>
      <c r="M61" s="15"/>
      <c r="P61"/>
    </row>
    <row r="62" spans="1:16" x14ac:dyDescent="0.35">
      <c r="A62" t="s">
        <v>20</v>
      </c>
      <c r="B62" s="1">
        <v>45406</v>
      </c>
      <c r="C62" t="s">
        <v>173</v>
      </c>
      <c r="D62" s="27">
        <v>290128.7</v>
      </c>
      <c r="E62" s="15">
        <f>+Tabla3[[#This Row],[VALOR FACTURA]]-Tabla3[[#This Row],[VALOR PAGO]]</f>
        <v>58025.74000000002</v>
      </c>
      <c r="F62" s="30">
        <v>232102.96</v>
      </c>
      <c r="G62" s="71"/>
      <c r="I62" s="71"/>
      <c r="J62" s="71"/>
      <c r="K62" s="71"/>
      <c r="M62" s="15"/>
      <c r="P62"/>
    </row>
    <row r="63" spans="1:16" x14ac:dyDescent="0.35">
      <c r="A63" t="s">
        <v>20</v>
      </c>
      <c r="B63" s="1">
        <v>45406</v>
      </c>
      <c r="C63" t="s">
        <v>140</v>
      </c>
      <c r="D63" s="27">
        <v>8902.93</v>
      </c>
      <c r="E63" s="15">
        <f>+Tabla3[[#This Row],[VALOR FACTURA]]-Tabla3[[#This Row],[VALOR PAGO]]</f>
        <v>0</v>
      </c>
      <c r="F63" s="30">
        <v>8902.93</v>
      </c>
      <c r="G63" s="71"/>
      <c r="I63" s="71"/>
      <c r="J63" s="71"/>
      <c r="K63" s="71"/>
      <c r="M63" s="15"/>
      <c r="P63"/>
    </row>
    <row r="64" spans="1:16" x14ac:dyDescent="0.35">
      <c r="A64" t="s">
        <v>20</v>
      </c>
      <c r="B64" s="1">
        <v>45406</v>
      </c>
      <c r="C64" t="s">
        <v>230</v>
      </c>
      <c r="D64" s="27">
        <v>4288.3</v>
      </c>
      <c r="E64" s="15">
        <f>+Tabla3[[#This Row],[VALOR FACTURA]]-Tabla3[[#This Row],[VALOR PAGO]]</f>
        <v>0</v>
      </c>
      <c r="F64" s="30">
        <v>4288.3</v>
      </c>
      <c r="G64" s="71"/>
      <c r="I64" s="71"/>
      <c r="J64" s="71"/>
      <c r="K64" s="71"/>
      <c r="M64" s="15"/>
      <c r="P64"/>
    </row>
    <row r="65" spans="1:16" x14ac:dyDescent="0.35">
      <c r="A65" t="s">
        <v>20</v>
      </c>
      <c r="B65" s="1">
        <v>45407</v>
      </c>
      <c r="C65" t="s">
        <v>231</v>
      </c>
      <c r="D65" s="27">
        <v>2142.4</v>
      </c>
      <c r="E65" s="15">
        <f>+Tabla3[[#This Row],[VALOR FACTURA]]-Tabla3[[#This Row],[VALOR PAGO]]</f>
        <v>0</v>
      </c>
      <c r="F65" s="30">
        <v>2142.4</v>
      </c>
      <c r="G65" s="27">
        <v>2000</v>
      </c>
      <c r="I65" s="27"/>
      <c r="J65" s="27"/>
      <c r="K65" s="27"/>
      <c r="M65" s="15"/>
      <c r="P65"/>
    </row>
    <row r="66" spans="1:16" x14ac:dyDescent="0.35">
      <c r="A66" s="1" t="s">
        <v>20</v>
      </c>
      <c r="B66" s="1">
        <v>45407</v>
      </c>
      <c r="C66" t="s">
        <v>216</v>
      </c>
      <c r="D66" s="27">
        <v>347761.32</v>
      </c>
      <c r="E66" s="15">
        <f>+Tabla3[[#This Row],[VALOR FACTURA]]-Tabla3[[#This Row],[VALOR PAGO]]</f>
        <v>0</v>
      </c>
      <c r="F66" s="29">
        <v>347761.32</v>
      </c>
      <c r="G66" s="71"/>
      <c r="I66" s="71"/>
      <c r="J66" s="71"/>
      <c r="K66" s="71"/>
      <c r="M66" s="15"/>
      <c r="P66"/>
    </row>
    <row r="67" spans="1:16" x14ac:dyDescent="0.35">
      <c r="A67" s="1" t="s">
        <v>19</v>
      </c>
      <c r="B67" s="1">
        <v>45407</v>
      </c>
      <c r="C67" t="s">
        <v>216</v>
      </c>
      <c r="D67" s="27">
        <v>155805.54999999999</v>
      </c>
      <c r="E67" s="15">
        <f>+Tabla3[[#This Row],[VALOR FACTURA]]-Tabla3[[#This Row],[VALOR PAGO]]</f>
        <v>0</v>
      </c>
      <c r="F67" s="29">
        <v>155805.54999999999</v>
      </c>
      <c r="G67" s="71"/>
      <c r="I67" s="71"/>
      <c r="J67" s="71"/>
      <c r="K67" s="71"/>
      <c r="M67" s="15"/>
      <c r="P67"/>
    </row>
    <row r="68" spans="1:16" x14ac:dyDescent="0.35">
      <c r="A68" s="1" t="s">
        <v>194</v>
      </c>
      <c r="B68" s="1">
        <v>45407</v>
      </c>
      <c r="C68" t="s">
        <v>216</v>
      </c>
      <c r="D68" s="27">
        <v>124644.46</v>
      </c>
      <c r="E68" s="15">
        <f>+Tabla3[[#This Row],[VALOR FACTURA]]-Tabla3[[#This Row],[VALOR PAGO]]</f>
        <v>0</v>
      </c>
      <c r="F68" s="29">
        <v>124644.46</v>
      </c>
      <c r="G68" s="71"/>
      <c r="I68" s="71"/>
      <c r="J68" s="71"/>
      <c r="K68" s="71"/>
      <c r="M68" s="15"/>
      <c r="P68"/>
    </row>
    <row r="69" spans="1:16" x14ac:dyDescent="0.35">
      <c r="A69" t="s">
        <v>20</v>
      </c>
      <c r="B69" s="1">
        <v>45414</v>
      </c>
      <c r="C69" t="s">
        <v>147</v>
      </c>
      <c r="D69" s="27">
        <v>47236.04</v>
      </c>
      <c r="E69" s="15">
        <f>+Tabla3[[#This Row],[VALOR FACTURA]]-Tabla3[[#This Row],[VALOR PAGO]]</f>
        <v>0</v>
      </c>
      <c r="F69" s="29">
        <v>47236.04</v>
      </c>
      <c r="G69" s="71"/>
      <c r="I69" s="71"/>
      <c r="J69" s="71"/>
      <c r="K69" s="71"/>
      <c r="M69" s="15"/>
      <c r="P69"/>
    </row>
    <row r="70" spans="1:16" x14ac:dyDescent="0.35">
      <c r="A70" t="s">
        <v>20</v>
      </c>
      <c r="B70" s="1">
        <v>45414</v>
      </c>
      <c r="C70" t="s">
        <v>147</v>
      </c>
      <c r="D70" s="27">
        <v>2392.25</v>
      </c>
      <c r="E70" s="15">
        <f>+Tabla3[[#This Row],[VALOR FACTURA]]-Tabla3[[#This Row],[VALOR PAGO]]</f>
        <v>0</v>
      </c>
      <c r="F70" s="29">
        <v>2392.25</v>
      </c>
      <c r="G70" s="71"/>
      <c r="I70" s="71"/>
      <c r="J70" s="71"/>
      <c r="K70" s="71"/>
      <c r="M70" s="15"/>
      <c r="P70"/>
    </row>
    <row r="71" spans="1:16" x14ac:dyDescent="0.35">
      <c r="A71" t="s">
        <v>20</v>
      </c>
      <c r="B71" s="1">
        <v>45414</v>
      </c>
      <c r="C71" t="s">
        <v>145</v>
      </c>
      <c r="D71" s="27">
        <v>8051.15</v>
      </c>
      <c r="E71" s="15">
        <f>+Tabla3[[#This Row],[VALOR FACTURA]]-Tabla3[[#This Row],[VALOR PAGO]]</f>
        <v>0</v>
      </c>
      <c r="F71" s="29">
        <v>8051.15</v>
      </c>
      <c r="G71" s="71"/>
      <c r="I71" s="71"/>
      <c r="J71" s="71"/>
      <c r="K71" s="71"/>
      <c r="M71" s="15"/>
      <c r="P71"/>
    </row>
    <row r="72" spans="1:16" x14ac:dyDescent="0.35">
      <c r="A72" t="s">
        <v>20</v>
      </c>
      <c r="B72" s="1">
        <v>45414</v>
      </c>
      <c r="C72" t="s">
        <v>145</v>
      </c>
      <c r="D72" s="27">
        <v>74895.44</v>
      </c>
      <c r="E72" s="15">
        <f>+Tabla3[[#This Row],[VALOR FACTURA]]-Tabla3[[#This Row],[VALOR PAGO]]</f>
        <v>0</v>
      </c>
      <c r="F72" s="29">
        <v>74895.44</v>
      </c>
      <c r="G72" s="71"/>
      <c r="I72" s="71"/>
      <c r="J72" s="71"/>
      <c r="K72" s="71"/>
      <c r="M72" s="15"/>
      <c r="P72"/>
    </row>
    <row r="73" spans="1:16" x14ac:dyDescent="0.35">
      <c r="A73" t="s">
        <v>20</v>
      </c>
      <c r="B73" s="1">
        <v>45414</v>
      </c>
      <c r="C73" t="s">
        <v>141</v>
      </c>
      <c r="D73" s="27">
        <v>7871.05</v>
      </c>
      <c r="E73" s="15">
        <f>+Tabla3[[#This Row],[VALOR FACTURA]]-Tabla3[[#This Row],[VALOR PAGO]]</f>
        <v>787.10000000000036</v>
      </c>
      <c r="F73" s="29">
        <v>7083.95</v>
      </c>
      <c r="G73" s="71"/>
      <c r="I73" s="71"/>
      <c r="J73" s="71"/>
      <c r="K73" s="71"/>
      <c r="M73" s="15"/>
      <c r="P73"/>
    </row>
    <row r="74" spans="1:16" x14ac:dyDescent="0.35">
      <c r="A74" t="s">
        <v>20</v>
      </c>
      <c r="B74" s="1">
        <v>45414</v>
      </c>
      <c r="C74" t="s">
        <v>139</v>
      </c>
      <c r="D74" s="27">
        <v>5956.15</v>
      </c>
      <c r="E74" s="15">
        <f>+Tabla3[[#This Row],[VALOR FACTURA]]-Tabla3[[#This Row],[VALOR PAGO]]</f>
        <v>1183.2299999999996</v>
      </c>
      <c r="F74" s="29">
        <v>4772.92</v>
      </c>
      <c r="G74" s="71"/>
      <c r="I74" s="71"/>
      <c r="J74" s="71"/>
      <c r="K74" s="71"/>
      <c r="M74" s="15"/>
      <c r="P74"/>
    </row>
    <row r="75" spans="1:16" x14ac:dyDescent="0.35">
      <c r="A75" t="s">
        <v>20</v>
      </c>
      <c r="B75" s="1">
        <v>45414</v>
      </c>
      <c r="C75" t="s">
        <v>149</v>
      </c>
      <c r="D75" s="27">
        <v>3712</v>
      </c>
      <c r="E75" s="15">
        <f>+Tabla3[[#This Row],[VALOR FACTURA]]-Tabla3[[#This Row],[VALOR PAGO]]</f>
        <v>0</v>
      </c>
      <c r="F75" s="29">
        <v>3712</v>
      </c>
      <c r="G75" s="71"/>
      <c r="I75" s="71"/>
      <c r="J75" s="71"/>
      <c r="K75" s="71"/>
      <c r="M75" s="15"/>
      <c r="P75"/>
    </row>
    <row r="76" spans="1:16" x14ac:dyDescent="0.35">
      <c r="A76" t="s">
        <v>20</v>
      </c>
      <c r="B76" s="1">
        <v>45414</v>
      </c>
      <c r="C76" t="s">
        <v>143</v>
      </c>
      <c r="D76" s="27">
        <v>3775.89</v>
      </c>
      <c r="E76" s="15">
        <f>+Tabla3[[#This Row],[VALOR FACTURA]]-Tabla3[[#This Row],[VALOR PAGO]]</f>
        <v>0</v>
      </c>
      <c r="F76" s="29">
        <v>3775.89</v>
      </c>
      <c r="G76" s="71"/>
      <c r="I76" s="71"/>
      <c r="J76" s="71"/>
      <c r="K76" s="71"/>
      <c r="M76" s="15"/>
      <c r="P76"/>
    </row>
    <row r="77" spans="1:16" x14ac:dyDescent="0.35">
      <c r="A77" t="s">
        <v>20</v>
      </c>
      <c r="B77" s="1">
        <v>45414</v>
      </c>
      <c r="C77" t="s">
        <v>148</v>
      </c>
      <c r="D77" s="27">
        <v>974.46</v>
      </c>
      <c r="E77" s="15">
        <f>+Tabla3[[#This Row],[VALOR FACTURA]]-Tabla3[[#This Row],[VALOR PAGO]]</f>
        <v>97.450000000000045</v>
      </c>
      <c r="F77" s="29">
        <v>877.01</v>
      </c>
      <c r="G77" s="71"/>
      <c r="I77" s="71"/>
      <c r="J77" s="71"/>
      <c r="K77" s="71"/>
      <c r="M77" s="15"/>
      <c r="P77"/>
    </row>
    <row r="78" spans="1:16" x14ac:dyDescent="0.35">
      <c r="A78" t="s">
        <v>20</v>
      </c>
      <c r="B78" s="1">
        <v>45415</v>
      </c>
      <c r="C78" t="s">
        <v>216</v>
      </c>
      <c r="D78" s="27">
        <v>74513.33</v>
      </c>
      <c r="E78" s="15">
        <f>+Tabla3[[#This Row],[VALOR FACTURA]]-Tabla3[[#This Row],[VALOR PAGO]]</f>
        <v>0</v>
      </c>
      <c r="F78" s="27">
        <v>74513.33</v>
      </c>
      <c r="G78" s="71"/>
      <c r="I78" s="71"/>
      <c r="J78" s="71"/>
      <c r="K78" s="71"/>
      <c r="M78" s="15"/>
      <c r="P78"/>
    </row>
    <row r="79" spans="1:16" x14ac:dyDescent="0.35">
      <c r="A79" t="s">
        <v>20</v>
      </c>
      <c r="B79" s="1">
        <v>45427</v>
      </c>
      <c r="C79" t="s">
        <v>60</v>
      </c>
      <c r="D79" s="27">
        <v>8988</v>
      </c>
      <c r="E79" s="15">
        <f>+Tabla3[[#This Row],[VALOR FACTURA]]-Tabla3[[#This Row],[VALOR PAGO]]</f>
        <v>1797.6000000000004</v>
      </c>
      <c r="F79" s="29">
        <v>7190.4</v>
      </c>
      <c r="G79" s="71"/>
      <c r="I79" s="71"/>
      <c r="J79" s="71"/>
      <c r="K79" s="71"/>
      <c r="M79" s="15"/>
      <c r="P79"/>
    </row>
    <row r="80" spans="1:16" x14ac:dyDescent="0.35">
      <c r="A80" t="s">
        <v>20</v>
      </c>
      <c r="B80" s="1">
        <v>45427</v>
      </c>
      <c r="C80" t="s">
        <v>267</v>
      </c>
      <c r="D80" s="27">
        <v>6457</v>
      </c>
      <c r="E80" s="15">
        <f>+Tabla3[[#This Row],[VALOR FACTURA]]-Tabla3[[#This Row],[VALOR PAGO]]</f>
        <v>1291.3999999999996</v>
      </c>
      <c r="F80" s="29">
        <v>5165.6000000000004</v>
      </c>
      <c r="G80" s="71"/>
      <c r="I80" s="71"/>
      <c r="J80" s="71"/>
      <c r="K80" s="71"/>
      <c r="M80" s="15"/>
      <c r="P80"/>
    </row>
    <row r="81" spans="1:16" x14ac:dyDescent="0.35">
      <c r="A81" t="s">
        <v>20</v>
      </c>
      <c r="B81" s="1">
        <v>45427</v>
      </c>
      <c r="C81" t="s">
        <v>268</v>
      </c>
      <c r="D81" s="27">
        <v>1080</v>
      </c>
      <c r="E81" s="15">
        <f>+Tabla3[[#This Row],[VALOR FACTURA]]-Tabla3[[#This Row],[VALOR PAGO]]</f>
        <v>0</v>
      </c>
      <c r="F81" s="29">
        <v>1080</v>
      </c>
      <c r="G81" s="71"/>
      <c r="I81" s="71"/>
      <c r="J81" s="71"/>
      <c r="K81" s="71"/>
      <c r="M81" s="15"/>
      <c r="P81"/>
    </row>
    <row r="82" spans="1:16" x14ac:dyDescent="0.35">
      <c r="A82" t="s">
        <v>20</v>
      </c>
      <c r="B82" s="1">
        <v>45427</v>
      </c>
      <c r="C82" t="s">
        <v>144</v>
      </c>
      <c r="D82" s="27">
        <v>8250</v>
      </c>
      <c r="E82" s="15">
        <f>+Tabla3[[#This Row],[VALOR FACTURA]]-Tabla3[[#This Row],[VALOR PAGO]]</f>
        <v>1650</v>
      </c>
      <c r="F82" s="29">
        <v>6600</v>
      </c>
      <c r="G82" s="71"/>
      <c r="I82" s="71"/>
      <c r="J82" s="71"/>
      <c r="K82" s="71"/>
      <c r="M82" s="15"/>
      <c r="P82"/>
    </row>
    <row r="83" spans="1:16" x14ac:dyDescent="0.35">
      <c r="A83" t="s">
        <v>20</v>
      </c>
      <c r="B83" s="1">
        <v>45434</v>
      </c>
      <c r="C83" t="s">
        <v>231</v>
      </c>
      <c r="D83" s="29">
        <v>2177.39</v>
      </c>
      <c r="E83" s="15">
        <f>+Tabla3[[#This Row],[VALOR FACTURA]]-Tabla3[[#This Row],[VALOR PAGO]]</f>
        <v>0</v>
      </c>
      <c r="F83" s="29">
        <v>2177.39</v>
      </c>
      <c r="G83" s="27">
        <v>2000</v>
      </c>
      <c r="I83" s="27"/>
      <c r="J83" s="27"/>
      <c r="K83" s="27"/>
      <c r="M83" s="15"/>
      <c r="P83"/>
    </row>
    <row r="84" spans="1:16" x14ac:dyDescent="0.35">
      <c r="A84" t="s">
        <v>20</v>
      </c>
      <c r="B84" s="1">
        <v>45436</v>
      </c>
      <c r="C84" t="s">
        <v>217</v>
      </c>
      <c r="D84" s="29">
        <v>131503.75</v>
      </c>
      <c r="E84" s="15">
        <f>+Tabla3[[#This Row],[VALOR FACTURA]]-Tabla3[[#This Row],[VALOR PAGO]]</f>
        <v>0</v>
      </c>
      <c r="F84" s="29">
        <v>131503.75</v>
      </c>
      <c r="G84" s="72"/>
      <c r="I84" s="72"/>
      <c r="J84" s="72"/>
      <c r="K84" s="72"/>
      <c r="M84" s="15"/>
      <c r="P84"/>
    </row>
    <row r="85" spans="1:16" x14ac:dyDescent="0.35">
      <c r="A85" s="1" t="s">
        <v>20</v>
      </c>
      <c r="B85" s="1">
        <v>45440</v>
      </c>
      <c r="C85" t="s">
        <v>216</v>
      </c>
      <c r="D85" s="31">
        <v>71443.199999999997</v>
      </c>
      <c r="E85" s="15">
        <f>+Tabla3[[#This Row],[VALOR FACTURA]]-Tabla3[[#This Row],[VALOR PAGO]]</f>
        <v>0</v>
      </c>
      <c r="F85" s="31">
        <v>71443.199999999997</v>
      </c>
      <c r="G85" s="27"/>
      <c r="I85" s="27"/>
      <c r="J85" s="27"/>
      <c r="K85" s="27"/>
      <c r="M85" s="15"/>
      <c r="P85"/>
    </row>
    <row r="86" spans="1:16" x14ac:dyDescent="0.35">
      <c r="A86" s="1" t="s">
        <v>19</v>
      </c>
      <c r="B86" s="1">
        <v>45440</v>
      </c>
      <c r="C86" t="s">
        <v>216</v>
      </c>
      <c r="D86" s="32">
        <v>97600</v>
      </c>
      <c r="E86" s="15">
        <f>+Tabla3[[#This Row],[VALOR FACTURA]]-Tabla3[[#This Row],[VALOR PAGO]]</f>
        <v>0</v>
      </c>
      <c r="F86" s="32">
        <v>97600</v>
      </c>
      <c r="G86" s="32"/>
      <c r="I86" s="32"/>
      <c r="J86" s="32"/>
      <c r="K86" s="32"/>
      <c r="M86" s="15"/>
      <c r="P86"/>
    </row>
    <row r="87" spans="1:16" x14ac:dyDescent="0.35">
      <c r="A87" s="1" t="s">
        <v>194</v>
      </c>
      <c r="B87" s="1">
        <v>45440</v>
      </c>
      <c r="C87" t="s">
        <v>216</v>
      </c>
      <c r="D87" s="32">
        <v>78080</v>
      </c>
      <c r="E87" s="15">
        <f>+Tabla3[[#This Row],[VALOR FACTURA]]-Tabla3[[#This Row],[VALOR PAGO]]</f>
        <v>0</v>
      </c>
      <c r="F87" s="32">
        <v>78080</v>
      </c>
      <c r="G87" s="27"/>
      <c r="I87" s="27"/>
      <c r="J87" s="27"/>
      <c r="K87" s="27"/>
      <c r="M87" s="15"/>
      <c r="P87"/>
    </row>
    <row r="88" spans="1:16" x14ac:dyDescent="0.35">
      <c r="A88" s="1" t="s">
        <v>20</v>
      </c>
      <c r="B88" s="1">
        <v>45441</v>
      </c>
      <c r="C88" t="s">
        <v>141</v>
      </c>
      <c r="D88" s="27">
        <v>10603.63</v>
      </c>
      <c r="E88" s="15">
        <f>+Tabla3[[#This Row],[VALOR FACTURA]]-Tabla3[[#This Row],[VALOR PAGO]]</f>
        <v>1060.3799999999992</v>
      </c>
      <c r="F88" s="29">
        <v>9543.25</v>
      </c>
      <c r="G88" s="27"/>
      <c r="I88" s="27"/>
      <c r="J88" s="27"/>
      <c r="K88" s="27"/>
      <c r="M88" s="15"/>
      <c r="P88"/>
    </row>
    <row r="89" spans="1:16" x14ac:dyDescent="0.35">
      <c r="A89" s="1" t="s">
        <v>20</v>
      </c>
      <c r="B89" s="1">
        <v>45441</v>
      </c>
      <c r="C89" t="s">
        <v>138</v>
      </c>
      <c r="D89" s="27">
        <v>1209</v>
      </c>
      <c r="E89" s="15">
        <f>+Tabla3[[#This Row],[VALOR FACTURA]]-Tabla3[[#This Row],[VALOR PAGO]]</f>
        <v>0</v>
      </c>
      <c r="F89" s="29">
        <v>1209</v>
      </c>
      <c r="G89" s="27"/>
      <c r="I89" s="27"/>
      <c r="J89" s="27"/>
      <c r="K89" s="27"/>
      <c r="M89" s="15"/>
      <c r="P89"/>
    </row>
    <row r="90" spans="1:16" x14ac:dyDescent="0.35">
      <c r="A90" s="1" t="s">
        <v>20</v>
      </c>
      <c r="B90" s="1">
        <v>45441</v>
      </c>
      <c r="C90" t="s">
        <v>275</v>
      </c>
      <c r="D90" s="27">
        <v>6600</v>
      </c>
      <c r="E90" s="15">
        <f>+Tabla3[[#This Row],[VALOR FACTURA]]-Tabla3[[#This Row],[VALOR PAGO]]</f>
        <v>0</v>
      </c>
      <c r="F90" s="27">
        <v>6600</v>
      </c>
      <c r="G90" s="27"/>
      <c r="I90" s="27"/>
      <c r="J90" s="27"/>
      <c r="K90" s="27"/>
      <c r="M90" s="15"/>
      <c r="P90"/>
    </row>
    <row r="91" spans="1:16" x14ac:dyDescent="0.35">
      <c r="A91" s="1" t="s">
        <v>20</v>
      </c>
      <c r="B91" s="1">
        <v>45441</v>
      </c>
      <c r="C91" t="s">
        <v>143</v>
      </c>
      <c r="D91" s="27">
        <v>12002.58</v>
      </c>
      <c r="E91" s="15">
        <f>+Tabla3[[#This Row],[VALOR FACTURA]]-Tabla3[[#This Row],[VALOR PAGO]]</f>
        <v>0</v>
      </c>
      <c r="F91" s="27">
        <v>12002.58</v>
      </c>
      <c r="G91" s="27"/>
      <c r="I91" s="27"/>
      <c r="J91" s="27"/>
      <c r="K91" s="27"/>
      <c r="M91" s="15"/>
      <c r="P91"/>
    </row>
    <row r="92" spans="1:16" x14ac:dyDescent="0.35">
      <c r="A92" s="1" t="s">
        <v>20</v>
      </c>
      <c r="B92" s="1">
        <v>45441</v>
      </c>
      <c r="C92" t="s">
        <v>147</v>
      </c>
      <c r="D92" s="27">
        <v>2894.39</v>
      </c>
      <c r="E92" s="15">
        <f>+Tabla3[[#This Row],[VALOR FACTURA]]-Tabla3[[#This Row],[VALOR PAGO]]</f>
        <v>0</v>
      </c>
      <c r="F92" s="27">
        <v>2894.39</v>
      </c>
      <c r="G92" s="27"/>
      <c r="I92" s="27"/>
      <c r="J92" s="27"/>
      <c r="K92" s="27"/>
      <c r="M92" s="15"/>
      <c r="P92"/>
    </row>
    <row r="93" spans="1:16" x14ac:dyDescent="0.35">
      <c r="A93" s="1" t="s">
        <v>20</v>
      </c>
      <c r="B93" s="1">
        <v>45441</v>
      </c>
      <c r="C93" t="s">
        <v>147</v>
      </c>
      <c r="D93" s="27">
        <v>43230.2</v>
      </c>
      <c r="E93" s="15">
        <f>+Tabla3[[#This Row],[VALOR FACTURA]]-Tabla3[[#This Row],[VALOR PAGO]]</f>
        <v>0</v>
      </c>
      <c r="F93" s="27">
        <v>43230.2</v>
      </c>
      <c r="G93" s="27"/>
      <c r="I93" s="27"/>
      <c r="J93" s="27"/>
      <c r="K93" s="27"/>
      <c r="M93" s="15"/>
      <c r="P93"/>
    </row>
    <row r="94" spans="1:16" x14ac:dyDescent="0.35">
      <c r="A94" s="1" t="s">
        <v>20</v>
      </c>
      <c r="B94" s="1">
        <v>45441</v>
      </c>
      <c r="C94" t="s">
        <v>145</v>
      </c>
      <c r="D94" s="27">
        <v>17538.96</v>
      </c>
      <c r="E94" s="15">
        <f>+Tabla3[[#This Row],[VALOR FACTURA]]-Tabla3[[#This Row],[VALOR PAGO]]</f>
        <v>0</v>
      </c>
      <c r="F94" s="27">
        <v>17538.96</v>
      </c>
      <c r="G94" s="27"/>
      <c r="I94" s="27"/>
      <c r="J94" s="27"/>
      <c r="K94" s="27"/>
      <c r="M94" s="15"/>
      <c r="P94"/>
    </row>
    <row r="95" spans="1:16" x14ac:dyDescent="0.35">
      <c r="A95" s="1" t="s">
        <v>20</v>
      </c>
      <c r="B95" s="1">
        <v>45441</v>
      </c>
      <c r="C95" t="s">
        <v>145</v>
      </c>
      <c r="D95" s="27">
        <v>173294.29</v>
      </c>
      <c r="E95" s="15">
        <f>+Tabla3[[#This Row],[VALOR FACTURA]]-Tabla3[[#This Row],[VALOR PAGO]]</f>
        <v>0</v>
      </c>
      <c r="F95" s="27">
        <v>173294.29</v>
      </c>
      <c r="G95" s="27"/>
      <c r="I95" s="27"/>
      <c r="J95" s="27"/>
      <c r="K95" s="27"/>
      <c r="M95" s="15"/>
      <c r="P95"/>
    </row>
    <row r="96" spans="1:16" x14ac:dyDescent="0.35">
      <c r="A96" s="1" t="s">
        <v>20</v>
      </c>
      <c r="B96" s="1">
        <v>45442</v>
      </c>
      <c r="C96" t="s">
        <v>281</v>
      </c>
      <c r="D96" s="27">
        <v>7613.91</v>
      </c>
      <c r="E96" s="15">
        <f>+Tabla3[[#This Row],[VALOR FACTURA]]-Tabla3[[#This Row],[VALOR PAGO]]</f>
        <v>0</v>
      </c>
      <c r="F96" s="27">
        <v>7613.91</v>
      </c>
      <c r="G96" s="27">
        <v>7000</v>
      </c>
      <c r="I96" s="27"/>
      <c r="J96" s="27"/>
      <c r="K96" s="27"/>
      <c r="L96" s="7">
        <f>SUM(F88:F96)</f>
        <v>273926.58</v>
      </c>
      <c r="M96" s="15"/>
      <c r="P96"/>
    </row>
    <row r="97" spans="1:16" x14ac:dyDescent="0.35">
      <c r="A97" s="1" t="s">
        <v>20</v>
      </c>
      <c r="B97" s="1">
        <v>45448</v>
      </c>
      <c r="C97" t="s">
        <v>148</v>
      </c>
      <c r="D97" s="27">
        <v>1902.78</v>
      </c>
      <c r="E97" s="15">
        <f>+Tabla3[[#This Row],[VALOR FACTURA]]-Tabla3[[#This Row],[VALOR PAGO]]</f>
        <v>190.27999999999997</v>
      </c>
      <c r="F97" s="27">
        <v>1712.5</v>
      </c>
      <c r="G97" s="27"/>
      <c r="I97" s="27"/>
      <c r="J97" s="27"/>
      <c r="K97" s="27"/>
      <c r="M97" s="15"/>
      <c r="P97"/>
    </row>
    <row r="98" spans="1:16" x14ac:dyDescent="0.35">
      <c r="A98" s="1" t="s">
        <v>20</v>
      </c>
      <c r="B98" s="1">
        <v>45448</v>
      </c>
      <c r="C98" t="s">
        <v>140</v>
      </c>
      <c r="D98" s="27">
        <v>8000</v>
      </c>
      <c r="E98" s="15">
        <f>+Tabla3[[#This Row],[VALOR FACTURA]]-Tabla3[[#This Row],[VALOR PAGO]]</f>
        <v>0</v>
      </c>
      <c r="F98" s="27">
        <v>8000</v>
      </c>
      <c r="G98" s="27"/>
      <c r="I98" s="27"/>
      <c r="J98" s="27"/>
      <c r="K98" s="27"/>
      <c r="M98" s="15"/>
      <c r="P98"/>
    </row>
    <row r="99" spans="1:16" x14ac:dyDescent="0.35">
      <c r="A99" s="1" t="s">
        <v>20</v>
      </c>
      <c r="B99" s="1">
        <v>45448</v>
      </c>
      <c r="C99" t="s">
        <v>60</v>
      </c>
      <c r="D99" s="27">
        <v>8988</v>
      </c>
      <c r="E99" s="15">
        <f>+Tabla3[[#This Row],[VALOR FACTURA]]-Tabla3[[#This Row],[VALOR PAGO]]</f>
        <v>1797.6000000000004</v>
      </c>
      <c r="F99" s="27">
        <v>7190.4</v>
      </c>
      <c r="G99" s="27"/>
      <c r="I99" s="27"/>
      <c r="J99" s="27"/>
      <c r="K99" s="27"/>
      <c r="M99" s="15"/>
      <c r="P99"/>
    </row>
    <row r="100" spans="1:16" x14ac:dyDescent="0.35">
      <c r="A100" s="1" t="s">
        <v>20</v>
      </c>
      <c r="B100" s="1">
        <v>45448</v>
      </c>
      <c r="C100" t="s">
        <v>221</v>
      </c>
      <c r="D100" s="27">
        <v>41105</v>
      </c>
      <c r="E100" s="15">
        <f>+Tabla3[[#This Row],[VALOR FACTURA]]-Tabla3[[#This Row],[VALOR PAGO]]</f>
        <v>0</v>
      </c>
      <c r="F100" s="27">
        <v>41105</v>
      </c>
      <c r="G100" s="27"/>
      <c r="I100" s="27"/>
      <c r="J100" s="27"/>
      <c r="K100" s="27"/>
      <c r="M100" s="15"/>
      <c r="P100"/>
    </row>
    <row r="101" spans="1:16" x14ac:dyDescent="0.35">
      <c r="A101" s="1" t="s">
        <v>20</v>
      </c>
      <c r="B101" s="1">
        <v>45448</v>
      </c>
      <c r="C101" t="s">
        <v>267</v>
      </c>
      <c r="D101" s="27">
        <v>1291.4000000000001</v>
      </c>
      <c r="E101" s="27">
        <f>+Tabla3[[#This Row],[VALOR FACTURA]]-Tabla3[[#This Row],[VALOR PAGO]]</f>
        <v>0</v>
      </c>
      <c r="F101" s="27">
        <v>1291.4000000000001</v>
      </c>
      <c r="G101" s="27"/>
      <c r="I101" s="27"/>
      <c r="J101" s="27"/>
      <c r="K101" s="27"/>
      <c r="M101" s="15"/>
      <c r="P101"/>
    </row>
    <row r="102" spans="1:16" x14ac:dyDescent="0.35">
      <c r="A102" s="1" t="s">
        <v>20</v>
      </c>
      <c r="B102" s="1">
        <v>45455</v>
      </c>
      <c r="C102" t="s">
        <v>81</v>
      </c>
      <c r="D102" s="15">
        <v>500</v>
      </c>
      <c r="E102" s="15">
        <f>+Tabla3[[#This Row],[VALOR FACTURA]]-Tabla3[[#This Row],[VALOR PAGO]]</f>
        <v>0</v>
      </c>
      <c r="F102" s="33">
        <v>500</v>
      </c>
      <c r="G102" s="27"/>
      <c r="I102" s="27"/>
      <c r="J102" s="27"/>
      <c r="K102" s="27"/>
      <c r="M102" s="15"/>
      <c r="P102"/>
    </row>
    <row r="103" spans="1:16" x14ac:dyDescent="0.35">
      <c r="A103" s="1" t="s">
        <v>20</v>
      </c>
      <c r="B103" s="1">
        <v>45455</v>
      </c>
      <c r="C103" t="s">
        <v>145</v>
      </c>
      <c r="D103" s="15">
        <v>12972.69</v>
      </c>
      <c r="E103" s="15">
        <f>+Tabla3[[#This Row],[VALOR FACTURA]]-Tabla3[[#This Row],[VALOR PAGO]]</f>
        <v>0</v>
      </c>
      <c r="F103" s="15">
        <v>12972.69</v>
      </c>
      <c r="G103" s="27"/>
      <c r="I103" s="27"/>
      <c r="J103" s="27"/>
      <c r="K103" s="27"/>
      <c r="M103" s="15"/>
      <c r="P103"/>
    </row>
    <row r="104" spans="1:16" x14ac:dyDescent="0.35">
      <c r="A104" s="1" t="s">
        <v>20</v>
      </c>
      <c r="B104" s="1">
        <v>45455</v>
      </c>
      <c r="C104" t="s">
        <v>231</v>
      </c>
      <c r="D104" s="15">
        <v>2175.4</v>
      </c>
      <c r="E104" s="15">
        <f>+Tabla3[[#This Row],[VALOR FACTURA]]-Tabla3[[#This Row],[VALOR PAGO]]</f>
        <v>0</v>
      </c>
      <c r="F104" s="33">
        <v>2175.4</v>
      </c>
      <c r="G104" s="27">
        <v>2000</v>
      </c>
      <c r="I104" s="27"/>
      <c r="J104" s="27"/>
      <c r="K104" s="27"/>
      <c r="M104" s="15"/>
      <c r="P104"/>
    </row>
    <row r="105" spans="1:16" x14ac:dyDescent="0.35">
      <c r="A105" s="1" t="s">
        <v>20</v>
      </c>
      <c r="B105" s="1">
        <v>45455</v>
      </c>
      <c r="C105" t="s">
        <v>204</v>
      </c>
      <c r="D105" s="15">
        <v>600</v>
      </c>
      <c r="E105" s="15">
        <f>+Tabla3[[#This Row],[VALOR FACTURA]]-Tabla3[[#This Row],[VALOR PAGO]]</f>
        <v>0</v>
      </c>
      <c r="F105" s="33">
        <v>600</v>
      </c>
      <c r="G105" s="27"/>
      <c r="I105" s="27"/>
      <c r="J105" s="27"/>
      <c r="K105" s="27"/>
      <c r="M105" s="15"/>
      <c r="P105"/>
    </row>
    <row r="106" spans="1:16" x14ac:dyDescent="0.35">
      <c r="A106" s="1" t="s">
        <v>20</v>
      </c>
      <c r="B106" s="1">
        <v>45455</v>
      </c>
      <c r="C106" t="s">
        <v>139</v>
      </c>
      <c r="D106" s="15">
        <v>9205.0400000000009</v>
      </c>
      <c r="E106" s="15">
        <f>+Tabla3[[#This Row],[VALOR FACTURA]]-Tabla3[[#This Row],[VALOR PAGO]]</f>
        <v>0</v>
      </c>
      <c r="F106" s="33">
        <v>9205.0400000000009</v>
      </c>
      <c r="G106" s="27"/>
      <c r="I106" s="27"/>
      <c r="J106" s="27"/>
      <c r="K106" s="27"/>
      <c r="M106" s="15"/>
      <c r="P106"/>
    </row>
    <row r="107" spans="1:16" x14ac:dyDescent="0.35">
      <c r="A107" s="1" t="s">
        <v>20</v>
      </c>
      <c r="B107" s="1">
        <v>45461</v>
      </c>
      <c r="C107" t="s">
        <v>145</v>
      </c>
      <c r="D107" s="15">
        <v>7007.83</v>
      </c>
      <c r="E107" s="15">
        <f>+Tabla3[[#This Row],[VALOR FACTURA]]-Tabla3[[#This Row],[VALOR PAGO]]</f>
        <v>0</v>
      </c>
      <c r="F107" s="15">
        <v>7007.83</v>
      </c>
      <c r="G107" s="27"/>
      <c r="I107" s="27"/>
      <c r="J107" s="27"/>
      <c r="K107" s="27"/>
      <c r="M107" s="15"/>
      <c r="P107"/>
    </row>
    <row r="108" spans="1:16" x14ac:dyDescent="0.35">
      <c r="A108" s="1" t="s">
        <v>20</v>
      </c>
      <c r="B108" s="1">
        <v>45461</v>
      </c>
      <c r="C108" t="s">
        <v>304</v>
      </c>
      <c r="D108" s="33">
        <v>2000</v>
      </c>
      <c r="E108" s="15">
        <f>+Tabla3[[#This Row],[VALOR FACTURA]]-Tabla3[[#This Row],[VALOR PAGO]]</f>
        <v>0</v>
      </c>
      <c r="F108" s="33">
        <v>2000</v>
      </c>
      <c r="G108" s="27"/>
      <c r="I108" s="27"/>
      <c r="J108" s="27"/>
      <c r="K108" s="27"/>
      <c r="M108" s="15"/>
      <c r="P108"/>
    </row>
    <row r="109" spans="1:16" x14ac:dyDescent="0.35">
      <c r="A109" s="1" t="s">
        <v>20</v>
      </c>
      <c r="B109" s="1">
        <v>45467</v>
      </c>
      <c r="C109" t="s">
        <v>217</v>
      </c>
      <c r="D109" s="33">
        <v>185885</v>
      </c>
      <c r="E109" s="15">
        <f>+Tabla3[[#This Row],[VALOR FACTURA]]-Tabla3[[#This Row],[VALOR PAGO]]</f>
        <v>0</v>
      </c>
      <c r="F109" s="33">
        <v>185885</v>
      </c>
      <c r="G109" s="27"/>
      <c r="I109" s="27"/>
      <c r="J109" s="27"/>
      <c r="K109" s="27"/>
      <c r="M109" s="15"/>
      <c r="P109"/>
    </row>
    <row r="110" spans="1:16" x14ac:dyDescent="0.35">
      <c r="A110" s="1" t="s">
        <v>20</v>
      </c>
      <c r="B110" s="1">
        <v>45469</v>
      </c>
      <c r="C110" t="s">
        <v>145</v>
      </c>
      <c r="D110" s="15">
        <v>162676.82999999999</v>
      </c>
      <c r="E110" s="15">
        <f>+Tabla3[[#This Row],[VALOR FACTURA]]-Tabla3[[#This Row],[VALOR PAGO]]</f>
        <v>0</v>
      </c>
      <c r="F110" s="33">
        <v>162676.82999999999</v>
      </c>
      <c r="G110" s="27"/>
      <c r="I110" s="27"/>
      <c r="J110" s="27"/>
      <c r="K110" s="27"/>
      <c r="M110" s="15"/>
      <c r="P110"/>
    </row>
    <row r="111" spans="1:16" x14ac:dyDescent="0.35">
      <c r="A111" s="1" t="s">
        <v>20</v>
      </c>
      <c r="B111" s="1">
        <v>45469</v>
      </c>
      <c r="C111" t="s">
        <v>145</v>
      </c>
      <c r="D111" s="15">
        <v>16895.45</v>
      </c>
      <c r="E111" s="15">
        <f>+Tabla3[[#This Row],[VALOR FACTURA]]-Tabla3[[#This Row],[VALOR PAGO]]</f>
        <v>0</v>
      </c>
      <c r="F111" s="33">
        <v>16895.45</v>
      </c>
      <c r="G111" s="27"/>
      <c r="I111" s="27"/>
      <c r="J111" s="27"/>
      <c r="K111" s="27"/>
      <c r="M111" s="15"/>
      <c r="P111"/>
    </row>
    <row r="112" spans="1:16" x14ac:dyDescent="0.35">
      <c r="A112" s="1" t="s">
        <v>20</v>
      </c>
      <c r="B112" s="1">
        <v>45469</v>
      </c>
      <c r="C112" t="s">
        <v>147</v>
      </c>
      <c r="D112" s="15">
        <v>50520.95</v>
      </c>
      <c r="E112" s="15">
        <f>+Tabla3[[#This Row],[VALOR FACTURA]]-Tabla3[[#This Row],[VALOR PAGO]]</f>
        <v>0</v>
      </c>
      <c r="F112" s="33">
        <v>50520.95</v>
      </c>
      <c r="G112" s="27"/>
      <c r="I112" s="27"/>
      <c r="J112" s="27"/>
      <c r="K112" s="27"/>
      <c r="M112" s="15"/>
      <c r="P112"/>
    </row>
    <row r="113" spans="1:16" x14ac:dyDescent="0.35">
      <c r="A113" s="1" t="s">
        <v>20</v>
      </c>
      <c r="B113" s="1">
        <v>45469</v>
      </c>
      <c r="C113" t="s">
        <v>141</v>
      </c>
      <c r="D113" s="15">
        <v>9921.6200000000008</v>
      </c>
      <c r="E113" s="15">
        <f>+Tabla3[[#This Row],[VALOR FACTURA]]-Tabla3[[#This Row],[VALOR PAGO]]</f>
        <v>992.16000000000167</v>
      </c>
      <c r="F113" s="33">
        <v>8929.4599999999991</v>
      </c>
      <c r="G113" s="27"/>
      <c r="I113" s="27"/>
      <c r="J113" s="27"/>
      <c r="K113" s="27"/>
      <c r="M113" s="15"/>
      <c r="P113"/>
    </row>
    <row r="114" spans="1:16" x14ac:dyDescent="0.35">
      <c r="A114" s="1" t="s">
        <v>20</v>
      </c>
      <c r="B114" s="1">
        <v>45469</v>
      </c>
      <c r="C114" t="s">
        <v>144</v>
      </c>
      <c r="D114" s="15">
        <v>7812.5</v>
      </c>
      <c r="E114" s="15">
        <f>+Tabla3[[#This Row],[VALOR FACTURA]]-Tabla3[[#This Row],[VALOR PAGO]]</f>
        <v>1562.5</v>
      </c>
      <c r="F114" s="33">
        <v>6250</v>
      </c>
      <c r="G114" s="27"/>
      <c r="I114" s="27"/>
      <c r="J114" s="27"/>
      <c r="K114" s="27"/>
      <c r="M114" s="15"/>
      <c r="P114"/>
    </row>
    <row r="115" spans="1:16" x14ac:dyDescent="0.35">
      <c r="A115" s="1" t="s">
        <v>20</v>
      </c>
      <c r="B115" s="1">
        <v>45469</v>
      </c>
      <c r="C115" t="s">
        <v>150</v>
      </c>
      <c r="D115" s="15">
        <v>8643.4699999999993</v>
      </c>
      <c r="E115" s="15">
        <f>+Tabla3[[#This Row],[VALOR FACTURA]]-Tabla3[[#This Row],[VALOR PAGO]]</f>
        <v>0</v>
      </c>
      <c r="F115" s="15">
        <v>8643.4699999999993</v>
      </c>
      <c r="G115" s="27"/>
      <c r="I115" s="27"/>
      <c r="J115" s="27"/>
      <c r="K115" s="27"/>
      <c r="M115" s="15"/>
      <c r="P115"/>
    </row>
    <row r="116" spans="1:16" x14ac:dyDescent="0.35">
      <c r="A116" s="1" t="s">
        <v>20</v>
      </c>
      <c r="B116" s="1">
        <v>45469</v>
      </c>
      <c r="C116" t="s">
        <v>147</v>
      </c>
      <c r="D116" s="15">
        <v>2346.54</v>
      </c>
      <c r="E116" s="15">
        <f>+Tabla3[[#This Row],[VALOR FACTURA]]-Tabla3[[#This Row],[VALOR PAGO]]</f>
        <v>0</v>
      </c>
      <c r="F116" s="15">
        <v>2346.54</v>
      </c>
      <c r="G116" s="27"/>
      <c r="I116" s="27"/>
      <c r="J116" s="27"/>
      <c r="K116" s="27"/>
      <c r="M116" s="15"/>
      <c r="P116"/>
    </row>
    <row r="117" spans="1:16" x14ac:dyDescent="0.35">
      <c r="A117" s="1" t="s">
        <v>20</v>
      </c>
      <c r="B117" s="1">
        <v>45476</v>
      </c>
      <c r="C117" t="s">
        <v>231</v>
      </c>
      <c r="D117" s="15">
        <v>2166</v>
      </c>
      <c r="E117" s="15">
        <f>+Tabla3[[#This Row],[VALOR FACTURA]]-Tabla3[[#This Row],[VALOR PAGO]]</f>
        <v>0</v>
      </c>
      <c r="F117" s="65">
        <v>2166</v>
      </c>
      <c r="G117" s="27">
        <v>2000</v>
      </c>
      <c r="I117" s="27"/>
      <c r="J117" s="27"/>
      <c r="K117" s="27"/>
      <c r="M117" s="15"/>
      <c r="P117"/>
    </row>
    <row r="118" spans="1:16" x14ac:dyDescent="0.35">
      <c r="A118" s="1" t="s">
        <v>20</v>
      </c>
      <c r="B118" s="1">
        <v>45476</v>
      </c>
      <c r="C118" t="s">
        <v>148</v>
      </c>
      <c r="D118" s="15">
        <v>922.88</v>
      </c>
      <c r="E118" s="15">
        <f>+Tabla3[[#This Row],[VALOR FACTURA]]-Tabla3[[#This Row],[VALOR PAGO]]</f>
        <v>92.289999999999964</v>
      </c>
      <c r="F118" s="33">
        <v>830.59</v>
      </c>
      <c r="G118" s="27"/>
      <c r="I118" s="27"/>
      <c r="J118" s="27"/>
      <c r="K118" s="27"/>
      <c r="M118" s="15"/>
      <c r="P118"/>
    </row>
    <row r="119" spans="1:16" x14ac:dyDescent="0.35">
      <c r="A119" s="1" t="s">
        <v>20</v>
      </c>
      <c r="B119" s="1">
        <v>45476</v>
      </c>
      <c r="C119" t="s">
        <v>140</v>
      </c>
      <c r="D119" s="15">
        <v>8000</v>
      </c>
      <c r="E119" s="15">
        <f>+Tabla3[[#This Row],[VALOR FACTURA]]-Tabla3[[#This Row],[VALOR PAGO]]</f>
        <v>0</v>
      </c>
      <c r="F119" s="33">
        <v>8000</v>
      </c>
      <c r="G119" s="27"/>
      <c r="I119" s="27"/>
      <c r="J119" s="27"/>
      <c r="K119" s="27"/>
      <c r="M119" s="15"/>
      <c r="P119"/>
    </row>
    <row r="120" spans="1:16" x14ac:dyDescent="0.35">
      <c r="A120" s="1" t="s">
        <v>20</v>
      </c>
      <c r="B120" s="1">
        <v>45476</v>
      </c>
      <c r="C120" t="s">
        <v>189</v>
      </c>
      <c r="D120" s="15">
        <v>250000</v>
      </c>
      <c r="E120" s="15">
        <f>+Tabla3[[#This Row],[VALOR FACTURA]]-Tabla3[[#This Row],[VALOR PAGO]]</f>
        <v>25000</v>
      </c>
      <c r="F120" s="33">
        <v>225000</v>
      </c>
      <c r="G120" s="27"/>
      <c r="I120" s="27"/>
      <c r="J120" s="27"/>
      <c r="K120" s="27"/>
      <c r="M120" s="15"/>
      <c r="P120"/>
    </row>
    <row r="121" spans="1:16" x14ac:dyDescent="0.35">
      <c r="A121" s="1" t="s">
        <v>20</v>
      </c>
      <c r="B121" s="1">
        <v>45476</v>
      </c>
      <c r="C121" t="s">
        <v>188</v>
      </c>
      <c r="D121" s="15">
        <v>412500</v>
      </c>
      <c r="E121" s="15">
        <f>+Tabla3[[#This Row],[VALOR FACTURA]]-Tabla3[[#This Row],[VALOR PAGO]]</f>
        <v>41250</v>
      </c>
      <c r="F121" s="33">
        <v>371250</v>
      </c>
      <c r="G121" s="27"/>
      <c r="I121" s="27"/>
      <c r="J121" s="27"/>
      <c r="K121" s="27"/>
      <c r="M121" s="15"/>
      <c r="P121"/>
    </row>
    <row r="122" spans="1:16" x14ac:dyDescent="0.35">
      <c r="A122" s="1" t="s">
        <v>20</v>
      </c>
      <c r="B122" s="1">
        <v>45476</v>
      </c>
      <c r="C122" t="s">
        <v>230</v>
      </c>
      <c r="D122" s="15">
        <v>15619.34</v>
      </c>
      <c r="E122" s="15">
        <f>+Tabla3[[#This Row],[VALOR FACTURA]]-Tabla3[[#This Row],[VALOR PAGO]]</f>
        <v>0</v>
      </c>
      <c r="F122" s="15">
        <v>15619.34</v>
      </c>
      <c r="G122" s="27"/>
      <c r="I122" s="27"/>
      <c r="J122" s="27"/>
      <c r="K122" s="27"/>
      <c r="M122" s="15"/>
      <c r="P122"/>
    </row>
    <row r="123" spans="1:16" x14ac:dyDescent="0.35">
      <c r="A123" s="1" t="s">
        <v>20</v>
      </c>
      <c r="B123" s="1">
        <v>45476</v>
      </c>
      <c r="C123" t="s">
        <v>143</v>
      </c>
      <c r="D123" s="15">
        <v>10632.96</v>
      </c>
      <c r="E123" s="15">
        <f>+Tabla3[[#This Row],[VALOR FACTURA]]-Tabla3[[#This Row],[VALOR PAGO]]</f>
        <v>0</v>
      </c>
      <c r="F123" s="15">
        <v>10632.96</v>
      </c>
      <c r="G123" s="27"/>
      <c r="I123" s="27"/>
      <c r="J123" s="27"/>
      <c r="K123" s="27"/>
      <c r="M123" s="15"/>
      <c r="P123"/>
    </row>
    <row r="124" spans="1:16" x14ac:dyDescent="0.35">
      <c r="A124" s="1" t="s">
        <v>20</v>
      </c>
      <c r="B124" s="1">
        <v>45483</v>
      </c>
      <c r="C124" t="s">
        <v>138</v>
      </c>
      <c r="D124" s="15">
        <v>560</v>
      </c>
      <c r="E124" s="15">
        <f>+Tabla3[[#This Row],[VALOR FACTURA]]-Tabla3[[#This Row],[VALOR PAGO]]</f>
        <v>0</v>
      </c>
      <c r="F124" s="33">
        <v>560</v>
      </c>
      <c r="G124" s="27"/>
      <c r="I124" s="27"/>
      <c r="J124" s="27"/>
      <c r="K124" s="27"/>
      <c r="M124" s="15"/>
      <c r="P124"/>
    </row>
    <row r="125" spans="1:16" x14ac:dyDescent="0.35">
      <c r="A125" s="1" t="s">
        <v>20</v>
      </c>
      <c r="B125" s="1">
        <v>45483</v>
      </c>
      <c r="C125" t="s">
        <v>144</v>
      </c>
      <c r="D125" s="15">
        <v>3000</v>
      </c>
      <c r="E125" s="15">
        <f>+Tabla3[[#This Row],[VALOR FACTURA]]-Tabla3[[#This Row],[VALOR PAGO]]</f>
        <v>600</v>
      </c>
      <c r="F125" s="33">
        <v>2400</v>
      </c>
      <c r="G125" s="27"/>
      <c r="I125" s="27"/>
      <c r="J125" s="27"/>
      <c r="K125" s="27"/>
      <c r="M125" s="15"/>
      <c r="P125"/>
    </row>
    <row r="126" spans="1:16" x14ac:dyDescent="0.35">
      <c r="A126" s="1" t="s">
        <v>20</v>
      </c>
      <c r="B126" s="1">
        <v>45483</v>
      </c>
      <c r="C126" t="s">
        <v>221</v>
      </c>
      <c r="D126" s="15">
        <v>7134</v>
      </c>
      <c r="E126" s="15">
        <f>+Tabla3[[#This Row],[VALOR FACTURA]]-Tabla3[[#This Row],[VALOR PAGO]]</f>
        <v>0</v>
      </c>
      <c r="F126" s="33">
        <v>7134</v>
      </c>
      <c r="G126" s="27"/>
      <c r="I126" s="27"/>
      <c r="J126" s="27"/>
      <c r="K126" s="27"/>
      <c r="M126" s="15"/>
      <c r="P126"/>
    </row>
    <row r="127" spans="1:16" x14ac:dyDescent="0.35">
      <c r="A127" s="1" t="s">
        <v>20</v>
      </c>
      <c r="B127" s="1">
        <v>45483</v>
      </c>
      <c r="C127" t="s">
        <v>147</v>
      </c>
      <c r="D127" s="15">
        <v>648.54999999999995</v>
      </c>
      <c r="E127" s="15">
        <f>+Tabla3[[#This Row],[VALOR FACTURA]]-Tabla3[[#This Row],[VALOR PAGO]]</f>
        <v>0</v>
      </c>
      <c r="F127" s="15">
        <v>648.54999999999995</v>
      </c>
      <c r="G127" s="27"/>
      <c r="I127" s="27"/>
      <c r="J127" s="27"/>
      <c r="K127" s="27"/>
      <c r="M127" s="15"/>
      <c r="P127"/>
    </row>
    <row r="128" spans="1:16" x14ac:dyDescent="0.35">
      <c r="A128" s="1" t="s">
        <v>20</v>
      </c>
      <c r="B128" s="1">
        <v>45484</v>
      </c>
      <c r="C128" t="s">
        <v>173</v>
      </c>
      <c r="D128" s="103">
        <v>97827.85</v>
      </c>
      <c r="E128" s="15">
        <f>+Tabla3[[#This Row],[VALOR FACTURA]]-Tabla3[[#This Row],[VALOR PAGO]]</f>
        <v>19565.570000000007</v>
      </c>
      <c r="F128" s="15">
        <v>78262.28</v>
      </c>
      <c r="G128" s="27"/>
      <c r="I128" s="27"/>
      <c r="J128" s="27"/>
      <c r="K128" s="27"/>
      <c r="M128" s="15"/>
      <c r="P128"/>
    </row>
    <row r="129" spans="1:16" x14ac:dyDescent="0.35">
      <c r="A129" s="1" t="s">
        <v>20</v>
      </c>
      <c r="B129" s="1">
        <v>45484</v>
      </c>
      <c r="C129" t="s">
        <v>173</v>
      </c>
      <c r="D129" s="103">
        <v>337745.6</v>
      </c>
      <c r="E129" s="15">
        <f>+Tabla3[[#This Row],[VALOR FACTURA]]-Tabla3[[#This Row],[VALOR PAGO]]</f>
        <v>67549.119999999995</v>
      </c>
      <c r="F129" s="15">
        <v>270196.47999999998</v>
      </c>
      <c r="G129" s="27"/>
      <c r="I129" s="27"/>
      <c r="J129" s="27"/>
      <c r="K129" s="27"/>
      <c r="M129" s="15"/>
      <c r="P129"/>
    </row>
    <row r="130" spans="1:16" x14ac:dyDescent="0.35">
      <c r="A130" t="s">
        <v>195</v>
      </c>
      <c r="B130" s="1">
        <v>45490</v>
      </c>
      <c r="C130" t="s">
        <v>218</v>
      </c>
      <c r="D130" s="15">
        <v>52120.46</v>
      </c>
      <c r="E130" s="15">
        <f>+Tabla3[[#This Row],[VALOR FACTURA]]-Tabla3[[#This Row],[VALOR PAGO]]</f>
        <v>10424.089999999997</v>
      </c>
      <c r="F130" s="33">
        <v>41696.370000000003</v>
      </c>
      <c r="G130" s="27"/>
      <c r="I130" s="27"/>
      <c r="J130" s="27"/>
      <c r="K130" s="27"/>
      <c r="M130" s="15"/>
      <c r="P130"/>
    </row>
    <row r="131" spans="1:16" x14ac:dyDescent="0.35">
      <c r="A131" t="s">
        <v>20</v>
      </c>
      <c r="B131" s="1">
        <v>45497</v>
      </c>
      <c r="C131" t="s">
        <v>441</v>
      </c>
      <c r="D131" s="15">
        <v>4583.92</v>
      </c>
      <c r="E131" s="15">
        <f>+Tabla3[[#This Row],[VALOR FACTURA]]-Tabla3[[#This Row],[VALOR PAGO]]</f>
        <v>0</v>
      </c>
      <c r="F131" s="65">
        <v>4583.92</v>
      </c>
      <c r="G131" s="27"/>
      <c r="I131" s="27"/>
      <c r="J131" s="27"/>
      <c r="K131" s="27"/>
      <c r="M131" s="15"/>
      <c r="P131"/>
    </row>
    <row r="132" spans="1:16" x14ac:dyDescent="0.35">
      <c r="A132" t="s">
        <v>20</v>
      </c>
      <c r="B132" s="1">
        <v>45497</v>
      </c>
      <c r="C132" t="s">
        <v>139</v>
      </c>
      <c r="D132" s="15">
        <v>11259.6</v>
      </c>
      <c r="E132" s="15">
        <f>+Tabla3[[#This Row],[VALOR FACTURA]]-Tabla3[[#This Row],[VALOR PAGO]]</f>
        <v>0</v>
      </c>
      <c r="F132" s="33">
        <v>11259.6</v>
      </c>
      <c r="G132" s="27"/>
      <c r="I132" s="27"/>
      <c r="J132" s="27"/>
      <c r="K132" s="27"/>
      <c r="M132" s="15"/>
      <c r="P132"/>
    </row>
    <row r="133" spans="1:16" x14ac:dyDescent="0.35">
      <c r="A133" t="s">
        <v>20</v>
      </c>
      <c r="B133" s="1">
        <v>45497</v>
      </c>
      <c r="C133" t="s">
        <v>515</v>
      </c>
      <c r="D133" s="15">
        <v>8105.58</v>
      </c>
      <c r="E133" s="15">
        <f>+Tabla3[[#This Row],[VALOR FACTURA]]-Tabla3[[#This Row],[VALOR PAGO]]</f>
        <v>1621.12</v>
      </c>
      <c r="F133" s="33">
        <v>6484.46</v>
      </c>
      <c r="G133" s="27"/>
      <c r="I133" s="27"/>
      <c r="J133" s="27"/>
      <c r="K133" s="27"/>
      <c r="M133" s="15"/>
      <c r="P133"/>
    </row>
    <row r="134" spans="1:16" x14ac:dyDescent="0.35">
      <c r="A134" t="s">
        <v>20</v>
      </c>
      <c r="B134" s="1">
        <v>45498</v>
      </c>
      <c r="C134" t="s">
        <v>145</v>
      </c>
      <c r="D134" s="15">
        <v>3488.98</v>
      </c>
      <c r="E134" s="15">
        <f>+Tabla3[[#This Row],[VALOR FACTURA]]-Tabla3[[#This Row],[VALOR PAGO]]</f>
        <v>0</v>
      </c>
      <c r="F134" s="15">
        <v>3488.98</v>
      </c>
      <c r="G134" s="27"/>
      <c r="I134" s="27"/>
      <c r="J134" s="27"/>
      <c r="K134" s="27"/>
      <c r="M134" s="15"/>
      <c r="P134"/>
    </row>
    <row r="135" spans="1:16" x14ac:dyDescent="0.35">
      <c r="A135" t="s">
        <v>20</v>
      </c>
      <c r="B135" s="1">
        <v>45502</v>
      </c>
      <c r="C135" t="s">
        <v>147</v>
      </c>
      <c r="D135" s="15">
        <v>59896.9</v>
      </c>
      <c r="E135" s="15">
        <f>+Tabla3[[#This Row],[VALOR FACTURA]]-Tabla3[[#This Row],[VALOR PAGO]]</f>
        <v>0</v>
      </c>
      <c r="F135" s="15">
        <v>59896.9</v>
      </c>
      <c r="G135" s="27"/>
      <c r="I135" s="27"/>
      <c r="J135" s="27"/>
      <c r="K135" s="27"/>
      <c r="M135" s="15"/>
      <c r="P135"/>
    </row>
    <row r="136" spans="1:16" x14ac:dyDescent="0.35">
      <c r="A136" t="s">
        <v>20</v>
      </c>
      <c r="B136" s="1">
        <v>45502</v>
      </c>
      <c r="C136" t="s">
        <v>147</v>
      </c>
      <c r="D136" s="15">
        <v>1272.3399999999999</v>
      </c>
      <c r="E136" s="15">
        <f>+Tabla3[[#This Row],[VALOR FACTURA]]-Tabla3[[#This Row],[VALOR PAGO]]</f>
        <v>0</v>
      </c>
      <c r="F136" s="15">
        <v>1272.3399999999999</v>
      </c>
      <c r="G136" s="27"/>
      <c r="I136" s="27"/>
      <c r="J136" s="27"/>
      <c r="K136" s="27"/>
      <c r="M136" s="15"/>
      <c r="P136"/>
    </row>
    <row r="137" spans="1:16" x14ac:dyDescent="0.35">
      <c r="A137" t="s">
        <v>20</v>
      </c>
      <c r="B137" s="1">
        <v>45502</v>
      </c>
      <c r="C137" t="s">
        <v>145</v>
      </c>
      <c r="D137" s="15">
        <v>138441.72</v>
      </c>
      <c r="E137" s="15">
        <f>+Tabla3[[#This Row],[VALOR FACTURA]]-Tabla3[[#This Row],[VALOR PAGO]]</f>
        <v>0</v>
      </c>
      <c r="F137" s="15">
        <v>138441.72</v>
      </c>
      <c r="G137" s="27"/>
      <c r="I137" s="27"/>
      <c r="J137" s="27"/>
      <c r="K137" s="27"/>
      <c r="M137" s="15"/>
      <c r="P137">
        <v>7370000</v>
      </c>
    </row>
    <row r="138" spans="1:16" x14ac:dyDescent="0.35">
      <c r="A138" t="s">
        <v>20</v>
      </c>
      <c r="B138" s="1">
        <v>45502</v>
      </c>
      <c r="C138" t="s">
        <v>145</v>
      </c>
      <c r="D138" s="15">
        <v>22575</v>
      </c>
      <c r="E138" s="15">
        <f>+Tabla3[[#This Row],[VALOR FACTURA]]-Tabla3[[#This Row],[VALOR PAGO]]</f>
        <v>0</v>
      </c>
      <c r="F138" s="15">
        <v>22575</v>
      </c>
      <c r="G138" s="27"/>
      <c r="I138" s="27"/>
      <c r="J138" s="27"/>
      <c r="K138" s="27"/>
      <c r="M138" s="15"/>
      <c r="P138"/>
    </row>
    <row r="139" spans="1:16" x14ac:dyDescent="0.35">
      <c r="A139" t="s">
        <v>20</v>
      </c>
      <c r="B139" s="1">
        <v>45502</v>
      </c>
      <c r="C139" t="s">
        <v>141</v>
      </c>
      <c r="D139" s="15">
        <v>9996.6299999999992</v>
      </c>
      <c r="E139" s="15">
        <f>+Tabla3[[#This Row],[VALOR FACTURA]]-Tabla3[[#This Row],[VALOR PAGO]]</f>
        <v>999.64999999999964</v>
      </c>
      <c r="F139" s="15">
        <v>8996.98</v>
      </c>
      <c r="G139" s="27"/>
      <c r="I139" s="27"/>
      <c r="J139" s="27"/>
      <c r="K139" s="27"/>
      <c r="M139" s="15"/>
      <c r="P139"/>
    </row>
    <row r="140" spans="1:16" x14ac:dyDescent="0.35">
      <c r="A140" t="s">
        <v>20</v>
      </c>
      <c r="B140" s="1">
        <v>45502</v>
      </c>
      <c r="C140" t="s">
        <v>138</v>
      </c>
      <c r="D140" s="15">
        <v>500</v>
      </c>
      <c r="E140" s="15">
        <f>+Tabla3[[#This Row],[VALOR FACTURA]]-Tabla3[[#This Row],[VALOR PAGO]]</f>
        <v>0</v>
      </c>
      <c r="F140" s="15">
        <v>500</v>
      </c>
      <c r="G140" s="27"/>
      <c r="I140" s="27"/>
      <c r="J140" s="27"/>
      <c r="K140" s="27"/>
      <c r="M140" s="15"/>
      <c r="P140"/>
    </row>
    <row r="141" spans="1:16" x14ac:dyDescent="0.35">
      <c r="A141" t="s">
        <v>20</v>
      </c>
      <c r="B141" s="1">
        <v>45502</v>
      </c>
      <c r="C141" t="s">
        <v>144</v>
      </c>
      <c r="D141" s="15">
        <v>4500</v>
      </c>
      <c r="E141" s="15">
        <f>+Tabla3[[#This Row],[VALOR FACTURA]]-Tabla3[[#This Row],[VALOR PAGO]]</f>
        <v>900</v>
      </c>
      <c r="F141" s="15">
        <v>3600</v>
      </c>
      <c r="G141" s="27"/>
      <c r="I141" s="27"/>
      <c r="J141" s="27"/>
      <c r="K141" s="27"/>
      <c r="M141" s="15"/>
      <c r="P141"/>
    </row>
    <row r="142" spans="1:16" x14ac:dyDescent="0.35">
      <c r="A142" t="s">
        <v>20</v>
      </c>
      <c r="B142" s="1">
        <v>45502</v>
      </c>
      <c r="C142" t="s">
        <v>143</v>
      </c>
      <c r="D142" s="15">
        <v>2900.01</v>
      </c>
      <c r="E142" s="15">
        <f>+Tabla3[[#This Row],[VALOR FACTURA]]-Tabla3[[#This Row],[VALOR PAGO]]</f>
        <v>0</v>
      </c>
      <c r="F142" s="15">
        <v>2900.01</v>
      </c>
      <c r="G142" s="27"/>
      <c r="I142" s="27"/>
      <c r="J142" s="27"/>
      <c r="K142" s="27"/>
      <c r="M142" s="15"/>
      <c r="P142"/>
    </row>
    <row r="143" spans="1:16" x14ac:dyDescent="0.35">
      <c r="A143" t="s">
        <v>20</v>
      </c>
      <c r="B143" s="1">
        <v>45502</v>
      </c>
      <c r="C143" t="s">
        <v>148</v>
      </c>
      <c r="D143" s="15">
        <v>786.07</v>
      </c>
      <c r="E143" s="15">
        <f>+Tabla3[[#This Row],[VALOR FACTURA]]-Tabla3[[#This Row],[VALOR PAGO]]</f>
        <v>78.610000000000014</v>
      </c>
      <c r="F143" s="15">
        <v>707.46</v>
      </c>
      <c r="G143" s="27"/>
      <c r="I143" s="27"/>
      <c r="J143" s="27"/>
      <c r="K143" s="27"/>
      <c r="M143" s="15"/>
      <c r="P143"/>
    </row>
    <row r="144" spans="1:16" x14ac:dyDescent="0.35">
      <c r="A144" t="s">
        <v>20</v>
      </c>
      <c r="B144" s="1">
        <v>45502</v>
      </c>
      <c r="C144" t="s">
        <v>140</v>
      </c>
      <c r="D144" s="15">
        <v>8000</v>
      </c>
      <c r="E144" s="15">
        <f>+Tabla3[[#This Row],[VALOR FACTURA]]-Tabla3[[#This Row],[VALOR PAGO]]</f>
        <v>0</v>
      </c>
      <c r="F144" s="15">
        <v>8000</v>
      </c>
      <c r="G144" s="27"/>
      <c r="I144" s="27"/>
      <c r="J144" s="27"/>
      <c r="K144" s="27"/>
      <c r="M144" s="15"/>
      <c r="P144"/>
    </row>
    <row r="145" spans="1:16" x14ac:dyDescent="0.35">
      <c r="A145" t="s">
        <v>20</v>
      </c>
      <c r="B145" s="1">
        <v>45503</v>
      </c>
      <c r="C145" t="s">
        <v>217</v>
      </c>
      <c r="D145" s="15">
        <v>234324.99</v>
      </c>
      <c r="E145" s="15">
        <f>+Tabla3[[#This Row],[VALOR FACTURA]]-Tabla3[[#This Row],[VALOR PAGO]]</f>
        <v>0</v>
      </c>
      <c r="F145" s="15">
        <v>234324.99</v>
      </c>
      <c r="G145" s="27"/>
      <c r="I145" s="27"/>
      <c r="J145" s="27"/>
      <c r="K145" s="27"/>
      <c r="M145" s="15"/>
      <c r="P145"/>
    </row>
    <row r="146" spans="1:16" x14ac:dyDescent="0.35">
      <c r="A146" t="s">
        <v>19</v>
      </c>
      <c r="B146" s="1">
        <v>45506</v>
      </c>
      <c r="C146" t="s">
        <v>217</v>
      </c>
      <c r="D146" s="15">
        <v>17000</v>
      </c>
      <c r="E146" s="15">
        <f>+Tabla3[[#This Row],[VALOR FACTURA]]-Tabla3[[#This Row],[VALOR PAGO]]</f>
        <v>0</v>
      </c>
      <c r="F146" s="68">
        <v>17000</v>
      </c>
      <c r="G146" s="32"/>
      <c r="I146" s="32"/>
      <c r="J146" s="32"/>
      <c r="K146" s="32"/>
      <c r="M146" s="15"/>
      <c r="P146"/>
    </row>
    <row r="147" spans="1:16" x14ac:dyDescent="0.35">
      <c r="A147" t="s">
        <v>20</v>
      </c>
      <c r="B147" s="1">
        <v>45512</v>
      </c>
      <c r="C147" t="s">
        <v>281</v>
      </c>
      <c r="D147" s="15">
        <v>7159.12</v>
      </c>
      <c r="E147" s="15">
        <f>+Tabla3[[#This Row],[VALOR FACTURA]]-Tabla3[[#This Row],[VALOR PAGO]]</f>
        <v>0</v>
      </c>
      <c r="F147" s="15">
        <v>7159.12</v>
      </c>
      <c r="G147" s="32">
        <v>6541</v>
      </c>
      <c r="I147" s="32"/>
      <c r="J147" s="32"/>
      <c r="K147" s="32"/>
      <c r="M147" s="15"/>
      <c r="P147"/>
    </row>
    <row r="148" spans="1:16" x14ac:dyDescent="0.35">
      <c r="A148" t="s">
        <v>19</v>
      </c>
      <c r="B148" s="1">
        <v>45513</v>
      </c>
      <c r="C148" t="s">
        <v>217</v>
      </c>
      <c r="D148" s="15">
        <v>1700000</v>
      </c>
      <c r="E148" s="15">
        <f>+Tabla3[[#This Row],[VALOR FACTURA]]-Tabla3[[#This Row],[VALOR PAGO]]</f>
        <v>0</v>
      </c>
      <c r="F148" s="15">
        <v>1700000</v>
      </c>
      <c r="G148" s="32"/>
      <c r="I148" s="32"/>
      <c r="J148" s="32"/>
      <c r="K148" s="32"/>
      <c r="M148" s="15"/>
      <c r="P148"/>
    </row>
    <row r="149" spans="1:16" x14ac:dyDescent="0.35">
      <c r="A149" t="s">
        <v>19</v>
      </c>
      <c r="B149" s="1">
        <v>45513</v>
      </c>
      <c r="C149" t="s">
        <v>217</v>
      </c>
      <c r="D149" s="15">
        <v>21338.31</v>
      </c>
      <c r="E149" s="15">
        <f>+Tabla3[[#This Row],[VALOR FACTURA]]-Tabla3[[#This Row],[VALOR PAGO]]</f>
        <v>0</v>
      </c>
      <c r="F149" s="15">
        <v>21338.31</v>
      </c>
      <c r="G149" s="32"/>
      <c r="I149" s="32"/>
      <c r="J149" s="32"/>
      <c r="K149" s="32"/>
      <c r="M149" s="15"/>
      <c r="P149"/>
    </row>
    <row r="150" spans="1:16" x14ac:dyDescent="0.35">
      <c r="A150" t="s">
        <v>19</v>
      </c>
      <c r="B150" s="1">
        <v>45513</v>
      </c>
      <c r="C150" t="s">
        <v>217</v>
      </c>
      <c r="D150" s="15">
        <v>1000</v>
      </c>
      <c r="E150" s="15">
        <f>+Tabla3[[#This Row],[VALOR FACTURA]]-Tabla3[[#This Row],[VALOR PAGO]]</f>
        <v>0</v>
      </c>
      <c r="F150" s="15">
        <v>1000</v>
      </c>
      <c r="G150" s="32"/>
      <c r="I150" s="32"/>
      <c r="J150" s="32"/>
      <c r="K150" s="32"/>
      <c r="M150" s="15"/>
      <c r="P150"/>
    </row>
    <row r="151" spans="1:16" x14ac:dyDescent="0.35">
      <c r="A151" t="s">
        <v>20</v>
      </c>
      <c r="B151" s="1">
        <v>45518</v>
      </c>
      <c r="C151" t="s">
        <v>231</v>
      </c>
      <c r="D151" s="15">
        <v>2215.9899999999998</v>
      </c>
      <c r="E151" s="15">
        <f>+Tabla3[[#This Row],[VALOR FACTURA]]-Tabla3[[#This Row],[VALOR PAGO]]</f>
        <v>0</v>
      </c>
      <c r="F151" s="69">
        <v>2215.9899999999998</v>
      </c>
      <c r="G151" s="32">
        <v>2000</v>
      </c>
      <c r="I151" s="32"/>
      <c r="J151" s="32"/>
      <c r="K151" s="32"/>
      <c r="M151" s="15"/>
      <c r="P151"/>
    </row>
    <row r="152" spans="1:16" x14ac:dyDescent="0.35">
      <c r="A152" t="s">
        <v>20</v>
      </c>
      <c r="B152" s="1">
        <v>45518</v>
      </c>
      <c r="C152" t="s">
        <v>140</v>
      </c>
      <c r="D152" s="15">
        <v>8000</v>
      </c>
      <c r="E152" s="15">
        <f>+Tabla3[[#This Row],[VALOR FACTURA]]-Tabla3[[#This Row],[VALOR PAGO]]</f>
        <v>0</v>
      </c>
      <c r="F152" s="66">
        <v>8000</v>
      </c>
      <c r="G152" s="27"/>
      <c r="I152" s="27"/>
      <c r="J152" s="27"/>
      <c r="K152" s="27"/>
      <c r="M152" s="15"/>
      <c r="P152"/>
    </row>
    <row r="153" spans="1:16" x14ac:dyDescent="0.35">
      <c r="A153" t="s">
        <v>20</v>
      </c>
      <c r="B153" s="1">
        <v>45518</v>
      </c>
      <c r="C153" t="s">
        <v>60</v>
      </c>
      <c r="D153" s="15">
        <v>8988</v>
      </c>
      <c r="E153" s="15">
        <f>+Tabla3[[#This Row],[VALOR FACTURA]]-Tabla3[[#This Row],[VALOR PAGO]]</f>
        <v>1797.6000000000004</v>
      </c>
      <c r="F153" s="66">
        <v>7190.4</v>
      </c>
      <c r="G153" s="27"/>
      <c r="I153" s="27"/>
      <c r="J153" s="27"/>
      <c r="K153" s="27"/>
      <c r="M153" s="15"/>
      <c r="P153"/>
    </row>
    <row r="154" spans="1:16" x14ac:dyDescent="0.35">
      <c r="A154" t="s">
        <v>20</v>
      </c>
      <c r="B154" s="1">
        <v>45518</v>
      </c>
      <c r="C154" t="s">
        <v>145</v>
      </c>
      <c r="D154" s="15">
        <v>11417.32</v>
      </c>
      <c r="E154" s="15">
        <f>+Tabla3[[#This Row],[VALOR FACTURA]]-Tabla3[[#This Row],[VALOR PAGO]]</f>
        <v>0</v>
      </c>
      <c r="F154" s="66">
        <v>11417.32</v>
      </c>
      <c r="G154" s="27"/>
      <c r="I154" s="27"/>
      <c r="J154" s="27"/>
      <c r="K154" s="27"/>
      <c r="M154" s="15"/>
      <c r="P154"/>
    </row>
    <row r="155" spans="1:16" x14ac:dyDescent="0.35">
      <c r="A155" t="s">
        <v>20</v>
      </c>
      <c r="B155" s="1">
        <v>45525</v>
      </c>
      <c r="C155" t="s">
        <v>516</v>
      </c>
      <c r="D155" s="15">
        <v>600</v>
      </c>
      <c r="E155" s="15">
        <f>+Tabla3[[#This Row],[VALOR FACTURA]]-Tabla3[[#This Row],[VALOR PAGO]]</f>
        <v>120</v>
      </c>
      <c r="F155" s="66">
        <v>480</v>
      </c>
      <c r="G155" s="71"/>
      <c r="I155" s="71"/>
      <c r="J155" s="71"/>
      <c r="K155" s="71"/>
      <c r="M155" s="15"/>
      <c r="P155"/>
    </row>
    <row r="156" spans="1:16" x14ac:dyDescent="0.35">
      <c r="A156" t="s">
        <v>20</v>
      </c>
      <c r="B156" s="1">
        <v>45530</v>
      </c>
      <c r="C156" t="s">
        <v>217</v>
      </c>
      <c r="D156" s="15">
        <v>330759.2</v>
      </c>
      <c r="F156" s="15">
        <v>330759.2</v>
      </c>
      <c r="G156" s="71"/>
      <c r="I156" s="71"/>
      <c r="J156" s="71"/>
      <c r="K156" s="71"/>
      <c r="M156" s="15"/>
      <c r="P156"/>
    </row>
    <row r="157" spans="1:16" x14ac:dyDescent="0.35">
      <c r="A157" t="s">
        <v>20</v>
      </c>
      <c r="B157" s="1">
        <v>45532</v>
      </c>
      <c r="C157" t="s">
        <v>141</v>
      </c>
      <c r="D157" s="15">
        <v>7142.09</v>
      </c>
      <c r="E157" s="15">
        <f>+Tabla3[[#This Row],[VALOR FACTURA]]-Tabla3[[#This Row],[VALOR PAGO]]</f>
        <v>714.21</v>
      </c>
      <c r="F157" s="66">
        <v>6427.88</v>
      </c>
      <c r="G157" s="71"/>
      <c r="I157" s="71"/>
      <c r="J157" s="71"/>
      <c r="K157" s="71"/>
      <c r="M157" s="15"/>
      <c r="P157"/>
    </row>
    <row r="158" spans="1:16" x14ac:dyDescent="0.35">
      <c r="A158" t="s">
        <v>20</v>
      </c>
      <c r="B158" s="1">
        <v>45532</v>
      </c>
      <c r="C158" t="s">
        <v>145</v>
      </c>
      <c r="D158" s="66">
        <v>14580.4</v>
      </c>
      <c r="E158" s="15">
        <f>+Tabla3[[#This Row],[VALOR FACTURA]]-Tabla3[[#This Row],[VALOR PAGO]]</f>
        <v>0</v>
      </c>
      <c r="F158" s="66">
        <v>14580.4</v>
      </c>
      <c r="G158" s="71"/>
      <c r="I158" s="71"/>
      <c r="J158" s="71"/>
      <c r="K158" s="71"/>
      <c r="M158" s="15"/>
      <c r="P158"/>
    </row>
    <row r="159" spans="1:16" x14ac:dyDescent="0.35">
      <c r="A159" t="s">
        <v>20</v>
      </c>
      <c r="B159" s="1">
        <v>45532</v>
      </c>
      <c r="C159" t="s">
        <v>145</v>
      </c>
      <c r="D159" s="66">
        <v>136808.59</v>
      </c>
      <c r="E159" s="15">
        <f>+Tabla3[[#This Row],[VALOR FACTURA]]-Tabla3[[#This Row],[VALOR PAGO]]</f>
        <v>0</v>
      </c>
      <c r="F159" s="66">
        <v>136808.59</v>
      </c>
      <c r="G159" s="71"/>
      <c r="I159" s="71"/>
      <c r="J159" s="71"/>
      <c r="K159" s="71"/>
      <c r="M159" s="15"/>
      <c r="P159"/>
    </row>
    <row r="160" spans="1:16" x14ac:dyDescent="0.35">
      <c r="A160" t="s">
        <v>20</v>
      </c>
      <c r="B160" s="1">
        <v>45532</v>
      </c>
      <c r="C160" t="s">
        <v>147</v>
      </c>
      <c r="D160" s="66">
        <v>55463.62</v>
      </c>
      <c r="E160" s="15">
        <f>+Tabla3[[#This Row],[VALOR FACTURA]]-Tabla3[[#This Row],[VALOR PAGO]]</f>
        <v>0</v>
      </c>
      <c r="F160" s="66">
        <v>55463.62</v>
      </c>
      <c r="G160" s="71"/>
      <c r="I160" s="71"/>
      <c r="J160" s="71"/>
      <c r="K160" s="71"/>
      <c r="M160" s="15"/>
      <c r="P160"/>
    </row>
    <row r="161" spans="1:16" x14ac:dyDescent="0.35">
      <c r="A161" t="s">
        <v>20</v>
      </c>
      <c r="B161" s="1">
        <v>45532</v>
      </c>
      <c r="C161" t="s">
        <v>147</v>
      </c>
      <c r="D161" s="66">
        <v>969.22</v>
      </c>
      <c r="E161" s="15">
        <f>+Tabla3[[#This Row],[VALOR FACTURA]]-Tabla3[[#This Row],[VALOR PAGO]]</f>
        <v>0</v>
      </c>
      <c r="F161" s="66">
        <v>969.22</v>
      </c>
      <c r="G161" s="71"/>
      <c r="I161" s="71"/>
      <c r="J161" s="71"/>
      <c r="K161" s="71"/>
      <c r="M161" s="15"/>
      <c r="P161"/>
    </row>
    <row r="162" spans="1:16" x14ac:dyDescent="0.35">
      <c r="A162" t="s">
        <v>194</v>
      </c>
      <c r="B162" s="1">
        <v>45532</v>
      </c>
      <c r="C162" t="s">
        <v>217</v>
      </c>
      <c r="D162" s="66">
        <v>126551.12</v>
      </c>
      <c r="E162" s="15">
        <f>+Tabla3[[#This Row],[VALOR FACTURA]]-Tabla3[[#This Row],[VALOR PAGO]]</f>
        <v>0</v>
      </c>
      <c r="F162" s="66">
        <v>126551.12</v>
      </c>
      <c r="G162" s="71"/>
      <c r="I162" s="71"/>
      <c r="J162" s="71"/>
      <c r="K162" s="71"/>
      <c r="M162" s="15"/>
      <c r="P162"/>
    </row>
    <row r="163" spans="1:16" x14ac:dyDescent="0.35">
      <c r="A163" t="s">
        <v>19</v>
      </c>
      <c r="B163" s="1">
        <v>45532</v>
      </c>
      <c r="C163" t="s">
        <v>217</v>
      </c>
      <c r="D163" s="66">
        <v>131347.89000000001</v>
      </c>
      <c r="E163" s="15">
        <f>+Tabla3[[#This Row],[VALOR FACTURA]]-Tabla3[[#This Row],[VALOR PAGO]]</f>
        <v>0</v>
      </c>
      <c r="F163" s="66">
        <v>131347.89000000001</v>
      </c>
      <c r="G163" s="71"/>
      <c r="I163" s="71"/>
      <c r="J163" s="71"/>
      <c r="K163" s="71"/>
      <c r="M163" s="15"/>
      <c r="P163"/>
    </row>
    <row r="164" spans="1:16" x14ac:dyDescent="0.35">
      <c r="A164" t="s">
        <v>20</v>
      </c>
      <c r="B164" s="1">
        <v>45539</v>
      </c>
      <c r="C164" t="s">
        <v>145</v>
      </c>
      <c r="D164" s="15">
        <v>11938.33</v>
      </c>
      <c r="E164" s="15">
        <f>+Tabla3[[#This Row],[VALOR FACTURA]]-Tabla3[[#This Row],[VALOR PAGO]]</f>
        <v>0</v>
      </c>
      <c r="F164" s="15">
        <v>11938.33</v>
      </c>
      <c r="G164" s="71"/>
      <c r="I164" s="71"/>
      <c r="J164" s="71"/>
      <c r="K164" s="71"/>
      <c r="M164" s="15"/>
      <c r="P164"/>
    </row>
    <row r="165" spans="1:16" x14ac:dyDescent="0.35">
      <c r="A165" t="s">
        <v>20</v>
      </c>
      <c r="B165" s="1">
        <v>45539</v>
      </c>
      <c r="C165" t="s">
        <v>147</v>
      </c>
      <c r="D165" s="15">
        <v>1090.5999999999999</v>
      </c>
      <c r="E165" s="15">
        <f>+Tabla3[[#This Row],[VALOR FACTURA]]-Tabla3[[#This Row],[VALOR PAGO]]</f>
        <v>0</v>
      </c>
      <c r="F165" s="15">
        <v>1090.5999999999999</v>
      </c>
      <c r="G165" s="71"/>
      <c r="I165" s="71"/>
      <c r="J165" s="71"/>
      <c r="K165" s="71"/>
      <c r="M165" s="15"/>
      <c r="P165"/>
    </row>
    <row r="166" spans="1:16" x14ac:dyDescent="0.35">
      <c r="A166" t="s">
        <v>20</v>
      </c>
      <c r="B166" s="1">
        <v>45539</v>
      </c>
      <c r="C166" t="s">
        <v>143</v>
      </c>
      <c r="D166" s="15">
        <v>5080.8</v>
      </c>
      <c r="E166" s="15">
        <f>+Tabla3[[#This Row],[VALOR FACTURA]]-Tabla3[[#This Row],[VALOR PAGO]]</f>
        <v>0</v>
      </c>
      <c r="F166" s="15">
        <v>5080.8</v>
      </c>
      <c r="G166" s="71"/>
      <c r="I166" s="71"/>
      <c r="J166" s="71"/>
      <c r="K166" s="71"/>
      <c r="M166" s="15"/>
      <c r="P166"/>
    </row>
    <row r="167" spans="1:16" x14ac:dyDescent="0.35">
      <c r="A167" t="s">
        <v>20</v>
      </c>
      <c r="B167" s="1">
        <v>45545</v>
      </c>
      <c r="C167" t="s">
        <v>217</v>
      </c>
      <c r="D167" s="15">
        <v>30000</v>
      </c>
      <c r="E167" s="15">
        <f>+Tabla3[[#This Row],[VALOR FACTURA]]-Tabla3[[#This Row],[VALOR PAGO]]</f>
        <v>0</v>
      </c>
      <c r="F167" s="15">
        <v>30000</v>
      </c>
      <c r="G167" s="71"/>
      <c r="I167" s="71"/>
      <c r="J167" s="71"/>
      <c r="K167" s="71"/>
      <c r="M167" s="15"/>
      <c r="P167"/>
    </row>
    <row r="168" spans="1:16" x14ac:dyDescent="0.35">
      <c r="A168" t="s">
        <v>20</v>
      </c>
      <c r="B168" s="1">
        <v>45546</v>
      </c>
      <c r="C168" t="s">
        <v>217</v>
      </c>
      <c r="D168" s="15">
        <v>20000</v>
      </c>
      <c r="E168" s="15">
        <f>+Tabla3[[#This Row],[VALOR FACTURA]]-Tabla3[[#This Row],[VALOR PAGO]]</f>
        <v>0</v>
      </c>
      <c r="F168" s="29">
        <v>20000</v>
      </c>
      <c r="G168" s="71"/>
      <c r="I168" s="71"/>
      <c r="J168" s="71"/>
      <c r="K168" s="71"/>
      <c r="M168" s="15"/>
      <c r="P168"/>
    </row>
    <row r="169" spans="1:16" x14ac:dyDescent="0.35">
      <c r="A169" t="s">
        <v>20</v>
      </c>
      <c r="B169" s="1">
        <v>45546</v>
      </c>
      <c r="C169" t="s">
        <v>60</v>
      </c>
      <c r="D169" s="70">
        <v>8988</v>
      </c>
      <c r="E169" s="15">
        <f>+Tabla3[[#This Row],[VALOR FACTURA]]-Tabla3[[#This Row],[VALOR PAGO]]</f>
        <v>1797.6000000000004</v>
      </c>
      <c r="F169" s="70">
        <v>7190.4</v>
      </c>
      <c r="G169" s="71"/>
      <c r="I169" s="71"/>
      <c r="J169" s="71"/>
      <c r="K169" s="71"/>
      <c r="M169" s="15"/>
      <c r="P169"/>
    </row>
    <row r="170" spans="1:16" x14ac:dyDescent="0.35">
      <c r="A170" t="s">
        <v>20</v>
      </c>
      <c r="B170" s="1">
        <v>45546</v>
      </c>
      <c r="C170" t="s">
        <v>138</v>
      </c>
      <c r="D170" s="15">
        <v>545</v>
      </c>
      <c r="E170" s="15">
        <f>+Tabla3[[#This Row],[VALOR FACTURA]]-Tabla3[[#This Row],[VALOR PAGO]]</f>
        <v>0</v>
      </c>
      <c r="F170" s="70">
        <v>545</v>
      </c>
      <c r="G170" s="71"/>
      <c r="I170" s="71"/>
      <c r="J170" s="71"/>
      <c r="K170" s="71"/>
      <c r="M170" s="15"/>
      <c r="P170"/>
    </row>
    <row r="171" spans="1:16" x14ac:dyDescent="0.35">
      <c r="A171" t="s">
        <v>20</v>
      </c>
      <c r="B171" s="1">
        <v>45551</v>
      </c>
      <c r="C171" t="s">
        <v>72</v>
      </c>
      <c r="D171" s="15">
        <v>267.89</v>
      </c>
      <c r="E171" s="15">
        <f>+Tabla3[[#This Row],[VALOR FACTURA]]-Tabla3[[#This Row],[VALOR PAGO]]</f>
        <v>0</v>
      </c>
      <c r="F171" s="15">
        <v>267.89</v>
      </c>
      <c r="G171" s="71"/>
      <c r="I171" s="71"/>
      <c r="J171" s="71"/>
      <c r="K171" s="71"/>
      <c r="M171" s="15"/>
      <c r="P171"/>
    </row>
    <row r="172" spans="1:16" x14ac:dyDescent="0.35">
      <c r="A172" t="s">
        <v>20</v>
      </c>
      <c r="B172" s="1">
        <v>45553</v>
      </c>
      <c r="C172" t="s">
        <v>144</v>
      </c>
      <c r="D172" s="15">
        <v>4325</v>
      </c>
      <c r="E172" s="15">
        <f>+Tabla3[[#This Row],[VALOR FACTURA]]-Tabla3[[#This Row],[VALOR PAGO]]</f>
        <v>865</v>
      </c>
      <c r="F172" s="70">
        <v>3460</v>
      </c>
      <c r="G172" s="71"/>
      <c r="I172" s="71"/>
      <c r="J172" s="71"/>
      <c r="K172" s="71"/>
      <c r="M172" s="15"/>
      <c r="P172"/>
    </row>
    <row r="173" spans="1:16" x14ac:dyDescent="0.35">
      <c r="A173" t="s">
        <v>20</v>
      </c>
      <c r="B173" s="1">
        <v>45554</v>
      </c>
      <c r="C173" t="s">
        <v>515</v>
      </c>
      <c r="D173" s="15">
        <v>1621.12</v>
      </c>
      <c r="E173" s="15">
        <f>+Tabla3[[#This Row],[VALOR FACTURA]]-Tabla3[[#This Row],[VALOR PAGO]]</f>
        <v>0</v>
      </c>
      <c r="F173" s="70">
        <v>1621.12</v>
      </c>
      <c r="G173" s="71"/>
      <c r="I173" s="71"/>
      <c r="J173" s="71"/>
      <c r="K173" s="71"/>
      <c r="M173" s="15"/>
      <c r="P173"/>
    </row>
    <row r="174" spans="1:16" x14ac:dyDescent="0.35">
      <c r="A174" t="s">
        <v>20</v>
      </c>
      <c r="B174" s="1">
        <v>45558</v>
      </c>
      <c r="C174" t="s">
        <v>217</v>
      </c>
      <c r="D174" s="15">
        <v>71409.72</v>
      </c>
      <c r="E174" s="15">
        <f>+Tabla3[[#This Row],[VALOR FACTURA]]-Tabla3[[#This Row],[VALOR PAGO]]</f>
        <v>0</v>
      </c>
      <c r="F174" s="15">
        <v>71409.72</v>
      </c>
      <c r="G174" s="71"/>
      <c r="I174" s="71"/>
      <c r="J174" s="71"/>
      <c r="K174" s="71"/>
      <c r="M174" s="15"/>
      <c r="P174"/>
    </row>
    <row r="175" spans="1:16" x14ac:dyDescent="0.35">
      <c r="A175" t="s">
        <v>20</v>
      </c>
      <c r="B175" s="1">
        <v>45558</v>
      </c>
      <c r="C175" t="s">
        <v>217</v>
      </c>
      <c r="D175" s="15">
        <v>108542.78</v>
      </c>
      <c r="E175" s="15">
        <f>+Tabla3[[#This Row],[VALOR FACTURA]]-Tabla3[[#This Row],[VALOR PAGO]]</f>
        <v>0</v>
      </c>
      <c r="F175" s="15">
        <v>108542.78</v>
      </c>
      <c r="G175" s="71"/>
      <c r="I175" s="71"/>
      <c r="J175" s="71"/>
      <c r="K175" s="71"/>
      <c r="M175" s="15"/>
      <c r="P175"/>
    </row>
    <row r="176" spans="1:16" x14ac:dyDescent="0.35">
      <c r="A176" t="s">
        <v>20</v>
      </c>
      <c r="B176" s="1">
        <v>45560</v>
      </c>
      <c r="C176" t="s">
        <v>141</v>
      </c>
      <c r="D176" s="15">
        <v>6549.07</v>
      </c>
      <c r="E176" s="15">
        <f>+Tabla3[[#This Row],[VALOR FACTURA]]-Tabla3[[#This Row],[VALOR PAGO]]</f>
        <v>654.89999999999964</v>
      </c>
      <c r="F176" s="70">
        <v>5894.17</v>
      </c>
      <c r="G176" s="71"/>
      <c r="I176" s="71"/>
      <c r="J176" s="71"/>
      <c r="K176" s="71"/>
      <c r="M176" s="15"/>
      <c r="P176"/>
    </row>
    <row r="177" spans="1:16" x14ac:dyDescent="0.35">
      <c r="A177" t="s">
        <v>20</v>
      </c>
      <c r="B177" s="1">
        <v>45560</v>
      </c>
      <c r="C177" t="s">
        <v>60</v>
      </c>
      <c r="D177" s="15">
        <v>8988</v>
      </c>
      <c r="E177" s="15">
        <f>+Tabla3[[#This Row],[VALOR FACTURA]]-Tabla3[[#This Row],[VALOR PAGO]]</f>
        <v>1797.6000000000004</v>
      </c>
      <c r="F177" s="70">
        <v>7190.4</v>
      </c>
      <c r="G177" s="71"/>
      <c r="I177" s="71"/>
      <c r="J177" s="71"/>
      <c r="K177" s="71"/>
      <c r="M177" s="15"/>
      <c r="P177"/>
    </row>
    <row r="178" spans="1:16" x14ac:dyDescent="0.35">
      <c r="A178" t="s">
        <v>20</v>
      </c>
      <c r="B178" s="1">
        <v>45560</v>
      </c>
      <c r="C178" t="s">
        <v>231</v>
      </c>
      <c r="D178" s="15">
        <v>2249.59</v>
      </c>
      <c r="E178" s="15">
        <f>+Tabla3[[#This Row],[VALOR FACTURA]]-Tabla3[[#This Row],[VALOR PAGO]]</f>
        <v>0</v>
      </c>
      <c r="F178" s="15">
        <v>2249.59</v>
      </c>
      <c r="G178" s="71">
        <v>2000</v>
      </c>
      <c r="I178" s="71"/>
      <c r="J178" s="71"/>
      <c r="K178" s="71"/>
      <c r="M178" s="15"/>
      <c r="P178"/>
    </row>
    <row r="179" spans="1:16" x14ac:dyDescent="0.35">
      <c r="A179" t="s">
        <v>20</v>
      </c>
      <c r="B179" s="1">
        <v>45560</v>
      </c>
      <c r="C179" t="s">
        <v>535</v>
      </c>
      <c r="D179" s="15">
        <v>4499.18</v>
      </c>
      <c r="E179" s="15">
        <f>+Tabla3[[#This Row],[VALOR FACTURA]]-Tabla3[[#This Row],[VALOR PAGO]]</f>
        <v>0</v>
      </c>
      <c r="F179" s="15">
        <v>4499.18</v>
      </c>
      <c r="G179" s="71">
        <v>4000</v>
      </c>
      <c r="I179" s="71"/>
      <c r="J179" s="71"/>
      <c r="K179" s="71"/>
      <c r="M179" s="15"/>
      <c r="P179"/>
    </row>
    <row r="180" spans="1:16" x14ac:dyDescent="0.35">
      <c r="A180" t="s">
        <v>20</v>
      </c>
      <c r="B180" s="1">
        <v>45561</v>
      </c>
      <c r="C180" t="s">
        <v>535</v>
      </c>
      <c r="D180" s="15">
        <v>4481.59</v>
      </c>
      <c r="E180" s="15">
        <f>+Tabla3[[#This Row],[VALOR FACTURA]]-Tabla3[[#This Row],[VALOR PAGO]]</f>
        <v>0</v>
      </c>
      <c r="F180" s="15">
        <v>4481.59</v>
      </c>
      <c r="G180" s="71">
        <v>4000</v>
      </c>
      <c r="I180" s="71"/>
      <c r="J180" s="71"/>
      <c r="K180" s="71"/>
      <c r="M180" s="15"/>
      <c r="P180"/>
    </row>
    <row r="181" spans="1:16" x14ac:dyDescent="0.35">
      <c r="A181" t="s">
        <v>20</v>
      </c>
      <c r="B181" s="1">
        <v>45561</v>
      </c>
      <c r="C181" t="s">
        <v>150</v>
      </c>
      <c r="D181" s="15">
        <v>8643.4699999999993</v>
      </c>
      <c r="E181" s="15">
        <f>+Tabla3[[#This Row],[VALOR FACTURA]]-Tabla3[[#This Row],[VALOR PAGO]]</f>
        <v>0</v>
      </c>
      <c r="F181" s="15">
        <v>8643.4699999999993</v>
      </c>
      <c r="G181" s="71"/>
      <c r="I181" s="71"/>
      <c r="J181" s="71"/>
      <c r="K181" s="71"/>
      <c r="M181" s="15"/>
      <c r="P181"/>
    </row>
    <row r="182" spans="1:16" x14ac:dyDescent="0.35">
      <c r="A182" t="s">
        <v>20</v>
      </c>
      <c r="B182" s="1">
        <v>45561</v>
      </c>
      <c r="C182" t="s">
        <v>145</v>
      </c>
      <c r="D182" s="15">
        <v>144531.71</v>
      </c>
      <c r="E182" s="15">
        <f>+Tabla3[[#This Row],[VALOR FACTURA]]-Tabla3[[#This Row],[VALOR PAGO]]</f>
        <v>0</v>
      </c>
      <c r="F182" s="15">
        <v>144531.71</v>
      </c>
      <c r="G182" s="71"/>
      <c r="I182" s="71"/>
      <c r="J182" s="71"/>
      <c r="K182" s="71"/>
      <c r="M182" s="15"/>
      <c r="P182"/>
    </row>
    <row r="183" spans="1:16" x14ac:dyDescent="0.35">
      <c r="A183" t="s">
        <v>20</v>
      </c>
      <c r="B183" s="1">
        <v>45561</v>
      </c>
      <c r="C183" t="s">
        <v>145</v>
      </c>
      <c r="D183" s="15">
        <v>29295.54</v>
      </c>
      <c r="E183" s="15">
        <f>+Tabla3[[#This Row],[VALOR FACTURA]]-Tabla3[[#This Row],[VALOR PAGO]]</f>
        <v>0</v>
      </c>
      <c r="F183" s="15">
        <v>29295.54</v>
      </c>
      <c r="G183" s="71"/>
      <c r="I183" s="71"/>
      <c r="J183" s="71"/>
      <c r="K183" s="71"/>
      <c r="M183" s="15"/>
      <c r="P183"/>
    </row>
    <row r="184" spans="1:16" x14ac:dyDescent="0.35">
      <c r="A184" t="s">
        <v>20</v>
      </c>
      <c r="B184" s="1">
        <v>45561</v>
      </c>
      <c r="C184" t="s">
        <v>147</v>
      </c>
      <c r="D184" s="15">
        <v>55355.33</v>
      </c>
      <c r="E184" s="15">
        <f>+Tabla3[[#This Row],[VALOR FACTURA]]-Tabla3[[#This Row],[VALOR PAGO]]</f>
        <v>0</v>
      </c>
      <c r="F184" s="15">
        <v>55355.33</v>
      </c>
      <c r="G184" s="15"/>
      <c r="I184" s="15"/>
      <c r="J184" s="15"/>
      <c r="K184" s="15"/>
      <c r="M184" s="15"/>
      <c r="P184"/>
    </row>
    <row r="185" spans="1:16" x14ac:dyDescent="0.35">
      <c r="A185" t="s">
        <v>20</v>
      </c>
      <c r="B185" s="1">
        <v>45561</v>
      </c>
      <c r="C185" t="s">
        <v>147</v>
      </c>
      <c r="D185" s="15">
        <v>1498.69</v>
      </c>
      <c r="E185" s="15">
        <f>+Tabla3[[#This Row],[VALOR FACTURA]]-Tabla3[[#This Row],[VALOR PAGO]]</f>
        <v>0</v>
      </c>
      <c r="F185" s="15">
        <v>1498.69</v>
      </c>
      <c r="G185" s="15"/>
      <c r="I185" s="15"/>
      <c r="J185" s="15"/>
      <c r="K185" s="15"/>
      <c r="M185" s="15"/>
      <c r="P185"/>
    </row>
    <row r="186" spans="1:16" x14ac:dyDescent="0.35">
      <c r="A186" t="s">
        <v>20</v>
      </c>
      <c r="B186" s="1">
        <v>45562</v>
      </c>
      <c r="C186" t="s">
        <v>535</v>
      </c>
      <c r="D186" s="15">
        <v>4498.37</v>
      </c>
      <c r="E186" s="15">
        <f>+Tabla3[[#This Row],[VALOR FACTURA]]-Tabla3[[#This Row],[VALOR PAGO]]</f>
        <v>0</v>
      </c>
      <c r="F186" s="15">
        <v>4498.37</v>
      </c>
      <c r="G186" s="71">
        <v>4000</v>
      </c>
      <c r="I186" s="71"/>
      <c r="J186" s="71"/>
      <c r="K186" s="71"/>
      <c r="M186" s="15"/>
      <c r="P186"/>
    </row>
    <row r="187" spans="1:16" x14ac:dyDescent="0.35">
      <c r="A187" t="s">
        <v>20</v>
      </c>
      <c r="B187" s="1">
        <v>45567</v>
      </c>
      <c r="C187" t="s">
        <v>145</v>
      </c>
      <c r="D187" s="15">
        <v>9374.61</v>
      </c>
      <c r="E187" s="15">
        <f>+Tabla3[[#This Row],[VALOR FACTURA]]-Tabla3[[#This Row],[VALOR PAGO]]</f>
        <v>0</v>
      </c>
      <c r="F187" s="15">
        <v>9374.61</v>
      </c>
      <c r="G187" s="71"/>
      <c r="I187" s="71"/>
      <c r="J187" s="71"/>
      <c r="K187" s="71"/>
      <c r="M187" s="15"/>
      <c r="P187"/>
    </row>
    <row r="188" spans="1:16" x14ac:dyDescent="0.35">
      <c r="A188" t="s">
        <v>20</v>
      </c>
      <c r="B188" s="1">
        <v>45567</v>
      </c>
      <c r="C188" t="s">
        <v>151</v>
      </c>
      <c r="D188" s="15">
        <v>9744</v>
      </c>
      <c r="E188" s="15">
        <f>+Tabla3[[#This Row],[VALOR FACTURA]]-Tabla3[[#This Row],[VALOR PAGO]]</f>
        <v>0</v>
      </c>
      <c r="F188" s="15">
        <v>9744</v>
      </c>
      <c r="G188" s="71"/>
      <c r="I188" s="71"/>
      <c r="J188" s="71"/>
      <c r="K188" s="71"/>
      <c r="M188" s="15"/>
      <c r="P188"/>
    </row>
    <row r="189" spans="1:16" x14ac:dyDescent="0.35">
      <c r="A189" t="s">
        <v>20</v>
      </c>
      <c r="B189" s="1">
        <v>45567</v>
      </c>
      <c r="C189" t="s">
        <v>138</v>
      </c>
      <c r="D189" s="15">
        <v>500</v>
      </c>
      <c r="E189" s="15">
        <f>+Tabla3[[#This Row],[VALOR FACTURA]]-Tabla3[[#This Row],[VALOR PAGO]]</f>
        <v>0</v>
      </c>
      <c r="F189" s="70">
        <v>500</v>
      </c>
      <c r="G189" s="71"/>
      <c r="I189" s="71"/>
      <c r="J189" s="71"/>
      <c r="K189" s="71"/>
      <c r="M189" s="15"/>
      <c r="P189"/>
    </row>
    <row r="190" spans="1:16" x14ac:dyDescent="0.35">
      <c r="A190" t="s">
        <v>20</v>
      </c>
      <c r="B190" s="1">
        <v>45567</v>
      </c>
      <c r="C190" t="s">
        <v>543</v>
      </c>
      <c r="D190" s="15">
        <v>7200</v>
      </c>
      <c r="E190" s="15">
        <f>+Tabla3[[#This Row],[VALOR FACTURA]]-Tabla3[[#This Row],[VALOR PAGO]]</f>
        <v>720</v>
      </c>
      <c r="F190" s="70">
        <v>6480</v>
      </c>
      <c r="G190" s="71"/>
      <c r="I190" s="71"/>
      <c r="J190" s="71"/>
      <c r="K190" s="71"/>
      <c r="M190" s="15"/>
      <c r="P190"/>
    </row>
    <row r="191" spans="1:16" x14ac:dyDescent="0.35">
      <c r="A191" t="s">
        <v>20</v>
      </c>
      <c r="B191" s="1">
        <v>45567</v>
      </c>
      <c r="C191" t="s">
        <v>60</v>
      </c>
      <c r="D191" s="15">
        <v>8988</v>
      </c>
      <c r="E191" s="15">
        <f>+Tabla3[[#This Row],[VALOR FACTURA]]-Tabla3[[#This Row],[VALOR PAGO]]</f>
        <v>1797.6000000000004</v>
      </c>
      <c r="F191" s="70">
        <v>7190.4</v>
      </c>
      <c r="G191" s="71"/>
      <c r="I191" s="71"/>
      <c r="J191" s="71"/>
      <c r="K191" s="71"/>
      <c r="M191" s="15"/>
      <c r="P191"/>
    </row>
    <row r="192" spans="1:16" x14ac:dyDescent="0.35">
      <c r="A192" t="s">
        <v>20</v>
      </c>
      <c r="B192" s="1">
        <v>45567</v>
      </c>
      <c r="C192" t="s">
        <v>143</v>
      </c>
      <c r="D192" s="15">
        <v>5372.64</v>
      </c>
      <c r="E192" s="15">
        <f>+Tabla3[[#This Row],[VALOR FACTURA]]-Tabla3[[#This Row],[VALOR PAGO]]</f>
        <v>0</v>
      </c>
      <c r="F192" s="70">
        <v>5372.64</v>
      </c>
      <c r="G192" s="71"/>
      <c r="I192" s="71"/>
      <c r="J192" s="71"/>
      <c r="K192" s="71"/>
      <c r="M192" s="15"/>
      <c r="P192"/>
    </row>
    <row r="193" spans="1:16" x14ac:dyDescent="0.35">
      <c r="A193" t="s">
        <v>20</v>
      </c>
      <c r="B193" s="1">
        <v>45568</v>
      </c>
      <c r="C193" t="s">
        <v>189</v>
      </c>
      <c r="D193" s="15">
        <v>250000</v>
      </c>
      <c r="E193" s="15">
        <f>+Tabla3[[#This Row],[VALOR FACTURA]]-Tabla3[[#This Row],[VALOR PAGO]]</f>
        <v>25000</v>
      </c>
      <c r="F193" s="70">
        <v>225000</v>
      </c>
      <c r="G193" s="71"/>
      <c r="I193" s="71"/>
      <c r="J193" s="71"/>
      <c r="K193" s="71"/>
      <c r="M193" s="15"/>
      <c r="P193"/>
    </row>
    <row r="194" spans="1:16" x14ac:dyDescent="0.35">
      <c r="A194" t="s">
        <v>20</v>
      </c>
      <c r="B194" s="1">
        <v>45568</v>
      </c>
      <c r="C194" t="s">
        <v>188</v>
      </c>
      <c r="D194" s="15">
        <v>412500</v>
      </c>
      <c r="E194" s="15">
        <f>+Tabla3[[#This Row],[VALOR FACTURA]]-Tabla3[[#This Row],[VALOR PAGO]]</f>
        <v>41250</v>
      </c>
      <c r="F194" s="70">
        <v>371250</v>
      </c>
      <c r="G194" s="71"/>
      <c r="I194" s="71"/>
      <c r="J194" s="71"/>
      <c r="K194" s="71"/>
      <c r="M194" s="15"/>
      <c r="P194"/>
    </row>
    <row r="195" spans="1:16" x14ac:dyDescent="0.35">
      <c r="A195" t="s">
        <v>20</v>
      </c>
      <c r="B195" s="1">
        <v>45574</v>
      </c>
      <c r="C195" t="s">
        <v>567</v>
      </c>
      <c r="D195" s="15">
        <v>2000</v>
      </c>
      <c r="E195" s="15">
        <f>+Tabla3[[#This Row],[VALOR FACTURA]]-Tabla3[[#This Row],[VALOR PAGO]]</f>
        <v>400</v>
      </c>
      <c r="F195" s="75">
        <v>1600</v>
      </c>
      <c r="G195" s="71"/>
      <c r="I195" s="71"/>
      <c r="J195" s="71"/>
      <c r="K195" s="71"/>
      <c r="M195" s="15"/>
      <c r="P195"/>
    </row>
    <row r="196" spans="1:16" x14ac:dyDescent="0.35">
      <c r="A196" t="s">
        <v>20</v>
      </c>
      <c r="B196" s="1">
        <v>45574</v>
      </c>
      <c r="C196" t="s">
        <v>441</v>
      </c>
      <c r="D196" s="15">
        <v>9099.1299999999992</v>
      </c>
      <c r="E196" s="15">
        <f>+Tabla3[[#This Row],[VALOR FACTURA]]-Tabla3[[#This Row],[VALOR PAGO]]</f>
        <v>0</v>
      </c>
      <c r="F196" s="78">
        <v>9099.1299999999992</v>
      </c>
      <c r="G196" s="71"/>
      <c r="I196" s="71"/>
      <c r="J196" s="71"/>
      <c r="K196" s="71"/>
      <c r="M196" s="15"/>
      <c r="P196"/>
    </row>
    <row r="197" spans="1:16" x14ac:dyDescent="0.35">
      <c r="A197" t="s">
        <v>20</v>
      </c>
      <c r="B197" s="1">
        <v>45576</v>
      </c>
      <c r="C197" t="s">
        <v>173</v>
      </c>
      <c r="D197" s="15">
        <v>382854.79</v>
      </c>
      <c r="E197" s="15">
        <f>+Tabla3[[#This Row],[VALOR FACTURA]]-Tabla3[[#This Row],[VALOR PAGO]]</f>
        <v>76570.959999999963</v>
      </c>
      <c r="F197" s="75">
        <v>306283.83</v>
      </c>
      <c r="G197" s="71"/>
      <c r="I197" s="71"/>
      <c r="J197" s="71"/>
      <c r="K197" s="71"/>
      <c r="M197" s="15"/>
      <c r="P197"/>
    </row>
    <row r="198" spans="1:16" x14ac:dyDescent="0.35">
      <c r="A198" t="s">
        <v>20</v>
      </c>
      <c r="B198" s="1">
        <v>45576</v>
      </c>
      <c r="C198" t="s">
        <v>173</v>
      </c>
      <c r="D198" s="15">
        <v>108217.06</v>
      </c>
      <c r="E198" s="15">
        <f>+Tabla3[[#This Row],[VALOR FACTURA]]-Tabla3[[#This Row],[VALOR PAGO]]</f>
        <v>21643.410000000003</v>
      </c>
      <c r="F198" s="75">
        <v>86573.65</v>
      </c>
      <c r="G198" s="71"/>
      <c r="I198" s="71"/>
      <c r="J198" s="71"/>
      <c r="K198" s="71"/>
      <c r="M198" s="15"/>
      <c r="P198"/>
    </row>
    <row r="199" spans="1:16" x14ac:dyDescent="0.35">
      <c r="A199" t="s">
        <v>20</v>
      </c>
      <c r="B199" s="1">
        <v>45576</v>
      </c>
      <c r="C199" t="s">
        <v>217</v>
      </c>
      <c r="D199" s="15">
        <v>21470</v>
      </c>
      <c r="E199" s="15">
        <f>+Tabla3[[#This Row],[VALOR FACTURA]]-Tabla3[[#This Row],[VALOR PAGO]]</f>
        <v>0</v>
      </c>
      <c r="F199" s="15">
        <v>21470</v>
      </c>
      <c r="G199" s="71"/>
      <c r="I199" s="71"/>
      <c r="J199" s="71"/>
      <c r="K199" s="71"/>
      <c r="M199" s="15"/>
      <c r="P199"/>
    </row>
    <row r="200" spans="1:16" x14ac:dyDescent="0.35">
      <c r="A200" t="s">
        <v>20</v>
      </c>
      <c r="B200" s="1">
        <v>45576</v>
      </c>
      <c r="C200" t="s">
        <v>217</v>
      </c>
      <c r="D200" s="15">
        <v>1000</v>
      </c>
      <c r="E200" s="15">
        <f>+Tabla3[[#This Row],[VALOR FACTURA]]-Tabla3[[#This Row],[VALOR PAGO]]</f>
        <v>0</v>
      </c>
      <c r="F200" s="15">
        <v>1000</v>
      </c>
      <c r="G200" s="71"/>
      <c r="I200" s="71"/>
      <c r="J200" s="71"/>
      <c r="K200" s="71"/>
      <c r="M200" s="15"/>
      <c r="P200"/>
    </row>
    <row r="201" spans="1:16" x14ac:dyDescent="0.35">
      <c r="A201" t="s">
        <v>20</v>
      </c>
      <c r="B201" s="1">
        <v>45581</v>
      </c>
      <c r="C201" t="s">
        <v>138</v>
      </c>
      <c r="D201" s="15">
        <v>545</v>
      </c>
      <c r="E201" s="15">
        <f>+Tabla3[[#This Row],[VALOR FACTURA]]-Tabla3[[#This Row],[VALOR PAGO]]</f>
        <v>0</v>
      </c>
      <c r="F201" s="75">
        <v>545</v>
      </c>
      <c r="G201" s="71"/>
      <c r="I201" s="71"/>
      <c r="J201" s="71"/>
      <c r="K201" s="71"/>
      <c r="M201" s="15"/>
      <c r="P201"/>
    </row>
    <row r="202" spans="1:16" x14ac:dyDescent="0.35">
      <c r="A202" t="s">
        <v>20</v>
      </c>
      <c r="B202" s="1">
        <v>45581</v>
      </c>
      <c r="C202" t="s">
        <v>141</v>
      </c>
      <c r="D202" s="15">
        <v>119.9</v>
      </c>
      <c r="E202" s="15">
        <f>+Tabla3[[#This Row],[VALOR FACTURA]]-Tabla3[[#This Row],[VALOR PAGO]]</f>
        <v>11.990000000000009</v>
      </c>
      <c r="F202" s="75">
        <v>107.91</v>
      </c>
      <c r="G202" s="71"/>
      <c r="I202" s="71"/>
      <c r="J202" s="71"/>
      <c r="K202" s="71"/>
      <c r="M202" s="15"/>
      <c r="P202"/>
    </row>
    <row r="203" spans="1:16" x14ac:dyDescent="0.35">
      <c r="A203" t="s">
        <v>20</v>
      </c>
      <c r="B203" s="1">
        <v>45581</v>
      </c>
      <c r="C203" t="s">
        <v>575</v>
      </c>
      <c r="D203" s="15">
        <v>9100</v>
      </c>
      <c r="E203" s="15">
        <f>+Tabla3[[#This Row],[VALOR FACTURA]]-Tabla3[[#This Row],[VALOR PAGO]]</f>
        <v>1820</v>
      </c>
      <c r="F203" s="75">
        <v>7280</v>
      </c>
      <c r="G203" s="71"/>
      <c r="I203" s="71"/>
      <c r="J203" s="71"/>
      <c r="K203" s="71"/>
      <c r="M203" s="15"/>
      <c r="P203"/>
    </row>
    <row r="204" spans="1:16" x14ac:dyDescent="0.35">
      <c r="A204" t="s">
        <v>194</v>
      </c>
      <c r="B204" s="1">
        <v>45582</v>
      </c>
      <c r="C204" t="s">
        <v>217</v>
      </c>
      <c r="D204" s="15">
        <v>1200000</v>
      </c>
      <c r="E204" s="15">
        <f>+Tabla3[[#This Row],[VALOR FACTURA]]-Tabla3[[#This Row],[VALOR PAGO]]</f>
        <v>0</v>
      </c>
      <c r="F204" s="15">
        <v>1200000</v>
      </c>
      <c r="G204" s="71"/>
      <c r="I204" s="71"/>
      <c r="J204" s="71"/>
      <c r="K204" s="71"/>
      <c r="M204" s="15"/>
      <c r="P204"/>
    </row>
    <row r="205" spans="1:16" x14ac:dyDescent="0.35">
      <c r="A205" t="s">
        <v>194</v>
      </c>
      <c r="B205" s="1">
        <v>45582</v>
      </c>
      <c r="C205" t="s">
        <v>217</v>
      </c>
      <c r="D205" s="15">
        <v>16416.669999999998</v>
      </c>
      <c r="E205" s="15">
        <f>+Tabla3[[#This Row],[VALOR FACTURA]]-Tabla3[[#This Row],[VALOR PAGO]]</f>
        <v>0</v>
      </c>
      <c r="F205" s="15">
        <v>16416.669999999998</v>
      </c>
      <c r="G205" s="71"/>
      <c r="I205" s="71"/>
      <c r="J205" s="71"/>
      <c r="K205" s="71"/>
      <c r="M205" s="15"/>
      <c r="P205"/>
    </row>
    <row r="206" spans="1:16" x14ac:dyDescent="0.35">
      <c r="A206" t="s">
        <v>194</v>
      </c>
      <c r="B206" s="1">
        <v>45582</v>
      </c>
      <c r="C206" t="s">
        <v>217</v>
      </c>
      <c r="D206" s="15">
        <v>1000</v>
      </c>
      <c r="E206" s="15">
        <f>+Tabla3[[#This Row],[VALOR FACTURA]]-Tabla3[[#This Row],[VALOR PAGO]]</f>
        <v>0</v>
      </c>
      <c r="F206" s="15">
        <v>1000</v>
      </c>
      <c r="G206" s="71"/>
      <c r="I206" s="71"/>
      <c r="J206" s="71"/>
      <c r="K206" s="71"/>
      <c r="M206" s="15"/>
      <c r="P206"/>
    </row>
    <row r="207" spans="1:16" x14ac:dyDescent="0.35">
      <c r="A207" t="s">
        <v>20</v>
      </c>
      <c r="B207" s="1">
        <v>45583</v>
      </c>
      <c r="C207" t="s">
        <v>147</v>
      </c>
      <c r="D207" s="15">
        <v>900.94</v>
      </c>
      <c r="E207" s="15">
        <f>+Tabla3[[#This Row],[VALOR FACTURA]]-Tabla3[[#This Row],[VALOR PAGO]]</f>
        <v>0</v>
      </c>
      <c r="F207" s="15">
        <v>900.94</v>
      </c>
      <c r="G207" s="71"/>
      <c r="I207" s="71"/>
      <c r="J207" s="71"/>
      <c r="K207" s="71"/>
      <c r="M207" s="15"/>
      <c r="P207"/>
    </row>
    <row r="208" spans="1:16" x14ac:dyDescent="0.35">
      <c r="A208" t="s">
        <v>20</v>
      </c>
      <c r="B208" s="1">
        <v>45595</v>
      </c>
      <c r="C208" t="s">
        <v>217</v>
      </c>
      <c r="D208" s="15">
        <v>156144.44</v>
      </c>
      <c r="E208" s="15">
        <f>+Tabla3[[#This Row],[VALOR FACTURA]]-Tabla3[[#This Row],[VALOR PAGO]]</f>
        <v>0</v>
      </c>
      <c r="F208" s="15">
        <v>156144.44</v>
      </c>
      <c r="G208" s="71"/>
      <c r="H208" t="s">
        <v>653</v>
      </c>
      <c r="I208" s="71"/>
      <c r="J208" s="71"/>
      <c r="K208" s="71"/>
      <c r="M208" s="15"/>
      <c r="P208"/>
    </row>
    <row r="209" spans="1:16" x14ac:dyDescent="0.35">
      <c r="A209" t="s">
        <v>20</v>
      </c>
      <c r="B209" s="1">
        <v>45596</v>
      </c>
      <c r="C209" t="s">
        <v>411</v>
      </c>
      <c r="D209" s="15">
        <v>5218.7</v>
      </c>
      <c r="E209" s="15">
        <f>+Tabla3[[#This Row],[VALOR FACTURA]]-Tabla3[[#This Row],[VALOR PAGO]]</f>
        <v>0</v>
      </c>
      <c r="F209" s="15">
        <v>5218.7</v>
      </c>
      <c r="G209" s="71"/>
      <c r="H209" t="s">
        <v>620</v>
      </c>
      <c r="I209" s="71"/>
      <c r="J209" s="71"/>
      <c r="K209" s="71"/>
      <c r="M209" s="15"/>
      <c r="P209"/>
    </row>
    <row r="210" spans="1:16" x14ac:dyDescent="0.35">
      <c r="A210" t="s">
        <v>20</v>
      </c>
      <c r="B210" s="1">
        <v>45597</v>
      </c>
      <c r="C210" t="s">
        <v>575</v>
      </c>
      <c r="D210" s="15">
        <v>9100</v>
      </c>
      <c r="E210" s="15">
        <f>+Tabla3[[#This Row],[VALOR FACTURA]]-Tabla3[[#This Row],[VALOR PAGO]]</f>
        <v>1820</v>
      </c>
      <c r="F210" s="75">
        <v>7280</v>
      </c>
      <c r="G210" s="71"/>
      <c r="I210" s="71"/>
      <c r="J210" s="71"/>
      <c r="K210" s="71"/>
      <c r="M210" s="15"/>
      <c r="P210"/>
    </row>
    <row r="211" spans="1:16" x14ac:dyDescent="0.35">
      <c r="A211" t="s">
        <v>20</v>
      </c>
      <c r="B211" s="1">
        <v>45597</v>
      </c>
      <c r="C211" t="s">
        <v>231</v>
      </c>
      <c r="D211" s="15">
        <v>2186.39</v>
      </c>
      <c r="E211" s="15">
        <f>+Tabla3[[#This Row],[VALOR FACTURA]]-Tabla3[[#This Row],[VALOR PAGO]]</f>
        <v>0</v>
      </c>
      <c r="F211" s="15">
        <v>2186.39</v>
      </c>
      <c r="G211" s="71">
        <v>2000</v>
      </c>
      <c r="I211" s="71"/>
      <c r="J211" s="71"/>
      <c r="K211" s="71"/>
      <c r="M211" s="15"/>
      <c r="P211"/>
    </row>
    <row r="212" spans="1:16" x14ac:dyDescent="0.35">
      <c r="A212" t="s">
        <v>20</v>
      </c>
      <c r="B212" s="1">
        <v>45597</v>
      </c>
      <c r="C212" t="s">
        <v>145</v>
      </c>
      <c r="D212" s="15">
        <v>133442.5</v>
      </c>
      <c r="E212" s="15">
        <f>+Tabla3[[#This Row],[VALOR FACTURA]]-Tabla3[[#This Row],[VALOR PAGO]]</f>
        <v>0</v>
      </c>
      <c r="F212" s="15">
        <v>133442.5</v>
      </c>
      <c r="G212" s="71"/>
      <c r="I212" s="71"/>
      <c r="J212" s="71"/>
      <c r="K212" s="71"/>
      <c r="M212" s="15"/>
      <c r="P212"/>
    </row>
    <row r="213" spans="1:16" x14ac:dyDescent="0.35">
      <c r="A213" t="s">
        <v>20</v>
      </c>
      <c r="B213" s="1">
        <v>45597</v>
      </c>
      <c r="C213" t="s">
        <v>145</v>
      </c>
      <c r="D213" s="15">
        <v>44670.74</v>
      </c>
      <c r="E213" s="15">
        <f>+Tabla3[[#This Row],[VALOR FACTURA]]-Tabla3[[#This Row],[VALOR PAGO]]</f>
        <v>0</v>
      </c>
      <c r="F213" s="15">
        <v>44670.74</v>
      </c>
      <c r="G213" s="71"/>
      <c r="I213" s="71"/>
      <c r="J213" s="71"/>
      <c r="K213" s="71"/>
      <c r="M213" s="15"/>
      <c r="P213"/>
    </row>
    <row r="214" spans="1:16" x14ac:dyDescent="0.35">
      <c r="A214" t="s">
        <v>20</v>
      </c>
      <c r="B214" s="1">
        <v>45597</v>
      </c>
      <c r="C214" t="s">
        <v>147</v>
      </c>
      <c r="D214" s="15">
        <v>59533.15</v>
      </c>
      <c r="E214" s="15">
        <f>+Tabla3[[#This Row],[VALOR FACTURA]]-Tabla3[[#This Row],[VALOR PAGO]]</f>
        <v>0</v>
      </c>
      <c r="F214" s="15">
        <v>59533.15</v>
      </c>
      <c r="G214" s="71"/>
      <c r="I214" s="71"/>
      <c r="J214" s="71"/>
      <c r="K214" s="71"/>
      <c r="M214" s="15"/>
      <c r="P214"/>
    </row>
    <row r="215" spans="1:16" x14ac:dyDescent="0.35">
      <c r="A215" t="s">
        <v>20</v>
      </c>
      <c r="B215" s="1">
        <v>45597</v>
      </c>
      <c r="C215" t="s">
        <v>147</v>
      </c>
      <c r="D215" s="15">
        <v>2155.94</v>
      </c>
      <c r="E215" s="15">
        <f>+Tabla3[[#This Row],[VALOR FACTURA]]-Tabla3[[#This Row],[VALOR PAGO]]</f>
        <v>0</v>
      </c>
      <c r="F215" s="15">
        <v>2155.94</v>
      </c>
      <c r="G215" s="71"/>
      <c r="I215" s="71"/>
      <c r="J215" s="71"/>
      <c r="K215" s="71"/>
      <c r="M215" s="15"/>
      <c r="P215"/>
    </row>
    <row r="216" spans="1:16" x14ac:dyDescent="0.35">
      <c r="A216" t="s">
        <v>20</v>
      </c>
      <c r="B216" s="1">
        <v>45597</v>
      </c>
      <c r="C216" t="s">
        <v>141</v>
      </c>
      <c r="D216" s="15">
        <v>7142.01</v>
      </c>
      <c r="E216" s="15">
        <f>+Tabla3[[#This Row],[VALOR FACTURA]]-Tabla3[[#This Row],[VALOR PAGO]]</f>
        <v>0</v>
      </c>
      <c r="F216" s="15">
        <v>7142.01</v>
      </c>
      <c r="G216" s="71"/>
      <c r="I216" s="71"/>
      <c r="J216" s="71"/>
      <c r="K216" s="71"/>
      <c r="M216" s="15"/>
      <c r="P216"/>
    </row>
    <row r="217" spans="1:16" x14ac:dyDescent="0.35">
      <c r="A217" t="s">
        <v>20</v>
      </c>
      <c r="B217" s="1">
        <v>45597</v>
      </c>
      <c r="C217" t="s">
        <v>143</v>
      </c>
      <c r="D217" s="15">
        <v>4718.78</v>
      </c>
      <c r="E217" s="15">
        <f>+Tabla3[[#This Row],[VALOR FACTURA]]-Tabla3[[#This Row],[VALOR PAGO]]</f>
        <v>0</v>
      </c>
      <c r="F217" s="15">
        <v>4718.78</v>
      </c>
      <c r="G217" s="71"/>
      <c r="I217" s="71"/>
      <c r="J217" s="71"/>
      <c r="K217" s="71"/>
      <c r="M217" s="15"/>
      <c r="P217"/>
    </row>
    <row r="218" spans="1:16" x14ac:dyDescent="0.35">
      <c r="A218" t="s">
        <v>20</v>
      </c>
      <c r="B218" s="1">
        <v>45602</v>
      </c>
      <c r="C218" t="s">
        <v>231</v>
      </c>
      <c r="D218" s="15">
        <v>2147.0100000000002</v>
      </c>
      <c r="E218" s="15">
        <f>+Tabla3[[#This Row],[VALOR FACTURA]]-Tabla3[[#This Row],[VALOR PAGO]]</f>
        <v>0</v>
      </c>
      <c r="F218" s="15">
        <v>2147.0100000000002</v>
      </c>
      <c r="G218" s="89">
        <v>2000</v>
      </c>
      <c r="I218" s="89"/>
      <c r="J218" s="89"/>
      <c r="K218" s="89"/>
      <c r="M218" s="15"/>
      <c r="P218"/>
    </row>
    <row r="219" spans="1:16" x14ac:dyDescent="0.35">
      <c r="A219" t="s">
        <v>20</v>
      </c>
      <c r="B219" s="1">
        <v>45602</v>
      </c>
      <c r="C219" t="s">
        <v>60</v>
      </c>
      <c r="D219" s="15">
        <v>9580</v>
      </c>
      <c r="E219" s="15">
        <f>+Tabla3[[#This Row],[VALOR FACTURA]]-Tabla3[[#This Row],[VALOR PAGO]]</f>
        <v>1916</v>
      </c>
      <c r="F219" s="77">
        <v>7664</v>
      </c>
      <c r="G219" s="71"/>
      <c r="I219" s="71"/>
      <c r="J219" s="71"/>
      <c r="K219" s="71"/>
      <c r="M219" s="15"/>
      <c r="P219"/>
    </row>
    <row r="220" spans="1:16" x14ac:dyDescent="0.35">
      <c r="A220" t="s">
        <v>20</v>
      </c>
      <c r="B220" s="1">
        <v>45603</v>
      </c>
      <c r="C220" t="s">
        <v>145</v>
      </c>
      <c r="D220" s="15">
        <v>46274.12</v>
      </c>
      <c r="E220" s="15">
        <f>+Tabla3[[#This Row],[VALOR FACTURA]]-Tabla3[[#This Row],[VALOR PAGO]]</f>
        <v>0</v>
      </c>
      <c r="F220" s="15">
        <v>46274.12</v>
      </c>
      <c r="G220" s="71"/>
      <c r="I220" s="71"/>
      <c r="J220" s="71"/>
      <c r="K220" s="71"/>
      <c r="M220" s="15"/>
      <c r="P220"/>
    </row>
    <row r="221" spans="1:16" x14ac:dyDescent="0.35">
      <c r="A221" t="s">
        <v>20</v>
      </c>
      <c r="B221" s="1">
        <v>45609</v>
      </c>
      <c r="C221" t="s">
        <v>145</v>
      </c>
      <c r="D221" s="15">
        <v>5947.9</v>
      </c>
      <c r="E221" s="15">
        <f>+Tabla3[[#This Row],[VALOR FACTURA]]-Tabla3[[#This Row],[VALOR PAGO]]</f>
        <v>0</v>
      </c>
      <c r="F221" s="15">
        <v>5947.9</v>
      </c>
      <c r="G221" s="71"/>
      <c r="I221" s="71"/>
      <c r="J221" s="71"/>
      <c r="K221" s="71"/>
      <c r="M221" s="15"/>
      <c r="P221"/>
    </row>
    <row r="222" spans="1:16" x14ac:dyDescent="0.35">
      <c r="A222" t="s">
        <v>20</v>
      </c>
      <c r="B222" s="1">
        <v>45616</v>
      </c>
      <c r="C222" t="s">
        <v>660</v>
      </c>
      <c r="D222" s="15">
        <v>1755</v>
      </c>
      <c r="E222" s="15">
        <f>+Tabla3[[#This Row],[VALOR FACTURA]]-Tabla3[[#This Row],[VALOR PAGO]]</f>
        <v>0</v>
      </c>
      <c r="F222" s="15">
        <v>1755</v>
      </c>
      <c r="G222" s="71"/>
      <c r="I222" s="71"/>
      <c r="J222" s="71"/>
      <c r="K222" s="71"/>
      <c r="M222" s="15"/>
      <c r="P222"/>
    </row>
    <row r="223" spans="1:16" x14ac:dyDescent="0.35">
      <c r="A223" t="s">
        <v>20</v>
      </c>
      <c r="B223" s="1">
        <v>45617</v>
      </c>
      <c r="C223" t="s">
        <v>145</v>
      </c>
      <c r="D223" s="15">
        <v>5331.19</v>
      </c>
      <c r="E223" s="15">
        <f>+Tabla3[[#This Row],[VALOR FACTURA]]-Tabla3[[#This Row],[VALOR PAGO]]</f>
        <v>0</v>
      </c>
      <c r="F223" s="15">
        <v>5331.19</v>
      </c>
      <c r="G223" s="71"/>
      <c r="I223" s="71"/>
      <c r="J223" s="71"/>
      <c r="K223" s="71"/>
      <c r="M223" s="15"/>
      <c r="P223"/>
    </row>
    <row r="224" spans="1:16" x14ac:dyDescent="0.35">
      <c r="A224" t="s">
        <v>20</v>
      </c>
      <c r="B224" s="1">
        <v>45621</v>
      </c>
      <c r="C224" t="s">
        <v>217</v>
      </c>
      <c r="D224" s="15">
        <v>199027.11</v>
      </c>
      <c r="E224" s="15">
        <f>+Tabla3[[#This Row],[VALOR FACTURA]]-Tabla3[[#This Row],[VALOR PAGO]]</f>
        <v>0</v>
      </c>
      <c r="F224" s="15">
        <v>199027.11</v>
      </c>
      <c r="G224" s="71"/>
      <c r="I224" s="71"/>
      <c r="J224" s="71"/>
      <c r="K224" s="71"/>
      <c r="M224" s="15"/>
      <c r="P224"/>
    </row>
    <row r="225" spans="1:16" x14ac:dyDescent="0.35">
      <c r="A225" t="s">
        <v>20</v>
      </c>
      <c r="B225" s="1">
        <v>45623</v>
      </c>
      <c r="C225" t="s">
        <v>683</v>
      </c>
      <c r="D225" s="15">
        <v>7976</v>
      </c>
      <c r="E225" s="15">
        <f>+Tabla3[[#This Row],[VALOR FACTURA]]-Tabla3[[#This Row],[VALOR PAGO]]</f>
        <v>0</v>
      </c>
      <c r="F225" s="15">
        <v>7976</v>
      </c>
      <c r="G225" s="71"/>
      <c r="I225" s="71"/>
      <c r="J225" s="71"/>
      <c r="K225" s="71"/>
      <c r="M225" s="15"/>
      <c r="P225"/>
    </row>
    <row r="226" spans="1:16" x14ac:dyDescent="0.35">
      <c r="A226" t="s">
        <v>20</v>
      </c>
      <c r="B226" s="1">
        <v>45623</v>
      </c>
      <c r="C226" t="s">
        <v>147</v>
      </c>
      <c r="D226" s="15">
        <v>64230.15</v>
      </c>
      <c r="E226" s="15">
        <f>+Tabla3[[#This Row],[VALOR FACTURA]]-Tabla3[[#This Row],[VALOR PAGO]]</f>
        <v>0</v>
      </c>
      <c r="F226" s="15">
        <v>64230.15</v>
      </c>
      <c r="G226" s="71"/>
      <c r="I226" s="71"/>
      <c r="J226" s="71"/>
      <c r="K226" s="71"/>
      <c r="M226" s="15"/>
      <c r="P226"/>
    </row>
    <row r="227" spans="1:16" x14ac:dyDescent="0.35">
      <c r="A227" t="s">
        <v>20</v>
      </c>
      <c r="B227" s="1">
        <v>45623</v>
      </c>
      <c r="C227" t="s">
        <v>147</v>
      </c>
      <c r="D227" s="15">
        <v>2378.52</v>
      </c>
      <c r="E227" s="15">
        <f>+Tabla3[[#This Row],[VALOR FACTURA]]-Tabla3[[#This Row],[VALOR PAGO]]</f>
        <v>0</v>
      </c>
      <c r="F227" s="15">
        <v>2378.52</v>
      </c>
      <c r="G227" s="71"/>
      <c r="I227" s="71"/>
      <c r="J227" s="71"/>
      <c r="K227" s="71"/>
      <c r="M227" s="15"/>
      <c r="P227"/>
    </row>
    <row r="228" spans="1:16" x14ac:dyDescent="0.35">
      <c r="A228" t="s">
        <v>20</v>
      </c>
      <c r="B228" s="1">
        <v>45623</v>
      </c>
      <c r="C228" t="s">
        <v>145</v>
      </c>
      <c r="D228" s="15">
        <v>136145.15</v>
      </c>
      <c r="E228" s="15">
        <f>+Tabla3[[#This Row],[VALOR FACTURA]]-Tabla3[[#This Row],[VALOR PAGO]]</f>
        <v>0</v>
      </c>
      <c r="F228" s="15">
        <v>136145.15</v>
      </c>
      <c r="G228" s="71"/>
      <c r="I228" s="71"/>
      <c r="J228" s="71"/>
      <c r="K228" s="71"/>
      <c r="M228" s="15"/>
      <c r="P228"/>
    </row>
    <row r="229" spans="1:16" x14ac:dyDescent="0.35">
      <c r="A229" t="s">
        <v>20</v>
      </c>
      <c r="B229" s="1">
        <v>45623</v>
      </c>
      <c r="C229" t="s">
        <v>145</v>
      </c>
      <c r="D229" s="15">
        <v>1956.35</v>
      </c>
      <c r="E229" s="15">
        <f>+Tabla3[[#This Row],[VALOR FACTURA]]-Tabla3[[#This Row],[VALOR PAGO]]</f>
        <v>0</v>
      </c>
      <c r="F229" s="15">
        <v>1956.35</v>
      </c>
      <c r="G229" s="71"/>
      <c r="I229" s="71"/>
      <c r="J229" s="71"/>
      <c r="K229" s="71"/>
      <c r="M229" s="15"/>
      <c r="P229"/>
    </row>
    <row r="230" spans="1:16" x14ac:dyDescent="0.35">
      <c r="A230" t="s">
        <v>20</v>
      </c>
      <c r="B230" s="1">
        <v>45623</v>
      </c>
      <c r="C230" t="s">
        <v>138</v>
      </c>
      <c r="D230" s="15">
        <v>545</v>
      </c>
      <c r="E230" s="15">
        <f>+Tabla3[[#This Row],[VALOR FACTURA]]-Tabla3[[#This Row],[VALOR PAGO]]</f>
        <v>0</v>
      </c>
      <c r="F230" s="15">
        <v>545</v>
      </c>
      <c r="G230" s="71"/>
      <c r="I230" s="71"/>
      <c r="J230" s="71"/>
      <c r="K230" s="71"/>
      <c r="M230" s="15"/>
      <c r="P230"/>
    </row>
    <row r="231" spans="1:16" x14ac:dyDescent="0.35">
      <c r="A231" t="s">
        <v>20</v>
      </c>
      <c r="B231" s="1">
        <v>45623</v>
      </c>
      <c r="C231" t="s">
        <v>141</v>
      </c>
      <c r="D231" s="15">
        <v>5835.86</v>
      </c>
      <c r="E231" s="15">
        <f>+Tabla3[[#This Row],[VALOR FACTURA]]-Tabla3[[#This Row],[VALOR PAGO]]</f>
        <v>583.58999999999924</v>
      </c>
      <c r="F231" s="79">
        <v>5252.27</v>
      </c>
      <c r="G231" s="71"/>
      <c r="I231" s="71"/>
      <c r="J231" s="71"/>
      <c r="K231" s="71"/>
      <c r="M231" s="15"/>
      <c r="P231"/>
    </row>
    <row r="232" spans="1:16" x14ac:dyDescent="0.35">
      <c r="A232" t="s">
        <v>20</v>
      </c>
      <c r="B232" s="1">
        <v>45623</v>
      </c>
      <c r="C232" t="s">
        <v>143</v>
      </c>
      <c r="D232" s="15">
        <v>3404.24</v>
      </c>
      <c r="E232" s="15">
        <f>+Tabla3[[#This Row],[VALOR FACTURA]]-Tabla3[[#This Row],[VALOR PAGO]]</f>
        <v>0</v>
      </c>
      <c r="F232" s="15">
        <v>3404.24</v>
      </c>
      <c r="G232" s="71"/>
      <c r="I232" s="71"/>
      <c r="J232" s="71"/>
      <c r="K232" s="71"/>
      <c r="M232" s="15"/>
      <c r="P232"/>
    </row>
    <row r="233" spans="1:16" x14ac:dyDescent="0.35">
      <c r="A233" t="s">
        <v>20</v>
      </c>
      <c r="B233" s="1">
        <v>45623</v>
      </c>
      <c r="C233" t="s">
        <v>144</v>
      </c>
      <c r="D233" s="15">
        <v>5280</v>
      </c>
      <c r="E233" s="15">
        <f>+Tabla3[[#This Row],[VALOR FACTURA]]-Tabla3[[#This Row],[VALOR PAGO]]</f>
        <v>0</v>
      </c>
      <c r="F233" s="15">
        <v>5280</v>
      </c>
      <c r="G233" s="71"/>
      <c r="I233" s="71"/>
      <c r="J233" s="71"/>
      <c r="K233" s="71"/>
      <c r="M233" s="15"/>
      <c r="P233"/>
    </row>
    <row r="234" spans="1:16" x14ac:dyDescent="0.35">
      <c r="A234" t="s">
        <v>20</v>
      </c>
      <c r="B234" s="1">
        <v>45624</v>
      </c>
      <c r="C234" t="s">
        <v>139</v>
      </c>
      <c r="D234" s="15">
        <v>1842.55</v>
      </c>
      <c r="E234" s="15">
        <f>+Tabla3[[#This Row],[VALOR FACTURA]]-Tabla3[[#This Row],[VALOR PAGO]]</f>
        <v>0</v>
      </c>
      <c r="F234" s="15">
        <v>1842.55</v>
      </c>
      <c r="G234" s="71"/>
      <c r="H234" t="s">
        <v>687</v>
      </c>
      <c r="I234" s="71"/>
      <c r="J234" s="71"/>
      <c r="K234" s="71"/>
      <c r="M234" s="15"/>
      <c r="P234"/>
    </row>
    <row r="235" spans="1:16" x14ac:dyDescent="0.35">
      <c r="A235" t="s">
        <v>20</v>
      </c>
      <c r="B235" s="1">
        <v>45625</v>
      </c>
      <c r="C235" t="s">
        <v>217</v>
      </c>
      <c r="D235" s="15">
        <v>55879.05</v>
      </c>
      <c r="E235" s="15">
        <f>+Tabla3[[#This Row],[VALOR FACTURA]]-Tabla3[[#This Row],[VALOR PAGO]]</f>
        <v>0</v>
      </c>
      <c r="F235" s="15">
        <v>55879.05</v>
      </c>
      <c r="G235" s="71"/>
      <c r="I235" s="71"/>
      <c r="J235" s="71"/>
      <c r="K235" s="71"/>
      <c r="M235" s="15"/>
      <c r="P235"/>
    </row>
    <row r="236" spans="1:16" x14ac:dyDescent="0.35">
      <c r="A236" t="s">
        <v>19</v>
      </c>
      <c r="B236" s="1">
        <v>45625</v>
      </c>
      <c r="C236" t="s">
        <v>217</v>
      </c>
      <c r="D236" s="15">
        <v>126720.25</v>
      </c>
      <c r="E236" s="15">
        <f>+Tabla3[[#This Row],[VALOR FACTURA]]-Tabla3[[#This Row],[VALOR PAGO]]</f>
        <v>0</v>
      </c>
      <c r="F236" s="79">
        <v>126720.25</v>
      </c>
      <c r="G236" s="71"/>
      <c r="I236" s="71"/>
      <c r="J236" s="71"/>
      <c r="K236" s="71"/>
      <c r="M236" s="15"/>
      <c r="P236"/>
    </row>
    <row r="237" spans="1:16" x14ac:dyDescent="0.35">
      <c r="A237" t="s">
        <v>194</v>
      </c>
      <c r="B237" s="1">
        <v>45625</v>
      </c>
      <c r="C237" t="s">
        <v>217</v>
      </c>
      <c r="D237" s="15">
        <v>97252.33</v>
      </c>
      <c r="E237" s="15">
        <f>+Tabla3[[#This Row],[VALOR FACTURA]]-Tabla3[[#This Row],[VALOR PAGO]]</f>
        <v>0</v>
      </c>
      <c r="F237" s="79">
        <v>97252.33</v>
      </c>
      <c r="G237" s="71"/>
      <c r="I237" s="71"/>
      <c r="J237" s="71"/>
      <c r="K237" s="71"/>
      <c r="M237" s="15"/>
      <c r="P237"/>
    </row>
    <row r="238" spans="1:16" x14ac:dyDescent="0.35">
      <c r="A238" t="s">
        <v>20</v>
      </c>
      <c r="B238" s="1">
        <v>45630</v>
      </c>
      <c r="C238" t="s">
        <v>281</v>
      </c>
      <c r="D238" s="15">
        <v>32067.02</v>
      </c>
      <c r="E238" s="15">
        <f>+Tabla3[[#This Row],[VALOR FACTURA]]-Tabla3[[#This Row],[VALOR PAGO]]</f>
        <v>0</v>
      </c>
      <c r="F238" s="15">
        <v>32067.02</v>
      </c>
      <c r="G238" s="89">
        <v>30430</v>
      </c>
      <c r="H238" t="s">
        <v>695</v>
      </c>
      <c r="I238" s="89"/>
      <c r="J238" s="71" t="s">
        <v>1022</v>
      </c>
      <c r="K238" s="89" t="s">
        <v>1025</v>
      </c>
      <c r="M238" s="15"/>
      <c r="P238"/>
    </row>
    <row r="239" spans="1:16" x14ac:dyDescent="0.35">
      <c r="A239" t="s">
        <v>20</v>
      </c>
      <c r="B239" s="1">
        <v>45630</v>
      </c>
      <c r="C239" t="s">
        <v>575</v>
      </c>
      <c r="D239" s="15">
        <v>2880</v>
      </c>
      <c r="E239" s="15">
        <f>+Tabla3[[#This Row],[VALOR FACTURA]]-Tabla3[[#This Row],[VALOR PAGO]]</f>
        <v>0</v>
      </c>
      <c r="F239" s="79">
        <v>2880</v>
      </c>
      <c r="G239" s="71"/>
      <c r="I239" s="71"/>
      <c r="J239" s="71"/>
      <c r="K239" s="71"/>
      <c r="M239" s="15"/>
      <c r="P239"/>
    </row>
    <row r="240" spans="1:16" x14ac:dyDescent="0.35">
      <c r="A240" t="s">
        <v>20</v>
      </c>
      <c r="B240" s="1">
        <v>45630</v>
      </c>
      <c r="C240" t="s">
        <v>231</v>
      </c>
      <c r="D240" s="15">
        <v>2107.59</v>
      </c>
      <c r="E240" s="15">
        <f>+Tabla3[[#This Row],[VALOR FACTURA]]-Tabla3[[#This Row],[VALOR PAGO]]</f>
        <v>0</v>
      </c>
      <c r="F240" s="15">
        <v>2107.59</v>
      </c>
      <c r="G240" s="89">
        <v>2000</v>
      </c>
      <c r="I240" s="89"/>
      <c r="J240" s="89"/>
      <c r="K240" s="89"/>
      <c r="M240" s="15"/>
      <c r="P240"/>
    </row>
    <row r="241" spans="1:16" x14ac:dyDescent="0.35">
      <c r="A241" t="s">
        <v>20</v>
      </c>
      <c r="B241" s="1">
        <v>45630</v>
      </c>
      <c r="C241" t="s">
        <v>543</v>
      </c>
      <c r="D241" s="15">
        <v>2520</v>
      </c>
      <c r="E241" s="15">
        <f>+Tabla3[[#This Row],[VALOR FACTURA]]-Tabla3[[#This Row],[VALOR PAGO]]</f>
        <v>0</v>
      </c>
      <c r="F241" s="15">
        <v>2520</v>
      </c>
      <c r="G241" s="71"/>
      <c r="I241" s="71"/>
      <c r="J241" s="71"/>
      <c r="K241" s="71"/>
      <c r="M241" s="15"/>
      <c r="P241"/>
    </row>
    <row r="242" spans="1:16" x14ac:dyDescent="0.35">
      <c r="A242" t="s">
        <v>195</v>
      </c>
      <c r="B242" s="1">
        <v>45637</v>
      </c>
      <c r="C242" t="s">
        <v>218</v>
      </c>
      <c r="D242" s="15">
        <v>9600</v>
      </c>
      <c r="E242" s="15">
        <f>+Tabla3[[#This Row],[VALOR FACTURA]]-Tabla3[[#This Row],[VALOR PAGO]]</f>
        <v>0</v>
      </c>
      <c r="F242" s="15">
        <v>9600</v>
      </c>
      <c r="G242" s="71"/>
      <c r="I242" s="71"/>
      <c r="J242" s="71"/>
      <c r="K242" s="71"/>
      <c r="M242" s="15"/>
      <c r="P242"/>
    </row>
    <row r="243" spans="1:16" x14ac:dyDescent="0.35">
      <c r="A243" t="s">
        <v>20</v>
      </c>
      <c r="B243" s="1">
        <v>45637</v>
      </c>
      <c r="C243" t="s">
        <v>575</v>
      </c>
      <c r="D243" s="15">
        <v>840</v>
      </c>
      <c r="E243" s="15">
        <f>+Tabla3[[#This Row],[VALOR FACTURA]]-Tabla3[[#This Row],[VALOR PAGO]]</f>
        <v>168</v>
      </c>
      <c r="F243" s="82">
        <v>672</v>
      </c>
      <c r="G243" s="71"/>
      <c r="I243" s="71"/>
      <c r="J243" s="71"/>
      <c r="K243" s="71"/>
      <c r="M243" s="15"/>
      <c r="P243"/>
    </row>
    <row r="244" spans="1:16" x14ac:dyDescent="0.35">
      <c r="A244" t="s">
        <v>20</v>
      </c>
      <c r="B244" s="1">
        <v>45638</v>
      </c>
      <c r="C244" t="s">
        <v>189</v>
      </c>
      <c r="D244" s="15">
        <v>250000</v>
      </c>
      <c r="E244" s="15">
        <f>+Tabla3[[#This Row],[VALOR FACTURA]]-Tabla3[[#This Row],[VALOR PAGO]]</f>
        <v>25000</v>
      </c>
      <c r="F244" s="15">
        <v>225000</v>
      </c>
      <c r="G244" s="71"/>
      <c r="I244" s="71"/>
      <c r="J244" s="71"/>
      <c r="K244" s="71"/>
      <c r="M244" s="15"/>
      <c r="P244"/>
    </row>
    <row r="245" spans="1:16" x14ac:dyDescent="0.35">
      <c r="A245" t="s">
        <v>20</v>
      </c>
      <c r="B245" s="1">
        <v>45638</v>
      </c>
      <c r="C245" t="s">
        <v>188</v>
      </c>
      <c r="D245" s="15">
        <v>412500</v>
      </c>
      <c r="E245" s="15">
        <f>+Tabla3[[#This Row],[VALOR FACTURA]]-Tabla3[[#This Row],[VALOR PAGO]]</f>
        <v>41250</v>
      </c>
      <c r="F245" s="15">
        <v>371250</v>
      </c>
      <c r="G245" s="71"/>
      <c r="I245" s="71"/>
      <c r="J245" s="71"/>
      <c r="K245" s="71"/>
      <c r="M245" s="15"/>
      <c r="P245"/>
    </row>
    <row r="246" spans="1:16" x14ac:dyDescent="0.35">
      <c r="A246" t="s">
        <v>20</v>
      </c>
      <c r="B246" s="1">
        <v>45642</v>
      </c>
      <c r="C246" t="s">
        <v>217</v>
      </c>
      <c r="D246" s="15">
        <v>2818</v>
      </c>
      <c r="E246" s="15">
        <f>+Tabla3[[#This Row],[VALOR FACTURA]]-Tabla3[[#This Row],[VALOR PAGO]]</f>
        <v>0</v>
      </c>
      <c r="F246" s="15">
        <v>2818</v>
      </c>
      <c r="G246" s="71"/>
      <c r="H246" t="s">
        <v>740</v>
      </c>
      <c r="I246" s="71"/>
      <c r="J246" s="71"/>
      <c r="K246" s="71"/>
      <c r="M246" s="15"/>
      <c r="P246"/>
    </row>
    <row r="247" spans="1:16" x14ac:dyDescent="0.35">
      <c r="A247" t="s">
        <v>20</v>
      </c>
      <c r="B247" s="1">
        <v>45643</v>
      </c>
      <c r="C247" t="s">
        <v>217</v>
      </c>
      <c r="D247" s="15">
        <v>4000000</v>
      </c>
      <c r="E247" s="15">
        <f>+Tabla3[[#This Row],[VALOR FACTURA]]-Tabla3[[#This Row],[VALOR PAGO]]</f>
        <v>0</v>
      </c>
      <c r="F247" s="15">
        <v>4000000</v>
      </c>
      <c r="G247" s="71"/>
      <c r="H247" t="s">
        <v>741</v>
      </c>
      <c r="I247" s="71"/>
      <c r="J247" s="71"/>
      <c r="K247" s="71"/>
      <c r="M247" s="15"/>
      <c r="P247"/>
    </row>
    <row r="248" spans="1:16" x14ac:dyDescent="0.35">
      <c r="A248" t="s">
        <v>20</v>
      </c>
      <c r="B248" s="1">
        <v>45643</v>
      </c>
      <c r="C248" t="s">
        <v>217</v>
      </c>
      <c r="D248" s="15">
        <v>33801.17</v>
      </c>
      <c r="E248" s="15">
        <f>+Tabla3[[#This Row],[VALOR FACTURA]]-Tabla3[[#This Row],[VALOR PAGO]]</f>
        <v>0</v>
      </c>
      <c r="F248" s="15">
        <v>33801.17</v>
      </c>
      <c r="G248" s="71"/>
      <c r="H248" t="s">
        <v>653</v>
      </c>
      <c r="I248" s="71"/>
      <c r="J248" s="71"/>
      <c r="K248" s="71"/>
      <c r="M248" s="15"/>
      <c r="P248"/>
    </row>
    <row r="249" spans="1:16" x14ac:dyDescent="0.35">
      <c r="A249" t="s">
        <v>20</v>
      </c>
      <c r="B249" s="1">
        <v>45645</v>
      </c>
      <c r="C249" t="s">
        <v>145</v>
      </c>
      <c r="D249" s="82">
        <v>5783.41</v>
      </c>
      <c r="E249" s="15">
        <f>+Tabla3[[#This Row],[VALOR FACTURA]]-Tabla3[[#This Row],[VALOR PAGO]]</f>
        <v>0</v>
      </c>
      <c r="F249" s="82">
        <v>5783.41</v>
      </c>
      <c r="G249" s="71"/>
      <c r="I249" s="71"/>
      <c r="J249" s="71"/>
      <c r="K249" s="71"/>
      <c r="M249" s="15"/>
      <c r="P249"/>
    </row>
    <row r="250" spans="1:16" x14ac:dyDescent="0.35">
      <c r="A250" t="s">
        <v>20</v>
      </c>
      <c r="B250" s="1">
        <v>45645</v>
      </c>
      <c r="C250" t="s">
        <v>145</v>
      </c>
      <c r="D250" s="82">
        <v>213073.61</v>
      </c>
      <c r="E250" s="15">
        <f>+Tabla3[[#This Row],[VALOR FACTURA]]-Tabla3[[#This Row],[VALOR PAGO]]</f>
        <v>0</v>
      </c>
      <c r="F250" s="82">
        <v>213073.61</v>
      </c>
      <c r="G250" s="71"/>
      <c r="I250" s="71"/>
      <c r="J250" s="71"/>
      <c r="K250" s="71"/>
      <c r="M250" s="15"/>
      <c r="P250"/>
    </row>
    <row r="251" spans="1:16" x14ac:dyDescent="0.35">
      <c r="A251" t="s">
        <v>20</v>
      </c>
      <c r="B251" s="1">
        <v>45645</v>
      </c>
      <c r="C251" t="s">
        <v>143</v>
      </c>
      <c r="D251" s="82">
        <v>5602.89</v>
      </c>
      <c r="E251" s="15">
        <f>+Tabla3[[#This Row],[VALOR FACTURA]]-Tabla3[[#This Row],[VALOR PAGO]]</f>
        <v>0</v>
      </c>
      <c r="F251" s="82">
        <v>5602.89</v>
      </c>
      <c r="G251" s="71"/>
      <c r="I251" s="71"/>
      <c r="J251" s="71"/>
      <c r="K251" s="71"/>
      <c r="M251" s="15"/>
      <c r="P251"/>
    </row>
    <row r="252" spans="1:16" x14ac:dyDescent="0.35">
      <c r="A252" t="s">
        <v>20</v>
      </c>
      <c r="B252" s="1">
        <v>45645</v>
      </c>
      <c r="C252" t="s">
        <v>147</v>
      </c>
      <c r="D252" s="82">
        <v>5787.06</v>
      </c>
      <c r="E252" s="15">
        <f>+Tabla3[[#This Row],[VALOR FACTURA]]-Tabla3[[#This Row],[VALOR PAGO]]</f>
        <v>0</v>
      </c>
      <c r="F252" s="82">
        <v>5787.06</v>
      </c>
      <c r="G252" s="71"/>
      <c r="I252" s="71"/>
      <c r="J252" s="71"/>
      <c r="K252" s="71"/>
      <c r="M252" s="15"/>
      <c r="P252"/>
    </row>
    <row r="253" spans="1:16" x14ac:dyDescent="0.35">
      <c r="A253" t="s">
        <v>20</v>
      </c>
      <c r="B253" s="1">
        <v>45645</v>
      </c>
      <c r="C253" t="s">
        <v>147</v>
      </c>
      <c r="D253" s="82">
        <v>109723.68</v>
      </c>
      <c r="E253" s="15">
        <f>+Tabla3[[#This Row],[VALOR FACTURA]]-Tabla3[[#This Row],[VALOR PAGO]]</f>
        <v>0</v>
      </c>
      <c r="F253" s="82">
        <v>109723.68</v>
      </c>
      <c r="G253" s="71"/>
      <c r="I253" s="71"/>
      <c r="J253" s="71"/>
      <c r="K253" s="71"/>
      <c r="M253" s="15"/>
      <c r="P253"/>
    </row>
    <row r="254" spans="1:16" x14ac:dyDescent="0.35">
      <c r="A254" t="s">
        <v>20</v>
      </c>
      <c r="B254" s="1">
        <v>45645</v>
      </c>
      <c r="C254" t="s">
        <v>138</v>
      </c>
      <c r="D254" s="82">
        <v>1090</v>
      </c>
      <c r="E254" s="15">
        <f>+Tabla3[[#This Row],[VALOR FACTURA]]-Tabla3[[#This Row],[VALOR PAGO]]</f>
        <v>0</v>
      </c>
      <c r="F254" s="82">
        <v>1090</v>
      </c>
      <c r="G254" s="71"/>
      <c r="I254" s="71"/>
      <c r="J254" s="71"/>
      <c r="K254" s="71"/>
      <c r="M254" s="15"/>
      <c r="P254"/>
    </row>
    <row r="255" spans="1:16" x14ac:dyDescent="0.35">
      <c r="A255" t="s">
        <v>20</v>
      </c>
      <c r="B255" s="1">
        <v>45645</v>
      </c>
      <c r="C255" t="s">
        <v>60</v>
      </c>
      <c r="D255" s="82">
        <v>9580</v>
      </c>
      <c r="E255" s="15">
        <f>+Tabla3[[#This Row],[VALOR FACTURA]]-Tabla3[[#This Row],[VALOR PAGO]]</f>
        <v>1916</v>
      </c>
      <c r="F255" s="82">
        <v>7664</v>
      </c>
      <c r="G255" s="71"/>
      <c r="I255" s="71"/>
      <c r="J255" s="71"/>
      <c r="K255" s="71"/>
      <c r="M255" s="15"/>
      <c r="P255"/>
    </row>
    <row r="256" spans="1:16" x14ac:dyDescent="0.35">
      <c r="A256" t="s">
        <v>20</v>
      </c>
      <c r="B256" s="1">
        <v>45645</v>
      </c>
      <c r="C256" t="s">
        <v>567</v>
      </c>
      <c r="D256" s="15">
        <v>10170</v>
      </c>
      <c r="E256" s="15">
        <f>+Tabla3[[#This Row],[VALOR FACTURA]]-Tabla3[[#This Row],[VALOR PAGO]]</f>
        <v>2034</v>
      </c>
      <c r="F256" s="82">
        <v>8136</v>
      </c>
      <c r="G256" s="71"/>
      <c r="I256" s="71"/>
      <c r="J256" s="71"/>
      <c r="K256" s="71"/>
      <c r="M256" s="15"/>
      <c r="P256"/>
    </row>
    <row r="257" spans="1:16" x14ac:dyDescent="0.35">
      <c r="A257" t="s">
        <v>20</v>
      </c>
      <c r="B257" s="1">
        <v>45645</v>
      </c>
      <c r="C257" t="s">
        <v>141</v>
      </c>
      <c r="D257" s="15">
        <v>8539.59</v>
      </c>
      <c r="E257" s="15">
        <f>+Tabla3[[#This Row],[VALOR FACTURA]]-Tabla3[[#This Row],[VALOR PAGO]]</f>
        <v>853.97000000000025</v>
      </c>
      <c r="F257" s="82">
        <v>7685.62</v>
      </c>
      <c r="G257" s="71"/>
      <c r="I257" s="71"/>
      <c r="J257" s="71"/>
      <c r="K257" s="71"/>
      <c r="M257" s="15"/>
      <c r="P257"/>
    </row>
    <row r="258" spans="1:16" x14ac:dyDescent="0.35">
      <c r="A258" t="s">
        <v>20</v>
      </c>
      <c r="B258" s="1">
        <v>45645</v>
      </c>
      <c r="C258" t="s">
        <v>660</v>
      </c>
      <c r="D258" s="82">
        <v>1710</v>
      </c>
      <c r="E258" s="15">
        <f>+Tabla3[[#This Row],[VALOR FACTURA]]-Tabla3[[#This Row],[VALOR PAGO]]</f>
        <v>0</v>
      </c>
      <c r="F258" s="82">
        <v>1710</v>
      </c>
      <c r="G258" s="71"/>
      <c r="I258" s="71"/>
      <c r="J258" s="71"/>
      <c r="K258" s="71"/>
      <c r="M258" s="15"/>
      <c r="P258"/>
    </row>
    <row r="259" spans="1:16" x14ac:dyDescent="0.35">
      <c r="A259" t="s">
        <v>20</v>
      </c>
      <c r="B259" s="1">
        <v>45645</v>
      </c>
      <c r="C259" t="s">
        <v>231</v>
      </c>
      <c r="D259" s="82">
        <v>2089.41</v>
      </c>
      <c r="E259" s="15">
        <f>+Tabla3[[#This Row],[VALOR FACTURA]]-Tabla3[[#This Row],[VALOR PAGO]]</f>
        <v>0</v>
      </c>
      <c r="F259" s="82">
        <v>2089.41</v>
      </c>
      <c r="G259" s="89">
        <v>2000</v>
      </c>
      <c r="I259" s="89"/>
      <c r="J259" s="89"/>
      <c r="K259" s="89"/>
      <c r="M259" s="15"/>
      <c r="P259"/>
    </row>
    <row r="260" spans="1:16" x14ac:dyDescent="0.35">
      <c r="A260" t="s">
        <v>20</v>
      </c>
      <c r="B260" s="1">
        <v>45645</v>
      </c>
      <c r="C260" t="s">
        <v>230</v>
      </c>
      <c r="D260" s="15">
        <v>25748.6</v>
      </c>
      <c r="E260" s="15">
        <f>+Tabla3[[#This Row],[VALOR FACTURA]]-Tabla3[[#This Row],[VALOR PAGO]]</f>
        <v>5150.1999999999971</v>
      </c>
      <c r="F260" s="82">
        <v>20598.400000000001</v>
      </c>
      <c r="G260" s="71"/>
      <c r="I260" s="71"/>
      <c r="J260" s="71"/>
      <c r="K260" s="71"/>
      <c r="M260" s="15"/>
      <c r="P260"/>
    </row>
    <row r="261" spans="1:16" x14ac:dyDescent="0.35">
      <c r="A261" t="s">
        <v>20</v>
      </c>
      <c r="B261" s="1">
        <v>45646</v>
      </c>
      <c r="C261" t="s">
        <v>739</v>
      </c>
      <c r="D261" s="15">
        <v>8705.2999999999993</v>
      </c>
      <c r="E261" s="15">
        <f>+Tabla3[[#This Row],[VALOR FACTURA]]-Tabla3[[#This Row],[VALOR PAGO]]</f>
        <v>870.52999999999884</v>
      </c>
      <c r="F261" s="15">
        <v>7834.77</v>
      </c>
      <c r="G261" s="71"/>
      <c r="I261" s="71"/>
      <c r="J261" s="71"/>
      <c r="K261" s="71"/>
      <c r="M261" s="15"/>
      <c r="P261"/>
    </row>
    <row r="262" spans="1:16" x14ac:dyDescent="0.35">
      <c r="A262" t="s">
        <v>20</v>
      </c>
      <c r="B262" s="1">
        <v>45649</v>
      </c>
      <c r="C262" t="s">
        <v>145</v>
      </c>
      <c r="D262" s="15">
        <v>7162.78</v>
      </c>
      <c r="E262" s="15">
        <f>+Tabla3[[#This Row],[VALOR FACTURA]]-Tabla3[[#This Row],[VALOR PAGO]]</f>
        <v>0</v>
      </c>
      <c r="F262" s="15">
        <v>7162.78</v>
      </c>
      <c r="G262" s="71"/>
      <c r="I262" s="71"/>
      <c r="J262" s="71"/>
      <c r="K262" s="71"/>
      <c r="M262" s="15"/>
      <c r="P262"/>
    </row>
    <row r="263" spans="1:16" x14ac:dyDescent="0.35">
      <c r="A263" t="s">
        <v>20</v>
      </c>
      <c r="B263" s="1">
        <v>45649</v>
      </c>
      <c r="C263" t="s">
        <v>217</v>
      </c>
      <c r="D263" s="15">
        <v>71409.72</v>
      </c>
      <c r="E263" s="15">
        <f>+Tabla3[[#This Row],[VALOR FACTURA]]-Tabla3[[#This Row],[VALOR PAGO]]</f>
        <v>0</v>
      </c>
      <c r="F263" s="15">
        <v>71409.72</v>
      </c>
      <c r="G263" s="71"/>
      <c r="H263" t="s">
        <v>653</v>
      </c>
      <c r="I263" s="71"/>
      <c r="J263" s="71"/>
      <c r="K263" s="71"/>
      <c r="M263" s="15"/>
      <c r="P263"/>
    </row>
    <row r="264" spans="1:16" x14ac:dyDescent="0.35">
      <c r="A264" t="s">
        <v>20</v>
      </c>
      <c r="B264" s="1">
        <v>45652</v>
      </c>
      <c r="C264" t="s">
        <v>141</v>
      </c>
      <c r="D264" s="15">
        <v>52.64</v>
      </c>
      <c r="E264" s="15">
        <f>+Tabla3[[#This Row],[VALOR FACTURA]]-Tabla3[[#This Row],[VALOR PAGO]]</f>
        <v>5.259999999999998</v>
      </c>
      <c r="F264" s="15">
        <v>47.38</v>
      </c>
      <c r="G264" s="71"/>
      <c r="I264" s="71"/>
      <c r="J264" s="71"/>
      <c r="K264" s="71"/>
      <c r="M264" s="15"/>
      <c r="P264"/>
    </row>
    <row r="265" spans="1:16" x14ac:dyDescent="0.35">
      <c r="A265" t="s">
        <v>20</v>
      </c>
      <c r="B265" s="1">
        <v>45665</v>
      </c>
      <c r="C265" t="s">
        <v>60</v>
      </c>
      <c r="D265" s="15">
        <v>9580</v>
      </c>
      <c r="E265" s="15">
        <f>+Tabla3[[#This Row],[VALOR FACTURA]]-Tabla3[[#This Row],[VALOR PAGO]]</f>
        <v>1916</v>
      </c>
      <c r="F265" s="119">
        <v>7664</v>
      </c>
      <c r="G265" s="71"/>
      <c r="I265" s="71"/>
      <c r="J265" s="71"/>
      <c r="K265" s="71"/>
      <c r="M265" s="15"/>
      <c r="P265"/>
    </row>
    <row r="266" spans="1:16" x14ac:dyDescent="0.35">
      <c r="A266" t="s">
        <v>20</v>
      </c>
      <c r="B266" s="1">
        <v>45665</v>
      </c>
      <c r="C266" t="s">
        <v>132</v>
      </c>
      <c r="D266" s="15">
        <v>40000</v>
      </c>
      <c r="E266" s="15">
        <f>+Tabla3[[#This Row],[VALOR FACTURA]]-Tabla3[[#This Row],[VALOR PAGO]]</f>
        <v>0</v>
      </c>
      <c r="F266" s="119">
        <v>40000</v>
      </c>
      <c r="G266" s="71"/>
      <c r="I266" s="71"/>
      <c r="J266" s="71"/>
      <c r="K266" s="71"/>
      <c r="M266" s="15"/>
      <c r="P266"/>
    </row>
    <row r="267" spans="1:16" x14ac:dyDescent="0.35">
      <c r="A267" t="s">
        <v>20</v>
      </c>
      <c r="B267" s="1">
        <v>45665</v>
      </c>
      <c r="C267" t="s">
        <v>766</v>
      </c>
      <c r="D267" s="15">
        <v>8902.5</v>
      </c>
      <c r="E267" s="15">
        <f>+Tabla3[[#This Row],[VALOR FACTURA]]-Tabla3[[#This Row],[VALOR PAGO]]</f>
        <v>0</v>
      </c>
      <c r="F267" s="15">
        <v>8902.5</v>
      </c>
      <c r="G267" s="71"/>
      <c r="I267" s="71"/>
      <c r="J267" s="71"/>
      <c r="K267" s="71"/>
      <c r="M267" s="15"/>
      <c r="P267"/>
    </row>
    <row r="268" spans="1:16" x14ac:dyDescent="0.35">
      <c r="A268" t="s">
        <v>20</v>
      </c>
      <c r="B268" s="1">
        <v>45665</v>
      </c>
      <c r="C268" t="s">
        <v>535</v>
      </c>
      <c r="D268" s="15">
        <v>3130.53</v>
      </c>
      <c r="E268" s="15">
        <f>+Tabla3[[#This Row],[VALOR FACTURA]]-Tabla3[[#This Row],[VALOR PAGO]]</f>
        <v>0</v>
      </c>
      <c r="F268" s="15">
        <v>3130.53</v>
      </c>
      <c r="G268" s="89">
        <v>3027</v>
      </c>
      <c r="I268" s="89"/>
      <c r="J268" s="89"/>
      <c r="K268" s="89"/>
      <c r="M268" s="15"/>
      <c r="P268"/>
    </row>
    <row r="269" spans="1:16" x14ac:dyDescent="0.35">
      <c r="A269" t="s">
        <v>20</v>
      </c>
      <c r="B269" s="1">
        <v>45672</v>
      </c>
      <c r="C269" t="s">
        <v>575</v>
      </c>
      <c r="D269" s="15">
        <f>6258.18+5000</f>
        <v>11258.18</v>
      </c>
      <c r="E269" s="15">
        <f>+Tabla3[[#This Row],[VALOR FACTURA]]-Tabla3[[#This Row],[VALOR PAGO]]</f>
        <v>2251.7800000000007</v>
      </c>
      <c r="F269" s="122">
        <v>9006.4</v>
      </c>
      <c r="G269" s="71"/>
      <c r="I269" s="71"/>
      <c r="J269" s="71"/>
      <c r="K269" s="71"/>
      <c r="M269" s="15"/>
      <c r="P269"/>
    </row>
    <row r="270" spans="1:16" x14ac:dyDescent="0.35">
      <c r="A270" t="s">
        <v>19</v>
      </c>
      <c r="B270" s="1">
        <v>45672</v>
      </c>
      <c r="C270" t="s">
        <v>133</v>
      </c>
      <c r="D270" s="15">
        <v>7000</v>
      </c>
      <c r="E270" s="15">
        <f>+Tabla3[[#This Row],[VALOR FACTURA]]-Tabla3[[#This Row],[VALOR PAGO]]</f>
        <v>0</v>
      </c>
      <c r="F270" s="122">
        <v>7000</v>
      </c>
      <c r="G270" s="71"/>
      <c r="I270" s="71"/>
      <c r="J270" s="71"/>
      <c r="K270" s="71"/>
      <c r="M270" s="15"/>
      <c r="P270"/>
    </row>
    <row r="271" spans="1:16" x14ac:dyDescent="0.35">
      <c r="A271" t="s">
        <v>20</v>
      </c>
      <c r="B271" s="1">
        <v>45672</v>
      </c>
      <c r="C271" t="s">
        <v>173</v>
      </c>
      <c r="D271" s="15">
        <v>171403.39</v>
      </c>
      <c r="E271" s="15">
        <f>+Tabla3[[#This Row],[VALOR FACTURA]]-Tabla3[[#This Row],[VALOR PAGO]]</f>
        <v>0</v>
      </c>
      <c r="F271" s="15">
        <v>171403.39</v>
      </c>
      <c r="G271" s="71"/>
      <c r="I271" s="71"/>
      <c r="J271" s="71"/>
      <c r="K271" s="71"/>
      <c r="M271" s="15"/>
      <c r="P271"/>
    </row>
    <row r="272" spans="1:16" x14ac:dyDescent="0.35">
      <c r="A272" t="s">
        <v>20</v>
      </c>
      <c r="B272" s="1">
        <v>45672</v>
      </c>
      <c r="C272" t="s">
        <v>173</v>
      </c>
      <c r="D272" s="15">
        <v>564531.24</v>
      </c>
      <c r="E272" s="15">
        <f>+Tabla3[[#This Row],[VALOR FACTURA]]-Tabla3[[#This Row],[VALOR PAGO]]</f>
        <v>0</v>
      </c>
      <c r="F272" s="15">
        <v>564531.24</v>
      </c>
      <c r="G272" s="71"/>
      <c r="I272" s="71"/>
      <c r="J272" s="71"/>
      <c r="K272" s="71"/>
      <c r="M272" s="15"/>
      <c r="P272"/>
    </row>
    <row r="273" spans="1:16" x14ac:dyDescent="0.35">
      <c r="A273" t="s">
        <v>20</v>
      </c>
      <c r="B273" s="1">
        <v>45679</v>
      </c>
      <c r="C273" t="s">
        <v>141</v>
      </c>
      <c r="D273" s="15">
        <v>7178.25</v>
      </c>
      <c r="E273" s="15">
        <f>+Tabla3[[#This Row],[VALOR FACTURA]]-Tabla3[[#This Row],[VALOR PAGO]]</f>
        <v>0</v>
      </c>
      <c r="F273" s="15">
        <v>7178.25</v>
      </c>
      <c r="G273" s="71"/>
      <c r="I273" s="71"/>
      <c r="J273" s="71"/>
      <c r="K273" s="71"/>
      <c r="M273" s="15"/>
      <c r="P273"/>
    </row>
    <row r="274" spans="1:16" x14ac:dyDescent="0.35">
      <c r="A274" t="s">
        <v>195</v>
      </c>
      <c r="B274" s="1">
        <v>45679</v>
      </c>
      <c r="C274" t="s">
        <v>218</v>
      </c>
      <c r="D274" s="15">
        <v>12000</v>
      </c>
      <c r="E274" s="15">
        <f>+Tabla3[[#This Row],[VALOR FACTURA]]-Tabla3[[#This Row],[VALOR PAGO]]</f>
        <v>2400</v>
      </c>
      <c r="F274" s="122">
        <v>9600</v>
      </c>
      <c r="G274" s="71"/>
      <c r="I274" s="71"/>
      <c r="J274" s="71"/>
      <c r="K274" s="71"/>
      <c r="M274" s="15"/>
      <c r="P274"/>
    </row>
    <row r="275" spans="1:16" x14ac:dyDescent="0.35">
      <c r="A275" t="s">
        <v>20</v>
      </c>
      <c r="B275" s="1">
        <v>45686</v>
      </c>
      <c r="C275" t="s">
        <v>575</v>
      </c>
      <c r="D275" s="15">
        <v>835.08</v>
      </c>
      <c r="E275" s="15">
        <f>+Tabla3[[#This Row],[VALOR FACTURA]]-Tabla3[[#This Row],[VALOR PAGO]]</f>
        <v>167.08000000000004</v>
      </c>
      <c r="F275" s="122">
        <v>668</v>
      </c>
      <c r="G275" s="71"/>
      <c r="I275" s="71"/>
      <c r="J275" s="71"/>
      <c r="K275" s="71"/>
      <c r="M275" s="15"/>
      <c r="P275"/>
    </row>
    <row r="276" spans="1:16" x14ac:dyDescent="0.35">
      <c r="A276" t="s">
        <v>20</v>
      </c>
      <c r="B276" s="1">
        <v>45686</v>
      </c>
      <c r="C276" t="s">
        <v>147</v>
      </c>
      <c r="D276" s="15">
        <v>111099.53</v>
      </c>
      <c r="E276" s="15">
        <f>+Tabla3[[#This Row],[VALOR FACTURA]]-Tabla3[[#This Row],[VALOR PAGO]]</f>
        <v>0</v>
      </c>
      <c r="F276" s="15">
        <v>111099.53</v>
      </c>
      <c r="G276" s="71"/>
      <c r="I276" s="71"/>
      <c r="J276" s="71"/>
      <c r="K276" s="71"/>
      <c r="M276" s="15"/>
      <c r="P276"/>
    </row>
    <row r="277" spans="1:16" x14ac:dyDescent="0.35">
      <c r="A277" t="s">
        <v>20</v>
      </c>
      <c r="B277" s="1">
        <v>45686</v>
      </c>
      <c r="C277" t="s">
        <v>147</v>
      </c>
      <c r="D277" s="15">
        <v>3961.59</v>
      </c>
      <c r="E277" s="15">
        <f>+Tabla3[[#This Row],[VALOR FACTURA]]-Tabla3[[#This Row],[VALOR PAGO]]</f>
        <v>0</v>
      </c>
      <c r="F277" s="15">
        <v>3961.59</v>
      </c>
      <c r="G277" s="71"/>
      <c r="I277" s="71"/>
      <c r="J277" s="71"/>
      <c r="K277" s="71"/>
      <c r="M277" s="15"/>
      <c r="P277"/>
    </row>
    <row r="278" spans="1:16" x14ac:dyDescent="0.35">
      <c r="A278" t="s">
        <v>20</v>
      </c>
      <c r="B278" s="1">
        <v>45686</v>
      </c>
      <c r="C278" t="s">
        <v>145</v>
      </c>
      <c r="D278" s="15">
        <v>208977.08</v>
      </c>
      <c r="E278" s="15">
        <f>+Tabla3[[#This Row],[VALOR FACTURA]]-Tabla3[[#This Row],[VALOR PAGO]]</f>
        <v>0</v>
      </c>
      <c r="F278" s="15">
        <v>208977.08</v>
      </c>
      <c r="G278" s="71"/>
      <c r="I278" s="71"/>
      <c r="J278" s="71"/>
      <c r="K278" s="71"/>
      <c r="M278" s="15"/>
      <c r="P278"/>
    </row>
    <row r="279" spans="1:16" x14ac:dyDescent="0.35">
      <c r="A279" t="s">
        <v>20</v>
      </c>
      <c r="B279" s="1">
        <v>45686</v>
      </c>
      <c r="C279" t="s">
        <v>145</v>
      </c>
      <c r="D279" s="15">
        <v>8661.5499999999993</v>
      </c>
      <c r="E279" s="15">
        <f>+Tabla3[[#This Row],[VALOR FACTURA]]-Tabla3[[#This Row],[VALOR PAGO]]</f>
        <v>0</v>
      </c>
      <c r="F279" s="15">
        <v>8661.5499999999993</v>
      </c>
      <c r="G279" s="71"/>
      <c r="I279" s="71"/>
      <c r="J279" s="71"/>
      <c r="K279" s="71"/>
      <c r="M279" s="15"/>
      <c r="P279"/>
    </row>
    <row r="280" spans="1:16" x14ac:dyDescent="0.35">
      <c r="A280" t="s">
        <v>20</v>
      </c>
      <c r="B280" s="1">
        <v>45686</v>
      </c>
      <c r="C280" t="s">
        <v>567</v>
      </c>
      <c r="D280" s="15">
        <v>3390</v>
      </c>
      <c r="E280" s="15">
        <f>+Tabla3[[#This Row],[VALOR FACTURA]]-Tabla3[[#This Row],[VALOR PAGO]]</f>
        <v>678</v>
      </c>
      <c r="F280" s="122">
        <v>2712</v>
      </c>
      <c r="G280" s="71"/>
      <c r="I280" s="71"/>
      <c r="J280" s="71"/>
      <c r="K280" s="71"/>
      <c r="M280" s="15"/>
      <c r="P280"/>
    </row>
    <row r="281" spans="1:16" x14ac:dyDescent="0.35">
      <c r="A281" t="s">
        <v>20</v>
      </c>
      <c r="B281" s="1">
        <v>45686</v>
      </c>
      <c r="C281" t="s">
        <v>739</v>
      </c>
      <c r="D281" s="15">
        <v>8419.75</v>
      </c>
      <c r="E281" s="15">
        <f>+Tabla3[[#This Row],[VALOR FACTURA]]-Tabla3[[#This Row],[VALOR PAGO]]</f>
        <v>841.97000000000025</v>
      </c>
      <c r="F281" s="122">
        <v>7577.78</v>
      </c>
      <c r="G281" s="71"/>
      <c r="I281" s="71"/>
      <c r="J281" s="71"/>
      <c r="K281" s="71"/>
      <c r="M281" s="15"/>
      <c r="P281"/>
    </row>
    <row r="282" spans="1:16" x14ac:dyDescent="0.35">
      <c r="A282" t="s">
        <v>20</v>
      </c>
      <c r="B282" s="1">
        <v>45686</v>
      </c>
      <c r="C282" t="s">
        <v>143</v>
      </c>
      <c r="D282" s="15">
        <v>13018.63</v>
      </c>
      <c r="E282" s="15">
        <f>+Tabla3[[#This Row],[VALOR FACTURA]]-Tabla3[[#This Row],[VALOR PAGO]]</f>
        <v>0</v>
      </c>
      <c r="F282" s="15">
        <v>13018.63</v>
      </c>
      <c r="G282" s="71"/>
      <c r="I282" s="71"/>
      <c r="J282" s="71"/>
      <c r="K282" s="71"/>
      <c r="M282" s="15"/>
      <c r="P282"/>
    </row>
    <row r="283" spans="1:16" x14ac:dyDescent="0.35">
      <c r="A283" t="s">
        <v>20</v>
      </c>
      <c r="B283" s="1">
        <v>45687</v>
      </c>
      <c r="C283" t="s">
        <v>217</v>
      </c>
      <c r="D283" s="15">
        <v>139022.22</v>
      </c>
      <c r="E283" s="15">
        <f>+Tabla3[[#This Row],[VALOR FACTURA]]-Tabla3[[#This Row],[VALOR PAGO]]</f>
        <v>0</v>
      </c>
      <c r="F283" s="15">
        <v>139022.22</v>
      </c>
      <c r="G283" s="71"/>
      <c r="I283" s="71"/>
      <c r="J283" s="71"/>
      <c r="K283" s="71"/>
      <c r="M283" s="15"/>
      <c r="P283"/>
    </row>
    <row r="284" spans="1:16" x14ac:dyDescent="0.35">
      <c r="A284" t="s">
        <v>20</v>
      </c>
      <c r="B284" s="1">
        <v>45693</v>
      </c>
      <c r="C284" t="s">
        <v>145</v>
      </c>
      <c r="D284" s="15">
        <v>10562.35</v>
      </c>
      <c r="E284" s="15">
        <f>+Tabla3[[#This Row],[VALOR FACTURA]]-Tabla3[[#This Row],[VALOR PAGO]]</f>
        <v>0</v>
      </c>
      <c r="F284" s="15">
        <v>10562.35</v>
      </c>
      <c r="G284" s="71"/>
      <c r="I284" s="71"/>
      <c r="J284" s="71"/>
      <c r="K284" s="71"/>
      <c r="M284" s="15"/>
      <c r="P284"/>
    </row>
    <row r="285" spans="1:16" x14ac:dyDescent="0.35">
      <c r="A285" t="s">
        <v>20</v>
      </c>
      <c r="B285" s="1">
        <v>45693</v>
      </c>
      <c r="C285" t="s">
        <v>739</v>
      </c>
      <c r="D285" s="15">
        <v>841.97</v>
      </c>
      <c r="E285" s="15">
        <f>+Tabla3[[#This Row],[VALOR FACTURA]]-Tabla3[[#This Row],[VALOR PAGO]]</f>
        <v>0</v>
      </c>
      <c r="F285" s="15">
        <v>841.97</v>
      </c>
      <c r="G285" s="71"/>
      <c r="I285" s="71"/>
      <c r="J285" s="71"/>
      <c r="K285" s="71"/>
      <c r="M285" s="15"/>
      <c r="P285"/>
    </row>
    <row r="286" spans="1:16" x14ac:dyDescent="0.35">
      <c r="A286" t="s">
        <v>20</v>
      </c>
      <c r="B286" s="1">
        <v>45693</v>
      </c>
      <c r="C286" t="s">
        <v>139</v>
      </c>
      <c r="D286" s="15">
        <v>7872</v>
      </c>
      <c r="E286" s="15">
        <f>+Tabla3[[#This Row],[VALOR FACTURA]]-Tabla3[[#This Row],[VALOR PAGO]]</f>
        <v>0</v>
      </c>
      <c r="F286" s="15">
        <v>7872</v>
      </c>
      <c r="G286" s="71"/>
      <c r="I286" s="71"/>
      <c r="J286" s="71"/>
      <c r="K286" s="71"/>
      <c r="M286" s="15"/>
      <c r="P286"/>
    </row>
    <row r="287" spans="1:16" x14ac:dyDescent="0.35">
      <c r="A287" t="s">
        <v>20</v>
      </c>
      <c r="B287" s="1">
        <v>45693</v>
      </c>
      <c r="C287" t="s">
        <v>60</v>
      </c>
      <c r="D287" s="15">
        <v>7664</v>
      </c>
      <c r="E287" s="15">
        <f>+Tabla3[[#This Row],[VALOR FACTURA]]-Tabla3[[#This Row],[VALOR PAGO]]</f>
        <v>0</v>
      </c>
      <c r="F287" s="15">
        <v>7664</v>
      </c>
      <c r="G287" s="71"/>
      <c r="I287" s="71"/>
      <c r="J287" s="71"/>
      <c r="K287" s="71"/>
      <c r="M287" s="15"/>
      <c r="P287"/>
    </row>
    <row r="288" spans="1:16" x14ac:dyDescent="0.35">
      <c r="A288" t="s">
        <v>20</v>
      </c>
      <c r="B288" s="1">
        <v>45695</v>
      </c>
      <c r="C288" t="s">
        <v>849</v>
      </c>
      <c r="D288" s="15">
        <v>2101.0100000000002</v>
      </c>
      <c r="E288" s="15">
        <f>+Tabla3[[#This Row],[VALOR FACTURA]]-Tabla3[[#This Row],[VALOR PAGO]]</f>
        <v>0</v>
      </c>
      <c r="F288" s="15">
        <v>2101.0100000000002</v>
      </c>
      <c r="G288" s="71"/>
      <c r="H288" t="s">
        <v>872</v>
      </c>
      <c r="I288" s="71"/>
      <c r="J288" s="71"/>
      <c r="K288" s="71"/>
      <c r="M288" s="15"/>
      <c r="P288"/>
    </row>
    <row r="289" spans="1:16" x14ac:dyDescent="0.35">
      <c r="A289" t="s">
        <v>20</v>
      </c>
      <c r="B289" s="1">
        <v>45700</v>
      </c>
      <c r="C289" t="s">
        <v>231</v>
      </c>
      <c r="D289" s="15">
        <v>2083.1999999999998</v>
      </c>
      <c r="E289" s="15">
        <f>+Tabla3[[#This Row],[VALOR FACTURA]]-Tabla3[[#This Row],[VALOR PAGO]]</f>
        <v>0</v>
      </c>
      <c r="F289" s="15">
        <v>2083.1999999999998</v>
      </c>
      <c r="G289" s="89">
        <v>2000</v>
      </c>
      <c r="I289" s="89"/>
      <c r="J289" s="89"/>
      <c r="K289" s="89"/>
      <c r="M289" s="15"/>
      <c r="P289"/>
    </row>
    <row r="290" spans="1:16" x14ac:dyDescent="0.35">
      <c r="A290" t="s">
        <v>20</v>
      </c>
      <c r="B290" s="1">
        <v>45700</v>
      </c>
      <c r="C290" t="s">
        <v>535</v>
      </c>
      <c r="D290" s="15">
        <v>6832.91</v>
      </c>
      <c r="E290" s="15">
        <f>+Tabla3[[#This Row],[VALOR FACTURA]]-Tabla3[[#This Row],[VALOR PAGO]]</f>
        <v>0</v>
      </c>
      <c r="F290" s="15">
        <v>6832.91</v>
      </c>
      <c r="G290" s="89">
        <v>6560</v>
      </c>
      <c r="I290" s="89"/>
      <c r="J290" s="89"/>
      <c r="K290" s="89"/>
      <c r="M290" s="15"/>
      <c r="P290"/>
    </row>
    <row r="291" spans="1:16" x14ac:dyDescent="0.35">
      <c r="A291" t="s">
        <v>20</v>
      </c>
      <c r="B291" s="1">
        <v>45702</v>
      </c>
      <c r="C291" t="s">
        <v>145</v>
      </c>
      <c r="D291" s="15">
        <v>220.69</v>
      </c>
      <c r="E291" s="15">
        <f>+Tabla3[[#This Row],[VALOR FACTURA]]-Tabla3[[#This Row],[VALOR PAGO]]</f>
        <v>0</v>
      </c>
      <c r="F291" s="15">
        <v>220.69</v>
      </c>
      <c r="G291" s="71"/>
      <c r="I291" s="71"/>
      <c r="J291" s="71"/>
      <c r="K291" s="71"/>
      <c r="M291" s="15"/>
      <c r="P291"/>
    </row>
    <row r="292" spans="1:16" x14ac:dyDescent="0.35">
      <c r="A292" t="s">
        <v>20</v>
      </c>
      <c r="B292" s="1">
        <v>45707</v>
      </c>
      <c r="C292" t="s">
        <v>575</v>
      </c>
      <c r="D292" s="15">
        <v>320</v>
      </c>
      <c r="E292" s="15">
        <f>+Tabla3[[#This Row],[VALOR FACTURA]]-Tabla3[[#This Row],[VALOR PAGO]]</f>
        <v>0</v>
      </c>
      <c r="F292" s="15">
        <v>320</v>
      </c>
      <c r="G292" s="71"/>
      <c r="I292" s="71"/>
      <c r="J292" s="71"/>
      <c r="K292" s="71"/>
      <c r="M292" s="15"/>
      <c r="P292"/>
    </row>
    <row r="293" spans="1:16" x14ac:dyDescent="0.35">
      <c r="A293" t="s">
        <v>20</v>
      </c>
      <c r="B293" s="1">
        <v>45707</v>
      </c>
      <c r="C293" t="s">
        <v>139</v>
      </c>
      <c r="D293" s="15">
        <v>1968</v>
      </c>
      <c r="E293" s="15">
        <f>+Tabla3[[#This Row],[VALOR FACTURA]]-Tabla3[[#This Row],[VALOR PAGO]]</f>
        <v>0</v>
      </c>
      <c r="F293" s="15">
        <v>1968</v>
      </c>
      <c r="G293" s="71"/>
      <c r="I293" s="71"/>
      <c r="J293" s="71"/>
      <c r="K293" s="71"/>
      <c r="M293" s="15"/>
      <c r="P293"/>
    </row>
    <row r="294" spans="1:16" x14ac:dyDescent="0.35">
      <c r="A294" t="s">
        <v>20</v>
      </c>
      <c r="B294" s="1">
        <v>45708</v>
      </c>
      <c r="C294" t="s">
        <v>739</v>
      </c>
      <c r="D294" s="15">
        <v>870.53</v>
      </c>
      <c r="E294" s="15">
        <f>+Tabla3[[#This Row],[VALOR FACTURA]]-Tabla3[[#This Row],[VALOR PAGO]]</f>
        <v>0</v>
      </c>
      <c r="F294" s="15">
        <v>870.53</v>
      </c>
      <c r="G294" s="71"/>
      <c r="I294" s="71"/>
      <c r="J294" s="71"/>
      <c r="K294" s="71"/>
      <c r="M294" s="15"/>
      <c r="P294"/>
    </row>
    <row r="295" spans="1:16" x14ac:dyDescent="0.35">
      <c r="A295" t="s">
        <v>20</v>
      </c>
      <c r="B295" s="1">
        <v>45712</v>
      </c>
      <c r="C295" t="s">
        <v>217</v>
      </c>
      <c r="D295" s="15">
        <v>40722.5</v>
      </c>
      <c r="E295" s="15">
        <f>+Tabla3[[#This Row],[VALOR FACTURA]]-Tabla3[[#This Row],[VALOR PAGO]]</f>
        <v>0</v>
      </c>
      <c r="F295" s="15">
        <v>40722.5</v>
      </c>
      <c r="G295" s="71"/>
      <c r="H295" t="s">
        <v>895</v>
      </c>
      <c r="I295" s="71"/>
      <c r="J295" s="71"/>
      <c r="K295" s="71"/>
      <c r="M295" s="15"/>
      <c r="P295"/>
    </row>
    <row r="296" spans="1:16" x14ac:dyDescent="0.35">
      <c r="A296" t="s">
        <v>20</v>
      </c>
      <c r="B296" s="1">
        <v>45714</v>
      </c>
      <c r="C296" t="s">
        <v>281</v>
      </c>
      <c r="D296" s="15">
        <v>28149.01</v>
      </c>
      <c r="E296" s="15">
        <f>+Tabla3[[#This Row],[VALOR FACTURA]]-Tabla3[[#This Row],[VALOR PAGO]]</f>
        <v>0</v>
      </c>
      <c r="F296" s="15">
        <v>28149.01</v>
      </c>
      <c r="G296" s="89">
        <v>26712</v>
      </c>
      <c r="I296" s="89"/>
      <c r="J296" s="89"/>
      <c r="K296" s="89"/>
      <c r="M296" s="15"/>
      <c r="P296"/>
    </row>
    <row r="297" spans="1:16" x14ac:dyDescent="0.35">
      <c r="A297" t="s">
        <v>20</v>
      </c>
      <c r="B297" s="1">
        <v>45714</v>
      </c>
      <c r="C297" t="s">
        <v>138</v>
      </c>
      <c r="D297" s="15">
        <v>560</v>
      </c>
      <c r="E297" s="15">
        <f>+Tabla3[[#This Row],[VALOR FACTURA]]-Tabla3[[#This Row],[VALOR PAGO]]</f>
        <v>0</v>
      </c>
      <c r="F297" s="138">
        <v>560</v>
      </c>
      <c r="G297" s="71"/>
      <c r="I297" s="71"/>
      <c r="J297" s="71"/>
      <c r="K297" s="71"/>
      <c r="M297" s="15"/>
      <c r="P297"/>
    </row>
    <row r="298" spans="1:16" x14ac:dyDescent="0.35">
      <c r="A298" t="s">
        <v>20</v>
      </c>
      <c r="B298" s="1">
        <v>45714</v>
      </c>
      <c r="C298" t="s">
        <v>139</v>
      </c>
      <c r="D298" s="15">
        <v>900</v>
      </c>
      <c r="E298" s="15">
        <f>+Tabla3[[#This Row],[VALOR FACTURA]]-Tabla3[[#This Row],[VALOR PAGO]]</f>
        <v>0</v>
      </c>
      <c r="F298" s="138">
        <v>900</v>
      </c>
      <c r="G298" s="71"/>
      <c r="I298" s="71"/>
      <c r="J298" s="71"/>
      <c r="K298" s="71"/>
      <c r="M298" s="15"/>
      <c r="P298"/>
    </row>
    <row r="299" spans="1:16" x14ac:dyDescent="0.35">
      <c r="A299" t="s">
        <v>20</v>
      </c>
      <c r="B299" s="1">
        <v>45714</v>
      </c>
      <c r="C299" t="s">
        <v>231</v>
      </c>
      <c r="D299" s="15">
        <v>2107.59</v>
      </c>
      <c r="E299" s="15">
        <f>+Tabla3[[#This Row],[VALOR FACTURA]]-Tabla3[[#This Row],[VALOR PAGO]]</f>
        <v>0</v>
      </c>
      <c r="F299" s="15">
        <v>2107.59</v>
      </c>
      <c r="G299" s="89">
        <v>2000</v>
      </c>
      <c r="I299" s="89"/>
      <c r="J299" s="89"/>
      <c r="K299" s="89"/>
      <c r="M299" s="15"/>
      <c r="P299"/>
    </row>
    <row r="300" spans="1:16" x14ac:dyDescent="0.35">
      <c r="A300" t="s">
        <v>20</v>
      </c>
      <c r="B300" s="1">
        <v>45714</v>
      </c>
      <c r="C300" t="s">
        <v>575</v>
      </c>
      <c r="D300" s="15">
        <v>5880</v>
      </c>
      <c r="E300" s="15">
        <f>+Tabla3[[#This Row],[VALOR FACTURA]]-Tabla3[[#This Row],[VALOR PAGO]]</f>
        <v>0</v>
      </c>
      <c r="F300" s="15">
        <v>5880</v>
      </c>
      <c r="G300" s="71"/>
      <c r="I300" s="71"/>
      <c r="J300" s="71"/>
      <c r="K300" s="71"/>
      <c r="M300" s="15"/>
      <c r="P300"/>
    </row>
    <row r="301" spans="1:16" x14ac:dyDescent="0.35">
      <c r="A301" t="s">
        <v>20</v>
      </c>
      <c r="B301" s="1">
        <v>45714</v>
      </c>
      <c r="C301" t="s">
        <v>739</v>
      </c>
      <c r="D301" s="15">
        <v>3290.41</v>
      </c>
      <c r="E301" s="15">
        <f>+Tabla3[[#This Row],[VALOR FACTURA]]-Tabla3[[#This Row],[VALOR PAGO]]</f>
        <v>0</v>
      </c>
      <c r="F301" s="15">
        <v>3290.41</v>
      </c>
      <c r="G301" s="71"/>
      <c r="I301" s="71"/>
      <c r="J301" s="71"/>
      <c r="K301" s="71"/>
      <c r="M301" s="15"/>
      <c r="P301"/>
    </row>
    <row r="302" spans="1:16" x14ac:dyDescent="0.35">
      <c r="A302" t="s">
        <v>20</v>
      </c>
      <c r="B302" s="1">
        <v>45714</v>
      </c>
      <c r="C302" t="s">
        <v>147</v>
      </c>
      <c r="D302" s="15">
        <v>3630.47</v>
      </c>
      <c r="E302" s="15">
        <f>+Tabla3[[#This Row],[VALOR FACTURA]]-Tabla3[[#This Row],[VALOR PAGO]]</f>
        <v>0</v>
      </c>
      <c r="F302" s="15">
        <v>3630.47</v>
      </c>
      <c r="G302" s="71"/>
      <c r="I302" s="71"/>
      <c r="J302" s="71"/>
      <c r="K302" s="71"/>
      <c r="M302" s="15"/>
      <c r="P302"/>
    </row>
    <row r="303" spans="1:16" x14ac:dyDescent="0.35">
      <c r="A303" t="s">
        <v>20</v>
      </c>
      <c r="B303" s="1">
        <v>45714</v>
      </c>
      <c r="C303" t="s">
        <v>147</v>
      </c>
      <c r="D303" s="15">
        <v>51664.83</v>
      </c>
      <c r="E303" s="15">
        <f>+Tabla3[[#This Row],[VALOR FACTURA]]-Tabla3[[#This Row],[VALOR PAGO]]</f>
        <v>0</v>
      </c>
      <c r="F303" s="15">
        <v>51664.83</v>
      </c>
      <c r="G303" s="71"/>
      <c r="I303" s="71"/>
      <c r="J303" s="71"/>
      <c r="K303" s="71"/>
      <c r="M303" s="15"/>
      <c r="P303"/>
    </row>
    <row r="304" spans="1:16" x14ac:dyDescent="0.35">
      <c r="A304" t="s">
        <v>20</v>
      </c>
      <c r="B304" s="1">
        <v>45714</v>
      </c>
      <c r="C304" t="s">
        <v>145</v>
      </c>
      <c r="D304" s="15">
        <v>123417.07</v>
      </c>
      <c r="E304" s="15">
        <f>+Tabla3[[#This Row],[VALOR FACTURA]]-Tabla3[[#This Row],[VALOR PAGO]]</f>
        <v>0</v>
      </c>
      <c r="F304" s="15">
        <v>123417.07</v>
      </c>
      <c r="G304" s="71"/>
      <c r="I304" s="71"/>
      <c r="J304" s="71"/>
      <c r="K304" s="71"/>
      <c r="M304" s="15"/>
      <c r="P304"/>
    </row>
    <row r="305" spans="1:16" x14ac:dyDescent="0.35">
      <c r="A305" t="s">
        <v>20</v>
      </c>
      <c r="B305" s="1">
        <v>45714</v>
      </c>
      <c r="C305" t="s">
        <v>145</v>
      </c>
      <c r="D305" s="15">
        <v>3011.51</v>
      </c>
      <c r="E305" s="15">
        <f>+Tabla3[[#This Row],[VALOR FACTURA]]-Tabla3[[#This Row],[VALOR PAGO]]</f>
        <v>0</v>
      </c>
      <c r="F305" s="15">
        <v>3011.51</v>
      </c>
      <c r="G305" s="71"/>
      <c r="I305" s="71"/>
      <c r="J305" s="71"/>
      <c r="K305" s="71"/>
      <c r="M305" s="15"/>
      <c r="P305"/>
    </row>
    <row r="306" spans="1:16" x14ac:dyDescent="0.35">
      <c r="A306" t="s">
        <v>20</v>
      </c>
      <c r="B306" s="1">
        <v>45716</v>
      </c>
      <c r="C306" t="s">
        <v>217</v>
      </c>
      <c r="D306" s="15">
        <v>49496.42</v>
      </c>
      <c r="E306" s="15">
        <f>+Tabla3[[#This Row],[VALOR FACTURA]]-Tabla3[[#This Row],[VALOR PAGO]]</f>
        <v>0</v>
      </c>
      <c r="F306" s="15">
        <v>49496.42</v>
      </c>
      <c r="G306" s="71"/>
      <c r="H306" t="s">
        <v>895</v>
      </c>
      <c r="I306" s="71"/>
      <c r="J306" s="71"/>
      <c r="K306" s="71"/>
      <c r="M306" s="15"/>
      <c r="P306"/>
    </row>
    <row r="307" spans="1:16" x14ac:dyDescent="0.35">
      <c r="A307" t="s">
        <v>19</v>
      </c>
      <c r="B307" s="1">
        <v>45716</v>
      </c>
      <c r="C307" t="s">
        <v>217</v>
      </c>
      <c r="D307" s="15">
        <v>112245.97</v>
      </c>
      <c r="E307" s="15">
        <f>+Tabla3[[#This Row],[VALOR FACTURA]]-Tabla3[[#This Row],[VALOR PAGO]]</f>
        <v>0</v>
      </c>
      <c r="F307" s="15">
        <v>112245.97</v>
      </c>
      <c r="G307" s="71"/>
      <c r="H307" t="s">
        <v>895</v>
      </c>
      <c r="I307" s="71"/>
      <c r="J307" s="71"/>
      <c r="K307" s="71"/>
      <c r="M307" s="15"/>
      <c r="P307"/>
    </row>
    <row r="308" spans="1:16" x14ac:dyDescent="0.35">
      <c r="A308" t="s">
        <v>194</v>
      </c>
      <c r="B308" s="1">
        <v>45716</v>
      </c>
      <c r="C308" t="s">
        <v>217</v>
      </c>
      <c r="D308" s="15">
        <v>91960.55</v>
      </c>
      <c r="E308" s="15">
        <f>+Tabla3[[#This Row],[VALOR FACTURA]]-Tabla3[[#This Row],[VALOR PAGO]]</f>
        <v>0</v>
      </c>
      <c r="F308" s="15">
        <v>91960.55</v>
      </c>
      <c r="G308" s="71"/>
      <c r="H308" t="s">
        <v>895</v>
      </c>
      <c r="I308" s="71"/>
      <c r="J308" s="71"/>
      <c r="K308" s="71"/>
      <c r="M308" s="15"/>
      <c r="P308"/>
    </row>
    <row r="309" spans="1:16" x14ac:dyDescent="0.35">
      <c r="A309" t="s">
        <v>20</v>
      </c>
      <c r="B309" s="1">
        <v>45721</v>
      </c>
      <c r="C309" t="s">
        <v>145</v>
      </c>
      <c r="D309" s="96">
        <v>4510.4799999999996</v>
      </c>
      <c r="E309" s="15">
        <f>+Tabla3[[#This Row],[VALOR FACTURA]]-Tabla3[[#This Row],[VALOR PAGO]]</f>
        <v>0</v>
      </c>
      <c r="F309" s="96">
        <v>4510.4799999999996</v>
      </c>
      <c r="G309" s="71"/>
      <c r="I309" s="71"/>
      <c r="J309" s="71"/>
      <c r="K309" s="71"/>
      <c r="M309" s="15"/>
      <c r="P309"/>
    </row>
    <row r="310" spans="1:16" x14ac:dyDescent="0.35">
      <c r="A310" t="s">
        <v>20</v>
      </c>
      <c r="B310" s="1">
        <v>45721</v>
      </c>
      <c r="C310" t="s">
        <v>143</v>
      </c>
      <c r="D310" s="96">
        <f>(1320000+339538.01+901571.19+7361812.69+1550000+1658527.32)/4144.18</f>
        <v>3168.6483719336516</v>
      </c>
      <c r="E310" s="15">
        <f>+Tabla3[[#This Row],[VALOR FACTURA]]-Tabla3[[#This Row],[VALOR PAGO]]</f>
        <v>0</v>
      </c>
      <c r="F310" s="96">
        <f>(1320000+339538.01+901571.19+7361812.69+1550000+1658527.32)/4144.18</f>
        <v>3168.6483719336516</v>
      </c>
      <c r="G310" s="71"/>
      <c r="I310" s="71"/>
      <c r="J310" s="71"/>
      <c r="K310" s="71"/>
      <c r="M310" s="15"/>
      <c r="P310"/>
    </row>
    <row r="311" spans="1:16" x14ac:dyDescent="0.35">
      <c r="A311" t="s">
        <v>20</v>
      </c>
      <c r="B311" s="1">
        <v>45721</v>
      </c>
      <c r="C311" t="s">
        <v>567</v>
      </c>
      <c r="D311" s="96">
        <v>3390</v>
      </c>
      <c r="E311" s="15">
        <f>+Tabla3[[#This Row],[VALOR FACTURA]]-Tabla3[[#This Row],[VALOR PAGO]]</f>
        <v>678</v>
      </c>
      <c r="F311" s="96">
        <v>2712</v>
      </c>
      <c r="G311" s="71"/>
      <c r="I311" s="71"/>
      <c r="J311" s="71"/>
      <c r="K311" s="71"/>
      <c r="M311" s="15"/>
      <c r="P311"/>
    </row>
    <row r="312" spans="1:16" x14ac:dyDescent="0.35">
      <c r="A312" t="s">
        <v>20</v>
      </c>
      <c r="B312" s="1">
        <v>45721</v>
      </c>
      <c r="C312" t="s">
        <v>144</v>
      </c>
      <c r="D312" s="96">
        <v>3500</v>
      </c>
      <c r="E312" s="15">
        <f>+Tabla3[[#This Row],[VALOR FACTURA]]-Tabla3[[#This Row],[VALOR PAGO]]</f>
        <v>700</v>
      </c>
      <c r="F312" s="96">
        <v>2800</v>
      </c>
      <c r="G312" s="71"/>
      <c r="I312" s="71"/>
      <c r="J312" s="71"/>
      <c r="K312" s="71"/>
      <c r="M312" s="15"/>
      <c r="P312"/>
    </row>
    <row r="313" spans="1:16" x14ac:dyDescent="0.35">
      <c r="A313" t="s">
        <v>20</v>
      </c>
      <c r="B313" s="1">
        <v>45728</v>
      </c>
      <c r="C313" t="s">
        <v>151</v>
      </c>
      <c r="D313" s="15">
        <v>204160</v>
      </c>
      <c r="E313" s="15">
        <f>+Tabla3[[#This Row],[VALOR FACTURA]]-Tabla3[[#This Row],[VALOR PAGO]]</f>
        <v>0</v>
      </c>
      <c r="F313" s="15">
        <v>204160</v>
      </c>
      <c r="G313" s="71"/>
      <c r="I313" s="71"/>
      <c r="J313" s="71"/>
      <c r="K313" s="71"/>
      <c r="M313" s="15"/>
      <c r="P313"/>
    </row>
    <row r="314" spans="1:16" x14ac:dyDescent="0.35">
      <c r="A314" t="s">
        <v>20</v>
      </c>
      <c r="B314" s="1">
        <v>45733</v>
      </c>
      <c r="C314" t="s">
        <v>217</v>
      </c>
      <c r="D314" s="15">
        <v>81900</v>
      </c>
      <c r="E314" s="15">
        <f>+Tabla3[[#This Row],[VALOR FACTURA]]-Tabla3[[#This Row],[VALOR PAGO]]</f>
        <v>0</v>
      </c>
      <c r="F314" s="15">
        <v>81900</v>
      </c>
      <c r="G314" s="71"/>
      <c r="H314" t="s">
        <v>895</v>
      </c>
      <c r="I314" s="71"/>
      <c r="J314" s="71"/>
      <c r="K314" s="71"/>
      <c r="M314" s="15"/>
      <c r="P314"/>
    </row>
    <row r="315" spans="1:16" x14ac:dyDescent="0.35">
      <c r="A315" t="s">
        <v>20</v>
      </c>
      <c r="B315" s="1">
        <v>45740</v>
      </c>
      <c r="C315" t="s">
        <v>217</v>
      </c>
      <c r="D315" s="15">
        <v>64079.17</v>
      </c>
      <c r="E315" s="15">
        <f>+Tabla3[[#This Row],[VALOR FACTURA]]-Tabla3[[#This Row],[VALOR PAGO]]</f>
        <v>0</v>
      </c>
      <c r="F315" s="15">
        <v>64079.17</v>
      </c>
      <c r="G315" s="71"/>
      <c r="H315" t="s">
        <v>895</v>
      </c>
      <c r="I315" s="71"/>
      <c r="J315" s="71"/>
      <c r="K315" s="71"/>
      <c r="M315" s="15"/>
      <c r="P315"/>
    </row>
    <row r="316" spans="1:16" x14ac:dyDescent="0.35">
      <c r="A316" t="s">
        <v>20</v>
      </c>
      <c r="B316" s="1">
        <v>45742</v>
      </c>
      <c r="C316" t="s">
        <v>567</v>
      </c>
      <c r="D316" s="15">
        <v>3729</v>
      </c>
      <c r="E316" s="15">
        <f>+Tabla3[[#This Row],[VALOR FACTURA]]-Tabla3[[#This Row],[VALOR PAGO]]</f>
        <v>1017</v>
      </c>
      <c r="F316" s="142">
        <v>2712</v>
      </c>
      <c r="G316" s="71"/>
      <c r="I316" s="71"/>
      <c r="J316" s="71"/>
      <c r="K316" s="71"/>
      <c r="M316" s="15"/>
      <c r="P316"/>
    </row>
    <row r="317" spans="1:16" x14ac:dyDescent="0.35">
      <c r="A317" t="s">
        <v>20</v>
      </c>
      <c r="B317" s="1">
        <v>45742</v>
      </c>
      <c r="C317" t="s">
        <v>575</v>
      </c>
      <c r="D317" s="15">
        <v>4880</v>
      </c>
      <c r="E317" s="15">
        <f>+Tabla3[[#This Row],[VALOR FACTURA]]-Tabla3[[#This Row],[VALOR PAGO]]</f>
        <v>976</v>
      </c>
      <c r="F317" s="96">
        <f>128+1280+2400+96</f>
        <v>3904</v>
      </c>
      <c r="G317" s="71"/>
      <c r="I317" s="71"/>
      <c r="J317" s="71"/>
      <c r="K317" s="71"/>
      <c r="M317" s="15"/>
      <c r="P317"/>
    </row>
    <row r="318" spans="1:16" x14ac:dyDescent="0.35">
      <c r="A318" t="s">
        <v>20</v>
      </c>
      <c r="B318" s="1">
        <v>45742</v>
      </c>
      <c r="C318" t="s">
        <v>739</v>
      </c>
      <c r="D318" s="96">
        <f>1773.03+2264.88</f>
        <v>4037.91</v>
      </c>
      <c r="E318" s="15">
        <f>+Tabla3[[#This Row],[VALOR FACTURA]]-Tabla3[[#This Row],[VALOR PAGO]]</f>
        <v>0</v>
      </c>
      <c r="F318" s="96">
        <f>1773.03+2264.88</f>
        <v>4037.91</v>
      </c>
      <c r="G318" s="71"/>
      <c r="I318" s="71"/>
      <c r="J318" s="71"/>
      <c r="K318" s="71"/>
      <c r="M318" s="15"/>
      <c r="P318"/>
    </row>
    <row r="319" spans="1:16" x14ac:dyDescent="0.35">
      <c r="A319" t="s">
        <v>20</v>
      </c>
      <c r="B319" s="1">
        <v>45742</v>
      </c>
      <c r="C319" t="s">
        <v>147</v>
      </c>
      <c r="D319" s="96">
        <v>243.14</v>
      </c>
      <c r="E319" s="15">
        <f>+Tabla3[[#This Row],[VALOR FACTURA]]-Tabla3[[#This Row],[VALOR PAGO]]</f>
        <v>0</v>
      </c>
      <c r="F319" s="96">
        <v>243.14</v>
      </c>
      <c r="G319" s="71"/>
      <c r="I319" s="71"/>
      <c r="J319" s="71"/>
      <c r="K319" s="71"/>
      <c r="M319" s="15"/>
      <c r="P319"/>
    </row>
    <row r="320" spans="1:16" x14ac:dyDescent="0.35">
      <c r="A320" t="s">
        <v>20</v>
      </c>
      <c r="B320" s="1">
        <v>45742</v>
      </c>
      <c r="C320" t="s">
        <v>147</v>
      </c>
      <c r="D320" s="96">
        <f>(20607716+50347079+54857484+27661888+8155906+689246)/4120.11</f>
        <v>39396.841103756939</v>
      </c>
      <c r="E320" s="15">
        <f>+Tabla3[[#This Row],[VALOR FACTURA]]-Tabla3[[#This Row],[VALOR PAGO]]</f>
        <v>0</v>
      </c>
      <c r="F320" s="96">
        <f>(20607716+50347079+54857484+27661888+8155906+689246)/4120.11</f>
        <v>39396.841103756939</v>
      </c>
      <c r="G320" s="71"/>
      <c r="I320" s="71"/>
      <c r="J320" s="71"/>
      <c r="K320" s="71"/>
      <c r="M320" s="15"/>
      <c r="P320"/>
    </row>
    <row r="321" spans="1:16" x14ac:dyDescent="0.35">
      <c r="A321" t="s">
        <v>20</v>
      </c>
      <c r="B321" s="1">
        <v>45742</v>
      </c>
      <c r="C321" t="s">
        <v>145</v>
      </c>
      <c r="D321" s="96">
        <f>(13479372+22479759+87474713+12105976+66440540+64611647+4235298+15317139+21934009-674595)/4107.14</f>
        <v>74846.208797362633</v>
      </c>
      <c r="E321" s="15">
        <f>+Tabla3[[#This Row],[VALOR FACTURA]]-Tabla3[[#This Row],[VALOR PAGO]]</f>
        <v>0</v>
      </c>
      <c r="F321" s="96">
        <f>(13479372+22479759+87474713+12105976+66440540+64611647+4235298+15317139+21934009-674595)/4107.14</f>
        <v>74846.208797362633</v>
      </c>
      <c r="G321" s="71"/>
      <c r="I321" s="71"/>
      <c r="J321" s="71"/>
      <c r="K321" s="71"/>
      <c r="M321" s="15"/>
      <c r="P321"/>
    </row>
    <row r="322" spans="1:16" x14ac:dyDescent="0.35">
      <c r="A322" t="s">
        <v>20</v>
      </c>
      <c r="B322" s="1">
        <v>45749</v>
      </c>
      <c r="C322" t="s">
        <v>147</v>
      </c>
      <c r="D322" s="15">
        <v>12597.304198188884</v>
      </c>
      <c r="E322" s="15">
        <f>+Tabla3[[#This Row],[VALOR FACTURA]]-Tabla3[[#This Row],[VALOR PAGO]]</f>
        <v>0</v>
      </c>
      <c r="F322" s="15">
        <v>12597.304198188884</v>
      </c>
      <c r="G322" s="71"/>
      <c r="I322" s="71"/>
      <c r="J322" s="71"/>
      <c r="K322" s="71"/>
      <c r="M322" s="15"/>
      <c r="P322"/>
    </row>
    <row r="323" spans="1:16" x14ac:dyDescent="0.35">
      <c r="A323" t="s">
        <v>20</v>
      </c>
      <c r="B323" s="1">
        <v>45749</v>
      </c>
      <c r="C323" t="s">
        <v>147</v>
      </c>
      <c r="D323" s="15">
        <v>222.89</v>
      </c>
      <c r="E323" s="15">
        <f>+Tabla3[[#This Row],[VALOR FACTURA]]-Tabla3[[#This Row],[VALOR PAGO]]</f>
        <v>0</v>
      </c>
      <c r="F323" s="15">
        <v>222.89</v>
      </c>
      <c r="G323" s="71"/>
      <c r="I323" s="71"/>
      <c r="J323" s="71"/>
      <c r="K323" s="71"/>
      <c r="M323" s="15"/>
      <c r="P323"/>
    </row>
    <row r="324" spans="1:16" x14ac:dyDescent="0.35">
      <c r="A324" t="s">
        <v>20</v>
      </c>
      <c r="B324" s="1">
        <v>45749</v>
      </c>
      <c r="C324" t="s">
        <v>145</v>
      </c>
      <c r="D324" s="15">
        <v>49775.43718849717</v>
      </c>
      <c r="E324" s="15">
        <f>+Tabla3[[#This Row],[VALOR FACTURA]]-Tabla3[[#This Row],[VALOR PAGO]]</f>
        <v>0</v>
      </c>
      <c r="F324" s="15">
        <v>49775.43718849717</v>
      </c>
      <c r="G324" s="71"/>
      <c r="I324" s="71"/>
      <c r="J324" s="71"/>
      <c r="K324" s="71"/>
      <c r="M324" s="15"/>
      <c r="P324"/>
    </row>
    <row r="325" spans="1:16" x14ac:dyDescent="0.35">
      <c r="A325" t="s">
        <v>20</v>
      </c>
      <c r="B325" s="1">
        <v>45749</v>
      </c>
      <c r="C325" t="s">
        <v>145</v>
      </c>
      <c r="D325" s="15">
        <v>16851.599999999999</v>
      </c>
      <c r="E325" s="15">
        <f>+Tabla3[[#This Row],[VALOR FACTURA]]-Tabla3[[#This Row],[VALOR PAGO]]</f>
        <v>0</v>
      </c>
      <c r="F325" s="15">
        <v>16851.599999999999</v>
      </c>
      <c r="G325" s="71"/>
      <c r="I325" s="71"/>
      <c r="J325" s="71"/>
      <c r="K325" s="71"/>
      <c r="M325" s="15"/>
      <c r="P325"/>
    </row>
    <row r="326" spans="1:16" x14ac:dyDescent="0.35">
      <c r="A326" t="s">
        <v>20</v>
      </c>
      <c r="B326" s="1">
        <v>45749</v>
      </c>
      <c r="C326" t="s">
        <v>575</v>
      </c>
      <c r="D326" s="15">
        <v>5293.21</v>
      </c>
      <c r="E326" s="15">
        <f>+Tabla3[[#This Row],[VALOR FACTURA]]-Tabla3[[#This Row],[VALOR PAGO]]</f>
        <v>1058.6400000000003</v>
      </c>
      <c r="F326" s="15">
        <v>4234.57</v>
      </c>
      <c r="G326" s="71"/>
      <c r="I326" s="71"/>
      <c r="J326" s="71"/>
      <c r="K326" s="71"/>
      <c r="M326" s="15"/>
      <c r="P326"/>
    </row>
    <row r="327" spans="1:16" x14ac:dyDescent="0.35">
      <c r="A327" t="s">
        <v>20</v>
      </c>
      <c r="B327" s="1">
        <v>45749</v>
      </c>
      <c r="C327" t="s">
        <v>138</v>
      </c>
      <c r="D327" s="15">
        <v>545</v>
      </c>
      <c r="E327" s="15">
        <f>+Tabla3[[#This Row],[VALOR FACTURA]]-Tabla3[[#This Row],[VALOR PAGO]]</f>
        <v>0</v>
      </c>
      <c r="F327" s="15">
        <v>545</v>
      </c>
      <c r="G327" s="71"/>
      <c r="I327" s="71"/>
      <c r="J327" s="71"/>
      <c r="K327" s="71"/>
      <c r="M327" s="15"/>
      <c r="P327"/>
    </row>
    <row r="328" spans="1:16" x14ac:dyDescent="0.35">
      <c r="A328" t="s">
        <v>20</v>
      </c>
      <c r="B328" s="1">
        <v>45749</v>
      </c>
      <c r="C328" t="s">
        <v>766</v>
      </c>
      <c r="D328" s="15">
        <v>8902.5</v>
      </c>
      <c r="E328" s="15">
        <f>+Tabla3[[#This Row],[VALOR FACTURA]]-Tabla3[[#This Row],[VALOR PAGO]]</f>
        <v>0</v>
      </c>
      <c r="F328" s="15">
        <v>8902.5</v>
      </c>
      <c r="G328" s="71"/>
      <c r="I328" s="71"/>
      <c r="J328" s="71"/>
      <c r="K328" s="71"/>
      <c r="M328" s="15"/>
      <c r="P328"/>
    </row>
    <row r="329" spans="1:16" x14ac:dyDescent="0.35">
      <c r="A329" t="s">
        <v>20</v>
      </c>
      <c r="B329" s="1">
        <v>45749</v>
      </c>
      <c r="C329" t="s">
        <v>143</v>
      </c>
      <c r="D329" s="15">
        <v>3263.4243355409671</v>
      </c>
      <c r="E329" s="15">
        <f>+Tabla3[[#This Row],[VALOR FACTURA]]-Tabla3[[#This Row],[VALOR PAGO]]</f>
        <v>0</v>
      </c>
      <c r="F329" s="15">
        <v>3263.4243355409671</v>
      </c>
      <c r="G329" s="71"/>
      <c r="I329" s="71"/>
      <c r="J329" s="71"/>
      <c r="K329" s="71"/>
      <c r="M329" s="15"/>
      <c r="P329"/>
    </row>
    <row r="330" spans="1:16" x14ac:dyDescent="0.35">
      <c r="A330" t="s">
        <v>20</v>
      </c>
      <c r="B330" s="1">
        <v>45754</v>
      </c>
      <c r="C330" t="s">
        <v>957</v>
      </c>
      <c r="D330" s="15">
        <v>25000</v>
      </c>
      <c r="E330" s="15">
        <f>+Tabla3[[#This Row],[VALOR FACTURA]]-Tabla3[[#This Row],[VALOR PAGO]]</f>
        <v>0</v>
      </c>
      <c r="F330" s="15">
        <v>25000</v>
      </c>
      <c r="G330" s="71"/>
      <c r="I330" s="71"/>
      <c r="J330" s="71"/>
      <c r="K330" s="71"/>
      <c r="M330" s="15"/>
      <c r="P330"/>
    </row>
    <row r="331" spans="1:16" x14ac:dyDescent="0.35">
      <c r="A331" t="s">
        <v>20</v>
      </c>
      <c r="B331" s="1">
        <v>45755</v>
      </c>
      <c r="C331" t="s">
        <v>60</v>
      </c>
      <c r="D331" s="15">
        <v>15328</v>
      </c>
      <c r="E331" s="15">
        <f>+Tabla3[[#This Row],[VALOR FACTURA]]-Tabla3[[#This Row],[VALOR PAGO]]</f>
        <v>0</v>
      </c>
      <c r="F331" s="15">
        <v>15328</v>
      </c>
      <c r="G331" s="71"/>
      <c r="I331" s="71"/>
      <c r="J331" s="71"/>
      <c r="K331" s="71"/>
      <c r="M331" s="15"/>
      <c r="P331"/>
    </row>
    <row r="332" spans="1:16" x14ac:dyDescent="0.35">
      <c r="A332" t="s">
        <v>20</v>
      </c>
      <c r="B332" s="1">
        <v>45756</v>
      </c>
      <c r="C332" t="s">
        <v>959</v>
      </c>
      <c r="D332" s="15">
        <v>20000</v>
      </c>
      <c r="E332" s="15">
        <f>+Tabla3[[#This Row],[VALOR FACTURA]]-Tabla3[[#This Row],[VALOR PAGO]]</f>
        <v>0</v>
      </c>
      <c r="F332" s="15">
        <v>20000</v>
      </c>
      <c r="G332" s="71"/>
      <c r="H332" t="s">
        <v>695</v>
      </c>
      <c r="I332" s="148" t="s">
        <v>1023</v>
      </c>
      <c r="J332" s="71" t="s">
        <v>1022</v>
      </c>
      <c r="K332" s="71" t="s">
        <v>1025</v>
      </c>
      <c r="M332" s="15"/>
      <c r="P332"/>
    </row>
    <row r="333" spans="1:16" x14ac:dyDescent="0.35">
      <c r="A333" t="s">
        <v>20</v>
      </c>
      <c r="B333" s="1">
        <v>45756</v>
      </c>
      <c r="C333" t="s">
        <v>188</v>
      </c>
      <c r="D333" s="15">
        <v>371250</v>
      </c>
      <c r="E333" s="15">
        <f>+Tabla3[[#This Row],[VALOR FACTURA]]-Tabla3[[#This Row],[VALOR PAGO]]</f>
        <v>0</v>
      </c>
      <c r="F333" s="15">
        <v>371250</v>
      </c>
      <c r="G333" s="71"/>
      <c r="I333" s="71"/>
      <c r="J333" s="71"/>
      <c r="K333" s="71"/>
      <c r="M333" s="15"/>
      <c r="P333"/>
    </row>
    <row r="334" spans="1:16" x14ac:dyDescent="0.35">
      <c r="A334" t="s">
        <v>20</v>
      </c>
      <c r="B334" s="1">
        <v>45756</v>
      </c>
      <c r="C334" t="s">
        <v>1480</v>
      </c>
      <c r="D334" s="15">
        <v>225000</v>
      </c>
      <c r="E334" s="15">
        <f>+Tabla3[[#This Row],[VALOR FACTURA]]-Tabla3[[#This Row],[VALOR PAGO]]</f>
        <v>0</v>
      </c>
      <c r="F334" s="15">
        <v>225000</v>
      </c>
      <c r="G334" s="71"/>
      <c r="I334" s="71"/>
      <c r="J334" s="71"/>
      <c r="K334" s="71"/>
      <c r="M334" s="15"/>
      <c r="P334"/>
    </row>
    <row r="335" spans="1:16" x14ac:dyDescent="0.35">
      <c r="A335" t="s">
        <v>20</v>
      </c>
      <c r="B335" s="1">
        <v>45756</v>
      </c>
      <c r="C335" t="s">
        <v>141</v>
      </c>
      <c r="D335" s="15">
        <v>2000</v>
      </c>
      <c r="E335" s="15">
        <f>+Tabla3[[#This Row],[VALOR FACTURA]]-Tabla3[[#This Row],[VALOR PAGO]]</f>
        <v>200</v>
      </c>
      <c r="F335" s="15">
        <v>1800</v>
      </c>
      <c r="G335" s="71"/>
      <c r="I335" s="71"/>
      <c r="J335" s="71"/>
      <c r="K335" s="71"/>
      <c r="M335" s="15"/>
      <c r="P335"/>
    </row>
    <row r="336" spans="1:16" x14ac:dyDescent="0.35">
      <c r="A336" t="s">
        <v>20</v>
      </c>
      <c r="B336" s="1">
        <v>45763</v>
      </c>
      <c r="C336" t="s">
        <v>971</v>
      </c>
      <c r="D336" s="15">
        <v>20337.150000000001</v>
      </c>
      <c r="E336" s="15">
        <f>+Tabla3[[#This Row],[VALOR FACTURA]]-Tabla3[[#This Row],[VALOR PAGO]]</f>
        <v>0</v>
      </c>
      <c r="F336" s="15">
        <v>20337.150000000001</v>
      </c>
      <c r="G336" s="89">
        <v>17828.560000000001</v>
      </c>
      <c r="I336" s="89"/>
      <c r="J336" s="89"/>
      <c r="K336" s="89"/>
      <c r="M336" s="15"/>
      <c r="P336"/>
    </row>
    <row r="337" spans="1:16" x14ac:dyDescent="0.35">
      <c r="A337" t="s">
        <v>20</v>
      </c>
      <c r="B337" s="1">
        <v>45768</v>
      </c>
      <c r="C337" t="s">
        <v>281</v>
      </c>
      <c r="D337" s="15">
        <v>18926.310000000001</v>
      </c>
      <c r="E337" s="15">
        <f>+Tabla3[[#This Row],[VALOR FACTURA]]-Tabla3[[#This Row],[VALOR PAGO]]</f>
        <v>0</v>
      </c>
      <c r="F337" s="15">
        <v>18926.310000000001</v>
      </c>
      <c r="G337" s="89">
        <v>16344</v>
      </c>
      <c r="H337" t="s">
        <v>695</v>
      </c>
      <c r="I337" s="147" t="s">
        <v>1121</v>
      </c>
      <c r="J337" s="89" t="s">
        <v>1022</v>
      </c>
      <c r="K337" s="71" t="s">
        <v>1025</v>
      </c>
      <c r="M337" s="15"/>
      <c r="P337"/>
    </row>
    <row r="338" spans="1:16" x14ac:dyDescent="0.35">
      <c r="A338" t="s">
        <v>20</v>
      </c>
      <c r="B338" s="1">
        <v>45776</v>
      </c>
      <c r="C338" t="s">
        <v>145</v>
      </c>
      <c r="D338" s="15">
        <v>161305.48077741929</v>
      </c>
      <c r="E338" s="15">
        <f>+Tabla3[[#This Row],[VALOR FACTURA]]-Tabla3[[#This Row],[VALOR PAGO]]</f>
        <v>0</v>
      </c>
      <c r="F338" s="15">
        <v>161305.48077741929</v>
      </c>
      <c r="G338" s="71"/>
      <c r="I338" s="71"/>
      <c r="J338" s="71"/>
      <c r="K338" s="71"/>
      <c r="M338" s="15"/>
      <c r="P338"/>
    </row>
    <row r="339" spans="1:16" x14ac:dyDescent="0.35">
      <c r="A339" t="s">
        <v>20</v>
      </c>
      <c r="B339" s="1">
        <v>45776</v>
      </c>
      <c r="C339" t="s">
        <v>147</v>
      </c>
      <c r="D339" s="15">
        <v>58084.857259389828</v>
      </c>
      <c r="E339" s="15">
        <f>+Tabla3[[#This Row],[VALOR FACTURA]]-Tabla3[[#This Row],[VALOR PAGO]]</f>
        <v>0</v>
      </c>
      <c r="F339" s="15">
        <v>58084.857259389828</v>
      </c>
      <c r="G339" s="71"/>
      <c r="I339" s="71"/>
      <c r="J339" s="71"/>
      <c r="K339" s="71"/>
      <c r="M339" s="15"/>
      <c r="P339"/>
    </row>
    <row r="340" spans="1:16" x14ac:dyDescent="0.35">
      <c r="A340" t="s">
        <v>20</v>
      </c>
      <c r="B340" s="1">
        <v>45776</v>
      </c>
      <c r="C340" t="s">
        <v>147</v>
      </c>
      <c r="D340" s="15">
        <v>4557.9399999999996</v>
      </c>
      <c r="E340" s="15">
        <f>+Tabla3[[#This Row],[VALOR FACTURA]]-Tabla3[[#This Row],[VALOR PAGO]]</f>
        <v>0</v>
      </c>
      <c r="F340" s="15">
        <v>4557.9399999999996</v>
      </c>
      <c r="G340" s="71"/>
      <c r="I340" s="71"/>
      <c r="J340" s="71"/>
      <c r="K340" s="71"/>
      <c r="M340" s="15"/>
      <c r="P340"/>
    </row>
    <row r="341" spans="1:16" x14ac:dyDescent="0.35">
      <c r="A341" t="s">
        <v>20</v>
      </c>
      <c r="B341" s="1">
        <v>45776</v>
      </c>
      <c r="C341" t="s">
        <v>143</v>
      </c>
      <c r="D341" s="15">
        <v>6001.2878845225832</v>
      </c>
      <c r="E341" s="15">
        <f>+Tabla3[[#This Row],[VALOR FACTURA]]-Tabla3[[#This Row],[VALOR PAGO]]</f>
        <v>0</v>
      </c>
      <c r="F341" s="15">
        <v>6001.2878845225832</v>
      </c>
      <c r="G341" s="71"/>
      <c r="I341" s="71"/>
      <c r="J341" s="71"/>
      <c r="K341" s="71"/>
      <c r="M341" s="15"/>
      <c r="P341"/>
    </row>
    <row r="342" spans="1:16" x14ac:dyDescent="0.35">
      <c r="A342" t="s">
        <v>20</v>
      </c>
      <c r="B342" s="1">
        <v>45776</v>
      </c>
      <c r="C342" t="s">
        <v>567</v>
      </c>
      <c r="D342" s="15">
        <v>3390</v>
      </c>
      <c r="E342" s="15">
        <f>+Tabla3[[#This Row],[VALOR FACTURA]]-Tabla3[[#This Row],[VALOR PAGO]]</f>
        <v>678</v>
      </c>
      <c r="F342" s="146">
        <v>2712</v>
      </c>
      <c r="G342" s="71"/>
      <c r="I342" s="71"/>
      <c r="J342" s="71"/>
      <c r="K342" s="71"/>
      <c r="M342" s="15"/>
      <c r="P342"/>
    </row>
    <row r="343" spans="1:16" x14ac:dyDescent="0.35">
      <c r="A343" t="s">
        <v>20</v>
      </c>
      <c r="B343" s="1">
        <v>45776</v>
      </c>
      <c r="C343" t="s">
        <v>60</v>
      </c>
      <c r="D343" s="15">
        <v>9580</v>
      </c>
      <c r="E343" s="15">
        <f>+Tabla3[[#This Row],[VALOR FACTURA]]-Tabla3[[#This Row],[VALOR PAGO]]</f>
        <v>1916</v>
      </c>
      <c r="F343" s="146">
        <v>7664</v>
      </c>
      <c r="G343" s="71"/>
      <c r="I343" s="71"/>
      <c r="J343" s="71"/>
      <c r="K343" s="71"/>
      <c r="M343" s="15"/>
      <c r="P343"/>
    </row>
    <row r="344" spans="1:16" x14ac:dyDescent="0.35">
      <c r="A344" t="s">
        <v>20</v>
      </c>
      <c r="B344" s="1">
        <v>45776</v>
      </c>
      <c r="C344" t="s">
        <v>138</v>
      </c>
      <c r="D344" s="146">
        <v>545</v>
      </c>
      <c r="E344" s="15">
        <f>+Tabla3[[#This Row],[VALOR FACTURA]]-Tabla3[[#This Row],[VALOR PAGO]]</f>
        <v>0</v>
      </c>
      <c r="F344" s="146">
        <v>545</v>
      </c>
      <c r="G344" s="71"/>
      <c r="I344" s="71"/>
      <c r="J344" s="71"/>
      <c r="K344" s="71"/>
      <c r="M344" s="15"/>
      <c r="P344"/>
    </row>
    <row r="345" spans="1:16" x14ac:dyDescent="0.35">
      <c r="A345" t="s">
        <v>20</v>
      </c>
      <c r="B345" s="1">
        <v>45776</v>
      </c>
      <c r="C345" t="s">
        <v>739</v>
      </c>
      <c r="D345" s="146">
        <f>2987.86+2871.88+2484.24</f>
        <v>8343.98</v>
      </c>
      <c r="E345" s="15">
        <f>+Tabla3[[#This Row],[VALOR FACTURA]]-Tabla3[[#This Row],[VALOR PAGO]]</f>
        <v>0</v>
      </c>
      <c r="F345" s="146">
        <v>8343.98</v>
      </c>
      <c r="G345" s="71"/>
      <c r="I345" s="71"/>
      <c r="J345" s="71"/>
      <c r="K345" s="71"/>
      <c r="M345" s="15"/>
      <c r="P345"/>
    </row>
    <row r="346" spans="1:16" x14ac:dyDescent="0.35">
      <c r="A346" t="s">
        <v>20</v>
      </c>
      <c r="B346" s="1">
        <v>45776</v>
      </c>
      <c r="C346" t="s">
        <v>139</v>
      </c>
      <c r="D346" s="15">
        <f>12279.26+4447.48+3600+3000</f>
        <v>23326.739999999998</v>
      </c>
      <c r="E346" s="15">
        <f>+Tabla3[[#This Row],[VALOR FACTURA]]-Tabla3[[#This Row],[VALOR PAGO]]</f>
        <v>0</v>
      </c>
      <c r="F346" s="146">
        <v>23326.739999999998</v>
      </c>
      <c r="G346" s="71"/>
      <c r="I346" s="71"/>
      <c r="J346" s="71"/>
      <c r="K346" s="71"/>
      <c r="M346" s="15"/>
      <c r="P346"/>
    </row>
    <row r="347" spans="1:16" x14ac:dyDescent="0.35">
      <c r="A347" t="s">
        <v>20</v>
      </c>
      <c r="B347" s="1">
        <v>45777</v>
      </c>
      <c r="C347" t="s">
        <v>217</v>
      </c>
      <c r="D347" s="15">
        <v>64250</v>
      </c>
      <c r="E347" s="15">
        <f>+Tabla3[[#This Row],[VALOR FACTURA]]-Tabla3[[#This Row],[VALOR PAGO]]</f>
        <v>0</v>
      </c>
      <c r="F347" s="15">
        <v>64250</v>
      </c>
      <c r="G347" s="71"/>
      <c r="H347" t="s">
        <v>653</v>
      </c>
      <c r="I347" s="71"/>
      <c r="J347" s="71"/>
      <c r="K347" s="71"/>
      <c r="M347" s="15"/>
      <c r="P347"/>
    </row>
    <row r="348" spans="1:16" x14ac:dyDescent="0.35">
      <c r="A348" t="s">
        <v>20</v>
      </c>
      <c r="B348" s="1">
        <v>45777</v>
      </c>
      <c r="C348" t="s">
        <v>217</v>
      </c>
      <c r="D348" s="15">
        <v>64250</v>
      </c>
      <c r="E348" s="15">
        <f>+Tabla3[[#This Row],[VALOR FACTURA]]-Tabla3[[#This Row],[VALOR PAGO]]</f>
        <v>0</v>
      </c>
      <c r="F348" s="15">
        <v>64250</v>
      </c>
      <c r="G348" s="71"/>
      <c r="H348" t="s">
        <v>653</v>
      </c>
      <c r="I348" s="71"/>
      <c r="J348" s="71"/>
      <c r="K348" s="71"/>
      <c r="M348" s="15"/>
      <c r="P348"/>
    </row>
    <row r="349" spans="1:16" x14ac:dyDescent="0.35">
      <c r="A349" t="s">
        <v>194</v>
      </c>
      <c r="B349" s="1">
        <v>45777</v>
      </c>
      <c r="C349" t="s">
        <v>217</v>
      </c>
      <c r="D349" s="15">
        <v>300000</v>
      </c>
      <c r="E349" s="15">
        <f>+Tabla3[[#This Row],[VALOR FACTURA]]-Tabla3[[#This Row],[VALOR PAGO]]</f>
        <v>0</v>
      </c>
      <c r="F349" s="15">
        <v>300000</v>
      </c>
      <c r="G349" s="71"/>
      <c r="H349" t="s">
        <v>1005</v>
      </c>
      <c r="I349" s="71"/>
      <c r="J349" s="71"/>
      <c r="K349" s="71"/>
      <c r="M349" s="15"/>
      <c r="P349"/>
    </row>
    <row r="350" spans="1:16" x14ac:dyDescent="0.35">
      <c r="A350" t="s">
        <v>194</v>
      </c>
      <c r="B350" s="1">
        <v>45777</v>
      </c>
      <c r="C350" t="s">
        <v>217</v>
      </c>
      <c r="D350" s="15">
        <v>6994.67</v>
      </c>
      <c r="E350" s="15">
        <f>+Tabla3[[#This Row],[VALOR FACTURA]]-Tabla3[[#This Row],[VALOR PAGO]]</f>
        <v>0</v>
      </c>
      <c r="F350" s="15">
        <v>6994.67</v>
      </c>
      <c r="G350" s="71"/>
      <c r="H350" t="s">
        <v>653</v>
      </c>
      <c r="I350" s="71"/>
      <c r="J350" s="71"/>
      <c r="K350" s="71"/>
      <c r="M350" s="15"/>
      <c r="P350"/>
    </row>
    <row r="351" spans="1:16" x14ac:dyDescent="0.35">
      <c r="A351" t="s">
        <v>20</v>
      </c>
      <c r="B351" s="1">
        <v>45784</v>
      </c>
      <c r="C351" t="s">
        <v>145</v>
      </c>
      <c r="D351" s="96">
        <f>64373315/4305.02</f>
        <v>14953.081518785044</v>
      </c>
      <c r="E351" s="15">
        <f>+Tabla3[[#This Row],[VALOR FACTURA]]-Tabla3[[#This Row],[VALOR PAGO]]</f>
        <v>0</v>
      </c>
      <c r="F351" s="96">
        <f>64373315/4305.02</f>
        <v>14953.081518785044</v>
      </c>
      <c r="G351" s="71"/>
      <c r="I351" s="71"/>
      <c r="J351" s="71"/>
      <c r="K351" s="71"/>
      <c r="M351" s="15"/>
      <c r="P351"/>
    </row>
    <row r="352" spans="1:16" x14ac:dyDescent="0.35">
      <c r="A352" t="s">
        <v>20</v>
      </c>
      <c r="B352" s="1">
        <v>45784</v>
      </c>
      <c r="C352" t="s">
        <v>145</v>
      </c>
      <c r="D352" s="96">
        <f>15327.84+5941.37-238.53</f>
        <v>21030.68</v>
      </c>
      <c r="E352" s="15">
        <f>+Tabla3[[#This Row],[VALOR FACTURA]]-Tabla3[[#This Row],[VALOR PAGO]]</f>
        <v>0</v>
      </c>
      <c r="F352" s="96">
        <f>15327.84+5941.37-238.53</f>
        <v>21030.68</v>
      </c>
      <c r="G352" s="71"/>
      <c r="I352" s="71"/>
      <c r="J352" s="71"/>
      <c r="K352" s="71"/>
      <c r="M352" s="15"/>
      <c r="P352"/>
    </row>
    <row r="353" spans="1:16" x14ac:dyDescent="0.35">
      <c r="A353" t="s">
        <v>20</v>
      </c>
      <c r="B353" s="1">
        <v>45784</v>
      </c>
      <c r="C353" t="s">
        <v>147</v>
      </c>
      <c r="D353" s="96">
        <f>4306787/4192.57</f>
        <v>1027.2427174740076</v>
      </c>
      <c r="E353" s="15">
        <f>+Tabla3[[#This Row],[VALOR FACTURA]]-Tabla3[[#This Row],[VALOR PAGO]]</f>
        <v>0</v>
      </c>
      <c r="F353" s="96">
        <f>4306787/4192.57</f>
        <v>1027.2427174740076</v>
      </c>
      <c r="G353" s="71"/>
      <c r="I353" s="71"/>
      <c r="J353" s="71"/>
      <c r="K353" s="71"/>
      <c r="M353" s="15"/>
      <c r="P353"/>
    </row>
    <row r="354" spans="1:16" x14ac:dyDescent="0.35">
      <c r="A354" t="s">
        <v>20</v>
      </c>
      <c r="B354" s="1">
        <v>45784</v>
      </c>
      <c r="C354" t="s">
        <v>147</v>
      </c>
      <c r="D354" s="96">
        <v>301.12</v>
      </c>
      <c r="E354" s="15">
        <f>+Tabla3[[#This Row],[VALOR FACTURA]]-Tabla3[[#This Row],[VALOR PAGO]]</f>
        <v>0</v>
      </c>
      <c r="F354" s="96">
        <v>301.12</v>
      </c>
      <c r="G354" s="71"/>
      <c r="I354" s="71"/>
      <c r="J354" s="71"/>
      <c r="K354" s="71"/>
      <c r="M354" s="15"/>
      <c r="P354"/>
    </row>
    <row r="355" spans="1:16" x14ac:dyDescent="0.35">
      <c r="A355" t="s">
        <v>20</v>
      </c>
      <c r="B355" s="1">
        <v>45786</v>
      </c>
      <c r="C355" t="s">
        <v>1156</v>
      </c>
      <c r="D355" s="15">
        <v>22000</v>
      </c>
      <c r="E355" s="15">
        <f>+Tabla3[[#This Row],[VALOR FACTURA]]-Tabla3[[#This Row],[VALOR PAGO]]</f>
        <v>0</v>
      </c>
      <c r="F355" s="15">
        <v>22000</v>
      </c>
      <c r="G355" s="71"/>
      <c r="H355" t="s">
        <v>1157</v>
      </c>
      <c r="I355" s="71"/>
      <c r="J355" s="71"/>
      <c r="K355" s="71"/>
    </row>
    <row r="356" spans="1:16" x14ac:dyDescent="0.35">
      <c r="A356" t="s">
        <v>20</v>
      </c>
      <c r="B356" s="1">
        <v>45789</v>
      </c>
      <c r="C356" t="s">
        <v>957</v>
      </c>
      <c r="D356" s="15">
        <v>25000</v>
      </c>
      <c r="E356" s="15">
        <f>+Tabla3[[#This Row],[VALOR FACTURA]]-Tabla3[[#This Row],[VALOR PAGO]]</f>
        <v>0</v>
      </c>
      <c r="F356" s="15">
        <v>25000</v>
      </c>
      <c r="G356" s="71"/>
      <c r="I356" s="71"/>
      <c r="J356" s="71"/>
      <c r="K356" s="71"/>
    </row>
    <row r="357" spans="1:16" x14ac:dyDescent="0.35">
      <c r="A357" t="s">
        <v>195</v>
      </c>
      <c r="B357" s="1">
        <v>45791</v>
      </c>
      <c r="C357" t="s">
        <v>218</v>
      </c>
      <c r="D357" s="96">
        <v>35441.910000000003</v>
      </c>
      <c r="E357" s="15">
        <f>+Tabla3[[#This Row],[VALOR FACTURA]]-Tabla3[[#This Row],[VALOR PAGO]]</f>
        <v>0</v>
      </c>
      <c r="F357" s="96">
        <v>35441.910000000003</v>
      </c>
      <c r="G357" s="71"/>
      <c r="I357" s="71"/>
      <c r="J357" s="71"/>
      <c r="K357" s="71"/>
    </row>
    <row r="358" spans="1:16" x14ac:dyDescent="0.35">
      <c r="A358" t="s">
        <v>20</v>
      </c>
      <c r="B358" s="1">
        <v>45791</v>
      </c>
      <c r="C358" t="s">
        <v>575</v>
      </c>
      <c r="D358" s="15">
        <v>6156.62</v>
      </c>
      <c r="E358" s="15">
        <f>+Tabla3[[#This Row],[VALOR FACTURA]]-Tabla3[[#This Row],[VALOR PAGO]]</f>
        <v>1231.3199999999997</v>
      </c>
      <c r="F358" s="96">
        <f>4709.3+216</f>
        <v>4925.3</v>
      </c>
      <c r="G358" s="71"/>
      <c r="I358" s="71"/>
      <c r="J358" s="71"/>
      <c r="K358" s="71"/>
    </row>
    <row r="359" spans="1:16" x14ac:dyDescent="0.35">
      <c r="A359" t="s">
        <v>20</v>
      </c>
      <c r="B359" s="1">
        <v>45791</v>
      </c>
      <c r="C359" t="s">
        <v>230</v>
      </c>
      <c r="D359" s="15">
        <v>6180.24</v>
      </c>
      <c r="E359" s="15">
        <f>+Tabla3[[#This Row],[VALOR FACTURA]]-Tabla3[[#This Row],[VALOR PAGO]]</f>
        <v>1236.0500000000002</v>
      </c>
      <c r="F359" s="96">
        <v>4944.1899999999996</v>
      </c>
      <c r="G359" s="71"/>
      <c r="I359" s="71"/>
      <c r="J359" s="71"/>
      <c r="K359" s="71"/>
    </row>
    <row r="360" spans="1:16" x14ac:dyDescent="0.35">
      <c r="A360" t="s">
        <v>20</v>
      </c>
      <c r="B360" s="1">
        <v>45798</v>
      </c>
      <c r="C360" t="s">
        <v>138</v>
      </c>
      <c r="D360" s="15">
        <v>545</v>
      </c>
      <c r="E360" s="15">
        <f>+Tabla3[[#This Row],[VALOR FACTURA]]-Tabla3[[#This Row],[VALOR PAGO]]</f>
        <v>0</v>
      </c>
      <c r="F360" s="149">
        <v>545</v>
      </c>
      <c r="G360" s="71"/>
      <c r="I360" s="71"/>
      <c r="J360" s="71"/>
      <c r="K360" s="71"/>
    </row>
    <row r="361" spans="1:16" x14ac:dyDescent="0.35">
      <c r="A361" t="s">
        <v>20</v>
      </c>
      <c r="B361" s="1">
        <v>45798</v>
      </c>
      <c r="C361" t="s">
        <v>575</v>
      </c>
      <c r="D361" s="15">
        <v>1600</v>
      </c>
      <c r="E361" s="15">
        <f>+Tabla3[[#This Row],[VALOR FACTURA]]-Tabla3[[#This Row],[VALOR PAGO]]</f>
        <v>320</v>
      </c>
      <c r="F361" s="15">
        <v>1280</v>
      </c>
      <c r="G361" s="71"/>
      <c r="I361" s="71"/>
      <c r="J361" s="71"/>
      <c r="K361" s="71"/>
    </row>
    <row r="362" spans="1:16" x14ac:dyDescent="0.35">
      <c r="A362" t="s">
        <v>20</v>
      </c>
      <c r="B362" s="1">
        <v>45799</v>
      </c>
      <c r="C362" t="s">
        <v>217</v>
      </c>
      <c r="D362" s="15">
        <v>81096.800000000003</v>
      </c>
      <c r="E362" s="15">
        <f>+Tabla3[[#This Row],[VALOR FACTURA]]-Tabla3[[#This Row],[VALOR PAGO]]</f>
        <v>0</v>
      </c>
      <c r="F362" s="15">
        <v>81096.800000000003</v>
      </c>
      <c r="G362" s="71"/>
      <c r="H362" t="s">
        <v>653</v>
      </c>
      <c r="I362" s="71"/>
      <c r="J362" s="71"/>
      <c r="K362" s="71"/>
    </row>
    <row r="363" spans="1:16" x14ac:dyDescent="0.35">
      <c r="A363" t="s">
        <v>19</v>
      </c>
      <c r="B363" s="1">
        <v>45799</v>
      </c>
      <c r="C363" t="s">
        <v>217</v>
      </c>
      <c r="D363" s="15">
        <v>98742.33</v>
      </c>
      <c r="E363" s="15">
        <f>+Tabla3[[#This Row],[VALOR FACTURA]]-Tabla3[[#This Row],[VALOR PAGO]]</f>
        <v>0</v>
      </c>
      <c r="F363" s="15">
        <v>98742.33</v>
      </c>
      <c r="G363" s="71"/>
      <c r="H363" t="s">
        <v>653</v>
      </c>
      <c r="I363" s="71"/>
      <c r="J363" s="71"/>
      <c r="K363" s="71"/>
    </row>
    <row r="364" spans="1:16" x14ac:dyDescent="0.35">
      <c r="A364" t="s">
        <v>194</v>
      </c>
      <c r="B364" s="1">
        <v>45799</v>
      </c>
      <c r="C364" t="s">
        <v>217</v>
      </c>
      <c r="D364" s="15">
        <v>72956.67</v>
      </c>
      <c r="E364" s="15">
        <f>+Tabla3[[#This Row],[VALOR FACTURA]]-Tabla3[[#This Row],[VALOR PAGO]]</f>
        <v>0</v>
      </c>
      <c r="F364" s="15">
        <v>72956.67</v>
      </c>
      <c r="G364" s="71"/>
      <c r="H364" t="s">
        <v>653</v>
      </c>
      <c r="I364" s="71"/>
      <c r="J364" s="71"/>
      <c r="K364" s="71"/>
    </row>
    <row r="365" spans="1:16" x14ac:dyDescent="0.35">
      <c r="A365" t="s">
        <v>20</v>
      </c>
      <c r="B365" s="1">
        <v>45804</v>
      </c>
      <c r="C365" t="s">
        <v>1067</v>
      </c>
      <c r="D365" s="15">
        <v>100892.06</v>
      </c>
      <c r="E365" s="15">
        <f>+Tabla3[[#This Row],[VALOR FACTURA]]-Tabla3[[#This Row],[VALOR PAGO]]</f>
        <v>20178.410000000003</v>
      </c>
      <c r="F365" s="15">
        <v>80713.649999999994</v>
      </c>
      <c r="G365" s="71"/>
      <c r="I365" s="71"/>
      <c r="J365" s="71"/>
      <c r="K365" s="71"/>
    </row>
    <row r="366" spans="1:16" x14ac:dyDescent="0.35">
      <c r="A366" t="s">
        <v>20</v>
      </c>
      <c r="B366" s="1">
        <v>45805</v>
      </c>
      <c r="C366" t="s">
        <v>145</v>
      </c>
      <c r="D366" s="149">
        <v>18610.79</v>
      </c>
      <c r="E366" s="15">
        <f>+Tabla3[[#This Row],[VALOR FACTURA]]-Tabla3[[#This Row],[VALOR PAGO]]</f>
        <v>0</v>
      </c>
      <c r="F366" s="149">
        <v>18610.79</v>
      </c>
      <c r="G366" s="71"/>
      <c r="I366" s="71"/>
      <c r="J366" s="71"/>
      <c r="K366" s="71"/>
    </row>
    <row r="367" spans="1:16" x14ac:dyDescent="0.35">
      <c r="A367" t="s">
        <v>20</v>
      </c>
      <c r="B367" s="1">
        <v>45805</v>
      </c>
      <c r="C367" t="s">
        <v>145</v>
      </c>
      <c r="D367" s="149">
        <v>140379.62404466892</v>
      </c>
      <c r="E367" s="15">
        <f>+Tabla3[[#This Row],[VALOR FACTURA]]-Tabla3[[#This Row],[VALOR PAGO]]</f>
        <v>0</v>
      </c>
      <c r="F367" s="149">
        <v>140379.62404466892</v>
      </c>
      <c r="G367" s="71"/>
      <c r="I367" s="71"/>
      <c r="J367" s="71"/>
      <c r="K367" s="71"/>
    </row>
    <row r="368" spans="1:16" x14ac:dyDescent="0.35">
      <c r="A368" t="s">
        <v>20</v>
      </c>
      <c r="B368" s="1">
        <v>45805</v>
      </c>
      <c r="C368" t="s">
        <v>147</v>
      </c>
      <c r="D368" s="149">
        <v>4499.21</v>
      </c>
      <c r="E368" s="15">
        <f>+Tabla3[[#This Row],[VALOR FACTURA]]-Tabla3[[#This Row],[VALOR PAGO]]</f>
        <v>0</v>
      </c>
      <c r="F368" s="149">
        <v>4499.21</v>
      </c>
      <c r="G368" s="71"/>
      <c r="I368" s="71"/>
      <c r="J368" s="71"/>
      <c r="K368" s="71"/>
    </row>
    <row r="369" spans="1:11" x14ac:dyDescent="0.35">
      <c r="A369" t="s">
        <v>20</v>
      </c>
      <c r="B369" s="1">
        <v>45805</v>
      </c>
      <c r="C369" t="s">
        <v>147</v>
      </c>
      <c r="D369" s="149">
        <v>32449.323263861599</v>
      </c>
      <c r="E369" s="15">
        <f>+Tabla3[[#This Row],[VALOR FACTURA]]-Tabla3[[#This Row],[VALOR PAGO]]</f>
        <v>0</v>
      </c>
      <c r="F369" s="149">
        <v>32449.323263861599</v>
      </c>
      <c r="G369" s="71"/>
      <c r="I369" s="71"/>
      <c r="J369" s="71"/>
      <c r="K369" s="71"/>
    </row>
    <row r="370" spans="1:11" x14ac:dyDescent="0.35">
      <c r="A370" t="s">
        <v>20</v>
      </c>
      <c r="B370" s="1">
        <v>45805</v>
      </c>
      <c r="C370" t="s">
        <v>143</v>
      </c>
      <c r="D370" s="149">
        <v>5013.5679372115846</v>
      </c>
      <c r="E370" s="15">
        <f>+Tabla3[[#This Row],[VALOR FACTURA]]-Tabla3[[#This Row],[VALOR PAGO]]</f>
        <v>0</v>
      </c>
      <c r="F370" s="149">
        <v>5013.5679372115846</v>
      </c>
      <c r="G370" s="71"/>
      <c r="I370" s="71"/>
      <c r="J370" s="71"/>
      <c r="K370" s="71"/>
    </row>
    <row r="371" spans="1:11" x14ac:dyDescent="0.35">
      <c r="A371" t="s">
        <v>20</v>
      </c>
      <c r="B371" s="1">
        <v>45805</v>
      </c>
      <c r="C371" t="s">
        <v>739</v>
      </c>
      <c r="D371" s="149">
        <v>5478.72</v>
      </c>
      <c r="E371" s="15">
        <f>+Tabla3[[#This Row],[VALOR FACTURA]]-Tabla3[[#This Row],[VALOR PAGO]]</f>
        <v>0</v>
      </c>
      <c r="F371" s="149">
        <v>5478.72</v>
      </c>
      <c r="G371" s="71"/>
      <c r="I371" s="71"/>
      <c r="J371" s="71"/>
      <c r="K371" s="71"/>
    </row>
    <row r="372" spans="1:11" x14ac:dyDescent="0.35">
      <c r="A372" t="s">
        <v>20</v>
      </c>
      <c r="B372" s="1">
        <v>45805</v>
      </c>
      <c r="C372" t="s">
        <v>567</v>
      </c>
      <c r="D372" s="15">
        <v>3390</v>
      </c>
      <c r="E372" s="15">
        <f>+Tabla3[[#This Row],[VALOR FACTURA]]-Tabla3[[#This Row],[VALOR PAGO]]</f>
        <v>678</v>
      </c>
      <c r="F372" s="149">
        <v>2712</v>
      </c>
      <c r="G372" s="71"/>
      <c r="I372" s="71"/>
      <c r="J372" s="71"/>
      <c r="K372" s="71"/>
    </row>
    <row r="373" spans="1:11" x14ac:dyDescent="0.35">
      <c r="A373" t="s">
        <v>20</v>
      </c>
      <c r="B373" s="1">
        <v>45805</v>
      </c>
      <c r="C373" t="s">
        <v>60</v>
      </c>
      <c r="D373" s="15">
        <v>9580</v>
      </c>
      <c r="E373" s="15">
        <f>+Tabla3[[#This Row],[VALOR FACTURA]]-Tabla3[[#This Row],[VALOR PAGO]]</f>
        <v>1916</v>
      </c>
      <c r="F373" s="149">
        <v>7664</v>
      </c>
      <c r="G373" s="71"/>
      <c r="I373" s="71"/>
      <c r="J373" s="71"/>
      <c r="K373" s="71"/>
    </row>
    <row r="374" spans="1:11" x14ac:dyDescent="0.35">
      <c r="A374" t="s">
        <v>20</v>
      </c>
      <c r="B374" s="1">
        <v>45812</v>
      </c>
      <c r="C374" t="s">
        <v>147</v>
      </c>
      <c r="D374" s="15">
        <v>17015.602679794134</v>
      </c>
      <c r="E374" s="15">
        <f>+Tabla3[[#This Row],[VALOR FACTURA]]-Tabla3[[#This Row],[VALOR PAGO]]</f>
        <v>0</v>
      </c>
      <c r="F374" s="15">
        <v>17015.602679794134</v>
      </c>
      <c r="G374" s="71"/>
      <c r="I374" s="71"/>
      <c r="J374" s="71"/>
      <c r="K374" s="71"/>
    </row>
    <row r="375" spans="1:11" x14ac:dyDescent="0.35">
      <c r="A375" t="s">
        <v>20</v>
      </c>
      <c r="B375" s="1">
        <v>45812</v>
      </c>
      <c r="C375" t="s">
        <v>575</v>
      </c>
      <c r="D375" s="15">
        <v>7774.35</v>
      </c>
      <c r="E375" s="15">
        <f>+Tabla3[[#This Row],[VALOR FACTURA]]-Tabla3[[#This Row],[VALOR PAGO]]</f>
        <v>1554.8700000000008</v>
      </c>
      <c r="F375" s="96">
        <v>6219.48</v>
      </c>
      <c r="G375" s="71"/>
      <c r="I375" s="71"/>
      <c r="J375" s="71"/>
      <c r="K375" s="71"/>
    </row>
    <row r="376" spans="1:11" x14ac:dyDescent="0.35">
      <c r="A376" t="s">
        <v>20</v>
      </c>
      <c r="B376" s="1">
        <v>45812</v>
      </c>
      <c r="C376" t="s">
        <v>144</v>
      </c>
      <c r="D376" s="96">
        <v>5000</v>
      </c>
      <c r="E376" s="15">
        <f>+Tabla3[[#This Row],[VALOR FACTURA]]-Tabla3[[#This Row],[VALOR PAGO]]</f>
        <v>0</v>
      </c>
      <c r="F376" s="96">
        <v>5000</v>
      </c>
      <c r="G376" s="71"/>
      <c r="I376" s="71"/>
      <c r="J376" s="71"/>
      <c r="K376" s="71"/>
    </row>
    <row r="377" spans="1:11" x14ac:dyDescent="0.35">
      <c r="A377" t="s">
        <v>20</v>
      </c>
      <c r="B377" s="1">
        <v>45812</v>
      </c>
      <c r="C377" t="s">
        <v>739</v>
      </c>
      <c r="D377" s="96">
        <v>2977.91</v>
      </c>
      <c r="E377" s="15">
        <f>+Tabla3[[#This Row],[VALOR FACTURA]]-Tabla3[[#This Row],[VALOR PAGO]]</f>
        <v>0</v>
      </c>
      <c r="F377" s="96">
        <v>2977.91</v>
      </c>
      <c r="G377" s="71"/>
      <c r="I377" s="71"/>
      <c r="J377" s="71"/>
      <c r="K377" s="71"/>
    </row>
    <row r="378" spans="1:11" x14ac:dyDescent="0.35">
      <c r="A378" t="s">
        <v>20</v>
      </c>
      <c r="B378" s="1">
        <v>45812</v>
      </c>
      <c r="C378" t="s">
        <v>1077</v>
      </c>
      <c r="D378" s="15">
        <v>375</v>
      </c>
      <c r="E378" s="15">
        <f>+Tabla3[[#This Row],[VALOR FACTURA]]-Tabla3[[#This Row],[VALOR PAGO]]</f>
        <v>37.5</v>
      </c>
      <c r="F378" s="96">
        <v>337.5</v>
      </c>
      <c r="G378" s="71"/>
      <c r="I378" s="71"/>
      <c r="J378" s="71"/>
      <c r="K378" s="71"/>
    </row>
    <row r="379" spans="1:11" x14ac:dyDescent="0.35">
      <c r="A379" t="s">
        <v>20</v>
      </c>
      <c r="B379" s="1">
        <v>45812</v>
      </c>
      <c r="C379" t="s">
        <v>660</v>
      </c>
      <c r="D379" s="96">
        <v>1100</v>
      </c>
      <c r="E379" s="15">
        <f>+Tabla3[[#This Row],[VALOR FACTURA]]-Tabla3[[#This Row],[VALOR PAGO]]</f>
        <v>0</v>
      </c>
      <c r="F379" s="96">
        <v>1100</v>
      </c>
      <c r="G379" s="71"/>
      <c r="I379" s="71"/>
      <c r="J379" s="71"/>
      <c r="K379" s="71"/>
    </row>
    <row r="380" spans="1:11" x14ac:dyDescent="0.35">
      <c r="A380" t="s">
        <v>20</v>
      </c>
      <c r="B380" s="1">
        <v>45818</v>
      </c>
      <c r="C380" t="s">
        <v>1480</v>
      </c>
      <c r="D380" s="96">
        <v>250000</v>
      </c>
      <c r="E380" s="15">
        <f>+Tabla3[[#This Row],[VALOR FACTURA]]-Tabla3[[#This Row],[VALOR PAGO]]</f>
        <v>25000</v>
      </c>
      <c r="F380" s="96">
        <v>225000</v>
      </c>
      <c r="G380" s="71"/>
      <c r="I380" s="71"/>
      <c r="J380" s="71"/>
      <c r="K380" s="71"/>
    </row>
    <row r="381" spans="1:11" x14ac:dyDescent="0.35">
      <c r="A381" t="s">
        <v>20</v>
      </c>
      <c r="B381" s="1">
        <v>45818</v>
      </c>
      <c r="C381" t="s">
        <v>188</v>
      </c>
      <c r="D381" s="96">
        <v>412500</v>
      </c>
      <c r="E381" s="15">
        <f>+Tabla3[[#This Row],[VALOR FACTURA]]-Tabla3[[#This Row],[VALOR PAGO]]</f>
        <v>41250</v>
      </c>
      <c r="F381" s="96">
        <v>371250</v>
      </c>
      <c r="G381" s="71"/>
      <c r="I381" s="71"/>
      <c r="J381" s="71"/>
      <c r="K381" s="71"/>
    </row>
    <row r="382" spans="1:11" x14ac:dyDescent="0.35">
      <c r="A382" t="s">
        <v>20</v>
      </c>
      <c r="B382" s="1">
        <v>45819</v>
      </c>
      <c r="C382" t="s">
        <v>145</v>
      </c>
      <c r="D382" s="15">
        <v>17840.347896633182</v>
      </c>
      <c r="E382" s="15">
        <f>+Tabla3[[#This Row],[VALOR FACTURA]]-Tabla3[[#This Row],[VALOR PAGO]]</f>
        <v>0</v>
      </c>
      <c r="F382" s="15">
        <v>17840.347896633182</v>
      </c>
      <c r="G382" s="71"/>
      <c r="I382" s="71"/>
      <c r="J382" s="71"/>
      <c r="K382" s="71"/>
    </row>
    <row r="383" spans="1:11" x14ac:dyDescent="0.35">
      <c r="A383" t="s">
        <v>20</v>
      </c>
      <c r="B383" s="1">
        <v>45826</v>
      </c>
      <c r="C383" t="s">
        <v>1077</v>
      </c>
      <c r="D383" s="15">
        <v>1864</v>
      </c>
      <c r="E383" s="15">
        <f>+Tabla3[[#This Row],[VALOR FACTURA]]-Tabla3[[#This Row],[VALOR PAGO]]</f>
        <v>186.40000000000009</v>
      </c>
      <c r="F383" s="152">
        <v>1677.6</v>
      </c>
      <c r="G383" s="71"/>
      <c r="I383" s="71"/>
      <c r="J383" s="71"/>
      <c r="K383" s="71"/>
    </row>
    <row r="384" spans="1:11" x14ac:dyDescent="0.35">
      <c r="A384" t="s">
        <v>20</v>
      </c>
      <c r="B384" s="1">
        <v>45826</v>
      </c>
      <c r="C384" t="s">
        <v>971</v>
      </c>
      <c r="D384" s="15">
        <v>11494.99</v>
      </c>
      <c r="E384" s="15">
        <f>+Tabla3[[#This Row],[VALOR FACTURA]]-Tabla3[[#This Row],[VALOR PAGO]]</f>
        <v>0</v>
      </c>
      <c r="F384" s="15">
        <v>11494.99</v>
      </c>
      <c r="G384" s="89">
        <v>9948.91</v>
      </c>
      <c r="I384" s="71"/>
      <c r="J384" s="71"/>
      <c r="K384" s="71"/>
    </row>
    <row r="385" spans="1:11" x14ac:dyDescent="0.35">
      <c r="A385" t="s">
        <v>20</v>
      </c>
      <c r="B385" s="1">
        <v>45828</v>
      </c>
      <c r="C385" t="s">
        <v>1132</v>
      </c>
      <c r="D385" s="15">
        <v>75960</v>
      </c>
      <c r="E385" s="15">
        <f>+Tabla3[[#This Row],[VALOR FACTURA]]-Tabla3[[#This Row],[VALOR PAGO]]</f>
        <v>0</v>
      </c>
      <c r="F385" s="15">
        <v>75960</v>
      </c>
      <c r="G385" s="71"/>
      <c r="I385" s="71"/>
      <c r="J385" s="71"/>
      <c r="K385" s="71"/>
    </row>
    <row r="386" spans="1:11" x14ac:dyDescent="0.35">
      <c r="A386" t="s">
        <v>20</v>
      </c>
      <c r="B386" s="1">
        <v>45831</v>
      </c>
      <c r="C386" t="s">
        <v>217</v>
      </c>
      <c r="D386" s="15">
        <v>64079.17</v>
      </c>
      <c r="E386" s="15">
        <f>+Tabla3[[#This Row],[VALOR FACTURA]]-Tabla3[[#This Row],[VALOR PAGO]]</f>
        <v>0</v>
      </c>
      <c r="F386" s="15">
        <v>64079.17</v>
      </c>
      <c r="G386" s="71"/>
      <c r="H386" t="s">
        <v>895</v>
      </c>
      <c r="I386" s="71"/>
      <c r="J386" s="71"/>
      <c r="K386" s="71"/>
    </row>
    <row r="387" spans="1:11" x14ac:dyDescent="0.35">
      <c r="A387" t="s">
        <v>20</v>
      </c>
      <c r="B387" s="1">
        <v>45832</v>
      </c>
      <c r="C387" t="s">
        <v>173</v>
      </c>
      <c r="D387" s="15">
        <v>92183.48</v>
      </c>
      <c r="E387" s="15">
        <f>+Tabla3[[#This Row],[VALOR FACTURA]]-Tabla3[[#This Row],[VALOR PAGO]]</f>
        <v>18436.699999999997</v>
      </c>
      <c r="F387" s="152">
        <v>73746.78</v>
      </c>
      <c r="G387" s="71"/>
      <c r="H387" t="s">
        <v>1133</v>
      </c>
      <c r="I387" s="71"/>
      <c r="J387" s="71"/>
      <c r="K387" s="71"/>
    </row>
    <row r="388" spans="1:11" x14ac:dyDescent="0.35">
      <c r="A388" t="s">
        <v>20</v>
      </c>
      <c r="B388" s="1">
        <v>45832</v>
      </c>
      <c r="C388" t="s">
        <v>173</v>
      </c>
      <c r="D388" s="15">
        <v>310251.21000000002</v>
      </c>
      <c r="E388" s="15">
        <f>+Tabla3[[#This Row],[VALOR FACTURA]]-Tabla3[[#This Row],[VALOR PAGO]]</f>
        <v>62050.24000000002</v>
      </c>
      <c r="F388" s="152">
        <v>248200.97</v>
      </c>
      <c r="G388" s="71"/>
      <c r="H388" t="s">
        <v>1133</v>
      </c>
      <c r="I388" s="71"/>
      <c r="J388" s="71"/>
      <c r="K388" s="71"/>
    </row>
    <row r="389" spans="1:11" x14ac:dyDescent="0.35">
      <c r="A389" t="s">
        <v>20</v>
      </c>
      <c r="B389" s="1">
        <v>45833</v>
      </c>
      <c r="C389" t="s">
        <v>139</v>
      </c>
      <c r="D389" s="15">
        <v>24142.93</v>
      </c>
      <c r="E389" s="15">
        <f>+Tabla3[[#This Row],[VALOR FACTURA]]-Tabla3[[#This Row],[VALOR PAGO]]</f>
        <v>0</v>
      </c>
      <c r="F389" s="15">
        <v>24142.93</v>
      </c>
      <c r="G389" s="71"/>
      <c r="I389" s="71"/>
      <c r="J389" s="71"/>
      <c r="K389" s="71"/>
    </row>
    <row r="390" spans="1:11" x14ac:dyDescent="0.35">
      <c r="A390" t="s">
        <v>20</v>
      </c>
      <c r="B390" s="1">
        <v>45833</v>
      </c>
      <c r="C390" t="s">
        <v>567</v>
      </c>
      <c r="D390" s="15">
        <v>3390</v>
      </c>
      <c r="E390" s="15">
        <f>+Tabla3[[#This Row],[VALOR FACTURA]]-Tabla3[[#This Row],[VALOR PAGO]]</f>
        <v>678</v>
      </c>
      <c r="F390" s="15">
        <v>2712</v>
      </c>
      <c r="G390" s="71"/>
      <c r="I390" s="71"/>
      <c r="J390" s="71"/>
      <c r="K390" s="71"/>
    </row>
    <row r="391" spans="1:11" x14ac:dyDescent="0.35">
      <c r="A391" t="s">
        <v>20</v>
      </c>
      <c r="B391" s="1">
        <v>45833</v>
      </c>
      <c r="C391" t="s">
        <v>151</v>
      </c>
      <c r="D391" s="15">
        <v>10208</v>
      </c>
      <c r="E391" s="15">
        <f>+Tabla3[[#This Row],[VALOR FACTURA]]-Tabla3[[#This Row],[VALOR PAGO]]</f>
        <v>0</v>
      </c>
      <c r="F391" s="15">
        <v>10208</v>
      </c>
      <c r="G391" s="71"/>
      <c r="I391" s="71"/>
      <c r="J391" s="71"/>
      <c r="K391" s="71"/>
    </row>
    <row r="392" spans="1:11" x14ac:dyDescent="0.35">
      <c r="A392" t="s">
        <v>20</v>
      </c>
      <c r="B392" s="1">
        <v>45840</v>
      </c>
      <c r="C392" t="s">
        <v>60</v>
      </c>
      <c r="D392" s="15">
        <v>9580</v>
      </c>
      <c r="E392" s="15">
        <f>+Tabla3[[#This Row],[VALOR FACTURA]]-Tabla3[[#This Row],[VALOR PAGO]]</f>
        <v>1916</v>
      </c>
      <c r="F392" s="152">
        <v>7664</v>
      </c>
      <c r="G392" s="71"/>
      <c r="I392" s="71"/>
      <c r="J392" s="71"/>
      <c r="K392" s="71"/>
    </row>
    <row r="393" spans="1:11" x14ac:dyDescent="0.35">
      <c r="A393" t="s">
        <v>20</v>
      </c>
      <c r="B393" s="1">
        <v>45840</v>
      </c>
      <c r="C393" t="s">
        <v>959</v>
      </c>
      <c r="D393" s="152">
        <v>13696.42</v>
      </c>
      <c r="E393" s="15">
        <f>+Tabla3[[#This Row],[VALOR FACTURA]]-Tabla3[[#This Row],[VALOR PAGO]]</f>
        <v>0</v>
      </c>
      <c r="F393" s="152">
        <v>13696.42</v>
      </c>
      <c r="G393" s="71"/>
      <c r="I393" s="71"/>
      <c r="J393" s="71"/>
      <c r="K393" s="71"/>
    </row>
    <row r="394" spans="1:11" x14ac:dyDescent="0.35">
      <c r="A394" t="s">
        <v>20</v>
      </c>
      <c r="B394" s="1">
        <v>45840</v>
      </c>
      <c r="C394" t="s">
        <v>575</v>
      </c>
      <c r="D394" s="15">
        <v>16112.97</v>
      </c>
      <c r="E394" s="15">
        <f>+Tabla3[[#This Row],[VALOR FACTURA]]-Tabla3[[#This Row],[VALOR PAGO]]</f>
        <v>3222</v>
      </c>
      <c r="F394" s="152">
        <v>12890.97</v>
      </c>
      <c r="G394" s="71"/>
      <c r="I394" s="71"/>
      <c r="J394" s="71"/>
      <c r="K394" s="71"/>
    </row>
    <row r="395" spans="1:11" x14ac:dyDescent="0.35">
      <c r="A395" t="s">
        <v>20</v>
      </c>
      <c r="B395" s="1">
        <v>45840</v>
      </c>
      <c r="C395" t="s">
        <v>660</v>
      </c>
      <c r="D395" s="152">
        <v>1000</v>
      </c>
      <c r="E395" s="15">
        <f>+Tabla3[[#This Row],[VALOR FACTURA]]-Tabla3[[#This Row],[VALOR PAGO]]</f>
        <v>0</v>
      </c>
      <c r="F395" s="152">
        <v>1000</v>
      </c>
      <c r="G395" s="71"/>
      <c r="I395" s="71"/>
      <c r="J395" s="71"/>
      <c r="K395" s="71"/>
    </row>
    <row r="396" spans="1:11" x14ac:dyDescent="0.35">
      <c r="A396" t="s">
        <v>20</v>
      </c>
      <c r="B396" s="1">
        <v>45840</v>
      </c>
      <c r="C396" t="s">
        <v>145</v>
      </c>
      <c r="D396" s="152">
        <v>97134.350781058922</v>
      </c>
      <c r="E396" s="15">
        <f>+Tabla3[[#This Row],[VALOR FACTURA]]-Tabla3[[#This Row],[VALOR PAGO]]</f>
        <v>0</v>
      </c>
      <c r="F396" s="152">
        <v>97134.350781058922</v>
      </c>
      <c r="G396" s="71"/>
      <c r="I396" s="71"/>
      <c r="J396" s="71"/>
      <c r="K396" s="71"/>
    </row>
    <row r="397" spans="1:11" x14ac:dyDescent="0.35">
      <c r="A397" t="s">
        <v>20</v>
      </c>
      <c r="B397" s="1">
        <v>45840</v>
      </c>
      <c r="C397" t="s">
        <v>145</v>
      </c>
      <c r="D397" s="152">
        <v>17107.05</v>
      </c>
      <c r="E397" s="15">
        <f>+Tabla3[[#This Row],[VALOR FACTURA]]-Tabla3[[#This Row],[VALOR PAGO]]</f>
        <v>0</v>
      </c>
      <c r="F397" s="152">
        <v>17107.05</v>
      </c>
      <c r="G397" s="71"/>
      <c r="I397" s="71"/>
      <c r="J397" s="71"/>
      <c r="K397" s="71"/>
    </row>
    <row r="398" spans="1:11" x14ac:dyDescent="0.35">
      <c r="A398" t="s">
        <v>20</v>
      </c>
      <c r="B398" s="1">
        <v>45840</v>
      </c>
      <c r="C398" t="s">
        <v>143</v>
      </c>
      <c r="D398" s="152">
        <v>11072.319998221217</v>
      </c>
      <c r="E398" s="15">
        <f>+Tabla3[[#This Row],[VALOR FACTURA]]-Tabla3[[#This Row],[VALOR PAGO]]</f>
        <v>0</v>
      </c>
      <c r="F398" s="152">
        <v>11072.319998221217</v>
      </c>
      <c r="G398" s="71"/>
      <c r="I398" s="71"/>
      <c r="J398" s="71"/>
      <c r="K398" s="71"/>
    </row>
    <row r="399" spans="1:11" x14ac:dyDescent="0.35">
      <c r="A399" t="s">
        <v>20</v>
      </c>
      <c r="B399" s="1">
        <v>45840</v>
      </c>
      <c r="C399" t="s">
        <v>147</v>
      </c>
      <c r="D399" s="152">
        <v>41225.065080313929</v>
      </c>
      <c r="E399" s="15">
        <f>+Tabla3[[#This Row],[VALOR FACTURA]]-Tabla3[[#This Row],[VALOR PAGO]]</f>
        <v>0</v>
      </c>
      <c r="F399" s="152">
        <v>41225.065080313929</v>
      </c>
      <c r="G399" s="71"/>
      <c r="I399" s="71"/>
      <c r="J399" s="71"/>
      <c r="K399" s="71"/>
    </row>
    <row r="400" spans="1:11" x14ac:dyDescent="0.35">
      <c r="A400" t="s">
        <v>20</v>
      </c>
      <c r="B400" s="1">
        <v>45840</v>
      </c>
      <c r="C400" t="s">
        <v>147</v>
      </c>
      <c r="D400" s="152">
        <v>1183.22</v>
      </c>
      <c r="E400" s="15">
        <f>+Tabla3[[#This Row],[VALOR FACTURA]]-Tabla3[[#This Row],[VALOR PAGO]]</f>
        <v>0</v>
      </c>
      <c r="F400" s="152">
        <v>1183.22</v>
      </c>
      <c r="G400" s="71"/>
      <c r="I400" s="71"/>
      <c r="J400" s="71"/>
      <c r="K400" s="71"/>
    </row>
    <row r="401" spans="1:11" x14ac:dyDescent="0.35">
      <c r="A401" t="s">
        <v>20</v>
      </c>
      <c r="B401" s="1">
        <v>45840</v>
      </c>
      <c r="C401" t="s">
        <v>739</v>
      </c>
      <c r="D401" s="152">
        <v>5503.5300000000007</v>
      </c>
      <c r="E401" s="15">
        <f>+Tabla3[[#This Row],[VALOR FACTURA]]-Tabla3[[#This Row],[VALOR PAGO]]</f>
        <v>0</v>
      </c>
      <c r="F401" s="152">
        <v>5503.5300000000007</v>
      </c>
      <c r="G401" s="71"/>
      <c r="I401" s="71"/>
      <c r="J401" s="71"/>
      <c r="K401" s="71"/>
    </row>
    <row r="402" spans="1:11" x14ac:dyDescent="0.35">
      <c r="A402" t="s">
        <v>20</v>
      </c>
      <c r="B402" s="1">
        <v>45840</v>
      </c>
      <c r="C402" t="s">
        <v>766</v>
      </c>
      <c r="D402" s="152">
        <v>8902.5</v>
      </c>
      <c r="E402" s="15">
        <f>+Tabla3[[#This Row],[VALOR FACTURA]]-Tabla3[[#This Row],[VALOR PAGO]]</f>
        <v>0</v>
      </c>
      <c r="F402" s="152">
        <v>8902.5</v>
      </c>
      <c r="G402" s="71"/>
      <c r="I402" s="71"/>
      <c r="J402" s="71"/>
      <c r="K402" s="71"/>
    </row>
    <row r="403" spans="1:11" x14ac:dyDescent="0.35">
      <c r="A403" t="s">
        <v>20</v>
      </c>
      <c r="B403" s="1">
        <v>45847</v>
      </c>
      <c r="C403" t="s">
        <v>147</v>
      </c>
      <c r="D403" s="96">
        <f>(66358147)/4148.72</f>
        <v>15994.848290557087</v>
      </c>
      <c r="E403" s="15">
        <f>+Tabla3[[#This Row],[VALOR FACTURA]]-Tabla3[[#This Row],[VALOR PAGO]]</f>
        <v>0</v>
      </c>
      <c r="F403" s="96">
        <f>(66358147)/4148.72</f>
        <v>15994.848290557087</v>
      </c>
      <c r="G403" s="71"/>
      <c r="I403" s="71"/>
      <c r="J403" s="71"/>
      <c r="K403" s="71"/>
    </row>
    <row r="404" spans="1:11" x14ac:dyDescent="0.35">
      <c r="A404" t="s">
        <v>20</v>
      </c>
      <c r="B404" s="1">
        <v>45847</v>
      </c>
      <c r="C404" t="s">
        <v>147</v>
      </c>
      <c r="D404" s="15">
        <v>4824.9799999999996</v>
      </c>
      <c r="E404" s="15">
        <f>+Tabla3[[#This Row],[VALOR FACTURA]]-Tabla3[[#This Row],[VALOR PAGO]]</f>
        <v>0</v>
      </c>
      <c r="F404" s="96">
        <v>4824.9799999999996</v>
      </c>
      <c r="G404" s="71"/>
      <c r="I404" s="71"/>
      <c r="J404" s="71"/>
      <c r="K404" s="71"/>
    </row>
    <row r="405" spans="1:11" x14ac:dyDescent="0.35">
      <c r="A405" t="s">
        <v>20</v>
      </c>
      <c r="B405" s="1">
        <v>45847</v>
      </c>
      <c r="C405" t="s">
        <v>145</v>
      </c>
      <c r="D405" s="96">
        <f>(139132178+121200118+116791157)/4054.13</f>
        <v>93022.042460404569</v>
      </c>
      <c r="E405" s="15">
        <f>+Tabla3[[#This Row],[VALOR FACTURA]]-Tabla3[[#This Row],[VALOR PAGO]]</f>
        <v>0</v>
      </c>
      <c r="F405" s="96">
        <f>(139132178+121200118+116791157)/4054.13</f>
        <v>93022.042460404569</v>
      </c>
      <c r="G405" s="71"/>
      <c r="I405" s="71"/>
      <c r="J405" s="71"/>
      <c r="K405" s="71"/>
    </row>
    <row r="406" spans="1:11" x14ac:dyDescent="0.35">
      <c r="A406" t="s">
        <v>20</v>
      </c>
      <c r="B406" s="1">
        <v>45847</v>
      </c>
      <c r="C406" t="s">
        <v>739</v>
      </c>
      <c r="D406" s="96">
        <v>3949.13</v>
      </c>
      <c r="E406" s="15">
        <f>+Tabla3[[#This Row],[VALOR FACTURA]]-Tabla3[[#This Row],[VALOR PAGO]]</f>
        <v>0</v>
      </c>
      <c r="F406" s="96">
        <v>3949.13</v>
      </c>
      <c r="G406" s="71"/>
      <c r="I406" s="71"/>
      <c r="J406" s="71"/>
      <c r="K406" s="71"/>
    </row>
    <row r="407" spans="1:11" x14ac:dyDescent="0.35">
      <c r="A407" t="s">
        <v>20</v>
      </c>
      <c r="B407" s="1">
        <v>45847</v>
      </c>
      <c r="C407" t="s">
        <v>1077</v>
      </c>
      <c r="D407" s="96">
        <v>375</v>
      </c>
      <c r="E407" s="15">
        <f>+Tabla3[[#This Row],[VALOR FACTURA]]-Tabla3[[#This Row],[VALOR PAGO]]</f>
        <v>37.5</v>
      </c>
      <c r="F407" s="173">
        <v>337.5</v>
      </c>
      <c r="G407" s="71"/>
      <c r="I407" s="71"/>
      <c r="J407" s="71"/>
      <c r="K407" s="71"/>
    </row>
    <row r="408" spans="1:11" x14ac:dyDescent="0.35">
      <c r="A408" t="s">
        <v>20</v>
      </c>
      <c r="B408" s="1">
        <v>45847</v>
      </c>
      <c r="C408" t="s">
        <v>138</v>
      </c>
      <c r="D408" s="15">
        <v>545</v>
      </c>
      <c r="E408" s="15">
        <f>+Tabla3[[#This Row],[VALOR FACTURA]]-Tabla3[[#This Row],[VALOR PAGO]]</f>
        <v>0</v>
      </c>
      <c r="F408" s="173">
        <v>545</v>
      </c>
      <c r="G408" s="71"/>
      <c r="I408" s="71"/>
      <c r="J408" s="71"/>
      <c r="K408" s="71"/>
    </row>
    <row r="409" spans="1:11" x14ac:dyDescent="0.35">
      <c r="A409" t="s">
        <v>20</v>
      </c>
      <c r="B409" s="1">
        <v>45847</v>
      </c>
      <c r="C409" t="s">
        <v>281</v>
      </c>
      <c r="D409" s="96">
        <v>20651.07</v>
      </c>
      <c r="E409" s="15">
        <f>+Tabla3[[#This Row],[VALOR FACTURA]]-Tabla3[[#This Row],[VALOR PAGO]]</f>
        <v>0</v>
      </c>
      <c r="F409" s="96">
        <v>20651.07</v>
      </c>
      <c r="G409" s="89">
        <v>17553</v>
      </c>
      <c r="I409" s="71"/>
      <c r="J409" s="71"/>
      <c r="K409" s="71"/>
    </row>
    <row r="410" spans="1:11" x14ac:dyDescent="0.35">
      <c r="A410" t="s">
        <v>20</v>
      </c>
      <c r="B410" s="1">
        <v>45852</v>
      </c>
      <c r="C410" t="s">
        <v>957</v>
      </c>
      <c r="D410" s="15">
        <v>43000</v>
      </c>
      <c r="E410" s="15">
        <f>+Tabla3[[#This Row],[VALOR FACTURA]]-Tabla3[[#This Row],[VALOR PAGO]]</f>
        <v>0</v>
      </c>
      <c r="F410" s="152">
        <v>43000</v>
      </c>
      <c r="G410" s="71"/>
      <c r="I410" s="71"/>
      <c r="J410" s="71"/>
      <c r="K410" s="71"/>
    </row>
    <row r="411" spans="1:11" x14ac:dyDescent="0.35">
      <c r="A411" t="s">
        <v>20</v>
      </c>
      <c r="B411" s="1">
        <v>45853</v>
      </c>
      <c r="C411" t="s">
        <v>173</v>
      </c>
      <c r="D411" s="15">
        <v>100940.25</v>
      </c>
      <c r="E411" s="15">
        <f>+Tabla3[[#This Row],[VALOR FACTURA]]-Tabla3[[#This Row],[VALOR PAGO]]</f>
        <v>0</v>
      </c>
      <c r="F411" s="15">
        <v>100940.25</v>
      </c>
      <c r="G411" s="71"/>
      <c r="I411" s="71"/>
      <c r="J411" s="71"/>
      <c r="K411" s="71"/>
    </row>
    <row r="412" spans="1:11" x14ac:dyDescent="0.35">
      <c r="A412" t="s">
        <v>20</v>
      </c>
      <c r="B412" s="1">
        <v>45853</v>
      </c>
      <c r="C412" t="s">
        <v>173</v>
      </c>
      <c r="D412" s="15">
        <v>328332.86</v>
      </c>
      <c r="E412" s="15">
        <f>+Tabla3[[#This Row],[VALOR FACTURA]]-Tabla3[[#This Row],[VALOR PAGO]]</f>
        <v>0</v>
      </c>
      <c r="F412" s="15">
        <v>328332.86</v>
      </c>
      <c r="G412" s="71"/>
      <c r="I412" s="71"/>
      <c r="J412" s="71"/>
      <c r="K412" s="71"/>
    </row>
    <row r="413" spans="1:11" x14ac:dyDescent="0.35">
      <c r="A413" t="s">
        <v>20</v>
      </c>
      <c r="B413" s="1">
        <v>45854</v>
      </c>
      <c r="C413" t="s">
        <v>145</v>
      </c>
      <c r="D413" s="15">
        <v>14659.41</v>
      </c>
      <c r="E413" s="15">
        <f>+Tabla3[[#This Row],[VALOR FACTURA]]-Tabla3[[#This Row],[VALOR PAGO]]</f>
        <v>0</v>
      </c>
      <c r="F413" s="152">
        <v>14659.41</v>
      </c>
      <c r="G413" s="71"/>
      <c r="I413" s="71"/>
      <c r="J413" s="71"/>
      <c r="K413" s="71"/>
    </row>
    <row r="414" spans="1:11" x14ac:dyDescent="0.35">
      <c r="A414" t="s">
        <v>20</v>
      </c>
      <c r="B414" s="1">
        <v>45854</v>
      </c>
      <c r="C414" t="s">
        <v>138</v>
      </c>
      <c r="D414" s="15">
        <v>545</v>
      </c>
      <c r="E414" s="15">
        <f>+Tabla3[[#This Row],[VALOR FACTURA]]-Tabla3[[#This Row],[VALOR PAGO]]</f>
        <v>0</v>
      </c>
      <c r="F414" s="15">
        <v>545</v>
      </c>
      <c r="G414" s="71"/>
      <c r="I414" s="71"/>
      <c r="J414" s="71"/>
      <c r="K414" s="71"/>
    </row>
    <row r="415" spans="1:11" x14ac:dyDescent="0.35">
      <c r="A415" t="s">
        <v>20</v>
      </c>
      <c r="B415" s="1">
        <v>45861</v>
      </c>
      <c r="C415" t="s">
        <v>1132</v>
      </c>
      <c r="D415" s="15">
        <v>16502.78</v>
      </c>
      <c r="E415" s="15">
        <f>+Tabla3[[#This Row],[VALOR FACTURA]]-Tabla3[[#This Row],[VALOR PAGO]]</f>
        <v>0</v>
      </c>
      <c r="F415" s="170">
        <v>16502.78</v>
      </c>
      <c r="G415" s="71"/>
      <c r="I415" s="71"/>
      <c r="J415" s="71"/>
      <c r="K415" s="71"/>
    </row>
    <row r="416" spans="1:11" x14ac:dyDescent="0.35">
      <c r="A416" t="s">
        <v>20</v>
      </c>
      <c r="B416" s="1">
        <v>45861</v>
      </c>
      <c r="C416" t="s">
        <v>144</v>
      </c>
      <c r="D416" s="15">
        <v>3800</v>
      </c>
      <c r="E416" s="15">
        <f>+Tabla3[[#This Row],[VALOR FACTURA]]-Tabla3[[#This Row],[VALOR PAGO]]</f>
        <v>760</v>
      </c>
      <c r="F416" s="170">
        <v>3040</v>
      </c>
      <c r="G416" s="71"/>
      <c r="I416" s="71"/>
      <c r="J416" s="71"/>
      <c r="K416" s="71"/>
    </row>
    <row r="417" spans="1:11" x14ac:dyDescent="0.35">
      <c r="A417" t="s">
        <v>20</v>
      </c>
      <c r="B417" s="1">
        <v>45868</v>
      </c>
      <c r="C417" t="s">
        <v>217</v>
      </c>
      <c r="D417" s="15">
        <v>129422.22</v>
      </c>
      <c r="E417" s="15">
        <f>+Tabla3[[#This Row],[VALOR FACTURA]]-Tabla3[[#This Row],[VALOR PAGO]]</f>
        <v>0</v>
      </c>
      <c r="F417" s="15">
        <v>129422.22</v>
      </c>
      <c r="G417" s="71"/>
      <c r="H417" t="s">
        <v>653</v>
      </c>
      <c r="I417" s="71"/>
      <c r="J417" s="71"/>
      <c r="K417" s="71"/>
    </row>
    <row r="418" spans="1:11" x14ac:dyDescent="0.35">
      <c r="A418" t="s">
        <v>19</v>
      </c>
      <c r="B418" s="1">
        <v>45869</v>
      </c>
      <c r="C418" t="s">
        <v>1215</v>
      </c>
      <c r="D418" s="15">
        <v>575</v>
      </c>
      <c r="E418" s="15">
        <f>+Tabla3[[#This Row],[VALOR FACTURA]]-Tabla3[[#This Row],[VALOR PAGO]]</f>
        <v>0</v>
      </c>
      <c r="F418" s="15">
        <v>575</v>
      </c>
      <c r="G418" s="71"/>
      <c r="I418" s="71"/>
      <c r="J418" s="71"/>
      <c r="K418" s="71"/>
    </row>
    <row r="419" spans="1:11" x14ac:dyDescent="0.35">
      <c r="A419" t="s">
        <v>20</v>
      </c>
      <c r="B419" s="1">
        <v>45870</v>
      </c>
      <c r="C419" t="s">
        <v>143</v>
      </c>
      <c r="D419" s="15">
        <f>(10000000+8249891.16+6968422.83+2200000+2000000+1347934.61+890135.94+766866.03+493630.57)/4186.71</f>
        <v>7862.2309976091019</v>
      </c>
      <c r="F419" s="15">
        <f>(10000000+8249891.16+6968422.83+2200000+2000000+1347934.61+890135.94+766866.03+493630.57)/4186.71</f>
        <v>7862.2309976091019</v>
      </c>
      <c r="G419" s="71"/>
      <c r="I419" s="71"/>
      <c r="J419" s="71"/>
      <c r="K419" s="71"/>
    </row>
    <row r="420" spans="1:11" x14ac:dyDescent="0.35">
      <c r="A420" t="s">
        <v>20</v>
      </c>
      <c r="B420" s="1">
        <v>45870</v>
      </c>
      <c r="C420" t="s">
        <v>145</v>
      </c>
      <c r="D420" s="15">
        <v>9214.2900000000009</v>
      </c>
      <c r="E420" s="15">
        <f>+Tabla3[[#This Row],[VALOR FACTURA]]-Tabla3[[#This Row],[VALOR PAGO]]</f>
        <v>0</v>
      </c>
      <c r="F420" s="170">
        <v>9214.2900000000009</v>
      </c>
      <c r="G420" s="71"/>
      <c r="I420" s="71"/>
      <c r="J420" s="71"/>
      <c r="K420" s="71"/>
    </row>
    <row r="421" spans="1:11" x14ac:dyDescent="0.35">
      <c r="A421" t="s">
        <v>20</v>
      </c>
      <c r="B421" s="1">
        <v>45870</v>
      </c>
      <c r="C421" t="s">
        <v>145</v>
      </c>
      <c r="D421" s="15">
        <f>(122636400+121970195+120406291+105910753+84334581+43963606+36498000+32306683+23027302+20212638+12135153+11537574+4968742)/4186.71</f>
        <v>176727.76905971515</v>
      </c>
      <c r="E421" s="15">
        <f>+Tabla3[[#This Row],[VALOR FACTURA]]-Tabla3[[#This Row],[VALOR PAGO]]</f>
        <v>0</v>
      </c>
      <c r="F421" s="15">
        <f>(122636400+121970195+120406291+105910753+84334581+43963606+36498000+32306683+23027302+20212638+12135153+11537574+4968742)/4186.71</f>
        <v>176727.76905971515</v>
      </c>
      <c r="G421" s="71"/>
      <c r="I421" s="71"/>
      <c r="J421" s="71"/>
      <c r="K421" s="71"/>
    </row>
    <row r="422" spans="1:11" x14ac:dyDescent="0.35">
      <c r="A422" t="s">
        <v>20</v>
      </c>
      <c r="B422" s="1">
        <v>45870</v>
      </c>
      <c r="C422" t="s">
        <v>147</v>
      </c>
      <c r="D422" s="15">
        <v>56613.194190192327</v>
      </c>
      <c r="E422" s="15">
        <f>+Tabla3[[#This Row],[VALOR FACTURA]]-Tabla3[[#This Row],[VALOR PAGO]]</f>
        <v>0</v>
      </c>
      <c r="F422" s="15">
        <v>56613.194190192327</v>
      </c>
      <c r="G422" s="71"/>
      <c r="I422" s="71"/>
      <c r="J422" s="71"/>
      <c r="K422" s="71"/>
    </row>
    <row r="423" spans="1:11" x14ac:dyDescent="0.35">
      <c r="A423" t="s">
        <v>20</v>
      </c>
      <c r="B423" s="1">
        <v>45870</v>
      </c>
      <c r="C423" t="s">
        <v>147</v>
      </c>
      <c r="D423" s="15">
        <v>5818.63</v>
      </c>
      <c r="E423" s="15">
        <f>+Tabla3[[#This Row],[VALOR FACTURA]]-Tabla3[[#This Row],[VALOR PAGO]]</f>
        <v>0</v>
      </c>
      <c r="F423" s="15">
        <v>5818.63</v>
      </c>
      <c r="G423" s="71"/>
      <c r="I423" s="71"/>
      <c r="J423" s="71"/>
      <c r="K423" s="71"/>
    </row>
    <row r="424" spans="1:11" x14ac:dyDescent="0.35">
      <c r="A424" t="s">
        <v>20</v>
      </c>
      <c r="B424" s="1">
        <v>45870</v>
      </c>
      <c r="C424" t="s">
        <v>60</v>
      </c>
      <c r="D424" s="15">
        <v>9580</v>
      </c>
      <c r="E424" s="15">
        <f>+Tabla3[[#This Row],[VALOR FACTURA]]-Tabla3[[#This Row],[VALOR PAGO]]</f>
        <v>1916</v>
      </c>
      <c r="F424" s="170">
        <v>7664</v>
      </c>
      <c r="G424" s="71"/>
      <c r="I424" s="71"/>
      <c r="J424" s="71"/>
      <c r="K424" s="71"/>
    </row>
    <row r="425" spans="1:11" x14ac:dyDescent="0.35">
      <c r="A425" t="s">
        <v>20</v>
      </c>
      <c r="B425" s="1">
        <v>45870</v>
      </c>
      <c r="C425" t="s">
        <v>567</v>
      </c>
      <c r="D425" s="15">
        <v>3390</v>
      </c>
      <c r="E425" s="15">
        <f>+Tabla3[[#This Row],[VALOR FACTURA]]-Tabla3[[#This Row],[VALOR PAGO]]</f>
        <v>678</v>
      </c>
      <c r="F425" s="170">
        <v>2712</v>
      </c>
      <c r="G425" s="71"/>
      <c r="I425" s="71"/>
      <c r="J425" s="71"/>
      <c r="K425" s="71"/>
    </row>
    <row r="426" spans="1:11" x14ac:dyDescent="0.35">
      <c r="A426" t="s">
        <v>20</v>
      </c>
      <c r="B426" s="1">
        <v>45870</v>
      </c>
      <c r="C426" t="s">
        <v>1077</v>
      </c>
      <c r="D426" s="15">
        <v>315</v>
      </c>
      <c r="E426" s="15">
        <f>+Tabla3[[#This Row],[VALOR FACTURA]]-Tabla3[[#This Row],[VALOR PAGO]]</f>
        <v>31.5</v>
      </c>
      <c r="F426" s="170">
        <v>283.5</v>
      </c>
      <c r="G426" s="71"/>
      <c r="I426" s="71"/>
      <c r="J426" s="71"/>
      <c r="K426" s="71"/>
    </row>
    <row r="427" spans="1:11" x14ac:dyDescent="0.35">
      <c r="A427" t="s">
        <v>20</v>
      </c>
      <c r="B427" s="1">
        <v>45870</v>
      </c>
      <c r="C427" t="s">
        <v>739</v>
      </c>
      <c r="D427" s="15">
        <v>9229.7199999999993</v>
      </c>
      <c r="E427" s="15">
        <f>+Tabla3[[#This Row],[VALOR FACTURA]]-Tabla3[[#This Row],[VALOR PAGO]]</f>
        <v>0</v>
      </c>
      <c r="F427" s="15">
        <v>9229.7199999999993</v>
      </c>
      <c r="G427" s="71"/>
      <c r="I427" s="71"/>
      <c r="J427" s="71"/>
      <c r="K427" s="71"/>
    </row>
    <row r="428" spans="1:11" x14ac:dyDescent="0.35">
      <c r="A428" t="s">
        <v>20</v>
      </c>
      <c r="B428" s="1">
        <v>45870</v>
      </c>
      <c r="C428" t="s">
        <v>971</v>
      </c>
      <c r="D428" s="15">
        <v>11369.13</v>
      </c>
      <c r="E428" s="15">
        <f>+Tabla3[[#This Row],[VALOR FACTURA]]-Tabla3[[#This Row],[VALOR PAGO]]</f>
        <v>0</v>
      </c>
      <c r="F428" s="15">
        <v>11369.13</v>
      </c>
      <c r="G428" s="89">
        <v>9803.49</v>
      </c>
      <c r="I428" s="71"/>
      <c r="J428" s="71"/>
      <c r="K428" s="71"/>
    </row>
    <row r="429" spans="1:11" x14ac:dyDescent="0.35">
      <c r="A429" t="s">
        <v>20</v>
      </c>
      <c r="B429" s="1">
        <v>45874</v>
      </c>
      <c r="C429" t="s">
        <v>1222</v>
      </c>
      <c r="D429" s="15">
        <v>41207.29</v>
      </c>
      <c r="E429" s="15">
        <f>+Tabla3[[#This Row],[VALOR FACTURA]]-Tabla3[[#This Row],[VALOR PAGO]]</f>
        <v>0</v>
      </c>
      <c r="F429" s="15">
        <v>41207.29</v>
      </c>
      <c r="G429" s="89">
        <v>35545</v>
      </c>
      <c r="H429" t="s">
        <v>695</v>
      </c>
      <c r="I429" s="147" t="s">
        <v>1121</v>
      </c>
      <c r="J429" s="12" t="s">
        <v>1223</v>
      </c>
      <c r="K429" s="12" t="s">
        <v>1026</v>
      </c>
    </row>
    <row r="430" spans="1:11" x14ac:dyDescent="0.35">
      <c r="A430" t="s">
        <v>20</v>
      </c>
      <c r="B430" s="1">
        <v>45877</v>
      </c>
      <c r="C430" t="s">
        <v>1156</v>
      </c>
      <c r="D430" s="15">
        <v>11000</v>
      </c>
      <c r="E430" s="15">
        <f>+Tabla3[[#This Row],[VALOR FACTURA]]-Tabla3[[#This Row],[VALOR PAGO]]</f>
        <v>0</v>
      </c>
      <c r="F430" s="15">
        <v>11000</v>
      </c>
      <c r="G430" s="71"/>
      <c r="I430" s="71"/>
      <c r="J430" s="71"/>
      <c r="K430" s="71"/>
    </row>
    <row r="431" spans="1:11" x14ac:dyDescent="0.35">
      <c r="A431" t="s">
        <v>20</v>
      </c>
      <c r="B431" s="1">
        <v>45882</v>
      </c>
      <c r="C431" t="s">
        <v>575</v>
      </c>
      <c r="D431" s="15">
        <f>19852.6+1680</f>
        <v>21532.6</v>
      </c>
      <c r="E431" s="15">
        <f>+Tabla3[[#This Row],[VALOR FACTURA]]-Tabla3[[#This Row],[VALOR PAGO]]</f>
        <v>4306.5199999999968</v>
      </c>
      <c r="F431" s="15">
        <f>15882.08+1344</f>
        <v>17226.080000000002</v>
      </c>
      <c r="G431" s="71"/>
      <c r="I431" s="71"/>
      <c r="J431" s="71"/>
      <c r="K431" s="71"/>
    </row>
    <row r="432" spans="1:11" x14ac:dyDescent="0.35">
      <c r="A432" t="s">
        <v>20</v>
      </c>
      <c r="B432" s="1">
        <v>45889</v>
      </c>
      <c r="C432" t="s">
        <v>1248</v>
      </c>
      <c r="D432" s="15">
        <v>22631.86</v>
      </c>
      <c r="E432" s="15">
        <f>+Tabla3[[#This Row],[VALOR FACTURA]]-Tabla3[[#This Row],[VALOR PAGO]]</f>
        <v>0</v>
      </c>
      <c r="F432" s="15">
        <v>22631.86</v>
      </c>
      <c r="G432" s="71"/>
      <c r="I432" s="71"/>
      <c r="J432" s="71"/>
      <c r="K432" s="71"/>
    </row>
    <row r="433" spans="1:11" x14ac:dyDescent="0.35">
      <c r="A433" t="s">
        <v>20</v>
      </c>
      <c r="B433" s="1">
        <v>45889</v>
      </c>
      <c r="C433" t="s">
        <v>1249</v>
      </c>
      <c r="D433" s="15">
        <v>700</v>
      </c>
      <c r="E433" s="15">
        <f>+Tabla3[[#This Row],[VALOR FACTURA]]-Tabla3[[#This Row],[VALOR PAGO]]</f>
        <v>140</v>
      </c>
      <c r="F433" s="15">
        <v>560</v>
      </c>
      <c r="G433" s="71"/>
      <c r="I433" s="71"/>
      <c r="J433" s="71"/>
      <c r="K433" s="71"/>
    </row>
    <row r="434" spans="1:11" x14ac:dyDescent="0.35">
      <c r="A434" t="s">
        <v>20</v>
      </c>
      <c r="B434" s="1">
        <v>45889</v>
      </c>
      <c r="C434" t="s">
        <v>1480</v>
      </c>
      <c r="D434" s="15">
        <v>412500</v>
      </c>
      <c r="E434" s="15">
        <f>+Tabla3[[#This Row],[VALOR FACTURA]]-Tabla3[[#This Row],[VALOR PAGO]]</f>
        <v>41250</v>
      </c>
      <c r="F434" s="15">
        <v>371250</v>
      </c>
      <c r="G434" s="71"/>
      <c r="I434" s="71"/>
      <c r="J434" s="71"/>
      <c r="K434" s="71"/>
    </row>
    <row r="435" spans="1:11" x14ac:dyDescent="0.35">
      <c r="A435" t="s">
        <v>20</v>
      </c>
      <c r="B435" s="1">
        <v>45889</v>
      </c>
      <c r="C435" t="s">
        <v>188</v>
      </c>
      <c r="D435" s="15">
        <v>250000</v>
      </c>
      <c r="E435" s="15">
        <f>+Tabla3[[#This Row],[VALOR FACTURA]]-Tabla3[[#This Row],[VALOR PAGO]]</f>
        <v>25000</v>
      </c>
      <c r="F435" s="15">
        <v>225000</v>
      </c>
      <c r="G435" s="71"/>
      <c r="I435" s="71"/>
      <c r="J435" s="71"/>
      <c r="K435" s="71"/>
    </row>
    <row r="436" spans="1:11" x14ac:dyDescent="0.35">
      <c r="A436" t="s">
        <v>20</v>
      </c>
      <c r="B436" s="1">
        <v>45891</v>
      </c>
      <c r="C436" t="s">
        <v>217</v>
      </c>
      <c r="D436" s="15">
        <v>86461.6</v>
      </c>
      <c r="E436" s="15">
        <f>+Tabla3[[#This Row],[VALOR FACTURA]]-Tabla3[[#This Row],[VALOR PAGO]]</f>
        <v>0</v>
      </c>
      <c r="F436" s="15">
        <v>86461.6</v>
      </c>
      <c r="G436" s="71"/>
      <c r="H436" t="s">
        <v>895</v>
      </c>
      <c r="I436" s="71"/>
      <c r="J436" s="71"/>
      <c r="K436" s="71"/>
    </row>
    <row r="437" spans="1:11" x14ac:dyDescent="0.35">
      <c r="A437" t="s">
        <v>19</v>
      </c>
      <c r="B437" s="1">
        <v>45891</v>
      </c>
      <c r="C437" t="s">
        <v>217</v>
      </c>
      <c r="D437" s="15">
        <v>107752.44</v>
      </c>
      <c r="E437" s="15">
        <f>+Tabla3[[#This Row],[VALOR FACTURA]]-Tabla3[[#This Row],[VALOR PAGO]]</f>
        <v>0</v>
      </c>
      <c r="F437" s="15">
        <v>107752.44</v>
      </c>
      <c r="G437" s="71"/>
      <c r="H437" t="s">
        <v>895</v>
      </c>
      <c r="I437" s="71"/>
      <c r="J437" s="71"/>
      <c r="K437" s="71"/>
    </row>
    <row r="438" spans="1:11" x14ac:dyDescent="0.35">
      <c r="A438" t="s">
        <v>194</v>
      </c>
      <c r="B438" s="1">
        <v>45891</v>
      </c>
      <c r="C438" t="s">
        <v>217</v>
      </c>
      <c r="D438" s="15">
        <v>84384.45</v>
      </c>
      <c r="E438" s="15">
        <f>+Tabla3[[#This Row],[VALOR FACTURA]]-Tabla3[[#This Row],[VALOR PAGO]]</f>
        <v>0</v>
      </c>
      <c r="F438" s="15">
        <v>84384.45</v>
      </c>
      <c r="G438" s="71"/>
      <c r="H438" t="s">
        <v>895</v>
      </c>
      <c r="I438" s="71"/>
      <c r="J438" s="71"/>
      <c r="K438" s="71"/>
    </row>
    <row r="439" spans="1:11" x14ac:dyDescent="0.35">
      <c r="A439" t="s">
        <v>20</v>
      </c>
      <c r="B439" s="1">
        <v>45898</v>
      </c>
      <c r="C439" t="s">
        <v>147</v>
      </c>
      <c r="D439" s="96">
        <v>48925.904074225604</v>
      </c>
      <c r="E439" s="15">
        <f>+Tabla3[[#This Row],[VALOR FACTURA]]-Tabla3[[#This Row],[VALOR PAGO]]</f>
        <v>0</v>
      </c>
      <c r="F439" s="96">
        <v>48925.904074225604</v>
      </c>
      <c r="G439" s="71"/>
      <c r="I439" s="71"/>
      <c r="J439" s="71"/>
      <c r="K439" s="71"/>
    </row>
    <row r="440" spans="1:11" x14ac:dyDescent="0.35">
      <c r="A440" t="s">
        <v>20</v>
      </c>
      <c r="B440" s="1">
        <v>45898</v>
      </c>
      <c r="C440" t="s">
        <v>147</v>
      </c>
      <c r="D440" s="96">
        <v>5240.1499999999996</v>
      </c>
      <c r="E440" s="15">
        <f>+Tabla3[[#This Row],[VALOR FACTURA]]-Tabla3[[#This Row],[VALOR PAGO]]</f>
        <v>0</v>
      </c>
      <c r="F440" s="96">
        <v>5240.1499999999996</v>
      </c>
      <c r="G440" s="71"/>
      <c r="I440" s="71"/>
      <c r="J440" s="71"/>
      <c r="K440" s="71"/>
    </row>
    <row r="441" spans="1:11" x14ac:dyDescent="0.35">
      <c r="A441" t="s">
        <v>20</v>
      </c>
      <c r="B441" s="1">
        <v>45898</v>
      </c>
      <c r="C441" t="s">
        <v>145</v>
      </c>
      <c r="D441" s="96">
        <v>126832.73276614472</v>
      </c>
      <c r="E441" s="15">
        <f>+Tabla3[[#This Row],[VALOR FACTURA]]-Tabla3[[#This Row],[VALOR PAGO]]</f>
        <v>0</v>
      </c>
      <c r="F441" s="96">
        <v>126832.73276614472</v>
      </c>
      <c r="G441" s="71"/>
      <c r="I441" s="71"/>
      <c r="J441" s="71"/>
      <c r="K441" s="71"/>
    </row>
    <row r="442" spans="1:11" x14ac:dyDescent="0.35">
      <c r="A442" t="s">
        <v>20</v>
      </c>
      <c r="B442" s="1">
        <v>45898</v>
      </c>
      <c r="C442" t="s">
        <v>145</v>
      </c>
      <c r="D442" s="96">
        <v>3917.9399999999996</v>
      </c>
      <c r="E442" s="15">
        <f>+Tabla3[[#This Row],[VALOR FACTURA]]-Tabla3[[#This Row],[VALOR PAGO]]</f>
        <v>0</v>
      </c>
      <c r="F442" s="96">
        <v>3917.9399999999996</v>
      </c>
      <c r="G442" s="71"/>
      <c r="I442" s="71"/>
      <c r="J442" s="71"/>
      <c r="K442" s="71"/>
    </row>
    <row r="443" spans="1:11" x14ac:dyDescent="0.35">
      <c r="A443" t="s">
        <v>20</v>
      </c>
      <c r="B443" s="1">
        <v>45898</v>
      </c>
      <c r="C443" t="s">
        <v>143</v>
      </c>
      <c r="D443" s="96">
        <v>4323.5629532378462</v>
      </c>
      <c r="E443" s="15">
        <f>+Tabla3[[#This Row],[VALOR FACTURA]]-Tabla3[[#This Row],[VALOR PAGO]]</f>
        <v>0</v>
      </c>
      <c r="F443" s="96">
        <v>4323.5629532378462</v>
      </c>
      <c r="G443" s="71"/>
      <c r="I443" s="71"/>
      <c r="J443" s="71"/>
      <c r="K443" s="71"/>
    </row>
    <row r="444" spans="1:11" x14ac:dyDescent="0.35">
      <c r="A444" t="s">
        <v>20</v>
      </c>
      <c r="B444" s="1">
        <v>45898</v>
      </c>
      <c r="C444" t="s">
        <v>575</v>
      </c>
      <c r="D444" s="15">
        <v>800</v>
      </c>
      <c r="E444" s="15">
        <f>+Tabla3[[#This Row],[VALOR FACTURA]]-Tabla3[[#This Row],[VALOR PAGO]]</f>
        <v>160</v>
      </c>
      <c r="F444" s="96">
        <v>640</v>
      </c>
      <c r="G444" s="71"/>
      <c r="I444" s="71"/>
      <c r="J444" s="71"/>
      <c r="K444" s="71"/>
    </row>
    <row r="445" spans="1:11" x14ac:dyDescent="0.35">
      <c r="A445" t="s">
        <v>20</v>
      </c>
      <c r="B445" s="1">
        <v>45898</v>
      </c>
      <c r="C445" t="s">
        <v>567</v>
      </c>
      <c r="D445" s="15">
        <v>3390</v>
      </c>
      <c r="E445" s="15">
        <f>+Tabla3[[#This Row],[VALOR FACTURA]]-Tabla3[[#This Row],[VALOR PAGO]]</f>
        <v>678</v>
      </c>
      <c r="F445" s="96">
        <v>2712</v>
      </c>
      <c r="G445" s="71"/>
      <c r="I445" s="71"/>
      <c r="J445" s="71"/>
      <c r="K445" s="71"/>
    </row>
    <row r="446" spans="1:11" x14ac:dyDescent="0.35">
      <c r="A446" t="s">
        <v>20</v>
      </c>
      <c r="B446" s="1">
        <v>45898</v>
      </c>
      <c r="C446" t="s">
        <v>739</v>
      </c>
      <c r="D446" s="96">
        <v>2311.42</v>
      </c>
      <c r="E446" s="15">
        <f>+Tabla3[[#This Row],[VALOR FACTURA]]-Tabla3[[#This Row],[VALOR PAGO]]</f>
        <v>0</v>
      </c>
      <c r="F446" s="96">
        <v>2311.42</v>
      </c>
      <c r="G446" s="71"/>
      <c r="I446" s="71"/>
      <c r="J446" s="71"/>
      <c r="K446" s="71"/>
    </row>
    <row r="447" spans="1:11" x14ac:dyDescent="0.35">
      <c r="A447" t="s">
        <v>20</v>
      </c>
      <c r="B447" s="1">
        <v>45898</v>
      </c>
      <c r="C447" t="s">
        <v>138</v>
      </c>
      <c r="D447" s="96">
        <v>545</v>
      </c>
      <c r="E447" s="15">
        <f>+Tabla3[[#This Row],[VALOR FACTURA]]-Tabla3[[#This Row],[VALOR PAGO]]</f>
        <v>0</v>
      </c>
      <c r="F447" s="96">
        <v>545</v>
      </c>
      <c r="G447" s="71"/>
      <c r="I447" s="71"/>
      <c r="J447" s="71"/>
      <c r="K447" s="71"/>
    </row>
    <row r="448" spans="1:11" x14ac:dyDescent="0.35">
      <c r="A448" t="s">
        <v>20</v>
      </c>
      <c r="B448" s="1">
        <v>45903</v>
      </c>
      <c r="C448" t="s">
        <v>145</v>
      </c>
      <c r="D448" s="15">
        <v>21615.494879186645</v>
      </c>
      <c r="E448" s="15">
        <f>+Tabla3[[#This Row],[VALOR FACTURA]]-Tabla3[[#This Row],[VALOR PAGO]]</f>
        <v>0</v>
      </c>
      <c r="F448" s="15">
        <v>21615.494879186645</v>
      </c>
      <c r="G448" s="71"/>
      <c r="I448" s="71"/>
      <c r="J448" s="71"/>
      <c r="K448" s="71"/>
    </row>
    <row r="449" spans="1:11" x14ac:dyDescent="0.35">
      <c r="A449" t="s">
        <v>20</v>
      </c>
      <c r="B449" s="1">
        <v>45903</v>
      </c>
      <c r="C449" t="s">
        <v>147</v>
      </c>
      <c r="D449" s="15">
        <v>10045.735210027538</v>
      </c>
      <c r="E449" s="15">
        <f>+Tabla3[[#This Row],[VALOR FACTURA]]-Tabla3[[#This Row],[VALOR PAGO]]</f>
        <v>0</v>
      </c>
      <c r="F449" s="15">
        <v>10045.735210027538</v>
      </c>
      <c r="G449" s="71"/>
      <c r="I449" s="71"/>
      <c r="J449" s="71"/>
      <c r="K449" s="71"/>
    </row>
    <row r="450" spans="1:11" x14ac:dyDescent="0.35">
      <c r="A450" t="s">
        <v>20</v>
      </c>
      <c r="B450" s="1">
        <v>45903</v>
      </c>
      <c r="C450" t="s">
        <v>60</v>
      </c>
      <c r="D450" s="15">
        <v>100590</v>
      </c>
      <c r="E450" s="15">
        <f>+Tabla3[[#This Row],[VALOR FACTURA]]-Tabla3[[#This Row],[VALOR PAGO]]</f>
        <v>20118</v>
      </c>
      <c r="F450" s="182">
        <v>80472</v>
      </c>
      <c r="G450" s="71"/>
      <c r="I450" s="71"/>
      <c r="J450" s="71"/>
      <c r="K450" s="71"/>
    </row>
    <row r="451" spans="1:11" x14ac:dyDescent="0.35">
      <c r="A451" t="s">
        <v>195</v>
      </c>
      <c r="B451" s="1">
        <v>45910</v>
      </c>
      <c r="C451" t="s">
        <v>218</v>
      </c>
      <c r="D451" s="15">
        <v>63289</v>
      </c>
      <c r="E451" s="15">
        <f>+Tabla3[[#This Row],[VALOR FACTURA]]-Tabla3[[#This Row],[VALOR PAGO]]</f>
        <v>12657.800000000003</v>
      </c>
      <c r="F451" s="182">
        <v>50631.199999999997</v>
      </c>
      <c r="G451" s="71"/>
      <c r="I451" s="71"/>
      <c r="J451" s="71"/>
      <c r="K451" s="71"/>
    </row>
    <row r="452" spans="1:11" x14ac:dyDescent="0.35">
      <c r="A452" t="s">
        <v>20</v>
      </c>
      <c r="B452" s="1">
        <v>45910</v>
      </c>
      <c r="C452" t="s">
        <v>739</v>
      </c>
      <c r="D452" s="15">
        <v>7352.72</v>
      </c>
      <c r="E452" s="15">
        <f>+Tabla3[[#This Row],[VALOR FACTURA]]-Tabla3[[#This Row],[VALOR PAGO]]</f>
        <v>0</v>
      </c>
      <c r="F452" s="182">
        <v>7352.72</v>
      </c>
      <c r="G452" s="71"/>
      <c r="I452" s="71"/>
      <c r="J452" s="71"/>
      <c r="K452" s="71"/>
    </row>
    <row r="453" spans="1:11" x14ac:dyDescent="0.35">
      <c r="A453" t="s">
        <v>20</v>
      </c>
      <c r="B453" s="1">
        <v>45910</v>
      </c>
      <c r="C453" t="s">
        <v>1249</v>
      </c>
      <c r="D453" s="15">
        <v>700</v>
      </c>
      <c r="E453" s="15">
        <f>+Tabla3[[#This Row],[VALOR FACTURA]]-Tabla3[[#This Row],[VALOR PAGO]]</f>
        <v>140</v>
      </c>
      <c r="F453" s="182">
        <v>560</v>
      </c>
      <c r="G453" s="71"/>
      <c r="I453" s="71"/>
      <c r="J453" s="71"/>
      <c r="K453" s="71"/>
    </row>
    <row r="454" spans="1:11" x14ac:dyDescent="0.35">
      <c r="A454" t="s">
        <v>20</v>
      </c>
      <c r="B454" s="1">
        <v>45910</v>
      </c>
      <c r="C454" t="s">
        <v>1348</v>
      </c>
      <c r="D454" s="15">
        <v>1410.12</v>
      </c>
      <c r="E454" s="15">
        <f>+Tabla3[[#This Row],[VALOR FACTURA]]-Tabla3[[#This Row],[VALOR PAGO]]</f>
        <v>0</v>
      </c>
      <c r="F454" s="182">
        <v>1410.12</v>
      </c>
      <c r="G454" s="89">
        <v>1200</v>
      </c>
      <c r="I454" s="71"/>
      <c r="J454" s="71"/>
      <c r="K454" s="71"/>
    </row>
    <row r="455" spans="1:11" x14ac:dyDescent="0.35">
      <c r="A455" t="s">
        <v>195</v>
      </c>
      <c r="B455" s="1">
        <v>45910</v>
      </c>
      <c r="C455" t="s">
        <v>218</v>
      </c>
      <c r="D455" s="15">
        <v>63289</v>
      </c>
      <c r="E455" s="15">
        <f>+Tabla3[[#This Row],[VALOR FACTURA]]-Tabla3[[#This Row],[VALOR PAGO]]</f>
        <v>12657.800000000003</v>
      </c>
      <c r="F455" s="182">
        <v>50631.199999999997</v>
      </c>
      <c r="G455" s="71"/>
      <c r="I455" s="71"/>
      <c r="J455" s="71"/>
      <c r="K455" s="71"/>
    </row>
    <row r="456" spans="1:11" x14ac:dyDescent="0.35">
      <c r="A456" t="s">
        <v>20</v>
      </c>
      <c r="B456" s="1">
        <v>45917</v>
      </c>
      <c r="C456" t="s">
        <v>575</v>
      </c>
      <c r="D456" s="15">
        <v>11305.57</v>
      </c>
      <c r="E456" s="15">
        <f>+Tabla3[[#This Row],[VALOR FACTURA]]-Tabla3[[#This Row],[VALOR PAGO]]</f>
        <v>2261.1100000000006</v>
      </c>
      <c r="F456" s="176">
        <v>9044.4599999999991</v>
      </c>
      <c r="G456" s="71"/>
      <c r="I456" s="71"/>
      <c r="J456" s="71"/>
      <c r="K456" s="71"/>
    </row>
    <row r="457" spans="1:11" x14ac:dyDescent="0.35">
      <c r="A457" t="s">
        <v>20</v>
      </c>
      <c r="B457" s="1">
        <v>45917</v>
      </c>
      <c r="C457" t="s">
        <v>138</v>
      </c>
      <c r="D457" s="176">
        <v>545</v>
      </c>
      <c r="E457" s="15">
        <f>+Tabla3[[#This Row],[VALOR FACTURA]]-Tabla3[[#This Row],[VALOR PAGO]]</f>
        <v>0</v>
      </c>
      <c r="F457" s="176">
        <v>545</v>
      </c>
      <c r="G457" s="71"/>
      <c r="I457" s="71"/>
      <c r="J457" s="71"/>
      <c r="K457" s="71"/>
    </row>
    <row r="458" spans="1:11" x14ac:dyDescent="0.35">
      <c r="A458" t="s">
        <v>20</v>
      </c>
      <c r="B458" s="1">
        <v>45917</v>
      </c>
      <c r="C458" t="s">
        <v>217</v>
      </c>
      <c r="D458" s="15">
        <v>83076</v>
      </c>
      <c r="E458" s="15">
        <f>+Tabla3[[#This Row],[VALOR FACTURA]]-Tabla3[[#This Row],[VALOR PAGO]]</f>
        <v>0</v>
      </c>
      <c r="F458" s="15">
        <v>83076</v>
      </c>
      <c r="G458" s="71"/>
      <c r="H458" t="s">
        <v>895</v>
      </c>
      <c r="I458" s="71"/>
      <c r="J458" s="71"/>
      <c r="K458" s="71"/>
    </row>
    <row r="459" spans="1:11" x14ac:dyDescent="0.35">
      <c r="A459" t="s">
        <v>20</v>
      </c>
      <c r="B459" s="1">
        <v>45923</v>
      </c>
      <c r="C459" t="s">
        <v>217</v>
      </c>
      <c r="D459" s="15">
        <v>64783.33</v>
      </c>
      <c r="E459" s="15">
        <f>+Tabla3[[#This Row],[VALOR FACTURA]]-Tabla3[[#This Row],[VALOR PAGO]]</f>
        <v>0</v>
      </c>
      <c r="F459" s="15">
        <v>64783.33</v>
      </c>
      <c r="G459" s="71"/>
      <c r="H459" t="s">
        <v>895</v>
      </c>
      <c r="I459" s="71"/>
      <c r="J459" s="71"/>
      <c r="K459" s="71"/>
    </row>
    <row r="460" spans="1:11" x14ac:dyDescent="0.35">
      <c r="A460" t="s">
        <v>195</v>
      </c>
      <c r="B460" s="1">
        <v>45924</v>
      </c>
      <c r="C460" t="s">
        <v>218</v>
      </c>
      <c r="D460" s="183">
        <v>3825</v>
      </c>
      <c r="E460" s="15">
        <f>+Tabla3[[#This Row],[VALOR FACTURA]]-Tabla3[[#This Row],[VALOR PAGO]]</f>
        <v>765</v>
      </c>
      <c r="F460" s="183">
        <v>3060</v>
      </c>
      <c r="G460" s="71"/>
      <c r="I460" s="71"/>
      <c r="J460" s="71"/>
      <c r="K460" s="71"/>
    </row>
    <row r="461" spans="1:11" x14ac:dyDescent="0.35">
      <c r="A461" t="s">
        <v>20</v>
      </c>
      <c r="B461" s="1">
        <v>45924</v>
      </c>
      <c r="C461" t="s">
        <v>971</v>
      </c>
      <c r="D461" s="15">
        <v>3602.22</v>
      </c>
      <c r="E461" s="15">
        <f>+Tabla3[[#This Row],[VALOR FACTURA]]-Tabla3[[#This Row],[VALOR PAGO]]</f>
        <v>0</v>
      </c>
      <c r="F461" s="184">
        <v>3602.22</v>
      </c>
      <c r="G461" s="89">
        <v>3054.54</v>
      </c>
      <c r="I461" s="71"/>
      <c r="J461" s="71"/>
      <c r="K461" s="71"/>
    </row>
    <row r="462" spans="1:11" x14ac:dyDescent="0.35">
      <c r="A462" t="s">
        <v>20</v>
      </c>
      <c r="B462" s="1">
        <v>45924</v>
      </c>
      <c r="C462" t="s">
        <v>1222</v>
      </c>
      <c r="D462" s="184">
        <v>58272.800000000003</v>
      </c>
      <c r="E462" s="15">
        <f>+Tabla3[[#This Row],[VALOR FACTURA]]-Tabla3[[#This Row],[VALOR PAGO]]</f>
        <v>0</v>
      </c>
      <c r="F462" s="184">
        <v>58272.800000000003</v>
      </c>
      <c r="G462" s="89">
        <v>49413</v>
      </c>
      <c r="I462" s="71"/>
      <c r="J462" s="71"/>
      <c r="K462" s="71"/>
    </row>
    <row r="463" spans="1:11" x14ac:dyDescent="0.35">
      <c r="A463" t="s">
        <v>20</v>
      </c>
      <c r="B463" s="1">
        <v>45924</v>
      </c>
      <c r="C463" t="s">
        <v>1077</v>
      </c>
      <c r="D463" s="15">
        <v>375</v>
      </c>
      <c r="E463" s="15">
        <f>+Tabla3[[#This Row],[VALOR FACTURA]]-Tabla3[[#This Row],[VALOR PAGO]]</f>
        <v>37.5</v>
      </c>
      <c r="F463" s="184">
        <v>337.5</v>
      </c>
      <c r="G463" s="71"/>
      <c r="I463" s="71"/>
      <c r="J463" s="71"/>
      <c r="K463" s="71"/>
    </row>
    <row r="464" spans="1:11" x14ac:dyDescent="0.35">
      <c r="A464" t="s">
        <v>20</v>
      </c>
      <c r="B464" s="1">
        <v>45931</v>
      </c>
      <c r="C464" t="s">
        <v>739</v>
      </c>
      <c r="D464" s="184">
        <v>3111.91</v>
      </c>
      <c r="E464" s="15">
        <f>+Tabla3[[#This Row],[VALOR FACTURA]]-Tabla3[[#This Row],[VALOR PAGO]]</f>
        <v>0</v>
      </c>
      <c r="F464" s="184">
        <v>3111.91</v>
      </c>
      <c r="G464" s="71"/>
      <c r="I464" s="71"/>
      <c r="J464" s="71"/>
      <c r="K464" s="71"/>
    </row>
    <row r="465" spans="1:11" x14ac:dyDescent="0.35">
      <c r="A465" t="s">
        <v>20</v>
      </c>
      <c r="B465" s="1">
        <v>45931</v>
      </c>
      <c r="C465" t="s">
        <v>1372</v>
      </c>
      <c r="D465" s="191">
        <v>28819</v>
      </c>
      <c r="E465" s="15">
        <f>+Tabla3[[#This Row],[VALOR FACTURA]]-Tabla3[[#This Row],[VALOR PAGO]]</f>
        <v>0</v>
      </c>
      <c r="F465" s="191">
        <v>28819</v>
      </c>
      <c r="G465" s="71"/>
      <c r="I465" s="71"/>
      <c r="J465" s="71"/>
      <c r="K465" s="71"/>
    </row>
    <row r="466" spans="1:11" x14ac:dyDescent="0.35">
      <c r="A466" t="s">
        <v>20</v>
      </c>
      <c r="B466" s="1">
        <v>45931</v>
      </c>
      <c r="C466" t="s">
        <v>766</v>
      </c>
      <c r="D466" s="191">
        <v>8902.5</v>
      </c>
      <c r="E466" s="15">
        <f>+Tabla3[[#This Row],[VALOR FACTURA]]-Tabla3[[#This Row],[VALOR PAGO]]</f>
        <v>0</v>
      </c>
      <c r="F466" s="191">
        <v>8902.5</v>
      </c>
      <c r="G466" s="71"/>
      <c r="I466" s="71"/>
      <c r="J466" s="71"/>
      <c r="K466" s="71"/>
    </row>
    <row r="467" spans="1:11" x14ac:dyDescent="0.35">
      <c r="A467" t="s">
        <v>20</v>
      </c>
      <c r="B467" s="1">
        <v>45931</v>
      </c>
      <c r="C467" t="s">
        <v>139</v>
      </c>
      <c r="D467" s="191">
        <v>23617.52</v>
      </c>
      <c r="E467" s="15">
        <f>+Tabla3[[#This Row],[VALOR FACTURA]]-Tabla3[[#This Row],[VALOR PAGO]]</f>
        <v>0</v>
      </c>
      <c r="F467" s="191">
        <v>23617.52</v>
      </c>
      <c r="G467" s="71"/>
      <c r="I467" s="71"/>
      <c r="J467" s="71"/>
      <c r="K467" s="71"/>
    </row>
    <row r="468" spans="1:11" x14ac:dyDescent="0.35">
      <c r="A468" t="s">
        <v>20</v>
      </c>
      <c r="B468" s="1">
        <v>45931</v>
      </c>
      <c r="C468" t="s">
        <v>1249</v>
      </c>
      <c r="D468" s="15">
        <v>700</v>
      </c>
      <c r="E468" s="15">
        <f>+Tabla3[[#This Row],[VALOR FACTURA]]-Tabla3[[#This Row],[VALOR PAGO]]</f>
        <v>140</v>
      </c>
      <c r="F468" s="191">
        <v>560</v>
      </c>
      <c r="G468" s="71"/>
      <c r="I468" s="71"/>
      <c r="J468" s="71"/>
      <c r="K468" s="71"/>
    </row>
    <row r="469" spans="1:11" x14ac:dyDescent="0.35">
      <c r="A469" t="s">
        <v>20</v>
      </c>
      <c r="B469" s="1">
        <v>45931</v>
      </c>
      <c r="C469" t="s">
        <v>567</v>
      </c>
      <c r="D469" s="15">
        <v>3390</v>
      </c>
      <c r="E469" s="15">
        <f>+Tabla3[[#This Row],[VALOR FACTURA]]-Tabla3[[#This Row],[VALOR PAGO]]</f>
        <v>678</v>
      </c>
      <c r="F469" s="191">
        <v>2712</v>
      </c>
      <c r="G469" s="71"/>
      <c r="I469" s="71"/>
      <c r="J469" s="71"/>
      <c r="K469" s="71"/>
    </row>
    <row r="470" spans="1:11" x14ac:dyDescent="0.35">
      <c r="A470" t="s">
        <v>20</v>
      </c>
      <c r="B470" s="1">
        <v>45933</v>
      </c>
      <c r="C470" t="s">
        <v>739</v>
      </c>
      <c r="D470" s="15">
        <v>2140.87</v>
      </c>
      <c r="E470" s="15">
        <f>+Tabla3[[#This Row],[VALOR FACTURA]]-Tabla3[[#This Row],[VALOR PAGO]]</f>
        <v>0</v>
      </c>
      <c r="F470" s="191">
        <v>2140.87</v>
      </c>
      <c r="G470" s="71"/>
      <c r="I470" s="71"/>
      <c r="J470" s="71"/>
      <c r="K470" s="71"/>
    </row>
    <row r="471" spans="1:11" x14ac:dyDescent="0.35">
      <c r="A471" t="s">
        <v>20</v>
      </c>
      <c r="B471" s="1">
        <v>45933</v>
      </c>
      <c r="C471" t="s">
        <v>147</v>
      </c>
      <c r="D471" s="15">
        <v>947.39</v>
      </c>
      <c r="E471" s="15">
        <f>+Tabla3[[#This Row],[VALOR FACTURA]]-Tabla3[[#This Row],[VALOR PAGO]]</f>
        <v>0</v>
      </c>
      <c r="F471" s="191">
        <v>947.39</v>
      </c>
      <c r="G471" s="71"/>
      <c r="I471" s="71"/>
      <c r="J471" s="71"/>
      <c r="K471" s="71"/>
    </row>
    <row r="472" spans="1:11" x14ac:dyDescent="0.35">
      <c r="A472" t="s">
        <v>20</v>
      </c>
      <c r="B472" s="1">
        <v>45933</v>
      </c>
      <c r="C472" t="s">
        <v>147</v>
      </c>
      <c r="D472" s="15">
        <v>32924.378547734057</v>
      </c>
      <c r="E472" s="15">
        <f>+Tabla3[[#This Row],[VALOR FACTURA]]-Tabla3[[#This Row],[VALOR PAGO]]</f>
        <v>0</v>
      </c>
      <c r="F472" s="191">
        <v>32924.378547734057</v>
      </c>
      <c r="G472" s="71"/>
      <c r="I472" s="71"/>
      <c r="J472" s="71"/>
      <c r="K472" s="71"/>
    </row>
    <row r="473" spans="1:11" x14ac:dyDescent="0.35">
      <c r="A473" t="s">
        <v>20</v>
      </c>
      <c r="B473" s="1">
        <v>45933</v>
      </c>
      <c r="C473" t="s">
        <v>143</v>
      </c>
      <c r="D473" s="15">
        <v>6830.709098326166</v>
      </c>
      <c r="E473" s="15">
        <f>+Tabla3[[#This Row],[VALOR FACTURA]]-Tabla3[[#This Row],[VALOR PAGO]]</f>
        <v>0</v>
      </c>
      <c r="F473" s="191">
        <v>6830.709098326166</v>
      </c>
      <c r="G473" s="71"/>
      <c r="I473" s="71"/>
      <c r="J473" s="71"/>
      <c r="K473" s="71"/>
    </row>
    <row r="474" spans="1:11" x14ac:dyDescent="0.35">
      <c r="A474" t="s">
        <v>20</v>
      </c>
      <c r="B474" s="1">
        <v>45933</v>
      </c>
      <c r="C474" t="s">
        <v>145</v>
      </c>
      <c r="D474" s="15">
        <v>126467.69429706181</v>
      </c>
      <c r="E474" s="15">
        <f>+Tabla3[[#This Row],[VALOR FACTURA]]-Tabla3[[#This Row],[VALOR PAGO]]</f>
        <v>0</v>
      </c>
      <c r="F474" s="191">
        <v>126467.69429706181</v>
      </c>
      <c r="G474" s="71"/>
      <c r="I474" s="71"/>
      <c r="J474" s="71"/>
      <c r="K474" s="71"/>
    </row>
    <row r="475" spans="1:11" x14ac:dyDescent="0.35">
      <c r="A475" t="s">
        <v>20</v>
      </c>
      <c r="B475" s="1">
        <v>45933</v>
      </c>
      <c r="C475" t="s">
        <v>1401</v>
      </c>
      <c r="D475" s="15">
        <v>23917</v>
      </c>
      <c r="E475" s="15">
        <f>+Tabla3[[#This Row],[VALOR FACTURA]]-Tabla3[[#This Row],[VALOR PAGO]]</f>
        <v>2391.7000000000007</v>
      </c>
      <c r="F475" s="191">
        <v>21525.3</v>
      </c>
      <c r="G475" s="71"/>
      <c r="I475" s="71"/>
      <c r="J475" s="71"/>
      <c r="K475" s="71"/>
    </row>
    <row r="476" spans="1:11" x14ac:dyDescent="0.35">
      <c r="A476" t="s">
        <v>20</v>
      </c>
      <c r="B476" s="1">
        <v>45933</v>
      </c>
      <c r="C476" t="s">
        <v>145</v>
      </c>
      <c r="D476" s="15">
        <v>2094.17</v>
      </c>
      <c r="E476" s="15">
        <f>+Tabla3[[#This Row],[VALOR FACTURA]]-Tabla3[[#This Row],[VALOR PAGO]]</f>
        <v>0</v>
      </c>
      <c r="F476" s="191">
        <v>2094.17</v>
      </c>
      <c r="G476" s="71"/>
      <c r="I476" s="71"/>
      <c r="J476" s="71"/>
      <c r="K476" s="71"/>
    </row>
    <row r="477" spans="1:11" x14ac:dyDescent="0.35">
      <c r="A477" t="s">
        <v>20</v>
      </c>
      <c r="B477" s="1">
        <v>45938</v>
      </c>
      <c r="C477" t="s">
        <v>147</v>
      </c>
      <c r="D477" s="15">
        <v>21687.040645429413</v>
      </c>
      <c r="E477" s="15">
        <f>+Tabla3[[#This Row],[VALOR FACTURA]]-Tabla3[[#This Row],[VALOR PAGO]]</f>
        <v>0</v>
      </c>
      <c r="F477" s="192">
        <v>21687.040645429413</v>
      </c>
      <c r="G477" s="71"/>
      <c r="I477" s="71"/>
      <c r="J477" s="71"/>
      <c r="K477" s="71"/>
    </row>
    <row r="478" spans="1:11" x14ac:dyDescent="0.35">
      <c r="A478" t="s">
        <v>20</v>
      </c>
      <c r="B478" s="1">
        <v>45938</v>
      </c>
      <c r="C478" t="s">
        <v>147</v>
      </c>
      <c r="D478" s="15">
        <v>2957.44</v>
      </c>
      <c r="E478" s="15">
        <f>+Tabla3[[#This Row],[VALOR FACTURA]]-Tabla3[[#This Row],[VALOR PAGO]]</f>
        <v>0</v>
      </c>
      <c r="F478" s="192">
        <v>2957.44</v>
      </c>
      <c r="G478" s="71"/>
      <c r="I478" s="71"/>
      <c r="J478" s="71"/>
      <c r="K478" s="71"/>
    </row>
    <row r="479" spans="1:11" x14ac:dyDescent="0.35">
      <c r="A479" t="s">
        <v>20</v>
      </c>
      <c r="B479" s="1">
        <v>45938</v>
      </c>
      <c r="C479" t="s">
        <v>145</v>
      </c>
      <c r="D479" s="15">
        <v>22670.087962891139</v>
      </c>
      <c r="E479" s="15">
        <f>+Tabla3[[#This Row],[VALOR FACTURA]]-Tabla3[[#This Row],[VALOR PAGO]]</f>
        <v>0</v>
      </c>
      <c r="F479" s="192">
        <v>22670.087962891139</v>
      </c>
      <c r="G479" s="71"/>
      <c r="I479" s="71"/>
      <c r="J479" s="71"/>
      <c r="K479" s="71"/>
    </row>
    <row r="480" spans="1:11" x14ac:dyDescent="0.35">
      <c r="A480" t="s">
        <v>20</v>
      </c>
      <c r="B480" s="1">
        <v>45938</v>
      </c>
      <c r="C480" t="s">
        <v>575</v>
      </c>
      <c r="D480" s="15">
        <v>19117.629999999997</v>
      </c>
      <c r="E480" s="15">
        <f>+Tabla3[[#This Row],[VALOR FACTURA]]-Tabla3[[#This Row],[VALOR PAGO]]</f>
        <v>0</v>
      </c>
      <c r="F480" s="192">
        <v>19117.629999999997</v>
      </c>
      <c r="G480" s="71"/>
      <c r="I480" s="71"/>
      <c r="J480" s="71"/>
      <c r="K480" s="71"/>
    </row>
    <row r="481" spans="1:11" x14ac:dyDescent="0.35">
      <c r="A481" t="s">
        <v>20</v>
      </c>
      <c r="B481" s="1">
        <v>45945</v>
      </c>
      <c r="C481" t="s">
        <v>1480</v>
      </c>
      <c r="D481" s="15">
        <v>250000</v>
      </c>
      <c r="E481" s="15">
        <f>+Tabla3[[#This Row],[VALOR FACTURA]]-Tabla3[[#This Row],[VALOR PAGO]]</f>
        <v>25000</v>
      </c>
      <c r="F481" s="192">
        <v>225000</v>
      </c>
      <c r="G481" s="71"/>
      <c r="I481" s="71"/>
      <c r="J481" s="71"/>
      <c r="K481" s="71"/>
    </row>
    <row r="482" spans="1:11" x14ac:dyDescent="0.35">
      <c r="A482" t="s">
        <v>20</v>
      </c>
      <c r="B482" s="1">
        <v>45945</v>
      </c>
      <c r="C482" t="s">
        <v>1427</v>
      </c>
      <c r="D482" s="15">
        <v>15950</v>
      </c>
      <c r="E482" s="15">
        <f>+Tabla3[[#This Row],[VALOR FACTURA]]-Tabla3[[#This Row],[VALOR PAGO]]</f>
        <v>3190</v>
      </c>
      <c r="F482" s="192">
        <v>12760</v>
      </c>
      <c r="G482" s="71"/>
      <c r="I482" s="71"/>
      <c r="J482" s="71"/>
      <c r="K482" s="71"/>
    </row>
    <row r="483" spans="1:11" x14ac:dyDescent="0.35">
      <c r="A483" t="s">
        <v>20</v>
      </c>
      <c r="B483" s="1">
        <v>45945</v>
      </c>
      <c r="C483" t="s">
        <v>139</v>
      </c>
      <c r="D483" s="15">
        <v>21600</v>
      </c>
      <c r="E483" s="15">
        <f>+Tabla3[[#This Row],[VALOR FACTURA]]-Tabla3[[#This Row],[VALOR PAGO]]</f>
        <v>0</v>
      </c>
      <c r="F483" s="192">
        <v>21600</v>
      </c>
      <c r="G483" s="71"/>
      <c r="I483" s="71"/>
      <c r="J483" s="71"/>
      <c r="K483" s="71"/>
    </row>
    <row r="484" spans="1:11" x14ac:dyDescent="0.35">
      <c r="A484" t="s">
        <v>20</v>
      </c>
      <c r="B484" s="1">
        <v>45945</v>
      </c>
      <c r="C484" t="s">
        <v>739</v>
      </c>
      <c r="D484" s="15">
        <v>2371.9</v>
      </c>
      <c r="E484" s="15">
        <f>+Tabla3[[#This Row],[VALOR FACTURA]]-Tabla3[[#This Row],[VALOR PAGO]]</f>
        <v>0</v>
      </c>
      <c r="F484" s="192">
        <v>2371.9</v>
      </c>
      <c r="G484" s="71"/>
      <c r="I484" s="71"/>
      <c r="J484" s="71"/>
      <c r="K484" s="71"/>
    </row>
    <row r="485" spans="1:11" x14ac:dyDescent="0.35">
      <c r="A485" t="s">
        <v>20</v>
      </c>
      <c r="B485" s="1">
        <v>45950</v>
      </c>
      <c r="C485" t="s">
        <v>173</v>
      </c>
      <c r="D485" s="15">
        <v>430135.74</v>
      </c>
      <c r="E485" s="15">
        <f>+Tabla3[[#This Row],[VALOR FACTURA]]-Tabla3[[#This Row],[VALOR PAGO]]</f>
        <v>86027.149999999965</v>
      </c>
      <c r="F485" s="15">
        <v>344108.59</v>
      </c>
      <c r="G485" s="71"/>
      <c r="I485" s="71"/>
      <c r="J485" s="71"/>
      <c r="K485" s="71"/>
    </row>
    <row r="486" spans="1:11" x14ac:dyDescent="0.35">
      <c r="A486" t="s">
        <v>20</v>
      </c>
      <c r="B486" s="1">
        <v>45950</v>
      </c>
      <c r="C486" t="s">
        <v>173</v>
      </c>
      <c r="D486" s="15">
        <v>129211.85</v>
      </c>
      <c r="E486" s="15">
        <f>+Tabla3[[#This Row],[VALOR FACTURA]]-Tabla3[[#This Row],[VALOR PAGO]]</f>
        <v>25842.37000000001</v>
      </c>
      <c r="F486" s="15">
        <v>103369.48</v>
      </c>
      <c r="G486" s="71"/>
      <c r="I486" s="71"/>
      <c r="J486" s="71"/>
      <c r="K486" s="71"/>
    </row>
    <row r="487" spans="1:11" x14ac:dyDescent="0.35">
      <c r="A487" t="s">
        <v>20</v>
      </c>
      <c r="B487" s="1">
        <v>45952</v>
      </c>
      <c r="C487" t="s">
        <v>1427</v>
      </c>
      <c r="D487" s="15">
        <v>15950</v>
      </c>
      <c r="E487" s="15">
        <f>+Tabla3[[#This Row],[VALOR FACTURA]]-Tabla3[[#This Row],[VALOR PAGO]]</f>
        <v>3190</v>
      </c>
      <c r="F487" s="15">
        <v>12760</v>
      </c>
      <c r="G487" s="71"/>
      <c r="I487" s="71"/>
      <c r="J487" s="71"/>
      <c r="K487" s="71"/>
    </row>
    <row r="488" spans="1:11" x14ac:dyDescent="0.35">
      <c r="A488" t="s">
        <v>20</v>
      </c>
      <c r="B488" s="1">
        <v>45953</v>
      </c>
      <c r="C488" t="s">
        <v>1452</v>
      </c>
      <c r="D488" s="15">
        <v>342390</v>
      </c>
      <c r="E488" s="15">
        <f>+Tabla3[[#This Row],[VALOR FACTURA]]-Tabla3[[#This Row],[VALOR PAGO]]</f>
        <v>34239</v>
      </c>
      <c r="F488" s="15">
        <v>308151</v>
      </c>
      <c r="G488" s="71"/>
      <c r="I488" s="71"/>
      <c r="J488" s="71"/>
      <c r="K488" s="71"/>
    </row>
    <row r="489" spans="1:11" x14ac:dyDescent="0.35">
      <c r="A489" t="s">
        <v>20</v>
      </c>
      <c r="B489" s="1">
        <v>45954</v>
      </c>
      <c r="C489" t="s">
        <v>1156</v>
      </c>
      <c r="D489" s="15">
        <v>11000</v>
      </c>
      <c r="E489" s="15">
        <f>+Tabla3[[#This Row],[VALOR FACTURA]]-Tabla3[[#This Row],[VALOR PAGO]]</f>
        <v>0</v>
      </c>
      <c r="F489" s="15">
        <v>11000</v>
      </c>
      <c r="G489" s="71"/>
      <c r="I489" s="71"/>
      <c r="J489" s="71"/>
      <c r="K489" s="71"/>
    </row>
    <row r="490" spans="1:11" x14ac:dyDescent="0.35">
      <c r="A490" t="s">
        <v>20</v>
      </c>
      <c r="B490" s="1">
        <v>45959</v>
      </c>
      <c r="C490" t="s">
        <v>1467</v>
      </c>
      <c r="D490" s="15">
        <v>4913.21</v>
      </c>
      <c r="E490" s="15">
        <f>+Tabla3[[#This Row],[VALOR FACTURA]]-Tabla3[[#This Row],[VALOR PAGO]]</f>
        <v>982.63999999999987</v>
      </c>
      <c r="F490" s="193">
        <v>3930.57</v>
      </c>
      <c r="G490" s="71"/>
      <c r="I490" s="71"/>
      <c r="J490" s="71"/>
      <c r="K490" s="71"/>
    </row>
    <row r="491" spans="1:11" x14ac:dyDescent="0.35">
      <c r="A491" t="s">
        <v>20</v>
      </c>
      <c r="B491" s="1">
        <v>45959</v>
      </c>
      <c r="C491" t="s">
        <v>1249</v>
      </c>
      <c r="D491" s="15">
        <v>700</v>
      </c>
      <c r="E491" s="15">
        <f>+Tabla3[[#This Row],[VALOR FACTURA]]-Tabla3[[#This Row],[VALOR PAGO]]</f>
        <v>140</v>
      </c>
      <c r="F491" s="193">
        <v>560</v>
      </c>
      <c r="G491" s="71"/>
      <c r="I491" s="71"/>
      <c r="J491" s="71"/>
      <c r="K491" s="71"/>
    </row>
    <row r="492" spans="1:11" x14ac:dyDescent="0.35">
      <c r="A492" t="s">
        <v>20</v>
      </c>
      <c r="B492" s="1">
        <v>45959</v>
      </c>
      <c r="C492" t="s">
        <v>739</v>
      </c>
      <c r="D492" s="193">
        <v>7120.16</v>
      </c>
      <c r="E492" s="15">
        <f>+Tabla3[[#This Row],[VALOR FACTURA]]-Tabla3[[#This Row],[VALOR PAGO]]</f>
        <v>0</v>
      </c>
      <c r="F492" s="193">
        <v>7120.16</v>
      </c>
      <c r="G492" s="71"/>
      <c r="I492" s="71"/>
      <c r="J492" s="71"/>
      <c r="K492" s="71"/>
    </row>
    <row r="493" spans="1:11" x14ac:dyDescent="0.35">
      <c r="A493" t="s">
        <v>20</v>
      </c>
      <c r="B493" s="1">
        <v>45959</v>
      </c>
      <c r="C493" t="s">
        <v>567</v>
      </c>
      <c r="D493" s="15">
        <v>3390</v>
      </c>
      <c r="E493" s="15">
        <f>+Tabla3[[#This Row],[VALOR FACTURA]]-Tabla3[[#This Row],[VALOR PAGO]]</f>
        <v>678</v>
      </c>
      <c r="F493" s="193">
        <v>2712</v>
      </c>
      <c r="G493" s="71"/>
      <c r="I493" s="71"/>
      <c r="J493" s="71"/>
      <c r="K493" s="71"/>
    </row>
    <row r="494" spans="1:11" x14ac:dyDescent="0.35">
      <c r="A494" t="s">
        <v>20</v>
      </c>
      <c r="B494" s="1">
        <v>45960</v>
      </c>
      <c r="C494" t="s">
        <v>145</v>
      </c>
      <c r="D494" s="193">
        <v>128618.18191177493</v>
      </c>
      <c r="E494" s="15">
        <f>+Tabla3[[#This Row],[VALOR FACTURA]]-Tabla3[[#This Row],[VALOR PAGO]]</f>
        <v>0</v>
      </c>
      <c r="F494" s="193">
        <v>128618.18191177493</v>
      </c>
      <c r="G494" s="71"/>
      <c r="I494" s="71"/>
      <c r="J494" s="71"/>
      <c r="K494" s="71"/>
    </row>
    <row r="495" spans="1:11" x14ac:dyDescent="0.35">
      <c r="A495" t="s">
        <v>20</v>
      </c>
      <c r="B495" s="1">
        <v>45960</v>
      </c>
      <c r="C495" t="s">
        <v>145</v>
      </c>
      <c r="D495" s="193">
        <v>942.48</v>
      </c>
      <c r="E495" s="15">
        <f>+Tabla3[[#This Row],[VALOR FACTURA]]-Tabla3[[#This Row],[VALOR PAGO]]</f>
        <v>0</v>
      </c>
      <c r="F495" s="193">
        <v>942.48</v>
      </c>
      <c r="G495" s="71"/>
      <c r="I495" s="71"/>
      <c r="J495" s="71"/>
      <c r="K495" s="71"/>
    </row>
    <row r="496" spans="1:11" x14ac:dyDescent="0.35">
      <c r="A496" t="s">
        <v>20</v>
      </c>
      <c r="B496" s="1">
        <v>45960</v>
      </c>
      <c r="C496" t="s">
        <v>143</v>
      </c>
      <c r="D496" s="193">
        <v>4699.9782461540835</v>
      </c>
      <c r="E496" s="15">
        <f>+Tabla3[[#This Row],[VALOR FACTURA]]-Tabla3[[#This Row],[VALOR PAGO]]</f>
        <v>0</v>
      </c>
      <c r="F496" s="193">
        <v>4699.9782461540835</v>
      </c>
      <c r="G496" s="71"/>
      <c r="I496" s="71"/>
      <c r="J496" s="71"/>
      <c r="K496" s="71"/>
    </row>
    <row r="497" spans="1:11" x14ac:dyDescent="0.35">
      <c r="A497" t="s">
        <v>20</v>
      </c>
      <c r="B497" s="1">
        <v>45960</v>
      </c>
      <c r="C497" t="s">
        <v>147</v>
      </c>
      <c r="D497" s="193">
        <v>55856.363151675469</v>
      </c>
      <c r="E497" s="15">
        <f>+Tabla3[[#This Row],[VALOR FACTURA]]-Tabla3[[#This Row],[VALOR PAGO]]</f>
        <v>0</v>
      </c>
      <c r="F497" s="193">
        <v>55856.363151675469</v>
      </c>
      <c r="G497" s="71"/>
      <c r="I497" s="71"/>
      <c r="J497" s="71"/>
      <c r="K497" s="71"/>
    </row>
    <row r="498" spans="1:11" x14ac:dyDescent="0.35">
      <c r="A498" t="s">
        <v>20</v>
      </c>
      <c r="B498" s="1">
        <v>45960</v>
      </c>
      <c r="C498" t="s">
        <v>147</v>
      </c>
      <c r="D498" s="193">
        <v>4175</v>
      </c>
      <c r="E498" s="15">
        <f>+Tabla3[[#This Row],[VALOR FACTURA]]-Tabla3[[#This Row],[VALOR PAGO]]</f>
        <v>0</v>
      </c>
      <c r="F498" s="193">
        <v>4175</v>
      </c>
      <c r="G498" s="71"/>
      <c r="I498" s="71"/>
      <c r="J498" s="71"/>
      <c r="K498" s="71"/>
    </row>
    <row r="499" spans="1:11" x14ac:dyDescent="0.35">
      <c r="A499" t="s">
        <v>20</v>
      </c>
      <c r="B499" s="1">
        <v>45960</v>
      </c>
      <c r="C499" t="s">
        <v>217</v>
      </c>
      <c r="D499" s="15">
        <v>65933.33</v>
      </c>
      <c r="E499" s="15">
        <f>+Tabla3[[#This Row],[VALOR FACTURA]]-Tabla3[[#This Row],[VALOR PAGO]]</f>
        <v>0</v>
      </c>
      <c r="F499" s="202">
        <v>65933.33</v>
      </c>
      <c r="G499" s="71"/>
      <c r="I499" s="71"/>
      <c r="J499" s="71"/>
      <c r="K499" s="71"/>
    </row>
    <row r="500" spans="1:11" x14ac:dyDescent="0.35">
      <c r="A500" t="s">
        <v>20</v>
      </c>
      <c r="B500" s="1">
        <v>45960</v>
      </c>
      <c r="C500" t="s">
        <v>217</v>
      </c>
      <c r="D500" s="15">
        <v>65933.33</v>
      </c>
      <c r="E500" s="15">
        <f>+Tabla3[[#This Row],[VALOR FACTURA]]-Tabla3[[#This Row],[VALOR PAGO]]</f>
        <v>0</v>
      </c>
      <c r="F500" s="202">
        <v>65933.33</v>
      </c>
      <c r="G500" s="71"/>
      <c r="I500" s="71"/>
      <c r="J500" s="71"/>
      <c r="K500" s="71"/>
    </row>
    <row r="501" spans="1:11" x14ac:dyDescent="0.35">
      <c r="A501" t="s">
        <v>20</v>
      </c>
      <c r="B501" s="1">
        <v>45967</v>
      </c>
      <c r="C501" t="s">
        <v>138</v>
      </c>
      <c r="D501" s="15">
        <v>545</v>
      </c>
      <c r="E501" s="15">
        <f>+Tabla3[[#This Row],[VALOR FACTURA]]-Tabla3[[#This Row],[VALOR PAGO]]</f>
        <v>0</v>
      </c>
      <c r="F501" s="202">
        <v>545</v>
      </c>
      <c r="G501" s="71"/>
      <c r="I501" s="71"/>
      <c r="J501" s="71"/>
      <c r="K501" s="71"/>
    </row>
    <row r="502" spans="1:11" x14ac:dyDescent="0.35">
      <c r="A502" t="s">
        <v>19</v>
      </c>
      <c r="B502" s="1">
        <v>45968</v>
      </c>
      <c r="C502" t="s">
        <v>217</v>
      </c>
      <c r="D502" s="15">
        <v>40000</v>
      </c>
      <c r="E502" s="15">
        <f>+Tabla3[[#This Row],[VALOR FACTURA]]-Tabla3[[#This Row],[VALOR PAGO]]</f>
        <v>0</v>
      </c>
      <c r="F502" s="76">
        <v>40000</v>
      </c>
      <c r="G502" s="71"/>
      <c r="H502" t="s">
        <v>1513</v>
      </c>
      <c r="I502" s="71"/>
      <c r="J502" s="71"/>
      <c r="K502" s="71"/>
    </row>
    <row r="503" spans="1:11" x14ac:dyDescent="0.35">
      <c r="A503" t="s">
        <v>20</v>
      </c>
      <c r="B503" s="1">
        <v>45967</v>
      </c>
      <c r="C503" t="s">
        <v>138</v>
      </c>
      <c r="D503" s="15">
        <v>545</v>
      </c>
      <c r="E503" s="15">
        <f>+Tabla3[[#This Row],[VALOR FACTURA]]-Tabla3[[#This Row],[VALOR PAGO]]</f>
        <v>0</v>
      </c>
      <c r="F503" s="76">
        <v>545</v>
      </c>
      <c r="G503" s="71"/>
      <c r="I503" s="71"/>
      <c r="J503" s="71"/>
      <c r="K503" s="71"/>
    </row>
    <row r="504" spans="1:11" x14ac:dyDescent="0.35">
      <c r="A504" t="s">
        <v>20</v>
      </c>
      <c r="B504" s="1">
        <v>45968</v>
      </c>
      <c r="C504" t="s">
        <v>1452</v>
      </c>
      <c r="D504" s="15">
        <v>64702</v>
      </c>
      <c r="E504" s="15">
        <f>+Tabla3[[#This Row],[VALOR FACTURA]]-Tabla3[[#This Row],[VALOR PAGO]]</f>
        <v>6470.1999999999971</v>
      </c>
      <c r="F504" s="206">
        <v>58231.8</v>
      </c>
      <c r="G504" s="71"/>
      <c r="I504" s="71"/>
      <c r="J504" s="71"/>
      <c r="K504" s="71"/>
    </row>
    <row r="505" spans="1:11" x14ac:dyDescent="0.35">
      <c r="A505" t="s">
        <v>20</v>
      </c>
      <c r="B505" s="1">
        <v>45971</v>
      </c>
      <c r="C505" t="s">
        <v>1514</v>
      </c>
      <c r="D505" s="15">
        <v>2910.56</v>
      </c>
      <c r="E505" s="15">
        <f>+Tabla3[[#This Row],[VALOR FACTURA]]-Tabla3[[#This Row],[VALOR PAGO]]</f>
        <v>0</v>
      </c>
      <c r="F505" s="15">
        <v>2910.56</v>
      </c>
      <c r="G505" s="71">
        <v>2500</v>
      </c>
      <c r="I505" s="71"/>
      <c r="J505" s="71"/>
      <c r="K505" s="71"/>
    </row>
    <row r="506" spans="1:11" x14ac:dyDescent="0.35">
      <c r="A506" t="s">
        <v>20</v>
      </c>
      <c r="B506" s="1">
        <v>45973</v>
      </c>
      <c r="C506" t="s">
        <v>143</v>
      </c>
      <c r="D506" s="15">
        <v>2876.83</v>
      </c>
      <c r="E506" s="15">
        <f>+Tabla3[[#This Row],[VALOR FACTURA]]-Tabla3[[#This Row],[VALOR PAGO]]</f>
        <v>0</v>
      </c>
      <c r="F506" s="15">
        <v>2876.83</v>
      </c>
      <c r="G506" s="71"/>
      <c r="I506" s="71"/>
      <c r="J506" s="71"/>
      <c r="K506" s="71"/>
    </row>
    <row r="507" spans="1:11" x14ac:dyDescent="0.35">
      <c r="A507" t="s">
        <v>20</v>
      </c>
      <c r="B507" s="1">
        <v>45973</v>
      </c>
      <c r="C507" t="s">
        <v>60</v>
      </c>
      <c r="D507" s="15">
        <v>20118</v>
      </c>
      <c r="E507" s="15">
        <f>+Tabla3[[#This Row],[VALOR FACTURA]]-Tabla3[[#This Row],[VALOR PAGO]]</f>
        <v>0</v>
      </c>
      <c r="F507" s="15">
        <v>20118</v>
      </c>
      <c r="G507" s="71"/>
      <c r="I507" s="71"/>
      <c r="J507" s="71"/>
      <c r="K507" s="71"/>
    </row>
    <row r="508" spans="1:11" x14ac:dyDescent="0.35">
      <c r="A508" t="s">
        <v>20</v>
      </c>
      <c r="B508" s="1">
        <v>45973</v>
      </c>
      <c r="C508" t="s">
        <v>1222</v>
      </c>
      <c r="D508" s="15">
        <v>10261.66</v>
      </c>
      <c r="E508" s="15">
        <f>+Tabla3[[#This Row],[VALOR FACTURA]]-Tabla3[[#This Row],[VALOR PAGO]]</f>
        <v>0</v>
      </c>
      <c r="F508" s="15">
        <v>10261.66</v>
      </c>
      <c r="G508" s="71">
        <v>8828</v>
      </c>
      <c r="I508" s="71"/>
      <c r="J508" s="71"/>
      <c r="K508" s="71"/>
    </row>
    <row r="509" spans="1:11" x14ac:dyDescent="0.35">
      <c r="A509" t="s">
        <v>20</v>
      </c>
      <c r="B509" s="1">
        <v>45980</v>
      </c>
      <c r="C509" t="s">
        <v>575</v>
      </c>
      <c r="D509" s="15">
        <v>14863.06</v>
      </c>
      <c r="E509" s="15">
        <f>+Tabla3[[#This Row],[VALOR FACTURA]]-Tabla3[[#This Row],[VALOR PAGO]]</f>
        <v>2620.6099999999988</v>
      </c>
      <c r="F509" s="76">
        <v>12242.45</v>
      </c>
      <c r="G509" s="71"/>
      <c r="I509" s="71"/>
      <c r="J509" s="71"/>
      <c r="K509" s="71"/>
    </row>
    <row r="510" spans="1:11" x14ac:dyDescent="0.35">
      <c r="A510" t="s">
        <v>20</v>
      </c>
      <c r="B510" s="1">
        <v>45980</v>
      </c>
      <c r="C510" t="s">
        <v>144</v>
      </c>
      <c r="D510" s="15">
        <v>10000</v>
      </c>
      <c r="E510" s="15">
        <f>+Tabla3[[#This Row],[VALOR FACTURA]]-Tabla3[[#This Row],[VALOR PAGO]]</f>
        <v>1200</v>
      </c>
      <c r="F510" s="76">
        <v>8800</v>
      </c>
      <c r="G510" s="71"/>
      <c r="I510" s="71"/>
      <c r="J510" s="71"/>
      <c r="K510" s="71"/>
    </row>
    <row r="511" spans="1:11" x14ac:dyDescent="0.35">
      <c r="A511" t="s">
        <v>20</v>
      </c>
      <c r="B511" s="1">
        <v>45980</v>
      </c>
      <c r="C511" t="s">
        <v>147</v>
      </c>
      <c r="D511" s="15">
        <v>6752.99</v>
      </c>
      <c r="E511" s="15">
        <f>+Tabla3[[#This Row],[VALOR FACTURA]]-Tabla3[[#This Row],[VALOR PAGO]]</f>
        <v>0</v>
      </c>
      <c r="F511" s="76">
        <v>6752.99</v>
      </c>
      <c r="G511" s="71"/>
      <c r="I511" s="71"/>
      <c r="J511" s="71"/>
      <c r="K511" s="71"/>
    </row>
    <row r="512" spans="1:11" x14ac:dyDescent="0.35">
      <c r="A512" t="s">
        <v>20</v>
      </c>
      <c r="B512" s="1">
        <v>45986</v>
      </c>
      <c r="C512" t="s">
        <v>147</v>
      </c>
      <c r="D512" s="15">
        <v>976.3</v>
      </c>
      <c r="E512" s="15">
        <f>+Tabla3[[#This Row],[VALOR FACTURA]]-Tabla3[[#This Row],[VALOR PAGO]]</f>
        <v>0</v>
      </c>
      <c r="F512" s="207">
        <v>976.3</v>
      </c>
      <c r="G512" s="71"/>
      <c r="I512" s="71"/>
      <c r="J512" s="71"/>
      <c r="K512" s="71"/>
    </row>
    <row r="513" spans="1:11" x14ac:dyDescent="0.35">
      <c r="A513" t="s">
        <v>20</v>
      </c>
      <c r="B513" s="1">
        <v>45987</v>
      </c>
      <c r="C513" t="s">
        <v>739</v>
      </c>
      <c r="D513" s="15">
        <v>9563.1299999999992</v>
      </c>
      <c r="E513" s="15">
        <f>+Tabla3[[#This Row],[VALOR FACTURA]]-Tabla3[[#This Row],[VALOR PAGO]]</f>
        <v>0</v>
      </c>
      <c r="F513" s="207">
        <v>9563.1299999999992</v>
      </c>
      <c r="G513" s="71"/>
      <c r="I513" s="71"/>
      <c r="J513" s="71"/>
      <c r="K513" s="71"/>
    </row>
    <row r="514" spans="1:11" x14ac:dyDescent="0.35">
      <c r="A514" t="s">
        <v>20</v>
      </c>
      <c r="B514" s="1">
        <v>45987</v>
      </c>
      <c r="C514" t="s">
        <v>567</v>
      </c>
      <c r="D514" s="15">
        <v>3390</v>
      </c>
      <c r="E514" s="15">
        <f>+Tabla3[[#This Row],[VALOR FACTURA]]-Tabla3[[#This Row],[VALOR PAGO]]</f>
        <v>678</v>
      </c>
      <c r="F514" s="207">
        <v>2712</v>
      </c>
      <c r="G514" s="71"/>
      <c r="I514" s="71"/>
      <c r="J514" s="71"/>
      <c r="K514" s="71"/>
    </row>
    <row r="515" spans="1:11" x14ac:dyDescent="0.35">
      <c r="A515" t="s">
        <v>20</v>
      </c>
      <c r="B515" s="1">
        <v>45987</v>
      </c>
      <c r="C515" t="s">
        <v>1249</v>
      </c>
      <c r="D515" s="15">
        <v>700</v>
      </c>
      <c r="E515" s="15">
        <f>+Tabla3[[#This Row],[VALOR FACTURA]]-Tabla3[[#This Row],[VALOR PAGO]]</f>
        <v>140</v>
      </c>
      <c r="F515" s="207">
        <v>560</v>
      </c>
      <c r="G515" s="71"/>
      <c r="I515" s="71"/>
      <c r="J515" s="71"/>
      <c r="K515" s="71"/>
    </row>
    <row r="516" spans="1:11" x14ac:dyDescent="0.35">
      <c r="A516" t="s">
        <v>20</v>
      </c>
      <c r="B516" s="1">
        <v>45987</v>
      </c>
      <c r="C516" t="s">
        <v>139</v>
      </c>
      <c r="D516" s="15">
        <v>1500</v>
      </c>
      <c r="E516" s="15">
        <f>+Tabla3[[#This Row],[VALOR FACTURA]]-Tabla3[[#This Row],[VALOR PAGO]]</f>
        <v>0</v>
      </c>
      <c r="F516" s="217">
        <v>1500</v>
      </c>
      <c r="G516" s="71"/>
      <c r="I516" s="71"/>
      <c r="J516" s="71"/>
      <c r="K516" s="71"/>
    </row>
    <row r="517" spans="1:11" x14ac:dyDescent="0.35">
      <c r="A517" t="s">
        <v>20</v>
      </c>
      <c r="B517" s="1">
        <v>45987</v>
      </c>
      <c r="C517" t="s">
        <v>1467</v>
      </c>
      <c r="D517" s="15">
        <v>3000</v>
      </c>
      <c r="E517" s="15">
        <f>+Tabla3[[#This Row],[VALOR FACTURA]]-Tabla3[[#This Row],[VALOR PAGO]]</f>
        <v>600</v>
      </c>
      <c r="F517" s="217">
        <v>2400</v>
      </c>
      <c r="G517" s="71"/>
      <c r="I517" s="71"/>
      <c r="J517" s="71"/>
      <c r="K517" s="71"/>
    </row>
    <row r="518" spans="1:11" x14ac:dyDescent="0.35">
      <c r="A518" t="s">
        <v>20</v>
      </c>
      <c r="B518" s="1">
        <v>45987</v>
      </c>
      <c r="C518" t="s">
        <v>683</v>
      </c>
      <c r="D518" s="15">
        <v>12779</v>
      </c>
      <c r="E518" s="15">
        <f>+Tabla3[[#This Row],[VALOR FACTURA]]-Tabla3[[#This Row],[VALOR PAGO]]</f>
        <v>0</v>
      </c>
      <c r="F518" s="217">
        <v>12779</v>
      </c>
      <c r="G518" s="71"/>
      <c r="I518" s="71"/>
      <c r="J518" s="71"/>
      <c r="K518" s="71"/>
    </row>
    <row r="519" spans="1:11" x14ac:dyDescent="0.35">
      <c r="A519" t="s">
        <v>20</v>
      </c>
      <c r="B519" s="1">
        <v>45989</v>
      </c>
      <c r="C519" t="s">
        <v>145</v>
      </c>
      <c r="D519" s="217">
        <v>39433.81</v>
      </c>
      <c r="E519" s="15">
        <f>+Tabla3[[#This Row],[VALOR FACTURA]]-Tabla3[[#This Row],[VALOR PAGO]]</f>
        <v>0</v>
      </c>
      <c r="F519" s="217">
        <v>39433.81</v>
      </c>
      <c r="G519" s="71"/>
      <c r="I519" s="71"/>
      <c r="J519" s="71"/>
      <c r="K519" s="71"/>
    </row>
    <row r="520" spans="1:11" x14ac:dyDescent="0.35">
      <c r="A520" t="s">
        <v>20</v>
      </c>
      <c r="B520" s="1">
        <v>45992</v>
      </c>
      <c r="C520" t="s">
        <v>145</v>
      </c>
      <c r="D520" s="15">
        <v>184400.64469091425</v>
      </c>
      <c r="E520" s="15">
        <f>+Tabla3[[#This Row],[VALOR FACTURA]]-Tabla3[[#This Row],[VALOR PAGO]]</f>
        <v>0</v>
      </c>
      <c r="F520" s="76">
        <v>184400.64469091425</v>
      </c>
      <c r="G520" s="71"/>
      <c r="I520" s="71"/>
      <c r="J520" s="71"/>
      <c r="K520" s="71"/>
    </row>
    <row r="521" spans="1:11" x14ac:dyDescent="0.35">
      <c r="A521" t="s">
        <v>20</v>
      </c>
      <c r="B521" s="1">
        <v>45992</v>
      </c>
      <c r="C521" t="s">
        <v>145</v>
      </c>
      <c r="D521" s="15">
        <v>1030.29</v>
      </c>
      <c r="E521" s="15">
        <f>+Tabla3[[#This Row],[VALOR FACTURA]]-Tabla3[[#This Row],[VALOR PAGO]]</f>
        <v>0</v>
      </c>
      <c r="F521" s="76">
        <v>1030.29</v>
      </c>
      <c r="G521" s="71"/>
      <c r="I521" s="71"/>
      <c r="J521" s="71"/>
      <c r="K521" s="71"/>
    </row>
    <row r="522" spans="1:11" x14ac:dyDescent="0.35">
      <c r="A522" t="s">
        <v>20</v>
      </c>
      <c r="B522" s="1">
        <v>45992</v>
      </c>
      <c r="C522" t="s">
        <v>143</v>
      </c>
      <c r="D522" s="15">
        <v>16364.477079288437</v>
      </c>
      <c r="E522" s="15">
        <f>+Tabla3[[#This Row],[VALOR FACTURA]]-Tabla3[[#This Row],[VALOR PAGO]]</f>
        <v>0</v>
      </c>
      <c r="F522" s="76">
        <v>16364.477079288437</v>
      </c>
      <c r="G522" s="71"/>
      <c r="I522" s="71"/>
      <c r="J522" s="71"/>
      <c r="K522" s="71"/>
    </row>
    <row r="523" spans="1:11" x14ac:dyDescent="0.35">
      <c r="A523" t="s">
        <v>20</v>
      </c>
      <c r="B523" s="1">
        <v>45992</v>
      </c>
      <c r="C523" t="s">
        <v>147</v>
      </c>
      <c r="D523" s="15">
        <v>66849.370869311344</v>
      </c>
      <c r="E523" s="15">
        <f>+Tabla3[[#This Row],[VALOR FACTURA]]-Tabla3[[#This Row],[VALOR PAGO]]</f>
        <v>0</v>
      </c>
      <c r="F523" s="76">
        <v>66849.370869311344</v>
      </c>
      <c r="G523" s="71"/>
      <c r="I523" s="71"/>
      <c r="J523" s="71"/>
      <c r="K523" s="71"/>
    </row>
    <row r="524" spans="1:11" x14ac:dyDescent="0.35">
      <c r="A524" t="s">
        <v>20</v>
      </c>
      <c r="B524" s="1">
        <v>45992</v>
      </c>
      <c r="C524" t="s">
        <v>147</v>
      </c>
      <c r="D524" s="15">
        <v>4929.21</v>
      </c>
      <c r="E524" s="15">
        <f>+Tabla3[[#This Row],[VALOR FACTURA]]-Tabla3[[#This Row],[VALOR PAGO]]</f>
        <v>0</v>
      </c>
      <c r="F524" s="76">
        <v>4929.21</v>
      </c>
      <c r="G524" s="71"/>
      <c r="I524" s="71"/>
      <c r="J524" s="71"/>
      <c r="K524" s="71"/>
    </row>
    <row r="525" spans="1:11" x14ac:dyDescent="0.35">
      <c r="A525" t="s">
        <v>20</v>
      </c>
      <c r="B525" s="1">
        <v>45992</v>
      </c>
      <c r="C525" t="s">
        <v>739</v>
      </c>
      <c r="D525" s="15">
        <v>3597.64</v>
      </c>
      <c r="E525" s="15">
        <f>+Tabla3[[#This Row],[VALOR FACTURA]]-Tabla3[[#This Row],[VALOR PAGO]]</f>
        <v>0</v>
      </c>
      <c r="F525" s="76">
        <v>3597.64</v>
      </c>
      <c r="G525" s="71"/>
      <c r="I525" s="71"/>
      <c r="J525" s="71"/>
      <c r="K525" s="71"/>
    </row>
    <row r="526" spans="1:11" x14ac:dyDescent="0.35">
      <c r="A526" t="s">
        <v>20</v>
      </c>
      <c r="B526" s="1">
        <v>45992</v>
      </c>
      <c r="C526" t="s">
        <v>1222</v>
      </c>
      <c r="D526" s="15">
        <v>29237.37</v>
      </c>
      <c r="E526" s="15">
        <f>+Tabla3[[#This Row],[VALOR FACTURA]]-Tabla3[[#This Row],[VALOR PAGO]]</f>
        <v>0</v>
      </c>
      <c r="F526" s="76">
        <v>29237.37</v>
      </c>
      <c r="G526" s="71">
        <v>25000</v>
      </c>
      <c r="I526" s="71"/>
      <c r="J526" s="71"/>
      <c r="K526" s="71"/>
    </row>
    <row r="527" spans="1:11" x14ac:dyDescent="0.35">
      <c r="A527" t="s">
        <v>20</v>
      </c>
      <c r="B527" s="1">
        <v>45994</v>
      </c>
      <c r="C527" t="s">
        <v>138</v>
      </c>
      <c r="D527" s="15">
        <v>545</v>
      </c>
      <c r="E527" s="15">
        <f>+Tabla3[[#This Row],[VALOR FACTURA]]-Tabla3[[#This Row],[VALOR PAGO]]</f>
        <v>0</v>
      </c>
      <c r="F527" s="76">
        <v>545</v>
      </c>
      <c r="G527" s="71"/>
      <c r="I527" s="71"/>
      <c r="J527" s="71"/>
      <c r="K527" s="71"/>
    </row>
    <row r="528" spans="1:11" x14ac:dyDescent="0.35">
      <c r="A528" t="s">
        <v>20</v>
      </c>
      <c r="B528" s="1">
        <v>45994</v>
      </c>
      <c r="C528" t="s">
        <v>217</v>
      </c>
      <c r="D528" s="15">
        <v>70000</v>
      </c>
      <c r="E528" s="15">
        <f>+Tabla3[[#This Row],[VALOR FACTURA]]-Tabla3[[#This Row],[VALOR PAGO]]</f>
        <v>0</v>
      </c>
      <c r="F528" s="76">
        <v>70000</v>
      </c>
      <c r="G528" s="71"/>
      <c r="H528" t="s">
        <v>1513</v>
      </c>
      <c r="I528" s="71"/>
      <c r="J528" s="71"/>
      <c r="K528" s="71"/>
    </row>
    <row r="529" spans="1:11" x14ac:dyDescent="0.35">
      <c r="A529" t="s">
        <v>20</v>
      </c>
      <c r="B529" s="1">
        <v>45995</v>
      </c>
      <c r="C529" t="s">
        <v>1514</v>
      </c>
      <c r="D529" s="15">
        <v>2934.6</v>
      </c>
      <c r="E529" s="15">
        <f>+Tabla3[[#This Row],[VALOR FACTURA]]-Tabla3[[#This Row],[VALOR PAGO]]</f>
        <v>0</v>
      </c>
      <c r="F529" s="76">
        <v>2934.6</v>
      </c>
      <c r="G529" s="71">
        <v>2505</v>
      </c>
      <c r="I529" s="71"/>
      <c r="J529" s="71"/>
      <c r="K529" s="71"/>
    </row>
    <row r="530" spans="1:11" x14ac:dyDescent="0.35">
      <c r="A530" t="s">
        <v>19</v>
      </c>
      <c r="B530" s="1">
        <v>45995</v>
      </c>
      <c r="C530" t="s">
        <v>160</v>
      </c>
      <c r="D530" s="15">
        <v>6422.18</v>
      </c>
      <c r="E530" s="15">
        <f>+Tabla3[[#This Row],[VALOR FACTURA]]-Tabla3[[#This Row],[VALOR PAGO]]</f>
        <v>0</v>
      </c>
      <c r="F530" s="76">
        <v>6422.18</v>
      </c>
      <c r="G530" s="71"/>
      <c r="H530" t="s">
        <v>1573</v>
      </c>
      <c r="I530" s="71"/>
      <c r="J530" s="71"/>
      <c r="K530" s="71"/>
    </row>
    <row r="531" spans="1:11" x14ac:dyDescent="0.35">
      <c r="A531" t="s">
        <v>19</v>
      </c>
      <c r="B531" s="1">
        <v>45994</v>
      </c>
      <c r="C531" t="s">
        <v>160</v>
      </c>
      <c r="D531" s="15">
        <v>6298.85</v>
      </c>
      <c r="E531" s="15">
        <f>+Tabla3[[#This Row],[VALOR FACTURA]]-Tabla3[[#This Row],[VALOR PAGO]]</f>
        <v>0</v>
      </c>
      <c r="F531" s="76">
        <v>6298.85</v>
      </c>
      <c r="G531" s="71"/>
      <c r="H531" t="s">
        <v>1552</v>
      </c>
      <c r="I531" s="71"/>
      <c r="J531" s="71"/>
      <c r="K531" s="71"/>
    </row>
    <row r="532" spans="1:11" x14ac:dyDescent="0.35">
      <c r="A532" t="s">
        <v>19</v>
      </c>
      <c r="B532" s="1">
        <v>46001</v>
      </c>
      <c r="C532" t="s">
        <v>160</v>
      </c>
      <c r="D532" s="15">
        <v>1637.51</v>
      </c>
      <c r="E532" s="15">
        <f>+Tabla3[[#This Row],[VALOR FACTURA]]-Tabla3[[#This Row],[VALOR PAGO]]</f>
        <v>0</v>
      </c>
      <c r="F532" s="76">
        <v>1637.51</v>
      </c>
      <c r="G532" s="71"/>
      <c r="H532" t="s">
        <v>1574</v>
      </c>
      <c r="I532" s="71"/>
      <c r="J532" s="71"/>
      <c r="K532" s="71"/>
    </row>
    <row r="533" spans="1:11" x14ac:dyDescent="0.35">
      <c r="A533" t="s">
        <v>19</v>
      </c>
      <c r="B533" s="1">
        <v>46001</v>
      </c>
      <c r="C533" t="s">
        <v>160</v>
      </c>
      <c r="D533" s="15">
        <v>1598.96</v>
      </c>
      <c r="E533" s="15">
        <f>+Tabla3[[#This Row],[VALOR FACTURA]]-Tabla3[[#This Row],[VALOR PAGO]]</f>
        <v>0</v>
      </c>
      <c r="F533" s="76">
        <v>1598.96</v>
      </c>
      <c r="G533" s="71"/>
      <c r="H533" t="s">
        <v>1575</v>
      </c>
      <c r="I533" s="71"/>
      <c r="J533" s="71"/>
      <c r="K533" s="71"/>
    </row>
    <row r="534" spans="1:11" x14ac:dyDescent="0.35">
      <c r="A534" t="s">
        <v>19</v>
      </c>
      <c r="B534" s="1">
        <v>46001</v>
      </c>
      <c r="C534" t="s">
        <v>160</v>
      </c>
      <c r="D534" s="15">
        <v>1511.85</v>
      </c>
      <c r="E534" s="15">
        <f>+Tabla3[[#This Row],[VALOR FACTURA]]-Tabla3[[#This Row],[VALOR PAGO]]</f>
        <v>0</v>
      </c>
      <c r="F534" s="76">
        <v>1511.85</v>
      </c>
      <c r="G534" s="71"/>
      <c r="H534" t="s">
        <v>1576</v>
      </c>
      <c r="I534" s="71"/>
      <c r="J534" s="71"/>
      <c r="K534" s="71"/>
    </row>
    <row r="535" spans="1:11" x14ac:dyDescent="0.35">
      <c r="A535" t="s">
        <v>19</v>
      </c>
      <c r="B535" s="1">
        <v>46002</v>
      </c>
      <c r="C535" t="s">
        <v>160</v>
      </c>
      <c r="D535" s="15">
        <v>6080.55</v>
      </c>
      <c r="E535" s="15">
        <f>+Tabla3[[#This Row],[VALOR FACTURA]]-Tabla3[[#This Row],[VALOR PAGO]]</f>
        <v>0</v>
      </c>
      <c r="F535" s="76">
        <v>6080.55</v>
      </c>
      <c r="G535" s="71"/>
      <c r="H535" t="s">
        <v>1570</v>
      </c>
      <c r="I535" s="71"/>
      <c r="J535" s="71"/>
      <c r="K535" s="71"/>
    </row>
    <row r="536" spans="1:11" x14ac:dyDescent="0.35">
      <c r="A536" t="s">
        <v>20</v>
      </c>
      <c r="B536" s="1">
        <v>46003</v>
      </c>
      <c r="C536" t="s">
        <v>188</v>
      </c>
      <c r="D536" s="15">
        <v>371250</v>
      </c>
      <c r="E536" s="15">
        <f>+Tabla3[[#This Row],[VALOR FACTURA]]-Tabla3[[#This Row],[VALOR PAGO]]</f>
        <v>0</v>
      </c>
      <c r="F536" s="76">
        <v>371250</v>
      </c>
      <c r="G536" s="71"/>
      <c r="I536" s="71"/>
      <c r="J536" s="71"/>
      <c r="K536" s="71"/>
    </row>
    <row r="537" spans="1:11" x14ac:dyDescent="0.35">
      <c r="A537" t="s">
        <v>20</v>
      </c>
      <c r="B537" s="1">
        <v>46003</v>
      </c>
      <c r="C537" t="s">
        <v>1401</v>
      </c>
      <c r="D537" s="15">
        <v>15750</v>
      </c>
      <c r="E537" s="15">
        <f>+Tabla3[[#This Row],[VALOR FACTURA]]-Tabla3[[#This Row],[VALOR PAGO]]</f>
        <v>0</v>
      </c>
      <c r="F537" s="76">
        <v>15750</v>
      </c>
      <c r="G537" s="71"/>
      <c r="I537" s="71"/>
      <c r="J537" s="71"/>
      <c r="K537" s="71"/>
    </row>
    <row r="538" spans="1:11" x14ac:dyDescent="0.35">
      <c r="A538" t="s">
        <v>20</v>
      </c>
      <c r="B538" s="1">
        <v>46003</v>
      </c>
      <c r="C538" t="s">
        <v>217</v>
      </c>
      <c r="D538" s="15">
        <v>40000</v>
      </c>
      <c r="E538" s="15">
        <f>+Tabla3[[#This Row],[VALOR FACTURA]]-Tabla3[[#This Row],[VALOR PAGO]]</f>
        <v>0</v>
      </c>
      <c r="F538" s="76">
        <v>40000</v>
      </c>
      <c r="G538" s="71"/>
      <c r="H538" t="s">
        <v>1513</v>
      </c>
      <c r="I538" s="71"/>
      <c r="J538" s="71"/>
      <c r="K538" s="71"/>
    </row>
    <row r="539" spans="1:11" x14ac:dyDescent="0.35">
      <c r="A539" t="s">
        <v>20</v>
      </c>
      <c r="B539" s="1">
        <v>46008</v>
      </c>
      <c r="C539" t="s">
        <v>575</v>
      </c>
      <c r="D539" s="15">
        <v>12808.8</v>
      </c>
      <c r="E539" s="15">
        <f>+Tabla3[[#This Row],[VALOR FACTURA]]-Tabla3[[#This Row],[VALOR PAGO]]</f>
        <v>0</v>
      </c>
      <c r="F539" s="76">
        <v>12808.8</v>
      </c>
      <c r="G539" s="71"/>
      <c r="I539" s="71"/>
      <c r="J539" s="71"/>
      <c r="K539" s="71"/>
    </row>
    <row r="540" spans="1:11" x14ac:dyDescent="0.35">
      <c r="A540" t="s">
        <v>20</v>
      </c>
      <c r="B540" s="1">
        <v>46008</v>
      </c>
      <c r="C540" t="s">
        <v>230</v>
      </c>
      <c r="D540" s="15">
        <v>2880</v>
      </c>
      <c r="E540" s="15">
        <f>+Tabla3[[#This Row],[VALOR FACTURA]]-Tabla3[[#This Row],[VALOR PAGO]]</f>
        <v>0</v>
      </c>
      <c r="F540" s="76">
        <v>2880</v>
      </c>
      <c r="G540" s="71"/>
      <c r="I540" s="71"/>
      <c r="J540" s="71"/>
      <c r="K540" s="71"/>
    </row>
    <row r="541" spans="1:11" x14ac:dyDescent="0.35">
      <c r="A541" t="s">
        <v>19</v>
      </c>
      <c r="B541" s="1">
        <v>46008</v>
      </c>
      <c r="C541" t="s">
        <v>160</v>
      </c>
      <c r="D541" s="15">
        <v>1432.63</v>
      </c>
      <c r="E541" s="15">
        <f>+Tabla3[[#This Row],[VALOR FACTURA]]-Tabla3[[#This Row],[VALOR PAGO]]</f>
        <v>0</v>
      </c>
      <c r="F541" s="76">
        <v>1432.63</v>
      </c>
      <c r="G541" s="71"/>
      <c r="H541" t="s">
        <v>1572</v>
      </c>
      <c r="I541" s="71"/>
      <c r="J541" s="71"/>
      <c r="K541" s="71"/>
    </row>
    <row r="542" spans="1:11" x14ac:dyDescent="0.35">
      <c r="A542" t="s">
        <v>19</v>
      </c>
      <c r="B542" s="1">
        <v>46008</v>
      </c>
      <c r="C542" t="s">
        <v>160</v>
      </c>
      <c r="D542" s="15">
        <v>1444.37</v>
      </c>
      <c r="E542" s="15">
        <f>+Tabla3[[#This Row],[VALOR FACTURA]]-Tabla3[[#This Row],[VALOR PAGO]]</f>
        <v>0</v>
      </c>
      <c r="F542" s="76">
        <v>1444.37</v>
      </c>
      <c r="G542" s="71"/>
      <c r="H542" t="s">
        <v>1577</v>
      </c>
      <c r="I542" s="71"/>
      <c r="J542" s="71"/>
      <c r="K542" s="71"/>
    </row>
    <row r="543" spans="1:11" x14ac:dyDescent="0.35">
      <c r="A543" t="s">
        <v>19</v>
      </c>
      <c r="B543" s="1">
        <v>46008</v>
      </c>
      <c r="C543" t="s">
        <v>160</v>
      </c>
      <c r="D543" s="15">
        <v>1403.2</v>
      </c>
      <c r="E543" s="15">
        <f>+Tabla3[[#This Row],[VALOR FACTURA]]-Tabla3[[#This Row],[VALOR PAGO]]</f>
        <v>0</v>
      </c>
      <c r="F543" s="76">
        <v>1403.2</v>
      </c>
      <c r="G543" s="71"/>
      <c r="H543" t="s">
        <v>1578</v>
      </c>
      <c r="I543" s="71"/>
      <c r="J543" s="71"/>
      <c r="K543" s="71"/>
    </row>
    <row r="544" spans="1:11" x14ac:dyDescent="0.35">
      <c r="A544" t="s">
        <v>19</v>
      </c>
      <c r="B544" s="1">
        <v>46008</v>
      </c>
      <c r="C544" t="s">
        <v>160</v>
      </c>
      <c r="D544" s="15">
        <v>6667.81</v>
      </c>
      <c r="E544" s="15">
        <f>+Tabla3[[#This Row],[VALOR FACTURA]]-Tabla3[[#This Row],[VALOR PAGO]]</f>
        <v>0</v>
      </c>
      <c r="F544" s="76">
        <v>6667.81</v>
      </c>
      <c r="G544" s="71"/>
      <c r="H544" t="s">
        <v>1585</v>
      </c>
      <c r="I544" s="71"/>
      <c r="J544" s="71"/>
      <c r="K544" s="71"/>
    </row>
    <row r="545" spans="1:11" x14ac:dyDescent="0.35">
      <c r="A545" t="s">
        <v>20</v>
      </c>
      <c r="B545" s="1">
        <v>46017</v>
      </c>
      <c r="C545" t="s">
        <v>567</v>
      </c>
      <c r="D545" s="15">
        <v>2712</v>
      </c>
      <c r="E545" s="15">
        <f>+Tabla3[[#This Row],[VALOR FACTURA]]-Tabla3[[#This Row],[VALOR PAGO]]</f>
        <v>0</v>
      </c>
      <c r="F545" s="76">
        <v>2712</v>
      </c>
      <c r="G545" s="71"/>
      <c r="I545" s="71"/>
      <c r="J545" s="71"/>
      <c r="K545" s="71"/>
    </row>
    <row r="546" spans="1:11" x14ac:dyDescent="0.35">
      <c r="A546" t="s">
        <v>20</v>
      </c>
      <c r="B546" s="1">
        <v>46017</v>
      </c>
      <c r="C546" t="s">
        <v>60</v>
      </c>
      <c r="D546" s="15">
        <v>16350.4</v>
      </c>
      <c r="E546" s="15">
        <f>+Tabla3[[#This Row],[VALOR FACTURA]]-Tabla3[[#This Row],[VALOR PAGO]]</f>
        <v>0</v>
      </c>
      <c r="F546" s="76">
        <v>16350.4</v>
      </c>
      <c r="G546" s="71"/>
      <c r="I546" s="71"/>
      <c r="J546" s="71"/>
      <c r="K546" s="71"/>
    </row>
    <row r="547" spans="1:11" x14ac:dyDescent="0.35">
      <c r="A547" t="s">
        <v>20</v>
      </c>
      <c r="B547" s="1">
        <v>46017</v>
      </c>
      <c r="C547" t="s">
        <v>766</v>
      </c>
      <c r="D547" s="15">
        <v>36680</v>
      </c>
      <c r="E547" s="15">
        <f>+Tabla3[[#This Row],[VALOR FACTURA]]-Tabla3[[#This Row],[VALOR PAGO]]</f>
        <v>0</v>
      </c>
      <c r="F547" s="76">
        <v>36680</v>
      </c>
      <c r="G547" s="71"/>
      <c r="I547" s="71"/>
      <c r="J547" s="71"/>
      <c r="K547" s="71"/>
    </row>
    <row r="548" spans="1:11" x14ac:dyDescent="0.35">
      <c r="A548" t="s">
        <v>20</v>
      </c>
      <c r="B548" s="1">
        <v>46017</v>
      </c>
      <c r="C548" t="s">
        <v>1467</v>
      </c>
      <c r="D548" s="15">
        <v>9298.3700000000008</v>
      </c>
      <c r="E548" s="15">
        <f>+Tabla3[[#This Row],[VALOR FACTURA]]-Tabla3[[#This Row],[VALOR PAGO]]</f>
        <v>0</v>
      </c>
      <c r="F548" s="76">
        <v>9298.3700000000008</v>
      </c>
      <c r="G548" s="71"/>
      <c r="I548" s="71"/>
      <c r="J548" s="71"/>
      <c r="K548" s="71"/>
    </row>
    <row r="549" spans="1:11" x14ac:dyDescent="0.35">
      <c r="A549" t="s">
        <v>20</v>
      </c>
      <c r="B549" s="1">
        <v>46017</v>
      </c>
      <c r="C549" t="s">
        <v>971</v>
      </c>
      <c r="D549" s="15">
        <v>7866.78</v>
      </c>
      <c r="E549" s="15">
        <f>+Tabla3[[#This Row],[VALOR FACTURA]]-Tabla3[[#This Row],[VALOR PAGO]]</f>
        <v>0</v>
      </c>
      <c r="F549" s="76">
        <v>7866.78</v>
      </c>
      <c r="G549" s="71"/>
      <c r="I549" s="71"/>
      <c r="J549" s="71"/>
      <c r="K549" s="71"/>
    </row>
    <row r="550" spans="1:11" x14ac:dyDescent="0.35">
      <c r="A550" t="s">
        <v>20</v>
      </c>
      <c r="B550" s="1">
        <v>46017</v>
      </c>
      <c r="C550" t="s">
        <v>739</v>
      </c>
      <c r="D550" s="15">
        <v>14526.16</v>
      </c>
      <c r="E550" s="15">
        <f>+Tabla3[[#This Row],[VALOR FACTURA]]-Tabla3[[#This Row],[VALOR PAGO]]</f>
        <v>0</v>
      </c>
      <c r="F550" s="76">
        <v>14526.16</v>
      </c>
      <c r="G550" s="71"/>
      <c r="I550" s="71"/>
      <c r="J550" s="71"/>
      <c r="K550" s="71"/>
    </row>
    <row r="551" spans="1:11" x14ac:dyDescent="0.35">
      <c r="A551" t="s">
        <v>20</v>
      </c>
      <c r="B551" s="1">
        <v>46017</v>
      </c>
      <c r="C551" t="s">
        <v>1249</v>
      </c>
      <c r="D551" s="15">
        <v>560</v>
      </c>
      <c r="E551" s="15">
        <f>+Tabla3[[#This Row],[VALOR FACTURA]]-Tabla3[[#This Row],[VALOR PAGO]]</f>
        <v>0</v>
      </c>
      <c r="F551" s="76">
        <v>560</v>
      </c>
      <c r="G551" s="71"/>
      <c r="I551" s="71"/>
      <c r="J551" s="71"/>
      <c r="K551" s="71"/>
    </row>
    <row r="552" spans="1:11" x14ac:dyDescent="0.35">
      <c r="A552" t="s">
        <v>20</v>
      </c>
      <c r="B552" s="1">
        <v>46017</v>
      </c>
      <c r="C552" t="s">
        <v>143</v>
      </c>
      <c r="D552" s="15">
        <v>20827.648254355339</v>
      </c>
      <c r="E552" s="15">
        <f>+Tabla3[[#This Row],[VALOR FACTURA]]-Tabla3[[#This Row],[VALOR PAGO]]</f>
        <v>0</v>
      </c>
      <c r="F552" s="76">
        <v>20827.648254355339</v>
      </c>
      <c r="G552" s="71"/>
      <c r="I552" s="71"/>
      <c r="J552" s="71"/>
      <c r="K552" s="71"/>
    </row>
    <row r="553" spans="1:11" x14ac:dyDescent="0.35">
      <c r="A553" t="s">
        <v>20</v>
      </c>
      <c r="B553" s="1">
        <v>46017</v>
      </c>
      <c r="C553" t="s">
        <v>145</v>
      </c>
      <c r="D553" s="15">
        <v>266685.81930109469</v>
      </c>
      <c r="E553" s="15">
        <f>+Tabla3[[#This Row],[VALOR FACTURA]]-Tabla3[[#This Row],[VALOR PAGO]]</f>
        <v>0</v>
      </c>
      <c r="F553" s="76">
        <v>266685.81930109469</v>
      </c>
      <c r="G553" s="71"/>
      <c r="I553" s="71"/>
      <c r="J553" s="71"/>
      <c r="K553" s="71"/>
    </row>
    <row r="554" spans="1:11" x14ac:dyDescent="0.35">
      <c r="A554" t="s">
        <v>20</v>
      </c>
      <c r="B554" s="1">
        <v>46017</v>
      </c>
      <c r="C554" t="s">
        <v>145</v>
      </c>
      <c r="D554" s="15">
        <v>82608.87</v>
      </c>
      <c r="E554" s="15">
        <f>+Tabla3[[#This Row],[VALOR FACTURA]]-Tabla3[[#This Row],[VALOR PAGO]]</f>
        <v>0</v>
      </c>
      <c r="F554" s="76">
        <v>82608.87</v>
      </c>
      <c r="G554" s="71"/>
      <c r="I554" s="71"/>
      <c r="J554" s="71"/>
      <c r="K554" s="71"/>
    </row>
    <row r="555" spans="1:11" x14ac:dyDescent="0.35">
      <c r="A555" t="s">
        <v>20</v>
      </c>
      <c r="B555" s="1">
        <v>46017</v>
      </c>
      <c r="C555" t="s">
        <v>147</v>
      </c>
      <c r="D555" s="15">
        <v>108929.36895602268</v>
      </c>
      <c r="E555" s="15">
        <f>+Tabla3[[#This Row],[VALOR FACTURA]]-Tabla3[[#This Row],[VALOR PAGO]]</f>
        <v>0</v>
      </c>
      <c r="F555" s="76">
        <v>108929.36895602268</v>
      </c>
      <c r="G555" s="71"/>
      <c r="I555" s="71"/>
      <c r="J555" s="71"/>
      <c r="K555" s="71"/>
    </row>
    <row r="556" spans="1:11" x14ac:dyDescent="0.35">
      <c r="A556" t="s">
        <v>20</v>
      </c>
      <c r="B556" s="1">
        <v>46017</v>
      </c>
      <c r="C556" t="s">
        <v>147</v>
      </c>
      <c r="D556" s="15">
        <v>5196.26</v>
      </c>
      <c r="E556" s="15">
        <f>+Tabla3[[#This Row],[VALOR FACTURA]]-Tabla3[[#This Row],[VALOR PAGO]]</f>
        <v>0</v>
      </c>
      <c r="F556" s="76">
        <v>5196.26</v>
      </c>
      <c r="G556" s="71"/>
      <c r="I556" s="71"/>
      <c r="J556" s="71"/>
      <c r="K556" s="71"/>
    </row>
    <row r="557" spans="1:11" x14ac:dyDescent="0.35">
      <c r="A557" t="s">
        <v>20</v>
      </c>
      <c r="B557" s="1">
        <v>46017</v>
      </c>
      <c r="C557" t="s">
        <v>1587</v>
      </c>
      <c r="D557" s="15">
        <v>17611.27</v>
      </c>
      <c r="E557" s="15">
        <f>+Tabla3[[#This Row],[VALOR FACTURA]]-Tabla3[[#This Row],[VALOR PAGO]]</f>
        <v>0</v>
      </c>
      <c r="F557" s="76">
        <v>17611.27</v>
      </c>
      <c r="G557" s="71"/>
      <c r="I557" s="71"/>
      <c r="J557" s="71"/>
      <c r="K557" s="71"/>
    </row>
    <row r="558" spans="1:11" x14ac:dyDescent="0.35">
      <c r="A558" t="s">
        <v>20</v>
      </c>
      <c r="B558" s="1">
        <v>46017</v>
      </c>
      <c r="C558" t="s">
        <v>138</v>
      </c>
      <c r="D558" s="15">
        <v>1045</v>
      </c>
      <c r="E558" s="15">
        <f>+Tabla3[[#This Row],[VALOR FACTURA]]-Tabla3[[#This Row],[VALOR PAGO]]</f>
        <v>0</v>
      </c>
      <c r="F558" s="76">
        <v>1045</v>
      </c>
      <c r="G558" s="71"/>
      <c r="I558" s="71"/>
      <c r="J558" s="71"/>
      <c r="K558" s="71"/>
    </row>
    <row r="559" spans="1:11" x14ac:dyDescent="0.35">
      <c r="A559" t="s">
        <v>19</v>
      </c>
      <c r="B559" s="1">
        <v>46014</v>
      </c>
      <c r="C559" t="s">
        <v>160</v>
      </c>
      <c r="D559" s="15">
        <v>704.35</v>
      </c>
      <c r="E559" s="15">
        <f>+Tabla3[[#This Row],[VALOR FACTURA]]-Tabla3[[#This Row],[VALOR PAGO]]</f>
        <v>0</v>
      </c>
      <c r="F559" s="76">
        <v>704.35</v>
      </c>
      <c r="G559" s="71"/>
      <c r="H559" t="s">
        <v>1588</v>
      </c>
      <c r="I559" s="71"/>
      <c r="J559" s="71"/>
      <c r="K559" s="71"/>
    </row>
    <row r="560" spans="1:11" x14ac:dyDescent="0.35">
      <c r="A560" t="s">
        <v>19</v>
      </c>
      <c r="B560" s="1">
        <v>46014</v>
      </c>
      <c r="C560" t="s">
        <v>160</v>
      </c>
      <c r="D560" s="15">
        <v>2453.09</v>
      </c>
      <c r="E560" s="15">
        <f>+Tabla3[[#This Row],[VALOR FACTURA]]-Tabla3[[#This Row],[VALOR PAGO]]</f>
        <v>0</v>
      </c>
      <c r="F560" s="76">
        <v>2453.09</v>
      </c>
      <c r="G560" s="71"/>
      <c r="H560" t="s">
        <v>1589</v>
      </c>
      <c r="I560" s="71"/>
      <c r="J560" s="71"/>
      <c r="K560" s="71"/>
    </row>
    <row r="561" spans="1:11" x14ac:dyDescent="0.35">
      <c r="A561" t="s">
        <v>20</v>
      </c>
      <c r="B561" s="1">
        <v>46036</v>
      </c>
      <c r="C561" t="s">
        <v>217</v>
      </c>
      <c r="D561" s="15">
        <v>65000</v>
      </c>
      <c r="E561" s="15">
        <f>+Tabla3[[#This Row],[VALOR FACTURA]]-Tabla3[[#This Row],[VALOR PAGO]]</f>
        <v>0</v>
      </c>
      <c r="F561" s="233">
        <v>65000</v>
      </c>
      <c r="G561" s="71"/>
      <c r="H561" t="s">
        <v>1513</v>
      </c>
      <c r="I561" s="71"/>
      <c r="J561" s="71"/>
      <c r="K561" s="71"/>
    </row>
    <row r="562" spans="1:11" x14ac:dyDescent="0.35">
      <c r="A562" t="s">
        <v>20</v>
      </c>
      <c r="B562" s="1">
        <v>46037</v>
      </c>
      <c r="C562" t="s">
        <v>575</v>
      </c>
      <c r="D562" s="15">
        <v>34937.199999999997</v>
      </c>
      <c r="E562" s="15">
        <f>+Tabla3[[#This Row],[VALOR FACTURA]]-Tabla3[[#This Row],[VALOR PAGO]]</f>
        <v>0</v>
      </c>
      <c r="F562" s="222">
        <v>34937.199999999997</v>
      </c>
      <c r="G562" s="71"/>
      <c r="I562" s="71"/>
      <c r="J562" s="71"/>
      <c r="K562" s="71"/>
    </row>
  </sheetData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M459"/>
  <sheetViews>
    <sheetView zoomScale="130" zoomScaleNormal="130" workbookViewId="0">
      <pane ySplit="1" topLeftCell="A438" activePane="bottomLeft" state="frozen"/>
      <selection pane="bottomLeft" activeCell="G447" sqref="G447:G459"/>
    </sheetView>
  </sheetViews>
  <sheetFormatPr baseColWidth="10" defaultRowHeight="14.5" x14ac:dyDescent="0.35"/>
  <cols>
    <col min="1" max="1" width="17.81640625" customWidth="1"/>
    <col min="2" max="2" width="13.1796875" bestFit="1" customWidth="1"/>
    <col min="3" max="3" width="12.1796875" customWidth="1"/>
    <col min="4" max="4" width="4.453125" customWidth="1"/>
    <col min="5" max="5" width="5.453125" customWidth="1"/>
    <col min="6" max="6" width="7.81640625" customWidth="1"/>
    <col min="7" max="7" width="25.453125" customWidth="1"/>
    <col min="8" max="8" width="15" style="15" customWidth="1"/>
    <col min="9" max="9" width="36" customWidth="1"/>
    <col min="10" max="10" width="20.26953125" bestFit="1" customWidth="1"/>
    <col min="11" max="11" width="12.1796875" bestFit="1" customWidth="1"/>
    <col min="12" max="12" width="13.81640625" bestFit="1" customWidth="1"/>
  </cols>
  <sheetData>
    <row r="1" spans="1:10" s="12" customFormat="1" ht="23.5" thickBot="1" x14ac:dyDescent="0.4">
      <c r="A1" s="40" t="s">
        <v>62</v>
      </c>
      <c r="B1" s="40" t="s">
        <v>65</v>
      </c>
      <c r="C1" s="3" t="s">
        <v>63</v>
      </c>
      <c r="D1" s="3" t="s">
        <v>16</v>
      </c>
      <c r="E1" s="3" t="s">
        <v>17</v>
      </c>
      <c r="F1" s="3" t="s">
        <v>18</v>
      </c>
      <c r="G1" s="40" t="s">
        <v>64</v>
      </c>
      <c r="H1" s="102" t="s">
        <v>7</v>
      </c>
      <c r="I1" s="175" t="s">
        <v>163</v>
      </c>
      <c r="J1"/>
    </row>
    <row r="2" spans="1:10" x14ac:dyDescent="0.35">
      <c r="A2" t="s">
        <v>71</v>
      </c>
      <c r="B2" t="s">
        <v>25</v>
      </c>
      <c r="C2" s="1">
        <v>45294</v>
      </c>
      <c r="D2">
        <f>DAY(C2)</f>
        <v>3</v>
      </c>
      <c r="E2">
        <f>MONTH(C2)</f>
        <v>1</v>
      </c>
      <c r="F2">
        <f>YEAR(C2)</f>
        <v>2024</v>
      </c>
      <c r="G2" t="s">
        <v>72</v>
      </c>
      <c r="H2" s="29">
        <v>15444.59</v>
      </c>
    </row>
    <row r="3" spans="1:10" x14ac:dyDescent="0.35">
      <c r="A3" t="s">
        <v>71</v>
      </c>
      <c r="B3" t="s">
        <v>25</v>
      </c>
      <c r="C3" s="1">
        <v>45295</v>
      </c>
      <c r="D3">
        <f>DAY(C3)</f>
        <v>4</v>
      </c>
      <c r="E3">
        <f t="shared" ref="E3:E66" si="0">MONTH(C3)</f>
        <v>1</v>
      </c>
      <c r="F3">
        <f>YEAR(C3)</f>
        <v>2024</v>
      </c>
      <c r="G3" t="s">
        <v>66</v>
      </c>
      <c r="H3" s="29">
        <v>4709.17</v>
      </c>
    </row>
    <row r="4" spans="1:10" x14ac:dyDescent="0.35">
      <c r="A4" t="s">
        <v>71</v>
      </c>
      <c r="B4" t="s">
        <v>25</v>
      </c>
      <c r="C4" s="1">
        <v>45317</v>
      </c>
      <c r="D4">
        <f>DAY(C4)</f>
        <v>26</v>
      </c>
      <c r="E4">
        <f t="shared" si="0"/>
        <v>1</v>
      </c>
      <c r="F4">
        <f>YEAR(C4)</f>
        <v>2024</v>
      </c>
      <c r="G4" t="s">
        <v>69</v>
      </c>
      <c r="H4" s="29">
        <v>133160.70000000001</v>
      </c>
    </row>
    <row r="5" spans="1:10" x14ac:dyDescent="0.35">
      <c r="A5" t="s">
        <v>20</v>
      </c>
      <c r="B5" t="s">
        <v>21</v>
      </c>
      <c r="C5" s="1">
        <v>45295</v>
      </c>
      <c r="D5">
        <f>DAY(C5)</f>
        <v>4</v>
      </c>
      <c r="E5">
        <f t="shared" si="0"/>
        <v>1</v>
      </c>
      <c r="F5">
        <f>YEAR(C5)</f>
        <v>2024</v>
      </c>
      <c r="G5" t="s">
        <v>66</v>
      </c>
      <c r="H5" s="29">
        <v>77399.11</v>
      </c>
    </row>
    <row r="6" spans="1:10" x14ac:dyDescent="0.35">
      <c r="A6" t="s">
        <v>20</v>
      </c>
      <c r="B6" t="s">
        <v>23</v>
      </c>
      <c r="C6" s="1">
        <v>45295</v>
      </c>
      <c r="D6">
        <f>DAY(C6)</f>
        <v>4</v>
      </c>
      <c r="E6">
        <f t="shared" si="0"/>
        <v>1</v>
      </c>
      <c r="F6">
        <f>YEAR(C6)</f>
        <v>2024</v>
      </c>
      <c r="G6" t="s">
        <v>67</v>
      </c>
      <c r="H6" s="29">
        <v>27406</v>
      </c>
    </row>
    <row r="7" spans="1:10" x14ac:dyDescent="0.35">
      <c r="A7" t="s">
        <v>20</v>
      </c>
      <c r="B7" t="s">
        <v>23</v>
      </c>
      <c r="C7" s="1">
        <v>45295</v>
      </c>
      <c r="D7">
        <f t="shared" ref="D7:D16" si="1">DAY(C7)</f>
        <v>4</v>
      </c>
      <c r="E7">
        <f t="shared" si="0"/>
        <v>1</v>
      </c>
      <c r="F7">
        <f t="shared" ref="F7:F16" si="2">YEAR(C7)</f>
        <v>2024</v>
      </c>
      <c r="G7" t="s">
        <v>67</v>
      </c>
      <c r="H7" s="29">
        <v>18266.95</v>
      </c>
    </row>
    <row r="8" spans="1:10" x14ac:dyDescent="0.35">
      <c r="A8" t="s">
        <v>20</v>
      </c>
      <c r="B8" t="s">
        <v>23</v>
      </c>
      <c r="C8" s="1">
        <v>45307</v>
      </c>
      <c r="D8">
        <f t="shared" si="1"/>
        <v>16</v>
      </c>
      <c r="E8">
        <f t="shared" si="0"/>
        <v>1</v>
      </c>
      <c r="F8">
        <f t="shared" si="2"/>
        <v>2024</v>
      </c>
      <c r="G8" t="s">
        <v>66</v>
      </c>
      <c r="H8" s="29">
        <v>10411.1</v>
      </c>
    </row>
    <row r="9" spans="1:10" x14ac:dyDescent="0.35">
      <c r="A9" t="s">
        <v>20</v>
      </c>
      <c r="B9" t="s">
        <v>23</v>
      </c>
      <c r="C9" s="1">
        <v>45308</v>
      </c>
      <c r="D9">
        <f t="shared" si="1"/>
        <v>17</v>
      </c>
      <c r="E9">
        <f t="shared" si="0"/>
        <v>1</v>
      </c>
      <c r="F9">
        <f t="shared" si="2"/>
        <v>2024</v>
      </c>
      <c r="G9" t="s">
        <v>68</v>
      </c>
      <c r="H9" s="29">
        <v>2040</v>
      </c>
    </row>
    <row r="10" spans="1:10" x14ac:dyDescent="0.35">
      <c r="A10" t="s">
        <v>20</v>
      </c>
      <c r="B10" t="s">
        <v>24</v>
      </c>
      <c r="C10" s="1">
        <v>45317</v>
      </c>
      <c r="D10">
        <f t="shared" si="1"/>
        <v>26</v>
      </c>
      <c r="E10">
        <f t="shared" si="0"/>
        <v>1</v>
      </c>
      <c r="F10">
        <f t="shared" si="2"/>
        <v>2024</v>
      </c>
      <c r="G10" t="s">
        <v>69</v>
      </c>
      <c r="H10" s="29">
        <v>168112.07</v>
      </c>
    </row>
    <row r="11" spans="1:10" x14ac:dyDescent="0.35">
      <c r="A11" t="s">
        <v>20</v>
      </c>
      <c r="B11" t="s">
        <v>21</v>
      </c>
      <c r="C11" s="1">
        <v>45317</v>
      </c>
      <c r="D11">
        <f t="shared" si="1"/>
        <v>26</v>
      </c>
      <c r="E11">
        <f t="shared" si="0"/>
        <v>1</v>
      </c>
      <c r="F11">
        <f t="shared" si="2"/>
        <v>2024</v>
      </c>
      <c r="G11" t="s">
        <v>69</v>
      </c>
      <c r="H11" s="29">
        <v>374075.17</v>
      </c>
    </row>
    <row r="12" spans="1:10" x14ac:dyDescent="0.35">
      <c r="A12" t="s">
        <v>20</v>
      </c>
      <c r="B12" t="s">
        <v>23</v>
      </c>
      <c r="C12" s="1">
        <v>45317</v>
      </c>
      <c r="D12">
        <f t="shared" si="1"/>
        <v>26</v>
      </c>
      <c r="E12">
        <f t="shared" si="0"/>
        <v>1</v>
      </c>
      <c r="F12">
        <f t="shared" si="2"/>
        <v>2024</v>
      </c>
      <c r="G12" t="s">
        <v>69</v>
      </c>
      <c r="H12" s="29">
        <v>139345.17000000001</v>
      </c>
    </row>
    <row r="13" spans="1:10" x14ac:dyDescent="0.35">
      <c r="A13" t="s">
        <v>20</v>
      </c>
      <c r="B13" t="s">
        <v>25</v>
      </c>
      <c r="C13" s="1">
        <v>45324</v>
      </c>
      <c r="D13">
        <f t="shared" si="1"/>
        <v>2</v>
      </c>
      <c r="E13">
        <f t="shared" si="0"/>
        <v>2</v>
      </c>
      <c r="F13">
        <f t="shared" si="2"/>
        <v>2024</v>
      </c>
      <c r="G13" t="s">
        <v>70</v>
      </c>
      <c r="H13" s="29">
        <v>36938.75</v>
      </c>
    </row>
    <row r="14" spans="1:10" x14ac:dyDescent="0.35">
      <c r="A14" t="s">
        <v>20</v>
      </c>
      <c r="B14" t="s">
        <v>23</v>
      </c>
      <c r="C14" s="1">
        <v>45331</v>
      </c>
      <c r="D14">
        <f t="shared" si="1"/>
        <v>9</v>
      </c>
      <c r="E14">
        <f t="shared" si="0"/>
        <v>2</v>
      </c>
      <c r="F14">
        <f t="shared" si="2"/>
        <v>2024</v>
      </c>
      <c r="G14" t="s">
        <v>67</v>
      </c>
      <c r="H14" s="29">
        <v>15711.94</v>
      </c>
    </row>
    <row r="15" spans="1:10" x14ac:dyDescent="0.35">
      <c r="A15" t="s">
        <v>20</v>
      </c>
      <c r="B15" t="s">
        <v>23</v>
      </c>
      <c r="C15" s="1">
        <v>45331</v>
      </c>
      <c r="D15">
        <f t="shared" si="1"/>
        <v>9</v>
      </c>
      <c r="E15">
        <f t="shared" si="0"/>
        <v>2</v>
      </c>
      <c r="F15">
        <f t="shared" si="2"/>
        <v>2024</v>
      </c>
      <c r="G15" t="s">
        <v>67</v>
      </c>
      <c r="H15" s="29">
        <v>9874.36</v>
      </c>
    </row>
    <row r="16" spans="1:10" x14ac:dyDescent="0.35">
      <c r="A16" t="s">
        <v>20</v>
      </c>
      <c r="B16" t="s">
        <v>21</v>
      </c>
      <c r="C16" s="1">
        <v>45331</v>
      </c>
      <c r="D16">
        <f t="shared" si="1"/>
        <v>9</v>
      </c>
      <c r="E16">
        <f t="shared" si="0"/>
        <v>2</v>
      </c>
      <c r="F16">
        <f t="shared" si="2"/>
        <v>2024</v>
      </c>
      <c r="G16" t="s">
        <v>66</v>
      </c>
      <c r="H16" s="29">
        <v>12186.64</v>
      </c>
    </row>
    <row r="17" spans="1:8" x14ac:dyDescent="0.35">
      <c r="A17" t="s">
        <v>20</v>
      </c>
      <c r="B17" t="s">
        <v>706</v>
      </c>
      <c r="C17" s="1">
        <v>45335</v>
      </c>
      <c r="D17">
        <f>DAY(C17)</f>
        <v>13</v>
      </c>
      <c r="E17">
        <f t="shared" si="0"/>
        <v>2</v>
      </c>
      <c r="F17">
        <f>YEAR(C17)</f>
        <v>2024</v>
      </c>
      <c r="G17" t="s">
        <v>707</v>
      </c>
      <c r="H17" s="29">
        <v>2000</v>
      </c>
    </row>
    <row r="18" spans="1:8" x14ac:dyDescent="0.35">
      <c r="A18" t="s">
        <v>20</v>
      </c>
      <c r="B18" t="s">
        <v>706</v>
      </c>
      <c r="C18" s="1">
        <v>45337</v>
      </c>
      <c r="D18">
        <f>DAY(C18)</f>
        <v>15</v>
      </c>
      <c r="E18">
        <f t="shared" si="0"/>
        <v>2</v>
      </c>
      <c r="F18">
        <f>YEAR(C18)</f>
        <v>2024</v>
      </c>
      <c r="G18" t="s">
        <v>707</v>
      </c>
      <c r="H18" s="29">
        <v>4000</v>
      </c>
    </row>
    <row r="19" spans="1:8" x14ac:dyDescent="0.35">
      <c r="A19" t="s">
        <v>20</v>
      </c>
      <c r="B19" t="s">
        <v>25</v>
      </c>
      <c r="C19" s="1">
        <v>45337</v>
      </c>
      <c r="D19">
        <f t="shared" ref="D19:D82" si="3">DAY(C19)</f>
        <v>15</v>
      </c>
      <c r="E19">
        <f t="shared" si="0"/>
        <v>2</v>
      </c>
      <c r="F19">
        <f t="shared" ref="F19:F23" si="4">YEAR(C19)</f>
        <v>2024</v>
      </c>
      <c r="G19" t="s">
        <v>70</v>
      </c>
      <c r="H19" s="29">
        <v>75934</v>
      </c>
    </row>
    <row r="20" spans="1:8" x14ac:dyDescent="0.35">
      <c r="A20" t="s">
        <v>20</v>
      </c>
      <c r="B20" t="s">
        <v>23</v>
      </c>
      <c r="C20" s="1">
        <v>45337</v>
      </c>
      <c r="D20">
        <f t="shared" si="3"/>
        <v>15</v>
      </c>
      <c r="E20">
        <f t="shared" si="0"/>
        <v>2</v>
      </c>
      <c r="F20">
        <f t="shared" si="4"/>
        <v>2024</v>
      </c>
      <c r="G20" t="s">
        <v>66</v>
      </c>
      <c r="H20" s="29">
        <v>8842.56</v>
      </c>
    </row>
    <row r="21" spans="1:8" x14ac:dyDescent="0.35">
      <c r="A21" t="s">
        <v>20</v>
      </c>
      <c r="B21" t="s">
        <v>23</v>
      </c>
      <c r="C21" s="1">
        <v>45337</v>
      </c>
      <c r="D21">
        <f t="shared" si="3"/>
        <v>15</v>
      </c>
      <c r="E21">
        <f t="shared" si="0"/>
        <v>2</v>
      </c>
      <c r="F21">
        <f t="shared" si="4"/>
        <v>2024</v>
      </c>
      <c r="G21" t="s">
        <v>131</v>
      </c>
      <c r="H21" s="29">
        <v>23833.49</v>
      </c>
    </row>
    <row r="22" spans="1:8" x14ac:dyDescent="0.35">
      <c r="A22" t="s">
        <v>20</v>
      </c>
      <c r="B22" t="s">
        <v>23</v>
      </c>
      <c r="C22" s="1">
        <v>45338</v>
      </c>
      <c r="D22">
        <f t="shared" si="3"/>
        <v>16</v>
      </c>
      <c r="E22">
        <f t="shared" si="0"/>
        <v>2</v>
      </c>
      <c r="F22">
        <f t="shared" si="4"/>
        <v>2024</v>
      </c>
      <c r="G22" t="s">
        <v>66</v>
      </c>
      <c r="H22" s="29">
        <v>2300.58</v>
      </c>
    </row>
    <row r="23" spans="1:8" x14ac:dyDescent="0.35">
      <c r="A23" t="s">
        <v>20</v>
      </c>
      <c r="B23" t="s">
        <v>27</v>
      </c>
      <c r="C23" s="1">
        <v>45345</v>
      </c>
      <c r="D23">
        <f t="shared" si="3"/>
        <v>23</v>
      </c>
      <c r="E23">
        <f t="shared" si="0"/>
        <v>2</v>
      </c>
      <c r="F23">
        <f t="shared" si="4"/>
        <v>2024</v>
      </c>
      <c r="G23" t="s">
        <v>132</v>
      </c>
      <c r="H23" s="29">
        <v>15544.01</v>
      </c>
    </row>
    <row r="24" spans="1:8" x14ac:dyDescent="0.35">
      <c r="A24" t="s">
        <v>20</v>
      </c>
      <c r="B24" t="s">
        <v>27</v>
      </c>
      <c r="C24" s="1">
        <v>45349</v>
      </c>
      <c r="D24">
        <f t="shared" si="3"/>
        <v>27</v>
      </c>
      <c r="E24">
        <f t="shared" si="0"/>
        <v>2</v>
      </c>
      <c r="F24">
        <f t="shared" ref="F24" si="5">YEAR(C24)</f>
        <v>2024</v>
      </c>
      <c r="G24" t="s">
        <v>255</v>
      </c>
      <c r="H24" s="95">
        <v>23229.4</v>
      </c>
    </row>
    <row r="25" spans="1:8" x14ac:dyDescent="0.35">
      <c r="A25" t="s">
        <v>20</v>
      </c>
      <c r="B25" t="s">
        <v>23</v>
      </c>
      <c r="C25" s="1">
        <v>45350</v>
      </c>
      <c r="D25">
        <f t="shared" si="3"/>
        <v>28</v>
      </c>
      <c r="E25">
        <f t="shared" si="0"/>
        <v>2</v>
      </c>
      <c r="F25">
        <f t="shared" ref="F25:F29" si="6">YEAR(C25)</f>
        <v>2024</v>
      </c>
      <c r="G25" t="s">
        <v>68</v>
      </c>
      <c r="H25" s="29">
        <v>889.24</v>
      </c>
    </row>
    <row r="26" spans="1:8" x14ac:dyDescent="0.35">
      <c r="A26" t="s">
        <v>20</v>
      </c>
      <c r="B26" t="s">
        <v>21</v>
      </c>
      <c r="C26" s="1">
        <v>45351</v>
      </c>
      <c r="D26">
        <f t="shared" si="3"/>
        <v>29</v>
      </c>
      <c r="E26">
        <f t="shared" si="0"/>
        <v>2</v>
      </c>
      <c r="F26">
        <f t="shared" si="6"/>
        <v>2024</v>
      </c>
      <c r="G26" t="s">
        <v>69</v>
      </c>
      <c r="H26" s="29">
        <v>131391.41</v>
      </c>
    </row>
    <row r="27" spans="1:8" x14ac:dyDescent="0.35">
      <c r="A27" t="s">
        <v>20</v>
      </c>
      <c r="B27" t="s">
        <v>23</v>
      </c>
      <c r="C27" s="1">
        <v>45351</v>
      </c>
      <c r="D27">
        <f t="shared" si="3"/>
        <v>29</v>
      </c>
      <c r="E27">
        <f t="shared" si="0"/>
        <v>2</v>
      </c>
      <c r="F27">
        <f t="shared" si="6"/>
        <v>2024</v>
      </c>
      <c r="G27" t="s">
        <v>69</v>
      </c>
      <c r="H27" s="29">
        <v>127232.41</v>
      </c>
    </row>
    <row r="28" spans="1:8" x14ac:dyDescent="0.35">
      <c r="A28" t="s">
        <v>20</v>
      </c>
      <c r="B28" t="s">
        <v>25</v>
      </c>
      <c r="C28" s="1">
        <v>45351</v>
      </c>
      <c r="D28">
        <f t="shared" si="3"/>
        <v>29</v>
      </c>
      <c r="E28">
        <f t="shared" si="0"/>
        <v>2</v>
      </c>
      <c r="F28">
        <f t="shared" si="6"/>
        <v>2024</v>
      </c>
      <c r="G28" t="s">
        <v>69</v>
      </c>
      <c r="H28" s="29">
        <v>57560.54</v>
      </c>
    </row>
    <row r="29" spans="1:8" x14ac:dyDescent="0.35">
      <c r="A29" t="s">
        <v>20</v>
      </c>
      <c r="B29" t="s">
        <v>24</v>
      </c>
      <c r="C29" s="1">
        <v>45351</v>
      </c>
      <c r="D29">
        <f t="shared" si="3"/>
        <v>29</v>
      </c>
      <c r="E29">
        <f t="shared" si="0"/>
        <v>2</v>
      </c>
      <c r="F29">
        <f t="shared" si="6"/>
        <v>2024</v>
      </c>
      <c r="G29" t="s">
        <v>69</v>
      </c>
      <c r="H29" s="29">
        <v>105183.58</v>
      </c>
    </row>
    <row r="30" spans="1:8" x14ac:dyDescent="0.35">
      <c r="A30" t="s">
        <v>20</v>
      </c>
      <c r="B30" t="s">
        <v>706</v>
      </c>
      <c r="C30" s="1">
        <v>45351</v>
      </c>
      <c r="D30">
        <f t="shared" si="3"/>
        <v>29</v>
      </c>
      <c r="E30">
        <f t="shared" si="0"/>
        <v>2</v>
      </c>
      <c r="F30">
        <f t="shared" ref="F30:F93" si="7">YEAR(C30)</f>
        <v>2024</v>
      </c>
      <c r="G30" t="s">
        <v>707</v>
      </c>
      <c r="H30" s="29">
        <v>2000</v>
      </c>
    </row>
    <row r="31" spans="1:8" x14ac:dyDescent="0.35">
      <c r="A31" t="s">
        <v>20</v>
      </c>
      <c r="B31" t="s">
        <v>25</v>
      </c>
      <c r="C31" s="1">
        <v>45352</v>
      </c>
      <c r="D31">
        <f t="shared" si="3"/>
        <v>1</v>
      </c>
      <c r="E31">
        <f t="shared" si="0"/>
        <v>3</v>
      </c>
      <c r="F31">
        <f t="shared" si="7"/>
        <v>2024</v>
      </c>
      <c r="G31" t="s">
        <v>70</v>
      </c>
      <c r="H31" s="29">
        <v>6169.25</v>
      </c>
    </row>
    <row r="32" spans="1:8" x14ac:dyDescent="0.35">
      <c r="A32" t="s">
        <v>20</v>
      </c>
      <c r="B32" t="s">
        <v>27</v>
      </c>
      <c r="C32" s="1">
        <v>45356</v>
      </c>
      <c r="D32">
        <f t="shared" si="3"/>
        <v>5</v>
      </c>
      <c r="E32">
        <f t="shared" si="0"/>
        <v>3</v>
      </c>
      <c r="F32">
        <f t="shared" si="7"/>
        <v>2024</v>
      </c>
      <c r="G32" t="s">
        <v>317</v>
      </c>
      <c r="H32" s="29">
        <v>35821.800000000003</v>
      </c>
    </row>
    <row r="33" spans="1:8" x14ac:dyDescent="0.35">
      <c r="A33" t="s">
        <v>20</v>
      </c>
      <c r="B33" t="s">
        <v>23</v>
      </c>
      <c r="C33" s="1">
        <v>45358</v>
      </c>
      <c r="D33">
        <f t="shared" si="3"/>
        <v>7</v>
      </c>
      <c r="E33">
        <f t="shared" si="0"/>
        <v>3</v>
      </c>
      <c r="F33">
        <f t="shared" si="7"/>
        <v>2024</v>
      </c>
      <c r="G33" t="s">
        <v>68</v>
      </c>
      <c r="H33" s="29">
        <v>995</v>
      </c>
    </row>
    <row r="34" spans="1:8" x14ac:dyDescent="0.35">
      <c r="A34" t="s">
        <v>20</v>
      </c>
      <c r="B34" t="s">
        <v>23</v>
      </c>
      <c r="C34" s="1">
        <v>45362</v>
      </c>
      <c r="D34">
        <f t="shared" si="3"/>
        <v>11</v>
      </c>
      <c r="E34">
        <f t="shared" si="0"/>
        <v>3</v>
      </c>
      <c r="F34">
        <f t="shared" si="7"/>
        <v>2024</v>
      </c>
      <c r="G34" t="s">
        <v>66</v>
      </c>
      <c r="H34" s="29">
        <v>11093.57</v>
      </c>
    </row>
    <row r="35" spans="1:8" x14ac:dyDescent="0.35">
      <c r="A35" t="s">
        <v>20</v>
      </c>
      <c r="B35" t="s">
        <v>23</v>
      </c>
      <c r="C35" s="1">
        <v>45370</v>
      </c>
      <c r="D35">
        <f t="shared" si="3"/>
        <v>19</v>
      </c>
      <c r="E35">
        <f t="shared" si="0"/>
        <v>3</v>
      </c>
      <c r="F35">
        <f t="shared" si="7"/>
        <v>2024</v>
      </c>
      <c r="G35" t="s">
        <v>66</v>
      </c>
      <c r="H35" s="29">
        <v>1080.56</v>
      </c>
    </row>
    <row r="36" spans="1:8" x14ac:dyDescent="0.35">
      <c r="A36" t="s">
        <v>20</v>
      </c>
      <c r="B36" t="s">
        <v>21</v>
      </c>
      <c r="C36" s="1">
        <v>45370</v>
      </c>
      <c r="D36">
        <f t="shared" si="3"/>
        <v>19</v>
      </c>
      <c r="E36">
        <f t="shared" si="0"/>
        <v>3</v>
      </c>
      <c r="F36">
        <f t="shared" si="7"/>
        <v>2024</v>
      </c>
      <c r="G36" t="s">
        <v>66</v>
      </c>
      <c r="H36" s="29">
        <v>1062.1500000000001</v>
      </c>
    </row>
    <row r="37" spans="1:8" x14ac:dyDescent="0.35">
      <c r="A37" t="s">
        <v>20</v>
      </c>
      <c r="B37" t="s">
        <v>25</v>
      </c>
      <c r="C37" s="1">
        <v>45370</v>
      </c>
      <c r="D37">
        <f t="shared" si="3"/>
        <v>19</v>
      </c>
      <c r="E37">
        <f t="shared" si="0"/>
        <v>3</v>
      </c>
      <c r="F37">
        <f t="shared" si="7"/>
        <v>2024</v>
      </c>
      <c r="G37" t="s">
        <v>66</v>
      </c>
      <c r="H37" s="29">
        <v>353.07</v>
      </c>
    </row>
    <row r="38" spans="1:8" x14ac:dyDescent="0.35">
      <c r="A38" t="s">
        <v>20</v>
      </c>
      <c r="B38" t="s">
        <v>23</v>
      </c>
      <c r="C38" s="1">
        <v>45373</v>
      </c>
      <c r="D38">
        <f t="shared" si="3"/>
        <v>22</v>
      </c>
      <c r="E38">
        <f t="shared" si="0"/>
        <v>3</v>
      </c>
      <c r="F38">
        <f t="shared" si="7"/>
        <v>2024</v>
      </c>
      <c r="G38" t="s">
        <v>131</v>
      </c>
      <c r="H38" s="29">
        <v>29658.799999999999</v>
      </c>
    </row>
    <row r="39" spans="1:8" x14ac:dyDescent="0.35">
      <c r="A39" t="s">
        <v>20</v>
      </c>
      <c r="B39" t="s">
        <v>24</v>
      </c>
      <c r="C39" s="1">
        <v>45378</v>
      </c>
      <c r="D39">
        <f t="shared" si="3"/>
        <v>27</v>
      </c>
      <c r="E39">
        <f t="shared" si="0"/>
        <v>3</v>
      </c>
      <c r="F39">
        <f t="shared" si="7"/>
        <v>2024</v>
      </c>
      <c r="G39" t="s">
        <v>69</v>
      </c>
      <c r="H39" s="29">
        <v>127000</v>
      </c>
    </row>
    <row r="40" spans="1:8" x14ac:dyDescent="0.35">
      <c r="A40" t="s">
        <v>20</v>
      </c>
      <c r="B40" t="s">
        <v>25</v>
      </c>
      <c r="C40" s="1">
        <v>45378</v>
      </c>
      <c r="D40">
        <f t="shared" si="3"/>
        <v>27</v>
      </c>
      <c r="E40">
        <f t="shared" si="0"/>
        <v>3</v>
      </c>
      <c r="F40">
        <f t="shared" si="7"/>
        <v>2024</v>
      </c>
      <c r="G40" t="s">
        <v>69</v>
      </c>
      <c r="H40" s="29">
        <v>40000</v>
      </c>
    </row>
    <row r="41" spans="1:8" x14ac:dyDescent="0.35">
      <c r="A41" t="s">
        <v>20</v>
      </c>
      <c r="B41" t="s">
        <v>21</v>
      </c>
      <c r="C41" s="1">
        <v>45378</v>
      </c>
      <c r="D41">
        <f t="shared" si="3"/>
        <v>27</v>
      </c>
      <c r="E41">
        <f t="shared" si="0"/>
        <v>3</v>
      </c>
      <c r="F41">
        <f t="shared" si="7"/>
        <v>2024</v>
      </c>
      <c r="G41" t="s">
        <v>66</v>
      </c>
      <c r="H41" s="29">
        <v>22301.74</v>
      </c>
    </row>
    <row r="42" spans="1:8" x14ac:dyDescent="0.35">
      <c r="A42" t="s">
        <v>20</v>
      </c>
      <c r="B42" t="s">
        <v>25</v>
      </c>
      <c r="C42" s="1">
        <v>45378</v>
      </c>
      <c r="D42">
        <f t="shared" si="3"/>
        <v>27</v>
      </c>
      <c r="E42">
        <f t="shared" si="0"/>
        <v>3</v>
      </c>
      <c r="F42">
        <f t="shared" si="7"/>
        <v>2024</v>
      </c>
      <c r="G42" t="s">
        <v>70</v>
      </c>
      <c r="H42" s="29">
        <v>7255.25</v>
      </c>
    </row>
    <row r="43" spans="1:8" x14ac:dyDescent="0.35">
      <c r="A43" t="s">
        <v>20</v>
      </c>
      <c r="B43" t="s">
        <v>27</v>
      </c>
      <c r="C43" s="1">
        <v>45381</v>
      </c>
      <c r="D43">
        <f t="shared" si="3"/>
        <v>30</v>
      </c>
      <c r="E43">
        <f t="shared" si="0"/>
        <v>3</v>
      </c>
      <c r="F43">
        <f t="shared" si="7"/>
        <v>2024</v>
      </c>
      <c r="G43" t="s">
        <v>69</v>
      </c>
      <c r="H43" s="29">
        <v>13000</v>
      </c>
    </row>
    <row r="44" spans="1:8" x14ac:dyDescent="0.35">
      <c r="A44" t="s">
        <v>20</v>
      </c>
      <c r="B44" t="s">
        <v>22</v>
      </c>
      <c r="C44" s="1">
        <v>45381</v>
      </c>
      <c r="D44">
        <f t="shared" si="3"/>
        <v>30</v>
      </c>
      <c r="E44">
        <f t="shared" si="0"/>
        <v>3</v>
      </c>
      <c r="F44">
        <f t="shared" si="7"/>
        <v>2024</v>
      </c>
      <c r="G44" t="s">
        <v>69</v>
      </c>
      <c r="H44" s="29">
        <v>23000</v>
      </c>
    </row>
    <row r="45" spans="1:8" x14ac:dyDescent="0.35">
      <c r="A45" t="s">
        <v>20</v>
      </c>
      <c r="B45" t="s">
        <v>23</v>
      </c>
      <c r="C45" s="1">
        <v>45381</v>
      </c>
      <c r="D45">
        <f t="shared" si="3"/>
        <v>30</v>
      </c>
      <c r="E45">
        <f t="shared" si="0"/>
        <v>3</v>
      </c>
      <c r="F45">
        <f t="shared" si="7"/>
        <v>2024</v>
      </c>
      <c r="G45" t="s">
        <v>69</v>
      </c>
      <c r="H45" s="29">
        <v>140000</v>
      </c>
    </row>
    <row r="46" spans="1:8" x14ac:dyDescent="0.35">
      <c r="A46" t="s">
        <v>20</v>
      </c>
      <c r="B46" t="s">
        <v>21</v>
      </c>
      <c r="C46" s="1">
        <v>45381</v>
      </c>
      <c r="D46">
        <f t="shared" si="3"/>
        <v>30</v>
      </c>
      <c r="E46">
        <f t="shared" si="0"/>
        <v>3</v>
      </c>
      <c r="F46">
        <f t="shared" si="7"/>
        <v>2024</v>
      </c>
      <c r="G46" t="s">
        <v>69</v>
      </c>
      <c r="H46" s="29">
        <v>81000</v>
      </c>
    </row>
    <row r="47" spans="1:8" x14ac:dyDescent="0.35">
      <c r="A47" t="s">
        <v>20</v>
      </c>
      <c r="B47" t="s">
        <v>25</v>
      </c>
      <c r="C47" s="1">
        <v>45383</v>
      </c>
      <c r="D47">
        <f t="shared" si="3"/>
        <v>1</v>
      </c>
      <c r="E47">
        <f t="shared" si="0"/>
        <v>4</v>
      </c>
      <c r="F47">
        <f t="shared" si="7"/>
        <v>2024</v>
      </c>
      <c r="G47" t="s">
        <v>70</v>
      </c>
      <c r="H47" s="29">
        <v>82027</v>
      </c>
    </row>
    <row r="48" spans="1:8" x14ac:dyDescent="0.35">
      <c r="A48" t="s">
        <v>20</v>
      </c>
      <c r="B48" t="s">
        <v>23</v>
      </c>
      <c r="C48" s="1">
        <v>45386</v>
      </c>
      <c r="D48">
        <f t="shared" si="3"/>
        <v>4</v>
      </c>
      <c r="E48">
        <f t="shared" si="0"/>
        <v>4</v>
      </c>
      <c r="F48">
        <f t="shared" si="7"/>
        <v>2024</v>
      </c>
      <c r="G48" t="s">
        <v>67</v>
      </c>
      <c r="H48" s="29">
        <v>1808.95</v>
      </c>
    </row>
    <row r="49" spans="1:8" x14ac:dyDescent="0.35">
      <c r="A49" t="s">
        <v>20</v>
      </c>
      <c r="B49" t="s">
        <v>23</v>
      </c>
      <c r="C49" s="1">
        <v>45386</v>
      </c>
      <c r="D49">
        <f t="shared" si="3"/>
        <v>4</v>
      </c>
      <c r="E49">
        <f t="shared" si="0"/>
        <v>4</v>
      </c>
      <c r="F49">
        <f t="shared" si="7"/>
        <v>2024</v>
      </c>
      <c r="G49" t="s">
        <v>67</v>
      </c>
      <c r="H49" s="29">
        <v>17713.43</v>
      </c>
    </row>
    <row r="50" spans="1:8" x14ac:dyDescent="0.35">
      <c r="A50" t="s">
        <v>20</v>
      </c>
      <c r="B50" t="s">
        <v>27</v>
      </c>
      <c r="C50" s="1">
        <v>45387</v>
      </c>
      <c r="D50">
        <f t="shared" si="3"/>
        <v>5</v>
      </c>
      <c r="E50">
        <f t="shared" si="0"/>
        <v>4</v>
      </c>
      <c r="F50">
        <f t="shared" si="7"/>
        <v>2024</v>
      </c>
      <c r="G50" t="s">
        <v>132</v>
      </c>
      <c r="H50" s="29">
        <v>22181.85</v>
      </c>
    </row>
    <row r="51" spans="1:8" x14ac:dyDescent="0.35">
      <c r="A51" t="s">
        <v>20</v>
      </c>
      <c r="B51" t="s">
        <v>23</v>
      </c>
      <c r="C51" s="1">
        <v>45391</v>
      </c>
      <c r="D51">
        <f t="shared" si="3"/>
        <v>9</v>
      </c>
      <c r="E51">
        <f t="shared" si="0"/>
        <v>4</v>
      </c>
      <c r="F51">
        <f t="shared" si="7"/>
        <v>2024</v>
      </c>
      <c r="G51" t="s">
        <v>67</v>
      </c>
      <c r="H51" s="29">
        <v>9990</v>
      </c>
    </row>
    <row r="52" spans="1:8" x14ac:dyDescent="0.35">
      <c r="A52" t="s">
        <v>20</v>
      </c>
      <c r="B52" t="s">
        <v>21</v>
      </c>
      <c r="C52" s="1">
        <v>45393</v>
      </c>
      <c r="D52">
        <f t="shared" si="3"/>
        <v>11</v>
      </c>
      <c r="E52">
        <f t="shared" si="0"/>
        <v>4</v>
      </c>
      <c r="F52">
        <f t="shared" si="7"/>
        <v>2024</v>
      </c>
      <c r="G52" t="s">
        <v>208</v>
      </c>
      <c r="H52" s="29">
        <v>4375.03</v>
      </c>
    </row>
    <row r="53" spans="1:8" x14ac:dyDescent="0.35">
      <c r="A53" t="s">
        <v>20</v>
      </c>
      <c r="B53" t="s">
        <v>27</v>
      </c>
      <c r="C53" s="1">
        <v>45394</v>
      </c>
      <c r="D53">
        <f t="shared" si="3"/>
        <v>12</v>
      </c>
      <c r="E53">
        <f t="shared" si="0"/>
        <v>4</v>
      </c>
      <c r="F53">
        <f t="shared" si="7"/>
        <v>2024</v>
      </c>
      <c r="G53" t="s">
        <v>255</v>
      </c>
      <c r="H53" s="29">
        <v>14044.86</v>
      </c>
    </row>
    <row r="54" spans="1:8" x14ac:dyDescent="0.35">
      <c r="A54" t="s">
        <v>20</v>
      </c>
      <c r="B54" t="s">
        <v>23</v>
      </c>
      <c r="C54" s="1">
        <v>45399</v>
      </c>
      <c r="D54">
        <f t="shared" si="3"/>
        <v>17</v>
      </c>
      <c r="E54">
        <f t="shared" si="0"/>
        <v>4</v>
      </c>
      <c r="F54">
        <f t="shared" si="7"/>
        <v>2024</v>
      </c>
      <c r="G54" t="s">
        <v>67</v>
      </c>
      <c r="H54" s="29">
        <v>15223.34</v>
      </c>
    </row>
    <row r="55" spans="1:8" x14ac:dyDescent="0.35">
      <c r="A55" t="s">
        <v>20</v>
      </c>
      <c r="B55" t="s">
        <v>23</v>
      </c>
      <c r="C55" s="1">
        <v>45399</v>
      </c>
      <c r="D55">
        <f t="shared" si="3"/>
        <v>17</v>
      </c>
      <c r="E55">
        <f t="shared" si="0"/>
        <v>4</v>
      </c>
      <c r="F55">
        <f t="shared" si="7"/>
        <v>2024</v>
      </c>
      <c r="G55" t="s">
        <v>67</v>
      </c>
      <c r="H55" s="29">
        <v>8469.3799999999992</v>
      </c>
    </row>
    <row r="56" spans="1:8" x14ac:dyDescent="0.35">
      <c r="A56" t="s">
        <v>20</v>
      </c>
      <c r="B56" t="s">
        <v>21</v>
      </c>
      <c r="C56" s="1">
        <v>45400</v>
      </c>
      <c r="D56">
        <f t="shared" si="3"/>
        <v>18</v>
      </c>
      <c r="E56">
        <f t="shared" si="0"/>
        <v>4</v>
      </c>
      <c r="F56">
        <f t="shared" si="7"/>
        <v>2024</v>
      </c>
      <c r="G56" t="s">
        <v>66</v>
      </c>
      <c r="H56" s="29">
        <v>22169.89</v>
      </c>
    </row>
    <row r="57" spans="1:8" x14ac:dyDescent="0.35">
      <c r="A57" t="s">
        <v>20</v>
      </c>
      <c r="B57" t="s">
        <v>25</v>
      </c>
      <c r="C57" s="1">
        <v>45400</v>
      </c>
      <c r="D57">
        <f t="shared" si="3"/>
        <v>18</v>
      </c>
      <c r="E57">
        <f t="shared" si="0"/>
        <v>4</v>
      </c>
      <c r="F57">
        <f t="shared" si="7"/>
        <v>2024</v>
      </c>
      <c r="G57" t="s">
        <v>66</v>
      </c>
      <c r="H57" s="29">
        <v>5280.07</v>
      </c>
    </row>
    <row r="58" spans="1:8" x14ac:dyDescent="0.35">
      <c r="A58" t="s">
        <v>20</v>
      </c>
      <c r="B58" t="s">
        <v>23</v>
      </c>
      <c r="C58" s="1">
        <v>45400</v>
      </c>
      <c r="D58">
        <f t="shared" si="3"/>
        <v>18</v>
      </c>
      <c r="E58">
        <f t="shared" si="0"/>
        <v>4</v>
      </c>
      <c r="F58">
        <f t="shared" si="7"/>
        <v>2024</v>
      </c>
      <c r="G58" t="s">
        <v>66</v>
      </c>
      <c r="H58" s="29">
        <v>10056.41</v>
      </c>
    </row>
    <row r="59" spans="1:8" x14ac:dyDescent="0.35">
      <c r="A59" t="s">
        <v>20</v>
      </c>
      <c r="B59" t="s">
        <v>23</v>
      </c>
      <c r="C59" s="1">
        <v>45404</v>
      </c>
      <c r="D59">
        <f t="shared" si="3"/>
        <v>22</v>
      </c>
      <c r="E59">
        <f t="shared" si="0"/>
        <v>4</v>
      </c>
      <c r="F59">
        <f t="shared" si="7"/>
        <v>2024</v>
      </c>
      <c r="G59" t="s">
        <v>68</v>
      </c>
      <c r="H59" s="29">
        <v>1490</v>
      </c>
    </row>
    <row r="60" spans="1:8" x14ac:dyDescent="0.35">
      <c r="A60" t="s">
        <v>20</v>
      </c>
      <c r="B60" t="s">
        <v>23</v>
      </c>
      <c r="C60" s="1">
        <v>45408</v>
      </c>
      <c r="D60">
        <f t="shared" si="3"/>
        <v>26</v>
      </c>
      <c r="E60">
        <f t="shared" si="0"/>
        <v>4</v>
      </c>
      <c r="F60">
        <f t="shared" si="7"/>
        <v>2024</v>
      </c>
      <c r="G60" t="s">
        <v>67</v>
      </c>
      <c r="H60" s="29">
        <v>14096.97</v>
      </c>
    </row>
    <row r="61" spans="1:8" x14ac:dyDescent="0.35">
      <c r="A61" t="s">
        <v>20</v>
      </c>
      <c r="B61" t="s">
        <v>23</v>
      </c>
      <c r="C61" s="1">
        <v>45408</v>
      </c>
      <c r="D61">
        <f t="shared" si="3"/>
        <v>26</v>
      </c>
      <c r="E61">
        <f t="shared" si="0"/>
        <v>4</v>
      </c>
      <c r="F61">
        <f t="shared" si="7"/>
        <v>2024</v>
      </c>
      <c r="G61" t="s">
        <v>67</v>
      </c>
      <c r="H61" s="29">
        <v>21145.45</v>
      </c>
    </row>
    <row r="62" spans="1:8" x14ac:dyDescent="0.35">
      <c r="A62" t="s">
        <v>20</v>
      </c>
      <c r="B62" t="s">
        <v>21</v>
      </c>
      <c r="C62" s="1">
        <v>45408</v>
      </c>
      <c r="D62">
        <f t="shared" si="3"/>
        <v>26</v>
      </c>
      <c r="E62">
        <f t="shared" si="0"/>
        <v>4</v>
      </c>
      <c r="F62">
        <f t="shared" si="7"/>
        <v>2024</v>
      </c>
      <c r="G62" t="s">
        <v>69</v>
      </c>
      <c r="H62" s="29">
        <f>76526.49-52.5</f>
        <v>76473.990000000005</v>
      </c>
    </row>
    <row r="63" spans="1:8" x14ac:dyDescent="0.35">
      <c r="A63" t="s">
        <v>20</v>
      </c>
      <c r="B63" t="s">
        <v>23</v>
      </c>
      <c r="C63" s="1">
        <v>45408</v>
      </c>
      <c r="D63">
        <f t="shared" si="3"/>
        <v>26</v>
      </c>
      <c r="E63">
        <f t="shared" si="0"/>
        <v>4</v>
      </c>
      <c r="F63">
        <f t="shared" si="7"/>
        <v>2024</v>
      </c>
      <c r="G63" t="s">
        <v>69</v>
      </c>
      <c r="H63" s="29">
        <f>55643.89+933.45-52.5</f>
        <v>56524.84</v>
      </c>
    </row>
    <row r="64" spans="1:8" x14ac:dyDescent="0.35">
      <c r="A64" t="s">
        <v>20</v>
      </c>
      <c r="B64" t="s">
        <v>25</v>
      </c>
      <c r="C64" s="1">
        <v>45408</v>
      </c>
      <c r="D64">
        <f t="shared" si="3"/>
        <v>26</v>
      </c>
      <c r="E64">
        <f t="shared" si="0"/>
        <v>4</v>
      </c>
      <c r="F64">
        <f t="shared" si="7"/>
        <v>2024</v>
      </c>
      <c r="G64" t="s">
        <v>69</v>
      </c>
      <c r="H64" s="29">
        <v>33988.9</v>
      </c>
    </row>
    <row r="65" spans="1:10" x14ac:dyDescent="0.35">
      <c r="A65" t="s">
        <v>20</v>
      </c>
      <c r="B65" t="s">
        <v>24</v>
      </c>
      <c r="C65" s="1">
        <v>45408</v>
      </c>
      <c r="D65">
        <f t="shared" si="3"/>
        <v>26</v>
      </c>
      <c r="E65">
        <f t="shared" si="0"/>
        <v>4</v>
      </c>
      <c r="F65">
        <f t="shared" si="7"/>
        <v>2024</v>
      </c>
      <c r="G65" t="s">
        <v>69</v>
      </c>
      <c r="H65" s="29">
        <v>27492.03</v>
      </c>
    </row>
    <row r="66" spans="1:10" x14ac:dyDescent="0.35">
      <c r="A66" t="s">
        <v>20</v>
      </c>
      <c r="B66" t="s">
        <v>25</v>
      </c>
      <c r="C66" s="1">
        <v>45414</v>
      </c>
      <c r="D66">
        <f t="shared" si="3"/>
        <v>2</v>
      </c>
      <c r="E66">
        <f t="shared" si="0"/>
        <v>5</v>
      </c>
      <c r="F66">
        <f t="shared" si="7"/>
        <v>2024</v>
      </c>
      <c r="G66" t="s">
        <v>70</v>
      </c>
      <c r="H66" s="29">
        <v>9322.25</v>
      </c>
    </row>
    <row r="67" spans="1:10" x14ac:dyDescent="0.35">
      <c r="A67" t="s">
        <v>20</v>
      </c>
      <c r="B67" t="s">
        <v>25</v>
      </c>
      <c r="C67" s="1">
        <v>45414</v>
      </c>
      <c r="D67">
        <f t="shared" si="3"/>
        <v>2</v>
      </c>
      <c r="E67">
        <f t="shared" ref="E67:E130" si="8">MONTH(C67)</f>
        <v>5</v>
      </c>
      <c r="F67">
        <f t="shared" si="7"/>
        <v>2024</v>
      </c>
      <c r="G67" t="s">
        <v>70</v>
      </c>
      <c r="H67" s="29">
        <v>93033</v>
      </c>
    </row>
    <row r="68" spans="1:10" x14ac:dyDescent="0.35">
      <c r="A68" t="s">
        <v>20</v>
      </c>
      <c r="B68" t="s">
        <v>26</v>
      </c>
      <c r="C68" s="1">
        <v>45414</v>
      </c>
      <c r="D68">
        <f t="shared" si="3"/>
        <v>2</v>
      </c>
      <c r="E68">
        <f t="shared" si="8"/>
        <v>5</v>
      </c>
      <c r="F68">
        <f t="shared" si="7"/>
        <v>2024</v>
      </c>
      <c r="G68" t="s">
        <v>73</v>
      </c>
      <c r="H68" s="29">
        <v>98157.57</v>
      </c>
    </row>
    <row r="69" spans="1:10" x14ac:dyDescent="0.35">
      <c r="A69" t="s">
        <v>20</v>
      </c>
      <c r="B69" t="s">
        <v>27</v>
      </c>
      <c r="C69" s="1">
        <v>45418</v>
      </c>
      <c r="D69">
        <f t="shared" si="3"/>
        <v>6</v>
      </c>
      <c r="E69">
        <f t="shared" si="8"/>
        <v>5</v>
      </c>
      <c r="F69">
        <f t="shared" si="7"/>
        <v>2024</v>
      </c>
      <c r="G69" t="s">
        <v>255</v>
      </c>
      <c r="H69" s="29">
        <v>27871.67</v>
      </c>
    </row>
    <row r="70" spans="1:10" x14ac:dyDescent="0.35">
      <c r="A70" t="s">
        <v>20</v>
      </c>
      <c r="B70" t="s">
        <v>27</v>
      </c>
      <c r="C70" s="1">
        <v>45418</v>
      </c>
      <c r="D70">
        <f t="shared" si="3"/>
        <v>6</v>
      </c>
      <c r="E70">
        <f t="shared" si="8"/>
        <v>5</v>
      </c>
      <c r="F70">
        <f t="shared" si="7"/>
        <v>2024</v>
      </c>
      <c r="G70" t="s">
        <v>317</v>
      </c>
      <c r="H70" s="29">
        <v>1163.83</v>
      </c>
    </row>
    <row r="71" spans="1:10" x14ac:dyDescent="0.35">
      <c r="A71" t="s">
        <v>20</v>
      </c>
      <c r="B71" t="s">
        <v>27</v>
      </c>
      <c r="C71" s="1">
        <v>45418</v>
      </c>
      <c r="D71">
        <f t="shared" si="3"/>
        <v>6</v>
      </c>
      <c r="E71">
        <f t="shared" si="8"/>
        <v>5</v>
      </c>
      <c r="F71">
        <f t="shared" si="7"/>
        <v>2024</v>
      </c>
      <c r="G71" t="s">
        <v>317</v>
      </c>
      <c r="H71" s="29">
        <v>59571.31</v>
      </c>
    </row>
    <row r="72" spans="1:10" x14ac:dyDescent="0.35">
      <c r="A72" t="s">
        <v>20</v>
      </c>
      <c r="B72" t="s">
        <v>27</v>
      </c>
      <c r="C72" s="1">
        <v>45418</v>
      </c>
      <c r="D72">
        <f t="shared" si="3"/>
        <v>6</v>
      </c>
      <c r="E72">
        <f t="shared" si="8"/>
        <v>5</v>
      </c>
      <c r="F72">
        <f t="shared" si="7"/>
        <v>2024</v>
      </c>
      <c r="G72" t="s">
        <v>317</v>
      </c>
      <c r="H72" s="29">
        <v>49706.3</v>
      </c>
    </row>
    <row r="73" spans="1:10" x14ac:dyDescent="0.35">
      <c r="A73" t="s">
        <v>20</v>
      </c>
      <c r="B73" t="s">
        <v>27</v>
      </c>
      <c r="C73" s="1">
        <v>45418</v>
      </c>
      <c r="D73">
        <f t="shared" si="3"/>
        <v>6</v>
      </c>
      <c r="E73">
        <f t="shared" si="8"/>
        <v>5</v>
      </c>
      <c r="F73">
        <f t="shared" si="7"/>
        <v>2024</v>
      </c>
      <c r="G73" t="s">
        <v>317</v>
      </c>
      <c r="H73" s="29">
        <v>1145.0899999999999</v>
      </c>
    </row>
    <row r="74" spans="1:10" x14ac:dyDescent="0.35">
      <c r="A74" t="s">
        <v>20</v>
      </c>
      <c r="B74" t="s">
        <v>23</v>
      </c>
      <c r="C74" s="1">
        <v>45420</v>
      </c>
      <c r="D74">
        <f t="shared" si="3"/>
        <v>8</v>
      </c>
      <c r="E74">
        <f t="shared" si="8"/>
        <v>5</v>
      </c>
      <c r="F74">
        <f t="shared" si="7"/>
        <v>2024</v>
      </c>
      <c r="G74" t="s">
        <v>131</v>
      </c>
      <c r="H74" s="29">
        <v>21514.34</v>
      </c>
    </row>
    <row r="75" spans="1:10" x14ac:dyDescent="0.35">
      <c r="A75" t="s">
        <v>20</v>
      </c>
      <c r="B75" t="s">
        <v>23</v>
      </c>
      <c r="C75" s="1">
        <v>45422</v>
      </c>
      <c r="D75">
        <f t="shared" si="3"/>
        <v>10</v>
      </c>
      <c r="E75">
        <f t="shared" si="8"/>
        <v>5</v>
      </c>
      <c r="F75">
        <f t="shared" si="7"/>
        <v>2024</v>
      </c>
      <c r="G75" t="s">
        <v>67</v>
      </c>
      <c r="H75" s="96">
        <v>20033.419999999998</v>
      </c>
    </row>
    <row r="76" spans="1:10" x14ac:dyDescent="0.35">
      <c r="A76" t="s">
        <v>20</v>
      </c>
      <c r="B76" t="s">
        <v>23</v>
      </c>
      <c r="C76" s="1">
        <v>45422</v>
      </c>
      <c r="D76">
        <f t="shared" si="3"/>
        <v>10</v>
      </c>
      <c r="E76">
        <f t="shared" si="8"/>
        <v>5</v>
      </c>
      <c r="F76">
        <f t="shared" si="7"/>
        <v>2024</v>
      </c>
      <c r="G76" t="s">
        <v>67</v>
      </c>
      <c r="H76" s="96">
        <v>30050.14</v>
      </c>
    </row>
    <row r="77" spans="1:10" x14ac:dyDescent="0.35">
      <c r="A77" t="s">
        <v>20</v>
      </c>
      <c r="B77" t="s">
        <v>23</v>
      </c>
      <c r="C77" s="1">
        <v>45426</v>
      </c>
      <c r="D77">
        <f t="shared" si="3"/>
        <v>14</v>
      </c>
      <c r="E77">
        <f t="shared" si="8"/>
        <v>5</v>
      </c>
      <c r="F77">
        <f t="shared" si="7"/>
        <v>2024</v>
      </c>
      <c r="G77" t="s">
        <v>66</v>
      </c>
      <c r="H77" s="15">
        <v>21387.26</v>
      </c>
    </row>
    <row r="78" spans="1:10" x14ac:dyDescent="0.35">
      <c r="A78" t="s">
        <v>20</v>
      </c>
      <c r="B78" t="s">
        <v>21</v>
      </c>
      <c r="C78" s="1">
        <v>45426</v>
      </c>
      <c r="D78">
        <f t="shared" si="3"/>
        <v>14</v>
      </c>
      <c r="E78">
        <f t="shared" si="8"/>
        <v>5</v>
      </c>
      <c r="F78">
        <f t="shared" si="7"/>
        <v>2024</v>
      </c>
      <c r="G78" t="s">
        <v>66</v>
      </c>
      <c r="H78" s="15">
        <v>35000</v>
      </c>
    </row>
    <row r="79" spans="1:10" x14ac:dyDescent="0.35">
      <c r="A79" t="s">
        <v>20</v>
      </c>
      <c r="B79" t="s">
        <v>27</v>
      </c>
      <c r="C79" s="1">
        <v>45429</v>
      </c>
      <c r="D79">
        <f t="shared" si="3"/>
        <v>17</v>
      </c>
      <c r="E79">
        <f t="shared" si="8"/>
        <v>5</v>
      </c>
      <c r="F79">
        <f t="shared" si="7"/>
        <v>2024</v>
      </c>
      <c r="G79" t="s">
        <v>255</v>
      </c>
      <c r="H79" s="15">
        <v>27896.67</v>
      </c>
      <c r="J79" s="16" t="s">
        <v>276</v>
      </c>
    </row>
    <row r="80" spans="1:10" x14ac:dyDescent="0.35">
      <c r="A80" t="s">
        <v>20</v>
      </c>
      <c r="B80" t="s">
        <v>27</v>
      </c>
      <c r="C80" s="1">
        <v>45433</v>
      </c>
      <c r="D80">
        <f t="shared" si="3"/>
        <v>21</v>
      </c>
      <c r="E80">
        <f t="shared" si="8"/>
        <v>5</v>
      </c>
      <c r="F80">
        <f t="shared" si="7"/>
        <v>2024</v>
      </c>
      <c r="G80" t="s">
        <v>255</v>
      </c>
      <c r="H80" s="15">
        <v>103241.43</v>
      </c>
    </row>
    <row r="81" spans="1:8" x14ac:dyDescent="0.35">
      <c r="A81" t="s">
        <v>20</v>
      </c>
      <c r="B81" t="s">
        <v>23</v>
      </c>
      <c r="C81" s="1">
        <v>45435</v>
      </c>
      <c r="D81">
        <f t="shared" si="3"/>
        <v>23</v>
      </c>
      <c r="E81">
        <f t="shared" si="8"/>
        <v>5</v>
      </c>
      <c r="F81">
        <f t="shared" si="7"/>
        <v>2024</v>
      </c>
      <c r="G81" t="s">
        <v>68</v>
      </c>
      <c r="H81" s="15">
        <v>1990</v>
      </c>
    </row>
    <row r="82" spans="1:8" x14ac:dyDescent="0.35">
      <c r="A82" t="s">
        <v>20</v>
      </c>
      <c r="B82" t="s">
        <v>25</v>
      </c>
      <c r="C82" s="1">
        <v>45440</v>
      </c>
      <c r="D82">
        <f t="shared" si="3"/>
        <v>28</v>
      </c>
      <c r="E82">
        <f t="shared" si="8"/>
        <v>5</v>
      </c>
      <c r="F82">
        <f t="shared" si="7"/>
        <v>2024</v>
      </c>
      <c r="G82" t="s">
        <v>70</v>
      </c>
      <c r="H82" s="15">
        <v>97691</v>
      </c>
    </row>
    <row r="83" spans="1:8" x14ac:dyDescent="0.35">
      <c r="A83" t="s">
        <v>20</v>
      </c>
      <c r="B83" t="s">
        <v>24</v>
      </c>
      <c r="C83" s="1">
        <v>45440</v>
      </c>
      <c r="D83">
        <f t="shared" ref="D83:D146" si="9">DAY(C83)</f>
        <v>28</v>
      </c>
      <c r="E83">
        <f t="shared" si="8"/>
        <v>5</v>
      </c>
      <c r="F83">
        <f t="shared" si="7"/>
        <v>2024</v>
      </c>
      <c r="G83" t="s">
        <v>69</v>
      </c>
      <c r="H83" s="15">
        <v>79000</v>
      </c>
    </row>
    <row r="84" spans="1:8" x14ac:dyDescent="0.35">
      <c r="A84" t="s">
        <v>20</v>
      </c>
      <c r="B84" t="s">
        <v>21</v>
      </c>
      <c r="C84" s="1">
        <v>45440</v>
      </c>
      <c r="D84">
        <f t="shared" si="9"/>
        <v>28</v>
      </c>
      <c r="E84">
        <f t="shared" si="8"/>
        <v>5</v>
      </c>
      <c r="F84">
        <f t="shared" si="7"/>
        <v>2024</v>
      </c>
      <c r="G84" t="s">
        <v>69</v>
      </c>
      <c r="H84" s="15">
        <v>41000</v>
      </c>
    </row>
    <row r="85" spans="1:8" x14ac:dyDescent="0.35">
      <c r="A85" t="s">
        <v>20</v>
      </c>
      <c r="B85" t="s">
        <v>23</v>
      </c>
      <c r="C85" s="1">
        <v>45440</v>
      </c>
      <c r="D85">
        <f t="shared" si="9"/>
        <v>28</v>
      </c>
      <c r="E85">
        <f t="shared" si="8"/>
        <v>5</v>
      </c>
      <c r="F85">
        <f t="shared" si="7"/>
        <v>2024</v>
      </c>
      <c r="G85" t="s">
        <v>69</v>
      </c>
      <c r="H85" s="15">
        <v>93000</v>
      </c>
    </row>
    <row r="86" spans="1:8" x14ac:dyDescent="0.35">
      <c r="A86" t="s">
        <v>20</v>
      </c>
      <c r="B86" t="s">
        <v>25</v>
      </c>
      <c r="C86" s="1">
        <v>45440</v>
      </c>
      <c r="D86">
        <f t="shared" si="9"/>
        <v>28</v>
      </c>
      <c r="E86">
        <f t="shared" si="8"/>
        <v>5</v>
      </c>
      <c r="F86">
        <f t="shared" si="7"/>
        <v>2024</v>
      </c>
      <c r="G86" t="s">
        <v>69</v>
      </c>
      <c r="H86" s="15">
        <v>120589.92</v>
      </c>
    </row>
    <row r="87" spans="1:8" x14ac:dyDescent="0.35">
      <c r="A87" t="s">
        <v>20</v>
      </c>
      <c r="B87" t="s">
        <v>21</v>
      </c>
      <c r="C87" s="1">
        <v>45440</v>
      </c>
      <c r="D87">
        <f t="shared" si="9"/>
        <v>28</v>
      </c>
      <c r="E87">
        <f t="shared" si="8"/>
        <v>5</v>
      </c>
      <c r="F87">
        <f t="shared" si="7"/>
        <v>2024</v>
      </c>
      <c r="G87" t="s">
        <v>69</v>
      </c>
      <c r="H87" s="15">
        <v>57000</v>
      </c>
    </row>
    <row r="88" spans="1:8" x14ac:dyDescent="0.35">
      <c r="A88" t="s">
        <v>20</v>
      </c>
      <c r="B88" t="s">
        <v>25</v>
      </c>
      <c r="C88" s="1">
        <v>45440</v>
      </c>
      <c r="D88">
        <f t="shared" si="9"/>
        <v>28</v>
      </c>
      <c r="E88">
        <f t="shared" si="8"/>
        <v>5</v>
      </c>
      <c r="F88">
        <f t="shared" si="7"/>
        <v>2024</v>
      </c>
      <c r="G88" t="s">
        <v>66</v>
      </c>
      <c r="H88" s="15">
        <v>3054</v>
      </c>
    </row>
    <row r="89" spans="1:8" x14ac:dyDescent="0.35">
      <c r="A89" t="s">
        <v>20</v>
      </c>
      <c r="B89" t="s">
        <v>27</v>
      </c>
      <c r="C89" s="1">
        <v>45443</v>
      </c>
      <c r="D89">
        <f t="shared" si="9"/>
        <v>31</v>
      </c>
      <c r="E89">
        <f t="shared" si="8"/>
        <v>5</v>
      </c>
      <c r="F89">
        <f t="shared" si="7"/>
        <v>2024</v>
      </c>
      <c r="G89" t="s">
        <v>255</v>
      </c>
      <c r="H89" s="15">
        <v>36285.58</v>
      </c>
    </row>
    <row r="90" spans="1:8" x14ac:dyDescent="0.35">
      <c r="A90" t="s">
        <v>20</v>
      </c>
      <c r="B90" t="s">
        <v>23</v>
      </c>
      <c r="C90" s="1">
        <v>45443</v>
      </c>
      <c r="D90">
        <f t="shared" si="9"/>
        <v>31</v>
      </c>
      <c r="E90">
        <f t="shared" si="8"/>
        <v>5</v>
      </c>
      <c r="F90">
        <f t="shared" si="7"/>
        <v>2024</v>
      </c>
      <c r="G90" t="s">
        <v>66</v>
      </c>
      <c r="H90" s="15">
        <v>7402.6</v>
      </c>
    </row>
    <row r="91" spans="1:8" x14ac:dyDescent="0.35">
      <c r="A91" t="s">
        <v>20</v>
      </c>
      <c r="B91" t="s">
        <v>25</v>
      </c>
      <c r="C91" s="1">
        <v>45446</v>
      </c>
      <c r="D91">
        <f t="shared" si="9"/>
        <v>3</v>
      </c>
      <c r="E91">
        <f t="shared" si="8"/>
        <v>6</v>
      </c>
      <c r="F91">
        <f t="shared" si="7"/>
        <v>2024</v>
      </c>
      <c r="G91" t="s">
        <v>70</v>
      </c>
      <c r="H91" s="15">
        <v>6479.75</v>
      </c>
    </row>
    <row r="92" spans="1:8" x14ac:dyDescent="0.35">
      <c r="A92" t="s">
        <v>20</v>
      </c>
      <c r="B92" t="s">
        <v>27</v>
      </c>
      <c r="C92" s="1">
        <v>45446</v>
      </c>
      <c r="D92">
        <f t="shared" si="9"/>
        <v>3</v>
      </c>
      <c r="E92">
        <f t="shared" si="8"/>
        <v>6</v>
      </c>
      <c r="F92">
        <f t="shared" si="7"/>
        <v>2024</v>
      </c>
      <c r="G92" t="s">
        <v>317</v>
      </c>
      <c r="H92" s="15">
        <v>3951.14</v>
      </c>
    </row>
    <row r="93" spans="1:8" x14ac:dyDescent="0.35">
      <c r="A93" t="s">
        <v>20</v>
      </c>
      <c r="B93" t="s">
        <v>23</v>
      </c>
      <c r="C93" s="1">
        <v>45448</v>
      </c>
      <c r="D93">
        <f t="shared" si="9"/>
        <v>5</v>
      </c>
      <c r="E93">
        <f t="shared" si="8"/>
        <v>6</v>
      </c>
      <c r="F93">
        <f t="shared" si="7"/>
        <v>2024</v>
      </c>
      <c r="G93" t="s">
        <v>68</v>
      </c>
      <c r="H93" s="15">
        <v>1040</v>
      </c>
    </row>
    <row r="94" spans="1:8" x14ac:dyDescent="0.35">
      <c r="A94" t="s">
        <v>20</v>
      </c>
      <c r="B94" t="s">
        <v>23</v>
      </c>
      <c r="C94" s="1">
        <v>45448</v>
      </c>
      <c r="D94">
        <f t="shared" si="9"/>
        <v>5</v>
      </c>
      <c r="E94">
        <f t="shared" si="8"/>
        <v>6</v>
      </c>
      <c r="F94">
        <f t="shared" ref="F94:F157" si="10">YEAR(C94)</f>
        <v>2024</v>
      </c>
      <c r="G94" t="s">
        <v>131</v>
      </c>
      <c r="H94" s="15">
        <v>4767.68</v>
      </c>
    </row>
    <row r="95" spans="1:8" x14ac:dyDescent="0.35">
      <c r="A95" t="s">
        <v>20</v>
      </c>
      <c r="B95" t="s">
        <v>23</v>
      </c>
      <c r="C95" s="1">
        <v>45455</v>
      </c>
      <c r="D95">
        <f t="shared" si="9"/>
        <v>12</v>
      </c>
      <c r="E95">
        <f t="shared" si="8"/>
        <v>6</v>
      </c>
      <c r="F95">
        <f t="shared" si="10"/>
        <v>2024</v>
      </c>
      <c r="G95" t="s">
        <v>131</v>
      </c>
      <c r="H95" s="15">
        <v>26271</v>
      </c>
    </row>
    <row r="96" spans="1:8" x14ac:dyDescent="0.35">
      <c r="A96" t="s">
        <v>20</v>
      </c>
      <c r="B96" t="s">
        <v>23</v>
      </c>
      <c r="C96" s="1">
        <v>45455</v>
      </c>
      <c r="D96">
        <f t="shared" si="9"/>
        <v>12</v>
      </c>
      <c r="E96">
        <f t="shared" si="8"/>
        <v>6</v>
      </c>
      <c r="F96">
        <f t="shared" si="10"/>
        <v>2024</v>
      </c>
      <c r="G96" t="s">
        <v>67</v>
      </c>
      <c r="H96" s="15">
        <v>17578.689999999999</v>
      </c>
    </row>
    <row r="97" spans="1:9" x14ac:dyDescent="0.35">
      <c r="A97" t="s">
        <v>20</v>
      </c>
      <c r="B97" t="s">
        <v>23</v>
      </c>
      <c r="C97" s="1">
        <v>45455</v>
      </c>
      <c r="D97">
        <f t="shared" si="9"/>
        <v>12</v>
      </c>
      <c r="E97">
        <f t="shared" si="8"/>
        <v>6</v>
      </c>
      <c r="F97">
        <f t="shared" si="10"/>
        <v>2024</v>
      </c>
      <c r="G97" t="s">
        <v>67</v>
      </c>
      <c r="H97" s="15">
        <v>11743.36</v>
      </c>
    </row>
    <row r="98" spans="1:9" x14ac:dyDescent="0.35">
      <c r="A98" t="s">
        <v>20</v>
      </c>
      <c r="B98" t="s">
        <v>27</v>
      </c>
      <c r="C98" s="1">
        <v>45456</v>
      </c>
      <c r="D98">
        <f t="shared" si="9"/>
        <v>13</v>
      </c>
      <c r="E98">
        <f t="shared" si="8"/>
        <v>6</v>
      </c>
      <c r="F98">
        <f t="shared" si="10"/>
        <v>2024</v>
      </c>
      <c r="G98" t="s">
        <v>255</v>
      </c>
      <c r="H98" s="15">
        <v>60447.040000000001</v>
      </c>
    </row>
    <row r="99" spans="1:9" x14ac:dyDescent="0.35">
      <c r="A99" t="s">
        <v>20</v>
      </c>
      <c r="B99" t="s">
        <v>27</v>
      </c>
      <c r="C99" s="1">
        <v>45460</v>
      </c>
      <c r="D99">
        <f t="shared" si="9"/>
        <v>17</v>
      </c>
      <c r="E99">
        <f t="shared" si="8"/>
        <v>6</v>
      </c>
      <c r="F99">
        <f t="shared" si="10"/>
        <v>2024</v>
      </c>
      <c r="G99" t="s">
        <v>255</v>
      </c>
      <c r="H99" s="15">
        <v>103226.43</v>
      </c>
      <c r="I99" t="s">
        <v>308</v>
      </c>
    </row>
    <row r="100" spans="1:9" x14ac:dyDescent="0.35">
      <c r="A100" t="s">
        <v>20</v>
      </c>
      <c r="B100" t="s">
        <v>27</v>
      </c>
      <c r="C100" s="1">
        <v>45460</v>
      </c>
      <c r="D100">
        <f t="shared" si="9"/>
        <v>17</v>
      </c>
      <c r="E100">
        <f t="shared" si="8"/>
        <v>6</v>
      </c>
      <c r="F100">
        <f t="shared" si="10"/>
        <v>2024</v>
      </c>
      <c r="G100" t="s">
        <v>255</v>
      </c>
      <c r="H100" s="15">
        <v>82881.75</v>
      </c>
    </row>
    <row r="101" spans="1:9" x14ac:dyDescent="0.35">
      <c r="A101" t="s">
        <v>20</v>
      </c>
      <c r="B101" t="s">
        <v>25</v>
      </c>
      <c r="C101" s="1">
        <v>45461</v>
      </c>
      <c r="D101">
        <f t="shared" si="9"/>
        <v>18</v>
      </c>
      <c r="E101">
        <f t="shared" si="8"/>
        <v>6</v>
      </c>
      <c r="F101">
        <f t="shared" si="10"/>
        <v>2024</v>
      </c>
      <c r="G101" t="s">
        <v>66</v>
      </c>
      <c r="H101" s="15">
        <v>2495.7800000000002</v>
      </c>
    </row>
    <row r="102" spans="1:9" x14ac:dyDescent="0.35">
      <c r="A102" t="s">
        <v>20</v>
      </c>
      <c r="B102" t="s">
        <v>72</v>
      </c>
      <c r="C102" s="1">
        <v>45462</v>
      </c>
      <c r="D102">
        <f t="shared" si="9"/>
        <v>19</v>
      </c>
      <c r="E102">
        <f t="shared" si="8"/>
        <v>6</v>
      </c>
      <c r="F102">
        <f t="shared" si="10"/>
        <v>2024</v>
      </c>
      <c r="G102" t="s">
        <v>72</v>
      </c>
      <c r="H102" s="15">
        <v>28359.62</v>
      </c>
    </row>
    <row r="103" spans="1:9" x14ac:dyDescent="0.35">
      <c r="A103" t="s">
        <v>20</v>
      </c>
      <c r="B103" t="s">
        <v>706</v>
      </c>
      <c r="C103" s="1">
        <v>45463</v>
      </c>
      <c r="D103">
        <f t="shared" si="9"/>
        <v>20</v>
      </c>
      <c r="E103">
        <f t="shared" si="8"/>
        <v>6</v>
      </c>
      <c r="F103">
        <f t="shared" si="10"/>
        <v>2024</v>
      </c>
      <c r="G103" t="s">
        <v>707</v>
      </c>
      <c r="H103" s="15">
        <v>10000</v>
      </c>
    </row>
    <row r="104" spans="1:9" x14ac:dyDescent="0.35">
      <c r="A104" t="s">
        <v>20</v>
      </c>
      <c r="B104" t="s">
        <v>24</v>
      </c>
      <c r="C104" s="1">
        <v>45463</v>
      </c>
      <c r="D104">
        <f t="shared" si="9"/>
        <v>20</v>
      </c>
      <c r="E104">
        <f t="shared" si="8"/>
        <v>6</v>
      </c>
      <c r="F104">
        <f t="shared" si="10"/>
        <v>2024</v>
      </c>
      <c r="G104" t="s">
        <v>68</v>
      </c>
      <c r="H104" s="15">
        <v>1324.9</v>
      </c>
    </row>
    <row r="105" spans="1:9" x14ac:dyDescent="0.35">
      <c r="A105" t="s">
        <v>20</v>
      </c>
      <c r="B105" t="s">
        <v>21</v>
      </c>
      <c r="C105" s="1">
        <v>45463</v>
      </c>
      <c r="D105">
        <f t="shared" si="9"/>
        <v>20</v>
      </c>
      <c r="E105">
        <f t="shared" si="8"/>
        <v>6</v>
      </c>
      <c r="F105">
        <f t="shared" si="10"/>
        <v>2024</v>
      </c>
      <c r="G105" t="s">
        <v>66</v>
      </c>
      <c r="H105" s="15">
        <v>33572.480000000003</v>
      </c>
    </row>
    <row r="106" spans="1:9" x14ac:dyDescent="0.35">
      <c r="A106" t="s">
        <v>20</v>
      </c>
      <c r="B106" t="s">
        <v>27</v>
      </c>
      <c r="C106" s="1">
        <v>45464</v>
      </c>
      <c r="D106">
        <f t="shared" si="9"/>
        <v>21</v>
      </c>
      <c r="E106">
        <f t="shared" si="8"/>
        <v>6</v>
      </c>
      <c r="F106">
        <f t="shared" si="10"/>
        <v>2024</v>
      </c>
      <c r="G106" t="s">
        <v>317</v>
      </c>
      <c r="H106" s="15">
        <v>174433</v>
      </c>
    </row>
    <row r="107" spans="1:9" x14ac:dyDescent="0.35">
      <c r="A107" t="s">
        <v>20</v>
      </c>
      <c r="B107" t="s">
        <v>27</v>
      </c>
      <c r="C107" s="1">
        <v>45464</v>
      </c>
      <c r="D107">
        <f t="shared" si="9"/>
        <v>21</v>
      </c>
      <c r="E107">
        <f t="shared" si="8"/>
        <v>6</v>
      </c>
      <c r="F107">
        <f t="shared" si="10"/>
        <v>2024</v>
      </c>
      <c r="G107" t="s">
        <v>317</v>
      </c>
      <c r="H107" s="15">
        <v>227778.12</v>
      </c>
    </row>
    <row r="108" spans="1:9" x14ac:dyDescent="0.35">
      <c r="A108" t="s">
        <v>20</v>
      </c>
      <c r="B108" t="s">
        <v>21</v>
      </c>
      <c r="C108" s="1">
        <v>45468</v>
      </c>
      <c r="D108">
        <f t="shared" si="9"/>
        <v>25</v>
      </c>
      <c r="E108">
        <f t="shared" si="8"/>
        <v>6</v>
      </c>
      <c r="F108">
        <f t="shared" si="10"/>
        <v>2024</v>
      </c>
      <c r="G108" t="s">
        <v>69</v>
      </c>
      <c r="H108" s="15">
        <v>65816.899999999994</v>
      </c>
    </row>
    <row r="109" spans="1:9" x14ac:dyDescent="0.35">
      <c r="A109" t="s">
        <v>20</v>
      </c>
      <c r="B109" t="s">
        <v>23</v>
      </c>
      <c r="C109" s="1">
        <v>45468</v>
      </c>
      <c r="D109">
        <f t="shared" si="9"/>
        <v>25</v>
      </c>
      <c r="E109">
        <f t="shared" si="8"/>
        <v>6</v>
      </c>
      <c r="F109">
        <f t="shared" si="10"/>
        <v>2024</v>
      </c>
      <c r="G109" t="s">
        <v>69</v>
      </c>
      <c r="H109" s="15">
        <v>48437.1</v>
      </c>
    </row>
    <row r="110" spans="1:9" x14ac:dyDescent="0.35">
      <c r="A110" t="s">
        <v>20</v>
      </c>
      <c r="B110" t="s">
        <v>25</v>
      </c>
      <c r="C110" s="1">
        <v>45468</v>
      </c>
      <c r="D110">
        <f t="shared" si="9"/>
        <v>25</v>
      </c>
      <c r="E110">
        <f t="shared" si="8"/>
        <v>6</v>
      </c>
      <c r="F110">
        <f t="shared" si="10"/>
        <v>2024</v>
      </c>
      <c r="G110" t="s">
        <v>69</v>
      </c>
      <c r="H110" s="15">
        <v>8294</v>
      </c>
    </row>
    <row r="111" spans="1:9" x14ac:dyDescent="0.35">
      <c r="A111" t="s">
        <v>20</v>
      </c>
      <c r="B111" t="s">
        <v>24</v>
      </c>
      <c r="C111" s="1">
        <v>45468</v>
      </c>
      <c r="D111">
        <f t="shared" si="9"/>
        <v>25</v>
      </c>
      <c r="E111">
        <f t="shared" si="8"/>
        <v>6</v>
      </c>
      <c r="F111">
        <f t="shared" si="10"/>
        <v>2024</v>
      </c>
      <c r="G111" t="s">
        <v>69</v>
      </c>
      <c r="H111" s="15">
        <v>52392</v>
      </c>
    </row>
    <row r="112" spans="1:9" x14ac:dyDescent="0.35">
      <c r="A112" t="s">
        <v>20</v>
      </c>
      <c r="B112" t="s">
        <v>25</v>
      </c>
      <c r="C112" s="1">
        <v>45470</v>
      </c>
      <c r="D112">
        <f t="shared" si="9"/>
        <v>27</v>
      </c>
      <c r="E112">
        <f t="shared" si="8"/>
        <v>6</v>
      </c>
      <c r="F112">
        <f t="shared" si="10"/>
        <v>2024</v>
      </c>
      <c r="G112" t="s">
        <v>70</v>
      </c>
      <c r="H112" s="15">
        <v>15000</v>
      </c>
    </row>
    <row r="113" spans="1:9" x14ac:dyDescent="0.35">
      <c r="A113" t="s">
        <v>20</v>
      </c>
      <c r="B113" t="s">
        <v>27</v>
      </c>
      <c r="C113" s="1">
        <v>45470</v>
      </c>
      <c r="D113">
        <f t="shared" si="9"/>
        <v>27</v>
      </c>
      <c r="E113">
        <f t="shared" si="8"/>
        <v>6</v>
      </c>
      <c r="F113">
        <f t="shared" si="10"/>
        <v>2024</v>
      </c>
      <c r="G113" t="s">
        <v>332</v>
      </c>
      <c r="H113" s="15">
        <v>3800</v>
      </c>
    </row>
    <row r="114" spans="1:9" x14ac:dyDescent="0.35">
      <c r="A114" t="s">
        <v>20</v>
      </c>
      <c r="B114" t="s">
        <v>27</v>
      </c>
      <c r="C114" s="1">
        <v>45470</v>
      </c>
      <c r="D114">
        <f t="shared" si="9"/>
        <v>27</v>
      </c>
      <c r="E114">
        <f t="shared" si="8"/>
        <v>6</v>
      </c>
      <c r="F114">
        <f t="shared" si="10"/>
        <v>2024</v>
      </c>
      <c r="G114" t="s">
        <v>332</v>
      </c>
      <c r="H114" s="15">
        <v>496</v>
      </c>
    </row>
    <row r="115" spans="1:9" x14ac:dyDescent="0.35">
      <c r="A115" t="s">
        <v>20</v>
      </c>
      <c r="B115" t="s">
        <v>27</v>
      </c>
      <c r="C115" s="1">
        <v>45470</v>
      </c>
      <c r="D115">
        <f t="shared" si="9"/>
        <v>27</v>
      </c>
      <c r="E115">
        <f t="shared" si="8"/>
        <v>6</v>
      </c>
      <c r="F115">
        <f t="shared" si="10"/>
        <v>2024</v>
      </c>
      <c r="G115" t="s">
        <v>332</v>
      </c>
      <c r="H115" s="15">
        <v>25212.85</v>
      </c>
    </row>
    <row r="116" spans="1:9" x14ac:dyDescent="0.35">
      <c r="A116" t="s">
        <v>20</v>
      </c>
      <c r="B116" t="s">
        <v>27</v>
      </c>
      <c r="C116" s="1">
        <v>45470</v>
      </c>
      <c r="D116">
        <f t="shared" si="9"/>
        <v>27</v>
      </c>
      <c r="E116">
        <f t="shared" si="8"/>
        <v>6</v>
      </c>
      <c r="F116">
        <f t="shared" si="10"/>
        <v>2024</v>
      </c>
      <c r="G116" t="s">
        <v>332</v>
      </c>
      <c r="H116" s="15">
        <v>81684.94</v>
      </c>
    </row>
    <row r="117" spans="1:9" x14ac:dyDescent="0.35">
      <c r="A117" t="s">
        <v>20</v>
      </c>
      <c r="B117" t="s">
        <v>27</v>
      </c>
      <c r="C117" s="1">
        <v>45470</v>
      </c>
      <c r="D117">
        <f t="shared" si="9"/>
        <v>27</v>
      </c>
      <c r="E117">
        <f t="shared" si="8"/>
        <v>6</v>
      </c>
      <c r="F117">
        <f t="shared" si="10"/>
        <v>2024</v>
      </c>
      <c r="G117" t="s">
        <v>332</v>
      </c>
      <c r="H117" s="15">
        <v>47695.05</v>
      </c>
    </row>
    <row r="118" spans="1:9" x14ac:dyDescent="0.35">
      <c r="A118" t="s">
        <v>20</v>
      </c>
      <c r="B118" t="s">
        <v>23</v>
      </c>
      <c r="C118" s="1">
        <v>45475</v>
      </c>
      <c r="D118">
        <f t="shared" si="9"/>
        <v>2</v>
      </c>
      <c r="E118">
        <f t="shared" si="8"/>
        <v>7</v>
      </c>
      <c r="F118">
        <f t="shared" si="10"/>
        <v>2024</v>
      </c>
      <c r="G118" t="s">
        <v>66</v>
      </c>
      <c r="H118" s="15">
        <v>17546.87</v>
      </c>
    </row>
    <row r="119" spans="1:9" x14ac:dyDescent="0.35">
      <c r="A119" t="s">
        <v>20</v>
      </c>
      <c r="B119" t="s">
        <v>25</v>
      </c>
      <c r="C119" s="1">
        <v>45476</v>
      </c>
      <c r="D119">
        <f t="shared" si="9"/>
        <v>3</v>
      </c>
      <c r="E119">
        <f t="shared" si="8"/>
        <v>7</v>
      </c>
      <c r="F119">
        <f t="shared" si="10"/>
        <v>2024</v>
      </c>
      <c r="G119" t="s">
        <v>70</v>
      </c>
      <c r="H119" s="15">
        <v>116091</v>
      </c>
    </row>
    <row r="120" spans="1:9" x14ac:dyDescent="0.35">
      <c r="A120" t="s">
        <v>20</v>
      </c>
      <c r="B120" t="s">
        <v>25</v>
      </c>
      <c r="C120" s="1">
        <v>45476</v>
      </c>
      <c r="D120">
        <f t="shared" si="9"/>
        <v>3</v>
      </c>
      <c r="E120">
        <f t="shared" si="8"/>
        <v>7</v>
      </c>
      <c r="F120">
        <f t="shared" si="10"/>
        <v>2024</v>
      </c>
      <c r="G120" t="s">
        <v>70</v>
      </c>
      <c r="H120" s="15">
        <v>6857.7</v>
      </c>
    </row>
    <row r="121" spans="1:9" x14ac:dyDescent="0.35">
      <c r="A121" t="s">
        <v>20</v>
      </c>
      <c r="B121" t="s">
        <v>27</v>
      </c>
      <c r="C121" s="1">
        <v>45477</v>
      </c>
      <c r="D121">
        <f t="shared" si="9"/>
        <v>4</v>
      </c>
      <c r="E121">
        <f t="shared" si="8"/>
        <v>7</v>
      </c>
      <c r="F121">
        <f t="shared" si="10"/>
        <v>2024</v>
      </c>
      <c r="G121" t="s">
        <v>255</v>
      </c>
      <c r="H121" s="15">
        <v>-103226.43</v>
      </c>
      <c r="I121" t="s">
        <v>349</v>
      </c>
    </row>
    <row r="122" spans="1:9" x14ac:dyDescent="0.35">
      <c r="A122" t="s">
        <v>19</v>
      </c>
      <c r="B122" t="s">
        <v>19</v>
      </c>
      <c r="C122" s="1">
        <v>45484</v>
      </c>
      <c r="D122">
        <f t="shared" si="9"/>
        <v>11</v>
      </c>
      <c r="E122">
        <f t="shared" si="8"/>
        <v>7</v>
      </c>
      <c r="F122">
        <f t="shared" si="10"/>
        <v>2024</v>
      </c>
      <c r="G122" t="s">
        <v>69</v>
      </c>
      <c r="H122" s="15">
        <v>32052.25</v>
      </c>
    </row>
    <row r="123" spans="1:9" x14ac:dyDescent="0.35">
      <c r="A123" t="s">
        <v>20</v>
      </c>
      <c r="B123" t="s">
        <v>23</v>
      </c>
      <c r="C123" s="1">
        <v>45488</v>
      </c>
      <c r="D123">
        <f t="shared" si="9"/>
        <v>15</v>
      </c>
      <c r="E123">
        <f t="shared" si="8"/>
        <v>7</v>
      </c>
      <c r="F123">
        <f t="shared" si="10"/>
        <v>2024</v>
      </c>
      <c r="G123" t="s">
        <v>68</v>
      </c>
      <c r="H123" s="15">
        <v>1090</v>
      </c>
    </row>
    <row r="124" spans="1:9" x14ac:dyDescent="0.35">
      <c r="A124" t="s">
        <v>20</v>
      </c>
      <c r="B124" t="s">
        <v>23</v>
      </c>
      <c r="C124" s="1">
        <v>45488</v>
      </c>
      <c r="D124">
        <f t="shared" si="9"/>
        <v>15</v>
      </c>
      <c r="E124">
        <f t="shared" si="8"/>
        <v>7</v>
      </c>
      <c r="F124">
        <f t="shared" si="10"/>
        <v>2024</v>
      </c>
      <c r="G124" t="s">
        <v>67</v>
      </c>
      <c r="H124" s="15">
        <v>15329.75</v>
      </c>
    </row>
    <row r="125" spans="1:9" x14ac:dyDescent="0.35">
      <c r="A125" t="s">
        <v>20</v>
      </c>
      <c r="B125" t="s">
        <v>23</v>
      </c>
      <c r="C125" s="1">
        <v>45488</v>
      </c>
      <c r="D125">
        <f t="shared" si="9"/>
        <v>15</v>
      </c>
      <c r="E125">
        <f t="shared" si="8"/>
        <v>7</v>
      </c>
      <c r="F125">
        <f t="shared" si="10"/>
        <v>2024</v>
      </c>
      <c r="G125" t="s">
        <v>67</v>
      </c>
      <c r="H125" s="15">
        <v>22994.62</v>
      </c>
    </row>
    <row r="126" spans="1:9" x14ac:dyDescent="0.35">
      <c r="A126" t="s">
        <v>20</v>
      </c>
      <c r="B126" t="s">
        <v>22</v>
      </c>
      <c r="C126" s="1">
        <v>45490</v>
      </c>
      <c r="D126">
        <f t="shared" si="9"/>
        <v>17</v>
      </c>
      <c r="E126">
        <f t="shared" si="8"/>
        <v>7</v>
      </c>
      <c r="F126">
        <f t="shared" si="10"/>
        <v>2024</v>
      </c>
      <c r="G126" t="s">
        <v>411</v>
      </c>
      <c r="H126" s="15">
        <v>30958.14</v>
      </c>
    </row>
    <row r="127" spans="1:9" x14ac:dyDescent="0.35">
      <c r="A127" t="s">
        <v>20</v>
      </c>
      <c r="B127" t="s">
        <v>21</v>
      </c>
      <c r="C127" s="1">
        <v>45490</v>
      </c>
      <c r="D127">
        <f t="shared" si="9"/>
        <v>17</v>
      </c>
      <c r="E127">
        <f t="shared" si="8"/>
        <v>7</v>
      </c>
      <c r="F127">
        <f t="shared" si="10"/>
        <v>2024</v>
      </c>
      <c r="G127" t="s">
        <v>66</v>
      </c>
      <c r="H127" s="15">
        <v>25729.88</v>
      </c>
    </row>
    <row r="128" spans="1:9" x14ac:dyDescent="0.35">
      <c r="A128" t="s">
        <v>20</v>
      </c>
      <c r="B128" t="s">
        <v>25</v>
      </c>
      <c r="C128" s="1">
        <v>45490</v>
      </c>
      <c r="D128">
        <f t="shared" si="9"/>
        <v>17</v>
      </c>
      <c r="E128">
        <f t="shared" si="8"/>
        <v>7</v>
      </c>
      <c r="F128">
        <f t="shared" si="10"/>
        <v>2024</v>
      </c>
      <c r="G128" t="s">
        <v>66</v>
      </c>
      <c r="H128" s="15">
        <v>4518</v>
      </c>
    </row>
    <row r="129" spans="1:11" x14ac:dyDescent="0.35">
      <c r="A129" t="s">
        <v>20</v>
      </c>
      <c r="B129" t="s">
        <v>23</v>
      </c>
      <c r="C129" s="1">
        <v>45490</v>
      </c>
      <c r="D129">
        <f t="shared" si="9"/>
        <v>17</v>
      </c>
      <c r="E129">
        <f t="shared" si="8"/>
        <v>7</v>
      </c>
      <c r="F129">
        <f t="shared" si="10"/>
        <v>2024</v>
      </c>
      <c r="G129" t="s">
        <v>131</v>
      </c>
      <c r="H129" s="15">
        <v>29457.98</v>
      </c>
    </row>
    <row r="130" spans="1:11" x14ac:dyDescent="0.35">
      <c r="A130" t="s">
        <v>20</v>
      </c>
      <c r="B130" t="s">
        <v>21</v>
      </c>
      <c r="C130" s="1">
        <v>45491</v>
      </c>
      <c r="D130">
        <f t="shared" si="9"/>
        <v>18</v>
      </c>
      <c r="E130">
        <f t="shared" si="8"/>
        <v>7</v>
      </c>
      <c r="F130">
        <f t="shared" si="10"/>
        <v>2024</v>
      </c>
      <c r="G130" t="s">
        <v>411</v>
      </c>
      <c r="H130" s="15">
        <v>6649.94</v>
      </c>
    </row>
    <row r="131" spans="1:11" x14ac:dyDescent="0.35">
      <c r="A131" t="s">
        <v>20</v>
      </c>
      <c r="B131" t="s">
        <v>27</v>
      </c>
      <c r="C131" s="1">
        <v>45491</v>
      </c>
      <c r="D131">
        <f t="shared" si="9"/>
        <v>18</v>
      </c>
      <c r="E131">
        <f t="shared" ref="E131:E194" si="11">MONTH(C131)</f>
        <v>7</v>
      </c>
      <c r="F131">
        <f t="shared" si="10"/>
        <v>2024</v>
      </c>
      <c r="G131" t="s">
        <v>317</v>
      </c>
      <c r="H131" s="15">
        <v>58447.55</v>
      </c>
    </row>
    <row r="132" spans="1:11" x14ac:dyDescent="0.35">
      <c r="A132" t="s">
        <v>20</v>
      </c>
      <c r="B132" t="s">
        <v>27</v>
      </c>
      <c r="C132" s="1">
        <v>45495</v>
      </c>
      <c r="D132">
        <f t="shared" si="9"/>
        <v>22</v>
      </c>
      <c r="E132">
        <f t="shared" si="11"/>
        <v>7</v>
      </c>
      <c r="F132">
        <f t="shared" si="10"/>
        <v>2024</v>
      </c>
      <c r="G132" t="s">
        <v>317</v>
      </c>
      <c r="H132" s="15">
        <v>52178.03</v>
      </c>
    </row>
    <row r="133" spans="1:11" x14ac:dyDescent="0.35">
      <c r="A133" t="s">
        <v>20</v>
      </c>
      <c r="B133" t="s">
        <v>24</v>
      </c>
      <c r="C133" s="1">
        <v>45496</v>
      </c>
      <c r="D133">
        <f t="shared" si="9"/>
        <v>23</v>
      </c>
      <c r="E133">
        <f t="shared" si="11"/>
        <v>7</v>
      </c>
      <c r="F133">
        <f t="shared" si="10"/>
        <v>2024</v>
      </c>
      <c r="G133" t="s">
        <v>69</v>
      </c>
      <c r="H133" s="15">
        <v>100390.3</v>
      </c>
    </row>
    <row r="134" spans="1:11" x14ac:dyDescent="0.35">
      <c r="A134" t="s">
        <v>20</v>
      </c>
      <c r="B134" t="s">
        <v>21</v>
      </c>
      <c r="C134" s="1">
        <v>45496</v>
      </c>
      <c r="D134">
        <f t="shared" si="9"/>
        <v>23</v>
      </c>
      <c r="E134">
        <f t="shared" si="11"/>
        <v>7</v>
      </c>
      <c r="F134">
        <f t="shared" si="10"/>
        <v>2024</v>
      </c>
      <c r="G134" t="s">
        <v>69</v>
      </c>
      <c r="H134" s="15">
        <v>194864.01</v>
      </c>
    </row>
    <row r="135" spans="1:11" x14ac:dyDescent="0.35">
      <c r="A135" t="s">
        <v>20</v>
      </c>
      <c r="B135" t="s">
        <v>25</v>
      </c>
      <c r="C135" s="1">
        <v>45496</v>
      </c>
      <c r="D135">
        <f t="shared" si="9"/>
        <v>23</v>
      </c>
      <c r="E135">
        <f t="shared" si="11"/>
        <v>7</v>
      </c>
      <c r="F135">
        <f t="shared" si="10"/>
        <v>2024</v>
      </c>
      <c r="G135" t="s">
        <v>69</v>
      </c>
      <c r="H135" s="15">
        <v>79408.44</v>
      </c>
    </row>
    <row r="136" spans="1:11" x14ac:dyDescent="0.35">
      <c r="A136" t="s">
        <v>20</v>
      </c>
      <c r="B136" t="s">
        <v>24</v>
      </c>
      <c r="C136" s="1">
        <v>45496</v>
      </c>
      <c r="D136">
        <f t="shared" si="9"/>
        <v>23</v>
      </c>
      <c r="E136">
        <f t="shared" si="11"/>
        <v>7</v>
      </c>
      <c r="F136">
        <f t="shared" si="10"/>
        <v>2024</v>
      </c>
      <c r="G136" t="s">
        <v>69</v>
      </c>
      <c r="H136" s="15">
        <v>23728</v>
      </c>
    </row>
    <row r="137" spans="1:11" x14ac:dyDescent="0.35">
      <c r="A137" t="s">
        <v>20</v>
      </c>
      <c r="B137" t="s">
        <v>23</v>
      </c>
      <c r="C137" s="1">
        <v>45496</v>
      </c>
      <c r="D137">
        <f t="shared" si="9"/>
        <v>23</v>
      </c>
      <c r="E137">
        <f t="shared" si="11"/>
        <v>7</v>
      </c>
      <c r="F137">
        <f t="shared" si="10"/>
        <v>2024</v>
      </c>
      <c r="G137" t="s">
        <v>69</v>
      </c>
      <c r="H137" s="15">
        <v>36939.550000000003</v>
      </c>
    </row>
    <row r="138" spans="1:11" x14ac:dyDescent="0.35">
      <c r="A138" t="s">
        <v>20</v>
      </c>
      <c r="B138" t="s">
        <v>24</v>
      </c>
      <c r="C138" s="1">
        <v>45497</v>
      </c>
      <c r="D138">
        <f t="shared" si="9"/>
        <v>24</v>
      </c>
      <c r="E138">
        <f t="shared" si="11"/>
        <v>7</v>
      </c>
      <c r="F138">
        <f t="shared" si="10"/>
        <v>2024</v>
      </c>
      <c r="G138" t="s">
        <v>413</v>
      </c>
      <c r="H138" s="15">
        <v>131492</v>
      </c>
    </row>
    <row r="139" spans="1:11" x14ac:dyDescent="0.35">
      <c r="A139" t="s">
        <v>20</v>
      </c>
      <c r="B139" t="s">
        <v>27</v>
      </c>
      <c r="C139" s="1">
        <v>45498</v>
      </c>
      <c r="D139">
        <f t="shared" si="9"/>
        <v>25</v>
      </c>
      <c r="E139">
        <f t="shared" si="11"/>
        <v>7</v>
      </c>
      <c r="F139">
        <f t="shared" si="10"/>
        <v>2024</v>
      </c>
      <c r="G139" t="s">
        <v>317</v>
      </c>
      <c r="H139" s="15">
        <v>65653.899999999994</v>
      </c>
    </row>
    <row r="140" spans="1:11" x14ac:dyDescent="0.35">
      <c r="A140" t="s">
        <v>20</v>
      </c>
      <c r="B140" t="s">
        <v>706</v>
      </c>
      <c r="C140" s="1">
        <v>45499</v>
      </c>
      <c r="D140">
        <f t="shared" si="9"/>
        <v>26</v>
      </c>
      <c r="E140">
        <f t="shared" si="11"/>
        <v>7</v>
      </c>
      <c r="F140">
        <f t="shared" si="10"/>
        <v>2024</v>
      </c>
      <c r="G140" t="s">
        <v>708</v>
      </c>
      <c r="H140" s="15">
        <v>9968.69</v>
      </c>
      <c r="K140" s="12"/>
    </row>
    <row r="141" spans="1:11" x14ac:dyDescent="0.35">
      <c r="A141" t="s">
        <v>20</v>
      </c>
      <c r="B141" t="s">
        <v>25</v>
      </c>
      <c r="C141" s="1">
        <v>45504</v>
      </c>
      <c r="D141">
        <f t="shared" si="9"/>
        <v>31</v>
      </c>
      <c r="E141">
        <f t="shared" si="11"/>
        <v>7</v>
      </c>
      <c r="F141">
        <f t="shared" si="10"/>
        <v>2024</v>
      </c>
      <c r="G141" t="s">
        <v>70</v>
      </c>
      <c r="H141" s="15">
        <v>147700</v>
      </c>
    </row>
    <row r="142" spans="1:11" x14ac:dyDescent="0.35">
      <c r="A142" t="s">
        <v>20</v>
      </c>
      <c r="B142" t="s">
        <v>25</v>
      </c>
      <c r="C142" s="1">
        <v>45504</v>
      </c>
      <c r="D142">
        <f t="shared" si="9"/>
        <v>31</v>
      </c>
      <c r="E142">
        <f t="shared" si="11"/>
        <v>7</v>
      </c>
      <c r="F142">
        <f t="shared" si="10"/>
        <v>2024</v>
      </c>
      <c r="G142" t="s">
        <v>70</v>
      </c>
      <c r="H142" s="15">
        <v>10470.19</v>
      </c>
    </row>
    <row r="143" spans="1:11" x14ac:dyDescent="0.35">
      <c r="A143" t="s">
        <v>20</v>
      </c>
      <c r="B143" t="s">
        <v>24</v>
      </c>
      <c r="C143" s="1">
        <v>45506</v>
      </c>
      <c r="D143">
        <f t="shared" si="9"/>
        <v>2</v>
      </c>
      <c r="E143">
        <f t="shared" si="11"/>
        <v>8</v>
      </c>
      <c r="F143">
        <f t="shared" si="10"/>
        <v>2024</v>
      </c>
      <c r="G143" t="s">
        <v>413</v>
      </c>
      <c r="H143" s="15">
        <v>1726</v>
      </c>
    </row>
    <row r="144" spans="1:11" x14ac:dyDescent="0.35">
      <c r="A144" t="s">
        <v>20</v>
      </c>
      <c r="B144" t="s">
        <v>22</v>
      </c>
      <c r="C144" s="1">
        <v>45510</v>
      </c>
      <c r="D144">
        <f t="shared" si="9"/>
        <v>6</v>
      </c>
      <c r="E144">
        <f t="shared" si="11"/>
        <v>8</v>
      </c>
      <c r="F144">
        <f t="shared" si="10"/>
        <v>2024</v>
      </c>
      <c r="G144" t="s">
        <v>208</v>
      </c>
      <c r="H144" s="15">
        <v>4046.39</v>
      </c>
    </row>
    <row r="145" spans="1:8" x14ac:dyDescent="0.35">
      <c r="A145" t="s">
        <v>20</v>
      </c>
      <c r="B145" t="s">
        <v>23</v>
      </c>
      <c r="C145" s="1">
        <v>45512</v>
      </c>
      <c r="D145">
        <f t="shared" si="9"/>
        <v>8</v>
      </c>
      <c r="E145">
        <f t="shared" si="11"/>
        <v>8</v>
      </c>
      <c r="F145">
        <f t="shared" si="10"/>
        <v>2024</v>
      </c>
      <c r="G145" t="s">
        <v>67</v>
      </c>
      <c r="H145" s="15">
        <v>16184.48</v>
      </c>
    </row>
    <row r="146" spans="1:8" x14ac:dyDescent="0.35">
      <c r="A146" t="s">
        <v>20</v>
      </c>
      <c r="B146" t="s">
        <v>23</v>
      </c>
      <c r="C146" s="1">
        <v>45512</v>
      </c>
      <c r="D146">
        <f t="shared" si="9"/>
        <v>8</v>
      </c>
      <c r="E146">
        <f t="shared" si="11"/>
        <v>8</v>
      </c>
      <c r="F146">
        <f t="shared" si="10"/>
        <v>2024</v>
      </c>
      <c r="G146" t="s">
        <v>67</v>
      </c>
      <c r="H146" s="15">
        <v>24250.85</v>
      </c>
    </row>
    <row r="147" spans="1:8" x14ac:dyDescent="0.35">
      <c r="A147" t="s">
        <v>20</v>
      </c>
      <c r="B147" t="s">
        <v>23</v>
      </c>
      <c r="C147" s="1">
        <v>45520</v>
      </c>
      <c r="D147">
        <f t="shared" ref="D147:D210" si="12">DAY(C147)</f>
        <v>16</v>
      </c>
      <c r="E147">
        <f t="shared" si="11"/>
        <v>8</v>
      </c>
      <c r="F147">
        <f t="shared" si="10"/>
        <v>2024</v>
      </c>
      <c r="G147" t="s">
        <v>66</v>
      </c>
      <c r="H147" s="15">
        <v>8623.98</v>
      </c>
    </row>
    <row r="148" spans="1:8" x14ac:dyDescent="0.35">
      <c r="A148" t="s">
        <v>20</v>
      </c>
      <c r="B148" t="s">
        <v>21</v>
      </c>
      <c r="C148" s="1">
        <v>45524</v>
      </c>
      <c r="D148">
        <f t="shared" si="12"/>
        <v>20</v>
      </c>
      <c r="E148">
        <f t="shared" si="11"/>
        <v>8</v>
      </c>
      <c r="F148">
        <f t="shared" si="10"/>
        <v>2024</v>
      </c>
      <c r="G148" t="s">
        <v>66</v>
      </c>
      <c r="H148" s="15">
        <v>16066.82</v>
      </c>
    </row>
    <row r="149" spans="1:8" x14ac:dyDescent="0.35">
      <c r="A149" t="s">
        <v>20</v>
      </c>
      <c r="B149" t="s">
        <v>23</v>
      </c>
      <c r="C149" s="1">
        <v>45538</v>
      </c>
      <c r="D149">
        <f t="shared" si="12"/>
        <v>3</v>
      </c>
      <c r="E149">
        <f t="shared" si="11"/>
        <v>9</v>
      </c>
      <c r="F149">
        <f t="shared" si="10"/>
        <v>2024</v>
      </c>
      <c r="G149" t="s">
        <v>67</v>
      </c>
      <c r="H149" s="15">
        <v>15126.91</v>
      </c>
    </row>
    <row r="150" spans="1:8" x14ac:dyDescent="0.35">
      <c r="A150" t="s">
        <v>20</v>
      </c>
      <c r="B150" t="s">
        <v>23</v>
      </c>
      <c r="C150" s="1">
        <v>45538</v>
      </c>
      <c r="D150">
        <f t="shared" si="12"/>
        <v>3</v>
      </c>
      <c r="E150">
        <f t="shared" si="11"/>
        <v>9</v>
      </c>
      <c r="F150">
        <f t="shared" si="10"/>
        <v>2024</v>
      </c>
      <c r="G150" t="s">
        <v>67</v>
      </c>
      <c r="H150" s="15">
        <v>22648.06</v>
      </c>
    </row>
    <row r="151" spans="1:8" x14ac:dyDescent="0.35">
      <c r="A151" t="s">
        <v>20</v>
      </c>
      <c r="B151" t="s">
        <v>23</v>
      </c>
      <c r="C151" s="1">
        <v>45540</v>
      </c>
      <c r="D151">
        <f t="shared" si="12"/>
        <v>5</v>
      </c>
      <c r="E151">
        <f t="shared" si="11"/>
        <v>9</v>
      </c>
      <c r="F151">
        <f t="shared" si="10"/>
        <v>2024</v>
      </c>
      <c r="G151" t="s">
        <v>68</v>
      </c>
      <c r="H151" s="15">
        <v>845</v>
      </c>
    </row>
    <row r="152" spans="1:8" x14ac:dyDescent="0.35">
      <c r="A152" t="s">
        <v>20</v>
      </c>
      <c r="B152" t="s">
        <v>25</v>
      </c>
      <c r="C152" s="1">
        <v>45540</v>
      </c>
      <c r="D152">
        <f t="shared" si="12"/>
        <v>5</v>
      </c>
      <c r="E152">
        <f t="shared" si="11"/>
        <v>9</v>
      </c>
      <c r="F152">
        <f t="shared" si="10"/>
        <v>2024</v>
      </c>
      <c r="G152" t="s">
        <v>70</v>
      </c>
      <c r="H152" s="15">
        <v>7430.76</v>
      </c>
    </row>
    <row r="153" spans="1:8" x14ac:dyDescent="0.35">
      <c r="A153" t="s">
        <v>20</v>
      </c>
      <c r="B153" t="s">
        <v>27</v>
      </c>
      <c r="C153" s="1">
        <v>45541</v>
      </c>
      <c r="D153">
        <f t="shared" si="12"/>
        <v>6</v>
      </c>
      <c r="E153">
        <f t="shared" si="11"/>
        <v>9</v>
      </c>
      <c r="F153">
        <f t="shared" si="10"/>
        <v>2024</v>
      </c>
      <c r="G153" t="s">
        <v>317</v>
      </c>
      <c r="H153" s="15">
        <v>124094.7</v>
      </c>
    </row>
    <row r="154" spans="1:8" x14ac:dyDescent="0.35">
      <c r="A154" t="s">
        <v>20</v>
      </c>
      <c r="B154" t="s">
        <v>23</v>
      </c>
      <c r="C154" s="1">
        <v>45545</v>
      </c>
      <c r="D154">
        <f t="shared" si="12"/>
        <v>10</v>
      </c>
      <c r="E154">
        <f t="shared" si="11"/>
        <v>9</v>
      </c>
      <c r="F154">
        <f t="shared" si="10"/>
        <v>2024</v>
      </c>
      <c r="G154" t="s">
        <v>131</v>
      </c>
      <c r="H154" s="15">
        <v>29348.27</v>
      </c>
    </row>
    <row r="155" spans="1:8" x14ac:dyDescent="0.35">
      <c r="A155" t="s">
        <v>20</v>
      </c>
      <c r="B155" t="s">
        <v>27</v>
      </c>
      <c r="C155" s="1">
        <v>45545</v>
      </c>
      <c r="D155">
        <f t="shared" si="12"/>
        <v>10</v>
      </c>
      <c r="E155">
        <f t="shared" si="11"/>
        <v>9</v>
      </c>
      <c r="F155">
        <f t="shared" si="10"/>
        <v>2024</v>
      </c>
      <c r="G155" t="s">
        <v>502</v>
      </c>
      <c r="H155" s="15">
        <v>18831.259999999998</v>
      </c>
    </row>
    <row r="156" spans="1:8" x14ac:dyDescent="0.35">
      <c r="A156" t="s">
        <v>20</v>
      </c>
      <c r="B156" t="s">
        <v>24</v>
      </c>
      <c r="C156" s="1">
        <v>45547</v>
      </c>
      <c r="D156">
        <f t="shared" si="12"/>
        <v>12</v>
      </c>
      <c r="E156">
        <f t="shared" si="11"/>
        <v>9</v>
      </c>
      <c r="F156">
        <f t="shared" si="10"/>
        <v>2024</v>
      </c>
      <c r="G156" t="s">
        <v>69</v>
      </c>
      <c r="H156" s="15">
        <v>127676.5</v>
      </c>
    </row>
    <row r="157" spans="1:8" x14ac:dyDescent="0.35">
      <c r="A157" t="s">
        <v>20</v>
      </c>
      <c r="B157" t="s">
        <v>25</v>
      </c>
      <c r="C157" s="1">
        <v>45547</v>
      </c>
      <c r="D157">
        <f t="shared" si="12"/>
        <v>12</v>
      </c>
      <c r="E157">
        <f t="shared" si="11"/>
        <v>9</v>
      </c>
      <c r="F157">
        <f t="shared" si="10"/>
        <v>2024</v>
      </c>
      <c r="G157" t="s">
        <v>69</v>
      </c>
      <c r="H157" s="15">
        <v>95836.61</v>
      </c>
    </row>
    <row r="158" spans="1:8" x14ac:dyDescent="0.35">
      <c r="A158" t="s">
        <v>20</v>
      </c>
      <c r="B158" t="s">
        <v>21</v>
      </c>
      <c r="C158" s="1">
        <v>45547</v>
      </c>
      <c r="D158">
        <f t="shared" si="12"/>
        <v>12</v>
      </c>
      <c r="E158">
        <f t="shared" si="11"/>
        <v>9</v>
      </c>
      <c r="F158">
        <f t="shared" ref="F158:F218" si="13">YEAR(C158)</f>
        <v>2024</v>
      </c>
      <c r="G158" t="s">
        <v>69</v>
      </c>
      <c r="H158" s="15">
        <v>198127.63</v>
      </c>
    </row>
    <row r="159" spans="1:8" x14ac:dyDescent="0.35">
      <c r="A159" t="s">
        <v>20</v>
      </c>
      <c r="B159" t="s">
        <v>23</v>
      </c>
      <c r="C159" s="1">
        <v>45547</v>
      </c>
      <c r="D159">
        <f t="shared" si="12"/>
        <v>12</v>
      </c>
      <c r="E159">
        <f t="shared" si="11"/>
        <v>9</v>
      </c>
      <c r="F159">
        <f t="shared" si="13"/>
        <v>2024</v>
      </c>
      <c r="G159" t="s">
        <v>69</v>
      </c>
      <c r="H159" s="15">
        <v>207579.17</v>
      </c>
    </row>
    <row r="160" spans="1:8" x14ac:dyDescent="0.35">
      <c r="A160" t="s">
        <v>20</v>
      </c>
      <c r="B160" t="s">
        <v>23</v>
      </c>
      <c r="C160" s="1">
        <v>45547</v>
      </c>
      <c r="D160">
        <f t="shared" si="12"/>
        <v>12</v>
      </c>
      <c r="E160">
        <f t="shared" si="11"/>
        <v>9</v>
      </c>
      <c r="F160">
        <f t="shared" si="13"/>
        <v>2024</v>
      </c>
      <c r="G160" t="s">
        <v>69</v>
      </c>
      <c r="H160" s="15">
        <v>1660.09</v>
      </c>
    </row>
    <row r="161" spans="1:9" x14ac:dyDescent="0.35">
      <c r="A161" t="s">
        <v>20</v>
      </c>
      <c r="B161" t="s">
        <v>23</v>
      </c>
      <c r="C161" s="1">
        <v>45548</v>
      </c>
      <c r="D161">
        <f t="shared" si="12"/>
        <v>13</v>
      </c>
      <c r="E161">
        <f t="shared" si="11"/>
        <v>9</v>
      </c>
      <c r="F161">
        <f t="shared" si="13"/>
        <v>2024</v>
      </c>
      <c r="G161" t="s">
        <v>66</v>
      </c>
      <c r="H161" s="15">
        <v>14360.26</v>
      </c>
    </row>
    <row r="162" spans="1:9" x14ac:dyDescent="0.35">
      <c r="A162" t="s">
        <v>20</v>
      </c>
      <c r="B162" t="s">
        <v>25</v>
      </c>
      <c r="C162" s="1">
        <v>45551</v>
      </c>
      <c r="D162">
        <f t="shared" si="12"/>
        <v>16</v>
      </c>
      <c r="E162">
        <f t="shared" si="11"/>
        <v>9</v>
      </c>
      <c r="F162">
        <f t="shared" si="13"/>
        <v>2024</v>
      </c>
      <c r="G162" t="s">
        <v>70</v>
      </c>
      <c r="H162" s="15">
        <v>118781.8</v>
      </c>
    </row>
    <row r="163" spans="1:9" x14ac:dyDescent="0.35">
      <c r="A163" t="s">
        <v>20</v>
      </c>
      <c r="B163" t="s">
        <v>25</v>
      </c>
      <c r="C163" s="1">
        <v>45551</v>
      </c>
      <c r="D163">
        <f t="shared" si="12"/>
        <v>16</v>
      </c>
      <c r="E163">
        <f t="shared" si="11"/>
        <v>9</v>
      </c>
      <c r="F163">
        <f t="shared" si="13"/>
        <v>2024</v>
      </c>
      <c r="G163" t="s">
        <v>70</v>
      </c>
      <c r="H163" s="15">
        <v>55194</v>
      </c>
    </row>
    <row r="164" spans="1:9" x14ac:dyDescent="0.35">
      <c r="A164" t="s">
        <v>20</v>
      </c>
      <c r="B164" t="s">
        <v>19</v>
      </c>
      <c r="C164" s="1">
        <v>45551</v>
      </c>
      <c r="D164">
        <f t="shared" si="12"/>
        <v>16</v>
      </c>
      <c r="E164">
        <f t="shared" si="11"/>
        <v>9</v>
      </c>
      <c r="F164">
        <f t="shared" si="13"/>
        <v>2024</v>
      </c>
      <c r="G164" t="s">
        <v>128</v>
      </c>
      <c r="H164" s="15">
        <v>3252</v>
      </c>
      <c r="I164" t="s">
        <v>512</v>
      </c>
    </row>
    <row r="165" spans="1:9" x14ac:dyDescent="0.35">
      <c r="A165" t="s">
        <v>20</v>
      </c>
      <c r="B165" t="s">
        <v>27</v>
      </c>
      <c r="C165" s="1">
        <v>45552</v>
      </c>
      <c r="D165">
        <f t="shared" si="12"/>
        <v>17</v>
      </c>
      <c r="E165">
        <f t="shared" si="11"/>
        <v>9</v>
      </c>
      <c r="F165">
        <f t="shared" si="13"/>
        <v>2024</v>
      </c>
      <c r="G165" t="s">
        <v>317</v>
      </c>
      <c r="H165" s="15">
        <v>111240.33</v>
      </c>
    </row>
    <row r="166" spans="1:9" x14ac:dyDescent="0.35">
      <c r="A166" t="s">
        <v>20</v>
      </c>
      <c r="B166" t="s">
        <v>706</v>
      </c>
      <c r="C166" s="1">
        <v>45553</v>
      </c>
      <c r="D166">
        <f t="shared" si="12"/>
        <v>18</v>
      </c>
      <c r="E166">
        <f t="shared" si="11"/>
        <v>9</v>
      </c>
      <c r="F166">
        <f t="shared" si="13"/>
        <v>2024</v>
      </c>
      <c r="G166" t="s">
        <v>708</v>
      </c>
      <c r="H166" s="15">
        <v>49811.27</v>
      </c>
    </row>
    <row r="167" spans="1:9" x14ac:dyDescent="0.35">
      <c r="A167" t="s">
        <v>20</v>
      </c>
      <c r="B167" t="s">
        <v>23</v>
      </c>
      <c r="C167" s="1">
        <v>45553</v>
      </c>
      <c r="D167">
        <f t="shared" si="12"/>
        <v>18</v>
      </c>
      <c r="E167">
        <f t="shared" si="11"/>
        <v>9</v>
      </c>
      <c r="F167">
        <f t="shared" si="13"/>
        <v>2024</v>
      </c>
      <c r="G167" t="s">
        <v>66</v>
      </c>
      <c r="H167" s="15">
        <v>1080.56</v>
      </c>
    </row>
    <row r="168" spans="1:9" x14ac:dyDescent="0.35">
      <c r="A168" t="s">
        <v>20</v>
      </c>
      <c r="B168" t="s">
        <v>21</v>
      </c>
      <c r="C168" s="1">
        <v>45553</v>
      </c>
      <c r="D168">
        <f t="shared" si="12"/>
        <v>18</v>
      </c>
      <c r="E168">
        <f t="shared" si="11"/>
        <v>9</v>
      </c>
      <c r="F168">
        <f t="shared" si="13"/>
        <v>2024</v>
      </c>
      <c r="G168" t="s">
        <v>66</v>
      </c>
      <c r="H168" s="15">
        <v>1062.1500000000001</v>
      </c>
    </row>
    <row r="169" spans="1:9" x14ac:dyDescent="0.35">
      <c r="A169" t="s">
        <v>20</v>
      </c>
      <c r="B169" t="s">
        <v>25</v>
      </c>
      <c r="C169" s="1">
        <v>45553</v>
      </c>
      <c r="D169">
        <f t="shared" si="12"/>
        <v>18</v>
      </c>
      <c r="E169">
        <f t="shared" si="11"/>
        <v>9</v>
      </c>
      <c r="F169">
        <f t="shared" si="13"/>
        <v>2024</v>
      </c>
      <c r="G169" t="s">
        <v>66</v>
      </c>
      <c r="H169" s="15">
        <v>353.07</v>
      </c>
    </row>
    <row r="170" spans="1:9" x14ac:dyDescent="0.35">
      <c r="A170" t="s">
        <v>20</v>
      </c>
      <c r="B170" t="s">
        <v>23</v>
      </c>
      <c r="C170" s="1">
        <v>45561</v>
      </c>
      <c r="D170">
        <f t="shared" si="12"/>
        <v>26</v>
      </c>
      <c r="E170">
        <f t="shared" si="11"/>
        <v>9</v>
      </c>
      <c r="F170">
        <f t="shared" si="13"/>
        <v>2024</v>
      </c>
      <c r="G170" t="s">
        <v>68</v>
      </c>
      <c r="H170" s="15">
        <v>995</v>
      </c>
    </row>
    <row r="171" spans="1:9" x14ac:dyDescent="0.35">
      <c r="A171" t="s">
        <v>20</v>
      </c>
      <c r="B171" t="s">
        <v>21</v>
      </c>
      <c r="C171" s="1">
        <v>45562</v>
      </c>
      <c r="D171">
        <f t="shared" si="12"/>
        <v>27</v>
      </c>
      <c r="E171">
        <f t="shared" si="11"/>
        <v>9</v>
      </c>
      <c r="F171">
        <f t="shared" si="13"/>
        <v>2024</v>
      </c>
      <c r="G171" t="s">
        <v>66</v>
      </c>
      <c r="H171" s="15">
        <v>10475.549999999999</v>
      </c>
    </row>
    <row r="172" spans="1:9" x14ac:dyDescent="0.35">
      <c r="A172" t="s">
        <v>20</v>
      </c>
      <c r="B172" t="s">
        <v>27</v>
      </c>
      <c r="C172" s="1">
        <v>45566</v>
      </c>
      <c r="D172">
        <f t="shared" si="12"/>
        <v>1</v>
      </c>
      <c r="E172">
        <f t="shared" si="11"/>
        <v>10</v>
      </c>
      <c r="F172">
        <f t="shared" si="13"/>
        <v>2024</v>
      </c>
      <c r="G172" t="s">
        <v>255</v>
      </c>
      <c r="H172" s="15">
        <v>83887.38</v>
      </c>
    </row>
    <row r="173" spans="1:9" x14ac:dyDescent="0.35">
      <c r="A173" t="s">
        <v>20</v>
      </c>
      <c r="B173" t="s">
        <v>25</v>
      </c>
      <c r="C173" s="1">
        <v>45567</v>
      </c>
      <c r="D173">
        <f t="shared" si="12"/>
        <v>2</v>
      </c>
      <c r="E173">
        <f t="shared" si="11"/>
        <v>10</v>
      </c>
      <c r="F173">
        <f t="shared" si="13"/>
        <v>2024</v>
      </c>
      <c r="G173" t="s">
        <v>70</v>
      </c>
      <c r="H173" s="15">
        <v>9827.75</v>
      </c>
    </row>
    <row r="174" spans="1:9" x14ac:dyDescent="0.35">
      <c r="A174" t="s">
        <v>20</v>
      </c>
      <c r="B174" t="s">
        <v>706</v>
      </c>
      <c r="C174" s="1">
        <v>45569</v>
      </c>
      <c r="D174">
        <f t="shared" si="12"/>
        <v>4</v>
      </c>
      <c r="E174">
        <f t="shared" si="11"/>
        <v>10</v>
      </c>
      <c r="F174">
        <f t="shared" si="13"/>
        <v>2024</v>
      </c>
      <c r="G174" t="s">
        <v>707</v>
      </c>
      <c r="H174" s="15">
        <v>10050</v>
      </c>
    </row>
    <row r="175" spans="1:9" x14ac:dyDescent="0.35">
      <c r="A175" t="s">
        <v>20</v>
      </c>
      <c r="B175" t="s">
        <v>21</v>
      </c>
      <c r="C175" s="1">
        <v>45569</v>
      </c>
      <c r="D175">
        <f t="shared" si="12"/>
        <v>4</v>
      </c>
      <c r="E175">
        <f t="shared" si="11"/>
        <v>10</v>
      </c>
      <c r="F175">
        <f t="shared" si="13"/>
        <v>2024</v>
      </c>
      <c r="G175" t="s">
        <v>66</v>
      </c>
      <c r="H175" s="15">
        <v>8852.2999999999993</v>
      </c>
    </row>
    <row r="176" spans="1:9" x14ac:dyDescent="0.35">
      <c r="A176" t="s">
        <v>20</v>
      </c>
      <c r="B176" t="s">
        <v>27</v>
      </c>
      <c r="C176" s="1">
        <v>45569</v>
      </c>
      <c r="D176">
        <f t="shared" si="12"/>
        <v>4</v>
      </c>
      <c r="E176">
        <f t="shared" si="11"/>
        <v>10</v>
      </c>
      <c r="F176">
        <f t="shared" si="13"/>
        <v>2024</v>
      </c>
      <c r="G176" t="s">
        <v>317</v>
      </c>
      <c r="H176" s="15">
        <v>8553.59</v>
      </c>
    </row>
    <row r="177" spans="1:8" x14ac:dyDescent="0.35">
      <c r="A177" t="s">
        <v>20</v>
      </c>
      <c r="B177" t="s">
        <v>706</v>
      </c>
      <c r="C177" s="1">
        <v>45572</v>
      </c>
      <c r="D177">
        <f t="shared" si="12"/>
        <v>7</v>
      </c>
      <c r="E177">
        <f t="shared" si="11"/>
        <v>10</v>
      </c>
      <c r="F177">
        <f t="shared" si="13"/>
        <v>2024</v>
      </c>
      <c r="G177" t="s">
        <v>707</v>
      </c>
      <c r="H177" s="15">
        <v>9950</v>
      </c>
    </row>
    <row r="178" spans="1:8" x14ac:dyDescent="0.35">
      <c r="A178" t="s">
        <v>20</v>
      </c>
      <c r="B178" t="s">
        <v>23</v>
      </c>
      <c r="C178" s="1">
        <v>45572</v>
      </c>
      <c r="D178">
        <f t="shared" si="12"/>
        <v>7</v>
      </c>
      <c r="E178">
        <f t="shared" si="11"/>
        <v>10</v>
      </c>
      <c r="F178">
        <f t="shared" si="13"/>
        <v>2024</v>
      </c>
      <c r="G178" t="s">
        <v>66</v>
      </c>
      <c r="H178" s="15">
        <v>14143.9</v>
      </c>
    </row>
    <row r="179" spans="1:8" x14ac:dyDescent="0.35">
      <c r="A179" t="s">
        <v>20</v>
      </c>
      <c r="B179" t="s">
        <v>23</v>
      </c>
      <c r="C179" s="1">
        <v>45574</v>
      </c>
      <c r="D179">
        <f t="shared" si="12"/>
        <v>9</v>
      </c>
      <c r="E179">
        <f t="shared" si="11"/>
        <v>10</v>
      </c>
      <c r="F179">
        <f t="shared" si="13"/>
        <v>2024</v>
      </c>
      <c r="G179" t="s">
        <v>68</v>
      </c>
      <c r="H179" s="15">
        <v>1990</v>
      </c>
    </row>
    <row r="180" spans="1:8" x14ac:dyDescent="0.35">
      <c r="A180" t="s">
        <v>20</v>
      </c>
      <c r="B180" t="s">
        <v>706</v>
      </c>
      <c r="C180" s="1">
        <v>45576</v>
      </c>
      <c r="D180">
        <f t="shared" si="12"/>
        <v>11</v>
      </c>
      <c r="E180">
        <f t="shared" si="11"/>
        <v>10</v>
      </c>
      <c r="F180">
        <f t="shared" si="13"/>
        <v>2024</v>
      </c>
      <c r="G180" t="s">
        <v>707</v>
      </c>
      <c r="H180" s="15">
        <v>9018</v>
      </c>
    </row>
    <row r="181" spans="1:8" x14ac:dyDescent="0.35">
      <c r="A181" t="s">
        <v>20</v>
      </c>
      <c r="B181" t="s">
        <v>706</v>
      </c>
      <c r="C181" s="1">
        <v>45580</v>
      </c>
      <c r="D181">
        <f t="shared" si="12"/>
        <v>15</v>
      </c>
      <c r="E181">
        <f t="shared" si="11"/>
        <v>10</v>
      </c>
      <c r="F181">
        <f t="shared" si="13"/>
        <v>2024</v>
      </c>
      <c r="G181" t="s">
        <v>707</v>
      </c>
      <c r="H181" s="15">
        <v>8400</v>
      </c>
    </row>
    <row r="182" spans="1:8" x14ac:dyDescent="0.35">
      <c r="A182" t="s">
        <v>20</v>
      </c>
      <c r="B182" t="s">
        <v>24</v>
      </c>
      <c r="C182" s="1">
        <v>45583</v>
      </c>
      <c r="D182">
        <f t="shared" si="12"/>
        <v>18</v>
      </c>
      <c r="E182">
        <f t="shared" si="11"/>
        <v>10</v>
      </c>
      <c r="F182">
        <f t="shared" si="13"/>
        <v>2024</v>
      </c>
      <c r="G182" t="s">
        <v>413</v>
      </c>
      <c r="H182" s="15">
        <v>42220</v>
      </c>
    </row>
    <row r="183" spans="1:8" x14ac:dyDescent="0.35">
      <c r="A183" t="s">
        <v>20</v>
      </c>
      <c r="B183" t="s">
        <v>22</v>
      </c>
      <c r="C183" s="1">
        <v>45586</v>
      </c>
      <c r="D183">
        <f t="shared" si="12"/>
        <v>21</v>
      </c>
      <c r="E183">
        <f t="shared" si="11"/>
        <v>10</v>
      </c>
      <c r="F183">
        <f t="shared" si="13"/>
        <v>2024</v>
      </c>
      <c r="G183" t="s">
        <v>69</v>
      </c>
      <c r="H183" s="15">
        <v>31590.55</v>
      </c>
    </row>
    <row r="184" spans="1:8" x14ac:dyDescent="0.35">
      <c r="A184" t="s">
        <v>20</v>
      </c>
      <c r="B184" t="s">
        <v>25</v>
      </c>
      <c r="C184" s="1">
        <v>45586</v>
      </c>
      <c r="D184">
        <f t="shared" si="12"/>
        <v>21</v>
      </c>
      <c r="E184">
        <f t="shared" si="11"/>
        <v>10</v>
      </c>
      <c r="F184">
        <f t="shared" si="13"/>
        <v>2024</v>
      </c>
      <c r="G184" t="s">
        <v>70</v>
      </c>
      <c r="H184" s="15">
        <v>119303</v>
      </c>
    </row>
    <row r="185" spans="1:8" x14ac:dyDescent="0.35">
      <c r="A185" t="s">
        <v>20</v>
      </c>
      <c r="B185" t="s">
        <v>25</v>
      </c>
      <c r="C185" s="1">
        <v>45586</v>
      </c>
      <c r="D185">
        <f t="shared" si="12"/>
        <v>21</v>
      </c>
      <c r="E185">
        <f t="shared" si="11"/>
        <v>10</v>
      </c>
      <c r="F185">
        <f t="shared" si="13"/>
        <v>2024</v>
      </c>
      <c r="G185" t="s">
        <v>70</v>
      </c>
      <c r="H185" s="15">
        <v>600</v>
      </c>
    </row>
    <row r="186" spans="1:8" x14ac:dyDescent="0.35">
      <c r="A186" t="s">
        <v>20</v>
      </c>
      <c r="B186" t="s">
        <v>23</v>
      </c>
      <c r="C186" s="1">
        <v>45587</v>
      </c>
      <c r="D186">
        <f t="shared" si="12"/>
        <v>22</v>
      </c>
      <c r="E186">
        <f t="shared" si="11"/>
        <v>10</v>
      </c>
      <c r="F186">
        <f t="shared" si="13"/>
        <v>2024</v>
      </c>
      <c r="G186" t="s">
        <v>67</v>
      </c>
      <c r="H186" s="15">
        <v>18163.669999999998</v>
      </c>
    </row>
    <row r="187" spans="1:8" x14ac:dyDescent="0.35">
      <c r="A187" t="s">
        <v>20</v>
      </c>
      <c r="B187" t="s">
        <v>24</v>
      </c>
      <c r="C187" s="1">
        <v>45588</v>
      </c>
      <c r="D187">
        <f t="shared" si="12"/>
        <v>23</v>
      </c>
      <c r="E187">
        <f t="shared" si="11"/>
        <v>10</v>
      </c>
      <c r="F187">
        <f t="shared" si="13"/>
        <v>2024</v>
      </c>
      <c r="G187" t="s">
        <v>69</v>
      </c>
      <c r="H187" s="15">
        <v>349940</v>
      </c>
    </row>
    <row r="188" spans="1:8" x14ac:dyDescent="0.35">
      <c r="A188" t="s">
        <v>20</v>
      </c>
      <c r="B188" t="s">
        <v>24</v>
      </c>
      <c r="C188" s="1">
        <v>45588</v>
      </c>
      <c r="D188">
        <f t="shared" si="12"/>
        <v>23</v>
      </c>
      <c r="E188">
        <f t="shared" si="11"/>
        <v>10</v>
      </c>
      <c r="F188">
        <f t="shared" si="13"/>
        <v>2024</v>
      </c>
      <c r="G188" t="s">
        <v>69</v>
      </c>
      <c r="H188" s="15">
        <v>149940</v>
      </c>
    </row>
    <row r="189" spans="1:8" x14ac:dyDescent="0.35">
      <c r="A189" t="s">
        <v>20</v>
      </c>
      <c r="B189" t="s">
        <v>23</v>
      </c>
      <c r="C189" s="1">
        <v>45593</v>
      </c>
      <c r="D189">
        <f t="shared" si="12"/>
        <v>28</v>
      </c>
      <c r="E189">
        <f t="shared" si="11"/>
        <v>10</v>
      </c>
      <c r="F189">
        <f t="shared" si="13"/>
        <v>2024</v>
      </c>
      <c r="G189" t="s">
        <v>67</v>
      </c>
      <c r="H189" s="15">
        <v>19181.89</v>
      </c>
    </row>
    <row r="190" spans="1:8" x14ac:dyDescent="0.35">
      <c r="A190" t="s">
        <v>20</v>
      </c>
      <c r="B190" t="s">
        <v>23</v>
      </c>
      <c r="C190" s="1">
        <v>45593</v>
      </c>
      <c r="D190">
        <f t="shared" si="12"/>
        <v>28</v>
      </c>
      <c r="E190">
        <f t="shared" si="11"/>
        <v>10</v>
      </c>
      <c r="F190">
        <f t="shared" si="13"/>
        <v>2024</v>
      </c>
      <c r="G190" t="s">
        <v>67</v>
      </c>
      <c r="H190" s="15">
        <v>29477.51</v>
      </c>
    </row>
    <row r="191" spans="1:8" x14ac:dyDescent="0.35">
      <c r="A191" t="s">
        <v>20</v>
      </c>
      <c r="B191" t="s">
        <v>23</v>
      </c>
      <c r="C191" s="1">
        <v>45594</v>
      </c>
      <c r="D191">
        <f t="shared" si="12"/>
        <v>29</v>
      </c>
      <c r="E191">
        <f t="shared" si="11"/>
        <v>10</v>
      </c>
      <c r="F191">
        <f t="shared" si="13"/>
        <v>2024</v>
      </c>
      <c r="G191" t="s">
        <v>68</v>
      </c>
      <c r="H191" s="15">
        <v>995</v>
      </c>
    </row>
    <row r="192" spans="1:8" x14ac:dyDescent="0.35">
      <c r="A192" t="s">
        <v>20</v>
      </c>
      <c r="B192" t="s">
        <v>25</v>
      </c>
      <c r="C192" s="1">
        <v>45596</v>
      </c>
      <c r="D192">
        <f t="shared" si="12"/>
        <v>31</v>
      </c>
      <c r="E192">
        <f t="shared" si="11"/>
        <v>10</v>
      </c>
      <c r="F192">
        <f t="shared" si="13"/>
        <v>2024</v>
      </c>
      <c r="G192" t="s">
        <v>70</v>
      </c>
      <c r="H192" s="15">
        <v>101491</v>
      </c>
    </row>
    <row r="193" spans="1:8" x14ac:dyDescent="0.35">
      <c r="A193" t="s">
        <v>20</v>
      </c>
      <c r="B193" t="s">
        <v>27</v>
      </c>
      <c r="C193" s="1">
        <v>45596</v>
      </c>
      <c r="D193">
        <f t="shared" si="12"/>
        <v>31</v>
      </c>
      <c r="E193">
        <f t="shared" si="11"/>
        <v>10</v>
      </c>
      <c r="F193">
        <f t="shared" si="13"/>
        <v>2024</v>
      </c>
      <c r="G193" t="s">
        <v>255</v>
      </c>
      <c r="H193" s="15">
        <v>117544.87</v>
      </c>
    </row>
    <row r="194" spans="1:8" x14ac:dyDescent="0.35">
      <c r="A194" t="s">
        <v>20</v>
      </c>
      <c r="B194" t="s">
        <v>23</v>
      </c>
      <c r="C194" s="1">
        <v>45602</v>
      </c>
      <c r="D194">
        <f t="shared" si="12"/>
        <v>6</v>
      </c>
      <c r="E194">
        <f t="shared" si="11"/>
        <v>11</v>
      </c>
      <c r="F194">
        <f t="shared" si="13"/>
        <v>2024</v>
      </c>
      <c r="G194" t="s">
        <v>66</v>
      </c>
      <c r="H194" s="15">
        <v>29317.93</v>
      </c>
    </row>
    <row r="195" spans="1:8" x14ac:dyDescent="0.35">
      <c r="A195" t="s">
        <v>20</v>
      </c>
      <c r="B195" t="s">
        <v>27</v>
      </c>
      <c r="C195" s="1">
        <v>45609</v>
      </c>
      <c r="D195">
        <f t="shared" si="12"/>
        <v>13</v>
      </c>
      <c r="E195">
        <f t="shared" ref="E195:E243" si="14">MONTH(C195)</f>
        <v>11</v>
      </c>
      <c r="F195">
        <f t="shared" si="13"/>
        <v>2024</v>
      </c>
      <c r="G195" t="s">
        <v>255</v>
      </c>
      <c r="H195" s="15">
        <v>4953.04</v>
      </c>
    </row>
    <row r="196" spans="1:8" x14ac:dyDescent="0.35">
      <c r="A196" t="s">
        <v>20</v>
      </c>
      <c r="B196" t="s">
        <v>23</v>
      </c>
      <c r="C196" s="1">
        <v>45621</v>
      </c>
      <c r="D196">
        <f t="shared" si="12"/>
        <v>25</v>
      </c>
      <c r="E196">
        <f t="shared" si="14"/>
        <v>11</v>
      </c>
      <c r="F196">
        <f t="shared" si="13"/>
        <v>2024</v>
      </c>
      <c r="G196" t="s">
        <v>131</v>
      </c>
      <c r="H196" s="15">
        <v>21312.7</v>
      </c>
    </row>
    <row r="197" spans="1:8" x14ac:dyDescent="0.35">
      <c r="A197" t="s">
        <v>20</v>
      </c>
      <c r="B197" t="s">
        <v>21</v>
      </c>
      <c r="C197" s="1">
        <v>45622</v>
      </c>
      <c r="D197">
        <f t="shared" si="12"/>
        <v>26</v>
      </c>
      <c r="E197">
        <f t="shared" si="14"/>
        <v>11</v>
      </c>
      <c r="F197">
        <f t="shared" si="13"/>
        <v>2024</v>
      </c>
      <c r="G197" t="s">
        <v>411</v>
      </c>
      <c r="H197" s="15">
        <v>11962.9</v>
      </c>
    </row>
    <row r="198" spans="1:8" x14ac:dyDescent="0.35">
      <c r="A198" t="s">
        <v>20</v>
      </c>
      <c r="B198" t="s">
        <v>21</v>
      </c>
      <c r="C198" s="1">
        <v>45623</v>
      </c>
      <c r="D198">
        <f t="shared" si="12"/>
        <v>27</v>
      </c>
      <c r="E198">
        <f t="shared" si="14"/>
        <v>11</v>
      </c>
      <c r="F198">
        <f t="shared" si="13"/>
        <v>2024</v>
      </c>
      <c r="G198" t="s">
        <v>686</v>
      </c>
      <c r="H198" s="15">
        <v>56058.84</v>
      </c>
    </row>
    <row r="199" spans="1:8" x14ac:dyDescent="0.35">
      <c r="A199" t="s">
        <v>20</v>
      </c>
      <c r="B199" t="s">
        <v>23</v>
      </c>
      <c r="C199" s="1">
        <v>45625</v>
      </c>
      <c r="D199">
        <f t="shared" si="12"/>
        <v>29</v>
      </c>
      <c r="E199">
        <f t="shared" si="14"/>
        <v>11</v>
      </c>
      <c r="F199">
        <f t="shared" si="13"/>
        <v>2024</v>
      </c>
      <c r="G199" t="s">
        <v>66</v>
      </c>
      <c r="H199" s="15">
        <v>13688.62</v>
      </c>
    </row>
    <row r="200" spans="1:8" x14ac:dyDescent="0.35">
      <c r="A200" t="s">
        <v>20</v>
      </c>
      <c r="B200" t="s">
        <v>21</v>
      </c>
      <c r="C200" s="1">
        <v>45629</v>
      </c>
      <c r="D200">
        <f t="shared" si="12"/>
        <v>3</v>
      </c>
      <c r="E200">
        <f t="shared" si="14"/>
        <v>12</v>
      </c>
      <c r="F200">
        <f t="shared" si="13"/>
        <v>2024</v>
      </c>
      <c r="G200" t="s">
        <v>208</v>
      </c>
      <c r="H200" s="15">
        <v>4567.96</v>
      </c>
    </row>
    <row r="201" spans="1:8" x14ac:dyDescent="0.35">
      <c r="A201" t="s">
        <v>20</v>
      </c>
      <c r="B201" t="s">
        <v>25</v>
      </c>
      <c r="C201" s="1">
        <v>45629</v>
      </c>
      <c r="D201">
        <f t="shared" si="12"/>
        <v>3</v>
      </c>
      <c r="E201">
        <f t="shared" si="14"/>
        <v>12</v>
      </c>
      <c r="F201">
        <f t="shared" si="13"/>
        <v>2024</v>
      </c>
      <c r="G201" t="s">
        <v>70</v>
      </c>
      <c r="H201" s="15">
        <v>8707.25</v>
      </c>
    </row>
    <row r="202" spans="1:8" x14ac:dyDescent="0.35">
      <c r="A202" t="s">
        <v>20</v>
      </c>
      <c r="B202" t="s">
        <v>25</v>
      </c>
      <c r="C202" s="1">
        <v>45629</v>
      </c>
      <c r="D202">
        <f t="shared" si="12"/>
        <v>3</v>
      </c>
      <c r="E202">
        <f t="shared" si="14"/>
        <v>12</v>
      </c>
      <c r="F202">
        <f t="shared" si="13"/>
        <v>2024</v>
      </c>
      <c r="G202" t="s">
        <v>70</v>
      </c>
      <c r="H202" s="15">
        <v>7328.36</v>
      </c>
    </row>
    <row r="203" spans="1:8" x14ac:dyDescent="0.35">
      <c r="A203" t="s">
        <v>20</v>
      </c>
      <c r="B203" t="s">
        <v>23</v>
      </c>
      <c r="C203" s="1">
        <v>45631</v>
      </c>
      <c r="D203">
        <f t="shared" si="12"/>
        <v>5</v>
      </c>
      <c r="E203">
        <f t="shared" si="14"/>
        <v>12</v>
      </c>
      <c r="F203">
        <f t="shared" si="13"/>
        <v>2024</v>
      </c>
      <c r="G203" t="s">
        <v>67</v>
      </c>
      <c r="H203" s="15">
        <v>39223.31</v>
      </c>
    </row>
    <row r="204" spans="1:8" x14ac:dyDescent="0.35">
      <c r="A204" t="s">
        <v>20</v>
      </c>
      <c r="B204" t="s">
        <v>23</v>
      </c>
      <c r="C204" s="1">
        <v>45631</v>
      </c>
      <c r="D204">
        <f t="shared" si="12"/>
        <v>5</v>
      </c>
      <c r="E204">
        <f t="shared" si="14"/>
        <v>12</v>
      </c>
      <c r="F204">
        <f t="shared" si="13"/>
        <v>2024</v>
      </c>
      <c r="G204" t="s">
        <v>67</v>
      </c>
      <c r="H204" s="15">
        <v>26153.18</v>
      </c>
    </row>
    <row r="205" spans="1:8" x14ac:dyDescent="0.35">
      <c r="A205" t="s">
        <v>20</v>
      </c>
      <c r="B205" t="s">
        <v>21</v>
      </c>
      <c r="C205" s="1">
        <v>45631</v>
      </c>
      <c r="D205">
        <f t="shared" si="12"/>
        <v>5</v>
      </c>
      <c r="E205">
        <f t="shared" si="14"/>
        <v>12</v>
      </c>
      <c r="F205">
        <f t="shared" si="13"/>
        <v>2024</v>
      </c>
      <c r="G205" t="s">
        <v>66</v>
      </c>
      <c r="H205" s="15">
        <v>5967.52</v>
      </c>
    </row>
    <row r="206" spans="1:8" x14ac:dyDescent="0.35">
      <c r="A206" t="s">
        <v>20</v>
      </c>
      <c r="B206" t="s">
        <v>21</v>
      </c>
      <c r="C206" s="1">
        <v>45636</v>
      </c>
      <c r="D206">
        <f t="shared" si="12"/>
        <v>10</v>
      </c>
      <c r="E206">
        <f t="shared" si="14"/>
        <v>12</v>
      </c>
      <c r="F206">
        <f t="shared" si="13"/>
        <v>2024</v>
      </c>
      <c r="G206" t="s">
        <v>66</v>
      </c>
      <c r="H206" s="15">
        <v>29625.93</v>
      </c>
    </row>
    <row r="207" spans="1:8" x14ac:dyDescent="0.35">
      <c r="A207" t="s">
        <v>20</v>
      </c>
      <c r="B207" t="s">
        <v>24</v>
      </c>
      <c r="C207" s="1">
        <v>45636</v>
      </c>
      <c r="D207">
        <f t="shared" si="12"/>
        <v>10</v>
      </c>
      <c r="E207">
        <f t="shared" si="14"/>
        <v>12</v>
      </c>
      <c r="F207">
        <f t="shared" si="13"/>
        <v>2024</v>
      </c>
      <c r="G207" t="s">
        <v>69</v>
      </c>
      <c r="H207" s="15">
        <v>58906.38</v>
      </c>
    </row>
    <row r="208" spans="1:8" x14ac:dyDescent="0.35">
      <c r="A208" t="s">
        <v>20</v>
      </c>
      <c r="B208" t="s">
        <v>25</v>
      </c>
      <c r="C208" s="1">
        <v>45636</v>
      </c>
      <c r="D208">
        <f t="shared" si="12"/>
        <v>10</v>
      </c>
      <c r="E208">
        <f t="shared" si="14"/>
        <v>12</v>
      </c>
      <c r="F208">
        <f t="shared" si="13"/>
        <v>2024</v>
      </c>
      <c r="G208" t="s">
        <v>69</v>
      </c>
      <c r="H208" s="15">
        <v>57698.33</v>
      </c>
    </row>
    <row r="209" spans="1:8" x14ac:dyDescent="0.35">
      <c r="A209" t="s">
        <v>20</v>
      </c>
      <c r="B209" t="s">
        <v>21</v>
      </c>
      <c r="C209" s="1">
        <v>45636</v>
      </c>
      <c r="D209">
        <f t="shared" si="12"/>
        <v>10</v>
      </c>
      <c r="E209">
        <f t="shared" si="14"/>
        <v>12</v>
      </c>
      <c r="F209">
        <f t="shared" si="13"/>
        <v>2024</v>
      </c>
      <c r="G209" t="s">
        <v>69</v>
      </c>
      <c r="H209" s="15">
        <v>144750.76</v>
      </c>
    </row>
    <row r="210" spans="1:8" x14ac:dyDescent="0.35">
      <c r="A210" t="s">
        <v>20</v>
      </c>
      <c r="B210" t="s">
        <v>23</v>
      </c>
      <c r="C210" s="1">
        <v>45636</v>
      </c>
      <c r="D210">
        <f t="shared" si="12"/>
        <v>10</v>
      </c>
      <c r="E210">
        <f t="shared" si="14"/>
        <v>12</v>
      </c>
      <c r="F210">
        <f t="shared" si="13"/>
        <v>2024</v>
      </c>
      <c r="G210" t="s">
        <v>69</v>
      </c>
      <c r="H210" s="15">
        <v>18644.53</v>
      </c>
    </row>
    <row r="211" spans="1:8" x14ac:dyDescent="0.35">
      <c r="A211" t="s">
        <v>20</v>
      </c>
      <c r="B211" t="s">
        <v>23</v>
      </c>
      <c r="C211" s="1">
        <v>45639</v>
      </c>
      <c r="D211">
        <f t="shared" ref="D211:D218" si="15">DAY(C211)</f>
        <v>13</v>
      </c>
      <c r="E211">
        <f t="shared" si="14"/>
        <v>12</v>
      </c>
      <c r="F211">
        <f t="shared" si="13"/>
        <v>2024</v>
      </c>
      <c r="G211" t="s">
        <v>66</v>
      </c>
      <c r="H211" s="15">
        <v>1080</v>
      </c>
    </row>
    <row r="212" spans="1:8" x14ac:dyDescent="0.35">
      <c r="A212" t="s">
        <v>20</v>
      </c>
      <c r="B212" t="s">
        <v>21</v>
      </c>
      <c r="C212" s="1">
        <v>45639</v>
      </c>
      <c r="D212">
        <f t="shared" si="15"/>
        <v>13</v>
      </c>
      <c r="E212">
        <f t="shared" si="14"/>
        <v>12</v>
      </c>
      <c r="F212">
        <f t="shared" si="13"/>
        <v>2024</v>
      </c>
      <c r="G212" t="s">
        <v>66</v>
      </c>
      <c r="H212" s="15">
        <v>1415.78</v>
      </c>
    </row>
    <row r="213" spans="1:8" x14ac:dyDescent="0.35">
      <c r="A213" t="s">
        <v>20</v>
      </c>
      <c r="B213" t="s">
        <v>23</v>
      </c>
      <c r="C213" s="1">
        <v>45642</v>
      </c>
      <c r="D213">
        <f t="shared" si="15"/>
        <v>16</v>
      </c>
      <c r="E213">
        <f t="shared" si="14"/>
        <v>12</v>
      </c>
      <c r="F213">
        <f t="shared" si="13"/>
        <v>2024</v>
      </c>
      <c r="G213" t="s">
        <v>712</v>
      </c>
      <c r="H213" s="15">
        <v>94000</v>
      </c>
    </row>
    <row r="214" spans="1:8" x14ac:dyDescent="0.35">
      <c r="A214" t="s">
        <v>20</v>
      </c>
      <c r="B214" t="s">
        <v>713</v>
      </c>
      <c r="C214" s="1">
        <v>45642</v>
      </c>
      <c r="D214">
        <f t="shared" si="15"/>
        <v>16</v>
      </c>
      <c r="E214">
        <f t="shared" si="14"/>
        <v>12</v>
      </c>
      <c r="F214">
        <f t="shared" si="13"/>
        <v>2024</v>
      </c>
      <c r="G214" t="s">
        <v>712</v>
      </c>
      <c r="H214" s="15">
        <v>4640.41</v>
      </c>
    </row>
    <row r="215" spans="1:8" x14ac:dyDescent="0.35">
      <c r="A215" t="s">
        <v>20</v>
      </c>
      <c r="B215" t="s">
        <v>25</v>
      </c>
      <c r="C215" s="1">
        <v>45643</v>
      </c>
      <c r="D215">
        <f t="shared" si="15"/>
        <v>17</v>
      </c>
      <c r="E215">
        <f t="shared" si="14"/>
        <v>12</v>
      </c>
      <c r="F215">
        <f t="shared" si="13"/>
        <v>2024</v>
      </c>
      <c r="G215" t="s">
        <v>70</v>
      </c>
      <c r="H215" s="15">
        <v>89553.39</v>
      </c>
    </row>
    <row r="216" spans="1:8" x14ac:dyDescent="0.35">
      <c r="A216" t="s">
        <v>20</v>
      </c>
      <c r="B216" t="s">
        <v>25</v>
      </c>
      <c r="C216" s="1">
        <v>45643</v>
      </c>
      <c r="D216">
        <f t="shared" si="15"/>
        <v>17</v>
      </c>
      <c r="E216">
        <f t="shared" si="14"/>
        <v>12</v>
      </c>
      <c r="F216">
        <f t="shared" si="13"/>
        <v>2024</v>
      </c>
      <c r="G216" t="s">
        <v>70</v>
      </c>
      <c r="H216" s="15">
        <v>35231</v>
      </c>
    </row>
    <row r="217" spans="1:8" x14ac:dyDescent="0.35">
      <c r="A217" t="s">
        <v>20</v>
      </c>
      <c r="B217" t="s">
        <v>24</v>
      </c>
      <c r="C217" s="1">
        <v>45644</v>
      </c>
      <c r="D217">
        <f t="shared" si="15"/>
        <v>18</v>
      </c>
      <c r="E217">
        <f t="shared" si="14"/>
        <v>12</v>
      </c>
      <c r="F217">
        <f t="shared" si="13"/>
        <v>2024</v>
      </c>
      <c r="G217" t="s">
        <v>413</v>
      </c>
      <c r="H217" s="15">
        <v>124403</v>
      </c>
    </row>
    <row r="218" spans="1:8" x14ac:dyDescent="0.35">
      <c r="A218" t="s">
        <v>20</v>
      </c>
      <c r="B218" t="s">
        <v>21</v>
      </c>
      <c r="C218" s="1">
        <v>45645</v>
      </c>
      <c r="D218">
        <f t="shared" si="15"/>
        <v>19</v>
      </c>
      <c r="E218">
        <f t="shared" si="14"/>
        <v>12</v>
      </c>
      <c r="F218">
        <f t="shared" si="13"/>
        <v>2024</v>
      </c>
      <c r="G218" t="s">
        <v>66</v>
      </c>
      <c r="H218" s="15">
        <v>43791.4</v>
      </c>
    </row>
    <row r="219" spans="1:8" x14ac:dyDescent="0.35">
      <c r="A219" t="s">
        <v>20</v>
      </c>
      <c r="B219" t="s">
        <v>23</v>
      </c>
      <c r="C219" s="1">
        <v>45649</v>
      </c>
      <c r="D219">
        <f t="shared" ref="D219:D221" si="16">DAY(C219)</f>
        <v>23</v>
      </c>
      <c r="E219">
        <f t="shared" si="14"/>
        <v>12</v>
      </c>
      <c r="F219">
        <f t="shared" ref="F219:F221" si="17">YEAR(C219)</f>
        <v>2024</v>
      </c>
      <c r="G219" t="s">
        <v>67</v>
      </c>
      <c r="H219" s="15">
        <v>41844.92</v>
      </c>
    </row>
    <row r="220" spans="1:8" x14ac:dyDescent="0.35">
      <c r="A220" t="s">
        <v>20</v>
      </c>
      <c r="B220" t="s">
        <v>23</v>
      </c>
      <c r="C220" s="1">
        <v>45649</v>
      </c>
      <c r="D220">
        <f t="shared" si="16"/>
        <v>23</v>
      </c>
      <c r="E220">
        <f t="shared" si="14"/>
        <v>12</v>
      </c>
      <c r="F220">
        <f t="shared" si="17"/>
        <v>2024</v>
      </c>
      <c r="G220" t="s">
        <v>67</v>
      </c>
      <c r="H220" s="15">
        <v>27896.62</v>
      </c>
    </row>
    <row r="221" spans="1:8" x14ac:dyDescent="0.35">
      <c r="A221" t="s">
        <v>20</v>
      </c>
      <c r="B221" t="s">
        <v>23</v>
      </c>
      <c r="C221" s="1">
        <v>45650</v>
      </c>
      <c r="D221">
        <f t="shared" si="16"/>
        <v>24</v>
      </c>
      <c r="E221">
        <f t="shared" si="14"/>
        <v>12</v>
      </c>
      <c r="F221">
        <f t="shared" si="17"/>
        <v>2024</v>
      </c>
      <c r="G221" t="s">
        <v>712</v>
      </c>
      <c r="H221" s="15">
        <v>163190.37</v>
      </c>
    </row>
    <row r="222" spans="1:8" x14ac:dyDescent="0.35">
      <c r="A222" t="s">
        <v>20</v>
      </c>
      <c r="B222" t="s">
        <v>713</v>
      </c>
      <c r="C222" s="1">
        <v>45650</v>
      </c>
      <c r="D222">
        <f t="shared" ref="D222" si="18">DAY(C222)</f>
        <v>24</v>
      </c>
      <c r="E222">
        <f t="shared" si="14"/>
        <v>12</v>
      </c>
      <c r="F222">
        <f t="shared" ref="F222" si="19">YEAR(C222)</f>
        <v>2024</v>
      </c>
      <c r="G222" t="s">
        <v>712</v>
      </c>
      <c r="H222" s="15">
        <v>582.58000000000004</v>
      </c>
    </row>
    <row r="223" spans="1:8" x14ac:dyDescent="0.35">
      <c r="A223" t="s">
        <v>20</v>
      </c>
      <c r="B223" t="s">
        <v>23</v>
      </c>
      <c r="C223" s="1">
        <v>45656</v>
      </c>
      <c r="D223">
        <v>30</v>
      </c>
      <c r="E223">
        <f t="shared" si="14"/>
        <v>12</v>
      </c>
      <c r="F223">
        <v>2024</v>
      </c>
      <c r="G223" t="s">
        <v>68</v>
      </c>
      <c r="H223" s="15">
        <v>2990</v>
      </c>
    </row>
    <row r="224" spans="1:8" x14ac:dyDescent="0.35">
      <c r="A224" t="s">
        <v>20</v>
      </c>
      <c r="B224" t="s">
        <v>23</v>
      </c>
      <c r="C224" s="1">
        <v>45657</v>
      </c>
      <c r="D224">
        <f t="shared" ref="D224:D229" si="20">DAY(C224)</f>
        <v>31</v>
      </c>
      <c r="E224">
        <f t="shared" si="14"/>
        <v>12</v>
      </c>
      <c r="F224">
        <f t="shared" ref="F224:F229" si="21">YEAR(C224)</f>
        <v>2024</v>
      </c>
      <c r="G224" t="s">
        <v>712</v>
      </c>
      <c r="H224" s="15">
        <v>29349.34</v>
      </c>
    </row>
    <row r="225" spans="1:8" x14ac:dyDescent="0.35">
      <c r="A225" t="s">
        <v>20</v>
      </c>
      <c r="B225" t="s">
        <v>713</v>
      </c>
      <c r="C225" s="1">
        <v>45657</v>
      </c>
      <c r="D225">
        <f t="shared" si="20"/>
        <v>31</v>
      </c>
      <c r="E225">
        <f t="shared" si="14"/>
        <v>12</v>
      </c>
      <c r="F225">
        <f t="shared" si="21"/>
        <v>2024</v>
      </c>
      <c r="G225" t="s">
        <v>712</v>
      </c>
      <c r="H225" s="15">
        <v>915.2</v>
      </c>
    </row>
    <row r="226" spans="1:8" x14ac:dyDescent="0.35">
      <c r="A226" t="s">
        <v>20</v>
      </c>
      <c r="B226" t="s">
        <v>21</v>
      </c>
      <c r="C226" s="1">
        <v>45659</v>
      </c>
      <c r="D226">
        <f t="shared" si="20"/>
        <v>2</v>
      </c>
      <c r="E226">
        <f t="shared" si="14"/>
        <v>1</v>
      </c>
      <c r="F226">
        <f t="shared" si="21"/>
        <v>2025</v>
      </c>
      <c r="G226" t="s">
        <v>66</v>
      </c>
      <c r="H226" s="15">
        <v>15036.3</v>
      </c>
    </row>
    <row r="227" spans="1:8" x14ac:dyDescent="0.35">
      <c r="A227" t="s">
        <v>20</v>
      </c>
      <c r="B227" t="s">
        <v>25</v>
      </c>
      <c r="C227" s="1">
        <v>45664</v>
      </c>
      <c r="D227">
        <f t="shared" si="20"/>
        <v>7</v>
      </c>
      <c r="E227">
        <f t="shared" si="14"/>
        <v>1</v>
      </c>
      <c r="F227">
        <f t="shared" si="21"/>
        <v>2025</v>
      </c>
      <c r="G227" t="s">
        <v>70</v>
      </c>
      <c r="H227" s="15">
        <v>11244.42</v>
      </c>
    </row>
    <row r="228" spans="1:8" x14ac:dyDescent="0.35">
      <c r="A228" t="s">
        <v>20</v>
      </c>
      <c r="B228" t="s">
        <v>21</v>
      </c>
      <c r="C228" s="1">
        <v>45665</v>
      </c>
      <c r="D228">
        <f t="shared" si="20"/>
        <v>8</v>
      </c>
      <c r="E228">
        <f t="shared" si="14"/>
        <v>1</v>
      </c>
      <c r="F228">
        <f t="shared" si="21"/>
        <v>2025</v>
      </c>
      <c r="G228" t="s">
        <v>66</v>
      </c>
      <c r="H228" s="15">
        <v>10255.48</v>
      </c>
    </row>
    <row r="229" spans="1:8" x14ac:dyDescent="0.35">
      <c r="A229" t="s">
        <v>20</v>
      </c>
      <c r="B229" t="s">
        <v>23</v>
      </c>
      <c r="C229" s="1">
        <v>45670</v>
      </c>
      <c r="D229">
        <f t="shared" si="20"/>
        <v>13</v>
      </c>
      <c r="E229">
        <f t="shared" si="14"/>
        <v>1</v>
      </c>
      <c r="F229">
        <f t="shared" si="21"/>
        <v>2025</v>
      </c>
      <c r="G229" t="s">
        <v>66</v>
      </c>
      <c r="H229" s="15">
        <v>9260.7800000000007</v>
      </c>
    </row>
    <row r="230" spans="1:8" x14ac:dyDescent="0.35">
      <c r="A230" t="s">
        <v>20</v>
      </c>
      <c r="B230" t="s">
        <v>21</v>
      </c>
      <c r="C230" s="1">
        <v>45673</v>
      </c>
      <c r="D230">
        <f t="shared" ref="D230:D236" si="22">DAY(C230)</f>
        <v>16</v>
      </c>
      <c r="E230">
        <f t="shared" si="14"/>
        <v>1</v>
      </c>
      <c r="F230">
        <f t="shared" ref="F230:F236" si="23">YEAR(C230)</f>
        <v>2025</v>
      </c>
      <c r="G230" t="s">
        <v>66</v>
      </c>
      <c r="H230" s="15">
        <v>32299.21</v>
      </c>
    </row>
    <row r="231" spans="1:8" x14ac:dyDescent="0.35">
      <c r="A231" t="s">
        <v>20</v>
      </c>
      <c r="B231" t="s">
        <v>24</v>
      </c>
      <c r="C231" s="1">
        <v>45678</v>
      </c>
      <c r="D231">
        <f t="shared" si="22"/>
        <v>21</v>
      </c>
      <c r="E231">
        <f t="shared" si="14"/>
        <v>1</v>
      </c>
      <c r="F231">
        <f t="shared" si="23"/>
        <v>2025</v>
      </c>
      <c r="G231" t="s">
        <v>69</v>
      </c>
      <c r="H231" s="15">
        <v>152240.92000000001</v>
      </c>
    </row>
    <row r="232" spans="1:8" x14ac:dyDescent="0.35">
      <c r="A232" t="s">
        <v>20</v>
      </c>
      <c r="B232" t="s">
        <v>23</v>
      </c>
      <c r="C232" s="1">
        <v>45678</v>
      </c>
      <c r="D232">
        <f t="shared" si="22"/>
        <v>21</v>
      </c>
      <c r="E232">
        <f t="shared" si="14"/>
        <v>1</v>
      </c>
      <c r="F232">
        <f t="shared" si="23"/>
        <v>2025</v>
      </c>
      <c r="G232" t="s">
        <v>69</v>
      </c>
      <c r="H232" s="15">
        <v>47699.08</v>
      </c>
    </row>
    <row r="233" spans="1:8" x14ac:dyDescent="0.35">
      <c r="A233" t="s">
        <v>20</v>
      </c>
      <c r="B233" t="s">
        <v>21</v>
      </c>
      <c r="C233" s="1">
        <v>45678</v>
      </c>
      <c r="D233">
        <f t="shared" si="22"/>
        <v>21</v>
      </c>
      <c r="E233">
        <f t="shared" si="14"/>
        <v>1</v>
      </c>
      <c r="F233">
        <f t="shared" si="23"/>
        <v>2025</v>
      </c>
      <c r="G233" t="s">
        <v>69</v>
      </c>
      <c r="H233" s="15">
        <v>75000</v>
      </c>
    </row>
    <row r="234" spans="1:8" x14ac:dyDescent="0.35">
      <c r="A234" t="s">
        <v>20</v>
      </c>
      <c r="B234" t="s">
        <v>25</v>
      </c>
      <c r="C234" s="1">
        <v>45678</v>
      </c>
      <c r="D234">
        <f t="shared" si="22"/>
        <v>21</v>
      </c>
      <c r="E234">
        <f t="shared" si="14"/>
        <v>1</v>
      </c>
      <c r="F234">
        <f t="shared" si="23"/>
        <v>2025</v>
      </c>
      <c r="G234" t="s">
        <v>69</v>
      </c>
      <c r="H234" s="15">
        <v>90672.45</v>
      </c>
    </row>
    <row r="235" spans="1:8" x14ac:dyDescent="0.35">
      <c r="A235" t="s">
        <v>20</v>
      </c>
      <c r="B235" t="s">
        <v>23</v>
      </c>
      <c r="C235" s="1">
        <v>45678</v>
      </c>
      <c r="D235">
        <f t="shared" si="22"/>
        <v>21</v>
      </c>
      <c r="E235">
        <f t="shared" si="14"/>
        <v>1</v>
      </c>
      <c r="F235">
        <f t="shared" si="23"/>
        <v>2025</v>
      </c>
      <c r="G235" t="s">
        <v>69</v>
      </c>
      <c r="H235" s="15">
        <v>34267.550000000003</v>
      </c>
    </row>
    <row r="236" spans="1:8" x14ac:dyDescent="0.35">
      <c r="A236" t="s">
        <v>20</v>
      </c>
      <c r="B236" t="s">
        <v>21</v>
      </c>
      <c r="C236" s="1">
        <v>45678</v>
      </c>
      <c r="D236">
        <f t="shared" si="22"/>
        <v>21</v>
      </c>
      <c r="E236">
        <f t="shared" si="14"/>
        <v>1</v>
      </c>
      <c r="F236">
        <f t="shared" si="23"/>
        <v>2025</v>
      </c>
      <c r="G236" t="s">
        <v>69</v>
      </c>
      <c r="H236" s="15">
        <v>224940</v>
      </c>
    </row>
    <row r="237" spans="1:8" x14ac:dyDescent="0.35">
      <c r="A237" t="s">
        <v>20</v>
      </c>
      <c r="B237" t="s">
        <v>23</v>
      </c>
      <c r="C237" s="1">
        <v>45681</v>
      </c>
      <c r="D237">
        <f>DAY(C237)</f>
        <v>24</v>
      </c>
      <c r="E237">
        <f t="shared" si="14"/>
        <v>1</v>
      </c>
      <c r="F237">
        <f>YEAR(C237)</f>
        <v>2025</v>
      </c>
      <c r="G237" t="s">
        <v>712</v>
      </c>
      <c r="H237" s="15">
        <v>130500</v>
      </c>
    </row>
    <row r="238" spans="1:8" x14ac:dyDescent="0.35">
      <c r="A238" t="s">
        <v>20</v>
      </c>
      <c r="B238" t="s">
        <v>713</v>
      </c>
      <c r="C238" s="1">
        <v>45681</v>
      </c>
      <c r="D238">
        <f>DAY(C238)</f>
        <v>24</v>
      </c>
      <c r="E238">
        <f t="shared" si="14"/>
        <v>1</v>
      </c>
      <c r="F238">
        <f>YEAR(C238)</f>
        <v>2025</v>
      </c>
      <c r="G238" t="s">
        <v>712</v>
      </c>
      <c r="H238" s="15">
        <v>412.36</v>
      </c>
    </row>
    <row r="239" spans="1:8" x14ac:dyDescent="0.35">
      <c r="A239" t="s">
        <v>20</v>
      </c>
      <c r="B239" t="s">
        <v>23</v>
      </c>
      <c r="C239" s="1">
        <v>45687</v>
      </c>
      <c r="D239">
        <f t="shared" ref="D239:D240" si="24">DAY(C239)</f>
        <v>30</v>
      </c>
      <c r="E239">
        <f t="shared" si="14"/>
        <v>1</v>
      </c>
      <c r="F239">
        <f t="shared" ref="F239:F240" si="25">YEAR(C239)</f>
        <v>2025</v>
      </c>
      <c r="G239" t="s">
        <v>68</v>
      </c>
      <c r="H239" s="15">
        <v>995</v>
      </c>
    </row>
    <row r="240" spans="1:8" x14ac:dyDescent="0.35">
      <c r="A240" t="s">
        <v>20</v>
      </c>
      <c r="B240" t="s">
        <v>25</v>
      </c>
      <c r="C240" s="1">
        <v>45687</v>
      </c>
      <c r="D240">
        <f t="shared" si="24"/>
        <v>30</v>
      </c>
      <c r="E240">
        <f t="shared" si="14"/>
        <v>1</v>
      </c>
      <c r="F240">
        <f t="shared" si="25"/>
        <v>2025</v>
      </c>
      <c r="G240" t="s">
        <v>70</v>
      </c>
      <c r="H240" s="15">
        <v>36515.69</v>
      </c>
    </row>
    <row r="241" spans="1:8" x14ac:dyDescent="0.35">
      <c r="A241" t="s">
        <v>20</v>
      </c>
      <c r="B241" t="s">
        <v>25</v>
      </c>
      <c r="C241" s="1">
        <v>45688</v>
      </c>
      <c r="D241">
        <f t="shared" ref="D241:D247" si="26">DAY(C241)</f>
        <v>31</v>
      </c>
      <c r="E241">
        <f t="shared" si="14"/>
        <v>1</v>
      </c>
      <c r="F241">
        <f t="shared" ref="F241:F247" si="27">YEAR(C241)</f>
        <v>2025</v>
      </c>
      <c r="G241" t="s">
        <v>70</v>
      </c>
      <c r="H241" s="15">
        <v>48475</v>
      </c>
    </row>
    <row r="242" spans="1:8" x14ac:dyDescent="0.35">
      <c r="A242" t="s">
        <v>20</v>
      </c>
      <c r="B242" t="s">
        <v>25</v>
      </c>
      <c r="C242" s="1">
        <v>45691</v>
      </c>
      <c r="D242">
        <f t="shared" si="26"/>
        <v>3</v>
      </c>
      <c r="E242">
        <f t="shared" si="14"/>
        <v>2</v>
      </c>
      <c r="F242">
        <f t="shared" si="27"/>
        <v>2025</v>
      </c>
      <c r="G242" t="s">
        <v>70</v>
      </c>
      <c r="H242" s="15">
        <v>40948</v>
      </c>
    </row>
    <row r="243" spans="1:8" x14ac:dyDescent="0.35">
      <c r="A243" t="s">
        <v>20</v>
      </c>
      <c r="B243" t="s">
        <v>23</v>
      </c>
      <c r="C243" s="1">
        <v>45694</v>
      </c>
      <c r="D243">
        <f t="shared" si="26"/>
        <v>6</v>
      </c>
      <c r="E243">
        <f t="shared" si="14"/>
        <v>2</v>
      </c>
      <c r="F243">
        <f t="shared" si="27"/>
        <v>2025</v>
      </c>
      <c r="G243" t="s">
        <v>131</v>
      </c>
      <c r="H243" s="15">
        <v>12464.11</v>
      </c>
    </row>
    <row r="244" spans="1:8" x14ac:dyDescent="0.35">
      <c r="A244" t="s">
        <v>20</v>
      </c>
      <c r="B244" t="s">
        <v>21</v>
      </c>
      <c r="C244" s="1">
        <v>45699</v>
      </c>
      <c r="D244">
        <f t="shared" si="26"/>
        <v>11</v>
      </c>
      <c r="E244">
        <f t="shared" ref="E244:E254" si="28">MONTH(C244)</f>
        <v>2</v>
      </c>
      <c r="F244">
        <f t="shared" si="27"/>
        <v>2025</v>
      </c>
      <c r="G244" t="s">
        <v>686</v>
      </c>
      <c r="H244" s="15">
        <v>128586.88</v>
      </c>
    </row>
    <row r="245" spans="1:8" x14ac:dyDescent="0.35">
      <c r="A245" t="s">
        <v>20</v>
      </c>
      <c r="B245" t="s">
        <v>27</v>
      </c>
      <c r="C245" s="1">
        <v>45700</v>
      </c>
      <c r="D245">
        <f t="shared" si="26"/>
        <v>12</v>
      </c>
      <c r="E245">
        <f t="shared" si="28"/>
        <v>2</v>
      </c>
      <c r="F245">
        <f t="shared" si="27"/>
        <v>2025</v>
      </c>
      <c r="G245" t="s">
        <v>255</v>
      </c>
      <c r="H245" s="15">
        <v>81496.25</v>
      </c>
    </row>
    <row r="246" spans="1:8" x14ac:dyDescent="0.35">
      <c r="A246" t="s">
        <v>20</v>
      </c>
      <c r="B246" t="s">
        <v>27</v>
      </c>
      <c r="C246" s="1">
        <v>45700</v>
      </c>
      <c r="D246">
        <f t="shared" si="26"/>
        <v>12</v>
      </c>
      <c r="E246">
        <f t="shared" si="28"/>
        <v>2</v>
      </c>
      <c r="F246">
        <f t="shared" si="27"/>
        <v>2025</v>
      </c>
      <c r="G246" t="s">
        <v>132</v>
      </c>
      <c r="H246" s="15">
        <v>18503.75</v>
      </c>
    </row>
    <row r="247" spans="1:8" x14ac:dyDescent="0.35">
      <c r="A247" t="s">
        <v>20</v>
      </c>
      <c r="B247" t="s">
        <v>23</v>
      </c>
      <c r="C247" s="1">
        <v>45701</v>
      </c>
      <c r="D247">
        <f t="shared" si="26"/>
        <v>13</v>
      </c>
      <c r="E247">
        <f t="shared" si="28"/>
        <v>2</v>
      </c>
      <c r="F247">
        <f t="shared" si="27"/>
        <v>2025</v>
      </c>
      <c r="G247" t="s">
        <v>66</v>
      </c>
      <c r="H247" s="15">
        <v>10641.1</v>
      </c>
    </row>
    <row r="248" spans="1:8" x14ac:dyDescent="0.35">
      <c r="A248" t="s">
        <v>20</v>
      </c>
      <c r="B248" t="s">
        <v>24</v>
      </c>
      <c r="C248" s="1">
        <v>45709</v>
      </c>
      <c r="D248">
        <f t="shared" ref="D248:D254" si="29">DAY(C248)</f>
        <v>21</v>
      </c>
      <c r="E248">
        <f t="shared" si="28"/>
        <v>2</v>
      </c>
      <c r="F248">
        <f t="shared" ref="F248:F254" si="30">YEAR(C248)</f>
        <v>2025</v>
      </c>
      <c r="G248" t="s">
        <v>69</v>
      </c>
      <c r="H248" s="15">
        <v>112000</v>
      </c>
    </row>
    <row r="249" spans="1:8" x14ac:dyDescent="0.35">
      <c r="A249" t="s">
        <v>20</v>
      </c>
      <c r="B249" t="s">
        <v>25</v>
      </c>
      <c r="C249" s="1">
        <v>45709</v>
      </c>
      <c r="D249">
        <f t="shared" si="29"/>
        <v>21</v>
      </c>
      <c r="E249">
        <f t="shared" si="28"/>
        <v>2</v>
      </c>
      <c r="F249">
        <f t="shared" si="30"/>
        <v>2025</v>
      </c>
      <c r="G249" t="s">
        <v>69</v>
      </c>
      <c r="H249" s="15">
        <v>74000</v>
      </c>
    </row>
    <row r="250" spans="1:8" x14ac:dyDescent="0.35">
      <c r="A250" t="s">
        <v>20</v>
      </c>
      <c r="B250" t="s">
        <v>21</v>
      </c>
      <c r="C250" s="1">
        <v>45709</v>
      </c>
      <c r="D250">
        <f t="shared" si="29"/>
        <v>21</v>
      </c>
      <c r="E250">
        <f t="shared" si="28"/>
        <v>2</v>
      </c>
      <c r="F250">
        <f t="shared" si="30"/>
        <v>2025</v>
      </c>
      <c r="G250" t="s">
        <v>69</v>
      </c>
      <c r="H250" s="15">
        <v>14000</v>
      </c>
    </row>
    <row r="251" spans="1:8" x14ac:dyDescent="0.35">
      <c r="A251" t="s">
        <v>20</v>
      </c>
      <c r="B251" t="s">
        <v>21</v>
      </c>
      <c r="C251" s="1">
        <v>45709</v>
      </c>
      <c r="D251">
        <f t="shared" si="29"/>
        <v>21</v>
      </c>
      <c r="E251">
        <f t="shared" si="28"/>
        <v>2</v>
      </c>
      <c r="F251">
        <f t="shared" si="30"/>
        <v>2025</v>
      </c>
      <c r="G251" t="s">
        <v>69</v>
      </c>
      <c r="H251" s="15">
        <v>142940</v>
      </c>
    </row>
    <row r="252" spans="1:8" x14ac:dyDescent="0.35">
      <c r="A252" t="s">
        <v>20</v>
      </c>
      <c r="B252" t="s">
        <v>21</v>
      </c>
      <c r="C252" s="1">
        <v>45709</v>
      </c>
      <c r="D252">
        <f t="shared" si="29"/>
        <v>21</v>
      </c>
      <c r="E252">
        <f t="shared" si="28"/>
        <v>2</v>
      </c>
      <c r="F252">
        <f t="shared" si="30"/>
        <v>2025</v>
      </c>
      <c r="G252" t="s">
        <v>69</v>
      </c>
      <c r="H252" s="15">
        <v>67940</v>
      </c>
    </row>
    <row r="253" spans="1:8" x14ac:dyDescent="0.35">
      <c r="A253" t="s">
        <v>20</v>
      </c>
      <c r="B253" t="s">
        <v>23</v>
      </c>
      <c r="C253" s="1">
        <v>45709</v>
      </c>
      <c r="D253">
        <f t="shared" si="29"/>
        <v>21</v>
      </c>
      <c r="E253">
        <f t="shared" si="28"/>
        <v>2</v>
      </c>
      <c r="F253">
        <f t="shared" si="30"/>
        <v>2025</v>
      </c>
      <c r="G253" t="s">
        <v>69</v>
      </c>
      <c r="H253" s="15">
        <v>32000</v>
      </c>
    </row>
    <row r="254" spans="1:8" x14ac:dyDescent="0.35">
      <c r="A254" t="s">
        <v>20</v>
      </c>
      <c r="B254" t="s">
        <v>23</v>
      </c>
      <c r="C254" s="1">
        <v>45709</v>
      </c>
      <c r="D254">
        <f t="shared" si="29"/>
        <v>21</v>
      </c>
      <c r="E254">
        <f t="shared" si="28"/>
        <v>2</v>
      </c>
      <c r="F254">
        <f t="shared" si="30"/>
        <v>2025</v>
      </c>
      <c r="G254" t="s">
        <v>712</v>
      </c>
      <c r="H254" s="15">
        <v>143998.69</v>
      </c>
    </row>
    <row r="255" spans="1:8" x14ac:dyDescent="0.35">
      <c r="A255" t="s">
        <v>20</v>
      </c>
      <c r="B255" t="s">
        <v>713</v>
      </c>
      <c r="C255" s="1">
        <v>45709</v>
      </c>
      <c r="D255">
        <f>DAY(C255)</f>
        <v>21</v>
      </c>
      <c r="E255">
        <f>MONTH(C255)</f>
        <v>2</v>
      </c>
      <c r="F255">
        <f>YEAR(C255)</f>
        <v>2025</v>
      </c>
      <c r="G255" t="s">
        <v>712</v>
      </c>
      <c r="H255" s="15">
        <v>1706.3</v>
      </c>
    </row>
    <row r="256" spans="1:8" x14ac:dyDescent="0.35">
      <c r="A256" t="s">
        <v>20</v>
      </c>
      <c r="B256" t="s">
        <v>23</v>
      </c>
      <c r="C256" s="1">
        <v>45712</v>
      </c>
      <c r="D256">
        <f>DAY(C256)</f>
        <v>24</v>
      </c>
      <c r="E256">
        <f>MONTH(C256)</f>
        <v>2</v>
      </c>
      <c r="F256">
        <f>YEAR(C256)</f>
        <v>2025</v>
      </c>
      <c r="G256" t="s">
        <v>67</v>
      </c>
      <c r="H256" s="15">
        <v>51253.77</v>
      </c>
    </row>
    <row r="257" spans="1:8" x14ac:dyDescent="0.35">
      <c r="A257" t="s">
        <v>20</v>
      </c>
      <c r="B257" t="s">
        <v>23</v>
      </c>
      <c r="C257" s="1">
        <v>45716</v>
      </c>
      <c r="D257">
        <f>DAY(C257)</f>
        <v>28</v>
      </c>
      <c r="E257">
        <f>MONTH(C257)</f>
        <v>2</v>
      </c>
      <c r="F257">
        <f>YEAR(C257)</f>
        <v>2025</v>
      </c>
      <c r="G257" t="s">
        <v>69</v>
      </c>
      <c r="H257" s="15">
        <v>19945</v>
      </c>
    </row>
    <row r="258" spans="1:8" x14ac:dyDescent="0.35">
      <c r="A258" t="s">
        <v>20</v>
      </c>
      <c r="B258" t="s">
        <v>25</v>
      </c>
      <c r="C258" s="1">
        <v>45716</v>
      </c>
      <c r="D258">
        <f t="shared" ref="D258:D260" si="31">DAY(C258)</f>
        <v>28</v>
      </c>
      <c r="E258">
        <f t="shared" ref="E258:E260" si="32">MONTH(C258)</f>
        <v>2</v>
      </c>
      <c r="F258">
        <f t="shared" ref="F258:F260" si="33">YEAR(C258)</f>
        <v>2025</v>
      </c>
      <c r="G258" t="s">
        <v>70</v>
      </c>
      <c r="H258" s="15">
        <v>58035</v>
      </c>
    </row>
    <row r="259" spans="1:8" x14ac:dyDescent="0.35">
      <c r="A259" t="s">
        <v>20</v>
      </c>
      <c r="B259" t="s">
        <v>25</v>
      </c>
      <c r="C259" s="1">
        <v>45716</v>
      </c>
      <c r="D259">
        <f t="shared" si="31"/>
        <v>28</v>
      </c>
      <c r="E259">
        <f t="shared" si="32"/>
        <v>2</v>
      </c>
      <c r="F259">
        <f t="shared" si="33"/>
        <v>2025</v>
      </c>
      <c r="G259" t="s">
        <v>70</v>
      </c>
      <c r="H259" s="15">
        <v>40579.85</v>
      </c>
    </row>
    <row r="260" spans="1:8" x14ac:dyDescent="0.35">
      <c r="A260" t="s">
        <v>20</v>
      </c>
      <c r="B260" t="s">
        <v>25</v>
      </c>
      <c r="C260" s="1">
        <v>45716</v>
      </c>
      <c r="D260">
        <f t="shared" si="31"/>
        <v>28</v>
      </c>
      <c r="E260">
        <f t="shared" si="32"/>
        <v>2</v>
      </c>
      <c r="F260">
        <f t="shared" si="33"/>
        <v>2025</v>
      </c>
      <c r="G260" t="s">
        <v>70</v>
      </c>
      <c r="H260" s="15">
        <v>54347.76</v>
      </c>
    </row>
    <row r="261" spans="1:8" x14ac:dyDescent="0.35">
      <c r="A261" t="s">
        <v>20</v>
      </c>
      <c r="B261" t="s">
        <v>23</v>
      </c>
      <c r="C261" s="1">
        <v>45722</v>
      </c>
      <c r="D261">
        <f>DAY(C261)</f>
        <v>6</v>
      </c>
      <c r="E261">
        <f>MONTH(C261)</f>
        <v>3</v>
      </c>
      <c r="F261">
        <f>YEAR(C261)</f>
        <v>2025</v>
      </c>
      <c r="G261" t="s">
        <v>131</v>
      </c>
      <c r="H261" s="15">
        <v>30856.37</v>
      </c>
    </row>
    <row r="262" spans="1:8" x14ac:dyDescent="0.35">
      <c r="A262" t="s">
        <v>20</v>
      </c>
      <c r="B262" t="s">
        <v>21</v>
      </c>
      <c r="C262" s="1">
        <v>45722</v>
      </c>
      <c r="D262">
        <f>DAY(C262)</f>
        <v>6</v>
      </c>
      <c r="E262">
        <f>MONTH(C262)</f>
        <v>3</v>
      </c>
      <c r="F262">
        <f>YEAR(C262)</f>
        <v>2025</v>
      </c>
      <c r="G262" t="s">
        <v>686</v>
      </c>
      <c r="H262" s="15">
        <v>58407.7</v>
      </c>
    </row>
    <row r="263" spans="1:8" x14ac:dyDescent="0.35">
      <c r="A263" t="s">
        <v>20</v>
      </c>
      <c r="B263" t="s">
        <v>25</v>
      </c>
      <c r="C263" s="1">
        <v>45723</v>
      </c>
      <c r="D263">
        <f t="shared" ref="D263:D264" si="34">DAY(C263)</f>
        <v>7</v>
      </c>
      <c r="E263">
        <f t="shared" ref="E263:E264" si="35">MONTH(C263)</f>
        <v>3</v>
      </c>
      <c r="F263">
        <f t="shared" ref="F263:F264" si="36">YEAR(C263)</f>
        <v>2025</v>
      </c>
      <c r="G263" t="s">
        <v>70</v>
      </c>
      <c r="H263" s="15">
        <v>6703</v>
      </c>
    </row>
    <row r="264" spans="1:8" x14ac:dyDescent="0.35">
      <c r="A264" t="s">
        <v>20</v>
      </c>
      <c r="B264" t="s">
        <v>25</v>
      </c>
      <c r="C264" s="1">
        <v>45723</v>
      </c>
      <c r="D264">
        <f t="shared" si="34"/>
        <v>7</v>
      </c>
      <c r="E264">
        <f t="shared" si="35"/>
        <v>3</v>
      </c>
      <c r="F264">
        <f t="shared" si="36"/>
        <v>2025</v>
      </c>
      <c r="G264" t="s">
        <v>70</v>
      </c>
      <c r="H264" s="15">
        <v>6979.87</v>
      </c>
    </row>
    <row r="265" spans="1:8" x14ac:dyDescent="0.35">
      <c r="A265" t="s">
        <v>20</v>
      </c>
      <c r="B265" t="s">
        <v>23</v>
      </c>
      <c r="C265" s="1">
        <v>45726</v>
      </c>
      <c r="D265">
        <f t="shared" ref="D265:D267" si="37">DAY(C265)</f>
        <v>10</v>
      </c>
      <c r="E265">
        <f t="shared" ref="E265:E267" si="38">MONTH(C265)</f>
        <v>3</v>
      </c>
      <c r="F265">
        <f t="shared" ref="F265:F267" si="39">YEAR(C265)</f>
        <v>2025</v>
      </c>
      <c r="G265" t="s">
        <v>68</v>
      </c>
      <c r="H265" s="15">
        <v>1540</v>
      </c>
    </row>
    <row r="266" spans="1:8" x14ac:dyDescent="0.35">
      <c r="A266" t="s">
        <v>20</v>
      </c>
      <c r="B266" t="s">
        <v>23</v>
      </c>
      <c r="C266" s="1">
        <v>45726</v>
      </c>
      <c r="D266">
        <f t="shared" si="37"/>
        <v>10</v>
      </c>
      <c r="E266">
        <f t="shared" si="38"/>
        <v>3</v>
      </c>
      <c r="F266">
        <f t="shared" si="39"/>
        <v>2025</v>
      </c>
      <c r="G266" t="s">
        <v>66</v>
      </c>
      <c r="H266" s="15">
        <v>7456.18</v>
      </c>
    </row>
    <row r="267" spans="1:8" x14ac:dyDescent="0.35">
      <c r="A267" t="s">
        <v>20</v>
      </c>
      <c r="B267" t="s">
        <v>27</v>
      </c>
      <c r="C267" s="1">
        <v>45726</v>
      </c>
      <c r="D267">
        <f t="shared" si="37"/>
        <v>10</v>
      </c>
      <c r="E267">
        <f t="shared" si="38"/>
        <v>3</v>
      </c>
      <c r="F267">
        <f t="shared" si="39"/>
        <v>2025</v>
      </c>
      <c r="G267" t="s">
        <v>255</v>
      </c>
      <c r="H267" s="15">
        <v>69020.73</v>
      </c>
    </row>
    <row r="268" spans="1:8" x14ac:dyDescent="0.35">
      <c r="A268" t="s">
        <v>20</v>
      </c>
      <c r="B268" t="s">
        <v>23</v>
      </c>
      <c r="C268" s="1">
        <v>45730</v>
      </c>
      <c r="D268">
        <f>DAY(C268)</f>
        <v>14</v>
      </c>
      <c r="E268">
        <f>MONTH(C268)</f>
        <v>3</v>
      </c>
      <c r="F268">
        <f>YEAR(C268)</f>
        <v>2025</v>
      </c>
      <c r="G268" t="s">
        <v>66</v>
      </c>
      <c r="H268" s="15">
        <v>1080</v>
      </c>
    </row>
    <row r="269" spans="1:8" x14ac:dyDescent="0.35">
      <c r="A269" t="s">
        <v>20</v>
      </c>
      <c r="B269" t="s">
        <v>21</v>
      </c>
      <c r="C269" s="1">
        <v>45730</v>
      </c>
      <c r="D269">
        <f t="shared" ref="D269:D276" si="40">DAY(C269)</f>
        <v>14</v>
      </c>
      <c r="E269">
        <f t="shared" ref="E269:E276" si="41">MONTH(C269)</f>
        <v>3</v>
      </c>
      <c r="F269">
        <f t="shared" ref="F269:F276" si="42">YEAR(C269)</f>
        <v>2025</v>
      </c>
      <c r="G269" t="s">
        <v>66</v>
      </c>
      <c r="H269" s="15">
        <v>1062</v>
      </c>
    </row>
    <row r="270" spans="1:8" x14ac:dyDescent="0.35">
      <c r="A270" t="s">
        <v>20</v>
      </c>
      <c r="B270" t="s">
        <v>25</v>
      </c>
      <c r="C270" s="1">
        <v>45730</v>
      </c>
      <c r="D270">
        <f t="shared" si="40"/>
        <v>14</v>
      </c>
      <c r="E270">
        <f t="shared" si="41"/>
        <v>3</v>
      </c>
      <c r="F270">
        <f t="shared" si="42"/>
        <v>2025</v>
      </c>
      <c r="G270" t="s">
        <v>66</v>
      </c>
      <c r="H270" s="15">
        <v>353</v>
      </c>
    </row>
    <row r="271" spans="1:8" x14ac:dyDescent="0.35">
      <c r="A271" t="s">
        <v>20</v>
      </c>
      <c r="B271" t="s">
        <v>23</v>
      </c>
      <c r="C271" s="1">
        <v>45733</v>
      </c>
      <c r="D271">
        <f t="shared" si="40"/>
        <v>17</v>
      </c>
      <c r="E271">
        <f t="shared" si="41"/>
        <v>3</v>
      </c>
      <c r="F271">
        <f t="shared" si="42"/>
        <v>2025</v>
      </c>
      <c r="G271" t="s">
        <v>712</v>
      </c>
      <c r="H271" s="15">
        <v>88387.77</v>
      </c>
    </row>
    <row r="272" spans="1:8" x14ac:dyDescent="0.35">
      <c r="A272" t="s">
        <v>20</v>
      </c>
      <c r="B272" t="s">
        <v>23</v>
      </c>
      <c r="C272" s="1">
        <v>45734</v>
      </c>
      <c r="D272">
        <f t="shared" si="40"/>
        <v>18</v>
      </c>
      <c r="E272">
        <f t="shared" si="41"/>
        <v>3</v>
      </c>
      <c r="F272">
        <f t="shared" si="42"/>
        <v>2025</v>
      </c>
      <c r="G272" t="s">
        <v>67</v>
      </c>
      <c r="H272" s="15">
        <v>12932.09</v>
      </c>
    </row>
    <row r="273" spans="1:8" x14ac:dyDescent="0.35">
      <c r="A273" t="s">
        <v>20</v>
      </c>
      <c r="B273" t="s">
        <v>23</v>
      </c>
      <c r="C273" s="1">
        <v>45734</v>
      </c>
      <c r="D273">
        <f t="shared" si="40"/>
        <v>18</v>
      </c>
      <c r="E273">
        <f t="shared" si="41"/>
        <v>3</v>
      </c>
      <c r="F273">
        <f t="shared" si="42"/>
        <v>2025</v>
      </c>
      <c r="G273" t="s">
        <v>67</v>
      </c>
      <c r="H273" s="15">
        <v>19398.12</v>
      </c>
    </row>
    <row r="274" spans="1:8" x14ac:dyDescent="0.35">
      <c r="A274" t="s">
        <v>20</v>
      </c>
      <c r="B274" t="s">
        <v>27</v>
      </c>
      <c r="C274" s="1">
        <v>45737</v>
      </c>
      <c r="D274">
        <f t="shared" si="40"/>
        <v>21</v>
      </c>
      <c r="E274">
        <f t="shared" si="41"/>
        <v>3</v>
      </c>
      <c r="F274">
        <f t="shared" si="42"/>
        <v>2025</v>
      </c>
      <c r="G274" t="s">
        <v>332</v>
      </c>
      <c r="H274" s="15">
        <v>4400.6899999999996</v>
      </c>
    </row>
    <row r="275" spans="1:8" x14ac:dyDescent="0.35">
      <c r="A275" t="s">
        <v>20</v>
      </c>
      <c r="B275" t="s">
        <v>27</v>
      </c>
      <c r="C275" s="1">
        <v>45737</v>
      </c>
      <c r="D275">
        <f t="shared" si="40"/>
        <v>21</v>
      </c>
      <c r="E275">
        <f t="shared" si="41"/>
        <v>3</v>
      </c>
      <c r="F275">
        <f t="shared" si="42"/>
        <v>2025</v>
      </c>
      <c r="G275" t="s">
        <v>332</v>
      </c>
      <c r="H275" s="15">
        <v>4345.32</v>
      </c>
    </row>
    <row r="276" spans="1:8" x14ac:dyDescent="0.35">
      <c r="A276" t="s">
        <v>20</v>
      </c>
      <c r="B276" t="s">
        <v>27</v>
      </c>
      <c r="C276" s="1">
        <v>45740</v>
      </c>
      <c r="D276">
        <f t="shared" si="40"/>
        <v>24</v>
      </c>
      <c r="E276">
        <f t="shared" si="41"/>
        <v>3</v>
      </c>
      <c r="F276">
        <f t="shared" si="42"/>
        <v>2025</v>
      </c>
      <c r="G276" t="s">
        <v>255</v>
      </c>
      <c r="H276" s="15">
        <v>225720.02</v>
      </c>
    </row>
    <row r="277" spans="1:8" x14ac:dyDescent="0.35">
      <c r="A277" t="s">
        <v>20</v>
      </c>
      <c r="B277" t="s">
        <v>23</v>
      </c>
      <c r="C277" s="1">
        <v>45740</v>
      </c>
      <c r="D277">
        <f>DAY(C277)</f>
        <v>24</v>
      </c>
      <c r="E277">
        <f>MONTH(C277)</f>
        <v>3</v>
      </c>
      <c r="F277">
        <f>YEAR(C277)</f>
        <v>2025</v>
      </c>
      <c r="G277" t="s">
        <v>68</v>
      </c>
      <c r="H277" s="15">
        <v>1990</v>
      </c>
    </row>
    <row r="278" spans="1:8" x14ac:dyDescent="0.35">
      <c r="A278" t="s">
        <v>20</v>
      </c>
      <c r="B278" t="s">
        <v>21</v>
      </c>
      <c r="C278" s="1">
        <v>45742</v>
      </c>
      <c r="D278">
        <f>DAY(C278)</f>
        <v>26</v>
      </c>
      <c r="E278">
        <f>MONTH(C278)</f>
        <v>3</v>
      </c>
      <c r="F278">
        <f>YEAR(C278)</f>
        <v>2025</v>
      </c>
      <c r="G278" t="s">
        <v>66</v>
      </c>
      <c r="H278" s="15">
        <v>18462.310000000001</v>
      </c>
    </row>
    <row r="279" spans="1:8" x14ac:dyDescent="0.35">
      <c r="A279" t="s">
        <v>20</v>
      </c>
      <c r="B279" t="s">
        <v>21</v>
      </c>
      <c r="C279" s="1">
        <v>45744</v>
      </c>
      <c r="D279">
        <f>DAY(C279)</f>
        <v>28</v>
      </c>
      <c r="E279">
        <f>MONTH(C279)</f>
        <v>3</v>
      </c>
      <c r="F279">
        <f>YEAR(C279)</f>
        <v>2025</v>
      </c>
      <c r="G279" t="s">
        <v>411</v>
      </c>
      <c r="H279" s="15">
        <v>4911.43</v>
      </c>
    </row>
    <row r="280" spans="1:8" x14ac:dyDescent="0.35">
      <c r="A280" t="s">
        <v>20</v>
      </c>
      <c r="B280" t="s">
        <v>23</v>
      </c>
      <c r="C280" s="1">
        <v>45747</v>
      </c>
      <c r="D280">
        <f t="shared" ref="D280:D281" si="43">DAY(C280)</f>
        <v>31</v>
      </c>
      <c r="E280">
        <f t="shared" ref="E280:E281" si="44">MONTH(C280)</f>
        <v>3</v>
      </c>
      <c r="F280">
        <f t="shared" ref="F280:F281" si="45">YEAR(C280)</f>
        <v>2025</v>
      </c>
      <c r="G280" t="s">
        <v>712</v>
      </c>
      <c r="H280" s="15">
        <v>83701</v>
      </c>
    </row>
    <row r="281" spans="1:8" x14ac:dyDescent="0.35">
      <c r="A281" t="s">
        <v>20</v>
      </c>
      <c r="B281" t="s">
        <v>713</v>
      </c>
      <c r="C281" s="1">
        <v>45747</v>
      </c>
      <c r="D281">
        <f t="shared" si="43"/>
        <v>31</v>
      </c>
      <c r="E281">
        <f t="shared" si="44"/>
        <v>3</v>
      </c>
      <c r="F281">
        <f t="shared" si="45"/>
        <v>2025</v>
      </c>
      <c r="G281" t="s">
        <v>712</v>
      </c>
      <c r="H281" s="15">
        <v>220</v>
      </c>
    </row>
    <row r="282" spans="1:8" x14ac:dyDescent="0.35">
      <c r="A282" t="s">
        <v>20</v>
      </c>
      <c r="B282" t="s">
        <v>21</v>
      </c>
      <c r="C282" s="1">
        <v>45748</v>
      </c>
      <c r="D282">
        <f>DAY(C282)</f>
        <v>1</v>
      </c>
      <c r="E282">
        <f>MONTH(C282)</f>
        <v>4</v>
      </c>
      <c r="F282">
        <f>YEAR(C282)</f>
        <v>2025</v>
      </c>
      <c r="G282" t="s">
        <v>208</v>
      </c>
      <c r="H282" s="15">
        <v>3692.11</v>
      </c>
    </row>
    <row r="283" spans="1:8" x14ac:dyDescent="0.35">
      <c r="A283" t="s">
        <v>20</v>
      </c>
      <c r="B283" t="s">
        <v>27</v>
      </c>
      <c r="C283" s="1">
        <v>45748</v>
      </c>
      <c r="D283">
        <f>DAY(C283)</f>
        <v>1</v>
      </c>
      <c r="E283">
        <f>MONTH(C283)</f>
        <v>4</v>
      </c>
      <c r="F283">
        <f>YEAR(C283)</f>
        <v>2025</v>
      </c>
      <c r="G283" t="s">
        <v>332</v>
      </c>
      <c r="H283" s="15">
        <v>4753.49</v>
      </c>
    </row>
    <row r="284" spans="1:8" x14ac:dyDescent="0.35">
      <c r="A284" t="s">
        <v>20</v>
      </c>
      <c r="B284" t="s">
        <v>21</v>
      </c>
      <c r="C284" s="1">
        <v>45750</v>
      </c>
      <c r="D284">
        <f>DAY(C284)</f>
        <v>3</v>
      </c>
      <c r="E284">
        <f>MONTH(C284)</f>
        <v>4</v>
      </c>
      <c r="F284">
        <f>YEAR(C284)</f>
        <v>2025</v>
      </c>
      <c r="G284" t="s">
        <v>686</v>
      </c>
      <c r="H284" s="15">
        <v>62288.15</v>
      </c>
    </row>
    <row r="285" spans="1:8" x14ac:dyDescent="0.35">
      <c r="A285" t="s">
        <v>20</v>
      </c>
      <c r="B285" t="s">
        <v>23</v>
      </c>
      <c r="C285" s="1">
        <v>45750</v>
      </c>
      <c r="D285">
        <f>DAY(C285)</f>
        <v>3</v>
      </c>
      <c r="E285">
        <f>MONTH(C285)</f>
        <v>4</v>
      </c>
      <c r="F285">
        <f>YEAR(C285)</f>
        <v>2025</v>
      </c>
      <c r="G285" t="s">
        <v>66</v>
      </c>
      <c r="H285" s="15">
        <v>14340.04</v>
      </c>
    </row>
    <row r="286" spans="1:8" x14ac:dyDescent="0.35">
      <c r="A286" t="s">
        <v>20</v>
      </c>
      <c r="B286" t="s">
        <v>25</v>
      </c>
      <c r="C286" s="1">
        <v>45754</v>
      </c>
      <c r="D286">
        <f t="shared" ref="D286" si="46">DAY(C286)</f>
        <v>7</v>
      </c>
      <c r="E286">
        <f t="shared" ref="E286" si="47">MONTH(C286)</f>
        <v>4</v>
      </c>
      <c r="F286">
        <f t="shared" ref="F286" si="48">YEAR(C286)</f>
        <v>2025</v>
      </c>
      <c r="G286" t="s">
        <v>69</v>
      </c>
      <c r="H286" s="15">
        <v>87470</v>
      </c>
    </row>
    <row r="287" spans="1:8" x14ac:dyDescent="0.35">
      <c r="A287" t="s">
        <v>20</v>
      </c>
      <c r="B287" t="s">
        <v>24</v>
      </c>
      <c r="C287" s="1">
        <v>45754</v>
      </c>
      <c r="D287">
        <f>DAY(C287)</f>
        <v>7</v>
      </c>
      <c r="E287">
        <f>MONTH(C287)</f>
        <v>4</v>
      </c>
      <c r="F287">
        <f>YEAR(C287)</f>
        <v>2025</v>
      </c>
      <c r="G287" t="s">
        <v>69</v>
      </c>
      <c r="H287" s="15">
        <v>58470</v>
      </c>
    </row>
    <row r="288" spans="1:8" x14ac:dyDescent="0.35">
      <c r="A288" t="s">
        <v>20</v>
      </c>
      <c r="B288" t="s">
        <v>25</v>
      </c>
      <c r="C288" s="1">
        <v>45754</v>
      </c>
      <c r="D288">
        <f t="shared" ref="D288:D290" si="49">DAY(C288)</f>
        <v>7</v>
      </c>
      <c r="E288">
        <f t="shared" ref="E288:E290" si="50">MONTH(C288)</f>
        <v>4</v>
      </c>
      <c r="F288">
        <f t="shared" ref="F288:F290" si="51">YEAR(C288)</f>
        <v>2025</v>
      </c>
      <c r="G288" t="s">
        <v>70</v>
      </c>
      <c r="H288" s="15">
        <v>397.66</v>
      </c>
    </row>
    <row r="289" spans="1:9" x14ac:dyDescent="0.35">
      <c r="A289" t="s">
        <v>20</v>
      </c>
      <c r="B289" t="s">
        <v>25</v>
      </c>
      <c r="C289" s="1">
        <v>45754</v>
      </c>
      <c r="D289">
        <f t="shared" si="49"/>
        <v>7</v>
      </c>
      <c r="E289">
        <f t="shared" si="50"/>
        <v>4</v>
      </c>
      <c r="F289">
        <f t="shared" si="51"/>
        <v>2025</v>
      </c>
      <c r="G289" t="s">
        <v>70</v>
      </c>
      <c r="H289" s="15">
        <v>6689.07</v>
      </c>
    </row>
    <row r="290" spans="1:9" x14ac:dyDescent="0.35">
      <c r="A290" t="s">
        <v>20</v>
      </c>
      <c r="B290" t="s">
        <v>25</v>
      </c>
      <c r="C290" s="1">
        <v>45754</v>
      </c>
      <c r="D290">
        <f t="shared" si="49"/>
        <v>7</v>
      </c>
      <c r="E290">
        <f t="shared" si="50"/>
        <v>4</v>
      </c>
      <c r="F290">
        <f t="shared" si="51"/>
        <v>2025</v>
      </c>
      <c r="G290" t="s">
        <v>70</v>
      </c>
      <c r="H290" s="15">
        <v>31259.91</v>
      </c>
    </row>
    <row r="291" spans="1:9" x14ac:dyDescent="0.35">
      <c r="A291" t="s">
        <v>20</v>
      </c>
      <c r="B291" t="s">
        <v>24</v>
      </c>
      <c r="C291" s="1">
        <v>45755</v>
      </c>
      <c r="D291">
        <f t="shared" ref="D291:D292" si="52">DAY(C291)</f>
        <v>8</v>
      </c>
      <c r="E291">
        <f t="shared" ref="E291:E292" si="53">MONTH(C291)</f>
        <v>4</v>
      </c>
      <c r="F291">
        <f t="shared" ref="F291:F292" si="54">YEAR(C291)</f>
        <v>2025</v>
      </c>
      <c r="G291" t="s">
        <v>69</v>
      </c>
      <c r="H291" s="15">
        <v>4470</v>
      </c>
    </row>
    <row r="292" spans="1:9" x14ac:dyDescent="0.35">
      <c r="A292" t="s">
        <v>20</v>
      </c>
      <c r="B292" t="s">
        <v>21</v>
      </c>
      <c r="C292" s="1">
        <v>45755</v>
      </c>
      <c r="D292">
        <f t="shared" si="52"/>
        <v>8</v>
      </c>
      <c r="E292">
        <f t="shared" si="53"/>
        <v>4</v>
      </c>
      <c r="F292">
        <f t="shared" si="54"/>
        <v>2025</v>
      </c>
      <c r="G292" t="s">
        <v>69</v>
      </c>
      <c r="H292" s="15">
        <v>41470</v>
      </c>
    </row>
    <row r="293" spans="1:9" x14ac:dyDescent="0.35">
      <c r="A293" t="s">
        <v>20</v>
      </c>
      <c r="B293" t="s">
        <v>21</v>
      </c>
      <c r="C293" s="1">
        <v>45756</v>
      </c>
      <c r="D293">
        <f>DAY(C293)</f>
        <v>9</v>
      </c>
      <c r="E293">
        <f>MONTH(C293)</f>
        <v>4</v>
      </c>
      <c r="F293">
        <f>YEAR(C293)</f>
        <v>2025</v>
      </c>
      <c r="G293" t="s">
        <v>69</v>
      </c>
      <c r="H293" s="15">
        <v>38945</v>
      </c>
    </row>
    <row r="294" spans="1:9" x14ac:dyDescent="0.35">
      <c r="A294" t="s">
        <v>20</v>
      </c>
      <c r="B294" t="s">
        <v>23</v>
      </c>
      <c r="C294" s="1">
        <v>45761</v>
      </c>
      <c r="D294">
        <f>DAY(C294)</f>
        <v>14</v>
      </c>
      <c r="E294">
        <f>MONTH(C294)</f>
        <v>4</v>
      </c>
      <c r="F294">
        <f>YEAR(C294)</f>
        <v>2025</v>
      </c>
      <c r="G294" t="s">
        <v>712</v>
      </c>
      <c r="H294" s="15">
        <v>46248.28</v>
      </c>
    </row>
    <row r="295" spans="1:9" x14ac:dyDescent="0.35">
      <c r="A295" t="s">
        <v>20</v>
      </c>
      <c r="B295" t="s">
        <v>23</v>
      </c>
      <c r="C295" s="1">
        <v>45763</v>
      </c>
      <c r="D295">
        <f t="shared" ref="D295:D298" si="55">DAY(C295)</f>
        <v>16</v>
      </c>
      <c r="E295">
        <f t="shared" ref="E295:E298" si="56">MONTH(C295)</f>
        <v>4</v>
      </c>
      <c r="F295">
        <f t="shared" ref="F295:F298" si="57">YEAR(C295)</f>
        <v>2025</v>
      </c>
      <c r="G295" t="s">
        <v>131</v>
      </c>
      <c r="H295" s="15">
        <v>24574.400000000001</v>
      </c>
    </row>
    <row r="296" spans="1:9" x14ac:dyDescent="0.35">
      <c r="A296" t="s">
        <v>20</v>
      </c>
      <c r="B296" t="s">
        <v>25</v>
      </c>
      <c r="C296" s="1">
        <v>45766</v>
      </c>
      <c r="D296">
        <f t="shared" si="55"/>
        <v>19</v>
      </c>
      <c r="E296">
        <f t="shared" si="56"/>
        <v>4</v>
      </c>
      <c r="F296">
        <f t="shared" si="57"/>
        <v>2025</v>
      </c>
      <c r="G296" t="s">
        <v>70</v>
      </c>
      <c r="H296" s="15">
        <v>47198.83</v>
      </c>
    </row>
    <row r="297" spans="1:9" x14ac:dyDescent="0.35">
      <c r="A297" t="s">
        <v>19</v>
      </c>
      <c r="B297" t="s">
        <v>19</v>
      </c>
      <c r="C297" s="1">
        <v>45766</v>
      </c>
      <c r="D297">
        <f>DAY(C297)</f>
        <v>19</v>
      </c>
      <c r="E297">
        <f>MONTH(C297)</f>
        <v>4</v>
      </c>
      <c r="F297">
        <f>YEAR(C297)</f>
        <v>2025</v>
      </c>
      <c r="G297" t="s">
        <v>225</v>
      </c>
      <c r="H297" s="15">
        <v>4972</v>
      </c>
      <c r="I297" t="s">
        <v>981</v>
      </c>
    </row>
    <row r="298" spans="1:9" x14ac:dyDescent="0.35">
      <c r="A298" t="s">
        <v>20</v>
      </c>
      <c r="B298" t="s">
        <v>21</v>
      </c>
      <c r="C298" s="1">
        <v>45770</v>
      </c>
      <c r="D298">
        <f t="shared" si="55"/>
        <v>23</v>
      </c>
      <c r="E298">
        <f t="shared" si="56"/>
        <v>4</v>
      </c>
      <c r="F298">
        <f t="shared" si="57"/>
        <v>2025</v>
      </c>
      <c r="G298" t="s">
        <v>66</v>
      </c>
      <c r="H298" s="15">
        <v>24943.27</v>
      </c>
    </row>
    <row r="299" spans="1:9" x14ac:dyDescent="0.35">
      <c r="A299" t="s">
        <v>20</v>
      </c>
      <c r="B299" t="s">
        <v>23</v>
      </c>
      <c r="C299" s="1">
        <v>45779</v>
      </c>
      <c r="D299">
        <f t="shared" ref="D299:D308" si="58">DAY(C299)</f>
        <v>2</v>
      </c>
      <c r="E299">
        <f t="shared" ref="E299:E308" si="59">MONTH(C299)</f>
        <v>5</v>
      </c>
      <c r="F299">
        <f t="shared" ref="F299:F308" si="60">YEAR(C299)</f>
        <v>2025</v>
      </c>
      <c r="G299" t="s">
        <v>66</v>
      </c>
      <c r="H299" s="15">
        <v>31128.16</v>
      </c>
    </row>
    <row r="300" spans="1:9" x14ac:dyDescent="0.35">
      <c r="A300" t="s">
        <v>20</v>
      </c>
      <c r="B300" t="s">
        <v>23</v>
      </c>
      <c r="C300" s="1">
        <v>45782</v>
      </c>
      <c r="D300">
        <f t="shared" si="58"/>
        <v>5</v>
      </c>
      <c r="E300">
        <f t="shared" si="59"/>
        <v>5</v>
      </c>
      <c r="F300">
        <f t="shared" si="60"/>
        <v>2025</v>
      </c>
      <c r="G300" t="s">
        <v>67</v>
      </c>
      <c r="H300" s="15">
        <v>9949.82</v>
      </c>
    </row>
    <row r="301" spans="1:9" x14ac:dyDescent="0.35">
      <c r="A301" t="s">
        <v>20</v>
      </c>
      <c r="B301" t="s">
        <v>23</v>
      </c>
      <c r="C301" s="1">
        <v>45782</v>
      </c>
      <c r="D301">
        <f t="shared" si="58"/>
        <v>5</v>
      </c>
      <c r="E301">
        <f t="shared" si="59"/>
        <v>5</v>
      </c>
      <c r="F301">
        <f t="shared" si="60"/>
        <v>2025</v>
      </c>
      <c r="G301" t="s">
        <v>67</v>
      </c>
      <c r="H301" s="15">
        <v>14747.4</v>
      </c>
    </row>
    <row r="302" spans="1:9" x14ac:dyDescent="0.35">
      <c r="A302" t="s">
        <v>20</v>
      </c>
      <c r="B302" t="s">
        <v>25</v>
      </c>
      <c r="C302" s="1">
        <v>45783</v>
      </c>
      <c r="D302">
        <f t="shared" si="58"/>
        <v>6</v>
      </c>
      <c r="E302">
        <f t="shared" si="59"/>
        <v>5</v>
      </c>
      <c r="F302">
        <f t="shared" si="60"/>
        <v>2025</v>
      </c>
      <c r="G302" t="s">
        <v>70</v>
      </c>
      <c r="H302" s="15">
        <v>72582.13</v>
      </c>
    </row>
    <row r="303" spans="1:9" x14ac:dyDescent="0.35">
      <c r="A303" t="s">
        <v>20</v>
      </c>
      <c r="B303" t="s">
        <v>23</v>
      </c>
      <c r="C303" s="1">
        <v>45783</v>
      </c>
      <c r="D303">
        <f t="shared" si="58"/>
        <v>6</v>
      </c>
      <c r="E303">
        <f t="shared" si="59"/>
        <v>5</v>
      </c>
      <c r="F303">
        <f t="shared" si="60"/>
        <v>2025</v>
      </c>
      <c r="G303" t="s">
        <v>131</v>
      </c>
      <c r="H303" s="15">
        <v>23995.38</v>
      </c>
    </row>
    <row r="304" spans="1:9" x14ac:dyDescent="0.35">
      <c r="A304" t="s">
        <v>20</v>
      </c>
      <c r="B304" t="s">
        <v>24</v>
      </c>
      <c r="C304" s="1">
        <v>45786</v>
      </c>
      <c r="D304">
        <f t="shared" si="58"/>
        <v>9</v>
      </c>
      <c r="E304">
        <f t="shared" si="59"/>
        <v>5</v>
      </c>
      <c r="F304">
        <f t="shared" si="60"/>
        <v>2025</v>
      </c>
      <c r="G304" t="s">
        <v>69</v>
      </c>
      <c r="H304" s="15">
        <v>92742</v>
      </c>
    </row>
    <row r="305" spans="1:13" x14ac:dyDescent="0.35">
      <c r="A305" t="s">
        <v>20</v>
      </c>
      <c r="B305" t="s">
        <v>21</v>
      </c>
      <c r="C305" s="1">
        <v>45786</v>
      </c>
      <c r="D305">
        <f>DAY(C305)</f>
        <v>9</v>
      </c>
      <c r="E305">
        <f>MONTH(C305)</f>
        <v>5</v>
      </c>
      <c r="F305">
        <f>YEAR(C305)</f>
        <v>2025</v>
      </c>
      <c r="G305" t="s">
        <v>69</v>
      </c>
      <c r="H305" s="15">
        <v>15198</v>
      </c>
      <c r="L305" s="157">
        <v>577622.74</v>
      </c>
    </row>
    <row r="306" spans="1:13" x14ac:dyDescent="0.35">
      <c r="A306" t="s">
        <v>20</v>
      </c>
      <c r="B306" t="s">
        <v>21</v>
      </c>
      <c r="C306" s="1">
        <v>45786</v>
      </c>
      <c r="D306">
        <f>DAY(C306)</f>
        <v>9</v>
      </c>
      <c r="E306">
        <f>MONTH(C306)</f>
        <v>5</v>
      </c>
      <c r="F306">
        <f>YEAR(C306)</f>
        <v>2025</v>
      </c>
      <c r="G306" t="s">
        <v>69</v>
      </c>
      <c r="H306" s="15">
        <v>107660</v>
      </c>
      <c r="L306" s="157">
        <v>500302.21</v>
      </c>
    </row>
    <row r="307" spans="1:13" x14ac:dyDescent="0.35">
      <c r="A307" t="s">
        <v>20</v>
      </c>
      <c r="B307" t="s">
        <v>25</v>
      </c>
      <c r="C307" s="1">
        <v>45786</v>
      </c>
      <c r="D307">
        <f>DAY(C307)</f>
        <v>9</v>
      </c>
      <c r="E307">
        <f>MONTH(C307)</f>
        <v>5</v>
      </c>
      <c r="F307">
        <f>YEAR(C307)</f>
        <v>2025</v>
      </c>
      <c r="G307" t="s">
        <v>69</v>
      </c>
      <c r="H307" s="15">
        <v>92280</v>
      </c>
      <c r="L307" s="158">
        <f>L305-L306</f>
        <v>77320.52999999997</v>
      </c>
      <c r="M307" t="s">
        <v>1159</v>
      </c>
    </row>
    <row r="308" spans="1:13" x14ac:dyDescent="0.35">
      <c r="A308" t="s">
        <v>20</v>
      </c>
      <c r="B308" t="s">
        <v>23</v>
      </c>
      <c r="C308" s="1">
        <v>45786</v>
      </c>
      <c r="D308">
        <f t="shared" si="58"/>
        <v>9</v>
      </c>
      <c r="E308">
        <f t="shared" si="59"/>
        <v>5</v>
      </c>
      <c r="F308">
        <f t="shared" si="60"/>
        <v>2025</v>
      </c>
      <c r="G308" t="s">
        <v>712</v>
      </c>
      <c r="H308" s="15">
        <v>67911.509999999995</v>
      </c>
    </row>
    <row r="309" spans="1:13" x14ac:dyDescent="0.35">
      <c r="A309" t="s">
        <v>20</v>
      </c>
      <c r="B309" t="s">
        <v>23</v>
      </c>
      <c r="C309" s="1">
        <v>45789</v>
      </c>
      <c r="D309">
        <f>DAY(C309)</f>
        <v>12</v>
      </c>
      <c r="E309">
        <f>MONTH(C309)</f>
        <v>5</v>
      </c>
      <c r="F309">
        <f>YEAR(C309)</f>
        <v>2025</v>
      </c>
      <c r="G309" t="s">
        <v>68</v>
      </c>
      <c r="H309" s="15">
        <v>2190</v>
      </c>
    </row>
    <row r="310" spans="1:13" x14ac:dyDescent="0.35">
      <c r="A310" t="s">
        <v>20</v>
      </c>
      <c r="B310" t="s">
        <v>27</v>
      </c>
      <c r="C310" s="1">
        <v>45789</v>
      </c>
      <c r="D310">
        <f>DAY(C310)</f>
        <v>12</v>
      </c>
      <c r="E310">
        <f>MONTH(C310)</f>
        <v>5</v>
      </c>
      <c r="F310">
        <f>YEAR(C310)</f>
        <v>2025</v>
      </c>
      <c r="G310" t="s">
        <v>255</v>
      </c>
      <c r="H310" s="120">
        <v>331.25</v>
      </c>
    </row>
    <row r="311" spans="1:13" x14ac:dyDescent="0.35">
      <c r="A311" t="s">
        <v>20</v>
      </c>
      <c r="B311" t="s">
        <v>27</v>
      </c>
      <c r="C311" s="1">
        <v>45789</v>
      </c>
      <c r="D311">
        <f>DAY(C311)</f>
        <v>12</v>
      </c>
      <c r="E311">
        <f>MONTH(C311)</f>
        <v>5</v>
      </c>
      <c r="F311">
        <f>YEAR(C311)</f>
        <v>2025</v>
      </c>
      <c r="G311" t="s">
        <v>132</v>
      </c>
      <c r="H311" s="120">
        <v>5867.77</v>
      </c>
    </row>
    <row r="312" spans="1:13" x14ac:dyDescent="0.35">
      <c r="A312" t="s">
        <v>20</v>
      </c>
      <c r="B312" t="s">
        <v>158</v>
      </c>
      <c r="C312" s="1">
        <v>45790</v>
      </c>
      <c r="D312">
        <f>DAY(C312)</f>
        <v>13</v>
      </c>
      <c r="E312">
        <f>MONTH(C312)</f>
        <v>5</v>
      </c>
      <c r="F312">
        <f>YEAR(C312)</f>
        <v>2025</v>
      </c>
      <c r="G312" t="s">
        <v>708</v>
      </c>
      <c r="H312" s="15">
        <v>44722.65</v>
      </c>
    </row>
    <row r="313" spans="1:13" x14ac:dyDescent="0.35">
      <c r="A313" t="s">
        <v>20</v>
      </c>
      <c r="B313" t="s">
        <v>158</v>
      </c>
      <c r="C313" s="1">
        <v>45791</v>
      </c>
      <c r="D313">
        <f>DAY(C313)</f>
        <v>14</v>
      </c>
      <c r="E313">
        <f>MONTH(C313)</f>
        <v>5</v>
      </c>
      <c r="F313">
        <f>YEAR(C313)</f>
        <v>2025</v>
      </c>
      <c r="G313" t="s">
        <v>708</v>
      </c>
      <c r="H313" s="15">
        <v>38600</v>
      </c>
    </row>
    <row r="314" spans="1:13" x14ac:dyDescent="0.35">
      <c r="A314" t="s">
        <v>20</v>
      </c>
      <c r="B314" t="s">
        <v>21</v>
      </c>
      <c r="C314" s="1">
        <v>45791</v>
      </c>
      <c r="D314">
        <f t="shared" ref="D314:D315" si="61">DAY(C314)</f>
        <v>14</v>
      </c>
      <c r="E314">
        <f t="shared" ref="E314:E315" si="62">MONTH(C314)</f>
        <v>5</v>
      </c>
      <c r="F314">
        <f t="shared" ref="F314:F315" si="63">YEAR(C314)</f>
        <v>2025</v>
      </c>
      <c r="G314" t="s">
        <v>66</v>
      </c>
      <c r="H314" s="96">
        <v>20594.919999999998</v>
      </c>
      <c r="L314" s="157">
        <v>1118227.9099999999</v>
      </c>
    </row>
    <row r="315" spans="1:13" x14ac:dyDescent="0.35">
      <c r="A315" t="s">
        <v>20</v>
      </c>
      <c r="B315" t="s">
        <v>23</v>
      </c>
      <c r="C315" s="1">
        <v>45791</v>
      </c>
      <c r="D315">
        <f t="shared" si="61"/>
        <v>14</v>
      </c>
      <c r="E315">
        <f t="shared" si="62"/>
        <v>5</v>
      </c>
      <c r="F315">
        <f t="shared" si="63"/>
        <v>2025</v>
      </c>
      <c r="G315" t="s">
        <v>68</v>
      </c>
      <c r="H315" s="96">
        <v>2045</v>
      </c>
      <c r="K315" s="15">
        <f>H312-H313</f>
        <v>6122.6500000000015</v>
      </c>
      <c r="L315" s="157">
        <v>1034574.01</v>
      </c>
    </row>
    <row r="316" spans="1:13" x14ac:dyDescent="0.35">
      <c r="A316" t="s">
        <v>20</v>
      </c>
      <c r="B316" t="s">
        <v>21</v>
      </c>
      <c r="C316" s="1">
        <v>45796</v>
      </c>
      <c r="D316">
        <f t="shared" ref="D316:D317" si="64">DAY(C316)</f>
        <v>19</v>
      </c>
      <c r="E316">
        <f t="shared" ref="E316:E317" si="65">MONTH(C316)</f>
        <v>5</v>
      </c>
      <c r="F316">
        <f t="shared" ref="F316:F317" si="66">YEAR(C316)</f>
        <v>2025</v>
      </c>
      <c r="G316" t="s">
        <v>686</v>
      </c>
      <c r="H316" s="15">
        <v>73818.47</v>
      </c>
      <c r="L316" s="158">
        <f>L314-L315</f>
        <v>83653.899999999907</v>
      </c>
      <c r="M316" t="s">
        <v>1158</v>
      </c>
    </row>
    <row r="317" spans="1:13" x14ac:dyDescent="0.35">
      <c r="A317" t="s">
        <v>20</v>
      </c>
      <c r="B317" t="s">
        <v>25</v>
      </c>
      <c r="C317" s="1">
        <v>45796</v>
      </c>
      <c r="D317">
        <f t="shared" si="64"/>
        <v>19</v>
      </c>
      <c r="E317">
        <f t="shared" si="65"/>
        <v>5</v>
      </c>
      <c r="F317">
        <f t="shared" si="66"/>
        <v>2025</v>
      </c>
      <c r="G317" t="s">
        <v>70</v>
      </c>
      <c r="H317" s="15">
        <v>8041.82</v>
      </c>
    </row>
    <row r="318" spans="1:13" x14ac:dyDescent="0.35">
      <c r="A318" t="s">
        <v>20</v>
      </c>
      <c r="B318" t="s">
        <v>23</v>
      </c>
      <c r="C318" s="1">
        <v>45799</v>
      </c>
      <c r="D318">
        <f t="shared" ref="D318:D322" si="67">DAY(C318)</f>
        <v>22</v>
      </c>
      <c r="E318">
        <f t="shared" ref="E318:E322" si="68">MONTH(C318)</f>
        <v>5</v>
      </c>
      <c r="F318">
        <f t="shared" ref="F318:F322" si="69">YEAR(C318)</f>
        <v>2025</v>
      </c>
      <c r="G318" t="s">
        <v>66</v>
      </c>
      <c r="H318" s="96">
        <v>29000</v>
      </c>
    </row>
    <row r="319" spans="1:13" x14ac:dyDescent="0.35">
      <c r="A319" t="s">
        <v>20</v>
      </c>
      <c r="B319" t="s">
        <v>21</v>
      </c>
      <c r="C319" s="1">
        <v>45799</v>
      </c>
      <c r="D319">
        <f>DAY(C319)</f>
        <v>22</v>
      </c>
      <c r="E319">
        <f>MONTH(C319)</f>
        <v>5</v>
      </c>
      <c r="F319">
        <f>YEAR(C319)</f>
        <v>2025</v>
      </c>
      <c r="G319" t="s">
        <v>66</v>
      </c>
      <c r="H319" s="96">
        <v>18424</v>
      </c>
    </row>
    <row r="320" spans="1:13" x14ac:dyDescent="0.35">
      <c r="A320" t="s">
        <v>20</v>
      </c>
      <c r="B320" t="s">
        <v>23</v>
      </c>
      <c r="C320" s="1">
        <v>45804</v>
      </c>
      <c r="D320">
        <f t="shared" si="67"/>
        <v>27</v>
      </c>
      <c r="E320">
        <f t="shared" si="68"/>
        <v>5</v>
      </c>
      <c r="F320">
        <f t="shared" si="69"/>
        <v>2025</v>
      </c>
      <c r="G320" t="s">
        <v>712</v>
      </c>
      <c r="H320" s="96">
        <v>78450.37</v>
      </c>
    </row>
    <row r="321" spans="1:8" x14ac:dyDescent="0.35">
      <c r="A321" t="s">
        <v>20</v>
      </c>
      <c r="B321" t="s">
        <v>23</v>
      </c>
      <c r="C321" s="1">
        <v>45804</v>
      </c>
      <c r="D321">
        <f t="shared" si="67"/>
        <v>27</v>
      </c>
      <c r="E321">
        <f t="shared" si="68"/>
        <v>5</v>
      </c>
      <c r="F321">
        <f t="shared" si="69"/>
        <v>2025</v>
      </c>
      <c r="G321" t="s">
        <v>67</v>
      </c>
      <c r="H321" s="96">
        <v>32032.15</v>
      </c>
    </row>
    <row r="322" spans="1:8" x14ac:dyDescent="0.35">
      <c r="A322" t="s">
        <v>20</v>
      </c>
      <c r="B322" t="s">
        <v>23</v>
      </c>
      <c r="C322" s="1">
        <v>45804</v>
      </c>
      <c r="D322">
        <f t="shared" si="67"/>
        <v>27</v>
      </c>
      <c r="E322">
        <f t="shared" si="68"/>
        <v>5</v>
      </c>
      <c r="F322">
        <f t="shared" si="69"/>
        <v>2025</v>
      </c>
      <c r="G322" t="s">
        <v>67</v>
      </c>
      <c r="H322" s="96">
        <v>19864.939999999999</v>
      </c>
    </row>
    <row r="323" spans="1:8" x14ac:dyDescent="0.35">
      <c r="A323" t="s">
        <v>20</v>
      </c>
      <c r="B323" t="s">
        <v>23</v>
      </c>
      <c r="C323" s="1">
        <v>45805</v>
      </c>
      <c r="D323">
        <f>DAY(C323)</f>
        <v>28</v>
      </c>
      <c r="E323">
        <f>MONTH(C323)</f>
        <v>5</v>
      </c>
      <c r="F323">
        <f>YEAR(C323)</f>
        <v>2025</v>
      </c>
      <c r="G323" t="s">
        <v>1076</v>
      </c>
      <c r="H323" s="96">
        <v>216050.17</v>
      </c>
    </row>
    <row r="324" spans="1:8" x14ac:dyDescent="0.35">
      <c r="A324" t="s">
        <v>20</v>
      </c>
      <c r="B324" t="s">
        <v>25</v>
      </c>
      <c r="C324" s="1">
        <v>45810</v>
      </c>
      <c r="D324">
        <f t="shared" ref="D324:D326" si="70">DAY(C324)</f>
        <v>2</v>
      </c>
      <c r="E324">
        <f t="shared" ref="E324:E326" si="71">MONTH(C324)</f>
        <v>6</v>
      </c>
      <c r="F324">
        <f t="shared" ref="F324:F326" si="72">YEAR(C324)</f>
        <v>2025</v>
      </c>
      <c r="G324" t="s">
        <v>70</v>
      </c>
      <c r="H324" s="15">
        <v>6228.84</v>
      </c>
    </row>
    <row r="325" spans="1:8" x14ac:dyDescent="0.35">
      <c r="A325" t="s">
        <v>20</v>
      </c>
      <c r="B325" t="s">
        <v>25</v>
      </c>
      <c r="C325" s="1">
        <v>45810</v>
      </c>
      <c r="D325">
        <f t="shared" si="70"/>
        <v>2</v>
      </c>
      <c r="E325">
        <f t="shared" si="71"/>
        <v>6</v>
      </c>
      <c r="F325">
        <f t="shared" si="72"/>
        <v>2025</v>
      </c>
      <c r="G325" t="s">
        <v>70</v>
      </c>
      <c r="H325" s="15">
        <v>64870.78</v>
      </c>
    </row>
    <row r="326" spans="1:8" x14ac:dyDescent="0.35">
      <c r="A326" t="s">
        <v>20</v>
      </c>
      <c r="B326" t="s">
        <v>27</v>
      </c>
      <c r="C326" s="1">
        <v>45810</v>
      </c>
      <c r="D326">
        <f t="shared" si="70"/>
        <v>2</v>
      </c>
      <c r="E326">
        <f t="shared" si="71"/>
        <v>6</v>
      </c>
      <c r="F326">
        <f t="shared" si="72"/>
        <v>2025</v>
      </c>
      <c r="G326" t="s">
        <v>255</v>
      </c>
      <c r="H326" s="15">
        <v>72640.66</v>
      </c>
    </row>
    <row r="327" spans="1:8" x14ac:dyDescent="0.35">
      <c r="A327" t="s">
        <v>20</v>
      </c>
      <c r="B327" t="s">
        <v>21</v>
      </c>
      <c r="C327" s="1">
        <v>45814</v>
      </c>
      <c r="D327">
        <f t="shared" ref="D327:D332" si="73">DAY(C327)</f>
        <v>6</v>
      </c>
      <c r="E327">
        <f t="shared" ref="E327:E332" si="74">MONTH(C327)</f>
        <v>6</v>
      </c>
      <c r="F327">
        <f t="shared" ref="F327:F332" si="75">YEAR(C327)</f>
        <v>2025</v>
      </c>
      <c r="G327" t="s">
        <v>69</v>
      </c>
      <c r="H327" s="15">
        <v>139777.42000000001</v>
      </c>
    </row>
    <row r="328" spans="1:8" x14ac:dyDescent="0.35">
      <c r="A328" t="s">
        <v>20</v>
      </c>
      <c r="B328" t="s">
        <v>24</v>
      </c>
      <c r="C328" s="1">
        <v>45814</v>
      </c>
      <c r="D328">
        <f t="shared" si="73"/>
        <v>6</v>
      </c>
      <c r="E328">
        <f t="shared" si="74"/>
        <v>6</v>
      </c>
      <c r="F328">
        <f t="shared" si="75"/>
        <v>2025</v>
      </c>
      <c r="G328" t="s">
        <v>69</v>
      </c>
      <c r="H328" s="15">
        <v>18095.64</v>
      </c>
    </row>
    <row r="329" spans="1:8" x14ac:dyDescent="0.35">
      <c r="A329" t="s">
        <v>20</v>
      </c>
      <c r="B329" t="s">
        <v>25</v>
      </c>
      <c r="C329" s="1">
        <v>45814</v>
      </c>
      <c r="D329">
        <f t="shared" si="73"/>
        <v>6</v>
      </c>
      <c r="E329">
        <f t="shared" si="74"/>
        <v>6</v>
      </c>
      <c r="F329">
        <f t="shared" si="75"/>
        <v>2025</v>
      </c>
      <c r="G329" t="s">
        <v>69</v>
      </c>
      <c r="H329" s="15">
        <v>4066.94</v>
      </c>
    </row>
    <row r="330" spans="1:8" x14ac:dyDescent="0.35">
      <c r="A330" t="s">
        <v>20</v>
      </c>
      <c r="B330" t="s">
        <v>25</v>
      </c>
      <c r="C330" s="1">
        <v>45814</v>
      </c>
      <c r="D330">
        <f t="shared" si="73"/>
        <v>6</v>
      </c>
      <c r="E330">
        <f t="shared" si="74"/>
        <v>6</v>
      </c>
      <c r="F330">
        <f t="shared" si="75"/>
        <v>2025</v>
      </c>
      <c r="G330" t="s">
        <v>69</v>
      </c>
      <c r="H330" s="15">
        <v>42945</v>
      </c>
    </row>
    <row r="331" spans="1:8" x14ac:dyDescent="0.35">
      <c r="A331" t="s">
        <v>20</v>
      </c>
      <c r="B331" t="s">
        <v>25</v>
      </c>
      <c r="C331" s="1">
        <v>45814</v>
      </c>
      <c r="D331">
        <f t="shared" si="73"/>
        <v>6</v>
      </c>
      <c r="E331">
        <f t="shared" si="74"/>
        <v>6</v>
      </c>
      <c r="F331">
        <f t="shared" si="75"/>
        <v>2025</v>
      </c>
      <c r="G331" t="s">
        <v>70</v>
      </c>
      <c r="H331" s="15">
        <v>30340</v>
      </c>
    </row>
    <row r="332" spans="1:8" x14ac:dyDescent="0.35">
      <c r="A332" t="s">
        <v>20</v>
      </c>
      <c r="B332" t="s">
        <v>27</v>
      </c>
      <c r="C332" s="1">
        <v>45817</v>
      </c>
      <c r="D332">
        <f t="shared" si="73"/>
        <v>9</v>
      </c>
      <c r="E332">
        <f t="shared" si="74"/>
        <v>6</v>
      </c>
      <c r="F332">
        <f t="shared" si="75"/>
        <v>2025</v>
      </c>
      <c r="G332" t="s">
        <v>255</v>
      </c>
      <c r="H332" s="96">
        <v>186614.14</v>
      </c>
    </row>
    <row r="333" spans="1:8" x14ac:dyDescent="0.35">
      <c r="A333" t="s">
        <v>20</v>
      </c>
      <c r="B333" t="s">
        <v>23</v>
      </c>
      <c r="C333" s="1">
        <v>45820</v>
      </c>
      <c r="D333">
        <f>DAY(C333)</f>
        <v>12</v>
      </c>
      <c r="E333">
        <f>MONTH(C333)</f>
        <v>6</v>
      </c>
      <c r="F333">
        <f>YEAR(C333)</f>
        <v>2025</v>
      </c>
      <c r="G333" t="s">
        <v>68</v>
      </c>
      <c r="H333" s="96">
        <v>2372.4899999999998</v>
      </c>
    </row>
    <row r="334" spans="1:8" x14ac:dyDescent="0.35">
      <c r="A334" t="s">
        <v>20</v>
      </c>
      <c r="B334" t="s">
        <v>21</v>
      </c>
      <c r="C334" s="1">
        <v>45821</v>
      </c>
      <c r="D334">
        <f>DAY(C334)</f>
        <v>13</v>
      </c>
      <c r="E334">
        <f>MONTH(C334)</f>
        <v>6</v>
      </c>
      <c r="F334">
        <f>YEAR(C334)</f>
        <v>2025</v>
      </c>
      <c r="G334" t="s">
        <v>66</v>
      </c>
      <c r="H334" s="15">
        <v>1062.1500000000001</v>
      </c>
    </row>
    <row r="335" spans="1:8" x14ac:dyDescent="0.35">
      <c r="A335" t="s">
        <v>20</v>
      </c>
      <c r="B335" t="s">
        <v>23</v>
      </c>
      <c r="C335" s="1">
        <v>45821</v>
      </c>
      <c r="D335">
        <f>DAY(C335)</f>
        <v>13</v>
      </c>
      <c r="E335">
        <f>MONTH(C335)</f>
        <v>6</v>
      </c>
      <c r="F335">
        <f>YEAR(C335)</f>
        <v>2025</v>
      </c>
      <c r="G335" t="s">
        <v>66</v>
      </c>
      <c r="H335" s="15">
        <v>1080.56</v>
      </c>
    </row>
    <row r="336" spans="1:8" x14ac:dyDescent="0.35">
      <c r="A336" t="s">
        <v>20</v>
      </c>
      <c r="B336" t="s">
        <v>25</v>
      </c>
      <c r="C336" s="1">
        <v>45821</v>
      </c>
      <c r="D336">
        <f>DAY(C336)</f>
        <v>13</v>
      </c>
      <c r="E336">
        <f>MONTH(C336)</f>
        <v>6</v>
      </c>
      <c r="F336">
        <f>YEAR(C336)</f>
        <v>2025</v>
      </c>
      <c r="G336" t="s">
        <v>66</v>
      </c>
      <c r="H336" s="15">
        <v>343.07</v>
      </c>
    </row>
    <row r="337" spans="1:8" x14ac:dyDescent="0.35">
      <c r="A337" t="s">
        <v>20</v>
      </c>
      <c r="B337" t="s">
        <v>23</v>
      </c>
      <c r="C337" s="1">
        <v>45834</v>
      </c>
      <c r="D337">
        <f>DAY(C337)</f>
        <v>26</v>
      </c>
      <c r="E337">
        <f>MONTH(C337)</f>
        <v>6</v>
      </c>
      <c r="F337">
        <f>YEAR(C337)</f>
        <v>2025</v>
      </c>
      <c r="G337" t="s">
        <v>131</v>
      </c>
      <c r="H337" s="15">
        <v>56229.36</v>
      </c>
    </row>
    <row r="338" spans="1:8" x14ac:dyDescent="0.35">
      <c r="A338" t="s">
        <v>20</v>
      </c>
      <c r="B338" t="s">
        <v>21</v>
      </c>
      <c r="C338" s="1">
        <v>45834</v>
      </c>
      <c r="D338">
        <f t="shared" ref="D338:D339" si="76">DAY(C338)</f>
        <v>26</v>
      </c>
      <c r="E338">
        <f t="shared" ref="E338:E339" si="77">MONTH(C338)</f>
        <v>6</v>
      </c>
      <c r="F338">
        <f t="shared" ref="F338:F339" si="78">YEAR(C338)</f>
        <v>2025</v>
      </c>
      <c r="G338" t="s">
        <v>208</v>
      </c>
      <c r="H338" s="15">
        <v>4504.08</v>
      </c>
    </row>
    <row r="339" spans="1:8" x14ac:dyDescent="0.35">
      <c r="A339" t="s">
        <v>20</v>
      </c>
      <c r="B339" t="s">
        <v>23</v>
      </c>
      <c r="C339" s="1">
        <v>45834</v>
      </c>
      <c r="D339">
        <f t="shared" si="76"/>
        <v>26</v>
      </c>
      <c r="E339">
        <f t="shared" si="77"/>
        <v>6</v>
      </c>
      <c r="F339">
        <f t="shared" si="78"/>
        <v>2025</v>
      </c>
      <c r="G339" t="s">
        <v>66</v>
      </c>
      <c r="H339" s="15">
        <v>6944.3</v>
      </c>
    </row>
    <row r="340" spans="1:8" x14ac:dyDescent="0.35">
      <c r="A340" t="s">
        <v>20</v>
      </c>
      <c r="B340" t="s">
        <v>23</v>
      </c>
      <c r="C340" s="1">
        <v>45839</v>
      </c>
      <c r="D340">
        <f>DAY(C340)</f>
        <v>1</v>
      </c>
      <c r="E340">
        <f>MONTH(C340)</f>
        <v>7</v>
      </c>
      <c r="F340">
        <f>YEAR(C340)</f>
        <v>2025</v>
      </c>
      <c r="G340" t="s">
        <v>712</v>
      </c>
      <c r="H340" s="15">
        <f>99017.19-22.5</f>
        <v>98994.69</v>
      </c>
    </row>
    <row r="341" spans="1:8" x14ac:dyDescent="0.35">
      <c r="A341" t="s">
        <v>20</v>
      </c>
      <c r="B341" t="s">
        <v>713</v>
      </c>
      <c r="C341" s="1">
        <v>45839</v>
      </c>
      <c r="D341">
        <f>DAY(C341)</f>
        <v>1</v>
      </c>
      <c r="E341">
        <f>MONTH(C341)</f>
        <v>7</v>
      </c>
      <c r="F341">
        <f>YEAR(C341)</f>
        <v>2025</v>
      </c>
      <c r="G341" t="s">
        <v>712</v>
      </c>
      <c r="H341" s="15">
        <f>4597-22.5</f>
        <v>4574.5</v>
      </c>
    </row>
    <row r="342" spans="1:8" x14ac:dyDescent="0.35">
      <c r="A342" t="s">
        <v>20</v>
      </c>
      <c r="B342" t="s">
        <v>23</v>
      </c>
      <c r="C342" s="1">
        <v>45839</v>
      </c>
      <c r="D342">
        <f t="shared" ref="D342:D343" si="79">DAY(C342)</f>
        <v>1</v>
      </c>
      <c r="E342">
        <f t="shared" ref="E342:E343" si="80">MONTH(C342)</f>
        <v>7</v>
      </c>
      <c r="F342">
        <f t="shared" ref="F342:F343" si="81">YEAR(C342)</f>
        <v>2025</v>
      </c>
      <c r="G342" t="s">
        <v>67</v>
      </c>
      <c r="H342" s="15">
        <v>15989.88</v>
      </c>
    </row>
    <row r="343" spans="1:8" x14ac:dyDescent="0.35">
      <c r="A343" t="s">
        <v>20</v>
      </c>
      <c r="B343" t="s">
        <v>23</v>
      </c>
      <c r="C343" s="1">
        <v>45839</v>
      </c>
      <c r="D343">
        <f t="shared" si="79"/>
        <v>1</v>
      </c>
      <c r="E343">
        <f t="shared" si="80"/>
        <v>7</v>
      </c>
      <c r="F343">
        <f t="shared" si="81"/>
        <v>2025</v>
      </c>
      <c r="G343" t="s">
        <v>67</v>
      </c>
      <c r="H343" s="15">
        <v>27462.13</v>
      </c>
    </row>
    <row r="344" spans="1:8" x14ac:dyDescent="0.35">
      <c r="A344" t="s">
        <v>20</v>
      </c>
      <c r="B344" t="s">
        <v>21</v>
      </c>
      <c r="C344" s="1">
        <v>45840</v>
      </c>
      <c r="D344">
        <f>DAY(C344)</f>
        <v>2</v>
      </c>
      <c r="E344">
        <f>MONTH(C344)</f>
        <v>7</v>
      </c>
      <c r="F344">
        <f>YEAR(C344)</f>
        <v>2025</v>
      </c>
      <c r="G344" t="s">
        <v>411</v>
      </c>
      <c r="H344" s="15">
        <v>4711.55</v>
      </c>
    </row>
    <row r="345" spans="1:8" x14ac:dyDescent="0.35">
      <c r="A345" t="s">
        <v>20</v>
      </c>
      <c r="B345" t="s">
        <v>25</v>
      </c>
      <c r="C345" s="1">
        <v>45841</v>
      </c>
      <c r="D345">
        <f t="shared" ref="D345:D349" si="82">DAY(C345)</f>
        <v>3</v>
      </c>
      <c r="E345">
        <f t="shared" ref="E345:E349" si="83">MONTH(C345)</f>
        <v>7</v>
      </c>
      <c r="F345">
        <f t="shared" ref="F345:F349" si="84">YEAR(C345)</f>
        <v>2025</v>
      </c>
      <c r="G345" t="s">
        <v>70</v>
      </c>
      <c r="H345" s="15">
        <v>7002.12</v>
      </c>
    </row>
    <row r="346" spans="1:8" x14ac:dyDescent="0.35">
      <c r="A346" t="s">
        <v>20</v>
      </c>
      <c r="B346" t="s">
        <v>24</v>
      </c>
      <c r="C346" s="1">
        <v>45845</v>
      </c>
      <c r="D346">
        <f t="shared" si="82"/>
        <v>7</v>
      </c>
      <c r="E346">
        <f t="shared" si="83"/>
        <v>7</v>
      </c>
      <c r="F346">
        <f t="shared" si="84"/>
        <v>2025</v>
      </c>
      <c r="G346" t="s">
        <v>69</v>
      </c>
      <c r="H346" s="15">
        <v>53273.362974449337</v>
      </c>
    </row>
    <row r="347" spans="1:8" x14ac:dyDescent="0.35">
      <c r="A347" t="s">
        <v>20</v>
      </c>
      <c r="B347" t="s">
        <v>25</v>
      </c>
      <c r="C347" s="1">
        <v>45845</v>
      </c>
      <c r="D347">
        <f>DAY(C347)</f>
        <v>7</v>
      </c>
      <c r="E347">
        <f>MONTH(C347)</f>
        <v>7</v>
      </c>
      <c r="F347">
        <f>YEAR(C347)</f>
        <v>2025</v>
      </c>
      <c r="G347" t="s">
        <v>69</v>
      </c>
      <c r="H347" s="15">
        <v>69330.829955947134</v>
      </c>
    </row>
    <row r="348" spans="1:8" x14ac:dyDescent="0.35">
      <c r="A348" t="s">
        <v>20</v>
      </c>
      <c r="B348" t="s">
        <v>21</v>
      </c>
      <c r="C348" s="1">
        <v>45845</v>
      </c>
      <c r="D348">
        <f>DAY(C348)</f>
        <v>7</v>
      </c>
      <c r="E348">
        <f>MONTH(C348)</f>
        <v>7</v>
      </c>
      <c r="F348">
        <f>YEAR(C348)</f>
        <v>2025</v>
      </c>
      <c r="G348" t="s">
        <v>69</v>
      </c>
      <c r="H348" s="15">
        <v>104275.80706960353</v>
      </c>
    </row>
    <row r="349" spans="1:8" x14ac:dyDescent="0.35">
      <c r="A349" t="s">
        <v>20</v>
      </c>
      <c r="B349" t="s">
        <v>25</v>
      </c>
      <c r="C349" s="1">
        <v>45845</v>
      </c>
      <c r="D349">
        <f t="shared" si="82"/>
        <v>7</v>
      </c>
      <c r="E349">
        <f t="shared" si="83"/>
        <v>7</v>
      </c>
      <c r="F349">
        <f t="shared" si="84"/>
        <v>2025</v>
      </c>
      <c r="G349" t="s">
        <v>70</v>
      </c>
      <c r="H349" s="15">
        <v>90720.63</v>
      </c>
    </row>
    <row r="350" spans="1:8" x14ac:dyDescent="0.35">
      <c r="A350" t="s">
        <v>20</v>
      </c>
      <c r="B350" t="s">
        <v>21</v>
      </c>
      <c r="C350" s="1">
        <v>45852</v>
      </c>
      <c r="D350">
        <f>DAY(C350)</f>
        <v>14</v>
      </c>
      <c r="E350">
        <f>MONTH(C350)</f>
        <v>7</v>
      </c>
      <c r="F350">
        <f>YEAR(C350)</f>
        <v>2025</v>
      </c>
      <c r="G350" t="s">
        <v>66</v>
      </c>
      <c r="H350" s="96">
        <v>7855.96</v>
      </c>
    </row>
    <row r="351" spans="1:8" x14ac:dyDescent="0.35">
      <c r="A351" t="s">
        <v>20</v>
      </c>
      <c r="B351" t="s">
        <v>23</v>
      </c>
      <c r="C351" s="1">
        <v>45852</v>
      </c>
      <c r="D351">
        <f>DAY(C351)</f>
        <v>14</v>
      </c>
      <c r="E351">
        <f>MONTH(C351)</f>
        <v>7</v>
      </c>
      <c r="F351">
        <f>YEAR(C351)</f>
        <v>2025</v>
      </c>
      <c r="G351" t="s">
        <v>68</v>
      </c>
      <c r="H351" s="15">
        <v>2094.6</v>
      </c>
    </row>
    <row r="352" spans="1:8" x14ac:dyDescent="0.35">
      <c r="A352" t="s">
        <v>20</v>
      </c>
      <c r="B352" t="s">
        <v>23</v>
      </c>
      <c r="C352" s="1">
        <v>45855</v>
      </c>
      <c r="D352">
        <f>DAY(C352)</f>
        <v>17</v>
      </c>
      <c r="E352">
        <f>MONTH(C352)</f>
        <v>7</v>
      </c>
      <c r="F352">
        <f>YEAR(C352)</f>
        <v>2025</v>
      </c>
      <c r="G352" t="s">
        <v>68</v>
      </c>
      <c r="H352" s="96">
        <v>995</v>
      </c>
    </row>
    <row r="353" spans="1:11" x14ac:dyDescent="0.35">
      <c r="A353" t="s">
        <v>20</v>
      </c>
      <c r="B353" t="s">
        <v>22</v>
      </c>
      <c r="C353" s="1">
        <v>45855</v>
      </c>
      <c r="D353">
        <f>DAY(C353)</f>
        <v>17</v>
      </c>
      <c r="E353">
        <f>MONTH(C353)</f>
        <v>7</v>
      </c>
      <c r="F353">
        <f>YEAR(C353)</f>
        <v>2025</v>
      </c>
      <c r="G353" t="s">
        <v>69</v>
      </c>
      <c r="H353" s="96">
        <v>1967.62</v>
      </c>
    </row>
    <row r="354" spans="1:11" x14ac:dyDescent="0.35">
      <c r="A354" t="s">
        <v>20</v>
      </c>
      <c r="B354" t="s">
        <v>23</v>
      </c>
      <c r="C354" s="1">
        <v>45863</v>
      </c>
      <c r="D354">
        <f>DAY(C354)</f>
        <v>25</v>
      </c>
      <c r="E354">
        <f>MONTH(C354)</f>
        <v>7</v>
      </c>
      <c r="F354">
        <f>YEAR(C354)</f>
        <v>2025</v>
      </c>
      <c r="G354" t="s">
        <v>131</v>
      </c>
      <c r="H354" s="15">
        <v>21774.080000000002</v>
      </c>
    </row>
    <row r="355" spans="1:11" x14ac:dyDescent="0.35">
      <c r="A355" t="s">
        <v>20</v>
      </c>
      <c r="B355" t="s">
        <v>23</v>
      </c>
      <c r="C355" s="1">
        <v>45868</v>
      </c>
      <c r="D355">
        <f t="shared" ref="D355:D356" si="85">DAY(C355)</f>
        <v>30</v>
      </c>
      <c r="E355">
        <f t="shared" ref="E355:E356" si="86">MONTH(C355)</f>
        <v>7</v>
      </c>
      <c r="F355">
        <f t="shared" ref="F355:F356" si="87">YEAR(C355)</f>
        <v>2025</v>
      </c>
      <c r="G355" t="s">
        <v>67</v>
      </c>
      <c r="H355" s="15">
        <v>15671.6</v>
      </c>
    </row>
    <row r="356" spans="1:11" x14ac:dyDescent="0.35">
      <c r="A356" t="s">
        <v>20</v>
      </c>
      <c r="B356" t="s">
        <v>23</v>
      </c>
      <c r="C356" s="1">
        <v>45868</v>
      </c>
      <c r="D356">
        <f t="shared" si="85"/>
        <v>30</v>
      </c>
      <c r="E356">
        <f t="shared" si="86"/>
        <v>7</v>
      </c>
      <c r="F356">
        <f t="shared" si="87"/>
        <v>2025</v>
      </c>
      <c r="G356" t="s">
        <v>67</v>
      </c>
      <c r="H356" s="15">
        <v>9938.7800000000007</v>
      </c>
    </row>
    <row r="357" spans="1:11" x14ac:dyDescent="0.35">
      <c r="A357" t="s">
        <v>20</v>
      </c>
      <c r="B357" t="s">
        <v>23</v>
      </c>
      <c r="C357" s="1">
        <v>45870</v>
      </c>
      <c r="D357">
        <f t="shared" ref="D357:D358" si="88">DAY(C357)</f>
        <v>1</v>
      </c>
      <c r="E357">
        <f t="shared" ref="E357:E358" si="89">MONTH(C357)</f>
        <v>8</v>
      </c>
      <c r="F357">
        <f t="shared" ref="F357:F358" si="90">YEAR(C357)</f>
        <v>2025</v>
      </c>
      <c r="G357" t="s">
        <v>66</v>
      </c>
      <c r="H357" s="15">
        <v>13753.97</v>
      </c>
    </row>
    <row r="358" spans="1:11" x14ac:dyDescent="0.35">
      <c r="A358" t="s">
        <v>20</v>
      </c>
      <c r="B358" t="s">
        <v>25</v>
      </c>
      <c r="C358" s="1">
        <v>45873</v>
      </c>
      <c r="D358">
        <f t="shared" si="88"/>
        <v>4</v>
      </c>
      <c r="E358">
        <f t="shared" si="89"/>
        <v>8</v>
      </c>
      <c r="F358">
        <f t="shared" si="90"/>
        <v>2025</v>
      </c>
      <c r="G358" t="s">
        <v>70</v>
      </c>
      <c r="H358" s="15">
        <v>11570.25</v>
      </c>
    </row>
    <row r="359" spans="1:11" x14ac:dyDescent="0.35">
      <c r="A359" t="s">
        <v>20</v>
      </c>
      <c r="B359" t="s">
        <v>25</v>
      </c>
      <c r="C359" s="1">
        <v>45873</v>
      </c>
      <c r="D359">
        <f t="shared" ref="D359:D360" si="91">DAY(C359)</f>
        <v>4</v>
      </c>
      <c r="E359">
        <f t="shared" ref="E359:E360" si="92">MONTH(C359)</f>
        <v>8</v>
      </c>
      <c r="F359">
        <f t="shared" ref="F359:F360" si="93">YEAR(C359)</f>
        <v>2025</v>
      </c>
      <c r="G359" t="s">
        <v>70</v>
      </c>
      <c r="H359" s="15">
        <v>69474.41</v>
      </c>
    </row>
    <row r="360" spans="1:11" x14ac:dyDescent="0.35">
      <c r="A360" t="s">
        <v>20</v>
      </c>
      <c r="B360" t="s">
        <v>23</v>
      </c>
      <c r="C360" s="1">
        <v>45874</v>
      </c>
      <c r="D360">
        <f t="shared" si="91"/>
        <v>5</v>
      </c>
      <c r="E360">
        <f t="shared" si="92"/>
        <v>8</v>
      </c>
      <c r="F360">
        <f t="shared" si="93"/>
        <v>2025</v>
      </c>
      <c r="G360" t="s">
        <v>68</v>
      </c>
      <c r="H360" s="15">
        <v>1065.81</v>
      </c>
    </row>
    <row r="361" spans="1:11" x14ac:dyDescent="0.35">
      <c r="A361" t="s">
        <v>20</v>
      </c>
      <c r="B361" t="s">
        <v>158</v>
      </c>
      <c r="C361" s="1">
        <v>45874</v>
      </c>
      <c r="D361">
        <f>DAY(C361)</f>
        <v>5</v>
      </c>
      <c r="E361">
        <f>MONTH(C361)</f>
        <v>8</v>
      </c>
      <c r="F361">
        <f>YEAR(C361)</f>
        <v>2025</v>
      </c>
      <c r="G361" t="s">
        <v>708</v>
      </c>
      <c r="H361" s="15">
        <v>31073</v>
      </c>
    </row>
    <row r="362" spans="1:11" x14ac:dyDescent="0.35">
      <c r="A362" t="s">
        <v>20</v>
      </c>
      <c r="B362" t="s">
        <v>24</v>
      </c>
      <c r="C362" s="1">
        <v>45877</v>
      </c>
      <c r="D362">
        <f t="shared" ref="D362:D363" si="94">DAY(C362)</f>
        <v>8</v>
      </c>
      <c r="E362">
        <f t="shared" ref="E362:E363" si="95">MONTH(C362)</f>
        <v>8</v>
      </c>
      <c r="F362">
        <f t="shared" ref="F362:F363" si="96">YEAR(C362)</f>
        <v>2025</v>
      </c>
      <c r="G362" t="s">
        <v>69</v>
      </c>
      <c r="H362" s="15">
        <v>50470.49</v>
      </c>
      <c r="J362" s="15"/>
    </row>
    <row r="363" spans="1:11" x14ac:dyDescent="0.35">
      <c r="A363" t="s">
        <v>20</v>
      </c>
      <c r="B363" t="s">
        <v>25</v>
      </c>
      <c r="C363" s="1">
        <v>45877</v>
      </c>
      <c r="D363">
        <f t="shared" si="94"/>
        <v>8</v>
      </c>
      <c r="E363">
        <f t="shared" si="95"/>
        <v>8</v>
      </c>
      <c r="F363">
        <f t="shared" si="96"/>
        <v>2025</v>
      </c>
      <c r="G363" t="s">
        <v>69</v>
      </c>
      <c r="H363" s="15">
        <v>28411.56</v>
      </c>
      <c r="J363" s="15"/>
      <c r="K363" s="157"/>
    </row>
    <row r="364" spans="1:11" x14ac:dyDescent="0.35">
      <c r="A364" t="s">
        <v>20</v>
      </c>
      <c r="B364" t="s">
        <v>21</v>
      </c>
      <c r="C364" s="1">
        <v>45877</v>
      </c>
      <c r="D364">
        <f>DAY(C364)</f>
        <v>8</v>
      </c>
      <c r="E364">
        <f>MONTH(C364)</f>
        <v>8</v>
      </c>
      <c r="F364">
        <f>YEAR(C364)</f>
        <v>2025</v>
      </c>
      <c r="G364" t="s">
        <v>69</v>
      </c>
      <c r="H364" s="15">
        <v>141057.95000000001</v>
      </c>
      <c r="J364" s="15"/>
    </row>
    <row r="365" spans="1:11" x14ac:dyDescent="0.35">
      <c r="A365" t="s">
        <v>20</v>
      </c>
      <c r="B365" t="s">
        <v>23</v>
      </c>
      <c r="C365" s="1">
        <v>45880</v>
      </c>
      <c r="D365">
        <f>DAY(C365)</f>
        <v>11</v>
      </c>
      <c r="E365">
        <f>MONTH(C365)</f>
        <v>8</v>
      </c>
      <c r="F365">
        <f>YEAR(C365)</f>
        <v>2025</v>
      </c>
      <c r="G365" t="s">
        <v>67</v>
      </c>
      <c r="H365" s="15">
        <v>24203</v>
      </c>
      <c r="K365" s="157"/>
    </row>
    <row r="366" spans="1:11" x14ac:dyDescent="0.35">
      <c r="A366" t="s">
        <v>20</v>
      </c>
      <c r="B366" t="s">
        <v>23</v>
      </c>
      <c r="C366" s="1">
        <v>45880</v>
      </c>
      <c r="D366">
        <f>DAY(C366)</f>
        <v>11</v>
      </c>
      <c r="E366">
        <f>MONTH(C366)</f>
        <v>8</v>
      </c>
      <c r="F366">
        <f>YEAR(C366)</f>
        <v>2025</v>
      </c>
      <c r="G366" t="s">
        <v>67</v>
      </c>
      <c r="H366" s="15">
        <v>13765.47</v>
      </c>
    </row>
    <row r="367" spans="1:11" x14ac:dyDescent="0.35">
      <c r="A367" t="s">
        <v>20</v>
      </c>
      <c r="B367" t="s">
        <v>23</v>
      </c>
      <c r="C367" s="1">
        <v>45881</v>
      </c>
      <c r="D367">
        <f>DAY(C367)</f>
        <v>12</v>
      </c>
      <c r="E367">
        <f>MONTH(C367)</f>
        <v>8</v>
      </c>
      <c r="F367">
        <f>YEAR(C367)</f>
        <v>2025</v>
      </c>
      <c r="G367" t="s">
        <v>68</v>
      </c>
      <c r="H367" s="15">
        <v>1094.5999999999999</v>
      </c>
    </row>
    <row r="368" spans="1:11" x14ac:dyDescent="0.35">
      <c r="A368" t="s">
        <v>20</v>
      </c>
      <c r="B368" t="s">
        <v>23</v>
      </c>
      <c r="C368" s="1">
        <v>45883</v>
      </c>
      <c r="D368">
        <f t="shared" ref="D368:D369" si="97">DAY(C368)</f>
        <v>14</v>
      </c>
      <c r="E368">
        <f t="shared" ref="E368:E369" si="98">MONTH(C368)</f>
        <v>8</v>
      </c>
      <c r="F368">
        <f t="shared" ref="F368:F369" si="99">YEAR(C368)</f>
        <v>2025</v>
      </c>
      <c r="G368" t="s">
        <v>712</v>
      </c>
      <c r="H368" s="15">
        <v>99497.64</v>
      </c>
    </row>
    <row r="369" spans="1:9" x14ac:dyDescent="0.35">
      <c r="A369" t="s">
        <v>20</v>
      </c>
      <c r="B369" t="s">
        <v>23</v>
      </c>
      <c r="C369" s="1">
        <v>45888</v>
      </c>
      <c r="D369">
        <f t="shared" si="97"/>
        <v>19</v>
      </c>
      <c r="E369">
        <f t="shared" si="98"/>
        <v>8</v>
      </c>
      <c r="F369">
        <f t="shared" si="99"/>
        <v>2025</v>
      </c>
      <c r="G369" t="s">
        <v>712</v>
      </c>
      <c r="H369" s="15">
        <v>145632.70000000001</v>
      </c>
    </row>
    <row r="370" spans="1:9" x14ac:dyDescent="0.35">
      <c r="A370" t="s">
        <v>20</v>
      </c>
      <c r="B370" t="s">
        <v>23</v>
      </c>
      <c r="C370" s="1">
        <v>45888</v>
      </c>
      <c r="D370">
        <f>DAY(C370)</f>
        <v>19</v>
      </c>
      <c r="E370">
        <f>MONTH(C370)</f>
        <v>8</v>
      </c>
      <c r="F370">
        <f>YEAR(C370)</f>
        <v>2025</v>
      </c>
      <c r="G370" t="s">
        <v>68</v>
      </c>
      <c r="H370" s="15">
        <v>380</v>
      </c>
    </row>
    <row r="371" spans="1:9" x14ac:dyDescent="0.35">
      <c r="A371" t="s">
        <v>20</v>
      </c>
      <c r="B371" t="s">
        <v>23</v>
      </c>
      <c r="C371" s="1">
        <v>45896</v>
      </c>
      <c r="D371">
        <f>DAY(C371)</f>
        <v>27</v>
      </c>
      <c r="E371">
        <f>MONTH(C371)</f>
        <v>8</v>
      </c>
      <c r="F371">
        <f>YEAR(C371)</f>
        <v>2025</v>
      </c>
      <c r="G371" t="s">
        <v>66</v>
      </c>
      <c r="H371" s="15">
        <v>13551.4</v>
      </c>
    </row>
    <row r="372" spans="1:9" x14ac:dyDescent="0.35">
      <c r="A372" t="s">
        <v>20</v>
      </c>
      <c r="B372" t="s">
        <v>25</v>
      </c>
      <c r="C372" s="1">
        <v>45904</v>
      </c>
      <c r="D372">
        <f t="shared" ref="D372:D374" si="100">DAY(C372)</f>
        <v>4</v>
      </c>
      <c r="E372">
        <f t="shared" ref="E372:E374" si="101">MONTH(C372)</f>
        <v>9</v>
      </c>
      <c r="F372">
        <f t="shared" ref="F372:F374" si="102">YEAR(C372)</f>
        <v>2025</v>
      </c>
      <c r="G372" t="s">
        <v>70</v>
      </c>
      <c r="H372" s="15">
        <v>60525.59</v>
      </c>
    </row>
    <row r="373" spans="1:9" x14ac:dyDescent="0.35">
      <c r="A373" t="s">
        <v>20</v>
      </c>
      <c r="B373" t="s">
        <v>25</v>
      </c>
      <c r="C373" s="1">
        <v>45904</v>
      </c>
      <c r="D373">
        <f t="shared" si="100"/>
        <v>4</v>
      </c>
      <c r="E373">
        <f t="shared" si="101"/>
        <v>9</v>
      </c>
      <c r="F373">
        <f t="shared" si="102"/>
        <v>2025</v>
      </c>
      <c r="G373" t="s">
        <v>70</v>
      </c>
      <c r="H373" s="15">
        <v>27910.09</v>
      </c>
    </row>
    <row r="374" spans="1:9" x14ac:dyDescent="0.35">
      <c r="A374" t="s">
        <v>20</v>
      </c>
      <c r="B374" t="s">
        <v>25</v>
      </c>
      <c r="C374" s="1">
        <v>45904</v>
      </c>
      <c r="D374">
        <f t="shared" si="100"/>
        <v>4</v>
      </c>
      <c r="E374">
        <f t="shared" si="101"/>
        <v>9</v>
      </c>
      <c r="F374">
        <f t="shared" si="102"/>
        <v>2025</v>
      </c>
      <c r="G374" t="s">
        <v>70</v>
      </c>
      <c r="H374" s="15">
        <v>8264.8799999999992</v>
      </c>
    </row>
    <row r="375" spans="1:9" x14ac:dyDescent="0.35">
      <c r="A375" t="s">
        <v>20</v>
      </c>
      <c r="B375" t="s">
        <v>23</v>
      </c>
      <c r="C375" s="1">
        <v>45904</v>
      </c>
      <c r="D375">
        <f t="shared" ref="D375:D376" si="103">DAY(C375)</f>
        <v>4</v>
      </c>
      <c r="E375">
        <f t="shared" ref="E375:E376" si="104">MONTH(C375)</f>
        <v>9</v>
      </c>
      <c r="F375">
        <f t="shared" ref="F375:F376" si="105">YEAR(C375)</f>
        <v>2025</v>
      </c>
      <c r="G375" t="s">
        <v>712</v>
      </c>
      <c r="H375" s="15">
        <v>51330.69</v>
      </c>
    </row>
    <row r="376" spans="1:9" x14ac:dyDescent="0.35">
      <c r="A376" t="s">
        <v>20</v>
      </c>
      <c r="B376" t="s">
        <v>23</v>
      </c>
      <c r="C376" s="1">
        <v>45904</v>
      </c>
      <c r="D376">
        <f t="shared" si="103"/>
        <v>4</v>
      </c>
      <c r="E376">
        <f t="shared" si="104"/>
        <v>9</v>
      </c>
      <c r="F376">
        <f t="shared" si="105"/>
        <v>2025</v>
      </c>
      <c r="G376" t="s">
        <v>66</v>
      </c>
      <c r="H376" s="15">
        <v>8084.65</v>
      </c>
    </row>
    <row r="377" spans="1:9" x14ac:dyDescent="0.35">
      <c r="A377" t="s">
        <v>20</v>
      </c>
      <c r="B377" t="s">
        <v>24</v>
      </c>
      <c r="C377" s="1">
        <v>45905</v>
      </c>
      <c r="D377">
        <f t="shared" ref="D377:D383" si="106">DAY(C377)</f>
        <v>5</v>
      </c>
      <c r="E377">
        <f t="shared" ref="E377:E383" si="107">MONTH(C377)</f>
        <v>9</v>
      </c>
      <c r="F377">
        <f t="shared" ref="F377:F383" si="108">YEAR(C377)</f>
        <v>2025</v>
      </c>
      <c r="G377" t="s">
        <v>69</v>
      </c>
      <c r="H377" s="15">
        <v>31856.53</v>
      </c>
    </row>
    <row r="378" spans="1:9" x14ac:dyDescent="0.35">
      <c r="A378" t="s">
        <v>20</v>
      </c>
      <c r="B378" t="s">
        <v>25</v>
      </c>
      <c r="C378" s="1">
        <v>45905</v>
      </c>
      <c r="D378">
        <f t="shared" si="106"/>
        <v>5</v>
      </c>
      <c r="E378">
        <f t="shared" si="107"/>
        <v>9</v>
      </c>
      <c r="F378">
        <f t="shared" si="108"/>
        <v>2025</v>
      </c>
      <c r="G378" t="s">
        <v>69</v>
      </c>
      <c r="H378" s="15">
        <v>40777.31</v>
      </c>
    </row>
    <row r="379" spans="1:9" x14ac:dyDescent="0.35">
      <c r="A379" t="s">
        <v>20</v>
      </c>
      <c r="B379" t="s">
        <v>21</v>
      </c>
      <c r="C379" s="1">
        <v>45905</v>
      </c>
      <c r="D379">
        <f t="shared" si="106"/>
        <v>5</v>
      </c>
      <c r="E379">
        <f t="shared" si="107"/>
        <v>9</v>
      </c>
      <c r="F379">
        <f t="shared" si="108"/>
        <v>2025</v>
      </c>
      <c r="G379" t="s">
        <v>69</v>
      </c>
      <c r="H379" s="15">
        <v>122366.16</v>
      </c>
    </row>
    <row r="380" spans="1:9" x14ac:dyDescent="0.35">
      <c r="A380" t="s">
        <v>20</v>
      </c>
      <c r="B380" t="s">
        <v>22</v>
      </c>
      <c r="C380" s="1">
        <v>45905</v>
      </c>
      <c r="D380">
        <f t="shared" si="106"/>
        <v>5</v>
      </c>
      <c r="E380">
        <f t="shared" si="107"/>
        <v>9</v>
      </c>
      <c r="F380">
        <f t="shared" si="108"/>
        <v>2025</v>
      </c>
      <c r="G380" t="s">
        <v>69</v>
      </c>
      <c r="H380" s="15">
        <v>2000</v>
      </c>
    </row>
    <row r="381" spans="1:9" x14ac:dyDescent="0.35">
      <c r="A381" t="s">
        <v>19</v>
      </c>
      <c r="B381" t="s">
        <v>21</v>
      </c>
      <c r="C381" s="1">
        <v>45910</v>
      </c>
      <c r="D381">
        <f t="shared" si="106"/>
        <v>10</v>
      </c>
      <c r="E381">
        <f t="shared" si="107"/>
        <v>9</v>
      </c>
      <c r="F381">
        <f t="shared" si="108"/>
        <v>2025</v>
      </c>
      <c r="G381" t="s">
        <v>737</v>
      </c>
      <c r="H381" s="15">
        <v>4384.3</v>
      </c>
      <c r="I381" t="s">
        <v>1303</v>
      </c>
    </row>
    <row r="382" spans="1:9" x14ac:dyDescent="0.35">
      <c r="A382" t="s">
        <v>20</v>
      </c>
      <c r="B382" t="s">
        <v>23</v>
      </c>
      <c r="C382" s="1">
        <v>45910</v>
      </c>
      <c r="D382">
        <f t="shared" si="106"/>
        <v>10</v>
      </c>
      <c r="E382">
        <f t="shared" si="107"/>
        <v>9</v>
      </c>
      <c r="F382">
        <f t="shared" si="108"/>
        <v>2025</v>
      </c>
      <c r="G382" t="s">
        <v>411</v>
      </c>
      <c r="H382" s="15">
        <v>11212.12</v>
      </c>
    </row>
    <row r="383" spans="1:9" x14ac:dyDescent="0.35">
      <c r="A383" t="s">
        <v>20</v>
      </c>
      <c r="B383" t="s">
        <v>23</v>
      </c>
      <c r="C383" s="1">
        <v>45915</v>
      </c>
      <c r="D383">
        <f t="shared" si="106"/>
        <v>15</v>
      </c>
      <c r="E383">
        <f t="shared" si="107"/>
        <v>9</v>
      </c>
      <c r="F383">
        <f t="shared" si="108"/>
        <v>2025</v>
      </c>
      <c r="G383" t="s">
        <v>66</v>
      </c>
      <c r="H383" s="15">
        <v>1080.56</v>
      </c>
    </row>
    <row r="384" spans="1:9" x14ac:dyDescent="0.35">
      <c r="A384" t="s">
        <v>20</v>
      </c>
      <c r="B384" t="s">
        <v>25</v>
      </c>
      <c r="C384" s="1">
        <v>45915</v>
      </c>
      <c r="D384">
        <f t="shared" ref="D384:D385" si="109">DAY(C384)</f>
        <v>15</v>
      </c>
      <c r="E384">
        <f t="shared" ref="E384:E385" si="110">MONTH(C384)</f>
        <v>9</v>
      </c>
      <c r="F384">
        <f t="shared" ref="F384:F385" si="111">YEAR(C384)</f>
        <v>2025</v>
      </c>
      <c r="G384" t="s">
        <v>66</v>
      </c>
      <c r="H384" s="15">
        <v>353.07</v>
      </c>
    </row>
    <row r="385" spans="1:11" x14ac:dyDescent="0.35">
      <c r="A385" t="s">
        <v>20</v>
      </c>
      <c r="B385" t="s">
        <v>21</v>
      </c>
      <c r="C385" s="1">
        <v>45915</v>
      </c>
      <c r="D385">
        <f t="shared" si="109"/>
        <v>15</v>
      </c>
      <c r="E385">
        <f t="shared" si="110"/>
        <v>9</v>
      </c>
      <c r="F385">
        <f t="shared" si="111"/>
        <v>2025</v>
      </c>
      <c r="G385" t="s">
        <v>66</v>
      </c>
      <c r="H385" s="15">
        <v>1062.1500000000001</v>
      </c>
    </row>
    <row r="386" spans="1:11" x14ac:dyDescent="0.35">
      <c r="A386" t="s">
        <v>20</v>
      </c>
      <c r="B386" t="s">
        <v>25</v>
      </c>
      <c r="C386" s="1">
        <v>45916</v>
      </c>
      <c r="D386">
        <f t="shared" ref="D386:D391" si="112">DAY(C386)</f>
        <v>16</v>
      </c>
      <c r="E386">
        <f t="shared" ref="E386:E391" si="113">MONTH(C386)</f>
        <v>9</v>
      </c>
      <c r="F386">
        <f t="shared" ref="F386:F391" si="114">YEAR(C386)</f>
        <v>2025</v>
      </c>
      <c r="G386" t="s">
        <v>70</v>
      </c>
      <c r="H386" s="15">
        <v>88361.87</v>
      </c>
    </row>
    <row r="387" spans="1:11" x14ac:dyDescent="0.35">
      <c r="A387" t="s">
        <v>20</v>
      </c>
      <c r="B387" t="s">
        <v>21</v>
      </c>
      <c r="C387" s="1">
        <v>45919</v>
      </c>
      <c r="D387">
        <f t="shared" si="112"/>
        <v>19</v>
      </c>
      <c r="E387">
        <f t="shared" si="113"/>
        <v>9</v>
      </c>
      <c r="F387">
        <f t="shared" si="114"/>
        <v>2025</v>
      </c>
      <c r="G387" t="s">
        <v>208</v>
      </c>
      <c r="H387" s="15">
        <v>4211.91</v>
      </c>
    </row>
    <row r="388" spans="1:11" x14ac:dyDescent="0.35">
      <c r="A388" t="s">
        <v>20</v>
      </c>
      <c r="B388" t="s">
        <v>23</v>
      </c>
      <c r="C388" s="1">
        <v>45919</v>
      </c>
      <c r="D388">
        <f t="shared" si="112"/>
        <v>19</v>
      </c>
      <c r="E388">
        <f t="shared" si="113"/>
        <v>9</v>
      </c>
      <c r="F388">
        <f t="shared" si="114"/>
        <v>2025</v>
      </c>
      <c r="G388" t="s">
        <v>67</v>
      </c>
      <c r="H388" s="15">
        <v>21433.8</v>
      </c>
    </row>
    <row r="389" spans="1:11" x14ac:dyDescent="0.35">
      <c r="A389" t="s">
        <v>20</v>
      </c>
      <c r="B389" t="s">
        <v>23</v>
      </c>
      <c r="C389" s="1">
        <v>45920</v>
      </c>
      <c r="D389">
        <f t="shared" si="112"/>
        <v>20</v>
      </c>
      <c r="E389">
        <f t="shared" si="113"/>
        <v>9</v>
      </c>
      <c r="F389">
        <f t="shared" si="114"/>
        <v>2025</v>
      </c>
      <c r="G389" t="s">
        <v>67</v>
      </c>
      <c r="H389" s="15">
        <v>14280.89</v>
      </c>
    </row>
    <row r="390" spans="1:11" x14ac:dyDescent="0.35">
      <c r="A390" t="s">
        <v>20</v>
      </c>
      <c r="B390" t="s">
        <v>23</v>
      </c>
      <c r="C390" s="1">
        <v>45919</v>
      </c>
      <c r="D390">
        <f t="shared" si="112"/>
        <v>19</v>
      </c>
      <c r="E390">
        <f t="shared" si="113"/>
        <v>9</v>
      </c>
      <c r="F390">
        <f t="shared" si="114"/>
        <v>2025</v>
      </c>
      <c r="G390" t="s">
        <v>68</v>
      </c>
      <c r="H390" s="15">
        <v>2490</v>
      </c>
    </row>
    <row r="391" spans="1:11" x14ac:dyDescent="0.35">
      <c r="A391" t="s">
        <v>20</v>
      </c>
      <c r="B391" t="s">
        <v>23</v>
      </c>
      <c r="C391" s="1">
        <v>45924</v>
      </c>
      <c r="D391">
        <f t="shared" si="112"/>
        <v>24</v>
      </c>
      <c r="E391">
        <f t="shared" si="113"/>
        <v>9</v>
      </c>
      <c r="F391">
        <f t="shared" si="114"/>
        <v>2025</v>
      </c>
      <c r="G391" t="s">
        <v>712</v>
      </c>
      <c r="H391" s="176">
        <v>138878.19</v>
      </c>
    </row>
    <row r="392" spans="1:11" x14ac:dyDescent="0.35">
      <c r="A392" t="s">
        <v>20</v>
      </c>
      <c r="B392" t="s">
        <v>27</v>
      </c>
      <c r="C392" s="1">
        <v>45929</v>
      </c>
      <c r="D392">
        <f t="shared" ref="D392:D402" si="115">DAY(C392)</f>
        <v>29</v>
      </c>
      <c r="E392">
        <f t="shared" ref="E392:E402" si="116">MONTH(C392)</f>
        <v>9</v>
      </c>
      <c r="F392">
        <f t="shared" ref="F392:F402" si="117">YEAR(C392)</f>
        <v>2025</v>
      </c>
      <c r="G392" t="s">
        <v>255</v>
      </c>
      <c r="H392" s="96">
        <v>244307.24</v>
      </c>
    </row>
    <row r="393" spans="1:11" x14ac:dyDescent="0.35">
      <c r="A393" t="s">
        <v>20</v>
      </c>
      <c r="B393" t="s">
        <v>23</v>
      </c>
      <c r="C393" s="1">
        <v>45930</v>
      </c>
      <c r="D393">
        <f t="shared" si="115"/>
        <v>30</v>
      </c>
      <c r="E393">
        <f t="shared" si="116"/>
        <v>9</v>
      </c>
      <c r="F393">
        <f t="shared" si="117"/>
        <v>2025</v>
      </c>
      <c r="G393" t="s">
        <v>131</v>
      </c>
      <c r="H393" s="96">
        <v>21172.37</v>
      </c>
    </row>
    <row r="394" spans="1:11" x14ac:dyDescent="0.35">
      <c r="A394" t="s">
        <v>20</v>
      </c>
      <c r="B394" t="s">
        <v>23</v>
      </c>
      <c r="C394" s="1">
        <v>45931</v>
      </c>
      <c r="D394">
        <f t="shared" si="115"/>
        <v>1</v>
      </c>
      <c r="E394">
        <f t="shared" si="116"/>
        <v>10</v>
      </c>
      <c r="F394">
        <f t="shared" si="117"/>
        <v>2025</v>
      </c>
      <c r="G394" t="s">
        <v>66</v>
      </c>
      <c r="H394" s="96">
        <v>21131.54</v>
      </c>
    </row>
    <row r="395" spans="1:11" x14ac:dyDescent="0.35">
      <c r="A395" t="s">
        <v>20</v>
      </c>
      <c r="B395" t="s">
        <v>25</v>
      </c>
      <c r="C395" s="1">
        <v>45936</v>
      </c>
      <c r="D395">
        <f t="shared" si="115"/>
        <v>6</v>
      </c>
      <c r="E395">
        <f t="shared" si="116"/>
        <v>10</v>
      </c>
      <c r="F395">
        <f t="shared" si="117"/>
        <v>2025</v>
      </c>
      <c r="G395" t="s">
        <v>70</v>
      </c>
      <c r="H395" s="96">
        <v>47739.64</v>
      </c>
      <c r="K395" s="157"/>
    </row>
    <row r="396" spans="1:11" x14ac:dyDescent="0.35">
      <c r="A396" t="s">
        <v>20</v>
      </c>
      <c r="B396" t="s">
        <v>25</v>
      </c>
      <c r="C396" s="1">
        <v>45936</v>
      </c>
      <c r="D396">
        <f t="shared" si="115"/>
        <v>6</v>
      </c>
      <c r="E396">
        <f t="shared" si="116"/>
        <v>10</v>
      </c>
      <c r="F396">
        <f t="shared" si="117"/>
        <v>2025</v>
      </c>
      <c r="G396" t="s">
        <v>70</v>
      </c>
      <c r="H396" s="96">
        <v>56471.41</v>
      </c>
      <c r="J396" s="157"/>
      <c r="K396" s="157"/>
    </row>
    <row r="397" spans="1:11" x14ac:dyDescent="0.35">
      <c r="A397" t="s">
        <v>20</v>
      </c>
      <c r="B397" t="s">
        <v>23</v>
      </c>
      <c r="C397" s="1">
        <v>45937</v>
      </c>
      <c r="D397">
        <f t="shared" si="115"/>
        <v>7</v>
      </c>
      <c r="E397">
        <f t="shared" si="116"/>
        <v>10</v>
      </c>
      <c r="F397">
        <f t="shared" si="117"/>
        <v>2025</v>
      </c>
      <c r="G397" t="s">
        <v>68</v>
      </c>
      <c r="H397" s="96">
        <v>1010</v>
      </c>
    </row>
    <row r="398" spans="1:11" x14ac:dyDescent="0.35">
      <c r="A398" t="s">
        <v>20</v>
      </c>
      <c r="B398" t="s">
        <v>24</v>
      </c>
      <c r="C398" s="1">
        <v>45938</v>
      </c>
      <c r="D398">
        <f t="shared" si="115"/>
        <v>8</v>
      </c>
      <c r="E398">
        <f t="shared" si="116"/>
        <v>10</v>
      </c>
      <c r="F398">
        <f t="shared" si="117"/>
        <v>2025</v>
      </c>
      <c r="G398" t="s">
        <v>69</v>
      </c>
      <c r="H398" s="96">
        <v>84478.25</v>
      </c>
    </row>
    <row r="399" spans="1:11" x14ac:dyDescent="0.35">
      <c r="A399" t="s">
        <v>20</v>
      </c>
      <c r="B399" t="s">
        <v>25</v>
      </c>
      <c r="C399" s="1">
        <v>45938</v>
      </c>
      <c r="D399">
        <f t="shared" si="115"/>
        <v>8</v>
      </c>
      <c r="E399">
        <f t="shared" si="116"/>
        <v>10</v>
      </c>
      <c r="F399">
        <f t="shared" si="117"/>
        <v>2025</v>
      </c>
      <c r="G399" t="s">
        <v>69</v>
      </c>
      <c r="H399" s="96">
        <v>53611.83</v>
      </c>
      <c r="J399" s="15"/>
    </row>
    <row r="400" spans="1:11" x14ac:dyDescent="0.35">
      <c r="A400" t="s">
        <v>20</v>
      </c>
      <c r="B400" t="s">
        <v>21</v>
      </c>
      <c r="C400" s="1">
        <v>45938</v>
      </c>
      <c r="D400">
        <f t="shared" si="115"/>
        <v>8</v>
      </c>
      <c r="E400">
        <f t="shared" si="116"/>
        <v>10</v>
      </c>
      <c r="F400">
        <f t="shared" si="117"/>
        <v>2025</v>
      </c>
      <c r="G400" t="s">
        <v>69</v>
      </c>
      <c r="H400" s="96">
        <v>231729.92000000001</v>
      </c>
    </row>
    <row r="401" spans="1:8" x14ac:dyDescent="0.35">
      <c r="A401" t="s">
        <v>20</v>
      </c>
      <c r="B401" t="s">
        <v>21</v>
      </c>
      <c r="C401" s="1">
        <v>45940</v>
      </c>
      <c r="D401">
        <f t="shared" si="115"/>
        <v>10</v>
      </c>
      <c r="E401">
        <f t="shared" si="116"/>
        <v>10</v>
      </c>
      <c r="F401">
        <f t="shared" si="117"/>
        <v>2025</v>
      </c>
      <c r="G401" t="s">
        <v>66</v>
      </c>
      <c r="H401" s="96">
        <v>11962.71</v>
      </c>
    </row>
    <row r="402" spans="1:8" x14ac:dyDescent="0.35">
      <c r="A402" t="s">
        <v>20</v>
      </c>
      <c r="B402" t="s">
        <v>27</v>
      </c>
      <c r="C402" s="1">
        <v>45944</v>
      </c>
      <c r="D402">
        <f t="shared" si="115"/>
        <v>14</v>
      </c>
      <c r="E402">
        <f t="shared" si="116"/>
        <v>10</v>
      </c>
      <c r="F402">
        <f t="shared" si="117"/>
        <v>2025</v>
      </c>
      <c r="G402" t="s">
        <v>255</v>
      </c>
      <c r="H402" s="96">
        <v>7214.11</v>
      </c>
    </row>
    <row r="403" spans="1:8" x14ac:dyDescent="0.35">
      <c r="A403" t="s">
        <v>20</v>
      </c>
      <c r="B403" t="s">
        <v>23</v>
      </c>
      <c r="C403" s="1">
        <v>45944</v>
      </c>
      <c r="D403">
        <f t="shared" ref="D403:D407" si="118">DAY(C403)</f>
        <v>14</v>
      </c>
      <c r="E403">
        <f t="shared" ref="E403:E407" si="119">MONTH(C403)</f>
        <v>10</v>
      </c>
      <c r="F403">
        <f t="shared" ref="F403:F407" si="120">YEAR(C403)</f>
        <v>2025</v>
      </c>
      <c r="G403" t="s">
        <v>131</v>
      </c>
      <c r="H403" s="15">
        <v>16604.63</v>
      </c>
    </row>
    <row r="404" spans="1:8" x14ac:dyDescent="0.35">
      <c r="A404" t="s">
        <v>20</v>
      </c>
      <c r="B404" t="s">
        <v>25</v>
      </c>
      <c r="C404" s="1">
        <v>45951</v>
      </c>
      <c r="D404">
        <f t="shared" si="118"/>
        <v>21</v>
      </c>
      <c r="E404">
        <f t="shared" si="119"/>
        <v>10</v>
      </c>
      <c r="F404">
        <f t="shared" si="120"/>
        <v>2025</v>
      </c>
      <c r="G404" s="6" t="s">
        <v>70</v>
      </c>
      <c r="H404" s="15">
        <v>7085.01</v>
      </c>
    </row>
    <row r="405" spans="1:8" x14ac:dyDescent="0.35">
      <c r="A405" t="s">
        <v>20</v>
      </c>
      <c r="B405" t="s">
        <v>23</v>
      </c>
      <c r="C405" s="1">
        <v>45953</v>
      </c>
      <c r="D405">
        <f t="shared" si="118"/>
        <v>23</v>
      </c>
      <c r="E405">
        <f t="shared" si="119"/>
        <v>10</v>
      </c>
      <c r="F405">
        <f t="shared" si="120"/>
        <v>2025</v>
      </c>
      <c r="G405" t="s">
        <v>68</v>
      </c>
      <c r="H405" s="15">
        <v>1350</v>
      </c>
    </row>
    <row r="406" spans="1:8" x14ac:dyDescent="0.35">
      <c r="A406" t="s">
        <v>20</v>
      </c>
      <c r="B406" t="s">
        <v>23</v>
      </c>
      <c r="C406" s="1">
        <v>45959</v>
      </c>
      <c r="D406">
        <f t="shared" si="118"/>
        <v>29</v>
      </c>
      <c r="E406">
        <f t="shared" si="119"/>
        <v>10</v>
      </c>
      <c r="F406">
        <f t="shared" si="120"/>
        <v>2025</v>
      </c>
      <c r="G406" t="s">
        <v>712</v>
      </c>
      <c r="H406" s="15">
        <v>90602.27</v>
      </c>
    </row>
    <row r="407" spans="1:8" x14ac:dyDescent="0.35">
      <c r="A407" t="s">
        <v>20</v>
      </c>
      <c r="B407" t="s">
        <v>23</v>
      </c>
      <c r="C407" s="1">
        <v>45959</v>
      </c>
      <c r="D407">
        <f t="shared" si="118"/>
        <v>29</v>
      </c>
      <c r="E407">
        <f t="shared" si="119"/>
        <v>10</v>
      </c>
      <c r="F407">
        <f t="shared" si="120"/>
        <v>2025</v>
      </c>
      <c r="G407" t="s">
        <v>66</v>
      </c>
      <c r="H407" s="15">
        <v>14273.8</v>
      </c>
    </row>
    <row r="408" spans="1:8" x14ac:dyDescent="0.35">
      <c r="A408" t="s">
        <v>20</v>
      </c>
      <c r="B408" t="s">
        <v>158</v>
      </c>
      <c r="C408" s="1">
        <v>45939</v>
      </c>
      <c r="D408">
        <f t="shared" ref="D408:D409" si="121">DAY(C408)</f>
        <v>9</v>
      </c>
      <c r="E408">
        <f t="shared" ref="E408:E409" si="122">MONTH(C408)</f>
        <v>10</v>
      </c>
      <c r="F408">
        <f t="shared" ref="F408:F409" si="123">YEAR(C408)</f>
        <v>2025</v>
      </c>
      <c r="G408" t="s">
        <v>1468</v>
      </c>
      <c r="H408" s="15">
        <v>24125</v>
      </c>
    </row>
    <row r="409" spans="1:8" x14ac:dyDescent="0.35">
      <c r="A409" t="s">
        <v>20</v>
      </c>
      <c r="B409" t="s">
        <v>158</v>
      </c>
      <c r="C409" s="1">
        <v>45950</v>
      </c>
      <c r="D409">
        <f t="shared" si="121"/>
        <v>20</v>
      </c>
      <c r="E409">
        <f t="shared" si="122"/>
        <v>10</v>
      </c>
      <c r="F409">
        <f t="shared" si="123"/>
        <v>2025</v>
      </c>
      <c r="G409" t="s">
        <v>1468</v>
      </c>
      <c r="H409" s="15">
        <v>55970</v>
      </c>
    </row>
    <row r="410" spans="1:8" x14ac:dyDescent="0.35">
      <c r="A410" t="s">
        <v>20</v>
      </c>
      <c r="B410" t="s">
        <v>23</v>
      </c>
      <c r="C410" s="1">
        <v>45966</v>
      </c>
      <c r="D410">
        <f>DAY(C410)</f>
        <v>5</v>
      </c>
      <c r="E410">
        <f>MONTH(C410)</f>
        <v>11</v>
      </c>
      <c r="F410">
        <f>YEAR(C410)</f>
        <v>2025</v>
      </c>
      <c r="G410" t="s">
        <v>67</v>
      </c>
      <c r="H410" s="15">
        <v>59312.04</v>
      </c>
    </row>
    <row r="411" spans="1:8" x14ac:dyDescent="0.35">
      <c r="A411" t="s">
        <v>20</v>
      </c>
      <c r="B411" t="s">
        <v>23</v>
      </c>
      <c r="C411" s="1">
        <v>45966</v>
      </c>
      <c r="D411">
        <f>DAY(C411)</f>
        <v>5</v>
      </c>
      <c r="E411">
        <f>MONTH(C411)</f>
        <v>11</v>
      </c>
      <c r="F411">
        <f>YEAR(C411)</f>
        <v>2025</v>
      </c>
      <c r="G411" t="s">
        <v>67</v>
      </c>
      <c r="H411" s="15">
        <v>39531.35</v>
      </c>
    </row>
    <row r="412" spans="1:8" x14ac:dyDescent="0.35">
      <c r="A412" t="s">
        <v>20</v>
      </c>
      <c r="B412" t="s">
        <v>23</v>
      </c>
      <c r="C412" s="1">
        <v>45967</v>
      </c>
      <c r="D412">
        <f>DAY(C412)</f>
        <v>6</v>
      </c>
      <c r="E412">
        <f>MONTH(C412)</f>
        <v>11</v>
      </c>
      <c r="F412">
        <f>YEAR(C412)</f>
        <v>2025</v>
      </c>
      <c r="G412" t="s">
        <v>66</v>
      </c>
      <c r="H412" s="15">
        <v>11827.57</v>
      </c>
    </row>
    <row r="413" spans="1:8" x14ac:dyDescent="0.35">
      <c r="A413" t="s">
        <v>20</v>
      </c>
      <c r="B413" t="s">
        <v>21</v>
      </c>
      <c r="C413" s="1">
        <v>45971</v>
      </c>
      <c r="D413">
        <f t="shared" ref="D413:D417" si="124">DAY(C413)</f>
        <v>10</v>
      </c>
      <c r="E413">
        <f t="shared" ref="E413:E417" si="125">MONTH(C413)</f>
        <v>11</v>
      </c>
      <c r="F413">
        <f t="shared" ref="F413:F417" si="126">YEAR(C413)</f>
        <v>2025</v>
      </c>
      <c r="G413" t="s">
        <v>411</v>
      </c>
      <c r="H413" s="15">
        <v>6096.69</v>
      </c>
    </row>
    <row r="414" spans="1:8" x14ac:dyDescent="0.35">
      <c r="A414" t="s">
        <v>20</v>
      </c>
      <c r="B414" t="s">
        <v>25</v>
      </c>
      <c r="C414" s="1">
        <v>45972</v>
      </c>
      <c r="D414">
        <f t="shared" si="124"/>
        <v>11</v>
      </c>
      <c r="E414">
        <f t="shared" si="125"/>
        <v>11</v>
      </c>
      <c r="F414">
        <f t="shared" si="126"/>
        <v>2025</v>
      </c>
      <c r="G414" t="s">
        <v>70</v>
      </c>
      <c r="H414" s="15">
        <v>77789.52</v>
      </c>
    </row>
    <row r="415" spans="1:8" x14ac:dyDescent="0.35">
      <c r="A415" t="s">
        <v>20</v>
      </c>
      <c r="B415" t="s">
        <v>25</v>
      </c>
      <c r="C415" s="1">
        <v>45972</v>
      </c>
      <c r="D415">
        <f t="shared" si="124"/>
        <v>11</v>
      </c>
      <c r="E415">
        <f t="shared" si="125"/>
        <v>11</v>
      </c>
      <c r="F415">
        <f t="shared" si="126"/>
        <v>2025</v>
      </c>
      <c r="G415" t="s">
        <v>70</v>
      </c>
      <c r="H415" s="15">
        <v>66416.08</v>
      </c>
    </row>
    <row r="416" spans="1:8" x14ac:dyDescent="0.35">
      <c r="A416" t="s">
        <v>20</v>
      </c>
      <c r="B416" t="s">
        <v>23</v>
      </c>
      <c r="C416" s="1">
        <v>45974</v>
      </c>
      <c r="D416">
        <f t="shared" si="124"/>
        <v>13</v>
      </c>
      <c r="E416">
        <f t="shared" si="125"/>
        <v>11</v>
      </c>
      <c r="F416">
        <f t="shared" si="126"/>
        <v>2025</v>
      </c>
      <c r="G416" t="s">
        <v>68</v>
      </c>
      <c r="H416" s="15">
        <v>2390</v>
      </c>
    </row>
    <row r="417" spans="1:8" x14ac:dyDescent="0.35">
      <c r="A417" t="s">
        <v>20</v>
      </c>
      <c r="B417" t="s">
        <v>158</v>
      </c>
      <c r="C417" s="1">
        <v>45974</v>
      </c>
      <c r="D417">
        <f t="shared" si="124"/>
        <v>13</v>
      </c>
      <c r="E417">
        <f t="shared" si="125"/>
        <v>11</v>
      </c>
      <c r="F417">
        <f t="shared" si="126"/>
        <v>2025</v>
      </c>
      <c r="G417" t="s">
        <v>69</v>
      </c>
      <c r="H417" s="15">
        <v>181940</v>
      </c>
    </row>
    <row r="418" spans="1:8" x14ac:dyDescent="0.35">
      <c r="A418" t="s">
        <v>20</v>
      </c>
      <c r="B418" t="s">
        <v>23</v>
      </c>
      <c r="C418" s="1">
        <v>45987</v>
      </c>
      <c r="D418">
        <f>DAY(C418)</f>
        <v>26</v>
      </c>
      <c r="E418">
        <f>MONTH(C418)</f>
        <v>11</v>
      </c>
      <c r="F418">
        <f>YEAR(C418)</f>
        <v>2025</v>
      </c>
      <c r="G418" t="s">
        <v>131</v>
      </c>
      <c r="H418" s="15">
        <v>27984.97</v>
      </c>
    </row>
    <row r="419" spans="1:8" x14ac:dyDescent="0.35">
      <c r="A419" t="s">
        <v>20</v>
      </c>
      <c r="B419" t="s">
        <v>23</v>
      </c>
      <c r="C419" s="1">
        <v>45987</v>
      </c>
      <c r="D419">
        <f t="shared" ref="D419:D421" si="127">DAY(C419)</f>
        <v>26</v>
      </c>
      <c r="E419">
        <f t="shared" ref="E419:E421" si="128">MONTH(C419)</f>
        <v>11</v>
      </c>
      <c r="F419">
        <f t="shared" ref="F419:F421" si="129">YEAR(C419)</f>
        <v>2025</v>
      </c>
      <c r="G419" t="s">
        <v>66</v>
      </c>
      <c r="H419" s="15">
        <v>22207.68</v>
      </c>
    </row>
    <row r="420" spans="1:8" x14ac:dyDescent="0.35">
      <c r="A420" t="s">
        <v>20</v>
      </c>
      <c r="B420" t="s">
        <v>25</v>
      </c>
      <c r="C420" s="1">
        <v>45987</v>
      </c>
      <c r="D420">
        <f t="shared" si="127"/>
        <v>26</v>
      </c>
      <c r="E420">
        <f t="shared" si="128"/>
        <v>11</v>
      </c>
      <c r="F420">
        <f t="shared" si="129"/>
        <v>2025</v>
      </c>
      <c r="G420" t="s">
        <v>70</v>
      </c>
      <c r="H420" s="15">
        <v>7297.35</v>
      </c>
    </row>
    <row r="421" spans="1:8" x14ac:dyDescent="0.35">
      <c r="A421" t="s">
        <v>20</v>
      </c>
      <c r="B421" t="s">
        <v>23</v>
      </c>
      <c r="C421" s="1">
        <v>45987</v>
      </c>
      <c r="D421">
        <f t="shared" si="127"/>
        <v>26</v>
      </c>
      <c r="E421">
        <f t="shared" si="128"/>
        <v>11</v>
      </c>
      <c r="F421">
        <f t="shared" si="129"/>
        <v>2025</v>
      </c>
      <c r="G421" t="s">
        <v>712</v>
      </c>
      <c r="H421" s="15">
        <v>97634.86</v>
      </c>
    </row>
    <row r="422" spans="1:8" x14ac:dyDescent="0.35">
      <c r="A422" t="s">
        <v>20</v>
      </c>
      <c r="B422" t="s">
        <v>23</v>
      </c>
      <c r="C422" s="1">
        <v>45992</v>
      </c>
      <c r="D422">
        <f>DAY(C422)</f>
        <v>1</v>
      </c>
      <c r="E422">
        <f>MONTH(C422)</f>
        <v>12</v>
      </c>
      <c r="F422">
        <f>YEAR(C422)</f>
        <v>2025</v>
      </c>
      <c r="G422" t="s">
        <v>67</v>
      </c>
      <c r="H422" s="15">
        <v>17906.45</v>
      </c>
    </row>
    <row r="423" spans="1:8" x14ac:dyDescent="0.35">
      <c r="A423" t="s">
        <v>20</v>
      </c>
      <c r="B423" t="s">
        <v>23</v>
      </c>
      <c r="C423" s="1">
        <v>45992</v>
      </c>
      <c r="D423">
        <f>DAY(C423)</f>
        <v>1</v>
      </c>
      <c r="E423">
        <f>MONTH(C423)</f>
        <v>12</v>
      </c>
      <c r="F423">
        <f>YEAR(C423)</f>
        <v>2025</v>
      </c>
      <c r="G423" t="s">
        <v>67</v>
      </c>
      <c r="H423" s="15">
        <v>26867.200000000001</v>
      </c>
    </row>
    <row r="424" spans="1:8" x14ac:dyDescent="0.35">
      <c r="A424" t="s">
        <v>20</v>
      </c>
      <c r="B424" t="s">
        <v>23</v>
      </c>
      <c r="C424" s="1">
        <v>45992</v>
      </c>
      <c r="D424">
        <f>DAY(C424)</f>
        <v>1</v>
      </c>
      <c r="E424">
        <f>MONTH(C424)</f>
        <v>12</v>
      </c>
      <c r="F424">
        <f>YEAR(C424)</f>
        <v>2025</v>
      </c>
      <c r="G424" t="s">
        <v>68</v>
      </c>
      <c r="H424" s="15">
        <v>2375</v>
      </c>
    </row>
    <row r="425" spans="1:8" x14ac:dyDescent="0.35">
      <c r="A425" t="s">
        <v>20</v>
      </c>
      <c r="B425" t="s">
        <v>21</v>
      </c>
      <c r="C425" s="1">
        <v>45992</v>
      </c>
      <c r="D425">
        <f>DAY(C425)</f>
        <v>1</v>
      </c>
      <c r="E425">
        <f>MONTH(C425)</f>
        <v>12</v>
      </c>
      <c r="F425">
        <f>YEAR(C425)</f>
        <v>2025</v>
      </c>
      <c r="G425" t="s">
        <v>66</v>
      </c>
      <c r="H425" s="15">
        <v>48312.93</v>
      </c>
    </row>
    <row r="426" spans="1:8" x14ac:dyDescent="0.35">
      <c r="A426" t="s">
        <v>20</v>
      </c>
      <c r="B426" t="s">
        <v>23</v>
      </c>
      <c r="C426" s="1">
        <v>45994</v>
      </c>
      <c r="D426">
        <f t="shared" ref="D426:D427" si="130">DAY(C426)</f>
        <v>3</v>
      </c>
      <c r="E426">
        <f t="shared" ref="E426:E427" si="131">MONTH(C426)</f>
        <v>12</v>
      </c>
      <c r="F426">
        <f t="shared" ref="F426:F427" si="132">YEAR(C426)</f>
        <v>2025</v>
      </c>
      <c r="G426" t="s">
        <v>67</v>
      </c>
      <c r="H426" s="15">
        <v>3836.83</v>
      </c>
    </row>
    <row r="427" spans="1:8" x14ac:dyDescent="0.35">
      <c r="A427" t="s">
        <v>20</v>
      </c>
      <c r="B427" t="s">
        <v>23</v>
      </c>
      <c r="C427" s="1">
        <v>45994</v>
      </c>
      <c r="D427">
        <f t="shared" si="130"/>
        <v>3</v>
      </c>
      <c r="E427">
        <f t="shared" si="131"/>
        <v>12</v>
      </c>
      <c r="F427">
        <f t="shared" si="132"/>
        <v>2025</v>
      </c>
      <c r="G427" t="s">
        <v>67</v>
      </c>
      <c r="H427" s="15">
        <v>5758</v>
      </c>
    </row>
    <row r="428" spans="1:8" x14ac:dyDescent="0.35">
      <c r="A428" t="s">
        <v>20</v>
      </c>
      <c r="B428" t="s">
        <v>21</v>
      </c>
      <c r="C428" s="1">
        <v>46001</v>
      </c>
      <c r="D428">
        <f t="shared" ref="D428:D430" si="133">DAY(C428)</f>
        <v>10</v>
      </c>
      <c r="E428">
        <f t="shared" ref="E428:E430" si="134">MONTH(C428)</f>
        <v>12</v>
      </c>
      <c r="F428">
        <f t="shared" ref="F428:F430" si="135">YEAR(C428)</f>
        <v>2025</v>
      </c>
      <c r="G428" t="s">
        <v>208</v>
      </c>
      <c r="H428" s="15">
        <v>4375.45</v>
      </c>
    </row>
    <row r="429" spans="1:8" x14ac:dyDescent="0.35">
      <c r="A429" t="s">
        <v>20</v>
      </c>
      <c r="B429" t="s">
        <v>23</v>
      </c>
      <c r="C429" s="1">
        <v>46001</v>
      </c>
      <c r="D429">
        <f t="shared" si="133"/>
        <v>10</v>
      </c>
      <c r="E429">
        <f t="shared" si="134"/>
        <v>12</v>
      </c>
      <c r="F429">
        <f t="shared" si="135"/>
        <v>2025</v>
      </c>
      <c r="G429" t="s">
        <v>66</v>
      </c>
      <c r="H429" s="15">
        <v>4958.03</v>
      </c>
    </row>
    <row r="430" spans="1:8" x14ac:dyDescent="0.35">
      <c r="A430" t="s">
        <v>20</v>
      </c>
      <c r="B430" t="s">
        <v>27</v>
      </c>
      <c r="C430" s="1">
        <v>46001</v>
      </c>
      <c r="D430">
        <f t="shared" si="133"/>
        <v>10</v>
      </c>
      <c r="E430">
        <f t="shared" si="134"/>
        <v>12</v>
      </c>
      <c r="F430">
        <f t="shared" si="135"/>
        <v>2025</v>
      </c>
      <c r="G430" t="s">
        <v>255</v>
      </c>
      <c r="H430" s="15">
        <v>202812.23</v>
      </c>
    </row>
    <row r="431" spans="1:8" x14ac:dyDescent="0.35">
      <c r="A431" t="s">
        <v>20</v>
      </c>
      <c r="B431" t="s">
        <v>21</v>
      </c>
      <c r="C431" s="1">
        <v>46001</v>
      </c>
      <c r="D431">
        <f>DAY(C431)</f>
        <v>10</v>
      </c>
      <c r="E431">
        <f>MONTH(C431)</f>
        <v>12</v>
      </c>
      <c r="F431">
        <f>YEAR(C431)</f>
        <v>2025</v>
      </c>
      <c r="G431" t="s">
        <v>66</v>
      </c>
      <c r="H431" s="15">
        <v>62520.76</v>
      </c>
    </row>
    <row r="432" spans="1:8" x14ac:dyDescent="0.35">
      <c r="A432" t="s">
        <v>20</v>
      </c>
      <c r="B432" t="s">
        <v>158</v>
      </c>
      <c r="C432" s="1">
        <v>46006</v>
      </c>
      <c r="D432">
        <f t="shared" ref="D432:D439" si="136">DAY(C432)</f>
        <v>15</v>
      </c>
      <c r="E432">
        <f t="shared" ref="E432:E439" si="137">MONTH(C432)</f>
        <v>12</v>
      </c>
      <c r="F432">
        <f t="shared" ref="F432:F439" si="138">YEAR(C432)</f>
        <v>2025</v>
      </c>
      <c r="G432" t="s">
        <v>69</v>
      </c>
      <c r="H432" s="95">
        <v>99940</v>
      </c>
    </row>
    <row r="433" spans="1:9" x14ac:dyDescent="0.35">
      <c r="A433" t="s">
        <v>20</v>
      </c>
      <c r="B433" t="s">
        <v>158</v>
      </c>
      <c r="C433" s="1">
        <v>46006</v>
      </c>
      <c r="D433">
        <f t="shared" si="136"/>
        <v>15</v>
      </c>
      <c r="E433">
        <f t="shared" si="137"/>
        <v>12</v>
      </c>
      <c r="F433">
        <f t="shared" si="138"/>
        <v>2025</v>
      </c>
      <c r="G433" t="s">
        <v>69</v>
      </c>
      <c r="H433" s="95">
        <v>99940</v>
      </c>
    </row>
    <row r="434" spans="1:9" x14ac:dyDescent="0.35">
      <c r="A434" t="s">
        <v>20</v>
      </c>
      <c r="B434" t="s">
        <v>25</v>
      </c>
      <c r="C434" s="1">
        <v>46006</v>
      </c>
      <c r="D434">
        <f t="shared" si="136"/>
        <v>15</v>
      </c>
      <c r="E434">
        <f t="shared" si="137"/>
        <v>12</v>
      </c>
      <c r="F434">
        <f t="shared" si="138"/>
        <v>2025</v>
      </c>
      <c r="G434" t="s">
        <v>70</v>
      </c>
      <c r="H434" s="95">
        <v>14893.44</v>
      </c>
    </row>
    <row r="435" spans="1:9" x14ac:dyDescent="0.35">
      <c r="A435" t="s">
        <v>20</v>
      </c>
      <c r="B435" t="s">
        <v>25</v>
      </c>
      <c r="C435" s="1">
        <v>46006</v>
      </c>
      <c r="D435">
        <f t="shared" si="136"/>
        <v>15</v>
      </c>
      <c r="E435">
        <f t="shared" si="137"/>
        <v>12</v>
      </c>
      <c r="F435">
        <f t="shared" si="138"/>
        <v>2025</v>
      </c>
      <c r="G435" t="s">
        <v>70</v>
      </c>
      <c r="H435" s="95">
        <v>6426.89</v>
      </c>
    </row>
    <row r="436" spans="1:9" x14ac:dyDescent="0.35">
      <c r="A436" t="s">
        <v>20</v>
      </c>
      <c r="B436" t="s">
        <v>23</v>
      </c>
      <c r="C436" s="1">
        <v>46006</v>
      </c>
      <c r="D436">
        <f t="shared" si="136"/>
        <v>15</v>
      </c>
      <c r="E436">
        <f t="shared" si="137"/>
        <v>12</v>
      </c>
      <c r="F436">
        <f t="shared" si="138"/>
        <v>2025</v>
      </c>
      <c r="G436" t="s">
        <v>68</v>
      </c>
      <c r="H436" s="95">
        <v>2400</v>
      </c>
    </row>
    <row r="437" spans="1:9" x14ac:dyDescent="0.35">
      <c r="A437" t="s">
        <v>20</v>
      </c>
      <c r="B437" t="s">
        <v>25</v>
      </c>
      <c r="C437" s="1">
        <v>46006</v>
      </c>
      <c r="D437">
        <f>DAY(C437)</f>
        <v>15</v>
      </c>
      <c r="E437">
        <f>MONTH(C437)</f>
        <v>12</v>
      </c>
      <c r="F437">
        <f>YEAR(C437)</f>
        <v>2025</v>
      </c>
      <c r="G437" t="s">
        <v>66</v>
      </c>
      <c r="H437" s="95">
        <f>353.07-3.33</f>
        <v>349.74</v>
      </c>
    </row>
    <row r="438" spans="1:9" x14ac:dyDescent="0.35">
      <c r="A438" t="s">
        <v>20</v>
      </c>
      <c r="B438" t="s">
        <v>21</v>
      </c>
      <c r="C438" s="1">
        <v>46006</v>
      </c>
      <c r="D438">
        <f>DAY(C438)</f>
        <v>15</v>
      </c>
      <c r="E438">
        <f>MONTH(C438)</f>
        <v>12</v>
      </c>
      <c r="F438">
        <f>YEAR(C438)</f>
        <v>2025</v>
      </c>
      <c r="G438" t="s">
        <v>66</v>
      </c>
      <c r="H438" s="95">
        <f>1062.15-3.33</f>
        <v>1058.8200000000002</v>
      </c>
    </row>
    <row r="439" spans="1:9" x14ac:dyDescent="0.35">
      <c r="A439" t="s">
        <v>20</v>
      </c>
      <c r="B439" t="s">
        <v>23</v>
      </c>
      <c r="C439" s="1">
        <v>46006</v>
      </c>
      <c r="D439">
        <f t="shared" si="136"/>
        <v>15</v>
      </c>
      <c r="E439">
        <f t="shared" si="137"/>
        <v>12</v>
      </c>
      <c r="F439">
        <f t="shared" si="138"/>
        <v>2025</v>
      </c>
      <c r="G439" t="s">
        <v>66</v>
      </c>
      <c r="H439" s="95">
        <f>1080.56-3.34</f>
        <v>1077.22</v>
      </c>
    </row>
    <row r="440" spans="1:9" x14ac:dyDescent="0.35">
      <c r="A440" t="s">
        <v>20</v>
      </c>
      <c r="B440" t="s">
        <v>23</v>
      </c>
      <c r="C440" s="1">
        <v>46008</v>
      </c>
      <c r="D440">
        <f>DAY(C440)</f>
        <v>17</v>
      </c>
      <c r="E440">
        <f>MONTH(C440)</f>
        <v>12</v>
      </c>
      <c r="F440">
        <f>YEAR(C440)</f>
        <v>2025</v>
      </c>
      <c r="G440" t="s">
        <v>68</v>
      </c>
      <c r="H440" s="95">
        <v>600</v>
      </c>
    </row>
    <row r="441" spans="1:9" x14ac:dyDescent="0.35">
      <c r="A441" t="s">
        <v>20</v>
      </c>
      <c r="B441" t="s">
        <v>25</v>
      </c>
      <c r="C441" s="1">
        <v>46009</v>
      </c>
      <c r="D441">
        <f t="shared" ref="D441:D443" si="139">DAY(C441)</f>
        <v>18</v>
      </c>
      <c r="E441">
        <f t="shared" ref="E441:E443" si="140">MONTH(C441)</f>
        <v>12</v>
      </c>
      <c r="F441">
        <f t="shared" ref="F441:F443" si="141">YEAR(C441)</f>
        <v>2025</v>
      </c>
      <c r="G441" t="s">
        <v>70</v>
      </c>
      <c r="H441" s="95">
        <v>22929.599999999999</v>
      </c>
    </row>
    <row r="442" spans="1:9" x14ac:dyDescent="0.35">
      <c r="A442" t="s">
        <v>20</v>
      </c>
      <c r="B442" t="s">
        <v>25</v>
      </c>
      <c r="C442" s="1">
        <v>46009</v>
      </c>
      <c r="D442">
        <f t="shared" si="139"/>
        <v>18</v>
      </c>
      <c r="E442">
        <f t="shared" si="140"/>
        <v>12</v>
      </c>
      <c r="F442">
        <f t="shared" si="141"/>
        <v>2025</v>
      </c>
      <c r="G442" t="s">
        <v>70</v>
      </c>
      <c r="H442" s="95">
        <v>30253.46</v>
      </c>
    </row>
    <row r="443" spans="1:9" x14ac:dyDescent="0.35">
      <c r="A443" t="s">
        <v>20</v>
      </c>
      <c r="B443" t="s">
        <v>25</v>
      </c>
      <c r="C443" s="1">
        <v>46010</v>
      </c>
      <c r="D443">
        <f t="shared" si="139"/>
        <v>19</v>
      </c>
      <c r="E443">
        <f t="shared" si="140"/>
        <v>12</v>
      </c>
      <c r="F443">
        <f t="shared" si="141"/>
        <v>2025</v>
      </c>
      <c r="G443" t="s">
        <v>70</v>
      </c>
      <c r="H443" s="95">
        <v>50103.13</v>
      </c>
    </row>
    <row r="444" spans="1:9" x14ac:dyDescent="0.35">
      <c r="A444" t="s">
        <v>19</v>
      </c>
      <c r="B444" t="s">
        <v>19</v>
      </c>
      <c r="C444" s="1">
        <v>46010</v>
      </c>
      <c r="D444">
        <f>DAY(C444)</f>
        <v>19</v>
      </c>
      <c r="E444">
        <f>MONTH(C444)</f>
        <v>12</v>
      </c>
      <c r="F444">
        <f>YEAR(C444)</f>
        <v>2025</v>
      </c>
      <c r="G444" t="s">
        <v>69</v>
      </c>
      <c r="H444" s="95">
        <v>34614.44</v>
      </c>
    </row>
    <row r="445" spans="1:9" x14ac:dyDescent="0.35">
      <c r="A445" t="s">
        <v>20</v>
      </c>
      <c r="B445" t="s">
        <v>23</v>
      </c>
      <c r="C445" s="1">
        <v>46013</v>
      </c>
      <c r="D445">
        <f>DAY(C445)</f>
        <v>22</v>
      </c>
      <c r="E445">
        <f>MONTH(C445)</f>
        <v>12</v>
      </c>
      <c r="F445">
        <f>YEAR(C445)</f>
        <v>2025</v>
      </c>
      <c r="G445" t="s">
        <v>712</v>
      </c>
      <c r="H445" s="95">
        <v>92412.63</v>
      </c>
    </row>
    <row r="446" spans="1:9" x14ac:dyDescent="0.35">
      <c r="A446" t="s">
        <v>20</v>
      </c>
      <c r="B446" t="s">
        <v>158</v>
      </c>
      <c r="C446" s="1">
        <v>46013</v>
      </c>
      <c r="D446">
        <f>DAY(C446)</f>
        <v>22</v>
      </c>
      <c r="E446">
        <f>MONTH(C446)</f>
        <v>12</v>
      </c>
      <c r="F446">
        <f>YEAR(C446)</f>
        <v>2025</v>
      </c>
      <c r="G446" t="s">
        <v>1468</v>
      </c>
      <c r="H446" s="95">
        <v>25090</v>
      </c>
      <c r="I446" t="s">
        <v>1453</v>
      </c>
    </row>
    <row r="447" spans="1:9" x14ac:dyDescent="0.35">
      <c r="A447" t="s">
        <v>20</v>
      </c>
      <c r="B447" t="s">
        <v>21</v>
      </c>
      <c r="C447" s="1">
        <v>46024</v>
      </c>
      <c r="D447">
        <f>DAY(C447)</f>
        <v>2</v>
      </c>
      <c r="E447">
        <f>MONTH(C447)</f>
        <v>1</v>
      </c>
      <c r="F447">
        <f>YEAR(C447)</f>
        <v>2026</v>
      </c>
      <c r="G447" t="s">
        <v>66</v>
      </c>
      <c r="H447" s="95">
        <v>39293.19</v>
      </c>
    </row>
    <row r="448" spans="1:9" x14ac:dyDescent="0.35">
      <c r="A448" t="s">
        <v>20</v>
      </c>
      <c r="B448" t="s">
        <v>25</v>
      </c>
      <c r="C448" s="1">
        <v>46027</v>
      </c>
      <c r="D448">
        <f t="shared" ref="D448:D451" si="142">DAY(C448)</f>
        <v>5</v>
      </c>
      <c r="E448">
        <f t="shared" ref="E448:E451" si="143">MONTH(C448)</f>
        <v>1</v>
      </c>
      <c r="F448">
        <f t="shared" ref="F448:F451" si="144">YEAR(C448)</f>
        <v>2026</v>
      </c>
      <c r="G448" t="s">
        <v>70</v>
      </c>
      <c r="H448" s="95">
        <v>46366.5</v>
      </c>
    </row>
    <row r="449" spans="1:8" x14ac:dyDescent="0.35">
      <c r="A449" t="s">
        <v>20</v>
      </c>
      <c r="B449" t="s">
        <v>25</v>
      </c>
      <c r="C449" s="1">
        <v>46027</v>
      </c>
      <c r="D449">
        <f t="shared" si="142"/>
        <v>5</v>
      </c>
      <c r="E449">
        <f t="shared" si="143"/>
        <v>1</v>
      </c>
      <c r="F449">
        <f t="shared" si="144"/>
        <v>2026</v>
      </c>
      <c r="G449" t="s">
        <v>70</v>
      </c>
      <c r="H449" s="95">
        <v>14364.9</v>
      </c>
    </row>
    <row r="450" spans="1:8" x14ac:dyDescent="0.35">
      <c r="A450" t="s">
        <v>20</v>
      </c>
      <c r="B450" t="s">
        <v>25</v>
      </c>
      <c r="C450" s="1">
        <v>46027</v>
      </c>
      <c r="D450">
        <f t="shared" si="142"/>
        <v>5</v>
      </c>
      <c r="E450">
        <f t="shared" si="143"/>
        <v>1</v>
      </c>
      <c r="F450">
        <f t="shared" si="144"/>
        <v>2026</v>
      </c>
      <c r="G450" t="s">
        <v>70</v>
      </c>
      <c r="H450" s="95">
        <v>36333.06</v>
      </c>
    </row>
    <row r="451" spans="1:8" x14ac:dyDescent="0.35">
      <c r="A451" t="s">
        <v>20</v>
      </c>
      <c r="B451" t="s">
        <v>23</v>
      </c>
      <c r="C451" s="1">
        <v>46028</v>
      </c>
      <c r="D451">
        <f t="shared" si="142"/>
        <v>6</v>
      </c>
      <c r="E451">
        <f t="shared" si="143"/>
        <v>1</v>
      </c>
      <c r="F451">
        <f t="shared" si="144"/>
        <v>2026</v>
      </c>
      <c r="G451" t="s">
        <v>131</v>
      </c>
      <c r="H451" s="95">
        <v>40217.65</v>
      </c>
    </row>
    <row r="452" spans="1:8" x14ac:dyDescent="0.35">
      <c r="A452" t="s">
        <v>20</v>
      </c>
      <c r="B452" t="s">
        <v>23</v>
      </c>
      <c r="C452" s="1">
        <v>46029</v>
      </c>
      <c r="D452">
        <f>DAY(C452)</f>
        <v>7</v>
      </c>
      <c r="E452">
        <f>MONTH(C452)</f>
        <v>1</v>
      </c>
      <c r="F452">
        <f>YEAR(C452)</f>
        <v>2026</v>
      </c>
      <c r="G452" t="s">
        <v>68</v>
      </c>
      <c r="H452" s="95">
        <v>1850</v>
      </c>
    </row>
    <row r="453" spans="1:8" x14ac:dyDescent="0.35">
      <c r="A453" t="s">
        <v>20</v>
      </c>
      <c r="B453" s="221"/>
      <c r="C453" s="1">
        <v>46034</v>
      </c>
      <c r="D453">
        <f t="shared" ref="D453:D457" si="145">DAY(C453)</f>
        <v>12</v>
      </c>
      <c r="E453">
        <f t="shared" ref="E453:E457" si="146">MONTH(C453)</f>
        <v>1</v>
      </c>
      <c r="F453">
        <f t="shared" ref="F453:F457" si="147">YEAR(C453)</f>
        <v>2026</v>
      </c>
      <c r="G453" t="s">
        <v>255</v>
      </c>
      <c r="H453" s="15">
        <v>11556.8</v>
      </c>
    </row>
    <row r="454" spans="1:8" x14ac:dyDescent="0.35">
      <c r="A454" t="s">
        <v>20</v>
      </c>
      <c r="B454" t="s">
        <v>158</v>
      </c>
      <c r="C454" s="1">
        <v>46036</v>
      </c>
      <c r="D454">
        <f t="shared" si="145"/>
        <v>14</v>
      </c>
      <c r="E454">
        <f t="shared" si="146"/>
        <v>1</v>
      </c>
      <c r="F454">
        <f t="shared" si="147"/>
        <v>2026</v>
      </c>
      <c r="G454" t="s">
        <v>69</v>
      </c>
      <c r="H454" s="15">
        <v>39940</v>
      </c>
    </row>
    <row r="455" spans="1:8" x14ac:dyDescent="0.35">
      <c r="A455" t="s">
        <v>20</v>
      </c>
      <c r="B455" t="s">
        <v>158</v>
      </c>
      <c r="C455" s="1">
        <v>46036</v>
      </c>
      <c r="D455">
        <f t="shared" si="145"/>
        <v>14</v>
      </c>
      <c r="E455">
        <f t="shared" si="146"/>
        <v>1</v>
      </c>
      <c r="F455">
        <f t="shared" si="147"/>
        <v>2026</v>
      </c>
      <c r="G455" t="s">
        <v>69</v>
      </c>
      <c r="H455" s="15">
        <v>199940</v>
      </c>
    </row>
    <row r="456" spans="1:8" x14ac:dyDescent="0.35">
      <c r="A456" t="s">
        <v>20</v>
      </c>
      <c r="B456" t="s">
        <v>158</v>
      </c>
      <c r="C456" s="1">
        <v>46036</v>
      </c>
      <c r="D456">
        <f t="shared" si="145"/>
        <v>14</v>
      </c>
      <c r="E456">
        <f t="shared" si="146"/>
        <v>1</v>
      </c>
      <c r="F456">
        <f t="shared" si="147"/>
        <v>2026</v>
      </c>
      <c r="G456" t="s">
        <v>69</v>
      </c>
      <c r="H456" s="15">
        <v>77812.47</v>
      </c>
    </row>
    <row r="457" spans="1:8" x14ac:dyDescent="0.35">
      <c r="A457" t="s">
        <v>20</v>
      </c>
      <c r="B457" t="s">
        <v>158</v>
      </c>
      <c r="C457" s="1">
        <v>46036</v>
      </c>
      <c r="D457">
        <f t="shared" si="145"/>
        <v>14</v>
      </c>
      <c r="E457">
        <f t="shared" si="146"/>
        <v>1</v>
      </c>
      <c r="F457">
        <f t="shared" si="147"/>
        <v>2026</v>
      </c>
      <c r="G457" t="s">
        <v>69</v>
      </c>
      <c r="H457" s="15">
        <v>199940</v>
      </c>
    </row>
    <row r="458" spans="1:8" x14ac:dyDescent="0.35">
      <c r="A458" t="s">
        <v>20</v>
      </c>
      <c r="B458" t="s">
        <v>23</v>
      </c>
      <c r="C458" s="1">
        <v>46036</v>
      </c>
      <c r="D458">
        <f t="shared" ref="D458:D459" si="148">DAY(C458)</f>
        <v>14</v>
      </c>
      <c r="E458">
        <f t="shared" ref="E458:E459" si="149">MONTH(C458)</f>
        <v>1</v>
      </c>
      <c r="F458">
        <f t="shared" ref="F458:F459" si="150">YEAR(C458)</f>
        <v>2026</v>
      </c>
      <c r="G458" t="s">
        <v>67</v>
      </c>
      <c r="H458" s="15">
        <v>14492.92</v>
      </c>
    </row>
    <row r="459" spans="1:8" x14ac:dyDescent="0.35">
      <c r="A459" t="s">
        <v>20</v>
      </c>
      <c r="B459" t="s">
        <v>23</v>
      </c>
      <c r="C459" s="1">
        <v>46036</v>
      </c>
      <c r="D459">
        <f t="shared" si="148"/>
        <v>14</v>
      </c>
      <c r="E459">
        <f t="shared" si="149"/>
        <v>1</v>
      </c>
      <c r="F459">
        <f t="shared" si="150"/>
        <v>2026</v>
      </c>
      <c r="G459" t="s">
        <v>67</v>
      </c>
      <c r="H459" s="15">
        <v>9658.61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L137"/>
  <sheetViews>
    <sheetView topLeftCell="A126" zoomScale="85" zoomScaleNormal="85" workbookViewId="0">
      <selection activeCell="C137" sqref="C78:C137"/>
    </sheetView>
  </sheetViews>
  <sheetFormatPr baseColWidth="10" defaultColWidth="11.453125" defaultRowHeight="14.5" x14ac:dyDescent="0.35"/>
  <cols>
    <col min="1" max="1" width="30" style="35" bestFit="1" customWidth="1"/>
    <col min="2" max="2" width="21.7265625" style="131" customWidth="1"/>
    <col min="3" max="3" width="11.1796875" style="36" bestFit="1" customWidth="1"/>
    <col min="4" max="4" width="19.54296875" customWidth="1"/>
    <col min="5" max="7" width="11.453125" style="35"/>
    <col min="8" max="8" width="15.54296875" style="35" customWidth="1"/>
    <col min="9" max="9" width="16.81640625" style="35" customWidth="1"/>
    <col min="10" max="11" width="11.453125" style="35"/>
    <col min="12" max="12" width="12.54296875" style="35" bestFit="1" customWidth="1"/>
    <col min="13" max="16384" width="11.453125" style="35"/>
  </cols>
  <sheetData>
    <row r="1" spans="1:7" x14ac:dyDescent="0.35">
      <c r="A1" s="34" t="s">
        <v>1</v>
      </c>
      <c r="B1" s="132" t="s">
        <v>192</v>
      </c>
      <c r="C1" s="116" t="s">
        <v>193</v>
      </c>
      <c r="D1" s="39" t="s">
        <v>135</v>
      </c>
    </row>
    <row r="2" spans="1:7" x14ac:dyDescent="0.35">
      <c r="A2" s="35" t="s">
        <v>19</v>
      </c>
      <c r="B2" s="131">
        <v>45292</v>
      </c>
      <c r="C2" s="36">
        <v>135</v>
      </c>
      <c r="D2" s="6" t="s">
        <v>156</v>
      </c>
      <c r="G2" s="35" t="s">
        <v>199</v>
      </c>
    </row>
    <row r="3" spans="1:7" x14ac:dyDescent="0.35">
      <c r="A3" s="35" t="s">
        <v>200</v>
      </c>
      <c r="B3" s="131">
        <v>45292</v>
      </c>
      <c r="C3" s="36">
        <v>137</v>
      </c>
      <c r="D3" s="6" t="s">
        <v>156</v>
      </c>
      <c r="G3" s="35" t="s">
        <v>201</v>
      </c>
    </row>
    <row r="4" spans="1:7" x14ac:dyDescent="0.35">
      <c r="A4" s="35" t="s">
        <v>20</v>
      </c>
      <c r="B4" s="131">
        <v>45292</v>
      </c>
      <c r="C4" s="36">
        <v>70</v>
      </c>
      <c r="D4" s="6" t="s">
        <v>156</v>
      </c>
    </row>
    <row r="5" spans="1:7" x14ac:dyDescent="0.35">
      <c r="A5" s="35" t="s">
        <v>20</v>
      </c>
      <c r="B5" s="131">
        <v>45292</v>
      </c>
      <c r="C5" s="36">
        <v>5</v>
      </c>
      <c r="D5" s="6" t="s">
        <v>198</v>
      </c>
    </row>
    <row r="6" spans="1:7" x14ac:dyDescent="0.35">
      <c r="A6" s="35" t="s">
        <v>194</v>
      </c>
      <c r="B6" s="131">
        <v>45292</v>
      </c>
      <c r="C6" s="36">
        <v>6</v>
      </c>
      <c r="D6" s="6" t="s">
        <v>156</v>
      </c>
    </row>
    <row r="7" spans="1:7" x14ac:dyDescent="0.35">
      <c r="A7" s="35" t="s">
        <v>195</v>
      </c>
      <c r="B7" s="131">
        <v>45292</v>
      </c>
      <c r="C7" s="36">
        <v>8</v>
      </c>
      <c r="D7" s="6" t="s">
        <v>156</v>
      </c>
    </row>
    <row r="8" spans="1:7" x14ac:dyDescent="0.35">
      <c r="A8" s="35" t="s">
        <v>197</v>
      </c>
      <c r="B8" s="131">
        <v>45292</v>
      </c>
      <c r="C8" s="36">
        <v>40</v>
      </c>
      <c r="D8" s="6" t="s">
        <v>196</v>
      </c>
    </row>
    <row r="9" spans="1:7" x14ac:dyDescent="0.35">
      <c r="A9" s="35" t="s">
        <v>19</v>
      </c>
      <c r="B9" s="131">
        <v>45323</v>
      </c>
      <c r="C9" s="36">
        <v>150</v>
      </c>
      <c r="D9" s="6" t="s">
        <v>156</v>
      </c>
    </row>
    <row r="10" spans="1:7" x14ac:dyDescent="0.35">
      <c r="A10" s="35" t="s">
        <v>20</v>
      </c>
      <c r="B10" s="131">
        <v>45323</v>
      </c>
      <c r="C10" s="36">
        <v>126</v>
      </c>
      <c r="D10" s="6" t="s">
        <v>156</v>
      </c>
    </row>
    <row r="11" spans="1:7" x14ac:dyDescent="0.35">
      <c r="A11" s="35" t="s">
        <v>20</v>
      </c>
      <c r="B11" s="131">
        <v>45323</v>
      </c>
      <c r="C11" s="36">
        <v>5</v>
      </c>
      <c r="D11" s="6" t="s">
        <v>198</v>
      </c>
    </row>
    <row r="12" spans="1:7" x14ac:dyDescent="0.35">
      <c r="A12" s="35" t="s">
        <v>194</v>
      </c>
      <c r="B12" s="131">
        <v>45323</v>
      </c>
      <c r="C12" s="36">
        <v>2</v>
      </c>
      <c r="D12" s="6" t="s">
        <v>156</v>
      </c>
    </row>
    <row r="13" spans="1:7" x14ac:dyDescent="0.35">
      <c r="A13" s="35" t="s">
        <v>195</v>
      </c>
      <c r="B13" s="131">
        <v>45323</v>
      </c>
      <c r="C13" s="36">
        <v>2</v>
      </c>
      <c r="D13" s="6" t="s">
        <v>156</v>
      </c>
    </row>
    <row r="14" spans="1:7" x14ac:dyDescent="0.35">
      <c r="A14" s="35" t="s">
        <v>197</v>
      </c>
      <c r="B14" s="131">
        <v>45323</v>
      </c>
      <c r="C14" s="36">
        <v>12</v>
      </c>
      <c r="D14" s="6" t="s">
        <v>196</v>
      </c>
    </row>
    <row r="15" spans="1:7" x14ac:dyDescent="0.35">
      <c r="A15" s="35" t="s">
        <v>19</v>
      </c>
      <c r="B15" s="131">
        <v>45352</v>
      </c>
      <c r="C15" s="36">
        <v>120</v>
      </c>
      <c r="D15" s="6" t="s">
        <v>156</v>
      </c>
    </row>
    <row r="16" spans="1:7" x14ac:dyDescent="0.35">
      <c r="A16" s="35" t="s">
        <v>20</v>
      </c>
      <c r="B16" s="131">
        <v>45352</v>
      </c>
      <c r="C16" s="36">
        <v>153</v>
      </c>
      <c r="D16" s="6" t="s">
        <v>156</v>
      </c>
    </row>
    <row r="17" spans="1:8" x14ac:dyDescent="0.35">
      <c r="A17" s="35" t="s">
        <v>20</v>
      </c>
      <c r="B17" s="131">
        <v>45352</v>
      </c>
      <c r="C17" s="36">
        <v>1</v>
      </c>
      <c r="D17" s="6" t="s">
        <v>198</v>
      </c>
    </row>
    <row r="18" spans="1:8" x14ac:dyDescent="0.35">
      <c r="A18" s="35" t="s">
        <v>194</v>
      </c>
      <c r="B18" s="131">
        <v>45352</v>
      </c>
      <c r="C18" s="36">
        <v>2</v>
      </c>
      <c r="D18" s="6" t="s">
        <v>156</v>
      </c>
    </row>
    <row r="19" spans="1:8" x14ac:dyDescent="0.35">
      <c r="A19" s="35" t="s">
        <v>195</v>
      </c>
      <c r="B19" s="131">
        <v>45352</v>
      </c>
      <c r="C19" s="36">
        <v>4</v>
      </c>
      <c r="D19" s="6" t="s">
        <v>156</v>
      </c>
    </row>
    <row r="20" spans="1:8" x14ac:dyDescent="0.35">
      <c r="A20" s="35" t="s">
        <v>197</v>
      </c>
      <c r="B20" s="131">
        <v>45352</v>
      </c>
      <c r="C20" s="36">
        <v>25</v>
      </c>
      <c r="D20" s="6" t="s">
        <v>196</v>
      </c>
    </row>
    <row r="21" spans="1:8" x14ac:dyDescent="0.35">
      <c r="A21" s="35" t="s">
        <v>19</v>
      </c>
      <c r="B21" s="131">
        <v>45383</v>
      </c>
      <c r="C21" s="36">
        <v>150</v>
      </c>
      <c r="D21" s="6" t="s">
        <v>156</v>
      </c>
    </row>
    <row r="22" spans="1:8" x14ac:dyDescent="0.35">
      <c r="A22" s="35" t="s">
        <v>20</v>
      </c>
      <c r="B22" s="131">
        <v>45383</v>
      </c>
      <c r="C22" s="36">
        <v>151</v>
      </c>
      <c r="D22" s="6" t="s">
        <v>156</v>
      </c>
    </row>
    <row r="23" spans="1:8" x14ac:dyDescent="0.35">
      <c r="A23" s="35" t="s">
        <v>20</v>
      </c>
      <c r="B23" s="131">
        <v>45383</v>
      </c>
      <c r="C23" s="36">
        <v>2</v>
      </c>
      <c r="D23" s="6" t="s">
        <v>198</v>
      </c>
    </row>
    <row r="24" spans="1:8" x14ac:dyDescent="0.35">
      <c r="A24" s="35" t="s">
        <v>194</v>
      </c>
      <c r="B24" s="131">
        <v>45383</v>
      </c>
      <c r="C24" s="36">
        <v>2</v>
      </c>
      <c r="D24" s="6" t="s">
        <v>156</v>
      </c>
    </row>
    <row r="25" spans="1:8" x14ac:dyDescent="0.35">
      <c r="A25" s="35" t="s">
        <v>195</v>
      </c>
      <c r="B25" s="131">
        <v>45383</v>
      </c>
      <c r="C25" s="36">
        <v>4</v>
      </c>
      <c r="D25" s="6" t="s">
        <v>156</v>
      </c>
    </row>
    <row r="26" spans="1:8" x14ac:dyDescent="0.35">
      <c r="A26" s="35" t="s">
        <v>197</v>
      </c>
      <c r="B26" s="131">
        <v>45383</v>
      </c>
      <c r="C26" s="36">
        <v>53</v>
      </c>
      <c r="D26" s="6" t="s">
        <v>196</v>
      </c>
    </row>
    <row r="27" spans="1:8" x14ac:dyDescent="0.35">
      <c r="A27" s="35" t="s">
        <v>200</v>
      </c>
      <c r="B27" s="131">
        <v>45413</v>
      </c>
      <c r="C27" s="36">
        <v>13</v>
      </c>
      <c r="D27" s="6" t="s">
        <v>156</v>
      </c>
    </row>
    <row r="28" spans="1:8" x14ac:dyDescent="0.35">
      <c r="A28" s="35" t="s">
        <v>19</v>
      </c>
      <c r="B28" s="131">
        <v>45413</v>
      </c>
      <c r="C28" s="36">
        <f>165+20</f>
        <v>185</v>
      </c>
      <c r="D28" s="6" t="s">
        <v>156</v>
      </c>
    </row>
    <row r="29" spans="1:8" x14ac:dyDescent="0.35">
      <c r="A29" s="35" t="s">
        <v>20</v>
      </c>
      <c r="B29" s="131">
        <v>45413</v>
      </c>
      <c r="C29" s="36">
        <f>184+20+30</f>
        <v>234</v>
      </c>
      <c r="D29" s="6" t="s">
        <v>156</v>
      </c>
    </row>
    <row r="30" spans="1:8" x14ac:dyDescent="0.35">
      <c r="A30" s="35" t="s">
        <v>20</v>
      </c>
      <c r="B30" s="131">
        <v>45413</v>
      </c>
      <c r="C30" s="36">
        <v>2</v>
      </c>
      <c r="D30" s="6" t="s">
        <v>198</v>
      </c>
      <c r="G30" s="37"/>
    </row>
    <row r="31" spans="1:8" x14ac:dyDescent="0.35">
      <c r="A31" s="35" t="s">
        <v>194</v>
      </c>
      <c r="B31" s="131">
        <v>45413</v>
      </c>
      <c r="C31" s="36">
        <v>2</v>
      </c>
      <c r="D31" s="6" t="s">
        <v>156</v>
      </c>
      <c r="G31" s="37"/>
      <c r="H31" s="38"/>
    </row>
    <row r="32" spans="1:8" x14ac:dyDescent="0.35">
      <c r="A32" s="35" t="s">
        <v>195</v>
      </c>
      <c r="B32" s="131">
        <v>45413</v>
      </c>
      <c r="C32" s="36">
        <v>2</v>
      </c>
      <c r="D32" s="6" t="s">
        <v>156</v>
      </c>
      <c r="G32" s="37"/>
      <c r="H32" s="38"/>
    </row>
    <row r="33" spans="1:12" x14ac:dyDescent="0.35">
      <c r="A33" s="35" t="s">
        <v>197</v>
      </c>
      <c r="B33" s="131">
        <v>45413</v>
      </c>
      <c r="C33" s="36">
        <v>117</v>
      </c>
      <c r="D33" s="6" t="s">
        <v>196</v>
      </c>
    </row>
    <row r="34" spans="1:12" x14ac:dyDescent="0.35">
      <c r="A34" s="35" t="s">
        <v>200</v>
      </c>
      <c r="B34" s="131">
        <v>45444</v>
      </c>
      <c r="C34" s="36">
        <v>18</v>
      </c>
      <c r="D34" s="6" t="s">
        <v>156</v>
      </c>
      <c r="I34" s="38"/>
    </row>
    <row r="35" spans="1:12" x14ac:dyDescent="0.35">
      <c r="A35" s="35" t="s">
        <v>19</v>
      </c>
      <c r="B35" s="131">
        <v>45444</v>
      </c>
      <c r="C35" s="36">
        <v>150</v>
      </c>
      <c r="D35" s="6" t="s">
        <v>156</v>
      </c>
    </row>
    <row r="36" spans="1:12" x14ac:dyDescent="0.35">
      <c r="A36" s="35" t="s">
        <v>20</v>
      </c>
      <c r="B36" s="131">
        <v>45444</v>
      </c>
      <c r="C36" s="36">
        <v>196</v>
      </c>
      <c r="D36" s="6" t="s">
        <v>156</v>
      </c>
    </row>
    <row r="37" spans="1:12" x14ac:dyDescent="0.35">
      <c r="A37" s="35" t="s">
        <v>20</v>
      </c>
      <c r="B37" s="131">
        <v>45444</v>
      </c>
      <c r="C37" s="36">
        <v>3</v>
      </c>
      <c r="D37" s="6" t="s">
        <v>198</v>
      </c>
      <c r="L37" s="38"/>
    </row>
    <row r="38" spans="1:12" x14ac:dyDescent="0.35">
      <c r="A38" s="35" t="s">
        <v>194</v>
      </c>
      <c r="B38" s="131">
        <v>45444</v>
      </c>
      <c r="C38" s="36">
        <v>2</v>
      </c>
      <c r="D38" s="6" t="s">
        <v>156</v>
      </c>
      <c r="H38" s="38"/>
      <c r="I38" s="38"/>
    </row>
    <row r="39" spans="1:12" x14ac:dyDescent="0.35">
      <c r="A39" s="35" t="s">
        <v>195</v>
      </c>
      <c r="B39" s="131">
        <v>45444</v>
      </c>
      <c r="C39" s="36">
        <v>2</v>
      </c>
      <c r="D39" s="6" t="s">
        <v>156</v>
      </c>
      <c r="I39" s="36"/>
    </row>
    <row r="40" spans="1:12" x14ac:dyDescent="0.35">
      <c r="A40" s="35" t="s">
        <v>197</v>
      </c>
      <c r="B40" s="131">
        <v>45444</v>
      </c>
      <c r="C40" s="36">
        <v>22</v>
      </c>
      <c r="D40" s="6" t="s">
        <v>196</v>
      </c>
    </row>
    <row r="41" spans="1:12" x14ac:dyDescent="0.35">
      <c r="A41" s="35" t="s">
        <v>200</v>
      </c>
      <c r="B41" s="131">
        <v>45474</v>
      </c>
      <c r="C41" s="36">
        <v>24</v>
      </c>
      <c r="D41" s="6" t="s">
        <v>156</v>
      </c>
    </row>
    <row r="42" spans="1:12" x14ac:dyDescent="0.35">
      <c r="A42" s="35" t="s">
        <v>19</v>
      </c>
      <c r="B42" s="131">
        <v>45474</v>
      </c>
      <c r="C42" s="36">
        <f>37+5+181</f>
        <v>223</v>
      </c>
      <c r="D42" s="6" t="s">
        <v>156</v>
      </c>
    </row>
    <row r="43" spans="1:12" x14ac:dyDescent="0.35">
      <c r="A43" s="35" t="s">
        <v>20</v>
      </c>
      <c r="B43" s="131">
        <v>45474</v>
      </c>
      <c r="C43" s="36">
        <f>164+5</f>
        <v>169</v>
      </c>
      <c r="D43" s="6" t="s">
        <v>156</v>
      </c>
    </row>
    <row r="44" spans="1:12" x14ac:dyDescent="0.35">
      <c r="A44" s="35" t="s">
        <v>20</v>
      </c>
      <c r="B44" s="131">
        <v>45474</v>
      </c>
      <c r="C44" s="36">
        <v>3</v>
      </c>
      <c r="D44" s="6" t="s">
        <v>198</v>
      </c>
    </row>
    <row r="45" spans="1:12" x14ac:dyDescent="0.35">
      <c r="A45" s="35" t="s">
        <v>194</v>
      </c>
      <c r="B45" s="131">
        <v>45474</v>
      </c>
      <c r="C45" s="36">
        <v>2</v>
      </c>
      <c r="D45" s="6" t="s">
        <v>156</v>
      </c>
    </row>
    <row r="46" spans="1:12" x14ac:dyDescent="0.35">
      <c r="A46" s="35" t="s">
        <v>195</v>
      </c>
      <c r="B46" s="131">
        <v>45474</v>
      </c>
      <c r="C46" s="36">
        <v>3</v>
      </c>
      <c r="D46" s="6" t="s">
        <v>156</v>
      </c>
    </row>
    <row r="47" spans="1:12" x14ac:dyDescent="0.35">
      <c r="A47" s="35" t="s">
        <v>197</v>
      </c>
      <c r="B47" s="131">
        <v>45474</v>
      </c>
      <c r="C47" s="36">
        <v>21</v>
      </c>
      <c r="D47" s="6" t="s">
        <v>196</v>
      </c>
    </row>
    <row r="48" spans="1:12" x14ac:dyDescent="0.35">
      <c r="A48" s="35" t="s">
        <v>19</v>
      </c>
      <c r="B48" s="131">
        <v>45505</v>
      </c>
      <c r="C48" s="36">
        <v>205</v>
      </c>
      <c r="D48" s="6" t="s">
        <v>156</v>
      </c>
    </row>
    <row r="49" spans="1:4" x14ac:dyDescent="0.35">
      <c r="A49" s="35" t="s">
        <v>20</v>
      </c>
      <c r="B49" s="131">
        <v>45505</v>
      </c>
      <c r="C49" s="36">
        <v>233</v>
      </c>
      <c r="D49" s="6" t="s">
        <v>156</v>
      </c>
    </row>
    <row r="50" spans="1:4" x14ac:dyDescent="0.35">
      <c r="A50" s="35" t="s">
        <v>20</v>
      </c>
      <c r="B50" s="131">
        <v>45505</v>
      </c>
      <c r="C50" s="36">
        <v>3</v>
      </c>
      <c r="D50" s="6" t="s">
        <v>198</v>
      </c>
    </row>
    <row r="51" spans="1:4" x14ac:dyDescent="0.35">
      <c r="A51" s="35" t="s">
        <v>194</v>
      </c>
      <c r="B51" s="131">
        <v>45505</v>
      </c>
      <c r="C51" s="36">
        <v>5</v>
      </c>
      <c r="D51" s="6" t="s">
        <v>156</v>
      </c>
    </row>
    <row r="52" spans="1:4" x14ac:dyDescent="0.35">
      <c r="A52" s="35" t="s">
        <v>195</v>
      </c>
      <c r="B52" s="131">
        <v>45505</v>
      </c>
      <c r="C52" s="36">
        <v>2</v>
      </c>
      <c r="D52" s="6" t="s">
        <v>156</v>
      </c>
    </row>
    <row r="53" spans="1:4" x14ac:dyDescent="0.35">
      <c r="A53" s="35" t="s">
        <v>197</v>
      </c>
      <c r="B53" s="131">
        <v>45505</v>
      </c>
      <c r="C53" s="36">
        <v>51</v>
      </c>
      <c r="D53" s="6" t="s">
        <v>196</v>
      </c>
    </row>
    <row r="54" spans="1:4" x14ac:dyDescent="0.35">
      <c r="A54" s="35" t="s">
        <v>19</v>
      </c>
      <c r="B54" s="131">
        <v>45537</v>
      </c>
      <c r="C54" s="36">
        <v>147</v>
      </c>
      <c r="D54" s="6" t="s">
        <v>156</v>
      </c>
    </row>
    <row r="55" spans="1:4" x14ac:dyDescent="0.35">
      <c r="A55" s="35" t="s">
        <v>20</v>
      </c>
      <c r="B55" s="131">
        <v>45537</v>
      </c>
      <c r="C55" s="36">
        <v>195</v>
      </c>
      <c r="D55" s="6" t="s">
        <v>156</v>
      </c>
    </row>
    <row r="56" spans="1:4" x14ac:dyDescent="0.35">
      <c r="A56" s="35" t="s">
        <v>20</v>
      </c>
      <c r="B56" s="131">
        <v>45537</v>
      </c>
      <c r="C56" s="36">
        <v>5</v>
      </c>
      <c r="D56" s="6" t="s">
        <v>198</v>
      </c>
    </row>
    <row r="57" spans="1:4" x14ac:dyDescent="0.35">
      <c r="A57" s="35" t="s">
        <v>194</v>
      </c>
      <c r="B57" s="131">
        <v>45537</v>
      </c>
      <c r="C57" s="36">
        <v>2</v>
      </c>
      <c r="D57" s="6" t="s">
        <v>156</v>
      </c>
    </row>
    <row r="58" spans="1:4" x14ac:dyDescent="0.35">
      <c r="A58" s="35" t="s">
        <v>195</v>
      </c>
      <c r="B58" s="131">
        <v>45537</v>
      </c>
      <c r="C58" s="36">
        <v>5</v>
      </c>
      <c r="D58" s="6" t="s">
        <v>156</v>
      </c>
    </row>
    <row r="59" spans="1:4" x14ac:dyDescent="0.35">
      <c r="A59" s="35" t="s">
        <v>197</v>
      </c>
      <c r="B59" s="131">
        <v>45537</v>
      </c>
      <c r="C59" s="36">
        <v>72</v>
      </c>
      <c r="D59" s="6" t="s">
        <v>196</v>
      </c>
    </row>
    <row r="60" spans="1:4" x14ac:dyDescent="0.35">
      <c r="A60" s="35" t="s">
        <v>19</v>
      </c>
      <c r="B60" s="131">
        <v>45566</v>
      </c>
      <c r="C60" s="36">
        <v>172</v>
      </c>
      <c r="D60" s="6" t="s">
        <v>156</v>
      </c>
    </row>
    <row r="61" spans="1:4" x14ac:dyDescent="0.35">
      <c r="A61" s="35" t="s">
        <v>20</v>
      </c>
      <c r="B61" s="131">
        <v>45566</v>
      </c>
      <c r="C61" s="36">
        <v>202</v>
      </c>
      <c r="D61" s="6" t="s">
        <v>156</v>
      </c>
    </row>
    <row r="62" spans="1:4" x14ac:dyDescent="0.35">
      <c r="A62" s="35" t="s">
        <v>20</v>
      </c>
      <c r="B62" s="131">
        <v>45566</v>
      </c>
      <c r="C62" s="36">
        <v>10</v>
      </c>
      <c r="D62" s="6" t="s">
        <v>198</v>
      </c>
    </row>
    <row r="63" spans="1:4" x14ac:dyDescent="0.35">
      <c r="A63" s="35" t="s">
        <v>194</v>
      </c>
      <c r="B63" s="131">
        <v>45566</v>
      </c>
      <c r="C63" s="36">
        <v>2</v>
      </c>
      <c r="D63" s="6" t="s">
        <v>156</v>
      </c>
    </row>
    <row r="64" spans="1:4" x14ac:dyDescent="0.35">
      <c r="A64" s="35" t="s">
        <v>195</v>
      </c>
      <c r="B64" s="131">
        <v>45566</v>
      </c>
      <c r="C64" s="36">
        <v>2</v>
      </c>
      <c r="D64" s="6" t="s">
        <v>156</v>
      </c>
    </row>
    <row r="65" spans="1:4" x14ac:dyDescent="0.35">
      <c r="A65" s="35" t="s">
        <v>197</v>
      </c>
      <c r="B65" s="131">
        <v>45566</v>
      </c>
      <c r="C65" s="36">
        <v>68</v>
      </c>
      <c r="D65" s="6" t="s">
        <v>196</v>
      </c>
    </row>
    <row r="66" spans="1:4" x14ac:dyDescent="0.35">
      <c r="A66" s="35" t="s">
        <v>19</v>
      </c>
      <c r="B66" s="131">
        <v>45597</v>
      </c>
      <c r="C66" s="36">
        <v>148</v>
      </c>
      <c r="D66" s="6" t="s">
        <v>156</v>
      </c>
    </row>
    <row r="67" spans="1:4" x14ac:dyDescent="0.35">
      <c r="A67" s="35" t="s">
        <v>20</v>
      </c>
      <c r="B67" s="131">
        <v>45597</v>
      </c>
      <c r="C67" s="36">
        <v>177</v>
      </c>
      <c r="D67" s="6" t="s">
        <v>156</v>
      </c>
    </row>
    <row r="68" spans="1:4" x14ac:dyDescent="0.35">
      <c r="A68" s="35" t="s">
        <v>20</v>
      </c>
      <c r="B68" s="131">
        <v>45597</v>
      </c>
      <c r="C68" s="36">
        <v>4</v>
      </c>
      <c r="D68" s="6" t="s">
        <v>198</v>
      </c>
    </row>
    <row r="69" spans="1:4" x14ac:dyDescent="0.35">
      <c r="A69" s="35" t="s">
        <v>194</v>
      </c>
      <c r="B69" s="131">
        <v>45597</v>
      </c>
      <c r="C69" s="36">
        <v>2</v>
      </c>
      <c r="D69" s="6" t="s">
        <v>156</v>
      </c>
    </row>
    <row r="70" spans="1:4" x14ac:dyDescent="0.35">
      <c r="A70" s="35" t="s">
        <v>195</v>
      </c>
      <c r="B70" s="131">
        <v>45597</v>
      </c>
      <c r="C70" s="36">
        <v>2</v>
      </c>
      <c r="D70" s="6" t="s">
        <v>156</v>
      </c>
    </row>
    <row r="71" spans="1:4" x14ac:dyDescent="0.35">
      <c r="A71" s="35" t="s">
        <v>197</v>
      </c>
      <c r="B71" s="131">
        <v>45597</v>
      </c>
      <c r="C71" s="36">
        <v>46</v>
      </c>
      <c r="D71" s="6" t="s">
        <v>196</v>
      </c>
    </row>
    <row r="72" spans="1:4" x14ac:dyDescent="0.35">
      <c r="A72" s="35" t="s">
        <v>19</v>
      </c>
      <c r="B72" s="131">
        <v>45627</v>
      </c>
      <c r="C72" s="36">
        <v>146</v>
      </c>
      <c r="D72" s="6" t="s">
        <v>156</v>
      </c>
    </row>
    <row r="73" spans="1:4" x14ac:dyDescent="0.35">
      <c r="A73" s="35" t="s">
        <v>20</v>
      </c>
      <c r="B73" s="131">
        <v>45627</v>
      </c>
      <c r="C73" s="36">
        <v>240</v>
      </c>
      <c r="D73" s="6" t="s">
        <v>156</v>
      </c>
    </row>
    <row r="74" spans="1:4" x14ac:dyDescent="0.35">
      <c r="A74" s="35" t="s">
        <v>20</v>
      </c>
      <c r="B74" s="131">
        <v>45627</v>
      </c>
      <c r="C74" s="36">
        <v>5</v>
      </c>
      <c r="D74" s="6" t="s">
        <v>198</v>
      </c>
    </row>
    <row r="75" spans="1:4" x14ac:dyDescent="0.35">
      <c r="A75" s="35" t="s">
        <v>194</v>
      </c>
      <c r="B75" s="131">
        <v>45627</v>
      </c>
      <c r="C75" s="36">
        <v>2</v>
      </c>
      <c r="D75" s="6" t="s">
        <v>156</v>
      </c>
    </row>
    <row r="76" spans="1:4" x14ac:dyDescent="0.35">
      <c r="A76" s="35" t="s">
        <v>195</v>
      </c>
      <c r="B76" s="131">
        <v>45627</v>
      </c>
      <c r="C76" s="36">
        <v>6</v>
      </c>
      <c r="D76" s="6" t="s">
        <v>156</v>
      </c>
    </row>
    <row r="77" spans="1:4" x14ac:dyDescent="0.35">
      <c r="A77" s="35" t="s">
        <v>197</v>
      </c>
      <c r="B77" s="131">
        <v>45627</v>
      </c>
      <c r="C77" s="36">
        <v>21</v>
      </c>
      <c r="D77" s="6" t="s">
        <v>196</v>
      </c>
    </row>
    <row r="78" spans="1:4" x14ac:dyDescent="0.35">
      <c r="A78" s="35" t="s">
        <v>19</v>
      </c>
      <c r="B78" s="131">
        <v>45658</v>
      </c>
      <c r="C78" s="36">
        <v>221</v>
      </c>
      <c r="D78" s="6" t="s">
        <v>156</v>
      </c>
    </row>
    <row r="79" spans="1:4" x14ac:dyDescent="0.35">
      <c r="A79" s="35" t="s">
        <v>20</v>
      </c>
      <c r="B79" s="131">
        <v>45658</v>
      </c>
      <c r="C79" s="36">
        <v>242</v>
      </c>
      <c r="D79" s="6" t="s">
        <v>156</v>
      </c>
    </row>
    <row r="80" spans="1:4" x14ac:dyDescent="0.35">
      <c r="A80" s="35" t="s">
        <v>20</v>
      </c>
      <c r="B80" s="131">
        <v>45658</v>
      </c>
      <c r="C80" s="36">
        <v>11</v>
      </c>
      <c r="D80" s="6" t="s">
        <v>198</v>
      </c>
    </row>
    <row r="81" spans="1:4" x14ac:dyDescent="0.35">
      <c r="A81" s="35" t="s">
        <v>194</v>
      </c>
      <c r="B81" s="131">
        <v>45658</v>
      </c>
      <c r="C81" s="36">
        <v>2</v>
      </c>
      <c r="D81" s="6" t="s">
        <v>156</v>
      </c>
    </row>
    <row r="82" spans="1:4" x14ac:dyDescent="0.35">
      <c r="A82" s="35" t="s">
        <v>195</v>
      </c>
      <c r="B82" s="131">
        <v>45658</v>
      </c>
      <c r="C82" s="36">
        <v>5</v>
      </c>
      <c r="D82" s="6" t="s">
        <v>156</v>
      </c>
    </row>
    <row r="83" spans="1:4" x14ac:dyDescent="0.35">
      <c r="A83" s="35" t="s">
        <v>197</v>
      </c>
      <c r="B83" s="131">
        <v>45658</v>
      </c>
      <c r="C83" s="36">
        <v>31</v>
      </c>
      <c r="D83" s="6" t="s">
        <v>196</v>
      </c>
    </row>
    <row r="84" spans="1:4" x14ac:dyDescent="0.35">
      <c r="A84" s="35" t="s">
        <v>19</v>
      </c>
      <c r="B84" s="131">
        <v>45689</v>
      </c>
      <c r="C84" s="36">
        <v>141</v>
      </c>
      <c r="D84" s="6" t="s">
        <v>156</v>
      </c>
    </row>
    <row r="85" spans="1:4" x14ac:dyDescent="0.35">
      <c r="A85" s="35" t="s">
        <v>20</v>
      </c>
      <c r="B85" s="131">
        <v>45689</v>
      </c>
      <c r="C85" s="36">
        <v>164</v>
      </c>
      <c r="D85" s="6" t="s">
        <v>156</v>
      </c>
    </row>
    <row r="86" spans="1:4" x14ac:dyDescent="0.35">
      <c r="A86" s="35" t="s">
        <v>20</v>
      </c>
      <c r="B86" s="131">
        <v>45689</v>
      </c>
      <c r="C86" s="36">
        <v>3</v>
      </c>
      <c r="D86" s="6" t="s">
        <v>198</v>
      </c>
    </row>
    <row r="87" spans="1:4" x14ac:dyDescent="0.35">
      <c r="A87" s="35" t="s">
        <v>194</v>
      </c>
      <c r="B87" s="131">
        <v>45689</v>
      </c>
      <c r="C87" s="36">
        <v>2</v>
      </c>
      <c r="D87" s="6" t="s">
        <v>156</v>
      </c>
    </row>
    <row r="88" spans="1:4" x14ac:dyDescent="0.35">
      <c r="A88" s="35" t="s">
        <v>195</v>
      </c>
      <c r="B88" s="131">
        <v>45689</v>
      </c>
      <c r="C88" s="36">
        <v>4</v>
      </c>
      <c r="D88" s="6" t="s">
        <v>156</v>
      </c>
    </row>
    <row r="89" spans="1:4" x14ac:dyDescent="0.35">
      <c r="A89" s="35" t="s">
        <v>197</v>
      </c>
      <c r="B89" s="131">
        <v>45689</v>
      </c>
      <c r="C89" s="36">
        <v>54</v>
      </c>
      <c r="D89" s="6" t="s">
        <v>196</v>
      </c>
    </row>
    <row r="90" spans="1:4" x14ac:dyDescent="0.35">
      <c r="A90" s="35" t="s">
        <v>19</v>
      </c>
      <c r="B90" s="131">
        <v>45717</v>
      </c>
      <c r="C90" s="36">
        <v>144</v>
      </c>
      <c r="D90" s="6" t="s">
        <v>156</v>
      </c>
    </row>
    <row r="91" spans="1:4" x14ac:dyDescent="0.35">
      <c r="A91" s="35" t="s">
        <v>20</v>
      </c>
      <c r="B91" s="131">
        <v>45717</v>
      </c>
      <c r="C91" s="36">
        <v>153</v>
      </c>
      <c r="D91" s="6" t="s">
        <v>156</v>
      </c>
    </row>
    <row r="92" spans="1:4" x14ac:dyDescent="0.35">
      <c r="A92" s="35" t="s">
        <v>20</v>
      </c>
      <c r="B92" s="131">
        <v>45717</v>
      </c>
      <c r="C92" s="36">
        <v>4</v>
      </c>
      <c r="D92" s="6" t="s">
        <v>198</v>
      </c>
    </row>
    <row r="93" spans="1:4" x14ac:dyDescent="0.35">
      <c r="A93" s="35" t="s">
        <v>194</v>
      </c>
      <c r="B93" s="131">
        <v>45717</v>
      </c>
      <c r="C93" s="36">
        <v>2</v>
      </c>
      <c r="D93" s="6" t="s">
        <v>156</v>
      </c>
    </row>
    <row r="94" spans="1:4" x14ac:dyDescent="0.35">
      <c r="A94" s="35" t="s">
        <v>195</v>
      </c>
      <c r="B94" s="131">
        <v>45717</v>
      </c>
      <c r="C94" s="36">
        <v>2</v>
      </c>
      <c r="D94" s="6" t="s">
        <v>156</v>
      </c>
    </row>
    <row r="95" spans="1:4" x14ac:dyDescent="0.35">
      <c r="A95" s="35" t="s">
        <v>197</v>
      </c>
      <c r="B95" s="131">
        <v>45717</v>
      </c>
      <c r="C95" s="36">
        <v>24</v>
      </c>
      <c r="D95" s="6" t="s">
        <v>196</v>
      </c>
    </row>
    <row r="96" spans="1:4" x14ac:dyDescent="0.35">
      <c r="A96" s="35" t="s">
        <v>19</v>
      </c>
      <c r="B96" s="131">
        <v>45748</v>
      </c>
      <c r="C96" s="36">
        <v>134</v>
      </c>
      <c r="D96" s="6" t="s">
        <v>156</v>
      </c>
    </row>
    <row r="97" spans="1:4" x14ac:dyDescent="0.35">
      <c r="A97" s="35" t="s">
        <v>20</v>
      </c>
      <c r="B97" s="131">
        <v>45748</v>
      </c>
      <c r="C97" s="36">
        <v>158</v>
      </c>
      <c r="D97" s="6" t="s">
        <v>156</v>
      </c>
    </row>
    <row r="98" spans="1:4" x14ac:dyDescent="0.35">
      <c r="A98" s="35" t="s">
        <v>20</v>
      </c>
      <c r="B98" s="131">
        <v>45748</v>
      </c>
      <c r="C98" s="36">
        <v>6</v>
      </c>
      <c r="D98" s="6" t="s">
        <v>198</v>
      </c>
    </row>
    <row r="99" spans="1:4" x14ac:dyDescent="0.35">
      <c r="A99" s="35" t="s">
        <v>194</v>
      </c>
      <c r="B99" s="131">
        <v>45748</v>
      </c>
      <c r="C99" s="36">
        <v>2</v>
      </c>
      <c r="D99" s="6" t="s">
        <v>156</v>
      </c>
    </row>
    <row r="100" spans="1:4" x14ac:dyDescent="0.35">
      <c r="A100" s="35" t="s">
        <v>195</v>
      </c>
      <c r="B100" s="131">
        <v>45748</v>
      </c>
      <c r="C100" s="36">
        <v>2</v>
      </c>
      <c r="D100" s="6" t="s">
        <v>156</v>
      </c>
    </row>
    <row r="101" spans="1:4" x14ac:dyDescent="0.35">
      <c r="A101" s="35" t="s">
        <v>197</v>
      </c>
      <c r="B101" s="131">
        <v>45748</v>
      </c>
      <c r="C101" s="36">
        <v>40</v>
      </c>
      <c r="D101" s="6" t="s">
        <v>196</v>
      </c>
    </row>
    <row r="102" spans="1:4" x14ac:dyDescent="0.35">
      <c r="A102" s="35" t="s">
        <v>19</v>
      </c>
      <c r="B102" s="131">
        <v>45778</v>
      </c>
      <c r="C102" s="36">
        <v>207</v>
      </c>
      <c r="D102" s="6" t="s">
        <v>156</v>
      </c>
    </row>
    <row r="103" spans="1:4" x14ac:dyDescent="0.35">
      <c r="A103" s="35" t="s">
        <v>20</v>
      </c>
      <c r="B103" s="131">
        <v>45778</v>
      </c>
      <c r="C103" s="36">
        <v>229</v>
      </c>
      <c r="D103" s="6" t="s">
        <v>156</v>
      </c>
    </row>
    <row r="104" spans="1:4" x14ac:dyDescent="0.35">
      <c r="A104" s="35" t="s">
        <v>20</v>
      </c>
      <c r="B104" s="131">
        <v>45778</v>
      </c>
      <c r="C104" s="36">
        <v>10</v>
      </c>
      <c r="D104" s="6" t="s">
        <v>198</v>
      </c>
    </row>
    <row r="105" spans="1:4" x14ac:dyDescent="0.35">
      <c r="A105" s="35" t="s">
        <v>194</v>
      </c>
      <c r="B105" s="131">
        <v>45778</v>
      </c>
      <c r="C105" s="36">
        <v>2</v>
      </c>
      <c r="D105" s="6" t="s">
        <v>156</v>
      </c>
    </row>
    <row r="106" spans="1:4" x14ac:dyDescent="0.35">
      <c r="A106" s="35" t="s">
        <v>195</v>
      </c>
      <c r="B106" s="131">
        <v>45778</v>
      </c>
      <c r="C106" s="36">
        <v>5</v>
      </c>
      <c r="D106" s="6" t="s">
        <v>156</v>
      </c>
    </row>
    <row r="107" spans="1:4" x14ac:dyDescent="0.35">
      <c r="A107" s="35" t="s">
        <v>197</v>
      </c>
      <c r="B107" s="131">
        <v>45778</v>
      </c>
      <c r="C107" s="36">
        <v>77</v>
      </c>
      <c r="D107" s="6" t="s">
        <v>196</v>
      </c>
    </row>
    <row r="108" spans="1:4" x14ac:dyDescent="0.35">
      <c r="A108" s="35" t="s">
        <v>19</v>
      </c>
      <c r="B108" s="131">
        <v>45809</v>
      </c>
      <c r="C108" s="36">
        <v>162</v>
      </c>
      <c r="D108" s="6" t="s">
        <v>156</v>
      </c>
    </row>
    <row r="109" spans="1:4" x14ac:dyDescent="0.35">
      <c r="A109" s="35" t="s">
        <v>20</v>
      </c>
      <c r="B109" s="131">
        <v>45809</v>
      </c>
      <c r="C109" s="36">
        <v>202</v>
      </c>
      <c r="D109" s="6" t="s">
        <v>156</v>
      </c>
    </row>
    <row r="110" spans="1:4" x14ac:dyDescent="0.35">
      <c r="A110" s="35" t="s">
        <v>20</v>
      </c>
      <c r="B110" s="131">
        <v>45809</v>
      </c>
      <c r="C110" s="36">
        <v>3</v>
      </c>
      <c r="D110" s="6" t="s">
        <v>198</v>
      </c>
    </row>
    <row r="111" spans="1:4" x14ac:dyDescent="0.35">
      <c r="A111" s="35" t="s">
        <v>194</v>
      </c>
      <c r="B111" s="131">
        <v>45809</v>
      </c>
      <c r="C111" s="36">
        <v>2</v>
      </c>
      <c r="D111" s="6" t="s">
        <v>156</v>
      </c>
    </row>
    <row r="112" spans="1:4" x14ac:dyDescent="0.35">
      <c r="A112" s="35" t="s">
        <v>195</v>
      </c>
      <c r="B112" s="131">
        <v>45809</v>
      </c>
      <c r="C112" s="36">
        <v>2</v>
      </c>
      <c r="D112" s="6" t="s">
        <v>156</v>
      </c>
    </row>
    <row r="113" spans="1:4" x14ac:dyDescent="0.35">
      <c r="A113" s="35" t="s">
        <v>197</v>
      </c>
      <c r="B113" s="131">
        <v>45809</v>
      </c>
      <c r="C113" s="36">
        <v>26</v>
      </c>
      <c r="D113" s="6" t="s">
        <v>196</v>
      </c>
    </row>
    <row r="114" spans="1:4" x14ac:dyDescent="0.35">
      <c r="A114" s="35" t="s">
        <v>19</v>
      </c>
      <c r="B114" s="131">
        <v>45839</v>
      </c>
      <c r="C114" s="36">
        <v>225</v>
      </c>
      <c r="D114" s="6" t="s">
        <v>156</v>
      </c>
    </row>
    <row r="115" spans="1:4" x14ac:dyDescent="0.35">
      <c r="A115" s="35" t="s">
        <v>20</v>
      </c>
      <c r="B115" s="131">
        <v>45839</v>
      </c>
      <c r="C115" s="36">
        <v>210</v>
      </c>
      <c r="D115" s="6" t="s">
        <v>156</v>
      </c>
    </row>
    <row r="116" spans="1:4" x14ac:dyDescent="0.35">
      <c r="A116" s="35" t="s">
        <v>20</v>
      </c>
      <c r="B116" s="131">
        <v>45839</v>
      </c>
      <c r="C116" s="36">
        <v>3</v>
      </c>
      <c r="D116" s="6" t="s">
        <v>198</v>
      </c>
    </row>
    <row r="117" spans="1:4" x14ac:dyDescent="0.35">
      <c r="A117" s="35" t="s">
        <v>194</v>
      </c>
      <c r="B117" s="131">
        <v>45839</v>
      </c>
      <c r="C117" s="36">
        <v>2</v>
      </c>
      <c r="D117" s="6" t="s">
        <v>156</v>
      </c>
    </row>
    <row r="118" spans="1:4" x14ac:dyDescent="0.35">
      <c r="A118" s="35" t="s">
        <v>195</v>
      </c>
      <c r="B118" s="131">
        <v>45839</v>
      </c>
      <c r="C118" s="36">
        <v>2</v>
      </c>
      <c r="D118" s="6" t="s">
        <v>156</v>
      </c>
    </row>
    <row r="119" spans="1:4" x14ac:dyDescent="0.35">
      <c r="A119" s="35" t="s">
        <v>197</v>
      </c>
      <c r="B119" s="131">
        <v>45839</v>
      </c>
      <c r="C119" s="36">
        <v>25</v>
      </c>
      <c r="D119" s="6" t="s">
        <v>196</v>
      </c>
    </row>
    <row r="120" spans="1:4" x14ac:dyDescent="0.35">
      <c r="A120" s="35" t="s">
        <v>19</v>
      </c>
      <c r="B120" s="131">
        <v>45870</v>
      </c>
      <c r="C120" s="36">
        <v>131</v>
      </c>
      <c r="D120" s="6" t="s">
        <v>156</v>
      </c>
    </row>
    <row r="121" spans="1:4" x14ac:dyDescent="0.35">
      <c r="A121" s="35" t="s">
        <v>20</v>
      </c>
      <c r="B121" s="131">
        <v>45870</v>
      </c>
      <c r="C121" s="36">
        <v>143</v>
      </c>
      <c r="D121" s="6" t="s">
        <v>156</v>
      </c>
    </row>
    <row r="122" spans="1:4" x14ac:dyDescent="0.35">
      <c r="A122" s="35" t="s">
        <v>20</v>
      </c>
      <c r="B122" s="131">
        <v>45870</v>
      </c>
      <c r="C122" s="36">
        <v>8</v>
      </c>
      <c r="D122" s="6" t="s">
        <v>198</v>
      </c>
    </row>
    <row r="123" spans="1:4" x14ac:dyDescent="0.35">
      <c r="A123" s="35" t="s">
        <v>194</v>
      </c>
      <c r="B123" s="131">
        <v>45870</v>
      </c>
      <c r="C123" s="36">
        <v>2</v>
      </c>
      <c r="D123" s="6" t="s">
        <v>156</v>
      </c>
    </row>
    <row r="124" spans="1:4" x14ac:dyDescent="0.35">
      <c r="A124" s="35" t="s">
        <v>195</v>
      </c>
      <c r="B124" s="131">
        <v>45870</v>
      </c>
      <c r="C124" s="36">
        <v>2</v>
      </c>
      <c r="D124" s="6" t="s">
        <v>156</v>
      </c>
    </row>
    <row r="125" spans="1:4" x14ac:dyDescent="0.35">
      <c r="A125" s="35" t="s">
        <v>197</v>
      </c>
      <c r="B125" s="131">
        <v>45870</v>
      </c>
      <c r="C125" s="36">
        <v>43</v>
      </c>
      <c r="D125" s="6" t="s">
        <v>196</v>
      </c>
    </row>
    <row r="126" spans="1:4" x14ac:dyDescent="0.35">
      <c r="A126" s="35" t="s">
        <v>19</v>
      </c>
      <c r="B126" s="131">
        <v>45901</v>
      </c>
      <c r="C126" s="36">
        <v>125</v>
      </c>
      <c r="D126" s="6" t="s">
        <v>156</v>
      </c>
    </row>
    <row r="127" spans="1:4" x14ac:dyDescent="0.35">
      <c r="A127" s="35" t="s">
        <v>20</v>
      </c>
      <c r="B127" s="131">
        <v>45901</v>
      </c>
      <c r="C127" s="36">
        <v>133</v>
      </c>
      <c r="D127" s="6" t="s">
        <v>156</v>
      </c>
    </row>
    <row r="128" spans="1:4" x14ac:dyDescent="0.35">
      <c r="A128" s="35" t="s">
        <v>20</v>
      </c>
      <c r="B128" s="131">
        <v>45901</v>
      </c>
      <c r="C128" s="36">
        <v>3</v>
      </c>
      <c r="D128" s="6" t="s">
        <v>198</v>
      </c>
    </row>
    <row r="129" spans="1:4" x14ac:dyDescent="0.35">
      <c r="A129" s="35" t="s">
        <v>194</v>
      </c>
      <c r="B129" s="131">
        <v>45901</v>
      </c>
      <c r="C129" s="36">
        <v>2</v>
      </c>
      <c r="D129" s="6" t="s">
        <v>156</v>
      </c>
    </row>
    <row r="130" spans="1:4" x14ac:dyDescent="0.35">
      <c r="A130" s="35" t="s">
        <v>195</v>
      </c>
      <c r="B130" s="131">
        <v>45901</v>
      </c>
      <c r="C130" s="36">
        <v>6</v>
      </c>
      <c r="D130" s="6" t="s">
        <v>156</v>
      </c>
    </row>
    <row r="131" spans="1:4" x14ac:dyDescent="0.35">
      <c r="A131" s="35" t="s">
        <v>197</v>
      </c>
      <c r="B131" s="131">
        <v>45901</v>
      </c>
      <c r="C131" s="36">
        <v>36</v>
      </c>
      <c r="D131" s="6" t="s">
        <v>196</v>
      </c>
    </row>
    <row r="132" spans="1:4" x14ac:dyDescent="0.35">
      <c r="A132" s="35" t="s">
        <v>19</v>
      </c>
      <c r="B132" s="131">
        <v>45931</v>
      </c>
      <c r="C132" s="36">
        <v>168</v>
      </c>
      <c r="D132" s="6" t="s">
        <v>156</v>
      </c>
    </row>
    <row r="133" spans="1:4" x14ac:dyDescent="0.35">
      <c r="A133" s="35" t="s">
        <v>20</v>
      </c>
      <c r="B133" s="131">
        <v>45931</v>
      </c>
      <c r="C133" s="36">
        <v>187</v>
      </c>
      <c r="D133" s="6" t="s">
        <v>156</v>
      </c>
    </row>
    <row r="134" spans="1:4" x14ac:dyDescent="0.35">
      <c r="A134" s="35" t="s">
        <v>20</v>
      </c>
      <c r="B134" s="131">
        <v>45931</v>
      </c>
      <c r="C134" s="36">
        <v>7</v>
      </c>
      <c r="D134" s="6" t="s">
        <v>198</v>
      </c>
    </row>
    <row r="135" spans="1:4" x14ac:dyDescent="0.35">
      <c r="A135" s="35" t="s">
        <v>194</v>
      </c>
      <c r="B135" s="131">
        <v>45931</v>
      </c>
      <c r="C135" s="36">
        <v>2</v>
      </c>
      <c r="D135" s="6" t="s">
        <v>156</v>
      </c>
    </row>
    <row r="136" spans="1:4" x14ac:dyDescent="0.35">
      <c r="A136" s="35" t="s">
        <v>195</v>
      </c>
      <c r="B136" s="131">
        <v>45931</v>
      </c>
      <c r="C136" s="36">
        <v>5</v>
      </c>
      <c r="D136" s="6" t="s">
        <v>156</v>
      </c>
    </row>
    <row r="137" spans="1:4" x14ac:dyDescent="0.35">
      <c r="A137" s="35" t="s">
        <v>197</v>
      </c>
      <c r="B137" s="131">
        <v>45931</v>
      </c>
      <c r="C137" s="36">
        <v>35</v>
      </c>
      <c r="D137" s="6" t="s">
        <v>196</v>
      </c>
    </row>
  </sheetData>
  <phoneticPr fontId="5" type="noConversion"/>
  <pageMargins left="0.7" right="0.7" top="0.75" bottom="0.75" header="0.3" footer="0.3"/>
  <ignoredErrors>
    <ignoredError sqref="C42:C43" unlockedFormula="1"/>
  </ignoredErrors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51C6-EB68-476E-990E-A5EEEE643CB6}">
  <dimension ref="A1:R2"/>
  <sheetViews>
    <sheetView workbookViewId="0">
      <selection activeCell="E17" sqref="E17"/>
    </sheetView>
  </sheetViews>
  <sheetFormatPr baseColWidth="10" defaultRowHeight="14.5" x14ac:dyDescent="0.35"/>
  <cols>
    <col min="2" max="2" width="29.453125" bestFit="1" customWidth="1"/>
    <col min="7" max="7" width="12" bestFit="1" customWidth="1"/>
    <col min="8" max="8" width="12.7265625" customWidth="1"/>
    <col min="18" max="18" width="12.7265625" customWidth="1"/>
  </cols>
  <sheetData>
    <row r="1" spans="1:18" ht="58" x14ac:dyDescent="0.35">
      <c r="A1" s="58" t="s">
        <v>381</v>
      </c>
      <c r="B1" s="58" t="s">
        <v>839</v>
      </c>
      <c r="C1" s="58" t="s">
        <v>404</v>
      </c>
      <c r="D1" s="58" t="s">
        <v>384</v>
      </c>
      <c r="E1" s="58" t="s">
        <v>385</v>
      </c>
      <c r="F1" s="58" t="s">
        <v>386</v>
      </c>
      <c r="G1" s="59" t="s">
        <v>387</v>
      </c>
      <c r="H1" s="60" t="s">
        <v>842</v>
      </c>
      <c r="I1" s="62" t="s">
        <v>407</v>
      </c>
      <c r="J1" s="58" t="s">
        <v>844</v>
      </c>
      <c r="K1" s="128" t="s">
        <v>846</v>
      </c>
      <c r="L1" s="62" t="s">
        <v>843</v>
      </c>
      <c r="M1" s="63" t="s">
        <v>845</v>
      </c>
      <c r="N1" s="58" t="s">
        <v>409</v>
      </c>
      <c r="O1" s="58" t="s">
        <v>392</v>
      </c>
      <c r="P1" s="128" t="s">
        <v>846</v>
      </c>
      <c r="Q1" s="62" t="s">
        <v>843</v>
      </c>
      <c r="R1" s="58" t="s">
        <v>410</v>
      </c>
    </row>
    <row r="2" spans="1:18" x14ac:dyDescent="0.35">
      <c r="A2" s="42" t="s">
        <v>399</v>
      </c>
      <c r="B2" s="125" t="s">
        <v>840</v>
      </c>
      <c r="C2" s="43">
        <v>45615</v>
      </c>
      <c r="D2" s="43">
        <v>45647</v>
      </c>
      <c r="E2" s="44">
        <v>186862.8</v>
      </c>
      <c r="F2" s="42" t="s">
        <v>841</v>
      </c>
      <c r="G2" s="45">
        <v>10040007415</v>
      </c>
      <c r="H2" s="46">
        <v>1.1000000000000001E-3</v>
      </c>
      <c r="I2" s="44">
        <v>65</v>
      </c>
      <c r="J2" s="44">
        <v>29</v>
      </c>
      <c r="K2" s="129">
        <v>60</v>
      </c>
      <c r="L2" s="55">
        <v>135</v>
      </c>
      <c r="M2" s="48">
        <f>946822+179896</f>
        <v>1126718</v>
      </c>
      <c r="N2" s="44">
        <f>284829+54118+272714+51816</f>
        <v>663477</v>
      </c>
      <c r="O2" s="49">
        <f>127078+24145+121672+23118</f>
        <v>296013</v>
      </c>
      <c r="P2" s="129">
        <f>262919+49955+251736+47830</f>
        <v>612440</v>
      </c>
      <c r="Q2" s="55">
        <v>597316</v>
      </c>
      <c r="R2" s="44">
        <f>+M2+N2+O2+P2+Q2</f>
        <v>3295964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"/>
  <sheetViews>
    <sheetView topLeftCell="B1" workbookViewId="0">
      <selection activeCell="K9" sqref="K9"/>
    </sheetView>
  </sheetViews>
  <sheetFormatPr baseColWidth="10" defaultRowHeight="14.5" x14ac:dyDescent="0.35"/>
  <cols>
    <col min="2" max="2" width="16.26953125" customWidth="1"/>
    <col min="4" max="4" width="12.1796875" customWidth="1"/>
    <col min="5" max="5" width="11.7265625" customWidth="1"/>
    <col min="6" max="6" width="9" customWidth="1"/>
    <col min="7" max="7" width="12" bestFit="1" customWidth="1"/>
    <col min="8" max="8" width="10" customWidth="1"/>
    <col min="12" max="12" width="13" bestFit="1" customWidth="1"/>
    <col min="14" max="14" width="13.453125" bestFit="1" customWidth="1"/>
    <col min="16" max="16" width="12.453125" bestFit="1" customWidth="1"/>
  </cols>
  <sheetData>
    <row r="1" spans="1:17" s="64" customFormat="1" ht="45" customHeight="1" x14ac:dyDescent="0.35">
      <c r="A1" s="58" t="s">
        <v>381</v>
      </c>
      <c r="B1" s="58" t="s">
        <v>382</v>
      </c>
      <c r="C1" s="58" t="s">
        <v>404</v>
      </c>
      <c r="D1" s="58" t="s">
        <v>384</v>
      </c>
      <c r="E1" s="58" t="s">
        <v>385</v>
      </c>
      <c r="F1" s="58" t="s">
        <v>386</v>
      </c>
      <c r="G1" s="59" t="s">
        <v>387</v>
      </c>
      <c r="H1" s="60" t="s">
        <v>405</v>
      </c>
      <c r="I1" s="61" t="s">
        <v>406</v>
      </c>
      <c r="J1" s="61" t="s">
        <v>389</v>
      </c>
      <c r="K1" s="62" t="s">
        <v>407</v>
      </c>
      <c r="L1" s="63" t="s">
        <v>391</v>
      </c>
      <c r="M1" s="58" t="s">
        <v>392</v>
      </c>
      <c r="N1" s="58" t="s">
        <v>408</v>
      </c>
      <c r="O1" s="58" t="s">
        <v>409</v>
      </c>
      <c r="P1" s="58" t="s">
        <v>410</v>
      </c>
      <c r="Q1" s="58" t="s">
        <v>394</v>
      </c>
    </row>
    <row r="2" spans="1:17" ht="23.25" customHeight="1" x14ac:dyDescent="0.35">
      <c r="A2" s="42" t="s">
        <v>399</v>
      </c>
      <c r="B2" s="74" t="s">
        <v>590</v>
      </c>
      <c r="C2" s="43">
        <v>45293</v>
      </c>
      <c r="D2" s="43">
        <v>45503</v>
      </c>
      <c r="E2" s="44">
        <v>82511.3</v>
      </c>
      <c r="F2" s="42" t="s">
        <v>51</v>
      </c>
      <c r="G2" s="45">
        <v>10010014384</v>
      </c>
      <c r="H2" s="46">
        <v>1.1000000000000001E-3</v>
      </c>
      <c r="I2" s="47">
        <v>1E-3</v>
      </c>
      <c r="J2" s="44">
        <v>7</v>
      </c>
      <c r="K2" s="55">
        <v>10</v>
      </c>
      <c r="L2" s="48">
        <f>+E2*1.05/0.9*H2*Q2*1.19</f>
        <v>481610.81411564921</v>
      </c>
      <c r="M2" s="49">
        <f>(J2*Q2)*1.19</f>
        <v>31837.676500000001</v>
      </c>
      <c r="N2" s="50">
        <f>+E2*1.05/0.9*I2*Q2*1.19*4</f>
        <v>1751312.0513296335</v>
      </c>
      <c r="O2" s="44">
        <f>79647+79620+78804+79093+81885</f>
        <v>399049</v>
      </c>
      <c r="P2" s="44">
        <f>SUM(L2:O2)</f>
        <v>2663809.5419452828</v>
      </c>
      <c r="Q2" s="42">
        <v>3822.05</v>
      </c>
    </row>
    <row r="3" spans="1:17" ht="15" thickBot="1" x14ac:dyDescent="0.4">
      <c r="A3" s="42" t="s">
        <v>399</v>
      </c>
      <c r="B3" s="74" t="s">
        <v>590</v>
      </c>
      <c r="C3" s="43">
        <v>45467</v>
      </c>
      <c r="D3" s="43">
        <v>45677</v>
      </c>
      <c r="E3" s="44">
        <v>152660</v>
      </c>
      <c r="F3" s="42" t="s">
        <v>51</v>
      </c>
      <c r="G3" s="45">
        <v>10010014706</v>
      </c>
      <c r="H3" s="52">
        <v>1.1000000000000001E-3</v>
      </c>
      <c r="I3" s="53">
        <v>1E-3</v>
      </c>
      <c r="J3" s="56">
        <v>7</v>
      </c>
      <c r="K3" s="57">
        <v>10</v>
      </c>
      <c r="L3" s="48">
        <f>+E3*1.05/0.91983*H3*Q3*1.19</f>
        <v>945228.99529004283</v>
      </c>
      <c r="M3" s="49">
        <f>(J3*Q3)*1.19-24</f>
        <v>34493.187599999997</v>
      </c>
      <c r="N3" s="50">
        <f>+E3*1.05/0.91983*I3*Q3*1.19*4</f>
        <v>3437196.3465092466</v>
      </c>
      <c r="O3" s="44">
        <f>81207+84679+86550+86021+87934+89026+88601+84733</f>
        <v>688751</v>
      </c>
      <c r="P3" s="44">
        <f>SUM(L3:O3)</f>
        <v>5105669.5293992897</v>
      </c>
      <c r="Q3" s="42">
        <v>4143.72</v>
      </c>
    </row>
    <row r="4" spans="1:17" ht="15" thickBot="1" x14ac:dyDescent="0.4">
      <c r="A4" s="42" t="s">
        <v>399</v>
      </c>
      <c r="B4" s="125" t="s">
        <v>1144</v>
      </c>
      <c r="C4" s="43">
        <v>45682</v>
      </c>
      <c r="D4" s="43">
        <v>45877</v>
      </c>
      <c r="E4" s="44">
        <v>165830.44</v>
      </c>
      <c r="F4" s="42" t="s">
        <v>51</v>
      </c>
      <c r="G4" s="126">
        <v>10010015064</v>
      </c>
      <c r="H4" s="52">
        <v>1.1000000000000001E-3</v>
      </c>
      <c r="I4" s="53">
        <v>1E-3</v>
      </c>
      <c r="J4" s="56">
        <v>7</v>
      </c>
      <c r="K4" s="57">
        <v>10</v>
      </c>
      <c r="L4" s="48">
        <f>+E4*1.05/0.95841*H4*Q4*1.19</f>
        <v>1027649.9953005363</v>
      </c>
      <c r="M4" s="49">
        <f>(J4*Q4)*1.19-24</f>
        <v>35971.512699999999</v>
      </c>
      <c r="N4" s="130">
        <f>+E4*1.05/0.95841*I4*Q4*1.19*4-9.07</f>
        <v>3736900.0038201315</v>
      </c>
      <c r="O4" s="44">
        <f>83350+82472+87121+84848+83477</f>
        <v>421268</v>
      </c>
      <c r="P4" s="44">
        <f>+L4+M4+N4+O4</f>
        <v>5221789.5118206684</v>
      </c>
      <c r="Q4" s="42">
        <v>4321.1899999999996</v>
      </c>
    </row>
    <row r="5" spans="1:17" ht="15" thickBot="1" x14ac:dyDescent="0.4">
      <c r="A5" s="42" t="s">
        <v>399</v>
      </c>
      <c r="B5" s="125" t="s">
        <v>1144</v>
      </c>
      <c r="C5" s="43">
        <v>45840</v>
      </c>
      <c r="D5" s="43">
        <v>46050</v>
      </c>
      <c r="E5" s="44">
        <v>286678.09000000003</v>
      </c>
      <c r="F5" s="42" t="s">
        <v>51</v>
      </c>
      <c r="G5" s="126">
        <v>10010015388</v>
      </c>
      <c r="H5" s="52">
        <v>1.1000000000000001E-3</v>
      </c>
      <c r="I5" s="53">
        <v>1E-3</v>
      </c>
      <c r="J5" s="56">
        <v>2</v>
      </c>
      <c r="K5" s="57">
        <v>10</v>
      </c>
      <c r="L5" s="153">
        <f>+E5*1.05/0.83986*H5*Q5*1.19-17</f>
        <v>1898987.2646121879</v>
      </c>
      <c r="M5" s="154">
        <f>(J5*Q5)*1.19-1</f>
        <v>9632.5497999999989</v>
      </c>
      <c r="N5" s="130">
        <f>+E5*1.05/0.83986*I5*Q5*1.19*4-45.05</f>
        <v>6905425.0031352285</v>
      </c>
      <c r="O5" s="155">
        <f>81309+81293+78923+78059+77233</f>
        <v>396817</v>
      </c>
      <c r="P5" s="156">
        <f>+L5+M5+N5+O5</f>
        <v>9210861.8175474163</v>
      </c>
      <c r="Q5" s="42">
        <v>4047.71</v>
      </c>
    </row>
    <row r="6" spans="1:17" ht="15" thickBot="1" x14ac:dyDescent="0.4">
      <c r="A6" s="42" t="s">
        <v>399</v>
      </c>
      <c r="B6" s="125" t="s">
        <v>1144</v>
      </c>
      <c r="C6" s="43">
        <v>46024</v>
      </c>
      <c r="D6" s="43">
        <v>46203</v>
      </c>
      <c r="E6" s="44">
        <v>207820.7</v>
      </c>
      <c r="F6" s="42" t="s">
        <v>51</v>
      </c>
      <c r="G6" s="126">
        <v>10010015753</v>
      </c>
      <c r="H6" s="52">
        <v>1.1000000000000001E-3</v>
      </c>
      <c r="I6" s="53">
        <v>1E-3</v>
      </c>
      <c r="J6" s="56">
        <v>2</v>
      </c>
      <c r="K6" s="57">
        <v>10</v>
      </c>
      <c r="L6" s="153">
        <f>+E6*1.05/0.84208*H6*Q6*1.19-16</f>
        <v>1274410.6333863104</v>
      </c>
      <c r="M6" s="154">
        <f>(J6*Q6)*1.19</f>
        <v>8941.8503999999994</v>
      </c>
      <c r="N6" s="130">
        <f>+E6*1.05/0.84208*I6*Q6*1.19*4-36.67</f>
        <v>4634241.9968593102</v>
      </c>
      <c r="O6" s="155"/>
      <c r="P6" s="156">
        <f>+L6+M6+N6+O6+0.1</f>
        <v>5917594.5806456208</v>
      </c>
      <c r="Q6" s="42">
        <v>3757.08</v>
      </c>
    </row>
  </sheetData>
  <autoFilter ref="A1:Q4" xr:uid="{00000000-0009-0000-0000-000006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1"/>
  <sheetViews>
    <sheetView topLeftCell="F1" zoomScale="80" zoomScaleNormal="80" workbookViewId="0">
      <selection activeCell="A10" sqref="A10:S10"/>
    </sheetView>
  </sheetViews>
  <sheetFormatPr baseColWidth="10" defaultRowHeight="14.5" x14ac:dyDescent="0.35"/>
  <cols>
    <col min="1" max="1" width="9" customWidth="1"/>
    <col min="2" max="2" width="32.453125" customWidth="1"/>
    <col min="4" max="4" width="14.7265625" bestFit="1" customWidth="1"/>
    <col min="5" max="5" width="13.1796875" bestFit="1" customWidth="1"/>
    <col min="6" max="6" width="4.81640625" customWidth="1"/>
    <col min="7" max="7" width="13.1796875" bestFit="1" customWidth="1"/>
    <col min="8" max="8" width="15.1796875" bestFit="1" customWidth="1"/>
    <col min="9" max="9" width="12.54296875" customWidth="1"/>
    <col min="10" max="10" width="25.26953125" customWidth="1"/>
    <col min="11" max="11" width="12.453125" customWidth="1"/>
    <col min="12" max="12" width="14.1796875" customWidth="1"/>
    <col min="13" max="14" width="13" customWidth="1"/>
    <col min="15" max="15" width="11" customWidth="1"/>
    <col min="16" max="16" width="17.26953125" customWidth="1"/>
    <col min="17" max="17" width="18.81640625" customWidth="1"/>
    <col min="18" max="18" width="13.453125" customWidth="1"/>
    <col min="19" max="19" width="17.26953125" bestFit="1" customWidth="1"/>
    <col min="20" max="20" width="24.453125" customWidth="1"/>
  </cols>
  <sheetData>
    <row r="1" spans="1:20" s="88" customFormat="1" ht="43.5" customHeight="1" x14ac:dyDescent="0.35">
      <c r="A1" s="58" t="s">
        <v>381</v>
      </c>
      <c r="B1" s="58" t="s">
        <v>382</v>
      </c>
      <c r="C1" s="58" t="s">
        <v>383</v>
      </c>
      <c r="D1" s="58" t="s">
        <v>384</v>
      </c>
      <c r="E1" s="58" t="s">
        <v>385</v>
      </c>
      <c r="F1" s="58" t="s">
        <v>386</v>
      </c>
      <c r="G1" s="59" t="s">
        <v>387</v>
      </c>
      <c r="H1" s="58" t="s">
        <v>388</v>
      </c>
      <c r="I1" s="58" t="s">
        <v>389</v>
      </c>
      <c r="J1" s="58" t="s">
        <v>390</v>
      </c>
      <c r="K1" s="58" t="s">
        <v>733</v>
      </c>
      <c r="L1" s="63" t="s">
        <v>391</v>
      </c>
      <c r="M1" s="58" t="s">
        <v>392</v>
      </c>
      <c r="N1" s="58" t="s">
        <v>393</v>
      </c>
      <c r="O1" s="58" t="s">
        <v>394</v>
      </c>
      <c r="P1" s="58" t="s">
        <v>395</v>
      </c>
      <c r="Q1" s="58" t="s">
        <v>396</v>
      </c>
      <c r="R1" s="87" t="s">
        <v>397</v>
      </c>
      <c r="S1" s="87" t="s">
        <v>398</v>
      </c>
      <c r="T1" s="58" t="s">
        <v>621</v>
      </c>
    </row>
    <row r="2" spans="1:20" s="41" customFormat="1" ht="15" customHeight="1" x14ac:dyDescent="0.3">
      <c r="A2" s="42" t="s">
        <v>399</v>
      </c>
      <c r="B2" s="42" t="s">
        <v>27</v>
      </c>
      <c r="C2" s="43">
        <v>44603</v>
      </c>
      <c r="D2" s="43">
        <v>44968</v>
      </c>
      <c r="E2" s="44">
        <v>1000000</v>
      </c>
      <c r="F2" s="42" t="s">
        <v>31</v>
      </c>
      <c r="G2" s="45">
        <v>10070003087</v>
      </c>
      <c r="H2" s="47">
        <v>1.8800000000000001E-2</v>
      </c>
      <c r="I2" s="42">
        <v>29</v>
      </c>
      <c r="J2" s="47">
        <v>7.0000000000000001E-3</v>
      </c>
      <c r="K2" s="81">
        <v>0</v>
      </c>
      <c r="L2" s="48">
        <f>+E2*H2*365/360*O2*1.19</f>
        <v>88865234.986111104</v>
      </c>
      <c r="M2" s="49">
        <f t="shared" ref="M2:M8" si="0">+I2*O2*1.19</f>
        <v>135201.55249999999</v>
      </c>
      <c r="N2" s="49"/>
      <c r="O2" s="42">
        <v>3917.75</v>
      </c>
      <c r="P2" s="43">
        <v>44804</v>
      </c>
      <c r="Q2" s="50">
        <f>+E2*J2*362/360*R2</f>
        <v>30972237.333333332</v>
      </c>
      <c r="R2" s="42">
        <v>4400.16</v>
      </c>
      <c r="S2" s="86">
        <f>+L2+M2+Q2+N2</f>
        <v>119972673.87194443</v>
      </c>
      <c r="T2" s="42"/>
    </row>
    <row r="3" spans="1:20" s="41" customFormat="1" ht="15" customHeight="1" x14ac:dyDescent="0.3">
      <c r="A3" s="42" t="s">
        <v>400</v>
      </c>
      <c r="B3" s="42" t="s">
        <v>401</v>
      </c>
      <c r="C3" s="43">
        <v>44818</v>
      </c>
      <c r="D3" s="43">
        <v>45197</v>
      </c>
      <c r="E3" s="44">
        <v>1800000</v>
      </c>
      <c r="F3" s="42" t="s">
        <v>31</v>
      </c>
      <c r="G3" s="45">
        <v>10070003733</v>
      </c>
      <c r="H3" s="47">
        <v>1.8499999999999999E-2</v>
      </c>
      <c r="I3" s="42">
        <v>29</v>
      </c>
      <c r="J3" s="51">
        <v>0.01</v>
      </c>
      <c r="K3" s="81">
        <v>0</v>
      </c>
      <c r="L3" s="48">
        <f>+E3*H3*365/360*O3*1.19</f>
        <v>177338513.73874998</v>
      </c>
      <c r="M3" s="49">
        <f t="shared" si="0"/>
        <v>152323.34390000001</v>
      </c>
      <c r="N3" s="49">
        <v>0</v>
      </c>
      <c r="O3" s="42">
        <v>4413.8900000000003</v>
      </c>
      <c r="P3" s="43">
        <v>45167</v>
      </c>
      <c r="Q3" s="50">
        <f>+E3*J3*R3</f>
        <v>74007360.000000015</v>
      </c>
      <c r="R3" s="42">
        <v>4111.5200000000004</v>
      </c>
      <c r="S3" s="86">
        <f>+L3+M3+Q3</f>
        <v>251498197.08265001</v>
      </c>
      <c r="T3" s="42"/>
    </row>
    <row r="4" spans="1:20" s="41" customFormat="1" ht="15" customHeight="1" x14ac:dyDescent="0.3">
      <c r="A4" s="42" t="s">
        <v>399</v>
      </c>
      <c r="B4" s="42" t="s">
        <v>27</v>
      </c>
      <c r="C4" s="43">
        <v>44965</v>
      </c>
      <c r="D4" s="43">
        <v>45333</v>
      </c>
      <c r="E4" s="44">
        <v>1000000</v>
      </c>
      <c r="F4" s="42" t="s">
        <v>31</v>
      </c>
      <c r="G4" s="45">
        <v>10070003087</v>
      </c>
      <c r="H4" s="47">
        <v>1.9E-2</v>
      </c>
      <c r="I4" s="42">
        <v>29</v>
      </c>
      <c r="J4" s="47">
        <v>6.4999999999999997E-3</v>
      </c>
      <c r="K4" s="81">
        <v>0</v>
      </c>
      <c r="L4" s="48">
        <f>+E4*H4*365/360*O4*1.19</f>
        <v>109484927.42638889</v>
      </c>
      <c r="M4" s="49">
        <f t="shared" si="0"/>
        <v>164819.41489999997</v>
      </c>
      <c r="N4" s="49">
        <v>0</v>
      </c>
      <c r="O4" s="42">
        <v>4775.99</v>
      </c>
      <c r="P4" s="43">
        <v>44973</v>
      </c>
      <c r="Q4" s="50">
        <f>+E4*J4*R4*365/360</f>
        <v>32148956.666666668</v>
      </c>
      <c r="R4" s="42">
        <v>4878.24</v>
      </c>
      <c r="S4" s="86">
        <f>+L4+M4+Q4</f>
        <v>141798703.50795555</v>
      </c>
      <c r="T4" s="42"/>
    </row>
    <row r="5" spans="1:20" s="41" customFormat="1" ht="15" customHeight="1" x14ac:dyDescent="0.35">
      <c r="A5" s="42" t="s">
        <v>402</v>
      </c>
      <c r="B5" s="42" t="s">
        <v>403</v>
      </c>
      <c r="C5" s="43">
        <v>45117</v>
      </c>
      <c r="D5" s="43">
        <v>45516</v>
      </c>
      <c r="E5" s="44">
        <v>6243000</v>
      </c>
      <c r="F5" s="42" t="s">
        <v>51</v>
      </c>
      <c r="G5" s="45">
        <v>10070003282</v>
      </c>
      <c r="H5" s="47">
        <v>1.8599999999999998E-2</v>
      </c>
      <c r="I5" s="4">
        <v>29</v>
      </c>
      <c r="J5" s="47">
        <v>5.5999999999999999E-3</v>
      </c>
      <c r="K5" s="81">
        <v>0</v>
      </c>
      <c r="L5" s="48">
        <f>+E5/0.90103*H5*366/360*O5*1.19</f>
        <v>653284645.64865983</v>
      </c>
      <c r="M5" s="49">
        <f t="shared" si="0"/>
        <v>144595.5196</v>
      </c>
      <c r="N5" s="49">
        <v>0</v>
      </c>
      <c r="O5" s="42">
        <v>4189.96</v>
      </c>
      <c r="P5" s="43">
        <v>45134</v>
      </c>
      <c r="Q5" s="50">
        <f>+E5/0.88686*J5*359/365*R5</f>
        <v>155479183.51308095</v>
      </c>
      <c r="R5" s="42">
        <v>4010</v>
      </c>
      <c r="S5" s="86">
        <f>+L5+M5+Q5</f>
        <v>808908424.68134081</v>
      </c>
      <c r="T5" s="42"/>
    </row>
    <row r="6" spans="1:20" s="41" customFormat="1" ht="15" customHeight="1" x14ac:dyDescent="0.3">
      <c r="A6" s="42" t="s">
        <v>399</v>
      </c>
      <c r="B6" s="42" t="s">
        <v>591</v>
      </c>
      <c r="C6" s="43">
        <v>45190</v>
      </c>
      <c r="D6" s="43">
        <v>45563</v>
      </c>
      <c r="E6" s="44">
        <v>1800000</v>
      </c>
      <c r="F6" s="42" t="s">
        <v>31</v>
      </c>
      <c r="G6" s="45">
        <v>10070003733</v>
      </c>
      <c r="H6" s="47">
        <v>1.8599999999999998E-2</v>
      </c>
      <c r="I6" s="42">
        <v>32</v>
      </c>
      <c r="J6" s="47">
        <v>0.01</v>
      </c>
      <c r="K6" s="81">
        <v>0</v>
      </c>
      <c r="L6" s="48">
        <f>+E6*H6*366/360*O6*1.19</f>
        <v>158262400.63620001</v>
      </c>
      <c r="M6" s="49">
        <f t="shared" si="0"/>
        <v>148786.55679999999</v>
      </c>
      <c r="N6" s="49">
        <v>0</v>
      </c>
      <c r="O6" s="42">
        <v>3907.21</v>
      </c>
      <c r="P6" s="43">
        <v>45204</v>
      </c>
      <c r="Q6" s="50">
        <f>+E6*J6*R6</f>
        <v>76537620</v>
      </c>
      <c r="R6" s="42">
        <v>4252.09</v>
      </c>
      <c r="S6" s="86">
        <f>+L6+M6+Q6</f>
        <v>234948807.19300002</v>
      </c>
      <c r="T6" s="42" t="s">
        <v>734</v>
      </c>
    </row>
    <row r="7" spans="1:20" ht="15" customHeight="1" x14ac:dyDescent="0.35">
      <c r="A7" s="42" t="s">
        <v>399</v>
      </c>
      <c r="B7" s="42" t="s">
        <v>592</v>
      </c>
      <c r="C7" s="43">
        <v>45330</v>
      </c>
      <c r="D7" s="43">
        <v>45699</v>
      </c>
      <c r="E7" s="155">
        <v>1500000</v>
      </c>
      <c r="F7" s="42" t="s">
        <v>31</v>
      </c>
      <c r="G7" s="45">
        <v>10070003087</v>
      </c>
      <c r="H7" s="47">
        <v>1.95E-2</v>
      </c>
      <c r="I7" s="42">
        <v>29</v>
      </c>
      <c r="J7" s="47">
        <v>6.4999999999999997E-3</v>
      </c>
      <c r="K7" s="81">
        <v>0</v>
      </c>
      <c r="L7" s="153">
        <f>+E7*H7*366/360*O7*1.19+1</f>
        <v>140213910.40375</v>
      </c>
      <c r="M7" s="154">
        <f t="shared" si="0"/>
        <v>136736.55729999999</v>
      </c>
      <c r="N7" s="154">
        <v>0</v>
      </c>
      <c r="O7" s="42">
        <v>3962.23</v>
      </c>
      <c r="P7" s="43">
        <v>45359</v>
      </c>
      <c r="Q7" s="154">
        <f>1000000*J7*365/360*R7+10567819+141589</f>
        <v>36548503.208333328</v>
      </c>
      <c r="R7" s="42">
        <v>3920.79</v>
      </c>
      <c r="S7" s="86">
        <f>+L7+M7+Q7</f>
        <v>176899150.16938335</v>
      </c>
      <c r="T7" s="4" t="s">
        <v>1176</v>
      </c>
    </row>
    <row r="8" spans="1:20" ht="15" customHeight="1" x14ac:dyDescent="0.35">
      <c r="A8" s="42" t="s">
        <v>402</v>
      </c>
      <c r="B8" s="42" t="s">
        <v>593</v>
      </c>
      <c r="C8" s="43">
        <v>45483</v>
      </c>
      <c r="D8" s="43">
        <v>45881</v>
      </c>
      <c r="E8" s="155">
        <v>6443000</v>
      </c>
      <c r="F8" s="42" t="s">
        <v>51</v>
      </c>
      <c r="G8" s="45">
        <v>10070003282</v>
      </c>
      <c r="H8" s="47">
        <v>1.2999999999999999E-2</v>
      </c>
      <c r="I8" s="4">
        <v>29</v>
      </c>
      <c r="J8" s="47">
        <v>5.5999999999999999E-3</v>
      </c>
      <c r="K8" s="181">
        <v>290</v>
      </c>
      <c r="L8" s="153">
        <f>+E8/0.91193*H8*365/360*O8*1.19</f>
        <v>445712455.73302555</v>
      </c>
      <c r="M8" s="154">
        <f t="shared" si="0"/>
        <v>138800.9455</v>
      </c>
      <c r="N8" s="154">
        <f>+K8*O8*1.19+4</f>
        <v>1388013.4549999998</v>
      </c>
      <c r="O8" s="42">
        <v>4022.05</v>
      </c>
      <c r="P8" s="43">
        <v>45617</v>
      </c>
      <c r="Q8" s="154">
        <f>6243000/0.93835*J8*R8+2</f>
        <v>164457900.27676243</v>
      </c>
      <c r="R8" s="42">
        <v>4414.0600000000004</v>
      </c>
      <c r="S8" s="86">
        <f>+L8+M8+N8+Q8</f>
        <v>611697170.41028798</v>
      </c>
      <c r="T8" s="4" t="s">
        <v>847</v>
      </c>
    </row>
    <row r="9" spans="1:20" x14ac:dyDescent="0.35">
      <c r="A9" s="42" t="s">
        <v>399</v>
      </c>
      <c r="B9" s="42" t="s">
        <v>589</v>
      </c>
      <c r="C9" s="43">
        <v>45583</v>
      </c>
      <c r="D9" s="43">
        <v>45948</v>
      </c>
      <c r="E9" s="155">
        <v>50000</v>
      </c>
      <c r="F9" s="42" t="s">
        <v>31</v>
      </c>
      <c r="G9" s="45">
        <v>10070004124</v>
      </c>
      <c r="H9" s="47">
        <v>1.9400000000000001E-2</v>
      </c>
      <c r="I9" s="4">
        <v>29</v>
      </c>
      <c r="J9" s="47" t="s">
        <v>735</v>
      </c>
      <c r="K9" s="4"/>
      <c r="L9" s="153">
        <f>+E9*H9*365/360*O9*1.19</f>
        <v>4989324.0355972219</v>
      </c>
      <c r="M9" s="154">
        <f>+I9*O9*1.19-11</f>
        <v>147110.99669999999</v>
      </c>
      <c r="N9" s="4"/>
      <c r="O9" s="42">
        <v>4263.17</v>
      </c>
      <c r="P9" s="43">
        <v>45603</v>
      </c>
      <c r="Q9" s="130">
        <v>2729215</v>
      </c>
      <c r="R9" s="42">
        <v>4430.3999999999996</v>
      </c>
      <c r="S9" s="86">
        <f>+L9+M9+Q9</f>
        <v>7865650.0322972219</v>
      </c>
      <c r="T9" s="4" t="s">
        <v>848</v>
      </c>
    </row>
    <row r="10" spans="1:20" x14ac:dyDescent="0.35">
      <c r="A10" s="42" t="s">
        <v>399</v>
      </c>
      <c r="B10" s="42" t="s">
        <v>705</v>
      </c>
      <c r="C10" s="43">
        <v>45632</v>
      </c>
      <c r="D10" s="43">
        <v>45997</v>
      </c>
      <c r="E10" s="44">
        <v>457150</v>
      </c>
      <c r="F10" s="42" t="s">
        <v>31</v>
      </c>
      <c r="G10" s="45">
        <v>10070004183</v>
      </c>
      <c r="H10" s="47">
        <v>1.2999999999999999E-2</v>
      </c>
      <c r="I10" s="54">
        <v>29</v>
      </c>
      <c r="J10" s="47" t="s">
        <v>736</v>
      </c>
      <c r="K10" s="81">
        <v>133.28</v>
      </c>
      <c r="L10" s="48">
        <f>+E10*H10*365/360*O10*1.19</f>
        <v>31600595.213807568</v>
      </c>
      <c r="M10" s="49">
        <f>+I10*O10*1.19-5</f>
        <v>152085.0563</v>
      </c>
      <c r="N10" s="49">
        <v>581262</v>
      </c>
      <c r="O10" s="42">
        <v>4407.13</v>
      </c>
      <c r="P10" s="43">
        <v>45644</v>
      </c>
      <c r="Q10" s="50">
        <v>21034434</v>
      </c>
      <c r="R10" s="42">
        <v>4345.32</v>
      </c>
      <c r="S10" s="83">
        <f>+L10+M10+N10+Q10</f>
        <v>53368376.270107567</v>
      </c>
    </row>
    <row r="11" spans="1:20" x14ac:dyDescent="0.35">
      <c r="A11" s="67" t="s">
        <v>399</v>
      </c>
      <c r="B11" s="42" t="s">
        <v>592</v>
      </c>
      <c r="C11" s="43">
        <v>45695</v>
      </c>
      <c r="D11" s="43">
        <v>46064</v>
      </c>
      <c r="E11" s="44">
        <v>1500000</v>
      </c>
      <c r="F11" s="42" t="s">
        <v>31</v>
      </c>
      <c r="G11" s="45">
        <v>10070003087</v>
      </c>
      <c r="H11" s="47">
        <v>1.2999999999999999E-2</v>
      </c>
      <c r="I11" s="4">
        <v>29</v>
      </c>
      <c r="J11" s="4" t="s">
        <v>1229</v>
      </c>
      <c r="K11" s="4" t="s">
        <v>1228</v>
      </c>
      <c r="L11" s="48">
        <f>+E11*H11*365/360*O11*1.19-16</f>
        <v>97661536.435416654</v>
      </c>
      <c r="M11" s="49">
        <f>+I11*O11*1.19</f>
        <v>143250.66489999997</v>
      </c>
      <c r="N11" s="49">
        <f>543935</f>
        <v>543935</v>
      </c>
      <c r="O11" s="42">
        <v>4150.99</v>
      </c>
      <c r="P11" s="43">
        <v>45723</v>
      </c>
      <c r="Q11" s="50">
        <f>40575341+923719+1058404</f>
        <v>42557464</v>
      </c>
      <c r="R11" s="42">
        <v>4104.5600000000004</v>
      </c>
      <c r="S11" s="86">
        <f>+L11+M11+Q11+N11</f>
        <v>140906186.10031664</v>
      </c>
      <c r="T11" s="4"/>
    </row>
    <row r="12" spans="1:20" x14ac:dyDescent="0.35">
      <c r="A12" s="67" t="s">
        <v>399</v>
      </c>
      <c r="B12" s="42" t="s">
        <v>1041</v>
      </c>
      <c r="C12" s="43">
        <v>45792</v>
      </c>
      <c r="D12" s="43">
        <v>46156</v>
      </c>
      <c r="E12" s="44">
        <v>200000</v>
      </c>
      <c r="F12" s="42" t="s">
        <v>31</v>
      </c>
      <c r="G12" s="45">
        <v>10070004375</v>
      </c>
      <c r="H12" s="47">
        <v>1.2E-2</v>
      </c>
      <c r="I12" s="4">
        <v>29</v>
      </c>
      <c r="J12" s="47" t="s">
        <v>1270</v>
      </c>
      <c r="K12" s="4"/>
      <c r="L12" s="48">
        <f>+E12*H12*364/360*O12*1.19-34</f>
        <v>12111639.392000001</v>
      </c>
      <c r="M12" s="49">
        <f>+I12*O12*1.19</f>
        <v>144741.15179999999</v>
      </c>
      <c r="N12" s="49"/>
      <c r="O12" s="42">
        <v>4194.18</v>
      </c>
      <c r="P12" s="43">
        <v>45825</v>
      </c>
      <c r="Q12" s="50">
        <f>2186.67*4017.44</f>
        <v>8784815.5248000007</v>
      </c>
      <c r="R12" s="42">
        <v>4017.44</v>
      </c>
      <c r="S12" s="86">
        <f>+L12+M12+Q12</f>
        <v>21041196.068599999</v>
      </c>
      <c r="T12" s="84" t="s">
        <v>1271</v>
      </c>
    </row>
    <row r="13" spans="1:20" x14ac:dyDescent="0.35">
      <c r="A13" s="67" t="s">
        <v>402</v>
      </c>
      <c r="B13" s="42" t="s">
        <v>1400</v>
      </c>
      <c r="C13" s="43">
        <v>45845</v>
      </c>
      <c r="D13" s="43">
        <v>46246</v>
      </c>
      <c r="E13" s="44">
        <v>6828000</v>
      </c>
      <c r="F13" s="42" t="s">
        <v>51</v>
      </c>
      <c r="G13" s="45">
        <v>10070003282</v>
      </c>
      <c r="H13" s="47">
        <v>9.4999999999999998E-3</v>
      </c>
      <c r="I13" s="4">
        <v>29</v>
      </c>
      <c r="J13" s="47">
        <v>5.5999999999999999E-3</v>
      </c>
      <c r="K13" s="181">
        <f>83+431</f>
        <v>514</v>
      </c>
      <c r="L13" s="153">
        <f>+E13/0.849*H13*365/360*O13*1.19</f>
        <v>366365903.53954643</v>
      </c>
      <c r="M13" s="49">
        <f>+I13*O13*1.19</f>
        <v>137155.50869999998</v>
      </c>
      <c r="N13" s="49">
        <f>+K13*O13*1.19</f>
        <v>2430963.1541999998</v>
      </c>
      <c r="O13" s="42">
        <v>3974.37</v>
      </c>
      <c r="P13" s="43">
        <v>45908</v>
      </c>
      <c r="Q13" s="50">
        <v>183161431</v>
      </c>
      <c r="R13" s="42">
        <v>3960.94</v>
      </c>
      <c r="S13" s="86">
        <f>+L13+M13+N13+930+Q13</f>
        <v>552096383.20244646</v>
      </c>
      <c r="T13" s="84" t="s">
        <v>1257</v>
      </c>
    </row>
    <row r="14" spans="1:20" x14ac:dyDescent="0.35">
      <c r="A14" s="67" t="s">
        <v>402</v>
      </c>
      <c r="B14" s="42" t="s">
        <v>1400</v>
      </c>
      <c r="C14" s="43">
        <v>45904</v>
      </c>
      <c r="D14" s="43">
        <v>46246</v>
      </c>
      <c r="E14" s="44">
        <v>6908000</v>
      </c>
      <c r="F14" s="42" t="s">
        <v>51</v>
      </c>
      <c r="G14" s="45">
        <v>10070003282</v>
      </c>
      <c r="H14" s="47">
        <v>9.4999999999999998E-3</v>
      </c>
      <c r="I14" s="4"/>
      <c r="J14" s="4"/>
      <c r="K14" s="47">
        <v>9.4999999999999998E-3</v>
      </c>
      <c r="L14" s="4"/>
      <c r="M14" s="49"/>
      <c r="N14" s="49">
        <f>(80000/0.8595*K14*O14*1.19)+116083+22056-153942</f>
        <v>4196165.1023851065</v>
      </c>
      <c r="O14" s="42">
        <v>4002.86</v>
      </c>
      <c r="P14" s="4"/>
      <c r="Q14" s="203"/>
      <c r="R14" s="4"/>
      <c r="S14" s="86">
        <f>+N14</f>
        <v>4196165.1023851065</v>
      </c>
      <c r="T14" s="85"/>
    </row>
    <row r="15" spans="1:20" x14ac:dyDescent="0.35">
      <c r="A15" s="67" t="s">
        <v>399</v>
      </c>
      <c r="B15" s="42" t="s">
        <v>589</v>
      </c>
      <c r="C15" s="43">
        <v>45950</v>
      </c>
      <c r="D15" s="43">
        <v>46315</v>
      </c>
      <c r="E15" s="44">
        <v>50000</v>
      </c>
      <c r="F15" s="42" t="s">
        <v>31</v>
      </c>
      <c r="G15" s="45">
        <v>10070004124</v>
      </c>
      <c r="H15" s="47">
        <v>1.9400000000000001E-2</v>
      </c>
      <c r="I15" s="4">
        <v>29</v>
      </c>
      <c r="J15" s="47" t="s">
        <v>1479</v>
      </c>
      <c r="K15" s="4"/>
      <c r="L15" s="48">
        <f>+E15*H15*367/360*O15*1.19</f>
        <v>4481185.1115888879</v>
      </c>
      <c r="M15" s="49">
        <f>+I15*O15*1.19</f>
        <v>131418.2212</v>
      </c>
      <c r="N15" s="4"/>
      <c r="O15" s="42">
        <v>3808.12</v>
      </c>
      <c r="P15" s="43">
        <v>45961</v>
      </c>
      <c r="Q15" s="130">
        <f>974301+3779200</f>
        <v>4753501</v>
      </c>
      <c r="R15" s="42" t="s">
        <v>1531</v>
      </c>
      <c r="S15" s="86">
        <f>+L15+M15-4+Q15</f>
        <v>9366100.3327888884</v>
      </c>
      <c r="T15" s="4"/>
    </row>
    <row r="16" spans="1:20" x14ac:dyDescent="0.35">
      <c r="A16" s="67" t="s">
        <v>399</v>
      </c>
      <c r="B16" s="42" t="s">
        <v>705</v>
      </c>
      <c r="C16" s="43">
        <v>45997</v>
      </c>
      <c r="D16" s="43">
        <v>46362</v>
      </c>
      <c r="E16" s="44">
        <v>457150</v>
      </c>
      <c r="F16" s="42" t="s">
        <v>31</v>
      </c>
      <c r="G16" s="45">
        <v>10070004183</v>
      </c>
      <c r="H16" s="51">
        <v>1.0999999999999999E-2</v>
      </c>
      <c r="I16" s="54">
        <v>29</v>
      </c>
      <c r="J16" s="47" t="s">
        <v>736</v>
      </c>
      <c r="K16" s="81">
        <v>133.28</v>
      </c>
      <c r="L16" s="48">
        <f>+E16*H16*365/360*O16*1.19-10</f>
        <v>23092746.44534833</v>
      </c>
      <c r="M16" s="49">
        <f>+I16*O16*1.19</f>
        <v>131350.5816</v>
      </c>
      <c r="N16" s="49"/>
      <c r="O16" s="42">
        <v>3806.16</v>
      </c>
      <c r="P16" s="43"/>
      <c r="Q16" s="130">
        <f>+((E16*1%*365/360)*3861.34)+270*3784.43-12.19</f>
        <v>18919067.995138891</v>
      </c>
      <c r="R16" t="s">
        <v>1545</v>
      </c>
      <c r="S16" s="83">
        <f>+L16+M16+N16+Q16</f>
        <v>42143165.022087216</v>
      </c>
    </row>
    <row r="17" spans="1:20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9"/>
      <c r="N17" s="49"/>
      <c r="O17" s="4"/>
      <c r="P17" s="4"/>
      <c r="Q17" s="4"/>
      <c r="R17" s="42"/>
      <c r="S17" s="4"/>
      <c r="T17" s="4"/>
    </row>
    <row r="18" spans="1:20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9"/>
      <c r="N18" s="49"/>
      <c r="O18" s="4"/>
      <c r="P18" s="4"/>
      <c r="Q18" s="4"/>
      <c r="R18" s="4"/>
      <c r="S18" s="4"/>
      <c r="T18" s="4"/>
    </row>
    <row r="20" spans="1:20" x14ac:dyDescent="0.35">
      <c r="H20" s="15"/>
      <c r="S20" s="127"/>
    </row>
    <row r="21" spans="1:20" x14ac:dyDescent="0.35">
      <c r="H21" s="15"/>
      <c r="L21" s="127"/>
    </row>
    <row r="22" spans="1:20" x14ac:dyDescent="0.35">
      <c r="H22" s="15"/>
    </row>
    <row r="23" spans="1:20" x14ac:dyDescent="0.35">
      <c r="H23" s="15"/>
      <c r="I23" s="15"/>
      <c r="Q23" s="1"/>
    </row>
    <row r="24" spans="1:20" x14ac:dyDescent="0.35">
      <c r="Q24" s="1"/>
    </row>
    <row r="25" spans="1:20" x14ac:dyDescent="0.35">
      <c r="P25" s="1"/>
      <c r="Q25" s="14"/>
    </row>
    <row r="26" spans="1:20" x14ac:dyDescent="0.35">
      <c r="P26" s="1"/>
    </row>
    <row r="27" spans="1:20" x14ac:dyDescent="0.35">
      <c r="P27" s="14"/>
    </row>
    <row r="29" spans="1:20" x14ac:dyDescent="0.35">
      <c r="P29" s="1">
        <v>45419</v>
      </c>
    </row>
    <row r="30" spans="1:20" x14ac:dyDescent="0.35">
      <c r="P30" s="1">
        <v>45330</v>
      </c>
    </row>
    <row r="31" spans="1:20" x14ac:dyDescent="0.35">
      <c r="P31" s="14">
        <f>+P29-P30</f>
        <v>89</v>
      </c>
    </row>
  </sheetData>
  <autoFilter ref="A1:S11" xr:uid="{00000000-0009-0000-0000-000007000000}"/>
  <sortState xmlns:xlrd2="http://schemas.microsoft.com/office/spreadsheetml/2017/richdata2" ref="A2:S8">
    <sortCondition ref="C2:C8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</vt:lpstr>
      <vt:lpstr>Pagos importación</vt:lpstr>
      <vt:lpstr>Compras</vt:lpstr>
      <vt:lpstr>Otros pagos</vt:lpstr>
      <vt:lpstr>Reintegros</vt:lpstr>
      <vt:lpstr>Cantidad de formularios</vt:lpstr>
      <vt:lpstr>LC Exportaciones</vt:lpstr>
      <vt:lpstr>Cartas de crédito</vt:lpstr>
      <vt:lpstr>Standby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Johana Castrillon Lopez</dc:creator>
  <cp:lastModifiedBy>Maria José Fuentes Álvarez</cp:lastModifiedBy>
  <dcterms:created xsi:type="dcterms:W3CDTF">2024-02-14T14:51:58Z</dcterms:created>
  <dcterms:modified xsi:type="dcterms:W3CDTF">2026-01-26T21:03:02Z</dcterms:modified>
</cp:coreProperties>
</file>